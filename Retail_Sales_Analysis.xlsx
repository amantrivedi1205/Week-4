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lean_Data" sheetId="2" state="visible" r:id="rId4"/>
    <sheet name="Model_Results" sheetId="3" state="visible" r:id="rId5"/>
    <sheet name="Notes" sheetId="4" state="visible" r:id="rId6"/>
  </sheets>
  <definedNames>
    <definedName function="false" hidden="true" localSheetId="1" name="_xlnm._FilterDatabase" vbProcedure="false">Clean_Data!$A$1:$M$9001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<sst xmlns="http://schemas.openxmlformats.org/spreadsheetml/2006/main" count="54120" uniqueCount="9088">
  <si>
    <t xml:space="preserve">Retail Sales Analysis: Summary</t>
  </si>
  <si>
    <t xml:space="preserve">All figures are live formulas over the Clean_Data sheet.</t>
  </si>
  <si>
    <t xml:space="preserve">KPI</t>
  </si>
  <si>
    <t xml:space="preserve">Value</t>
  </si>
  <si>
    <t xml:space="preserve">Total Sales</t>
  </si>
  <si>
    <t xml:space="preserve">Total Profit</t>
  </si>
  <si>
    <t xml:space="preserve">Profit Margin</t>
  </si>
  <si>
    <t xml:space="preserve">Orders</t>
  </si>
  <si>
    <t xml:space="preserve">Average Order Value</t>
  </si>
  <si>
    <t xml:space="preserve">Average Discount</t>
  </si>
  <si>
    <t xml:space="preserve">Loss-Making Orders %</t>
  </si>
  <si>
    <t xml:space="preserve">By Category</t>
  </si>
  <si>
    <t xml:space="preserve">Category</t>
  </si>
  <si>
    <t xml:space="preserve">Sales</t>
  </si>
  <si>
    <t xml:space="preserve">Profit</t>
  </si>
  <si>
    <t xml:space="preserve">Margin</t>
  </si>
  <si>
    <t xml:space="preserve">Furniture</t>
  </si>
  <si>
    <t xml:space="preserve">Office Supplies</t>
  </si>
  <si>
    <t xml:space="preserve">Technology</t>
  </si>
  <si>
    <t xml:space="preserve">Total</t>
  </si>
  <si>
    <t xml:space="preserve">By Sub-Category</t>
  </si>
  <si>
    <t xml:space="preserve">Sub-Category</t>
  </si>
  <si>
    <t xml:space="preserve">Tables</t>
  </si>
  <si>
    <t xml:space="preserve">Bookcases</t>
  </si>
  <si>
    <t xml:space="preserve">Machines</t>
  </si>
  <si>
    <t xml:space="preserve">Chairs</t>
  </si>
  <si>
    <t xml:space="preserve">Storage</t>
  </si>
  <si>
    <t xml:space="preserve">Furnishings</t>
  </si>
  <si>
    <t xml:space="preserve">Binders</t>
  </si>
  <si>
    <t xml:space="preserve">Paper</t>
  </si>
  <si>
    <t xml:space="preserve">Accessories</t>
  </si>
  <si>
    <t xml:space="preserve">Appliances</t>
  </si>
  <si>
    <t xml:space="preserve">Phones</t>
  </si>
  <si>
    <t xml:space="preserve">Copiers</t>
  </si>
  <si>
    <t xml:space="preserve">By Region</t>
  </si>
  <si>
    <t xml:space="preserve">Region</t>
  </si>
  <si>
    <t xml:space="preserve">Central</t>
  </si>
  <si>
    <t xml:space="preserve">East</t>
  </si>
  <si>
    <t xml:space="preserve">South</t>
  </si>
  <si>
    <t xml:space="preserve">West</t>
  </si>
  <si>
    <t xml:space="preserve">By Segment</t>
  </si>
  <si>
    <t xml:space="preserve">Segment</t>
  </si>
  <si>
    <t xml:space="preserve">Consumer</t>
  </si>
  <si>
    <t xml:space="preserve">Corporate</t>
  </si>
  <si>
    <t xml:space="preserve">Home Office</t>
  </si>
  <si>
    <t xml:space="preserve">By Year</t>
  </si>
  <si>
    <t xml:space="preserve">Year</t>
  </si>
  <si>
    <t xml:space="preserve">YoY Sales Growth</t>
  </si>
  <si>
    <t xml:space="preserve">n/a</t>
  </si>
  <si>
    <t xml:space="preserve">By Discount Level</t>
  </si>
  <si>
    <t xml:space="preserve">Discount</t>
  </si>
  <si>
    <t xml:space="preserve">Order ID</t>
  </si>
  <si>
    <t xml:space="preserve">Order Date</t>
  </si>
  <si>
    <t xml:space="preserve">Ship Mode</t>
  </si>
  <si>
    <t xml:space="preserve">Quantity</t>
  </si>
  <si>
    <t xml:space="preserve">ORD-2022-01264</t>
  </si>
  <si>
    <t xml:space="preserve">Standard Class</t>
  </si>
  <si>
    <t xml:space="preserve">ORD-2022-00094</t>
  </si>
  <si>
    <t xml:space="preserve">Same Day</t>
  </si>
  <si>
    <t xml:space="preserve">ORD-2023-03318</t>
  </si>
  <si>
    <t xml:space="preserve">ORD-2024-06022</t>
  </si>
  <si>
    <t xml:space="preserve">ORD-2024-05695</t>
  </si>
  <si>
    <t xml:space="preserve">ORD-2024-04662</t>
  </si>
  <si>
    <t xml:space="preserve">ORD-2023-02684</t>
  </si>
  <si>
    <t xml:space="preserve">ORD-2022-00829</t>
  </si>
  <si>
    <t xml:space="preserve">ORD-2025-07089</t>
  </si>
  <si>
    <t xml:space="preserve">ORD-2023-01920</t>
  </si>
  <si>
    <t xml:space="preserve">ORD-2023-03543</t>
  </si>
  <si>
    <t xml:space="preserve">First Class</t>
  </si>
  <si>
    <t xml:space="preserve">ORD-2024-04392</t>
  </si>
  <si>
    <t xml:space="preserve">ORD-2025-07458</t>
  </si>
  <si>
    <t xml:space="preserve">Second Class</t>
  </si>
  <si>
    <t xml:space="preserve">ORD-2024-05595</t>
  </si>
  <si>
    <t xml:space="preserve">ORD-2023-02450</t>
  </si>
  <si>
    <t xml:space="preserve">ORD-2025-08449</t>
  </si>
  <si>
    <t xml:space="preserve">ORD-2024-05466</t>
  </si>
  <si>
    <t xml:space="preserve">ORD-2022-00734</t>
  </si>
  <si>
    <t xml:space="preserve">ORD-2024-04369</t>
  </si>
  <si>
    <t xml:space="preserve">ORD-2022-01660</t>
  </si>
  <si>
    <t xml:space="preserve">ORD-2025-07302</t>
  </si>
  <si>
    <t xml:space="preserve">ORD-2025-07968</t>
  </si>
  <si>
    <t xml:space="preserve">ORD-2022-01598</t>
  </si>
  <si>
    <t xml:space="preserve">ORD-2024-04679</t>
  </si>
  <si>
    <t xml:space="preserve">ORD-2024-04718</t>
  </si>
  <si>
    <t xml:space="preserve">ORD-2023-02629</t>
  </si>
  <si>
    <t xml:space="preserve">ORD-2023-02918</t>
  </si>
  <si>
    <t xml:space="preserve">ORD-2025-07106</t>
  </si>
  <si>
    <t xml:space="preserve">ORD-2025-07633</t>
  </si>
  <si>
    <t xml:space="preserve">ORD-2024-05982</t>
  </si>
  <si>
    <t xml:space="preserve">ORD-2025-07821</t>
  </si>
  <si>
    <t xml:space="preserve">ORD-2024-05486</t>
  </si>
  <si>
    <t xml:space="preserve">ORD-2025-07840</t>
  </si>
  <si>
    <t xml:space="preserve">ORD-2025-07804</t>
  </si>
  <si>
    <t xml:space="preserve">ORD-2025-06760</t>
  </si>
  <si>
    <t xml:space="preserve">ORD-2022-01430</t>
  </si>
  <si>
    <t xml:space="preserve">ORD-2023-03143</t>
  </si>
  <si>
    <t xml:space="preserve">ORD-2025-08112</t>
  </si>
  <si>
    <t xml:space="preserve">ORD-2022-00966</t>
  </si>
  <si>
    <t xml:space="preserve">ORD-2025-08390</t>
  </si>
  <si>
    <t xml:space="preserve">ORD-2022-00568</t>
  </si>
  <si>
    <t xml:space="preserve">ORD-2022-00762</t>
  </si>
  <si>
    <t xml:space="preserve">ORD-2023-03127</t>
  </si>
  <si>
    <t xml:space="preserve">ORD-2022-01671</t>
  </si>
  <si>
    <t xml:space="preserve">ORD-2023-02222</t>
  </si>
  <si>
    <t xml:space="preserve">ORD-2024-05636</t>
  </si>
  <si>
    <t xml:space="preserve">ORD-2025-07459</t>
  </si>
  <si>
    <t xml:space="preserve">ORD-2024-06164</t>
  </si>
  <si>
    <t xml:space="preserve">ORD-2022-01176</t>
  </si>
  <si>
    <t xml:space="preserve">ORD-2024-05365</t>
  </si>
  <si>
    <t xml:space="preserve">ORD-2022-01053</t>
  </si>
  <si>
    <t xml:space="preserve">ORD-2024-05877</t>
  </si>
  <si>
    <t xml:space="preserve">ORD-2022-01374</t>
  </si>
  <si>
    <t xml:space="preserve">ORD-2022-00081</t>
  </si>
  <si>
    <t xml:space="preserve">ORD-2024-06030</t>
  </si>
  <si>
    <t xml:space="preserve">ORD-2022-01731</t>
  </si>
  <si>
    <t xml:space="preserve">ORD-2025-08258</t>
  </si>
  <si>
    <t xml:space="preserve">ORD-2022-01721</t>
  </si>
  <si>
    <t xml:space="preserve">ORD-2022-00448</t>
  </si>
  <si>
    <t xml:space="preserve">ORD-2023-02447</t>
  </si>
  <si>
    <t xml:space="preserve">ORD-2024-04862</t>
  </si>
  <si>
    <t xml:space="preserve">ORD-2025-06741</t>
  </si>
  <si>
    <t xml:space="preserve">ORD-2024-04882</t>
  </si>
  <si>
    <t xml:space="preserve">ORD-2023-03129</t>
  </si>
  <si>
    <t xml:space="preserve">ORD-2025-08478</t>
  </si>
  <si>
    <t xml:space="preserve">ORD-2025-07631</t>
  </si>
  <si>
    <t xml:space="preserve">ORD-2025-06747</t>
  </si>
  <si>
    <t xml:space="preserve">ORD-2022-01278</t>
  </si>
  <si>
    <t xml:space="preserve">ORD-2023-03394</t>
  </si>
  <si>
    <t xml:space="preserve">ORD-2025-08579</t>
  </si>
  <si>
    <t xml:space="preserve">ORD-2025-07767</t>
  </si>
  <si>
    <t xml:space="preserve">ORD-2023-01942</t>
  </si>
  <si>
    <t xml:space="preserve">ORD-2025-08327</t>
  </si>
  <si>
    <t xml:space="preserve">ORD-2022-01513</t>
  </si>
  <si>
    <t xml:space="preserve">ORD-2025-06527</t>
  </si>
  <si>
    <t xml:space="preserve">ORD-2023-02623</t>
  </si>
  <si>
    <t xml:space="preserve">ORD-2024-05921</t>
  </si>
  <si>
    <t xml:space="preserve">ORD-2025-07274</t>
  </si>
  <si>
    <t xml:space="preserve">ORD-2024-04773</t>
  </si>
  <si>
    <t xml:space="preserve">ORD-2022-01370</t>
  </si>
  <si>
    <t xml:space="preserve">ORD-2022-01732</t>
  </si>
  <si>
    <t xml:space="preserve">ORD-2025-08346</t>
  </si>
  <si>
    <t xml:space="preserve">ORD-2024-04510</t>
  </si>
  <si>
    <t xml:space="preserve">ORD-2022-01314</t>
  </si>
  <si>
    <t xml:space="preserve">ORD-2024-04484</t>
  </si>
  <si>
    <t xml:space="preserve">ORD-2023-03054</t>
  </si>
  <si>
    <t xml:space="preserve">ORD-2023-02112</t>
  </si>
  <si>
    <t xml:space="preserve">ORD-2024-05405</t>
  </si>
  <si>
    <t xml:space="preserve">ORD-2024-06180</t>
  </si>
  <si>
    <t xml:space="preserve">ORD-2025-07098</t>
  </si>
  <si>
    <t xml:space="preserve">ORD-2023-03711</t>
  </si>
  <si>
    <t xml:space="preserve">ORD-2022-00170</t>
  </si>
  <si>
    <t xml:space="preserve">ORD-2023-03425</t>
  </si>
  <si>
    <t xml:space="preserve">ORD-2024-04907</t>
  </si>
  <si>
    <t xml:space="preserve">ORD-2023-03911</t>
  </si>
  <si>
    <t xml:space="preserve">ORD-2022-01019</t>
  </si>
  <si>
    <t xml:space="preserve">ORD-2025-08410</t>
  </si>
  <si>
    <t xml:space="preserve">ORD-2024-05813</t>
  </si>
  <si>
    <t xml:space="preserve">ORD-2025-08313</t>
  </si>
  <si>
    <t xml:space="preserve">ORD-2023-02108</t>
  </si>
  <si>
    <t xml:space="preserve">ORD-2024-04303</t>
  </si>
  <si>
    <t xml:space="preserve">ORD-2023-01878</t>
  </si>
  <si>
    <t xml:space="preserve">ORD-2024-05124</t>
  </si>
  <si>
    <t xml:space="preserve">ORD-2022-01057</t>
  </si>
  <si>
    <t xml:space="preserve">ORD-2024-05222</t>
  </si>
  <si>
    <t xml:space="preserve">ORD-2025-08854</t>
  </si>
  <si>
    <t xml:space="preserve">ORD-2023-03255</t>
  </si>
  <si>
    <t xml:space="preserve">ORD-2022-01836</t>
  </si>
  <si>
    <t xml:space="preserve">ORD-2023-03525</t>
  </si>
  <si>
    <t xml:space="preserve">ORD-2025-06395</t>
  </si>
  <si>
    <t xml:space="preserve">ORD-2022-01624</t>
  </si>
  <si>
    <t xml:space="preserve">ORD-2023-03383</t>
  </si>
  <si>
    <t xml:space="preserve">ORD-2023-02756</t>
  </si>
  <si>
    <t xml:space="preserve">ORD-2025-08765</t>
  </si>
  <si>
    <t xml:space="preserve">ORD-2023-03012</t>
  </si>
  <si>
    <t xml:space="preserve">ORD-2024-04857</t>
  </si>
  <si>
    <t xml:space="preserve">ORD-2022-00089</t>
  </si>
  <si>
    <t xml:space="preserve">ORD-2025-07729</t>
  </si>
  <si>
    <t xml:space="preserve">ORD-2024-05258</t>
  </si>
  <si>
    <t xml:space="preserve">ORD-2022-00701</t>
  </si>
  <si>
    <t xml:space="preserve">ORD-2022-00744</t>
  </si>
  <si>
    <t xml:space="preserve">ORD-2025-08110</t>
  </si>
  <si>
    <t xml:space="preserve">ORD-2024-05488</t>
  </si>
  <si>
    <t xml:space="preserve">ORD-2025-07478</t>
  </si>
  <si>
    <t xml:space="preserve">ORD-2024-06066</t>
  </si>
  <si>
    <t xml:space="preserve">ORD-2024-05193</t>
  </si>
  <si>
    <t xml:space="preserve">ORD-2024-05429</t>
  </si>
  <si>
    <t xml:space="preserve">ORD-2024-05685</t>
  </si>
  <si>
    <t xml:space="preserve">ORD-2025-06464</t>
  </si>
  <si>
    <t xml:space="preserve">ORD-2023-03870</t>
  </si>
  <si>
    <t xml:space="preserve">ORD-2025-06607</t>
  </si>
  <si>
    <t xml:space="preserve">ORD-2023-02945</t>
  </si>
  <si>
    <t xml:space="preserve">ORD-2025-06920</t>
  </si>
  <si>
    <t xml:space="preserve">ORD-2022-01596</t>
  </si>
  <si>
    <t xml:space="preserve">ORD-2025-07567</t>
  </si>
  <si>
    <t xml:space="preserve">ORD-2025-08145</t>
  </si>
  <si>
    <t xml:space="preserve">ORD-2024-04692</t>
  </si>
  <si>
    <t xml:space="preserve">ORD-2024-05455</t>
  </si>
  <si>
    <t xml:space="preserve">ORD-2025-07613</t>
  </si>
  <si>
    <t xml:space="preserve">ORD-2025-07054</t>
  </si>
  <si>
    <t xml:space="preserve">ORD-2025-07815</t>
  </si>
  <si>
    <t xml:space="preserve">ORD-2024-04093</t>
  </si>
  <si>
    <t xml:space="preserve">ORD-2025-08750</t>
  </si>
  <si>
    <t xml:space="preserve">ORD-2022-00077</t>
  </si>
  <si>
    <t xml:space="preserve">ORD-2024-05581</t>
  </si>
  <si>
    <t xml:space="preserve">ORD-2025-06833</t>
  </si>
  <si>
    <t xml:space="preserve">ORD-2024-04835</t>
  </si>
  <si>
    <t xml:space="preserve">ORD-2022-01559</t>
  </si>
  <si>
    <t xml:space="preserve">ORD-2025-07235</t>
  </si>
  <si>
    <t xml:space="preserve">ORD-2024-05969</t>
  </si>
  <si>
    <t xml:space="preserve">ORD-2023-03935</t>
  </si>
  <si>
    <t xml:space="preserve">ORD-2023-01935</t>
  </si>
  <si>
    <t xml:space="preserve">ORD-2024-05389</t>
  </si>
  <si>
    <t xml:space="preserve">ORD-2022-00512</t>
  </si>
  <si>
    <t xml:space="preserve">ORD-2025-08895</t>
  </si>
  <si>
    <t xml:space="preserve">ORD-2022-01350</t>
  </si>
  <si>
    <t xml:space="preserve">ORD-2024-05529</t>
  </si>
  <si>
    <t xml:space="preserve">ORD-2022-00564</t>
  </si>
  <si>
    <t xml:space="preserve">ORD-2025-08117</t>
  </si>
  <si>
    <t xml:space="preserve">ORD-2024-06252</t>
  </si>
  <si>
    <t xml:space="preserve">ORD-2022-00249</t>
  </si>
  <si>
    <t xml:space="preserve">ORD-2025-08068</t>
  </si>
  <si>
    <t xml:space="preserve">ORD-2023-01963</t>
  </si>
  <si>
    <t xml:space="preserve">ORD-2025-06846</t>
  </si>
  <si>
    <t xml:space="preserve">ORD-2023-03460</t>
  </si>
  <si>
    <t xml:space="preserve">ORD-2023-03434</t>
  </si>
  <si>
    <t xml:space="preserve">ORD-2025-06394</t>
  </si>
  <si>
    <t xml:space="preserve">ORD-2023-02253</t>
  </si>
  <si>
    <t xml:space="preserve">ORD-2025-06633</t>
  </si>
  <si>
    <t xml:space="preserve">ORD-2025-08297</t>
  </si>
  <si>
    <t xml:space="preserve">ORD-2024-04921</t>
  </si>
  <si>
    <t xml:space="preserve">ORD-2024-06267</t>
  </si>
  <si>
    <t xml:space="preserve">ORD-2022-01163</t>
  </si>
  <si>
    <t xml:space="preserve">ORD-2024-06322</t>
  </si>
  <si>
    <t xml:space="preserve">ORD-2025-08754</t>
  </si>
  <si>
    <t xml:space="preserve">ORD-2024-04721</t>
  </si>
  <si>
    <t xml:space="preserve">ORD-2024-04329</t>
  </si>
  <si>
    <t xml:space="preserve">ORD-2024-05274</t>
  </si>
  <si>
    <t xml:space="preserve">ORD-2022-01077</t>
  </si>
  <si>
    <t xml:space="preserve">ORD-2025-06661</t>
  </si>
  <si>
    <t xml:space="preserve">ORD-2025-08472</t>
  </si>
  <si>
    <t xml:space="preserve">ORD-2025-07129</t>
  </si>
  <si>
    <t xml:space="preserve">ORD-2023-03856</t>
  </si>
  <si>
    <t xml:space="preserve">ORD-2024-04236</t>
  </si>
  <si>
    <t xml:space="preserve">ORD-2023-02674</t>
  </si>
  <si>
    <t xml:space="preserve">ORD-2023-03533</t>
  </si>
  <si>
    <t xml:space="preserve">ORD-2022-00096</t>
  </si>
  <si>
    <t xml:space="preserve">ORD-2024-05675</t>
  </si>
  <si>
    <t xml:space="preserve">ORD-2023-02665</t>
  </si>
  <si>
    <t xml:space="preserve">ORD-2025-08458</t>
  </si>
  <si>
    <t xml:space="preserve">ORD-2025-06608</t>
  </si>
  <si>
    <t xml:space="preserve">ORD-2025-07350</t>
  </si>
  <si>
    <t xml:space="preserve">ORD-2022-00316</t>
  </si>
  <si>
    <t xml:space="preserve">ORD-2025-08720</t>
  </si>
  <si>
    <t xml:space="preserve">ORD-2022-01223</t>
  </si>
  <si>
    <t xml:space="preserve">ORD-2022-01035</t>
  </si>
  <si>
    <t xml:space="preserve">ORD-2025-08016</t>
  </si>
  <si>
    <t xml:space="preserve">ORD-2025-07756</t>
  </si>
  <si>
    <t xml:space="preserve">ORD-2023-02311</t>
  </si>
  <si>
    <t xml:space="preserve">ORD-2022-01039</t>
  </si>
  <si>
    <t xml:space="preserve">ORD-2024-04833</t>
  </si>
  <si>
    <t xml:space="preserve">ORD-2025-07879</t>
  </si>
  <si>
    <t xml:space="preserve">ORD-2025-08917</t>
  </si>
  <si>
    <t xml:space="preserve">ORD-2025-07482</t>
  </si>
  <si>
    <t xml:space="preserve">ORD-2025-06851</t>
  </si>
  <si>
    <t xml:space="preserve">ORD-2022-00764</t>
  </si>
  <si>
    <t xml:space="preserve">ORD-2023-03211</t>
  </si>
  <si>
    <t xml:space="preserve">ORD-2024-05115</t>
  </si>
  <si>
    <t xml:space="preserve">ORD-2024-06044</t>
  </si>
  <si>
    <t xml:space="preserve">ORD-2025-06378</t>
  </si>
  <si>
    <t xml:space="preserve">ORD-2024-04342</t>
  </si>
  <si>
    <t xml:space="preserve">ORD-2025-08853</t>
  </si>
  <si>
    <t xml:space="preserve">ORD-2023-03816</t>
  </si>
  <si>
    <t xml:space="preserve">ORD-2023-02215</t>
  </si>
  <si>
    <t xml:space="preserve">ORD-2025-07479</t>
  </si>
  <si>
    <t xml:space="preserve">ORD-2024-05412</t>
  </si>
  <si>
    <t xml:space="preserve">ORD-2022-00120</t>
  </si>
  <si>
    <t xml:space="preserve">ORD-2022-01128</t>
  </si>
  <si>
    <t xml:space="preserve">ORD-2025-08976</t>
  </si>
  <si>
    <t xml:space="preserve">ORD-2023-02871</t>
  </si>
  <si>
    <t xml:space="preserve">ORD-2023-02376</t>
  </si>
  <si>
    <t xml:space="preserve">ORD-2025-07294</t>
  </si>
  <si>
    <t xml:space="preserve">ORD-2025-08146</t>
  </si>
  <si>
    <t xml:space="preserve">ORD-2025-06811</t>
  </si>
  <si>
    <t xml:space="preserve">ORD-2024-04587</t>
  </si>
  <si>
    <t xml:space="preserve">ORD-2024-05334</t>
  </si>
  <si>
    <t xml:space="preserve">ORD-2023-03579</t>
  </si>
  <si>
    <t xml:space="preserve">ORD-2024-05103</t>
  </si>
  <si>
    <t xml:space="preserve">ORD-2024-05445</t>
  </si>
  <si>
    <t xml:space="preserve">ORD-2022-01841</t>
  </si>
  <si>
    <t xml:space="preserve">ORD-2023-02685</t>
  </si>
  <si>
    <t xml:space="preserve">ORD-2022-00268</t>
  </si>
  <si>
    <t xml:space="preserve">ORD-2024-06055</t>
  </si>
  <si>
    <t xml:space="preserve">ORD-2025-07507</t>
  </si>
  <si>
    <t xml:space="preserve">ORD-2023-03397</t>
  </si>
  <si>
    <t xml:space="preserve">ORD-2022-01127</t>
  </si>
  <si>
    <t xml:space="preserve">ORD-2022-01663</t>
  </si>
  <si>
    <t xml:space="preserve">ORD-2025-07906</t>
  </si>
  <si>
    <t xml:space="preserve">ORD-2025-07833</t>
  </si>
  <si>
    <t xml:space="preserve">ORD-2024-05066</t>
  </si>
  <si>
    <t xml:space="preserve">ORD-2025-08243</t>
  </si>
  <si>
    <t xml:space="preserve">ORD-2023-03353</t>
  </si>
  <si>
    <t xml:space="preserve">ORD-2025-06812</t>
  </si>
  <si>
    <t xml:space="preserve">ORD-2022-00790</t>
  </si>
  <si>
    <t xml:space="preserve">ORD-2023-03182</t>
  </si>
  <si>
    <t xml:space="preserve">ORD-2022-00995</t>
  </si>
  <si>
    <t xml:space="preserve">ORD-2024-04618</t>
  </si>
  <si>
    <t xml:space="preserve">ORD-2024-04871</t>
  </si>
  <si>
    <t xml:space="preserve">ORD-2024-06300</t>
  </si>
  <si>
    <t xml:space="preserve">ORD-2025-08768</t>
  </si>
  <si>
    <t xml:space="preserve">ORD-2025-07245</t>
  </si>
  <si>
    <t xml:space="preserve">ORD-2024-04605</t>
  </si>
  <si>
    <t xml:space="preserve">ORD-2023-02859</t>
  </si>
  <si>
    <t xml:space="preserve">ORD-2023-02320</t>
  </si>
  <si>
    <t xml:space="preserve">ORD-2025-08399</t>
  </si>
  <si>
    <t xml:space="preserve">ORD-2022-00709</t>
  </si>
  <si>
    <t xml:space="preserve">ORD-2023-02532</t>
  </si>
  <si>
    <t xml:space="preserve">ORD-2022-01672</t>
  </si>
  <si>
    <t xml:space="preserve">ORD-2022-01702</t>
  </si>
  <si>
    <t xml:space="preserve">ORD-2025-06762</t>
  </si>
  <si>
    <t xml:space="preserve">ORD-2025-06852</t>
  </si>
  <si>
    <t xml:space="preserve">ORD-2024-05242</t>
  </si>
  <si>
    <t xml:space="preserve">ORD-2023-03860</t>
  </si>
  <si>
    <t xml:space="preserve">ORD-2022-00319</t>
  </si>
  <si>
    <t xml:space="preserve">ORD-2022-01394</t>
  </si>
  <si>
    <t xml:space="preserve">ORD-2022-00213</t>
  </si>
  <si>
    <t xml:space="preserve">ORD-2024-06143</t>
  </si>
  <si>
    <t xml:space="preserve">ORD-2025-07218</t>
  </si>
  <si>
    <t xml:space="preserve">ORD-2024-05465</t>
  </si>
  <si>
    <t xml:space="preserve">ORD-2025-08780</t>
  </si>
  <si>
    <t xml:space="preserve">ORD-2022-01544</t>
  </si>
  <si>
    <t xml:space="preserve">ORD-2025-06891</t>
  </si>
  <si>
    <t xml:space="preserve">ORD-2023-03015</t>
  </si>
  <si>
    <t xml:space="preserve">ORD-2025-06602</t>
  </si>
  <si>
    <t xml:space="preserve">ORD-2022-00108</t>
  </si>
  <si>
    <t xml:space="preserve">ORD-2023-03590</t>
  </si>
  <si>
    <t xml:space="preserve">ORD-2025-06696</t>
  </si>
  <si>
    <t xml:space="preserve">ORD-2024-04856</t>
  </si>
  <si>
    <t xml:space="preserve">ORD-2025-07856</t>
  </si>
  <si>
    <t xml:space="preserve">ORD-2024-04166</t>
  </si>
  <si>
    <t xml:space="preserve">ORD-2025-08991</t>
  </si>
  <si>
    <t xml:space="preserve">ORD-2025-08789</t>
  </si>
  <si>
    <t xml:space="preserve">ORD-2023-02606</t>
  </si>
  <si>
    <t xml:space="preserve">ORD-2025-08965</t>
  </si>
  <si>
    <t xml:space="preserve">ORD-2024-06176</t>
  </si>
  <si>
    <t xml:space="preserve">ORD-2022-00240</t>
  </si>
  <si>
    <t xml:space="preserve">ORD-2023-02681</t>
  </si>
  <si>
    <t xml:space="preserve">ORD-2025-08926</t>
  </si>
  <si>
    <t xml:space="preserve">ORD-2022-00223</t>
  </si>
  <si>
    <t xml:space="preserve">ORD-2022-01741</t>
  </si>
  <si>
    <t xml:space="preserve">ORD-2025-07252</t>
  </si>
  <si>
    <t xml:space="preserve">ORD-2025-07922</t>
  </si>
  <si>
    <t xml:space="preserve">ORD-2025-06549</t>
  </si>
  <si>
    <t xml:space="preserve">ORD-2023-03820</t>
  </si>
  <si>
    <t xml:space="preserve">ORD-2022-00132</t>
  </si>
  <si>
    <t xml:space="preserve">ORD-2023-01946</t>
  </si>
  <si>
    <t xml:space="preserve">ORD-2025-08101</t>
  </si>
  <si>
    <t xml:space="preserve">ORD-2024-05847</t>
  </si>
  <si>
    <t xml:space="preserve">ORD-2022-01484</t>
  </si>
  <si>
    <t xml:space="preserve">ORD-2023-03845</t>
  </si>
  <si>
    <t xml:space="preserve">ORD-2022-00519</t>
  </si>
  <si>
    <t xml:space="preserve">ORD-2025-08748</t>
  </si>
  <si>
    <t xml:space="preserve">ORD-2022-00933</t>
  </si>
  <si>
    <t xml:space="preserve">ORD-2025-06754</t>
  </si>
  <si>
    <t xml:space="preserve">ORD-2023-02710</t>
  </si>
  <si>
    <t xml:space="preserve">ORD-2024-04555</t>
  </si>
  <si>
    <t xml:space="preserve">ORD-2023-02908</t>
  </si>
  <si>
    <t xml:space="preserve">ORD-2025-08132</t>
  </si>
  <si>
    <t xml:space="preserve">ORD-2025-06875</t>
  </si>
  <si>
    <t xml:space="preserve">ORD-2024-06059</t>
  </si>
  <si>
    <t xml:space="preserve">ORD-2025-07322</t>
  </si>
  <si>
    <t xml:space="preserve">ORD-2023-02255</t>
  </si>
  <si>
    <t xml:space="preserve">ORD-2023-02084</t>
  </si>
  <si>
    <t xml:space="preserve">ORD-2024-06197</t>
  </si>
  <si>
    <t xml:space="preserve">ORD-2023-03551</t>
  </si>
  <si>
    <t xml:space="preserve">ORD-2025-08914</t>
  </si>
  <si>
    <t xml:space="preserve">ORD-2023-03459</t>
  </si>
  <si>
    <t xml:space="preserve">ORD-2024-05533</t>
  </si>
  <si>
    <t xml:space="preserve">ORD-2025-06887</t>
  </si>
  <si>
    <t xml:space="preserve">ORD-2023-02517</t>
  </si>
  <si>
    <t xml:space="preserve">ORD-2023-02088</t>
  </si>
  <si>
    <t xml:space="preserve">ORD-2022-00093</t>
  </si>
  <si>
    <t xml:space="preserve">ORD-2023-02730</t>
  </si>
  <si>
    <t xml:space="preserve">ORD-2024-05339</t>
  </si>
  <si>
    <t xml:space="preserve">ORD-2024-04289</t>
  </si>
  <si>
    <t xml:space="preserve">ORD-2023-01929</t>
  </si>
  <si>
    <t xml:space="preserve">ORD-2022-01740</t>
  </si>
  <si>
    <t xml:space="preserve">ORD-2024-05246</t>
  </si>
  <si>
    <t xml:space="preserve">ORD-2025-07884</t>
  </si>
  <si>
    <t xml:space="preserve">ORD-2024-04367</t>
  </si>
  <si>
    <t xml:space="preserve">ORD-2025-06884</t>
  </si>
  <si>
    <t xml:space="preserve">ORD-2024-05305</t>
  </si>
  <si>
    <t xml:space="preserve">ORD-2025-08318</t>
  </si>
  <si>
    <t xml:space="preserve">ORD-2023-03716</t>
  </si>
  <si>
    <t xml:space="preserve">ORD-2022-00361</t>
  </si>
  <si>
    <t xml:space="preserve">ORD-2025-06524</t>
  </si>
  <si>
    <t xml:space="preserve">ORD-2025-08415</t>
  </si>
  <si>
    <t xml:space="preserve">ORD-2025-07880</t>
  </si>
  <si>
    <t xml:space="preserve">ORD-2024-04872</t>
  </si>
  <si>
    <t xml:space="preserve">ORD-2023-03747</t>
  </si>
  <si>
    <t xml:space="preserve">ORD-2023-03756</t>
  </si>
  <si>
    <t xml:space="preserve">ORD-2022-00458</t>
  </si>
  <si>
    <t xml:space="preserve">ORD-2023-02166</t>
  </si>
  <si>
    <t xml:space="preserve">ORD-2023-03786</t>
  </si>
  <si>
    <t xml:space="preserve">ORD-2024-04528</t>
  </si>
  <si>
    <t xml:space="preserve">ORD-2023-03039</t>
  </si>
  <si>
    <t xml:space="preserve">ORD-2024-05836</t>
  </si>
  <si>
    <t xml:space="preserve">ORD-2025-06551</t>
  </si>
  <si>
    <t xml:space="preserve">ORD-2023-03654</t>
  </si>
  <si>
    <t xml:space="preserve">ORD-2024-05835</t>
  </si>
  <si>
    <t xml:space="preserve">ORD-2023-01964</t>
  </si>
  <si>
    <t xml:space="preserve">ORD-2023-02909</t>
  </si>
  <si>
    <t xml:space="preserve">ORD-2025-07608</t>
  </si>
  <si>
    <t xml:space="preserve">ORD-2022-00322</t>
  </si>
  <si>
    <t xml:space="preserve">ORD-2023-02115</t>
  </si>
  <si>
    <t xml:space="preserve">ORD-2023-02887</t>
  </si>
  <si>
    <t xml:space="preserve">ORD-2023-03001</t>
  </si>
  <si>
    <t xml:space="preserve">ORD-2022-01315</t>
  </si>
  <si>
    <t xml:space="preserve">ORD-2024-05267</t>
  </si>
  <si>
    <t xml:space="preserve">ORD-2025-06682</t>
  </si>
  <si>
    <t xml:space="preserve">ORD-2022-01079</t>
  </si>
  <si>
    <t xml:space="preserve">ORD-2025-08562</t>
  </si>
  <si>
    <t xml:space="preserve">ORD-2025-08686</t>
  </si>
  <si>
    <t xml:space="preserve">ORD-2024-05606</t>
  </si>
  <si>
    <t xml:space="preserve">ORD-2023-03380</t>
  </si>
  <si>
    <t xml:space="preserve">ORD-2023-02289</t>
  </si>
  <si>
    <t xml:space="preserve">ORD-2024-05340</t>
  </si>
  <si>
    <t xml:space="preserve">ORD-2025-08849</t>
  </si>
  <si>
    <t xml:space="preserve">ORD-2022-00555</t>
  </si>
  <si>
    <t xml:space="preserve">ORD-2024-05831</t>
  </si>
  <si>
    <t xml:space="preserve">ORD-2025-08910</t>
  </si>
  <si>
    <t xml:space="preserve">ORD-2022-01254</t>
  </si>
  <si>
    <t xml:space="preserve">ORD-2025-06908</t>
  </si>
  <si>
    <t xml:space="preserve">ORD-2023-02158</t>
  </si>
  <si>
    <t xml:space="preserve">ORD-2024-04687</t>
  </si>
  <si>
    <t xml:space="preserve">ORD-2024-05560</t>
  </si>
  <si>
    <t xml:space="preserve">ORD-2024-04383</t>
  </si>
  <si>
    <t xml:space="preserve">ORD-2023-03061</t>
  </si>
  <si>
    <t xml:space="preserve">ORD-2023-02089</t>
  </si>
  <si>
    <t xml:space="preserve">ORD-2024-05014</t>
  </si>
  <si>
    <t xml:space="preserve">ORD-2023-03131</t>
  </si>
  <si>
    <t xml:space="preserve">ORD-2023-03541</t>
  </si>
  <si>
    <t xml:space="preserve">ORD-2025-08479</t>
  </si>
  <si>
    <t xml:space="preserve">ORD-2023-02165</t>
  </si>
  <si>
    <t xml:space="preserve">ORD-2022-00048</t>
  </si>
  <si>
    <t xml:space="preserve">ORD-2024-04519</t>
  </si>
  <si>
    <t xml:space="preserve">ORD-2024-04906</t>
  </si>
  <si>
    <t xml:space="preserve">ORD-2024-05754</t>
  </si>
  <si>
    <t xml:space="preserve">ORD-2025-08171</t>
  </si>
  <si>
    <t xml:space="preserve">ORD-2022-01808</t>
  </si>
  <si>
    <t xml:space="preserve">ORD-2023-02317</t>
  </si>
  <si>
    <t xml:space="preserve">ORD-2025-08392</t>
  </si>
  <si>
    <t xml:space="preserve">ORD-2023-02192</t>
  </si>
  <si>
    <t xml:space="preserve">ORD-2023-03934</t>
  </si>
  <si>
    <t xml:space="preserve">ORD-2022-00593</t>
  </si>
  <si>
    <t xml:space="preserve">ORD-2024-05256</t>
  </si>
  <si>
    <t xml:space="preserve">ORD-2023-02725</t>
  </si>
  <si>
    <t xml:space="preserve">ORD-2024-04437</t>
  </si>
  <si>
    <t xml:space="preserve">ORD-2022-00624</t>
  </si>
  <si>
    <t xml:space="preserve">ORD-2022-01510</t>
  </si>
  <si>
    <t xml:space="preserve">ORD-2025-07775</t>
  </si>
  <si>
    <t xml:space="preserve">ORD-2023-02454</t>
  </si>
  <si>
    <t xml:space="preserve">ORD-2025-08180</t>
  </si>
  <si>
    <t xml:space="preserve">ORD-2025-06625</t>
  </si>
  <si>
    <t xml:space="preserve">ORD-2024-04031</t>
  </si>
  <si>
    <t xml:space="preserve">ORD-2022-00669</t>
  </si>
  <si>
    <t xml:space="preserve">ORD-2025-08330</t>
  </si>
  <si>
    <t xml:space="preserve">ORD-2025-08020</t>
  </si>
  <si>
    <t xml:space="preserve">ORD-2023-03784</t>
  </si>
  <si>
    <t xml:space="preserve">ORD-2022-00331</t>
  </si>
  <si>
    <t xml:space="preserve">ORD-2023-03287</t>
  </si>
  <si>
    <t xml:space="preserve">ORD-2025-07180</t>
  </si>
  <si>
    <t xml:space="preserve">ORD-2025-07286</t>
  </si>
  <si>
    <t xml:space="preserve">ORD-2023-03020</t>
  </si>
  <si>
    <t xml:space="preserve">ORD-2023-03439</t>
  </si>
  <si>
    <t xml:space="preserve">ORD-2023-02754</t>
  </si>
  <si>
    <t xml:space="preserve">ORD-2023-03707</t>
  </si>
  <si>
    <t xml:space="preserve">ORD-2024-05999</t>
  </si>
  <si>
    <t xml:space="preserve">ORD-2023-03750</t>
  </si>
  <si>
    <t xml:space="preserve">ORD-2025-06907</t>
  </si>
  <si>
    <t xml:space="preserve">ORD-2022-01689</t>
  </si>
  <si>
    <t xml:space="preserve">ORD-2022-00765</t>
  </si>
  <si>
    <t xml:space="preserve">ORD-2024-05050</t>
  </si>
  <si>
    <t xml:space="preserve">ORD-2023-03435</t>
  </si>
  <si>
    <t xml:space="preserve">ORD-2022-00107</t>
  </si>
  <si>
    <t xml:space="preserve">ORD-2022-00941</t>
  </si>
  <si>
    <t xml:space="preserve">ORD-2023-01863</t>
  </si>
  <si>
    <t xml:space="preserve">ORD-2025-06632</t>
  </si>
  <si>
    <t xml:space="preserve">ORD-2024-04348</t>
  </si>
  <si>
    <t xml:space="preserve">ORD-2025-07211</t>
  </si>
  <si>
    <t xml:space="preserve">ORD-2023-03704</t>
  </si>
  <si>
    <t xml:space="preserve">ORD-2022-00015</t>
  </si>
  <si>
    <t xml:space="preserve">ORD-2024-05282</t>
  </si>
  <si>
    <t xml:space="preserve">ORD-2024-05333</t>
  </si>
  <si>
    <t xml:space="preserve">ORD-2025-06590</t>
  </si>
  <si>
    <t xml:space="preserve">ORD-2025-06729</t>
  </si>
  <si>
    <t xml:space="preserve">ORD-2023-02405</t>
  </si>
  <si>
    <t xml:space="preserve">ORD-2022-00287</t>
  </si>
  <si>
    <t xml:space="preserve">ORD-2024-05329</t>
  </si>
  <si>
    <t xml:space="preserve">ORD-2024-05509</t>
  </si>
  <si>
    <t xml:space="preserve">ORD-2025-08218</t>
  </si>
  <si>
    <t xml:space="preserve">ORD-2023-02953</t>
  </si>
  <si>
    <t xml:space="preserve">ORD-2025-07533</t>
  </si>
  <si>
    <t xml:space="preserve">ORD-2023-02752</t>
  </si>
  <si>
    <t xml:space="preserve">ORD-2023-01955</t>
  </si>
  <si>
    <t xml:space="preserve">ORD-2022-01427</t>
  </si>
  <si>
    <t xml:space="preserve">ORD-2024-05615</t>
  </si>
  <si>
    <t xml:space="preserve">ORD-2024-05286</t>
  </si>
  <si>
    <t xml:space="preserve">ORD-2025-08102</t>
  </si>
  <si>
    <t xml:space="preserve">ORD-2025-08818</t>
  </si>
  <si>
    <t xml:space="preserve">ORD-2023-02224</t>
  </si>
  <si>
    <t xml:space="preserve">ORD-2024-06168</t>
  </si>
  <si>
    <t xml:space="preserve">ORD-2022-00909</t>
  </si>
  <si>
    <t xml:space="preserve">ORD-2024-05098</t>
  </si>
  <si>
    <t xml:space="preserve">ORD-2023-01889</t>
  </si>
  <si>
    <t xml:space="preserve">ORD-2025-08072</t>
  </si>
  <si>
    <t xml:space="preserve">ORD-2023-02577</t>
  </si>
  <si>
    <t xml:space="preserve">ORD-2025-07424</t>
  </si>
  <si>
    <t xml:space="preserve">ORD-2022-01198</t>
  </si>
  <si>
    <t xml:space="preserve">ORD-2023-03264</t>
  </si>
  <si>
    <t xml:space="preserve">ORD-2025-08414</t>
  </si>
  <si>
    <t xml:space="preserve">ORD-2022-00748</t>
  </si>
  <si>
    <t xml:space="preserve">ORD-2023-03123</t>
  </si>
  <si>
    <t xml:space="preserve">ORD-2024-05596</t>
  </si>
  <si>
    <t xml:space="preserve">ORD-2025-08966</t>
  </si>
  <si>
    <t xml:space="preserve">ORD-2024-05809</t>
  </si>
  <si>
    <t xml:space="preserve">ORD-2023-03170</t>
  </si>
  <si>
    <t xml:space="preserve">ORD-2023-02583</t>
  </si>
  <si>
    <t xml:space="preserve">ORD-2024-06152</t>
  </si>
  <si>
    <t xml:space="preserve">ORD-2025-07583</t>
  </si>
  <si>
    <t xml:space="preserve">ORD-2025-06503</t>
  </si>
  <si>
    <t xml:space="preserve">ORD-2023-03446</t>
  </si>
  <si>
    <t xml:space="preserve">ORD-2024-05376</t>
  </si>
  <si>
    <t xml:space="preserve">ORD-2022-01058</t>
  </si>
  <si>
    <t xml:space="preserve">ORD-2024-04722</t>
  </si>
  <si>
    <t xml:space="preserve">ORD-2022-00510</t>
  </si>
  <si>
    <t xml:space="preserve">ORD-2025-06544</t>
  </si>
  <si>
    <t xml:space="preserve">ORD-2024-04983</t>
  </si>
  <si>
    <t xml:space="preserve">ORD-2022-01692</t>
  </si>
  <si>
    <t xml:space="preserve">ORD-2024-06319</t>
  </si>
  <si>
    <t xml:space="preserve">ORD-2022-01651</t>
  </si>
  <si>
    <t xml:space="preserve">ORD-2024-04672</t>
  </si>
  <si>
    <t xml:space="preserve">ORD-2024-04594</t>
  </si>
  <si>
    <t xml:space="preserve">ORD-2024-05283</t>
  </si>
  <si>
    <t xml:space="preserve">ORD-2025-06400</t>
  </si>
  <si>
    <t xml:space="preserve">ORD-2022-01502</t>
  </si>
  <si>
    <t xml:space="preserve">ORD-2024-05941</t>
  </si>
  <si>
    <t xml:space="preserve">ORD-2025-08758</t>
  </si>
  <si>
    <t xml:space="preserve">ORD-2022-01047</t>
  </si>
  <si>
    <t xml:space="preserve">ORD-2024-04418</t>
  </si>
  <si>
    <t xml:space="preserve">ORD-2022-01503</t>
  </si>
  <si>
    <t xml:space="preserve">ORD-2023-03545</t>
  </si>
  <si>
    <t xml:space="preserve">ORD-2023-03571</t>
  </si>
  <si>
    <t xml:space="preserve">ORD-2023-03038</t>
  </si>
  <si>
    <t xml:space="preserve">ORD-2023-02578</t>
  </si>
  <si>
    <t xml:space="preserve">ORD-2022-01422</t>
  </si>
  <si>
    <t xml:space="preserve">ORD-2022-01747</t>
  </si>
  <si>
    <t xml:space="preserve">ORD-2022-00583</t>
  </si>
  <si>
    <t xml:space="preserve">ORD-2023-03788</t>
  </si>
  <si>
    <t xml:space="preserve">ORD-2024-06276</t>
  </si>
  <si>
    <t xml:space="preserve">ORD-2024-04710</t>
  </si>
  <si>
    <t xml:space="preserve">ORD-2025-08212</t>
  </si>
  <si>
    <t xml:space="preserve">ORD-2025-07230</t>
  </si>
  <si>
    <t xml:space="preserve">ORD-2023-03025</t>
  </si>
  <si>
    <t xml:space="preserve">ORD-2024-04307</t>
  </si>
  <si>
    <t xml:space="preserve">ORD-2025-07336</t>
  </si>
  <si>
    <t xml:space="preserve">ORD-2022-01069</t>
  </si>
  <si>
    <t xml:space="preserve">ORD-2022-01056</t>
  </si>
  <si>
    <t xml:space="preserve">ORD-2023-02610</t>
  </si>
  <si>
    <t xml:space="preserve">ORD-2023-03685</t>
  </si>
  <si>
    <t xml:space="preserve">ORD-2022-00677</t>
  </si>
  <si>
    <t xml:space="preserve">ORD-2023-03266</t>
  </si>
  <si>
    <t xml:space="preserve">ORD-2024-06081</t>
  </si>
  <si>
    <t xml:space="preserve">ORD-2022-01415</t>
  </si>
  <si>
    <t xml:space="preserve">ORD-2025-08238</t>
  </si>
  <si>
    <t xml:space="preserve">ORD-2025-06791</t>
  </si>
  <si>
    <t xml:space="preserve">ORD-2023-02550</t>
  </si>
  <si>
    <t xml:space="preserve">ORD-2023-02009</t>
  </si>
  <si>
    <t xml:space="preserve">ORD-2024-04582</t>
  </si>
  <si>
    <t xml:space="preserve">ORD-2022-00222</t>
  </si>
  <si>
    <t xml:space="preserve">ORD-2025-07365</t>
  </si>
  <si>
    <t xml:space="preserve">ORD-2022-01150</t>
  </si>
  <si>
    <t xml:space="preserve">ORD-2025-08656</t>
  </si>
  <si>
    <t xml:space="preserve">ORD-2024-05884</t>
  </si>
  <si>
    <t xml:space="preserve">ORD-2025-07854</t>
  </si>
  <si>
    <t xml:space="preserve">ORD-2025-06644</t>
  </si>
  <si>
    <t xml:space="preserve">ORD-2025-08347</t>
  </si>
  <si>
    <t xml:space="preserve">ORD-2024-05752</t>
  </si>
  <si>
    <t xml:space="preserve">ORD-2023-02485</t>
  </si>
  <si>
    <t xml:space="preserve">ORD-2024-04274</t>
  </si>
  <si>
    <t xml:space="preserve">ORD-2025-08321</t>
  </si>
  <si>
    <t xml:space="preserve">ORD-2025-08879</t>
  </si>
  <si>
    <t xml:space="preserve">ORD-2025-08179</t>
  </si>
  <si>
    <t xml:space="preserve">ORD-2025-08375</t>
  </si>
  <si>
    <t xml:space="preserve">ORD-2024-05838</t>
  </si>
  <si>
    <t xml:space="preserve">ORD-2025-08159</t>
  </si>
  <si>
    <t xml:space="preserve">ORD-2023-02099</t>
  </si>
  <si>
    <t xml:space="preserve">ORD-2024-04408</t>
  </si>
  <si>
    <t xml:space="preserve">ORD-2024-04723</t>
  </si>
  <si>
    <t xml:space="preserve">ORD-2024-04869</t>
  </si>
  <si>
    <t xml:space="preserve">ORD-2025-07706</t>
  </si>
  <si>
    <t xml:space="preserve">ORD-2025-07440</t>
  </si>
  <si>
    <t xml:space="preserve">ORD-2022-00928</t>
  </si>
  <si>
    <t xml:space="preserve">ORD-2024-04293</t>
  </si>
  <si>
    <t xml:space="preserve">ORD-2022-00654</t>
  </si>
  <si>
    <t xml:space="preserve">ORD-2025-07265</t>
  </si>
  <si>
    <t xml:space="preserve">ORD-2024-04757</t>
  </si>
  <si>
    <t xml:space="preserve">ORD-2022-01091</t>
  </si>
  <si>
    <t xml:space="preserve">ORD-2025-08927</t>
  </si>
  <si>
    <t xml:space="preserve">ORD-2025-06433</t>
  </si>
  <si>
    <t xml:space="preserve">ORD-2025-08990</t>
  </si>
  <si>
    <t xml:space="preserve">ORD-2024-04295</t>
  </si>
  <si>
    <t xml:space="preserve">ORD-2024-05534</t>
  </si>
  <si>
    <t xml:space="preserve">ORD-2023-02304</t>
  </si>
  <si>
    <t xml:space="preserve">ORD-2022-00305</t>
  </si>
  <si>
    <t xml:space="preserve">ORD-2024-04930</t>
  </si>
  <si>
    <t xml:space="preserve">ORD-2024-05578</t>
  </si>
  <si>
    <t xml:space="preserve">ORD-2024-04013</t>
  </si>
  <si>
    <t xml:space="preserve">ORD-2023-02277</t>
  </si>
  <si>
    <t xml:space="preserve">ORD-2022-01738</t>
  </si>
  <si>
    <t xml:space="preserve">ORD-2024-05251</t>
  </si>
  <si>
    <t xml:space="preserve">ORD-2025-07213</t>
  </si>
  <si>
    <t xml:space="preserve">ORD-2025-06861</t>
  </si>
  <si>
    <t xml:space="preserve">ORD-2025-06916</t>
  </si>
  <si>
    <t xml:space="preserve">ORD-2023-03103</t>
  </si>
  <si>
    <t xml:space="preserve">ORD-2025-07360</t>
  </si>
  <si>
    <t xml:space="preserve">ORD-2023-01996</t>
  </si>
  <si>
    <t xml:space="preserve">ORD-2025-08501</t>
  </si>
  <si>
    <t xml:space="preserve">ORD-2025-07434</t>
  </si>
  <si>
    <t xml:space="preserve">ORD-2022-00587</t>
  </si>
  <si>
    <t xml:space="preserve">ORD-2025-08389</t>
  </si>
  <si>
    <t xml:space="preserve">ORD-2022-01418</t>
  </si>
  <si>
    <t xml:space="preserve">ORD-2023-02886</t>
  </si>
  <si>
    <t xml:space="preserve">ORD-2025-06420</t>
  </si>
  <si>
    <t xml:space="preserve">ORD-2024-05423</t>
  </si>
  <si>
    <t xml:space="preserve">ORD-2025-08606</t>
  </si>
  <si>
    <t xml:space="preserve">ORD-2023-02240</t>
  </si>
  <si>
    <t xml:space="preserve">ORD-2023-03210</t>
  </si>
  <si>
    <t xml:space="preserve">ORD-2025-07051</t>
  </si>
  <si>
    <t xml:space="preserve">ORD-2022-00621</t>
  </si>
  <si>
    <t xml:space="preserve">ORD-2025-06552</t>
  </si>
  <si>
    <t xml:space="preserve">ORD-2023-02729</t>
  </si>
  <si>
    <t xml:space="preserve">ORD-2024-05139</t>
  </si>
  <si>
    <t xml:space="preserve">ORD-2024-04694</t>
  </si>
  <si>
    <t xml:space="preserve">ORD-2025-08260</t>
  </si>
  <si>
    <t xml:space="preserve">ORD-2023-02992</t>
  </si>
  <si>
    <t xml:space="preserve">ORD-2023-02907</t>
  </si>
  <si>
    <t xml:space="preserve">ORD-2023-02826</t>
  </si>
  <si>
    <t xml:space="preserve">ORD-2023-03882</t>
  </si>
  <si>
    <t xml:space="preserve">ORD-2024-06254</t>
  </si>
  <si>
    <t xml:space="preserve">ORD-2024-04076</t>
  </si>
  <si>
    <t xml:space="preserve">ORD-2022-00648</t>
  </si>
  <si>
    <t xml:space="preserve">ORD-2024-05379</t>
  </si>
  <si>
    <t xml:space="preserve">ORD-2025-07931</t>
  </si>
  <si>
    <t xml:space="preserve">ORD-2025-06890</t>
  </si>
  <si>
    <t xml:space="preserve">ORD-2024-06065</t>
  </si>
  <si>
    <t xml:space="preserve">ORD-2022-00038</t>
  </si>
  <si>
    <t xml:space="preserve">ORD-2025-07189</t>
  </si>
  <si>
    <t xml:space="preserve">ORD-2025-08510</t>
  </si>
  <si>
    <t xml:space="preserve">ORD-2022-00020</t>
  </si>
  <si>
    <t xml:space="preserve">ORD-2023-03356</t>
  </si>
  <si>
    <t xml:space="preserve">ORD-2024-04231</t>
  </si>
  <si>
    <t xml:space="preserve">ORD-2023-03128</t>
  </si>
  <si>
    <t xml:space="preserve">ORD-2022-01124</t>
  </si>
  <si>
    <t xml:space="preserve">ORD-2022-01562</t>
  </si>
  <si>
    <t xml:space="preserve">ORD-2023-03066</t>
  </si>
  <si>
    <t xml:space="preserve">ORD-2022-00539</t>
  </si>
  <si>
    <t xml:space="preserve">ORD-2024-04378</t>
  </si>
  <si>
    <t xml:space="preserve">ORD-2024-06077</t>
  </si>
  <si>
    <t xml:space="preserve">ORD-2024-04142</t>
  </si>
  <si>
    <t xml:space="preserve">ORD-2023-03313</t>
  </si>
  <si>
    <t xml:space="preserve">ORD-2023-02133</t>
  </si>
  <si>
    <t xml:space="preserve">ORD-2024-04029</t>
  </si>
  <si>
    <t xml:space="preserve">ORD-2023-03002</t>
  </si>
  <si>
    <t xml:space="preserve">ORD-2024-05804</t>
  </si>
  <si>
    <t xml:space="preserve">ORD-2024-06070</t>
  </si>
  <si>
    <t xml:space="preserve">ORD-2023-02621</t>
  </si>
  <si>
    <t xml:space="preserve">ORD-2022-00347</t>
  </si>
  <si>
    <t xml:space="preserve">ORD-2023-03650</t>
  </si>
  <si>
    <t xml:space="preserve">ORD-2022-00625</t>
  </si>
  <si>
    <t xml:space="preserve">ORD-2023-02993</t>
  </si>
  <si>
    <t xml:space="preserve">ORD-2024-04488</t>
  </si>
  <si>
    <t xml:space="preserve">ORD-2022-00737</t>
  </si>
  <si>
    <t xml:space="preserve">ORD-2024-04768</t>
  </si>
  <si>
    <t xml:space="preserve">ORD-2023-03205</t>
  </si>
  <si>
    <t xml:space="preserve">ORD-2022-00731</t>
  </si>
  <si>
    <t xml:space="preserve">ORD-2024-06275</t>
  </si>
  <si>
    <t xml:space="preserve">ORD-2024-06023</t>
  </si>
  <si>
    <t xml:space="preserve">ORD-2023-01881</t>
  </si>
  <si>
    <t xml:space="preserve">ORD-2023-03800</t>
  </si>
  <si>
    <t xml:space="preserve">ORD-2022-01200</t>
  </si>
  <si>
    <t xml:space="preserve">ORD-2022-01011</t>
  </si>
  <si>
    <t xml:space="preserve">ORD-2024-04402</t>
  </si>
  <si>
    <t xml:space="preserve">ORD-2025-07703</t>
  </si>
  <si>
    <t xml:space="preserve">ORD-2024-05639</t>
  </si>
  <si>
    <t xml:space="preserve">ORD-2025-08977</t>
  </si>
  <si>
    <t xml:space="preserve">ORD-2024-05949</t>
  </si>
  <si>
    <t xml:space="preserve">ORD-2025-07431</t>
  </si>
  <si>
    <t xml:space="preserve">ORD-2024-05216</t>
  </si>
  <si>
    <t xml:space="preserve">ORD-2023-02919</t>
  </si>
  <si>
    <t xml:space="preserve">ORD-2022-01088</t>
  </si>
  <si>
    <t xml:space="preserve">ORD-2023-03722</t>
  </si>
  <si>
    <t xml:space="preserve">ORD-2025-06554</t>
  </si>
  <si>
    <t xml:space="preserve">ORD-2023-02216</t>
  </si>
  <si>
    <t xml:space="preserve">ORD-2024-05332</t>
  </si>
  <si>
    <t xml:space="preserve">ORD-2022-01113</t>
  </si>
  <si>
    <t xml:space="preserve">ORD-2024-05361</t>
  </si>
  <si>
    <t xml:space="preserve">ORD-2024-05264</t>
  </si>
  <si>
    <t xml:space="preserve">ORD-2023-02888</t>
  </si>
  <si>
    <t xml:space="preserve">ORD-2022-00334</t>
  </si>
  <si>
    <t xml:space="preserve">ORD-2023-03956</t>
  </si>
  <si>
    <t xml:space="preserve">ORD-2024-05522</t>
  </si>
  <si>
    <t xml:space="preserve">ORD-2025-08362</t>
  </si>
  <si>
    <t xml:space="preserve">ORD-2023-03315</t>
  </si>
  <si>
    <t xml:space="preserve">ORD-2025-08247</t>
  </si>
  <si>
    <t xml:space="preserve">ORD-2023-03647</t>
  </si>
  <si>
    <t xml:space="preserve">ORD-2022-01650</t>
  </si>
  <si>
    <t xml:space="preserve">ORD-2024-04957</t>
  </si>
  <si>
    <t xml:space="preserve">ORD-2025-06446</t>
  </si>
  <si>
    <t xml:space="preserve">ORD-2023-03027</t>
  </si>
  <si>
    <t xml:space="preserve">ORD-2025-06557</t>
  </si>
  <si>
    <t xml:space="preserve">ORD-2025-06957</t>
  </si>
  <si>
    <t xml:space="preserve">ORD-2024-04217</t>
  </si>
  <si>
    <t xml:space="preserve">ORD-2025-07566</t>
  </si>
  <si>
    <t xml:space="preserve">ORD-2023-02639</t>
  </si>
  <si>
    <t xml:space="preserve">ORD-2024-06228</t>
  </si>
  <si>
    <t xml:space="preserve">ORD-2023-03593</t>
  </si>
  <si>
    <t xml:space="preserve">ORD-2025-08661</t>
  </si>
  <si>
    <t xml:space="preserve">ORD-2024-04750</t>
  </si>
  <si>
    <t xml:space="preserve">ORD-2024-04061</t>
  </si>
  <si>
    <t xml:space="preserve">ORD-2024-04487</t>
  </si>
  <si>
    <t xml:space="preserve">ORD-2022-00024</t>
  </si>
  <si>
    <t xml:space="preserve">ORD-2025-06443</t>
  </si>
  <si>
    <t xml:space="preserve">ORD-2023-03871</t>
  </si>
  <si>
    <t xml:space="preserve">ORD-2024-05729</t>
  </si>
  <si>
    <t xml:space="preserve">ORD-2024-04790</t>
  </si>
  <si>
    <t xml:space="preserve">ORD-2022-01594</t>
  </si>
  <si>
    <t xml:space="preserve">ORD-2022-01795</t>
  </si>
  <si>
    <t xml:space="preserve">ORD-2024-04448</t>
  </si>
  <si>
    <t xml:space="preserve">ORD-2022-01473</t>
  </si>
  <si>
    <t xml:space="preserve">ORD-2024-05262</t>
  </si>
  <si>
    <t xml:space="preserve">ORD-2025-06928</t>
  </si>
  <si>
    <t xml:space="preserve">ORD-2025-07591</t>
  </si>
  <si>
    <t xml:space="preserve">ORD-2024-04702</t>
  </si>
  <si>
    <t xml:space="preserve">ORD-2023-03438</t>
  </si>
  <si>
    <t xml:space="preserve">ORD-2025-07414</t>
  </si>
  <si>
    <t xml:space="preserve">ORD-2025-06492</t>
  </si>
  <si>
    <t xml:space="preserve">ORD-2025-07464</t>
  </si>
  <si>
    <t xml:space="preserve">ORD-2025-06471</t>
  </si>
  <si>
    <t xml:space="preserve">ORD-2023-03536</t>
  </si>
  <si>
    <t xml:space="preserve">ORD-2023-02132</t>
  </si>
  <si>
    <t xml:space="preserve">ORD-2023-02881</t>
  </si>
  <si>
    <t xml:space="preserve">ORD-2023-03246</t>
  </si>
  <si>
    <t xml:space="preserve">ORD-2023-03834</t>
  </si>
  <si>
    <t xml:space="preserve">ORD-2024-05047</t>
  </si>
  <si>
    <t xml:space="preserve">ORD-2022-00497</t>
  </si>
  <si>
    <t xml:space="preserve">ORD-2024-05489</t>
  </si>
  <si>
    <t xml:space="preserve">ORD-2023-02064</t>
  </si>
  <si>
    <t xml:space="preserve">ORD-2023-02616</t>
  </si>
  <si>
    <t xml:space="preserve">ORD-2025-07671</t>
  </si>
  <si>
    <t xml:space="preserve">ORD-2022-00034</t>
  </si>
  <si>
    <t xml:space="preserve">ORD-2024-06233</t>
  </si>
  <si>
    <t xml:space="preserve">ORD-2022-00051</t>
  </si>
  <si>
    <t xml:space="preserve">ORD-2023-02026</t>
  </si>
  <si>
    <t xml:space="preserve">ORD-2025-07570</t>
  </si>
  <si>
    <t xml:space="preserve">ORD-2023-02535</t>
  </si>
  <si>
    <t xml:space="preserve">ORD-2022-01666</t>
  </si>
  <si>
    <t xml:space="preserve">ORD-2023-03036</t>
  </si>
  <si>
    <t xml:space="preserve">ORD-2022-00501</t>
  </si>
  <si>
    <t xml:space="preserve">ORD-2023-02996</t>
  </si>
  <si>
    <t xml:space="preserve">ORD-2024-05063</t>
  </si>
  <si>
    <t xml:space="preserve">ORD-2025-07872</t>
  </si>
  <si>
    <t xml:space="preserve">ORD-2024-04012</t>
  </si>
  <si>
    <t xml:space="preserve">ORD-2024-04661</t>
  </si>
  <si>
    <t xml:space="preserve">ORD-2024-05022</t>
  </si>
  <si>
    <t xml:space="preserve">ORD-2025-08202</t>
  </si>
  <si>
    <t xml:space="preserve">ORD-2023-02692</t>
  </si>
  <si>
    <t xml:space="preserve">ORD-2024-04998</t>
  </si>
  <si>
    <t xml:space="preserve">ORD-2023-03542</t>
  </si>
  <si>
    <t xml:space="preserve">ORD-2023-02076</t>
  </si>
  <si>
    <t xml:space="preserve">ORD-2025-07188</t>
  </si>
  <si>
    <t xml:space="preserve">ORD-2022-00246</t>
  </si>
  <si>
    <t xml:space="preserve">ORD-2022-00150</t>
  </si>
  <si>
    <t xml:space="preserve">ORD-2023-01938</t>
  </si>
  <si>
    <t xml:space="preserve">ORD-2022-00186</t>
  </si>
  <si>
    <t xml:space="preserve">ORD-2024-04892</t>
  </si>
  <si>
    <t xml:space="preserve">ORD-2024-04068</t>
  </si>
  <si>
    <t xml:space="preserve">ORD-2024-06006</t>
  </si>
  <si>
    <t xml:space="preserve">ORD-2022-01316</t>
  </si>
  <si>
    <t xml:space="preserve">ORD-2024-06219</t>
  </si>
  <si>
    <t xml:space="preserve">ORD-2025-07055</t>
  </si>
  <si>
    <t xml:space="preserve">ORD-2024-04296</t>
  </si>
  <si>
    <t xml:space="preserve">ORD-2024-04709</t>
  </si>
  <si>
    <t xml:space="preserve">ORD-2025-07835</t>
  </si>
  <si>
    <t xml:space="preserve">ORD-2024-04490</t>
  </si>
  <si>
    <t xml:space="preserve">ORD-2023-02603</t>
  </si>
  <si>
    <t xml:space="preserve">ORD-2022-01729</t>
  </si>
  <si>
    <t xml:space="preserve">ORD-2025-06562</t>
  </si>
  <si>
    <t xml:space="preserve">ORD-2023-02125</t>
  </si>
  <si>
    <t xml:space="preserve">ORD-2022-00551</t>
  </si>
  <si>
    <t xml:space="preserve">ORD-2022-01329</t>
  </si>
  <si>
    <t xml:space="preserve">ORD-2023-02116</t>
  </si>
  <si>
    <t xml:space="preserve">ORD-2025-06750</t>
  </si>
  <si>
    <t xml:space="preserve">ORD-2022-00018</t>
  </si>
  <si>
    <t xml:space="preserve">ORD-2025-08266</t>
  </si>
  <si>
    <t xml:space="preserve">ORD-2025-06789</t>
  </si>
  <si>
    <t xml:space="preserve">ORD-2023-02923</t>
  </si>
  <si>
    <t xml:space="preserve">ORD-2024-04465</t>
  </si>
  <si>
    <t xml:space="preserve">ORD-2025-06409</t>
  </si>
  <si>
    <t xml:space="preserve">ORD-2022-01781</t>
  </si>
  <si>
    <t xml:space="preserve">ORD-2025-07397</t>
  </si>
  <si>
    <t xml:space="preserve">ORD-2024-04632</t>
  </si>
  <si>
    <t xml:space="preserve">ORD-2022-01154</t>
  </si>
  <si>
    <t xml:space="preserve">ORD-2024-06189</t>
  </si>
  <si>
    <t xml:space="preserve">ORD-2023-02474</t>
  </si>
  <si>
    <t xml:space="preserve">ORD-2025-07153</t>
  </si>
  <si>
    <t xml:space="preserve">ORD-2025-08441</t>
  </si>
  <si>
    <t xml:space="preserve">ORD-2022-01748</t>
  </si>
  <si>
    <t xml:space="preserve">ORD-2023-03065</t>
  </si>
  <si>
    <t xml:space="preserve">ORD-2024-06274</t>
  </si>
  <si>
    <t xml:space="preserve">ORD-2024-04320</t>
  </si>
  <si>
    <t xml:space="preserve">ORD-2025-08216</t>
  </si>
  <si>
    <t xml:space="preserve">ORD-2023-02997</t>
  </si>
  <si>
    <t xml:space="preserve">ORD-2023-02664</t>
  </si>
  <si>
    <t xml:space="preserve">ORD-2022-00169</t>
  </si>
  <si>
    <t xml:space="preserve">ORD-2024-04861</t>
  </si>
  <si>
    <t xml:space="preserve">ORD-2025-08335</t>
  </si>
  <si>
    <t xml:space="preserve">ORD-2025-08615</t>
  </si>
  <si>
    <t xml:space="preserve">ORD-2023-01865</t>
  </si>
  <si>
    <t xml:space="preserve">ORD-2025-07497</t>
  </si>
  <si>
    <t xml:space="preserve">ORD-2025-08357</t>
  </si>
  <si>
    <t xml:space="preserve">ORD-2024-04079</t>
  </si>
  <si>
    <t xml:space="preserve">ORD-2025-07661</t>
  </si>
  <si>
    <t xml:space="preserve">ORD-2025-08065</t>
  </si>
  <si>
    <t xml:space="preserve">ORD-2022-01673</t>
  </si>
  <si>
    <t xml:space="preserve">ORD-2023-03398</t>
  </si>
  <si>
    <t xml:space="preserve">ORD-2024-06114</t>
  </si>
  <si>
    <t xml:space="preserve">ORD-2022-00719</t>
  </si>
  <si>
    <t xml:space="preserve">ORD-2024-06355</t>
  </si>
  <si>
    <t xml:space="preserve">ORD-2023-03126</t>
  </si>
  <si>
    <t xml:space="preserve">ORD-2025-08870</t>
  </si>
  <si>
    <t xml:space="preserve">ORD-2022-00488</t>
  </si>
  <si>
    <t xml:space="preserve">ORD-2025-07155</t>
  </si>
  <si>
    <t xml:space="preserve">ORD-2023-03455</t>
  </si>
  <si>
    <t xml:space="preserve">ORD-2023-03151</t>
  </si>
  <si>
    <t xml:space="preserve">ORD-2025-07082</t>
  </si>
  <si>
    <t xml:space="preserve">ORD-2022-01340</t>
  </si>
  <si>
    <t xml:space="preserve">ORD-2024-05724</t>
  </si>
  <si>
    <t xml:space="preserve">ORD-2024-04554</t>
  </si>
  <si>
    <t xml:space="preserve">ORD-2023-02374</t>
  </si>
  <si>
    <t xml:space="preserve">ORD-2023-02589</t>
  </si>
  <si>
    <t xml:space="preserve">ORD-2025-06449</t>
  </si>
  <si>
    <t xml:space="preserve">ORD-2024-06054</t>
  </si>
  <si>
    <t xml:space="preserve">ORD-2022-01288</t>
  </si>
  <si>
    <t xml:space="preserve">ORD-2025-08809</t>
  </si>
  <si>
    <t xml:space="preserve">ORD-2025-06919</t>
  </si>
  <si>
    <t xml:space="preserve">ORD-2024-05392</t>
  </si>
  <si>
    <t xml:space="preserve">ORD-2023-03209</t>
  </si>
  <si>
    <t xml:space="preserve">ORD-2024-04337</t>
  </si>
  <si>
    <t xml:space="preserve">ORD-2023-02499</t>
  </si>
  <si>
    <t xml:space="preserve">ORD-2025-07698</t>
  </si>
  <si>
    <t xml:space="preserve">ORD-2022-00354</t>
  </si>
  <si>
    <t xml:space="preserve">ORD-2025-07513</t>
  </si>
  <si>
    <t xml:space="preserve">ORD-2023-03499</t>
  </si>
  <si>
    <t xml:space="preserve">ORD-2022-00484</t>
  </si>
  <si>
    <t xml:space="preserve">ORD-2025-07179</t>
  </si>
  <si>
    <t xml:space="preserve">ORD-2023-02901</t>
  </si>
  <si>
    <t xml:space="preserve">ORD-2024-04191</t>
  </si>
  <si>
    <t xml:space="preserve">ORD-2025-06415</t>
  </si>
  <si>
    <t xml:space="preserve">ORD-2025-07672</t>
  </si>
  <si>
    <t xml:space="preserve">ORD-2025-07772</t>
  </si>
  <si>
    <t xml:space="preserve">ORD-2025-07617</t>
  </si>
  <si>
    <t xml:space="preserve">ORD-2025-08183</t>
  </si>
  <si>
    <t xml:space="preserve">ORD-2024-06170</t>
  </si>
  <si>
    <t xml:space="preserve">ORD-2023-02922</t>
  </si>
  <si>
    <t xml:space="preserve">ORD-2022-00857</t>
  </si>
  <si>
    <t xml:space="preserve">ORD-2022-01045</t>
  </si>
  <si>
    <t xml:space="preserve">ORD-2023-02457</t>
  </si>
  <si>
    <t xml:space="preserve">ORD-2022-00454</t>
  </si>
  <si>
    <t xml:space="preserve">ORD-2022-00767</t>
  </si>
  <si>
    <t xml:space="preserve">ORD-2025-08518</t>
  </si>
  <si>
    <t xml:space="preserve">ORD-2024-05750</t>
  </si>
  <si>
    <t xml:space="preserve">ORD-2025-07972</t>
  </si>
  <si>
    <t xml:space="preserve">ORD-2025-07685</t>
  </si>
  <si>
    <t xml:space="preserve">ORD-2022-00683</t>
  </si>
  <si>
    <t xml:space="preserve">ORD-2025-08517</t>
  </si>
  <si>
    <t xml:space="preserve">ORD-2024-04049</t>
  </si>
  <si>
    <t xml:space="preserve">ORD-2023-02007</t>
  </si>
  <si>
    <t xml:space="preserve">ORD-2022-00880</t>
  </si>
  <si>
    <t xml:space="preserve">ORD-2025-07559</t>
  </si>
  <si>
    <t xml:space="preserve">ORD-2024-05083</t>
  </si>
  <si>
    <t xml:space="preserve">ORD-2024-04238</t>
  </si>
  <si>
    <t xml:space="preserve">ORD-2023-02570</t>
  </si>
  <si>
    <t xml:space="preserve">ORD-2024-05091</t>
  </si>
  <si>
    <t xml:space="preserve">ORD-2024-05776</t>
  </si>
  <si>
    <t xml:space="preserve">ORD-2024-05670</t>
  </si>
  <si>
    <t xml:space="preserve">ORD-2024-05551</t>
  </si>
  <si>
    <t xml:space="preserve">ORD-2024-04232</t>
  </si>
  <si>
    <t xml:space="preserve">ORD-2023-03249</t>
  </si>
  <si>
    <t xml:space="preserve">ORD-2024-05859</t>
  </si>
  <si>
    <t xml:space="preserve">ORD-2025-06702</t>
  </si>
  <si>
    <t xml:space="preserve">ORD-2025-08718</t>
  </si>
  <si>
    <t xml:space="preserve">ORD-2025-06673</t>
  </si>
  <si>
    <t xml:space="preserve">ORD-2022-01407</t>
  </si>
  <si>
    <t xml:space="preserve">ORD-2023-03480</t>
  </si>
  <si>
    <t xml:space="preserve">ORD-2023-03718</t>
  </si>
  <si>
    <t xml:space="preserve">ORD-2025-07708</t>
  </si>
  <si>
    <t xml:space="preserve">ORD-2023-03669</t>
  </si>
  <si>
    <t xml:space="preserve">ORD-2025-06765</t>
  </si>
  <si>
    <t xml:space="preserve">ORD-2025-08049</t>
  </si>
  <si>
    <t xml:space="preserve">ORD-2024-04740</t>
  </si>
  <si>
    <t xml:space="preserve">ORD-2022-01085</t>
  </si>
  <si>
    <t xml:space="preserve">ORD-2024-04387</t>
  </si>
  <si>
    <t xml:space="preserve">ORD-2022-00430</t>
  </si>
  <si>
    <t xml:space="preserve">ORD-2022-01431</t>
  </si>
  <si>
    <t xml:space="preserve">ORD-2025-07932</t>
  </si>
  <si>
    <t xml:space="preserve">ORD-2025-08070</t>
  </si>
  <si>
    <t xml:space="preserve">ORD-2025-08992</t>
  </si>
  <si>
    <t xml:space="preserve">ORD-2023-01979</t>
  </si>
  <si>
    <t xml:space="preserve">ORD-2023-03627</t>
  </si>
  <si>
    <t xml:space="preserve">ORD-2023-03482</t>
  </si>
  <si>
    <t xml:space="preserve">ORD-2023-02128</t>
  </si>
  <si>
    <t xml:space="preserve">ORD-2022-00922</t>
  </si>
  <si>
    <t xml:space="preserve">ORD-2022-01072</t>
  </si>
  <si>
    <t xml:space="preserve">ORD-2024-04724</t>
  </si>
  <si>
    <t xml:space="preserve">ORD-2024-05912</t>
  </si>
  <si>
    <t xml:space="preserve">ORD-2024-05686</t>
  </si>
  <si>
    <t xml:space="preserve">ORD-2022-00638</t>
  </si>
  <si>
    <t xml:space="preserve">ORD-2025-06943</t>
  </si>
  <si>
    <t xml:space="preserve">ORD-2024-05613</t>
  </si>
  <si>
    <t xml:space="preserve">ORD-2022-00234</t>
  </si>
  <si>
    <t xml:space="preserve">ORD-2023-01898</t>
  </si>
  <si>
    <t xml:space="preserve">ORD-2023-02151</t>
  </si>
  <si>
    <t xml:space="preserve">ORD-2022-01766</t>
  </si>
  <si>
    <t xml:space="preserve">ORD-2023-02698</t>
  </si>
  <si>
    <t xml:space="preserve">ORD-2025-07289</t>
  </si>
  <si>
    <t xml:space="preserve">ORD-2024-05981</t>
  </si>
  <si>
    <t xml:space="preserve">ORD-2024-05354</t>
  </si>
  <si>
    <t xml:space="preserve">ORD-2024-05194</t>
  </si>
  <si>
    <t xml:space="preserve">ORD-2022-01189</t>
  </si>
  <si>
    <t xml:space="preserve">ORD-2025-06688</t>
  </si>
  <si>
    <t xml:space="preserve">ORD-2022-01528</t>
  </si>
  <si>
    <t xml:space="preserve">ORD-2024-05720</t>
  </si>
  <si>
    <t xml:space="preserve">ORD-2024-04225</t>
  </si>
  <si>
    <t xml:space="preserve">ORD-2025-07300</t>
  </si>
  <si>
    <t xml:space="preserve">ORD-2025-06859</t>
  </si>
  <si>
    <t xml:space="preserve">ORD-2023-02645</t>
  </si>
  <si>
    <t xml:space="preserve">ORD-2022-01023</t>
  </si>
  <si>
    <t xml:space="preserve">ORD-2022-01733</t>
  </si>
  <si>
    <t xml:space="preserve">ORD-2022-01643</t>
  </si>
  <si>
    <t xml:space="preserve">ORD-2022-01148</t>
  </si>
  <si>
    <t xml:space="preserve">ORD-2024-04240</t>
  </si>
  <si>
    <t xml:space="preserve">ORD-2025-06850</t>
  </si>
  <si>
    <t xml:space="preserve">ORD-2025-08289</t>
  </si>
  <si>
    <t xml:space="preserve">ORD-2022-00102</t>
  </si>
  <si>
    <t xml:space="preserve">ORD-2022-00320</t>
  </si>
  <si>
    <t xml:space="preserve">ORD-2023-03974</t>
  </si>
  <si>
    <t xml:space="preserve">ORD-2023-03678</t>
  </si>
  <si>
    <t xml:space="preserve">ORD-2022-00626</t>
  </si>
  <si>
    <t xml:space="preserve">ORD-2025-08624</t>
  </si>
  <si>
    <t xml:space="preserve">ORD-2025-06539</t>
  </si>
  <si>
    <t xml:space="preserve">ORD-2024-06111</t>
  </si>
  <si>
    <t xml:space="preserve">ORD-2025-08215</t>
  </si>
  <si>
    <t xml:space="preserve">ORD-2023-02334</t>
  </si>
  <si>
    <t xml:space="preserve">ORD-2025-07438</t>
  </si>
  <si>
    <t xml:space="preserve">ORD-2025-08602</t>
  </si>
  <si>
    <t xml:space="preserve">ORD-2024-06334</t>
  </si>
  <si>
    <t xml:space="preserve">ORD-2024-05538</t>
  </si>
  <si>
    <t xml:space="preserve">ORD-2025-08762</t>
  </si>
  <si>
    <t xml:space="preserve">ORD-2022-00335</t>
  </si>
  <si>
    <t xml:space="preserve">ORD-2025-07143</t>
  </si>
  <si>
    <t xml:space="preserve">ORD-2023-02413</t>
  </si>
  <si>
    <t xml:space="preserve">ORD-2022-01517</t>
  </si>
  <si>
    <t xml:space="preserve">ORD-2023-03616</t>
  </si>
  <si>
    <t xml:space="preserve">ORD-2024-04575</t>
  </si>
  <si>
    <t xml:space="preserve">ORD-2022-00462</t>
  </si>
  <si>
    <t xml:space="preserve">ORD-2025-08405</t>
  </si>
  <si>
    <t xml:space="preserve">ORD-2022-01384</t>
  </si>
  <si>
    <t xml:space="preserve">ORD-2022-01196</t>
  </si>
  <si>
    <t xml:space="preserve">ORD-2024-06072</t>
  </si>
  <si>
    <t xml:space="preserve">ORD-2023-03008</t>
  </si>
  <si>
    <t xml:space="preserve">ORD-2022-00009</t>
  </si>
  <si>
    <t xml:space="preserve">ORD-2023-03942</t>
  </si>
  <si>
    <t xml:space="preserve">ORD-2022-00100</t>
  </si>
  <si>
    <t xml:space="preserve">ORD-2022-01560</t>
  </si>
  <si>
    <t xml:space="preserve">ORD-2025-06561</t>
  </si>
  <si>
    <t xml:space="preserve">ORD-2024-06235</t>
  </si>
  <si>
    <t xml:space="preserve">ORD-2023-02642</t>
  </si>
  <si>
    <t xml:space="preserve">ORD-2025-06806</t>
  </si>
  <si>
    <t xml:space="preserve">ORD-2022-01489</t>
  </si>
  <si>
    <t xml:space="preserve">ORD-2025-07396</t>
  </si>
  <si>
    <t xml:space="preserve">ORD-2025-07540</t>
  </si>
  <si>
    <t xml:space="preserve">ORD-2022-00032</t>
  </si>
  <si>
    <t xml:space="preserve">ORD-2024-05747</t>
  </si>
  <si>
    <t xml:space="preserve">ORD-2024-05157</t>
  </si>
  <si>
    <t xml:space="preserve">ORD-2024-04014</t>
  </si>
  <si>
    <t xml:space="preserve">ORD-2024-04752</t>
  </si>
  <si>
    <t xml:space="preserve">ORD-2022-00867</t>
  </si>
  <si>
    <t xml:space="preserve">ORD-2025-08302</t>
  </si>
  <si>
    <t xml:space="preserve">ORD-2022-00759</t>
  </si>
  <si>
    <t xml:space="preserve">ORD-2024-04086</t>
  </si>
  <si>
    <t xml:space="preserve">ORD-2025-07035</t>
  </si>
  <si>
    <t xml:space="preserve">ORD-2022-00541</t>
  </si>
  <si>
    <t xml:space="preserve">ORD-2023-03414</t>
  </si>
  <si>
    <t xml:space="preserve">ORD-2023-03297</t>
  </si>
  <si>
    <t xml:space="preserve">ORD-2022-01143</t>
  </si>
  <si>
    <t xml:space="preserve">ORD-2024-05638</t>
  </si>
  <si>
    <t xml:space="preserve">ORD-2024-05701</t>
  </si>
  <si>
    <t xml:space="preserve">ORD-2025-07467</t>
  </si>
  <si>
    <t xml:space="preserve">ORD-2024-04336</t>
  </si>
  <si>
    <t xml:space="preserve">ORD-2025-08860</t>
  </si>
  <si>
    <t xml:space="preserve">ORD-2025-07124</t>
  </si>
  <si>
    <t xml:space="preserve">ORD-2023-02987</t>
  </si>
  <si>
    <t xml:space="preserve">ORD-2023-02944</t>
  </si>
  <si>
    <t xml:space="preserve">ORD-2025-08772</t>
  </si>
  <si>
    <t xml:space="preserve">ORD-2022-00961</t>
  </si>
  <si>
    <t xml:space="preserve">ORD-2023-02023</t>
  </si>
  <si>
    <t xml:space="preserve">ORD-2025-08735</t>
  </si>
  <si>
    <t xml:space="preserve">ORD-2022-01742</t>
  </si>
  <si>
    <t xml:space="preserve">ORD-2023-03101</t>
  </si>
  <si>
    <t xml:space="preserve">ORD-2024-06244</t>
  </si>
  <si>
    <t xml:space="preserve">ORD-2025-08549</t>
  </si>
  <si>
    <t xml:space="preserve">ORD-2025-07175</t>
  </si>
  <si>
    <t xml:space="preserve">ORD-2023-02772</t>
  </si>
  <si>
    <t xml:space="preserve">ORD-2022-01746</t>
  </si>
  <si>
    <t xml:space="preserve">ORD-2024-04504</t>
  </si>
  <si>
    <t xml:space="preserve">ORD-2023-03044</t>
  </si>
  <si>
    <t xml:space="preserve">ORD-2025-06744</t>
  </si>
  <si>
    <t xml:space="preserve">ORD-2025-07763</t>
  </si>
  <si>
    <t xml:space="preserve">ORD-2024-04788</t>
  </si>
  <si>
    <t xml:space="preserve">ORD-2022-01146</t>
  </si>
  <si>
    <t xml:space="preserve">ORD-2022-01181</t>
  </si>
  <si>
    <t xml:space="preserve">ORD-2024-05293</t>
  </si>
  <si>
    <t xml:space="preserve">ORD-2025-06496</t>
  </si>
  <si>
    <t xml:space="preserve">ORD-2025-06751</t>
  </si>
  <si>
    <t xml:space="preserve">ORD-2024-04690</t>
  </si>
  <si>
    <t xml:space="preserve">ORD-2022-00602</t>
  </si>
  <si>
    <t xml:space="preserve">ORD-2024-05362</t>
  </si>
  <si>
    <t xml:space="preserve">ORD-2023-03769</t>
  </si>
  <si>
    <t xml:space="preserve">ORD-2025-07525</t>
  </si>
  <si>
    <t xml:space="preserve">ORD-2024-06362</t>
  </si>
  <si>
    <t xml:space="preserve">ORD-2023-03144</t>
  </si>
  <si>
    <t xml:space="preserve">ORD-2022-00812</t>
  </si>
  <si>
    <t xml:space="preserve">ORD-2025-08707</t>
  </si>
  <si>
    <t xml:space="preserve">ORD-2025-08091</t>
  </si>
  <si>
    <t xml:space="preserve">ORD-2022-01319</t>
  </si>
  <si>
    <t xml:space="preserve">ORD-2023-02803</t>
  </si>
  <si>
    <t xml:space="preserve">ORD-2023-02836</t>
  </si>
  <si>
    <t xml:space="preserve">ORD-2024-04058</t>
  </si>
  <si>
    <t xml:space="preserve">ORD-2022-01618</t>
  </si>
  <si>
    <t xml:space="preserve">ORD-2023-03270</t>
  </si>
  <si>
    <t xml:space="preserve">ORD-2025-06624</t>
  </si>
  <si>
    <t xml:space="preserve">ORD-2022-00466</t>
  </si>
  <si>
    <t xml:space="preserve">ORD-2022-01003</t>
  </si>
  <si>
    <t xml:space="preserve">ORD-2025-07518</t>
  </si>
  <si>
    <t xml:space="preserve">ORD-2022-00292</t>
  </si>
  <si>
    <t xml:space="preserve">ORD-2024-05265</t>
  </si>
  <si>
    <t xml:space="preserve">ORD-2025-06930</t>
  </si>
  <si>
    <t xml:space="preserve">ORD-2025-08626</t>
  </si>
  <si>
    <t xml:space="preserve">ORD-2023-03502</t>
  </si>
  <si>
    <t xml:space="preserve">ORD-2025-07637</t>
  </si>
  <si>
    <t xml:space="preserve">ORD-2025-07030</t>
  </si>
  <si>
    <t xml:space="preserve">ORD-2024-05993</t>
  </si>
  <si>
    <t xml:space="preserve">ORD-2022-00619</t>
  </si>
  <si>
    <t xml:space="preserve">ORD-2025-08815</t>
  </si>
  <si>
    <t xml:space="preserve">ORD-2022-01298</t>
  </si>
  <si>
    <t xml:space="preserve">ORD-2024-05401</t>
  </si>
  <si>
    <t xml:space="preserve">ORD-2025-07014</t>
  </si>
  <si>
    <t xml:space="preserve">ORD-2022-01331</t>
  </si>
  <si>
    <t xml:space="preserve">ORD-2025-08127</t>
  </si>
  <si>
    <t xml:space="preserve">ORD-2022-00595</t>
  </si>
  <si>
    <t xml:space="preserve">ORD-2024-06259</t>
  </si>
  <si>
    <t xml:space="preserve">ORD-2025-07962</t>
  </si>
  <si>
    <t xml:space="preserve">ORD-2023-02139</t>
  </si>
  <si>
    <t xml:space="preserve">ORD-2022-01296</t>
  </si>
  <si>
    <t xml:space="preserve">ORD-2022-01569</t>
  </si>
  <si>
    <t xml:space="preserve">ORD-2023-03150</t>
  </si>
  <si>
    <t xml:space="preserve">ORD-2024-05240</t>
  </si>
  <si>
    <t xml:space="preserve">ORD-2022-01447</t>
  </si>
  <si>
    <t xml:space="preserve">ORD-2025-08367</t>
  </si>
  <si>
    <t xml:space="preserve">ORD-2022-01401</t>
  </si>
  <si>
    <t xml:space="preserve">ORD-2025-07385</t>
  </si>
  <si>
    <t xml:space="preserve">ORD-2024-04399</t>
  </si>
  <si>
    <t xml:space="preserve">ORD-2025-07147</t>
  </si>
  <si>
    <t xml:space="preserve">ORD-2023-03890</t>
  </si>
  <si>
    <t xml:space="preserve">ORD-2025-08203</t>
  </si>
  <si>
    <t xml:space="preserve">ORD-2024-05819</t>
  </si>
  <si>
    <t xml:space="preserve">ORD-2025-07937</t>
  </si>
  <si>
    <t xml:space="preserve">ORD-2024-05051</t>
  </si>
  <si>
    <t xml:space="preserve">ORD-2024-04635</t>
  </si>
  <si>
    <t xml:space="preserve">ORD-2024-04304</t>
  </si>
  <si>
    <t xml:space="preserve">ORD-2022-01157</t>
  </si>
  <si>
    <t xml:space="preserve">ORD-2024-05510</t>
  </si>
  <si>
    <t xml:space="preserve">ORD-2022-01804</t>
  </si>
  <si>
    <t xml:space="preserve">ORD-2022-01480</t>
  </si>
  <si>
    <t xml:space="preserve">ORD-2024-05093</t>
  </si>
  <si>
    <t xml:space="preserve">ORD-2024-04845</t>
  </si>
  <si>
    <t xml:space="preserve">ORD-2025-08529</t>
  </si>
  <si>
    <t xml:space="preserve">ORD-2023-02615</t>
  </si>
  <si>
    <t xml:space="preserve">ORD-2023-03412</t>
  </si>
  <si>
    <t xml:space="preserve">ORD-2024-04451</t>
  </si>
  <si>
    <t xml:space="preserve">ORD-2025-06973</t>
  </si>
  <si>
    <t xml:space="preserve">ORD-2024-04483</t>
  </si>
  <si>
    <t xml:space="preserve">ORD-2023-02693</t>
  </si>
  <si>
    <t xml:space="preserve">ORD-2025-08576</t>
  </si>
  <si>
    <t xml:space="preserve">ORD-2023-03296</t>
  </si>
  <si>
    <t xml:space="preserve">ORD-2023-03046</t>
  </si>
  <si>
    <t xml:space="preserve">ORD-2023-03661</t>
  </si>
  <si>
    <t xml:space="preserve">ORD-2024-05158</t>
  </si>
  <si>
    <t xml:space="preserve">ORD-2024-05832</t>
  </si>
  <si>
    <t xml:space="preserve">ORD-2022-01607</t>
  </si>
  <si>
    <t xml:space="preserve">ORD-2025-08692</t>
  </si>
  <si>
    <t xml:space="preserve">ORD-2023-03429</t>
  </si>
  <si>
    <t xml:space="preserve">ORD-2025-07506</t>
  </si>
  <si>
    <t xml:space="preserve">ORD-2025-07686</t>
  </si>
  <si>
    <t xml:space="preserve">ORD-2024-05272</t>
  </si>
  <si>
    <t xml:space="preserve">ORD-2023-02985</t>
  </si>
  <si>
    <t xml:space="preserve">ORD-2023-02707</t>
  </si>
  <si>
    <t xml:space="preserve">ORD-2025-06465</t>
  </si>
  <si>
    <t xml:space="preserve">ORD-2022-00749</t>
  </si>
  <si>
    <t xml:space="preserve">ORD-2023-03768</t>
  </si>
  <si>
    <t xml:space="preserve">ORD-2023-03285</t>
  </si>
  <si>
    <t xml:space="preserve">ORD-2024-05550</t>
  </si>
  <si>
    <t xml:space="preserve">ORD-2022-01784</t>
  </si>
  <si>
    <t xml:space="preserve">ORD-2025-08631</t>
  </si>
  <si>
    <t xml:space="preserve">ORD-2024-04230</t>
  </si>
  <si>
    <t xml:space="preserve">ORD-2024-04202</t>
  </si>
  <si>
    <t xml:space="preserve">ORD-2024-04658</t>
  </si>
  <si>
    <t xml:space="preserve">ORD-2025-08704</t>
  </si>
  <si>
    <t xml:space="preserve">ORD-2025-08637</t>
  </si>
  <si>
    <t xml:space="preserve">ORD-2024-04961</t>
  </si>
  <si>
    <t xml:space="preserve">ORD-2024-04388</t>
  </si>
  <si>
    <t xml:space="preserve">ORD-2024-04330</t>
  </si>
  <si>
    <t xml:space="preserve">ORD-2025-06856</t>
  </si>
  <si>
    <t xml:space="preserve">ORD-2022-01727</t>
  </si>
  <si>
    <t xml:space="preserve">ORD-2023-03626</t>
  </si>
  <si>
    <t xml:space="preserve">ORD-2024-04802</t>
  </si>
  <si>
    <t xml:space="preserve">ORD-2022-00665</t>
  </si>
  <si>
    <t xml:space="preserve">ORD-2024-04585</t>
  </si>
  <si>
    <t xml:space="preserve">ORD-2022-00842</t>
  </si>
  <si>
    <t xml:space="preserve">ORD-2023-03528</t>
  </si>
  <si>
    <t xml:space="preserve">ORD-2025-08383</t>
  </si>
  <si>
    <t xml:space="preserve">ORD-2022-00834</t>
  </si>
  <si>
    <t xml:space="preserve">ORD-2022-01227</t>
  </si>
  <si>
    <t xml:space="preserve">ORD-2022-01627</t>
  </si>
  <si>
    <t xml:space="preserve">ORD-2022-00873</t>
  </si>
  <si>
    <t xml:space="preserve">ORD-2024-05673</t>
  </si>
  <si>
    <t xml:space="preserve">ORD-2022-01730</t>
  </si>
  <si>
    <t xml:space="preserve">ORD-2023-03783</t>
  </si>
  <si>
    <t xml:space="preserve">ORD-2024-05599</t>
  </si>
  <si>
    <t xml:space="preserve">ORD-2025-06964</t>
  </si>
  <si>
    <t xml:space="preserve">ORD-2024-05868</t>
  </si>
  <si>
    <t xml:space="preserve">ORD-2023-01966</t>
  </si>
  <si>
    <t xml:space="preserve">ORD-2023-03796</t>
  </si>
  <si>
    <t xml:space="preserve">ORD-2022-01514</t>
  </si>
  <si>
    <t xml:space="preserve">ORD-2024-05034</t>
  </si>
  <si>
    <t xml:space="preserve">ORD-2025-07319</t>
  </si>
  <si>
    <t xml:space="preserve">ORD-2023-03575</t>
  </si>
  <si>
    <t xml:space="preserve">ORD-2025-07352</t>
  </si>
  <si>
    <t xml:space="preserve">ORD-2024-05045</t>
  </si>
  <si>
    <t xml:space="preserve">ORD-2025-06479</t>
  </si>
  <si>
    <t xml:space="preserve">ORD-2024-06160</t>
  </si>
  <si>
    <t xml:space="preserve">ORD-2022-00412</t>
  </si>
  <si>
    <t xml:space="preserve">ORD-2024-05211</t>
  </si>
  <si>
    <t xml:space="preserve">ORD-2023-02813</t>
  </si>
  <si>
    <t xml:space="preserve">ORD-2025-08170</t>
  </si>
  <si>
    <t xml:space="preserve">ORD-2024-05624</t>
  </si>
  <si>
    <t xml:space="preserve">ORD-2022-01604</t>
  </si>
  <si>
    <t xml:space="preserve">ORD-2024-06248</t>
  </si>
  <si>
    <t xml:space="preserve">ORD-2022-00605</t>
  </si>
  <si>
    <t xml:space="preserve">ORD-2022-00031</t>
  </si>
  <si>
    <t xml:space="preserve">ORD-2025-07442</t>
  </si>
  <si>
    <t xml:space="preserve">ORD-2022-00264</t>
  </si>
  <si>
    <t xml:space="preserve">ORD-2024-04297</t>
  </si>
  <si>
    <t xml:space="preserve">ORD-2022-00248</t>
  </si>
  <si>
    <t xml:space="preserve">ORD-2022-00853</t>
  </si>
  <si>
    <t xml:space="preserve">ORD-2025-08953</t>
  </si>
  <si>
    <t xml:space="preserve">ORD-2024-04327</t>
  </si>
  <si>
    <t xml:space="preserve">ORD-2022-00200</t>
  </si>
  <si>
    <t xml:space="preserve">ORD-2022-00533</t>
  </si>
  <si>
    <t xml:space="preserve">ORD-2023-03990</t>
  </si>
  <si>
    <t xml:space="preserve">ORD-2025-06963</t>
  </si>
  <si>
    <t xml:space="preserve">ORD-2024-06301</t>
  </si>
  <si>
    <t xml:space="preserve">ORD-2025-08565</t>
  </si>
  <si>
    <t xml:space="preserve">ORD-2022-00456</t>
  </si>
  <si>
    <t xml:space="preserve">ORD-2024-05285</t>
  </si>
  <si>
    <t xml:space="preserve">ORD-2024-04792</t>
  </si>
  <si>
    <t xml:space="preserve">ORD-2023-02143</t>
  </si>
  <si>
    <t xml:space="preserve">ORD-2023-02234</t>
  </si>
  <si>
    <t xml:space="preserve">ORD-2023-03772</t>
  </si>
  <si>
    <t xml:space="preserve">ORD-2023-02847</t>
  </si>
  <si>
    <t xml:space="preserve">ORD-2024-05614</t>
  </si>
  <si>
    <t xml:space="preserve">ORD-2024-04711</t>
  </si>
  <si>
    <t xml:space="preserve">ORD-2023-02305</t>
  </si>
  <si>
    <t xml:space="preserve">ORD-2025-07653</t>
  </si>
  <si>
    <t xml:space="preserve">ORD-2025-07711</t>
  </si>
  <si>
    <t xml:space="preserve">ORD-2025-08617</t>
  </si>
  <si>
    <t xml:space="preserve">ORD-2022-01403</t>
  </si>
  <si>
    <t xml:space="preserve">ORD-2024-04199</t>
  </si>
  <si>
    <t xml:space="preserve">ORD-2022-01184</t>
  </si>
  <si>
    <t xml:space="preserve">ORD-2025-08847</t>
  </si>
  <si>
    <t xml:space="preserve">ORD-2023-03028</t>
  </si>
  <si>
    <t xml:space="preserve">ORD-2025-08836</t>
  </si>
  <si>
    <t xml:space="preserve">ORD-2024-05744</t>
  </si>
  <si>
    <t xml:space="preserve">ORD-2023-02246</t>
  </si>
  <si>
    <t xml:space="preserve">ORD-2022-00218</t>
  </si>
  <si>
    <t xml:space="preserve">ORD-2022-01006</t>
  </si>
  <si>
    <t xml:space="preserve">ORD-2022-01551</t>
  </si>
  <si>
    <t xml:space="preserve">ORD-2025-06743</t>
  </si>
  <si>
    <t xml:space="preserve">ORD-2023-02484</t>
  </si>
  <si>
    <t xml:space="preserve">ORD-2024-05665</t>
  </si>
  <si>
    <t xml:space="preserve">ORD-2025-08499</t>
  </si>
  <si>
    <t xml:space="preserve">ORD-2025-07869</t>
  </si>
  <si>
    <t xml:space="preserve">ORD-2023-03947</t>
  </si>
  <si>
    <t xml:space="preserve">ORD-2023-02914</t>
  </si>
  <si>
    <t xml:space="preserve">ORD-2022-00676</t>
  </si>
  <si>
    <t xml:space="preserve">ORD-2025-06450</t>
  </si>
  <si>
    <t xml:space="preserve">ORD-2022-01616</t>
  </si>
  <si>
    <t xml:space="preserve">ORD-2025-06748</t>
  </si>
  <si>
    <t xml:space="preserve">ORD-2023-01993</t>
  </si>
  <si>
    <t xml:space="preserve">ORD-2022-00230</t>
  </si>
  <si>
    <t xml:space="preserve">ORD-2024-05260</t>
  </si>
  <si>
    <t xml:space="preserve">ORD-2024-04646</t>
  </si>
  <si>
    <t xml:space="preserve">ORD-2024-04867</t>
  </si>
  <si>
    <t xml:space="preserve">ORD-2024-06232</t>
  </si>
  <si>
    <t xml:space="preserve">ORD-2022-01609</t>
  </si>
  <si>
    <t xml:space="preserve">ORD-2023-03539</t>
  </si>
  <si>
    <t xml:space="preserve">ORD-2025-07595</t>
  </si>
  <si>
    <t xml:space="preserve">ORD-2024-05360</t>
  </si>
  <si>
    <t xml:space="preserve">ORD-2024-05355</t>
  </si>
  <si>
    <t xml:space="preserve">ORD-2025-08130</t>
  </si>
  <si>
    <t xml:space="preserve">ORD-2024-04943</t>
  </si>
  <si>
    <t xml:space="preserve">ORD-2023-03033</t>
  </si>
  <si>
    <t xml:space="preserve">ORD-2024-06316</t>
  </si>
  <si>
    <t xml:space="preserve">ORD-2022-01576</t>
  </si>
  <si>
    <t xml:space="preserve">ORD-2024-05028</t>
  </si>
  <si>
    <t xml:space="preserve">ORD-2025-08263</t>
  </si>
  <si>
    <t xml:space="preserve">ORD-2024-05552</t>
  </si>
  <si>
    <t xml:space="preserve">ORD-2024-05584</t>
  </si>
  <si>
    <t xml:space="preserve">ORD-2024-05521</t>
  </si>
  <si>
    <t xml:space="preserve">ORD-2022-00338</t>
  </si>
  <si>
    <t xml:space="preserve">ORD-2025-07714</t>
  </si>
  <si>
    <t xml:space="preserve">ORD-2024-05096</t>
  </si>
  <si>
    <t xml:space="preserve">ORD-2023-02267</t>
  </si>
  <si>
    <t xml:space="preserve">ORD-2023-03056</t>
  </si>
  <si>
    <t xml:space="preserve">ORD-2024-05885</t>
  </si>
  <si>
    <t xml:space="preserve">ORD-2023-02146</t>
  </si>
  <si>
    <t xml:space="preserve">ORD-2025-06817</t>
  </si>
  <si>
    <t xml:space="preserve">ORD-2024-04900</t>
  </si>
  <si>
    <t xml:space="preserve">ORD-2022-00097</t>
  </si>
  <si>
    <t xml:space="preserve">ORD-2023-03640</t>
  </si>
  <si>
    <t xml:space="preserve">ORD-2025-06510</t>
  </si>
  <si>
    <t xml:space="preserve">ORD-2025-08251</t>
  </si>
  <si>
    <t xml:space="preserve">ORD-2025-07826</t>
  </si>
  <si>
    <t xml:space="preserve">ORD-2025-06845</t>
  </si>
  <si>
    <t xml:space="preserve">ORD-2023-03838</t>
  </si>
  <si>
    <t xml:space="preserve">ORD-2023-03333</t>
  </si>
  <si>
    <t xml:space="preserve">ORD-2025-08319</t>
  </si>
  <si>
    <t xml:space="preserve">ORD-2023-02261</t>
  </si>
  <si>
    <t xml:space="preserve">ORD-2022-01018</t>
  </si>
  <si>
    <t xml:space="preserve">ORD-2023-02003</t>
  </si>
  <si>
    <t xml:space="preserve">ORD-2025-07199</t>
  </si>
  <si>
    <t xml:space="preserve">ORD-2024-04040</t>
  </si>
  <si>
    <t xml:space="preserve">ORD-2023-03400</t>
  </si>
  <si>
    <t xml:space="preserve">ORD-2022-00351</t>
  </si>
  <si>
    <t xml:space="preserve">ORD-2024-04708</t>
  </si>
  <si>
    <t xml:space="preserve">ORD-2023-02511</t>
  </si>
  <si>
    <t xml:space="preserve">ORD-2024-04697</t>
  </si>
  <si>
    <t xml:space="preserve">ORD-2025-08954</t>
  </si>
  <si>
    <t xml:space="preserve">ORD-2024-05607</t>
  </si>
  <si>
    <t xml:space="preserve">ORD-2024-04126</t>
  </si>
  <si>
    <t xml:space="preserve">ORD-2023-02276</t>
  </si>
  <si>
    <t xml:space="preserve">ORD-2023-02373</t>
  </si>
  <si>
    <t xml:space="preserve">ORD-2022-01211</t>
  </si>
  <si>
    <t xml:space="preserve">ORD-2025-07184</t>
  </si>
  <si>
    <t xml:space="preserve">ORD-2024-04696</t>
  </si>
  <si>
    <t xml:space="preserve">ORD-2023-03173</t>
  </si>
  <si>
    <t xml:space="preserve">ORD-2025-08906</t>
  </si>
  <si>
    <t xml:space="preserve">ORD-2023-03081</t>
  </si>
  <si>
    <t xml:space="preserve">ORD-2024-05254</t>
  </si>
  <si>
    <t xml:space="preserve">ORD-2022-00743</t>
  </si>
  <si>
    <t xml:space="preserve">ORD-2022-00181</t>
  </si>
  <si>
    <t xml:space="preserve">ORD-2022-01116</t>
  </si>
  <si>
    <t xml:space="preserve">ORD-2023-03115</t>
  </si>
  <si>
    <t xml:space="preserve">ORD-2022-00350</t>
  </si>
  <si>
    <t xml:space="preserve">ORD-2025-07919</t>
  </si>
  <si>
    <t xml:space="preserve">ORD-2024-04822</t>
  </si>
  <si>
    <t xml:space="preserve">ORD-2024-06203</t>
  </si>
  <si>
    <t xml:space="preserve">ORD-2023-03461</t>
  </si>
  <si>
    <t xml:space="preserve">ORD-2025-07026</t>
  </si>
  <si>
    <t xml:space="preserve">ORD-2023-03782</t>
  </si>
  <si>
    <t xml:space="preserve">ORD-2022-00082</t>
  </si>
  <si>
    <t xml:space="preserve">ORD-2023-02466</t>
  </si>
  <si>
    <t xml:space="preserve">ORD-2025-07896</t>
  </si>
  <si>
    <t xml:space="preserve">ORD-2025-07694</t>
  </si>
  <si>
    <t xml:space="preserve">ORD-2022-00832</t>
  </si>
  <si>
    <t xml:space="preserve">ORD-2024-04996</t>
  </si>
  <si>
    <t xml:space="preserve">ORD-2023-03965</t>
  </si>
  <si>
    <t xml:space="preserve">ORD-2025-06721</t>
  </si>
  <si>
    <t xml:space="preserve">ORD-2024-05635</t>
  </si>
  <si>
    <t xml:space="preserve">ORD-2023-02363</t>
  </si>
  <si>
    <t xml:space="preserve">ORD-2022-01373</t>
  </si>
  <si>
    <t xml:space="preserve">ORD-2024-04588</t>
  </si>
  <si>
    <t xml:space="preserve">ORD-2024-05181</t>
  </si>
  <si>
    <t xml:space="preserve">ORD-2024-04611</t>
  </si>
  <si>
    <t xml:space="preserve">ORD-2025-08028</t>
  </si>
  <si>
    <t xml:space="preserve">ORD-2025-06445</t>
  </si>
  <si>
    <t xml:space="preserve">ORD-2023-02459</t>
  </si>
  <si>
    <t xml:space="preserve">ORD-2025-07389</t>
  </si>
  <si>
    <t xml:space="preserve">ORD-2025-07144</t>
  </si>
  <si>
    <t xml:space="preserve">ORD-2025-08432</t>
  </si>
  <si>
    <t xml:space="preserve">ORD-2025-06596</t>
  </si>
  <si>
    <t xml:space="preserve">ORD-2025-07255</t>
  </si>
  <si>
    <t xml:space="preserve">ORD-2022-00711</t>
  </si>
  <si>
    <t xml:space="preserve">ORD-2024-04754</t>
  </si>
  <si>
    <t xml:space="preserve">ORD-2025-06693</t>
  </si>
  <si>
    <t xml:space="preserve">ORD-2023-02949</t>
  </si>
  <si>
    <t xml:space="preserve">ORD-2025-07573</t>
  </si>
  <si>
    <t xml:space="preserve">ORD-2024-04398</t>
  </si>
  <si>
    <t xml:space="preserve">ORD-2022-01791</t>
  </si>
  <si>
    <t xml:space="preserve">ORD-2025-06594</t>
  </si>
  <si>
    <t xml:space="preserve">ORD-2024-04300</t>
  </si>
  <si>
    <t xml:space="preserve">ORD-2024-06373</t>
  </si>
  <si>
    <t xml:space="preserve">ORD-2024-04333</t>
  </si>
  <si>
    <t xml:space="preserve">ORD-2023-03007</t>
  </si>
  <si>
    <t xml:space="preserve">ORD-2025-06523</t>
  </si>
  <si>
    <t xml:space="preserve">ORD-2024-05165</t>
  </si>
  <si>
    <t xml:space="preserve">ORD-2022-01140</t>
  </si>
  <si>
    <t xml:space="preserve">ORD-2025-08868</t>
  </si>
  <si>
    <t xml:space="preserve">ORD-2024-05909</t>
  </si>
  <si>
    <t xml:space="preserve">ORD-2023-02767</t>
  </si>
  <si>
    <t xml:space="preserve">ORD-2024-05557</t>
  </si>
  <si>
    <t xml:space="preserve">ORD-2023-02095</t>
  </si>
  <si>
    <t xml:space="preserve">ORD-2024-04713</t>
  </si>
  <si>
    <t xml:space="preserve">ORD-2022-01323</t>
  </si>
  <si>
    <t xml:space="preserve">ORD-2022-00173</t>
  </si>
  <si>
    <t xml:space="preserve">ORD-2024-05814</t>
  </si>
  <si>
    <t xml:space="preserve">ORD-2022-00040</t>
  </si>
  <si>
    <t xml:space="preserve">ORD-2025-08962</t>
  </si>
  <si>
    <t xml:space="preserve">ORD-2024-05575</t>
  </si>
  <si>
    <t xml:space="preserve">ORD-2025-07359</t>
  </si>
  <si>
    <t xml:space="preserve">ORD-2023-02865</t>
  </si>
  <si>
    <t xml:space="preserve">ORD-2024-04271</t>
  </si>
  <si>
    <t xml:space="preserve">ORD-2024-04099</t>
  </si>
  <si>
    <t xml:space="preserve">ORD-2024-05474</t>
  </si>
  <si>
    <t xml:space="preserve">ORD-2024-04897</t>
  </si>
  <si>
    <t xml:space="preserve">ORD-2024-05862</t>
  </si>
  <si>
    <t xml:space="preserve">ORD-2025-08587</t>
  </si>
  <si>
    <t xml:space="preserve">ORD-2024-04529</t>
  </si>
  <si>
    <t xml:space="preserve">ORD-2023-03892</t>
  </si>
  <si>
    <t xml:space="preserve">ORD-2025-08009</t>
  </si>
  <si>
    <t xml:space="preserve">ORD-2023-02689</t>
  </si>
  <si>
    <t xml:space="preserve">ORD-2025-06786</t>
  </si>
  <si>
    <t xml:space="preserve">ORD-2022-00534</t>
  </si>
  <si>
    <t xml:space="preserve">ORD-2025-07682</t>
  </si>
  <si>
    <t xml:space="preserve">ORD-2023-02486</t>
  </si>
  <si>
    <t xml:space="preserve">ORD-2025-07210</t>
  </si>
  <si>
    <t xml:space="preserve">ORD-2022-00066</t>
  </si>
  <si>
    <t xml:space="preserve">ORD-2025-07560</t>
  </si>
  <si>
    <t xml:space="preserve">ORD-2024-06341</t>
  </si>
  <si>
    <t xml:space="preserve">ORD-2022-00355</t>
  </si>
  <si>
    <t xml:space="preserve">ORD-2023-02599</t>
  </si>
  <si>
    <t xml:space="preserve">ORD-2024-05759</t>
  </si>
  <si>
    <t xml:space="preserve">ORD-2023-02190</t>
  </si>
  <si>
    <t xml:space="preserve">ORD-2024-04128</t>
  </si>
  <si>
    <t xml:space="preserve">ORD-2025-06522</t>
  </si>
  <si>
    <t xml:space="preserve">ORD-2023-02727</t>
  </si>
  <si>
    <t xml:space="preserve">ORD-2022-01769</t>
  </si>
  <si>
    <t xml:space="preserve">ORD-2022-00473</t>
  </si>
  <si>
    <t xml:space="preserve">ORD-2025-07355</t>
  </si>
  <si>
    <t xml:space="preserve">ORD-2025-07746</t>
  </si>
  <si>
    <t xml:space="preserve">ORD-2024-04535</t>
  </si>
  <si>
    <t xml:space="preserve">ORD-2024-06297</t>
  </si>
  <si>
    <t xml:space="preserve">ORD-2024-04242</t>
  </si>
  <si>
    <t xml:space="preserve">ORD-2025-07760</t>
  </si>
  <si>
    <t xml:space="preserve">ORD-2022-00869</t>
  </si>
  <si>
    <t xml:space="preserve">ORD-2022-01615</t>
  </si>
  <si>
    <t xml:space="preserve">ORD-2022-00324</t>
  </si>
  <si>
    <t xml:space="preserve">ORD-2025-07704</t>
  </si>
  <si>
    <t xml:space="preserve">ORD-2024-04190</t>
  </si>
  <si>
    <t xml:space="preserve">ORD-2023-02628</t>
  </si>
  <si>
    <t xml:space="preserve">ORD-2023-02288</t>
  </si>
  <si>
    <t xml:space="preserve">ORD-2025-08273</t>
  </si>
  <si>
    <t xml:space="preserve">ORD-2024-05007</t>
  </si>
  <si>
    <t xml:space="preserve">ORD-2025-08433</t>
  </si>
  <si>
    <t xml:space="preserve">ORD-2022-01571</t>
  </si>
  <si>
    <t xml:space="preserve">ORD-2024-05107</t>
  </si>
  <si>
    <t xml:space="preserve">ORD-2022-01076</t>
  </si>
  <si>
    <t xml:space="preserve">ORD-2023-03962</t>
  </si>
  <si>
    <t xml:space="preserve">ORD-2022-01255</t>
  </si>
  <si>
    <t xml:space="preserve">ORD-2024-05121</t>
  </si>
  <si>
    <t xml:space="preserve">ORD-2024-06007</t>
  </si>
  <si>
    <t xml:space="preserve">ORD-2024-06361</t>
  </si>
  <si>
    <t xml:space="preserve">ORD-2023-03648</t>
  </si>
  <si>
    <t xml:space="preserve">ORD-2023-02456</t>
  </si>
  <si>
    <t xml:space="preserve">ORD-2024-05024</t>
  </si>
  <si>
    <t xml:space="preserve">ORD-2023-03154</t>
  </si>
  <si>
    <t xml:space="preserve">ORD-2023-03071</t>
  </si>
  <si>
    <t xml:space="preserve">ORD-2022-00074</t>
  </si>
  <si>
    <t xml:space="preserve">ORD-2025-07453</t>
  </si>
  <si>
    <t xml:space="preserve">ORD-2025-06667</t>
  </si>
  <si>
    <t xml:space="preserve">ORD-2023-03088</t>
  </si>
  <si>
    <t xml:space="preserve">ORD-2025-08234</t>
  </si>
  <si>
    <t xml:space="preserve">ORD-2023-03621</t>
  </si>
  <si>
    <t xml:space="preserve">ORD-2025-08067</t>
  </si>
  <si>
    <t xml:space="preserve">ORD-2025-08322</t>
  </si>
  <si>
    <t xml:space="preserve">ORD-2025-06448</t>
  </si>
  <si>
    <t xml:space="preserve">ORD-2023-02250</t>
  </si>
  <si>
    <t xml:space="preserve">ORD-2024-04634</t>
  </si>
  <si>
    <t xml:space="preserve">ORD-2023-02037</t>
  </si>
  <si>
    <t xml:space="preserve">ORD-2025-06756</t>
  </si>
  <si>
    <t xml:space="preserve">ORD-2024-05008</t>
  </si>
  <si>
    <t xml:space="preserve">ORD-2024-04265</t>
  </si>
  <si>
    <t xml:space="preserve">ORD-2025-07788</t>
  </si>
  <si>
    <t xml:space="preserve">ORD-2024-04467</t>
  </si>
  <si>
    <t xml:space="preserve">ORD-2022-01220</t>
  </si>
  <si>
    <t xml:space="preserve">ORD-2025-08749</t>
  </si>
  <si>
    <t xml:space="preserve">ORD-2023-02274</t>
  </si>
  <si>
    <t xml:space="preserve">ORD-2025-08381</t>
  </si>
  <si>
    <t xml:space="preserve">ORD-2025-08087</t>
  </si>
  <si>
    <t xml:space="preserve">ORD-2024-04886</t>
  </si>
  <si>
    <t xml:space="preserve">ORD-2025-06389</t>
  </si>
  <si>
    <t xml:space="preserve">ORD-2022-00450</t>
  </si>
  <si>
    <t xml:space="preserve">ORD-2025-07855</t>
  </si>
  <si>
    <t xml:space="preserve">ORD-2025-08919</t>
  </si>
  <si>
    <t xml:space="preserve">ORD-2025-06537</t>
  </si>
  <si>
    <t xml:space="preserve">ORD-2023-03413</t>
  </si>
  <si>
    <t xml:space="preserve">ORD-2022-00178</t>
  </si>
  <si>
    <t xml:space="preserve">ORD-2022-00133</t>
  </si>
  <si>
    <t xml:space="preserve">ORD-2023-02755</t>
  </si>
  <si>
    <t xml:space="preserve">ORD-2025-06758</t>
  </si>
  <si>
    <t xml:space="preserve">ORD-2022-01375</t>
  </si>
  <si>
    <t xml:space="preserve">ORD-2025-06913</t>
  </si>
  <si>
    <t xml:space="preserve">ORD-2022-00001</t>
  </si>
  <si>
    <t xml:space="preserve">ORD-2023-03273</t>
  </si>
  <si>
    <t xml:space="preserve">ORD-2025-06553</t>
  </si>
  <si>
    <t xml:space="preserve">ORD-2023-03078</t>
  </si>
  <si>
    <t xml:space="preserve">ORD-2023-03933</t>
  </si>
  <si>
    <t xml:space="preserve">ORD-2025-07176</t>
  </si>
  <si>
    <t xml:space="preserve">ORD-2025-08852</t>
  </si>
  <si>
    <t xml:space="preserve">ORD-2025-07108</t>
  </si>
  <si>
    <t xml:space="preserve">ORD-2024-05132</t>
  </si>
  <si>
    <t xml:space="preserve">ORD-2023-02834</t>
  </si>
  <si>
    <t xml:space="preserve">ORD-2024-04683</t>
  </si>
  <si>
    <t xml:space="preserve">ORD-2025-06402</t>
  </si>
  <si>
    <t xml:space="preserve">ORD-2025-07871</t>
  </si>
  <si>
    <t xml:space="preserve">ORD-2024-05152</t>
  </si>
  <si>
    <t xml:space="preserve">ORD-2025-08736</t>
  </si>
  <si>
    <t xml:space="preserve">ORD-2023-02719</t>
  </si>
  <si>
    <t xml:space="preserve">ORD-2022-00409</t>
  </si>
  <si>
    <t xml:space="preserve">ORD-2025-06560</t>
  </si>
  <si>
    <t xml:space="preserve">ORD-2024-04794</t>
  </si>
  <si>
    <t xml:space="preserve">ORD-2022-01028</t>
  </si>
  <si>
    <t xml:space="preserve">ORD-2022-00158</t>
  </si>
  <si>
    <t xml:space="preserve">ORD-2022-00389</t>
  </si>
  <si>
    <t xml:space="preserve">ORD-2024-04419</t>
  </si>
  <si>
    <t xml:space="preserve">ORD-2024-05816</t>
  </si>
  <si>
    <t xml:space="preserve">ORD-2025-08207</t>
  </si>
  <si>
    <t xml:space="preserve">ORD-2024-05782</t>
  </si>
  <si>
    <t xml:space="preserve">ORD-2022-01722</t>
  </si>
  <si>
    <t xml:space="preserve">ORD-2025-08092</t>
  </si>
  <si>
    <t xml:space="preserve">ORD-2022-00713</t>
  </si>
  <si>
    <t xml:space="preserve">ORD-2024-05073</t>
  </si>
  <si>
    <t xml:space="preserve">ORD-2022-00511</t>
  </si>
  <si>
    <t xml:space="preserve">ORD-2022-01062</t>
  </si>
  <si>
    <t xml:space="preserve">ORD-2024-05937</t>
  </si>
  <si>
    <t xml:space="preserve">ORD-2024-05681</t>
  </si>
  <si>
    <t xml:space="preserve">ORD-2024-06196</t>
  </si>
  <si>
    <t xml:space="preserve">ORD-2022-01579</t>
  </si>
  <si>
    <t xml:space="preserve">ORD-2023-02150</t>
  </si>
  <si>
    <t xml:space="preserve">ORD-2025-08913</t>
  </si>
  <si>
    <t xml:space="preserve">ORD-2025-06534</t>
  </si>
  <si>
    <t xml:space="preserve">ORD-2025-06683</t>
  </si>
  <si>
    <t xml:space="preserve">ORD-2024-05270</t>
  </si>
  <si>
    <t xml:space="preserve">ORD-2022-01453</t>
  </si>
  <si>
    <t xml:space="preserve">ORD-2022-01617</t>
  </si>
  <si>
    <t xml:space="preserve">ORD-2024-05188</t>
  </si>
  <si>
    <t xml:space="preserve">ORD-2024-06264</t>
  </si>
  <si>
    <t xml:space="preserve">ORD-2025-07433</t>
  </si>
  <si>
    <t xml:space="preserve">ORD-2023-03140</t>
  </si>
  <si>
    <t xml:space="preserve">ORD-2023-02440</t>
  </si>
  <si>
    <t xml:space="preserve">ORD-2024-05822</t>
  </si>
  <si>
    <t xml:space="preserve">ORD-2024-05516</t>
  </si>
  <si>
    <t xml:space="preserve">ORD-2025-08800</t>
  </si>
  <si>
    <t xml:space="preserve">ORD-2023-02808</t>
  </si>
  <si>
    <t xml:space="preserve">ORD-2024-04030</t>
  </si>
  <si>
    <t xml:space="preserve">ORD-2023-03922</t>
  </si>
  <si>
    <t xml:space="preserve">ORD-2025-08363</t>
  </si>
  <si>
    <t xml:space="preserve">ORD-2025-07224</t>
  </si>
  <si>
    <t xml:space="preserve">ORD-2024-04105</t>
  </si>
  <si>
    <t xml:space="preserve">ORD-2022-00795</t>
  </si>
  <si>
    <t xml:space="preserve">ORD-2024-04386</t>
  </si>
  <si>
    <t xml:space="preserve">ORD-2023-03818</t>
  </si>
  <si>
    <t xml:space="preserve">ORD-2024-05580</t>
  </si>
  <si>
    <t xml:space="preserve">ORD-2024-04520</t>
  </si>
  <si>
    <t xml:space="preserve">ORD-2022-00252</t>
  </si>
  <si>
    <t xml:space="preserve">ORD-2023-03298</t>
  </si>
  <si>
    <t xml:space="preserve">ORD-2023-02400</t>
  </si>
  <si>
    <t xml:space="preserve">ORD-2023-03079</t>
  </si>
  <si>
    <t xml:space="preserve">ORD-2023-03837</t>
  </si>
  <si>
    <t xml:space="preserve">ORD-2024-04899</t>
  </si>
  <si>
    <t xml:space="preserve">ORD-2023-02200</t>
  </si>
  <si>
    <t xml:space="preserve">ORD-2024-04048</t>
  </si>
  <si>
    <t xml:space="preserve">ORD-2025-08237</t>
  </si>
  <si>
    <t xml:space="preserve">ORD-2022-01234</t>
  </si>
  <si>
    <t xml:space="preserve">ORD-2024-06183</t>
  </si>
  <si>
    <t xml:space="preserve">ORD-2024-05609</t>
  </si>
  <si>
    <t xml:space="preserve">ORD-2025-06830</t>
  </si>
  <si>
    <t xml:space="preserve">ORD-2024-06136</t>
  </si>
  <si>
    <t xml:space="preserve">ORD-2025-07050</t>
  </si>
  <si>
    <t xml:space="preserve">ORD-2023-03149</t>
  </si>
  <si>
    <t xml:space="preserve">ORD-2025-07203</t>
  </si>
  <si>
    <t xml:space="preserve">ORD-2023-03334</t>
  </si>
  <si>
    <t xml:space="preserve">ORD-2023-02795</t>
  </si>
  <si>
    <t xml:space="preserve">ORD-2024-04533</t>
  </si>
  <si>
    <t xml:space="preserve">ORD-2024-04305</t>
  </si>
  <si>
    <t xml:space="preserve">ORD-2024-04565</t>
  </si>
  <si>
    <t xml:space="preserve">ORD-2025-06838</t>
  </si>
  <si>
    <t xml:space="preserve">ORD-2023-03906</t>
  </si>
  <si>
    <t xml:space="preserve">ORD-2023-02292</t>
  </si>
  <si>
    <t xml:space="preserve">ORD-2024-04664</t>
  </si>
  <si>
    <t xml:space="preserve">ORD-2023-03549</t>
  </si>
  <si>
    <t xml:space="preserve">ORD-2022-01397</t>
  </si>
  <si>
    <t xml:space="preserve">ORD-2024-05919</t>
  </si>
  <si>
    <t xml:space="preserve">ORD-2024-06207</t>
  </si>
  <si>
    <t xml:space="preserve">ORD-2022-01043</t>
  </si>
  <si>
    <t xml:space="preserve">ORD-2022-00612</t>
  </si>
  <si>
    <t xml:space="preserve">ORD-2025-06579</t>
  </si>
  <si>
    <t xml:space="preserve">ORD-2025-08014</t>
  </si>
  <si>
    <t xml:space="preserve">ORD-2024-05485</t>
  </si>
  <si>
    <t xml:space="preserve">ORD-2023-02247</t>
  </si>
  <si>
    <t xml:space="preserve">ORD-2024-04177</t>
  </si>
  <si>
    <t xml:space="preserve">ORD-2025-08942</t>
  </si>
  <si>
    <t xml:space="preserve">ORD-2024-05236</t>
  </si>
  <si>
    <t xml:space="preserve">ORD-2023-02509</t>
  </si>
  <si>
    <t xml:space="preserve">ORD-2024-03996</t>
  </si>
  <si>
    <t xml:space="preserve">ORD-2022-01570</t>
  </si>
  <si>
    <t xml:space="preserve">ORD-2024-06245</t>
  </si>
  <si>
    <t xml:space="preserve">ORD-2025-08838</t>
  </si>
  <si>
    <t xml:space="preserve">ORD-2022-00504</t>
  </si>
  <si>
    <t xml:space="preserve">ORD-2024-04937</t>
  </si>
  <si>
    <t xml:space="preserve">ORD-2022-00275</t>
  </si>
  <si>
    <t xml:space="preserve">ORD-2022-01346</t>
  </si>
  <si>
    <t xml:space="preserve">ORD-2025-07624</t>
  </si>
  <si>
    <t xml:space="preserve">ORD-2025-08315</t>
  </si>
  <si>
    <t xml:space="preserve">ORD-2024-05112</t>
  </si>
  <si>
    <t xml:space="preserve">ORD-2023-02393</t>
  </si>
  <si>
    <t xml:space="preserve">ORD-2025-06795</t>
  </si>
  <si>
    <t xml:space="preserve">ORD-2024-04072</t>
  </si>
  <si>
    <t xml:space="preserve">ORD-2025-06651</t>
  </si>
  <si>
    <t xml:space="preserve">ORD-2023-02408</t>
  </si>
  <si>
    <t xml:space="preserve">ORD-2024-04985</t>
  </si>
  <si>
    <t xml:space="preserve">ORD-2025-08080</t>
  </si>
  <si>
    <t xml:space="preserve">ORD-2022-00684</t>
  </si>
  <si>
    <t xml:space="preserve">ORD-2023-03072</t>
  </si>
  <si>
    <t xml:space="preserve">ORD-2024-05317</t>
  </si>
  <si>
    <t xml:space="preserve">ORD-2022-00998</t>
  </si>
  <si>
    <t xml:space="preserve">ORD-2023-03203</t>
  </si>
  <si>
    <t xml:space="preserve">ORD-2022-01794</t>
  </si>
  <si>
    <t xml:space="preserve">ORD-2022-01177</t>
  </si>
  <si>
    <t xml:space="preserve">ORD-2022-01347</t>
  </si>
  <si>
    <t xml:space="preserve">ORD-2024-05129</t>
  </si>
  <si>
    <t xml:space="preserve">ORD-2022-00745</t>
  </si>
  <si>
    <t xml:space="preserve">ORD-2025-07842</t>
  </si>
  <si>
    <t xml:space="preserve">ORD-2024-05199</t>
  </si>
  <si>
    <t xml:space="preserve">ORD-2023-02349</t>
  </si>
  <si>
    <t xml:space="preserve">ORD-2025-08672</t>
  </si>
  <si>
    <t xml:space="preserve">ORD-2023-02596</t>
  </si>
  <si>
    <t xml:space="preserve">ORD-2022-01558</t>
  </si>
  <si>
    <t xml:space="preserve">ORD-2025-08368</t>
  </si>
  <si>
    <t xml:space="preserve">ORD-2023-02940</t>
  </si>
  <si>
    <t xml:space="preserve">ORD-2024-06177</t>
  </si>
  <si>
    <t xml:space="preserve">ORD-2024-06052</t>
  </si>
  <si>
    <t xml:space="preserve">ORD-2024-05307</t>
  </si>
  <si>
    <t xml:space="preserve">ORD-2023-01916</t>
  </si>
  <si>
    <t xml:space="preserve">ORD-2022-00694</t>
  </si>
  <si>
    <t xml:space="preserve">ORD-2022-00486</t>
  </si>
  <si>
    <t xml:space="preserve">ORD-2025-07712</t>
  </si>
  <si>
    <t xml:space="preserve">ORD-2025-07469</t>
  </si>
  <si>
    <t xml:space="preserve">ORD-2022-00983</t>
  </si>
  <si>
    <t xml:space="preserve">ORD-2024-06347</t>
  </si>
  <si>
    <t xml:space="preserve">ORD-2022-00080</t>
  </si>
  <si>
    <t xml:space="preserve">ORD-2023-02677</t>
  </si>
  <si>
    <t xml:space="preserve">ORD-2025-08828</t>
  </si>
  <si>
    <t xml:space="preserve">ORD-2022-01771</t>
  </si>
  <si>
    <t xml:space="preserve">ORD-2023-02068</t>
  </si>
  <si>
    <t xml:space="preserve">ORD-2023-03051</t>
  </si>
  <si>
    <t xml:space="preserve">ORD-2025-06582</t>
  </si>
  <si>
    <t xml:space="preserve">ORD-2025-07383</t>
  </si>
  <si>
    <t xml:space="preserve">ORD-2024-04133</t>
  </si>
  <si>
    <t xml:space="preserve">ORD-2025-08365</t>
  </si>
  <si>
    <t xml:space="preserve">ORD-2025-08784</t>
  </si>
  <si>
    <t xml:space="preserve">ORD-2022-00446</t>
  </si>
  <si>
    <t xml:space="preserve">ORD-2024-06112</t>
  </si>
  <si>
    <t xml:space="preserve">ORD-2023-03207</t>
  </si>
  <si>
    <t xml:space="preserve">ORD-2024-06156</t>
  </si>
  <si>
    <t xml:space="preserve">ORD-2023-03498</t>
  </si>
  <si>
    <t xml:space="preserve">ORD-2024-04476</t>
  </si>
  <si>
    <t xml:space="preserve">ORD-2024-05119</t>
  </si>
  <si>
    <t xml:space="preserve">ORD-2023-02302</t>
  </si>
  <si>
    <t xml:space="preserve">ORD-2025-07736</t>
  </si>
  <si>
    <t xml:space="preserve">ORD-2024-05602</t>
  </si>
  <si>
    <t xml:space="preserve">ORD-2025-08296</t>
  </si>
  <si>
    <t xml:space="preserve">ORD-2022-01632</t>
  </si>
  <si>
    <t xml:space="preserve">ORD-2025-08678</t>
  </si>
  <si>
    <t xml:space="preserve">ORD-2022-00069</t>
  </si>
  <si>
    <t xml:space="preserve">ORD-2024-04318</t>
  </si>
  <si>
    <t xml:space="preserve">ORD-2022-00049</t>
  </si>
  <si>
    <t xml:space="preserve">ORD-2022-01054</t>
  </si>
  <si>
    <t xml:space="preserve">ORD-2024-04059</t>
  </si>
  <si>
    <t xml:space="preserve">ORD-2024-06061</t>
  </si>
  <si>
    <t xml:space="preserve">ORD-2023-02827</t>
  </si>
  <si>
    <t xml:space="preserve">ORD-2025-08118</t>
  </si>
  <si>
    <t xml:space="preserve">ORD-2023-03481</t>
  </si>
  <si>
    <t xml:space="preserve">ORD-2025-07921</t>
  </si>
  <si>
    <t xml:space="preserve">ORD-2024-06221</t>
  </si>
  <si>
    <t xml:space="preserve">ORD-2024-05711</t>
  </si>
  <si>
    <t xml:space="preserve">ORD-2024-04534</t>
  </si>
  <si>
    <t xml:space="preserve">ORD-2022-01468</t>
  </si>
  <si>
    <t xml:space="preserve">ORD-2025-08782</t>
  </si>
  <si>
    <t xml:space="preserve">ORD-2022-00394</t>
  </si>
  <si>
    <t xml:space="preserve">ORD-2023-03520</t>
  </si>
  <si>
    <t xml:space="preserve">ORD-2022-00231</t>
  </si>
  <si>
    <t xml:space="preserve">ORD-2022-01321</t>
  </si>
  <si>
    <t xml:space="preserve">ORD-2022-00042</t>
  </si>
  <si>
    <t xml:space="preserve">ORD-2025-06546</t>
  </si>
  <si>
    <t xml:space="preserve">ORD-2024-06172</t>
  </si>
  <si>
    <t xml:space="preserve">ORD-2025-07978</t>
  </si>
  <si>
    <t xml:space="preserve">ORD-2023-02500</t>
  </si>
  <si>
    <t xml:space="preserve">ORD-2023-01852</t>
  </si>
  <si>
    <t xml:space="preserve">ORD-2022-01531</t>
  </si>
  <si>
    <t xml:space="preserve">ORD-2023-02956</t>
  </si>
  <si>
    <t xml:space="preserve">ORD-2025-06975</t>
  </si>
  <si>
    <t xml:space="preserve">ORD-2025-08573</t>
  </si>
  <si>
    <t xml:space="preserve">ORD-2023-02472</t>
  </si>
  <si>
    <t xml:space="preserve">ORD-2022-01324</t>
  </si>
  <si>
    <t xml:space="preserve">ORD-2024-05364</t>
  </si>
  <si>
    <t xml:space="preserve">ORD-2023-03034</t>
  </si>
  <si>
    <t xml:space="preserve">ORD-2024-04881</t>
  </si>
  <si>
    <t xml:space="preserve">ORD-2022-01492</t>
  </si>
  <si>
    <t xml:space="preserve">ORD-2024-06144</t>
  </si>
  <si>
    <t xml:space="preserve">ORD-2023-03853</t>
  </si>
  <si>
    <t xml:space="preserve">ORD-2022-00062</t>
  </si>
  <si>
    <t xml:space="preserve">ORD-2025-07452</t>
  </si>
  <si>
    <t xml:space="preserve">ORD-2023-02575</t>
  </si>
  <si>
    <t xml:space="preserve">ORD-2023-02573</t>
  </si>
  <si>
    <t xml:space="preserve">ORD-2025-06587</t>
  </si>
  <si>
    <t xml:space="preserve">ORD-2022-00403</t>
  </si>
  <si>
    <t xml:space="preserve">ORD-2022-00333</t>
  </si>
  <si>
    <t xml:space="preserve">ORD-2025-07492</t>
  </si>
  <si>
    <t xml:space="preserve">ORD-2022-01010</t>
  </si>
  <si>
    <t xml:space="preserve">ORD-2022-01169</t>
  </si>
  <si>
    <t xml:space="preserve">ORD-2025-08811</t>
  </si>
  <si>
    <t xml:space="preserve">ORD-2025-07941</t>
  </si>
  <si>
    <t xml:space="preserve">ORD-2023-02627</t>
  </si>
  <si>
    <t xml:space="preserve">ORD-2023-02880</t>
  </si>
  <si>
    <t xml:space="preserve">ORD-2024-04609</t>
  </si>
  <si>
    <t xml:space="preserve">ORD-2024-04211</t>
  </si>
  <si>
    <t xml:space="preserve">ORD-2025-07173</t>
  </si>
  <si>
    <t xml:space="preserve">ORD-2023-01958</t>
  </si>
  <si>
    <t xml:space="preserve">ORD-2022-01439</t>
  </si>
  <si>
    <t xml:space="preserve">ORD-2023-02226</t>
  </si>
  <si>
    <t xml:space="preserve">ORD-2024-04111</t>
  </si>
  <si>
    <t xml:space="preserve">ORD-2025-08597</t>
  </si>
  <si>
    <t xml:space="preserve">ORD-2022-01335</t>
  </si>
  <si>
    <t xml:space="preserve">ORD-2024-06348</t>
  </si>
  <si>
    <t xml:space="preserve">ORD-2023-03888</t>
  </si>
  <si>
    <t xml:space="preserve">ORD-2025-08941</t>
  </si>
  <si>
    <t xml:space="preserve">ORD-2024-04152</t>
  </si>
  <si>
    <t xml:space="preserve">ORD-2025-07913</t>
  </si>
  <si>
    <t xml:space="preserve">ORD-2025-08636</t>
  </si>
  <si>
    <t xml:space="preserve">ORD-2023-03032</t>
  </si>
  <si>
    <t xml:space="preserve">ORD-2023-03003</t>
  </si>
  <si>
    <t xml:space="preserve">ORD-2025-08129</t>
  </si>
  <si>
    <t xml:space="preserve">ORD-2022-00707</t>
  </si>
  <si>
    <t xml:space="preserve">ORD-2024-05301</t>
  </si>
  <si>
    <t xml:space="preserve">ORD-2023-03791</t>
  </si>
  <si>
    <t xml:space="preserve">ORD-2025-07914</t>
  </si>
  <si>
    <t xml:space="preserve">ORD-2023-03893</t>
  </si>
  <si>
    <t xml:space="preserve">ORD-2023-03693</t>
  </si>
  <si>
    <t xml:space="preserve">ORD-2025-08771</t>
  </si>
  <si>
    <t xml:space="preserve">ORD-2024-06356</t>
  </si>
  <si>
    <t xml:space="preserve">ORD-2022-01563</t>
  </si>
  <si>
    <t xml:space="preserve">ORD-2024-04422</t>
  </si>
  <si>
    <t xml:space="preserve">ORD-2025-08932</t>
  </si>
  <si>
    <t xml:space="preserve">ORD-2023-03393</t>
  </si>
  <si>
    <t xml:space="preserve">ORD-2022-00697</t>
  </si>
  <si>
    <t xml:space="preserve">ORD-2022-01104</t>
  </si>
  <si>
    <t xml:space="preserve">ORD-2022-00474</t>
  </si>
  <si>
    <t xml:space="preserve">ORD-2022-00380</t>
  </si>
  <si>
    <t xml:space="preserve">ORD-2025-08036</t>
  </si>
  <si>
    <t xml:space="preserve">ORD-2024-05108</t>
  </si>
  <si>
    <t xml:space="preserve">ORD-2025-08063</t>
  </si>
  <si>
    <t xml:space="preserve">ORD-2024-05479</t>
  </si>
  <si>
    <t xml:space="preserve">ORD-2025-06611</t>
  </si>
  <si>
    <t xml:space="preserve">ORD-2024-04701</t>
  </si>
  <si>
    <t xml:space="preserve">ORD-2024-05940</t>
  </si>
  <si>
    <t xml:space="preserve">ORD-2025-06755</t>
  </si>
  <si>
    <t xml:space="preserve">ORD-2024-04124</t>
  </si>
  <si>
    <t xml:space="preserve">ORD-2022-00382</t>
  </si>
  <si>
    <t xml:space="preserve">ORD-2024-05881</t>
  </si>
  <si>
    <t xml:space="preserve">ORD-2025-06477</t>
  </si>
  <si>
    <t xml:space="preserve">ORD-2024-05248</t>
  </si>
  <si>
    <t xml:space="preserve">ORD-2024-04102</t>
  </si>
  <si>
    <t xml:space="preserve">ORD-2022-01700</t>
  </si>
  <si>
    <t xml:space="preserve">ORD-2024-04192</t>
  </si>
  <si>
    <t xml:space="preserve">ORD-2024-04604</t>
  </si>
  <si>
    <t xml:space="preserve">ORD-2025-06712</t>
  </si>
  <si>
    <t xml:space="preserve">ORD-2022-00059</t>
  </si>
  <si>
    <t xml:space="preserve">ORD-2024-04025</t>
  </si>
  <si>
    <t xml:space="preserve">ORD-2025-07248</t>
  </si>
  <si>
    <t xml:space="preserve">ORD-2024-05618</t>
  </si>
  <si>
    <t xml:space="preserve">ORD-2024-05328</t>
  </si>
  <si>
    <t xml:space="preserve">ORD-2023-03863</t>
  </si>
  <si>
    <t xml:space="preserve">ORD-2024-06367</t>
  </si>
  <si>
    <t xml:space="preserve">ORD-2024-06227</t>
  </si>
  <si>
    <t xml:space="preserve">ORD-2023-02869</t>
  </si>
  <si>
    <t xml:space="preserve">ORD-2022-01194</t>
  </si>
  <si>
    <t xml:space="preserve">ORD-2025-07599</t>
  </si>
  <si>
    <t xml:space="preserve">ORD-2022-00859</t>
  </si>
  <si>
    <t xml:space="preserve">ORD-2024-04442</t>
  </si>
  <si>
    <t xml:space="preserve">ORD-2024-06115</t>
  </si>
  <si>
    <t xml:space="preserve">ORD-2025-08930</t>
  </si>
  <si>
    <t xml:space="preserve">ORD-2025-06687</t>
  </si>
  <si>
    <t xml:space="preserve">ORD-2022-01537</t>
  </si>
  <si>
    <t xml:space="preserve">ORD-2022-00746</t>
  </si>
  <si>
    <t xml:space="preserve">ORD-2024-05138</t>
  </si>
  <si>
    <t xml:space="preserve">ORD-2024-04429</t>
  </si>
  <si>
    <t xml:space="preserve">ORD-2024-06134</t>
  </si>
  <si>
    <t xml:space="preserve">ORD-2023-02708</t>
  </si>
  <si>
    <t xml:space="preserve">ORD-2023-02111</t>
  </si>
  <si>
    <t xml:space="preserve">ORD-2023-03423</t>
  </si>
  <si>
    <t xml:space="preserve">ORD-2025-06929</t>
  </si>
  <si>
    <t xml:space="preserve">ORD-2024-05410</t>
  </si>
  <si>
    <t xml:space="preserve">ORD-2024-04923</t>
  </si>
  <si>
    <t xml:space="preserve">ORD-2024-05622</t>
  </si>
  <si>
    <t xml:space="preserve">ORD-2022-01833</t>
  </si>
  <si>
    <t xml:space="preserve">ORD-2025-08705</t>
  </si>
  <si>
    <t xml:space="preserve">ORD-2024-05688</t>
  </si>
  <si>
    <t xml:space="preserve">ORD-2025-06481</t>
  </si>
  <si>
    <t xml:space="preserve">ORD-2025-06994</t>
  </si>
  <si>
    <t xml:space="preserve">ORD-2022-01657</t>
  </si>
  <si>
    <t xml:space="preserve">ORD-2025-07066</t>
  </si>
  <si>
    <t xml:space="preserve">ORD-2022-01534</t>
  </si>
  <si>
    <t xml:space="preserve">ORD-2023-03155</t>
  </si>
  <si>
    <t xml:space="preserve">ORD-2023-03530</t>
  </si>
  <si>
    <t xml:space="preserve">ORD-2023-03449</t>
  </si>
  <si>
    <t xml:space="preserve">ORD-2023-03724</t>
  </si>
  <si>
    <t xml:space="preserve">ORD-2024-04873</t>
  </si>
  <si>
    <t xml:space="preserve">ORD-2024-05850</t>
  </si>
  <si>
    <t xml:space="preserve">ORD-2023-02178</t>
  </si>
  <si>
    <t xml:space="preserve">ORD-2024-04044</t>
  </si>
  <si>
    <t xml:space="preserve">ORD-2025-08378</t>
  </si>
  <si>
    <t xml:space="preserve">ORD-2022-00215</t>
  </si>
  <si>
    <t xml:space="preserve">ORD-2025-08961</t>
  </si>
  <si>
    <t xml:space="preserve">ORD-2023-03694</t>
  </si>
  <si>
    <t xml:space="preserve">ORD-2025-07673</t>
  </si>
  <si>
    <t xml:space="preserve">ORD-2022-00863</t>
  </si>
  <si>
    <t xml:space="preserve">ORD-2022-00004</t>
  </si>
  <si>
    <t xml:space="preserve">ORD-2024-05730</t>
  </si>
  <si>
    <t xml:space="preserve">ORD-2023-03940</t>
  </si>
  <si>
    <t xml:space="preserve">ORD-2024-05555</t>
  </si>
  <si>
    <t xml:space="preserve">ORD-2022-01719</t>
  </si>
  <si>
    <t xml:space="preserve">ORD-2022-00182</t>
  </si>
  <si>
    <t xml:space="preserve">ORD-2022-01619</t>
  </si>
  <si>
    <t xml:space="preserve">ORD-2024-04254</t>
  </si>
  <si>
    <t xml:space="preserve">ORD-2024-06116</t>
  </si>
  <si>
    <t xml:space="preserve">ORD-2023-03659</t>
  </si>
  <si>
    <t xml:space="preserve">ORD-2025-07553</t>
  </si>
  <si>
    <t xml:space="preserve">ORD-2023-03488</t>
  </si>
  <si>
    <t xml:space="preserve">ORD-2025-07136</t>
  </si>
  <si>
    <t xml:space="preserve">ORD-2023-01923</t>
  </si>
  <si>
    <t xml:space="preserve">ORD-2025-08366</t>
  </si>
  <si>
    <t xml:space="preserve">ORD-2025-07605</t>
  </si>
  <si>
    <t xml:space="preserve">ORD-2023-02863</t>
  </si>
  <si>
    <t xml:space="preserve">ORD-2025-06434</t>
  </si>
  <si>
    <t xml:space="preserve">ORD-2024-04909</t>
  </si>
  <si>
    <t xml:space="preserve">ORD-2023-03904</t>
  </si>
  <si>
    <t xml:space="preserve">ORD-2022-00071</t>
  </si>
  <si>
    <t xml:space="preserve">ORD-2022-00545</t>
  </si>
  <si>
    <t xml:space="preserve">ORD-2024-05453</t>
  </si>
  <si>
    <t xml:space="preserve">ORD-2022-00836</t>
  </si>
  <si>
    <t xml:space="preserve">ORD-2025-08830</t>
  </si>
  <si>
    <t xml:space="preserve">ORD-2023-03887</t>
  </si>
  <si>
    <t xml:space="preserve">ORD-2024-05588</t>
  </si>
  <si>
    <t xml:space="preserve">ORD-2023-03644</t>
  </si>
  <si>
    <t xml:space="preserve">ORD-2025-08753</t>
  </si>
  <si>
    <t xml:space="preserve">ORD-2022-00368</t>
  </si>
  <si>
    <t xml:space="preserve">ORD-2025-06877</t>
  </si>
  <si>
    <t xml:space="preserve">ORD-2024-04394</t>
  </si>
  <si>
    <t xml:space="preserve">ORD-2023-03686</t>
  </si>
  <si>
    <t xml:space="preserve">ORD-2025-08061</t>
  </si>
  <si>
    <t xml:space="preserve">ORD-2022-00878</t>
  </si>
  <si>
    <t xml:space="preserve">ORD-2025-07773</t>
  </si>
  <si>
    <t xml:space="preserve">ORD-2024-04440</t>
  </si>
  <si>
    <t xml:space="preserve">ORD-2025-08812</t>
  </si>
  <si>
    <t xml:space="preserve">ORD-2023-02442</t>
  </si>
  <si>
    <t xml:space="preserve">ORD-2024-05221</t>
  </si>
  <si>
    <t xml:space="preserve">ORD-2025-08658</t>
  </si>
  <si>
    <t xml:space="preserve">ORD-2025-08442</t>
  </si>
  <si>
    <t xml:space="preserve">ORD-2023-03323</t>
  </si>
  <si>
    <t xml:space="preserve">ORD-2023-02073</t>
  </si>
  <si>
    <t xml:space="preserve">ORD-2022-01545</t>
  </si>
  <si>
    <t xml:space="preserve">ORD-2025-07118</t>
  </si>
  <si>
    <t xml:space="preserve">ORD-2025-08464</t>
  </si>
  <si>
    <t xml:space="preserve">ORD-2025-08469</t>
  </si>
  <si>
    <t xml:space="preserve">ORD-2024-05428</t>
  </si>
  <si>
    <t xml:space="preserve">ORD-2025-08210</t>
  </si>
  <si>
    <t xml:space="preserve">ORD-2025-06577</t>
  </si>
  <si>
    <t xml:space="preserve">ORD-2022-01433</t>
  </si>
  <si>
    <t xml:space="preserve">ORD-2025-07310</t>
  </si>
  <si>
    <t xml:space="preserve">ORD-2025-06779</t>
  </si>
  <si>
    <t xml:space="preserve">ORD-2025-08048</t>
  </si>
  <si>
    <t xml:space="preserve">ORD-2025-08668</t>
  </si>
  <si>
    <t xml:space="preserve">ORD-2024-06125</t>
  </si>
  <si>
    <t xml:space="preserve">ORD-2024-05146</t>
  </si>
  <si>
    <t xml:space="preserve">ORD-2024-05598</t>
  </si>
  <si>
    <t xml:space="preserve">ORD-2023-02882</t>
  </si>
  <si>
    <t xml:space="preserve">ORD-2024-04075</t>
  </si>
  <si>
    <t xml:space="preserve">ORD-2023-02482</t>
  </si>
  <si>
    <t xml:space="preserve">ORD-2024-04396</t>
  </si>
  <si>
    <t xml:space="preserve">ORD-2025-08104</t>
  </si>
  <si>
    <t xml:space="preserve">ORD-2024-04343</t>
  </si>
  <si>
    <t xml:space="preserve">ORD-2023-02516</t>
  </si>
  <si>
    <t xml:space="preserve">ORD-2022-00219</t>
  </si>
  <si>
    <t xml:space="preserve">ORD-2025-07047</t>
  </si>
  <si>
    <t xml:space="preserve">ORD-2025-06623</t>
  </si>
  <si>
    <t xml:space="preserve">ORD-2025-07123</t>
  </si>
  <si>
    <t xml:space="preserve">ORD-2023-02153</t>
  </si>
  <si>
    <t xml:space="preserve">ORD-2022-01245</t>
  </si>
  <si>
    <t xml:space="preserve">ORD-2023-03735</t>
  </si>
  <si>
    <t xml:space="preserve">ORD-2025-06849</t>
  </si>
  <si>
    <t xml:space="preserve">ORD-2024-06139</t>
  </si>
  <si>
    <t xml:space="preserve">ORD-2024-05058</t>
  </si>
  <si>
    <t xml:space="preserve">ORD-2022-01644</t>
  </si>
  <si>
    <t xml:space="preserve">ORD-2025-08228</t>
  </si>
  <si>
    <t xml:space="preserve">ORD-2025-07164</t>
  </si>
  <si>
    <t xml:space="preserve">ORD-2022-00577</t>
  </si>
  <si>
    <t xml:space="preserve">ORD-2023-03124</t>
  </si>
  <si>
    <t xml:space="preserve">ORD-2024-04831</t>
  </si>
  <si>
    <t xml:space="preserve">ORD-2022-01776</t>
  </si>
  <si>
    <t xml:space="preserve">ORD-2022-01167</t>
  </si>
  <si>
    <t xml:space="preserve">ORD-2023-02877</t>
  </si>
  <si>
    <t xml:space="preserve">ORD-2023-02604</t>
  </si>
  <si>
    <t xml:space="preserve">ORD-2022-00416</t>
  </si>
  <si>
    <t xml:space="preserve">ORD-2023-03026</t>
  </si>
  <si>
    <t xml:space="preserve">ORD-2025-08286</t>
  </si>
  <si>
    <t xml:space="preserve">ORD-2024-04360</t>
  </si>
  <si>
    <t xml:space="preserve">ORD-2022-00760</t>
  </si>
  <si>
    <t xml:space="preserve">ORD-2022-01386</t>
  </si>
  <si>
    <t xml:space="preserve">ORD-2024-04241</t>
  </si>
  <si>
    <t xml:space="preserve">ORD-2022-01202</t>
  </si>
  <si>
    <t xml:space="preserve">ORD-2024-06001</t>
  </si>
  <si>
    <t xml:space="preserve">ORD-2023-02058</t>
  </si>
  <si>
    <t xml:space="preserve">ORD-2024-04003</t>
  </si>
  <si>
    <t xml:space="preserve">ORD-2023-03208</t>
  </si>
  <si>
    <t xml:space="preserve">ORD-2025-08332</t>
  </si>
  <si>
    <t xml:space="preserve">ORD-2023-03807</t>
  </si>
  <si>
    <t xml:space="preserve">ORD-2025-08986</t>
  </si>
  <si>
    <t xml:space="preserve">ORD-2023-02593</t>
  </si>
  <si>
    <t xml:space="preserve">ORD-2025-08300</t>
  </si>
  <si>
    <t xml:space="preserve">ORD-2022-00783</t>
  </si>
  <si>
    <t xml:space="preserve">ORD-2023-01919</t>
  </si>
  <si>
    <t xml:space="preserve">ORD-2022-00329</t>
  </si>
  <si>
    <t xml:space="preserve">ORD-2025-08341</t>
  </si>
  <si>
    <t xml:space="preserve">ORD-2025-06978</t>
  </si>
  <si>
    <t xml:space="preserve">ORD-2023-03092</t>
  </si>
  <si>
    <t xml:space="preserve">ORD-2025-07408</t>
  </si>
  <si>
    <t xml:space="preserve">ORD-2025-07171</t>
  </si>
  <si>
    <t xml:space="preserve">ORD-2024-05380</t>
  </si>
  <si>
    <t xml:space="preserve">ORD-2022-01112</t>
  </si>
  <si>
    <t xml:space="preserve">ORD-2025-08398</t>
  </si>
  <si>
    <t xml:space="preserve">ORD-2025-06980</t>
  </si>
  <si>
    <t xml:space="preserve">ORD-2025-08659</t>
  </si>
  <si>
    <t xml:space="preserve">ORD-2023-02184</t>
  </si>
  <si>
    <t xml:space="preserve">ORD-2022-01282</t>
  </si>
  <si>
    <t xml:space="preserve">ORD-2022-00972</t>
  </si>
  <si>
    <t xml:space="preserve">ORD-2023-02868</t>
  </si>
  <si>
    <t xml:space="preserve">ORD-2024-04491</t>
  </si>
  <si>
    <t xml:space="preserve">ORD-2024-04607</t>
  </si>
  <si>
    <t xml:space="preserve">ORD-2023-03483</t>
  </si>
  <si>
    <t xml:space="preserve">ORD-2023-03880</t>
  </si>
  <si>
    <t xml:space="preserve">ORD-2023-03232</t>
  </si>
  <si>
    <t xml:space="preserve">ORD-2022-00971</t>
  </si>
  <si>
    <t xml:space="preserve">ORD-2024-04384</t>
  </si>
  <si>
    <t xml:space="preserve">ORD-2025-07304</t>
  </si>
  <si>
    <t xml:space="preserve">ORD-2024-04039</t>
  </si>
  <si>
    <t xml:space="preserve">ORD-2025-08396</t>
  </si>
  <si>
    <t xml:space="preserve">ORD-2024-06194</t>
  </si>
  <si>
    <t xml:space="preserve">ORD-2023-03970</t>
  </si>
  <si>
    <t xml:space="preserve">ORD-2023-02437</t>
  </si>
  <si>
    <t xml:space="preserve">ORD-2025-08613</t>
  </si>
  <si>
    <t xml:space="preserve">ORD-2022-01283</t>
  </si>
  <si>
    <t xml:space="preserve">ORD-2024-04082</t>
  </si>
  <si>
    <t xml:space="preserve">ORD-2024-05958</t>
  </si>
  <si>
    <t xml:space="preserve">ORD-2024-04150</t>
  </si>
  <si>
    <t xml:space="preserve">ORD-2024-04285</t>
  </si>
  <si>
    <t xml:space="preserve">ORD-2022-01438</t>
  </si>
  <si>
    <t xml:space="preserve">ORD-2023-02228</t>
  </si>
  <si>
    <t xml:space="preserve">ORD-2025-08703</t>
  </si>
  <si>
    <t xml:space="preserve">ORD-2022-00112</t>
  </si>
  <si>
    <t xml:space="preserve">ORD-2024-04581</t>
  </si>
  <si>
    <t xml:space="preserve">ORD-2023-02743</t>
  </si>
  <si>
    <t xml:space="preserve">ORD-2024-04462</t>
  </si>
  <si>
    <t xml:space="preserve">ORD-2023-01845</t>
  </si>
  <si>
    <t xml:space="preserve">ORD-2023-02035</t>
  </si>
  <si>
    <t xml:space="preserve">ORD-2025-07845</t>
  </si>
  <si>
    <t xml:space="preserve">ORD-2023-03785</t>
  </si>
  <si>
    <t xml:space="preserve">ORD-2025-08077</t>
  </si>
  <si>
    <t xml:space="preserve">ORD-2024-04707</t>
  </si>
  <si>
    <t xml:space="preserve">ORD-2023-03919</t>
  </si>
  <si>
    <t xml:space="preserve">ORD-2025-08264</t>
  </si>
  <si>
    <t xml:space="preserve">ORD-2023-02229</t>
  </si>
  <si>
    <t xml:space="preserve">ORD-2024-04610</t>
  </si>
  <si>
    <t xml:space="preserve">ORD-2022-01299</t>
  </si>
  <si>
    <t xml:space="preserve">ORD-2023-02355</t>
  </si>
  <si>
    <t xml:space="preserve">ORD-2022-00741</t>
  </si>
  <si>
    <t xml:space="preserve">ORD-2025-08944</t>
  </si>
  <si>
    <t xml:space="preserve">ORD-2025-07924</t>
  </si>
  <si>
    <t xml:space="preserve">ORD-2024-05153</t>
  </si>
  <si>
    <t xml:space="preserve">ORD-2023-03622</t>
  </si>
  <si>
    <t xml:space="preserve">ORD-2025-06871</t>
  </si>
  <si>
    <t xml:space="preserve">ORD-2023-02518</t>
  </si>
  <si>
    <t xml:space="preserve">ORD-2024-04023</t>
  </si>
  <si>
    <t xml:space="preserve">ORD-2024-05352</t>
  </si>
  <si>
    <t xml:space="preserve">ORD-2023-02848</t>
  </si>
  <si>
    <t xml:space="preserve">ORD-2025-06533</t>
  </si>
  <si>
    <t xml:space="preserve">ORD-2024-05075</t>
  </si>
  <si>
    <t xml:space="preserve">ORD-2023-03609</t>
  </si>
  <si>
    <t xml:space="preserve">ORD-2024-04413</t>
  </si>
  <si>
    <t xml:space="preserve">ORD-2025-06572</t>
  </si>
  <si>
    <t xml:space="preserve">ORD-2023-02129</t>
  </si>
  <si>
    <t xml:space="preserve">ORD-2022-00436</t>
  </si>
  <si>
    <t xml:space="preserve">ORD-2025-06827</t>
  </si>
  <si>
    <t xml:space="preserve">ORD-2024-06051</t>
  </si>
  <si>
    <t xml:space="preserve">ORD-2022-00309</t>
  </si>
  <si>
    <t xml:space="preserve">ORD-2025-08874</t>
  </si>
  <si>
    <t xml:space="preserve">ORD-2023-02860</t>
  </si>
  <si>
    <t xml:space="preserve">ORD-2024-04162</t>
  </si>
  <si>
    <t xml:space="preserve">ORD-2022-00088</t>
  </si>
  <si>
    <t xml:space="preserve">ORD-2025-06829</t>
  </si>
  <si>
    <t xml:space="preserve">ORD-2023-02946</t>
  </si>
  <si>
    <t xml:space="preserve">ORD-2022-00402</t>
  </si>
  <si>
    <t xml:space="preserve">ORD-2023-02522</t>
  </si>
  <si>
    <t xml:space="preserve">ORD-2022-01021</t>
  </si>
  <si>
    <t xml:space="preserve">ORD-2022-00882</t>
  </si>
  <si>
    <t xml:space="preserve">ORD-2025-06711</t>
  </si>
  <si>
    <t xml:space="preserve">ORD-2025-06568</t>
  </si>
  <si>
    <t xml:space="preserve">ORD-2024-05781</t>
  </si>
  <si>
    <t xml:space="preserve">ORD-2025-06722</t>
  </si>
  <si>
    <t xml:space="preserve">ORD-2023-03519</t>
  </si>
  <si>
    <t xml:space="preserve">ORD-2024-05203</t>
  </si>
  <si>
    <t xml:space="preserve">ORD-2025-07374</t>
  </si>
  <si>
    <t xml:space="preserve">ORD-2023-03740</t>
  </si>
  <si>
    <t xml:space="preserve">ORD-2022-00258</t>
  </si>
  <si>
    <t xml:space="preserve">ORD-2024-04514</t>
  </si>
  <si>
    <t xml:space="preserve">ORD-2022-00289</t>
  </si>
  <si>
    <t xml:space="preserve">ORD-2023-03000</t>
  </si>
  <si>
    <t xml:space="preserve">ORD-2025-06872</t>
  </si>
  <si>
    <t xml:space="preserve">ORD-2024-05493</t>
  </si>
  <si>
    <t xml:space="preserve">ORD-2024-06305</t>
  </si>
  <si>
    <t xml:space="preserve">ORD-2023-01982</t>
  </si>
  <si>
    <t xml:space="preserve">ORD-2024-05706</t>
  </si>
  <si>
    <t xml:space="preserve">ORD-2023-02479</t>
  </si>
  <si>
    <t xml:space="preserve">ORD-2025-07109</t>
  </si>
  <si>
    <t xml:space="preserve">ORD-2023-03839</t>
  </si>
  <si>
    <t xml:space="preserve">ORD-2022-00738</t>
  </si>
  <si>
    <t xml:space="preserve">ORD-2024-05367</t>
  </si>
  <si>
    <t xml:space="preserve">ORD-2025-08639</t>
  </si>
  <si>
    <t xml:space="preserve">ORD-2024-05318</t>
  </si>
  <si>
    <t xml:space="preserve">ORD-2022-01818</t>
  </si>
  <si>
    <t xml:space="preserve">ORD-2024-04395</t>
  </si>
  <si>
    <t xml:space="preserve">ORD-2022-00544</t>
  </si>
  <si>
    <t xml:space="preserve">ORD-2025-08775</t>
  </si>
  <si>
    <t xml:space="preserve">ORD-2025-07655</t>
  </si>
  <si>
    <t xml:space="preserve">ORD-2025-08047</t>
  </si>
  <si>
    <t xml:space="preserve">ORD-2023-03442</t>
  </si>
  <si>
    <t xml:space="preserve">ORD-2024-05913</t>
  </si>
  <si>
    <t xml:space="preserve">ORD-2024-04624</t>
  </si>
  <si>
    <t xml:space="preserve">ORD-2022-01840</t>
  </si>
  <si>
    <t xml:space="preserve">ORD-2023-02389</t>
  </si>
  <si>
    <t xml:space="preserve">ORD-2023-03108</t>
  </si>
  <si>
    <t xml:space="preserve">ORD-2024-04335</t>
  </si>
  <si>
    <t xml:space="preserve">ORD-2023-03687</t>
  </si>
  <si>
    <t xml:space="preserve">ORD-2025-07177</t>
  </si>
  <si>
    <t xml:space="preserve">ORD-2023-02998</t>
  </si>
  <si>
    <t xml:space="preserve">ORD-2022-00801</t>
  </si>
  <si>
    <t xml:space="preserve">ORD-2025-08270</t>
  </si>
  <si>
    <t xml:space="preserve">ORD-2022-01406</t>
  </si>
  <si>
    <t xml:space="preserve">ORD-2022-00057</t>
  </si>
  <si>
    <t xml:space="preserve">ORD-2025-06380</t>
  </si>
  <si>
    <t xml:space="preserve">ORD-2022-00070</t>
  </si>
  <si>
    <t xml:space="preserve">ORD-2024-05647</t>
  </si>
  <si>
    <t xml:space="preserve">ORD-2022-00712</t>
  </si>
  <si>
    <t xml:space="preserve">ORD-2025-08188</t>
  </si>
  <si>
    <t xml:space="preserve">ORD-2022-00266</t>
  </si>
  <si>
    <t xml:space="preserve">ORD-2022-01587</t>
  </si>
  <si>
    <t xml:space="preserve">ORD-2024-05936</t>
  </si>
  <si>
    <t xml:space="preserve">ORD-2025-07138</t>
  </si>
  <si>
    <t xml:space="preserve">ORD-2024-05663</t>
  </si>
  <si>
    <t xml:space="preserve">ORD-2022-01075</t>
  </si>
  <si>
    <t xml:space="preserve">ORD-2023-02030</t>
  </si>
  <si>
    <t xml:space="preserve">ORD-2024-04092</t>
  </si>
  <si>
    <t xml:space="preserve">ORD-2025-07381</t>
  </si>
  <si>
    <t xml:space="preserve">ORD-2024-05016</t>
  </si>
  <si>
    <t xml:space="preserve">ORD-2024-05826</t>
  </si>
  <si>
    <t xml:space="preserve">ORD-2025-08187</t>
  </si>
  <si>
    <t xml:space="preserve">ORD-2024-04636</t>
  </si>
  <si>
    <t xml:space="preserve">ORD-2024-04978</t>
  </si>
  <si>
    <t xml:space="preserve">ORD-2024-05357</t>
  </si>
  <si>
    <t xml:space="preserve">ORD-2025-08921</t>
  </si>
  <si>
    <t xml:space="preserve">ORD-2024-05917</t>
  </si>
  <si>
    <t xml:space="preserve">ORD-2025-08773</t>
  </si>
  <si>
    <t xml:space="preserve">ORD-2025-07766</t>
  </si>
  <si>
    <t xml:space="preserve">ORD-2025-07160</t>
  </si>
  <si>
    <t xml:space="preserve">ORD-2024-04302</t>
  </si>
  <si>
    <t xml:space="preserve">ORD-2024-04602</t>
  </si>
  <si>
    <t xml:space="preserve">ORD-2024-04551</t>
  </si>
  <si>
    <t xml:space="preserve">ORD-2024-05815</t>
  </si>
  <si>
    <t xml:space="preserve">ORD-2023-02338</t>
  </si>
  <si>
    <t xml:space="preserve">ORD-2025-08945</t>
  </si>
  <si>
    <t xml:space="preserve">ORD-2022-00679</t>
  </si>
  <si>
    <t xml:space="preserve">ORD-2022-00478</t>
  </si>
  <si>
    <t xml:space="preserve">ORD-2022-01330</t>
  </si>
  <si>
    <t xml:space="preserve">ORD-2025-08246</t>
  </si>
  <si>
    <t xml:space="preserve">ORD-2022-01685</t>
  </si>
  <si>
    <t xml:space="preserve">ORD-2025-08730</t>
  </si>
  <si>
    <t xml:space="preserve">ORD-2025-08712</t>
  </si>
  <si>
    <t xml:space="preserve">ORD-2022-01778</t>
  </si>
  <si>
    <t xml:space="preserve">ORD-2023-03814</t>
  </si>
  <si>
    <t xml:space="preserve">ORD-2022-00752</t>
  </si>
  <si>
    <t xml:space="preserve">ORD-2023-02167</t>
  </si>
  <si>
    <t xml:space="preserve">ORD-2025-08109</t>
  </si>
  <si>
    <t xml:space="preserve">ORD-2023-03795</t>
  </si>
  <si>
    <t xml:space="preserve">ORD-2024-06071</t>
  </si>
  <si>
    <t xml:space="preserve">ORD-2022-00477</t>
  </si>
  <si>
    <t xml:space="preserve">ORD-2024-04351</t>
  </si>
  <si>
    <t xml:space="preserve">ORD-2025-07676</t>
  </si>
  <si>
    <t xml:space="preserve">ORD-2025-08002</t>
  </si>
  <si>
    <t xml:space="preserve">ORD-2022-00212</t>
  </si>
  <si>
    <t xml:space="preserve">ORD-2022-00469</t>
  </si>
  <si>
    <t xml:space="preserve">ORD-2022-01546</t>
  </si>
  <si>
    <t xml:space="preserve">ORD-2024-05126</t>
  </si>
  <si>
    <t xml:space="preserve">ORD-2023-03317</t>
  </si>
  <si>
    <t xml:space="preserve">ORD-2025-08691</t>
  </si>
  <si>
    <t xml:space="preserve">ORD-2024-05833</t>
  </si>
  <si>
    <t xml:space="preserve">ORD-2025-07786</t>
  </si>
  <si>
    <t xml:space="preserve">ORD-2024-05319</t>
  </si>
  <si>
    <t xml:space="preserve">ORD-2022-01026</t>
  </si>
  <si>
    <t xml:space="preserve">ORD-2023-03308</t>
  </si>
  <si>
    <t xml:space="preserve">ORD-2024-06323</t>
  </si>
  <si>
    <t xml:space="preserve">ORD-2025-07277</t>
  </si>
  <si>
    <t xml:space="preserve">ORD-2025-07549</t>
  </si>
  <si>
    <t xml:space="preserve">ORD-2022-01471</t>
  </si>
  <si>
    <t xml:space="preserve">ORD-2025-07522</t>
  </si>
  <si>
    <t xml:space="preserve">ORD-2025-07135</t>
  </si>
  <si>
    <t xml:space="preserve">ORD-2025-07794</t>
  </si>
  <si>
    <t xml:space="preserve">ORD-2024-04393</t>
  </si>
  <si>
    <t xml:space="preserve">ORD-2022-00774</t>
  </si>
  <si>
    <t xml:space="preserve">ORD-2023-02019</t>
  </si>
  <si>
    <t xml:space="preserve">ORD-2023-03523</t>
  </si>
  <si>
    <t xml:space="preserve">ORD-2023-03147</t>
  </si>
  <si>
    <t xml:space="preserve">ORD-2024-05245</t>
  </si>
  <si>
    <t xml:space="preserve">ORD-2022-00642</t>
  </si>
  <si>
    <t xml:space="preserve">ORD-2024-05363</t>
  </si>
  <si>
    <t xml:space="preserve">ORD-2022-00197</t>
  </si>
  <si>
    <t xml:space="preserve">ORD-2024-05900</t>
  </si>
  <si>
    <t xml:space="preserve">ORD-2022-01156</t>
  </si>
  <si>
    <t xml:space="preserve">ORD-2022-01145</t>
  </si>
  <si>
    <t xml:space="preserve">ORD-2025-07231</t>
  </si>
  <si>
    <t xml:space="preserve">ORD-2022-01109</t>
  </si>
  <si>
    <t xml:space="preserve">ORD-2025-06787</t>
  </si>
  <si>
    <t xml:space="preserve">ORD-2024-04506</t>
  </si>
  <si>
    <t xml:space="preserve">ORD-2022-01421</t>
  </si>
  <si>
    <t xml:space="preserve">ORD-2024-04234</t>
  </si>
  <si>
    <t xml:space="preserve">ORD-2024-04660</t>
  </si>
  <si>
    <t xml:space="preserve">ORD-2024-05867</t>
  </si>
  <si>
    <t xml:space="preserve">ORD-2023-03018</t>
  </si>
  <si>
    <t xml:space="preserve">ORD-2024-05677</t>
  </si>
  <si>
    <t xml:space="preserve">ORD-2023-03917</t>
  </si>
  <si>
    <t xml:space="preserve">ORD-2022-01759</t>
  </si>
  <si>
    <t xml:space="preserve">ORD-2022-00958</t>
  </si>
  <si>
    <t xml:space="preserve">ORD-2024-06337</t>
  </si>
  <si>
    <t xml:space="preserve">ORD-2022-01681</t>
  </si>
  <si>
    <t xml:space="preserve">ORD-2024-05459</t>
  </si>
  <si>
    <t xml:space="preserve">ORD-2022-00634</t>
  </si>
  <si>
    <t xml:space="preserve">ORD-2023-03746</t>
  </si>
  <si>
    <t xml:space="preserve">ORD-2023-02933</t>
  </si>
  <si>
    <t xml:space="preserve">ORD-2023-02211</t>
  </si>
  <si>
    <t xml:space="preserve">ORD-2022-01262</t>
  </si>
  <si>
    <t xml:space="preserve">ORD-2022-00119</t>
  </si>
  <si>
    <t xml:space="preserve">ORD-2025-06616</t>
  </si>
  <si>
    <t xml:space="preserve">ORD-2024-05494</t>
  </si>
  <si>
    <t xml:space="preserve">ORD-2024-04281</t>
  </si>
  <si>
    <t xml:space="preserve">ORD-2025-08929</t>
  </si>
  <si>
    <t xml:space="preserve">ORD-2023-02699</t>
  </si>
  <si>
    <t xml:space="preserve">ORD-2023-03284</t>
  </si>
  <si>
    <t xml:space="preserve">ORD-2025-07012</t>
  </si>
  <si>
    <t xml:space="preserve">ORD-2024-05072</t>
  </si>
  <si>
    <t xml:space="preserve">ORD-2025-07190</t>
  </si>
  <si>
    <t xml:space="preserve">ORD-2025-07530</t>
  </si>
  <si>
    <t xml:space="preserve">ORD-2025-07251</t>
  </si>
  <si>
    <t xml:space="preserve">ORD-2023-02303</t>
  </si>
  <si>
    <t xml:space="preserve">ORD-2024-05419</t>
  </si>
  <si>
    <t xml:space="preserve">ORD-2022-01173</t>
  </si>
  <si>
    <t xml:space="preserve">ORD-2023-03858</t>
  </si>
  <si>
    <t xml:space="preserve">ORD-2025-06781</t>
  </si>
  <si>
    <t xml:space="preserve">ORD-2025-07133</t>
  </si>
  <si>
    <t xml:space="preserve">ORD-2024-04901</t>
  </si>
  <si>
    <t xml:space="preserve">ORD-2023-03299</t>
  </si>
  <si>
    <t xml:space="preserve">ORD-2023-02134</t>
  </si>
  <si>
    <t xml:space="preserve">ORD-2023-03544</t>
  </si>
  <si>
    <t xml:space="preserve">ORD-2024-06330</t>
  </si>
  <si>
    <t xml:space="preserve">ORD-2024-06102</t>
  </si>
  <si>
    <t xml:space="preserve">ORD-2024-04817</t>
  </si>
  <si>
    <t xml:space="preserve">ORD-2023-02549</t>
  </si>
  <si>
    <t xml:space="preserve">ORD-2025-07851</t>
  </si>
  <si>
    <t xml:space="preserve">ORD-2022-00816</t>
  </si>
  <si>
    <t xml:space="preserve">ORD-2025-07087</t>
  </si>
  <si>
    <t xml:space="preserve">ORD-2025-07151</t>
  </si>
  <si>
    <t xml:space="preserve">ORD-2023-03350</t>
  </si>
  <si>
    <t xml:space="preserve">ORD-2024-04732</t>
  </si>
  <si>
    <t xml:space="preserve">ORD-2025-06717</t>
  </si>
  <si>
    <t xml:space="preserve">ORD-2023-03132</t>
  </si>
  <si>
    <t xml:space="preserve">ORD-2022-00180</t>
  </si>
  <si>
    <t xml:space="preserve">ORD-2025-08358</t>
  </si>
  <si>
    <t xml:space="preserve">ORD-2023-03291</t>
  </si>
  <si>
    <t xml:space="preserve">ORD-2025-07500</t>
  </si>
  <si>
    <t xml:space="preserve">ORD-2024-04008</t>
  </si>
  <si>
    <t xml:space="preserve">ORD-2022-01158</t>
  </si>
  <si>
    <t xml:space="preserve">ORD-2025-06540</t>
  </si>
  <si>
    <t xml:space="preserve">ORD-2022-01533</t>
  </si>
  <si>
    <t xml:space="preserve">ORD-2025-08229</t>
  </si>
  <si>
    <t xml:space="preserve">ORD-2022-01536</t>
  </si>
  <si>
    <t xml:space="preserve">ORD-2024-06138</t>
  </si>
  <si>
    <t xml:space="preserve">ORD-2024-06241</t>
  </si>
  <si>
    <t xml:space="preserve">ORD-2023-02421</t>
  </si>
  <si>
    <t xml:space="preserve">ORD-2025-07067</t>
  </si>
  <si>
    <t xml:space="preserve">ORD-2025-07063</t>
  </si>
  <si>
    <t xml:space="preserve">ORD-2023-02313</t>
  </si>
  <si>
    <t xml:space="preserve">ORD-2022-01481</t>
  </si>
  <si>
    <t xml:space="preserve">ORD-2023-03775</t>
  </si>
  <si>
    <t xml:space="preserve">ORD-2025-08844</t>
  </si>
  <si>
    <t xml:space="preserve">ORD-2025-08985</t>
  </si>
  <si>
    <t xml:space="preserve">ORD-2024-05322</t>
  </si>
  <si>
    <t xml:space="preserve">ORD-2023-01953</t>
  </si>
  <si>
    <t xml:space="preserve">ORD-2025-07474</t>
  </si>
  <si>
    <t xml:space="preserve">ORD-2025-07150</t>
  </si>
  <si>
    <t xml:space="preserve">ORD-2022-01164</t>
  </si>
  <si>
    <t xml:space="preserve">ORD-2025-06725</t>
  </si>
  <si>
    <t xml:space="preserve">ORD-2024-05000</t>
  </si>
  <si>
    <t xml:space="preserve">ORD-2025-07182</t>
  </si>
  <si>
    <t xml:space="preserve">ORD-2023-03708</t>
  </si>
  <si>
    <t xml:space="preserve">ORD-2024-04253</t>
  </si>
  <si>
    <t xml:space="preserve">ORD-2023-03468</t>
  </si>
  <si>
    <t xml:space="preserve">ORD-2022-01599</t>
  </si>
  <si>
    <t xml:space="preserve">ORD-2024-05829</t>
  </si>
  <si>
    <t xml:space="preserve">ORD-2022-00301</t>
  </si>
  <si>
    <t xml:space="preserve">ORD-2023-02961</t>
  </si>
  <si>
    <t xml:space="preserve">ORD-2023-02523</t>
  </si>
  <si>
    <t xml:space="preserve">ORD-2025-07538</t>
  </si>
  <si>
    <t xml:space="preserve">ORD-2025-07233</t>
  </si>
  <si>
    <t xml:space="preserve">ORD-2023-02214</t>
  </si>
  <si>
    <t xml:space="preserve">ORD-2022-01360</t>
  </si>
  <si>
    <t xml:space="preserve">ORD-2023-02716</t>
  </si>
  <si>
    <t xml:space="preserve">ORD-2023-02587</t>
  </si>
  <si>
    <t xml:space="preserve">ORD-2024-04746</t>
  </si>
  <si>
    <t xml:space="preserve">ORD-2022-00487</t>
  </si>
  <si>
    <t xml:space="preserve">ORD-2023-02493</t>
  </si>
  <si>
    <t xml:space="preserve">ORD-2024-05563</t>
  </si>
  <si>
    <t xml:space="preserve">ORD-2022-01153</t>
  </si>
  <si>
    <t xml:space="preserve">ORD-2024-04054</t>
  </si>
  <si>
    <t xml:space="preserve">ORD-2024-04435</t>
  </si>
  <si>
    <t xml:space="preserve">ORD-2024-06374</t>
  </si>
  <si>
    <t xml:space="preserve">ORD-2025-08774</t>
  </si>
  <si>
    <t xml:space="preserve">ORD-2025-06764</t>
  </si>
  <si>
    <t xml:space="preserve">ORD-2024-04783</t>
  </si>
  <si>
    <t xml:space="preserve">ORD-2022-00666</t>
  </si>
  <si>
    <t xml:space="preserve">ORD-2025-07261</t>
  </si>
  <si>
    <t xml:space="preserve">ORD-2024-05911</t>
  </si>
  <si>
    <t xml:space="preserve">ORD-2022-00643</t>
  </si>
  <si>
    <t xml:space="preserve">ORD-2022-00177</t>
  </si>
  <si>
    <t xml:space="preserve">ORD-2025-08963</t>
  </si>
  <si>
    <t xml:space="preserve">ORD-2023-02273</t>
  </si>
  <si>
    <t xml:space="preserve">ORD-2022-00787</t>
  </si>
  <si>
    <t xml:space="preserve">ORD-2024-05171</t>
  </si>
  <si>
    <t xml:space="preserve">ORD-2024-05653</t>
  </si>
  <si>
    <t xml:space="preserve">ORD-2023-03949</t>
  </si>
  <si>
    <t xml:space="preserve">ORD-2022-00092</t>
  </si>
  <si>
    <t xml:space="preserve">ORD-2024-06089</t>
  </si>
  <si>
    <t xml:space="preserve">ORD-2025-06808</t>
  </si>
  <si>
    <t xml:space="preserve">ORD-2025-07238</t>
  </si>
  <si>
    <t xml:space="preserve">ORD-2023-01972</t>
  </si>
  <si>
    <t xml:space="preserve">ORD-2022-00531</t>
  </si>
  <si>
    <t xml:space="preserve">ORD-2022-00997</t>
  </si>
  <si>
    <t xml:space="preserve">ORD-2024-04373</t>
  </si>
  <si>
    <t xml:space="preserve">ORD-2024-04229</t>
  </si>
  <si>
    <t xml:space="preserve">ORD-2022-01428</t>
  </si>
  <si>
    <t xml:space="preserve">ORD-2025-08566</t>
  </si>
  <si>
    <t xml:space="preserve">ORD-2023-02345</t>
  </si>
  <si>
    <t xml:space="preserve">ORD-2024-04787</t>
  </si>
  <si>
    <t xml:space="preserve">ORD-2023-02889</t>
  </si>
  <si>
    <t xml:space="preserve">ORD-2024-06340</t>
  </si>
  <si>
    <t xml:space="preserve">ORD-2024-04255</t>
  </si>
  <si>
    <t xml:space="preserve">ORD-2025-07602</t>
  </si>
  <si>
    <t xml:space="preserve">ORD-2025-07493</t>
  </si>
  <si>
    <t xml:space="preserve">ORD-2025-06504</t>
  </si>
  <si>
    <t xml:space="preserve">ORD-2025-08148</t>
  </si>
  <si>
    <t xml:space="preserve">ORD-2023-02252</t>
  </si>
  <si>
    <t xml:space="preserve">ORD-2023-03804</t>
  </si>
  <si>
    <t xml:space="preserve">ORD-2023-02796</t>
  </si>
  <si>
    <t xml:space="preserve">ORD-2022-00695</t>
  </si>
  <si>
    <t xml:space="preserve">ORD-2025-08533</t>
  </si>
  <si>
    <t xml:space="preserve">ORD-2022-01739</t>
  </si>
  <si>
    <t xml:space="preserve">ORD-2022-00168</t>
  </si>
  <si>
    <t xml:space="preserve">ORD-2023-03972</t>
  </si>
  <si>
    <t xml:space="preserve">ORD-2025-07259</t>
  </si>
  <si>
    <t xml:space="preserve">ORD-2025-06926</t>
  </si>
  <si>
    <t xml:space="preserve">ORD-2024-04688</t>
  </si>
  <si>
    <t xml:space="preserve">ORD-2023-02378</t>
  </si>
  <si>
    <t xml:space="preserve">ORD-2023-02651</t>
  </si>
  <si>
    <t xml:space="preserve">ORD-2024-04863</t>
  </si>
  <si>
    <t xml:space="preserve">ORD-2024-05710</t>
  </si>
  <si>
    <t xml:space="preserve">ORD-2025-06484</t>
  </si>
  <si>
    <t xml:space="preserve">ORD-2023-02971</t>
  </si>
  <si>
    <t xml:space="preserve">ORD-2024-05974</t>
  </si>
  <si>
    <t xml:space="preserve">ORD-2025-07172</t>
  </si>
  <si>
    <t xml:space="preserve">ORD-2024-05740</t>
  </si>
  <si>
    <t xml:space="preserve">ORD-2025-07073</t>
  </si>
  <si>
    <t xml:space="preserve">ORD-2022-00101</t>
  </si>
  <si>
    <t xml:space="preserve">ORD-2025-07929</t>
  </si>
  <si>
    <t xml:space="preserve">ORD-2025-06629</t>
  </si>
  <si>
    <t xml:space="preserve">ORD-2023-03618</t>
  </si>
  <si>
    <t xml:space="preserve">ORD-2023-02322</t>
  </si>
  <si>
    <t xml:space="preserve">ORD-2025-08726</t>
  </si>
  <si>
    <t xml:space="preserve">ORD-2025-08343</t>
  </si>
  <si>
    <t xml:space="preserve">ORD-2023-02359</t>
  </si>
  <si>
    <t xml:space="preserve">ORD-2022-01466</t>
  </si>
  <si>
    <t xml:space="preserve">ORD-2025-08620</t>
  </si>
  <si>
    <t xml:space="preserve">ORD-2022-01745</t>
  </si>
  <si>
    <t xml:space="preserve">ORD-2025-07667</t>
  </si>
  <si>
    <t xml:space="preserve">ORD-2024-04952</t>
  </si>
  <si>
    <t xml:space="preserve">ORD-2024-06211</t>
  </si>
  <si>
    <t xml:space="preserve">ORD-2024-04340</t>
  </si>
  <si>
    <t xml:space="preserve">ORD-2024-05345</t>
  </si>
  <si>
    <t xml:space="preserve">ORD-2025-08342</t>
  </si>
  <si>
    <t xml:space="preserve">ORD-2025-07877</t>
  </si>
  <si>
    <t xml:space="preserve">ORD-2024-05574</t>
  </si>
  <si>
    <t xml:space="preserve">ORD-2024-04345</t>
  </si>
  <si>
    <t xml:space="preserve">ORD-2025-08520</t>
  </si>
  <si>
    <t xml:space="preserve">ORD-2023-02122</t>
  </si>
  <si>
    <t xml:space="preserve">ORD-2025-07048</t>
  </si>
  <si>
    <t xml:space="preserve">ORD-2025-08979</t>
  </si>
  <si>
    <t xml:space="preserve">ORD-2025-07347</t>
  </si>
  <si>
    <t xml:space="preserve">ORD-2025-06642</t>
  </si>
  <si>
    <t xml:space="preserve">ORD-2024-04940</t>
  </si>
  <si>
    <t xml:space="preserve">ORD-2024-06272</t>
  </si>
  <si>
    <t xml:space="preserve">ORD-2022-01204</t>
  </si>
  <si>
    <t xml:space="preserve">ORD-2025-07945</t>
  </si>
  <si>
    <t xml:space="preserve">ORD-2023-01927</t>
  </si>
  <si>
    <t xml:space="preserve">ORD-2024-05965</t>
  </si>
  <si>
    <t xml:space="preserve">ORD-2024-04175</t>
  </si>
  <si>
    <t xml:space="preserve">ORD-2023-02771</t>
  </si>
  <si>
    <t xml:space="preserve">ORD-2025-08807</t>
  </si>
  <si>
    <t xml:space="preserve">ORD-2023-02544</t>
  </si>
  <si>
    <t xml:space="preserve">ORD-2025-07201</t>
  </si>
  <si>
    <t xml:space="preserve">ORD-2022-00806</t>
  </si>
  <si>
    <t xml:space="preserve">ORD-2024-06278</t>
  </si>
  <si>
    <t xml:space="preserve">ORD-2025-07009</t>
  </si>
  <si>
    <t xml:space="preserve">ORD-2024-04216</t>
  </si>
  <si>
    <t xml:space="preserve">ORD-2023-02817</t>
  </si>
  <si>
    <t xml:space="preserve">ORD-2024-05310</t>
  </si>
  <si>
    <t xml:space="preserve">ORD-2022-01243</t>
  </si>
  <si>
    <t xml:space="preserve">ORD-2024-05640</t>
  </si>
  <si>
    <t xml:space="preserve">ORD-2024-04685</t>
  </si>
  <si>
    <t xml:space="preserve">ORD-2022-00548</t>
  </si>
  <si>
    <t xml:space="preserve">ORD-2022-00027</t>
  </si>
  <si>
    <t xml:space="preserve">ORD-2025-07033</t>
  </si>
  <si>
    <t xml:space="preserve">ORD-2024-04195</t>
  </si>
  <si>
    <t xml:space="preserve">ORD-2023-03245</t>
  </si>
  <si>
    <t xml:space="preserve">ORD-2022-01303</t>
  </si>
  <si>
    <t xml:space="preserve">ORD-2024-05289</t>
  </si>
  <si>
    <t xml:space="preserve">ORD-2024-04914</t>
  </si>
  <si>
    <t xml:space="preserve">ORD-2022-01222</t>
  </si>
  <si>
    <t xml:space="preserve">ORD-2025-08139</t>
  </si>
  <si>
    <t xml:space="preserve">ORD-2022-00438</t>
  </si>
  <si>
    <t xml:space="preserve">ORD-2023-03064</t>
  </si>
  <si>
    <t xml:space="preserve">ORD-2025-07727</t>
  </si>
  <si>
    <t xml:space="preserve">ORD-2025-07318</t>
  </si>
  <si>
    <t xml:space="preserve">ORD-2025-07910</t>
  </si>
  <si>
    <t xml:space="preserve">ORD-2023-03458</t>
  </si>
  <si>
    <t xml:space="preserve">ORD-2025-06670</t>
  </si>
  <si>
    <t xml:space="preserve">ORD-2025-07062</t>
  </si>
  <si>
    <t xml:space="preserve">ORD-2025-08453</t>
  </si>
  <si>
    <t xml:space="preserve">ORD-2022-00327</t>
  </si>
  <si>
    <t xml:space="preserve">ORD-2022-01040</t>
  </si>
  <si>
    <t xml:space="preserve">ORD-2024-04051</t>
  </si>
  <si>
    <t xml:space="preserve">ORD-2025-06818</t>
  </si>
  <si>
    <t xml:space="preserve">ORD-2023-01871</t>
  </si>
  <si>
    <t xml:space="preserve">ORD-2023-02883</t>
  </si>
  <si>
    <t xml:space="preserve">ORD-2022-00535</t>
  </si>
  <si>
    <t xml:space="preserve">ORD-2024-04005</t>
  </si>
  <si>
    <t xml:space="preserve">ORD-2024-05970</t>
  </si>
  <si>
    <t xml:space="preserve">ORD-2022-00586</t>
  </si>
  <si>
    <t xml:space="preserve">ORD-2025-08967</t>
  </si>
  <si>
    <t xml:space="preserve">ORD-2022-01704</t>
  </si>
  <si>
    <t xml:space="preserve">ORD-2025-08878</t>
  </si>
  <si>
    <t xml:space="preserve">ORD-2024-04526</t>
  </si>
  <si>
    <t xml:space="preserve">ORD-2022-00492</t>
  </si>
  <si>
    <t xml:space="preserve">ORD-2023-03019</t>
  </si>
  <si>
    <t xml:space="preserve">ORD-2023-03045</t>
  </si>
  <si>
    <t xml:space="preserve">ORD-2024-04938</t>
  </si>
  <si>
    <t xml:space="preserve">ORD-2023-02514</t>
  </si>
  <si>
    <t xml:space="preserve">ORD-2023-03568</t>
  </si>
  <si>
    <t xml:space="preserve">ORD-2024-04197</t>
  </si>
  <si>
    <t xml:space="preserve">ORD-2023-01917</t>
  </si>
  <si>
    <t xml:space="preserve">ORD-2023-02524</t>
  </si>
  <si>
    <t xml:space="preserve">ORD-2023-03378</t>
  </si>
  <si>
    <t xml:space="preserve">ORD-2023-02885</t>
  </si>
  <si>
    <t xml:space="preserve">ORD-2023-03095</t>
  </si>
  <si>
    <t xml:space="preserve">ORD-2023-03017</t>
  </si>
  <si>
    <t xml:space="preserve">ORD-2024-04270</t>
  </si>
  <si>
    <t xml:space="preserve">ORD-2022-00398</t>
  </si>
  <si>
    <t xml:space="preserve">ORD-2022-01318</t>
  </si>
  <si>
    <t xml:space="preserve">ORD-2025-06387</t>
  </si>
  <si>
    <t xml:space="preserve">ORD-2022-00122</t>
  </si>
  <si>
    <t xml:space="preserve">ORD-2024-05225</t>
  </si>
  <si>
    <t xml:space="preserve">ORD-2022-01567</t>
  </si>
  <si>
    <t xml:space="preserve">ORD-2023-01985</t>
  </si>
  <si>
    <t xml:space="preserve">ORD-2023-02580</t>
  </si>
  <si>
    <t xml:space="preserve">ORD-2023-02174</t>
  </si>
  <si>
    <t xml:space="preserve">ORD-2025-07912</t>
  </si>
  <si>
    <t xml:space="preserve">ORD-2025-07325</t>
  </si>
  <si>
    <t xml:space="preserve">ORD-2022-00574</t>
  </si>
  <si>
    <t xml:space="preserve">ORD-2023-03347</t>
  </si>
  <si>
    <t xml:space="preserve">ORD-2025-08281</t>
  </si>
  <si>
    <t xml:space="preserve">ORD-2023-03625</t>
  </si>
  <si>
    <t xml:space="preserve">ORD-2023-03096</t>
  </si>
  <si>
    <t xml:space="preserve">ORD-2022-01408</t>
  </si>
  <si>
    <t xml:space="preserve">ORD-2022-00536</t>
  </si>
  <si>
    <t xml:space="preserve">ORD-2024-04405</t>
  </si>
  <si>
    <t xml:space="preserve">ORD-2024-05787</t>
  </si>
  <si>
    <t xml:space="preserve">ORD-2022-01435</t>
  </si>
  <si>
    <t xml:space="preserve">ORD-2025-06665</t>
  </si>
  <si>
    <t xml:space="preserve">ORD-2023-01868</t>
  </si>
  <si>
    <t xml:space="preserve">ORD-2022-01455</t>
  </si>
  <si>
    <t xml:space="preserve">ORD-2023-03106</t>
  </si>
  <si>
    <t xml:space="preserve">ORD-2025-07830</t>
  </si>
  <si>
    <t xml:space="preserve">ORD-2022-01821</t>
  </si>
  <si>
    <t xml:space="preserve">ORD-2022-00052</t>
  </si>
  <si>
    <t xml:space="preserve">ORD-2024-04642</t>
  </si>
  <si>
    <t xml:space="preserve">ORD-2024-05571</t>
  </si>
  <si>
    <t xml:space="preserve">ORD-2022-00470</t>
  </si>
  <si>
    <t xml:space="preserve">ORD-2024-04210</t>
  </si>
  <si>
    <t xml:space="preserve">ORD-2025-07457</t>
  </si>
  <si>
    <t xml:space="preserve">ORD-2024-04673</t>
  </si>
  <si>
    <t xml:space="preserve">ORD-2024-05840</t>
  </si>
  <si>
    <t xml:space="preserve">ORD-2023-03913</t>
  </si>
  <si>
    <t xml:space="preserve">ORD-2023-01859</t>
  </si>
  <si>
    <t xml:space="preserve">ORD-2025-07444</t>
  </si>
  <si>
    <t xml:space="preserve">ORD-2022-00866</t>
  </si>
  <si>
    <t xml:space="preserve">ORD-2024-05853</t>
  </si>
  <si>
    <t xml:space="preserve">ORD-2025-08060</t>
  </si>
  <si>
    <t xml:space="preserve">ORD-2024-06038</t>
  </si>
  <si>
    <t xml:space="preserve">ORD-2025-08208</t>
  </si>
  <si>
    <t xml:space="preserve">ORD-2025-08508</t>
  </si>
  <si>
    <t xml:space="preserve">ORD-2022-00426</t>
  </si>
  <si>
    <t xml:space="preserve">ORD-2022-00189</t>
  </si>
  <si>
    <t xml:space="preserve">ORD-2025-07628</t>
  </si>
  <si>
    <t xml:space="preserve">ORD-2025-06437</t>
  </si>
  <si>
    <t xml:space="preserve">ORD-2022-00229</t>
  </si>
  <si>
    <t xml:space="preserve">ORD-2023-02763</t>
  </si>
  <si>
    <t xml:space="preserve">ORD-2022-01042</t>
  </si>
  <si>
    <t xml:space="preserve">ORD-2024-05154</t>
  </si>
  <si>
    <t xml:space="preserve">ORD-2025-07002</t>
  </si>
  <si>
    <t xml:space="preserve">ORD-2023-03835</t>
  </si>
  <si>
    <t xml:space="preserve">ORD-2023-01906</t>
  </si>
  <si>
    <t xml:space="preserve">ORD-2025-07843</t>
  </si>
  <si>
    <t xml:space="preserve">ORD-2022-00802</t>
  </si>
  <si>
    <t xml:space="preserve">ORD-2022-01488</t>
  </si>
  <si>
    <t xml:space="preserve">ORD-2024-04626</t>
  </si>
  <si>
    <t xml:space="preserve">ORD-2022-01129</t>
  </si>
  <si>
    <t xml:space="preserve">ORD-2024-04116</t>
  </si>
  <si>
    <t xml:space="preserve">ORD-2024-05767</t>
  </si>
  <si>
    <t xml:space="preserve">ORD-2023-02209</t>
  </si>
  <si>
    <t xml:space="preserve">ORD-2025-08231</t>
  </si>
  <si>
    <t xml:space="preserve">ORD-2025-07886</t>
  </si>
  <si>
    <t xml:space="preserve">ORD-2025-06730</t>
  </si>
  <si>
    <t xml:space="preserve">ORD-2024-05059</t>
  </si>
  <si>
    <t xml:space="preserve">ORD-2024-05049</t>
  </si>
  <si>
    <t xml:space="preserve">ORD-2025-08677</t>
  </si>
  <si>
    <t xml:space="preserve">ORD-2023-02145</t>
  </si>
  <si>
    <t xml:space="preserve">ORD-2024-06004</t>
  </si>
  <si>
    <t xml:space="preserve">ORD-2022-01633</t>
  </si>
  <si>
    <t xml:space="preserve">ORD-2023-03091</t>
  </si>
  <si>
    <t xml:space="preserve">ORD-2025-08031</t>
  </si>
  <si>
    <t xml:space="preserve">ORD-2022-00157</t>
  </si>
  <si>
    <t xml:space="preserve">ORD-2023-02465</t>
  </si>
  <si>
    <t xml:space="preserve">ORD-2024-04475</t>
  </si>
  <si>
    <t xml:space="preserve">ORD-2024-05506</t>
  </si>
  <si>
    <t xml:space="preserve">ORD-2023-02819</t>
  </si>
  <si>
    <t xml:space="preserve">ORD-2024-04481</t>
  </si>
  <si>
    <t xml:space="preserve">ORD-2023-02390</t>
  </si>
  <si>
    <t xml:space="preserve">ORD-2024-06333</t>
  </si>
  <si>
    <t xml:space="preserve">ORD-2024-05788</t>
  </si>
  <si>
    <t xml:space="preserve">ORD-2023-03821</t>
  </si>
  <si>
    <t xml:space="preserve">ORD-2023-02856</t>
  </si>
  <si>
    <t xml:space="preserve">ORD-2024-04380</t>
  </si>
  <si>
    <t xml:space="preserve">ORD-2025-06606</t>
  </si>
  <si>
    <t xml:space="preserve">ORD-2025-06798</t>
  </si>
  <si>
    <t xml:space="preserve">ORD-2023-03261</t>
  </si>
  <si>
    <t xml:space="preserve">ORD-2025-08858</t>
  </si>
  <si>
    <t xml:space="preserve">ORD-2022-00848</t>
  </si>
  <si>
    <t xml:space="preserve">ORD-2025-07952</t>
  </si>
  <si>
    <t xml:space="preserve">ORD-2025-07376</t>
  </si>
  <si>
    <t xml:space="preserve">ORD-2025-08938</t>
  </si>
  <si>
    <t xml:space="preserve">ORD-2025-08792</t>
  </si>
  <si>
    <t xml:space="preserve">ORD-2022-00757</t>
  </si>
  <si>
    <t xml:space="preserve">ORD-2025-07406</t>
  </si>
  <si>
    <t xml:space="preserve">ORD-2024-05273</t>
  </si>
  <si>
    <t xml:space="preserve">ORD-2023-02861</t>
  </si>
  <si>
    <t xml:space="preserve">ORD-2025-07528</t>
  </si>
  <si>
    <t xml:space="preserve">ORD-2025-08958</t>
  </si>
  <si>
    <t xml:space="preserve">ORD-2023-02062</t>
  </si>
  <si>
    <t xml:space="preserve">ORD-2022-00550</t>
  </si>
  <si>
    <t xml:space="preserve">ORD-2023-03827</t>
  </si>
  <si>
    <t xml:space="preserve">ORD-2025-07689</t>
  </si>
  <si>
    <t xml:space="preserve">ORD-2025-08055</t>
  </si>
  <si>
    <t xml:space="preserve">ORD-2025-08578</t>
  </si>
  <si>
    <t xml:space="preserve">ORD-2024-06010</t>
  </si>
  <si>
    <t xml:space="preserve">ORD-2022-01260</t>
  </si>
  <si>
    <t xml:space="preserve">ORD-2025-08075</t>
  </si>
  <si>
    <t xml:space="preserve">ORD-2024-05118</t>
  </si>
  <si>
    <t xml:space="preserve">ORD-2025-06425</t>
  </si>
  <si>
    <t xml:space="preserve">ORD-2022-01025</t>
  </si>
  <si>
    <t xml:space="preserve">ORD-2022-00753</t>
  </si>
  <si>
    <t xml:space="preserve">ORD-2023-02612</t>
  </si>
  <si>
    <t xml:space="preserve">ORD-2025-07925</t>
  </si>
  <si>
    <t xml:space="preserve">ORD-2023-01952</t>
  </si>
  <si>
    <t xml:space="preserve">ORD-2024-06093</t>
  </si>
  <si>
    <t xml:space="preserve">ORD-2022-00352</t>
  </si>
  <si>
    <t xml:space="preserve">ORD-2022-01512</t>
  </si>
  <si>
    <t xml:space="preserve">ORD-2025-06933</t>
  </si>
  <si>
    <t xml:space="preserve">ORD-2025-08149</t>
  </si>
  <si>
    <t xml:space="preserve">ORD-2024-04430</t>
  </si>
  <si>
    <t xml:space="preserve">ORD-2022-00702</t>
  </si>
  <si>
    <t xml:space="preserve">ORD-2024-05369</t>
  </si>
  <si>
    <t xml:space="preserve">ORD-2025-06822</t>
  </si>
  <si>
    <t xml:space="preserve">ORD-2022-00562</t>
  </si>
  <si>
    <t xml:space="preserve">ORD-2023-02319</t>
  </si>
  <si>
    <t xml:space="preserve">ORD-2025-08582</t>
  </si>
  <si>
    <t xml:space="preserve">ORD-2023-03662</t>
  </si>
  <si>
    <t xml:space="preserve">ORD-2025-08598</t>
  </si>
  <si>
    <t xml:space="preserve">ORD-2024-06201</t>
  </si>
  <si>
    <t xml:space="preserve">ORD-2024-05198</t>
  </si>
  <si>
    <t xml:space="preserve">ORD-2022-01048</t>
  </si>
  <si>
    <t xml:space="preserve">ORD-2025-08799</t>
  </si>
  <si>
    <t xml:space="preserve">ORD-2022-00415</t>
  </si>
  <si>
    <t xml:space="preserve">ORD-2025-08888</t>
  </si>
  <si>
    <t xml:space="preserve">ORD-2023-02749</t>
  </si>
  <si>
    <t xml:space="preserve">ORD-2025-07234</t>
  </si>
  <si>
    <t xml:space="preserve">ORD-2024-04939</t>
  </si>
  <si>
    <t xml:space="preserve">ORD-2024-05971</t>
  </si>
  <si>
    <t xml:space="preserve">ORD-2022-01470</t>
  </si>
  <si>
    <t xml:space="preserve">ORD-2024-05764</t>
  </si>
  <si>
    <t xml:space="preserve">ORD-2025-08827</t>
  </si>
  <si>
    <t xml:space="preserve">ORD-2025-07610</t>
  </si>
  <si>
    <t xml:space="preserve">ORD-2023-02272</t>
  </si>
  <si>
    <t xml:space="preserve">ORD-2022-01584</t>
  </si>
  <si>
    <t xml:space="preserve">ORD-2022-01413</t>
  </si>
  <si>
    <t xml:space="preserve">ORD-2024-06206</t>
  </si>
  <si>
    <t xml:space="preserve">ORD-2023-02821</t>
  </si>
  <si>
    <t xml:space="preserve">ORD-2022-01723</t>
  </si>
  <si>
    <t xml:space="preserve">ORD-2025-07888</t>
  </si>
  <si>
    <t xml:space="preserve">ORD-2025-08081</t>
  </si>
  <si>
    <t xml:space="preserve">ORD-2022-01508</t>
  </si>
  <si>
    <t xml:space="preserve">ORD-2025-08610</t>
  </si>
  <si>
    <t xml:space="preserve">ORD-2025-08245</t>
  </si>
  <si>
    <t xml:space="preserve">ORD-2022-01322</t>
  </si>
  <si>
    <t xml:space="preserve">ORD-2022-00843</t>
  </si>
  <si>
    <t xml:space="preserve">ORD-2022-01147</t>
  </si>
  <si>
    <t xml:space="preserve">ORD-2023-02841</t>
  </si>
  <si>
    <t xml:space="preserve">ORD-2025-08040</t>
  </si>
  <si>
    <t xml:space="preserve">ORD-2022-00464</t>
  </si>
  <si>
    <t xml:space="preserve">ORD-2024-04002</t>
  </si>
  <si>
    <t xml:space="preserve">ORD-2024-05842</t>
  </si>
  <si>
    <t xml:space="preserve">ORD-2023-03384</t>
  </si>
  <si>
    <t xml:space="preserve">ORD-2025-08550</t>
  </si>
  <si>
    <t xml:space="preserve">ORD-2023-03107</t>
  </si>
  <si>
    <t xml:space="preserve">ORD-2025-08893</t>
  </si>
  <si>
    <t xml:space="preserve">ORD-2024-04047</t>
  </si>
  <si>
    <t xml:space="preserve">ORD-2022-00379</t>
  </si>
  <si>
    <t xml:space="preserve">ORD-2025-06674</t>
  </si>
  <si>
    <t xml:space="preserve">ORD-2022-01336</t>
  </si>
  <si>
    <t xml:space="preserve">ORD-2022-01224</t>
  </si>
  <si>
    <t xml:space="preserve">ORD-2025-08064</t>
  </si>
  <si>
    <t xml:space="preserve">ORD-2023-03474</t>
  </si>
  <si>
    <t xml:space="preserve">ORD-2022-01351</t>
  </si>
  <si>
    <t xml:space="preserve">ORD-2025-07665</t>
  </si>
  <si>
    <t xml:space="preserve">ORD-2022-01812</t>
  </si>
  <si>
    <t xml:space="preserve">ORD-2024-04982</t>
  </si>
  <si>
    <t xml:space="preserve">ORD-2024-04004</t>
  </si>
  <si>
    <t xml:space="preserve">ORD-2023-03535</t>
  </si>
  <si>
    <t xml:space="preserve">ORD-2023-01895</t>
  </si>
  <si>
    <t xml:space="preserve">ORD-2025-06788</t>
  </si>
  <si>
    <t xml:space="preserve">ORD-2024-06200</t>
  </si>
  <si>
    <t xml:space="preserve">ORD-2023-03167</t>
  </si>
  <si>
    <t xml:space="preserve">ORD-2024-05207</t>
  </si>
  <si>
    <t xml:space="preserve">ORD-2024-06113</t>
  </si>
  <si>
    <t xml:space="preserve">ORD-2024-05061</t>
  </si>
  <si>
    <t xml:space="preserve">ORD-2022-01190</t>
  </si>
  <si>
    <t xml:space="preserve">ORD-2025-08280</t>
  </si>
  <si>
    <t xml:space="preserve">ORD-2022-00899</t>
  </si>
  <si>
    <t xml:space="preserve">ORD-2025-06881</t>
  </si>
  <si>
    <t xml:space="preserve">ORD-2025-08394</t>
  </si>
  <si>
    <t xml:space="preserve">ORD-2023-02934</t>
  </si>
  <si>
    <t xml:space="preserve">ORD-2024-04536</t>
  </si>
  <si>
    <t xml:space="preserve">ORD-2024-05504</t>
  </si>
  <si>
    <t xml:space="preserve">ORD-2025-08015</t>
  </si>
  <si>
    <t xml:space="preserve">ORD-2024-06208</t>
  </si>
  <si>
    <t xml:space="preserve">ORD-2025-08022</t>
  </si>
  <si>
    <t xml:space="preserve">ORD-2024-05502</t>
  </si>
  <si>
    <t xml:space="preserve">ORD-2024-06000</t>
  </si>
  <si>
    <t xml:space="preserve">ORD-2022-01031</t>
  </si>
  <si>
    <t xml:space="preserve">ORD-2024-05120</t>
  </si>
  <si>
    <t xml:space="preserve">ORD-2024-04249</t>
  </si>
  <si>
    <t xml:space="preserve">ORD-2024-04995</t>
  </si>
  <si>
    <t xml:space="preserve">ORD-2025-07753</t>
  </si>
  <si>
    <t xml:space="preserve">ORD-2022-01756</t>
  </si>
  <si>
    <t xml:space="preserve">ORD-2023-02778</t>
  </si>
  <si>
    <t xml:space="preserve">ORD-2022-00232</t>
  </si>
  <si>
    <t xml:space="preserve">ORD-2024-06188</t>
  </si>
  <si>
    <t xml:space="preserve">ORD-2025-08948</t>
  </si>
  <si>
    <t xml:space="preserve">ORD-2025-06578</t>
  </si>
  <si>
    <t xml:space="preserve">ORD-2025-06757</t>
  </si>
  <si>
    <t xml:space="preserve">ORD-2025-08220</t>
  </si>
  <si>
    <t xml:space="preserve">ORD-2023-02496</t>
  </si>
  <si>
    <t xml:space="preserve">ORD-2023-02318</t>
  </si>
  <si>
    <t xml:space="preserve">ORD-2024-04101</t>
  </si>
  <si>
    <t xml:space="preserve">ORD-2022-01516</t>
  </si>
  <si>
    <t xml:space="preserve">ORD-2022-00217</t>
  </si>
  <si>
    <t xml:space="preserve">ORD-2025-08169</t>
  </si>
  <si>
    <t xml:space="preserve">ORD-2023-02264</t>
  </si>
  <si>
    <t xml:space="preserve">ORD-2023-03275</t>
  </si>
  <si>
    <t xml:space="preserve">ORD-2025-08418</t>
  </si>
  <si>
    <t xml:space="preserve">ORD-2023-03310</t>
  </si>
  <si>
    <t xml:space="preserve">ORD-2022-00894</t>
  </si>
  <si>
    <t xml:space="preserve">ORD-2023-02958</t>
  </si>
  <si>
    <t xml:space="preserve">ORD-2023-01851</t>
  </si>
  <si>
    <t xml:space="preserve">ORD-2024-05818</t>
  </si>
  <si>
    <t xml:space="preserve">ORD-2025-06924</t>
  </si>
  <si>
    <t xml:space="preserve">ORD-2022-00325</t>
  </si>
  <si>
    <t xml:space="preserve">ORD-2022-01216</t>
  </si>
  <si>
    <t xml:space="preserve">ORD-2024-05590</t>
  </si>
  <si>
    <t xml:space="preserve">ORD-2024-05012</t>
  </si>
  <si>
    <t xml:space="preserve">ORD-2022-01130</t>
  </si>
  <si>
    <t xml:space="preserve">ORD-2024-05325</t>
  </si>
  <si>
    <t xml:space="preserve">ORD-2023-02969</t>
  </si>
  <si>
    <t xml:space="preserve">ORD-2023-03899</t>
  </si>
  <si>
    <t xml:space="preserve">ORD-2022-00209</t>
  </si>
  <si>
    <t xml:space="preserve">ORD-2024-06283</t>
  </si>
  <si>
    <t xml:space="preserve">ORD-2022-00799</t>
  </si>
  <si>
    <t xml:space="preserve">ORD-2025-08224</t>
  </si>
  <si>
    <t xml:space="preserve">ORD-2022-00735</t>
  </si>
  <si>
    <t xml:space="preserve">ORD-2025-06866</t>
  </si>
  <si>
    <t xml:space="preserve">ORD-2024-06302</t>
  </si>
  <si>
    <t xml:space="preserve">ORD-2022-01175</t>
  </si>
  <si>
    <t xml:space="preserve">ORD-2024-05042</t>
  </si>
  <si>
    <t xml:space="preserve">ORD-2024-05983</t>
  </si>
  <si>
    <t xml:space="preserve">ORD-2022-01832</t>
  </si>
  <si>
    <t xml:space="preserve">ORD-2025-06482</t>
  </si>
  <si>
    <t xml:space="preserve">ORD-2023-03162</t>
  </si>
  <si>
    <t xml:space="preserve">ORD-2025-08994</t>
  </si>
  <si>
    <t xml:space="preserve">ORD-2024-04756</t>
  </si>
  <si>
    <t xml:space="preserve">ORD-2022-00199</t>
  </si>
  <si>
    <t xml:space="preserve">ORD-2023-03946</t>
  </si>
  <si>
    <t xml:space="preserve">ORD-2024-04623</t>
  </si>
  <si>
    <t xml:space="preserve">ORD-2022-01098</t>
  </si>
  <si>
    <t xml:space="preserve">ORD-2022-00549</t>
  </si>
  <si>
    <t xml:space="preserve">ORD-2025-07196</t>
  </si>
  <si>
    <t xml:space="preserve">ORD-2025-07592</t>
  </si>
  <si>
    <t xml:space="preserve">ORD-2023-03329</t>
  </si>
  <si>
    <t xml:space="preserve">ORD-2023-02679</t>
  </si>
  <si>
    <t xml:space="preserve">ORD-2023-02315</t>
  </si>
  <si>
    <t xml:space="preserve">ORD-2025-06910</t>
  </si>
  <si>
    <t xml:space="preserve">ORD-2024-05594</t>
  </si>
  <si>
    <t xml:space="preserve">ORD-2024-04819</t>
  </si>
  <si>
    <t xml:space="preserve">ORD-2023-02555</t>
  </si>
  <si>
    <t xml:space="preserve">ORD-2025-06662</t>
  </si>
  <si>
    <t xml:space="preserve">ORD-2025-06382</t>
  </si>
  <si>
    <t xml:space="preserve">ORD-2022-00617</t>
  </si>
  <si>
    <t xml:space="preserve">ORD-2022-01119</t>
  </si>
  <si>
    <t xml:space="preserve">ORD-2022-00938</t>
  </si>
  <si>
    <t xml:space="preserve">ORD-2022-00623</t>
  </si>
  <si>
    <t xml:space="preserve">ORD-2025-06785</t>
  </si>
  <si>
    <t xml:space="preserve">ORD-2024-04353</t>
  </si>
  <si>
    <t xml:space="preserve">ORD-2025-07958</t>
  </si>
  <si>
    <t xml:space="preserve">ORD-2024-04056</t>
  </si>
  <si>
    <t xml:space="preserve">ORD-2023-03456</t>
  </si>
  <si>
    <t xml:space="preserve">ORD-2025-08430</t>
  </si>
  <si>
    <t xml:space="preserve">ORD-2024-05895</t>
  </si>
  <si>
    <t xml:space="preserve">ORD-2024-04826</t>
  </si>
  <si>
    <t xml:space="preserve">ORD-2024-04630</t>
  </si>
  <si>
    <t xml:space="preserve">ORD-2023-02202</t>
  </si>
  <si>
    <t xml:space="preserve">ORD-2022-01161</t>
  </si>
  <si>
    <t xml:space="preserve">ORD-2025-07243</t>
  </si>
  <si>
    <t xml:space="preserve">ORD-2025-08764</t>
  </si>
  <si>
    <t xml:space="preserve">ORD-2025-08603</t>
  </si>
  <si>
    <t xml:space="preserve">ORD-2025-08507</t>
  </si>
  <si>
    <t xml:space="preserve">ORD-2022-00479</t>
  </si>
  <si>
    <t xml:space="preserve">ORD-2022-01353</t>
  </si>
  <si>
    <t xml:space="preserve">ORD-2023-02927</t>
  </si>
  <si>
    <t xml:space="preserve">ORD-2024-06150</t>
  </si>
  <si>
    <t xml:space="preserve">ORD-2025-07101</t>
  </si>
  <si>
    <t xml:space="preserve">ORD-2025-06948</t>
  </si>
  <si>
    <t xml:space="preserve">ORD-2024-04163</t>
  </si>
  <si>
    <t xml:space="preserve">ORD-2022-01034</t>
  </si>
  <si>
    <t xml:space="preserve">ORD-2024-05372</t>
  </si>
  <si>
    <t xml:space="preserve">ORD-2024-04032</t>
  </si>
  <si>
    <t xml:space="preserve">ORD-2025-07348</t>
  </si>
  <si>
    <t xml:space="preserve">ORD-2023-03430</t>
  </si>
  <si>
    <t xml:space="preserve">ORD-2023-03183</t>
  </si>
  <si>
    <t xml:space="preserve">ORD-2025-07825</t>
  </si>
  <si>
    <t xml:space="preserve">ORD-2024-04538</t>
  </si>
  <si>
    <t xml:space="preserve">ORD-2023-03321</t>
  </si>
  <si>
    <t xml:space="preserve">ORD-2023-03515</t>
  </si>
  <si>
    <t xml:space="preserve">ORD-2022-01426</t>
  </si>
  <si>
    <t xml:space="preserve">ORD-2023-03915</t>
  </si>
  <si>
    <t xml:space="preserve">ORD-2023-01872</t>
  </si>
  <si>
    <t xml:space="preserve">ORD-2024-04011</t>
  </si>
  <si>
    <t xml:space="preserve">ORD-2025-08679</t>
  </si>
  <si>
    <t xml:space="preserve">ORD-2024-05432</t>
  </si>
  <si>
    <t xml:space="preserve">ORD-2022-00528</t>
  </si>
  <si>
    <t xml:space="preserve">ORD-2025-08019</t>
  </si>
  <si>
    <t xml:space="preserve">ORD-2024-04160</t>
  </si>
  <si>
    <t xml:space="preserve">ORD-2023-03306</t>
  </si>
  <si>
    <t xml:space="preserve">ORD-2022-00221</t>
  </si>
  <si>
    <t xml:space="preserve">ORD-2025-08298</t>
  </si>
  <si>
    <t xml:space="preserve">ORD-2025-06390</t>
  </si>
  <si>
    <t xml:space="preserve">ORD-2023-03729</t>
  </si>
  <si>
    <t xml:space="preserve">ORD-2023-02648</t>
  </si>
  <si>
    <t xml:space="preserve">ORD-2023-02895</t>
  </si>
  <si>
    <t xml:space="preserve">ORD-2023-02717</t>
  </si>
  <si>
    <t xml:space="preserve">ORD-2025-08440</t>
  </si>
  <si>
    <t xml:space="preserve">ORD-2024-04984</t>
  </si>
  <si>
    <t xml:space="preserve">ORD-2024-04057</t>
  </si>
  <si>
    <t xml:space="preserve">ORD-2024-05713</t>
  </si>
  <si>
    <t xml:space="preserve">ORD-2024-05448</t>
  </si>
  <si>
    <t xml:space="preserve">ORD-2023-02392</t>
  </si>
  <si>
    <t xml:space="preserve">ORD-2025-06424</t>
  </si>
  <si>
    <t xml:space="preserve">ORD-2024-06126</t>
  </si>
  <si>
    <t xml:space="preserve">ORD-2023-01984</t>
  </si>
  <si>
    <t xml:space="preserve">ORD-2025-06731</t>
  </si>
  <si>
    <t xml:space="preserve">ORD-2022-01555</t>
  </si>
  <si>
    <t xml:space="preserve">ORD-2025-08214</t>
  </si>
  <si>
    <t xml:space="preserve">ORD-2023-03099</t>
  </si>
  <si>
    <t xml:space="preserve">ORD-2024-04114</t>
  </si>
  <si>
    <t xml:space="preserve">ORD-2025-07750</t>
  </si>
  <si>
    <t xml:space="preserve">ORD-2025-06831</t>
  </si>
  <si>
    <t xml:space="preserve">ORD-2022-01678</t>
  </si>
  <si>
    <t xml:space="preserve">ORD-2024-06145</t>
  </si>
  <si>
    <t xml:space="preserve">ORD-2025-07323</t>
  </si>
  <si>
    <t xml:space="preserve">ORD-2022-00902</t>
  </si>
  <si>
    <t xml:space="preserve">ORD-2024-05791</t>
  </si>
  <si>
    <t xml:space="preserve">ORD-2023-02297</t>
  </si>
  <si>
    <t xml:space="preserve">ORD-2024-05366</t>
  </si>
  <si>
    <t xml:space="preserve">ORD-2022-00297</t>
  </si>
  <si>
    <t xml:space="preserve">ORD-2025-07692</t>
  </si>
  <si>
    <t xml:space="preserve">ORD-2022-00058</t>
  </si>
  <si>
    <t xml:space="preserve">ORD-2025-08644</t>
  </si>
  <si>
    <t xml:space="preserve">ORD-2023-03086</t>
  </si>
  <si>
    <t xml:space="preserve">ORD-2025-08404</t>
  </si>
  <si>
    <t xml:space="preserve">ORD-2025-07221</t>
  </si>
  <si>
    <t xml:space="preserve">ORD-2024-04148</t>
  </si>
  <si>
    <t xml:space="preserve">ORD-2024-05447</t>
  </si>
  <si>
    <t xml:space="preserve">ORD-2023-02649</t>
  </si>
  <si>
    <t xml:space="preserve">ORD-2024-06216</t>
  </si>
  <si>
    <t xml:space="preserve">ORD-2022-00296</t>
  </si>
  <si>
    <t xml:space="preserve">ORD-2023-02581</t>
  </si>
  <si>
    <t xml:space="preserve">ORD-2024-04815</t>
  </si>
  <si>
    <t xml:space="preserve">ORD-2024-05130</t>
  </si>
  <si>
    <t xml:space="preserve">ORD-2022-00649</t>
  </si>
  <si>
    <t xml:space="preserve">ORD-2022-01371</t>
  </si>
  <si>
    <t xml:space="preserve">ORD-2024-05680</t>
  </si>
  <si>
    <t xml:space="preserve">ORD-2025-07795</t>
  </si>
  <si>
    <t xml:space="preserve">ORD-2024-05655</t>
  </si>
  <si>
    <t xml:space="preserve">ORD-2025-06803</t>
  </si>
  <si>
    <t xml:space="preserve">ORD-2024-04120</t>
  </si>
  <si>
    <t xml:space="preserve">ORD-2022-00682</t>
  </si>
  <si>
    <t xml:space="preserve">ORD-2022-00435</t>
  </si>
  <si>
    <t xml:space="preserve">ORD-2024-06261</t>
  </si>
  <si>
    <t xml:space="preserve">ORD-2024-04950</t>
  </si>
  <si>
    <t xml:space="preserve">ORD-2022-01490</t>
  </si>
  <si>
    <t xml:space="preserve">ORD-2022-00813</t>
  </si>
  <si>
    <t xml:space="preserve">ORD-2023-01883</t>
  </si>
  <si>
    <t xml:space="preserve">ORD-2023-02652</t>
  </si>
  <si>
    <t xml:space="preserve">ORD-2024-04421</t>
  </si>
  <si>
    <t xml:space="preserve">ORD-2023-01941</t>
  </si>
  <si>
    <t xml:space="preserve">ORD-2024-05786</t>
  </si>
  <si>
    <t xml:space="preserve">ORD-2023-03396</t>
  </si>
  <si>
    <t xml:space="preserve">ORD-2025-06867</t>
  </si>
  <si>
    <t xml:space="preserve">ORD-2022-01182</t>
  </si>
  <si>
    <t xml:space="preserve">ORD-2022-01376</t>
  </si>
  <si>
    <t xml:space="preserve">ORD-2025-06952</t>
  </si>
  <si>
    <t xml:space="preserve">ORD-2023-03338</t>
  </si>
  <si>
    <t xml:space="preserve">ORD-2022-00627</t>
  </si>
  <si>
    <t xml:space="preserve">ORD-2023-03134</t>
  </si>
  <si>
    <t xml:space="preserve">ORD-2022-01670</t>
  </si>
  <si>
    <t xml:space="preserve">ORD-2023-02113</t>
  </si>
  <si>
    <t xml:space="preserve">ORD-2024-05757</t>
  </si>
  <si>
    <t xml:space="preserve">ORD-2023-03166</t>
  </si>
  <si>
    <t xml:space="preserve">ORD-2024-05314</t>
  </si>
  <si>
    <t xml:space="preserve">ORD-2022-00085</t>
  </si>
  <si>
    <t xml:space="preserve">ORD-2024-05674</t>
  </si>
  <si>
    <t xml:space="preserve">ORD-2025-06903</t>
  </si>
  <si>
    <t xml:space="preserve">ORD-2023-02284</t>
  </si>
  <si>
    <t xml:space="preserve">ORD-2024-05849</t>
  </si>
  <si>
    <t xml:space="preserve">ORD-2025-08299</t>
  </si>
  <si>
    <t xml:space="preserve">ORD-2022-00419</t>
  </si>
  <si>
    <t xml:space="preserve">ORD-2025-08035</t>
  </si>
  <si>
    <t xml:space="preserve">ORD-2024-04078</t>
  </si>
  <si>
    <t xml:space="preserve">ORD-2023-02358</t>
  </si>
  <si>
    <t xml:space="preserve">ORD-2024-06127</t>
  </si>
  <si>
    <t xml:space="preserve">ORD-2022-01367</t>
  </si>
  <si>
    <t xml:space="preserve">ORD-2022-00294</t>
  </si>
  <si>
    <t xml:space="preserve">ORD-2025-07021</t>
  </si>
  <si>
    <t xml:space="preserve">ORD-2025-08548</t>
  </si>
  <si>
    <t xml:space="preserve">ORD-2022-01507</t>
  </si>
  <si>
    <t xml:space="preserve">ORD-2025-08497</t>
  </si>
  <si>
    <t xml:space="preserve">ORD-2024-05992</t>
  </si>
  <si>
    <t xml:space="preserve">ORD-2022-01635</t>
  </si>
  <si>
    <t xml:space="preserve">ORD-2025-06567</t>
  </si>
  <si>
    <t xml:space="preserve">ORD-2024-04043</t>
  </si>
  <si>
    <t xml:space="preserve">ORD-2023-02875</t>
  </si>
  <si>
    <t xml:space="preserve">ORD-2025-08503</t>
  </si>
  <si>
    <t xml:space="preserve">ORD-2022-01564</t>
  </si>
  <si>
    <t xml:space="preserve">ORD-2025-07468</t>
  </si>
  <si>
    <t xml:space="preserve">ORD-2025-06983</t>
  </si>
  <si>
    <t xml:space="preserve">ORD-2023-01980</t>
  </si>
  <si>
    <t xml:space="preserve">ORD-2023-01884</t>
  </si>
  <si>
    <t xml:space="preserve">ORD-2022-00439</t>
  </si>
  <si>
    <t xml:space="preserve">ORD-2023-03470</t>
  </si>
  <si>
    <t xml:space="preserve">ORD-2025-08349</t>
  </si>
  <si>
    <t xml:space="preserve">ORD-2024-06359</t>
  </si>
  <si>
    <t xml:space="preserve">ORD-2025-07600</t>
  </si>
  <si>
    <t xml:space="preserve">ORD-2023-02281</t>
  </si>
  <si>
    <t xml:space="preserve">ORD-2025-08352</t>
  </si>
  <si>
    <t xml:space="preserve">ORD-2023-02761</t>
  </si>
  <si>
    <t xml:space="preserve">ORD-2025-07693</t>
  </si>
  <si>
    <t xml:space="preserve">ORD-2022-00374</t>
  </si>
  <si>
    <t xml:space="preserve">ORD-2024-04627</t>
  </si>
  <si>
    <t xml:space="preserve">ORD-2023-02586</t>
  </si>
  <si>
    <t xml:space="preserve">ORD-2025-08085</t>
  </si>
  <si>
    <t xml:space="preserve">ORD-2024-05928</t>
  </si>
  <si>
    <t xml:space="preserve">ORD-2024-05604</t>
  </si>
  <si>
    <t xml:space="preserve">ORD-2024-04332</t>
  </si>
  <si>
    <t xml:space="preserve">ORD-2022-01785</t>
  </si>
  <si>
    <t xml:space="preserve">ORD-2024-05383</t>
  </si>
  <si>
    <t xml:space="preserve">ORD-2023-03444</t>
  </si>
  <si>
    <t xml:space="preserve">ORD-2023-03886</t>
  </si>
  <si>
    <t xml:space="preserve">ORD-2024-05968</t>
  </si>
  <si>
    <t xml:space="preserve">ORD-2025-07105</t>
  </si>
  <si>
    <t xml:space="preserve">ORD-2024-04904</t>
  </si>
  <si>
    <t xml:space="preserve">ORD-2023-02884</t>
  </si>
  <si>
    <t xml:space="preserve">ORD-2023-03828</t>
  </si>
  <si>
    <t xml:space="preserve">ORD-2025-07539</t>
  </si>
  <si>
    <t xml:space="preserve">ORD-2024-05326</t>
  </si>
  <si>
    <t xml:space="preserve">ORD-2024-04619</t>
  </si>
  <si>
    <t xml:space="preserve">ORD-2024-04186</t>
  </si>
  <si>
    <t xml:space="preserve">ORD-2024-04141</t>
  </si>
  <si>
    <t xml:space="preserve">ORD-2025-07638</t>
  </si>
  <si>
    <t xml:space="preserve">ORD-2024-05337</t>
  </si>
  <si>
    <t xml:space="preserve">ORD-2022-01542</t>
  </si>
  <si>
    <t xml:space="preserve">ORD-2025-08078</t>
  </si>
  <si>
    <t xml:space="preserve">ORD-2022-00323</t>
  </si>
  <si>
    <t xml:space="preserve">ORD-2023-02032</t>
  </si>
  <si>
    <t xml:space="preserve">ORD-2022-00994</t>
  </si>
  <si>
    <t xml:space="preserve">ORD-2025-07532</t>
  </si>
  <si>
    <t xml:space="preserve">ORD-2025-07632</t>
  </si>
  <si>
    <t xml:space="preserve">ORD-2025-08379</t>
  </si>
  <si>
    <t xml:space="preserve">ORD-2025-06423</t>
  </si>
  <si>
    <t xml:space="preserve">ORD-2025-06396</t>
  </si>
  <si>
    <t xml:space="preserve">ORD-2023-02185</t>
  </si>
  <si>
    <t xml:space="preserve">ORD-2022-00111</t>
  </si>
  <si>
    <t xml:space="preserve">ORD-2024-04077</t>
  </si>
  <si>
    <t xml:space="preserve">ORD-2025-06934</t>
  </si>
  <si>
    <t xml:space="preserve">ORD-2022-01080</t>
  </si>
  <si>
    <t xml:space="preserve">ORD-2023-02227</t>
  </si>
  <si>
    <t xml:space="preserve">ORD-2023-03529</t>
  </si>
  <si>
    <t xml:space="preserve">ORD-2025-08253</t>
  </si>
  <si>
    <t xml:space="preserve">ORD-2023-02706</t>
  </si>
  <si>
    <t xml:space="preserve">ORD-2025-08542</t>
  </si>
  <si>
    <t xml:space="preserve">ORD-2023-02898</t>
  </si>
  <si>
    <t xml:space="preserve">ORD-2022-01165</t>
  </si>
  <si>
    <t xml:space="preserve">ORD-2025-08350</t>
  </si>
  <si>
    <t xml:space="preserve">ORD-2022-01451</t>
  </si>
  <si>
    <t xml:space="preserve">ORD-2025-07529</t>
  </si>
  <si>
    <t xml:space="preserve">ORD-2025-06563</t>
  </si>
  <si>
    <t xml:space="preserve">ORD-2024-05185</t>
  </si>
  <si>
    <t xml:space="preserve">ORD-2024-05591</t>
  </si>
  <si>
    <t xml:space="preserve">ORD-2024-04891</t>
  </si>
  <si>
    <t xml:space="preserve">ORD-2024-05131</t>
  </si>
  <si>
    <t xml:space="preserve">ORD-2025-06585</t>
  </si>
  <si>
    <t xml:space="preserve">ORD-2023-03705</t>
  </si>
  <si>
    <t xml:space="preserve">ORD-2024-05567</t>
  </si>
  <si>
    <t xml:space="preserve">ORD-2024-05524</t>
  </si>
  <si>
    <t xml:space="preserve">ORD-2023-02866</t>
  </si>
  <si>
    <t xml:space="preserve">ORD-2025-08100</t>
  </si>
  <si>
    <t xml:space="preserve">ORD-2024-05295</t>
  </si>
  <si>
    <t xml:space="preserve">ORD-2022-01515</t>
  </si>
  <si>
    <t xml:space="preserve">ORD-2023-02314</t>
  </si>
  <si>
    <t xml:space="preserve">ORD-2025-08269</t>
  </si>
  <si>
    <t xml:space="preserve">ORD-2022-01452</t>
  </si>
  <si>
    <t xml:space="preserve">ORD-2023-02021</t>
  </si>
  <si>
    <t xml:space="preserve">ORD-2023-03465</t>
  </si>
  <si>
    <t xml:space="preserve">ORD-2024-04650</t>
  </si>
  <si>
    <t xml:space="preserve">ORD-2024-04122</t>
  </si>
  <si>
    <t xml:space="preserve">ORD-2025-08684</t>
  </si>
  <si>
    <t xml:space="preserve">ORD-2022-00839</t>
  </si>
  <si>
    <t xml:space="preserve">ORD-2025-08968</t>
  </si>
  <si>
    <t xml:space="preserve">ORD-2023-02375</t>
  </si>
  <si>
    <t xml:space="preserve">ORD-2024-04375</t>
  </si>
  <si>
    <t xml:space="preserve">ORD-2023-02955</t>
  </si>
  <si>
    <t xml:space="preserve">ORD-2025-07849</t>
  </si>
  <si>
    <t xml:space="preserve">ORD-2025-07174</t>
  </si>
  <si>
    <t xml:space="preserve">ORD-2024-05648</t>
  </si>
  <si>
    <t xml:space="preserve">ORD-2025-07445</t>
  </si>
  <si>
    <t xml:space="preserve">ORD-2022-00451</t>
  </si>
  <si>
    <t xml:space="preserve">ORD-2025-07907</t>
  </si>
  <si>
    <t xml:space="preserve">ORD-2022-01715</t>
  </si>
  <si>
    <t xml:space="preserve">ORD-2024-04454</t>
  </si>
  <si>
    <t xml:space="preserve">ORD-2024-04776</t>
  </si>
  <si>
    <t xml:space="preserve">ORD-2022-00340</t>
  </si>
  <si>
    <t xml:space="preserve">ORD-2025-08310</t>
  </si>
  <si>
    <t xml:space="preserve">ORD-2024-05023</t>
  </si>
  <si>
    <t xml:space="preserve">ORD-2024-04157</t>
  </si>
  <si>
    <t xml:space="preserve">ORD-2025-07430</t>
  </si>
  <si>
    <t xml:space="preserve">ORD-2023-02671</t>
  </si>
  <si>
    <t xml:space="preserve">ORD-2022-01420</t>
  </si>
  <si>
    <t xml:space="preserve">ORD-2022-00035</t>
  </si>
  <si>
    <t xml:space="preserve">ORD-2025-07364</t>
  </si>
  <si>
    <t xml:space="preserve">ORD-2024-05689</t>
  </si>
  <si>
    <t xml:space="preserve">ORD-2024-04935</t>
  </si>
  <si>
    <t xml:space="preserve">ORD-2024-06069</t>
  </si>
  <si>
    <t xml:space="preserve">ORD-2022-01411</t>
  </si>
  <si>
    <t xml:space="preserve">ORD-2023-03379</t>
  </si>
  <si>
    <t xml:space="preserve">ORD-2023-02171</t>
  </si>
  <si>
    <t xml:space="preserve">ORD-2025-08057</t>
  </si>
  <si>
    <t xml:space="preserve">ORD-2022-00890</t>
  </si>
  <si>
    <t xml:space="preserve">ORD-2025-08495</t>
  </si>
  <si>
    <t xml:space="preserve">ORD-2023-03133</t>
  </si>
  <si>
    <t xml:space="preserve">ORD-2024-05943</t>
  </si>
  <si>
    <t xml:space="preserve">ORD-2023-02245</t>
  </si>
  <si>
    <t xml:space="preserve">ORD-2024-04355</t>
  </si>
  <si>
    <t xml:space="preserve">ORD-2024-04424</t>
  </si>
  <si>
    <t xml:space="preserve">ORD-2023-03556</t>
  </si>
  <si>
    <t xml:space="preserve">ORD-2025-08553</t>
  </si>
  <si>
    <t xml:space="preserve">ORD-2024-05749</t>
  </si>
  <si>
    <t xml:space="preserve">ORD-2022-00433</t>
  </si>
  <si>
    <t xml:space="preserve">ORD-2022-01655</t>
  </si>
  <si>
    <t xml:space="preserve">ORD-2022-00179</t>
  </si>
  <si>
    <t xml:space="preserve">ORD-2025-08670</t>
  </si>
  <si>
    <t xml:space="preserve">ORD-2024-06225</t>
  </si>
  <si>
    <t xml:space="preserve">ORD-2025-07400</t>
  </si>
  <si>
    <t xml:space="preserve">ORD-2023-03376</t>
  </si>
  <si>
    <t xml:space="preserve">ORD-2023-01887</t>
  </si>
  <si>
    <t xml:space="preserve">ORD-2023-03257</t>
  </si>
  <si>
    <t xml:space="preserve">ORD-2022-01787</t>
  </si>
  <si>
    <t xml:space="preserve">ORD-2025-07857</t>
  </si>
  <si>
    <t xml:space="preserve">ORD-2025-08428</t>
  </si>
  <si>
    <t xml:space="preserve">ORD-2024-05796</t>
  </si>
  <si>
    <t xml:space="preserve">ORD-2023-02182</t>
  </si>
  <si>
    <t xml:space="preserve">ORD-2025-06686</t>
  </si>
  <si>
    <t xml:space="preserve">ORD-2023-03885</t>
  </si>
  <si>
    <t xml:space="preserve">ORD-2023-02070</t>
  </si>
  <si>
    <t xml:space="preserve">ORD-2024-05682</t>
  </si>
  <si>
    <t xml:space="preserve">ORD-2024-04948</t>
  </si>
  <si>
    <t xml:space="preserve">ORD-2023-03938</t>
  </si>
  <si>
    <t xml:space="preserve">ORD-2022-00881</t>
  </si>
  <si>
    <t xml:space="preserve">ORD-2023-03982</t>
  </si>
  <si>
    <t xml:space="preserve">ORD-2025-07926</t>
  </si>
  <si>
    <t xml:space="preserve">ORD-2023-03280</t>
  </si>
  <si>
    <t xml:space="preserve">ORD-2025-06746</t>
  </si>
  <si>
    <t xml:space="preserve">ORD-2024-04171</t>
  </si>
  <si>
    <t xml:space="preserve">ORD-2024-04693</t>
  </si>
  <si>
    <t xml:space="preserve">ORD-2024-04020</t>
  </si>
  <si>
    <t xml:space="preserve">ORD-2025-08124</t>
  </si>
  <si>
    <t xml:space="preserve">ORD-2025-07128</t>
  </si>
  <si>
    <t xml:space="preserve">ORD-2022-01707</t>
  </si>
  <si>
    <t xml:space="preserve">ORD-2022-01159</t>
  </si>
  <si>
    <t xml:space="preserve">ORD-2023-02307</t>
  </si>
  <si>
    <t xml:space="preserve">ORD-2025-07249</t>
  </si>
  <si>
    <t xml:space="preserve">ORD-2025-07752</t>
  </si>
  <si>
    <t xml:space="preserve">ORD-2024-05398</t>
  </si>
  <si>
    <t xml:space="preserve">ORD-2023-03950</t>
  </si>
  <si>
    <t xml:space="preserve">ORD-2024-06320</t>
  </si>
  <si>
    <t xml:space="preserve">ORD-2025-07220</t>
  </si>
  <si>
    <t xml:space="preserve">ORD-2025-08890</t>
  </si>
  <si>
    <t xml:space="preserve">ORD-2023-02964</t>
  </si>
  <si>
    <t xml:space="preserve">ORD-2024-04599</t>
  </si>
  <si>
    <t xml:space="preserve">ORD-2022-01565</t>
  </si>
  <si>
    <t xml:space="preserve">ORD-2022-01783</t>
  </si>
  <si>
    <t xml:space="preserve">ORD-2023-03699</t>
  </si>
  <si>
    <t xml:space="preserve">ORD-2023-03663</t>
  </si>
  <si>
    <t xml:space="preserve">ORD-2024-05907</t>
  </si>
  <si>
    <t xml:space="preserve">ORD-2022-00905</t>
  </si>
  <si>
    <t xml:space="preserve">ORD-2025-08743</t>
  </si>
  <si>
    <t xml:space="preserve">ORD-2024-06158</t>
  </si>
  <si>
    <t xml:space="preserve">ORD-2025-07428</t>
  </si>
  <si>
    <t xml:space="preserve">ORD-2025-06774</t>
  </si>
  <si>
    <t xml:space="preserve">ORD-2023-02081</t>
  </si>
  <si>
    <t xml:space="preserve">ORD-2022-01566</t>
  </si>
  <si>
    <t xml:space="preserve">ORD-2025-08974</t>
  </si>
  <si>
    <t xml:space="preserve">ORD-2025-07645</t>
  </si>
  <si>
    <t xml:space="preserve">ORD-2025-08010</t>
  </si>
  <si>
    <t xml:space="preserve">ORD-2024-05029</t>
  </si>
  <si>
    <t xml:space="preserve">ORD-2025-07737</t>
  </si>
  <si>
    <t xml:space="preserve">ORD-2025-06416</t>
  </si>
  <si>
    <t xml:space="preserve">ORD-2024-05229</t>
  </si>
  <si>
    <t xml:space="preserve">ORD-2022-01114</t>
  </si>
  <si>
    <t xml:space="preserve">ORD-2023-02647</t>
  </si>
  <si>
    <t xml:space="preserve">ORD-2023-03186</t>
  </si>
  <si>
    <t xml:space="preserve">ORD-2024-05811</t>
  </si>
  <si>
    <t xml:space="preserve">ORD-2025-08697</t>
  </si>
  <si>
    <t xml:space="preserve">ORD-2024-05309</t>
  </si>
  <si>
    <t xml:space="preserve">ORD-2023-02301</t>
  </si>
  <si>
    <t xml:space="preserve">ORD-2024-05690</t>
  </si>
  <si>
    <t xml:space="preserve">ORD-2022-00255</t>
  </si>
  <si>
    <t xml:space="preserve">ORD-2025-06588</t>
  </si>
  <si>
    <t xml:space="preserve">ORD-2023-03405</t>
  </si>
  <si>
    <t xml:space="preserve">ORD-2023-03366</t>
  </si>
  <si>
    <t xml:space="preserve">ORD-2024-05741</t>
  </si>
  <si>
    <t xml:space="preserve">ORD-2025-07636</t>
  </si>
  <si>
    <t xml:space="preserve">ORD-2024-04925</t>
  </si>
  <si>
    <t xml:space="preserve">ORD-2024-05827</t>
  </si>
  <si>
    <t xml:space="preserve">ORD-2025-07237</t>
  </si>
  <si>
    <t xml:space="preserve">ORD-2023-02590</t>
  </si>
  <si>
    <t xml:space="preserve">ORD-2024-04470</t>
  </si>
  <si>
    <t xml:space="preserve">ORD-2022-00304</t>
  </si>
  <si>
    <t xml:space="preserve">ORD-2024-05991</t>
  </si>
  <si>
    <t xml:space="preserve">ORD-2025-06511</t>
  </si>
  <si>
    <t xml:space="preserve">ORD-2024-05247</t>
  </si>
  <si>
    <t xml:space="preserve">ORD-2025-08147</t>
  </si>
  <si>
    <t xml:space="preserve">ORD-2025-08614</t>
  </si>
  <si>
    <t xml:space="preserve">ORD-2022-01437</t>
  </si>
  <si>
    <t xml:space="preserve">ORD-2023-03083</t>
  </si>
  <si>
    <t xml:space="preserve">ORD-2025-06490</t>
  </si>
  <si>
    <t xml:space="preserve">ORD-2022-00377</t>
  </si>
  <si>
    <t xml:space="preserve">ORD-2023-01870</t>
  </si>
  <si>
    <t xml:space="preserve">ORD-2025-06922</t>
  </si>
  <si>
    <t xml:space="preserve">ORD-2023-03195</t>
  </si>
  <si>
    <t xml:space="preserve">ORD-2025-08158</t>
  </si>
  <si>
    <t xml:space="preserve">ORD-2022-01659</t>
  </si>
  <si>
    <t xml:space="preserve">ORD-2022-00756</t>
  </si>
  <si>
    <t xml:space="preserve">ORD-2025-08223</t>
  </si>
  <si>
    <t xml:space="preserve">ORD-2024-04406</t>
  </si>
  <si>
    <t xml:space="preserve">ORD-2024-04263</t>
  </si>
  <si>
    <t xml:space="preserve">ORD-2022-00291</t>
  </si>
  <si>
    <t xml:space="preserve">ORD-2023-02237</t>
  </si>
  <si>
    <t xml:space="preserve">ORD-2025-06718</t>
  </si>
  <si>
    <t xml:space="preserve">ORD-2024-05077</t>
  </si>
  <si>
    <t xml:space="preserve">ORD-2023-02119</t>
  </si>
  <si>
    <t xml:space="preserve">ORD-2024-05925</t>
  </si>
  <si>
    <t xml:space="preserve">ORD-2025-07923</t>
  </si>
  <si>
    <t xml:space="preserve">ORD-2022-00502</t>
  </si>
  <si>
    <t xml:space="preserve">ORD-2024-04928</t>
  </si>
  <si>
    <t xml:space="preserve">ORD-2025-07999</t>
  </si>
  <si>
    <t xml:space="preserve">ORD-2023-03980</t>
  </si>
  <si>
    <t xml:space="preserve">ORD-2022-01540</t>
  </si>
  <si>
    <t xml:space="preserve">ORD-2024-04991</t>
  </si>
  <si>
    <t xml:space="preserve">ORD-2022-01212</t>
  </si>
  <si>
    <t xml:space="preserve">ORD-2025-07621</t>
  </si>
  <si>
    <t xml:space="preserve">ORD-2025-08240</t>
  </si>
  <si>
    <t xml:space="preserve">ORD-2022-00673</t>
  </si>
  <si>
    <t xml:space="preserve">ORD-2025-06475</t>
  </si>
  <si>
    <t xml:space="preserve">ORD-2024-05210</t>
  </si>
  <si>
    <t xml:space="preserve">ORD-2023-03004</t>
  </si>
  <si>
    <t xml:space="preserve">ORD-2025-07603</t>
  </si>
  <si>
    <t xml:space="preserve">ORD-2024-05187</t>
  </si>
  <si>
    <t xml:space="preserve">ORD-2025-07700</t>
  </si>
  <si>
    <t xml:space="preserve">ORD-2022-01465</t>
  </si>
  <si>
    <t xml:space="preserve">ORD-2025-06659</t>
  </si>
  <si>
    <t xml:space="preserve">ORD-2025-07739</t>
  </si>
  <si>
    <t xml:space="preserve">ORD-2022-01193</t>
  </si>
  <si>
    <t xml:space="preserve">ORD-2025-06621</t>
  </si>
  <si>
    <t xml:space="preserve">ORD-2023-02265</t>
  </si>
  <si>
    <t xml:space="preserve">ORD-2022-00422</t>
  </si>
  <si>
    <t xml:space="preserve">ORD-2022-00506</t>
  </si>
  <si>
    <t xml:space="preserve">ORD-2025-06576</t>
  </si>
  <si>
    <t xml:space="preserve">ORD-2023-02624</t>
  </si>
  <si>
    <t xml:space="preserve">ORD-2022-01583</t>
  </si>
  <si>
    <t xml:space="preserve">ORD-2022-00507</t>
  </si>
  <si>
    <t xml:space="preserve">ORD-2025-08052</t>
  </si>
  <si>
    <t xml:space="preserve">ORD-2023-02406</t>
  </si>
  <si>
    <t xml:space="preserve">ORD-2025-06823</t>
  </si>
  <si>
    <t xml:space="preserve">ORD-2023-03152</t>
  </si>
  <si>
    <t xml:space="preserve">ORD-2022-00622</t>
  </si>
  <si>
    <t xml:space="preserve">ORD-2023-02127</t>
  </si>
  <si>
    <t xml:space="preserve">ORD-2024-05558</t>
  </si>
  <si>
    <t xml:space="preserve">ORD-2024-04562</t>
  </si>
  <si>
    <t xml:space="preserve">ORD-2023-03847</t>
  </si>
  <si>
    <t xml:space="preserve">ORD-2023-02983</t>
  </si>
  <si>
    <t xml:space="preserve">ORD-2024-04324</t>
  </si>
  <si>
    <t xml:space="preserve">ORD-2022-00348</t>
  </si>
  <si>
    <t xml:space="preserve">ORD-2022-00798</t>
  </si>
  <si>
    <t xml:space="preserve">ORD-2024-05742</t>
  </si>
  <si>
    <t xml:space="preserve">ORD-2023-02830</t>
  </si>
  <si>
    <t xml:space="preserve">ORD-2025-07379</t>
  </si>
  <si>
    <t xml:space="preserve">ORD-2023-03961</t>
  </si>
  <si>
    <t xml:space="preserve">ORD-2025-08423</t>
  </si>
  <si>
    <t xml:space="preserve">ORD-2025-07616</t>
  </si>
  <si>
    <t xml:space="preserve">ORD-2025-08733</t>
  </si>
  <si>
    <t xml:space="preserve">ORD-2022-00313</t>
  </si>
  <si>
    <t xml:space="preserve">ORD-2024-04669</t>
  </si>
  <si>
    <t xml:space="preserve">ORD-2022-00747</t>
  </si>
  <si>
    <t xml:space="preserve">ORD-2022-00791</t>
  </si>
  <si>
    <t xml:space="preserve">ORD-2023-02477</t>
  </si>
  <si>
    <t xml:space="preserve">ORD-2023-02025</t>
  </si>
  <si>
    <t xml:space="preserve">ORD-2023-03690</t>
  </si>
  <si>
    <t xml:space="preserve">ORD-2023-02571</t>
  </si>
  <si>
    <t xml:space="preserve">ORD-2025-06794</t>
  </si>
  <si>
    <t xml:space="preserve">ORD-2025-08001</t>
  </si>
  <si>
    <t xml:space="preserve">ORD-2025-07168</t>
  </si>
  <si>
    <t xml:space="preserve">ORD-2025-07116</t>
  </si>
  <si>
    <t xml:space="preserve">ORD-2024-04372</t>
  </si>
  <si>
    <t xml:space="preserve">ORD-2024-04976</t>
  </si>
  <si>
    <t xml:space="preserve">ORD-2022-00260</t>
  </si>
  <si>
    <t xml:space="preserve">ORD-2023-02164</t>
  </si>
  <si>
    <t xml:space="preserve">ORD-2025-08279</t>
  </si>
  <si>
    <t xml:space="preserve">ORD-2022-00381</t>
  </si>
  <si>
    <t xml:space="preserve">ORD-2025-07473</t>
  </si>
  <si>
    <t xml:space="preserve">ORD-2025-07250</t>
  </si>
  <si>
    <t xml:space="preserve">ORD-2023-01913</t>
  </si>
  <si>
    <t xml:space="preserve">ORD-2025-06941</t>
  </si>
  <si>
    <t xml:space="preserve">ORD-2022-00600</t>
  </si>
  <si>
    <t xml:space="preserve">ORD-2022-00046</t>
  </si>
  <si>
    <t xml:space="preserve">ORD-2022-01445</t>
  </si>
  <si>
    <t xml:space="preserve">ORD-2022-01653</t>
  </si>
  <si>
    <t xml:space="preserve">ORD-2023-02700</t>
  </si>
  <si>
    <t xml:space="preserve">ORD-2025-07983</t>
  </si>
  <si>
    <t xml:space="preserve">ORD-2023-01894</t>
  </si>
  <si>
    <t xml:space="preserve">ORD-2023-01945</t>
  </si>
  <si>
    <t xml:space="preserve">ORD-2023-02407</t>
  </si>
  <si>
    <t xml:space="preserve">ORD-2024-05406</t>
  </si>
  <si>
    <t xml:space="preserve">ORD-2025-08833</t>
  </si>
  <si>
    <t xml:space="preserve">ORD-2024-05010</t>
  </si>
  <si>
    <t xml:space="preserve">ORD-2023-01967</t>
  </si>
  <si>
    <t xml:space="preserve">ORD-2025-08221</t>
  </si>
  <si>
    <t xml:space="preserve">ORD-2024-05794</t>
  </si>
  <si>
    <t xml:space="preserve">ORD-2024-03998</t>
  </si>
  <si>
    <t xml:space="preserve">ORD-2024-04417</t>
  </si>
  <si>
    <t xml:space="preserve">ORD-2022-01601</t>
  </si>
  <si>
    <t xml:space="preserve">ORD-2024-06058</t>
  </si>
  <si>
    <t xml:space="preserve">ORD-2022-01393</t>
  </si>
  <si>
    <t xml:space="preserve">ORD-2024-04561</t>
  </si>
  <si>
    <t xml:space="preserve">ORD-2023-03667</t>
  </si>
  <si>
    <t xml:space="preserve">ORD-2024-04193</t>
  </si>
  <si>
    <t xml:space="preserve">ORD-2024-04292</t>
  </si>
  <si>
    <t xml:space="preserve">ORD-2023-03419</t>
  </si>
  <si>
    <t xml:space="preserve">ORD-2022-00427</t>
  </si>
  <si>
    <t xml:space="preserve">ORD-2024-05857</t>
  </si>
  <si>
    <t xml:space="preserve">ORD-2025-08184</t>
  </si>
  <si>
    <t xml:space="preserve">ORD-2022-00411</t>
  </si>
  <si>
    <t xml:space="preserve">ORD-2025-08225</t>
  </si>
  <si>
    <t xml:space="preserve">ORD-2025-08044</t>
  </si>
  <si>
    <t xml:space="preserve">ORD-2024-05269</t>
  </si>
  <si>
    <t xml:space="preserve">ORD-2023-02487</t>
  </si>
  <si>
    <t xml:space="preserve">ORD-2025-07320</t>
  </si>
  <si>
    <t xml:space="preserve">ORD-2022-00780</t>
  </si>
  <si>
    <t xml:space="preserve">ORD-2024-04416</t>
  </si>
  <si>
    <t xml:space="preserve">ORD-2024-04081</t>
  </si>
  <si>
    <t xml:space="preserve">ORD-2023-03709</t>
  </si>
  <si>
    <t xml:space="preserve">ORD-2022-00211</t>
  </si>
  <si>
    <t xml:space="preserve">ORD-2023-02488</t>
  </si>
  <si>
    <t xml:space="preserve">ORD-2024-06190</t>
  </si>
  <si>
    <t xml:space="preserve">ORD-2024-05642</t>
  </si>
  <si>
    <t xml:space="preserve">ORD-2024-05886</t>
  </si>
  <si>
    <t xml:space="preserve">ORD-2024-04280</t>
  </si>
  <si>
    <t xml:space="preserve">ORD-2022-01050</t>
  </si>
  <si>
    <t xml:space="preserve">ORD-2025-08241</t>
  </si>
  <si>
    <t xml:space="preserve">ORD-2024-04326</t>
  </si>
  <si>
    <t xml:space="preserve">ORD-2023-02036</t>
  </si>
  <si>
    <t xml:space="preserve">ORD-2024-04247</t>
  </si>
  <si>
    <t xml:space="preserve">ORD-2025-08630</t>
  </si>
  <si>
    <t xml:space="preserve">ORD-2025-06548</t>
  </si>
  <si>
    <t xml:space="preserve">ORD-2023-01973</t>
  </si>
  <si>
    <t xml:space="preserve">ORD-2024-05995</t>
  </si>
  <si>
    <t xml:space="preserve">ORD-2023-02100</t>
  </si>
  <si>
    <t xml:space="preserve">ORD-2022-01500</t>
  </si>
  <si>
    <t xml:space="preserve">ORD-2022-01110</t>
  </si>
  <si>
    <t xml:space="preserve">ORD-2024-05499</t>
  </si>
  <si>
    <t xml:space="preserve">ORD-2025-08960</t>
  </si>
  <si>
    <t xml:space="preserve">ORD-2022-00653</t>
  </si>
  <si>
    <t xml:space="preserve">ORD-2024-05200</t>
  </si>
  <si>
    <t xml:space="preserve">ORD-2023-02733</t>
  </si>
  <si>
    <t xml:space="preserve">ORD-2023-03035</t>
  </si>
  <si>
    <t xml:space="preserve">ORD-2022-00243</t>
  </si>
  <si>
    <t xml:space="preserve">ORD-2022-01796</t>
  </si>
  <si>
    <t xml:space="preserve">ORD-2022-01703</t>
  </si>
  <si>
    <t xml:space="preserve">ORD-2024-04615</t>
  </si>
  <si>
    <t xml:space="preserve">ORD-2024-05661</t>
  </si>
  <si>
    <t xml:space="preserve">ORD-2024-04185</t>
  </si>
  <si>
    <t xml:space="preserve">ORD-2022-01499</t>
  </si>
  <si>
    <t xml:space="preserve">ORD-2023-02757</t>
  </si>
  <si>
    <t xml:space="preserve">ORD-2025-07651</t>
  </si>
  <si>
    <t xml:space="preserve">ORD-2024-04088</t>
  </si>
  <si>
    <t xml:space="preserve">ORD-2023-02179</t>
  </si>
  <si>
    <t xml:space="preserve">ORD-2024-04598</t>
  </si>
  <si>
    <t xml:space="preserve">ORD-2024-05149</t>
  </si>
  <si>
    <t xml:space="preserve">ORD-2025-08447</t>
  </si>
  <si>
    <t xml:space="preserve">ORD-2025-07802</t>
  </si>
  <si>
    <t xml:space="preserve">ORD-2025-07192</t>
  </si>
  <si>
    <t xml:space="preserve">ORD-2022-00706</t>
  </si>
  <si>
    <t xml:space="preserve">ORD-2023-01873</t>
  </si>
  <si>
    <t xml:space="preserve">ORD-2023-03778</t>
  </si>
  <si>
    <t xml:space="preserve">ORD-2023-03862</t>
  </si>
  <si>
    <t xml:space="preserve">ORD-2024-04751</t>
  </si>
  <si>
    <t xml:space="preserve">ORD-2025-07891</t>
  </si>
  <si>
    <t xml:space="preserve">ORD-2025-08474</t>
  </si>
  <si>
    <t xml:space="preserve">ORD-2024-05145</t>
  </si>
  <si>
    <t xml:space="preserve">ORD-2024-04455</t>
  </si>
  <si>
    <t xml:space="preserve">ORD-2024-06014</t>
  </si>
  <si>
    <t xml:space="preserve">ORD-2023-03411</t>
  </si>
  <si>
    <t xml:space="preserve">ORD-2025-08989</t>
  </si>
  <si>
    <t xml:space="preserve">ORD-2022-00566</t>
  </si>
  <si>
    <t xml:space="preserve">ORD-2024-05821</t>
  </si>
  <si>
    <t xml:space="preserve">ORD-2024-05418</t>
  </si>
  <si>
    <t xml:space="preserve">ORD-2024-06171</t>
  </si>
  <si>
    <t xml:space="preserve">ORD-2023-02988</t>
  </si>
  <si>
    <t xml:space="preserve">ORD-2022-00641</t>
  </si>
  <si>
    <t xml:space="preserve">ORD-2025-06526</t>
  </si>
  <si>
    <t xml:space="preserve">ORD-2023-03382</t>
  </si>
  <si>
    <t xml:space="preserve">ORD-2023-02779</t>
  </si>
  <si>
    <t xml:space="preserve">ORD-2022-00508</t>
  </si>
  <si>
    <t xml:space="preserve">ORD-2024-06108</t>
  </si>
  <si>
    <t xml:space="preserve">ORD-2023-01965</t>
  </si>
  <si>
    <t xml:space="preserve">ORD-2025-07719</t>
  </si>
  <si>
    <t xml:space="preserve">ORD-2022-01535</t>
  </si>
  <si>
    <t xml:space="preserve">ORD-2022-00326</t>
  </si>
  <si>
    <t xml:space="preserve">ORD-2024-06371</t>
  </si>
  <si>
    <t xml:space="preserve">ORD-2023-02339</t>
  </si>
  <si>
    <t xml:space="preserve">ORD-2023-03464</t>
  </si>
  <si>
    <t xml:space="preserve">ORD-2024-05666</t>
  </si>
  <si>
    <t xml:space="preserve">ORD-2023-03574</t>
  </si>
  <si>
    <t xml:space="preserve">ORD-2023-02238</t>
  </si>
  <si>
    <t xml:space="preserve">ORD-2025-06809</t>
  </si>
  <si>
    <t xml:space="preserve">ORD-2024-04640</t>
  </si>
  <si>
    <t xml:space="preserve">ORD-2024-05397</t>
  </si>
  <si>
    <t xml:space="preserve">ORD-2025-08741</t>
  </si>
  <si>
    <t xml:space="preserve">ORD-2023-03848</t>
  </si>
  <si>
    <t xml:space="preserve">ORD-2025-08721</t>
  </si>
  <si>
    <t xml:space="preserve">ORD-2022-00865</t>
  </si>
  <si>
    <t xml:space="preserve">ORD-2024-04764</t>
  </si>
  <si>
    <t xml:space="preserve">ORD-2025-08275</t>
  </si>
  <si>
    <t xml:space="preserve">ORD-2023-03146</t>
  </si>
  <si>
    <t xml:space="preserve">ORD-2025-07822</t>
  </si>
  <si>
    <t xml:space="preserve">ORD-2023-02816</t>
  </si>
  <si>
    <t xml:space="preserve">ORD-2024-04221</t>
  </si>
  <si>
    <t xml:space="preserve">ORD-2024-04246</t>
  </si>
  <si>
    <t xml:space="preserve">ORD-2022-00372</t>
  </si>
  <si>
    <t xml:space="preserve">ORD-2024-04511</t>
  </si>
  <si>
    <t xml:space="preserve">ORD-2024-04903</t>
  </si>
  <si>
    <t xml:space="preserve">ORD-2023-03602</t>
  </si>
  <si>
    <t xml:space="preserve">ORD-2023-02543</t>
  </si>
  <si>
    <t xml:space="preserve">ORD-2025-07796</t>
  </si>
  <si>
    <t xml:space="preserve">ORD-2025-07992</t>
  </si>
  <si>
    <t xml:space="preserve">ORD-2025-06996</t>
  </si>
  <si>
    <t xml:space="preserve">ORD-2024-05528</t>
  </si>
  <si>
    <t xml:space="preserve">ORD-2025-08848</t>
  </si>
  <si>
    <t xml:space="preserve">ORD-2023-02365</t>
  </si>
  <si>
    <t xml:space="preserve">ORD-2024-05600</t>
  </si>
  <si>
    <t xml:space="preserve">ORD-2022-01361</t>
  </si>
  <si>
    <t xml:space="preserve">ORD-2022-00912</t>
  </si>
  <si>
    <t xml:space="preserve">ORD-2025-08142</t>
  </si>
  <si>
    <t xml:space="preserve">ORD-2023-03615</t>
  </si>
  <si>
    <t xml:space="preserve">ORD-2025-08059</t>
  </si>
  <si>
    <t xml:space="preserve">ORD-2023-03606</t>
  </si>
  <si>
    <t xml:space="preserve">ORD-2023-03406</t>
  </si>
  <si>
    <t xml:space="preserve">ORD-2024-05271</t>
  </si>
  <si>
    <t xml:space="preserve">ORD-2022-00965</t>
  </si>
  <si>
    <t xml:space="preserve">ORD-2024-03993</t>
  </si>
  <si>
    <t xml:space="preserve">ORD-2022-01424</t>
  </si>
  <si>
    <t xml:space="preserve">ORD-2022-00123</t>
  </si>
  <si>
    <t xml:space="preserve">ORD-2022-00480</t>
  </si>
  <si>
    <t xml:space="preserve">ORD-2022-00663</t>
  </si>
  <si>
    <t xml:space="preserve">ORD-2025-07563</t>
  </si>
  <si>
    <t xml:space="preserve">ORD-2023-03762</t>
  </si>
  <si>
    <t xml:space="preserve">ORD-2023-03300</t>
  </si>
  <si>
    <t xml:space="preserve">ORD-2025-06439</t>
  </si>
  <si>
    <t xml:space="preserve">ORD-2023-02989</t>
  </si>
  <si>
    <t xml:space="preserve">ORD-2023-03214</t>
  </si>
  <si>
    <t xml:space="preserve">ORD-2023-02777</t>
  </si>
  <si>
    <t xml:space="preserve">ORD-2022-00440</t>
  </si>
  <si>
    <t xml:space="preserve">ORD-2022-01380</t>
  </si>
  <si>
    <t xml:space="preserve">ORD-2024-04515</t>
  </si>
  <si>
    <t xml:space="preserve">ORD-2025-06860</t>
  </si>
  <si>
    <t xml:space="preserve">ORD-2024-04479</t>
  </si>
  <si>
    <t xml:space="preserve">ORD-2024-04735</t>
  </si>
  <si>
    <t xml:space="preserve">ORD-2022-01444</t>
  </si>
  <si>
    <t xml:space="preserve">ORD-2024-05404</t>
  </si>
  <si>
    <t xml:space="preserve">ORD-2025-08291</t>
  </si>
  <si>
    <t xml:space="preserve">ORD-2022-01478</t>
  </si>
  <si>
    <t xml:space="preserve">ORD-2023-02040</t>
  </si>
  <si>
    <t xml:space="preserve">ORD-2022-01174</t>
  </si>
  <si>
    <t xml:space="preserve">ORD-2025-06498</t>
  </si>
  <si>
    <t xml:space="preserve">ORD-2024-06018</t>
  </si>
  <si>
    <t xml:space="preserve">ORD-2025-07755</t>
  </si>
  <si>
    <t xml:space="preserve">ORD-2023-03681</t>
  </si>
  <si>
    <t xml:space="preserve">ORD-2024-05163</t>
  </si>
  <si>
    <t xml:space="preserve">ORD-2024-04376</t>
  </si>
  <si>
    <t xml:space="preserve">ORD-2023-02894</t>
  </si>
  <si>
    <t xml:space="preserve">ORD-2023-02670</t>
  </si>
  <si>
    <t xml:space="preserve">ORD-2025-06441</t>
  </si>
  <si>
    <t xml:space="preserve">ORD-2022-00280</t>
  </si>
  <si>
    <t xml:space="preserve">ORD-2023-03881</t>
  </si>
  <si>
    <t xml:space="preserve">ORD-2024-05467</t>
  </si>
  <si>
    <t xml:space="preserve">ORD-2024-04962</t>
  </si>
  <si>
    <t xml:space="preserve">ORD-2023-02572</t>
  </si>
  <si>
    <t xml:space="preserve">ORD-2024-05702</t>
  </si>
  <si>
    <t xml:space="preserve">ORD-2022-01102</t>
  </si>
  <si>
    <t xml:space="preserve">ORD-2022-00569</t>
  </si>
  <si>
    <t xml:space="preserve">ORD-2022-01695</t>
  </si>
  <si>
    <t xml:space="preserve">ORD-2025-07311</t>
  </si>
  <si>
    <t xml:space="preserve">ORD-2024-05399</t>
  </si>
  <si>
    <t xml:space="preserve">ORD-2025-08029</t>
  </si>
  <si>
    <t xml:space="preserve">ORD-2025-07751</t>
  </si>
  <si>
    <t xml:space="preserve">ORD-2023-03239</t>
  </si>
  <si>
    <t xml:space="preserve">ORD-2022-00578</t>
  </si>
  <si>
    <t xml:space="preserve">ORD-2022-00060</t>
  </si>
  <si>
    <t xml:space="preserve">ORD-2023-03111</t>
  </si>
  <si>
    <t xml:space="preserve">ORD-2022-00788</t>
  </si>
  <si>
    <t xml:space="preserve">ORD-2023-03781</t>
  </si>
  <si>
    <t xml:space="preserve">ORD-2024-04323</t>
  </si>
  <si>
    <t xml:space="preserve">ORD-2023-03258</t>
  </si>
  <si>
    <t xml:space="preserve">ORD-2024-06310</t>
  </si>
  <si>
    <t xml:space="preserve">ORD-2024-05311</t>
  </si>
  <si>
    <t xml:space="preserve">ORD-2023-03401</t>
  </si>
  <si>
    <t xml:space="preserve">ORD-2024-05883</t>
  </si>
  <si>
    <t xml:space="preserve">ORD-2024-05707</t>
  </si>
  <si>
    <t xml:space="preserve">ORD-2025-08922</t>
  </si>
  <si>
    <t xml:space="preserve">ORD-2025-08867</t>
  </si>
  <si>
    <t xml:space="preserve">ORD-2024-04770</t>
  </si>
  <si>
    <t xml:space="preserve">ORD-2025-07253</t>
  </si>
  <si>
    <t xml:space="preserve">ORD-2022-00336</t>
  </si>
  <si>
    <t xml:space="preserve">ORD-2025-07228</t>
  </si>
  <si>
    <t xml:space="preserve">ORD-2025-07465</t>
  </si>
  <si>
    <t xml:space="preserve">ORD-2025-07894</t>
  </si>
  <si>
    <t xml:space="preserve">ORD-2024-04979</t>
  </si>
  <si>
    <t xml:space="preserve">ORD-2022-00468</t>
  </si>
  <si>
    <t xml:space="preserve">ORD-2022-00185</t>
  </si>
  <si>
    <t xml:space="preserve">ORD-2024-04140</t>
  </si>
  <si>
    <t xml:space="preserve">ORD-2025-07814</t>
  </si>
  <si>
    <t xml:space="preserve">ORD-2022-00421</t>
  </si>
  <si>
    <t xml:space="preserve">ORD-2023-02351</t>
  </si>
  <si>
    <t xml:space="preserve">ORD-2022-00554</t>
  </si>
  <si>
    <t xml:space="preserve">ORD-2022-01398</t>
  </si>
  <si>
    <t xml:space="preserve">ORD-2022-01385</t>
  </si>
  <si>
    <t xml:space="preserve">ORD-2025-08093</t>
  </si>
  <si>
    <t xml:space="preserve">ORD-2024-04205</t>
  </si>
  <si>
    <t xml:space="preserve">ORD-2022-01761</t>
  </si>
  <si>
    <t xml:space="preserve">ORD-2025-08219</t>
  </si>
  <si>
    <t xml:space="preserve">ORD-2022-00298</t>
  </si>
  <si>
    <t xml:space="preserve">ORD-2022-00444</t>
  </si>
  <si>
    <t xml:space="preserve">ORD-2022-00778</t>
  </si>
  <si>
    <t xml:space="preserve">ORD-2022-01120</t>
  </si>
  <si>
    <t xml:space="preserve">ORD-2025-07901</t>
  </si>
  <si>
    <t xml:space="preserve">ORD-2025-07866</t>
  </si>
  <si>
    <t xml:space="preserve">ORD-2025-07178</t>
  </si>
  <si>
    <t xml:space="preserve">ORD-2023-01922</t>
  </si>
  <si>
    <t xml:space="preserve">ORD-2022-00656</t>
  </si>
  <si>
    <t xml:space="preserve">ORD-2024-06339</t>
  </si>
  <si>
    <t xml:space="preserve">ORD-2023-02230</t>
  </si>
  <si>
    <t xml:space="preserve">ORD-2024-06064</t>
  </si>
  <si>
    <t xml:space="preserve">ORD-2023-02843</t>
  </si>
  <si>
    <t xml:space="preserve">ORD-2023-02538</t>
  </si>
  <si>
    <t xml:space="preserve">ORD-2023-03986</t>
  </si>
  <si>
    <t xml:space="preserve">ORD-2025-08640</t>
  </si>
  <si>
    <t xml:space="preserve">ORD-2023-02541</t>
  </si>
  <si>
    <t xml:space="preserve">ORD-2024-04971</t>
  </si>
  <si>
    <t xml:space="preserve">ORD-2024-05230</t>
  </si>
  <si>
    <t xml:space="preserve">ORD-2023-02458</t>
  </si>
  <si>
    <t xml:space="preserve">ORD-2023-02579</t>
  </si>
  <si>
    <t xml:space="preserve">ORD-2025-07650</t>
  </si>
  <si>
    <t xml:space="preserve">ORD-2025-07437</t>
  </si>
  <si>
    <t xml:space="preserve">ORD-2025-07911</t>
  </si>
  <si>
    <t xml:space="preserve">ORD-2023-02759</t>
  </si>
  <si>
    <t xml:space="preserve">ORD-2025-06635</t>
  </si>
  <si>
    <t xml:space="preserve">ORD-2025-08372</t>
  </si>
  <si>
    <t xml:space="preserve">ORD-2022-00559</t>
  </si>
  <si>
    <t xml:space="preserve">ORD-2022-00321</t>
  </si>
  <si>
    <t xml:space="preserve">ORD-2023-03040</t>
  </si>
  <si>
    <t xml:space="preserve">ORD-2022-01372</t>
  </si>
  <si>
    <t xml:space="preserve">ORD-2024-05771</t>
  </si>
  <si>
    <t xml:space="preserve">ORD-2022-00908</t>
  </si>
  <si>
    <t xml:space="preserve">ORD-2024-04841</t>
  </si>
  <si>
    <t xml:space="preserve">ORD-2022-01434</t>
  </si>
  <si>
    <t xml:space="preserve">ORD-2025-07867</t>
  </si>
  <si>
    <t xml:space="preserve">ORD-2024-05441</t>
  </si>
  <si>
    <t xml:space="preserve">ORD-2023-03985</t>
  </si>
  <si>
    <t xml:space="preserve">ORD-2025-07363</t>
  </si>
  <si>
    <t xml:space="preserve">ORD-2024-04951</t>
  </si>
  <si>
    <t xml:space="preserve">ORD-2023-03160</t>
  </si>
  <si>
    <t xml:space="preserve">ORD-2025-07004</t>
  </si>
  <si>
    <t xml:space="preserve">ORD-2022-00927</t>
  </si>
  <si>
    <t xml:space="preserve">ORD-2024-04993</t>
  </si>
  <si>
    <t xml:space="preserve">ORD-2023-02471</t>
  </si>
  <si>
    <t xml:space="preserve">ORD-2022-00016</t>
  </si>
  <si>
    <t xml:space="preserve">ORD-2022-00144</t>
  </si>
  <si>
    <t xml:space="preserve">ORD-2025-07417</t>
  </si>
  <si>
    <t xml:space="preserve">ORD-2023-02364</t>
  </si>
  <si>
    <t xml:space="preserve">ORD-2025-08564</t>
  </si>
  <si>
    <t xml:space="preserve">ORD-2025-07045</t>
  </si>
  <si>
    <t xml:space="preserve">ORD-2022-01162</t>
  </si>
  <si>
    <t xml:space="preserve">ORD-2024-04763</t>
  </si>
  <si>
    <t xml:space="preserve">ORD-2025-07564</t>
  </si>
  <si>
    <t xml:space="preserve">ORD-2024-04203</t>
  </si>
  <si>
    <t xml:space="preserve">ORD-2023-03510</t>
  </si>
  <si>
    <t xml:space="preserve">ORD-2022-01205</t>
  </si>
  <si>
    <t xml:space="preserve">ORD-2025-08069</t>
  </si>
  <si>
    <t xml:space="preserve">ORD-2022-01363</t>
  </si>
  <si>
    <t xml:space="preserve">ORD-2025-07052</t>
  </si>
  <si>
    <t xml:space="preserve">ORD-2022-01213</t>
  </si>
  <si>
    <t xml:space="preserve">ORD-2023-01877</t>
  </si>
  <si>
    <t xml:space="preserve">ORD-2025-07720</t>
  </si>
  <si>
    <t xml:space="preserve">ORD-2025-07738</t>
  </si>
  <si>
    <t xml:space="preserve">ORD-2025-08285</t>
  </si>
  <si>
    <t xml:space="preserve">ORD-2025-07677</t>
  </si>
  <si>
    <t xml:space="preserve">ORD-2024-04986</t>
  </si>
  <si>
    <t xml:space="preserve">ORD-2024-04820</t>
  </si>
  <si>
    <t xml:space="preserve">ORD-2022-01171</t>
  </si>
  <si>
    <t xml:space="preserve">ORD-2022-00580</t>
  </si>
  <si>
    <t xml:space="preserve">ORD-2023-02183</t>
  </si>
  <si>
    <t xml:space="preserve">ORD-2024-04085</t>
  </si>
  <si>
    <t xml:space="preserve">ORD-2024-05610</t>
  </si>
  <si>
    <t xml:space="preserve">ORD-2023-03945</t>
  </si>
  <si>
    <t xml:space="preserve">ORD-2022-01834</t>
  </si>
  <si>
    <t xml:space="preserve">ORD-2025-06782</t>
  </si>
  <si>
    <t xml:space="preserve">ORD-2022-01826</t>
  </si>
  <si>
    <t xml:space="preserve">ORD-2025-06519</t>
  </si>
  <si>
    <t xml:space="preserve">ORD-2023-01860</t>
  </si>
  <si>
    <t xml:space="preserve">ORD-2025-06895</t>
  </si>
  <si>
    <t xml:space="preserve">ORD-2025-08483</t>
  </si>
  <si>
    <t xml:space="preserve">ORD-2023-02686</t>
  </si>
  <si>
    <t xml:space="preserve">ORD-2024-05168</t>
  </si>
  <si>
    <t xml:space="preserve">ORD-2024-04412</t>
  </si>
  <si>
    <t xml:space="preserve">ORD-2025-07909</t>
  </si>
  <si>
    <t xml:space="preserve">ORD-2023-03122</t>
  </si>
  <si>
    <t xml:space="preserve">ORD-2022-00388</t>
  </si>
  <si>
    <t xml:space="preserve">ORD-2025-08547</t>
  </si>
  <si>
    <t xml:space="preserve">ORD-2022-01033</t>
  </si>
  <si>
    <t xml:space="preserve">ORD-2025-08923</t>
  </si>
  <si>
    <t xml:space="preserve">ORD-2023-02489</t>
  </si>
  <si>
    <t xml:space="preserve">ORD-2023-02287</t>
  </si>
  <si>
    <t xml:space="preserve">ORD-2023-03188</t>
  </si>
  <si>
    <t xml:space="preserve">ORD-2023-02630</t>
  </si>
  <si>
    <t xml:space="preserve">ORD-2023-03873</t>
  </si>
  <si>
    <t xml:space="preserve">ORD-2023-03591</t>
  </si>
  <si>
    <t xml:space="preserve">ORD-2023-03059</t>
  </si>
  <si>
    <t xml:space="preserve">ORD-2025-07163</t>
  </si>
  <si>
    <t xml:space="preserve">ORD-2022-00932</t>
  </si>
  <si>
    <t xml:space="preserve">ORD-2023-03943</t>
  </si>
  <si>
    <t xml:space="preserve">ORD-2022-00692</t>
  </si>
  <si>
    <t xml:space="preserve">ORD-2025-08385</t>
  </si>
  <si>
    <t xml:space="preserve">ORD-2023-01892</t>
  </si>
  <si>
    <t xml:space="preserve">ORD-2023-02269</t>
  </si>
  <si>
    <t xml:space="preserve">ORD-2025-08886</t>
  </si>
  <si>
    <t xml:space="preserve">ORD-2022-00830</t>
  </si>
  <si>
    <t xml:space="preserve">ORD-2025-08797</t>
  </si>
  <si>
    <t xml:space="preserve">ORD-2023-03743</t>
  </si>
  <si>
    <t xml:space="preserve">ORD-2025-08534</t>
  </si>
  <si>
    <t xml:space="preserve">ORD-2022-00045</t>
  </si>
  <si>
    <t xml:space="preserve">ORD-2023-03102</t>
  </si>
  <si>
    <t xml:space="preserve">ORD-2024-04268</t>
  </si>
  <si>
    <t xml:space="preserve">ORD-2023-03013</t>
  </si>
  <si>
    <t xml:space="preserve">ORD-2025-08082</t>
  </si>
  <si>
    <t xml:space="preserve">ORD-2025-08527</t>
  </si>
  <si>
    <t xml:space="preserve">ORD-2022-00224</t>
  </si>
  <si>
    <t xml:space="preserve">ORD-2023-02966</t>
  </si>
  <si>
    <t xml:space="preserve">ORD-2022-01188</t>
  </si>
  <si>
    <t xml:space="preserve">ORD-2024-06135</t>
  </si>
  <si>
    <t xml:space="preserve">ORD-2022-00838</t>
  </si>
  <si>
    <t xml:space="preserve">ORD-2023-03773</t>
  </si>
  <si>
    <t xml:space="preserve">ORD-2022-01684</t>
  </si>
  <si>
    <t xml:space="preserve">ORD-2025-07373</t>
  </si>
  <si>
    <t xml:space="preserve">ORD-2023-03060</t>
  </si>
  <si>
    <t xml:space="preserve">ORD-2025-07839</t>
  </si>
  <si>
    <t xml:space="preserve">ORD-2025-07413</t>
  </si>
  <si>
    <t xml:space="preserve">ORD-2022-00064</t>
  </si>
  <si>
    <t xml:space="preserve">ORD-2023-03093</t>
  </si>
  <si>
    <t xml:space="preserve">ORD-2022-00618</t>
  </si>
  <si>
    <t xml:space="preserve">ORD-2025-08946</t>
  </si>
  <si>
    <t xml:space="preserve">ORD-2025-06417</t>
  </si>
  <si>
    <t xml:space="preserve">ORD-2022-00228</t>
  </si>
  <si>
    <t xml:space="preserve">ORD-2024-05082</t>
  </si>
  <si>
    <t xml:space="preserve">ORD-2025-06979</t>
  </si>
  <si>
    <t xml:space="preserve">ORD-2024-06192</t>
  </si>
  <si>
    <t xml:space="preserve">ORD-2023-03196</t>
  </si>
  <si>
    <t xml:space="preserve">ORD-2025-08268</t>
  </si>
  <si>
    <t xml:space="preserve">ORD-2023-03657</t>
  </si>
  <si>
    <t xml:space="preserve">ORD-2025-08584</t>
  </si>
  <si>
    <t xml:space="preserve">ORD-2022-00970</t>
  </si>
  <si>
    <t xml:space="preserve">ORD-2022-01806</t>
  </si>
  <si>
    <t xml:space="preserve">ORD-2023-02448</t>
  </si>
  <si>
    <t xml:space="preserve">ORD-2022-00926</t>
  </si>
  <si>
    <t xml:space="preserve">ORD-2025-08013</t>
  </si>
  <si>
    <t xml:space="preserve">ORD-2024-05431</t>
  </si>
  <si>
    <t xml:space="preserve">ORD-2024-06146</t>
  </si>
  <si>
    <t xml:space="preserve">ORD-2025-07361</t>
  </si>
  <si>
    <t xml:space="preserve">ORD-2024-04884</t>
  </si>
  <si>
    <t xml:space="preserve">ORD-2023-02852</t>
  </si>
  <si>
    <t xml:space="preserve">ORD-2025-07097</t>
  </si>
  <si>
    <t xml:space="preserve">ORD-2024-04206</t>
  </si>
  <si>
    <t xml:space="preserve">ORD-2023-01861</t>
  </si>
  <si>
    <t xml:space="preserve">ORD-2024-04990</t>
  </si>
  <si>
    <t xml:space="preserve">ORD-2025-07824</t>
  </si>
  <si>
    <t xml:space="preserve">ORD-2024-06335</t>
  </si>
  <si>
    <t xml:space="preserve">ORD-2025-07607</t>
  </si>
  <si>
    <t xml:space="preserve">ORD-2025-06931</t>
  </si>
  <si>
    <t xml:space="preserve">ORD-2022-00253</t>
  </si>
  <si>
    <t xml:space="preserve">ORD-2025-07260</t>
  </si>
  <si>
    <t xml:space="preserve">ORD-2025-06408</t>
  </si>
  <si>
    <t xml:space="preserve">ORD-2022-01790</t>
  </si>
  <si>
    <t xml:space="preserve">ORD-2025-08557</t>
  </si>
  <si>
    <t xml:space="preserve">ORD-2023-02060</t>
  </si>
  <si>
    <t xml:space="preserve">ORD-2025-08662</t>
  </si>
  <si>
    <t xml:space="preserve">ORD-2023-03048</t>
  </si>
  <si>
    <t xml:space="preserve">ORD-2024-04966</t>
  </si>
  <si>
    <t xml:space="preserve">ORD-2024-06179</t>
  </si>
  <si>
    <t xml:space="preserve">ORD-2023-01903</t>
  </si>
  <si>
    <t xml:space="preserve">ORD-2023-02751</t>
  </si>
  <si>
    <t xml:space="preserve">ORD-2023-03335</t>
  </si>
  <si>
    <t xml:space="preserve">ORD-2023-02120</t>
  </si>
  <si>
    <t xml:space="preserve">ORD-2025-07502</t>
  </si>
  <si>
    <t xml:space="preserve">ORD-2024-06128</t>
  </si>
  <si>
    <t xml:space="preserve">ORD-2024-04042</t>
  </si>
  <si>
    <t xml:space="preserve">ORD-2023-02690</t>
  </si>
  <si>
    <t xml:space="preserve">ORD-2024-05899</t>
  </si>
  <si>
    <t xml:space="preserve">ORD-2024-06331</t>
  </si>
  <si>
    <t xml:space="preserve">ORD-2023-01924</t>
  </si>
  <si>
    <t xml:space="preserve">ORD-2025-08292</t>
  </si>
  <si>
    <t xml:space="preserve">ORD-2022-00076</t>
  </si>
  <si>
    <t xml:space="preserve">ORD-2023-02346</t>
  </si>
  <si>
    <t xml:space="preserve">ORD-2023-02352</t>
  </si>
  <si>
    <t xml:space="preserve">ORD-2024-05664</t>
  </si>
  <si>
    <t xml:space="preserve">ORD-2022-00431</t>
  </si>
  <si>
    <t xml:space="preserve">ORD-2025-06671</t>
  </si>
  <si>
    <t xml:space="preserve">ORD-2024-04428</t>
  </si>
  <si>
    <t xml:space="preserve">ORD-2024-04523</t>
  </si>
  <si>
    <t xml:space="preserve">ORD-2025-07441</t>
  </si>
  <si>
    <t xml:space="preserve">ORD-2025-08498</t>
  </si>
  <si>
    <t xml:space="preserve">ORD-2024-04824</t>
  </si>
  <si>
    <t xml:space="preserve">ORD-2025-07134</t>
  </si>
  <si>
    <t xml:space="preserve">ORD-2025-06605</t>
  </si>
  <si>
    <t xml:space="preserve">ORD-2025-06724</t>
  </si>
  <si>
    <t xml:space="preserve">ORD-2023-03466</t>
  </si>
  <si>
    <t xml:space="preserve">ORD-2024-06199</t>
  </si>
  <si>
    <t xml:space="preserve">ORD-2022-00241</t>
  </si>
  <si>
    <t xml:space="preserve">ORD-2022-00784</t>
  </si>
  <si>
    <t xml:space="preserve">ORD-2022-01355</t>
  </si>
  <si>
    <t xml:space="preserve">ORD-2023-03067</t>
  </si>
  <si>
    <t xml:space="preserve">ORD-2024-04631</t>
  </si>
  <si>
    <t xml:space="preserve">ORD-2022-00978</t>
  </si>
  <si>
    <t xml:space="preserve">ORD-2022-00810</t>
  </si>
  <si>
    <t xml:space="preserve">ORD-2023-02169</t>
  </si>
  <si>
    <t xml:space="preserve">ORD-2025-07701</t>
  </si>
  <si>
    <t xml:space="preserve">ORD-2025-08205</t>
  </si>
  <si>
    <t xml:space="preserve">ORD-2022-01600</t>
  </si>
  <si>
    <t xml:space="preserve">ORD-2023-02942</t>
  </si>
  <si>
    <t xml:space="preserve">ORD-2025-07296</t>
  </si>
  <si>
    <t xml:space="preserve">ORD-2025-07272</t>
  </si>
  <si>
    <t xml:space="preserve">ORD-2023-03617</t>
  </si>
  <si>
    <t xml:space="preserve">ORD-2022-00685</t>
  </si>
  <si>
    <t xml:space="preserve">ORD-2025-07395</t>
  </si>
  <si>
    <t xml:space="preserve">ORD-2024-06181</t>
  </si>
  <si>
    <t xml:space="preserve">ORD-2022-01621</t>
  </si>
  <si>
    <t xml:space="preserve">ORD-2025-08157</t>
  </si>
  <si>
    <t xml:space="preserve">ORD-2022-01483</t>
  </si>
  <si>
    <t xml:space="preserve">ORD-2023-02147</t>
  </si>
  <si>
    <t xml:space="preserve">ORD-2022-01802</t>
  </si>
  <si>
    <t xml:space="preserve">ORD-2023-02096</t>
  </si>
  <si>
    <t xml:space="preserve">ORD-2024-04933</t>
  </si>
  <si>
    <t xml:space="preserve">ORD-2024-06124</t>
  </si>
  <si>
    <t xml:space="preserve">ORD-2022-01358</t>
  </si>
  <si>
    <t xml:space="preserve">ORD-2025-06535</t>
  </si>
  <si>
    <t xml:space="preserve">ORD-2024-04033</t>
  </si>
  <si>
    <t xml:space="preserve">ORD-2025-08835</t>
  </si>
  <si>
    <t xml:space="preserve">ORD-2025-06647</t>
  </si>
  <si>
    <t xml:space="preserve">ORD-2025-08728</t>
  </si>
  <si>
    <t xml:space="preserve">ORD-2025-07049</t>
  </si>
  <si>
    <t xml:space="preserve">ORD-2025-07040</t>
  </si>
  <si>
    <t xml:space="preserve">ORD-2025-06499</t>
  </si>
  <si>
    <t xml:space="preserve">ORD-2022-01610</t>
  </si>
  <si>
    <t xml:space="preserve">ORD-2023-03754</t>
  </si>
  <si>
    <t xml:space="preserve">ORD-2022-00495</t>
  </si>
  <si>
    <t xml:space="preserve">ORD-2025-07024</t>
  </si>
  <si>
    <t xml:space="preserve">ORD-2023-03320</t>
  </si>
  <si>
    <t xml:space="preserve">ORD-2024-04924</t>
  </si>
  <si>
    <t xml:space="preserve">ORD-2023-02018</t>
  </si>
  <si>
    <t xml:space="preserve">ORD-2024-04887</t>
  </si>
  <si>
    <t xml:space="preserve">ORD-2023-02329</t>
  </si>
  <si>
    <t xml:space="preserve">ORD-2022-00030</t>
  </si>
  <si>
    <t xml:space="preserve">ORD-2024-05959</t>
  </si>
  <si>
    <t xml:space="preserve">ORD-2024-04382</t>
  </si>
  <si>
    <t xml:space="preserve">ORD-2025-08864</t>
  </si>
  <si>
    <t xml:space="preserve">ORD-2023-03119</t>
  </si>
  <si>
    <t xml:space="preserve">ORD-2022-01093</t>
  </si>
  <si>
    <t xml:space="preserve">ORD-2023-03247</t>
  </si>
  <si>
    <t xml:space="preserve">ORD-2022-00125</t>
  </si>
  <si>
    <t xml:space="preserve">ORD-2024-05220</t>
  </si>
  <si>
    <t xml:space="preserve">ORD-2025-07217</t>
  </si>
  <si>
    <t xml:space="preserve">ORD-2024-04830</t>
  </si>
  <si>
    <t xml:space="preserve">ORD-2025-08482</t>
  </si>
  <si>
    <t xml:space="preserve">ORD-2025-08894</t>
  </si>
  <si>
    <t xml:space="preserve">ORD-2023-02299</t>
  </si>
  <si>
    <t xml:space="preserve">ORD-2024-06290</t>
  </si>
  <si>
    <t xml:space="preserve">ORD-2022-01554</t>
  </si>
  <si>
    <t xml:space="preserve">ORD-2025-08272</t>
  </si>
  <si>
    <t xml:space="preserve">ORD-2023-03342</t>
  </si>
  <si>
    <t xml:space="preserve">ORD-2022-00599</t>
  </si>
  <si>
    <t xml:space="preserve">ORD-2023-02124</t>
  </si>
  <si>
    <t xml:space="preserve">ORD-2025-07519</t>
  </si>
  <si>
    <t xml:space="preserve">ORD-2022-01417</t>
  </si>
  <si>
    <t xml:space="preserve">ORD-2025-07043</t>
  </si>
  <si>
    <t xml:space="preserve">ORD-2025-07782</t>
  </si>
  <si>
    <t xml:space="preserve">ORD-2024-05763</t>
  </si>
  <si>
    <t xml:space="preserve">ORD-2025-06697</t>
  </si>
  <si>
    <t xml:space="preserve">ORD-2024-05726</t>
  </si>
  <si>
    <t xml:space="preserve">ORD-2025-07969</t>
  </si>
  <si>
    <t xml:space="preserve">ORD-2024-04864</t>
  </si>
  <si>
    <t xml:space="preserve">ORD-2023-02198</t>
  </si>
  <si>
    <t xml:space="preserve">ORD-2024-04919</t>
  </si>
  <si>
    <t xml:space="preserve">ORD-2023-03363</t>
  </si>
  <si>
    <t xml:space="preserve">ORD-2024-05564</t>
  </si>
  <si>
    <t xml:space="preserve">ORD-2022-00726</t>
  </si>
  <si>
    <t xml:space="preserve">ORD-2023-03910</t>
  </si>
  <si>
    <t xml:space="preserve">ORD-2025-07743</t>
  </si>
  <si>
    <t xml:space="preserve">ORD-2022-00809</t>
  </si>
  <si>
    <t xml:space="preserve">ORD-2023-03963</t>
  </si>
  <si>
    <t xml:space="preserve">ORD-2025-06766</t>
  </si>
  <si>
    <t xml:space="preserve">ORD-2022-00959</t>
  </si>
  <si>
    <t xml:space="preserve">ORD-2024-04349</t>
  </si>
  <si>
    <t xml:space="preserve">ORD-2024-05235</t>
  </si>
  <si>
    <t xml:space="preserve">ORD-2024-04716</t>
  </si>
  <si>
    <t xml:space="preserve">ORD-2022-00811</t>
  </si>
  <si>
    <t xml:space="preserve">ORD-2025-08120</t>
  </si>
  <si>
    <t xml:space="preserve">ORD-2022-00835</t>
  </si>
  <si>
    <t xml:space="preserve">ORD-2025-07298</t>
  </si>
  <si>
    <t xml:space="preserve">ORD-2023-02424</t>
  </si>
  <si>
    <t xml:space="preserve">ORD-2024-05217</t>
  </si>
  <si>
    <t xml:space="preserve">ORD-2025-08123</t>
  </si>
  <si>
    <t xml:space="preserve">ORD-2022-01236</t>
  </si>
  <si>
    <t xml:space="preserve">ORD-2022-01226</t>
  </si>
  <si>
    <t xml:space="preserve">ORD-2025-06462</t>
  </si>
  <si>
    <t xml:space="preserve">ORD-2025-07461</t>
  </si>
  <si>
    <t xml:space="preserve">ORD-2024-04299</t>
  </si>
  <si>
    <t xml:space="preserve">ORD-2023-03721</t>
  </si>
  <si>
    <t xml:space="preserve">ORD-2024-04149</t>
  </si>
  <si>
    <t xml:space="preserve">ORD-2023-03218</t>
  </si>
  <si>
    <t xml:space="preserve">ORD-2024-06047</t>
  </si>
  <si>
    <t xml:space="preserve">ORD-2022-00288</t>
  </si>
  <si>
    <t xml:space="preserve">ORD-2024-04052</t>
  </si>
  <si>
    <t xml:space="preserve">ORD-2023-02967</t>
  </si>
  <si>
    <t xml:space="preserve">ORD-2023-03165</t>
  </si>
  <si>
    <t xml:space="preserve">ORD-2025-07709</t>
  </si>
  <si>
    <t xml:space="preserve">ORD-2024-05387</t>
  </si>
  <si>
    <t xml:space="preserve">ORD-2025-06793</t>
  </si>
  <si>
    <t xml:space="preserve">ORD-2022-01658</t>
  </si>
  <si>
    <t xml:space="preserve">ORD-2023-01976</t>
  </si>
  <si>
    <t xml:space="preserve">ORD-2023-02398</t>
  </si>
  <si>
    <t xml:space="preserve">ORD-2022-00453</t>
  </si>
  <si>
    <t xml:space="preserve">ORD-2025-07780</t>
  </si>
  <si>
    <t xml:space="preserve">ORD-2024-05765</t>
  </si>
  <si>
    <t xml:space="preserve">ORD-2025-07279</t>
  </si>
  <si>
    <t xml:space="preserve">ORD-2024-03995</t>
  </si>
  <si>
    <t xml:space="preserve">ORD-2023-02620</t>
  </si>
  <si>
    <t xml:space="preserve">ORD-2022-00423</t>
  </si>
  <si>
    <t xml:space="preserve">ORD-2024-04915</t>
  </si>
  <si>
    <t xml:space="preserve">ORD-2022-01221</t>
  </si>
  <si>
    <t xml:space="preserve">ORD-2023-02930</t>
  </si>
  <si>
    <t xml:space="preserve">ORD-2022-00658</t>
  </si>
  <si>
    <t xml:space="preserve">ORD-2023-03302</t>
  </si>
  <si>
    <t xml:space="preserve">ORD-2024-04741</t>
  </si>
  <si>
    <t xml:space="preserve">ORD-2023-02846</t>
  </si>
  <si>
    <t xml:space="preserve">ORD-2023-03024</t>
  </si>
  <si>
    <t xml:space="preserve">ORD-2024-06075</t>
  </si>
  <si>
    <t xml:space="preserve">ORD-2025-08713</t>
  </si>
  <si>
    <t xml:space="preserve">ORD-2022-01002</t>
  </si>
  <si>
    <t xml:space="preserve">ORD-2022-00103</t>
  </si>
  <si>
    <t xml:space="preserve">ORD-2023-02419</t>
  </si>
  <si>
    <t xml:space="preserve">ORD-2024-06062</t>
  </si>
  <si>
    <t xml:space="preserve">ORD-2025-06401</t>
  </si>
  <si>
    <t xml:space="preserve">ORD-2025-06848</t>
  </si>
  <si>
    <t xml:space="preserve">ORD-2022-01581</t>
  </si>
  <si>
    <t xml:space="preserve">ORD-2023-02249</t>
  </si>
  <si>
    <t xml:space="preserve">ORD-2023-02207</t>
  </si>
  <si>
    <t xml:space="preserve">ORD-2022-00171</t>
  </si>
  <si>
    <t xml:space="preserve">ORD-2025-07306</t>
  </si>
  <si>
    <t xml:space="preserve">ORD-2022-00136</t>
  </si>
  <si>
    <t xml:space="preserve">ORD-2022-00758</t>
  </si>
  <si>
    <t xml:space="preserve">ORD-2025-08431</t>
  </si>
  <si>
    <t xml:space="preserve">ORD-2022-01311</t>
  </si>
  <si>
    <t xml:space="preserve">ORD-2022-01218</t>
  </si>
  <si>
    <t xml:space="preserve">ORD-2023-02285</t>
  </si>
  <si>
    <t xml:space="preserve">ORD-2024-05415</t>
  </si>
  <si>
    <t xml:space="preserve">ORD-2023-02906</t>
  </si>
  <si>
    <t xml:space="preserve">ORD-2024-04825</t>
  </si>
  <si>
    <t xml:space="preserve">ORD-2025-07354</t>
  </si>
  <si>
    <t xml:space="preserve">ORD-2024-05649</t>
  </si>
  <si>
    <t xml:space="preserve">ORD-2023-01936</t>
  </si>
  <si>
    <t xml:space="preserve">ORD-2023-03689</t>
  </si>
  <si>
    <t xml:space="preserve">ORD-2022-01744</t>
  </si>
  <si>
    <t xml:space="preserve">ORD-2024-04100</t>
  </si>
  <si>
    <t xml:space="preserve">ORD-2022-00808</t>
  </si>
  <si>
    <t xml:space="preserve">ORD-2023-02046</t>
  </si>
  <si>
    <t xml:space="preserve">ORD-2025-08955</t>
  </si>
  <si>
    <t xml:space="preserve">ORD-2022-00463</t>
  </si>
  <si>
    <t xml:space="preserve">ORD-2023-02928</t>
  </si>
  <si>
    <t xml:space="preserve">ORD-2023-01957</t>
  </si>
  <si>
    <t xml:space="preserve">ORD-2023-02446</t>
  </si>
  <si>
    <t xml:space="preserve">ORD-2024-04766</t>
  </si>
  <si>
    <t xml:space="preserve">ORD-2025-06404</t>
  </si>
  <si>
    <t xml:space="preserve">ORD-2024-04989</t>
  </si>
  <si>
    <t xml:space="preserve">ORD-2023-03236</t>
  </si>
  <si>
    <t xml:space="preserve">ORD-2022-00800</t>
  </si>
  <si>
    <t xml:space="preserve">ORD-2023-02403</t>
  </si>
  <si>
    <t xml:space="preserve">ORD-2024-04657</t>
  </si>
  <si>
    <t xml:space="preserve">ORD-2022-01074</t>
  </si>
  <si>
    <t xml:space="preserve">ORD-2024-04473</t>
  </si>
  <si>
    <t xml:space="preserve">ORD-2024-05324</t>
  </si>
  <si>
    <t xml:space="preserve">ORD-2022-00145</t>
  </si>
  <si>
    <t xml:space="preserve">ORD-2025-06660</t>
  </si>
  <si>
    <t xml:space="preserve">ORD-2022-01341</t>
  </si>
  <si>
    <t xml:space="preserve">ORD-2024-04130</t>
  </si>
  <si>
    <t xml:space="preserve">ORD-2025-08443</t>
  </si>
  <si>
    <t xml:space="preserve">ORD-2023-02092</t>
  </si>
  <si>
    <t xml:space="preserve">ORD-2024-06142</t>
  </si>
  <si>
    <t xml:space="preserve">ORD-2024-05468</t>
  </si>
  <si>
    <t xml:space="preserve">ORD-2024-05844</t>
  </si>
  <si>
    <t xml:space="preserve">ORD-2024-05517</t>
  </si>
  <si>
    <t xml:space="preserve">ORD-2024-05875</t>
  </si>
  <si>
    <t xml:space="preserve">ORD-2024-06012</t>
  </si>
  <si>
    <t xml:space="preserve">ORD-2023-03594</t>
  </si>
  <si>
    <t xml:space="preserve">ORD-2024-04780</t>
  </si>
  <si>
    <t xml:space="preserve">ORD-2024-05553</t>
  </si>
  <si>
    <t xml:space="preserve">ORD-2022-01004</t>
  </si>
  <si>
    <t xml:space="preserve">ORD-2025-06583</t>
  </si>
  <si>
    <t xml:space="preserve">ORD-2024-06224</t>
  </si>
  <si>
    <t xml:space="preserve">ORD-2025-08957</t>
  </si>
  <si>
    <t xml:space="preserve">ORD-2024-04251</t>
  </si>
  <si>
    <t xml:space="preserve">ORD-2023-03471</t>
  </si>
  <si>
    <t xml:space="preserve">ORD-2025-08134</t>
  </si>
  <si>
    <t xml:space="preserve">ORD-2022-00556</t>
  </si>
  <si>
    <t xml:space="preserve">ORD-2023-03951</t>
  </si>
  <si>
    <t xml:space="preserve">ORD-2024-04314</t>
  </si>
  <si>
    <t xml:space="preserve">ORD-2025-08256</t>
  </si>
  <si>
    <t xml:space="preserve">ORD-2022-01486</t>
  </si>
  <si>
    <t xml:space="preserve">ORD-2025-07064</t>
  </si>
  <si>
    <t xml:space="preserve">ORD-2022-01273</t>
  </si>
  <si>
    <t xml:space="preserve">ORD-2025-07372</t>
  </si>
  <si>
    <t xml:space="preserve">ORD-2022-01412</t>
  </si>
  <si>
    <t xml:space="preserve">ORD-2025-08460</t>
  </si>
  <si>
    <t xml:space="preserve">ORD-2022-00754</t>
  </si>
  <si>
    <t xml:space="preserve">ORD-2022-01472</t>
  </si>
  <si>
    <t xml:space="preserve">ORD-2025-06430</t>
  </si>
  <si>
    <t xml:space="preserve">ORD-2025-08934</t>
  </si>
  <si>
    <t xml:space="preserve">ORD-2025-08586</t>
  </si>
  <si>
    <t xml:space="preserve">ORD-2025-06521</t>
  </si>
  <si>
    <t xml:space="preserve">ORD-2024-05852</t>
  </si>
  <si>
    <t xml:space="preserve">ORD-2023-03077</t>
  </si>
  <si>
    <t xml:space="preserve">ORD-2024-05699</t>
  </si>
  <si>
    <t xml:space="preserve">ORD-2025-06506</t>
  </si>
  <si>
    <t xml:space="preserve">ORD-2023-03289</t>
  </si>
  <si>
    <t xml:space="preserve">ORD-2024-04795</t>
  </si>
  <si>
    <t xml:space="preserve">ORD-2024-04170</t>
  </si>
  <si>
    <t xml:space="preserve">ORD-2022-00982</t>
  </si>
  <si>
    <t xml:space="preserve">ORD-2025-08283</t>
  </si>
  <si>
    <t xml:space="preserve">ORD-2024-05460</t>
  </si>
  <si>
    <t xml:space="preserve">ORD-2023-02723</t>
  </si>
  <si>
    <t xml:space="preserve">ORD-2025-08461</t>
  </si>
  <si>
    <t xml:space="preserve">ORD-2022-01269</t>
  </si>
  <si>
    <t xml:space="preserve">ORD-2023-02463</t>
  </si>
  <si>
    <t xml:space="preserve">ORD-2025-06622</t>
  </si>
  <si>
    <t xml:space="preserve">ORD-2022-00269</t>
  </si>
  <si>
    <t xml:space="preserve">ORD-2023-03581</t>
  </si>
  <si>
    <t xml:space="preserve">ORD-2022-00655</t>
  </si>
  <si>
    <t xml:space="preserve">ORD-2024-04344</t>
  </si>
  <si>
    <t xml:space="preserve">ORD-2025-08456</t>
  </si>
  <si>
    <t xml:space="preserve">ORD-2024-04218</t>
  </si>
  <si>
    <t xml:space="preserve">ORD-2023-03598</t>
  </si>
  <si>
    <t xml:space="preserve">ORD-2023-02414</t>
  </si>
  <si>
    <t xml:space="preserve">ORD-2024-06056</t>
  </si>
  <si>
    <t xml:space="preserve">ORD-2023-02822</t>
  </si>
  <si>
    <t xml:space="preserve">ORD-2022-00429</t>
  </si>
  <si>
    <t xml:space="preserve">ORD-2022-00590</t>
  </si>
  <si>
    <t xml:space="preserve">ORD-2022-00496</t>
  </si>
  <si>
    <t xml:space="preserve">ORD-2024-04095</t>
  </si>
  <si>
    <t xml:space="preserve">ORD-2025-07594</t>
  </si>
  <si>
    <t xml:space="preserve">ORD-2024-05973</t>
  </si>
  <si>
    <t xml:space="preserve">ORD-2025-07016</t>
  </si>
  <si>
    <t xml:space="preserve">ORD-2024-06210</t>
  </si>
  <si>
    <t xml:space="preserve">ORD-2025-07377</t>
  </si>
  <si>
    <t xml:space="preserve">ORD-2022-00529</t>
  </si>
  <si>
    <t xml:space="preserve">ORD-2022-01809</t>
  </si>
  <si>
    <t xml:space="preserve">ORD-2024-04839</t>
  </si>
  <si>
    <t xml:space="preserve">ORD-2023-02056</t>
  </si>
  <si>
    <t xml:space="preserve">ORD-2022-01232</t>
  </si>
  <si>
    <t xml:space="preserve">ORD-2023-02029</t>
  </si>
  <si>
    <t xml:space="preserve">ORD-2024-05539</t>
  </si>
  <si>
    <t xml:space="preserve">ORD-2022-00678</t>
  </si>
  <si>
    <t xml:space="preserve">ORD-2025-07161</t>
  </si>
  <si>
    <t xml:space="preserve">ORD-2025-06652</t>
  </si>
  <si>
    <t xml:space="preserve">ORD-2025-07031</t>
  </si>
  <si>
    <t xml:space="preserve">ORD-2025-08448</t>
  </si>
  <si>
    <t xml:space="preserve">ORD-2024-05769</t>
  </si>
  <si>
    <t xml:space="preserve">ORD-2023-02742</t>
  </si>
  <si>
    <t xml:space="preserve">ORD-2025-07803</t>
  </si>
  <si>
    <t xml:space="preserve">ORD-2024-05934</t>
  </si>
  <si>
    <t xml:space="preserve">ORD-2025-08380</t>
  </si>
  <si>
    <t xml:space="preserve">ORD-2023-02433</t>
  </si>
  <si>
    <t xml:space="preserve">ORD-2024-05134</t>
  </si>
  <si>
    <t xml:space="preserve">ORD-2024-04973</t>
  </si>
  <si>
    <t xml:space="preserve">ORD-2022-00552</t>
  </si>
  <si>
    <t xml:space="preserve">ORD-2024-05817</t>
  </si>
  <si>
    <t xml:space="preserve">ORD-2025-06728</t>
  </si>
  <si>
    <t xml:space="preserve">ORD-2023-03843</t>
  </si>
  <si>
    <t xml:space="preserve">ORD-2022-01612</t>
  </si>
  <si>
    <t xml:space="preserve">ORD-2025-06556</t>
  </si>
  <si>
    <t xml:space="preserve">ORD-2024-05255</t>
  </si>
  <si>
    <t xml:space="preserve">ORD-2025-08287</t>
  </si>
  <si>
    <t xml:space="preserve">ORD-2025-07699</t>
  </si>
  <si>
    <t xml:space="preserve">ORD-2022-00674</t>
  </si>
  <si>
    <t xml:space="preserve">ORD-2025-07244</t>
  </si>
  <si>
    <t xml:space="preserve">ORD-2025-07554</t>
  </si>
  <si>
    <t xml:space="preserve">ORD-2024-06220</t>
  </si>
  <si>
    <t xml:space="preserve">ORD-2024-05113</t>
  </si>
  <si>
    <t xml:space="preserve">ORD-2025-08975</t>
  </si>
  <si>
    <t xml:space="preserve">ORD-2024-04902</t>
  </si>
  <si>
    <t xml:space="preserve">ORD-2022-00606</t>
  </si>
  <si>
    <t xml:space="preserve">ORD-2025-06946</t>
  </si>
  <si>
    <t xml:space="preserve">ORD-2024-04954</t>
  </si>
  <si>
    <t xml:space="preserve">ORD-2025-06426</t>
  </si>
  <si>
    <t xml:space="preserve">ORD-2022-01469</t>
  </si>
  <si>
    <t xml:space="preserve">ORD-2025-07284</t>
  </si>
  <si>
    <t xml:space="preserve">ORD-2023-01983</t>
  </si>
  <si>
    <t xml:space="preserve">ORD-2025-07388</t>
  </si>
  <si>
    <t xml:space="preserve">ORD-2022-00891</t>
  </si>
  <si>
    <t xml:space="preserve">ORD-2025-08747</t>
  </si>
  <si>
    <t xml:space="preserve">ORD-2024-06082</t>
  </si>
  <si>
    <t xml:space="preserve">ORD-2022-00844</t>
  </si>
  <si>
    <t xml:space="preserve">ORD-2023-02156</t>
  </si>
  <si>
    <t xml:space="preserve">ORD-2024-05841</t>
  </si>
  <si>
    <t xml:space="preserve">ORD-2023-02078</t>
  </si>
  <si>
    <t xml:space="preserve">ORD-2024-05630</t>
  </si>
  <si>
    <t xml:space="preserve">ORD-2024-05261</t>
  </si>
  <si>
    <t xml:space="preserve">ORD-2025-06628</t>
  </si>
  <si>
    <t xml:space="preserve">ORD-2023-03521</t>
  </si>
  <si>
    <t xml:space="preserve">ORD-2025-08796</t>
  </si>
  <si>
    <t xml:space="preserve">ORD-2023-02800</t>
  </si>
  <si>
    <t xml:space="preserve">ORD-2025-08653</t>
  </si>
  <si>
    <t xml:space="preserve">ORD-2022-00585</t>
  </si>
  <si>
    <t xml:space="preserve">ORD-2023-03269</t>
  </si>
  <si>
    <t xml:space="preserve">ORD-2024-04583</t>
  </si>
  <si>
    <t xml:space="preserve">ORD-2025-07980</t>
  </si>
  <si>
    <t xml:space="preserve">ORD-2024-05678</t>
  </si>
  <si>
    <t xml:space="preserve">ORD-2024-04772</t>
  </si>
  <si>
    <t xml:space="preserve">ORD-2024-04568</t>
  </si>
  <si>
    <t xml:space="preserve">ORD-2025-07647</t>
  </si>
  <si>
    <t xml:space="preserve">ORD-2025-08274</t>
  </si>
  <si>
    <t xml:space="preserve">ORD-2025-07471</t>
  </si>
  <si>
    <t xml:space="preserve">ORD-2025-08702</t>
  </si>
  <si>
    <t xml:space="preserve">ORD-2024-05040</t>
  </si>
  <si>
    <t xml:space="preserve">ORD-2023-03734</t>
  </si>
  <si>
    <t xml:space="preserve">ORD-2024-04248</t>
  </si>
  <si>
    <t xml:space="preserve">ORD-2025-08869</t>
  </si>
  <si>
    <t xml:space="preserve">ORD-2023-02551</t>
  </si>
  <si>
    <t xml:space="preserve">ORD-2025-08455</t>
  </si>
  <si>
    <t xml:space="preserve">ORD-2023-03957</t>
  </si>
  <si>
    <t xml:space="preserve">ORD-2022-00345</t>
  </si>
  <si>
    <t xml:space="preserve">ORD-2023-02186</t>
  </si>
  <si>
    <t xml:space="preserve">ORD-2024-05043</t>
  </si>
  <si>
    <t xml:space="preserve">ORD-2025-07076</t>
  </si>
  <si>
    <t xml:space="preserve">ORD-2024-05717</t>
  </si>
  <si>
    <t xml:space="preserve">ORD-2025-07481</t>
  </si>
  <si>
    <t xml:space="preserve">ORD-2025-08746</t>
  </si>
  <si>
    <t xml:space="preserve">ORD-2022-00872</t>
  </si>
  <si>
    <t xml:space="preserve">ORD-2024-06153</t>
  </si>
  <si>
    <t xml:space="preserve">ORD-2025-07646</t>
  </si>
  <si>
    <t xml:space="preserve">ORD-2025-08181</t>
  </si>
  <si>
    <t xml:space="preserve">ORD-2024-04786</t>
  </si>
  <si>
    <t xml:space="preserve">ORD-2022-00091</t>
  </si>
  <si>
    <t xml:space="preserve">ORD-2025-07897</t>
  </si>
  <si>
    <t xml:space="preserve">ORD-2024-05214</t>
  </si>
  <si>
    <t xml:space="preserve">ORD-2024-06129</t>
  </si>
  <si>
    <t xml:space="preserve">ORD-2024-04908</t>
  </si>
  <si>
    <t xml:space="preserve">ORD-2024-04129</t>
  </si>
  <si>
    <t xml:space="preserve">ORD-2025-07915</t>
  </si>
  <si>
    <t xml:space="preserve">ORD-2025-06411</t>
  </si>
  <si>
    <t xml:space="preserve">ORD-2023-02118</t>
  </si>
  <si>
    <t xml:space="preserve">ORD-2023-02938</t>
  </si>
  <si>
    <t xml:space="preserve">ORD-2024-05228</t>
  </si>
  <si>
    <t xml:space="preserve">ORD-2025-07503</t>
  </si>
  <si>
    <t xml:space="preserve">ORD-2023-02837</t>
  </si>
  <si>
    <t xml:space="preserve">ORD-2023-03097</t>
  </si>
  <si>
    <t xml:space="preserve">ORD-2024-05651</t>
  </si>
  <si>
    <t xml:space="preserve">ORD-2025-07466</t>
  </si>
  <si>
    <t xml:space="preserve">ORD-2022-00948</t>
  </si>
  <si>
    <t xml:space="preserve">ORD-2023-02926</t>
  </si>
  <si>
    <t xml:space="preserve">ORD-2024-04377</t>
  </si>
  <si>
    <t xml:space="preserve">ORD-2023-03215</t>
  </si>
  <si>
    <t xml:space="preserve">ORD-2025-06914</t>
  </si>
  <si>
    <t xml:space="preserve">ORD-2024-05585</t>
  </si>
  <si>
    <t xml:space="preserve">ORD-2022-00884</t>
  </si>
  <si>
    <t xml:space="preserve">ORD-2025-08491</t>
  </si>
  <si>
    <t xml:space="preserve">ORD-2024-05716</t>
  </si>
  <si>
    <t xml:space="preserve">ORD-2025-07938</t>
  </si>
  <si>
    <t xml:space="preserve">ORD-2024-05723</t>
  </si>
  <si>
    <t xml:space="preserve">ORD-2022-00628</t>
  </si>
  <si>
    <t xml:space="preserve">ORD-2022-01457</t>
  </si>
  <si>
    <t xml:space="preserve">ORD-2025-08642</t>
  </si>
  <si>
    <t xml:space="preserve">ORD-2025-07297</t>
  </si>
  <si>
    <t xml:space="preserve">ORD-2025-07939</t>
  </si>
  <si>
    <t xml:space="preserve">ORD-2024-05582</t>
  </si>
  <si>
    <t xml:space="preserve">ORD-2024-05889</t>
  </si>
  <si>
    <t xml:space="preserve">ORD-2025-06595</t>
  </si>
  <si>
    <t xml:space="preserve">ORD-2025-08673</t>
  </si>
  <si>
    <t xml:space="preserve">ORD-2025-07081</t>
  </si>
  <si>
    <t xml:space="preserve">ORD-2025-08354</t>
  </si>
  <si>
    <t xml:space="preserve">ORD-2023-02416</t>
  </si>
  <si>
    <t xml:space="preserve">ORD-2024-04774</t>
  </si>
  <si>
    <t xml:space="preserve">ORD-2025-08282</t>
  </si>
  <si>
    <t xml:space="preserve">ORD-2024-04505</t>
  </si>
  <si>
    <t xml:space="preserve">ORD-2024-04848</t>
  </si>
  <si>
    <t xml:space="preserve">ORD-2025-06649</t>
  </si>
  <si>
    <t xml:space="preserve">ORD-2024-04717</t>
  </si>
  <si>
    <t xml:space="preserve">ORD-2023-02900</t>
  </si>
  <si>
    <t xml:space="preserve">ORD-2022-00434</t>
  </si>
  <si>
    <t xml:space="preserve">ORD-2023-02399</t>
  </si>
  <si>
    <t xml:space="preserve">ORD-2023-02210</t>
  </si>
  <si>
    <t xml:space="preserve">ORD-2022-01711</t>
  </si>
  <si>
    <t xml:space="preserve">ORD-2023-03354</t>
  </si>
  <si>
    <t xml:space="preserve">ORD-2025-08512</t>
  </si>
  <si>
    <t xml:space="preserve">ORD-2025-06804</t>
  </si>
  <si>
    <t xml:space="preserve">ORD-2022-00105</t>
  </si>
  <si>
    <t xml:space="preserve">ORD-2024-05805</t>
  </si>
  <si>
    <t xml:space="preserve">ORD-2022-01187</t>
  </si>
  <si>
    <t xml:space="preserve">ORD-2025-06947</t>
  </si>
  <si>
    <t xml:space="preserve">ORD-2023-03185</t>
  </si>
  <si>
    <t xml:space="preserve">ORD-2025-08856</t>
  </si>
  <si>
    <t xml:space="preserve">ORD-2024-06309</t>
  </si>
  <si>
    <t xml:space="preserve">ORD-2025-07111</t>
  </si>
  <si>
    <t xml:space="preserve">ORD-2025-07516</t>
  </si>
  <si>
    <t xml:space="preserve">ORD-2025-08943</t>
  </si>
  <si>
    <t xml:space="preserve">ORD-2022-00152</t>
  </si>
  <si>
    <t xml:space="preserve">ORD-2023-03283</t>
  </si>
  <si>
    <t xml:space="preserve">ORD-2024-06222</t>
  </si>
  <si>
    <t xml:space="preserve">ORD-2022-00916</t>
  </si>
  <si>
    <t xml:space="preserve">ORD-2022-01306</t>
  </si>
  <si>
    <t xml:space="preserve">ORD-2025-07614</t>
  </si>
  <si>
    <t xml:space="preserve">ORD-2023-03050</t>
  </si>
  <si>
    <t xml:space="preserve">ORD-2024-04507</t>
  </si>
  <si>
    <t xml:space="preserve">ORD-2025-06427</t>
  </si>
  <si>
    <t xml:space="preserve">ORD-2025-08608</t>
  </si>
  <si>
    <t xml:space="preserve">ORD-2025-07095</t>
  </si>
  <si>
    <t xml:space="preserve">ORD-2025-08345</t>
  </si>
  <si>
    <t xml:space="preserve">ORD-2024-04668</t>
  </si>
  <si>
    <t xml:space="preserve">ORD-2023-03981</t>
  </si>
  <si>
    <t xml:space="preserve">ORD-2025-06530</t>
  </si>
  <si>
    <t xml:space="preserve">ORD-2023-02797</t>
  </si>
  <si>
    <t xml:space="preserve">ORD-2023-02702</t>
  </si>
  <si>
    <t xml:space="preserve">ORD-2022-01399</t>
  </si>
  <si>
    <t xml:space="preserve">ORD-2023-02520</t>
  </si>
  <si>
    <t xml:space="preserve">ORD-2023-03359</t>
  </si>
  <si>
    <t xml:space="preserve">ORD-2024-05703</t>
  </si>
  <si>
    <t xml:space="preserve">ORD-2022-00184</t>
  </si>
  <si>
    <t xml:space="preserve">ORD-2024-04103</t>
  </si>
  <si>
    <t xml:space="preserve">ORD-2022-00367</t>
  </si>
  <si>
    <t xml:space="preserve">ORD-2024-04472</t>
  </si>
  <si>
    <t xml:space="preserve">ORD-2024-04316</t>
  </si>
  <si>
    <t xml:space="preserve">ORD-2024-05013</t>
  </si>
  <si>
    <t xml:space="preserve">ORD-2024-06166</t>
  </si>
  <si>
    <t xml:space="preserve">ORD-2023-02418</t>
  </si>
  <si>
    <t xml:space="preserve">ORD-2023-03937</t>
  </si>
  <si>
    <t xml:space="preserve">ORD-2022-00472</t>
  </si>
  <si>
    <t xml:space="preserve">ORD-2022-00968</t>
  </si>
  <si>
    <t xml:space="preserve">ORD-2025-06698</t>
  </si>
  <si>
    <t xml:space="preserve">ORD-2025-06517</t>
  </si>
  <si>
    <t xml:space="preserve">ORD-2023-02657</t>
  </si>
  <si>
    <t xml:space="preserve">ORD-2025-06841</t>
  </si>
  <si>
    <t xml:space="preserve">ORD-2022-00210</t>
  </si>
  <si>
    <t xml:space="preserve">ORD-2023-01962</t>
  </si>
  <si>
    <t xml:space="preserve">ORD-2022-00897</t>
  </si>
  <si>
    <t xml:space="preserve">ORD-2025-07488</t>
  </si>
  <si>
    <t xml:space="preserve">ORD-2024-05266</t>
  </si>
  <si>
    <t xml:space="preserve">ORD-2024-06040</t>
  </si>
  <si>
    <t xml:space="preserve">ORD-2022-01774</t>
  </si>
  <si>
    <t xml:space="preserve">ORD-2025-07961</t>
  </si>
  <si>
    <t xml:space="preserve">ORD-2023-02300</t>
  </si>
  <si>
    <t xml:space="preserve">ORD-2022-01210</t>
  </si>
  <si>
    <t xml:space="preserve">ORD-2024-05287</t>
  </si>
  <si>
    <t xml:space="preserve">ORD-2025-06591</t>
  </si>
  <si>
    <t xml:space="preserve">ORD-2022-01271</t>
  </si>
  <si>
    <t xml:space="preserve">ORD-2022-01252</t>
  </si>
  <si>
    <t xml:space="preserve">ORD-2023-03177</t>
  </si>
  <si>
    <t xml:space="preserve">ORD-2024-04818</t>
  </si>
  <si>
    <t xml:space="preserve">ORD-2024-06292</t>
  </si>
  <si>
    <t xml:space="preserve">ORD-2024-04563</t>
  </si>
  <si>
    <t xml:space="preserve">ORD-2024-04036</t>
  </si>
  <si>
    <t xml:space="preserve">ORD-2022-01293</t>
  </si>
  <si>
    <t xml:space="preserve">ORD-2024-05953</t>
  </si>
  <si>
    <t xml:space="preserve">ORD-2024-05308</t>
  </si>
  <si>
    <t xml:space="preserve">ORD-2023-03371</t>
  </si>
  <si>
    <t xml:space="preserve">ORD-2025-06493</t>
  </si>
  <si>
    <t xml:space="preserve">ORD-2023-03290</t>
  </si>
  <si>
    <t xml:space="preserve">ORD-2025-08487</t>
  </si>
  <si>
    <t xml:space="preserve">ORD-2023-03652</t>
  </si>
  <si>
    <t xml:space="preserve">ORD-2023-03316</t>
  </si>
  <si>
    <t xml:space="preserve">ORD-2025-07324</t>
  </si>
  <si>
    <t xml:space="preserve">ORD-2022-00293</t>
  </si>
  <si>
    <t xml:space="preserve">ORD-2024-06174</t>
  </si>
  <si>
    <t xml:space="preserve">ORD-2025-07019</t>
  </si>
  <si>
    <t xml:space="preserve">ORD-2022-01052</t>
  </si>
  <si>
    <t xml:space="preserve">ORD-2023-02232</t>
  </si>
  <si>
    <t xml:space="preserve">ORD-2025-07072</t>
  </si>
  <si>
    <t xml:space="preserve">ORD-2024-04512</t>
  </si>
  <si>
    <t xml:space="preserve">ORD-2022-00273</t>
  </si>
  <si>
    <t xml:space="preserve">ORD-2023-02043</t>
  </si>
  <si>
    <t xml:space="preserve">ORD-2024-05227</t>
  </si>
  <si>
    <t xml:space="preserve">ORD-2023-03978</t>
  </si>
  <si>
    <t xml:space="preserve">ORD-2024-04223</t>
  </si>
  <si>
    <t xml:space="preserve">ORD-2022-00104</t>
  </si>
  <si>
    <t xml:space="preserve">ORD-2022-01087</t>
  </si>
  <si>
    <t xml:space="preserve">ORD-2024-04705</t>
  </si>
  <si>
    <t xml:space="preserve">ORD-2025-07881</t>
  </si>
  <si>
    <t xml:space="preserve">ORD-2025-06775</t>
  </si>
  <si>
    <t xml:space="preserve">ORD-2024-04447</t>
  </si>
  <si>
    <t xml:space="preserve">ORD-2023-02904</t>
  </si>
  <si>
    <t xml:space="preserve">ORD-2024-05426</t>
  </si>
  <si>
    <t xml:space="preserve">ORD-2025-07083</t>
  </si>
  <si>
    <t xml:space="preserve">ORD-2024-04104</t>
  </si>
  <si>
    <t xml:space="preserve">ORD-2025-07585</t>
  </si>
  <si>
    <t xml:space="preserve">ORD-2024-06281</t>
  </si>
  <si>
    <t xml:space="preserve">ORD-2025-06664</t>
  </si>
  <si>
    <t xml:space="preserve">ORD-2025-06873</t>
  </si>
  <si>
    <t xml:space="preserve">ORD-2025-07068</t>
  </si>
  <si>
    <t xml:space="preserve">ORD-2024-04158</t>
  </si>
  <si>
    <t xml:space="preserve">ORD-2024-05021</t>
  </si>
  <si>
    <t xml:space="preserve">ORD-2022-00614</t>
  </si>
  <si>
    <t xml:space="preserve">ORD-2024-04464</t>
  </si>
  <si>
    <t xml:space="preserve">ORD-2024-04852</t>
  </si>
  <si>
    <t xml:space="preserve">ORD-2024-04748</t>
  </si>
  <si>
    <t xml:space="preserve">ORD-2024-05508</t>
  </si>
  <si>
    <t xml:space="preserve">ORD-2023-03479</t>
  </si>
  <si>
    <t xml:space="preserve">ORD-2025-06520</t>
  </si>
  <si>
    <t xml:space="preserve">ORD-2022-01749</t>
  </si>
  <si>
    <t xml:space="preserve">ORD-2022-00733</t>
  </si>
  <si>
    <t xml:space="preserve">ORD-2025-07557</t>
  </si>
  <si>
    <t xml:space="preserve">ORD-2024-04439</t>
  </si>
  <si>
    <t xml:space="preserve">ORD-2023-03932</t>
  </si>
  <si>
    <t xml:space="preserve">ORD-2024-06175</t>
  </si>
  <si>
    <t xml:space="preserve">ORD-2023-02911</t>
  </si>
  <si>
    <t xml:space="preserve">ORD-2024-06251</t>
  </si>
  <si>
    <t xml:space="preserve">ORD-2023-02663</t>
  </si>
  <si>
    <t xml:space="preserve">ORD-2024-05435</t>
  </si>
  <si>
    <t xml:space="preserve">ORD-2024-06080</t>
  </si>
  <si>
    <t xml:space="preserve">ORD-2025-07581</t>
  </si>
  <si>
    <t xml:space="preserve">ORD-2023-03114</t>
  </si>
  <si>
    <t xml:space="preserve">ORD-2023-03304</t>
  </si>
  <si>
    <t xml:space="preserve">ORD-2023-02155</t>
  </si>
  <si>
    <t xml:space="preserve">ORD-2022-01345</t>
  </si>
  <si>
    <t xml:space="preserve">ORD-2025-08889</t>
  </si>
  <si>
    <t xml:space="preserve">ORD-2023-03262</t>
  </si>
  <si>
    <t xml:space="preserve">ORD-2025-08655</t>
  </si>
  <si>
    <t xml:space="preserve">ORD-2024-04055</t>
  </si>
  <si>
    <t xml:space="preserve">ORD-2024-05275</t>
  </si>
  <si>
    <t xml:space="preserve">ORD-2022-00953</t>
  </si>
  <si>
    <t xml:space="preserve">ORD-2024-05772</t>
  </si>
  <si>
    <t xml:space="preserve">ORD-2023-03022</t>
  </si>
  <si>
    <t xml:space="preserve">ORD-2023-03309</t>
  </si>
  <si>
    <t xml:space="preserve">ORD-2022-01505</t>
  </si>
  <si>
    <t xml:space="preserve">ORD-2024-06364</t>
  </si>
  <si>
    <t xml:space="preserve">ORD-2022-01807</t>
  </si>
  <si>
    <t xml:space="preserve">ORD-2024-05065</t>
  </si>
  <si>
    <t xml:space="preserve">ORD-2024-04363</t>
  </si>
  <si>
    <t xml:space="preserve">ORD-2023-03792</t>
  </si>
  <si>
    <t xml:space="preserve">ORD-2022-01122</t>
  </si>
  <si>
    <t xml:space="preserve">ORD-2024-05573</t>
  </si>
  <si>
    <t xml:space="preserve">ORD-2025-08607</t>
  </si>
  <si>
    <t xml:space="preserve">ORD-2025-06995</t>
  </si>
  <si>
    <t xml:space="preserve">ORD-2024-05654</t>
  </si>
  <si>
    <t xml:space="preserve">ORD-2024-04880</t>
  </si>
  <si>
    <t xml:space="preserve">ORD-2024-04569</t>
  </si>
  <si>
    <t xml:space="preserve">ORD-2024-05897</t>
  </si>
  <si>
    <t xml:space="preserve">ORD-2025-06508</t>
  </si>
  <si>
    <t xml:space="preserve">ORD-2023-01849</t>
  </si>
  <si>
    <t xml:space="preserve">ORD-2022-00417</t>
  </si>
  <si>
    <t xml:space="preserve">ORD-2023-02974</t>
  </si>
  <si>
    <t xml:space="preserve">ORD-2024-05843</t>
  </si>
  <si>
    <t xml:space="preserve">ORD-2023-02432</t>
  </si>
  <si>
    <t xml:space="preserve">ORD-2023-02519</t>
  </si>
  <si>
    <t xml:space="preserve">ORD-2022-00565</t>
  </si>
  <si>
    <t xml:space="preserve">ORD-2023-02527</t>
  </si>
  <si>
    <t xml:space="preserve">ORD-2024-05530</t>
  </si>
  <si>
    <t xml:space="preserve">ORD-2025-08232</t>
  </si>
  <si>
    <t xml:space="preserve">ORD-2023-03252</t>
  </si>
  <si>
    <t xml:space="preserve">ORD-2022-01225</t>
  </si>
  <si>
    <t xml:space="preserve">ORD-2022-00143</t>
  </si>
  <si>
    <t xml:space="preserve">ORD-2024-04895</t>
  </si>
  <si>
    <t xml:space="preserve">ORD-2022-01491</t>
  </si>
  <si>
    <t xml:space="preserve">ORD-2025-08204</t>
  </si>
  <si>
    <t xml:space="preserve">ORD-2024-04113</t>
  </si>
  <si>
    <t xml:space="preserve">ORD-2022-01591</t>
  </si>
  <si>
    <t xml:space="preserve">ORD-2024-05378</t>
  </si>
  <si>
    <t xml:space="preserve">ORD-2024-04828</t>
  </si>
  <si>
    <t xml:space="preserve">ORD-2023-02654</t>
  </si>
  <si>
    <t xml:space="preserve">ORD-2023-02005</t>
  </si>
  <si>
    <t xml:space="preserve">ORD-2022-01195</t>
  </si>
  <si>
    <t xml:space="preserve">ORD-2024-05994</t>
  </si>
  <si>
    <t xml:space="preserve">ORD-2023-03410</t>
  </si>
  <si>
    <t xml:space="preserve">ORD-2022-01118</t>
  </si>
  <si>
    <t xml:space="preserve">ORD-2025-06704</t>
  </si>
  <si>
    <t xml:space="preserve">ORD-2022-01757</t>
  </si>
  <si>
    <t xml:space="preserve">ORD-2022-00498</t>
  </si>
  <si>
    <t xml:space="preserve">ORD-2025-08526</t>
  </si>
  <si>
    <t xml:space="preserve">ORD-2022-00013</t>
  </si>
  <si>
    <t xml:space="preserve">ORD-2022-00871</t>
  </si>
  <si>
    <t xml:space="preserve">ORD-2023-03358</t>
  </si>
  <si>
    <t xml:space="preserve">ORD-2022-00913</t>
  </si>
  <si>
    <t xml:space="preserve">ORD-2023-03583</t>
  </si>
  <si>
    <t xml:space="preserve">ORD-2022-00722</t>
  </si>
  <si>
    <t xml:space="preserve">ORD-2025-07723</t>
  </si>
  <si>
    <t xml:space="preserve">ORD-2025-08993</t>
  </si>
  <si>
    <t xml:space="preserve">ORD-2025-07194</t>
  </si>
  <si>
    <t xml:space="preserve">ORD-2025-08671</t>
  </si>
  <si>
    <t xml:space="preserve">ORD-2024-05351</t>
  </si>
  <si>
    <t xml:space="preserve">ORD-2022-01497</t>
  </si>
  <si>
    <t xml:space="preserve">ORD-2024-05823</t>
  </si>
  <si>
    <t xml:space="preserve">ORD-2022-01521</t>
  </si>
  <si>
    <t xml:space="preserve">ORD-2025-07121</t>
  </si>
  <si>
    <t xml:space="preserve">ORD-2024-06318</t>
  </si>
  <si>
    <t xml:space="preserve">ORD-2023-02747</t>
  </si>
  <si>
    <t xml:space="preserve">ORD-2024-04608</t>
  </si>
  <si>
    <t xml:space="preserve">ORD-2024-04686</t>
  </si>
  <si>
    <t xml:space="preserve">ORD-2022-00315</t>
  </si>
  <si>
    <t xml:space="preserve">ORD-2025-06936</t>
  </si>
  <si>
    <t xml:space="preserve">ORD-2025-07963</t>
  </si>
  <si>
    <t xml:space="preserve">ORD-2025-06575</t>
  </si>
  <si>
    <t xml:space="preserve">ORD-2023-03351</t>
  </si>
  <si>
    <t xml:space="preserve">ORD-2022-00109</t>
  </si>
  <si>
    <t xml:space="preserve">ORD-2022-01755</t>
  </si>
  <si>
    <t xml:space="preserve">ORD-2025-06940</t>
  </si>
  <si>
    <t xml:space="preserve">ORD-2022-01352</t>
  </si>
  <si>
    <t xml:space="preserve">ORD-2023-03130</t>
  </si>
  <si>
    <t xml:space="preserve">ORD-2023-03992</t>
  </si>
  <si>
    <t xml:space="preserve">ORD-2024-05572</t>
  </si>
  <si>
    <t xml:space="preserve">ORD-2024-05472</t>
  </si>
  <si>
    <t xml:space="preserve">ORD-2023-03969</t>
  </si>
  <si>
    <t xml:space="preserve">ORD-2022-00481</t>
  </si>
  <si>
    <t xml:space="preserve">ORD-2025-06456</t>
  </si>
  <si>
    <t xml:space="preserve">ORD-2023-01974</t>
  </si>
  <si>
    <t xml:space="preserve">ORD-2022-00337</t>
  </si>
  <si>
    <t xml:space="preserve">ORD-2023-02765</t>
  </si>
  <si>
    <t xml:space="preserve">ORD-2025-07789</t>
  </si>
  <si>
    <t xml:space="preserve">ORD-2025-06966</t>
  </si>
  <si>
    <t xml:space="preserve">ORD-2025-06783</t>
  </si>
  <si>
    <t xml:space="preserve">ORD-2024-04557</t>
  </si>
  <si>
    <t xml:space="preserve">ORD-2023-02986</t>
  </si>
  <si>
    <t xml:space="preserve">ORD-2024-04589</t>
  </si>
  <si>
    <t xml:space="preserve">ORD-2025-07895</t>
  </si>
  <si>
    <t xml:space="preserve">ORD-2022-00525</t>
  </si>
  <si>
    <t xml:space="preserve">ORD-2024-04310</t>
  </si>
  <si>
    <t xml:space="preserve">ORD-2023-03478</t>
  </si>
  <si>
    <t xml:space="preserve">ORD-2024-05439</t>
  </si>
  <si>
    <t xml:space="preserve">ORD-2023-03559</t>
  </si>
  <si>
    <t xml:space="preserve">ORD-2024-06067</t>
  </si>
  <si>
    <t xml:space="preserve">ORD-2023-02810</t>
  </si>
  <si>
    <t xml:space="preserve">ORD-2022-00725</t>
  </si>
  <si>
    <t xml:space="preserve">ORD-2022-00766</t>
  </si>
  <si>
    <t xml:space="preserve">ORD-2024-05350</t>
  </si>
  <si>
    <t xml:space="preserve">ORD-2024-05698</t>
  </si>
  <si>
    <t xml:space="preserve">ORD-2024-05545</t>
  </si>
  <si>
    <t xml:space="preserve">ORD-2025-06780</t>
  </si>
  <si>
    <t xml:space="preserve">ORD-2022-00308</t>
  </si>
  <si>
    <t xml:space="preserve">ORD-2023-03774</t>
  </si>
  <si>
    <t xml:space="preserve">ORD-2023-03909</t>
  </si>
  <si>
    <t xml:space="preserve">ORD-2022-01279</t>
  </si>
  <si>
    <t xml:space="preserve">ORD-2022-00349</t>
  </si>
  <si>
    <t xml:space="preserve">ORD-2025-08190</t>
  </si>
  <si>
    <t xml:space="preserve">ORD-2025-07691</t>
  </si>
  <si>
    <t xml:space="preserve">ORD-2025-06842</t>
  </si>
  <si>
    <t xml:space="preserve">ORD-2025-06868</t>
  </si>
  <si>
    <t xml:space="preserve">ORD-2025-08589</t>
  </si>
  <si>
    <t xml:space="preserve">ORD-2022-01792</t>
  </si>
  <si>
    <t xml:space="preserve">ORD-2025-08936</t>
  </si>
  <si>
    <t xml:space="preserve">ORD-2024-05341</t>
  </si>
  <si>
    <t xml:space="preserve">ORD-2023-03683</t>
  </si>
  <si>
    <t xml:space="preserve">ORD-2024-04767</t>
  </si>
  <si>
    <t xml:space="preserve">ORD-2025-06969</t>
  </si>
  <si>
    <t xml:space="preserve">ORD-2023-02054</t>
  </si>
  <si>
    <t xml:space="preserve">ORD-2023-02233</t>
  </si>
  <si>
    <t xml:space="preserve">ORD-2024-04374</t>
  </si>
  <si>
    <t xml:space="preserve">ORD-2022-00072</t>
  </si>
  <si>
    <t xml:space="preserve">ORD-2024-04478</t>
  </si>
  <si>
    <t xml:space="preserve">ORD-2023-02760</t>
  </si>
  <si>
    <t xml:space="preserve">ORD-2024-05036</t>
  </si>
  <si>
    <t xml:space="preserve">ORD-2023-03069</t>
  </si>
  <si>
    <t xml:space="preserve">ORD-2024-06101</t>
  </si>
  <si>
    <t xml:space="preserve">ORD-2024-05697</t>
  </si>
  <si>
    <t xml:space="preserve">ORD-2024-05097</t>
  </si>
  <si>
    <t xml:space="preserve">ORD-2025-08437</t>
  </si>
  <si>
    <t xml:space="preserve">ORD-2023-02806</t>
  </si>
  <si>
    <t xml:space="preserve">ORD-2022-01261</t>
  </si>
  <si>
    <t xml:space="preserve">ORD-2022-01667</t>
  </si>
  <si>
    <t xml:space="preserve">ORD-2025-08984</t>
  </si>
  <si>
    <t xml:space="preserve">ORD-2024-04276</t>
  </si>
  <si>
    <t xml:space="preserve">ORD-2024-05212</t>
  </si>
  <si>
    <t xml:space="preserve">ORD-2025-07094</t>
  </si>
  <si>
    <t xml:space="preserve">ORD-2025-08583</t>
  </si>
  <si>
    <t xml:space="preserve">ORD-2023-02168</t>
  </si>
  <si>
    <t xml:space="preserve">ORD-2022-01446</t>
  </si>
  <si>
    <t xml:space="preserve">ORD-2025-07927</t>
  </si>
  <si>
    <t xml:space="preserve">ORD-2023-02534</t>
  </si>
  <si>
    <t xml:space="preserve">ORD-2025-06801</t>
  </si>
  <si>
    <t xml:space="preserve">ORD-2022-01696</t>
  </si>
  <si>
    <t xml:space="preserve">ORD-2023-02893</t>
  </si>
  <si>
    <t xml:space="preserve">ORD-2024-05876</t>
  </si>
  <si>
    <t xml:space="preserve">ORD-2022-01096</t>
  </si>
  <si>
    <t xml:space="preserve">ORD-2025-07435</t>
  </si>
  <si>
    <t xml:space="preserve">ORD-2025-07236</t>
  </si>
  <si>
    <t xml:space="preserve">ORD-2023-03204</t>
  </si>
  <si>
    <t xml:space="preserve">ORD-2024-04829</t>
  </si>
  <si>
    <t xml:space="preserve">ORD-2022-01631</t>
  </si>
  <si>
    <t xml:space="preserve">ORD-2024-06087</t>
  </si>
  <si>
    <t xml:space="preserve">ORD-2023-01882</t>
  </si>
  <si>
    <t xml:space="preserve">ORD-2025-06638</t>
  </si>
  <si>
    <t xml:space="preserve">ORD-2022-01613</t>
  </si>
  <si>
    <t xml:space="preserve">ORD-2022-00979</t>
  </si>
  <si>
    <t xml:space="preserve">ORD-2022-01414</t>
  </si>
  <si>
    <t xml:space="preserve">ORD-2025-08933</t>
  </si>
  <si>
    <t xml:space="preserve">ORD-2024-04540</t>
  </si>
  <si>
    <t xml:space="preserve">ORD-2022-00849</t>
  </si>
  <si>
    <t xml:space="preserve">ORD-2025-07572</t>
  </si>
  <si>
    <t xml:space="preserve">ORD-2024-05027</t>
  </si>
  <si>
    <t xml:space="preserve">ORD-2024-05104</t>
  </si>
  <si>
    <t xml:space="preserve">ORD-2023-02878</t>
  </si>
  <si>
    <t xml:space="preserve">ORD-2025-07800</t>
  </si>
  <si>
    <t xml:space="preserve">ORD-2023-03780</t>
  </si>
  <si>
    <t xml:space="preserve">ORD-2022-01831</t>
  </si>
  <si>
    <t xml:space="preserve">ORD-2025-06631</t>
  </si>
  <si>
    <t xml:space="preserve">ORD-2024-05284</t>
  </si>
  <si>
    <t xml:space="preserve">ORD-2022-01235</t>
  </si>
  <si>
    <t xml:space="preserve">ORD-2024-04849</t>
  </si>
  <si>
    <t xml:space="preserve">ORD-2023-03916</t>
  </si>
  <si>
    <t xml:space="preserve">ORD-2022-00447</t>
  </si>
  <si>
    <t xml:space="preserve">ORD-2022-00845</t>
  </si>
  <si>
    <t xml:space="preserve">ORD-2024-05975</t>
  </si>
  <si>
    <t xml:space="preserve">ORD-2023-02441</t>
  </si>
  <si>
    <t xml:space="preserve">ORD-2023-03104</t>
  </si>
  <si>
    <t xml:space="preserve">ORD-2025-07654</t>
  </si>
  <si>
    <t xml:space="preserve">ORD-2025-06436</t>
  </si>
  <si>
    <t xml:space="preserve">ORD-2022-01295</t>
  </si>
  <si>
    <t xml:space="preserve">ORD-2024-04123</t>
  </si>
  <si>
    <t xml:space="preserve">ORD-2023-03443</t>
  </si>
  <si>
    <t xml:space="preserve">ORD-2025-07077</t>
  </si>
  <si>
    <t xml:space="preserve">ORD-2024-05904</t>
  </si>
  <si>
    <t xml:space="preserve">ORD-2025-08561</t>
  </si>
  <si>
    <t xml:space="preserve">ORD-2022-00777</t>
  </si>
  <si>
    <t xml:space="preserve">ORD-2025-08785</t>
  </si>
  <si>
    <t xml:space="preserve">ORD-2023-02154</t>
  </si>
  <si>
    <t xml:space="preserve">ORD-2024-04354</t>
  </si>
  <si>
    <t xml:space="preserve">ORD-2025-08580</t>
  </si>
  <si>
    <t xml:space="preserve">ORD-2025-07740</t>
  </si>
  <si>
    <t xml:space="preserve">ORD-2024-05708</t>
  </si>
  <si>
    <t xml:space="preserve">ORD-2025-08257</t>
  </si>
  <si>
    <t xml:space="preserve">ORD-2023-03184</t>
  </si>
  <si>
    <t xml:space="preserve">ORD-2024-05514</t>
  </si>
  <si>
    <t xml:space="preserve">ORD-2023-03200</t>
  </si>
  <si>
    <t xml:space="preserve">ORD-2025-06897</t>
  </si>
  <si>
    <t xml:space="preserve">ORD-2022-01290</t>
  </si>
  <si>
    <t xml:space="preserve">ORD-2024-05031</t>
  </si>
  <si>
    <t xml:space="preserve">ORD-2025-07951</t>
  </si>
  <si>
    <t xml:space="preserve">ORD-2025-07290</t>
  </si>
  <si>
    <t xml:space="preserve">ORD-2024-05501</t>
  </si>
  <si>
    <t xml:space="preserve">ORD-2025-08154</t>
  </si>
  <si>
    <t xml:space="preserve">ORD-2024-04127</t>
  </si>
  <si>
    <t xml:space="preserve">ORD-2025-06672</t>
  </si>
  <si>
    <t xml:space="preserve">ORD-2023-03967</t>
  </si>
  <si>
    <t xml:space="preserve">ORD-2023-01880</t>
  </si>
  <si>
    <t xml:space="preserve">ORD-2025-07169</t>
  </si>
  <si>
    <t xml:space="preserve">ORD-2024-04181</t>
  </si>
  <si>
    <t xml:space="preserve">ORD-2025-07660</t>
  </si>
  <si>
    <t xml:space="preserve">ORD-2025-08794</t>
  </si>
  <si>
    <t xml:space="preserve">ORD-2025-06843</t>
  </si>
  <si>
    <t xml:space="preserve">ORD-2025-06383</t>
  </si>
  <si>
    <t xml:space="preserve">ORD-2025-06685</t>
  </si>
  <si>
    <t xml:space="preserve">ORD-2022-01037</t>
  </si>
  <si>
    <t xml:space="preserve">ORD-2022-00637</t>
  </si>
  <si>
    <t xml:space="preserve">ORD-2025-06451</t>
  </si>
  <si>
    <t xml:space="preserve">ORD-2024-04135</t>
  </si>
  <si>
    <t xml:space="preserve">ORD-2024-04334</t>
  </si>
  <si>
    <t xml:space="preserve">ORD-2022-01084</t>
  </si>
  <si>
    <t xml:space="preserve">ORD-2022-00862</t>
  </si>
  <si>
    <t xml:space="preserve">ORD-2022-00904</t>
  </si>
  <si>
    <t xml:space="preserve">ORD-2022-00192</t>
  </si>
  <si>
    <t xml:space="preserve">ORD-2022-00110</t>
  </si>
  <si>
    <t xml:space="preserve">ORD-2023-01943</t>
  </si>
  <si>
    <t xml:space="preserve">ORD-2025-08971</t>
  </si>
  <si>
    <t xml:space="preserve">ORD-2025-07256</t>
  </si>
  <si>
    <t xml:space="preserve">ORD-2025-07039</t>
  </si>
  <si>
    <t xml:space="preserve">ORD-2024-05946</t>
  </si>
  <si>
    <t xml:space="preserve">ORD-2024-05565</t>
  </si>
  <si>
    <t xml:space="preserve">ORD-2023-02776</t>
  </si>
  <si>
    <t xml:space="preserve">ORD-2025-06735</t>
  </si>
  <si>
    <t xml:space="preserve">ORD-2023-02324</t>
  </si>
  <si>
    <t xml:space="preserve">ORD-2025-07370</t>
  </si>
  <si>
    <t xml:space="preserve">ORD-2023-02618</t>
  </si>
  <si>
    <t xml:space="preserve">ORD-2025-06821</t>
  </si>
  <si>
    <t xml:space="preserve">ORD-2022-01095</t>
  </si>
  <si>
    <t xml:space="preserve">ORD-2024-05015</t>
  </si>
  <si>
    <t xml:space="preserve">ORD-2024-04542</t>
  </si>
  <si>
    <t xml:space="preserve">ORD-2023-03136</t>
  </si>
  <si>
    <t xml:space="preserve">ORD-2024-04620</t>
  </si>
  <si>
    <t xml:space="preserve">ORD-2023-03806</t>
  </si>
  <si>
    <t xml:space="preserve">ORD-2025-07568</t>
  </si>
  <si>
    <t xml:space="preserve">ORD-2023-02655</t>
  </si>
  <si>
    <t xml:space="preserve">ORD-2024-04699</t>
  </si>
  <si>
    <t xml:space="preserve">ORD-2024-05874</t>
  </si>
  <si>
    <t xml:space="preserve">ORD-2025-06438</t>
  </si>
  <si>
    <t xml:space="preserve">ORD-2025-07853</t>
  </si>
  <si>
    <t xml:space="preserve">ORD-2025-07759</t>
  </si>
  <si>
    <t xml:space="preserve">ORD-2024-04614</t>
  </si>
  <si>
    <t xml:space="preserve">ORD-2025-08759</t>
  </si>
  <si>
    <t xml:space="preserve">ORD-2023-02203</t>
  </si>
  <si>
    <t xml:space="preserve">ORD-2024-04964</t>
  </si>
  <si>
    <t xml:space="preserve">ORD-2025-07620</t>
  </si>
  <si>
    <t xml:space="preserve">ORD-2025-07214</t>
  </si>
  <si>
    <t xml:space="preserve">ORD-2022-00976</t>
  </si>
  <si>
    <t xml:space="preserve">ORD-2024-04731</t>
  </si>
  <si>
    <t xml:space="preserve">ORD-2022-00942</t>
  </si>
  <si>
    <t xml:space="preserve">ORD-2023-02388</t>
  </si>
  <si>
    <t xml:space="preserve">ORD-2023-03222</t>
  </si>
  <si>
    <t xml:space="preserve">ORD-2023-03883</t>
  </si>
  <si>
    <t xml:space="preserve">ORD-2025-08532</t>
  </si>
  <si>
    <t xml:space="preserve">ORD-2024-05382</t>
  </si>
  <si>
    <t xml:space="preserve">ORD-2024-04804</t>
  </si>
  <si>
    <t xml:space="preserve">ORD-2023-02790</t>
  </si>
  <si>
    <t xml:space="preserve">ORD-2022-00945</t>
  </si>
  <si>
    <t xml:space="preserve">ORD-2025-07860</t>
  </si>
  <si>
    <t xml:space="preserve">ORD-2025-08191</t>
  </si>
  <si>
    <t xml:space="preserve">ORD-2025-07489</t>
  </si>
  <si>
    <t xml:space="preserve">ORD-2024-04109</t>
  </si>
  <si>
    <t xml:space="preserve">ORD-2025-07200</t>
  </si>
  <si>
    <t xml:space="preserve">ORD-2023-03256</t>
  </si>
  <si>
    <t xml:space="preserve">ORD-2023-02691</t>
  </si>
  <si>
    <t xml:space="preserve">ORD-2024-05518</t>
  </si>
  <si>
    <t xml:space="preserve">ORD-2022-01320</t>
  </si>
  <si>
    <t xml:space="preserve">ORD-2025-08937</t>
  </si>
  <si>
    <t xml:space="preserve">ORD-2024-05226</t>
  </si>
  <si>
    <t xml:space="preserve">ORD-2025-06419</t>
  </si>
  <si>
    <t xml:space="preserve">ORD-2025-06453</t>
  </si>
  <si>
    <t xml:space="preserve">ORD-2023-03476</t>
  </si>
  <si>
    <t xml:space="preserve">ORD-2023-03506</t>
  </si>
  <si>
    <t xml:space="preserve">ORD-2023-02478</t>
  </si>
  <si>
    <t xml:space="preserve">ORD-2025-07664</t>
  </si>
  <si>
    <t xml:space="preserve">ORD-2025-06501</t>
  </si>
  <si>
    <t xml:space="preserve">ORD-2024-05957</t>
  </si>
  <si>
    <t xml:space="preserve">ORD-2024-04339</t>
  </si>
  <si>
    <t xml:space="preserve">ORD-2025-08920</t>
  </si>
  <si>
    <t xml:space="preserve">ORD-2023-01875</t>
  </si>
  <si>
    <t xml:space="preserve">ORD-2025-07204</t>
  </si>
  <si>
    <t xml:space="preserve">ORD-2024-04865</t>
  </si>
  <si>
    <t xml:space="preserve">ORD-2023-02905</t>
  </si>
  <si>
    <t xml:space="preserve">ORD-2022-00571</t>
  </si>
  <si>
    <t xml:space="preserve">ORD-2022-01449</t>
  </si>
  <si>
    <t xml:space="preserve">ORD-2024-04843</t>
  </si>
  <si>
    <t xml:space="preserve">ORD-2024-05071</t>
  </si>
  <si>
    <t xml:space="preserve">ORD-2024-05160</t>
  </si>
  <si>
    <t xml:space="preserve">ORD-2024-05541</t>
  </si>
  <si>
    <t xml:space="preserve">ORD-2024-05297</t>
  </si>
  <si>
    <t xml:space="preserve">ORD-2023-03227</t>
  </si>
  <si>
    <t xml:space="preserve">ORD-2025-08810</t>
  </si>
  <si>
    <t xml:space="preserve">ORD-2023-03979</t>
  </si>
  <si>
    <t xml:space="preserve">ORD-2024-06204</t>
  </si>
  <si>
    <t xml:space="preserve">ORD-2023-03540</t>
  </si>
  <si>
    <t xml:space="preserve">ORD-2025-07725</t>
  </si>
  <si>
    <t xml:space="preserve">ORD-2023-02828</t>
  </si>
  <si>
    <t xml:space="preserve">ORD-2024-05475</t>
  </si>
  <si>
    <t xml:space="preserve">ORD-2022-01339</t>
  </si>
  <si>
    <t xml:space="preserve">ORD-2023-03263</t>
  </si>
  <si>
    <t xml:space="preserve">ORD-2024-05191</t>
  </si>
  <si>
    <t xml:space="preserve">ORD-2022-00651</t>
  </si>
  <si>
    <t xml:space="preserve">ORD-2023-02903</t>
  </si>
  <si>
    <t xml:space="preserve">ORD-2023-02259</t>
  </si>
  <si>
    <t xml:space="preserve">ORD-2024-06154</t>
  </si>
  <si>
    <t xml:space="preserve">ORD-2025-07648</t>
  </si>
  <si>
    <t xml:space="preserve">ORD-2025-07061</t>
  </si>
  <si>
    <t xml:space="preserve">ORD-2024-04468</t>
  </si>
  <si>
    <t xml:space="preserve">ORD-2025-07543</t>
  </si>
  <si>
    <t xml:space="preserve">ORD-2025-08308</t>
  </si>
  <si>
    <t xml:space="preserve">ORD-2023-02585</t>
  </si>
  <si>
    <t xml:space="preserve">ORD-2023-03197</t>
  </si>
  <si>
    <t xml:space="preserve">ORD-2025-06384</t>
  </si>
  <si>
    <t xml:space="preserve">ORD-2024-04368</t>
  </si>
  <si>
    <t xml:space="preserve">ORD-2022-01259</t>
  </si>
  <si>
    <t xml:space="preserve">ORD-2024-06068</t>
  </si>
  <si>
    <t xml:space="preserve">ORD-2022-00992</t>
  </si>
  <si>
    <t xml:space="preserve">ORD-2023-03505</t>
  </si>
  <si>
    <t xml:space="preserve">ORD-2022-00114</t>
  </si>
  <si>
    <t xml:space="preserve">ORD-2022-00920</t>
  </si>
  <si>
    <t xml:space="preserve">ORD-2023-02510</t>
  </si>
  <si>
    <t xml:space="preserve">ORD-2025-08502</t>
  </si>
  <si>
    <t xml:space="preserve">ORD-2025-08554</t>
  </si>
  <si>
    <t xml:space="preserve">ORD-2024-04272</t>
  </si>
  <si>
    <t xml:space="preserve">ORD-2022-00950</t>
  </si>
  <si>
    <t xml:space="preserve">ORD-2024-04652</t>
  </si>
  <si>
    <t xml:space="preserve">ORD-2023-03771</t>
  </si>
  <si>
    <t xml:space="preserve">ORD-2025-07357</t>
  </si>
  <si>
    <t xml:space="preserve">ORD-2023-02851</t>
  </si>
  <si>
    <t xml:space="preserve">ORD-2024-05263</t>
  </si>
  <si>
    <t xml:space="preserve">ORD-2024-04356</t>
  </si>
  <si>
    <t xml:space="preserve">ORD-2024-06027</t>
  </si>
  <si>
    <t xml:space="preserve">ORD-2024-06256</t>
  </si>
  <si>
    <t xml:space="preserve">ORD-2023-02506</t>
  </si>
  <si>
    <t xml:space="preserve">ORD-2022-01115</t>
  </si>
  <si>
    <t xml:space="preserve">ORD-2025-06988</t>
  </si>
  <si>
    <t xml:space="preserve">ORD-2022-00299</t>
  </si>
  <si>
    <t xml:space="preserve">ORD-2022-01676</t>
  </si>
  <si>
    <t xml:space="preserve">ORD-2023-03348</t>
  </si>
  <si>
    <t xml:space="preserve">ORD-2023-02736</t>
  </si>
  <si>
    <t xml:space="preserve">ORD-2025-07287</t>
  </si>
  <si>
    <t xml:space="preserve">ORD-2025-08058</t>
  </si>
  <si>
    <t xml:space="preserve">ORD-2024-04719</t>
  </si>
  <si>
    <t xml:space="preserve">ORD-2024-05461</t>
  </si>
  <si>
    <t xml:space="preserve">ORD-2024-04801</t>
  </si>
  <si>
    <t xml:space="preserve">ORD-2024-05667</t>
  </si>
  <si>
    <t xml:space="preserve">ORD-2024-06366</t>
  </si>
  <si>
    <t xml:space="preserve">ORD-2023-02104</t>
  </si>
  <si>
    <t xml:space="preserve">ORD-2024-04994</t>
  </si>
  <si>
    <t xml:space="preserve">ORD-2025-07810</t>
  </si>
  <si>
    <t xml:space="preserve">ORD-2024-06034</t>
  </si>
  <si>
    <t xml:space="preserve">ORD-2022-01838</t>
  </si>
  <si>
    <t xml:space="preserve">ORD-2025-06486</t>
  </si>
  <si>
    <t xml:space="preserve">ORD-2025-06862</t>
  </si>
  <si>
    <t xml:space="preserve">ORD-2025-08032</t>
  </si>
  <si>
    <t xml:space="preserve">ORD-2022-00608</t>
  </si>
  <si>
    <t xml:space="preserve">ORD-2022-01094</t>
  </si>
  <si>
    <t xml:space="preserve">ORD-2024-04517</t>
  </si>
  <si>
    <t xml:space="preserve">ORD-2024-05894</t>
  </si>
  <si>
    <t xml:space="preserve">ORD-2025-08006</t>
  </si>
  <si>
    <t xml:space="preserve">ORD-2022-00161</t>
  </si>
  <si>
    <t xml:space="preserve">ORD-2022-00204</t>
  </si>
  <si>
    <t xml:space="preserve">ORD-2024-05737</t>
  </si>
  <si>
    <t xml:space="preserve">ORD-2025-08791</t>
  </si>
  <si>
    <t xml:space="preserve">ORD-2023-02935</t>
  </si>
  <si>
    <t xml:space="preserve">ORD-2024-05939</t>
  </si>
  <si>
    <t xml:space="preserve">ORD-2023-02436</t>
  </si>
  <si>
    <t xml:space="preserve">ORD-2022-01231</t>
  </si>
  <si>
    <t xml:space="preserve">ORD-2025-07501</t>
  </si>
  <si>
    <t xml:space="preserve">ORD-2025-08865</t>
  </si>
  <si>
    <t xml:space="preserve">ORD-2025-08727</t>
  </si>
  <si>
    <t xml:space="preserve">ORD-2024-05633</t>
  </si>
  <si>
    <t xml:space="preserve">ORD-2024-06218</t>
  </si>
  <si>
    <t xml:space="preserve">ORD-2024-05205</t>
  </si>
  <si>
    <t xml:space="preserve">ORD-2024-04252</t>
  </si>
  <si>
    <t xml:space="preserve">ORD-2025-07996</t>
  </si>
  <si>
    <t xml:space="preserve">ORD-2024-04035</t>
  </si>
  <si>
    <t xml:space="preserve">ORD-2025-06819</t>
  </si>
  <si>
    <t xml:space="preserve">ORD-2024-04291</t>
  </si>
  <si>
    <t xml:space="preserve">ORD-2024-04813</t>
  </si>
  <si>
    <t xml:space="preserve">ORD-2023-03878</t>
  </si>
  <si>
    <t xml:space="preserve">ORD-2024-04415</t>
  </si>
  <si>
    <t xml:space="preserve">ORD-2022-00858</t>
  </si>
  <si>
    <t xml:space="preserve">ORD-2025-07634</t>
  </si>
  <si>
    <t xml:space="preserve">ORD-2025-06953</t>
  </si>
  <si>
    <t xml:space="preserve">ORD-2023-02562</t>
  </si>
  <si>
    <t xml:space="preserve">ORD-2023-03802</t>
  </si>
  <si>
    <t xml:space="preserve">ORD-2023-02641</t>
  </si>
  <si>
    <t xml:space="preserve">ORD-2025-07943</t>
  </si>
  <si>
    <t xml:space="preserve">ORD-2023-02348</t>
  </si>
  <si>
    <t xml:space="preserve">ORD-2025-06713</t>
  </si>
  <si>
    <t xml:space="preserve">ORD-2023-02782</t>
  </si>
  <si>
    <t xml:space="preserve">ORD-2024-04595</t>
  </si>
  <si>
    <t xml:space="preserve">ORD-2025-07258</t>
  </si>
  <si>
    <t xml:space="preserve">ORD-2025-07505</t>
  </si>
  <si>
    <t xml:space="preserve">ORD-2022-00616</t>
  </si>
  <si>
    <t xml:space="preserve">ORD-2025-07071</t>
  </si>
  <si>
    <t xml:space="preserve">ORD-2023-02576</t>
  </si>
  <si>
    <t xml:space="preserve">ORD-2025-07552</t>
  </si>
  <si>
    <t xml:space="preserve">ORD-2023-03341</t>
  </si>
  <si>
    <t xml:space="preserve">ORD-2024-05715</t>
  </si>
  <si>
    <t xml:space="preserve">ORD-2022-01706</t>
  </si>
  <si>
    <t xml:space="preserve">ORD-2025-07017</t>
  </si>
  <si>
    <t xml:space="preserve">ORD-2024-04443</t>
  </si>
  <si>
    <t xml:space="preserve">ORD-2022-01494</t>
  </si>
  <si>
    <t xml:space="preserve">ORD-2024-04576</t>
  </si>
  <si>
    <t xml:space="preserve">ORD-2022-00804</t>
  </si>
  <si>
    <t xml:space="preserve">ORD-2024-05631</t>
  </si>
  <si>
    <t xml:space="preserve">ORD-2024-05770</t>
  </si>
  <si>
    <t xml:space="preserve">ORD-2022-00991</t>
  </si>
  <si>
    <t xml:space="preserve">ORD-2025-08723</t>
  </si>
  <si>
    <t xml:space="preserve">ORD-2024-06050</t>
  </si>
  <si>
    <t xml:space="preserve">ORD-2024-05215</t>
  </si>
  <si>
    <t xml:space="preserve">ORD-2023-03514</t>
  </si>
  <si>
    <t xml:space="preserve">ORD-2025-08654</t>
  </si>
  <si>
    <t xml:space="preserve">ORD-2025-06991</t>
  </si>
  <si>
    <t xml:space="preserve">ORD-2022-00220</t>
  </si>
  <si>
    <t xml:space="preserve">ORD-2024-04503</t>
  </si>
  <si>
    <t xml:space="preserve">ORD-2022-01289</t>
  </si>
  <si>
    <t xml:space="preserve">ORD-2023-03164</t>
  </si>
  <si>
    <t xml:space="preserve">ORD-2023-02619</t>
  </si>
  <si>
    <t xml:space="preserve">ORD-2023-03613</t>
  </si>
  <si>
    <t xml:space="preserve">ORD-2022-00044</t>
  </si>
  <si>
    <t xml:space="preserve">ORD-2025-07496</t>
  </si>
  <si>
    <t xml:space="preserve">ORD-2023-03793</t>
  </si>
  <si>
    <t xml:space="preserve">ORD-2023-03572</t>
  </si>
  <si>
    <t xml:space="preserve">ORD-2025-07162</t>
  </si>
  <si>
    <t xml:space="preserve">ORD-2022-01504</t>
  </si>
  <si>
    <t xml:space="preserve">ORD-2025-08556</t>
  </si>
  <si>
    <t xml:space="preserve">ORD-2025-08891</t>
  </si>
  <si>
    <t xml:space="preserve">ORD-2023-03440</t>
  </si>
  <si>
    <t xml:space="preserve">ORD-2023-01893</t>
  </si>
  <si>
    <t xml:space="preserve">ORD-2025-08426</t>
  </si>
  <si>
    <t xml:space="preserve">ORD-2025-08161</t>
  </si>
  <si>
    <t xml:space="preserve">ORD-2025-06927</t>
  </si>
  <si>
    <t xml:space="preserve">ORD-2022-01506</t>
  </si>
  <si>
    <t xml:space="preserve">ORD-2022-00671</t>
  </si>
  <si>
    <t xml:space="preserve">ORD-2025-08422</t>
  </si>
  <si>
    <t xml:space="preserve">ORD-2024-05731</t>
  </si>
  <si>
    <t xml:space="preserve">ORD-2022-00898</t>
  </si>
  <si>
    <t xml:space="preserve">ORD-2024-05020</t>
  </si>
  <si>
    <t xml:space="preserve">ORD-2023-02667</t>
  </si>
  <si>
    <t xml:space="preserve">ORD-2023-03194</t>
  </si>
  <si>
    <t xml:space="preserve">ORD-2023-02891</t>
  </si>
  <si>
    <t xml:space="preserve">ORD-2023-02622</t>
  </si>
  <si>
    <t xml:space="preserve">ORD-2024-04878</t>
  </si>
  <si>
    <t xml:space="preserve">ORD-2024-04837</t>
  </si>
  <si>
    <t xml:space="preserve">ORD-2025-07535</t>
  </si>
  <si>
    <t xml:space="preserve">ORD-2023-02371</t>
  </si>
  <si>
    <t xml:space="preserve">ORD-2025-06418</t>
  </si>
  <si>
    <t xml:space="preserve">ORD-2022-01770</t>
  </si>
  <si>
    <t xml:space="preserve">ORD-2025-08235</t>
  </si>
  <si>
    <t xml:space="preserve">ORD-2025-08397</t>
  </si>
  <si>
    <t xml:space="preserve">ORD-2022-00532</t>
  </si>
  <si>
    <t xml:space="preserve">ORD-2025-07090</t>
  </si>
  <si>
    <t xml:space="preserve">ORD-2025-07838</t>
  </si>
  <si>
    <t xml:space="preserve">ORD-2024-05370</t>
  </si>
  <si>
    <t xml:space="preserve">ORD-2025-08041</t>
  </si>
  <si>
    <t xml:space="preserve">ORD-2025-08096</t>
  </si>
  <si>
    <t xml:space="preserve">ORD-2022-00732</t>
  </si>
  <si>
    <t xml:space="preserve">ORD-2023-03407</t>
  </si>
  <si>
    <t xml:space="preserve">ORD-2023-02340</t>
  </si>
  <si>
    <t xml:space="preserve">ORD-2024-04846</t>
  </si>
  <si>
    <t xml:space="preserve">ORD-2024-04743</t>
  </si>
  <si>
    <t xml:space="preserve">ORD-2023-02566</t>
  </si>
  <si>
    <t xml:space="preserve">ORD-2024-06287</t>
  </si>
  <si>
    <t xml:space="preserve">ORD-2024-06344</t>
  </si>
  <si>
    <t xml:space="preserve">ORD-2024-05457</t>
  </si>
  <si>
    <t xml:space="preserve">ORD-2024-05683</t>
  </si>
  <si>
    <t xml:space="preserve">ORD-2025-07418</t>
  </si>
  <si>
    <t xml:space="preserve">ORD-2024-04853</t>
  </si>
  <si>
    <t xml:space="preserve">ORD-2025-08021</t>
  </si>
  <si>
    <t xml:space="preserve">ORD-2022-01256</t>
  </si>
  <si>
    <t xml:space="preserve">ORD-2023-02105</t>
  </si>
  <si>
    <t xml:space="preserve">ORD-2024-06351</t>
  </si>
  <si>
    <t xml:space="preserve">ORD-2024-05966</t>
  </si>
  <si>
    <t xml:space="preserve">ORD-2025-08265</t>
  </si>
  <si>
    <t xml:space="preserve">ORD-2024-05556</t>
  </si>
  <si>
    <t xml:space="preserve">ORD-2024-05313</t>
  </si>
  <si>
    <t xml:space="preserve">ORD-2023-03485</t>
  </si>
  <si>
    <t xml:space="preserve">ORD-2025-08581</t>
  </si>
  <si>
    <t xml:space="preserve">ORD-2023-03817</t>
  </si>
  <si>
    <t xml:space="preserve">ORD-2024-05144</t>
  </si>
  <si>
    <t xml:space="preserve">ORD-2025-07104</t>
  </si>
  <si>
    <t xml:space="preserve">ORD-2025-07536</t>
  </si>
  <si>
    <t xml:space="preserve">ORD-2024-04508</t>
  </si>
  <si>
    <t xml:space="preserve">ORD-2022-01622</t>
  </si>
  <si>
    <t xml:space="preserve">ORD-2025-08521</t>
  </si>
  <si>
    <t xml:space="preserve">ORD-2024-05122</t>
  </si>
  <si>
    <t xml:space="preserve">ORD-2025-07335</t>
  </si>
  <si>
    <t xml:space="preserve">ORD-2025-07887</t>
  </si>
  <si>
    <t xml:space="preserve">ORD-2022-01097</t>
  </si>
  <si>
    <t xml:space="preserve">ORD-2024-05174</t>
  </si>
  <si>
    <t xml:space="preserve">ORD-2025-08569</t>
  </si>
  <si>
    <t xml:space="preserve">ORD-2023-02464</t>
  </si>
  <si>
    <t xml:space="preserve">ORD-2024-05808</t>
  </si>
  <si>
    <t xml:space="preserve">ORD-2022-01789</t>
  </si>
  <si>
    <t xml:space="preserve">ORD-2025-07170</t>
  </si>
  <si>
    <t xml:space="preserve">ORD-2025-07903</t>
  </si>
  <si>
    <t xml:space="preserve">ORD-2024-05041</t>
  </si>
  <si>
    <t xml:space="preserve">ORD-2022-00193</t>
  </si>
  <si>
    <t xml:space="preserve">ORD-2022-00821</t>
  </si>
  <si>
    <t xml:space="preserve">ORD-2024-04641</t>
  </si>
  <si>
    <t xml:space="preserve">ORD-2025-06858</t>
  </si>
  <si>
    <t xml:space="preserve">ORD-2024-05721</t>
  </si>
  <si>
    <t xml:space="preserve">ORD-2024-04167</t>
  </si>
  <si>
    <t xml:space="preserve">ORD-2023-02688</t>
  </si>
  <si>
    <t xml:space="preserve">ORD-2025-07086</t>
  </si>
  <si>
    <t xml:space="preserve">ORD-2025-08877</t>
  </si>
  <si>
    <t xml:space="preserve">ORD-2025-06393</t>
  </si>
  <si>
    <t xml:space="preserve">ORD-2024-05471</t>
  </si>
  <si>
    <t xml:space="preserve">ORD-2023-02608</t>
  </si>
  <si>
    <t xml:space="preserve">ORD-2024-06046</t>
  </si>
  <si>
    <t xml:space="preserve">ORD-2022-00239</t>
  </si>
  <si>
    <t xml:space="preserve">ORD-2024-04016</t>
  </si>
  <si>
    <t xml:space="preserve">ORD-2025-08370</t>
  </si>
  <si>
    <t xml:space="preserve">ORD-2023-02978</t>
  </si>
  <si>
    <t xml:space="preserve">ORD-2024-04639</t>
  </si>
  <si>
    <t xml:space="preserve">ORD-2024-05315</t>
  </si>
  <si>
    <t xml:space="preserve">ORD-2022-00946</t>
  </si>
  <si>
    <t xml:space="preserve">ORD-2024-05213</t>
  </si>
  <si>
    <t xml:space="preserve">ORD-2025-08316</t>
  </si>
  <si>
    <t xml:space="preserve">ORD-2024-05687</t>
  </si>
  <si>
    <t xml:space="preserve">ORD-2024-04706</t>
  </si>
  <si>
    <t xml:space="preserve">ORD-2023-03553</t>
  </si>
  <si>
    <t xml:space="preserve">ORD-2025-08138</t>
  </si>
  <si>
    <t xml:space="preserve">ORD-2023-03361</t>
  </si>
  <si>
    <t xml:space="preserve">ORD-2024-04513</t>
  </si>
  <si>
    <t xml:space="preserve">ORD-2023-02411</t>
  </si>
  <si>
    <t xml:space="preserve">ORD-2025-08481</t>
  </si>
  <si>
    <t xml:space="preserve">ORD-2023-03983</t>
  </si>
  <si>
    <t xml:space="preserve">ORD-2022-00147</t>
  </si>
  <si>
    <t xml:space="preserve">ORD-2024-05403</t>
  </si>
  <si>
    <t xml:space="preserve">ORD-2023-02295</t>
  </si>
  <si>
    <t xml:space="preserve">ORD-2025-07273</t>
  </si>
  <si>
    <t xml:space="preserve">ORD-2023-03612</t>
  </si>
  <si>
    <t xml:space="preserve">ORD-2022-01737</t>
  </si>
  <si>
    <t xml:space="preserve">ORD-2024-06212</t>
  </si>
  <si>
    <t xml:space="preserve">ORD-2022-00115</t>
  </si>
  <si>
    <t xml:space="preserve">ORD-2025-07817</t>
  </si>
  <si>
    <t xml:space="preserve">ORD-2025-06461</t>
  </si>
  <si>
    <t xml:space="preserve">ORD-2022-00499</t>
  </si>
  <si>
    <t xml:space="preserve">ORD-2022-00721</t>
  </si>
  <si>
    <t xml:space="preserve">ORD-2024-05830</t>
  </si>
  <si>
    <t xml:space="preserve">ORD-2023-03090</t>
  </si>
  <si>
    <t xml:space="preserve">ORD-2024-05866</t>
  </si>
  <si>
    <t xml:space="preserve">ORD-2024-05926</t>
  </si>
  <si>
    <t xml:space="preserve">ORD-2022-00597</t>
  </si>
  <si>
    <t xml:space="preserve">ORD-2025-08211</t>
  </si>
  <si>
    <t xml:space="preserve">ORD-2024-04953</t>
  </si>
  <si>
    <t xml:space="preserve">ORD-2022-01648</t>
  </si>
  <si>
    <t xml:space="preserve">ORD-2024-05621</t>
  </si>
  <si>
    <t xml:space="preserve">ORD-2023-02701</t>
  </si>
  <si>
    <t xml:space="preserve">ORD-2024-06015</t>
  </si>
  <si>
    <t xml:space="preserve">ORD-2022-01701</t>
  </si>
  <si>
    <t xml:space="preserve">ORD-2025-07960</t>
  </si>
  <si>
    <t xml:space="preserve">ORD-2025-06828</t>
  </si>
  <si>
    <t xml:space="preserve">ORD-2024-04814</t>
  </si>
  <si>
    <t xml:space="preserve">ORD-2023-02943</t>
  </si>
  <si>
    <t xml:space="preserve">ORD-2025-08403</t>
  </si>
  <si>
    <t xml:space="preserve">ORD-2022-00087</t>
  </si>
  <si>
    <t xml:space="preserve">ORD-2023-02309</t>
  </si>
  <si>
    <t xml:space="preserve">ORD-2023-02678</t>
  </si>
  <si>
    <t xml:space="preserve">ORD-2025-07956</t>
  </si>
  <si>
    <t xml:space="preserve">ORD-2024-06269</t>
  </si>
  <si>
    <t xml:space="preserve">ORD-2023-02595</t>
  </si>
  <si>
    <t xml:space="preserve">ORD-2024-06214</t>
  </si>
  <si>
    <t xml:space="preserve">ORD-2022-01030</t>
  </si>
  <si>
    <t xml:space="preserve">ORD-2022-00137</t>
  </si>
  <si>
    <t xml:space="preserve">ORD-2024-05548</t>
  </si>
  <si>
    <t xml:space="preserve">ORD-2024-06021</t>
  </si>
  <si>
    <t xml:space="preserve">ORD-2025-07799</t>
  </si>
  <si>
    <t xml:space="preserve">ORD-2024-04410</t>
  </si>
  <si>
    <t xml:space="preserve">ORD-2022-01201</t>
  </si>
  <si>
    <t xml:space="preserve">ORD-2025-08604</t>
  </si>
  <si>
    <t xml:space="preserve">ORD-2025-07269</t>
  </si>
  <si>
    <t xml:space="preserve">ORD-2022-00567</t>
  </si>
  <si>
    <t xml:space="preserve">ORD-2024-06326</t>
  </si>
  <si>
    <t xml:space="preserve">ORD-2023-03928</t>
  </si>
  <si>
    <t xml:space="preserve">ORD-2024-04920</t>
  </si>
  <si>
    <t xml:space="preserve">ORD-2025-08427</t>
  </si>
  <si>
    <t xml:space="preserve">ORD-2024-04603</t>
  </si>
  <si>
    <t xml:space="preserve">ORD-2024-05338</t>
  </si>
  <si>
    <t xml:space="preserve">ORD-2024-05304</t>
  </si>
  <si>
    <t xml:space="preserve">ORD-2025-06772</t>
  </si>
  <si>
    <t xml:space="preserve">ORD-2023-02331</t>
  </si>
  <si>
    <t xml:space="preserve">ORD-2023-03516</t>
  </si>
  <si>
    <t xml:space="preserve">ORD-2023-02188</t>
  </si>
  <si>
    <t xml:space="preserve">ORD-2022-00196</t>
  </si>
  <si>
    <t xml:space="preserve">ORD-2025-08711</t>
  </si>
  <si>
    <t xml:space="preserve">ORD-2022-00803</t>
  </si>
  <si>
    <t xml:space="preserve">ORD-2024-05169</t>
  </si>
  <si>
    <t xml:space="preserve">ORD-2025-06399</t>
  </si>
  <si>
    <t xml:space="preserve">ORD-2023-02069</t>
  </si>
  <si>
    <t xml:space="preserve">ORD-2024-04695</t>
  </si>
  <si>
    <t xml:space="preserve">ORD-2025-07629</t>
  </si>
  <si>
    <t xml:space="preserve">ORD-2022-00645</t>
  </si>
  <si>
    <t xml:space="preserve">ORD-2025-08475</t>
  </si>
  <si>
    <t xml:space="preserve">ORD-2025-08324</t>
  </si>
  <si>
    <t xml:space="preserve">ORD-2022-00121</t>
  </si>
  <si>
    <t xml:space="preserve">ORD-2023-02982</t>
  </si>
  <si>
    <t xml:space="preserve">ORD-2023-03075</t>
  </si>
  <si>
    <t xml:space="preserve">ORD-2025-07936</t>
  </si>
  <si>
    <t xml:space="preserve">ORD-2023-03279</t>
  </si>
  <si>
    <t xml:space="preserve">ORD-2023-02136</t>
  </si>
  <si>
    <t xml:space="preserve">ORD-2025-08090</t>
  </si>
  <si>
    <t xml:space="preserve">ORD-2022-00135</t>
  </si>
  <si>
    <t xml:space="preserve">ORD-2024-06271</t>
  </si>
  <si>
    <t xml:space="preserve">ORD-2025-08715</t>
  </si>
  <si>
    <t xml:space="preserve">ORD-2023-02560</t>
  </si>
  <si>
    <t xml:space="preserve">ORD-2022-00063</t>
  </si>
  <si>
    <t xml:space="preserve">ORD-2022-01359</t>
  </si>
  <si>
    <t xml:space="preserve">ORD-2024-04727</t>
  </si>
  <si>
    <t xml:space="preserve">ORD-2023-02468</t>
  </si>
  <si>
    <t xml:space="preserve">ORD-2022-00680</t>
  </si>
  <si>
    <t xml:space="preserve">ORD-2024-05519</t>
  </si>
  <si>
    <t xml:space="preserve">ORD-2022-00742</t>
  </si>
  <si>
    <t xml:space="preserve">ORD-2025-06569</t>
  </si>
  <si>
    <t xml:space="preserve">ORD-2023-03642</t>
  </si>
  <si>
    <t xml:space="preserve">ORD-2025-06771</t>
  </si>
  <si>
    <t xml:space="preserve">ORD-2025-06592</t>
  </si>
  <si>
    <t xml:space="preserve">ORD-2023-03259</t>
  </si>
  <si>
    <t xml:space="preserve">ORD-2023-01874</t>
  </si>
  <si>
    <t xml:space="preserve">ORD-2023-02597</t>
  </si>
  <si>
    <t xml:space="preserve">ORD-2022-01718</t>
  </si>
  <si>
    <t xml:space="preserve">ORD-2025-08186</t>
  </si>
  <si>
    <t xml:space="preserve">ORD-2023-02844</t>
  </si>
  <si>
    <t xml:space="preserve">ORD-2024-04028</t>
  </si>
  <si>
    <t xml:space="preserve">ORD-2025-07427</t>
  </si>
  <si>
    <t xml:space="preserve">ORD-2025-06516</t>
  </si>
  <si>
    <t xml:space="preserve">ORD-2025-06600</t>
  </si>
  <si>
    <t xml:space="preserve">ORD-2022-00490</t>
  </si>
  <si>
    <t xml:space="preserve">ORD-2022-00494</t>
  </si>
  <si>
    <t xml:space="preserve">ORD-2022-00691</t>
  </si>
  <si>
    <t xml:space="preserve">ORD-2023-03822</t>
  </si>
  <si>
    <t xml:space="preserve">ORD-2022-00603</t>
  </si>
  <si>
    <t xml:space="preserve">ORD-2023-01912</t>
  </si>
  <si>
    <t xml:space="preserve">ORD-2025-06814</t>
  </si>
  <si>
    <t xml:space="preserve">ORD-2024-05004</t>
  </si>
  <si>
    <t xml:space="preserve">ORD-2025-07020</t>
  </si>
  <si>
    <t xml:space="preserve">ORD-2024-04681</t>
  </si>
  <si>
    <t xml:space="preserve">ORD-2023-03758</t>
  </si>
  <si>
    <t xml:space="preserve">ORD-2023-02367</t>
  </si>
  <si>
    <t xml:space="preserve">ORD-2024-04371</t>
  </si>
  <si>
    <t xml:space="preserve">ORD-2024-06028</t>
  </si>
  <si>
    <t xml:space="preserve">ORD-2025-07819</t>
  </si>
  <si>
    <t xml:space="preserve">ORD-2022-01362</t>
  </si>
  <si>
    <t xml:space="preserve">ORD-2024-05442</t>
  </si>
  <si>
    <t xml:space="preserve">ORD-2022-01527</t>
  </si>
  <si>
    <t xml:space="preserve">ORD-2025-08649</t>
  </si>
  <si>
    <t xml:space="preserve">ORD-2024-05800</t>
  </si>
  <si>
    <t xml:space="preserve">ORD-2024-05839</t>
  </si>
  <si>
    <t xml:space="preserve">ORD-2022-01552</t>
  </si>
  <si>
    <t xml:space="preserve">ORD-2025-07402</t>
  </si>
  <si>
    <t xml:space="preserve">ORD-2025-08760</t>
  </si>
  <si>
    <t xml:space="preserve">ORD-2022-01338</t>
  </si>
  <si>
    <t xml:space="preserve">ORD-2023-03902</t>
  </si>
  <si>
    <t xml:space="preserve">ORD-2023-03011</t>
  </si>
  <si>
    <t xml:space="preserve">ORD-2025-07762</t>
  </si>
  <si>
    <t xml:space="preserve">ORD-2023-02251</t>
  </si>
  <si>
    <t xml:space="preserve">ORD-2023-02347</t>
  </si>
  <si>
    <t xml:space="preserve">ORD-2025-08388</t>
  </si>
  <si>
    <t xml:space="preserve">ORD-2023-02785</t>
  </si>
  <si>
    <t xml:space="preserve">ORD-2024-05427</t>
  </si>
  <si>
    <t xml:space="preserve">ORD-2022-00151</t>
  </si>
  <si>
    <t xml:space="preserve">ORD-2023-02805</t>
  </si>
  <si>
    <t xml:space="preserve">ORD-2024-04765</t>
  </si>
  <si>
    <t xml:space="preserve">ORD-2023-02087</t>
  </si>
  <si>
    <t xml:space="preserve">ORD-2023-03752</t>
  </si>
  <si>
    <t xml:space="preserve">ORD-2023-02260</t>
  </si>
  <si>
    <t xml:space="preserve">ORD-2024-04018</t>
  </si>
  <si>
    <t xml:space="preserve">ORD-2024-04968</t>
  </si>
  <si>
    <t xml:space="preserve">ORD-2024-04922</t>
  </si>
  <si>
    <t xml:space="preserve">ORD-2025-07619</t>
  </si>
  <si>
    <t xml:space="preserve">ORD-2025-06513</t>
  </si>
  <si>
    <t xml:space="preserve">ORD-2023-03857</t>
  </si>
  <si>
    <t xml:space="preserve">ORD-2022-00860</t>
  </si>
  <si>
    <t xml:space="preserve">ORD-2024-06157</t>
  </si>
  <si>
    <t xml:space="preserve">ORD-2025-06559</t>
  </si>
  <si>
    <t xml:space="preserve">ORD-2024-05938</t>
  </si>
  <si>
    <t xml:space="preserve">ORD-2025-07295</t>
  </si>
  <si>
    <t xml:space="preserve">ORD-2025-08738</t>
  </si>
  <si>
    <t xml:space="preserve">ORD-2024-04463</t>
  </si>
  <si>
    <t xml:space="preserve">ORD-2025-08454</t>
  </si>
  <si>
    <t xml:space="preserve">ORD-2022-01780</t>
  </si>
  <si>
    <t xml:space="preserve">ORD-2025-07079</t>
  </si>
  <si>
    <t xml:space="preserve">ORD-2024-05523</t>
  </si>
  <si>
    <t xml:space="preserve">ORD-2022-01819</t>
  </si>
  <si>
    <t xml:space="preserve">ORD-2024-06327</t>
  </si>
  <si>
    <t xml:space="preserve">ORD-2023-02705</t>
  </si>
  <si>
    <t xml:space="preserve">ORD-2022-00176</t>
  </si>
  <si>
    <t xml:space="preserve">ORD-2023-02094</t>
  </si>
  <si>
    <t xml:space="preserve">ORD-2025-07183</t>
  </si>
  <si>
    <t xml:space="preserve">ORD-2023-03492</t>
  </si>
  <si>
    <t xml:space="preserve">ORD-2025-07918</t>
  </si>
  <si>
    <t xml:space="preserve">ORD-2022-00083</t>
  </si>
  <si>
    <t xml:space="preserve">ORD-2022-00817</t>
  </si>
  <si>
    <t xml:space="preserve">ORD-2024-05961</t>
  </si>
  <si>
    <t xml:space="preserve">ORD-2025-07029</t>
  </si>
  <si>
    <t xml:space="preserve">ORD-2025-07764</t>
  </si>
  <si>
    <t xml:space="preserve">ORD-2022-00284</t>
  </si>
  <si>
    <t xml:space="preserve">ORD-2025-07758</t>
  </si>
  <si>
    <t xml:space="preserve">ORD-2025-06854</t>
  </si>
  <si>
    <t xml:space="preserve">ORD-2025-08079</t>
  </si>
  <si>
    <t xml:space="preserve">ORD-2023-02916</t>
  </si>
  <si>
    <t xml:space="preserve">ORD-2022-01814</t>
  </si>
  <si>
    <t xml:space="preserve">ORD-2022-01272</t>
  </si>
  <si>
    <t xml:space="preserve">ORD-2024-04809</t>
  </si>
  <si>
    <t xml:space="preserve">ORD-2025-08674</t>
  </si>
  <si>
    <t xml:space="preserve">ORD-2025-08599</t>
  </si>
  <si>
    <t xml:space="preserve">ORD-2025-08152</t>
  </si>
  <si>
    <t xml:space="preserve">ORD-2023-02643</t>
  </si>
  <si>
    <t xml:space="preserve">ORD-2025-07721</t>
  </si>
  <si>
    <t xml:space="preserve">ORD-2024-04509</t>
  </si>
  <si>
    <t xml:space="preserve">ORD-2023-02306</t>
  </si>
  <si>
    <t xml:space="preserve">ORD-2025-08969</t>
  </si>
  <si>
    <t xml:space="preserve">ORD-2024-04196</t>
  </si>
  <si>
    <t xml:space="preserve">ORD-2024-04656</t>
  </si>
  <si>
    <t xml:space="preserve">ORD-2025-06598</t>
  </si>
  <si>
    <t xml:space="preserve">ORD-2024-04169</t>
  </si>
  <si>
    <t xml:space="preserve">ORD-2023-03850</t>
  </si>
  <si>
    <t xml:space="preserve">ORD-2025-08907</t>
  </si>
  <si>
    <t xml:space="preserve">ORD-2025-06992</t>
  </si>
  <si>
    <t xml:space="preserve">ORD-2025-06392</t>
  </si>
  <si>
    <t xml:space="preserve">ORD-2023-02415</t>
  </si>
  <si>
    <t xml:space="preserve">ORD-2023-03555</t>
  </si>
  <si>
    <t xml:space="preserve">ORD-2024-04499</t>
  </si>
  <si>
    <t xml:space="preserve">ORD-2023-02196</t>
  </si>
  <si>
    <t xml:space="preserve">ORD-2023-02601</t>
  </si>
  <si>
    <t xml:space="preserve">ORD-2025-06932</t>
  </si>
  <si>
    <t xml:space="preserve">ORD-2024-04315</t>
  </si>
  <si>
    <t xml:space="preserve">ORD-2023-03367</t>
  </si>
  <si>
    <t xml:space="preserve">ORD-2024-04926</t>
  </si>
  <si>
    <t xml:space="preserve">ORD-2024-05858</t>
  </si>
  <si>
    <t xml:space="preserve">ORD-2023-02634</t>
  </si>
  <si>
    <t xml:space="preserve">ORD-2025-07303</t>
  </si>
  <si>
    <t xml:space="preserve">ORD-2023-02435</t>
  </si>
  <si>
    <t xml:space="preserve">ORD-2025-06837</t>
  </si>
  <si>
    <t xml:space="preserve">ORD-2025-06962</t>
  </si>
  <si>
    <t xml:space="preserve">ORD-2024-04521</t>
  </si>
  <si>
    <t xml:space="preserve">ORD-2023-03546</t>
  </si>
  <si>
    <t xml:space="preserve">ORD-2025-07625</t>
  </si>
  <si>
    <t xml:space="preserve">ORD-2025-07734</t>
  </si>
  <si>
    <t xml:space="preserve">ORD-2022-00518</t>
  </si>
  <si>
    <t xml:space="preserve">ORD-2024-06182</t>
  </si>
  <si>
    <t xml:space="preserve">ORD-2025-08903</t>
  </si>
  <si>
    <t xml:space="preserve">ORD-2022-01416</t>
  </si>
  <si>
    <t xml:space="preserve">ORD-2024-04665</t>
  </si>
  <si>
    <t xml:space="preserve">ORD-2024-04457</t>
  </si>
  <si>
    <t xml:space="preserve">ORD-2025-07889</t>
  </si>
  <si>
    <t xml:space="preserve">ORD-2022-00128</t>
  </si>
  <si>
    <t xml:space="preserve">ORD-2023-03475</t>
  </si>
  <si>
    <t xml:space="preserve">ORD-2025-06463</t>
  </si>
  <si>
    <t xml:space="preserve">ORD-2024-04311</t>
  </si>
  <si>
    <t xml:space="preserve">ORD-2023-02439</t>
  </si>
  <si>
    <t xml:space="preserve">ORD-2023-03766</t>
  </si>
  <si>
    <t xml:space="preserve">ORD-2024-04739</t>
  </si>
  <si>
    <t xml:space="preserve">ORD-2024-05046</t>
  </si>
  <si>
    <t xml:space="preserve">ORD-2025-08834</t>
  </si>
  <si>
    <t xml:space="preserve">ORD-2022-01474</t>
  </si>
  <si>
    <t xml:space="preserve">ORD-2024-05616</t>
  </si>
  <si>
    <t xml:space="preserve">ORD-2023-03561</t>
  </si>
  <si>
    <t xml:space="preserve">ORD-2023-03952</t>
  </si>
  <si>
    <t xml:space="preserve">ORD-2022-00050</t>
  </si>
  <si>
    <t xml:space="preserve">ORD-2025-07362</t>
  </si>
  <si>
    <t xml:space="preserve">ORD-2022-00888</t>
  </si>
  <si>
    <t xml:space="preserve">ORD-2023-02617</t>
  </si>
  <si>
    <t xml:space="preserve">ORD-2022-00517</t>
  </si>
  <si>
    <t xml:space="preserve">ORD-2023-03169</t>
  </si>
  <si>
    <t xml:space="preserve">ORD-2023-02950</t>
  </si>
  <si>
    <t xml:space="preserve">ORD-2022-01425</t>
  </si>
  <si>
    <t xml:space="preserve">ORD-2022-00140</t>
  </si>
  <si>
    <t xml:space="preserve">ORD-2023-01925</t>
  </si>
  <si>
    <t xml:space="preserve">ORD-2023-02379</t>
  </si>
  <si>
    <t xml:space="preserve">ORD-2023-03198</t>
  </si>
  <si>
    <t xml:space="preserve">ORD-2022-00113</t>
  </si>
  <si>
    <t xml:space="preserve">ORD-2024-04560</t>
  </si>
  <si>
    <t xml:space="preserve">ORD-2024-04596</t>
  </si>
  <si>
    <t xml:space="preserve">ORD-2023-03251</t>
  </si>
  <si>
    <t xml:space="preserve">ORD-2024-04691</t>
  </si>
  <si>
    <t xml:space="preserve">ORD-2024-06002</t>
  </si>
  <si>
    <t xml:space="preserve">ORD-2025-06466</t>
  </si>
  <si>
    <t xml:space="preserve">ORD-2024-04547</t>
  </si>
  <si>
    <t xml:space="preserve">ORD-2024-05846</t>
  </si>
  <si>
    <t xml:space="preserve">ORD-2023-03278</t>
  </si>
  <si>
    <t xml:space="preserve">ORD-2024-05101</t>
  </si>
  <si>
    <t xml:space="preserve">ORD-2025-07587</t>
  </si>
  <si>
    <t xml:space="preserve">ORD-2025-07970</t>
  </si>
  <si>
    <t xml:space="preserve">ORD-2024-06057</t>
  </si>
  <si>
    <t xml:space="preserve">ORD-2025-07333</t>
  </si>
  <si>
    <t xml:space="preserve">ORD-2024-05984</t>
  </si>
  <si>
    <t xml:space="preserve">ORD-2023-03223</t>
  </si>
  <si>
    <t xml:space="preserve">ORD-2025-08916</t>
  </si>
  <si>
    <t xml:space="preserve">ORD-2022-00452</t>
  </si>
  <si>
    <t xml:space="preserve">ORD-2023-03732</t>
  </si>
  <si>
    <t xml:space="preserve">ORD-2025-07984</t>
  </si>
  <si>
    <t xml:space="preserve">ORD-2025-07733</t>
  </si>
  <si>
    <t xml:space="preserve">ORD-2023-02764</t>
  </si>
  <si>
    <t xml:space="preserve">ORD-2022-00659</t>
  </si>
  <si>
    <t xml:space="preserve">ORD-2024-06226</t>
  </si>
  <si>
    <t xml:space="preserve">ORD-2024-04621</t>
  </si>
  <si>
    <t xml:space="preserve">ORD-2022-01000</t>
  </si>
  <si>
    <t xml:space="preserve">ORD-2022-00390</t>
  </si>
  <si>
    <t xml:space="preserve">ORD-2023-03408</t>
  </si>
  <si>
    <t xml:space="preserve">ORD-2022-01477</t>
  </si>
  <si>
    <t xml:space="preserve">ORD-2023-02241</t>
  </si>
  <si>
    <t xml:space="preserve">ORD-2023-02387</t>
  </si>
  <si>
    <t xml:space="preserve">ORD-2022-00993</t>
  </si>
  <si>
    <t xml:space="preserve">ORD-2023-03923</t>
  </si>
  <si>
    <t xml:space="preserve">ORD-2023-02973</t>
  </si>
  <si>
    <t xml:space="preserve">ORD-2023-03387</t>
  </si>
  <si>
    <t xml:space="preserve">ORD-2022-01294</t>
  </si>
  <si>
    <t xml:space="preserve">ORD-2022-01825</t>
  </si>
  <si>
    <t xml:space="preserve">ORD-2023-02874</t>
  </si>
  <si>
    <t xml:space="preserve">ORD-2024-04174</t>
  </si>
  <si>
    <t xml:space="preserve">ORD-2023-02536</t>
  </si>
  <si>
    <t xml:space="preserve">ORD-2025-08249</t>
  </si>
  <si>
    <t xml:space="preserve">ORD-2023-01908</t>
  </si>
  <si>
    <t xml:space="preserve">ORD-2025-06826</t>
  </si>
  <si>
    <t xml:space="preserve">ORD-2022-00369</t>
  </si>
  <si>
    <t xml:space="preserve">ORD-2022-01152</t>
  </si>
  <si>
    <t xml:space="preserve">ORD-2024-06286</t>
  </si>
  <si>
    <t xml:space="preserve">ORD-2024-05170</t>
  </si>
  <si>
    <t xml:space="preserve">ORD-2024-05734</t>
  </si>
  <si>
    <t xml:space="preserve">ORD-2024-05280</t>
  </si>
  <si>
    <t xml:space="preserve">ORD-2025-06909</t>
  </si>
  <si>
    <t xml:space="preserve">ORD-2024-04161</t>
  </si>
  <si>
    <t xml:space="preserve">ORD-2024-04288</t>
  </si>
  <si>
    <t xml:space="preserve">ORD-2025-07982</t>
  </si>
  <si>
    <t xml:space="preserve">ORD-2024-05458</t>
  </si>
  <si>
    <t xml:space="preserve">ORD-2022-00175</t>
  </si>
  <si>
    <t xml:space="preserve">ORD-2023-01904</t>
  </si>
  <si>
    <t xml:space="preserve">ORD-2022-01100</t>
  </si>
  <si>
    <t xml:space="preserve">ORD-2025-06573</t>
  </si>
  <si>
    <t xml:space="preserve">ORD-2023-03409</t>
  </si>
  <si>
    <t xml:space="preserve">ORD-2022-01539</t>
  </si>
  <si>
    <t xml:space="preserve">ORD-2023-02293</t>
  </si>
  <si>
    <t xml:space="preserve">ORD-2025-08406</t>
  </si>
  <si>
    <t xml:space="preserve">ORD-2022-01364</t>
  </si>
  <si>
    <t xml:space="preserve">ORD-2024-05669</t>
  </si>
  <si>
    <t xml:space="preserve">ORD-2024-05385</t>
  </si>
  <si>
    <t xml:space="preserve">ORD-2025-06385</t>
  </si>
  <si>
    <t xml:space="preserve">ORD-2024-05732</t>
  </si>
  <si>
    <t xml:space="preserve">ORD-2022-00681</t>
  </si>
  <si>
    <t xml:space="preserve">ORD-2024-06202</t>
  </si>
  <si>
    <t xml:space="preserve">ORD-2023-03665</t>
  </si>
  <si>
    <t xml:space="preserve">ORD-2022-01662</t>
  </si>
  <si>
    <t xml:space="preserve">ORD-2022-00509</t>
  </si>
  <si>
    <t xml:space="preserve">ORD-2022-00167</t>
  </si>
  <si>
    <t xml:space="preserve">ORD-2025-06816</t>
  </si>
  <si>
    <t xml:space="preserve">ORD-2022-01007</t>
  </si>
  <si>
    <t xml:space="preserve">ORD-2025-08940</t>
  </si>
  <si>
    <t xml:space="preserve">ORD-2025-08361</t>
  </si>
  <si>
    <t xml:space="preserve">ORD-2023-03495</t>
  </si>
  <si>
    <t xml:space="preserve">ORD-2025-06805</t>
  </si>
  <si>
    <t xml:space="preserve">ORD-2025-08831</t>
  </si>
  <si>
    <t xml:space="preserve">ORD-2023-02537</t>
  </si>
  <si>
    <t xml:space="preserve">ORD-2022-01105</t>
  </si>
  <si>
    <t xml:space="preserve">ORD-2023-03876</t>
  </si>
  <si>
    <t xml:space="preserve">ORD-2024-06205</t>
  </si>
  <si>
    <t xml:space="preserve">ORD-2022-01753</t>
  </si>
  <si>
    <t xml:space="preserve">ORD-2024-05660</t>
  </si>
  <si>
    <t xml:space="preserve">ORD-2023-02917</t>
  </si>
  <si>
    <t xml:space="preserve">ORD-2025-06532</t>
  </si>
  <si>
    <t xml:space="preserve">ORD-2022-00153</t>
  </si>
  <si>
    <t xml:space="preserve">ORD-2023-03908</t>
  </si>
  <si>
    <t xml:space="preserve">ORD-2025-08252</t>
  </si>
  <si>
    <t xml:space="preserve">ORD-2023-02553</t>
  </si>
  <si>
    <t xml:space="preserve">ORD-2023-02774</t>
  </si>
  <si>
    <t xml:space="preserve">ORD-2024-04956</t>
  </si>
  <si>
    <t xml:space="preserve">ORD-2023-03552</t>
  </si>
  <si>
    <t xml:space="preserve">ORD-2023-03723</t>
  </si>
  <si>
    <t xml:space="preserve">ORD-2024-05396</t>
  </si>
  <si>
    <t xml:space="preserve">ORD-2025-07266</t>
  </si>
  <si>
    <t xml:space="preserve">ORD-2025-06512</t>
  </si>
  <si>
    <t xml:space="preserve">ORD-2024-04539</t>
  </si>
  <si>
    <t xml:space="preserve">ORD-2024-05503</t>
  </si>
  <si>
    <t xml:space="preserve">ORD-2022-01823</t>
  </si>
  <si>
    <t xml:space="preserve">ORD-2024-04087</t>
  </si>
  <si>
    <t xml:space="preserve">ORD-2024-04997</t>
  </si>
  <si>
    <t xml:space="preserve">ORD-2025-07623</t>
  </si>
  <si>
    <t xml:space="preserve">ORD-2024-05945</t>
  </si>
  <si>
    <t xml:space="preserve">ORD-2025-07013</t>
  </si>
  <si>
    <t xml:space="preserve">ORD-2022-00310</t>
  </si>
  <si>
    <t xml:space="preserve">ORD-2024-06262</t>
  </si>
  <si>
    <t xml:space="preserve">ORD-2024-06042</t>
  </si>
  <si>
    <t xml:space="preserve">ORD-2023-03600</t>
  </si>
  <si>
    <t xml:space="preserve">ORD-2023-03623</t>
  </si>
  <si>
    <t xml:space="preserve">ORD-2025-08177</t>
  </si>
  <si>
    <t xml:space="preserve">ORD-2023-03451</t>
  </si>
  <si>
    <t xml:space="preserve">ORD-2024-04592</t>
  </si>
  <si>
    <t xml:space="preserve">ORD-2022-00206</t>
  </si>
  <si>
    <t xml:space="preserve">ORD-2022-01136</t>
  </si>
  <si>
    <t xml:space="preserve">ORD-2023-02750</t>
  </si>
  <si>
    <t xml:space="preserve">ORD-2023-03614</t>
  </si>
  <si>
    <t xml:space="preserve">ORD-2022-00306</t>
  </si>
  <si>
    <t xml:space="preserve">ORD-2023-01850</t>
  </si>
  <si>
    <t xml:space="preserve">ORD-2024-05232</t>
  </si>
  <si>
    <t xml:space="preserve">ORD-2023-01989</t>
  </si>
  <si>
    <t xml:space="preserve">ORD-2023-03241</t>
  </si>
  <si>
    <t xml:space="preserve">ORD-2023-02799</t>
  </si>
  <si>
    <t xml:space="preserve">ORD-2024-04516</t>
  </si>
  <si>
    <t xml:space="preserve">ORD-2024-06257</t>
  </si>
  <si>
    <t xml:space="preserve">ORD-2023-03110</t>
  </si>
  <si>
    <t xml:space="preserve">ORD-2024-04060</t>
  </si>
  <si>
    <t xml:space="preserve">ORD-2023-01988</t>
  </si>
  <si>
    <t xml:space="preserve">ORD-2025-06658</t>
  </si>
  <si>
    <t xml:space="preserve">ORD-2022-00384</t>
  </si>
  <si>
    <t xml:space="preserve">ORD-2024-04308</t>
  </si>
  <si>
    <t xml:space="preserve">ORD-2023-03389</t>
  </si>
  <si>
    <t xml:space="preserve">ORD-2025-07928</t>
  </si>
  <si>
    <t xml:space="preserve">ORD-2023-02728</t>
  </si>
  <si>
    <t xml:space="preserve">ORD-2024-05147</t>
  </si>
  <si>
    <t xml:space="preserve">ORD-2025-08046</t>
  </si>
  <si>
    <t xml:space="preserve">ORD-2025-07524</t>
  </si>
  <si>
    <t xml:space="preserve">ORD-2025-07157</t>
  </si>
  <si>
    <t xml:space="preserve">ORD-2023-03833</t>
  </si>
  <si>
    <t xml:space="preserve">ORD-2025-08846</t>
  </si>
  <si>
    <t xml:space="preserve">ORD-2024-04777</t>
  </si>
  <si>
    <t xml:space="preserve">ORD-2024-04277</t>
  </si>
  <si>
    <t xml:space="preserve">ORD-2022-00254</t>
  </si>
  <si>
    <t xml:space="preserve">ORD-2025-08669</t>
  </si>
  <si>
    <t xml:space="preserve">ORD-2024-05915</t>
  </si>
  <si>
    <t xml:space="preserve">ORD-2022-00279</t>
  </si>
  <si>
    <t xml:space="preserve">ORD-2023-03253</t>
  </si>
  <si>
    <t xml:space="preserve">ORD-2023-02481</t>
  </si>
  <si>
    <t xml:space="preserve">ORD-2022-00290</t>
  </si>
  <si>
    <t xml:space="preserve">ORD-2025-08039</t>
  </si>
  <si>
    <t xml:space="preserve">ORD-2023-03076</t>
  </si>
  <si>
    <t xml:space="preserve">ORD-2025-06565</t>
  </si>
  <si>
    <t xml:space="preserve">ORD-2024-06163</t>
  </si>
  <si>
    <t xml:space="preserve">ORD-2025-07991</t>
  </si>
  <si>
    <t xml:space="preserve">ORD-2024-05910</t>
  </si>
  <si>
    <t xml:space="preserve">ORD-2025-08786</t>
  </si>
  <si>
    <t xml:space="preserve">ORD-2025-06993</t>
  </si>
  <si>
    <t xml:space="preserve">ORD-2024-04975</t>
  </si>
  <si>
    <t xml:space="preserve">ORD-2025-08832</t>
  </si>
  <si>
    <t xml:space="preserve">ORD-2022-00271</t>
  </si>
  <si>
    <t xml:space="preserve">ORD-2024-04571</t>
  </si>
  <si>
    <t xml:space="preserve">ORD-2025-06379</t>
  </si>
  <si>
    <t xml:space="preserve">ORD-2025-06488</t>
  </si>
  <si>
    <t xml:space="preserve">ORD-2025-07658</t>
  </si>
  <si>
    <t xml:space="preserve">ORD-2025-07679</t>
  </si>
  <si>
    <t xml:space="preserve">ORD-2024-04208</t>
  </si>
  <si>
    <t xml:space="preserve">ORD-2023-03219</t>
  </si>
  <si>
    <t xml:space="preserve">ORD-2022-01392</t>
  </si>
  <si>
    <t xml:space="preserve">ORD-2023-03976</t>
  </si>
  <si>
    <t xml:space="preserve">ORD-2024-04317</t>
  </si>
  <si>
    <t xml:space="preserve">ORD-2025-07476</t>
  </si>
  <si>
    <t xml:space="preserve">ORD-2024-05956</t>
  </si>
  <si>
    <t xml:space="preserve">ORD-2025-08089</t>
  </si>
  <si>
    <t xml:space="preserve">ORD-2022-00084</t>
  </si>
  <si>
    <t xml:space="preserve">ORD-2022-00874</t>
  </si>
  <si>
    <t xml:space="preserve">ORD-2025-08683</t>
  </si>
  <si>
    <t xml:space="preserve">ORD-2024-06193</t>
  </si>
  <si>
    <t xml:space="preserve">ORD-2024-04558</t>
  </si>
  <si>
    <t xml:space="preserve">ORD-2024-04501</t>
  </si>
  <si>
    <t xml:space="preserve">ORD-2024-04648</t>
  </si>
  <si>
    <t xml:space="preserve">ORD-2023-02039</t>
  </si>
  <si>
    <t xml:space="preserve">ORD-2025-08766</t>
  </si>
  <si>
    <t xml:space="preserve">ORD-2024-05611</t>
  </si>
  <si>
    <t xml:space="preserve">ORD-2023-02451</t>
  </si>
  <si>
    <t xml:space="preserve">ORD-2023-03955</t>
  </si>
  <si>
    <t xml:space="preserve">ORD-2023-02330</t>
  </si>
  <si>
    <t xml:space="preserve">ORD-2025-08242</t>
  </si>
  <si>
    <t xml:space="preserve">ORD-2025-08540</t>
  </si>
  <si>
    <t xml:space="preserve">ORD-2025-08465</t>
  </si>
  <si>
    <t xml:space="preserve">ORD-2024-04747</t>
  </si>
  <si>
    <t xml:space="preserve">ORD-2025-08468</t>
  </si>
  <si>
    <t xml:space="preserve">ORD-2024-05268</t>
  </si>
  <si>
    <t xml:space="preserve">ORD-2025-07678</t>
  </si>
  <si>
    <t xml:space="preserve">ORD-2024-05166</t>
  </si>
  <si>
    <t xml:space="preserve">ORD-2025-06650</t>
  </si>
  <si>
    <t xml:space="preserve">ORD-2022-01217</t>
  </si>
  <si>
    <t xml:space="preserve">ORD-2025-07545</t>
  </si>
  <si>
    <t xml:space="preserve">ORD-2024-05577</t>
  </si>
  <si>
    <t xml:space="preserve">ORD-2022-01065</t>
  </si>
  <si>
    <t xml:space="preserve">ORD-2023-03787</t>
  </si>
  <si>
    <t xml:space="preserve">ORD-2024-04411</t>
  </si>
  <si>
    <t xml:space="preserve">ORD-2024-05490</t>
  </si>
  <si>
    <t xml:space="preserve">ORD-2025-07771</t>
  </si>
  <si>
    <t xml:space="preserve">ORD-2025-08781</t>
  </si>
  <si>
    <t xml:space="preserve">ORD-2023-03009</t>
  </si>
  <si>
    <t xml:space="preserve">ORD-2022-01106</t>
  </si>
  <si>
    <t xml:space="preserve">ORD-2024-05408</t>
  </si>
  <si>
    <t xml:space="preserve">ORD-2025-07282</t>
  </si>
  <si>
    <t xml:space="preserve">ORD-2024-06086</t>
  </si>
  <si>
    <t xml:space="preserve">ORD-2024-05359</t>
  </si>
  <si>
    <t xml:space="preserve">ORD-2025-07846</t>
  </si>
  <si>
    <t xml:space="preserve">ORD-2024-04370</t>
  </si>
  <si>
    <t xml:space="preserve">ORD-2023-02766</t>
  </si>
  <si>
    <t xml:space="preserve">ORD-2023-03930</t>
  </si>
  <si>
    <t xml:space="preserve">ORD-2024-05793</t>
  </si>
  <si>
    <t xml:space="preserve">ORD-2025-07615</t>
  </si>
  <si>
    <t xml:space="preserve">ORD-2024-06099</t>
  </si>
  <si>
    <t xml:space="preserve">ORD-2024-05197</t>
  </si>
  <si>
    <t xml:space="preserve">ORD-2025-07697</t>
  </si>
  <si>
    <t xml:space="preserve">ORD-2023-02452</t>
  </si>
  <si>
    <t xml:space="preserve">ORD-2024-05068</t>
  </si>
  <si>
    <t xml:space="preserve">ORD-2025-06956</t>
  </si>
  <si>
    <t xml:space="preserve">ORD-2023-03825</t>
  </si>
  <si>
    <t xml:space="preserve">ORD-2025-08027</t>
  </si>
  <si>
    <t xml:space="preserve">ORD-2023-02653</t>
  </si>
  <si>
    <t xml:space="preserve">ORD-2025-08226</t>
  </si>
  <si>
    <t xml:space="preserve">ORD-2023-03744</t>
  </si>
  <si>
    <t xml:space="preserve">ORD-2023-02177</t>
  </si>
  <si>
    <t xml:space="preserve">ORD-2025-08371</t>
  </si>
  <si>
    <t xml:space="preserve">ORD-2023-03319</t>
  </si>
  <si>
    <t xml:space="preserve">ORD-2024-05156</t>
  </si>
  <si>
    <t xml:space="preserve">ORD-2023-02788</t>
  </si>
  <si>
    <t xml:space="preserve">ORD-2024-04106</t>
  </si>
  <si>
    <t xml:space="preserve">ORD-2024-06118</t>
  </si>
  <si>
    <t xml:space="preserve">ORD-2022-01677</t>
  </si>
  <si>
    <t xml:space="preserve">ORD-2023-03948</t>
  </si>
  <si>
    <t xml:space="preserve">ORD-2025-07285</t>
  </si>
  <si>
    <t xml:space="preserve">ORD-2025-07225</t>
  </si>
  <si>
    <t xml:space="preserve">ORD-2024-05413</t>
  </si>
  <si>
    <t xml:space="preserve">ORD-2024-06298</t>
  </si>
  <si>
    <t xml:space="preserve">ORD-2024-06026</t>
  </si>
  <si>
    <t xml:space="preserve">ORD-2023-02504</t>
  </si>
  <si>
    <t xml:space="preserve">ORD-2025-07145</t>
  </si>
  <si>
    <t xml:space="preserve">ORD-2023-02370</t>
  </si>
  <si>
    <t xml:space="preserve">ORD-2023-02218</t>
  </si>
  <si>
    <t xml:space="preserve">ORD-2023-02219</t>
  </si>
  <si>
    <t xml:space="preserve">ORD-2023-03327</t>
  </si>
  <si>
    <t xml:space="preserve">ORD-2024-06088</t>
  </si>
  <si>
    <t xml:space="preserve">ORD-2023-03584</t>
  </si>
  <si>
    <t xml:space="preserve">ORD-2025-07745</t>
  </si>
  <si>
    <t xml:space="preserve">ORD-2025-06643</t>
  </si>
  <si>
    <t xml:space="preserve">ORD-2024-06250</t>
  </si>
  <si>
    <t xml:space="preserve">ORD-2025-06799</t>
  </si>
  <si>
    <t xml:space="preserve">ORD-2025-07744</t>
  </si>
  <si>
    <t xml:space="preserve">ORD-2022-00086</t>
  </si>
  <si>
    <t xml:space="preserve">ORD-2023-02802</t>
  </si>
  <si>
    <t xml:space="preserve">ORD-2023-03672</t>
  </si>
  <si>
    <t xml:space="preserve">ORD-2023-03668</t>
  </si>
  <si>
    <t xml:space="preserve">ORD-2025-08857</t>
  </si>
  <si>
    <t xml:space="preserve">ORD-2024-04591</t>
  </si>
  <si>
    <t xml:space="preserve">ORD-2023-02020</t>
  </si>
  <si>
    <t xml:space="preserve">ORD-2024-06353</t>
  </si>
  <si>
    <t xml:space="preserve">ORD-2023-02526</t>
  </si>
  <si>
    <t xml:space="preserve">ORD-2024-05931</t>
  </si>
  <si>
    <t xml:space="preserve">ORD-2024-05060</t>
  </si>
  <si>
    <t xml:space="preserve">ORD-2025-07639</t>
  </si>
  <si>
    <t xml:space="preserve">ORD-2025-07293</t>
  </si>
  <si>
    <t xml:space="preserve">ORD-2024-05492</t>
  </si>
  <si>
    <t xml:space="preserve">ORD-2023-02896</t>
  </si>
  <si>
    <t xml:space="preserve">ORD-2025-07626</t>
  </si>
  <si>
    <t xml:space="preserve">ORD-2024-04715</t>
  </si>
  <si>
    <t xml:space="preserve">ORD-2025-08317</t>
  </si>
  <si>
    <t xml:space="preserve">ORD-2023-03426</t>
  </si>
  <si>
    <t xml:space="preserve">ORD-2024-05629</t>
  </si>
  <si>
    <t xml:space="preserve">ORD-2024-05462</t>
  </si>
  <si>
    <t xml:space="preserve">ORD-2024-05390</t>
  </si>
  <si>
    <t xml:space="preserve">ORD-2024-05019</t>
  </si>
  <si>
    <t xml:space="preserve">ORD-2025-07964</t>
  </si>
  <si>
    <t xml:space="preserve">ORD-2023-02002</t>
  </si>
  <si>
    <t xml:space="preserve">ORD-2025-07382</t>
  </si>
  <si>
    <t xml:space="preserve">ORD-2022-00870</t>
  </si>
  <si>
    <t xml:space="preserve">ORD-2022-00357</t>
  </si>
  <si>
    <t xml:space="preserve">ORD-2025-06634</t>
  </si>
  <si>
    <t xml:space="preserve">ORD-2024-06247</t>
  </si>
  <si>
    <t xml:space="preserve">ORD-2022-01276</t>
  </si>
  <si>
    <t xml:space="preserve">ORD-2023-01891</t>
  </si>
  <si>
    <t xml:space="preserve">ORD-2025-07526</t>
  </si>
  <si>
    <t xml:space="preserve">ORD-2025-08560</t>
  </si>
  <si>
    <t xml:space="preserve">ORD-2025-08293</t>
  </si>
  <si>
    <t xml:space="preserve">ORD-2023-03564</t>
  </si>
  <si>
    <t xml:space="preserve">ORD-2024-04959</t>
  </si>
  <si>
    <t xml:space="preserve">ORD-2025-06714</t>
  </si>
  <si>
    <t xml:space="preserve">ORD-2023-02381</t>
  </si>
  <si>
    <t xml:space="preserve">ORD-2023-03824</t>
  </si>
  <si>
    <t xml:space="preserve">ORD-2025-07989</t>
  </si>
  <si>
    <t xml:space="preserve">ORD-2025-06990</t>
  </si>
  <si>
    <t xml:space="preserve">ORD-2023-03307</t>
  </si>
  <si>
    <t xml:space="preserve">ORD-2025-08571</t>
  </si>
  <si>
    <t xml:space="preserve">ORD-2023-03500</t>
  </si>
  <si>
    <t xml:space="preserve">ORD-2025-08222</t>
  </si>
  <si>
    <t xml:space="preserve">ORD-2022-01117</t>
  </si>
  <si>
    <t xml:space="preserve">ORD-2025-08924</t>
  </si>
  <si>
    <t xml:space="preserve">ORD-2025-07696</t>
  </si>
  <si>
    <t xml:space="preserve">ORD-2025-06876</t>
  </si>
  <si>
    <t xml:space="preserve">ORD-2025-06694</t>
  </si>
  <si>
    <t xml:space="preserve">ORD-2025-06460</t>
  </si>
  <si>
    <t xml:space="preserve">ORD-2023-03646</t>
  </si>
  <si>
    <t xml:space="preserve">ORD-2023-02501</t>
  </si>
  <si>
    <t xml:space="preserve">ORD-2025-08255</t>
  </si>
  <si>
    <t xml:space="preserve">ORD-2023-02784</t>
  </si>
  <si>
    <t xml:space="preserve">ORD-2023-03810</t>
  </si>
  <si>
    <t xml:space="preserve">ORD-2024-05377</t>
  </si>
  <si>
    <t xml:space="preserve">ORD-2025-07449</t>
  </si>
  <si>
    <t xml:space="preserve">ORD-2024-06338</t>
  </si>
  <si>
    <t xml:space="preserve">ORD-2022-01697</t>
  </si>
  <si>
    <t xml:space="preserve">ORD-2024-05824</t>
  </si>
  <si>
    <t xml:space="preserve">ORD-2023-02053</t>
  </si>
  <si>
    <t xml:space="preserve">ORD-2022-01777</t>
  </si>
  <si>
    <t xml:space="preserve">ORD-2025-07119</t>
  </si>
  <si>
    <t xml:space="preserve">ORD-2023-03314</t>
  </si>
  <si>
    <t xml:space="preserve">ORD-2024-04782</t>
  </si>
  <si>
    <t xml:space="preserve">ORD-2025-07112</t>
  </si>
  <si>
    <t xml:space="preserve">ORD-2024-05505</t>
  </si>
  <si>
    <t xml:space="preserve">ORD-2022-01593</t>
  </si>
  <si>
    <t xml:space="preserve">ORD-2022-01724</t>
  </si>
  <si>
    <t xml:space="preserve">ORD-2025-07732</t>
  </si>
  <si>
    <t xml:space="preserve">ORD-2024-05141</t>
  </si>
  <si>
    <t xml:space="preserve">ORD-2025-06740</t>
  </si>
  <si>
    <t xml:space="preserve">ORD-2022-00491</t>
  </si>
  <si>
    <t xml:space="preserve">ORD-2025-08250</t>
  </si>
  <si>
    <t xml:space="preserve">ORD-2023-03484</t>
  </si>
  <si>
    <t xml:space="preserve">ORD-2023-03432</t>
  </si>
  <si>
    <t xml:space="preserve">ORD-2024-05906</t>
  </si>
  <si>
    <t xml:space="preserve">ORD-2024-06253</t>
  </si>
  <si>
    <t xml:space="preserve">ORD-2022-00026</t>
  </si>
  <si>
    <t xml:space="preserve">ORD-2023-03513</t>
  </si>
  <si>
    <t xml:space="preserve">ORD-2023-02410</t>
  </si>
  <si>
    <t xml:space="preserve">ORD-2023-03271</t>
  </si>
  <si>
    <t xml:space="preserve">ORD-2022-01553</t>
  </si>
  <si>
    <t xml:space="preserve">ORD-2025-08621</t>
  </si>
  <si>
    <t xml:space="preserve">ORD-2025-07504</t>
  </si>
  <si>
    <t xml:space="preserve">ORD-2023-03872</t>
  </si>
  <si>
    <t xml:space="preserve">ORD-2023-03403</t>
  </si>
  <si>
    <t xml:space="preserve">ORD-2024-04530</t>
  </si>
  <si>
    <t xml:space="preserve">ORD-2022-00980</t>
  </si>
  <si>
    <t xml:space="preserve">ORD-2023-02656</t>
  </si>
  <si>
    <t xml:space="preserve">ORD-2023-01848</t>
  </si>
  <si>
    <t xml:space="preserve">ORD-2025-06459</t>
  </si>
  <si>
    <t xml:space="preserve">ORD-2025-06720</t>
  </si>
  <si>
    <t xml:space="preserve">ORD-2025-07011</t>
  </si>
  <si>
    <t xml:space="preserve">ORD-2025-07349</t>
  </si>
  <si>
    <t xml:space="preserve">ORD-2024-05848</t>
  </si>
  <si>
    <t xml:space="preserve">ORD-2022-01103</t>
  </si>
  <si>
    <t xml:space="preserve">ORD-2023-03277</t>
  </si>
  <si>
    <t xml:space="preserve">ORD-2024-05988</t>
  </si>
  <si>
    <t xml:space="preserve">ORD-2025-07341</t>
  </si>
  <si>
    <t xml:space="preserve">ORD-2025-06889</t>
  </si>
  <si>
    <t xml:space="preserve">ORD-2024-03997</t>
  </si>
  <si>
    <t xml:space="preserve">ORD-2022-00195</t>
  </si>
  <si>
    <t xml:space="preserve">ORD-2024-04712</t>
  </si>
  <si>
    <t xml:space="preserve">ORD-2022-00644</t>
  </si>
  <si>
    <t xml:space="preserve">ORD-2023-03286</t>
  </si>
  <si>
    <t xml:space="preserve">ORD-2023-03117</t>
  </si>
  <si>
    <t xml:space="preserve">ORD-2023-03576</t>
  </si>
  <si>
    <t xml:space="preserve">ORD-2025-08740</t>
  </si>
  <si>
    <t xml:space="preserve">ORD-2024-04321</t>
  </si>
  <si>
    <t xml:space="preserve">ORD-2023-02208</t>
  </si>
  <si>
    <t xml:space="preserve">ORD-2024-04553</t>
  </si>
  <si>
    <t xml:space="preserve">ORD-2024-05935</t>
  </si>
  <si>
    <t xml:space="preserve">ORD-2023-03719</t>
  </si>
  <si>
    <t xml:space="preserve">ORD-2022-00973</t>
  </si>
  <si>
    <t xml:space="preserve">ORD-2025-07390</t>
  </si>
  <si>
    <t xml:space="preserve">ORD-2022-00720</t>
  </si>
  <si>
    <t xml:space="preserve">ORD-2025-08525</t>
  </si>
  <si>
    <t xml:space="preserve">ORD-2023-03897</t>
  </si>
  <si>
    <t xml:space="preserve">ORD-2023-02804</t>
  </si>
  <si>
    <t xml:space="preserve">ORD-2023-02567</t>
  </si>
  <si>
    <t xml:space="preserve">ORD-2024-04026</t>
  </si>
  <si>
    <t xml:space="preserve">ORD-2022-00033</t>
  </si>
  <si>
    <t xml:space="preserve">ORD-2025-06970</t>
  </si>
  <si>
    <t xml:space="preserve">ORD-2025-07769</t>
  </si>
  <si>
    <t xml:space="preserve">ORD-2024-04064</t>
  </si>
  <si>
    <t xml:space="preserve">ORD-2025-08071</t>
  </si>
  <si>
    <t xml:space="preserve">ORD-2022-01698</t>
  </si>
  <si>
    <t xml:space="preserve">ORD-2023-02793</t>
  </si>
  <si>
    <t xml:space="preserve">ORD-2023-02223</t>
  </si>
  <si>
    <t xml:space="preserve">ORD-2023-03765</t>
  </si>
  <si>
    <t xml:space="preserve">ORD-2023-03867</t>
  </si>
  <si>
    <t xml:space="preserve">ORD-2025-07477</t>
  </si>
  <si>
    <t xml:space="preserve">ORD-2025-07955</t>
  </si>
  <si>
    <t xml:space="preserve">ORD-2025-07580</t>
  </si>
  <si>
    <t xml:space="preserve">ORD-2025-08757</t>
  </si>
  <si>
    <t xml:space="preserve">ORD-2023-03759</t>
  </si>
  <si>
    <t xml:space="preserve">ORD-2025-06604</t>
  </si>
  <si>
    <t xml:space="preserve">ORD-2023-03228</t>
  </si>
  <si>
    <t xml:space="preserve">ORD-2024-06329</t>
  </si>
  <si>
    <t xml:space="preserve">ORD-2025-08325</t>
  </si>
  <si>
    <t xml:space="preserve">ORD-2023-03905</t>
  </si>
  <si>
    <t xml:space="preserve">ORD-2023-02278</t>
  </si>
  <si>
    <t xml:space="preserve">ORD-2025-08901</t>
  </si>
  <si>
    <t xml:space="preserve">ORD-2022-01402</t>
  </si>
  <si>
    <t xml:space="preserve">ORD-2022-00740</t>
  </si>
  <si>
    <t xml:space="preserve">ORD-2024-04267</t>
  </si>
  <si>
    <t xml:space="preserve">ORD-2025-08918</t>
  </si>
  <si>
    <t xml:space="preserve">ORD-2025-08122</t>
  </si>
  <si>
    <t xml:space="preserve">ORD-2024-06049</t>
  </si>
  <si>
    <t xml:space="preserve">ORD-2023-03852</t>
  </si>
  <si>
    <t xml:space="preserve">ORD-2025-08463</t>
  </si>
  <si>
    <t xml:space="preserve">ORD-2025-06709</t>
  </si>
  <si>
    <t xml:space="preserve">ORD-2024-05278</t>
  </si>
  <si>
    <t xml:space="preserve">ORD-2024-05559</t>
  </si>
  <si>
    <t xml:space="preserve">ORD-2022-00675</t>
  </si>
  <si>
    <t xml:space="preserve">ORD-2024-05762</t>
  </si>
  <si>
    <t xml:space="preserve">ORD-2024-05172</t>
  </si>
  <si>
    <t xml:space="preserve">ORD-2023-03842</t>
  </si>
  <si>
    <t xml:space="preserve">ORD-2022-01816</t>
  </si>
  <si>
    <t xml:space="preserve">ORD-2025-06886</t>
  </si>
  <si>
    <t xml:space="preserve">ORD-2025-08899</t>
  </si>
  <si>
    <t xml:space="preserve">ORD-2025-08311</t>
  </si>
  <si>
    <t xml:space="preserve">ORD-2024-04654</t>
  </si>
  <si>
    <t xml:space="preserve">ORD-2024-05932</t>
  </si>
  <si>
    <t xml:space="preserve">ORD-2023-02101</t>
  </si>
  <si>
    <t xml:space="preserve">ORD-2022-01674</t>
  </si>
  <si>
    <t xml:space="preserve">ORD-2023-02102</t>
  </si>
  <si>
    <t xml:space="preserve">ORD-2024-04214</t>
  </si>
  <si>
    <t xml:space="preserve">ORD-2024-05652</t>
  </si>
  <si>
    <t xml:space="preserve">ORD-2022-01549</t>
  </si>
  <si>
    <t xml:space="preserve">ORD-2025-08364</t>
  </si>
  <si>
    <t xml:space="preserve">ORD-2023-03324</t>
  </si>
  <si>
    <t xml:space="preserve">ORD-2024-05890</t>
  </si>
  <si>
    <t xml:space="preserve">ORD-2022-00356</t>
  </si>
  <si>
    <t xml:space="preserve">ORD-2022-01462</t>
  </si>
  <si>
    <t xml:space="preserve">ORD-2025-07472</t>
  </si>
  <si>
    <t xml:space="preserve">ORD-2025-08486</t>
  </si>
  <si>
    <t xml:space="preserve">ORD-2023-03221</t>
  </si>
  <si>
    <t xml:space="preserve">ORD-2025-07065</t>
  </si>
  <si>
    <t xml:space="preserve">ORD-2024-05148</t>
  </si>
  <si>
    <t xml:space="preserve">ORD-2025-06391</t>
  </si>
  <si>
    <t xml:space="preserve">ORD-2022-01752</t>
  </si>
  <si>
    <t xml:space="preserve">ORD-2025-08351</t>
  </si>
  <si>
    <t xml:space="preserve">ORD-2024-06162</t>
  </si>
  <si>
    <t xml:space="preserve">ORD-2022-01773</t>
  </si>
  <si>
    <t xml:space="preserve">ORD-2022-01197</t>
  </si>
  <si>
    <t xml:space="preserve">ORD-2023-01879</t>
  </si>
  <si>
    <t xml:space="preserve">ORD-2023-02669</t>
  </si>
  <si>
    <t xml:space="preserve">ORD-2023-03172</t>
  </si>
  <si>
    <t xml:space="preserve">ORD-2023-02017</t>
  </si>
  <si>
    <t xml:space="preserve">ORD-2023-02006</t>
  </si>
  <si>
    <t xml:space="preserve">ORD-2025-06769</t>
  </si>
  <si>
    <t xml:space="preserve">ORD-2023-03894</t>
  </si>
  <si>
    <t xml:space="preserve">ORD-2023-03238</t>
  </si>
  <si>
    <t xml:space="preserve">ORD-2024-04425</t>
  </si>
  <si>
    <t xml:space="preserve">ORD-2024-04745</t>
  </si>
  <si>
    <t xml:space="preserve">ORD-2023-02079</t>
  </si>
  <si>
    <t xml:space="preserve">ORD-2022-00397</t>
  </si>
  <si>
    <t xml:space="preserve">ORD-2023-02789</t>
  </si>
  <si>
    <t xml:space="preserve">ORD-2024-05799</t>
  </si>
  <si>
    <t xml:space="preserve">ORD-2024-05279</t>
  </si>
  <si>
    <t xml:space="preserve">ORD-2024-04073</t>
  </si>
  <si>
    <t xml:space="preserve">ORD-2025-08233</t>
  </si>
  <si>
    <t xml:space="preserve">ORD-2025-08594</t>
  </si>
  <si>
    <t xml:space="preserve">ORD-2024-06119</t>
  </si>
  <si>
    <t xml:space="preserve">ORD-2022-01520</t>
  </si>
  <si>
    <t xml:space="preserve">ORD-2025-06955</t>
  </si>
  <si>
    <t xml:space="preserve">ORD-2022-01379</t>
  </si>
  <si>
    <t xml:space="preserve">ORD-2022-01024</t>
  </si>
  <si>
    <t xml:space="preserve">ORD-2023-02588</t>
  </si>
  <si>
    <t xml:space="preserve">ORD-2024-06195</t>
  </si>
  <si>
    <t xml:space="preserve">ORD-2024-05009</t>
  </si>
  <si>
    <t xml:space="preserve">ORD-2023-02858</t>
  </si>
  <si>
    <t xml:space="preserve">ORD-2025-08959</t>
  </si>
  <si>
    <t xml:space="preserve">ORD-2024-05810</t>
  </si>
  <si>
    <t xml:space="preserve">ORD-2022-01630</t>
  </si>
  <si>
    <t xml:space="preserve">ORD-2024-04889</t>
  </si>
  <si>
    <t xml:space="preserve">ORD-2024-04527</t>
  </si>
  <si>
    <t xml:space="preserve">ORD-2023-03524</t>
  </si>
  <si>
    <t xml:space="preserve">ORD-2024-06311</t>
  </si>
  <si>
    <t xml:space="preserve">ORD-2023-03608</t>
  </si>
  <si>
    <t xml:space="preserve">ORD-2025-08516</t>
  </si>
  <si>
    <t xml:space="preserve">ORD-2022-00235</t>
  </si>
  <si>
    <t xml:space="preserve">ORD-2025-08688</t>
  </si>
  <si>
    <t xml:space="preserve">ORD-2023-03797</t>
  </si>
  <si>
    <t xml:space="preserve">ORD-2024-04119</t>
  </si>
  <si>
    <t xml:space="preserve">ORD-2024-05002</t>
  </si>
  <si>
    <t xml:space="preserve">ORD-2023-03801</t>
  </si>
  <si>
    <t xml:space="preserve">ORD-2025-06770</t>
  </si>
  <si>
    <t xml:space="preserve">ORD-2025-07280</t>
  </si>
  <si>
    <t xml:space="preserve">ORD-2024-05025</t>
  </si>
  <si>
    <t xml:space="preserve">ORD-2023-01949</t>
  </si>
  <si>
    <t xml:space="preserve">ORD-2022-00471</t>
  </si>
  <si>
    <t xml:space="preserve">ORD-2025-07774</t>
  </si>
  <si>
    <t xml:space="preserve">ORD-2023-03493</t>
  </si>
  <si>
    <t xml:space="preserve">ORD-2023-02672</t>
  </si>
  <si>
    <t xml:space="preserve">ORD-2025-08862</t>
  </si>
  <si>
    <t xml:space="preserve">ORD-2023-02225</t>
  </si>
  <si>
    <t xml:space="preserve">ORD-2022-01107</t>
  </si>
  <si>
    <t xml:space="preserve">ORD-2025-08140</t>
  </si>
  <si>
    <t xml:space="preserve">ORD-2022-00819</t>
  </si>
  <si>
    <t xml:space="preserve">ORD-2024-04524</t>
  </si>
  <si>
    <t xml:space="preserve">ORD-2025-07695</t>
  </si>
  <si>
    <t xml:space="preserve">ORD-2025-07612</t>
  </si>
  <si>
    <t xml:space="preserve">ORD-2025-08843</t>
  </si>
  <si>
    <t xml:space="preserve">ORD-2025-08492</t>
  </si>
  <si>
    <t xml:space="preserve">ORD-2022-00889</t>
  </si>
  <si>
    <t xml:space="preserve">ORD-2023-02438</t>
  </si>
  <si>
    <t xml:space="preserve">ORD-2022-00818</t>
  </si>
  <si>
    <t xml:space="preserve">ORD-2025-07229</t>
  </si>
  <si>
    <t xml:space="preserve">ORD-2023-03415</t>
  </si>
  <si>
    <t xml:space="preserve">ORD-2023-02342</t>
  </si>
  <si>
    <t xml:space="preserve">ORD-2025-08108</t>
  </si>
  <si>
    <t xml:space="preserve">ORD-2023-03168</t>
  </si>
  <si>
    <t xml:space="preserve">ORD-2025-08084</t>
  </si>
  <si>
    <t xml:space="preserve">ORD-2025-06514</t>
  </si>
  <si>
    <t xml:space="preserve">ORD-2022-01265</t>
  </si>
  <si>
    <t xml:space="preserve">ORD-2024-05087</t>
  </si>
  <si>
    <t xml:space="preserve">ORD-2024-05195</t>
  </si>
  <si>
    <t xml:space="preserve">ORD-2024-04450</t>
  </si>
  <si>
    <t xml:space="preserve">ORD-2024-04946</t>
  </si>
  <si>
    <t xml:space="preserve">ORD-2024-04046</t>
  </si>
  <si>
    <t xml:space="preserve">ORD-2025-07776</t>
  </si>
  <si>
    <t xml:space="preserve">ORD-2025-06968</t>
  </si>
  <si>
    <t xml:space="preserve">ORD-2022-01229</t>
  </si>
  <si>
    <t xml:space="preserve">ORD-2024-05901</t>
  </si>
  <si>
    <t xml:space="preserve">ORD-2024-05532</t>
  </si>
  <si>
    <t xml:space="preserve">ORD-2024-05142</t>
  </si>
  <si>
    <t xml:space="preserve">ORD-2022-00053</t>
  </si>
  <si>
    <t xml:space="preserve">ORD-2025-07816</t>
  </si>
  <si>
    <t xml:space="preserve">ORD-2025-06986</t>
  </si>
  <si>
    <t xml:space="preserve">ORD-2022-00160</t>
  </si>
  <si>
    <t xml:space="preserve">ORD-2024-06120</t>
  </si>
  <si>
    <t xml:space="preserve">ORD-2022-01588</t>
  </si>
  <si>
    <t xml:space="preserve">ORD-2022-01590</t>
  </si>
  <si>
    <t xml:space="preserve">ORD-2024-05628</t>
  </si>
  <si>
    <t xml:space="preserve">ORD-2024-05358</t>
  </si>
  <si>
    <t xml:space="preserve">ORD-2024-06238</t>
  </si>
  <si>
    <t xml:space="preserve">ORD-2023-03859</t>
  </si>
  <si>
    <t xml:space="preserve">ORD-2025-07898</t>
  </si>
  <si>
    <t xml:space="preserve">ORD-2024-05437</t>
  </si>
  <si>
    <t xml:space="preserve">ORD-2023-02829</t>
  </si>
  <si>
    <t xml:space="preserve">ORD-2022-00437</t>
  </si>
  <si>
    <t xml:space="preserve">ORD-2025-08719</t>
  </si>
  <si>
    <t xml:space="preserve">ORD-2023-03879</t>
  </si>
  <si>
    <t xml:space="preserve">ORD-2022-01589</t>
  </si>
  <si>
    <t xml:space="preserve">ORD-2023-02781</t>
  </si>
  <si>
    <t xml:space="preserve">ORD-2025-08034</t>
  </si>
  <si>
    <t xml:space="preserve">ORD-2025-07291</t>
  </si>
  <si>
    <t xml:space="preserve">ORD-2025-07270</t>
  </si>
  <si>
    <t xml:space="preserve">ORD-2024-04728</t>
  </si>
  <si>
    <t xml:space="preserve">ORD-2022-00974</t>
  </si>
  <si>
    <t xml:space="preserve">ORD-2022-01239</t>
  </si>
  <si>
    <t xml:space="preserve">ORD-2023-02952</t>
  </si>
  <si>
    <t xml:space="preserve">ORD-2023-02343</t>
  </si>
  <si>
    <t xml:space="preserve">ORD-2024-05930</t>
  </si>
  <si>
    <t xml:space="preserve">ORD-2023-02159</t>
  </si>
  <si>
    <t xml:space="preserve">ORD-2025-07404</t>
  </si>
  <si>
    <t xml:space="preserve">ORD-2022-01498</t>
  </si>
  <si>
    <t xml:space="preserve">ORD-2024-04546</t>
  </si>
  <si>
    <t xml:space="preserve">ORD-2024-04258</t>
  </si>
  <si>
    <t xml:space="preserve">ORD-2023-02423</t>
  </si>
  <si>
    <t xml:space="preserve">ORD-2024-05186</t>
  </si>
  <si>
    <t xml:space="preserve">ORD-2022-00358</t>
  </si>
  <si>
    <t xml:space="preserve">ORD-2024-05243</t>
  </si>
  <si>
    <t xml:space="preserve">ORD-2025-06495</t>
  </si>
  <si>
    <t xml:space="preserve">ORD-2025-08348</t>
  </si>
  <si>
    <t xml:space="preserve">ORD-2023-02093</t>
  </si>
  <si>
    <t xml:space="preserve">ORD-2023-02016</t>
  </si>
  <si>
    <t xml:space="preserve">ORD-2025-08167</t>
  </si>
  <si>
    <t xml:space="preserve">ORD-2025-07208</t>
  </si>
  <si>
    <t xml:space="preserve">ORD-2022-00188</t>
  </si>
  <si>
    <t xml:space="preserve">ORD-2024-05864</t>
  </si>
  <si>
    <t xml:space="preserve">ORD-2023-03656</t>
  </si>
  <si>
    <t xml:space="preserve">ORD-2023-03427</t>
  </si>
  <si>
    <t xml:space="preserve">ORD-2024-05837</t>
  </si>
  <si>
    <t xml:space="preserve">ORD-2022-01382</t>
  </si>
  <si>
    <t xml:space="preserve">ORD-2025-07551</t>
  </si>
  <si>
    <t xml:space="preserve">ORD-2022-00414</t>
  </si>
  <si>
    <t xml:space="preserve">ORD-2024-05038</t>
  </si>
  <si>
    <t xml:space="preserve">ORD-2024-04898</t>
  </si>
  <si>
    <t xml:space="preserve">ORD-2023-03337</t>
  </si>
  <si>
    <t xml:space="preserve">ORD-2023-03607</t>
  </si>
  <si>
    <t xml:space="preserve">ORD-2023-03176</t>
  </si>
  <si>
    <t xml:space="preserve">ORD-2025-07202</t>
  </si>
  <si>
    <t xml:space="preserve">ORD-2025-08779</t>
  </si>
  <si>
    <t xml:space="preserve">ORD-2024-06324</t>
  </si>
  <si>
    <t xml:space="preserve">ORD-2022-00257</t>
  </si>
  <si>
    <t xml:space="preserve">ORD-2022-00201</t>
  </si>
  <si>
    <t xml:space="preserve">ORD-2023-02236</t>
  </si>
  <si>
    <t xml:space="preserve">ORD-2024-04744</t>
  </si>
  <si>
    <t xml:space="preserve">ORD-2022-01768</t>
  </si>
  <si>
    <t xml:space="preserve">ORD-2024-04237</t>
  </si>
  <si>
    <t xml:space="preserve">ORD-2025-07074</t>
  </si>
  <si>
    <t xml:space="preserve">ORD-2022-01573</t>
  </si>
  <si>
    <t xml:space="preserve">ORD-2022-00025</t>
  </si>
  <si>
    <t xml:space="preserve">ORD-2025-07987</t>
  </si>
  <si>
    <t xml:space="preserve">ORD-2022-01089</t>
  </si>
  <si>
    <t xml:space="preserve">ORD-2024-04675</t>
  </si>
  <si>
    <t xml:space="preserve">ORD-2023-02695</t>
  </si>
  <si>
    <t xml:space="preserve">ORD-2024-06149</t>
  </si>
  <si>
    <t xml:space="preserve">ORD-2023-03399</t>
  </si>
  <si>
    <t xml:space="preserve">ORD-2023-03560</t>
  </si>
  <si>
    <t xml:space="preserve">ORD-2025-08271</t>
  </si>
  <si>
    <t xml:space="preserve">ORD-2023-02842</t>
  </si>
  <si>
    <t xml:space="preserve">ORD-2023-02312</t>
  </si>
  <si>
    <t xml:space="preserve">ORD-2025-08413</t>
  </si>
  <si>
    <t xml:space="preserve">ORD-2023-03235</t>
  </si>
  <si>
    <t xml:space="preserve">ORD-2024-04153</t>
  </si>
  <si>
    <t xml:space="preserve">ORD-2022-01310</t>
  </si>
  <si>
    <t xml:space="preserve">ORD-2022-00696</t>
  </si>
  <si>
    <t xml:space="preserve">ORD-2024-05420</t>
  </si>
  <si>
    <t xml:space="preserve">ORD-2023-03753</t>
  </si>
  <si>
    <t xml:space="preserve">ORD-2022-01228</t>
  </si>
  <si>
    <t xml:space="preserve">ORD-2023-02000</t>
  </si>
  <si>
    <t xml:space="preserve">ORD-2022-00277</t>
  </si>
  <si>
    <t xml:space="preserve">ORD-2024-05497</t>
  </si>
  <si>
    <t xml:space="preserve">ORD-2024-05748</t>
  </si>
  <si>
    <t xml:space="preserve">ORD-2025-07828</t>
  </si>
  <si>
    <t xml:space="preserve">ORD-2023-03638</t>
  </si>
  <si>
    <t xml:space="preserve">ORD-2025-06701</t>
  </si>
  <si>
    <t xml:space="preserve">ORD-2024-04779</t>
  </si>
  <si>
    <t xml:space="preserve">ORD-2025-08770</t>
  </si>
  <si>
    <t xml:space="preserve">ORD-2024-04118</t>
  </si>
  <si>
    <t xml:space="preserve">ORD-2024-05709</t>
  </si>
  <si>
    <t xml:space="preserve">ORD-2022-01138</t>
  </si>
  <si>
    <t xml:space="preserve">ORD-2023-02768</t>
  </si>
  <si>
    <t xml:space="preserve">ORD-2025-06640</t>
  </si>
  <si>
    <t xml:space="preserve">ORD-2024-06249</t>
  </si>
  <si>
    <t xml:space="preserve">ORD-2022-00943</t>
  </si>
  <si>
    <t xml:space="preserve">ORD-2024-06215</t>
  </si>
  <si>
    <t xml:space="preserve">ORD-2025-07965</t>
  </si>
  <si>
    <t xml:space="preserve">ORD-2024-04936</t>
  </si>
  <si>
    <t xml:space="preserve">ORD-2023-03936</t>
  </si>
  <si>
    <t xml:space="preserve">ORD-2024-05650</t>
  </si>
  <si>
    <t xml:space="preserve">ORD-2023-02385</t>
  </si>
  <si>
    <t xml:space="preserve">ORD-2022-00116</t>
  </si>
  <si>
    <t xml:space="preserve">ORD-2025-06915</t>
  </si>
  <si>
    <t xml:space="preserve">ORD-2023-03120</t>
  </si>
  <si>
    <t xml:space="preserve">ORD-2024-04259</t>
  </si>
  <si>
    <t xml:space="preserve">ORD-2025-08066</t>
  </si>
  <si>
    <t xml:space="preserve">ORD-2025-07117</t>
  </si>
  <si>
    <t xml:space="preserve">ORD-2023-02820</t>
  </si>
  <si>
    <t xml:space="preserve">ORD-2023-03823</t>
  </si>
  <si>
    <t xml:space="preserve">ORD-2025-08777</t>
  </si>
  <si>
    <t xml:space="preserve">ORD-2024-04700</t>
  </si>
  <si>
    <t xml:space="preserve">ORD-2025-07920</t>
  </si>
  <si>
    <t xml:space="preserve">ORD-2023-03803</t>
  </si>
  <si>
    <t xml:space="preserve">ORD-2023-03537</t>
  </si>
  <si>
    <t xml:space="preserve">ORD-2023-03826</t>
  </si>
  <si>
    <t xml:space="preserve">ORD-2025-07443</t>
  </si>
  <si>
    <t xml:space="preserve">ORD-2025-07375</t>
  </si>
  <si>
    <t xml:space="preserve">ORD-2024-04811</t>
  </si>
  <si>
    <t xml:space="preserve">ORD-2023-01947</t>
  </si>
  <si>
    <t xml:space="preserve">ORD-2024-06363</t>
  </si>
  <si>
    <t xml:space="preserve">ORD-2024-05795</t>
  </si>
  <si>
    <t xml:space="preserve">ORD-2024-05336</t>
  </si>
  <si>
    <t xml:space="preserve">ORD-2023-03489</t>
  </si>
  <si>
    <t xml:space="preserve">ORD-2022-01611</t>
  </si>
  <si>
    <t xml:space="preserve">ORD-2024-06041</t>
  </si>
  <si>
    <t xml:space="preserve">ORD-2025-08103</t>
  </si>
  <si>
    <t xml:space="preserve">ORD-2024-04678</t>
  </si>
  <si>
    <t xml:space="preserve">ORD-2024-04960</t>
  </si>
  <si>
    <t xml:space="preserve">ORD-2025-08326</t>
  </si>
  <si>
    <t xml:space="preserve">ORD-2024-04762</t>
  </si>
  <si>
    <t xml:space="preserve">ORD-2023-02195</t>
  </si>
  <si>
    <t xml:space="preserve">ORD-2025-06487</t>
  </si>
  <si>
    <t xml:space="preserve">ORD-2024-05114</t>
  </si>
  <si>
    <t xml:space="preserve">ORD-2022-00558</t>
  </si>
  <si>
    <t xml:space="preserve">ORD-2025-06536</t>
  </si>
  <si>
    <t xml:space="preserve">ORD-2025-07546</t>
  </si>
  <si>
    <t xml:space="preserve">ORD-2022-01208</t>
  </si>
  <si>
    <t xml:space="preserve">ORD-2024-05712</t>
  </si>
  <si>
    <t xml:space="preserve">ORD-2024-05929</t>
  </si>
  <si>
    <t xml:space="preserve">ORD-2022-01511</t>
  </si>
  <si>
    <t xml:space="preserve">ORD-2023-03830</t>
  </si>
  <si>
    <t xml:space="preserve">ORD-2023-03733</t>
  </si>
  <si>
    <t xml:space="preserve">ORD-2025-06454</t>
  </si>
  <si>
    <t xml:space="preserve">ORD-2023-03212</t>
  </si>
  <si>
    <t xml:space="preserve">ORD-2023-03631</t>
  </si>
  <si>
    <t xml:space="preserve">ORD-2025-06759</t>
  </si>
  <si>
    <t xml:space="preserve">ORD-2025-06815</t>
  </si>
  <si>
    <t xml:space="preserve">ORD-2022-00267</t>
  </si>
  <si>
    <t xml:space="preserve">ORD-2022-01141</t>
  </si>
  <si>
    <t xml:space="preserve">ORD-2023-03163</t>
  </si>
  <si>
    <t xml:space="preserve">ORD-2025-07034</t>
  </si>
  <si>
    <t xml:space="preserve">ORD-2023-03731</t>
  </si>
  <si>
    <t xml:space="preserve">ORD-2023-01910</t>
  </si>
  <si>
    <t xml:space="preserve">ORD-2025-08377</t>
  </si>
  <si>
    <t xml:space="preserve">ORD-2023-02661</t>
  </si>
  <si>
    <t xml:space="preserve">ORD-2022-00657</t>
  </si>
  <si>
    <t xml:space="preserve">ORD-2025-07114</t>
  </si>
  <si>
    <t xml:space="preserve">ORD-2024-06352</t>
  </si>
  <si>
    <t xml:space="preserve">ORD-2022-00999</t>
  </si>
  <si>
    <t xml:space="preserve">ORD-2025-06681</t>
  </si>
  <si>
    <t xml:space="preserve">ORD-2023-02835</t>
  </si>
  <si>
    <t xml:space="preserve">ORD-2025-08288</t>
  </si>
  <si>
    <t xml:space="preserve">ORD-2022-01238</t>
  </si>
  <si>
    <t xml:space="preserve">ORD-2023-02152</t>
  </si>
  <si>
    <t xml:space="preserve">ORD-2025-06422</t>
  </si>
  <si>
    <t xml:space="preserve">ORD-2025-08230</t>
  </si>
  <si>
    <t xml:space="preserve">ORD-2024-05092</t>
  </si>
  <si>
    <t xml:space="preserve">ORD-2023-02187</t>
  </si>
  <si>
    <t xml:space="preserve">ORD-2022-01135</t>
  </si>
  <si>
    <t xml:space="preserve">ORD-2024-05005</t>
  </si>
  <si>
    <t xml:space="preserve">ORD-2022-01304</t>
  </si>
  <si>
    <t xml:space="preserve">ORD-2022-01628</t>
  </si>
  <si>
    <t xml:space="preserve">ORD-2025-06376</t>
  </si>
  <si>
    <t xml:space="preserve">ORD-2022-01523</t>
  </si>
  <si>
    <t xml:space="preserve">ORD-2025-08871</t>
  </si>
  <si>
    <t xml:space="preserve">ORD-2022-00359</t>
  </si>
  <si>
    <t xml:space="preserve">ORD-2022-00139</t>
  </si>
  <si>
    <t xml:space="preserve">ORD-2022-00300</t>
  </si>
  <si>
    <t xml:space="preserve">ORD-2022-01557</t>
  </si>
  <si>
    <t xml:space="preserve">ORD-2024-05100</t>
  </si>
  <si>
    <t xml:space="preserve">ORD-2022-00383</t>
  </si>
  <si>
    <t xml:space="preserve">ORD-2025-06847</t>
  </si>
  <si>
    <t xml:space="preserve">ORD-2024-05643</t>
  </si>
  <si>
    <t xml:space="preserve">ORD-2024-04858</t>
  </si>
  <si>
    <t xml:space="preserve">ORD-2025-07863</t>
  </si>
  <si>
    <t xml:space="preserve">ORD-2025-07181</t>
  </si>
  <si>
    <t xml:space="preserve">ORD-2025-07223</t>
  </si>
  <si>
    <t xml:space="preserve">ORD-2025-07994</t>
  </si>
  <si>
    <t xml:space="preserve">ORD-2025-06824</t>
  </si>
  <si>
    <t xml:space="preserve">ORD-2024-05745</t>
  </si>
  <si>
    <t xml:space="preserve">ORD-2025-08850</t>
  </si>
  <si>
    <t xml:space="preserve">ORD-2023-02722</t>
  </si>
  <si>
    <t xml:space="preserve">ORD-2023-01933</t>
  </si>
  <si>
    <t xml:space="preserve">ORD-2025-06797</t>
  </si>
  <si>
    <t xml:space="preserve">ORD-2023-03237</t>
  </si>
  <si>
    <t xml:space="preserve">ORD-2023-03141</t>
  </si>
  <si>
    <t xml:space="preserve">ORD-2024-04164</t>
  </si>
  <si>
    <t xml:space="preserve">ORD-2025-08982</t>
  </si>
  <si>
    <t xml:space="preserve">ORD-2023-03808</t>
  </si>
  <si>
    <t xml:space="preserve">ORD-2025-08567</t>
  </si>
  <si>
    <t xml:space="preserve">ORD-2024-05671</t>
  </si>
  <si>
    <t xml:space="preserve">ORD-2024-04155</t>
  </si>
  <si>
    <t xml:space="preserve">ORD-2024-04173</t>
  </si>
  <si>
    <t xml:space="preserve">ORD-2022-00797</t>
  </si>
  <si>
    <t xml:space="preserve">ORD-2023-02417</t>
  </si>
  <si>
    <t xml:space="preserve">ORD-2022-00786</t>
  </si>
  <si>
    <t xml:space="preserve">ORD-2023-03159</t>
  </si>
  <si>
    <t xml:space="preserve">ORD-2022-00124</t>
  </si>
  <si>
    <t xml:space="preserve">ORD-2023-02173</t>
  </si>
  <si>
    <t xml:space="preserve">ORD-2025-07146</t>
  </si>
  <si>
    <t xml:space="preserve">ORD-2025-07085</t>
  </si>
  <si>
    <t xml:space="preserve">ORD-2025-08402</t>
  </si>
  <si>
    <t xml:space="preserve">ORD-2024-04341</t>
  </si>
  <si>
    <t xml:space="preserve">ORD-2022-00911</t>
  </si>
  <si>
    <t xml:space="preserve">ORD-2023-02310</t>
  </si>
  <si>
    <t xml:space="preserve">ORD-2025-08731</t>
  </si>
  <si>
    <t xml:space="preserve">ORD-2023-03635</t>
  </si>
  <si>
    <t xml:space="preserve">ORD-2022-01258</t>
  </si>
  <si>
    <t xml:space="preserve">ORD-2024-04459</t>
  </si>
  <si>
    <t xml:space="preserve">ORD-2022-01179</t>
  </si>
  <si>
    <t xml:space="preserve">ORD-2024-04653</t>
  </si>
  <si>
    <t xml:space="preserve">ORD-2023-03651</t>
  </si>
  <si>
    <t xml:space="preserve">ORD-2022-00443</t>
  </si>
  <si>
    <t xml:space="preserve">ORD-2025-08880</t>
  </si>
  <si>
    <t xml:space="preserve">ORD-2022-01400</t>
  </si>
  <si>
    <t xml:space="preserve">ORD-2022-01458</t>
  </si>
  <si>
    <t xml:space="preserve">ORD-2025-07598</t>
  </si>
  <si>
    <t xml:space="preserve">ORD-2022-01055</t>
  </si>
  <si>
    <t xml:space="preserve">ORD-2025-07317</t>
  </si>
  <si>
    <t xml:space="preserve">ORD-2023-03276</t>
  </si>
  <si>
    <t xml:space="preserve">ORD-2025-07582</t>
  </si>
  <si>
    <t xml:space="preserve">ORD-2023-03700</t>
  </si>
  <si>
    <t xml:space="preserve">ORD-2023-03760</t>
  </si>
  <si>
    <t xml:space="preserve">ORD-2022-00930</t>
  </si>
  <si>
    <t xml:space="preserve">ORD-2025-07008</t>
  </si>
  <si>
    <t xml:space="preserve">ORD-2022-01830</t>
  </si>
  <si>
    <t xml:space="preserve">ORD-2023-02929</t>
  </si>
  <si>
    <t xml:space="preserve">ORD-2024-05634</t>
  </si>
  <si>
    <t xml:space="preserve">ORD-2024-04222</t>
  </si>
  <si>
    <t xml:space="preserve">ORD-2023-03547</t>
  </si>
  <si>
    <t xml:space="preserve">ORD-2025-07954</t>
  </si>
  <si>
    <t xml:space="preserve">ORD-2025-06581</t>
  </si>
  <si>
    <t xml:space="preserve">ORD-2023-02012</t>
  </si>
  <si>
    <t xml:space="preserve">ORD-2025-07494</t>
  </si>
  <si>
    <t xml:space="preserve">ORD-2025-07226</t>
  </si>
  <si>
    <t xml:space="preserve">ORD-2023-03220</t>
  </si>
  <si>
    <t xml:space="preserve">ORD-2023-02607</t>
  </si>
  <si>
    <t xml:space="preserve">ORD-2023-03265</t>
  </si>
  <si>
    <t xml:space="preserve">ORD-2024-04929</t>
  </si>
  <si>
    <t xml:space="preserve">ORD-2025-07475</t>
  </si>
  <si>
    <t xml:space="preserve">ORD-2025-06584</t>
  </si>
  <si>
    <t xml:space="preserve">ORD-2022-00007</t>
  </si>
  <si>
    <t xml:space="preserve">ORD-2023-02981</t>
  </si>
  <si>
    <t xml:space="preserve">ORD-2023-03362</t>
  </si>
  <si>
    <t xml:space="preserve">ORD-2024-04775</t>
  </si>
  <si>
    <t xml:space="preserve">ORD-2023-01944</t>
  </si>
  <si>
    <t xml:space="preserve">ORD-2024-06033</t>
  </si>
  <si>
    <t xml:space="preserve">ORD-2024-05500</t>
  </si>
  <si>
    <t xml:space="preserve">ORD-2022-01636</t>
  </si>
  <si>
    <t xml:space="preserve">ORD-2022-01142</t>
  </si>
  <si>
    <t xml:space="preserve">ORD-2025-07590</t>
  </si>
  <si>
    <t xml:space="preserve">ORD-2024-06342</t>
  </si>
  <si>
    <t xml:space="preserve">ORD-2023-02071</t>
  </si>
  <si>
    <t xml:space="preserve">ORD-2023-03135</t>
  </si>
  <si>
    <t xml:space="preserve">ORD-2024-05161</t>
  </si>
  <si>
    <t xml:space="preserve">ORD-2025-08652</t>
  </si>
  <si>
    <t xml:space="preserve">ORD-2025-06790</t>
  </si>
  <si>
    <t xml:space="preserve">ORD-2023-02243</t>
  </si>
  <si>
    <t xml:space="preserve">ORD-2022-01475</t>
  </si>
  <si>
    <t xml:space="preserve">ORD-2025-07338</t>
  </si>
  <si>
    <t xml:space="preserve">ORD-2023-01890</t>
  </si>
  <si>
    <t xml:space="preserve">ORD-2023-03436</t>
  </si>
  <si>
    <t xml:space="preserve">ORD-2025-08175</t>
  </si>
  <si>
    <t xml:space="preserve">ORD-2024-06240</t>
  </si>
  <si>
    <t xml:space="preserve">ORD-2023-03706</t>
  </si>
  <si>
    <t xml:space="preserve">ORD-2023-02022</t>
  </si>
  <si>
    <t xml:space="preserve">ORD-2024-04021</t>
  </si>
  <si>
    <t xml:space="preserve">ORD-2025-07768</t>
  </si>
  <si>
    <t xml:space="preserve">ORD-2025-07609</t>
  </si>
  <si>
    <t xml:space="preserve">ORD-2023-02659</t>
  </si>
  <si>
    <t xml:space="preserve">ORD-2022-01131</t>
  </si>
  <si>
    <t xml:space="preserve">ORD-2024-05964</t>
  </si>
  <si>
    <t xml:space="preserve">ORD-2022-01820</t>
  </si>
  <si>
    <t xml:space="preserve">ORD-2024-06063</t>
  </si>
  <si>
    <t xml:space="preserve">ORD-2024-04319</t>
  </si>
  <si>
    <t xml:space="preserve">ORD-2025-08682</t>
  </si>
  <si>
    <t xml:space="preserve">ORD-2024-04145</t>
  </si>
  <si>
    <t xml:space="preserve">ORD-2024-04670</t>
  </si>
  <si>
    <t xml:space="preserve">ORD-2022-01237</t>
  </si>
  <si>
    <t xml:space="preserve">ORD-2024-05477</t>
  </si>
  <si>
    <t xml:space="preserve">ORD-2025-08897</t>
  </si>
  <si>
    <t xml:space="preserve">ORD-2023-01857</t>
  </si>
  <si>
    <t xml:space="preserve">ORD-2023-02283</t>
  </si>
  <si>
    <t xml:space="preserve">ORD-2025-06716</t>
  </si>
  <si>
    <t xml:space="preserve">ORD-2025-08424</t>
  </si>
  <si>
    <t xml:space="preserve">ORD-2024-04094</t>
  </si>
  <si>
    <t xml:space="preserve">ORD-2024-05736</t>
  </si>
  <si>
    <t xml:space="preserve">ORD-2024-05201</t>
  </si>
  <si>
    <t xml:space="preserve">ORD-2023-03422</t>
  </si>
  <si>
    <t xml:space="preserve">ORD-2022-00387</t>
  </si>
  <si>
    <t xml:space="preserve">ORD-2022-01629</t>
  </si>
  <si>
    <t xml:space="preserve">ORD-2023-03586</t>
  </si>
  <si>
    <t xml:space="preserve">ORD-2024-06005</t>
  </si>
  <si>
    <t xml:space="preserve">ORD-2023-02715</t>
  </si>
  <si>
    <t xml:space="preserve">ORD-2024-05820</t>
  </si>
  <si>
    <t xml:space="preserve">ORD-2025-07046</t>
  </si>
  <si>
    <t xml:space="preserve">ORD-2025-08425</t>
  </si>
  <si>
    <t xml:space="preserve">ORD-2023-03190</t>
  </si>
  <si>
    <t xml:space="preserve">ORD-2024-04306</t>
  </si>
  <si>
    <t xml:space="preserve">ORD-2022-00910</t>
  </si>
  <si>
    <t xml:space="preserve">ORD-2024-05386</t>
  </si>
  <si>
    <t xml:space="preserve">ORD-2025-07470</t>
  </si>
  <si>
    <t xml:space="preserve">ORD-2023-01867</t>
  </si>
  <si>
    <t xml:space="preserve">ORD-2023-01843</t>
  </si>
  <si>
    <t xml:space="preserve">ORD-2023-02498</t>
  </si>
  <si>
    <t xml:space="preserve">ORD-2025-08585</t>
  </si>
  <si>
    <t xml:space="preserve">ORD-2025-06410</t>
  </si>
  <si>
    <t xml:space="preserve">ORD-2024-06265</t>
  </si>
  <si>
    <t xml:space="preserve">ORD-2024-05055</t>
  </si>
  <si>
    <t xml:space="preserve">ORD-2024-04007</t>
  </si>
  <si>
    <t xml:space="preserve">ORD-2023-02703</t>
  </si>
  <si>
    <t xml:space="preserve">ORD-2025-08116</t>
  </si>
  <si>
    <t xml:space="preserve">ORD-2022-00332</t>
  </si>
  <si>
    <t xml:space="preserve">ORD-2025-07848</t>
  </si>
  <si>
    <t xml:space="preserve">ORD-2025-07998</t>
  </si>
  <si>
    <t xml:space="preserve">ORD-2025-06612</t>
  </si>
  <si>
    <t xml:space="preserve">ORD-2024-05825</t>
  </si>
  <si>
    <t xml:space="preserve">ORD-2023-02460</t>
  </si>
  <si>
    <t xml:space="preserve">ORD-2022-01775</t>
  </si>
  <si>
    <t xml:space="preserve">ORD-2024-06161</t>
  </si>
  <si>
    <t xml:space="preserve">ORD-2025-06474</t>
  </si>
  <si>
    <t xml:space="preserve">ORD-2023-02687</t>
  </si>
  <si>
    <t xml:space="preserve">ORD-2025-08262</t>
  </si>
  <si>
    <t xml:space="preserve">ORD-2025-08023</t>
  </si>
  <si>
    <t xml:space="preserve">ORD-2025-08471</t>
  </si>
  <si>
    <t xml:space="preserve">ORD-2025-06901</t>
  </si>
  <si>
    <t xml:space="preserve">ORD-2025-07268</t>
  </si>
  <si>
    <t xml:space="preserve">ORD-2025-07611</t>
  </si>
  <si>
    <t xml:space="preserve">ORD-2025-07550</t>
  </si>
  <si>
    <t xml:space="preserve">ORD-2025-08551</t>
  </si>
  <si>
    <t xml:space="preserve">ORD-2025-07436</t>
  </si>
  <si>
    <t xml:space="preserve">ORD-2024-05463</t>
  </si>
  <si>
    <t xml:space="preserve">ORD-2022-00174</t>
  </si>
  <si>
    <t xml:space="preserve">ORD-2025-08374</t>
  </si>
  <si>
    <t xml:space="preserve">ORD-2024-04616</t>
  </si>
  <si>
    <t xml:space="preserve">ORD-2023-03322</t>
  </si>
  <si>
    <t xml:space="preserve">ORD-2024-05738</t>
  </si>
  <si>
    <t xml:space="preserve">ORD-2023-03373</t>
  </si>
  <si>
    <t xml:space="preserve">ORD-2023-03312</t>
  </si>
  <si>
    <t xml:space="preserve">ORD-2025-06648</t>
  </si>
  <si>
    <t xml:space="preserve">ORD-2025-07447</t>
  </si>
  <si>
    <t xml:space="preserve">ORD-2025-07741</t>
  </si>
  <si>
    <t xml:space="preserve">ORD-2025-06609</t>
  </si>
  <si>
    <t xml:space="preserve">ORD-2024-04680</t>
  </si>
  <si>
    <t xml:space="preserve">ORD-2023-03404</t>
  </si>
  <si>
    <t xml:space="preserve">ORD-2022-00019</t>
  </si>
  <si>
    <t xml:space="preserve">ORD-2023-03692</t>
  </si>
  <si>
    <t xml:space="preserve">ORD-2025-07463</t>
  </si>
  <si>
    <t xml:space="preserve">ORD-2024-04097</t>
  </si>
  <si>
    <t xml:space="preserve">ORD-2023-03629</t>
  </si>
  <si>
    <t xml:space="preserve">ORD-2025-07820</t>
  </si>
  <si>
    <t xml:space="preserve">ORD-2023-02175</t>
  </si>
  <si>
    <t xml:space="preserve">ORD-2022-01357</t>
  </si>
  <si>
    <t xml:space="preserve">ORD-2024-05003</t>
  </si>
  <si>
    <t xml:space="preserve">ORD-2025-08445</t>
  </si>
  <si>
    <t xml:space="preserve">ORD-2025-08590</t>
  </si>
  <si>
    <t xml:space="preserve">ORD-2023-03113</t>
  </si>
  <si>
    <t xml:space="preserve">ORD-2022-00183</t>
  </si>
  <si>
    <t xml:space="preserve">ORD-2025-08473</t>
  </si>
  <si>
    <t xml:space="preserve">ORD-2025-07813</t>
  </si>
  <si>
    <t xml:space="preserve">ORD-2022-01813</t>
  </si>
  <si>
    <t xml:space="preserve">ORD-2025-06727</t>
  </si>
  <si>
    <t xml:space="preserve">ORD-2025-07056</t>
  </si>
  <si>
    <t xml:space="preserve">ORD-2024-04913</t>
  </si>
  <si>
    <t xml:space="preserve">ORD-2025-07257</t>
  </si>
  <si>
    <t xml:space="preserve">ORD-2022-01801</t>
  </si>
  <si>
    <t xml:space="preserve">ORD-2023-02430</t>
  </si>
  <si>
    <t xml:space="preserve">ORD-2024-05483</t>
  </si>
  <si>
    <t xml:space="preserve">ORD-2025-07627</t>
  </si>
  <si>
    <t xml:space="preserve">ORD-2025-06912</t>
  </si>
  <si>
    <t xml:space="preserve">ORD-2023-01969</t>
  </si>
  <si>
    <t xml:space="preserve">ORD-2025-08182</t>
  </si>
  <si>
    <t xml:space="preserve">ORD-2025-06593</t>
  </si>
  <si>
    <t xml:space="preserve">ORD-2024-06110</t>
  </si>
  <si>
    <t xml:space="preserve">ORD-2024-04988</t>
  </si>
  <si>
    <t xml:space="preserve">ORD-2025-08821</t>
  </si>
  <si>
    <t xml:space="preserve">ORD-2024-04651</t>
  </si>
  <si>
    <t xml:space="preserve">ORD-2022-01160</t>
  </si>
  <si>
    <t xml:space="preserve">ORD-2022-01214</t>
  </si>
  <si>
    <t xml:space="preserve">ORD-2024-05951</t>
  </si>
  <si>
    <t xml:space="preserve">ORD-2022-01326</t>
  </si>
  <si>
    <t xml:space="preserve">ORD-2024-06085</t>
  </si>
  <si>
    <t xml:space="preserve">ORD-2024-06147</t>
  </si>
  <si>
    <t xml:space="preserve">ORD-2024-04797</t>
  </si>
  <si>
    <t xml:space="preserve">ORD-2022-01456</t>
  </si>
  <si>
    <t xml:space="preserve">ORD-2024-05411</t>
  </si>
  <si>
    <t xml:space="preserve">ORD-2025-07096</t>
  </si>
  <si>
    <t xml:space="preserve">ORD-2025-07032</t>
  </si>
  <si>
    <t xml:space="preserve">ORD-2024-04963</t>
  </si>
  <si>
    <t xml:space="preserve">ORD-2025-07558</t>
  </si>
  <si>
    <t xml:space="preserve">ORD-2022-01645</t>
  </si>
  <si>
    <t xml:space="preserve">ORD-2023-02141</t>
  </si>
  <si>
    <t xml:space="preserve">ORD-2024-04537</t>
  </si>
  <si>
    <t xml:space="preserve">ORD-2024-04458</t>
  </si>
  <si>
    <t xml:space="preserve">ORD-2025-07981</t>
  </si>
  <si>
    <t xml:space="preserve">ORD-2024-05587</t>
  </si>
  <si>
    <t xml:space="preserve">ORD-2024-04379</t>
  </si>
  <si>
    <t xml:space="preserve">ORD-2022-00730</t>
  </si>
  <si>
    <t xml:space="preserve">ORD-2024-04358</t>
  </si>
  <si>
    <t xml:space="preserve">ORD-2024-06350</t>
  </si>
  <si>
    <t xml:space="preserve">ORD-2023-01937</t>
  </si>
  <si>
    <t xml:space="preserve">ORD-2023-03794</t>
  </si>
  <si>
    <t xml:space="preserve">ORD-2023-03737</t>
  </si>
  <si>
    <t xml:space="preserve">ORD-2023-02262</t>
  </si>
  <si>
    <t xml:space="preserve">ORD-2025-07132</t>
  </si>
  <si>
    <t xml:space="preserve">ORD-2022-01111</t>
  </si>
  <si>
    <t xml:space="preserve">ORD-2025-08026</t>
  </si>
  <si>
    <t xml:space="preserve">ORD-2024-05481</t>
  </si>
  <si>
    <t xml:space="preserve">ORD-2023-02999</t>
  </si>
  <si>
    <t xml:space="preserve">ORD-2023-02395</t>
  </si>
  <si>
    <t xml:space="preserve">ORD-2022-01186</t>
  </si>
  <si>
    <t xml:space="preserve">ORD-2023-02008</t>
  </si>
  <si>
    <t xml:space="preserve">ORD-2022-00194</t>
  </si>
  <si>
    <t xml:space="preserve">ORD-2024-05612</t>
  </si>
  <si>
    <t xml:space="preserve">ORD-2025-08980</t>
  </si>
  <si>
    <t xml:space="preserve">ORD-2022-00579</t>
  </si>
  <si>
    <t xml:space="preserve">ORD-2024-05526</t>
  </si>
  <si>
    <t xml:space="preserve">ORD-2022-00772</t>
  </si>
  <si>
    <t xml:space="preserve">ORD-2023-02396</t>
  </si>
  <si>
    <t xml:space="preserve">ORD-2022-01479</t>
  </si>
  <si>
    <t xml:space="preserve">ORD-2023-01847</t>
  </si>
  <si>
    <t xml:space="preserve">ORD-2025-08998</t>
  </si>
  <si>
    <t xml:space="preserve">ORD-2024-04275</t>
  </si>
  <si>
    <t xml:space="preserve">ORD-2023-03741</t>
  </si>
  <si>
    <t xml:space="preserve">ORD-2024-04601</t>
  </si>
  <si>
    <t xml:space="preserve">ORD-2024-06349</t>
  </si>
  <si>
    <t xml:space="preserve">ORD-2025-06580</t>
  </si>
  <si>
    <t xml:space="preserve">ORD-2024-04916</t>
  </si>
  <si>
    <t xml:space="preserve">ORD-2023-02074</t>
  </si>
  <si>
    <t xml:space="preserve">ORD-2024-04755</t>
  </si>
  <si>
    <t xml:space="preserve">ORD-2023-01897</t>
  </si>
  <si>
    <t xml:space="preserve">ORD-2025-07276</t>
  </si>
  <si>
    <t xml:space="preserve">ORD-2023-03660</t>
  </si>
  <si>
    <t xml:space="preserve">ORD-2023-02380</t>
  </si>
  <si>
    <t xml:space="preserve">ORD-2022-01448</t>
  </si>
  <si>
    <t xml:space="preserve">ORD-2022-00343</t>
  </si>
  <si>
    <t xml:space="preserve">ORD-2024-05128</t>
  </si>
  <si>
    <t xml:space="preserve">ORD-2023-03137</t>
  </si>
  <si>
    <t xml:space="preserve">ORD-2023-02528</t>
  </si>
  <si>
    <t xml:space="preserve">ORD-2022-00728</t>
  </si>
  <si>
    <t xml:space="preserve">ORD-2024-04578</t>
  </si>
  <si>
    <t xml:space="preserve">ORD-2022-00977</t>
  </si>
  <si>
    <t xml:space="preserve">ORD-2025-06977</t>
  </si>
  <si>
    <t xml:space="preserve">ORD-2025-08126</t>
  </si>
  <si>
    <t xml:space="preserve">ORD-2023-03517</t>
  </si>
  <si>
    <t xml:space="preserve">ORD-2025-06467</t>
  </si>
  <si>
    <t xml:space="preserve">ORD-2025-08851</t>
  </si>
  <si>
    <t xml:space="preserve">ORD-2023-03941</t>
  </si>
  <si>
    <t xml:space="preserve">ORD-2022-01300</t>
  </si>
  <si>
    <t xml:space="preserve">ORD-2025-08829</t>
  </si>
  <si>
    <t xml:space="preserve">ORD-2022-01349</t>
  </si>
  <si>
    <t xml:space="preserve">ORD-2022-00661</t>
  </si>
  <si>
    <t xml:space="preserve">ORD-2022-01493</t>
  </si>
  <si>
    <t xml:space="preserve">ORD-2025-06663</t>
  </si>
  <si>
    <t xml:space="preserve">ORD-2025-06885</t>
  </si>
  <si>
    <t xml:space="preserve">ORD-2025-07232</t>
  </si>
  <si>
    <t xml:space="preserve">ORD-2024-05155</t>
  </si>
  <si>
    <t xml:space="preserve">ORD-2023-02316</t>
  </si>
  <si>
    <t xml:space="preserve">ORD-2025-08690</t>
  </si>
  <si>
    <t xml:space="preserve">ORD-2025-08657</t>
  </si>
  <si>
    <t xml:space="preserve">ORD-2022-01086</t>
  </si>
  <si>
    <t xml:space="preserve">ORD-2023-02525</t>
  </si>
  <si>
    <t xml:space="preserve">ORD-2025-08135</t>
  </si>
  <si>
    <t xml:space="preserve">ORD-2024-05375</t>
  </si>
  <si>
    <t xml:space="preserve">ORD-2023-03199</t>
  </si>
  <si>
    <t xml:space="preserve">ORD-2025-06699</t>
  </si>
  <si>
    <t xml:space="preserve">ORD-2024-05718</t>
  </si>
  <si>
    <t xml:space="preserve">ORD-2025-08160</t>
  </si>
  <si>
    <t xml:space="preserve">ORD-2022-00068</t>
  </si>
  <si>
    <t xml:space="preserve">ORD-2025-07852</t>
  </si>
  <si>
    <t xml:space="preserve">ORD-2023-02270</t>
  </si>
  <si>
    <t xml:space="preserve">ORD-2025-06985</t>
  </si>
  <si>
    <t xml:space="preserve">ORD-2024-05954</t>
  </si>
  <si>
    <t xml:space="preserve">ORD-2025-07781</t>
  </si>
  <si>
    <t xml:space="preserve">ORD-2024-04917</t>
  </si>
  <si>
    <t xml:space="preserve">ORD-2024-05323</t>
  </si>
  <si>
    <t xml:space="preserve">ORD-2023-03448</t>
  </si>
  <si>
    <t xml:space="preserve">ORD-2023-02368</t>
  </si>
  <si>
    <t xml:space="preserve">ORD-2024-05870</t>
  </si>
  <si>
    <t xml:space="preserve">ORD-2025-06614</t>
  </si>
  <si>
    <t xml:space="preserve">ORD-2023-02513</t>
  </si>
  <si>
    <t xml:space="preserve">ORD-2023-02724</t>
  </si>
  <si>
    <t xml:space="preserve">ORD-2025-08295</t>
  </si>
  <si>
    <t xml:space="preserve">ORD-2025-07537</t>
  </si>
  <si>
    <t xml:space="preserve">ORD-2022-01144</t>
  </si>
  <si>
    <t xml:space="preserve">ORD-2025-08802</t>
  </si>
  <si>
    <t xml:space="preserve">ORD-2024-05863</t>
  </si>
  <si>
    <t xml:space="preserve">ORD-2025-08693</t>
  </si>
  <si>
    <t xml:space="preserve">ORD-2025-08329</t>
  </si>
  <si>
    <t xml:space="preserve">ORD-2024-04729</t>
  </si>
  <si>
    <t xml:space="preserve">ORD-2024-05495</t>
  </si>
  <si>
    <t xml:space="preserve">ORD-2024-05756</t>
  </si>
  <si>
    <t xml:space="preserve">ORD-2024-06130</t>
  </si>
  <si>
    <t xml:space="preserve">ORD-2023-03790</t>
  </si>
  <si>
    <t xml:space="preserve">ORD-2023-02221</t>
  </si>
  <si>
    <t xml:space="preserve">ORD-2024-05076</t>
  </si>
  <si>
    <t xml:space="preserve">ORD-2023-02332</t>
  </si>
  <si>
    <t xml:space="preserve">ORD-2024-05395</t>
  </si>
  <si>
    <t xml:space="preserve">ORD-2025-08115</t>
  </si>
  <si>
    <t xml:space="preserve">ORD-2025-06538</t>
  </si>
  <si>
    <t xml:space="preserve">ORD-2025-08439</t>
  </si>
  <si>
    <t xml:space="preserve">ORD-2024-04089</t>
  </si>
  <si>
    <t xml:space="preserve">ORD-2023-01968</t>
  </si>
  <si>
    <t xml:space="preserve">ORD-2025-08045</t>
  </si>
  <si>
    <t xml:space="preserve">ORD-2025-07726</t>
  </si>
  <si>
    <t xml:space="preserve">ORD-2025-08665</t>
  </si>
  <si>
    <t xml:space="preserve">ORD-2024-04366</t>
  </si>
  <si>
    <t xml:space="preserve">ORD-2022-00424</t>
  </si>
  <si>
    <t xml:space="preserve">ORD-2022-00281</t>
  </si>
  <si>
    <t xml:space="preserve">ORD-2023-01905</t>
  </si>
  <si>
    <t xml:space="preserve">ORD-2022-00596</t>
  </si>
  <si>
    <t xml:space="preserve">ORD-2025-07783</t>
  </si>
  <si>
    <t xml:space="preserve">ORD-2023-03918</t>
  </si>
  <si>
    <t xml:space="preserve">ORD-2024-05662</t>
  </si>
  <si>
    <t xml:space="preserve">ORD-2024-05779</t>
  </si>
  <si>
    <t xml:space="preserve">ORD-2023-03619</t>
  </si>
  <si>
    <t xml:space="preserve">ORD-2022-00840</t>
  </si>
  <si>
    <t xml:space="preserve">ORD-2024-04597</t>
  </si>
  <si>
    <t xml:space="preserve">ORD-2024-06074</t>
  </si>
  <si>
    <t xml:space="preserve">ORD-2022-00142</t>
  </si>
  <si>
    <t xml:space="preserve">ORD-2025-08150</t>
  </si>
  <si>
    <t xml:space="preserve">ORD-2022-01378</t>
  </si>
  <si>
    <t xml:space="preserve">ORD-2023-03675</t>
  </si>
  <si>
    <t xml:space="preserve">ORD-2025-07681</t>
  </si>
  <si>
    <t xml:space="preserve">ORD-2025-08949</t>
  </si>
  <si>
    <t xml:space="preserve">ORD-2024-04742</t>
  </si>
  <si>
    <t xml:space="preserve">ORD-2023-03809</t>
  </si>
  <si>
    <t xml:space="preserve">ORD-2022-01139</t>
  </si>
  <si>
    <t xml:space="preserve">ORD-2023-02258</t>
  </si>
  <si>
    <t xml:space="preserve">ORD-2025-06381</t>
  </si>
  <si>
    <t xml:space="preserve">ORD-2022-01788</t>
  </si>
  <si>
    <t xml:space="preserve">ORD-2023-03939</t>
  </si>
  <si>
    <t xml:space="preserve">ORD-2025-06406</t>
  </si>
  <si>
    <t xml:space="preserve">ORD-2024-04647</t>
  </si>
  <si>
    <t xml:space="preserve">ORD-2022-00460</t>
  </si>
  <si>
    <t xml:space="preserve">ORD-2025-08625</t>
  </si>
  <si>
    <t xml:space="preserve">ORD-2022-00949</t>
  </si>
  <si>
    <t xml:space="preserve">ORD-2023-03701</t>
  </si>
  <si>
    <t xml:space="preserve">ORD-2022-01337</t>
  </si>
  <si>
    <t xml:space="preserve">ORD-2024-04629</t>
  </si>
  <si>
    <t xml:space="preserve">ORD-2025-07865</t>
  </si>
  <si>
    <t xml:space="preserve">ORD-2022-01603</t>
  </si>
  <si>
    <t xml:space="preserve">ORD-2023-02239</t>
  </si>
  <si>
    <t xml:space="preserve">ORD-2022-00640</t>
  </si>
  <si>
    <t xml:space="preserve">ORD-2025-08881</t>
  </si>
  <si>
    <t xml:space="preserve">ORD-2023-03831</t>
  </si>
  <si>
    <t xml:space="preserve">ORD-2025-08494</t>
  </si>
  <si>
    <t xml:space="preserve">ORD-2025-06473</t>
  </si>
  <si>
    <t xml:space="preserve">ORD-2025-08947</t>
  </si>
  <si>
    <t xml:space="preserve">ORD-2025-06839</t>
  </si>
  <si>
    <t xml:space="preserve">ORD-2023-01959</t>
  </si>
  <si>
    <t xml:space="preserve">ORD-2022-01071</t>
  </si>
  <si>
    <t xml:space="preserve">ORD-2022-00156</t>
  </si>
  <si>
    <t xml:space="preserve">ORD-2023-02296</t>
  </si>
  <si>
    <t xml:space="preserve">ORD-2024-06307</t>
  </si>
  <si>
    <t xml:space="preserve">ORD-2024-04579</t>
  </si>
  <si>
    <t xml:space="preserve">ORD-2022-01090</t>
  </si>
  <si>
    <t xml:space="preserve">ORD-2023-02941</t>
  </si>
  <si>
    <t xml:space="preserve">ORD-2022-00724</t>
  </si>
  <si>
    <t xml:space="preserve">ORD-2024-04385</t>
  </si>
  <si>
    <t xml:space="preserve">ORD-2022-00931</t>
  </si>
  <si>
    <t xml:space="preserve">ORD-2023-02910</t>
  </si>
  <si>
    <t xml:space="preserve">ORD-2024-06365</t>
  </si>
  <si>
    <t xml:space="preserve">ORD-2022-00896</t>
  </si>
  <si>
    <t xml:space="preserve">ORD-2023-03248</t>
  </si>
  <si>
    <t xml:space="preserve">ORD-2023-02327</t>
  </si>
  <si>
    <t xml:space="preserve">ORD-2025-08776</t>
  </si>
  <si>
    <t xml:space="preserve">ORD-2024-06148</t>
  </si>
  <si>
    <t xml:space="preserve">ORD-2025-07949</t>
  </si>
  <si>
    <t xml:space="preserve">ORD-2024-05039</t>
  </si>
  <si>
    <t xml:space="preserve">ORD-2024-04137</t>
  </si>
  <si>
    <t xml:space="preserve">ORD-2025-08356</t>
  </si>
  <si>
    <t xml:space="preserve">ORD-2022-01716</t>
  </si>
  <si>
    <t xml:space="preserve">ORD-2022-01699</t>
  </si>
  <si>
    <t xml:space="preserve">ORD-2025-08763</t>
  </si>
  <si>
    <t xml:space="preserve">ORD-2025-08632</t>
  </si>
  <si>
    <t xml:space="preserve">ORD-2025-06691</t>
  </si>
  <si>
    <t xml:space="preserve">ORD-2023-03832</t>
  </si>
  <si>
    <t xml:space="preserve">ORD-2023-03349</t>
  </si>
  <si>
    <t xml:space="preserve">ORD-2025-08605</t>
  </si>
  <si>
    <t xml:space="preserve">ORD-2022-00986</t>
  </si>
  <si>
    <t xml:space="preserve">ORD-2022-01822</t>
  </si>
  <si>
    <t xml:space="preserve">ORD-2024-04572</t>
  </si>
  <si>
    <t xml:space="preserve">ORD-2022-00588</t>
  </si>
  <si>
    <t xml:space="preserve">ORD-2025-08822</t>
  </si>
  <si>
    <t xml:space="preserve">ORD-2024-05078</t>
  </si>
  <si>
    <t xml:space="preserve">ORD-2024-06312</t>
  </si>
  <si>
    <t xml:space="preserve">ORD-2025-07262</t>
  </si>
  <si>
    <t xml:space="preserve">ORD-2025-08609</t>
  </si>
  <si>
    <t xml:space="preserve">ORD-2024-05484</t>
  </si>
  <si>
    <t xml:space="preserve">ORD-2024-06280</t>
  </si>
  <si>
    <t xml:space="preserve">ORD-2025-06840</t>
  </si>
  <si>
    <t xml:space="preserve">ORD-2024-05515</t>
  </si>
  <si>
    <t xml:space="preserve">ORD-2025-07837</t>
  </si>
  <si>
    <t xml:space="preserve">ORD-2024-05554</t>
  </si>
  <si>
    <t xml:space="preserve">ORD-2023-03558</t>
  </si>
  <si>
    <t xml:space="preserve">ORD-2022-01396</t>
  </si>
  <si>
    <t xml:space="preserve">ORD-2022-00265</t>
  </si>
  <si>
    <t xml:space="preserve">ORD-2023-03548</t>
  </si>
  <si>
    <t xml:space="preserve">ORD-2025-08359</t>
  </si>
  <si>
    <t xml:space="preserve">ORD-2023-03070</t>
  </si>
  <si>
    <t xml:space="preserve">ORD-2024-05026</t>
  </si>
  <si>
    <t xml:space="preserve">ORD-2025-08290</t>
  </si>
  <si>
    <t xml:space="preserve">ORD-2023-03865</t>
  </si>
  <si>
    <t xml:space="preserve">ORD-2025-08193</t>
  </si>
  <si>
    <t xml:space="preserve">ORD-2023-02401</t>
  </si>
  <si>
    <t xml:space="preserve">ORD-2025-07149</t>
  </si>
  <si>
    <t xml:space="preserve">ORD-2023-03712</t>
  </si>
  <si>
    <t xml:space="preserve">ORD-2022-00247</t>
  </si>
  <si>
    <t xml:space="preserve">ORD-2022-01595</t>
  </si>
  <si>
    <t xml:space="preserve">ORD-2025-08788</t>
  </si>
  <si>
    <t xml:space="preserve">ORD-2022-01530</t>
  </si>
  <si>
    <t xml:space="preserve">ORD-2025-06690</t>
  </si>
  <si>
    <t xml:space="preserve">ORD-2022-00924</t>
  </si>
  <si>
    <t xml:space="preserve">ORD-2024-06121</t>
  </si>
  <si>
    <t xml:space="preserve">ORD-2024-04365</t>
  </si>
  <si>
    <t xml:space="preserve">ORD-2022-00670</t>
  </si>
  <si>
    <t xml:space="preserve">ORD-2023-03605</t>
  </si>
  <si>
    <t xml:space="preserve">ORD-2024-05109</t>
  </si>
  <si>
    <t xml:space="preserve">ORD-2023-01911</t>
  </si>
  <si>
    <t xml:space="preserve">ORD-2025-06898</t>
  </si>
  <si>
    <t xml:space="preserve">ORD-2024-05249</t>
  </si>
  <si>
    <t xml:space="preserve">ORD-2023-03959</t>
  </si>
  <si>
    <t xml:space="preserve">ORD-2024-05644</t>
  </si>
  <si>
    <t xml:space="preserve">ORD-2023-02697</t>
  </si>
  <si>
    <t xml:space="preserve">ORD-2023-02592</t>
  </si>
  <si>
    <t xml:space="preserve">ORD-2022-01782</t>
  </si>
  <si>
    <t xml:space="preserve">ORD-2023-03014</t>
  </si>
  <si>
    <t xml:space="preserve">ORD-2023-02308</t>
  </si>
  <si>
    <t xml:space="preserve">ORD-2024-05905</t>
  </si>
  <si>
    <t xml:space="preserve">ORD-2023-03691</t>
  </si>
  <si>
    <t xml:space="preserve">ORD-2022-00688</t>
  </si>
  <si>
    <t xml:space="preserve">ORD-2022-00613</t>
  </si>
  <si>
    <t xml:space="preserve">ORD-2025-08819</t>
  </si>
  <si>
    <t xml:space="preserve">ORD-2023-03201</t>
  </si>
  <si>
    <t xml:space="preserve">ORD-2023-02268</t>
  </si>
  <si>
    <t xml:space="preserve">ORD-2025-08845</t>
  </si>
  <si>
    <t xml:space="preserve">ORD-2025-07509</t>
  </si>
  <si>
    <t xml:space="preserve">ORD-2023-01899</t>
  </si>
  <si>
    <t xml:space="preserve">ORD-2025-08616</t>
  </si>
  <si>
    <t xml:space="preserve">ORD-2025-07205</t>
  </si>
  <si>
    <t xml:space="preserve">ORD-2022-00259</t>
  </si>
  <si>
    <t xml:space="preserve">ORD-2023-02925</t>
  </si>
  <si>
    <t xml:space="preserve">ORD-2024-04944</t>
  </si>
  <si>
    <t xml:space="preserve">ORD-2023-02823</t>
  </si>
  <si>
    <t xml:space="preserve">ORD-2023-03340</t>
  </si>
  <si>
    <t xml:space="preserve">ORD-2023-03526</t>
  </si>
  <si>
    <t xml:space="preserve">ORD-2024-04564</t>
  </si>
  <si>
    <t xml:space="preserve">ORD-2024-05330</t>
  </si>
  <si>
    <t xml:space="preserve">ORD-2024-05224</t>
  </si>
  <si>
    <t xml:space="preserve">ORD-2023-02286</t>
  </si>
  <si>
    <t xml:space="preserve">ORD-2024-04655</t>
  </si>
  <si>
    <t xml:space="preserve">ORD-2025-07900</t>
  </si>
  <si>
    <t xml:space="preserve">ORD-2022-00485</t>
  </si>
  <si>
    <t xml:space="preserve">ORD-2023-02212</t>
  </si>
  <si>
    <t xml:space="preserve">ORD-2024-05417</t>
  </si>
  <si>
    <t xml:space="preserve">ORD-2024-06131</t>
  </si>
  <si>
    <t xml:space="preserve">ORD-2023-02556</t>
  </si>
  <si>
    <t xml:space="preserve">ORD-2022-00008</t>
  </si>
  <si>
    <t xml:space="preserve">ORD-2023-03658</t>
  </si>
  <si>
    <t xml:space="preserve">ORD-2025-08278</t>
  </si>
  <si>
    <t xml:space="preserve">ORD-2024-04875</t>
  </si>
  <si>
    <t xml:space="preserve">ORD-2024-04403</t>
  </si>
  <si>
    <t xml:space="preserve">ORD-2024-05547</t>
  </si>
  <si>
    <t xml:space="preserve">ORD-2025-07975</t>
  </si>
  <si>
    <t xml:space="preserve">ORD-2023-02427</t>
  </si>
  <si>
    <t xml:space="preserve">ORD-2022-01815</t>
  </si>
  <si>
    <t xml:space="preserve">ORD-2025-08700</t>
  </si>
  <si>
    <t xml:space="preserve">ORD-2023-02275</t>
  </si>
  <si>
    <t xml:space="preserve">ORD-2022-01012</t>
  </si>
  <si>
    <t xml:space="preserve">ORD-2025-06700</t>
  </si>
  <si>
    <t xml:space="preserve">ORD-2022-01068</t>
  </si>
  <si>
    <t xml:space="preserve">ORD-2023-01992</t>
  </si>
  <si>
    <t xml:space="preserve">ORD-2023-03971</t>
  </si>
  <si>
    <t xml:space="preserve">ORD-2025-08194</t>
  </si>
  <si>
    <t xml:space="preserve">ORD-2024-05880</t>
  </si>
  <si>
    <t xml:space="preserve">ORD-2025-07037</t>
  </si>
  <si>
    <t xml:space="preserve">ORD-2024-04543</t>
  </si>
  <si>
    <t xml:space="preserve">ORD-2025-08429</t>
  </si>
  <si>
    <t xml:space="preserve">ORD-2023-03868</t>
  </si>
  <si>
    <t xml:space="preserve">ORD-2025-08513</t>
  </si>
  <si>
    <t xml:space="preserve">ORD-2023-03049</t>
  </si>
  <si>
    <t xml:space="preserve">ORD-2022-00782</t>
  </si>
  <si>
    <t xml:space="preserve">ORD-2023-02676</t>
  </si>
  <si>
    <t xml:space="preserve">ORD-2022-01750</t>
  </si>
  <si>
    <t xml:space="preserve">ORD-2023-02792</t>
  </si>
  <si>
    <t xml:space="preserve">ORD-2024-05775</t>
  </si>
  <si>
    <t xml:space="preserve">ORD-2024-04980</t>
  </si>
  <si>
    <t xml:space="preserve">ORD-2022-01092</t>
  </si>
  <si>
    <t xml:space="preserve">ORD-2025-06836</t>
  </si>
  <si>
    <t xml:space="preserve">ORD-2024-04628</t>
  </si>
  <si>
    <t xml:space="preserve">ORD-2023-02325</t>
  </si>
  <si>
    <t xml:space="preserve">ORD-2025-08017</t>
  </si>
  <si>
    <t xml:space="preserve">ORD-2024-05056</t>
  </si>
  <si>
    <t xml:space="preserve">ORD-2023-02609</t>
  </si>
  <si>
    <t xml:space="preserve">ORD-2025-08094</t>
  </si>
  <si>
    <t xml:space="preserve">ORD-2023-02291</t>
  </si>
  <si>
    <t xml:space="preserve">ORD-2022-01728</t>
  </si>
  <si>
    <t xml:space="preserve">ORD-2022-00611</t>
  </si>
  <si>
    <t xml:space="preserve">ORD-2024-04667</t>
  </si>
  <si>
    <t xml:space="preserve">ORD-2025-06951</t>
  </si>
  <si>
    <t xml:space="preserve">ORD-2022-00344</t>
  </si>
  <si>
    <t xml:space="preserve">ORD-2025-06917</t>
  </si>
  <si>
    <t xml:space="preserve">ORD-2025-07702</t>
  </si>
  <si>
    <t xml:space="preserve">ORD-2023-03751</t>
  </si>
  <si>
    <t xml:space="preserve">ORD-2025-08695</t>
  </si>
  <si>
    <t xml:space="preserve">ORD-2023-03216</t>
  </si>
  <si>
    <t xml:space="preserve">ORD-2022-00098</t>
  </si>
  <si>
    <t xml:space="preserve">ORD-2024-06217</t>
  </si>
  <si>
    <t xml:space="preserve">ORD-2024-05177</t>
  </si>
  <si>
    <t xml:space="preserve">ORD-2022-01538</t>
  </si>
  <si>
    <t xml:space="preserve">ORD-2023-03589</t>
  </si>
  <si>
    <t xml:space="preserve">ORD-2024-06009</t>
  </si>
  <si>
    <t xml:space="preserve">ORD-2023-03649</t>
  </si>
  <si>
    <t xml:space="preserve">ORD-2025-07862</t>
  </si>
  <si>
    <t xml:space="preserve">ORD-2024-06122</t>
  </si>
  <si>
    <t xml:space="preserve">ORD-2022-01518</t>
  </si>
  <si>
    <t xml:space="preserve">ORD-2024-05062</t>
  </si>
  <si>
    <t xml:space="preserve">ORD-2025-08451</t>
  </si>
  <si>
    <t xml:space="preserve">ORD-2024-04625</t>
  </si>
  <si>
    <t xml:space="preserve">ORD-2024-04273</t>
  </si>
  <si>
    <t xml:space="preserve">ORD-2023-03670</t>
  </si>
  <si>
    <t xml:space="preserve">ORD-2024-05801</t>
  </si>
  <si>
    <t xml:space="preserve">ORD-2023-02091</t>
  </si>
  <si>
    <t xml:space="preserve">ORD-2022-00573</t>
  </si>
  <si>
    <t xml:space="preserve">ORD-2025-08641</t>
  </si>
  <si>
    <t xml:space="preserve">ORD-2025-07485</t>
  </si>
  <si>
    <t xml:space="preserve">ORD-2025-08195</t>
  </si>
  <si>
    <t xml:space="preserve">ORD-2023-03063</t>
  </si>
  <si>
    <t xml:space="preserve">ORD-2025-08384</t>
  </si>
  <si>
    <t xml:space="preserve">ORD-2025-08826</t>
  </si>
  <si>
    <t xml:space="preserve">ORD-2025-06428</t>
  </si>
  <si>
    <t xml:space="preserve">ORD-2025-07905</t>
  </si>
  <si>
    <t xml:space="preserve">ORD-2025-06627</t>
  </si>
  <si>
    <t xml:space="preserve">ORD-2024-04480</t>
  </si>
  <si>
    <t xml:space="preserve">ORD-2024-04949</t>
  </si>
  <si>
    <t xml:space="preserve">ORD-2024-05977</t>
  </si>
  <si>
    <t xml:space="preserve">ORD-2022-00371</t>
  </si>
  <si>
    <t xml:space="preserve">ORD-2023-01939</t>
  </si>
  <si>
    <t xml:space="preserve">ORD-2025-06999</t>
  </si>
  <si>
    <t xml:space="preserve">ORD-2022-01754</t>
  </si>
  <si>
    <t xml:space="preserve">ORD-2023-03671</t>
  </si>
  <si>
    <t xml:space="preserve">ORD-2023-03653</t>
  </si>
  <si>
    <t xml:space="preserve">ORD-2024-05202</t>
  </si>
  <si>
    <t xml:space="preserve">ORD-2023-02362</t>
  </si>
  <si>
    <t xml:space="preserve">ORD-2024-04261</t>
  </si>
  <si>
    <t xml:space="preserve">ORD-2024-05433</t>
  </si>
  <si>
    <t xml:space="preserve">ORD-2024-04992</t>
  </si>
  <si>
    <t xml:space="preserve">ORD-2025-06413</t>
  </si>
  <si>
    <t xml:space="preserve">ORD-2025-08552</t>
  </si>
  <si>
    <t xml:space="preserve">ORD-2023-03738</t>
  </si>
  <si>
    <t xml:space="preserve">ORD-2024-06092</t>
  </si>
  <si>
    <t xml:space="preserve">ORD-2025-06825</t>
  </si>
  <si>
    <t xml:space="preserve">ORD-2025-06869</t>
  </si>
  <si>
    <t xml:space="preserve">ORD-2024-05592</t>
  </si>
  <si>
    <t xml:space="preserve">ORD-2022-01172</t>
  </si>
  <si>
    <t xml:space="preserve">ORD-2025-08981</t>
  </si>
  <si>
    <t xml:space="preserve">ORD-2022-01423</t>
  </si>
  <si>
    <t xml:space="preserve">ORD-2025-08537</t>
  </si>
  <si>
    <t xml:space="preserve">ORD-2025-08452</t>
  </si>
  <si>
    <t xml:space="preserve">ORD-2025-06502</t>
  </si>
  <si>
    <t xml:space="preserve">ORD-2025-08277</t>
  </si>
  <si>
    <t xml:space="preserve">ORD-2022-00875</t>
  </si>
  <si>
    <t xml:space="preserve">ORD-2023-02298</t>
  </si>
  <si>
    <t xml:space="preserve">ORD-2023-02644</t>
  </si>
  <si>
    <t xml:space="preserve">ORD-2025-07107</t>
  </si>
  <si>
    <t xml:space="preserve">ORD-2022-01720</t>
  </si>
  <si>
    <t xml:space="preserve">ORD-2024-05348</t>
  </si>
  <si>
    <t xml:space="preserve">ORD-2024-05933</t>
  </si>
  <si>
    <t xml:space="preserve">ORD-2022-00841</t>
  </si>
  <si>
    <t xml:space="preserve">ORD-2025-08988</t>
  </si>
  <si>
    <t xml:space="preserve">ORD-2022-00582</t>
  </si>
  <si>
    <t xml:space="preserve">ORD-2022-00205</t>
  </si>
  <si>
    <t xml:space="preserve">ORD-2022-01642</t>
  </si>
  <si>
    <t xml:space="preserve">ORD-2023-02015</t>
  </si>
  <si>
    <t xml:space="preserve">ORD-2023-03254</t>
  </si>
  <si>
    <t xml:space="preserve">ORD-2024-06109</t>
  </si>
  <si>
    <t xml:space="preserve">ORD-2022-00906</t>
  </si>
  <si>
    <t xml:space="preserve">ORD-2022-00632</t>
  </si>
  <si>
    <t xml:space="preserve">ORD-2025-07022</t>
  </si>
  <si>
    <t xml:space="preserve">ORD-2024-06346</t>
  </si>
  <si>
    <t xml:space="preserve">ORD-2023-01975</t>
  </si>
  <si>
    <t xml:space="preserve">ORD-2022-00163</t>
  </si>
  <si>
    <t xml:space="preserve">ORD-2024-04999</t>
  </si>
  <si>
    <t xml:space="preserve">ORD-2025-06753</t>
  </si>
  <si>
    <t xml:space="preserve">ORD-2025-08541</t>
  </si>
  <si>
    <t xml:space="preserve">ORD-2025-06742</t>
  </si>
  <si>
    <t xml:space="preserve">ORD-2024-04714</t>
  </si>
  <si>
    <t xml:space="preserve">ORD-2022-00876</t>
  </si>
  <si>
    <t xml:space="preserve">ORD-2022-01432</t>
  </si>
  <si>
    <t xml:space="preserve">ORD-2024-04644</t>
  </si>
  <si>
    <t xml:space="preserve">ORD-2024-05081</t>
  </si>
  <si>
    <t xml:space="preserve">ORD-2024-05784</t>
  </si>
  <si>
    <t xml:space="preserve">ORD-2025-08254</t>
  </si>
  <si>
    <t xml:space="preserve">ORD-2024-06178</t>
  </si>
  <si>
    <t xml:space="preserve">ORD-2025-06518</t>
  </si>
  <si>
    <t xml:space="preserve">ORD-2024-06291</t>
  </si>
  <si>
    <t xml:space="preserve">ORD-2025-08531</t>
  </si>
  <si>
    <t xml:space="preserve">ORD-2023-02857</t>
  </si>
  <si>
    <t xml:space="preserve">ORD-2023-01862</t>
  </si>
  <si>
    <t xml:space="preserve">ORD-2023-02660</t>
  </si>
  <si>
    <t xml:space="preserve">ORD-2023-03385</t>
  </si>
  <si>
    <t xml:space="preserve">ORD-2025-08646</t>
  </si>
  <si>
    <t xml:space="preserve">ORD-2025-08840</t>
  </si>
  <si>
    <t xml:space="preserve">ORD-2025-06555</t>
  </si>
  <si>
    <t xml:space="preserve">ORD-2025-06900</t>
  </si>
  <si>
    <t xml:space="preserve">ORD-2024-04734</t>
  </si>
  <si>
    <t xml:space="preserve">ORD-2023-03332</t>
  </si>
  <si>
    <t xml:space="preserve">ORD-2025-08073</t>
  </si>
  <si>
    <t xml:space="preserve">ORD-2025-07432</t>
  </si>
  <si>
    <t xml:space="preserve">ORD-2025-08162</t>
  </si>
  <si>
    <t xml:space="preserve">ORD-2023-02097</t>
  </si>
  <si>
    <t xml:space="preserve">ORD-2023-02004</t>
  </si>
  <si>
    <t xml:space="preserve">ORD-2025-08407</t>
  </si>
  <si>
    <t xml:space="preserve">ORD-2025-07779</t>
  </si>
  <si>
    <t xml:space="preserve">ORD-2025-06726</t>
  </si>
  <si>
    <t xml:space="preserve">ORD-2024-05018</t>
  </si>
  <si>
    <t xml:space="preserve">ORD-2022-00547</t>
  </si>
  <si>
    <t xml:space="preserve">ORD-2022-01450</t>
  </si>
  <si>
    <t xml:space="preserve">ORD-2025-06863</t>
  </si>
  <si>
    <t xml:space="preserve">ORD-2023-02611</t>
  </si>
  <si>
    <t xml:space="preserve">ORD-2023-01901</t>
  </si>
  <si>
    <t xml:space="preserve">ORD-2025-08863</t>
  </si>
  <si>
    <t xml:space="preserve">ORD-2023-02758</t>
  </si>
  <si>
    <t xml:space="preserve">ORD-2023-01886</t>
  </si>
  <si>
    <t xml:space="preserve">ORD-2025-08884</t>
  </si>
  <si>
    <t xml:space="preserve">ORD-2024-05739</t>
  </si>
  <si>
    <t xml:space="preserve">ORD-2025-07486</t>
  </si>
  <si>
    <t xml:space="preserve">ORD-2024-05891</t>
  </si>
  <si>
    <t xml:space="preserve">ORD-2023-02098</t>
  </si>
  <si>
    <t xml:space="preserve">ORD-2025-08395</t>
  </si>
  <si>
    <t xml:space="preserve">ORD-2024-05693</t>
  </si>
  <si>
    <t xml:space="preserve">ORD-2022-00500</t>
  </si>
  <si>
    <t xml:space="preserve">ORD-2024-05625</t>
  </si>
  <si>
    <t xml:space="preserve">ORD-2022-00837</t>
  </si>
  <si>
    <t xml:space="preserve">ORD-2023-03472</t>
  </si>
  <si>
    <t xml:space="preserve">ORD-2024-04698</t>
  </si>
  <si>
    <t xml:space="preserve">ORD-2025-08931</t>
  </si>
  <si>
    <t xml:space="preserve">ORD-2023-02172</t>
  </si>
  <si>
    <t xml:space="preserve">ORD-2025-08340</t>
  </si>
  <si>
    <t xml:space="preserve">ORD-2024-05679</t>
  </si>
  <si>
    <t xml:space="preserve">ORD-2025-08294</t>
  </si>
  <si>
    <t xml:space="preserve">ORD-2022-00399</t>
  </si>
  <si>
    <t xml:space="preserve">ORD-2023-02011</t>
  </si>
  <si>
    <t xml:space="preserve">ORD-2024-05167</t>
  </si>
  <si>
    <t xml:space="preserve">ORD-2024-05872</t>
  </si>
  <si>
    <t xml:space="preserve">ORD-2025-08855</t>
  </si>
  <si>
    <t xml:space="preserve">ORD-2022-01284</t>
  </si>
  <si>
    <t xml:space="preserve">ORD-2025-06976</t>
  </si>
  <si>
    <t xml:space="preserve">ORD-2025-07227</t>
  </si>
  <si>
    <t xml:space="preserve">ORD-2024-04257</t>
  </si>
  <si>
    <t xml:space="preserve">ORD-2022-01837</t>
  </si>
  <si>
    <t xml:space="preserve">ORD-2025-08185</t>
  </si>
  <si>
    <t xml:space="preserve">ORD-2022-01020</t>
  </si>
  <si>
    <t xml:space="preserve">ORD-2025-07154</t>
  </si>
  <si>
    <t xml:space="preserve">ORD-2022-01327</t>
  </si>
  <si>
    <t xml:space="preserve">ORD-2025-07531</t>
  </si>
  <si>
    <t xml:space="preserve">ORD-2022-00476</t>
  </si>
  <si>
    <t xml:space="preserve">ORD-2023-02811</t>
  </si>
  <si>
    <t xml:space="preserve">ORD-2025-07421</t>
  </si>
  <si>
    <t xml:space="preserve">ORD-2022-01652</t>
  </si>
  <si>
    <t xml:space="preserve">ORD-2025-08687</t>
  </si>
  <si>
    <t xml:space="preserve">ORD-2022-01170</t>
  </si>
  <si>
    <t xml:space="preserve">ORD-2023-02529</t>
  </si>
  <si>
    <t xml:space="preserve">ORD-2022-01207</t>
  </si>
  <si>
    <t xml:space="preserve">ORD-2025-06429</t>
  </si>
  <si>
    <t xml:space="preserve">ORD-2024-05470</t>
  </si>
  <si>
    <t xml:space="preserve">ORD-2025-08484</t>
  </si>
  <si>
    <t xml:space="preserve">ORD-2025-07601</t>
  </si>
  <si>
    <t xml:space="preserve">ORD-2024-06243</t>
  </si>
  <si>
    <t xml:space="preserve">ORD-2022-00868</t>
  </si>
  <si>
    <t xml:space="preserve">ORD-2023-02975</t>
  </si>
  <si>
    <t xml:space="preserve">ORD-2024-05237</t>
  </si>
  <si>
    <t xml:space="preserve">ORD-2024-05094</t>
  </si>
  <si>
    <t xml:space="preserve">ORD-2024-05434</t>
  </si>
  <si>
    <t xml:space="preserve">ORD-2022-00542</t>
  </si>
  <si>
    <t xml:space="preserve">ORD-2024-05196</t>
  </si>
  <si>
    <t xml:space="preserve">ORD-2022-01133</t>
  </si>
  <si>
    <t xml:space="preserve">ORD-2025-08898</t>
  </si>
  <si>
    <t xml:space="preserve">ORD-2025-07790</t>
  </si>
  <si>
    <t xml:space="preserve">ORD-2025-08436</t>
  </si>
  <si>
    <t xml:space="preserve">ORD-2023-03391</t>
  </si>
  <si>
    <t xml:space="preserve">ORD-2025-08496</t>
  </si>
  <si>
    <t xml:space="preserve">ORD-2023-02963</t>
  </si>
  <si>
    <t xml:space="preserve">ORD-2024-04156</t>
  </si>
  <si>
    <t xml:space="preserve">ORD-2023-03260</t>
  </si>
  <si>
    <t xml:space="preserve">ORD-2024-06035</t>
  </si>
  <si>
    <t xml:space="preserve">ORD-2025-08987</t>
  </si>
  <si>
    <t xml:space="preserve">ORD-2023-02584</t>
  </si>
  <si>
    <t xml:space="preserve">ORD-2023-02814</t>
  </si>
  <si>
    <t xml:space="preserve">ORD-2025-07662</t>
  </si>
  <si>
    <t xml:space="preserve">ORD-2023-02948</t>
  </si>
  <si>
    <t xml:space="preserve">ORD-2024-05175</t>
  </si>
  <si>
    <t xml:space="preserve">ORD-2025-06935</t>
  </si>
  <si>
    <t xml:space="preserve">ORD-2023-03587</t>
  </si>
  <si>
    <t xml:space="preserve">ORD-2025-08337</t>
  </si>
  <si>
    <t xml:space="preserve">ORD-2025-06476</t>
  </si>
  <si>
    <t xml:space="preserve">ORD-2023-02564</t>
  </si>
  <si>
    <t xml:space="preserve">ORD-2023-02631</t>
  </si>
  <si>
    <t xml:space="preserve">ORD-2025-07908</t>
  </si>
  <si>
    <t xml:space="preserve">ORD-2024-06308</t>
  </si>
  <si>
    <t xml:space="preserve">ORD-2024-05037</t>
  </si>
  <si>
    <t xml:space="preserve">ORD-2022-01081</t>
  </si>
  <si>
    <t xml:space="preserve">ORD-2024-04284</t>
  </si>
  <si>
    <t xml:space="preserve">ORD-2025-06483</t>
  </si>
  <si>
    <t xml:space="preserve">ORD-2023-02086</t>
  </si>
  <si>
    <t xml:space="preserve">ORD-2023-02453</t>
  </si>
  <si>
    <t xml:space="preserve">ORD-2024-04967</t>
  </si>
  <si>
    <t xml:space="preserve">ORD-2023-02024</t>
  </si>
  <si>
    <t xml:space="preserve">ORD-2025-06880</t>
  </si>
  <si>
    <t xml:space="preserve">ORD-2025-08042</t>
  </si>
  <si>
    <t xml:space="preserve">ORD-2025-07589</t>
  </si>
  <si>
    <t xml:space="preserve">ORD-2022-00227</t>
  </si>
  <si>
    <t xml:space="preserve">ORD-2022-01014</t>
  </si>
  <si>
    <t xml:space="preserve">ORD-2023-01930</t>
  </si>
  <si>
    <t xml:space="preserve">ORD-2025-07059</t>
  </si>
  <si>
    <t xml:space="preserve">ORD-2024-05252</t>
  </si>
  <si>
    <t xml:space="preserve">ORD-2022-01405</t>
  </si>
  <si>
    <t xml:space="preserve">ORD-2023-02180</t>
  </si>
  <si>
    <t xml:space="preserve">ORD-2022-00698</t>
  </si>
  <si>
    <t xml:space="preserve">ORD-2022-01125</t>
  </si>
  <si>
    <t xml:space="preserve">ORD-2023-03896</t>
  </si>
  <si>
    <t xml:space="preserve">ORD-2025-06677</t>
  </si>
  <si>
    <t xml:space="preserve">ORD-2024-05111</t>
  </si>
  <si>
    <t xml:space="preserve">ORD-2022-01779</t>
  </si>
  <si>
    <t xml:space="preserve">ORD-2024-06315</t>
  </si>
  <si>
    <t xml:space="preserve">ORD-2023-02635</t>
  </si>
  <si>
    <t xml:space="preserve">ORD-2023-03490</t>
  </si>
  <si>
    <t xml:space="preserve">ORD-2025-06745</t>
  </si>
  <si>
    <t xml:space="preserve">ORD-2022-01038</t>
  </si>
  <si>
    <t xml:space="preserve">ORD-2024-06094</t>
  </si>
  <si>
    <t xml:space="preserve">ORD-2023-02257</t>
  </si>
  <si>
    <t xml:space="preserve">ORD-2025-06630</t>
  </si>
  <si>
    <t xml:space="preserve">ORD-2023-02614</t>
  </si>
  <si>
    <t xml:space="preserve">ORD-2022-00314</t>
  </si>
  <si>
    <t xml:space="preserve">ORD-2023-02650</t>
  </si>
  <si>
    <t xml:space="preserve">ORD-2023-02282</t>
  </si>
  <si>
    <t xml:space="preserve">ORD-2025-07088</t>
  </si>
  <si>
    <t xml:space="preserve">ORD-2023-02548</t>
  </si>
  <si>
    <t xml:space="preserve">ORD-2024-05513</t>
  </si>
  <si>
    <t xml:space="preserve">ORD-2024-05133</t>
  </si>
  <si>
    <t xml:space="preserve">ORD-2023-02160</t>
  </si>
  <si>
    <t xml:space="preserve">ORD-2023-03138</t>
  </si>
  <si>
    <t xml:space="preserve">ORD-2025-08200</t>
  </si>
  <si>
    <t xml:space="preserve">ORD-2024-05851</t>
  </si>
  <si>
    <t xml:space="preserve">ORD-2023-03968</t>
  </si>
  <si>
    <t xml:space="preserve">ORD-2022-01429</t>
  </si>
  <si>
    <t xml:space="preserve">ORD-2025-07025</t>
  </si>
  <si>
    <t xml:space="preserve">ORD-2023-02521</t>
  </si>
  <si>
    <t xml:space="preserve">ORD-2024-06358</t>
  </si>
  <si>
    <t xml:space="preserve">ORD-2025-07156</t>
  </si>
  <si>
    <t xml:space="preserve">ORD-2025-07309</t>
  </si>
  <si>
    <t xml:space="preserve">ORD-2025-07425</t>
  </si>
  <si>
    <t xml:space="preserve">ORD-2024-05603</t>
  </si>
  <si>
    <t xml:space="preserve">ORD-2025-08925</t>
  </si>
  <si>
    <t xml:space="preserve">ORD-2022-00449</t>
  </si>
  <si>
    <t xml:space="preserve">ORD-2025-07916</t>
  </si>
  <si>
    <t xml:space="preserve">ORD-2022-01285</t>
  </si>
  <si>
    <t xml:space="preserve">ORD-2024-05996</t>
  </si>
  <si>
    <t xml:space="preserve">ORD-2023-03728</t>
  </si>
  <si>
    <t xml:space="preserve">ORD-2022-00362</t>
  </si>
  <si>
    <t xml:space="preserve">ORD-2024-05231</t>
  </si>
  <si>
    <t xml:space="preserve">ORD-2025-07959</t>
  </si>
  <si>
    <t xml:space="preserve">ORD-2025-07874</t>
  </si>
  <si>
    <t xml:space="preserve">ORD-2024-05927</t>
  </si>
  <si>
    <t xml:space="preserve">ORD-2024-05150</t>
  </si>
  <si>
    <t xml:space="preserve">ORD-2023-02461</t>
  </si>
  <si>
    <t xml:space="preserve">ORD-2022-00023</t>
  </si>
  <si>
    <t xml:space="preserve">ORD-2023-02067</t>
  </si>
  <si>
    <t xml:space="preserve">ORD-2022-01654</t>
  </si>
  <si>
    <t xml:space="preserve">ORD-2022-00703</t>
  </si>
  <si>
    <t xml:space="preserve">ORD-2025-07158</t>
  </si>
  <si>
    <t xml:space="preserve">ORD-2023-02744</t>
  </si>
  <si>
    <t xml:space="preserve">ORD-2022-01377</t>
  </si>
  <si>
    <t xml:space="preserve">ORD-2025-08030</t>
  </si>
  <si>
    <t xml:space="preserve">ORD-2023-02469</t>
  </si>
  <si>
    <t xml:space="preserve">ORD-2023-03755</t>
  </si>
  <si>
    <t xml:space="preserve">ORD-2023-02326</t>
  </si>
  <si>
    <t xml:space="preserve">ORD-2022-00461</t>
  </si>
  <si>
    <t xml:space="preserve">ORD-2024-05164</t>
  </si>
  <si>
    <t xml:space="preserve">ORD-2024-04184</t>
  </si>
  <si>
    <t xml:space="preserve">ORD-2025-08106</t>
  </si>
  <si>
    <t xml:space="preserve">ORD-2024-04083</t>
  </si>
  <si>
    <t xml:space="preserve">ORD-2022-01487</t>
  </si>
  <si>
    <t xml:space="preserve">ORD-2023-03679</t>
  </si>
  <si>
    <t xml:space="preserve">ORD-2022-00283</t>
  </si>
  <si>
    <t xml:space="preserve">ORD-2024-04559</t>
  </si>
  <si>
    <t xml:space="preserve">ORD-2024-04309</t>
  </si>
  <si>
    <t xml:space="preserve">ORD-2024-04866</t>
  </si>
  <si>
    <t xml:space="preserve">ORD-2023-03538</t>
  </si>
  <si>
    <t xml:space="preserve">ORD-2025-07946</t>
  </si>
  <si>
    <t xml:space="preserve">ORD-2023-02582</t>
  </si>
  <si>
    <t xml:space="preserve">ORD-2022-01369</t>
  </si>
  <si>
    <t xml:space="preserve">ORD-2025-08559</t>
  </si>
  <si>
    <t xml:space="preserve">ORD-2025-08000</t>
  </si>
  <si>
    <t xml:space="preserve">ORD-2022-00598</t>
  </si>
  <si>
    <t xml:space="preserve">ORD-2024-04352</t>
  </si>
  <si>
    <t xml:space="preserve">ORD-2025-08025</t>
  </si>
  <si>
    <t xml:space="preserve">ORD-2024-04759</t>
  </si>
  <si>
    <t xml:space="preserve">ORD-2022-00647</t>
  </si>
  <si>
    <t xml:space="preserve">ORD-2025-08769</t>
  </si>
  <si>
    <t xml:space="preserve">ORD-2024-06024</t>
  </si>
  <si>
    <t xml:space="preserve">ORD-2025-06452</t>
  </si>
  <si>
    <t xml:space="preserve">ORD-2023-03469</t>
  </si>
  <si>
    <t xml:space="preserve">ORD-2024-06325</t>
  </si>
  <si>
    <t xml:space="preserve">ORD-2023-02991</t>
  </si>
  <si>
    <t xml:space="preserve">ORD-2025-08505</t>
  </si>
  <si>
    <t xml:space="preserve">ORD-2024-04876</t>
  </si>
  <si>
    <t xml:space="preserve">ORD-2023-02545</t>
  </si>
  <si>
    <t xml:space="preserve">ORD-2025-07345</t>
  </si>
  <si>
    <t xml:space="preserve">ORD-2024-05342</t>
  </si>
  <si>
    <t xml:space="preserve">ORD-2025-08355</t>
  </si>
  <si>
    <t xml:space="preserve">ORD-2024-04067</t>
  </si>
  <si>
    <t xml:space="preserve">ORD-2023-03989</t>
  </si>
  <si>
    <t xml:space="preserve">ORD-2023-02161</t>
  </si>
  <si>
    <t xml:space="preserve">ORD-2022-00686</t>
  </si>
  <si>
    <t xml:space="preserve">ORD-2024-06313</t>
  </si>
  <si>
    <t xml:space="preserve">ORD-2023-03244</t>
  </si>
  <si>
    <t xml:space="preserve">ORD-2025-08086</t>
  </si>
  <si>
    <t xml:space="preserve">ORD-2025-06619</t>
  </si>
  <si>
    <t xml:space="preserve">ORD-2025-07643</t>
  </si>
  <si>
    <t xml:space="preserve">ORD-2024-04084</t>
  </si>
  <si>
    <t xml:space="preserve">ORD-2023-02838</t>
  </si>
  <si>
    <t xml:space="preserve">ORD-2023-03698</t>
  </si>
  <si>
    <t xml:space="preserve">ORD-2024-06268</t>
  </si>
  <si>
    <t xml:space="preserve">ORD-2024-04942</t>
  </si>
  <si>
    <t xml:space="preserve">ORD-2024-05947</t>
  </si>
  <si>
    <t xml:space="preserve">ORD-2024-04584</t>
  </si>
  <si>
    <t xml:space="preserve">ORD-2024-05785</t>
  </si>
  <si>
    <t xml:space="preserve">ORD-2024-04041</t>
  </si>
  <si>
    <t xml:space="preserve">ORD-2023-02231</t>
  </si>
  <si>
    <t xml:space="preserve">ORD-2025-08950</t>
  </si>
  <si>
    <t xml:space="preserve">ORD-2023-02321</t>
  </si>
  <si>
    <t xml:space="preserve">ORD-2024-04879</t>
  </si>
  <si>
    <t xml:space="preserve">ORD-2022-00522</t>
  </si>
  <si>
    <t xml:space="preserve">ORD-2022-00523</t>
  </si>
  <si>
    <t xml:space="preserve">ORD-2024-05346</t>
  </si>
  <si>
    <t xml:space="preserve">ORD-2025-07710</t>
  </si>
  <si>
    <t xml:space="preserve">ORD-2025-07948</t>
  </si>
  <si>
    <t xml:space="preserve">ORD-2025-08304</t>
  </si>
  <si>
    <t xml:space="preserve">ORD-2025-08643</t>
  </si>
  <si>
    <t xml:space="preserve">ORD-2025-07454</t>
  </si>
  <si>
    <t xml:space="preserve">ORD-2022-00781</t>
  </si>
  <si>
    <t xml:space="preserve">ORD-2025-08629</t>
  </si>
  <si>
    <t xml:space="preserve">ORD-2025-06706</t>
  </si>
  <si>
    <t xml:space="preserve">ORD-2024-05608</t>
  </si>
  <si>
    <t xml:space="preserve">ORD-2024-05979</t>
  </si>
  <si>
    <t xml:space="preserve">ORD-2022-00652</t>
  </si>
  <si>
    <t xml:space="preserve">ORD-2025-07371</t>
  </si>
  <si>
    <t xml:space="preserve">ORD-2023-02197</t>
  </si>
  <si>
    <t xml:space="preserve">ORD-2025-07018</t>
  </si>
  <si>
    <t xml:space="preserve">ORD-2022-00370</t>
  </si>
  <si>
    <t xml:space="preserve">ORD-2025-06505</t>
  </si>
  <si>
    <t xml:space="preserve">ORD-2024-04215</t>
  </si>
  <si>
    <t xml:space="preserve">ORD-2022-00378</t>
  </si>
  <si>
    <t xml:space="preserve">ORD-2025-08978</t>
  </si>
  <si>
    <t xml:space="preserve">ORD-2023-02217</t>
  </si>
  <si>
    <t xml:space="preserve">ORD-2025-07521</t>
  </si>
  <si>
    <t xml:space="preserve">ORD-2022-01614</t>
  </si>
  <si>
    <t xml:space="preserve">ORD-2022-01828</t>
  </si>
  <si>
    <t xml:space="preserve">ORD-2023-03633</t>
  </si>
  <si>
    <t xml:space="preserve">ORD-2022-00963</t>
  </si>
  <si>
    <t xml:space="preserve">ORD-2023-02994</t>
  </si>
  <si>
    <t xml:space="preserve">ORD-2025-08745</t>
  </si>
  <si>
    <t xml:space="preserve">ORD-2025-08904</t>
  </si>
  <si>
    <t xml:space="preserve">ORD-2025-06707</t>
  </si>
  <si>
    <t xml:space="preserve">ORD-2022-00360</t>
  </si>
  <si>
    <t xml:space="preserve">ORD-2023-03840</t>
  </si>
  <si>
    <t xml:space="preserve">ORD-2025-06626</t>
  </si>
  <si>
    <t xml:space="preserve">ORD-2022-01247</t>
  </si>
  <si>
    <t xml:space="preserve">ORD-2025-06902</t>
  </si>
  <si>
    <t xml:space="preserve">ORD-2024-05088</t>
  </si>
  <si>
    <t xml:space="preserve">ORD-2023-03695</t>
  </si>
  <si>
    <t xml:space="preserve">ORD-2022-01574</t>
  </si>
  <si>
    <t xml:space="preserve">ORD-2024-06282</t>
  </si>
  <si>
    <t xml:space="preserve">ORD-2025-07247</t>
  </si>
  <si>
    <t xml:space="preserve">ORD-2023-02568</t>
  </si>
  <si>
    <t xml:space="preserve">ORD-2023-03424</t>
  </si>
  <si>
    <t xml:space="preserve">ORD-2023-02038</t>
  </si>
  <si>
    <t xml:space="preserve">ORD-2022-00773</t>
  </si>
  <si>
    <t xml:space="preserve">ORD-2024-05381</t>
  </si>
  <si>
    <t xml:space="preserve">ORD-2025-08648</t>
  </si>
  <si>
    <t xml:space="preserve">ORD-2023-03563</t>
  </si>
  <si>
    <t xml:space="preserve">ORD-2022-00563</t>
  </si>
  <si>
    <t xml:space="preserve">ORD-2023-02547</t>
  </si>
  <si>
    <t xml:space="preserve">ORD-2024-05511</t>
  </si>
  <si>
    <t xml:space="preserve">ORD-2024-05331</t>
  </si>
  <si>
    <t xml:space="preserve">ORD-2025-07407</t>
  </si>
  <si>
    <t xml:space="preserve">ORD-2024-04532</t>
  </si>
  <si>
    <t xml:space="preserve">ORD-2022-01675</t>
  </si>
  <si>
    <t xml:space="preserve">ORD-2022-00366</t>
  </si>
  <si>
    <t xml:space="preserve">ORD-2025-06500</t>
  </si>
  <si>
    <t xml:space="preserve">ORD-2025-06398</t>
  </si>
  <si>
    <t xml:space="preserve">ORD-2024-04328</t>
  </si>
  <si>
    <t xml:space="preserve">ORD-2022-00148</t>
  </si>
  <si>
    <t xml:space="preserve">ORD-2022-01669</t>
  </si>
  <si>
    <t xml:space="preserve">ORD-2023-03089</t>
  </si>
  <si>
    <t xml:space="preserve">ORD-2025-07792</t>
  </si>
  <si>
    <t xml:space="preserve">ORD-2022-00408</t>
  </si>
  <si>
    <t xml:space="preserve">ORD-2025-08663</t>
  </si>
  <si>
    <t xml:space="preserve">ORD-2023-03457</t>
  </si>
  <si>
    <t xml:space="preserve">ORD-2024-06187</t>
  </si>
  <si>
    <t xml:space="preserve">ORD-2024-04183</t>
  </si>
  <si>
    <t xml:space="preserve">ORD-2023-03577</t>
  </si>
  <si>
    <t xml:space="preserve">ORD-2023-03272</t>
  </si>
  <si>
    <t xml:space="preserve">ORD-2024-04941</t>
  </si>
  <si>
    <t xml:space="preserve">ORD-2022-01032</t>
  </si>
  <si>
    <t xml:space="preserve">ORD-2025-08563</t>
  </si>
  <si>
    <t xml:space="preserve">ORD-2025-07979</t>
  </si>
  <si>
    <t xml:space="preserve">ORD-2025-08872</t>
  </si>
  <si>
    <t xml:space="preserve">ORD-2022-00856</t>
  </si>
  <si>
    <t xml:space="preserve">ORD-2023-03927</t>
  </si>
  <si>
    <t xml:space="preserve">ORD-2022-00079</t>
  </si>
  <si>
    <t xml:space="preserve">ORD-2023-02248</t>
  </si>
  <si>
    <t xml:space="preserve">ORD-2025-07574</t>
  </si>
  <si>
    <t xml:space="preserve">ORD-2025-08999</t>
  </si>
  <si>
    <t xml:space="preserve">ORD-2025-08651</t>
  </si>
  <si>
    <t xml:space="preserve">ORD-2025-07641</t>
  </si>
  <si>
    <t xml:space="preserve">ORD-2025-08600</t>
  </si>
  <si>
    <t xml:space="preserve">ORD-2022-00789</t>
  </si>
  <si>
    <t xml:space="preserve">ORD-2023-02280</t>
  </si>
  <si>
    <t xml:space="preserve">ORD-2024-04096</t>
  </si>
  <si>
    <t xml:space="preserve">ORD-2023-03898</t>
  </si>
  <si>
    <t xml:space="preserve">ORD-2025-06444</t>
  </si>
  <si>
    <t xml:space="preserve">ORD-2025-08197</t>
  </si>
  <si>
    <t xml:space="preserve">ORD-2025-08543</t>
  </si>
  <si>
    <t xml:space="preserve">ORD-2023-03632</t>
  </si>
  <si>
    <t xml:space="preserve">ORD-2025-07399</t>
  </si>
  <si>
    <t xml:space="preserve">ORD-2024-06273</t>
  </si>
  <si>
    <t xml:space="preserve">ORD-2022-00425</t>
  </si>
  <si>
    <t xml:space="preserve">ORD-2022-00393</t>
  </si>
  <si>
    <t xml:space="preserve">ORD-2025-07378</t>
  </si>
  <si>
    <t xml:space="preserve">ORD-2022-00017</t>
  </si>
  <si>
    <t xml:space="preserve">ORD-2025-07387</t>
  </si>
  <si>
    <t xml:space="preserve">ORD-2024-04201</t>
  </si>
  <si>
    <t xml:space="preserve">ORD-2023-02673</t>
  </si>
  <si>
    <t xml:space="preserve">ORD-2023-02445</t>
  </si>
  <si>
    <t xml:space="preserve">ORD-2025-07075</t>
  </si>
  <si>
    <t xml:space="preserve">ORD-2025-06689</t>
  </si>
  <si>
    <t xml:space="preserve">ORD-2023-03494</t>
  </si>
  <si>
    <t xml:space="preserve">ORD-2024-06045</t>
  </si>
  <si>
    <t xml:space="preserve">ORD-2022-01460</t>
  </si>
  <si>
    <t xml:space="preserve">ORD-2025-07140</t>
  </si>
  <si>
    <t xml:space="preserve">ORD-2025-08970</t>
  </si>
  <si>
    <t xml:space="preserve">ORD-2025-06684</t>
  </si>
  <si>
    <t xml:space="preserve">ORD-2025-06570</t>
  </si>
  <si>
    <t xml:space="preserve">ORD-2023-03836</t>
  </si>
  <si>
    <t xml:space="preserve">ORD-2025-08419</t>
  </si>
  <si>
    <t xml:space="preserve">ORD-2024-05684</t>
  </si>
  <si>
    <t xml:space="preserve">ORD-2025-07823</t>
  </si>
  <si>
    <t xml:space="preserve">ORD-2024-05828</t>
  </si>
  <si>
    <t xml:space="preserve">ORD-2025-08814</t>
  </si>
  <si>
    <t xml:space="preserve">ORD-2024-04725</t>
  </si>
  <si>
    <t xml:space="preserve">ORD-2025-07666</t>
  </si>
  <si>
    <t xml:space="preserve">ORD-2024-05888</t>
  </si>
  <si>
    <t xml:space="preserve">ORD-2023-02356</t>
  </si>
  <si>
    <t xml:space="preserve">ORD-2024-06037</t>
  </si>
  <si>
    <t xml:space="preserve">ORD-2024-04799</t>
  </si>
  <si>
    <t xml:space="preserve">ORD-2023-02443</t>
  </si>
  <si>
    <t xml:space="preserve">ORD-2025-08842</t>
  </si>
  <si>
    <t xml:space="preserve">ORD-2024-04593</t>
  </si>
  <si>
    <t xml:space="preserve">ORD-2025-07683</t>
  </si>
  <si>
    <t xml:space="preserve">ORD-2022-00465</t>
  </si>
  <si>
    <t xml:space="preserve">ORD-2022-00164</t>
  </si>
  <si>
    <t xml:space="preserve">ORD-2025-08369</t>
  </si>
  <si>
    <t xml:space="preserve">ORD-2025-08645</t>
  </si>
  <si>
    <t xml:space="preserve">ORD-2025-07001</t>
  </si>
  <si>
    <t xml:space="preserve">ORD-2025-08841</t>
  </si>
  <si>
    <t xml:space="preserve">ORD-2022-00242</t>
  </si>
  <si>
    <t xml:space="preserve">ORD-2023-02010</t>
  </si>
  <si>
    <t xml:space="preserve">ORD-2024-06357</t>
  </si>
  <si>
    <t xml:space="preserve">ORD-2023-03085</t>
  </si>
  <si>
    <t xml:space="preserve">ORD-2024-06209</t>
  </si>
  <si>
    <t xml:space="preserve">ORD-2022-00901</t>
  </si>
  <si>
    <t xml:space="preserve">ORD-2024-05543</t>
  </si>
  <si>
    <t xml:space="preserve">ORD-2025-08887</t>
  </si>
  <si>
    <t xml:space="preserve">ORD-2025-07728</t>
  </si>
  <si>
    <t xml:space="preserve">ORD-2024-04838</t>
  </si>
  <si>
    <t xml:space="preserve">ORD-2023-02294</t>
  </si>
  <si>
    <t xml:space="preserve">ORD-2025-06469</t>
  </si>
  <si>
    <t xml:space="preserve">ORD-2024-04482</t>
  </si>
  <si>
    <t xml:space="preserve">ORD-2024-05303</t>
  </si>
  <si>
    <t xml:space="preserve">ORD-2024-04606</t>
  </si>
  <si>
    <t xml:space="preserve">ORD-2023-03717</t>
  </si>
  <si>
    <t xml:space="preserve">ORD-2025-08192</t>
  </si>
  <si>
    <t xml:space="preserve">ORD-2024-06141</t>
  </si>
  <si>
    <t xml:space="preserve">ORD-2022-01765</t>
  </si>
  <si>
    <t xml:space="preserve">ORD-2022-01550</t>
  </si>
  <si>
    <t xml:space="preserve">ORD-2023-03030</t>
  </si>
  <si>
    <t xml:space="preserve">ORD-2025-07462</t>
  </si>
  <si>
    <t xml:space="preserve">ORD-2024-06299</t>
  </si>
  <si>
    <t xml:space="preserve">ORD-2023-02045</t>
  </si>
  <si>
    <t xml:space="preserve">ORD-2022-00768</t>
  </si>
  <si>
    <t xml:space="preserve">ORD-2024-05694</t>
  </si>
  <si>
    <t xml:space="preserve">ORD-2022-01509</t>
  </si>
  <si>
    <t xml:space="preserve">ORD-2023-03303</t>
  </si>
  <si>
    <t xml:space="preserve">ORD-2024-04518</t>
  </si>
  <si>
    <t xml:space="preserve">ORD-2024-04220</t>
  </si>
  <si>
    <t xml:space="preserve">ORD-2025-08199</t>
  </si>
  <si>
    <t xml:space="preserve">ORD-2023-03293</t>
  </si>
  <si>
    <t xml:space="preserve">ORD-2022-00820</t>
  </si>
  <si>
    <t xml:space="preserve">ORD-2022-01404</t>
  </si>
  <si>
    <t xml:space="preserve">ORD-2022-01383</t>
  </si>
  <si>
    <t xml:space="preserve">ORD-2023-02149</t>
  </si>
  <si>
    <t xml:space="preserve">ORD-2024-05672</t>
  </si>
  <si>
    <t xml:space="preserve">ORD-2022-01639</t>
  </si>
  <si>
    <t xml:space="preserve">ORD-2024-05892</t>
  </si>
  <si>
    <t xml:space="preserve">ORD-2022-00609</t>
  </si>
  <si>
    <t xml:space="preserve">ORD-2022-00400</t>
  </si>
  <si>
    <t xml:space="preserve">ORD-2025-06407</t>
  </si>
  <si>
    <t xml:space="preserve">ORD-2022-00883</t>
  </si>
  <si>
    <t xml:space="preserve">ORD-2023-03566</t>
  </si>
  <si>
    <t xml:space="preserve">ORD-2024-04286</t>
  </si>
  <si>
    <t xml:space="preserve">ORD-2022-01180</t>
  </si>
  <si>
    <t xml:space="preserve">ORD-2024-05449</t>
  </si>
  <si>
    <t xml:space="preserve">ORD-2024-04245</t>
  </si>
  <si>
    <t xml:space="preserve">ORD-2024-05219</t>
  </si>
  <si>
    <t xml:space="preserve">ORD-2025-06752</t>
  </si>
  <si>
    <t xml:space="preserve">ORD-2023-02131</t>
  </si>
  <si>
    <t xml:space="preserve">ORD-2024-05079</t>
  </si>
  <si>
    <t xml:space="preserve">ORD-2022-00457</t>
  </si>
  <si>
    <t xml:space="preserve">ORD-2025-08710</t>
  </si>
  <si>
    <t xml:space="preserve">ORD-2024-05176</t>
  </si>
  <si>
    <t xml:space="preserve">ORD-2023-01951</t>
  </si>
  <si>
    <t xml:space="preserve">ORD-2024-05373</t>
  </si>
  <si>
    <t xml:space="preserve">ORD-2022-00690</t>
  </si>
  <si>
    <t xml:space="preserve">ORD-2025-08676</t>
  </si>
  <si>
    <t xml:space="preserve">ORD-2025-08882</t>
  </si>
  <si>
    <t xml:space="preserve">ORD-2025-06489</t>
  </si>
  <si>
    <t xml:space="preserve">ORD-2023-01954</t>
  </si>
  <si>
    <t xml:space="preserve">ORD-2024-05637</t>
  </si>
  <si>
    <t xml:space="preserve">ORD-2025-08470</t>
  </si>
  <si>
    <t xml:space="preserve">ORD-2023-02711</t>
  </si>
  <si>
    <t xml:space="preserve">ORD-2025-07299</t>
  </si>
  <si>
    <t xml:space="preserve">ORD-2025-07337</t>
  </si>
  <si>
    <t xml:space="preserve">ORD-2024-04350</t>
  </si>
  <si>
    <t xml:space="preserve">ORD-2024-04139</t>
  </si>
  <si>
    <t xml:space="preserve">ORD-2023-01885</t>
  </si>
  <si>
    <t xml:space="preserve">ORD-2025-07439</t>
  </si>
  <si>
    <t xml:space="preserve">ORD-2024-04486</t>
  </si>
  <si>
    <t xml:space="preserve">ORD-2023-02495</t>
  </si>
  <si>
    <t xml:space="preserve">ORD-2025-07053</t>
  </si>
  <si>
    <t xml:space="preserve">ORD-2023-03037</t>
  </si>
  <si>
    <t xml:space="preserve">ORD-2024-05778</t>
  </si>
  <si>
    <t xml:space="preserve">ORD-2023-03604</t>
  </si>
  <si>
    <t xml:space="preserve">ORD-2022-00846</t>
  </si>
  <si>
    <t xml:space="preserve">ORD-2022-00543</t>
  </si>
  <si>
    <t xml:space="preserve">ORD-2023-03725</t>
  </si>
  <si>
    <t xml:space="preserve">ORD-2024-04188</t>
  </si>
  <si>
    <t xml:space="preserve">ORD-2023-03680</t>
  </si>
  <si>
    <t xml:space="preserve">ORD-2025-07885</t>
  </si>
  <si>
    <t xml:space="preserve">ORD-2024-06076</t>
  </si>
  <si>
    <t xml:space="preserve">ORD-2025-06692</t>
  </si>
  <si>
    <t xml:space="preserve">ORD-2025-08074</t>
  </si>
  <si>
    <t xml:space="preserve">ORD-2025-06796</t>
  </si>
  <si>
    <t xml:space="preserve">ORD-2023-02965</t>
  </si>
  <si>
    <t xml:space="preserve">ORD-2023-02530</t>
  </si>
  <si>
    <t xml:space="preserve">ORD-2024-05773</t>
  </si>
  <si>
    <t xml:space="preserve">ORD-2022-01049</t>
  </si>
  <si>
    <t xml:space="preserve">ORD-2023-01961</t>
  </si>
  <si>
    <t xml:space="preserve">ORD-2023-02531</t>
  </si>
  <si>
    <t xml:space="preserve">ORD-2025-07278</t>
  </si>
  <si>
    <t xml:space="preserve">ORD-2025-06525</t>
  </si>
  <si>
    <t xml:space="preserve">ORD-2022-00238</t>
  </si>
  <si>
    <t xml:space="preserve">ORD-2024-04918</t>
  </si>
  <si>
    <t xml:space="preserve">ORD-2025-06480</t>
  </si>
  <si>
    <t xml:space="preserve">ORD-2022-01134</t>
  </si>
  <si>
    <t xml:space="preserve">ORD-2024-05902</t>
  </si>
  <si>
    <t xml:space="preserve">ORD-2025-08164</t>
  </si>
  <si>
    <t xml:space="preserve">ORD-2024-04260</t>
  </si>
  <si>
    <t xml:space="preserve">ORD-2025-07787</t>
  </si>
  <si>
    <t xml:space="preserve">ORD-2025-07307</t>
  </si>
  <si>
    <t xml:space="preserve">ORD-2025-07426</t>
  </si>
  <si>
    <t xml:space="preserve">ORD-2024-05657</t>
  </si>
  <si>
    <t xml:space="preserve">ORD-2025-07770</t>
  </si>
  <si>
    <t xml:space="preserve">ORD-2025-07934</t>
  </si>
  <si>
    <t xml:space="preserve">ORD-2024-05908</t>
  </si>
  <si>
    <t xml:space="preserve">ORD-2023-02979</t>
  </si>
  <si>
    <t xml:space="preserve">ORD-2025-07818</t>
  </si>
  <si>
    <t xml:space="preserve">ORD-2024-05525</t>
  </si>
  <si>
    <t xml:space="preserve">ORD-2025-07596</t>
  </si>
  <si>
    <t xml:space="preserve">ORD-2025-06680</t>
  </si>
  <si>
    <t xml:space="preserve">ORD-2025-07368</t>
  </si>
  <si>
    <t xml:space="preserve">ORD-2023-03920</t>
  </si>
  <si>
    <t xml:space="preserve">ORD-2023-03139</t>
  </si>
  <si>
    <t xml:space="preserve">ORD-2025-08514</t>
  </si>
  <si>
    <t xml:space="preserve">ORD-2024-05790</t>
  </si>
  <si>
    <t xml:space="preserve">ORD-2024-04074</t>
  </si>
  <si>
    <t xml:space="preserve">ORD-2023-03288</t>
  </si>
  <si>
    <t xml:space="preserve">ORD-2023-03230</t>
  </si>
  <si>
    <t xml:space="preserve">ORD-2022-01827</t>
  </si>
  <si>
    <t xml:space="preserve">ORD-2024-05549</t>
  </si>
  <si>
    <t xml:space="preserve">ORD-2022-00594</t>
  </si>
  <si>
    <t xml:space="preserve">ORD-2023-02726</t>
  </si>
  <si>
    <t xml:space="preserve">ORD-2024-04138</t>
  </si>
  <si>
    <t xml:space="preserve">ORD-2022-00561</t>
  </si>
  <si>
    <t xml:space="preserve">ORD-2025-08696</t>
  </si>
  <si>
    <t xml:space="preserve">ORD-2022-00244</t>
  </si>
  <si>
    <t xml:space="preserve">ORD-2024-05436</t>
  </si>
  <si>
    <t xml:space="preserve">ORD-2024-04438</t>
  </si>
  <si>
    <t xml:space="preserve">ORD-2025-06865</t>
  </si>
  <si>
    <t xml:space="preserve">ORD-2022-00406</t>
  </si>
  <si>
    <t xml:space="preserve">ORD-2022-01443</t>
  </si>
  <si>
    <t xml:space="preserve">ORD-2022-00262</t>
  </si>
  <si>
    <t xml:space="preserve">ORD-2025-06637</t>
  </si>
  <si>
    <t xml:space="preserve">ORD-2025-08619</t>
  </si>
  <si>
    <t xml:space="preserve">ORD-2022-01690</t>
  </si>
  <si>
    <t xml:space="preserve">ORD-2022-01726</t>
  </si>
  <si>
    <t xml:space="preserve">ORD-2025-08500</t>
  </si>
  <si>
    <t xml:space="preserve">ORD-2024-04931</t>
  </si>
  <si>
    <t xml:space="preserve">ORD-2024-05963</t>
  </si>
  <si>
    <t xml:space="preserve">ORD-2023-02497</t>
  </si>
  <si>
    <t xml:space="preserve">ORD-2024-06107</t>
  </si>
  <si>
    <t xml:space="preserve">ORD-2025-06654</t>
  </si>
  <si>
    <t xml:space="preserve">ORD-2022-00341</t>
  </si>
  <si>
    <t xml:space="preserve">ORD-2025-06904</t>
  </si>
  <si>
    <t xml:space="preserve">ORD-2022-01602</t>
  </si>
  <si>
    <t xml:space="preserve">ORD-2025-08107</t>
  </si>
  <si>
    <t xml:space="preserve">ORD-2024-05783</t>
  </si>
  <si>
    <t xml:space="preserve">ORD-2024-04577</t>
  </si>
  <si>
    <t xml:space="preserve">ORD-2023-03726</t>
  </si>
  <si>
    <t xml:space="preserve">ORD-2023-02557</t>
  </si>
  <si>
    <t xml:space="preserve">ORD-2023-02786</t>
  </si>
  <si>
    <t xml:space="preserve">ORD-2022-01524</t>
  </si>
  <si>
    <t xml:space="preserve">ORD-2025-07366</t>
  </si>
  <si>
    <t xml:space="preserve">ORD-2023-02832</t>
  </si>
  <si>
    <t xml:space="preserve">ORD-2022-01013</t>
  </si>
  <si>
    <t xml:space="preserve">ORD-2025-08729</t>
  </si>
  <si>
    <t xml:space="preserve">ORD-2025-07986</t>
  </si>
  <si>
    <t xml:space="preserve">ORD-2022-01767</t>
  </si>
  <si>
    <t xml:space="preserve">ORD-2024-04552</t>
  </si>
  <si>
    <t xml:space="preserve">ORD-2025-06550</t>
  </si>
  <si>
    <t xml:space="preserve">ORD-2024-04038</t>
  </si>
  <si>
    <t xml:space="preserve">ORD-2025-07793</t>
  </si>
  <si>
    <t xml:space="preserve">ORD-2025-08744</t>
  </si>
  <si>
    <t xml:space="preserve">ORD-2025-08558</t>
  </si>
  <si>
    <t xml:space="preserve">ORD-2025-08724</t>
  </si>
  <si>
    <t xml:space="preserve">ORD-2022-00364</t>
  </si>
  <si>
    <t xml:space="preserve">ORD-2024-05368</t>
  </si>
  <si>
    <t xml:space="preserve">ORD-2025-08995</t>
  </si>
  <si>
    <t xml:space="preserve">ORD-2025-07007</t>
  </si>
  <si>
    <t xml:space="preserve">ORD-2025-08544</t>
  </si>
  <si>
    <t xml:space="preserve">ORD-2024-04726</t>
  </si>
  <si>
    <t xml:space="preserve">ORD-2024-04444</t>
  </si>
  <si>
    <t xml:space="preserve">ORD-2025-07875</t>
  </si>
  <si>
    <t xml:space="preserve">ORD-2025-08664</t>
  </si>
  <si>
    <t xml:space="preserve">ORD-2023-02563</t>
  </si>
  <si>
    <t xml:space="preserve">ORD-2025-06921</t>
  </si>
  <si>
    <t xml:space="preserve">ORD-2025-08680</t>
  </si>
  <si>
    <t xml:space="preserve">ORD-2024-05520</t>
  </si>
  <si>
    <t xml:space="preserve">ORD-2025-08689</t>
  </si>
  <si>
    <t xml:space="preserve">ORD-2023-03084</t>
  </si>
  <si>
    <t xml:space="preserve">ORD-2023-02960</t>
  </si>
  <si>
    <t xml:space="preserve">ORD-2023-02103</t>
  </si>
  <si>
    <t xml:space="preserve">ORD-2022-00633</t>
  </si>
  <si>
    <t xml:space="preserve">ORD-2023-02494</t>
  </si>
  <si>
    <t xml:space="preserve">ORD-2023-02666</t>
  </si>
  <si>
    <t xml:space="preserve">ORD-2025-08611</t>
  </si>
  <si>
    <t xml:space="preserve">ORD-2024-04407</t>
  </si>
  <si>
    <t xml:space="preserve">ORD-2025-07264</t>
  </si>
  <si>
    <t xml:space="preserve">ORD-2025-07339</t>
  </si>
  <si>
    <t xml:space="preserve">ORD-2023-02335</t>
  </si>
  <si>
    <t xml:space="preserve">ORD-2025-08493</t>
  </si>
  <si>
    <t xml:space="preserve">ORD-2025-06597</t>
  </si>
  <si>
    <t xml:space="preserve">ORD-2023-03620</t>
  </si>
  <si>
    <t xml:space="preserve">ORD-2024-05562</t>
  </si>
  <si>
    <t xml:space="preserve">ORD-2023-03884</t>
  </si>
  <si>
    <t xml:space="preserve">ORD-2025-06719</t>
  </si>
  <si>
    <t xml:space="preserve">ORD-2024-04212</t>
  </si>
  <si>
    <t xml:space="preserve">ORD-2025-08593</t>
  </si>
  <si>
    <t xml:space="preserve">ORD-2022-01495</t>
  </si>
  <si>
    <t xml:space="preserve">ORD-2023-02402</t>
  </si>
  <si>
    <t xml:space="preserve">ORD-2023-03875</t>
  </si>
  <si>
    <t xml:space="preserve">ORD-2022-01233</t>
  </si>
  <si>
    <t xml:space="preserve">ORD-2023-02662</t>
  </si>
  <si>
    <t xml:space="preserve">ORD-2023-02818</t>
  </si>
  <si>
    <t xml:space="preserve">ORD-2025-06761</t>
  </si>
  <si>
    <t xml:space="preserve">ORD-2023-02775</t>
  </si>
  <si>
    <t xml:space="preserve">ORD-2025-08876</t>
  </si>
  <si>
    <t xml:space="preserve">ORD-2025-07930</t>
  </si>
  <si>
    <t xml:space="preserve">ORD-2024-04154</t>
  </si>
  <si>
    <t xml:space="preserve">ORD-2025-07367</t>
  </si>
  <si>
    <t xml:space="preserve">ORD-2023-03062</t>
  </si>
  <si>
    <t xml:space="preserve">ORD-2022-00067</t>
  </si>
  <si>
    <t xml:space="preserve">ORD-2025-08996</t>
  </si>
  <si>
    <t xml:space="preserve">ORD-2022-01736</t>
  </si>
  <si>
    <t xml:space="preserve">ORD-2023-02824</t>
  </si>
  <si>
    <t xml:space="preserve">ORD-2024-06293</t>
  </si>
  <si>
    <t xml:space="preserve">ORD-2025-07534</t>
  </si>
  <si>
    <t xml:space="preserve">ORD-2025-06792</t>
  </si>
  <si>
    <t xml:space="preserve">ORD-2023-02476</t>
  </si>
  <si>
    <t xml:space="preserve">ORD-2023-02565</t>
  </si>
  <si>
    <t xml:space="preserve">ORD-2023-03714</t>
  </si>
  <si>
    <t xml:space="preserve">ORD-2025-07640</t>
  </si>
  <si>
    <t xml:space="preserve">ORD-2022-00708</t>
  </si>
  <si>
    <t xml:space="preserve">ORD-2023-03047</t>
  </si>
  <si>
    <t xml:space="preserve">ORD-2025-08301</t>
  </si>
  <si>
    <t xml:space="preserve">ORD-2024-05190</t>
  </si>
  <si>
    <t xml:space="preserve">ORD-2025-07542</t>
  </si>
  <si>
    <t xml:space="preserve">ORD-2024-05473</t>
  </si>
  <si>
    <t xml:space="preserve">ORD-2022-00073</t>
  </si>
  <si>
    <t xml:space="preserve">ORD-2024-06019</t>
  </si>
  <si>
    <t xml:space="preserve">ORD-2024-04449</t>
  </si>
  <si>
    <t xml:space="preserve">ORD-2024-05861</t>
  </si>
  <si>
    <t xml:space="preserve">ORD-2024-04840</t>
  </si>
  <si>
    <t xml:space="preserve">ORD-2024-04132</t>
  </si>
  <si>
    <t xml:space="preserve">ORD-2024-05102</t>
  </si>
  <si>
    <t xml:space="preserve">ORD-2022-01191</t>
  </si>
  <si>
    <t xml:space="preserve">ORD-2025-06432</t>
  </si>
  <si>
    <t xml:space="preserve">ORD-2023-02602</t>
  </si>
  <si>
    <t xml:space="preserve">ORD-2022-01126</t>
  </si>
  <si>
    <t xml:space="preserve">ORD-2022-01242</t>
  </si>
  <si>
    <t xml:space="preserve">ORD-2025-06736</t>
  </si>
  <si>
    <t xml:space="preserve">ORD-2023-03603</t>
  </si>
  <si>
    <t xml:space="preserve">ORD-2025-08144</t>
  </si>
  <si>
    <t xml:space="preserve">ORD-2025-07415</t>
  </si>
  <si>
    <t xml:space="preserve">ORD-2023-03352</t>
  </si>
  <si>
    <t xml:space="preserve">ORD-2024-05095</t>
  </si>
  <si>
    <t xml:space="preserve">ORD-2025-06603</t>
  </si>
  <si>
    <t xml:space="preserve">ORD-2024-04009</t>
  </si>
  <si>
    <t xml:space="preserve">ORD-2022-01578</t>
  </si>
  <si>
    <t xml:space="preserve">ORD-2023-03907</t>
  </si>
  <si>
    <t xml:space="preserve">ORD-2023-03730</t>
  </si>
  <si>
    <t xml:space="preserve">ORD-2024-04359</t>
  </si>
  <si>
    <t xml:space="preserve">ORD-2024-05923</t>
  </si>
  <si>
    <t xml:space="preserve">ORD-2022-01344</t>
  </si>
  <si>
    <t xml:space="preserve">ORD-2025-07515</t>
  </si>
  <si>
    <t xml:space="preserve">ORD-2022-00441</t>
  </si>
  <si>
    <t xml:space="preserve">ORD-2025-06653</t>
  </si>
  <si>
    <t xml:space="preserve">ORD-2022-01101</t>
  </si>
  <si>
    <t xml:space="preserve">ORD-2023-02638</t>
  </si>
  <si>
    <t xml:space="preserve">ORD-2025-06984</t>
  </si>
  <si>
    <t xml:space="preserve">ORD-2022-00650</t>
  </si>
  <si>
    <t xml:space="preserve">ORD-2022-01547</t>
  </si>
  <si>
    <t xml:space="preserve">ORD-2025-07973</t>
  </si>
  <si>
    <t xml:space="preserve">ORD-2025-07541</t>
  </si>
  <si>
    <t xml:space="preserve">ORD-2023-02853</t>
  </si>
  <si>
    <t xml:space="preserve">ORD-2023-03504</t>
  </si>
  <si>
    <t xml:space="preserve">ORD-2025-07131</t>
  </si>
  <si>
    <t xml:space="preserve">ORD-2022-00631</t>
  </si>
  <si>
    <t xml:space="preserve">ORD-2024-04769</t>
  </si>
  <si>
    <t xml:space="preserve">ORD-2022-01250</t>
  </si>
  <si>
    <t xml:space="preserve">ORD-2025-06776</t>
  </si>
  <si>
    <t xml:space="preserve">ORD-2022-00483</t>
  </si>
  <si>
    <t xml:space="preserve">ORD-2022-01585</t>
  </si>
  <si>
    <t xml:space="preserve">ORD-2024-04677</t>
  </si>
  <si>
    <t xml:space="preserve">ORD-2025-06386</t>
  </si>
  <si>
    <t xml:space="preserve">ORD-2022-01463</t>
  </si>
  <si>
    <t xml:space="preserve">ORD-2023-03041</t>
  </si>
  <si>
    <t xml:space="preserve">ORD-2024-05011</t>
  </si>
  <si>
    <t xml:space="preserve">ORD-2025-07604</t>
  </si>
  <si>
    <t xml:space="preserve">ORD-2023-03274</t>
  </si>
  <si>
    <t xml:space="preserve">ORD-2023-03684</t>
  </si>
  <si>
    <t xml:space="preserve">ORD-2025-06675</t>
  </si>
  <si>
    <t xml:space="preserve">ORD-2024-04146</t>
  </si>
  <si>
    <t xml:space="preserve">ORD-2025-08804</t>
  </si>
  <si>
    <t xml:space="preserve">ORD-2025-07858</t>
  </si>
  <si>
    <t xml:space="preserve">ORD-2024-04955</t>
  </si>
  <si>
    <t xml:space="preserve">ORD-2023-03226</t>
  </si>
  <si>
    <t xml:space="preserve">ORD-2022-01073</t>
  </si>
  <si>
    <t xml:space="preserve">ORD-2024-04816</t>
  </si>
  <si>
    <t xml:space="preserve">ORD-2025-07263</t>
  </si>
  <si>
    <t xml:space="preserve">ORD-2023-02632</t>
  </si>
  <si>
    <t xml:space="preserve">ORD-2022-01661</t>
  </si>
  <si>
    <t xml:space="preserve">ORD-2024-05753</t>
  </si>
  <si>
    <t xml:space="preserve">ORD-2023-02426</t>
  </si>
  <si>
    <t xml:space="preserve">ORD-2024-05080</t>
  </si>
  <si>
    <t xml:space="preserve">ORD-2025-08261</t>
  </si>
  <si>
    <t xml:space="preserve">ORD-2024-05903</t>
  </si>
  <si>
    <t xml:space="preserve">ORD-2025-07511</t>
  </si>
  <si>
    <t xml:space="preserve">ORD-2023-03098</t>
  </si>
  <si>
    <t xml:space="preserve">ORD-2023-03977</t>
  </si>
  <si>
    <t xml:space="preserve">ORD-2022-01244</t>
  </si>
  <si>
    <t xml:space="preserve">ORD-2022-01301</t>
  </si>
  <si>
    <t xml:space="preserve">ORD-2024-06285</t>
  </si>
  <si>
    <t xml:space="preserve">ORD-2025-07041</t>
  </si>
  <si>
    <t xml:space="preserve">ORD-2025-06703</t>
  </si>
  <si>
    <t xml:space="preserve">ORD-2024-05482</t>
  </si>
  <si>
    <t xml:space="preserve">ORD-2025-07827</t>
  </si>
  <si>
    <t xml:space="preserve">ORD-2024-05496</t>
  </si>
  <si>
    <t xml:space="preserve">ORD-2024-05292</t>
  </si>
  <si>
    <t xml:space="preserve">ORD-2022-01409</t>
  </si>
  <si>
    <t xml:space="preserve">ORD-2023-01846</t>
  </si>
  <si>
    <t xml:space="preserve">ORD-2022-01799</t>
  </si>
  <si>
    <t xml:space="preserve">ORD-2023-03958</t>
  </si>
  <si>
    <t xml:space="preserve">ORD-2022-01476</t>
  </si>
  <si>
    <t xml:space="preserve">ORD-2025-07166</t>
  </si>
  <si>
    <t xml:space="preserve">ORD-2022-00036</t>
  </si>
  <si>
    <t xml:space="preserve">ORD-2025-07520</t>
  </si>
  <si>
    <t xml:space="preserve">ORD-2025-06442</t>
  </si>
  <si>
    <t xml:space="preserve">ORD-2022-00445</t>
  </si>
  <si>
    <t xml:space="preserve">ORD-2023-02360</t>
  </si>
  <si>
    <t xml:space="preserve">ORD-2023-03655</t>
  </si>
  <si>
    <t xml:space="preserve">ORD-2024-06303</t>
  </si>
  <si>
    <t xml:space="preserve">ORD-2025-07757</t>
  </si>
  <si>
    <t xml:space="preserve">ORD-2023-03180</t>
  </si>
  <si>
    <t xml:space="preserve">ORD-2022-01287</t>
  </si>
  <si>
    <t xml:space="preserve">ORD-2025-07332</t>
  </si>
  <si>
    <t xml:space="preserve">ORD-2024-04446</t>
  </si>
  <si>
    <t xml:space="preserve">ORD-2023-03417</t>
  </si>
  <si>
    <t xml:space="preserve">ORD-2023-02138</t>
  </si>
  <si>
    <t xml:space="preserve">ORD-2023-02637</t>
  </si>
  <si>
    <t xml:space="preserve">ORD-2024-04017</t>
  </si>
  <si>
    <t xml:space="preserve">ORD-2024-04098</t>
  </si>
  <si>
    <t xml:space="preserve">ORD-2022-01682</t>
  </si>
  <si>
    <t xml:space="preserve">ORD-2025-08817</t>
  </si>
  <si>
    <t xml:space="preserve">ORD-2025-07195</t>
  </si>
  <si>
    <t xml:space="preserve">ORD-2024-05768</t>
  </si>
  <si>
    <t xml:space="preserve">ORD-2025-06855</t>
  </si>
  <si>
    <t xml:space="preserve">ORD-2024-05276</t>
  </si>
  <si>
    <t xml:space="preserve">ORD-2022-01693</t>
  </si>
  <si>
    <t xml:space="preserve">ORD-2025-08125</t>
  </si>
  <si>
    <t xml:space="preserve">ORD-2025-07868</t>
  </si>
  <si>
    <t xml:space="preserve">ORD-2023-03636</t>
  </si>
  <si>
    <t xml:space="preserve">ORD-2022-00373</t>
  </si>
  <si>
    <t xml:space="preserve">ORD-2025-07593</t>
  </si>
  <si>
    <t xml:space="preserve">ORD-2024-06013</t>
  </si>
  <si>
    <t xml:space="preserve">ORD-2024-05454</t>
  </si>
  <si>
    <t xml:space="preserve">ORD-2024-05922</t>
  </si>
  <si>
    <t xml:space="preserve">ORD-2024-04883</t>
  </si>
  <si>
    <t xml:space="preserve">ORD-2024-04566</t>
  </si>
  <si>
    <t xml:space="preserve">ORD-2022-00141</t>
  </si>
  <si>
    <t xml:space="preserve">ORD-2024-04885</t>
  </si>
  <si>
    <t xml:space="preserve">ORD-2024-04420</t>
  </si>
  <si>
    <t xml:space="preserve">ORD-2025-08708</t>
  </si>
  <si>
    <t xml:space="preserve">ORD-2025-08113</t>
  </si>
  <si>
    <t xml:space="preserve">ORD-2022-00715</t>
  </si>
  <si>
    <t xml:space="preserve">ORD-2024-05924</t>
  </si>
  <si>
    <t xml:space="preserve">ORD-2025-06543</t>
  </si>
  <si>
    <t xml:space="preserve">ORD-2024-05244</t>
  </si>
  <si>
    <t xml:space="preserve">ORD-2023-03189</t>
  </si>
  <si>
    <t xml:space="preserve">ORD-2025-08467</t>
  </si>
  <si>
    <t xml:space="preserve">ORD-2024-04432</t>
  </si>
  <si>
    <t xml:space="preserve">ORD-2025-06937</t>
  </si>
  <si>
    <t xml:space="preserve">ORD-2025-06763</t>
  </si>
  <si>
    <t xml:space="preserve">ORD-2022-00407</t>
  </si>
  <si>
    <t xml:space="preserve">ORD-2022-00021</t>
  </si>
  <si>
    <t xml:space="preserve">ORD-2022-01005</t>
  </si>
  <si>
    <t xml:space="preserve">ORD-2025-06954</t>
  </si>
  <si>
    <t xml:space="preserve">ORD-2024-04987</t>
  </si>
  <si>
    <t xml:space="preserve">ORD-2023-02412</t>
  </si>
  <si>
    <t xml:space="preserve">ORD-2023-02546</t>
  </si>
  <si>
    <t xml:space="preserve">ORD-2025-08928</t>
  </si>
  <si>
    <t xml:space="preserve">ORD-2023-02391</t>
  </si>
  <si>
    <t xml:space="preserve">ORD-2025-07935</t>
  </si>
  <si>
    <t xml:space="preserve">ORD-2022-00043</t>
  </si>
  <si>
    <t xml:space="preserve">ORD-2023-02831</t>
  </si>
  <si>
    <t xml:space="preserve">ORD-2024-05860</t>
  </si>
  <si>
    <t xml:space="preserve">ORD-2023-03372</t>
  </si>
  <si>
    <t xml:space="preserve">ORD-2023-03023</t>
  </si>
  <si>
    <t xml:space="preserve">ORD-2023-03365</t>
  </si>
  <si>
    <t xml:space="preserve">ORD-2024-04400</t>
  </si>
  <si>
    <t xml:space="preserve">ORD-2024-05253</t>
  </si>
  <si>
    <t xml:space="preserve">ORD-2022-00012</t>
  </si>
  <si>
    <t xml:space="preserve">ORD-2024-04761</t>
  </si>
  <si>
    <t xml:space="preserve">ORD-2022-01178</t>
  </si>
  <si>
    <t xml:space="preserve">ORD-2025-06773</t>
  </si>
  <si>
    <t xml:space="preserve">ORD-2023-01948</t>
  </si>
  <si>
    <t xml:space="preserve">ORD-2023-02502</t>
  </si>
  <si>
    <t xml:space="preserve">ORD-2025-08386</t>
  </si>
  <si>
    <t xml:space="preserve">ORD-2023-02864</t>
  </si>
  <si>
    <t xml:space="preserve">ORD-2025-07499</t>
  </si>
  <si>
    <t xml:space="preserve">ORD-2023-03866</t>
  </si>
  <si>
    <t xml:space="preserve">ORD-2024-06229</t>
  </si>
  <si>
    <t xml:space="preserve">ORD-2022-01027</t>
  </si>
  <si>
    <t xml:space="preserve">ORD-2023-03849</t>
  </si>
  <si>
    <t xml:space="preserve">ORD-2023-02990</t>
  </si>
  <si>
    <t xml:space="preserve">ORD-2022-00962</t>
  </si>
  <si>
    <t xml:space="preserve">ORD-2023-02890</t>
  </si>
  <si>
    <t xml:space="preserve">ORD-2023-03016</t>
  </si>
  <si>
    <t xml:space="preserve">ORD-2023-03339</t>
  </si>
  <si>
    <t xml:space="preserve">ORD-2024-06106</t>
  </si>
  <si>
    <t xml:space="preserve">ORD-2024-06246</t>
  </si>
  <si>
    <t xml:space="preserve">ORD-2025-07283</t>
  </si>
  <si>
    <t xml:space="preserve">ORD-2025-06435</t>
  </si>
  <si>
    <t xml:space="preserve">ORD-2025-06998</t>
  </si>
  <si>
    <t xml:space="preserve">ORD-2022-00736</t>
  </si>
  <si>
    <t xml:space="preserve">ORD-2024-04401</t>
  </si>
  <si>
    <t xml:space="preserve">ORD-2022-01441</t>
  </si>
  <si>
    <t xml:space="preserve">ORD-2025-08813</t>
  </si>
  <si>
    <t xml:space="preserve">ORD-2025-08623</t>
  </si>
  <si>
    <t xml:space="preserve">ORD-2023-02876</t>
  </si>
  <si>
    <t xml:space="preserve">ORD-2023-03987</t>
  </si>
  <si>
    <t xml:space="preserve">ORD-2022-00917</t>
  </si>
  <si>
    <t xml:space="preserve">ORD-2025-08217</t>
  </si>
  <si>
    <t xml:space="preserve">ORD-2025-07707</t>
  </si>
  <si>
    <t xml:space="preserve">ORD-2024-04090</t>
  </si>
  <si>
    <t xml:space="preserve">ORD-2025-08666</t>
  </si>
  <si>
    <t xml:space="preserve">ORD-2025-07785</t>
  </si>
  <si>
    <t xml:space="preserve">ORD-2023-02773</t>
  </si>
  <si>
    <t xml:space="preserve">ORD-2022-01625</t>
  </si>
  <si>
    <t xml:space="preserve">ORD-2025-07829</t>
  </si>
  <si>
    <t xml:space="preserve">ORD-2022-00822</t>
  </si>
  <si>
    <t xml:space="preserve">ORD-2022-01368</t>
  </si>
  <si>
    <t xml:space="preserve">ORD-2023-03713</t>
  </si>
  <si>
    <t xml:space="preserve">ORD-2025-08911</t>
  </si>
  <si>
    <t xml:space="preserve">ORD-2022-01389</t>
  </si>
  <si>
    <t xml:space="preserve">ORD-2022-00851</t>
  </si>
  <si>
    <t xml:space="preserve">ORD-2022-01001</t>
  </si>
  <si>
    <t xml:space="preserve">ORD-2025-07346</t>
  </si>
  <si>
    <t xml:space="preserve">ORD-2025-07353</t>
  </si>
  <si>
    <t xml:space="preserve">ORD-2024-04115</t>
  </si>
  <si>
    <t xml:space="preserve">ORD-2022-01638</t>
  </si>
  <si>
    <t xml:space="preserve">ORD-2022-01668</t>
  </si>
  <si>
    <t xml:space="preserve">ORD-2024-04590</t>
  </si>
  <si>
    <t xml:space="preserve">ORD-2023-03174</t>
  </si>
  <si>
    <t xml:space="preserve">ORD-2025-07523</t>
  </si>
  <si>
    <t xml:space="preserve">ORD-2022-01348</t>
  </si>
  <si>
    <t xml:space="preserve">ORD-2025-07713</t>
  </si>
  <si>
    <t xml:space="preserve">ORD-2023-03231</t>
  </si>
  <si>
    <t xml:space="preserve">ORD-2025-07206</t>
  </si>
  <si>
    <t xml:space="preserve">ORD-2025-06974</t>
  </si>
  <si>
    <t xml:space="preserve">ORD-2025-07597</t>
  </si>
  <si>
    <t xml:space="preserve">ORD-2024-04784</t>
  </si>
  <si>
    <t xml:space="preserve">ORD-2025-07718</t>
  </si>
  <si>
    <t xml:space="preserve">ORD-2023-03233</t>
  </si>
  <si>
    <t xml:space="preserve">ORD-2024-05705</t>
  </si>
  <si>
    <t xml:space="preserve">ORD-2025-08076</t>
  </si>
  <si>
    <t xml:space="preserve">ORD-2022-00704</t>
  </si>
  <si>
    <t xml:space="preserve">ORD-2024-05106</t>
  </si>
  <si>
    <t xml:space="preserve">ORD-2025-07876</t>
  </si>
  <si>
    <t xml:space="preserve">ORD-2023-03292</t>
  </si>
  <si>
    <t xml:space="preserve">ORD-2023-03674</t>
  </si>
  <si>
    <t xml:space="preserve">ORD-2023-02409</t>
  </si>
  <si>
    <t xml:space="preserve">ORD-2025-08660</t>
  </si>
  <si>
    <t xml:space="preserve">ORD-2022-01328</t>
  </si>
  <si>
    <t xml:space="preserve">ORD-2025-08706</t>
  </si>
  <si>
    <t xml:space="preserve">ORD-2024-05774</t>
  </si>
  <si>
    <t xml:space="preserve">ORD-2024-06096</t>
  </si>
  <si>
    <t xml:space="preserve">ORD-2024-05407</t>
  </si>
  <si>
    <t xml:space="preserve">ORD-2025-08095</t>
  </si>
  <si>
    <t xml:space="preserve">ORD-2024-06084</t>
  </si>
  <si>
    <t xml:space="preserve">ORD-2024-04910</t>
  </si>
  <si>
    <t xml:space="preserve">ORD-2024-04441</t>
  </si>
  <si>
    <t xml:space="preserve">ORD-2023-01864</t>
  </si>
  <si>
    <t xml:space="preserve">ORD-2022-00987</t>
  </si>
  <si>
    <t xml:space="preserve">ORD-2025-07844</t>
  </si>
  <si>
    <t xml:space="preserve">ORD-2023-03953</t>
  </si>
  <si>
    <t xml:space="preserve">ORD-2025-07798</t>
  </si>
  <si>
    <t xml:space="preserve">ORD-2025-08344</t>
  </si>
  <si>
    <t xml:space="preserve">ORD-2025-08328</t>
  </si>
  <si>
    <t xml:space="preserve">ORD-2024-04050</t>
  </si>
  <si>
    <t xml:space="preserve">ORD-2024-06258</t>
  </si>
  <si>
    <t xml:space="preserve">ORD-2023-03486</t>
  </si>
  <si>
    <t xml:space="preserve">ORD-2024-06090</t>
  </si>
  <si>
    <t xml:space="preserve">ORD-2023-02475</t>
  </si>
  <si>
    <t xml:space="preserve">ORD-2024-05239</t>
  </si>
  <si>
    <t xml:space="preserve">ORD-2025-06455</t>
  </si>
  <si>
    <t xml:space="preserve">ORD-2023-03874</t>
  </si>
  <si>
    <t xml:space="preserve">ORD-2022-01199</t>
  </si>
  <si>
    <t xml:space="preserve">ORD-2024-04182</t>
  </si>
  <si>
    <t xml:space="preserve">ORD-2022-01519</t>
  </si>
  <si>
    <t xml:space="preserve">ORD-2025-08189</t>
  </si>
  <si>
    <t xml:space="preserve">ORD-2024-05478</t>
  </si>
  <si>
    <t xml:space="preserve">ORD-2025-06813</t>
  </si>
  <si>
    <t xml:space="preserve">ORD-2022-01800</t>
  </si>
  <si>
    <t xml:space="preserve">ORD-2022-01015</t>
  </si>
  <si>
    <t xml:space="preserve">ORD-2022-00129</t>
  </si>
  <si>
    <t xml:space="preserve">ORD-2022-01365</t>
  </si>
  <si>
    <t xml:space="preserve">ORD-2025-07606</t>
  </si>
  <si>
    <t xml:space="preserve">ORD-2024-04471</t>
  </si>
  <si>
    <t xml:space="preserve">ORD-2022-00892</t>
  </si>
  <si>
    <t xml:space="preserve">ORD-2023-02794</t>
  </si>
  <si>
    <t xml:space="preserve">ORD-2023-01970</t>
  </si>
  <si>
    <t xml:space="preserve">ORD-2024-05456</t>
  </si>
  <si>
    <t xml:space="preserve">ORD-2024-04404</t>
  </si>
  <si>
    <t xml:space="preserve">ORD-2024-05758</t>
  </si>
  <si>
    <t xml:space="preserve">ORD-2025-06528</t>
  </si>
  <si>
    <t xml:space="preserve">ORD-2024-06295</t>
  </si>
  <si>
    <t xml:space="preserve">ORD-2023-03924</t>
  </si>
  <si>
    <t xml:space="preserve">ORD-2024-05414</t>
  </si>
  <si>
    <t xml:space="preserve">ORD-2025-08333</t>
  </si>
  <si>
    <t xml:space="preserve">ORD-2023-03250</t>
  </si>
  <si>
    <t xml:space="preserve">ORD-2025-06571</t>
  </si>
  <si>
    <t xml:space="preserve">ORD-2025-06639</t>
  </si>
  <si>
    <t xml:space="preserve">ORD-2025-08284</t>
  </si>
  <si>
    <t xml:space="preserve">ORD-2022-01209</t>
  </si>
  <si>
    <t xml:space="preserve">ORD-2023-03869</t>
  </si>
  <si>
    <t xml:space="preserve">ORD-2025-08539</t>
  </si>
  <si>
    <t xml:space="preserve">ORD-2024-04066</t>
  </si>
  <si>
    <t xml:space="preserve">ORD-2025-08314</t>
  </si>
  <si>
    <t xml:space="preserve">ORD-2025-07498</t>
  </si>
  <si>
    <t xml:space="preserve">ORD-2022-01240</t>
  </si>
  <si>
    <t xml:space="preserve">ORD-2023-02290</t>
  </si>
  <si>
    <t xml:space="preserve">ORD-2023-02741</t>
  </si>
  <si>
    <t xml:space="preserve">ORD-2022-00276</t>
  </si>
  <si>
    <t xml:space="preserve">ORD-2024-04586</t>
  </si>
  <si>
    <t xml:space="preserve">ORD-2022-01036</t>
  </si>
  <si>
    <t xml:space="preserve">ORD-2022-01230</t>
  </si>
  <si>
    <t xml:space="preserve">ORD-2025-06835</t>
  </si>
  <si>
    <t xml:space="preserve">ORD-2022-01009</t>
  </si>
  <si>
    <t xml:space="preserve">ORD-2025-08050</t>
  </si>
  <si>
    <t xml:space="preserve">ORD-2024-05179</t>
  </si>
  <si>
    <t xml:space="preserve">ORD-2023-03829</t>
  </si>
  <si>
    <t xml:space="preserve">ORD-2023-02533</t>
  </si>
  <si>
    <t xml:space="preserve">ORD-2024-04294</t>
  </si>
  <si>
    <t xml:space="preserve">ORD-2022-01059</t>
  </si>
  <si>
    <t xml:space="preserve">ORD-2024-06263</t>
  </si>
  <si>
    <t xml:space="preserve">ORD-2025-07342</t>
  </si>
  <si>
    <t xml:space="preserve">ORD-2022-00282</t>
  </si>
  <si>
    <t xml:space="preserve">ORD-2022-01044</t>
  </si>
  <si>
    <t xml:space="preserve">ORD-2022-01317</t>
  </si>
  <si>
    <t xml:space="preserve">ORD-2025-06655</t>
  </si>
  <si>
    <t xml:space="preserve">ORD-2022-00969</t>
  </si>
  <si>
    <t xml:space="preserve">ORD-2023-02382</t>
  </si>
  <si>
    <t xml:space="preserve">ORD-2025-07882</t>
  </si>
  <si>
    <t xml:space="preserve">ORD-2023-01940</t>
  </si>
  <si>
    <t xml:space="preserve">ORD-2025-07110</t>
  </si>
  <si>
    <t xml:space="preserve">ORD-2022-01275</t>
  </si>
  <si>
    <t xml:space="preserve">ORD-2022-00620</t>
  </si>
  <si>
    <t xml:space="preserve">ORD-2025-07186</t>
  </si>
  <si>
    <t xml:space="preserve">ORD-2022-01743</t>
  </si>
  <si>
    <t xml:space="preserve">ORD-2022-01391</t>
  </si>
  <si>
    <t xml:space="preserve">ORD-2025-08043</t>
  </si>
  <si>
    <t xml:space="preserve">ORD-2024-05944</t>
  </si>
  <si>
    <t xml:space="preserve">ORD-2022-01580</t>
  </si>
  <si>
    <t xml:space="preserve">ORD-2022-01656</t>
  </si>
  <si>
    <t xml:space="preserve">ORD-2023-03569</t>
  </si>
  <si>
    <t xml:space="preserve">ORD-2023-02353</t>
  </si>
  <si>
    <t xml:space="preserve">ORD-2023-02213</t>
  </si>
  <si>
    <t xml:space="preserve">ORD-2024-06117</t>
  </si>
  <si>
    <t xml:space="preserve">ORD-2025-08305</t>
  </si>
  <si>
    <t xml:space="preserve">ORD-2024-06053</t>
  </si>
  <si>
    <t xml:space="preserve">ORD-2023-03179</t>
  </si>
  <si>
    <t xml:space="preserve">ORD-2023-03193</t>
  </si>
  <si>
    <t xml:space="preserve">ORD-2022-01308</t>
  </si>
  <si>
    <t xml:space="preserve">ORD-2024-06100</t>
  </si>
  <si>
    <t xml:space="preserve">ORD-2022-00576</t>
  </si>
  <si>
    <t xml:space="preserve">ORD-2023-02361</t>
  </si>
  <si>
    <t xml:space="preserve">ORD-2025-06657</t>
  </si>
  <si>
    <t xml:space="preserve">ORD-2024-05803</t>
  </si>
  <si>
    <t xml:space="preserve">ORD-2025-07730</t>
  </si>
  <si>
    <t xml:space="preserve">ORD-2025-07446</t>
  </si>
  <si>
    <t xml:space="preserve">ORD-2022-01281</t>
  </si>
  <si>
    <t xml:space="preserve">ORD-2025-08037</t>
  </si>
  <si>
    <t xml:space="preserve">ORD-2024-04958</t>
  </si>
  <si>
    <t xml:space="preserve">ORD-2025-08168</t>
  </si>
  <si>
    <t xml:space="preserve">ORD-2024-05898</t>
  </si>
  <si>
    <t xml:space="preserve">ORD-2024-05725</t>
  </si>
  <si>
    <t xml:space="preserve">ORD-2023-01994</t>
  </si>
  <si>
    <t xml:space="preserve">ORD-2023-02640</t>
  </si>
  <si>
    <t xml:space="preserve">ORD-2022-00270</t>
  </si>
  <si>
    <t xml:space="preserve">ORD-2022-00630</t>
  </si>
  <si>
    <t xml:space="preserve">ORD-2025-07330</t>
  </si>
  <si>
    <t xml:space="preserve">ORD-2023-03082</t>
  </si>
  <si>
    <t xml:space="preserve">ORD-2023-03467</t>
  </si>
  <si>
    <t xml:space="preserve">ORD-2025-06431</t>
  </si>
  <si>
    <t xml:space="preserve">ORD-2025-08417</t>
  </si>
  <si>
    <t xml:space="preserve">ORD-2024-04397</t>
  </si>
  <si>
    <t xml:space="preserve">ORD-2024-04024</t>
  </si>
  <si>
    <t xml:space="preserve">ORD-2025-08795</t>
  </si>
  <si>
    <t xml:space="preserve">ORD-2024-05544</t>
  </si>
  <si>
    <t xml:space="preserve">ORD-2024-05569</t>
  </si>
  <si>
    <t xml:space="preserve">ORD-2023-02047</t>
  </si>
  <si>
    <t xml:space="preserve">ORD-2024-04357</t>
  </si>
  <si>
    <t xml:space="preserve">ORD-2025-07754</t>
  </si>
  <si>
    <t xml:space="preserve">ORD-2023-02114</t>
  </si>
  <si>
    <t xml:space="preserve">ORD-2022-00028</t>
  </si>
  <si>
    <t xml:space="preserve">ORD-2023-02041</t>
  </si>
  <si>
    <t xml:space="preserve">ORD-2023-03929</t>
  </si>
  <si>
    <t xml:space="preserve">ORD-2023-02939</t>
  </si>
  <si>
    <t xml:space="preserve">ORD-2023-03217</t>
  </si>
  <si>
    <t xml:space="preserve">ORD-2024-04934</t>
  </si>
  <si>
    <t xml:space="preserve">ORD-2023-03815</t>
  </si>
  <si>
    <t xml:space="preserve">ORD-2022-00130</t>
  </si>
  <si>
    <t xml:space="preserve">ORD-2025-07334</t>
  </si>
  <si>
    <t xml:space="preserve">ORD-2024-06105</t>
  </si>
  <si>
    <t xml:space="preserve">ORD-2023-02279</t>
  </si>
  <si>
    <t xml:space="preserve">ORD-2024-04600</t>
  </si>
  <si>
    <t xml:space="preserve">ORD-2022-00014</t>
  </si>
  <si>
    <t xml:space="preserve">ORD-2025-08334</t>
  </si>
  <si>
    <t xml:space="preserve">ORD-2024-04477</t>
  </si>
  <si>
    <t xml:space="preserve">ORD-2024-05948</t>
  </si>
  <si>
    <t xml:space="preserve">ORD-2022-01526</t>
  </si>
  <si>
    <t xml:space="preserve">ORD-2023-02366</t>
  </si>
  <si>
    <t xml:space="preserve">ORD-2024-04649</t>
  </si>
  <si>
    <t xml:space="preserve">ORD-2023-03053</t>
  </si>
  <si>
    <t xml:space="preserve">ORD-2024-04006</t>
  </si>
  <si>
    <t xml:space="preserve">ORD-2025-06981</t>
  </si>
  <si>
    <t xml:space="preserve">ORD-2023-02341</t>
  </si>
  <si>
    <t xml:space="preserve">ORD-2022-00375</t>
  </si>
  <si>
    <t xml:space="preserve">ORD-2025-07212</t>
  </si>
  <si>
    <t xml:space="preserve">ORD-2025-06478</t>
  </si>
  <si>
    <t xml:space="preserve">ORD-2022-00526</t>
  </si>
  <si>
    <t xml:space="preserve">ORD-2022-00940</t>
  </si>
  <si>
    <t xml:space="preserve">ORD-2023-03370</t>
  </si>
  <si>
    <t xml:space="preserve">ORD-2024-05719</t>
  </si>
  <si>
    <t xml:space="preserve">ORD-2024-04574</t>
  </si>
  <si>
    <t xml:space="preserve">ORD-2025-06896</t>
  </si>
  <si>
    <t xml:space="preserve">ORD-2023-02148</t>
  </si>
  <si>
    <t xml:space="preserve">ORD-2023-03592</t>
  </si>
  <si>
    <t xml:space="preserve">ORD-2025-07809</t>
  </si>
  <si>
    <t xml:space="preserve">ORD-2025-08595</t>
  </si>
  <si>
    <t xml:space="preserve">ORD-2023-02959</t>
  </si>
  <si>
    <t xml:space="preserve">ORD-2024-06165</t>
  </si>
  <si>
    <t xml:space="preserve">ORD-2023-03624</t>
  </si>
  <si>
    <t xml:space="preserve">ORD-2022-00530</t>
  </si>
  <si>
    <t xml:space="preserve">ORD-2023-03715</t>
  </si>
  <si>
    <t xml:space="preserve">ORD-2025-07717</t>
  </si>
  <si>
    <t xml:space="preserve">ORD-2024-04733</t>
  </si>
  <si>
    <t xml:space="preserve">ORD-2022-01270</t>
  </si>
  <si>
    <t xml:space="preserve">ORD-2024-04282</t>
  </si>
  <si>
    <t xml:space="preserve">ORD-2022-01395</t>
  </si>
  <si>
    <t xml:space="preserve">ORD-2024-04851</t>
  </si>
  <si>
    <t xml:space="preserve">ORD-2024-04010</t>
  </si>
  <si>
    <t xml:space="preserve">ORD-2024-04391</t>
  </si>
  <si>
    <t xml:space="preserve">ORD-2022-01798</t>
  </si>
  <si>
    <t xml:space="preserve">ORD-2023-02980</t>
  </si>
  <si>
    <t xml:space="preserve">ORD-2022-01442</t>
  </si>
  <si>
    <t xml:space="preserve">ORD-2025-07398</t>
  </si>
  <si>
    <t xml:space="preserve">ORD-2023-02626</t>
  </si>
  <si>
    <t xml:space="preserve">ORD-2023-03812</t>
  </si>
  <si>
    <t xml:space="preserve">ORD-2024-05632</t>
  </si>
  <si>
    <t xml:space="preserve">ORD-2025-07416</t>
  </si>
  <si>
    <t xml:space="preserve">ORD-2022-01274</t>
  </si>
  <si>
    <t xml:space="preserve">ORD-2025-08099</t>
  </si>
  <si>
    <t xml:space="preserve">ORD-2024-04704</t>
  </si>
  <si>
    <t xml:space="preserve">ORD-2025-07091</t>
  </si>
  <si>
    <t xml:space="preserve">ORD-2022-01713</t>
  </si>
  <si>
    <t xml:space="preserve">ORD-2025-08820</t>
  </si>
  <si>
    <t xml:space="preserve">ORD-2022-00956</t>
  </si>
  <si>
    <t xml:space="preserve">ORD-2025-06676</t>
  </si>
  <si>
    <t xml:space="preserve">ORD-2025-07328</t>
  </si>
  <si>
    <t xml:space="preserve">ORD-2025-08477</t>
  </si>
  <si>
    <t xml:space="preserve">ORD-2025-08476</t>
  </si>
  <si>
    <t xml:space="preserve">ORD-2025-08647</t>
  </si>
  <si>
    <t xml:space="preserve">ORD-2025-07670</t>
  </si>
  <si>
    <t xml:space="preserve">ORD-2022-00404</t>
  </si>
  <si>
    <t xml:space="preserve">ORD-2023-02072</t>
  </si>
  <si>
    <t xml:space="preserve">ORD-2025-08806</t>
  </si>
  <si>
    <t xml:space="preserve">ORD-2023-01978</t>
  </si>
  <si>
    <t xml:space="preserve">ORD-2022-00159</t>
  </si>
  <si>
    <t xml:space="preserve">ORD-2024-05845</t>
  </si>
  <si>
    <t xml:space="preserve">ORD-2025-07006</t>
  </si>
  <si>
    <t xml:space="preserve">ORD-2023-03889</t>
  </si>
  <si>
    <t xml:space="preserve">ORD-2024-05452</t>
  </si>
  <si>
    <t xml:space="preserve">ORD-2022-00903</t>
  </si>
  <si>
    <t xml:space="preserve">ORD-2022-00353</t>
  </si>
  <si>
    <t xml:space="preserve">ORD-2024-05327</t>
  </si>
  <si>
    <t xml:space="preserve">ORD-2024-06079</t>
  </si>
  <si>
    <t xml:space="preserve">ORD-2024-06237</t>
  </si>
  <si>
    <t xml:space="preserve">ORD-2024-04541</t>
  </si>
  <si>
    <t xml:space="preserve">ORD-2024-04131</t>
  </si>
  <si>
    <t xml:space="preserve">ORD-2022-00755</t>
  </si>
  <si>
    <t xml:space="preserve">ORD-2024-05834</t>
  </si>
  <si>
    <t xml:space="preserve">ORD-2023-02972</t>
  </si>
  <si>
    <t xml:space="preserve">ORD-2022-01083</t>
  </si>
  <si>
    <t xml:space="preserve">ORD-2023-02921</t>
  </si>
  <si>
    <t xml:space="preserve">ORD-2022-00312</t>
  </si>
  <si>
    <t xml:space="preserve">ORD-2024-04645</t>
  </si>
  <si>
    <t xml:space="preserve">ORD-2022-00662</t>
  </si>
  <si>
    <t xml:space="preserve">ORD-2025-07058</t>
  </si>
  <si>
    <t xml:space="preserve">ORD-2023-01990</t>
  </si>
  <si>
    <t xml:space="preserve">ORD-2023-03666</t>
  </si>
  <si>
    <t xml:space="preserve">ORD-2022-00307</t>
  </si>
  <si>
    <t xml:space="preserve">ORD-2023-02336</t>
  </si>
  <si>
    <t xml:space="preserve">ORD-2024-04791</t>
  </si>
  <si>
    <t xml:space="preserve">ORD-2023-02357</t>
  </si>
  <si>
    <t xml:space="preserve">ORD-2023-03703</t>
  </si>
  <si>
    <t xml:space="preserve">ORD-2023-03805</t>
  </si>
  <si>
    <t xml:space="preserve">ORD-2023-01928</t>
  </si>
  <si>
    <t xml:space="preserve">ORD-2023-03428</t>
  </si>
  <si>
    <t xml:space="preserve">ORD-2022-00750</t>
  </si>
  <si>
    <t xml:space="preserve">ORD-2023-03639</t>
  </si>
  <si>
    <t xml:space="preserve">ORD-2025-07198</t>
  </si>
  <si>
    <t xml:space="preserve">ORD-2022-01267</t>
  </si>
  <si>
    <t xml:space="preserve">ORD-2025-07239</t>
  </si>
  <si>
    <t xml:space="preserve">ORD-2025-07508</t>
  </si>
  <si>
    <t xml:space="preserve">ORD-2023-02957</t>
  </si>
  <si>
    <t xml:space="preserve">ORD-2023-03596</t>
  </si>
  <si>
    <t xml:space="preserve">ORD-2023-02135</t>
  </si>
  <si>
    <t xml:space="preserve">ORD-2025-07122</t>
  </si>
  <si>
    <t xml:space="preserve">ORD-2024-05067</t>
  </si>
  <si>
    <t xml:space="preserve">ORD-2024-04110</t>
  </si>
  <si>
    <t xml:space="preserve">ORD-2024-04970</t>
  </si>
  <si>
    <t xml:space="preserve">ORD-2024-04905</t>
  </si>
  <si>
    <t xml:space="preserve">ORD-2022-00515</t>
  </si>
  <si>
    <t xml:space="preserve">ORD-2022-00895</t>
  </si>
  <si>
    <t xml:space="preserve">ORD-2022-00410</t>
  </si>
  <si>
    <t xml:space="preserve">ORD-2025-07380</t>
  </si>
  <si>
    <t xml:space="preserve">ORD-2023-03462</t>
  </si>
  <si>
    <t xml:space="preserve">ORD-2022-00900</t>
  </si>
  <si>
    <t xml:space="preserve">ORD-2022-00208</t>
  </si>
  <si>
    <t xml:space="preserve">ORD-2025-08038</t>
  </si>
  <si>
    <t xml:space="preserve">ORD-2022-00459</t>
  </si>
  <si>
    <t xml:space="preserve">ORD-2023-02055</t>
  </si>
  <si>
    <t xml:space="preserve">ORD-2023-02431</t>
  </si>
  <si>
    <t xml:space="preserve">ORD-2022-00251</t>
  </si>
  <si>
    <t xml:space="preserve">ORD-2024-05438</t>
  </si>
  <si>
    <t xml:space="preserve">ORD-2022-01108</t>
  </si>
  <si>
    <t xml:space="preserve">ORD-2025-08409</t>
  </si>
  <si>
    <t xml:space="preserve">ORD-2024-05980</t>
  </si>
  <si>
    <t xml:space="preserve">ORD-2022-01714</t>
  </si>
  <si>
    <t xml:space="preserve">ORD-2023-03912</t>
  </si>
  <si>
    <t xml:space="preserve">ORD-2025-07953</t>
  </si>
  <si>
    <t xml:space="preserve">ORD-2022-00716</t>
  </si>
  <si>
    <t xml:space="preserve">ORD-2022-00553</t>
  </si>
  <si>
    <t xml:space="preserve">ORD-2022-01440</t>
  </si>
  <si>
    <t xml:space="preserve">ORD-2023-02271</t>
  </si>
  <si>
    <t xml:space="preserve">ORD-2023-03145</t>
  </si>
  <si>
    <t xml:space="preserve">ORD-2025-06918</t>
  </si>
  <si>
    <t xml:space="preserve">ORD-2023-02057</t>
  </si>
  <si>
    <t xml:space="preserve">ORD-2023-01926</t>
  </si>
  <si>
    <t xml:space="preserve">ORD-2022-00635</t>
  </si>
  <si>
    <t xml:space="preserve">ORD-2024-06083</t>
  </si>
  <si>
    <t xml:space="preserve">ORD-2022-00317</t>
  </si>
  <si>
    <t xml:space="preserve">ORD-2025-08376</t>
  </si>
  <si>
    <t xml:space="preserve">ORD-2025-08751</t>
  </si>
  <si>
    <t xml:space="preserve">ORD-2024-05425</t>
  </si>
  <si>
    <t xml:space="preserve">ORD-2022-00428</t>
  </si>
  <si>
    <t xml:space="preserve">ORD-2025-08633</t>
  </si>
  <si>
    <t xml:space="preserve">ORD-2022-00106</t>
  </si>
  <si>
    <t xml:space="preserve">ORD-2023-03042</t>
  </si>
  <si>
    <t xml:space="preserve">ORD-2024-04239</t>
  </si>
  <si>
    <t xml:space="preserve">ORD-2023-02170</t>
  </si>
  <si>
    <t xml:space="preserve">ORD-2022-01710</t>
  </si>
  <si>
    <t xml:space="preserve">ORD-2022-00090</t>
  </si>
  <si>
    <t xml:space="preserve">ORD-2025-07015</t>
  </si>
  <si>
    <t xml:space="preserve">ORD-2023-02242</t>
  </si>
  <si>
    <t xml:space="preserve">ORD-2023-03175</t>
  </si>
  <si>
    <t xml:space="preserve">ORD-2025-07384</t>
  </si>
  <si>
    <t xml:space="preserve">ORD-2024-06260</t>
  </si>
  <si>
    <t xml:space="preserve">ORD-2025-06733</t>
  </si>
  <si>
    <t xml:space="preserve">ORD-2023-01950</t>
  </si>
  <si>
    <t xml:space="preserve">ORD-2024-04045</t>
  </si>
  <si>
    <t xml:space="preserve">ORD-2025-08905</t>
  </si>
  <si>
    <t xml:space="preserve">ORD-2023-02849</t>
  </si>
  <si>
    <t xml:space="preserve">ORD-2024-06369</t>
  </si>
  <si>
    <t xml:space="preserve">ORD-2022-00002</t>
  </si>
  <si>
    <t xml:space="preserve">ORD-2024-06140</t>
  </si>
  <si>
    <t xml:space="preserve">ORD-2024-04338</t>
  </si>
  <si>
    <t xml:space="preserve">ORD-2024-06048</t>
  </si>
  <si>
    <t xml:space="preserve">ORD-2022-00936</t>
  </si>
  <si>
    <t xml:space="preserve">ORD-2022-00714</t>
  </si>
  <si>
    <t xml:space="preserve">ORD-2023-02721</t>
  </si>
  <si>
    <t xml:space="preserve">ORD-2024-05206</t>
  </si>
  <si>
    <t xml:space="preserve">ORD-2025-07569</t>
  </si>
  <si>
    <t xml:space="preserve">ORD-2022-00592</t>
  </si>
  <si>
    <t xml:space="preserve">ORD-2025-08873</t>
  </si>
  <si>
    <t xml:space="preserve">ORD-2025-07423</t>
  </si>
  <si>
    <t xml:space="preserve">ORD-2023-02937</t>
  </si>
  <si>
    <t xml:space="preserve">ORD-2025-08555</t>
  </si>
  <si>
    <t xml:space="preserve">ORD-2023-02449</t>
  </si>
  <si>
    <t xml:space="preserve">ORD-2022-01577</t>
  </si>
  <si>
    <t xml:space="preserve">ORD-2025-07950</t>
  </si>
  <si>
    <t xml:space="preserve">ORD-2023-03763</t>
  </si>
  <si>
    <t xml:space="preserve">ORD-2022-00214</t>
  </si>
  <si>
    <t xml:space="preserve">ORD-2022-00779</t>
  </si>
  <si>
    <t xml:space="preserve">ORD-2024-05512</t>
  </si>
  <si>
    <t xml:space="preserve">ORD-2023-03497</t>
  </si>
  <si>
    <t xml:space="preserve">ORD-2025-07749</t>
  </si>
  <si>
    <t xml:space="preserve">ORD-2023-02044</t>
  </si>
  <si>
    <t xml:space="preserve">ORD-2025-08803</t>
  </si>
  <si>
    <t xml:space="preserve">ORD-2025-08592</t>
  </si>
  <si>
    <t xml:space="preserve">ORD-2024-05421</t>
  </si>
  <si>
    <t xml:space="preserve">ORD-2024-06155</t>
  </si>
  <si>
    <t xml:space="preserve">ORD-2022-01568</t>
  </si>
  <si>
    <t xml:space="preserve">ORD-2022-00166</t>
  </si>
  <si>
    <t xml:space="preserve">ORD-2024-04703</t>
  </si>
  <si>
    <t xml:space="preserve">ORD-2023-03567</t>
  </si>
  <si>
    <t xml:space="preserve">ORD-2025-07656</t>
  </si>
  <si>
    <t xml:space="preserve">ORD-2025-08808</t>
  </si>
  <si>
    <t xml:space="preserve">ORD-2024-05440</t>
  </si>
  <si>
    <t xml:space="preserve">ORD-2023-02014</t>
  </si>
  <si>
    <t xml:space="preserve">ORD-2022-00274</t>
  </si>
  <si>
    <t xml:space="preserve">ORD-2023-03861</t>
  </si>
  <si>
    <t xml:space="preserve">ORD-2024-04168</t>
  </si>
  <si>
    <t xml:space="preserve">ORD-2025-07883</t>
  </si>
  <si>
    <t xml:space="preserve">ORD-2023-03789</t>
  </si>
  <si>
    <t xml:space="preserve">ORD-2024-05184</t>
  </si>
  <si>
    <t xml:space="preserve">ORD-2022-00395</t>
  </si>
  <si>
    <t xml:space="preserve">ORD-2022-00584</t>
  </si>
  <si>
    <t xml:space="preserve">ORD-2025-08964</t>
  </si>
  <si>
    <t xml:space="preserve">ORD-2022-00117</t>
  </si>
  <si>
    <t xml:space="preserve">ORD-2025-06645</t>
  </si>
  <si>
    <t xml:space="preserve">ORD-2025-08114</t>
  </si>
  <si>
    <t xml:space="preserve">ORD-2025-06870</t>
  </si>
  <si>
    <t xml:space="preserve">ORD-2025-09000</t>
  </si>
  <si>
    <t xml:space="preserve">ORD-2025-08983</t>
  </si>
  <si>
    <t xml:space="preserve">ORD-2025-08896</t>
  </si>
  <si>
    <t xml:space="preserve">ORD-2022-00521</t>
  </si>
  <si>
    <t xml:space="preserve">ORD-2022-01764</t>
  </si>
  <si>
    <t xml:space="preserve">ORD-2023-01876</t>
  </si>
  <si>
    <t xml:space="preserve">ORD-2024-05356</t>
  </si>
  <si>
    <t xml:space="preserve">ORD-2023-03966</t>
  </si>
  <si>
    <t xml:space="preserve">ORD-2023-03345</t>
  </si>
  <si>
    <t xml:space="preserve">ORD-2025-06599</t>
  </si>
  <si>
    <t xml:space="preserve">ORD-2023-02254</t>
  </si>
  <si>
    <t xml:space="preserve">ORD-2025-06878</t>
  </si>
  <si>
    <t xml:space="preserve">ORD-2023-03225</t>
  </si>
  <si>
    <t xml:space="preserve">ORD-2022-00527</t>
  </si>
  <si>
    <t xml:space="preserve">ORD-2025-07392</t>
  </si>
  <si>
    <t xml:space="preserve">ORD-2023-02947</t>
  </si>
  <si>
    <t xml:space="preserve">ORD-2024-04474</t>
  </si>
  <si>
    <t xml:space="preserve">ORD-2023-03900</t>
  </si>
  <si>
    <t xml:space="preserve">ORD-2024-05656</t>
  </si>
  <si>
    <t xml:space="preserve">ORD-2022-00693</t>
  </si>
  <si>
    <t xml:space="preserve">ORD-2024-06060</t>
  </si>
  <si>
    <t xml:space="preserve">ORD-2022-00960</t>
  </si>
  <si>
    <t xml:space="preserve">ORD-2024-04445</t>
  </si>
  <si>
    <t xml:space="preserve">ORD-2025-08522</t>
  </si>
  <si>
    <t xml:space="preserve">ORD-2024-06343</t>
  </si>
  <si>
    <t xml:space="preserve">ORD-2024-06132</t>
  </si>
  <si>
    <t xml:space="preserve">ORD-2023-03634</t>
  </si>
  <si>
    <t xml:space="preserve">ORD-2024-05806</t>
  </si>
  <si>
    <t xml:space="preserve">ORD-2022-01051</t>
  </si>
  <si>
    <t xml:space="preserve">ORD-2022-00591</t>
  </si>
  <si>
    <t xml:space="preserve">ORD-2022-00520</t>
  </si>
  <si>
    <t xml:space="preserve">ORD-2023-03381</t>
  </si>
  <si>
    <t xml:space="preserve">ORD-2023-03677</t>
  </si>
  <si>
    <t xml:space="preserve">ORD-2024-05777</t>
  </si>
  <si>
    <t xml:space="preserve">ORD-2025-08206</t>
  </si>
  <si>
    <t xml:space="preserve">ORD-2025-06574</t>
  </si>
  <si>
    <t xml:space="preserve">ORD-2024-05180</t>
  </si>
  <si>
    <t xml:space="preserve">ORD-2022-01608</t>
  </si>
  <si>
    <t xml:space="preserve">ORD-2023-03611</t>
  </si>
  <si>
    <t xml:space="preserve">ORD-2025-08823</t>
  </si>
  <si>
    <t xml:space="preserve">ORD-2025-06636</t>
  </si>
  <si>
    <t xml:space="preserve">ORD-2022-01810</t>
  </si>
  <si>
    <t xml:space="preserve">ORD-2022-00792</t>
  </si>
  <si>
    <t xml:space="preserve">ORD-2022-00793</t>
  </si>
  <si>
    <t xml:space="preserve">ORD-2025-08119</t>
  </si>
  <si>
    <t xml:space="preserve">ORD-2023-01856</t>
  </si>
  <si>
    <t xml:space="preserve">ORD-2023-01981</t>
  </si>
  <si>
    <t xml:space="preserve">ORD-2023-03234</t>
  </si>
  <si>
    <t xml:space="preserve">ORD-2023-03599</t>
  </si>
  <si>
    <t xml:space="preserve">ORD-2022-00934</t>
  </si>
  <si>
    <t xml:space="preserve">ORD-2023-03964</t>
  </si>
  <si>
    <t xml:space="preserve">ORD-2025-07356</t>
  </si>
  <si>
    <t xml:space="preserve">ORD-2024-05627</t>
  </si>
  <si>
    <t xml:space="preserve">ORD-2024-05507</t>
  </si>
  <si>
    <t xml:space="preserve">ORD-2024-06073</t>
  </si>
  <si>
    <t xml:space="preserve">ORD-2022-01683</t>
  </si>
  <si>
    <t xml:space="preserve">ORD-2024-04180</t>
  </si>
  <si>
    <t xml:space="preserve">ORD-2024-04027</t>
  </si>
  <si>
    <t xml:space="preserve">ORD-2025-08485</t>
  </si>
  <si>
    <t xml:space="preserve">ORD-2025-06447</t>
  </si>
  <si>
    <t xml:space="preserve">ORD-2024-04117</t>
  </si>
  <si>
    <t xml:space="preserve">ORD-2022-00989</t>
  </si>
  <si>
    <t xml:space="preserve">ORD-2025-07622</t>
  </si>
  <si>
    <t xml:space="preserve">ORD-2025-08303</t>
  </si>
  <si>
    <t xml:space="preserve">ORD-2023-03454</t>
  </si>
  <si>
    <t xml:space="preserve">ORD-2023-02897</t>
  </si>
  <si>
    <t xml:space="preserve">ORD-2023-03779</t>
  </si>
  <si>
    <t xml:space="preserve">ORD-2024-05659</t>
  </si>
  <si>
    <t xml:space="preserve">ORD-2025-08244</t>
  </si>
  <si>
    <t xml:space="preserve">ORD-2023-03094</t>
  </si>
  <si>
    <t xml:space="preserve">ORD-2023-03156</t>
  </si>
  <si>
    <t xml:space="preserve">ORD-2024-05070</t>
  </si>
  <si>
    <t xml:space="preserve">ORD-2024-05807</t>
  </si>
  <si>
    <t xml:space="preserve">ORD-2023-03202</t>
  </si>
  <si>
    <t xml:space="preserve">ORD-2025-07976</t>
  </si>
  <si>
    <t xml:space="preserve">ORD-2025-08698</t>
  </si>
  <si>
    <t xml:space="preserve">ORD-2022-01099</t>
  </si>
  <si>
    <t xml:space="preserve">ORD-2025-08198</t>
  </si>
  <si>
    <t xml:space="preserve">ORD-2023-02845</t>
  </si>
  <si>
    <t xml:space="preserve">ORD-2022-00887</t>
  </si>
  <si>
    <t xml:space="preserve">ORD-2023-03343</t>
  </si>
  <si>
    <t xml:space="preserve">ORD-2025-07663</t>
  </si>
  <si>
    <t xml:space="preserve">ORD-2025-06541</t>
  </si>
  <si>
    <t xml:space="preserve">ORD-2025-08450</t>
  </si>
  <si>
    <t xml:space="preserve">ORD-2024-06097</t>
  </si>
  <si>
    <t xml:space="preserve">ORD-2022-00516</t>
  </si>
  <si>
    <t xml:space="preserve">ORD-2023-03357</t>
  </si>
  <si>
    <t xml:space="preserve">ORD-2024-04834</t>
  </si>
  <si>
    <t xml:space="preserve">ORD-2022-01454</t>
  </si>
  <si>
    <t xml:space="preserve">ORD-2023-03554</t>
  </si>
  <si>
    <t xml:space="preserve">ORD-2023-03610</t>
  </si>
  <si>
    <t xml:space="preserve">ORD-2025-07966</t>
  </si>
  <si>
    <t xml:space="preserve">ORD-2024-04666</t>
  </si>
  <si>
    <t xml:space="preserve">ORD-2023-02507</t>
  </si>
  <si>
    <t xml:space="preserve">ORD-2023-02995</t>
  </si>
  <si>
    <t xml:space="preserve">ORD-2024-04000</t>
  </si>
  <si>
    <t xml:space="preserve">ORD-2024-06223</t>
  </si>
  <si>
    <t xml:space="preserve">ORD-2025-08783</t>
  </si>
  <si>
    <t xml:space="preserve">ORD-2025-08951</t>
  </si>
  <si>
    <t xml:space="preserve">ORD-2022-00907</t>
  </si>
  <si>
    <t xml:space="preserve">ORD-2022-00029</t>
  </si>
  <si>
    <t xml:space="preserve">ORD-2025-08577</t>
  </si>
  <si>
    <t xml:space="preserve">ORD-2023-02508</t>
  </si>
  <si>
    <t xml:space="preserve">ORD-2023-02429</t>
  </si>
  <si>
    <t xml:space="preserve">ORD-2024-05044</t>
  </si>
  <si>
    <t xml:space="preserve">ORD-2024-05347</t>
  </si>
  <si>
    <t xml:space="preserve">ORD-2022-00763</t>
  </si>
  <si>
    <t xml:space="preserve">ORD-2023-03748</t>
  </si>
  <si>
    <t xml:space="preserve">ORD-2024-04812</t>
  </si>
  <si>
    <t xml:space="preserve">ORD-2022-00285</t>
  </si>
  <si>
    <t xml:space="preserve">ORD-2022-00687</t>
  </si>
  <si>
    <t xml:space="preserve">ORD-2024-04800</t>
  </si>
  <si>
    <t xml:space="preserve">ORD-2023-02354</t>
  </si>
  <si>
    <t xml:space="preserve">ORD-2024-06354</t>
  </si>
  <si>
    <t xml:space="preserve">ORD-2025-07947</t>
  </si>
  <si>
    <t xml:space="preserve">ORD-2024-04570</t>
  </si>
  <si>
    <t xml:space="preserve">ORD-2022-00022</t>
  </si>
  <si>
    <t xml:space="preserve">ORD-2023-02753</t>
  </si>
  <si>
    <t xml:space="preserve">ORD-2022-00886</t>
  </si>
  <si>
    <t xml:space="preserve">ORD-2025-08420</t>
  </si>
  <si>
    <t xml:space="preserve">ORD-2022-00918</t>
  </si>
  <si>
    <t xml:space="preserve">ORD-2025-07747</t>
  </si>
  <si>
    <t xml:space="preserve">ORD-2022-01041</t>
  </si>
  <si>
    <t xml:space="preserve">ORD-2024-06336</t>
  </si>
  <si>
    <t xml:space="preserve">ORD-2025-07836</t>
  </si>
  <si>
    <t xml:space="preserve">ORD-2022-01266</t>
  </si>
  <si>
    <t xml:space="preserve">ORD-2024-04580</t>
  </si>
  <si>
    <t xml:space="preserve">ORD-2025-08373</t>
  </si>
  <si>
    <t xml:space="preserve">ORD-2025-07060</t>
  </si>
  <si>
    <t xml:space="preserve">ORD-2025-08701</t>
  </si>
  <si>
    <t xml:space="preserve">ORD-2022-00278</t>
  </si>
  <si>
    <t xml:space="preserve">ORD-2024-05085</t>
  </si>
  <si>
    <t xml:space="preserve">ORD-2023-02085</t>
  </si>
  <si>
    <t xml:space="preserve">ORD-2022-01246</t>
  </si>
  <si>
    <t xml:space="preserve">ORD-2023-02383</t>
  </si>
  <si>
    <t xml:space="preserve">ORD-2022-00572</t>
  </si>
  <si>
    <t xml:space="preserve">ORD-2022-01436</t>
  </si>
  <si>
    <t xml:space="preserve">ORD-2023-03903</t>
  </si>
  <si>
    <t xml:space="preserve">ORD-2024-05090</t>
  </si>
  <si>
    <t xml:space="preserve">ORD-2022-01248</t>
  </si>
  <si>
    <t xml:space="preserve">ORD-2025-08536</t>
  </si>
  <si>
    <t xml:space="preserve">ORD-2024-04682</t>
  </si>
  <si>
    <t xml:space="preserve">ORD-2023-03527</t>
  </si>
  <si>
    <t xml:space="preserve">ORD-2025-06558</t>
  </si>
  <si>
    <t xml:space="preserve">ORD-2023-02515</t>
  </si>
  <si>
    <t xml:space="preserve">ORD-2024-05446</t>
  </si>
  <si>
    <t xml:space="preserve">ORD-2022-01008</t>
  </si>
  <si>
    <t xml:space="preserve">ORD-2024-04771</t>
  </si>
  <si>
    <t xml:space="preserve">ORD-2025-06509</t>
  </si>
  <si>
    <t xml:space="preserve">ORD-2025-07000</t>
  </si>
  <si>
    <t xml:space="preserve">ORD-2024-04544</t>
  </si>
  <si>
    <t xml:space="preserve">ORD-2025-07448</t>
  </si>
  <si>
    <t xml:space="preserve">ORD-2025-07748</t>
  </si>
  <si>
    <t xml:space="preserve">ORD-2025-08650</t>
  </si>
  <si>
    <t xml:space="preserve">ORD-2024-04456</t>
  </si>
  <si>
    <t xml:space="preserve">ORD-2023-02065</t>
  </si>
  <si>
    <t xml:space="preserve">ORD-2024-05353</t>
  </si>
  <si>
    <t xml:space="preserve">ORD-2025-07801</t>
  </si>
  <si>
    <t xml:space="preserve">ORD-2022-01691</t>
  </si>
  <si>
    <t xml:space="preserve">ORD-2023-03118</t>
  </si>
  <si>
    <t xml:space="preserve">ORD-2025-08596</t>
  </si>
  <si>
    <t xml:space="preserve">ORD-2024-05344</t>
  </si>
  <si>
    <t xml:space="preserve">ORD-2023-01986</t>
  </si>
  <si>
    <t xml:space="preserve">ORD-2022-00295</t>
  </si>
  <si>
    <t xml:space="preserve">ORD-2022-01548</t>
  </si>
  <si>
    <t xml:space="preserve">ORD-2023-02013</t>
  </si>
  <si>
    <t xml:space="preserve">ORD-2022-00589</t>
  </si>
  <si>
    <t xml:space="preserve">ORD-2023-03330</t>
  </si>
  <si>
    <t xml:space="preserve">ORD-2023-02404</t>
  </si>
  <si>
    <t xml:space="preserve">ORD-2023-02130</t>
  </si>
  <si>
    <t xml:space="preserve">ORD-2024-03999</t>
  </si>
  <si>
    <t xml:space="preserve">ORD-2022-01575</t>
  </si>
  <si>
    <t xml:space="preserve">ORD-2023-03742</t>
  </si>
  <si>
    <t xml:space="preserve">ORD-2023-03509</t>
  </si>
  <si>
    <t xml:space="preserve">ORD-2025-08331</t>
  </si>
  <si>
    <t xml:space="preserve">ORD-2023-02720</t>
  </si>
  <si>
    <t xml:space="preserve">ORD-2024-04522</t>
  </si>
  <si>
    <t xml:space="preserve">ORD-2025-06679</t>
  </si>
  <si>
    <t xml:space="preserve">ORD-2024-05151</t>
  </si>
  <si>
    <t xml:space="preserve">ORD-2023-02809</t>
  </si>
  <si>
    <t xml:space="preserve">ORD-2025-08618</t>
  </si>
  <si>
    <t xml:space="preserve">ORD-2022-00557</t>
  </si>
  <si>
    <t xml:space="preserve">ORD-2024-06277</t>
  </si>
  <si>
    <t xml:space="preserve">ORD-2025-07933</t>
  </si>
  <si>
    <t xml:space="preserve">ORD-2024-04796</t>
  </si>
  <si>
    <t xml:space="preserve">ORD-2023-02470</t>
  </si>
  <si>
    <t xml:space="preserve">ORD-2023-03739</t>
  </si>
  <si>
    <t xml:space="preserve">ORD-2024-04287</t>
  </si>
  <si>
    <t xml:space="preserve">ORD-2025-08128</t>
  </si>
  <si>
    <t xml:space="preserve">ORD-2024-05290</t>
  </si>
  <si>
    <t xml:space="preserve">ORD-2022-01717</t>
  </si>
  <si>
    <t xml:space="preserve">ORD-2023-02605</t>
  </si>
  <si>
    <t xml:space="preserve">ORD-2025-08143</t>
  </si>
  <si>
    <t xml:space="preserve">ORD-2025-06925</t>
  </si>
  <si>
    <t xml:space="preserve">ORD-2022-01705</t>
  </si>
  <si>
    <t xml:space="preserve">ORD-2025-06960</t>
  </si>
  <si>
    <t xml:space="preserve">ORD-2025-06715</t>
  </si>
  <si>
    <t xml:space="preserve">ORD-2025-06497</t>
  </si>
  <si>
    <t xml:space="preserve">ORD-2023-02140</t>
  </si>
  <si>
    <t xml:space="preserve">ORD-2023-03240</t>
  </si>
  <si>
    <t xml:space="preserve">ORD-2023-02384</t>
  </si>
  <si>
    <t xml:space="preserve">ORD-2025-07315</t>
  </si>
  <si>
    <t xml:space="preserve">ORD-2024-04312</t>
  </si>
  <si>
    <t xml:space="preserve">ORD-2022-01286</t>
  </si>
  <si>
    <t xml:space="preserve">ORD-2022-01313</t>
  </si>
  <si>
    <t xml:space="preserve">ORD-2025-07832</t>
  </si>
  <si>
    <t xml:space="preserve">ORD-2023-01997</t>
  </si>
  <si>
    <t xml:space="preserve">ORD-2023-03931</t>
  </si>
  <si>
    <t xml:space="preserve">ORD-2024-06184</t>
  </si>
  <si>
    <t xml:space="preserve">ORD-2024-05986</t>
  </si>
  <si>
    <t xml:space="preserve">ORD-2025-07483</t>
  </si>
  <si>
    <t xml:space="preserve">ORD-2022-01592</t>
  </si>
  <si>
    <t xml:space="preserve">ORD-2025-08752</t>
  </si>
  <si>
    <t xml:space="preserve">ORD-2025-08488</t>
  </si>
  <si>
    <t xml:space="preserve">ORD-2023-02163</t>
  </si>
  <si>
    <t xml:space="preserve">ORD-2023-02397</t>
  </si>
  <si>
    <t xml:space="preserve">ORD-2022-00318</t>
  </si>
  <si>
    <t xml:space="preserve">ORD-2024-06368</t>
  </si>
  <si>
    <t xml:space="preserve">ORD-2025-08538</t>
  </si>
  <si>
    <t xml:space="preserve">ORD-2023-03112</t>
  </si>
  <si>
    <t xml:space="preserve">ORD-2024-05234</t>
  </si>
  <si>
    <t xml:space="preserve">ORD-2025-07890</t>
  </si>
  <si>
    <t xml:space="preserve">ORD-2024-05069</t>
  </si>
  <si>
    <t xml:space="preserve">ORD-2024-04037</t>
  </si>
  <si>
    <t xml:space="preserve">ORD-2022-00796</t>
  </si>
  <si>
    <t xml:space="preserve">ORD-2023-03021</t>
  </si>
  <si>
    <t xml:space="preserve">ORD-2022-01712</t>
  </si>
  <si>
    <t xml:space="preserve">ORD-2023-03388</t>
  </si>
  <si>
    <t xml:space="preserve">ORD-2022-00037</t>
  </si>
  <si>
    <t xml:space="preserve">ORD-2024-04550</t>
  </si>
  <si>
    <t xml:space="preserve">ORD-2022-00914</t>
  </si>
  <si>
    <t xml:space="preserve">ORD-2024-05722</t>
  </si>
  <si>
    <t xml:space="preserve">ORD-2024-05296</t>
  </si>
  <si>
    <t xml:space="preserve">ORD-2023-03973</t>
  </si>
  <si>
    <t xml:space="preserve">ORD-2024-05371</t>
  </si>
  <si>
    <t xml:space="preserve">ORD-2025-06472</t>
  </si>
  <si>
    <t xml:space="preserve">ORD-2024-04134</t>
  </si>
  <si>
    <t xml:space="preserve">ORD-2022-00975</t>
  </si>
  <si>
    <t xml:space="preserve">ORD-2025-07292</t>
  </si>
  <si>
    <t xml:space="preserve">ORD-2022-00984</t>
  </si>
  <si>
    <t xml:space="preserve">ORD-2025-07899</t>
  </si>
  <si>
    <t xml:space="preserve">ORD-2025-08062</t>
  </si>
  <si>
    <t xml:space="preserve">ORD-2022-01419</t>
  </si>
  <si>
    <t xml:space="preserve">ORD-2025-08172</t>
  </si>
  <si>
    <t xml:space="preserve">ORD-2022-01561</t>
  </si>
  <si>
    <t xml:space="preserve">ORD-2024-04136</t>
  </si>
  <si>
    <t xml:space="preserve">ORD-2024-05583</t>
  </si>
  <si>
    <t xml:space="preserve">ORD-2025-07878</t>
  </si>
  <si>
    <t xml:space="preserve">ORD-2024-04266</t>
  </si>
  <si>
    <t xml:space="preserve">ORD-2022-01356</t>
  </si>
  <si>
    <t xml:space="preserve">ORD-2025-08412</t>
  </si>
  <si>
    <t xml:space="preserve">ORD-2024-05017</t>
  </si>
  <si>
    <t xml:space="preserve">ORD-2025-08798</t>
  </si>
  <si>
    <t xml:space="preserve">ORD-2022-00988</t>
  </si>
  <si>
    <t xml:space="preserve">ORD-2023-02683</t>
  </si>
  <si>
    <t xml:space="preserve">ORD-2025-07491</t>
  </si>
  <si>
    <t xml:space="preserve">ORD-2024-05048</t>
  </si>
  <si>
    <t xml:space="preserve">ORD-2022-01641</t>
  </si>
  <si>
    <t xml:space="preserve">ORD-2022-01291</t>
  </si>
  <si>
    <t xml:space="preserve">ORD-2023-03682</t>
  </si>
  <si>
    <t xml:space="preserve">ORD-2022-01381</t>
  </si>
  <si>
    <t xml:space="preserve">ORD-2023-01934</t>
  </si>
  <si>
    <t xml:space="preserve">ORD-2024-04676</t>
  </si>
  <si>
    <t xml:space="preserve">ORD-2023-02377</t>
  </si>
  <si>
    <t xml:space="preserve">ORD-2023-03161</t>
  </si>
  <si>
    <t xml:space="preserve">ORD-2023-02031</t>
  </si>
  <si>
    <t xml:space="preserve">ORD-2022-00893</t>
  </si>
  <si>
    <t xml:space="preserve">ORD-2025-07288</t>
  </si>
  <si>
    <t xml:space="preserve">ORD-2024-04877</t>
  </si>
  <si>
    <t xml:space="preserve">ORD-2024-04070</t>
  </si>
  <si>
    <t xml:space="preserve">ORD-2024-04256</t>
  </si>
  <si>
    <t xml:space="preserve">ORD-2022-00003</t>
  </si>
  <si>
    <t xml:space="preserve">ORD-2025-08178</t>
  </si>
  <si>
    <t xml:space="preserve">ORD-2025-08480</t>
  </si>
  <si>
    <t xml:space="preserve">ORD-2023-02110</t>
  </si>
  <si>
    <t xml:space="preserve">ORD-2022-00850</t>
  </si>
  <si>
    <t xml:space="preserve">ORD-2023-02738</t>
  </si>
  <si>
    <t xml:space="preserve">ORD-2023-02467</t>
  </si>
  <si>
    <t xml:space="preserve">ORD-2023-01915</t>
  </si>
  <si>
    <t xml:space="preserve">ORD-2022-01597</t>
  </si>
  <si>
    <t xml:space="preserve">ORD-2024-05873</t>
  </si>
  <si>
    <t xml:space="preserve">ORD-2023-01914</t>
  </si>
  <si>
    <t xml:space="preserve">ORD-2024-05140</t>
  </si>
  <si>
    <t xml:space="preserve">ORD-2025-08767</t>
  </si>
  <si>
    <t xml:space="preserve">ORD-2024-05641</t>
  </si>
  <si>
    <t xml:space="preserve">ORD-2023-02737</t>
  </si>
  <si>
    <t xml:space="preserve">ORD-2022-00727</t>
  </si>
  <si>
    <t xml:space="preserve">ORD-2025-07215</t>
  </si>
  <si>
    <t xml:space="preserve">ORD-2022-00054</t>
  </si>
  <si>
    <t xml:space="preserve">ORD-2022-01797</t>
  </si>
  <si>
    <t xml:space="preserve">ORD-2023-03846</t>
  </si>
  <si>
    <t xml:space="preserve">ORD-2024-06008</t>
  </si>
  <si>
    <t xml:space="preserve">ORD-2025-06403</t>
  </si>
  <si>
    <t xml:space="preserve">ORD-2023-02554</t>
  </si>
  <si>
    <t xml:space="preserve">ORD-2023-02801</t>
  </si>
  <si>
    <t xml:space="preserve">ORD-2022-00937</t>
  </si>
  <si>
    <t xml:space="preserve">ORD-2025-08141</t>
  </si>
  <si>
    <t xml:space="preserve">ORD-2022-00825</t>
  </si>
  <si>
    <t xml:space="preserve">ORD-2024-04322</t>
  </si>
  <si>
    <t xml:space="preserve">ORD-2025-07275</t>
  </si>
  <si>
    <t xml:space="preserve">ORD-2023-03402</t>
  </si>
  <si>
    <t xml:space="preserve">ORD-2022-01390</t>
  </si>
  <si>
    <t xml:space="preserve">ORD-2023-03565</t>
  </si>
  <si>
    <t xml:space="preserve">ORD-2025-07411</t>
  </si>
  <si>
    <t xml:space="preserve">ORD-2022-00885</t>
  </si>
  <si>
    <t xml:space="preserve">ORD-2024-05430</t>
  </si>
  <si>
    <t xml:space="preserve">ORD-2024-05704</t>
  </si>
  <si>
    <t xml:space="preserve">ORD-2024-05691</t>
  </si>
  <si>
    <t xml:space="preserve">ORD-2024-04868</t>
  </si>
  <si>
    <t xml:space="preserve">ORD-2025-06708</t>
  </si>
  <si>
    <t xml:space="preserve">ORD-2025-07847</t>
  </si>
  <si>
    <t xml:space="preserve">ORD-2024-06370</t>
  </si>
  <si>
    <t xml:space="preserve">ORD-2023-01869</t>
  </si>
  <si>
    <t xml:space="preserve">ORD-2024-05182</t>
  </si>
  <si>
    <t xml:space="preserve">ORD-2022-00011</t>
  </si>
  <si>
    <t xml:space="preserve">ORD-2023-03416</t>
  </si>
  <si>
    <t xml:space="preserve">ORD-2024-05422</t>
  </si>
  <si>
    <t xml:space="preserve">ORD-2025-07487</t>
  </si>
  <si>
    <t xml:space="preserve">ORD-2022-01464</t>
  </si>
  <si>
    <t xml:space="preserve">ORD-2022-00807</t>
  </si>
  <si>
    <t xml:space="preserve">ORD-2025-08053</t>
  </si>
  <si>
    <t xml:space="preserve">ORD-2025-07548</t>
  </si>
  <si>
    <t xml:space="preserve">ORD-2025-07761</t>
  </si>
  <si>
    <t xml:space="preserve">ORD-2024-04069</t>
  </si>
  <si>
    <t xml:space="preserve">ORD-2023-02109</t>
  </si>
  <si>
    <t xml:space="preserve">ORD-2025-08267</t>
  </si>
  <si>
    <t xml:space="preserve">ORD-2023-02042</t>
  </si>
  <si>
    <t xml:space="preserve">ORD-2023-02235</t>
  </si>
  <si>
    <t xml:space="preserve">ORD-2025-07308</t>
  </si>
  <si>
    <t xml:space="preserve">ORD-2022-00964</t>
  </si>
  <si>
    <t xml:space="preserve">ORD-2025-07512</t>
  </si>
  <si>
    <t xml:space="preserve">ORD-2025-07742</t>
  </si>
  <si>
    <t xml:space="preserve">ORD-2024-04495</t>
  </si>
  <si>
    <t xml:space="preserve">ORD-2023-02633</t>
  </si>
  <si>
    <t xml:space="preserve">ORD-2024-06095</t>
  </si>
  <si>
    <t xml:space="preserve">ORD-2025-07093</t>
  </si>
  <si>
    <t xml:space="preserve">ORD-2022-00705</t>
  </si>
  <si>
    <t xml:space="preserve">ORD-2022-00432</t>
  </si>
  <si>
    <t xml:space="preserve">ORD-2024-04389</t>
  </si>
  <si>
    <t xml:space="preserve">ORD-2024-06078</t>
  </si>
  <si>
    <t xml:space="preserve">ORD-2022-00146</t>
  </si>
  <si>
    <t xml:space="preserve">ORD-2025-06468</t>
  </si>
  <si>
    <t xml:space="preserve">ORD-2023-02034</t>
  </si>
  <si>
    <t xml:space="preserve">ORD-2022-00376</t>
  </si>
  <si>
    <t xml:space="preserve">ORD-2022-01166</t>
  </si>
  <si>
    <t xml:space="preserve">ORD-2023-03501</t>
  </si>
  <si>
    <t xml:space="preserve">ORD-2023-02051</t>
  </si>
  <si>
    <t xml:space="preserve">ORD-2023-03761</t>
  </si>
  <si>
    <t xml:space="preserve">ORD-2023-02625</t>
  </si>
  <si>
    <t xml:space="preserve">ORD-2024-04485</t>
  </si>
  <si>
    <t xml:space="preserve">ORD-2024-04436</t>
  </si>
  <si>
    <t xml:space="preserve">ORD-2025-07873</t>
  </si>
  <si>
    <t xml:space="preserve">ORD-2025-07657</t>
  </si>
  <si>
    <t xml:space="preserve">ORD-2025-07070</t>
  </si>
  <si>
    <t xml:space="preserve">ORD-2024-04362</t>
  </si>
  <si>
    <t xml:space="preserve">ORD-2023-02425</t>
  </si>
  <si>
    <t xml:space="preserve">ORD-2022-01263</t>
  </si>
  <si>
    <t xml:space="preserve">ORD-2022-01772</t>
  </si>
  <si>
    <t xml:space="preserve">ORD-2023-03512</t>
  </si>
  <si>
    <t xml:space="preserve">ORD-2022-00272</t>
  </si>
  <si>
    <t xml:space="preserve">ORD-2024-04793</t>
  </si>
  <si>
    <t xml:space="preserve">ORD-2024-04844</t>
  </si>
  <si>
    <t xml:space="preserve">ORD-2022-00245</t>
  </si>
  <si>
    <t xml:space="preserve">ORD-2025-08900</t>
  </si>
  <si>
    <t xml:space="preserve">ORD-2024-04573</t>
  </si>
  <si>
    <t xml:space="preserve">ORD-2023-02033</t>
  </si>
  <si>
    <t xml:space="preserve">ORD-2024-05054</t>
  </si>
  <si>
    <t xml:space="preserve">ORD-2025-07808</t>
  </si>
  <si>
    <t xml:space="preserve">ORD-2022-00814</t>
  </si>
  <si>
    <t xml:space="preserve">ORD-2025-08737</t>
  </si>
  <si>
    <t xml:space="preserve">ORD-2024-06011</t>
  </si>
  <si>
    <t xml:space="preserve">ORD-2023-03811</t>
  </si>
  <si>
    <t xml:space="preserve">ORD-2024-05728</t>
  </si>
  <si>
    <t xml:space="preserve">ORD-2025-07584</t>
  </si>
  <si>
    <t xml:space="preserve">ORD-2025-08024</t>
  </si>
  <si>
    <t xml:space="preserve">ORD-2022-01805</t>
  </si>
  <si>
    <t xml:space="preserve">ORD-2025-08401</t>
  </si>
  <si>
    <t xml:space="preserve">ORD-2024-04347</t>
  </si>
  <si>
    <t xml:space="preserve">ORD-2023-02462</t>
  </si>
  <si>
    <t xml:space="preserve">ORD-2022-00546</t>
  </si>
  <si>
    <t xml:space="preserve">ORD-2023-03242</t>
  </si>
  <si>
    <t xml:space="preserve">ORD-2022-00739</t>
  </si>
  <si>
    <t xml:space="preserve">ORD-2022-00311</t>
  </si>
  <si>
    <t xml:space="preserve">ORD-2023-03522</t>
  </si>
  <si>
    <t xml:space="preserve">ORD-2025-07038</t>
  </si>
  <si>
    <t xml:space="preserve">ORD-2022-01132</t>
  </si>
  <si>
    <t xml:space="preserve">ORD-2024-05546</t>
  </si>
  <si>
    <t xml:space="preserve">ORD-2022-00493</t>
  </si>
  <si>
    <t xml:space="preserve">ORD-2024-04112</t>
  </si>
  <si>
    <t xml:space="preserve">ORD-2025-07329</t>
  </si>
  <si>
    <t xml:space="preserve">ORD-2023-02770</t>
  </si>
  <si>
    <t xml:space="preserve">ORD-2025-07565</t>
  </si>
  <si>
    <t xml:space="preserve">ORD-2022-00921</t>
  </si>
  <si>
    <t xml:space="preserve">ORD-2025-08861</t>
  </si>
  <si>
    <t xml:space="preserve">ORD-2025-08236</t>
  </si>
  <si>
    <t xml:space="preserve">ORD-2023-03588</t>
  </si>
  <si>
    <t xml:space="preserve">ORD-2025-06641</t>
  </si>
  <si>
    <t xml:space="preserve">ORD-2023-03960</t>
  </si>
  <si>
    <t xml:space="preserve">ORD-2022-00039</t>
  </si>
  <si>
    <t xml:space="preserve">ORD-2024-04460</t>
  </si>
  <si>
    <t xml:space="preserve">ORD-2025-07127</t>
  </si>
  <si>
    <t xml:space="preserve">ORD-2024-04279</t>
  </si>
  <si>
    <t xml:space="preserve">ORD-2025-07130</t>
  </si>
  <si>
    <t xml:space="preserve">ORD-2023-02984</t>
  </si>
  <si>
    <t xml:space="preserve">ORD-2024-05291</t>
  </si>
  <si>
    <t xml:space="preserve">ORD-2025-06949</t>
  </si>
  <si>
    <t xml:space="preserve">ORD-2022-00131</t>
  </si>
  <si>
    <t xml:space="preserve">ORD-2024-05218</t>
  </si>
  <si>
    <t xml:space="preserve">ORD-2025-08973</t>
  </si>
  <si>
    <t xml:space="preserve">ORD-2023-02668</t>
  </si>
  <si>
    <t xml:space="preserve">ORD-2025-07139</t>
  </si>
  <si>
    <t xml:space="preserve">ORD-2023-03224</t>
  </si>
  <si>
    <t xml:space="preserve">ORD-2022-01183</t>
  </si>
  <si>
    <t xml:space="preserve">ORD-2024-05393</t>
  </si>
  <si>
    <t xml:space="preserve">ORD-2022-00615</t>
  </si>
  <si>
    <t xml:space="preserve">ORD-2025-08956</t>
  </si>
  <si>
    <t xml:space="preserve">ORD-2022-01467</t>
  </si>
  <si>
    <t xml:space="preserve">ORD-2024-04498</t>
  </si>
  <si>
    <t xml:space="preserve">ORD-2023-03043</t>
  </si>
  <si>
    <t xml:space="preserve">ORD-2022-00935</t>
  </si>
  <si>
    <t xml:space="preserve">ORD-2023-02420</t>
  </si>
  <si>
    <t xml:space="preserve">ORD-2024-05086</t>
  </si>
  <si>
    <t xml:space="preserve">ORD-2023-03295</t>
  </si>
  <si>
    <t xml:space="preserve">ORD-2025-06738</t>
  </si>
  <si>
    <t xml:space="preserve">ORD-2025-08012</t>
  </si>
  <si>
    <t xml:space="preserve">ORD-2024-04823</t>
  </si>
  <si>
    <t xml:space="preserve">ORD-2022-00827</t>
  </si>
  <si>
    <t xml:space="preserve">ORD-2022-01522</t>
  </si>
  <si>
    <t xml:space="preserve">ORD-2025-06832</t>
  </si>
  <si>
    <t xml:space="preserve">ORD-2023-02931</t>
  </si>
  <si>
    <t xml:space="preserve">ORD-2024-04233</t>
  </si>
  <si>
    <t xml:space="preserve">ORD-2025-07687</t>
  </si>
  <si>
    <t xml:space="preserve">ORD-2022-00629</t>
  </si>
  <si>
    <t xml:space="preserve">ORD-2024-04431</t>
  </si>
  <si>
    <t xml:space="preserve">ORD-2023-03854</t>
  </si>
  <si>
    <t xml:space="preserve">ORD-2022-00391</t>
  </si>
  <si>
    <t xml:space="preserve">ORD-2024-04346</t>
  </si>
  <si>
    <t xml:space="preserve">ORD-2025-08915</t>
  </si>
  <si>
    <t xml:space="preserve">ORD-2025-07125</t>
  </si>
  <si>
    <t xml:space="preserve">ORD-2024-05914</t>
  </si>
  <si>
    <t xml:space="preserve">ORD-2023-03991</t>
  </si>
  <si>
    <t xml:space="preserve">ORD-2022-00401</t>
  </si>
  <si>
    <t xml:space="preserve">ORD-2024-04807</t>
  </si>
  <si>
    <t xml:space="preserve">ORD-2024-05136</t>
  </si>
  <si>
    <t xml:space="preserve">ORD-2025-08248</t>
  </si>
  <si>
    <t xml:space="preserve">ORD-2023-03360</t>
  </si>
  <si>
    <t xml:space="preserve">ORD-2022-00047</t>
  </si>
  <si>
    <t xml:space="preserve">ORD-2024-05658</t>
  </si>
  <si>
    <t xml:space="preserve">ORD-2022-00489</t>
  </si>
  <si>
    <t xml:space="preserve">ORD-2024-03994</t>
  </si>
  <si>
    <t xml:space="preserve">ORD-2023-03643</t>
  </si>
  <si>
    <t xml:space="preserve">ORD-2023-03727</t>
  </si>
  <si>
    <t xml:space="preserve">ORD-2025-08634</t>
  </si>
  <si>
    <t xml:space="preserve">ORD-2024-05209</t>
  </si>
  <si>
    <t xml:space="preserve">ORD-2025-06610</t>
  </si>
  <si>
    <t xml:space="preserve">ORD-2025-07705</t>
  </si>
  <si>
    <t xml:space="preserve">ORD-2024-05320</t>
  </si>
  <si>
    <t xml:space="preserve">ORD-2022-00710</t>
  </si>
  <si>
    <t xml:space="preserve">ORD-2025-07120</t>
  </si>
  <si>
    <t xml:space="preserve">ORD-2023-02422</t>
  </si>
  <si>
    <t xml:space="preserve">ORD-2024-05605</t>
  </si>
  <si>
    <t xml:space="preserve">ORD-2022-01751</t>
  </si>
  <si>
    <t xml:space="preserve">ORD-2025-08997</t>
  </si>
  <si>
    <t xml:space="preserve">ORD-2025-08088</t>
  </si>
  <si>
    <t xml:space="preserve">ORD-2024-04063</t>
  </si>
  <si>
    <t xml:space="preserve">ORD-2025-08787</t>
  </si>
  <si>
    <t xml:space="preserve">ORD-2022-00339</t>
  </si>
  <si>
    <t xml:space="preserve">ORD-2022-00216</t>
  </si>
  <si>
    <t xml:space="preserve">ORD-2023-03664</t>
  </si>
  <si>
    <t xml:space="preserve">ORD-2022-01342</t>
  </si>
  <si>
    <t xml:space="preserve">ORD-2025-08627</t>
  </si>
  <si>
    <t xml:space="preserve">ORD-2024-05617</t>
  </si>
  <si>
    <t xml:space="preserve">ORD-2023-03895</t>
  </si>
  <si>
    <t xml:space="preserve">ORD-2023-03641</t>
  </si>
  <si>
    <t xml:space="preserve">ORD-2022-00330</t>
  </si>
  <si>
    <t xml:space="preserve">ORD-2025-07765</t>
  </si>
  <si>
    <t xml:space="preserve">ORD-2023-03005</t>
  </si>
  <si>
    <t xml:space="preserve">ORD-2025-06961</t>
  </si>
  <si>
    <t xml:space="preserve">ORD-2024-04091</t>
  </si>
  <si>
    <t xml:space="preserve">ORD-2023-03116</t>
  </si>
  <si>
    <t xml:space="preserve">ORD-2025-08885</t>
  </si>
  <si>
    <t xml:space="preserve">ORD-2023-02323</t>
  </si>
  <si>
    <t xml:space="preserve">ORD-2025-06668</t>
  </si>
  <si>
    <t xml:space="preserve">ORD-2025-07010</t>
  </si>
  <si>
    <t xml:space="preserve">ORD-2024-04198</t>
  </si>
  <si>
    <t xml:space="preserve">ORD-2023-03550</t>
  </si>
  <si>
    <t xml:space="preserve">ORD-2022-01459</t>
  </si>
  <si>
    <t xml:space="preserve">ORD-2022-00172</t>
  </si>
  <si>
    <t xml:space="preserve">ORD-2024-04204</t>
  </si>
  <si>
    <t xml:space="preserve">ORD-2025-08459</t>
  </si>
  <si>
    <t xml:space="preserve">ORD-2023-03570</t>
  </si>
  <si>
    <t xml:space="preserve">ORD-2024-04227</t>
  </si>
  <si>
    <t xml:space="preserve">ORD-2024-05159</t>
  </si>
  <si>
    <t xml:space="preserve">ORD-2025-08056</t>
  </si>
  <si>
    <t xml:space="preserve">ORD-2024-06186</t>
  </si>
  <si>
    <t xml:space="preserve">ORD-2025-08133</t>
  </si>
  <si>
    <t xml:space="preserve">ORD-2022-00939</t>
  </si>
  <si>
    <t xml:space="preserve">ORD-2022-00061</t>
  </si>
  <si>
    <t xml:space="preserve">ORD-2022-01241</t>
  </si>
  <si>
    <t xml:space="preserve">ORD-2024-05761</t>
  </si>
  <si>
    <t xml:space="preserve">ORD-2024-05137</t>
  </si>
  <si>
    <t xml:space="preserve">ORD-2023-02344</t>
  </si>
  <si>
    <t xml:space="preserve">ORD-2025-06857</t>
  </si>
  <si>
    <t xml:space="preserve">ORD-2023-02121</t>
  </si>
  <si>
    <t xml:space="preserve">ORD-2022-01525</t>
  </si>
  <si>
    <t xml:space="preserve">ORD-2025-07618</t>
  </si>
  <si>
    <t xml:space="preserve">ORD-2022-00154</t>
  </si>
  <si>
    <t xml:space="preserve">ORD-2024-06345</t>
  </si>
  <si>
    <t xml:space="preserve">ORD-2022-00482</t>
  </si>
  <si>
    <t xml:space="preserve">ORD-2024-06123</t>
  </si>
  <si>
    <t xml:space="preserve">ORD-2024-04461</t>
  </si>
  <si>
    <t xml:space="preserve">ORD-2025-07675</t>
  </si>
  <si>
    <t xml:space="preserve">ORD-2025-07102</t>
  </si>
  <si>
    <t xml:space="preserve">ORD-2023-03921</t>
  </si>
  <si>
    <t xml:space="preserve">ORD-2025-07659</t>
  </si>
  <si>
    <t xml:space="preserve">ORD-2025-07412</t>
  </si>
  <si>
    <t xml:space="preserve">ORD-2022-01763</t>
  </si>
  <si>
    <t xml:space="preserve">ORD-2025-07635</t>
  </si>
  <si>
    <t xml:space="preserve">ORD-2025-07316</t>
  </si>
  <si>
    <t xml:space="preserve">ORD-2022-00751</t>
  </si>
  <si>
    <t xml:space="preserve">ORD-2025-07716</t>
  </si>
  <si>
    <t xml:space="preserve">ORD-2022-01786</t>
  </si>
  <si>
    <t xml:space="preserve">ORD-2025-08201</t>
  </si>
  <si>
    <t xml:space="preserve">ORD-2025-07480</t>
  </si>
  <si>
    <t xml:space="preserve">ORD-2024-06213</t>
  </si>
  <si>
    <t xml:space="preserve">ORD-2024-04502</t>
  </si>
  <si>
    <t xml:space="preserve">ORD-2024-04854</t>
  </si>
  <si>
    <t xml:space="preserve">ORD-2023-02712</t>
  </si>
  <si>
    <t xml:space="preserve">ORD-2025-06767</t>
  </si>
  <si>
    <t xml:space="preserve">ORD-2025-08694</t>
  </si>
  <si>
    <t xml:space="preserve">ORD-2024-04194</t>
  </si>
  <si>
    <t xml:space="preserve">ORD-2022-01334</t>
  </si>
  <si>
    <t xml:space="preserve">ORD-2022-01251</t>
  </si>
  <si>
    <t xml:space="preserve">ORD-2025-06888</t>
  </si>
  <si>
    <t xml:space="preserve">ORD-2023-02855</t>
  </si>
  <si>
    <t xml:space="preserve">ORD-2022-00187</t>
  </si>
  <si>
    <t xml:space="preserve">ORD-2022-01137</t>
  </si>
  <si>
    <t xml:space="preserve">ORD-2025-08490</t>
  </si>
  <si>
    <t xml:space="preserve">ORD-2025-08778</t>
  </si>
  <si>
    <t xml:space="preserve">ORD-2023-02059</t>
  </si>
  <si>
    <t xml:space="preserve">ORD-2025-08239</t>
  </si>
  <si>
    <t xml:space="preserve">ORD-2023-03851</t>
  </si>
  <si>
    <t xml:space="preserve">ORD-2022-00149</t>
  </si>
  <si>
    <t xml:space="preserve">ORD-2024-04125</t>
  </si>
  <si>
    <t xml:space="preserve">ORD-2024-04890</t>
  </si>
  <si>
    <t xml:space="preserve">ORD-2025-08004</t>
  </si>
  <si>
    <t xml:space="preserve">ORD-2023-03364</t>
  </si>
  <si>
    <t xml:space="preserve">ORD-2024-04789</t>
  </si>
  <si>
    <t xml:space="preserve">ORD-2023-02867</t>
  </si>
  <si>
    <t xml:space="preserve">ORD-2023-03777</t>
  </si>
  <si>
    <t xml:space="preserve">ORD-2022-01387</t>
  </si>
  <si>
    <t xml:space="preserve">ORD-2024-05942</t>
  </si>
  <si>
    <t xml:space="preserve">ORD-2023-03068</t>
  </si>
  <si>
    <t xml:space="preserve">ORD-2025-08166</t>
  </si>
  <si>
    <t xml:space="preserve">ORD-2024-05696</t>
  </si>
  <si>
    <t xml:space="preserve">ORD-2023-03630</t>
  </si>
  <si>
    <t xml:space="preserve">ORD-2025-08545</t>
  </si>
  <si>
    <t xml:space="preserve">ORD-2024-04798</t>
  </si>
  <si>
    <t xml:space="preserve">ORD-2025-07977</t>
  </si>
  <si>
    <t xml:space="preserve">ORD-2023-03029</t>
  </si>
  <si>
    <t xml:space="preserve">ORD-2023-02970</t>
  </si>
  <si>
    <t xml:space="preserve">ORD-2025-08952</t>
  </si>
  <si>
    <t xml:space="preserve">ORD-2022-01709</t>
  </si>
  <si>
    <t xml:space="preserve">ORD-2023-02954</t>
  </si>
  <si>
    <t xml:space="preserve">ORD-2022-00455</t>
  </si>
  <si>
    <t xml:space="preserve">ORD-2025-06965</t>
  </si>
  <si>
    <t xml:space="preserve">ORD-2024-06137</t>
  </si>
  <si>
    <t xml:space="preserve">ORD-2024-05869</t>
  </si>
  <si>
    <t xml:space="preserve">ORD-2025-06412</t>
  </si>
  <si>
    <t xml:space="preserve">ORD-2022-00610</t>
  </si>
  <si>
    <t xml:space="preserve">ORD-2024-04264</t>
  </si>
  <si>
    <t xml:space="preserve">ORD-2024-04827</t>
  </si>
  <si>
    <t xml:space="preserve">ORD-2022-00646</t>
  </si>
  <si>
    <t xml:space="preserve">ORD-2025-07455</t>
  </si>
  <si>
    <t xml:space="preserve">ORD-2023-02075</t>
  </si>
  <si>
    <t xml:space="preserve">ORD-2024-04053</t>
  </si>
  <si>
    <t xml:space="preserve">ORD-2025-08033</t>
  </si>
  <si>
    <t xml:space="preserve">ORD-2025-07797</t>
  </si>
  <si>
    <t xml:space="preserve">ORD-2022-01623</t>
  </si>
  <si>
    <t xml:space="preserve">ORD-2024-04684</t>
  </si>
  <si>
    <t xml:space="preserve">ORD-2024-05498</t>
  </si>
  <si>
    <t xml:space="preserve">ORD-2025-07142</t>
  </si>
  <si>
    <t xml:space="preserve">ORD-2025-07321</t>
  </si>
  <si>
    <t xml:space="preserve">ORD-2024-05797</t>
  </si>
  <si>
    <t xml:space="preserve">ORD-2025-07185</t>
  </si>
  <si>
    <t xml:space="preserve">ORD-2023-02082</t>
  </si>
  <si>
    <t xml:space="preserve">ORD-2025-07078</t>
  </si>
  <si>
    <t xml:space="preserve">ORD-2022-00041</t>
  </si>
  <si>
    <t xml:space="preserve">ORD-2024-05476</t>
  </si>
  <si>
    <t xml:space="preserve">ORD-2023-02090</t>
  </si>
  <si>
    <t xml:space="preserve">ORD-2023-03925</t>
  </si>
  <si>
    <t xml:space="preserve">ORD-2023-02176</t>
  </si>
  <si>
    <t xml:space="preserve">ORD-2025-07314</t>
  </si>
  <si>
    <t xml:space="preserve">ORD-2025-08360</t>
  </si>
  <si>
    <t xml:space="preserve">ORD-2022-00075</t>
  </si>
  <si>
    <t xml:space="preserve">ORD-2025-07904</t>
  </si>
  <si>
    <t xml:space="preserve">ORD-2023-03799</t>
  </si>
  <si>
    <t xml:space="preserve">ORD-2023-02658</t>
  </si>
  <si>
    <t xml:space="preserve">ORD-2023-03181</t>
  </si>
  <si>
    <t xml:space="preserve">ORD-2023-02077</t>
  </si>
  <si>
    <t xml:space="preserve">ORD-2022-00442</t>
  </si>
  <si>
    <t xml:space="preserve">ORD-2025-08338</t>
  </si>
  <si>
    <t xml:space="preserve">ORD-2023-02052</t>
  </si>
  <si>
    <t xml:space="preserve">ORD-2023-02542</t>
  </si>
  <si>
    <t xml:space="preserve">ORD-2025-07403</t>
  </si>
  <si>
    <t xml:space="preserve">ORD-2022-01302</t>
  </si>
  <si>
    <t xml:space="preserve">ORD-2024-05878</t>
  </si>
  <si>
    <t xml:space="preserve">ORD-2025-07369</t>
  </si>
  <si>
    <t xml:space="preserve">ORD-2023-03431</t>
  </si>
  <si>
    <t xml:space="preserve">ORD-2022-01305</t>
  </si>
  <si>
    <t xml:space="preserve">ORD-2022-00237</t>
  </si>
  <si>
    <t xml:space="preserve">ORD-2025-08213</t>
  </si>
  <si>
    <t xml:space="preserve">ORD-2023-02600</t>
  </si>
  <si>
    <t xml:space="preserve">ORD-2024-04617</t>
  </si>
  <si>
    <t xml:space="preserve">ORD-2023-02574</t>
  </si>
  <si>
    <t xml:space="preserve">ORD-2023-03281</t>
  </si>
  <si>
    <t xml:space="preserve">ORD-2023-03187</t>
  </si>
  <si>
    <t xml:space="preserve">ORD-2023-03954</t>
  </si>
  <si>
    <t xml:space="preserve">ORD-2023-02769</t>
  </si>
  <si>
    <t xml:space="preserve">ORD-2024-04832</t>
  </si>
  <si>
    <t xml:space="preserve">ORD-2024-04224</t>
  </si>
  <si>
    <t xml:space="preserve">ORD-2023-02107</t>
  </si>
  <si>
    <t xml:space="preserve">ORD-2023-02680</t>
  </si>
  <si>
    <t xml:space="preserve">ORD-2025-07326</t>
  </si>
  <si>
    <t xml:space="preserve">ORD-2023-02762</t>
  </si>
  <si>
    <t xml:space="preserve">ORD-2024-04689</t>
  </si>
  <si>
    <t xml:space="preserve">ORD-2024-05400</t>
  </si>
  <si>
    <t xml:space="preserve">ORD-2022-01388</t>
  </si>
  <si>
    <t xml:space="preserve">ORD-2023-02902</t>
  </si>
  <si>
    <t xml:space="preserve">ORD-2023-03578</t>
  </si>
  <si>
    <t xml:space="preserve">ORD-2025-08387</t>
  </si>
  <si>
    <t xml:space="preserve">ORD-2025-08732</t>
  </si>
  <si>
    <t xml:space="preserve">ORD-2025-07084</t>
  </si>
  <si>
    <t xml:space="preserve">ORD-2025-08875</t>
  </si>
  <si>
    <t xml:space="preserve">ORD-2025-07394</t>
  </si>
  <si>
    <t xml:space="preserve">ORD-2024-05001</t>
  </si>
  <si>
    <t xml:space="preserve">ORD-2024-05854</t>
  </si>
  <si>
    <t xml:space="preserve">ORD-2022-01280</t>
  </si>
  <si>
    <t xml:space="preserve">ORD-2025-08515</t>
  </si>
  <si>
    <t xml:space="preserve">ORD-2022-00805</t>
  </si>
  <si>
    <t xml:space="preserve">ORD-2025-06405</t>
  </si>
  <si>
    <t xml:space="preserve">ORD-2022-01556</t>
  </si>
  <si>
    <t xml:space="preserve">ORD-2025-08574</t>
  </si>
  <si>
    <t xml:space="preserve">ORD-2023-03191</t>
  </si>
  <si>
    <t xml:space="preserve">ORD-2024-04567</t>
  </si>
  <si>
    <t xml:space="preserve">ORD-2024-04803</t>
  </si>
  <si>
    <t xml:space="preserve">ORD-2025-08742</t>
  </si>
  <si>
    <t xml:space="preserve">ORD-2025-07167</t>
  </si>
  <si>
    <t xml:space="preserve">ORD-2024-04842</t>
  </si>
  <si>
    <t xml:space="preserve">ORD-2023-03595</t>
  </si>
  <si>
    <t xml:space="preserve">ORD-2024-06036</t>
  </si>
  <si>
    <t xml:space="preserve">ORD-2025-06853</t>
  </si>
  <si>
    <t xml:space="preserve">ORD-2025-06959</t>
  </si>
  <si>
    <t xml:space="preserve">ORD-2023-01921</t>
  </si>
  <si>
    <t xml:space="preserve">ORD-2022-00514</t>
  </si>
  <si>
    <t xml:space="preserve">ORD-2024-04178</t>
  </si>
  <si>
    <t xml:space="preserve">ORD-2025-06844</t>
  </si>
  <si>
    <t xml:space="preserve">ORD-2022-01309</t>
  </si>
  <si>
    <t xml:space="preserve">ORD-2024-05668</t>
  </si>
  <si>
    <t xml:space="preserve">ORD-2022-00915</t>
  </si>
  <si>
    <t xml:space="preserve">ORD-2023-03453</t>
  </si>
  <si>
    <t xml:space="preserve">ORD-2023-03696</t>
  </si>
  <si>
    <t xml:space="preserve">ORD-2024-04243</t>
  </si>
  <si>
    <t xml:space="preserve">ORD-2023-03157</t>
  </si>
  <si>
    <t xml:space="preserve">ORD-2023-02199</t>
  </si>
  <si>
    <t xml:space="preserve">ORD-2025-07841</t>
  </si>
  <si>
    <t xml:space="preserve">ORD-2022-00775</t>
  </si>
  <si>
    <t xml:space="preserve">ORD-2024-04426</t>
  </si>
  <si>
    <t xml:space="preserve">ORD-2024-06151</t>
  </si>
  <si>
    <t xml:space="preserve">ORD-2024-06098</t>
  </si>
  <si>
    <t xml:space="preserve">ORD-2022-00944</t>
  </si>
  <si>
    <t xml:space="preserve">ORD-2022-00823</t>
  </si>
  <si>
    <t xml:space="preserve">ORD-2025-06879</t>
  </si>
  <si>
    <t xml:space="preserve">ORD-2024-05006</t>
  </si>
  <si>
    <t xml:space="preserve">ORD-2025-06613</t>
  </si>
  <si>
    <t xml:space="preserve">ORD-2024-04278</t>
  </si>
  <si>
    <t xml:space="preserve">ORD-2022-00165</t>
  </si>
  <si>
    <t xml:space="preserve">ORD-2024-05620</t>
  </si>
  <si>
    <t xml:space="preserve">ORD-2024-04548</t>
  </si>
  <si>
    <t xml:space="preserve">ORD-2023-03984</t>
  </si>
  <si>
    <t xml:space="preserve">ORD-2023-02539</t>
  </si>
  <si>
    <t xml:space="preserve">ORD-2025-06958</t>
  </si>
  <si>
    <t xml:space="preserve">ORD-2023-03192</t>
  </si>
  <si>
    <t xml:space="preserve">ORD-2022-01312</t>
  </si>
  <si>
    <t xml:space="preserve">ORD-2025-08438</t>
  </si>
  <si>
    <t xml:space="preserve">ORD-2024-05208</t>
  </si>
  <si>
    <t xml:space="preserve">ORD-2025-08601</t>
  </si>
  <si>
    <t xml:space="preserve">ORD-2025-07586</t>
  </si>
  <si>
    <t xml:space="preserve">ORD-2024-05384</t>
  </si>
  <si>
    <t xml:space="preserve">ORD-2023-03055</t>
  </si>
  <si>
    <t xml:space="preserve">ORD-2023-03676</t>
  </si>
  <si>
    <t xml:space="preserve">ORD-2025-07777</t>
  </si>
  <si>
    <t xml:space="preserve">ORD-2025-07219</t>
  </si>
  <si>
    <t xml:space="preserve">ORD-2025-06723</t>
  </si>
  <si>
    <t xml:space="preserve">ORD-2023-03301</t>
  </si>
  <si>
    <t xml:space="preserve">ORD-2023-03311</t>
  </si>
  <si>
    <t xml:space="preserve">ORD-2025-06905</t>
  </si>
  <si>
    <t xml:space="preserve">ORD-2025-07222</t>
  </si>
  <si>
    <t xml:space="preserve">ORD-2022-00328</t>
  </si>
  <si>
    <t xml:space="preserve">ORD-2024-05887</t>
  </si>
  <si>
    <t xml:space="preserve">ORD-2023-02491</t>
  </si>
  <si>
    <t xml:space="preserve">ORD-2025-08761</t>
  </si>
  <si>
    <t xml:space="preserve">ORD-2024-06104</t>
  </si>
  <si>
    <t xml:space="preserve">ORD-2024-05955</t>
  </si>
  <si>
    <t xml:space="preserve">ORD-2025-08734</t>
  </si>
  <si>
    <t xml:space="preserve">ORD-2024-04409</t>
  </si>
  <si>
    <t xml:space="preserve">ORD-2022-00833</t>
  </si>
  <si>
    <t xml:space="preserve">ORD-2023-03080</t>
  </si>
  <si>
    <t xml:space="preserve">ORD-2025-07517</t>
  </si>
  <si>
    <t xml:space="preserve">ORD-2023-03463</t>
  </si>
  <si>
    <t xml:space="preserve">ORD-2024-05298</t>
  </si>
  <si>
    <t xml:space="preserve">ORD-2022-01824</t>
  </si>
  <si>
    <t xml:space="preserve">ORD-2025-07644</t>
  </si>
  <si>
    <t xml:space="preserve">ORD-2022-00055</t>
  </si>
  <si>
    <t xml:space="preserve">ORD-2024-06231</t>
  </si>
  <si>
    <t xml:space="preserve">ORD-2024-04065</t>
  </si>
  <si>
    <t xml:space="preserve">ORD-2023-03452</t>
  </si>
  <si>
    <t xml:space="preserve">ORD-2024-06306</t>
  </si>
  <si>
    <t xml:space="preserve">ORD-2023-01902</t>
  </si>
  <si>
    <t xml:space="preserve">ORD-2022-01482</t>
  </si>
  <si>
    <t xml:space="preserve">ORD-2024-04874</t>
  </si>
  <si>
    <t xml:space="preserve">ORD-2024-04896</t>
  </si>
  <si>
    <t xml:space="preserve">ORD-2025-07811</t>
  </si>
  <si>
    <t xml:space="preserve">ORD-2024-04151</t>
  </si>
  <si>
    <t xml:space="preserve">ORD-2025-07069</t>
  </si>
  <si>
    <t xml:space="preserve">ORD-2023-03336</t>
  </si>
  <si>
    <t xml:space="preserve">ORD-2024-06017</t>
  </si>
  <si>
    <t xml:space="preserve">ORD-2025-07812</t>
  </si>
  <si>
    <t xml:space="preserve">ORD-2024-04927</t>
  </si>
  <si>
    <t xml:space="preserve">ORD-2022-00947</t>
  </si>
  <si>
    <t xml:space="preserve">ORD-2024-05798</t>
  </si>
  <si>
    <t xml:space="preserve">ORD-2023-03294</t>
  </si>
  <si>
    <t xml:space="preserve">ORD-2023-02162</t>
  </si>
  <si>
    <t xml:space="preserve">ORD-2025-08892</t>
  </si>
  <si>
    <t xml:space="preserve">ORD-2024-05084</t>
  </si>
  <si>
    <t xml:space="preserve">ORD-2025-06646</t>
  </si>
  <si>
    <t xml:space="preserve">ORD-2025-08276</t>
  </si>
  <si>
    <t xml:space="preserve">ORD-2023-03058</t>
  </si>
  <si>
    <t xml:space="preserve">ORD-2025-07343</t>
  </si>
  <si>
    <t xml:space="preserve">ORD-2024-05491</t>
  </si>
  <si>
    <t xml:space="preserve">ORD-2025-06734</t>
  </si>
  <si>
    <t xml:space="preserve">ORD-2022-00769</t>
  </si>
  <si>
    <t xml:space="preserve">ORD-2023-02066</t>
  </si>
  <si>
    <t xml:space="preserve">ORD-2025-08588</t>
  </si>
  <si>
    <t xml:space="preserve">ORD-2023-03496</t>
  </si>
  <si>
    <t xml:space="preserve">ORD-2025-07312</t>
  </si>
  <si>
    <t xml:space="preserve">ORD-2022-00286</t>
  </si>
  <si>
    <t xml:space="preserve">ORD-2022-01501</t>
  </si>
  <si>
    <t xml:space="preserve">ORD-2024-04525</t>
  </si>
  <si>
    <t xml:space="preserve">ORD-2025-08504</t>
  </si>
  <si>
    <t xml:space="preserve">ORD-2023-02333</t>
  </si>
  <si>
    <t xml:space="preserve">ORD-2023-02718</t>
  </si>
  <si>
    <t xml:space="preserve">ORD-2023-02080</t>
  </si>
  <si>
    <t xml:space="preserve">ORD-2023-03390</t>
  </si>
  <si>
    <t xml:space="preserve">ORD-2022-00723</t>
  </si>
  <si>
    <t xml:space="preserve">ORD-2022-00952</t>
  </si>
  <si>
    <t xml:space="preserve">ORD-2023-02483</t>
  </si>
  <si>
    <t xml:space="preserve">ORD-2023-02263</t>
  </si>
  <si>
    <t xml:space="preserve">ORD-2022-00990</t>
  </si>
  <si>
    <t xml:space="preserve">ORD-2023-03213</t>
  </si>
  <si>
    <t xml:space="preserve">ORD-2022-01760</t>
  </si>
  <si>
    <t xml:space="preserve">ORD-2025-08105</t>
  </si>
  <si>
    <t xml:space="preserve">ORD-2024-04423</t>
  </si>
  <si>
    <t xml:space="preserve">ORD-2025-06705</t>
  </si>
  <si>
    <t xml:space="preserve">ORD-2024-05480</t>
  </si>
  <si>
    <t xml:space="preserve">ORD-2022-01725</t>
  </si>
  <si>
    <t xml:space="preserve">ORD-2024-05183</t>
  </si>
  <si>
    <t xml:space="preserve">ORD-2025-08524</t>
  </si>
  <si>
    <t xml:space="preserve">ORD-2022-00342</t>
  </si>
  <si>
    <t xml:space="preserve">ORD-2023-03702</t>
  </si>
  <si>
    <t xml:space="preserve">ORD-2024-04244</t>
  </si>
  <si>
    <t xml:space="preserve">ORD-2022-00689</t>
  </si>
  <si>
    <t xml:space="preserve">ORD-2023-03433</t>
  </si>
  <si>
    <t xml:space="preserve">ORD-2024-05204</t>
  </si>
  <si>
    <t xml:space="preserve">ORD-2024-04945</t>
  </si>
  <si>
    <t xml:space="preserve">ORD-2022-00967</t>
  </si>
  <si>
    <t xml:space="preserve">ORD-2023-03121</t>
  </si>
  <si>
    <t xml:space="preserve">ORD-2025-08972</t>
  </si>
  <si>
    <t xml:space="preserve">ORD-2023-02204</t>
  </si>
  <si>
    <t xml:space="preserve">ORD-2023-02714</t>
  </si>
  <si>
    <t xml:space="preserve">ORD-2024-04758</t>
  </si>
  <si>
    <t xml:space="preserve">ORD-2024-05099</t>
  </si>
  <si>
    <t xml:space="preserve">ORD-2025-08457</t>
  </si>
  <si>
    <t xml:space="preserve">ORD-2025-08628</t>
  </si>
  <si>
    <t xml:space="preserve">ORD-2024-06321</t>
  </si>
  <si>
    <t xml:space="preserve">ORD-2024-05281</t>
  </si>
  <si>
    <t xml:space="preserve">ORD-2024-05976</t>
  </si>
  <si>
    <t xml:space="preserve">ORD-2023-03573</t>
  </si>
  <si>
    <t xml:space="preserve">ORD-2024-04806</t>
  </si>
  <si>
    <t xml:space="preserve">ORD-2024-05300</t>
  </si>
  <si>
    <t xml:space="preserve">ORD-2023-01991</t>
  </si>
  <si>
    <t xml:space="preserve">ORD-2024-04121</t>
  </si>
  <si>
    <t xml:space="preserve">ORD-2024-04760</t>
  </si>
  <si>
    <t xml:space="preserve">ORD-2025-08098</t>
  </si>
  <si>
    <t xml:space="preserve">ORD-2024-05299</t>
  </si>
  <si>
    <t xml:space="preserve">ORD-2025-08421</t>
  </si>
  <si>
    <t xml:space="preserve">ORD-2024-04972</t>
  </si>
  <si>
    <t xml:space="preserve">ORD-2022-00955</t>
  </si>
  <si>
    <t xml:space="preserve">ORD-2024-05035</t>
  </si>
  <si>
    <t xml:space="preserve">ORD-2025-06784</t>
  </si>
  <si>
    <t xml:space="preserve">ORD-2023-03601</t>
  </si>
  <si>
    <t xml:space="preserve">ORD-2025-06491</t>
  </si>
  <si>
    <t xml:space="preserve">ORD-2025-08622</t>
  </si>
  <si>
    <t xml:space="preserve">ORD-2022-00475</t>
  </si>
  <si>
    <t xml:space="preserve">ORD-2025-08137</t>
  </si>
  <si>
    <t xml:space="preserve">ORD-2022-00386</t>
  </si>
  <si>
    <t xml:space="preserve">ORD-2025-07974</t>
  </si>
  <si>
    <t xml:space="preserve">ORD-2023-02123</t>
  </si>
  <si>
    <t xml:space="preserve">ORD-2022-01626</t>
  </si>
  <si>
    <t xml:space="preserve">ORD-2022-00537</t>
  </si>
  <si>
    <t xml:space="preserve">ORD-2025-06388</t>
  </si>
  <si>
    <t xml:space="preserve">ORD-2025-08714</t>
  </si>
  <si>
    <t xml:space="preserve">ORD-2025-07971</t>
  </si>
  <si>
    <t xml:space="preserve">ORD-2024-05033</t>
  </si>
  <si>
    <t xml:space="preserve">ORD-2025-07834</t>
  </si>
  <si>
    <t xml:space="preserve">ORD-2024-04213</t>
  </si>
  <si>
    <t xml:space="preserve">ORD-2025-06457</t>
  </si>
  <si>
    <t xml:space="preserve">ORD-2023-03508</t>
  </si>
  <si>
    <t xml:space="preserve">ORD-2022-00202</t>
  </si>
  <si>
    <t xml:space="preserve">ORD-2025-07305</t>
  </si>
  <si>
    <t xml:space="preserve">ORD-2022-01333</t>
  </si>
  <si>
    <t xml:space="preserve">ORD-2025-07113</t>
  </si>
  <si>
    <t xml:space="preserve">ORD-2023-03503</t>
  </si>
  <si>
    <t xml:space="preserve">ORD-2023-02709</t>
  </si>
  <si>
    <t xml:space="preserve">ORD-2024-06031</t>
  </si>
  <si>
    <t xml:space="preserve">ORD-2024-05032</t>
  </si>
  <si>
    <t xml:space="preserve">ORD-2025-06515</t>
  </si>
  <si>
    <t xml:space="preserve">ORD-2024-04663</t>
  </si>
  <si>
    <t xml:space="preserve">ORD-2024-04022</t>
  </si>
  <si>
    <t xml:space="preserve">ORD-2023-01855</t>
  </si>
  <si>
    <t xml:space="preserve">ORD-2025-08523</t>
  </si>
  <si>
    <t xml:space="preserve">ORD-2023-02873</t>
  </si>
  <si>
    <t xml:space="preserve">ORD-2023-03031</t>
  </si>
  <si>
    <t xml:space="preserve">ORD-2022-01206</t>
  </si>
  <si>
    <t xml:space="preserve">ORD-2025-06564</t>
  </si>
  <si>
    <t xml:space="preserve">ORD-2022-01646</t>
  </si>
  <si>
    <t xml:space="preserve">ORD-2023-03418</t>
  </si>
  <si>
    <t xml:space="preserve">ORD-2023-03477</t>
  </si>
  <si>
    <t xml:space="preserve">ORD-2025-08635</t>
  </si>
  <si>
    <t xml:space="preserve">ORD-2023-02862</t>
  </si>
  <si>
    <t xml:space="preserve">ORD-2022-01793</t>
  </si>
  <si>
    <t xml:space="preserve">ORD-2024-05527</t>
  </si>
  <si>
    <t xml:space="preserve">ORD-2025-06923</t>
  </si>
  <si>
    <t xml:space="preserve">ORD-2023-03798</t>
  </si>
  <si>
    <t xml:space="preserve">ORD-2023-03369</t>
  </si>
  <si>
    <t xml:space="preserve">ORD-2023-03368</t>
  </si>
  <si>
    <t xml:space="preserve">ORD-2023-03534</t>
  </si>
  <si>
    <t xml:space="preserve">ORD-2025-07197</t>
  </si>
  <si>
    <t xml:space="preserve">ORD-2025-08716</t>
  </si>
  <si>
    <t xml:space="preserve">ORD-2024-05110</t>
  </si>
  <si>
    <t xml:space="preserve">ORD-2024-06025</t>
  </si>
  <si>
    <t xml:space="preserve">ORD-2023-03450</t>
  </si>
  <si>
    <t xml:space="preserve">ORD-2025-07967</t>
  </si>
  <si>
    <t xml:space="preserve">ORD-2022-00604</t>
  </si>
  <si>
    <t xml:space="preserve">ORD-2023-03057</t>
  </si>
  <si>
    <t xml:space="preserve">ORD-2025-08400</t>
  </si>
  <si>
    <t xml:space="preserve">ORD-2022-00127</t>
  </si>
  <si>
    <t xml:space="preserve">ORD-2024-05960</t>
  </si>
  <si>
    <t xml:space="preserve">ORD-2023-03877</t>
  </si>
  <si>
    <t xml:space="preserve">ORD-2023-02936</t>
  </si>
  <si>
    <t xml:space="preserve">ORD-2025-07301</t>
  </si>
  <si>
    <t xml:space="preserve">ORD-2024-05444</t>
  </si>
  <si>
    <t xml:space="preserve">ORD-2025-07152</t>
  </si>
  <si>
    <t xml:space="preserve">ORD-2024-04452</t>
  </si>
  <si>
    <t xml:space="preserve">ORD-2025-07148</t>
  </si>
  <si>
    <t xml:space="preserve">ORD-2023-03532</t>
  </si>
  <si>
    <t xml:space="preserve">ORD-2023-02731</t>
  </si>
  <si>
    <t xml:space="preserve">ORD-2022-00828</t>
  </si>
  <si>
    <t xml:space="preserve">ORD-2022-01640</t>
  </si>
  <si>
    <t xml:space="preserve">ORD-2025-07791</t>
  </si>
  <si>
    <t xml:space="preserve">ORD-2025-07137</t>
  </si>
  <si>
    <t xml:space="preserve">ORD-2022-00985</t>
  </si>
  <si>
    <t xml:space="preserve">ORD-2023-03282</t>
  </si>
  <si>
    <t xml:space="preserve">ORD-2025-07784</t>
  </si>
  <si>
    <t xml:space="preserve">ORD-2023-02189</t>
  </si>
  <si>
    <t xml:space="preserve">ORD-2023-02266</t>
  </si>
  <si>
    <t xml:space="preserve">ORD-2023-02444</t>
  </si>
  <si>
    <t xml:space="preserve">ORD-2022-00363</t>
  </si>
  <si>
    <t xml:space="preserve">ORD-2023-02350</t>
  </si>
  <si>
    <t xml:space="preserve">ORD-2022-00346</t>
  </si>
  <si>
    <t xml:space="preserve">ORD-2022-00815</t>
  </si>
  <si>
    <t xml:space="preserve">ORD-2024-06167</t>
  </si>
  <si>
    <t xml:space="preserve">ORD-2024-04808</t>
  </si>
  <si>
    <t xml:space="preserve">ORD-2023-03206</t>
  </si>
  <si>
    <t xml:space="preserve">ORD-2023-02598</t>
  </si>
  <si>
    <t xml:space="preserve">ORD-2023-02920</t>
  </si>
  <si>
    <t xml:space="preserve">ORD-2024-05962</t>
  </si>
  <si>
    <t xml:space="preserve">ORD-2023-03326</t>
  </si>
  <si>
    <t xml:space="preserve">ORD-2024-04107</t>
  </si>
  <si>
    <t xml:space="preserve">ORD-2024-05780</t>
  </si>
  <si>
    <t xml:space="preserve">ORD-2023-02117</t>
  </si>
  <si>
    <t xml:space="preserve">ORD-2025-07451</t>
  </si>
  <si>
    <t xml:space="preserve">ORD-2022-01835</t>
  </si>
  <si>
    <t xml:space="preserve">ORD-2022-00794</t>
  </si>
  <si>
    <t xml:space="preserve">ORD-2025-07460</t>
  </si>
  <si>
    <t xml:space="preserve">ORD-2023-01956</t>
  </si>
  <si>
    <t xml:space="preserve">ORD-2025-06899</t>
  </si>
  <si>
    <t xml:space="preserve">ORD-2023-02675</t>
  </si>
  <si>
    <t xml:space="preserve">ORD-2022-00095</t>
  </si>
  <si>
    <t xml:space="preserve">ORD-2025-07579</t>
  </si>
  <si>
    <t xml:space="preserve">ORD-2024-04226</t>
  </si>
  <si>
    <t xml:space="preserve">ORD-2023-03757</t>
  </si>
  <si>
    <t xml:space="preserve">ORD-2023-02892</t>
  </si>
  <si>
    <t xml:space="preserve">ORD-2023-02372</t>
  </si>
  <si>
    <t xml:space="preserve">ORD-2025-08805</t>
  </si>
  <si>
    <t xml:space="preserve">ORD-2025-08722</t>
  </si>
  <si>
    <t xml:space="preserve">ORD-2025-07429</t>
  </si>
  <si>
    <t xml:space="preserve">ORD-2025-08489</t>
  </si>
  <si>
    <t xml:space="preserve">ORD-2023-03229</t>
  </si>
  <si>
    <t xml:space="preserve">ORD-2024-06159</t>
  </si>
  <si>
    <t xml:space="preserve">ORD-2025-07864</t>
  </si>
  <si>
    <t xml:space="preserve">ORD-2025-07092</t>
  </si>
  <si>
    <t xml:space="preserve">ORD-2024-06360</t>
  </si>
  <si>
    <t xml:space="preserve">ORD-2024-05997</t>
  </si>
  <si>
    <t xml:space="preserve">ORD-2025-08306</t>
  </si>
  <si>
    <t xml:space="preserve">ORD-2025-08509</t>
  </si>
  <si>
    <t xml:space="preserve">ORD-2025-07327</t>
  </si>
  <si>
    <t xml:space="preserve">ORD-2024-06029</t>
  </si>
  <si>
    <t xml:space="preserve">ORD-2023-02854</t>
  </si>
  <si>
    <t xml:space="preserve">ORD-2025-08675</t>
  </si>
  <si>
    <t xml:space="preserve">ORD-2023-02913</t>
  </si>
  <si>
    <t xml:space="preserve">ORD-2023-01866</t>
  </si>
  <si>
    <t xml:space="preserve">ORD-2024-05755</t>
  </si>
  <si>
    <t xml:space="preserve">ORD-2024-04613</t>
  </si>
  <si>
    <t xml:space="preserve">ORD-2025-07690</t>
  </si>
  <si>
    <t xml:space="preserve">ORD-2023-01858</t>
  </si>
  <si>
    <t xml:space="preserve">ORD-2023-02646</t>
  </si>
  <si>
    <t xml:space="preserve">ORD-2023-02244</t>
  </si>
  <si>
    <t xml:space="preserve">ORD-2024-05374</t>
  </si>
  <si>
    <t xml:space="preserve">ORD-2023-02337</t>
  </si>
  <si>
    <t xml:space="preserve">ORD-2022-00951</t>
  </si>
  <si>
    <t xml:space="preserve">ORD-2022-01121</t>
  </si>
  <si>
    <t xml:space="preserve">ORD-2023-02205</t>
  </si>
  <si>
    <t xml:space="preserve">ORD-2022-00420</t>
  </si>
  <si>
    <t xml:space="preserve">ORD-2022-00923</t>
  </si>
  <si>
    <t xml:space="preserve">ORD-2024-05409</t>
  </si>
  <si>
    <t xml:space="preserve">ORD-2024-05789</t>
  </si>
  <si>
    <t xml:space="preserve">ORD-2024-05743</t>
  </si>
  <si>
    <t xml:space="preserve">ORD-2025-07668</t>
  </si>
  <si>
    <t xml:space="preserve">ORD-2024-05568</t>
  </si>
  <si>
    <t xml:space="preserve">ORD-2025-08136</t>
  </si>
  <si>
    <t xml:space="preserve">ORD-2022-01203</t>
  </si>
  <si>
    <t xml:space="preserve">ORD-2024-05766</t>
  </si>
  <si>
    <t xml:space="preserve">ORD-2023-01971</t>
  </si>
  <si>
    <t xml:space="preserve">ORD-2024-04019</t>
  </si>
  <si>
    <t xml:space="preserve">ORD-2023-03688</t>
  </si>
  <si>
    <t xml:space="preserve">ORD-2023-01998</t>
  </si>
  <si>
    <t xml:space="preserve">ORD-2024-04034</t>
  </si>
  <si>
    <t xml:space="preserve">ORD-2022-01249</t>
  </si>
  <si>
    <t xml:space="preserve">ORD-2023-02193</t>
  </si>
  <si>
    <t xml:space="preserve">ORD-2023-02713</t>
  </si>
  <si>
    <t xml:space="preserve">ORD-2023-02191</t>
  </si>
  <si>
    <t xml:space="preserve">ORD-2024-04671</t>
  </si>
  <si>
    <t xml:space="preserve">ORD-2024-05143</t>
  </si>
  <si>
    <t xml:space="preserve">ORD-2024-05985</t>
  </si>
  <si>
    <t xml:space="preserve">ORD-2025-06566</t>
  </si>
  <si>
    <t xml:space="preserve">ORD-2025-07805</t>
  </si>
  <si>
    <t xml:space="preserve">ORD-2025-06944</t>
  </si>
  <si>
    <t xml:space="preserve">ORD-2023-02137</t>
  </si>
  <si>
    <t xml:space="preserve">ORD-2022-01066</t>
  </si>
  <si>
    <t xml:space="preserve">ORD-2022-00601</t>
  </si>
  <si>
    <t xml:space="preserve">ORD-2024-04228</t>
  </si>
  <si>
    <t xml:space="preserve">ORD-2025-07578</t>
  </si>
  <si>
    <t xml:space="preserve">ORD-2022-00078</t>
  </si>
  <si>
    <t xml:space="preserve">ORD-2025-07547</t>
  </si>
  <si>
    <t xml:space="preserve">ORD-2023-02899</t>
  </si>
  <si>
    <t xml:space="preserve">ORD-2024-04821</t>
  </si>
  <si>
    <t xml:space="preserve">ORD-2025-08408</t>
  </si>
  <si>
    <t xml:space="preserve">ORD-2025-06414</t>
  </si>
  <si>
    <t xml:space="preserve">ORD-2025-08008</t>
  </si>
  <si>
    <t xml:space="preserve">ORD-2024-05469</t>
  </si>
  <si>
    <t xml:space="preserve">ORD-2024-05952</t>
  </si>
  <si>
    <t xml:space="preserve">ORD-2023-03392</t>
  </si>
  <si>
    <t xml:space="preserve">ORD-2024-05416</t>
  </si>
  <si>
    <t xml:space="preserve">ORD-2023-02561</t>
  </si>
  <si>
    <t xml:space="preserve">ORD-2025-08163</t>
  </si>
  <si>
    <t xml:space="preserve">ORD-2023-02636</t>
  </si>
  <si>
    <t xml:space="preserve">ORD-2024-05257</t>
  </si>
  <si>
    <t xml:space="preserve">ORD-2023-03531</t>
  </si>
  <si>
    <t xml:space="preserve">ORD-2023-01909</t>
  </si>
  <si>
    <t xml:space="preserve">ORD-2022-00236</t>
  </si>
  <si>
    <t xml:space="preserve">ORD-2022-01605</t>
  </si>
  <si>
    <t xml:space="preserve">ORD-2025-07985</t>
  </si>
  <si>
    <t xml:space="preserve">ORD-2023-03491</t>
  </si>
  <si>
    <t xml:space="preserve">ORD-2023-01995</t>
  </si>
  <si>
    <t xml:space="preserve">ORD-2023-02825</t>
  </si>
  <si>
    <t xml:space="preserve">ORD-2025-08391</t>
  </si>
  <si>
    <t xml:space="preserve">ORD-2022-01343</t>
  </si>
  <si>
    <t xml:space="preserve">ORD-2022-01620</t>
  </si>
  <si>
    <t xml:space="preserve">ORD-2024-05288</t>
  </si>
  <si>
    <t xml:space="preserve">ORD-2023-02061</t>
  </si>
  <si>
    <t xml:space="preserve">ORD-2023-02220</t>
  </si>
  <si>
    <t xml:space="preserve">ORD-2024-06039</t>
  </si>
  <si>
    <t xml:space="preserve">ORD-2022-00261</t>
  </si>
  <si>
    <t xml:space="preserve">ORD-2025-08466</t>
  </si>
  <si>
    <t xml:space="preserve">ORD-2023-03745</t>
  </si>
  <si>
    <t xml:space="preserve">ORD-2023-02027</t>
  </si>
  <si>
    <t xml:space="preserve">ORD-2025-06989</t>
  </si>
  <si>
    <t xml:space="preserve">ORD-2024-04235</t>
  </si>
  <si>
    <t xml:space="preserve">ORD-2023-01918</t>
  </si>
  <si>
    <t xml:space="preserve">ORD-2022-01829</t>
  </si>
  <si>
    <t xml:space="preserve">ORD-2024-06234</t>
  </si>
  <si>
    <t xml:space="preserve">ORD-2025-08435</t>
  </si>
  <si>
    <t xml:space="preserve">ORD-2024-06284</t>
  </si>
  <si>
    <t xml:space="preserve">ORD-2024-04209</t>
  </si>
  <si>
    <t xml:space="preserve">ORD-2022-00225</t>
  </si>
  <si>
    <t xml:space="preserve">ORD-2025-06470</t>
  </si>
  <si>
    <t xml:space="preserve">ORD-2025-08511</t>
  </si>
  <si>
    <t xml:space="preserve">ORD-2022-00847</t>
  </si>
  <si>
    <t xml:space="preserve">ORD-2024-04290</t>
  </si>
  <si>
    <t xml:space="preserve">ORD-2024-05561</t>
  </si>
  <si>
    <t xml:space="preserve">ORD-2023-02552</t>
  </si>
  <si>
    <t xml:space="preserve">ORD-2022-00118</t>
  </si>
  <si>
    <t xml:space="preserve">ORD-2024-05967</t>
  </si>
  <si>
    <t xml:space="preserve">ORD-2025-08196</t>
  </si>
  <si>
    <t xml:space="preserve">ORD-2025-07490</t>
  </si>
  <si>
    <t xml:space="preserve">ORD-2022-00006</t>
  </si>
  <si>
    <t xml:space="preserve">ORD-2024-05343</t>
  </si>
  <si>
    <t xml:space="preserve">ORD-2024-04325</t>
  </si>
  <si>
    <t xml:space="preserve">ORD-2022-01064</t>
  </si>
  <si>
    <t xml:space="preserve">ORD-2023-02591</t>
  </si>
  <si>
    <t xml:space="preserve">ORD-2023-03736</t>
  </si>
  <si>
    <t xml:space="preserve">ORD-2023-03518</t>
  </si>
  <si>
    <t xml:space="preserve">ORD-2025-06987</t>
  </si>
  <si>
    <t xml:space="preserve">ORD-2025-06768</t>
  </si>
  <si>
    <t xml:space="preserve">ORD-2024-05623</t>
  </si>
  <si>
    <t xml:space="preserve">ORD-2022-01606</t>
  </si>
  <si>
    <t xml:space="preserve">ORD-2022-01734</t>
  </si>
  <si>
    <t xml:space="preserve">ORD-2025-08444</t>
  </si>
  <si>
    <t xml:space="preserve">ORD-2023-03813</t>
  </si>
  <si>
    <t xml:space="preserve">ORD-2025-08699</t>
  </si>
  <si>
    <t xml:space="preserve">ORD-2022-01762</t>
  </si>
  <si>
    <t xml:space="preserve">ORD-2024-05402</t>
  </si>
  <si>
    <t xml:space="preserve">ORD-2023-02740</t>
  </si>
  <si>
    <t xml:space="preserve">ORD-2023-02473</t>
  </si>
  <si>
    <t xml:space="preserve">ORD-2025-06739</t>
  </si>
  <si>
    <t xml:space="preserve">ORD-2025-06892</t>
  </si>
  <si>
    <t xml:space="preserve">ORD-2025-07944</t>
  </si>
  <si>
    <t xml:space="preserve">ORD-2024-04207</t>
  </si>
  <si>
    <t xml:space="preserve">ORD-2024-06372</t>
  </si>
  <si>
    <t xml:space="preserve">ORD-2022-00233</t>
  </si>
  <si>
    <t xml:space="preserve">ORD-2025-08259</t>
  </si>
  <si>
    <t xml:space="preserve">ORD-2025-07562</t>
  </si>
  <si>
    <t xml:space="preserve">ORD-2024-06169</t>
  </si>
  <si>
    <t xml:space="preserve">ORD-2023-03597</t>
  </si>
  <si>
    <t xml:space="preserve">ORD-2024-06289</t>
  </si>
  <si>
    <t xml:space="preserve">ORD-2024-04633</t>
  </si>
  <si>
    <t xml:space="preserve">ORD-2022-00126</t>
  </si>
  <si>
    <t xml:space="preserve">ORD-2025-07642</t>
  </si>
  <si>
    <t xml:space="preserve">ORD-2024-06230</t>
  </si>
  <si>
    <t xml:space="preserve">ORD-2022-01297</t>
  </si>
  <si>
    <t xml:space="preserve">ORD-2023-01977</t>
  </si>
  <si>
    <t xml:space="preserve">ORD-2025-08568</t>
  </si>
  <si>
    <t xml:space="preserve">ORD-2024-05751</t>
  </si>
  <si>
    <t xml:space="preserve">ORD-2025-08153</t>
  </si>
  <si>
    <t xml:space="preserve">ORD-2023-03087</t>
  </si>
  <si>
    <t xml:space="preserve">ORD-2025-08382</t>
  </si>
  <si>
    <t xml:space="preserve">ORD-2025-06883</t>
  </si>
  <si>
    <t xml:space="preserve">ORD-2025-08411</t>
  </si>
  <si>
    <t xml:space="preserve">ORD-2025-07674</t>
  </si>
  <si>
    <t xml:space="preserve">ORD-2023-03346</t>
  </si>
  <si>
    <t xml:space="preserve">ORD-2025-08173</t>
  </si>
  <si>
    <t xml:space="preserve">ORD-2025-08519</t>
  </si>
  <si>
    <t xml:space="preserve">ORD-2024-05871</t>
  </si>
  <si>
    <t xml:space="preserve">ORD-2025-06507</t>
  </si>
  <si>
    <t xml:space="preserve">ORD-2023-02798</t>
  </si>
  <si>
    <t xml:space="preserve">ORD-2022-00919</t>
  </si>
  <si>
    <t xml:space="preserve">ORD-2022-01647</t>
  </si>
  <si>
    <t xml:space="preserve">ORD-2024-05123</t>
  </si>
  <si>
    <t xml:space="preserve">ORD-2024-05127</t>
  </si>
  <si>
    <t xml:space="preserve">ORD-2024-04622</t>
  </si>
  <si>
    <t xml:space="preserve">ORD-2025-06810</t>
  </si>
  <si>
    <t xml:space="preserve">ORD-2022-00365</t>
  </si>
  <si>
    <t xml:space="preserve">ORD-2023-02126</t>
  </si>
  <si>
    <t xml:space="preserve">ORD-2025-08151</t>
  </si>
  <si>
    <t xml:space="preserve">ORD-2022-00056</t>
  </si>
  <si>
    <t xml:space="preserve">ORD-2022-00639</t>
  </si>
  <si>
    <t xml:space="preserve">ORD-2022-00303</t>
  </si>
  <si>
    <t xml:space="preserve">ORD-2024-05812</t>
  </si>
  <si>
    <t xml:space="preserve">ORD-2022-01277</t>
  </si>
  <si>
    <t xml:space="preserve">ORD-2024-04433</t>
  </si>
  <si>
    <t xml:space="preserve">ORD-2023-03645</t>
  </si>
  <si>
    <t xml:space="preserve">ORD-2024-04144</t>
  </si>
  <si>
    <t xml:space="preserve">ORD-2023-02879</t>
  </si>
  <si>
    <t xml:space="preserve">ORD-2025-06494</t>
  </si>
  <si>
    <t xml:space="preserve">ORD-2024-05241</t>
  </si>
  <si>
    <t xml:space="preserve">ORD-2025-08506</t>
  </si>
  <si>
    <t xml:space="preserve">ORD-2025-06938</t>
  </si>
  <si>
    <t xml:space="preserve">ORD-2025-07241</t>
  </si>
  <si>
    <t xml:space="preserve">ORD-2023-02594</t>
  </si>
  <si>
    <t xml:space="preserve">ORD-2023-02394</t>
  </si>
  <si>
    <t xml:space="preserve">ORD-2022-00524</t>
  </si>
  <si>
    <t xml:space="preserve">ORD-2025-06377</t>
  </si>
  <si>
    <t xml:space="preserve">ORD-2025-06982</t>
  </si>
  <si>
    <t xml:space="preserve">ORD-2025-06678</t>
  </si>
  <si>
    <t xml:space="preserve">ORD-2023-03901</t>
  </si>
  <si>
    <t xml:space="preserve">ORD-2025-08709</t>
  </si>
  <si>
    <t xml:space="preserve">ORD-2024-05586</t>
  </si>
  <si>
    <t xml:space="preserve">ORD-2025-08462</t>
  </si>
  <si>
    <t xml:space="preserve">ORD-2025-07957</t>
  </si>
  <si>
    <t xml:space="preserve">ORD-2025-07571</t>
  </si>
  <si>
    <t xml:space="preserve">ORD-2025-06778</t>
  </si>
  <si>
    <t xml:space="preserve">ORD-2022-00672</t>
  </si>
  <si>
    <t xml:space="preserve">ORD-2024-04189</t>
  </si>
  <si>
    <t xml:space="preserve">ORD-2022-00667</t>
  </si>
  <si>
    <t xml:space="preserve">ORD-2023-03267</t>
  </si>
  <si>
    <t xml:space="preserve">ORD-2023-01888</t>
  </si>
  <si>
    <t xml:space="preserve">ORD-2025-07688</t>
  </si>
  <si>
    <t xml:space="preserve">ORD-2024-06032</t>
  </si>
  <si>
    <t xml:space="preserve">ORD-2024-06091</t>
  </si>
  <si>
    <t xml:space="preserve">ORD-2024-06239</t>
  </si>
  <si>
    <t xml:space="preserve">ORD-2025-07351</t>
  </si>
  <si>
    <t xml:space="preserve">ORD-2025-07831</t>
  </si>
  <si>
    <t xml:space="preserve">ORD-2022-00761</t>
  </si>
  <si>
    <t xml:space="preserve">ORD-2024-06255</t>
  </si>
  <si>
    <t xml:space="preserve">ORD-2023-01907</t>
  </si>
  <si>
    <t xml:space="preserve">ORD-2023-03819</t>
  </si>
  <si>
    <t xml:space="preserve">ORD-2024-06270</t>
  </si>
  <si>
    <t xml:space="preserve">ORD-2024-04301</t>
  </si>
  <si>
    <t xml:space="preserve">ORD-2024-05570</t>
  </si>
  <si>
    <t xml:space="preserve">ORD-2025-07942</t>
  </si>
  <si>
    <t xml:space="preserve">ORD-2024-04165</t>
  </si>
  <si>
    <t xml:space="preserve">ORD-2024-05972</t>
  </si>
  <si>
    <t xml:space="preserve">ORD-2023-03580</t>
  </si>
  <si>
    <t xml:space="preserve">ORD-2023-02833</t>
  </si>
  <si>
    <t xml:space="preserve">ORD-2024-05450</t>
  </si>
  <si>
    <t xml:space="preserve">ORD-2023-03473</t>
  </si>
  <si>
    <t xml:space="preserve">ORD-2024-06328</t>
  </si>
  <si>
    <t xml:space="preserve">ORD-2022-00138</t>
  </si>
  <si>
    <t xml:space="preserve">ORD-2025-07044</t>
  </si>
  <si>
    <t xml:space="preserve">ORD-2024-04893</t>
  </si>
  <si>
    <t xml:space="preserve">ORD-2023-02181</t>
  </si>
  <si>
    <t xml:space="preserve">ORD-2025-07731</t>
  </si>
  <si>
    <t xml:space="preserve">ORD-2023-03178</t>
  </si>
  <si>
    <t xml:space="preserve">ORD-2024-04855</t>
  </si>
  <si>
    <t xml:space="preserve">ORD-2024-04638</t>
  </si>
  <si>
    <t xml:space="preserve">ORD-2024-05116</t>
  </si>
  <si>
    <t xml:space="preserve">ORD-2025-07649</t>
  </si>
  <si>
    <t xml:space="preserve">ORD-2024-04262</t>
  </si>
  <si>
    <t xml:space="preserve">ORD-2022-01332</t>
  </si>
  <si>
    <t xml:space="preserve">ORD-2025-07003</t>
  </si>
  <si>
    <t xml:space="preserve">ORD-2025-06942</t>
  </si>
  <si>
    <t xml:space="preserve">ORD-2025-08018</t>
  </si>
  <si>
    <t xml:space="preserve">ORD-2024-06242</t>
  </si>
  <si>
    <t xml:space="preserve">ORD-2025-06882</t>
  </si>
  <si>
    <t xml:space="preserve">ORD-2024-04531</t>
  </si>
  <si>
    <t xml:space="preserve">ORD-2024-04674</t>
  </si>
  <si>
    <t xml:space="preserve">ORD-2025-06997</t>
  </si>
  <si>
    <t xml:space="preserve">ORD-2022-01253</t>
  </si>
  <si>
    <t xml:space="preserve">ORD-2023-03375</t>
  </si>
  <si>
    <t xml:space="preserve">ORD-2023-02815</t>
  </si>
  <si>
    <t xml:space="preserve">ORD-2024-04720</t>
  </si>
  <si>
    <t xml:space="preserve">ORD-2025-06545</t>
  </si>
  <si>
    <t xml:space="preserve">ORD-2024-04859</t>
  </si>
  <si>
    <t xml:space="preserve">ORD-2025-07902</t>
  </si>
  <si>
    <t xml:space="preserve">ORD-2022-01078</t>
  </si>
  <si>
    <t xml:space="preserve">ORD-2024-04364</t>
  </si>
  <si>
    <t xml:space="preserve">ORD-2022-00771</t>
  </si>
  <si>
    <t xml:space="preserve">ORD-2022-00250</t>
  </si>
  <si>
    <t xml:space="preserve">ORD-2025-07240</t>
  </si>
  <si>
    <t xml:space="preserve">ORD-2023-03420</t>
  </si>
  <si>
    <t xml:space="preserve">ORD-2024-04977</t>
  </si>
  <si>
    <t xml:space="preserve">ORD-2024-04545</t>
  </si>
  <si>
    <t xml:space="preserve">ORD-2024-05566</t>
  </si>
  <si>
    <t xml:space="preserve">ORD-2025-07940</t>
  </si>
  <si>
    <t xml:space="preserve">ORD-2022-00717</t>
  </si>
  <si>
    <t xml:space="preserve">ORD-2025-08725</t>
  </si>
  <si>
    <t xml:space="preserve">ORD-2023-02049</t>
  </si>
  <si>
    <t xml:space="preserve">ORD-2024-05998</t>
  </si>
  <si>
    <t xml:space="preserve">ORD-2025-06601</t>
  </si>
  <si>
    <t xml:space="preserve">ORD-2025-07246</t>
  </si>
  <si>
    <t xml:space="preserve">ORD-2024-04179</t>
  </si>
  <si>
    <t xml:space="preserve">ORD-2024-04810</t>
  </si>
  <si>
    <t xml:space="preserve">ORD-2025-08570</t>
  </si>
  <si>
    <t xml:space="preserve">ORD-2025-07141</t>
  </si>
  <si>
    <t xml:space="preserve">ORD-2025-07191</t>
  </si>
  <si>
    <t xml:space="preserve">ORD-2022-01461</t>
  </si>
  <si>
    <t xml:space="preserve">ORD-2024-05990</t>
  </si>
  <si>
    <t xml:space="preserve">ORD-2023-02001</t>
  </si>
  <si>
    <t xml:space="preserve">ORD-2025-08176</t>
  </si>
  <si>
    <t xml:space="preserve">ORD-2022-00405</t>
  </si>
  <si>
    <t xml:space="preserve">ORD-2022-00385</t>
  </si>
  <si>
    <t xml:space="preserve">ORD-2025-08575</t>
  </si>
  <si>
    <t xml:space="preserve">ORD-2022-01634</t>
  </si>
  <si>
    <t xml:space="preserve">ORD-2025-08638</t>
  </si>
  <si>
    <t xml:space="preserve">ORD-2024-04785</t>
  </si>
  <si>
    <t xml:space="preserve">ORD-2025-08546</t>
  </si>
  <si>
    <t xml:space="preserve">ORD-2025-06971</t>
  </si>
  <si>
    <t xml:space="preserve">ORD-2023-03926</t>
  </si>
  <si>
    <t xml:space="preserve">ORD-2024-04159</t>
  </si>
  <si>
    <t xml:space="preserve">ORD-2025-07450</t>
  </si>
  <si>
    <t xml:space="preserve">ORD-2025-08416</t>
  </si>
  <si>
    <t xml:space="preserve">ORD-2023-02194</t>
  </si>
  <si>
    <t xml:space="preserve">ORD-2022-01016</t>
  </si>
  <si>
    <t xml:space="preserve">ORD-2024-05125</t>
  </si>
  <si>
    <t xml:space="preserve">ORD-2025-07419</t>
  </si>
  <si>
    <t xml:space="preserve">ORD-2025-07410</t>
  </si>
  <si>
    <t xml:space="preserve">ORD-2023-02872</t>
  </si>
  <si>
    <t xml:space="preserve">ORD-2022-00010</t>
  </si>
  <si>
    <t xml:space="preserve">ORD-2022-01839</t>
  </si>
  <si>
    <t xml:space="preserve">ORD-2024-04805</t>
  </si>
  <si>
    <t xml:space="preserve">ORD-2022-00256</t>
  </si>
  <si>
    <t xml:space="preserve">ORD-2025-07027</t>
  </si>
  <si>
    <t xml:space="preserve">ORD-2024-05714</t>
  </si>
  <si>
    <t xml:space="preserve">ORD-2023-03325</t>
  </si>
  <si>
    <t xml:space="preserve">ORD-2025-07715</t>
  </si>
  <si>
    <t xml:space="preserve">ORD-2022-01582</t>
  </si>
  <si>
    <t xml:space="preserve">ORD-2022-00925</t>
  </si>
  <si>
    <t xml:space="preserve">ORD-2023-02780</t>
  </si>
  <si>
    <t xml:space="preserve">ORD-2025-07892</t>
  </si>
  <si>
    <t xml:space="preserve">ORD-2024-06133</t>
  </si>
  <si>
    <t xml:space="preserve">ORD-2024-05321</t>
  </si>
  <si>
    <t xml:space="preserve">ORD-2025-07313</t>
  </si>
  <si>
    <t xml:space="preserve">ORD-2025-07103</t>
  </si>
  <si>
    <t xml:space="preserve">ORD-2024-06043</t>
  </si>
  <si>
    <t xml:space="preserve">ORD-2023-03776</t>
  </si>
  <si>
    <t xml:space="preserve">ORD-2024-04836</t>
  </si>
  <si>
    <t xml:space="preserve">ORD-2024-04965</t>
  </si>
  <si>
    <t xml:space="preserve">ORD-2022-00540</t>
  </si>
  <si>
    <t xml:space="preserve">ORD-2025-07484</t>
  </si>
  <si>
    <t xml:space="preserve">ORD-2023-02746</t>
  </si>
  <si>
    <t xml:space="preserve">ORD-2023-03720</t>
  </si>
  <si>
    <t xml:space="preserve">ORD-2025-06820</t>
  </si>
  <si>
    <t xml:space="preserve">ORD-2024-04469</t>
  </si>
  <si>
    <t xml:space="preserve">ORD-2022-00668</t>
  </si>
  <si>
    <t xml:space="preserve">ORD-2025-07576</t>
  </si>
  <si>
    <t xml:space="preserve">ORD-2024-05064</t>
  </si>
  <si>
    <t xml:space="preserve">ORD-2022-01354</t>
  </si>
  <si>
    <t xml:space="preserve">ORD-2025-07115</t>
  </si>
  <si>
    <t xml:space="preserve">ORD-2025-08837</t>
  </si>
  <si>
    <t xml:space="preserve">ORD-2023-02704</t>
  </si>
  <si>
    <t xml:space="preserve">ORD-2023-03331</t>
  </si>
  <si>
    <t xml:space="preserve">ORD-2025-08054</t>
  </si>
  <si>
    <t xml:space="preserve">ORD-2023-03585</t>
  </si>
  <si>
    <t xml:space="preserve">ORD-2025-08535</t>
  </si>
  <si>
    <t xml:space="preserve">ORD-2024-05646</t>
  </si>
  <si>
    <t xml:space="preserve">ORD-2023-03377</t>
  </si>
  <si>
    <t xml:space="preserve">ORD-2022-01257</t>
  </si>
  <si>
    <t xml:space="preserve">ORD-2024-06191</t>
  </si>
  <si>
    <t xml:space="preserve">ORD-2024-05349</t>
  </si>
  <si>
    <t xml:space="preserve">ORD-2024-04176</t>
  </si>
  <si>
    <t xml:space="preserve">ORD-2024-04911</t>
  </si>
  <si>
    <t xml:space="preserve">ORD-2023-01853</t>
  </si>
  <si>
    <t xml:space="preserve">ORD-2024-06317</t>
  </si>
  <si>
    <t xml:space="preserve">ORD-2025-08912</t>
  </si>
  <si>
    <t xml:space="preserve">ORD-2023-02106</t>
  </si>
  <si>
    <t xml:space="preserve">ORD-2022-00134</t>
  </si>
  <si>
    <t xml:space="preserve">ORD-2024-05030</t>
  </si>
  <si>
    <t xml:space="preserve">ORD-2022-00929</t>
  </si>
  <si>
    <t xml:space="preserve">ORD-2022-00824</t>
  </si>
  <si>
    <t xml:space="preserve">ORD-2025-07577</t>
  </si>
  <si>
    <t xml:space="preserve">ORD-2022-01532</t>
  </si>
  <si>
    <t xml:space="preserve">ORD-2022-01215</t>
  </si>
  <si>
    <t xml:space="preserve">ORD-2022-00505</t>
  </si>
  <si>
    <t xml:space="preserve">ORD-2025-06531</t>
  </si>
  <si>
    <t xml:space="preserve">ORD-2023-03073</t>
  </si>
  <si>
    <t xml:space="preserve">ORD-2025-06620</t>
  </si>
  <si>
    <t xml:space="preserve">ORD-2023-03710</t>
  </si>
  <si>
    <t xml:space="preserve">ORD-2024-04850</t>
  </si>
  <si>
    <t xml:space="preserve">ORD-2024-04749</t>
  </si>
  <si>
    <t xml:space="preserve">ORD-2024-04269</t>
  </si>
  <si>
    <t xml:space="preserve">ORD-2025-08935</t>
  </si>
  <si>
    <t xml:space="preserve">ORD-2024-04187</t>
  </si>
  <si>
    <t xml:space="preserve">ORD-2024-05302</t>
  </si>
  <si>
    <t xml:space="preserve">ORD-2023-02924</t>
  </si>
  <si>
    <t xml:space="preserve">ORD-2025-06589</t>
  </si>
  <si>
    <t xml:space="preserve">ORD-2022-01811</t>
  </si>
  <si>
    <t xml:space="preserve">ORD-2023-03487</t>
  </si>
  <si>
    <t xml:space="preserve">ORD-2025-07420</t>
  </si>
  <si>
    <t xml:space="preserve">ORD-2023-03142</t>
  </si>
  <si>
    <t xml:space="preserve">ORD-2022-01325</t>
  </si>
  <si>
    <t xml:space="preserve">ORD-2024-04313</t>
  </si>
  <si>
    <t xml:space="preserve">ORD-2025-07495</t>
  </si>
  <si>
    <t xml:space="preserve">ORD-2025-08591</t>
  </si>
  <si>
    <t xml:space="preserve">ORD-2024-05542</t>
  </si>
  <si>
    <t xml:space="preserve">ORD-2024-06173</t>
  </si>
  <si>
    <t xml:space="preserve">ORD-2022-01541</t>
  </si>
  <si>
    <t xml:space="preserve">ORD-2023-02682</t>
  </si>
  <si>
    <t xml:space="preserve">ORD-2025-08939</t>
  </si>
  <si>
    <t xml:space="preserve">ORD-2024-06314</t>
  </si>
  <si>
    <t xml:space="preserve">ORD-2022-01192</t>
  </si>
  <si>
    <t xml:space="preserve">ORD-2024-05294</t>
  </si>
  <si>
    <t xml:space="preserve">ORD-2022-01543</t>
  </si>
  <si>
    <t xml:space="preserve">ORD-2025-07057</t>
  </si>
  <si>
    <t xml:space="preserve">ORD-2023-02540</t>
  </si>
  <si>
    <t xml:space="preserve">ORD-2022-00954</t>
  </si>
  <si>
    <t xml:space="preserve">ORD-2025-07242</t>
  </si>
  <si>
    <t xml:space="preserve">ORD-2025-06732</t>
  </si>
  <si>
    <t xml:space="preserve">ORD-2024-04847</t>
  </si>
  <si>
    <t xml:space="preserve">ORD-2025-06802</t>
  </si>
  <si>
    <t xml:space="preserve">ORD-2025-08011</t>
  </si>
  <si>
    <t xml:space="preserve">ORD-2024-04331</t>
  </si>
  <si>
    <t xml:space="preserve">ORD-2024-05335</t>
  </si>
  <si>
    <t xml:space="preserve">ORD-2025-07331</t>
  </si>
  <si>
    <t xml:space="preserve">ORD-2024-04730</t>
  </si>
  <si>
    <t xml:space="preserve">ORD-2025-06542</t>
  </si>
  <si>
    <t xml:space="preserve">ORD-2024-05306</t>
  </si>
  <si>
    <t xml:space="preserve">ORD-2024-05162</t>
  </si>
  <si>
    <t xml:space="preserve">ORD-2025-07861</t>
  </si>
  <si>
    <t xml:space="preserve">ORD-2023-02157</t>
  </si>
  <si>
    <t xml:space="preserve">ORD-2022-01063</t>
  </si>
  <si>
    <t xml:space="preserve">ORD-2022-01168</t>
  </si>
  <si>
    <t xml:space="preserve">ORD-2023-03637</t>
  </si>
  <si>
    <t xml:space="preserve">ORD-2025-07652</t>
  </si>
  <si>
    <t xml:space="preserve">ORD-2024-05589</t>
  </si>
  <si>
    <t xml:space="preserve">ORD-2025-07193</t>
  </si>
  <si>
    <t xml:space="preserve">ORD-2024-04492</t>
  </si>
  <si>
    <t xml:space="preserve">ORD-2025-07267</t>
  </si>
  <si>
    <t xml:space="preserve">ORD-2024-04981</t>
  </si>
  <si>
    <t xml:space="preserve">ORD-2025-08336</t>
  </si>
  <si>
    <t xml:space="preserve">ORD-2024-04947</t>
  </si>
  <si>
    <t xml:space="preserve">ORD-2023-02783</t>
  </si>
  <si>
    <t xml:space="preserve">ORD-2022-00718</t>
  </si>
  <si>
    <t xml:space="preserve">ORD-2023-02503</t>
  </si>
  <si>
    <t xml:space="preserve">ORD-2024-04361</t>
  </si>
  <si>
    <t xml:space="preserve">ORD-2024-04172</t>
  </si>
  <si>
    <t xml:space="preserve">ORD-2025-08083</t>
  </si>
  <si>
    <t xml:space="preserve">ORD-2025-08825</t>
  </si>
  <si>
    <t xml:space="preserve">ORD-2022-00396</t>
  </si>
  <si>
    <t xml:space="preserve">ORD-2025-07187</t>
  </si>
  <si>
    <t xml:space="preserve">ORD-2025-08883</t>
  </si>
  <si>
    <t xml:space="preserve">ORD-2024-04493</t>
  </si>
  <si>
    <t xml:space="preserve">ORD-2022-01366</t>
  </si>
  <si>
    <t xml:space="preserve">ORD-2025-08612</t>
  </si>
  <si>
    <t xml:space="preserve">ORD-2024-05918</t>
  </si>
  <si>
    <t xml:space="preserve">ORD-2024-04969</t>
  </si>
  <si>
    <t xml:space="preserve">ORD-2023-02915</t>
  </si>
  <si>
    <t xml:space="preserve">ORD-2024-05645</t>
  </si>
  <si>
    <t xml:space="preserve">ORD-2023-03767</t>
  </si>
  <si>
    <t xml:space="preserve">ORD-2023-03441</t>
  </si>
  <si>
    <t xml:space="preserve">ORD-2025-07358</t>
  </si>
  <si>
    <t xml:space="preserve">ORD-2025-06807</t>
  </si>
  <si>
    <t xml:space="preserve">ORD-2023-02144</t>
  </si>
  <si>
    <t xml:space="preserve">ORD-2024-05105</t>
  </si>
  <si>
    <t xml:space="preserve">ORD-2024-05074</t>
  </si>
  <si>
    <t xml:space="preserve">ORD-2022-01572</t>
  </si>
  <si>
    <t xml:space="preserve">ORD-2024-04080</t>
  </si>
  <si>
    <t xml:space="preserve">ORD-2022-01123</t>
  </si>
  <si>
    <t xml:space="preserve">ORD-2023-02787</t>
  </si>
  <si>
    <t xml:space="preserve">ORD-2023-02968</t>
  </si>
  <si>
    <t xml:space="preserve">ORD-2023-02505</t>
  </si>
  <si>
    <t xml:space="preserve">ORD-2024-05989</t>
  </si>
  <si>
    <t xml:space="preserve">ORD-2025-07165</t>
  </si>
  <si>
    <t xml:space="preserve">ORD-2022-00729</t>
  </si>
  <si>
    <t xml:space="preserve">ORD-2025-07588</t>
  </si>
  <si>
    <t xml:space="preserve">ORD-2025-07544</t>
  </si>
  <si>
    <t xml:space="preserve">ORD-2022-00413</t>
  </si>
  <si>
    <t xml:space="preserve">ORD-2024-05746</t>
  </si>
  <si>
    <t xml:space="preserve">ORD-2025-07669</t>
  </si>
  <si>
    <t xml:space="preserve">ORD-2022-00826</t>
  </si>
  <si>
    <t xml:space="preserve">ORD-2023-03268</t>
  </si>
  <si>
    <t xml:space="preserve">ORD-2023-03975</t>
  </si>
  <si>
    <t xml:space="preserve">ORD-2025-08307</t>
  </si>
  <si>
    <t xml:space="preserve">ORD-2022-00418</t>
  </si>
  <si>
    <t xml:space="preserve">ORD-2025-06749</t>
  </si>
  <si>
    <t xml:space="preserve">ORD-2023-02083</t>
  </si>
  <si>
    <t xml:space="preserve">ORD-2023-03374</t>
  </si>
  <si>
    <t xml:space="preserve">ORD-2024-05727</t>
  </si>
  <si>
    <t xml:space="preserve">ORD-2024-04108</t>
  </si>
  <si>
    <t xml:space="preserve">ORD-2024-04381</t>
  </si>
  <si>
    <t xml:space="preserve">ORD-2025-07724</t>
  </si>
  <si>
    <t xml:space="preserve">ORD-2022-01067</t>
  </si>
  <si>
    <t xml:space="preserve">ORD-2023-03914</t>
  </si>
  <si>
    <t xml:space="preserve">ORD-2024-05537</t>
  </si>
  <si>
    <t xml:space="preserve">ORD-2025-08003</t>
  </si>
  <si>
    <t xml:space="preserve">ORD-2024-05388</t>
  </si>
  <si>
    <t xml:space="preserve">ORD-2024-05733</t>
  </si>
  <si>
    <t xml:space="preserve">ORD-2023-02739</t>
  </si>
  <si>
    <t xml:space="preserve">ORD-2024-05053</t>
  </si>
  <si>
    <t xml:space="preserve">ORD-2024-04001</t>
  </si>
  <si>
    <t xml:space="preserve">ORD-2023-02428</t>
  </si>
  <si>
    <t xml:space="preserve">ORD-2025-06834</t>
  </si>
  <si>
    <t xml:space="preserve">ORD-2022-01688</t>
  </si>
  <si>
    <t xml:space="preserve">ORD-2022-00852</t>
  </si>
  <si>
    <t xml:space="preserve">ORD-2024-06304</t>
  </si>
  <si>
    <t xml:space="preserve">ORD-2024-05879</t>
  </si>
  <si>
    <t xml:space="preserve">ORD-2025-08528</t>
  </si>
  <si>
    <t xml:space="preserve">ORD-2023-02840</t>
  </si>
  <si>
    <t xml:space="preserve">ORD-2024-04612</t>
  </si>
  <si>
    <t xml:space="preserve">ORD-2023-02490</t>
  </si>
  <si>
    <t xml:space="preserve">ORD-2025-06906</t>
  </si>
  <si>
    <t xml:space="preserve">ORD-2025-07391</t>
  </si>
  <si>
    <t xml:space="preserve">ORD-2023-02850</t>
  </si>
  <si>
    <t xml:space="preserve">ORD-2025-06666</t>
  </si>
  <si>
    <t xml:space="preserve">ORD-2024-05882</t>
  </si>
  <si>
    <t xml:space="preserve">ORD-2024-04453</t>
  </si>
  <si>
    <t xml:space="preserve">ORD-2025-07422</t>
  </si>
  <si>
    <t xml:space="preserve">ORD-2025-06485</t>
  </si>
  <si>
    <t xml:space="preserve">ORD-2023-02480</t>
  </si>
  <si>
    <t xml:space="preserve">ORD-2025-06618</t>
  </si>
  <si>
    <t xml:space="preserve">ORD-2023-02142</t>
  </si>
  <si>
    <t xml:space="preserve">ORD-2024-05189</t>
  </si>
  <si>
    <t xml:space="preserve">ORD-2023-02745</t>
  </si>
  <si>
    <t xml:space="preserve">ORD-2025-07254</t>
  </si>
  <si>
    <t xml:space="preserve">ORD-2023-03507</t>
  </si>
  <si>
    <t xml:space="preserve">ORD-2022-01680</t>
  </si>
  <si>
    <t xml:space="preserve">ORD-2024-04250</t>
  </si>
  <si>
    <t xml:space="preserve">ORD-2023-03148</t>
  </si>
  <si>
    <t xml:space="preserve">ORD-2025-08131</t>
  </si>
  <si>
    <t xml:space="preserve">ORD-2025-07005</t>
  </si>
  <si>
    <t xml:space="preserve">ORD-2022-00581</t>
  </si>
  <si>
    <t xml:space="preserve">ORD-2024-04071</t>
  </si>
  <si>
    <t xml:space="preserve">ORD-2023-03344</t>
  </si>
  <si>
    <t xml:space="preserve">ORD-2025-07405</t>
  </si>
  <si>
    <t xml:space="preserve">ORD-2023-03673</t>
  </si>
  <si>
    <t xml:space="preserve">ORD-2022-00560</t>
  </si>
  <si>
    <t xml:space="preserve">ORD-2024-05238</t>
  </si>
  <si>
    <t xml:space="preserve">ORD-2025-07806</t>
  </si>
  <si>
    <t xml:space="preserve">ORD-2022-00513</t>
  </si>
  <si>
    <t xml:space="preserve">ORD-2022-01082</t>
  </si>
  <si>
    <t xml:space="preserve">ORD-2022-01665</t>
  </si>
  <si>
    <t xml:space="preserve">ORD-2023-01932</t>
  </si>
  <si>
    <t xml:space="preserve">ORD-2025-08739</t>
  </si>
  <si>
    <t xml:space="preserve">ORD-2022-01151</t>
  </si>
  <si>
    <t xml:space="preserve">ORD-2023-02839</t>
  </si>
  <si>
    <t xml:space="preserve">ORD-2024-05950</t>
  </si>
  <si>
    <t xml:space="preserve">ORD-2025-08309</t>
  </si>
  <si>
    <t xml:space="preserve">ORD-2024-05178</t>
  </si>
  <si>
    <t xml:space="preserve">ORD-2022-00831</t>
  </si>
  <si>
    <t xml:space="preserve">ORD-2025-08312</t>
  </si>
  <si>
    <t xml:space="preserve">ORD-2024-04753</t>
  </si>
  <si>
    <t xml:space="preserve">ORD-2025-08790</t>
  </si>
  <si>
    <t xml:space="preserve">ORD-2022-00636</t>
  </si>
  <si>
    <t xml:space="preserve">ORD-2024-04466</t>
  </si>
  <si>
    <t xml:space="preserve">ORD-2025-06800</t>
  </si>
  <si>
    <t xml:space="preserve">ORD-2025-07988</t>
  </si>
  <si>
    <t xml:space="preserve">ORD-2025-07080</t>
  </si>
  <si>
    <t xml:space="preserve">ORD-2025-06967</t>
  </si>
  <si>
    <t xml:space="preserve">ORD-2024-04143</t>
  </si>
  <si>
    <t xml:space="preserve">ORD-2025-07028</t>
  </si>
  <si>
    <t xml:space="preserve">ORD-2022-00877</t>
  </si>
  <si>
    <t xml:space="preserve">ORD-2024-04870</t>
  </si>
  <si>
    <t xml:space="preserve">ORD-2024-05316</t>
  </si>
  <si>
    <t xml:space="preserve">ORD-2024-05223</t>
  </si>
  <si>
    <t xml:space="preserve">ORD-2022-00005</t>
  </si>
  <si>
    <t xml:space="preserve">ORD-2023-03052</t>
  </si>
  <si>
    <t xml:space="preserve">ORD-2024-05692</t>
  </si>
  <si>
    <t xml:space="preserve">ORD-2023-03125</t>
  </si>
  <si>
    <t xml:space="preserve">ORD-2023-02492</t>
  </si>
  <si>
    <t xml:space="preserve">ORD-2023-03855</t>
  </si>
  <si>
    <t xml:space="preserve">ORD-2024-04778</t>
  </si>
  <si>
    <t xml:space="preserve">ORD-2025-07510</t>
  </si>
  <si>
    <t xml:space="preserve">ORD-2025-06458</t>
  </si>
  <si>
    <t xml:space="preserve">ORD-2024-06294</t>
  </si>
  <si>
    <t xml:space="preserve">ORD-2022-01149</t>
  </si>
  <si>
    <t xml:space="preserve">ORD-2022-00575</t>
  </si>
  <si>
    <t xml:space="preserve">ORD-2023-03770</t>
  </si>
  <si>
    <t xml:space="preserve">ORD-2024-04147</t>
  </si>
  <si>
    <t xml:space="preserve">ORD-2022-00854</t>
  </si>
  <si>
    <t xml:space="preserve">ORD-2024-05920</t>
  </si>
  <si>
    <t xml:space="preserve">ORD-2025-06615</t>
  </si>
  <si>
    <t xml:space="preserve">ORD-2024-06003</t>
  </si>
  <si>
    <t xml:space="preserve">ORD-2024-04496</t>
  </si>
  <si>
    <t xml:space="preserve">ORD-2025-08174</t>
  </si>
  <si>
    <t xml:space="preserve">ORD-2025-06656</t>
  </si>
  <si>
    <t xml:space="preserve">ORD-2023-02369</t>
  </si>
  <si>
    <t xml:space="preserve">ORD-2024-04781</t>
  </si>
  <si>
    <t xml:space="preserve">ORD-2025-07993</t>
  </si>
  <si>
    <t xml:space="preserve">ORD-2023-02951</t>
  </si>
  <si>
    <t xml:space="preserve">ORD-2024-05626</t>
  </si>
  <si>
    <t xml:space="preserve">ORD-2025-06972</t>
  </si>
  <si>
    <t xml:space="preserve">ORD-2025-08717</t>
  </si>
  <si>
    <t xml:space="preserve">ORD-2023-01842</t>
  </si>
  <si>
    <t xml:space="preserve">ORD-2024-05987</t>
  </si>
  <si>
    <t xml:space="preserve">ORD-2022-00538</t>
  </si>
  <si>
    <t xml:space="preserve">ORD-2023-02807</t>
  </si>
  <si>
    <t xml:space="preserve">ORD-2024-05802</t>
  </si>
  <si>
    <t xml:space="preserve">ORD-2024-05597</t>
  </si>
  <si>
    <t xml:space="preserve">ORD-2025-07207</t>
  </si>
  <si>
    <t xml:space="preserve">ORD-2025-07344</t>
  </si>
  <si>
    <t xml:space="preserve">ORD-2025-07561</t>
  </si>
  <si>
    <t xml:space="preserve">ORD-2025-08097</t>
  </si>
  <si>
    <t xml:space="preserve">ORD-2022-00785</t>
  </si>
  <si>
    <t xml:space="preserve">ORD-2022-01410</t>
  </si>
  <si>
    <t xml:space="preserve">ORD-2022-00155</t>
  </si>
  <si>
    <t xml:space="preserve">ORD-2025-07807</t>
  </si>
  <si>
    <t xml:space="preserve">ORD-2023-03010</t>
  </si>
  <si>
    <t xml:space="preserve">ORD-2022-01687</t>
  </si>
  <si>
    <t xml:space="preserve">ORD-2024-04015</t>
  </si>
  <si>
    <t xml:space="preserve">ORD-2025-07456</t>
  </si>
  <si>
    <t xml:space="preserve">ORD-2023-03864</t>
  </si>
  <si>
    <t xml:space="preserve">ORD-2023-02734</t>
  </si>
  <si>
    <t xml:space="preserve">ORD-2023-01896</t>
  </si>
  <si>
    <t xml:space="preserve">ORD-2024-05443</t>
  </si>
  <si>
    <t xml:space="preserve">ORD-2022-00570</t>
  </si>
  <si>
    <t xml:space="preserve">ORD-2025-06710</t>
  </si>
  <si>
    <t xml:space="preserve">ORD-2024-05855</t>
  </si>
  <si>
    <t xml:space="preserve">ORD-2022-01817</t>
  </si>
  <si>
    <t xml:space="preserve">ORD-2025-08320</t>
  </si>
  <si>
    <t xml:space="preserve">ORD-2023-03395</t>
  </si>
  <si>
    <t xml:space="preserve">ORD-2023-03328</t>
  </si>
  <si>
    <t xml:space="preserve">ORD-2024-06103</t>
  </si>
  <si>
    <t xml:space="preserve">ORD-2023-02976</t>
  </si>
  <si>
    <t xml:space="preserve">ORD-2022-00981</t>
  </si>
  <si>
    <t xml:space="preserve">ORD-2022-00191</t>
  </si>
  <si>
    <t xml:space="preserve">ORD-2024-05089</t>
  </si>
  <si>
    <t xml:space="preserve">ORD-2022-00700</t>
  </si>
  <si>
    <t xml:space="preserve">ORD-2025-08824</t>
  </si>
  <si>
    <t xml:space="preserve">ORD-2022-00607</t>
  </si>
  <si>
    <t xml:space="preserve">ORD-2022-00302</t>
  </si>
  <si>
    <t xml:space="preserve">ORD-2023-03421</t>
  </si>
  <si>
    <t xml:space="preserve">ORD-2025-08866</t>
  </si>
  <si>
    <t xml:space="preserve">ORD-2022-01061</t>
  </si>
  <si>
    <t xml:space="preserve">ORD-2023-03445</t>
  </si>
  <si>
    <t xml:space="preserve">ORD-2022-01070</t>
  </si>
  <si>
    <t xml:space="preserve">ORD-2023-02206</t>
  </si>
  <si>
    <t xml:space="preserve">ORD-2025-07340</t>
  </si>
  <si>
    <t xml:space="preserve">ORD-2025-08209</t>
  </si>
  <si>
    <t xml:space="preserve">ORD-2025-07680</t>
  </si>
  <si>
    <t xml:space="preserve">ORD-2024-04643</t>
  </si>
  <si>
    <t xml:space="preserve">ORD-2025-07684</t>
  </si>
  <si>
    <t xml:space="preserve">ORD-2025-07997</t>
  </si>
  <si>
    <t xml:space="preserve">ORD-2024-05601</t>
  </si>
  <si>
    <t xml:space="preserve">ORD-2025-07023</t>
  </si>
  <si>
    <t xml:space="preserve">ORD-2024-04894</t>
  </si>
  <si>
    <t xml:space="preserve">ORD-2022-00226</t>
  </si>
  <si>
    <t xml:space="preserve">ORD-2023-03355</t>
  </si>
  <si>
    <t xml:space="preserve">ORD-2024-05896</t>
  </si>
  <si>
    <t xml:space="preserve">ORD-2025-08755</t>
  </si>
  <si>
    <t xml:space="preserve">ORD-2023-03437</t>
  </si>
  <si>
    <t xml:space="preserve">ORD-2022-01694</t>
  </si>
  <si>
    <t xml:space="preserve">ORD-2025-06894</t>
  </si>
  <si>
    <t xml:space="preserve">ORD-2022-01046</t>
  </si>
  <si>
    <t xml:space="preserve">ORD-2023-03447</t>
  </si>
  <si>
    <t xml:space="preserve">ORD-2025-08051</t>
  </si>
  <si>
    <t xml:space="preserve">ORD-2024-04736</t>
  </si>
  <si>
    <t xml:space="preserve">ORD-2024-04497</t>
  </si>
  <si>
    <t xml:space="preserve">ORD-2022-01219</t>
  </si>
  <si>
    <t xml:space="preserve">ORD-2024-06016</t>
  </si>
  <si>
    <t xml:space="preserve">ORD-2023-03988</t>
  </si>
  <si>
    <t xml:space="preserve">ORD-2024-04912</t>
  </si>
  <si>
    <t xml:space="preserve">ORD-2024-04494</t>
  </si>
  <si>
    <t xml:space="preserve">ORD-2025-06945</t>
  </si>
  <si>
    <t xml:space="preserve">ORD-2024-05700</t>
  </si>
  <si>
    <t xml:space="preserve">ORD-2025-08353</t>
  </si>
  <si>
    <t xml:space="preserve">ORD-2022-00957</t>
  </si>
  <si>
    <t xml:space="preserve">ORD-2023-02870</t>
  </si>
  <si>
    <t xml:space="preserve">ORD-2024-04434</t>
  </si>
  <si>
    <t xml:space="preserve">ORD-2024-04974</t>
  </si>
  <si>
    <t xml:space="preserve">ORD-2023-02962</t>
  </si>
  <si>
    <t xml:space="preserve">ORD-2023-02201</t>
  </si>
  <si>
    <t xml:space="preserve">ORD-2022-00099</t>
  </si>
  <si>
    <t xml:space="preserve">ORD-2025-08909</t>
  </si>
  <si>
    <t xml:space="preserve">ORD-2023-02558</t>
  </si>
  <si>
    <t xml:space="preserve">ORD-2025-08446</t>
  </si>
  <si>
    <t xml:space="preserve">ORD-2024-04200</t>
  </si>
  <si>
    <t xml:space="preserve">ORD-2024-05540</t>
  </si>
  <si>
    <t xml:space="preserve">ORD-2022-01649</t>
  </si>
  <si>
    <t xml:space="preserve">ORD-2024-06198</t>
  </si>
  <si>
    <t xml:space="preserve">ORD-2024-06296</t>
  </si>
  <si>
    <t xml:space="preserve">ORD-2024-04500</t>
  </si>
  <si>
    <t xml:space="preserve">ORD-2022-01155</t>
  </si>
  <si>
    <t xml:space="preserve">ORD-2023-02256</t>
  </si>
  <si>
    <t xml:space="preserve">ORD-2023-03171</t>
  </si>
  <si>
    <t xml:space="preserve">ORD-2025-07401</t>
  </si>
  <si>
    <t xml:space="preserve">ORD-2025-07159</t>
  </si>
  <si>
    <t xml:space="preserve">ORD-2023-03109</t>
  </si>
  <si>
    <t xml:space="preserve">ORD-2024-04549</t>
  </si>
  <si>
    <t xml:space="preserve">ORD-2024-05424</t>
  </si>
  <si>
    <t xml:space="preserve">ORD-2023-02050</t>
  </si>
  <si>
    <t xml:space="preserve">ORD-2025-08816</t>
  </si>
  <si>
    <t xml:space="preserve">ORD-2025-08859</t>
  </si>
  <si>
    <t xml:space="preserve">ORD-2022-00263</t>
  </si>
  <si>
    <t xml:space="preserve">ORD-2024-04062</t>
  </si>
  <si>
    <t xml:space="preserve">ORD-2024-05535</t>
  </si>
  <si>
    <t xml:space="preserve">ORD-2025-06617</t>
  </si>
  <si>
    <t xml:space="preserve">ORD-2025-08121</t>
  </si>
  <si>
    <t xml:space="preserve">ORD-2025-08156</t>
  </si>
  <si>
    <t xml:space="preserve">ORD-2022-01803</t>
  </si>
  <si>
    <t xml:space="preserve">ORD-2024-04737</t>
  </si>
  <si>
    <t xml:space="preserve">ORD-2023-02386</t>
  </si>
  <si>
    <t xml:space="preserve">ORD-2025-06695</t>
  </si>
  <si>
    <t xml:space="preserve">ORD-2024-05760</t>
  </si>
  <si>
    <t xml:space="preserve">ORD-2023-01960</t>
  </si>
  <si>
    <t xml:space="preserve">ORD-2023-02977</t>
  </si>
  <si>
    <t xml:space="preserve">ORD-2025-08681</t>
  </si>
  <si>
    <t xml:space="preserve">ORD-2023-01844</t>
  </si>
  <si>
    <t xml:space="preserve">ORD-2022-01735</t>
  </si>
  <si>
    <t xml:space="preserve">ORD-2023-02912</t>
  </si>
  <si>
    <t xml:space="preserve">ORD-2025-08339</t>
  </si>
  <si>
    <t xml:space="preserve">ORD-2023-01987</t>
  </si>
  <si>
    <t xml:space="preserve">ORD-2025-06547</t>
  </si>
  <si>
    <t xml:space="preserve">ORD-2025-07099</t>
  </si>
  <si>
    <t xml:space="preserve">ORD-2023-02812</t>
  </si>
  <si>
    <t xml:space="preserve">ORD-2022-00660</t>
  </si>
  <si>
    <t xml:space="preserve">ORD-2023-02512</t>
  </si>
  <si>
    <t xml:space="preserve">ORD-2024-04283</t>
  </si>
  <si>
    <t xml:space="preserve">ORD-2025-08801</t>
  </si>
  <si>
    <t xml:space="preserve">ORD-2024-06288</t>
  </si>
  <si>
    <t xml:space="preserve">ORD-2023-01931</t>
  </si>
  <si>
    <t xml:space="preserve">ORD-2025-07126</t>
  </si>
  <si>
    <t xml:space="preserve">ORD-2022-00198</t>
  </si>
  <si>
    <t xml:space="preserve">ORD-2025-07778</t>
  </si>
  <si>
    <t xml:space="preserve">ORD-2023-02932</t>
  </si>
  <si>
    <t xml:space="preserve">ORD-2025-08005</t>
  </si>
  <si>
    <t xml:space="preserve">ORD-2023-02328</t>
  </si>
  <si>
    <t xml:space="preserve">ORD-2024-04390</t>
  </si>
  <si>
    <t xml:space="preserve">ORD-2024-04219</t>
  </si>
  <si>
    <t xml:space="preserve">ORD-2022-00203</t>
  </si>
  <si>
    <t xml:space="preserve">ORD-2023-03511</t>
  </si>
  <si>
    <t xml:space="preserve">ORD-2024-04932</t>
  </si>
  <si>
    <t xml:space="preserve">ORD-2024-05536</t>
  </si>
  <si>
    <t xml:space="preserve">ORD-2024-05792</t>
  </si>
  <si>
    <t xml:space="preserve">ORD-2022-01708</t>
  </si>
  <si>
    <t xml:space="preserve">ORD-2024-05173</t>
  </si>
  <si>
    <t xml:space="preserve">ORD-2024-05250</t>
  </si>
  <si>
    <t xml:space="preserve">ORD-2025-06529</t>
  </si>
  <si>
    <t xml:space="preserve">ORD-2025-08908</t>
  </si>
  <si>
    <t xml:space="preserve">ORD-2024-05856</t>
  </si>
  <si>
    <t xml:space="preserve">ORD-2025-08165</t>
  </si>
  <si>
    <t xml:space="preserve">ORD-2022-00855</t>
  </si>
  <si>
    <t xml:space="preserve">ORD-2024-04738</t>
  </si>
  <si>
    <t xml:space="preserve">ORD-2022-00699</t>
  </si>
  <si>
    <t xml:space="preserve">ORD-2023-03697</t>
  </si>
  <si>
    <t xml:space="preserve">ORD-2022-01637</t>
  </si>
  <si>
    <t xml:space="preserve">ORD-2025-07281</t>
  </si>
  <si>
    <t xml:space="preserve">ORD-2025-07555</t>
  </si>
  <si>
    <t xml:space="preserve">ORD-2023-03582</t>
  </si>
  <si>
    <t xml:space="preserve">ORD-2022-01292</t>
  </si>
  <si>
    <t xml:space="preserve">ORD-2025-06586</t>
  </si>
  <si>
    <t xml:space="preserve">ORD-2023-01854</t>
  </si>
  <si>
    <t xml:space="preserve">ORD-2024-05233</t>
  </si>
  <si>
    <t xml:space="preserve">ORD-2023-03764</t>
  </si>
  <si>
    <t xml:space="preserve">ORD-2023-03305</t>
  </si>
  <si>
    <t xml:space="preserve">ORD-2022-01496</t>
  </si>
  <si>
    <t xml:space="preserve">ORD-2025-07995</t>
  </si>
  <si>
    <t xml:space="preserve">ORD-2023-01999</t>
  </si>
  <si>
    <t xml:space="preserve">ORD-2022-00664</t>
  </si>
  <si>
    <t xml:space="preserve">ORD-2023-03749</t>
  </si>
  <si>
    <t xml:space="preserve">ORD-2024-04414</t>
  </si>
  <si>
    <t xml:space="preserve">ORD-2024-05531</t>
  </si>
  <si>
    <t xml:space="preserve">ORD-2024-05576</t>
  </si>
  <si>
    <t xml:space="preserve">ORD-2025-08902</t>
  </si>
  <si>
    <t xml:space="preserve">ORD-2025-07527</t>
  </si>
  <si>
    <t xml:space="preserve">ORD-2024-05865</t>
  </si>
  <si>
    <t xml:space="preserve">ORD-2025-06777</t>
  </si>
  <si>
    <t xml:space="preserve">ORD-2022-01307</t>
  </si>
  <si>
    <t xml:space="preserve">ORD-2025-07393</t>
  </si>
  <si>
    <t xml:space="preserve">ORD-2024-05593</t>
  </si>
  <si>
    <t xml:space="preserve">ORD-2022-01664</t>
  </si>
  <si>
    <t xml:space="preserve">ORD-2024-05451</t>
  </si>
  <si>
    <t xml:space="preserve">ORD-2023-03628</t>
  </si>
  <si>
    <t xml:space="preserve">ORD-2023-02694</t>
  </si>
  <si>
    <t xml:space="preserve">ORD-2024-05916</t>
  </si>
  <si>
    <t xml:space="preserve">ORD-2023-03158</t>
  </si>
  <si>
    <t xml:space="preserve">ORD-2025-06669</t>
  </si>
  <si>
    <t xml:space="preserve">ORD-2022-01060</t>
  </si>
  <si>
    <t xml:space="preserve">ORD-2024-04637</t>
  </si>
  <si>
    <t xml:space="preserve">ORD-2023-03243</t>
  </si>
  <si>
    <t xml:space="preserve">ORD-2022-01679</t>
  </si>
  <si>
    <t xml:space="preserve">ORD-2025-06893</t>
  </si>
  <si>
    <t xml:space="preserve">ORD-2025-06375</t>
  </si>
  <si>
    <t xml:space="preserve">ORD-2025-07575</t>
  </si>
  <si>
    <t xml:space="preserve">ORD-2022-01758</t>
  </si>
  <si>
    <t xml:space="preserve">ORD-2024-06020</t>
  </si>
  <si>
    <t xml:space="preserve">ORD-2024-05117</t>
  </si>
  <si>
    <t xml:space="preserve">ORD-2025-08756</t>
  </si>
  <si>
    <t xml:space="preserve">ORD-2025-07409</t>
  </si>
  <si>
    <t xml:space="preserve">ORD-2023-02791</t>
  </si>
  <si>
    <t xml:space="preserve">ORD-2022-00864</t>
  </si>
  <si>
    <t xml:space="preserve">ORD-2025-07859</t>
  </si>
  <si>
    <t xml:space="preserve">ORD-2022-01485</t>
  </si>
  <si>
    <t xml:space="preserve">ORD-2025-07036</t>
  </si>
  <si>
    <t xml:space="preserve">ORD-2025-07722</t>
  </si>
  <si>
    <t xml:space="preserve">ORD-2024-05978</t>
  </si>
  <si>
    <t xml:space="preserve">ORD-2024-05135</t>
  </si>
  <si>
    <t xml:space="preserve">ORD-2022-00207</t>
  </si>
  <si>
    <t xml:space="preserve">ORD-2024-04489</t>
  </si>
  <si>
    <t xml:space="preserve">ORD-2025-06939</t>
  </si>
  <si>
    <t xml:space="preserve">ORD-2025-06911</t>
  </si>
  <si>
    <t xml:space="preserve">ORD-2022-00503</t>
  </si>
  <si>
    <t xml:space="preserve">ORD-2025-07386</t>
  </si>
  <si>
    <t xml:space="preserve">ORD-2022-01029</t>
  </si>
  <si>
    <t xml:space="preserve">ORD-2023-03841</t>
  </si>
  <si>
    <t xml:space="preserve">ORD-2025-08111</t>
  </si>
  <si>
    <t xml:space="preserve">ORD-2024-05057</t>
  </si>
  <si>
    <t xml:space="preserve">ORD-2025-08155</t>
  </si>
  <si>
    <t xml:space="preserve">ORD-2023-02732</t>
  </si>
  <si>
    <t xml:space="preserve">ORD-2023-02455</t>
  </si>
  <si>
    <t xml:space="preserve">ORD-2025-07216</t>
  </si>
  <si>
    <t xml:space="preserve">ORD-2023-03105</t>
  </si>
  <si>
    <t xml:space="preserve">ORD-2025-08393</t>
  </si>
  <si>
    <t xml:space="preserve">ORD-2024-06279</t>
  </si>
  <si>
    <t xml:space="preserve">ORD-2023-03100</t>
  </si>
  <si>
    <t xml:space="preserve">ORD-2024-06185</t>
  </si>
  <si>
    <t xml:space="preserve">ORD-2023-03562</t>
  </si>
  <si>
    <t xml:space="preserve">ORD-2024-05893</t>
  </si>
  <si>
    <t xml:space="preserve">ORD-2022-00392</t>
  </si>
  <si>
    <t xml:space="preserve">ORD-2025-06737</t>
  </si>
  <si>
    <t xml:space="preserve">ORD-2024-05619</t>
  </si>
  <si>
    <t xml:space="preserve">ORD-2024-05259</t>
  </si>
  <si>
    <t xml:space="preserve">ORD-2023-02696</t>
  </si>
  <si>
    <t xml:space="preserve">ORD-2023-02028</t>
  </si>
  <si>
    <t xml:space="preserve">ORD-2024-05464</t>
  </si>
  <si>
    <t xml:space="preserve">ORD-2023-02569</t>
  </si>
  <si>
    <t xml:space="preserve">ORD-2025-08007</t>
  </si>
  <si>
    <t xml:space="preserve">ORD-2022-00065</t>
  </si>
  <si>
    <t xml:space="preserve">ORD-2023-02063</t>
  </si>
  <si>
    <t xml:space="preserve">ORD-2024-05277</t>
  </si>
  <si>
    <t xml:space="preserve">ORD-2025-07209</t>
  </si>
  <si>
    <t xml:space="preserve">ORD-2025-08685</t>
  </si>
  <si>
    <t xml:space="preserve">ORD-2025-08572</t>
  </si>
  <si>
    <t xml:space="preserve">ORD-2024-06332</t>
  </si>
  <si>
    <t xml:space="preserve">ORD-2024-04860</t>
  </si>
  <si>
    <t xml:space="preserve">ORD-2024-04888</t>
  </si>
  <si>
    <t xml:space="preserve">ORD-2022-00879</t>
  </si>
  <si>
    <t xml:space="preserve">ORD-2025-08530</t>
  </si>
  <si>
    <t xml:space="preserve">ORD-2025-07917</t>
  </si>
  <si>
    <t xml:space="preserve">ORD-2025-06864</t>
  </si>
  <si>
    <t xml:space="preserve">ORD-2025-07893</t>
  </si>
  <si>
    <t xml:space="preserve">ORD-2025-06440</t>
  </si>
  <si>
    <t xml:space="preserve">ORD-2025-07870</t>
  </si>
  <si>
    <t xml:space="preserve">ORD-2022-01017</t>
  </si>
  <si>
    <t xml:space="preserve">ORD-2025-07630</t>
  </si>
  <si>
    <t xml:space="preserve">ORD-2022-00996</t>
  </si>
  <si>
    <t xml:space="preserve">ORD-2024-04298</t>
  </si>
  <si>
    <t xml:space="preserve">ORD-2022-00162</t>
  </si>
  <si>
    <t xml:space="preserve">ORD-2024-05676</t>
  </si>
  <si>
    <t xml:space="preserve">ORD-2025-06874</t>
  </si>
  <si>
    <t xml:space="preserve">ORD-2025-07990</t>
  </si>
  <si>
    <t xml:space="preserve">ORD-2023-03844</t>
  </si>
  <si>
    <t xml:space="preserve">ORD-2022-01022</t>
  </si>
  <si>
    <t xml:space="preserve">ORD-2023-03074</t>
  </si>
  <si>
    <t xml:space="preserve">ORD-2025-07556</t>
  </si>
  <si>
    <t xml:space="preserve">ORD-2023-03944</t>
  </si>
  <si>
    <t xml:space="preserve">ORD-2022-01586</t>
  </si>
  <si>
    <t xml:space="preserve">ORD-2023-03153</t>
  </si>
  <si>
    <t xml:space="preserve">ORD-2025-08227</t>
  </si>
  <si>
    <t xml:space="preserve">ORD-2022-00776</t>
  </si>
  <si>
    <t xml:space="preserve">ORD-2025-07100</t>
  </si>
  <si>
    <t xml:space="preserve">ORD-2024-05487</t>
  </si>
  <si>
    <t xml:space="preserve">ORD-2024-06236</t>
  </si>
  <si>
    <t xml:space="preserve">ORD-2025-07042</t>
  </si>
  <si>
    <t xml:space="preserve">ORD-2023-02613</t>
  </si>
  <si>
    <t xml:space="preserve">ORD-2025-07514</t>
  </si>
  <si>
    <t xml:space="preserve">ORD-2025-08434</t>
  </si>
  <si>
    <t xml:space="preserve">ORD-2025-08793</t>
  </si>
  <si>
    <t xml:space="preserve">ORD-2024-05394</t>
  </si>
  <si>
    <t xml:space="preserve">ORD-2025-08839</t>
  </si>
  <si>
    <t xml:space="preserve">ORD-2023-03891</t>
  </si>
  <si>
    <t xml:space="preserve">ORD-2023-03557</t>
  </si>
  <si>
    <t xml:space="preserve">ORD-2022-01529</t>
  </si>
  <si>
    <t xml:space="preserve">ORD-2022-01268</t>
  </si>
  <si>
    <t xml:space="preserve">ORD-2025-07735</t>
  </si>
  <si>
    <t xml:space="preserve">ORD-2023-01900</t>
  </si>
  <si>
    <t xml:space="preserve">ORD-2024-04659</t>
  </si>
  <si>
    <t xml:space="preserve">ORD-2023-03006</t>
  </si>
  <si>
    <t xml:space="preserve">ORD-2023-02735</t>
  </si>
  <si>
    <t xml:space="preserve">ORD-2022-00190</t>
  </si>
  <si>
    <t xml:space="preserve">ORD-2023-02748</t>
  </si>
  <si>
    <t xml:space="preserve">ORD-2023-02048</t>
  </si>
  <si>
    <t xml:space="preserve">ORD-2025-07850</t>
  </si>
  <si>
    <t xml:space="preserve">ORD-2023-02559</t>
  </si>
  <si>
    <t xml:space="preserve">ORD-2025-08667</t>
  </si>
  <si>
    <t xml:space="preserve">ORD-2025-06397</t>
  </si>
  <si>
    <t xml:space="preserve">ORD-2023-03386</t>
  </si>
  <si>
    <t xml:space="preserve">ORD-2024-04556</t>
  </si>
  <si>
    <t xml:space="preserve">ORD-2022-01185</t>
  </si>
  <si>
    <t xml:space="preserve">ORD-2025-06421</t>
  </si>
  <si>
    <t xml:space="preserve">ORD-2024-05052</t>
  </si>
  <si>
    <t xml:space="preserve">ORD-2024-05312</t>
  </si>
  <si>
    <t xml:space="preserve">ORD-2023-02434</t>
  </si>
  <si>
    <t xml:space="preserve">ORD-2025-06950</t>
  </si>
  <si>
    <t xml:space="preserve">ORD-2022-00770</t>
  </si>
  <si>
    <t xml:space="preserve">ORD-2022-01686</t>
  </si>
  <si>
    <t xml:space="preserve">ORD-2025-08323</t>
  </si>
  <si>
    <t xml:space="preserve">ORD-2024-05579</t>
  </si>
  <si>
    <t xml:space="preserve">ORD-2024-04427</t>
  </si>
  <si>
    <t xml:space="preserve">ORD-2022-00467</t>
  </si>
  <si>
    <t xml:space="preserve">ORD-2024-06266</t>
  </si>
  <si>
    <t xml:space="preserve">ORD-2024-05735</t>
  </si>
  <si>
    <t xml:space="preserve">ORD-2024-05192</t>
  </si>
  <si>
    <t xml:space="preserve">ORD-2024-05391</t>
  </si>
  <si>
    <t xml:space="preserve">ORD-2022-00861</t>
  </si>
  <si>
    <t xml:space="preserve">ORD-2025-07271</t>
  </si>
  <si>
    <t xml:space="preserve">Regression Model Results (from Python notebook)</t>
  </si>
  <si>
    <t xml:space="preserve">Blue values are inputs copied from reports/metrics.json produced by notebooks/capstone_sales_analysis.ipynb. Target: Sales (log1p-transformed), 80/20 train-test split, random_state=42.</t>
  </si>
  <si>
    <t xml:space="preserve">Model</t>
  </si>
  <si>
    <t xml:space="preserve">R2 (test, USD)</t>
  </si>
  <si>
    <t xml:space="preserve">MAE (USD)</t>
  </si>
  <si>
    <t xml:space="preserve">RMSE (USD)</t>
  </si>
  <si>
    <t xml:space="preserve">CV R2 (log, 5-fold)</t>
  </si>
  <si>
    <t xml:space="preserve">Linear Regression</t>
  </si>
  <si>
    <t xml:space="preserve">Random Forest</t>
  </si>
  <si>
    <t xml:space="preserve">Gradient Boosting</t>
  </si>
  <si>
    <t xml:space="preserve">Best model (highest R2)</t>
  </si>
  <si>
    <t xml:space="preserve">Feature importance (Gradient Boosting)</t>
  </si>
  <si>
    <t xml:space="preserve">Feature</t>
  </si>
  <si>
    <t xml:space="preserve">Importance</t>
  </si>
  <si>
    <t xml:space="preserve">Month</t>
  </si>
  <si>
    <t xml:space="preserve">DayOfWeek</t>
  </si>
  <si>
    <t xml:space="preserve">Notes and Assumptions</t>
  </si>
  <si>
    <t xml:space="preserve">Project</t>
  </si>
  <si>
    <t xml:space="preserve">Week 4 Capstone: Retail Sales Analysis and Prediction</t>
  </si>
  <si>
    <t xml:space="preserve">Data source</t>
  </si>
  <si>
    <t xml:space="preserve">Synthetic retail dataset generated by src/generate_data.py (seed 42). The capstone brief supplied no dataset.</t>
  </si>
  <si>
    <t xml:space="preserve">Cleaning</t>
  </si>
  <si>
    <t xml:space="preserve">45 duplicate rows removed; missing Segment and Ship Mode filled with the mode.</t>
  </si>
  <si>
    <t xml:space="preserve">Rows</t>
  </si>
  <si>
    <t xml:space="preserve">9,000 cleaned order lines, 2022-01-01 to 2025-12-31.</t>
  </si>
  <si>
    <t xml:space="preserve">Formulas</t>
  </si>
  <si>
    <t xml:space="preserve">Year, Profit Margin and every Summary table are formulas. Model_Results blue cells are pasted inputs from Python.</t>
  </si>
  <si>
    <t xml:space="preserve">Re-use</t>
  </si>
  <si>
    <t xml:space="preserve">To analyse real data, paste it into Clean_Data (same columns A:K); the Summary sheet recalculates. Update the row range if the row count changes.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</si>
</sst>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\$#,##0;&quot;($&quot;#,##0\);\-"/>
    <numFmt numFmtId="166" formatCode="0.0%;\(0.0%\);\-"/>
    <numFmt numFmtId="167" formatCode="#,##0"/>
    <numFmt numFmtId="168" formatCode="0"/>
    <numFmt numFmtId="169" formatCode="0%"/>
    <numFmt numFmtId="170" formatCode="\$#,##0"/>
    <numFmt numFmtId="171" formatCode="yyyy\-mm\-dd"/>
    <numFmt numFmtId="172" formatCode="\$#,##0.00"/>
    <numFmt numFmtId="173" formatCode="\$#,##0.00;&quot;($&quot;#,##0.00\)"/>
    <numFmt numFmtId="174" formatCode="0.0%;\(0.0%\)"/>
    <numFmt numFmtId="175" formatCode="0.000"/>
    <numFmt numFmtId="176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1F3A5F"/>
      <rgbColor rgb="FF339966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and Profit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Summary!B15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Summary!$A$16:$A$18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Summary!$B$16:$B$18</c:f>
              <c:numCache>
                <c:formatCode>\$#,##0;"($"#,##0\);\-</c:formatCode>
                <c:ptCount val="3"/>
                <c:pt idx="0">
                  <c:v>1614729.69</c:v>
                </c:pt>
                <c:pt idx="1">
                  <c:v>846623.11</c:v>
                </c:pt>
                <c:pt idx="2">
                  <c:v>2254912.45</c:v>
                </c:pt>
              </c:numCache>
            </c:numRef>
          </c:val>
        </c:ser>
        <c:ser>
          <c:idx val="1"/>
          <c:order val="1"/>
          <c:tx>
            <c:strRef>
              <c:f>Summary!C15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Summary!$A$16:$A$18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Summary!$C$16:$C$18</c:f>
              <c:numCache>
                <c:formatCode>\$#,##0;"($"#,##0\);\-</c:formatCode>
                <c:ptCount val="3"/>
                <c:pt idx="0">
                  <c:v>-64060.86</c:v>
                </c:pt>
                <c:pt idx="1">
                  <c:v>110677.2</c:v>
                </c:pt>
                <c:pt idx="2">
                  <c:v>279717.27</c:v>
                </c:pt>
              </c:numCache>
            </c:numRef>
          </c:val>
        </c:ser>
        <c:gapWidth val="150"/>
        <c:overlap val="0"/>
        <c:axId val="62927775"/>
        <c:axId val="8395833"/>
      </c:barChart>
      <c:catAx>
        <c:axId val="62927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95833"/>
        <c:crosses val="autoZero"/>
        <c:auto val="1"/>
        <c:lblAlgn val="ctr"/>
        <c:lblOffset val="100"/>
        <c:noMultiLvlLbl val="0"/>
      </c:catAx>
      <c:valAx>
        <c:axId val="83958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9277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by Sub-Category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Summary!C23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Summary!$A$24:$A$35</c:f>
              <c:strCache>
                <c:ptCount val="12"/>
                <c:pt idx="0">
                  <c:v>Tables</c:v>
                </c:pt>
                <c:pt idx="1">
                  <c:v>Bookcases</c:v>
                </c:pt>
                <c:pt idx="2">
                  <c:v>Machines</c:v>
                </c:pt>
                <c:pt idx="3">
                  <c:v>Chairs</c:v>
                </c:pt>
                <c:pt idx="4">
                  <c:v>Storage</c:v>
                </c:pt>
                <c:pt idx="5">
                  <c:v>Furnishings</c:v>
                </c:pt>
                <c:pt idx="6">
                  <c:v>Binders</c:v>
                </c:pt>
                <c:pt idx="7">
                  <c:v>Paper</c:v>
                </c:pt>
                <c:pt idx="8">
                  <c:v>Accessories</c:v>
                </c:pt>
                <c:pt idx="9">
                  <c:v>Appliances</c:v>
                </c:pt>
                <c:pt idx="10">
                  <c:v>Phones</c:v>
                </c:pt>
                <c:pt idx="11">
                  <c:v>Copiers</c:v>
                </c:pt>
              </c:strCache>
            </c:strRef>
          </c:cat>
          <c:val>
            <c:numRef>
              <c:f>Summary!$C$24:$C$35</c:f>
              <c:numCache>
                <c:formatCode>\$#,##0;"($"#,##0\);\-</c:formatCode>
                <c:ptCount val="12"/>
                <c:pt idx="0">
                  <c:v>-71281.26</c:v>
                </c:pt>
                <c:pt idx="1">
                  <c:v>-22002.96</c:v>
                </c:pt>
                <c:pt idx="2">
                  <c:v>-7633.42</c:v>
                </c:pt>
                <c:pt idx="3">
                  <c:v>10195.57</c:v>
                </c:pt>
                <c:pt idx="4">
                  <c:v>12912.11</c:v>
                </c:pt>
                <c:pt idx="5">
                  <c:v>19027.79</c:v>
                </c:pt>
                <c:pt idx="6">
                  <c:v>25978.21</c:v>
                </c:pt>
                <c:pt idx="7">
                  <c:v>31065.17</c:v>
                </c:pt>
                <c:pt idx="8">
                  <c:v>35776.32</c:v>
                </c:pt>
                <c:pt idx="9">
                  <c:v>40721.71</c:v>
                </c:pt>
                <c:pt idx="10">
                  <c:v>86362.04</c:v>
                </c:pt>
                <c:pt idx="11">
                  <c:v>165212.33</c:v>
                </c:pt>
              </c:numCache>
            </c:numRef>
          </c:val>
        </c:ser>
        <c:gapWidth val="150"/>
        <c:overlap val="0"/>
        <c:axId val="13156003"/>
        <c:axId val="30751021"/>
      </c:barChart>
      <c:catAx>
        <c:axId val="131560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751021"/>
        <c:crosses val="autoZero"/>
        <c:auto val="1"/>
        <c:lblAlgn val="ctr"/>
        <c:lblOffset val="100"/>
        <c:noMultiLvlLbl val="0"/>
      </c:catAx>
      <c:valAx>
        <c:axId val="307510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1560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and Profit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Summary!B40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Summary!$A$41:$A$44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Summary!$B$41:$B$44</c:f>
              <c:numCache>
                <c:formatCode>\$#,##0;"($"#,##0\);\-</c:formatCode>
                <c:ptCount val="4"/>
                <c:pt idx="0">
                  <c:v>976909.49</c:v>
                </c:pt>
                <c:pt idx="1">
                  <c:v>1318197.99</c:v>
                </c:pt>
                <c:pt idx="2">
                  <c:v>764096.2</c:v>
                </c:pt>
                <c:pt idx="3">
                  <c:v>1657061.57</c:v>
                </c:pt>
              </c:numCache>
            </c:numRef>
          </c:val>
        </c:ser>
        <c:ser>
          <c:idx val="1"/>
          <c:order val="1"/>
          <c:tx>
            <c:strRef>
              <c:f>Summary!C40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Summary!$A$41:$A$44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Summary!$C$41:$C$44</c:f>
              <c:numCache>
                <c:formatCode>\$#,##0;"($"#,##0\);\-</c:formatCode>
                <c:ptCount val="4"/>
                <c:pt idx="0">
                  <c:v>71569.68</c:v>
                </c:pt>
                <c:pt idx="1">
                  <c:v>82835.28</c:v>
                </c:pt>
                <c:pt idx="2">
                  <c:v>54008.84</c:v>
                </c:pt>
                <c:pt idx="3">
                  <c:v>117919.81</c:v>
                </c:pt>
              </c:numCache>
            </c:numRef>
          </c:val>
        </c:ser>
        <c:gapWidth val="150"/>
        <c:overlap val="0"/>
        <c:axId val="71021136"/>
        <c:axId val="8268440"/>
      </c:barChart>
      <c:catAx>
        <c:axId val="71021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68440"/>
        <c:crosses val="autoZero"/>
        <c:auto val="1"/>
        <c:lblAlgn val="ctr"/>
        <c:lblOffset val="100"/>
        <c:noMultiLvlLbl val="0"/>
      </c:catAx>
      <c:valAx>
        <c:axId val="82684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0211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Yearly Sales and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Summary!B57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Summary!$A$58:$A$61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Summary!$B$58:$B$61</c:f>
              <c:numCache>
                <c:formatCode>\$#,##0;"($"#,##0\);\-</c:formatCode>
                <c:ptCount val="4"/>
                <c:pt idx="0">
                  <c:v>930215.85</c:v>
                </c:pt>
                <c:pt idx="1">
                  <c:v>1139681.31</c:v>
                </c:pt>
                <c:pt idx="2">
                  <c:v>1270969.18</c:v>
                </c:pt>
                <c:pt idx="3">
                  <c:v>1375398.91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Summary!C57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Summary!$A$58:$A$61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Summary!$C$58:$C$61</c:f>
              <c:numCache>
                <c:formatCode>\$#,##0;"($"#,##0\);\-</c:formatCode>
                <c:ptCount val="4"/>
                <c:pt idx="0">
                  <c:v>60888.71</c:v>
                </c:pt>
                <c:pt idx="1">
                  <c:v>79502.2</c:v>
                </c:pt>
                <c:pt idx="2">
                  <c:v>86319.6</c:v>
                </c:pt>
                <c:pt idx="3">
                  <c:v>99623.1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8716431"/>
        <c:axId val="1217068"/>
      </c:lineChart>
      <c:catAx>
        <c:axId val="58716431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17068"/>
        <c:crosses val="autoZero"/>
        <c:auto val="1"/>
        <c:lblAlgn val="ctr"/>
        <c:lblOffset val="100"/>
        <c:noMultiLvlLbl val="0"/>
      </c:catAx>
      <c:valAx>
        <c:axId val="12170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7164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by Discount Level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Summary!D65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Summary!$A$66:$A$73</c:f>
              <c:strCache>
                <c:ptCount val="8"/>
                <c:pt idx="0">
                  <c:v>0%</c:v>
                </c:pt>
                <c:pt idx="1">
                  <c:v>5%</c:v>
                </c:pt>
                <c:pt idx="2">
                  <c:v>10%</c:v>
                </c:pt>
                <c:pt idx="3">
                  <c:v>15%</c:v>
                </c:pt>
                <c:pt idx="4">
                  <c:v>20%</c:v>
                </c:pt>
                <c:pt idx="5">
                  <c:v>30%</c:v>
                </c:pt>
                <c:pt idx="6">
                  <c:v>40%</c:v>
                </c:pt>
                <c:pt idx="7">
                  <c:v>50%</c:v>
                </c:pt>
              </c:strCache>
            </c:strRef>
          </c:cat>
          <c:val>
            <c:numRef>
              <c:f>Summary!$D$66:$D$73</c:f>
              <c:numCache>
                <c:formatCode>\$#,##0;"($"#,##0\);\-</c:formatCode>
                <c:ptCount val="8"/>
                <c:pt idx="0">
                  <c:v>320108.57</c:v>
                </c:pt>
                <c:pt idx="1">
                  <c:v>42716.05</c:v>
                </c:pt>
                <c:pt idx="2">
                  <c:v>44200.27</c:v>
                </c:pt>
                <c:pt idx="3">
                  <c:v>5334.2</c:v>
                </c:pt>
                <c:pt idx="4">
                  <c:v>-18011.32</c:v>
                </c:pt>
                <c:pt idx="5">
                  <c:v>-27998.56</c:v>
                </c:pt>
                <c:pt idx="6">
                  <c:v>-24842.8</c:v>
                </c:pt>
                <c:pt idx="7">
                  <c:v>-15172.8</c:v>
                </c:pt>
              </c:numCache>
            </c:numRef>
          </c:val>
        </c:ser>
        <c:gapWidth val="150"/>
        <c:overlap val="0"/>
        <c:axId val="88556798"/>
        <c:axId val="90755075"/>
      </c:barChart>
      <c:catAx>
        <c:axId val="88556798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755075"/>
        <c:crosses val="autoZero"/>
        <c:auto val="1"/>
        <c:lblAlgn val="ctr"/>
        <c:lblOffset val="100"/>
        <c:noMultiLvlLbl val="0"/>
      </c:catAx>
      <c:valAx>
        <c:axId val="907550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55679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Feature Importance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Model_Results!B12</c:f>
              <c:strCache>
                <c:ptCount val="1"/>
                <c:pt idx="0">
                  <c:v>Importance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Model_Results!$A$13:$A$22</c:f>
              <c:strCache>
                <c:ptCount val="10"/>
                <c:pt idx="0">
                  <c:v>Sub-Category</c:v>
                </c:pt>
                <c:pt idx="1">
                  <c:v>Category</c:v>
                </c:pt>
                <c:pt idx="2">
                  <c:v>Quantity</c:v>
                </c:pt>
                <c:pt idx="3">
                  <c:v>Discount</c:v>
                </c:pt>
                <c:pt idx="4">
                  <c:v>Region</c:v>
                </c:pt>
                <c:pt idx="5">
                  <c:v>Segment</c:v>
                </c:pt>
                <c:pt idx="6">
                  <c:v>Month</c:v>
                </c:pt>
                <c:pt idx="7">
                  <c:v>DayOfWeek</c:v>
                </c:pt>
                <c:pt idx="8">
                  <c:v>Ship Mode</c:v>
                </c:pt>
                <c:pt idx="9">
                  <c:v>Year</c:v>
                </c:pt>
              </c:strCache>
            </c:strRef>
          </c:cat>
          <c:val>
            <c:numRef>
              <c:f>Model_Results!$B$13:$B$22</c:f>
              <c:numCache>
                <c:formatCode>0.0%</c:formatCode>
                <c:ptCount val="10"/>
                <c:pt idx="0">
                  <c:v>0.5169</c:v>
                </c:pt>
                <c:pt idx="1">
                  <c:v>0.3266</c:v>
                </c:pt>
                <c:pt idx="2">
                  <c:v>0.14</c:v>
                </c:pt>
                <c:pt idx="3">
                  <c:v>0.0132</c:v>
                </c:pt>
                <c:pt idx="4">
                  <c:v>0.0023</c:v>
                </c:pt>
                <c:pt idx="5">
                  <c:v>0.0007</c:v>
                </c:pt>
                <c:pt idx="6">
                  <c:v>0.0001</c:v>
                </c:pt>
                <c:pt idx="7">
                  <c:v>0.0001</c:v>
                </c:pt>
                <c:pt idx="8">
                  <c:v>0.0001</c:v>
                </c:pt>
                <c:pt idx="9">
                  <c:v>0</c:v>
                </c:pt>
              </c:numCache>
            </c:numRef>
          </c:val>
        </c:ser>
        <c:gapWidth val="150"/>
        <c:overlap val="0"/>
        <c:axId val="93584374"/>
        <c:axId val="87506187"/>
      </c:barChart>
      <c:catAx>
        <c:axId val="935843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506187"/>
        <c:crosses val="autoZero"/>
        <c:auto val="1"/>
        <c:lblAlgn val="ctr"/>
        <c:lblOffset val="100"/>
        <c:noMultiLvlLbl val="0"/>
      </c:catAx>
      <c:valAx>
        <c:axId val="875061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58437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160920</xdr:rowOff>
    </xdr:from>
    <xdr:to>
      <xdr:col>14</xdr:col>
      <xdr:colOff>507600</xdr:colOff>
      <xdr:row>17</xdr:row>
      <xdr:rowOff>2880</xdr:rowOff>
    </xdr:to>
    <xdr:graphicFrame>
      <xdr:nvGraphicFramePr>
        <xdr:cNvPr id="0" name="Chart 1"/>
        <xdr:cNvGraphicFramePr/>
      </xdr:nvGraphicFramePr>
      <xdr:xfrm>
        <a:off x="6532200" y="571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18</xdr:row>
      <xdr:rowOff>160560</xdr:rowOff>
    </xdr:from>
    <xdr:to>
      <xdr:col>14</xdr:col>
      <xdr:colOff>507600</xdr:colOff>
      <xdr:row>35</xdr:row>
      <xdr:rowOff>161640</xdr:rowOff>
    </xdr:to>
    <xdr:graphicFrame>
      <xdr:nvGraphicFramePr>
        <xdr:cNvPr id="1" name="Chart 2"/>
        <xdr:cNvGraphicFramePr/>
      </xdr:nvGraphicFramePr>
      <xdr:xfrm>
        <a:off x="6532200" y="361944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37</xdr:row>
      <xdr:rowOff>160560</xdr:rowOff>
    </xdr:from>
    <xdr:to>
      <xdr:col>14</xdr:col>
      <xdr:colOff>507600</xdr:colOff>
      <xdr:row>52</xdr:row>
      <xdr:rowOff>2520</xdr:rowOff>
    </xdr:to>
    <xdr:graphicFrame>
      <xdr:nvGraphicFramePr>
        <xdr:cNvPr id="2" name="Chart 3"/>
        <xdr:cNvGraphicFramePr/>
      </xdr:nvGraphicFramePr>
      <xdr:xfrm>
        <a:off x="6532200" y="72388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53</xdr:row>
      <xdr:rowOff>160560</xdr:rowOff>
    </xdr:from>
    <xdr:to>
      <xdr:col>14</xdr:col>
      <xdr:colOff>507600</xdr:colOff>
      <xdr:row>68</xdr:row>
      <xdr:rowOff>2880</xdr:rowOff>
    </xdr:to>
    <xdr:graphicFrame>
      <xdr:nvGraphicFramePr>
        <xdr:cNvPr id="3" name="Chart 4"/>
        <xdr:cNvGraphicFramePr/>
      </xdr:nvGraphicFramePr>
      <xdr:xfrm>
        <a:off x="6532200" y="102870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0</xdr:colOff>
      <xdr:row>69</xdr:row>
      <xdr:rowOff>160920</xdr:rowOff>
    </xdr:from>
    <xdr:to>
      <xdr:col>14</xdr:col>
      <xdr:colOff>507600</xdr:colOff>
      <xdr:row>84</xdr:row>
      <xdr:rowOff>2880</xdr:rowOff>
    </xdr:to>
    <xdr:graphicFrame>
      <xdr:nvGraphicFramePr>
        <xdr:cNvPr id="4" name="Chart 5"/>
        <xdr:cNvGraphicFramePr/>
      </xdr:nvGraphicFramePr>
      <xdr:xfrm>
        <a:off x="6532200" y="1333512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9</xdr:row>
      <xdr:rowOff>160920</xdr:rowOff>
    </xdr:from>
    <xdr:to>
      <xdr:col>9</xdr:col>
      <xdr:colOff>338400</xdr:colOff>
      <xdr:row>24</xdr:row>
      <xdr:rowOff>182880</xdr:rowOff>
    </xdr:to>
    <xdr:graphicFrame>
      <xdr:nvGraphicFramePr>
        <xdr:cNvPr id="5" name="Chart 1"/>
        <xdr:cNvGraphicFramePr/>
      </xdr:nvGraphicFramePr>
      <xdr:xfrm>
        <a:off x="4229280" y="190512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6"/>
    <col collapsed="false" customWidth="true" hidden="false" outlineLevel="0" max="4" min="4" style="0" width="12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5" t="n">
        <f aca="false">SUM(Clean_Data!$J$2:$J$9001)</f>
        <v>4716265.25</v>
      </c>
    </row>
    <row r="6" customFormat="false" ht="15" hidden="false" customHeight="false" outlineLevel="0" collapsed="false">
      <c r="A6" s="4" t="s">
        <v>5</v>
      </c>
      <c r="B6" s="5" t="n">
        <f aca="false">SUM(Clean_Data!$K$2:$K$9001)</f>
        <v>326333.61</v>
      </c>
    </row>
    <row r="7" customFormat="false" ht="15" hidden="false" customHeight="false" outlineLevel="0" collapsed="false">
      <c r="A7" s="4" t="s">
        <v>6</v>
      </c>
      <c r="B7" s="6" t="n">
        <f aca="false">B6/B5</f>
        <v>0.0691932265684166</v>
      </c>
    </row>
    <row r="8" customFormat="false" ht="15" hidden="false" customHeight="false" outlineLevel="0" collapsed="false">
      <c r="A8" s="4" t="s">
        <v>7</v>
      </c>
      <c r="B8" s="7" t="n">
        <f aca="false">COUNTA(Clean_Data!$A$2:$A$9001)</f>
        <v>9000</v>
      </c>
    </row>
    <row r="9" customFormat="false" ht="15" hidden="false" customHeight="false" outlineLevel="0" collapsed="false">
      <c r="A9" s="4" t="s">
        <v>8</v>
      </c>
      <c r="B9" s="5" t="n">
        <f aca="false">B5/B8</f>
        <v>524.029472222222</v>
      </c>
    </row>
    <row r="10" customFormat="false" ht="15" hidden="false" customHeight="false" outlineLevel="0" collapsed="false">
      <c r="A10" s="4" t="s">
        <v>9</v>
      </c>
      <c r="B10" s="6" t="n">
        <f aca="false">AVERAGE(Clean_Data!$I$2:$I$9001)</f>
        <v>0.101811111111111</v>
      </c>
    </row>
    <row r="11" customFormat="false" ht="15" hidden="false" customHeight="false" outlineLevel="0" collapsed="false">
      <c r="A11" s="4" t="s">
        <v>10</v>
      </c>
      <c r="B11" s="6" t="n">
        <f aca="false">COUNTIF(Clean_Data!$K$2:$K$9001,"&lt;0")/B8</f>
        <v>0.202777777777778</v>
      </c>
    </row>
    <row r="14" customFormat="false" ht="15" hidden="false" customHeight="false" outlineLevel="0" collapsed="false">
      <c r="A14" s="8" t="s">
        <v>11</v>
      </c>
    </row>
    <row r="15" customFormat="false" ht="15" hidden="false" customHeight="false" outlineLevel="0" collapsed="false">
      <c r="A15" s="3" t="s">
        <v>12</v>
      </c>
      <c r="B15" s="3" t="s">
        <v>13</v>
      </c>
      <c r="C15" s="3" t="s">
        <v>14</v>
      </c>
      <c r="D15" s="3" t="s">
        <v>15</v>
      </c>
    </row>
    <row r="16" customFormat="false" ht="15" hidden="false" customHeight="false" outlineLevel="0" collapsed="false">
      <c r="A16" s="9" t="s">
        <v>16</v>
      </c>
      <c r="B16" s="5" t="n">
        <f aca="false">SUMIFS(Clean_Data!$J$2:$J$9001,Clean_Data!$F$2:$F$9001,A16)</f>
        <v>1614729.69</v>
      </c>
      <c r="C16" s="5" t="n">
        <f aca="false">SUMIFS(Clean_Data!$K$2:$K$9001,Clean_Data!$F$2:$F$9001,A16)</f>
        <v>-64060.86</v>
      </c>
      <c r="D16" s="6" t="n">
        <f aca="false">IF(B16=0,0,C16/B16)</f>
        <v>-0.0396728074034484</v>
      </c>
    </row>
    <row r="17" customFormat="false" ht="15" hidden="false" customHeight="false" outlineLevel="0" collapsed="false">
      <c r="A17" s="9" t="s">
        <v>17</v>
      </c>
      <c r="B17" s="5" t="n">
        <f aca="false">SUMIFS(Clean_Data!$J$2:$J$9001,Clean_Data!$F$2:$F$9001,A17)</f>
        <v>846623.11</v>
      </c>
      <c r="C17" s="5" t="n">
        <f aca="false">SUMIFS(Clean_Data!$K$2:$K$9001,Clean_Data!$F$2:$F$9001,A17)</f>
        <v>110677.2</v>
      </c>
      <c r="D17" s="6" t="n">
        <f aca="false">IF(B17=0,0,C17/B17)</f>
        <v>0.130727827639857</v>
      </c>
    </row>
    <row r="18" customFormat="false" ht="15" hidden="false" customHeight="false" outlineLevel="0" collapsed="false">
      <c r="A18" s="9" t="s">
        <v>18</v>
      </c>
      <c r="B18" s="5" t="n">
        <f aca="false">SUMIFS(Clean_Data!$J$2:$J$9001,Clean_Data!$F$2:$F$9001,A18)</f>
        <v>2254912.45</v>
      </c>
      <c r="C18" s="5" t="n">
        <f aca="false">SUMIFS(Clean_Data!$K$2:$K$9001,Clean_Data!$F$2:$F$9001,A18)</f>
        <v>279717.27</v>
      </c>
      <c r="D18" s="6" t="n">
        <f aca="false">IF(B18=0,0,C18/B18)</f>
        <v>0.124047951396073</v>
      </c>
    </row>
    <row r="19" customFormat="false" ht="15" hidden="false" customHeight="false" outlineLevel="0" collapsed="false">
      <c r="A19" s="4" t="s">
        <v>19</v>
      </c>
      <c r="B19" s="10" t="n">
        <f aca="false">SUM(B16:B18)</f>
        <v>4716265.25</v>
      </c>
      <c r="C19" s="10" t="n">
        <f aca="false">SUM(C16:C18)</f>
        <v>326333.61</v>
      </c>
      <c r="D19" s="11" t="n">
        <f aca="false">IF(B19=0,0,C19/B19)</f>
        <v>0.0691932265684166</v>
      </c>
    </row>
    <row r="22" customFormat="false" ht="15" hidden="false" customHeight="false" outlineLevel="0" collapsed="false">
      <c r="A22" s="8" t="s">
        <v>20</v>
      </c>
    </row>
    <row r="23" customFormat="false" ht="15" hidden="false" customHeight="false" outlineLevel="0" collapsed="false">
      <c r="A23" s="3" t="s">
        <v>21</v>
      </c>
      <c r="B23" s="3" t="s">
        <v>13</v>
      </c>
      <c r="C23" s="3" t="s">
        <v>14</v>
      </c>
      <c r="D23" s="3" t="s">
        <v>15</v>
      </c>
    </row>
    <row r="24" customFormat="false" ht="15" hidden="false" customHeight="false" outlineLevel="0" collapsed="false">
      <c r="A24" s="9" t="s">
        <v>22</v>
      </c>
      <c r="B24" s="5" t="n">
        <f aca="false">SUMIFS(Clean_Data!$J$2:$J$9001,Clean_Data!$G$2:$G$9001,A24)</f>
        <v>624760.46</v>
      </c>
      <c r="C24" s="5" t="n">
        <f aca="false">SUMIFS(Clean_Data!$K$2:$K$9001,Clean_Data!$G$2:$G$9001,A24)</f>
        <v>-71281.26</v>
      </c>
      <c r="D24" s="6" t="n">
        <f aca="false">IF(B24=0,0,C24/B24)</f>
        <v>-0.11409374402471</v>
      </c>
    </row>
    <row r="25" customFormat="false" ht="15" hidden="false" customHeight="false" outlineLevel="0" collapsed="false">
      <c r="A25" s="9" t="s">
        <v>23</v>
      </c>
      <c r="B25" s="5" t="n">
        <f aca="false">SUMIFS(Clean_Data!$J$2:$J$9001,Clean_Data!$G$2:$G$9001,A25)</f>
        <v>365341.24</v>
      </c>
      <c r="C25" s="5" t="n">
        <f aca="false">SUMIFS(Clean_Data!$K$2:$K$9001,Clean_Data!$G$2:$G$9001,A25)</f>
        <v>-22002.96</v>
      </c>
      <c r="D25" s="6" t="n">
        <f aca="false">IF(B25=0,0,C25/B25)</f>
        <v>-0.0602257768654861</v>
      </c>
    </row>
    <row r="26" customFormat="false" ht="15" hidden="false" customHeight="false" outlineLevel="0" collapsed="false">
      <c r="A26" s="9" t="s">
        <v>24</v>
      </c>
      <c r="B26" s="5" t="n">
        <f aca="false">SUMIFS(Clean_Data!$J$2:$J$9001,Clean_Data!$G$2:$G$9001,A26)</f>
        <v>417627.48</v>
      </c>
      <c r="C26" s="5" t="n">
        <f aca="false">SUMIFS(Clean_Data!$K$2:$K$9001,Clean_Data!$G$2:$G$9001,A26)</f>
        <v>-7633.42</v>
      </c>
      <c r="D26" s="6" t="n">
        <f aca="false">IF(B26=0,0,C26/B26)</f>
        <v>-0.0182780596717438</v>
      </c>
    </row>
    <row r="27" customFormat="false" ht="15" hidden="false" customHeight="false" outlineLevel="0" collapsed="false">
      <c r="A27" s="9" t="s">
        <v>25</v>
      </c>
      <c r="B27" s="5" t="n">
        <f aca="false">SUMIFS(Clean_Data!$J$2:$J$9001,Clean_Data!$G$2:$G$9001,A27)</f>
        <v>490928.65</v>
      </c>
      <c r="C27" s="5" t="n">
        <f aca="false">SUMIFS(Clean_Data!$K$2:$K$9001,Clean_Data!$G$2:$G$9001,A27)</f>
        <v>10195.57</v>
      </c>
      <c r="D27" s="6" t="n">
        <f aca="false">IF(B27=0,0,C27/B27)</f>
        <v>0.0207679262556789</v>
      </c>
    </row>
    <row r="28" customFormat="false" ht="15" hidden="false" customHeight="false" outlineLevel="0" collapsed="false">
      <c r="A28" s="9" t="s">
        <v>26</v>
      </c>
      <c r="B28" s="5" t="n">
        <f aca="false">SUMIFS(Clean_Data!$J$2:$J$9001,Clean_Data!$G$2:$G$9001,A28)</f>
        <v>304799.22</v>
      </c>
      <c r="C28" s="5" t="n">
        <f aca="false">SUMIFS(Clean_Data!$K$2:$K$9001,Clean_Data!$G$2:$G$9001,A28)</f>
        <v>12912.11</v>
      </c>
      <c r="D28" s="6" t="n">
        <f aca="false">IF(B28=0,0,C28/B28)</f>
        <v>0.0423626740252157</v>
      </c>
    </row>
    <row r="29" customFormat="false" ht="15" hidden="false" customHeight="false" outlineLevel="0" collapsed="false">
      <c r="A29" s="9" t="s">
        <v>27</v>
      </c>
      <c r="B29" s="5" t="n">
        <f aca="false">SUMIFS(Clean_Data!$J$2:$J$9001,Clean_Data!$G$2:$G$9001,A29)</f>
        <v>133699.34</v>
      </c>
      <c r="C29" s="5" t="n">
        <f aca="false">SUMIFS(Clean_Data!$K$2:$K$9001,Clean_Data!$G$2:$G$9001,A29)</f>
        <v>19027.79</v>
      </c>
      <c r="D29" s="6" t="n">
        <f aca="false">IF(B29=0,0,C29/B29)</f>
        <v>0.142317755644867</v>
      </c>
    </row>
    <row r="30" customFormat="false" ht="15" hidden="false" customHeight="false" outlineLevel="0" collapsed="false">
      <c r="A30" s="9" t="s">
        <v>28</v>
      </c>
      <c r="B30" s="5" t="n">
        <f aca="false">SUMIFS(Clean_Data!$J$2:$J$9001,Clean_Data!$G$2:$G$9001,A30)</f>
        <v>117595.6</v>
      </c>
      <c r="C30" s="5" t="n">
        <f aca="false">SUMIFS(Clean_Data!$K$2:$K$9001,Clean_Data!$G$2:$G$9001,A30)</f>
        <v>25978.21</v>
      </c>
      <c r="D30" s="6" t="n">
        <f aca="false">IF(B30=0,0,C30/B30)</f>
        <v>0.220911411651456</v>
      </c>
    </row>
    <row r="31" customFormat="false" ht="15" hidden="false" customHeight="false" outlineLevel="0" collapsed="false">
      <c r="A31" s="9" t="s">
        <v>29</v>
      </c>
      <c r="B31" s="5" t="n">
        <f aca="false">SUMIFS(Clean_Data!$J$2:$J$9001,Clean_Data!$G$2:$G$9001,A31)</f>
        <v>101263.06</v>
      </c>
      <c r="C31" s="5" t="n">
        <f aca="false">SUMIFS(Clean_Data!$K$2:$K$9001,Clean_Data!$G$2:$G$9001,A31)</f>
        <v>31065.17</v>
      </c>
      <c r="D31" s="6" t="n">
        <f aca="false">IF(B31=0,0,C31/B31)</f>
        <v>0.306776923391412</v>
      </c>
    </row>
    <row r="32" customFormat="false" ht="15" hidden="false" customHeight="false" outlineLevel="0" collapsed="false">
      <c r="A32" s="9" t="s">
        <v>30</v>
      </c>
      <c r="B32" s="5" t="n">
        <f aca="false">SUMIFS(Clean_Data!$J$2:$J$9001,Clean_Data!$G$2:$G$9001,A32)</f>
        <v>162970.6</v>
      </c>
      <c r="C32" s="5" t="n">
        <f aca="false">SUMIFS(Clean_Data!$K$2:$K$9001,Clean_Data!$G$2:$G$9001,A32)</f>
        <v>35776.32</v>
      </c>
      <c r="D32" s="6" t="n">
        <f aca="false">IF(B32=0,0,C32/B32)</f>
        <v>0.219526221293902</v>
      </c>
    </row>
    <row r="33" customFormat="false" ht="15" hidden="false" customHeight="false" outlineLevel="0" collapsed="false">
      <c r="A33" s="9" t="s">
        <v>31</v>
      </c>
      <c r="B33" s="5" t="n">
        <f aca="false">SUMIFS(Clean_Data!$J$2:$J$9001,Clean_Data!$G$2:$G$9001,A33)</f>
        <v>322965.23</v>
      </c>
      <c r="C33" s="5" t="n">
        <f aca="false">SUMIFS(Clean_Data!$K$2:$K$9001,Clean_Data!$G$2:$G$9001,A33)</f>
        <v>40721.71</v>
      </c>
      <c r="D33" s="6" t="n">
        <f aca="false">IF(B33=0,0,C33/B33)</f>
        <v>0.126086978465143</v>
      </c>
    </row>
    <row r="34" customFormat="false" ht="15" hidden="false" customHeight="false" outlineLevel="0" collapsed="false">
      <c r="A34" s="9" t="s">
        <v>32</v>
      </c>
      <c r="B34" s="5" t="n">
        <f aca="false">SUMIFS(Clean_Data!$J$2:$J$9001,Clean_Data!$G$2:$G$9001,A34)</f>
        <v>855213.16</v>
      </c>
      <c r="C34" s="5" t="n">
        <f aca="false">SUMIFS(Clean_Data!$K$2:$K$9001,Clean_Data!$G$2:$G$9001,A34)</f>
        <v>86362.04</v>
      </c>
      <c r="D34" s="6" t="n">
        <f aca="false">IF(B34=0,0,C34/B34)</f>
        <v>0.100983057837885</v>
      </c>
    </row>
    <row r="35" customFormat="false" ht="15" hidden="false" customHeight="false" outlineLevel="0" collapsed="false">
      <c r="A35" s="9" t="s">
        <v>33</v>
      </c>
      <c r="B35" s="5" t="n">
        <f aca="false">SUMIFS(Clean_Data!$J$2:$J$9001,Clean_Data!$G$2:$G$9001,A35)</f>
        <v>819101.21</v>
      </c>
      <c r="C35" s="5" t="n">
        <f aca="false">SUMIFS(Clean_Data!$K$2:$K$9001,Clean_Data!$G$2:$G$9001,A35)</f>
        <v>165212.33</v>
      </c>
      <c r="D35" s="6" t="n">
        <f aca="false">IF(B35=0,0,C35/B35)</f>
        <v>0.201699531123877</v>
      </c>
    </row>
    <row r="36" customFormat="false" ht="15" hidden="false" customHeight="false" outlineLevel="0" collapsed="false">
      <c r="A36" s="4" t="s">
        <v>19</v>
      </c>
      <c r="B36" s="10" t="n">
        <f aca="false">SUM(B24:B35)</f>
        <v>4716265.25</v>
      </c>
      <c r="C36" s="10" t="n">
        <f aca="false">SUM(C24:C35)</f>
        <v>326333.61</v>
      </c>
      <c r="D36" s="11" t="n">
        <f aca="false">IF(B36=0,0,C36/B36)</f>
        <v>0.0691932265684166</v>
      </c>
    </row>
    <row r="39" customFormat="false" ht="15" hidden="false" customHeight="false" outlineLevel="0" collapsed="false">
      <c r="A39" s="8" t="s">
        <v>34</v>
      </c>
    </row>
    <row r="40" customFormat="false" ht="15" hidden="false" customHeight="false" outlineLevel="0" collapsed="false">
      <c r="A40" s="3" t="s">
        <v>35</v>
      </c>
      <c r="B40" s="3" t="s">
        <v>13</v>
      </c>
      <c r="C40" s="3" t="s">
        <v>14</v>
      </c>
      <c r="D40" s="3" t="s">
        <v>15</v>
      </c>
    </row>
    <row r="41" customFormat="false" ht="15" hidden="false" customHeight="false" outlineLevel="0" collapsed="false">
      <c r="A41" s="9" t="s">
        <v>36</v>
      </c>
      <c r="B41" s="5" t="n">
        <f aca="false">SUMIFS(Clean_Data!$J$2:$J$9001,Clean_Data!$E$2:$E$9001,A41)</f>
        <v>976909.49</v>
      </c>
      <c r="C41" s="5" t="n">
        <f aca="false">SUMIFS(Clean_Data!$K$2:$K$9001,Clean_Data!$E$2:$E$9001,A41)</f>
        <v>71569.68</v>
      </c>
      <c r="D41" s="6" t="n">
        <f aca="false">IF(B41=0,0,C41/B41)</f>
        <v>0.0732613212714312</v>
      </c>
    </row>
    <row r="42" customFormat="false" ht="15" hidden="false" customHeight="false" outlineLevel="0" collapsed="false">
      <c r="A42" s="9" t="s">
        <v>37</v>
      </c>
      <c r="B42" s="5" t="n">
        <f aca="false">SUMIFS(Clean_Data!$J$2:$J$9001,Clean_Data!$E$2:$E$9001,A42)</f>
        <v>1318197.99</v>
      </c>
      <c r="C42" s="5" t="n">
        <f aca="false">SUMIFS(Clean_Data!$K$2:$K$9001,Clean_Data!$E$2:$E$9001,A42)</f>
        <v>82835.28</v>
      </c>
      <c r="D42" s="6" t="n">
        <f aca="false">IF(B42=0,0,C42/B42)</f>
        <v>0.0628397863055458</v>
      </c>
    </row>
    <row r="43" customFormat="false" ht="15" hidden="false" customHeight="false" outlineLevel="0" collapsed="false">
      <c r="A43" s="9" t="s">
        <v>38</v>
      </c>
      <c r="B43" s="5" t="n">
        <f aca="false">SUMIFS(Clean_Data!$J$2:$J$9001,Clean_Data!$E$2:$E$9001,A43)</f>
        <v>764096.2</v>
      </c>
      <c r="C43" s="5" t="n">
        <f aca="false">SUMIFS(Clean_Data!$K$2:$K$9001,Clean_Data!$E$2:$E$9001,A43)</f>
        <v>54008.84</v>
      </c>
      <c r="D43" s="6" t="n">
        <f aca="false">IF(B43=0,0,C43/B43)</f>
        <v>0.0706832987783475</v>
      </c>
    </row>
    <row r="44" customFormat="false" ht="15" hidden="false" customHeight="false" outlineLevel="0" collapsed="false">
      <c r="A44" s="9" t="s">
        <v>39</v>
      </c>
      <c r="B44" s="5" t="n">
        <f aca="false">SUMIFS(Clean_Data!$J$2:$J$9001,Clean_Data!$E$2:$E$9001,A44)</f>
        <v>1657061.57</v>
      </c>
      <c r="C44" s="5" t="n">
        <f aca="false">SUMIFS(Clean_Data!$K$2:$K$9001,Clean_Data!$E$2:$E$9001,A44)</f>
        <v>117919.81</v>
      </c>
      <c r="D44" s="6" t="n">
        <f aca="false">IF(B44=0,0,C44/B44)</f>
        <v>0.0711619967144613</v>
      </c>
    </row>
    <row r="45" customFormat="false" ht="15" hidden="false" customHeight="false" outlineLevel="0" collapsed="false">
      <c r="A45" s="4" t="s">
        <v>19</v>
      </c>
      <c r="B45" s="10" t="n">
        <f aca="false">SUM(B41:B44)</f>
        <v>4716265.25</v>
      </c>
      <c r="C45" s="10" t="n">
        <f aca="false">SUM(C41:C44)</f>
        <v>326333.61</v>
      </c>
      <c r="D45" s="11" t="n">
        <f aca="false">IF(B45=0,0,C45/B45)</f>
        <v>0.0691932265684166</v>
      </c>
    </row>
    <row r="48" customFormat="false" ht="15" hidden="false" customHeight="false" outlineLevel="0" collapsed="false">
      <c r="A48" s="8" t="s">
        <v>40</v>
      </c>
    </row>
    <row r="49" customFormat="false" ht="15" hidden="false" customHeight="false" outlineLevel="0" collapsed="false">
      <c r="A49" s="3" t="s">
        <v>41</v>
      </c>
      <c r="B49" s="3" t="s">
        <v>13</v>
      </c>
      <c r="C49" s="3" t="s">
        <v>14</v>
      </c>
      <c r="D49" s="3" t="s">
        <v>15</v>
      </c>
    </row>
    <row r="50" customFormat="false" ht="15" hidden="false" customHeight="false" outlineLevel="0" collapsed="false">
      <c r="A50" s="9" t="s">
        <v>42</v>
      </c>
      <c r="B50" s="5" t="n">
        <f aca="false">SUMIFS(Clean_Data!$J$2:$J$9001,Clean_Data!$D$2:$D$9001,A50)</f>
        <v>2447549.61</v>
      </c>
      <c r="C50" s="5" t="n">
        <f aca="false">SUMIFS(Clean_Data!$K$2:$K$9001,Clean_Data!$D$2:$D$9001,A50)</f>
        <v>159742.12</v>
      </c>
      <c r="D50" s="6" t="n">
        <f aca="false">IF(B50=0,0,C50/B50)</f>
        <v>0.0652661418372639</v>
      </c>
    </row>
    <row r="51" customFormat="false" ht="15" hidden="false" customHeight="false" outlineLevel="0" collapsed="false">
      <c r="A51" s="9" t="s">
        <v>43</v>
      </c>
      <c r="B51" s="5" t="n">
        <f aca="false">SUMIFS(Clean_Data!$J$2:$J$9001,Clean_Data!$D$2:$D$9001,A51)</f>
        <v>1445893.6</v>
      </c>
      <c r="C51" s="5" t="n">
        <f aca="false">SUMIFS(Clean_Data!$K$2:$K$9001,Clean_Data!$D$2:$D$9001,A51)</f>
        <v>101897.35</v>
      </c>
      <c r="D51" s="6" t="n">
        <f aca="false">IF(B51=0,0,C51/B51)</f>
        <v>0.0704736157625983</v>
      </c>
    </row>
    <row r="52" customFormat="false" ht="15" hidden="false" customHeight="false" outlineLevel="0" collapsed="false">
      <c r="A52" s="9" t="s">
        <v>44</v>
      </c>
      <c r="B52" s="5" t="n">
        <f aca="false">SUMIFS(Clean_Data!$J$2:$J$9001,Clean_Data!$D$2:$D$9001,A52)</f>
        <v>822822.04</v>
      </c>
      <c r="C52" s="5" t="n">
        <f aca="false">SUMIFS(Clean_Data!$K$2:$K$9001,Clean_Data!$D$2:$D$9001,A52)</f>
        <v>64694.14</v>
      </c>
      <c r="D52" s="6" t="n">
        <f aca="false">IF(B52=0,0,C52/B52)</f>
        <v>0.0786247048025111</v>
      </c>
    </row>
    <row r="53" customFormat="false" ht="15" hidden="false" customHeight="false" outlineLevel="0" collapsed="false">
      <c r="A53" s="4" t="s">
        <v>19</v>
      </c>
      <c r="B53" s="10" t="n">
        <f aca="false">SUM(B50:B52)</f>
        <v>4716265.25</v>
      </c>
      <c r="C53" s="10" t="n">
        <f aca="false">SUM(C50:C52)</f>
        <v>326333.61</v>
      </c>
      <c r="D53" s="11" t="n">
        <f aca="false">IF(B53=0,0,C53/B53)</f>
        <v>0.0691932265684166</v>
      </c>
    </row>
    <row r="56" customFormat="false" ht="15" hidden="false" customHeight="false" outlineLevel="0" collapsed="false">
      <c r="A56" s="8" t="s">
        <v>45</v>
      </c>
    </row>
    <row r="57" customFormat="false" ht="15" hidden="false" customHeight="false" outlineLevel="0" collapsed="false">
      <c r="A57" s="3" t="s">
        <v>46</v>
      </c>
      <c r="B57" s="3" t="s">
        <v>13</v>
      </c>
      <c r="C57" s="3" t="s">
        <v>14</v>
      </c>
      <c r="D57" s="3" t="s">
        <v>15</v>
      </c>
      <c r="E57" s="3" t="s">
        <v>47</v>
      </c>
    </row>
    <row r="58" customFormat="false" ht="15" hidden="false" customHeight="false" outlineLevel="0" collapsed="false">
      <c r="A58" s="12" t="n">
        <v>2022</v>
      </c>
      <c r="B58" s="5" t="n">
        <f aca="false">SUMIFS(Clean_Data!$J$2:$J$9001,Clean_Data!$L$2:$L$9001,A58)</f>
        <v>930215.85</v>
      </c>
      <c r="C58" s="5" t="n">
        <f aca="false">SUMIFS(Clean_Data!$K$2:$K$9001,Clean_Data!$L$2:$L$9001,A58)</f>
        <v>60888.71</v>
      </c>
      <c r="D58" s="6" t="n">
        <f aca="false">IF(B58=0,0,C58/B58)</f>
        <v>0.0654565389312599</v>
      </c>
      <c r="E58" s="6" t="s">
        <v>48</v>
      </c>
    </row>
    <row r="59" customFormat="false" ht="15" hidden="false" customHeight="false" outlineLevel="0" collapsed="false">
      <c r="A59" s="12" t="n">
        <v>2023</v>
      </c>
      <c r="B59" s="5" t="n">
        <f aca="false">SUMIFS(Clean_Data!$J$2:$J$9001,Clean_Data!$L$2:$L$9001,A59)</f>
        <v>1139681.31</v>
      </c>
      <c r="C59" s="5" t="n">
        <f aca="false">SUMIFS(Clean_Data!$K$2:$K$9001,Clean_Data!$L$2:$L$9001,A59)</f>
        <v>79502.2</v>
      </c>
      <c r="D59" s="6" t="n">
        <f aca="false">IF(B59=0,0,C59/B59)</f>
        <v>0.0697582730386269</v>
      </c>
      <c r="E59" s="6" t="n">
        <f aca="false">B59/B58-1</f>
        <v>0.22517941400375</v>
      </c>
    </row>
    <row r="60" customFormat="false" ht="15" hidden="false" customHeight="false" outlineLevel="0" collapsed="false">
      <c r="A60" s="12" t="n">
        <v>2024</v>
      </c>
      <c r="B60" s="5" t="n">
        <f aca="false">SUMIFS(Clean_Data!$J$2:$J$9001,Clean_Data!$L$2:$L$9001,A60)</f>
        <v>1270969.18</v>
      </c>
      <c r="C60" s="5" t="n">
        <f aca="false">SUMIFS(Clean_Data!$K$2:$K$9001,Clean_Data!$L$2:$L$9001,A60)</f>
        <v>86319.6</v>
      </c>
      <c r="D60" s="6" t="n">
        <f aca="false">IF(B60=0,0,C60/B60)</f>
        <v>0.0679163597027585</v>
      </c>
      <c r="E60" s="6" t="n">
        <f aca="false">B60/B59-1</f>
        <v>0.115197001870637</v>
      </c>
    </row>
    <row r="61" customFormat="false" ht="15" hidden="false" customHeight="false" outlineLevel="0" collapsed="false">
      <c r="A61" s="12" t="n">
        <v>2025</v>
      </c>
      <c r="B61" s="5" t="n">
        <f aca="false">SUMIFS(Clean_Data!$J$2:$J$9001,Clean_Data!$L$2:$L$9001,A61)</f>
        <v>1375398.91</v>
      </c>
      <c r="C61" s="5" t="n">
        <f aca="false">SUMIFS(Clean_Data!$K$2:$K$9001,Clean_Data!$L$2:$L$9001,A61)</f>
        <v>99623.1</v>
      </c>
      <c r="D61" s="6" t="n">
        <f aca="false">IF(B61=0,0,C61/B61)</f>
        <v>0.0724321498844288</v>
      </c>
      <c r="E61" s="6" t="n">
        <f aca="false">B61/B60-1</f>
        <v>0.0821654306361701</v>
      </c>
    </row>
    <row r="64" customFormat="false" ht="15" hidden="false" customHeight="false" outlineLevel="0" collapsed="false">
      <c r="A64" s="8" t="s">
        <v>49</v>
      </c>
    </row>
    <row r="65" customFormat="false" ht="15" hidden="false" customHeight="false" outlineLevel="0" collapsed="false">
      <c r="A65" s="3" t="s">
        <v>50</v>
      </c>
      <c r="B65" s="3" t="s">
        <v>7</v>
      </c>
      <c r="C65" s="3" t="s">
        <v>13</v>
      </c>
      <c r="D65" s="3" t="s">
        <v>14</v>
      </c>
      <c r="E65" s="3" t="s">
        <v>15</v>
      </c>
    </row>
    <row r="66" customFormat="false" ht="15" hidden="false" customHeight="false" outlineLevel="0" collapsed="false">
      <c r="A66" s="13" t="n">
        <v>0</v>
      </c>
      <c r="B66" s="7" t="n">
        <f aca="false">COUNTIF(Clean_Data!$I$2:$I$9001,A66)</f>
        <v>3788</v>
      </c>
      <c r="C66" s="5" t="n">
        <f aca="false">SUMIFS(Clean_Data!$J$2:$J$9001,Clean_Data!$I$2:$I$9001,A66)</f>
        <v>2239270.89</v>
      </c>
      <c r="D66" s="5" t="n">
        <f aca="false">SUMIFS(Clean_Data!$K$2:$K$9001,Clean_Data!$I$2:$I$9001,A66)</f>
        <v>320108.57</v>
      </c>
      <c r="E66" s="6" t="n">
        <f aca="false">IF(C66=0,0,D66/C66)</f>
        <v>0.142952141891149</v>
      </c>
    </row>
    <row r="67" customFormat="false" ht="15" hidden="false" customHeight="false" outlineLevel="0" collapsed="false">
      <c r="A67" s="13" t="n">
        <v>0.05</v>
      </c>
      <c r="B67" s="7" t="n">
        <f aca="false">COUNTIF(Clean_Data!$I$2:$I$9001,A67)</f>
        <v>881</v>
      </c>
      <c r="C67" s="5" t="n">
        <f aca="false">SUMIFS(Clean_Data!$J$2:$J$9001,Clean_Data!$I$2:$I$9001,A67)</f>
        <v>462895.6</v>
      </c>
      <c r="D67" s="5" t="n">
        <f aca="false">SUMIFS(Clean_Data!$K$2:$K$9001,Clean_Data!$I$2:$I$9001,A67)</f>
        <v>42716.05</v>
      </c>
      <c r="E67" s="6" t="n">
        <f aca="false">IF(C67=0,0,D67/C67)</f>
        <v>0.0922800951229608</v>
      </c>
    </row>
    <row r="68" customFormat="false" ht="15" hidden="false" customHeight="false" outlineLevel="0" collapsed="false">
      <c r="A68" s="13" t="n">
        <v>0.1</v>
      </c>
      <c r="B68" s="7" t="n">
        <f aca="false">COUNTIF(Clean_Data!$I$2:$I$9001,A68)</f>
        <v>1302</v>
      </c>
      <c r="C68" s="5" t="n">
        <f aca="false">SUMIFS(Clean_Data!$J$2:$J$9001,Clean_Data!$I$2:$I$9001,A68)</f>
        <v>700776.75</v>
      </c>
      <c r="D68" s="5" t="n">
        <f aca="false">SUMIFS(Clean_Data!$K$2:$K$9001,Clean_Data!$I$2:$I$9001,A68)</f>
        <v>44200.27</v>
      </c>
      <c r="E68" s="6" t="n">
        <f aca="false">IF(C68=0,0,D68/C68)</f>
        <v>0.0630732540712859</v>
      </c>
    </row>
    <row r="69" customFormat="false" ht="15" hidden="false" customHeight="false" outlineLevel="0" collapsed="false">
      <c r="A69" s="13" t="n">
        <v>0.15</v>
      </c>
      <c r="B69" s="7" t="n">
        <f aca="false">COUNTIF(Clean_Data!$I$2:$I$9001,A69)</f>
        <v>733</v>
      </c>
      <c r="C69" s="5" t="n">
        <f aca="false">SUMIFS(Clean_Data!$J$2:$J$9001,Clean_Data!$I$2:$I$9001,A69)</f>
        <v>365369.86</v>
      </c>
      <c r="D69" s="5" t="n">
        <f aca="false">SUMIFS(Clean_Data!$K$2:$K$9001,Clean_Data!$I$2:$I$9001,A69)</f>
        <v>5334.2</v>
      </c>
      <c r="E69" s="6" t="n">
        <f aca="false">IF(C69=0,0,D69/C69)</f>
        <v>0.0145994527298995</v>
      </c>
    </row>
    <row r="70" customFormat="false" ht="15" hidden="false" customHeight="false" outlineLevel="0" collapsed="false">
      <c r="A70" s="13" t="n">
        <v>0.2</v>
      </c>
      <c r="B70" s="7" t="n">
        <f aca="false">COUNTIF(Clean_Data!$I$2:$I$9001,A70)</f>
        <v>1249</v>
      </c>
      <c r="C70" s="5" t="n">
        <f aca="false">SUMIFS(Clean_Data!$J$2:$J$9001,Clean_Data!$I$2:$I$9001,A70)</f>
        <v>570439.61</v>
      </c>
      <c r="D70" s="5" t="n">
        <f aca="false">SUMIFS(Clean_Data!$K$2:$K$9001,Clean_Data!$I$2:$I$9001,A70)</f>
        <v>-18011.32</v>
      </c>
      <c r="E70" s="6" t="n">
        <f aca="false">IF(C70=0,0,D70/C70)</f>
        <v>-0.031574455357334</v>
      </c>
    </row>
    <row r="71" customFormat="false" ht="15" hidden="false" customHeight="false" outlineLevel="0" collapsed="false">
      <c r="A71" s="13" t="n">
        <v>0.3</v>
      </c>
      <c r="B71" s="7" t="n">
        <f aca="false">COUNTIF(Clean_Data!$I$2:$I$9001,A71)</f>
        <v>532</v>
      </c>
      <c r="C71" s="5" t="n">
        <f aca="false">SUMIFS(Clean_Data!$J$2:$J$9001,Clean_Data!$I$2:$I$9001,A71)</f>
        <v>213866.76</v>
      </c>
      <c r="D71" s="5" t="n">
        <f aca="false">SUMIFS(Clean_Data!$K$2:$K$9001,Clean_Data!$I$2:$I$9001,A71)</f>
        <v>-27998.56</v>
      </c>
      <c r="E71" s="6" t="n">
        <f aca="false">IF(C71=0,0,D71/C71)</f>
        <v>-0.130915902966875</v>
      </c>
    </row>
    <row r="72" customFormat="false" ht="15" hidden="false" customHeight="false" outlineLevel="0" collapsed="false">
      <c r="A72" s="13" t="n">
        <v>0.4</v>
      </c>
      <c r="B72" s="7" t="n">
        <f aca="false">COUNTIF(Clean_Data!$I$2:$I$9001,A72)</f>
        <v>348</v>
      </c>
      <c r="C72" s="5" t="n">
        <f aca="false">SUMIFS(Clean_Data!$J$2:$J$9001,Clean_Data!$I$2:$I$9001,A72)</f>
        <v>114184.31</v>
      </c>
      <c r="D72" s="5" t="n">
        <f aca="false">SUMIFS(Clean_Data!$K$2:$K$9001,Clean_Data!$I$2:$I$9001,A72)</f>
        <v>-24842.8</v>
      </c>
      <c r="E72" s="6" t="n">
        <f aca="false">IF(C72=0,0,D72/C72)</f>
        <v>-0.217567544963051</v>
      </c>
    </row>
    <row r="73" customFormat="false" ht="15" hidden="false" customHeight="false" outlineLevel="0" collapsed="false">
      <c r="A73" s="13" t="n">
        <v>0.5</v>
      </c>
      <c r="B73" s="7" t="n">
        <f aca="false">COUNTIF(Clean_Data!$I$2:$I$9001,A73)</f>
        <v>167</v>
      </c>
      <c r="C73" s="5" t="n">
        <f aca="false">SUMIFS(Clean_Data!$J$2:$J$9001,Clean_Data!$I$2:$I$9001,A73)</f>
        <v>49461.47</v>
      </c>
      <c r="D73" s="5" t="n">
        <f aca="false">SUMIFS(Clean_Data!$K$2:$K$9001,Clean_Data!$I$2:$I$9001,A73)</f>
        <v>-15172.8</v>
      </c>
      <c r="E73" s="6" t="n">
        <f aca="false">IF(C73=0,0,D73/C73)</f>
        <v>-0.306759989139021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9" min="8" style="0" width="9"/>
    <col collapsed="false" customWidth="true" hidden="false" outlineLevel="0" max="11" min="10" style="0" width="12"/>
    <col collapsed="false" customWidth="true" hidden="false" outlineLevel="0" max="12" min="12" style="0" width="7"/>
    <col collapsed="false" customWidth="true" hidden="false" outlineLevel="0" max="13" min="13" style="0" width="12"/>
  </cols>
  <sheetData>
    <row r="1" customFormat="false" ht="15" hidden="false" customHeight="false" outlineLevel="0" collapsed="false">
      <c r="A1" s="14" t="s">
        <v>51</v>
      </c>
      <c r="B1" s="14" t="s">
        <v>52</v>
      </c>
      <c r="C1" s="14" t="s">
        <v>53</v>
      </c>
      <c r="D1" s="14" t="s">
        <v>41</v>
      </c>
      <c r="E1" s="14" t="s">
        <v>35</v>
      </c>
      <c r="F1" s="14" t="s">
        <v>12</v>
      </c>
      <c r="G1" s="14" t="s">
        <v>21</v>
      </c>
      <c r="H1" s="14" t="s">
        <v>54</v>
      </c>
      <c r="I1" s="14" t="s">
        <v>50</v>
      </c>
      <c r="J1" s="14" t="s">
        <v>13</v>
      </c>
      <c r="K1" s="14" t="s">
        <v>14</v>
      </c>
      <c r="L1" s="14" t="s">
        <v>46</v>
      </c>
      <c r="M1" s="14" t="s">
        <v>6</v>
      </c>
    </row>
    <row r="2" customFormat="false" ht="15" hidden="false" customHeight="false" outlineLevel="0" collapsed="false">
      <c r="A2" s="15" t="s">
        <v>55</v>
      </c>
      <c r="B2" s="16" t="n">
        <v>44844</v>
      </c>
      <c r="C2" s="15" t="s">
        <v>56</v>
      </c>
      <c r="D2" s="15" t="s">
        <v>43</v>
      </c>
      <c r="E2" s="15" t="s">
        <v>37</v>
      </c>
      <c r="F2" s="15" t="s">
        <v>16</v>
      </c>
      <c r="G2" s="15" t="s">
        <v>25</v>
      </c>
      <c r="H2" s="15" t="n">
        <v>4</v>
      </c>
      <c r="I2" s="17" t="n">
        <v>0</v>
      </c>
      <c r="J2" s="18" t="n">
        <v>1387</v>
      </c>
      <c r="K2" s="19" t="n">
        <v>191.18</v>
      </c>
      <c r="L2" s="15" t="n">
        <f aca="false">YEAR(B2)</f>
        <v>2022</v>
      </c>
      <c r="M2" s="20" t="n">
        <f aca="false">IF(J2&gt;0,K2/J2,0)</f>
        <v>0.137837058399423</v>
      </c>
    </row>
    <row r="3" customFormat="false" ht="15" hidden="false" customHeight="false" outlineLevel="0" collapsed="false">
      <c r="A3" s="15" t="s">
        <v>57</v>
      </c>
      <c r="B3" s="16" t="n">
        <v>44587</v>
      </c>
      <c r="C3" s="15" t="s">
        <v>58</v>
      </c>
      <c r="D3" s="15" t="s">
        <v>42</v>
      </c>
      <c r="E3" s="15" t="s">
        <v>37</v>
      </c>
      <c r="F3" s="15" t="s">
        <v>18</v>
      </c>
      <c r="G3" s="15" t="s">
        <v>24</v>
      </c>
      <c r="H3" s="15" t="n">
        <v>6</v>
      </c>
      <c r="I3" s="17" t="n">
        <v>0.15</v>
      </c>
      <c r="J3" s="18" t="n">
        <v>3542.41</v>
      </c>
      <c r="K3" s="19" t="n">
        <v>-130.16</v>
      </c>
      <c r="L3" s="15" t="n">
        <f aca="false">YEAR(B3)</f>
        <v>2022</v>
      </c>
      <c r="M3" s="20" t="n">
        <f aca="false">IF(J3&gt;0,K3/J3,0)</f>
        <v>-0.036743347043397</v>
      </c>
    </row>
    <row r="4" customFormat="false" ht="15" hidden="false" customHeight="false" outlineLevel="0" collapsed="false">
      <c r="A4" s="15" t="s">
        <v>59</v>
      </c>
      <c r="B4" s="16" t="n">
        <v>45206</v>
      </c>
      <c r="C4" s="15" t="s">
        <v>56</v>
      </c>
      <c r="D4" s="15" t="s">
        <v>42</v>
      </c>
      <c r="E4" s="15" t="s">
        <v>37</v>
      </c>
      <c r="F4" s="15" t="s">
        <v>17</v>
      </c>
      <c r="G4" s="15" t="s">
        <v>28</v>
      </c>
      <c r="H4" s="15" t="n">
        <v>2</v>
      </c>
      <c r="I4" s="17" t="n">
        <v>0.15</v>
      </c>
      <c r="J4" s="18" t="n">
        <v>44.03</v>
      </c>
      <c r="K4" s="19" t="n">
        <v>6.91</v>
      </c>
      <c r="L4" s="15" t="n">
        <f aca="false">YEAR(B4)</f>
        <v>2023</v>
      </c>
      <c r="M4" s="20" t="n">
        <f aca="false">IF(J4&gt;0,K4/J4,0)</f>
        <v>0.156938451056098</v>
      </c>
    </row>
    <row r="5" customFormat="false" ht="15" hidden="false" customHeight="false" outlineLevel="0" collapsed="false">
      <c r="A5" s="15" t="s">
        <v>60</v>
      </c>
      <c r="B5" s="16" t="n">
        <v>45617</v>
      </c>
      <c r="C5" s="15" t="s">
        <v>56</v>
      </c>
      <c r="D5" s="15" t="s">
        <v>42</v>
      </c>
      <c r="E5" s="15" t="s">
        <v>39</v>
      </c>
      <c r="F5" s="15" t="s">
        <v>17</v>
      </c>
      <c r="G5" s="15" t="s">
        <v>26</v>
      </c>
      <c r="H5" s="15" t="n">
        <v>5</v>
      </c>
      <c r="I5" s="17" t="n">
        <v>0.2</v>
      </c>
      <c r="J5" s="18" t="n">
        <v>409.22</v>
      </c>
      <c r="K5" s="19" t="n">
        <v>-12.17</v>
      </c>
      <c r="L5" s="15" t="n">
        <f aca="false">YEAR(B5)</f>
        <v>2024</v>
      </c>
      <c r="M5" s="20" t="n">
        <f aca="false">IF(J5&gt;0,K5/J5,0)</f>
        <v>-0.0297395044230487</v>
      </c>
    </row>
    <row r="6" customFormat="false" ht="15" hidden="false" customHeight="false" outlineLevel="0" collapsed="false">
      <c r="A6" s="15" t="s">
        <v>61</v>
      </c>
      <c r="B6" s="16" t="n">
        <v>45578</v>
      </c>
      <c r="C6" s="15" t="s">
        <v>56</v>
      </c>
      <c r="D6" s="15" t="s">
        <v>43</v>
      </c>
      <c r="E6" s="15" t="s">
        <v>36</v>
      </c>
      <c r="F6" s="15" t="s">
        <v>17</v>
      </c>
      <c r="G6" s="15" t="s">
        <v>29</v>
      </c>
      <c r="H6" s="15" t="n">
        <v>8</v>
      </c>
      <c r="I6" s="17" t="n">
        <v>0.05</v>
      </c>
      <c r="J6" s="18" t="n">
        <v>139.53</v>
      </c>
      <c r="K6" s="19" t="n">
        <v>48.9</v>
      </c>
      <c r="L6" s="15" t="n">
        <f aca="false">YEAR(B6)</f>
        <v>2024</v>
      </c>
      <c r="M6" s="20" t="n">
        <f aca="false">IF(J6&gt;0,K6/J6,0)</f>
        <v>0.350462266179316</v>
      </c>
    </row>
    <row r="7" customFormat="false" ht="15" hidden="false" customHeight="false" outlineLevel="0" collapsed="false">
      <c r="A7" s="15" t="s">
        <v>62</v>
      </c>
      <c r="B7" s="16" t="n">
        <v>45420</v>
      </c>
      <c r="C7" s="15" t="s">
        <v>56</v>
      </c>
      <c r="D7" s="15" t="s">
        <v>44</v>
      </c>
      <c r="E7" s="15" t="s">
        <v>37</v>
      </c>
      <c r="F7" s="15" t="s">
        <v>17</v>
      </c>
      <c r="G7" s="15" t="s">
        <v>28</v>
      </c>
      <c r="H7" s="15" t="n">
        <v>4</v>
      </c>
      <c r="I7" s="17" t="n">
        <v>0</v>
      </c>
      <c r="J7" s="18" t="n">
        <v>94.35</v>
      </c>
      <c r="K7" s="19" t="n">
        <v>29.81</v>
      </c>
      <c r="L7" s="15" t="n">
        <f aca="false">YEAR(B7)</f>
        <v>2024</v>
      </c>
      <c r="M7" s="20" t="n">
        <f aca="false">IF(J7&gt;0,K7/J7,0)</f>
        <v>0.31595124536301</v>
      </c>
    </row>
    <row r="8" customFormat="false" ht="15" hidden="false" customHeight="false" outlineLevel="0" collapsed="false">
      <c r="A8" s="15" t="s">
        <v>63</v>
      </c>
      <c r="B8" s="16" t="n">
        <v>45096</v>
      </c>
      <c r="C8" s="15" t="s">
        <v>56</v>
      </c>
      <c r="D8" s="15" t="s">
        <v>42</v>
      </c>
      <c r="E8" s="15" t="s">
        <v>36</v>
      </c>
      <c r="F8" s="15" t="s">
        <v>17</v>
      </c>
      <c r="G8" s="15" t="s">
        <v>31</v>
      </c>
      <c r="H8" s="15" t="n">
        <v>3</v>
      </c>
      <c r="I8" s="17" t="n">
        <v>0</v>
      </c>
      <c r="J8" s="18" t="n">
        <v>344.11</v>
      </c>
      <c r="K8" s="19" t="n">
        <v>60.21</v>
      </c>
      <c r="L8" s="15" t="n">
        <f aca="false">YEAR(B8)</f>
        <v>2023</v>
      </c>
      <c r="M8" s="20" t="n">
        <f aca="false">IF(J8&gt;0,K8/J8,0)</f>
        <v>0.174973119060765</v>
      </c>
    </row>
    <row r="9" customFormat="false" ht="15" hidden="false" customHeight="false" outlineLevel="0" collapsed="false">
      <c r="A9" s="15" t="s">
        <v>64</v>
      </c>
      <c r="B9" s="16" t="n">
        <v>44763</v>
      </c>
      <c r="C9" s="15" t="s">
        <v>58</v>
      </c>
      <c r="D9" s="15" t="s">
        <v>42</v>
      </c>
      <c r="E9" s="15" t="s">
        <v>36</v>
      </c>
      <c r="F9" s="15" t="s">
        <v>16</v>
      </c>
      <c r="G9" s="15" t="s">
        <v>27</v>
      </c>
      <c r="H9" s="15" t="n">
        <v>5</v>
      </c>
      <c r="I9" s="17" t="n">
        <v>0.2</v>
      </c>
      <c r="J9" s="18" t="n">
        <v>206.17</v>
      </c>
      <c r="K9" s="19" t="n">
        <v>-16.2</v>
      </c>
      <c r="L9" s="15" t="n">
        <f aca="false">YEAR(B9)</f>
        <v>2022</v>
      </c>
      <c r="M9" s="20" t="n">
        <f aca="false">IF(J9&gt;0,K9/J9,0)</f>
        <v>-0.0785759324829025</v>
      </c>
    </row>
    <row r="10" customFormat="false" ht="15" hidden="false" customHeight="false" outlineLevel="0" collapsed="false">
      <c r="A10" s="15" t="s">
        <v>65</v>
      </c>
      <c r="B10" s="16" t="n">
        <v>45781</v>
      </c>
      <c r="C10" s="15" t="s">
        <v>56</v>
      </c>
      <c r="D10" s="15" t="s">
        <v>42</v>
      </c>
      <c r="E10" s="15" t="s">
        <v>39</v>
      </c>
      <c r="F10" s="15" t="s">
        <v>17</v>
      </c>
      <c r="G10" s="15" t="s">
        <v>29</v>
      </c>
      <c r="H10" s="15" t="n">
        <v>1</v>
      </c>
      <c r="I10" s="17" t="n">
        <v>0.1</v>
      </c>
      <c r="J10" s="18" t="n">
        <v>14.08</v>
      </c>
      <c r="K10" s="19" t="n">
        <v>5.48</v>
      </c>
      <c r="L10" s="15" t="n">
        <f aca="false">YEAR(B10)</f>
        <v>2025</v>
      </c>
      <c r="M10" s="20" t="n">
        <f aca="false">IF(J10&gt;0,K10/J10,0)</f>
        <v>0.389204545454545</v>
      </c>
    </row>
    <row r="11" customFormat="false" ht="15" hidden="false" customHeight="false" outlineLevel="0" collapsed="false">
      <c r="A11" s="15" t="s">
        <v>66</v>
      </c>
      <c r="B11" s="16" t="n">
        <v>44944</v>
      </c>
      <c r="C11" s="15" t="s">
        <v>56</v>
      </c>
      <c r="D11" s="15" t="s">
        <v>43</v>
      </c>
      <c r="E11" s="15" t="s">
        <v>38</v>
      </c>
      <c r="F11" s="15" t="s">
        <v>18</v>
      </c>
      <c r="G11" s="15" t="s">
        <v>32</v>
      </c>
      <c r="H11" s="15" t="n">
        <v>3</v>
      </c>
      <c r="I11" s="17" t="n">
        <v>0</v>
      </c>
      <c r="J11" s="18" t="n">
        <v>1247.38</v>
      </c>
      <c r="K11" s="19" t="n">
        <v>203.68</v>
      </c>
      <c r="L11" s="15" t="n">
        <f aca="false">YEAR(B11)</f>
        <v>2023</v>
      </c>
      <c r="M11" s="20" t="n">
        <f aca="false">IF(J11&gt;0,K11/J11,0)</f>
        <v>0.163286247975757</v>
      </c>
    </row>
    <row r="12" customFormat="false" ht="15" hidden="false" customHeight="false" outlineLevel="0" collapsed="false">
      <c r="A12" s="15" t="s">
        <v>67</v>
      </c>
      <c r="B12" s="16" t="n">
        <v>45241</v>
      </c>
      <c r="C12" s="15" t="s">
        <v>68</v>
      </c>
      <c r="D12" s="15" t="s">
        <v>43</v>
      </c>
      <c r="E12" s="15" t="s">
        <v>39</v>
      </c>
      <c r="F12" s="15" t="s">
        <v>18</v>
      </c>
      <c r="G12" s="15" t="s">
        <v>30</v>
      </c>
      <c r="H12" s="15" t="n">
        <v>4</v>
      </c>
      <c r="I12" s="17" t="n">
        <v>0.15</v>
      </c>
      <c r="J12" s="18" t="n">
        <v>156.53</v>
      </c>
      <c r="K12" s="19" t="n">
        <v>27.03</v>
      </c>
      <c r="L12" s="15" t="n">
        <f aca="false">YEAR(B12)</f>
        <v>2023</v>
      </c>
      <c r="M12" s="20" t="n">
        <f aca="false">IF(J12&gt;0,K12/J12,0)</f>
        <v>0.172682552865265</v>
      </c>
    </row>
    <row r="13" customFormat="false" ht="15" hidden="false" customHeight="false" outlineLevel="0" collapsed="false">
      <c r="A13" s="15" t="s">
        <v>69</v>
      </c>
      <c r="B13" s="16" t="n">
        <v>45372</v>
      </c>
      <c r="C13" s="15" t="s">
        <v>56</v>
      </c>
      <c r="D13" s="15" t="s">
        <v>43</v>
      </c>
      <c r="E13" s="15" t="s">
        <v>38</v>
      </c>
      <c r="F13" s="15" t="s">
        <v>17</v>
      </c>
      <c r="G13" s="15" t="s">
        <v>26</v>
      </c>
      <c r="H13" s="15" t="n">
        <v>4</v>
      </c>
      <c r="I13" s="17" t="n">
        <v>0.4</v>
      </c>
      <c r="J13" s="18" t="n">
        <v>203.16</v>
      </c>
      <c r="K13" s="19" t="n">
        <v>-44.77</v>
      </c>
      <c r="L13" s="15" t="n">
        <f aca="false">YEAR(B13)</f>
        <v>2024</v>
      </c>
      <c r="M13" s="20" t="n">
        <f aca="false">IF(J13&gt;0,K13/J13,0)</f>
        <v>-0.220368182713133</v>
      </c>
    </row>
    <row r="14" customFormat="false" ht="15" hidden="false" customHeight="false" outlineLevel="0" collapsed="false">
      <c r="A14" s="15" t="s">
        <v>70</v>
      </c>
      <c r="B14" s="16" t="n">
        <v>45837</v>
      </c>
      <c r="C14" s="15" t="s">
        <v>71</v>
      </c>
      <c r="D14" s="15" t="s">
        <v>42</v>
      </c>
      <c r="E14" s="15" t="s">
        <v>39</v>
      </c>
      <c r="F14" s="15" t="s">
        <v>17</v>
      </c>
      <c r="G14" s="15" t="s">
        <v>26</v>
      </c>
      <c r="H14" s="15" t="n">
        <v>6</v>
      </c>
      <c r="I14" s="17" t="n">
        <v>0</v>
      </c>
      <c r="J14" s="18" t="n">
        <v>515.39</v>
      </c>
      <c r="K14" s="19" t="n">
        <v>95.98</v>
      </c>
      <c r="L14" s="15" t="n">
        <f aca="false">YEAR(B14)</f>
        <v>2025</v>
      </c>
      <c r="M14" s="20" t="n">
        <f aca="false">IF(J14&gt;0,K14/J14,0)</f>
        <v>0.186227905081589</v>
      </c>
    </row>
    <row r="15" customFormat="false" ht="15" hidden="false" customHeight="false" outlineLevel="0" collapsed="false">
      <c r="A15" s="15" t="s">
        <v>72</v>
      </c>
      <c r="B15" s="16" t="n">
        <v>45563</v>
      </c>
      <c r="C15" s="15" t="s">
        <v>56</v>
      </c>
      <c r="D15" s="15" t="s">
        <v>44</v>
      </c>
      <c r="E15" s="15" t="s">
        <v>36</v>
      </c>
      <c r="F15" s="15" t="s">
        <v>18</v>
      </c>
      <c r="G15" s="15" t="s">
        <v>30</v>
      </c>
      <c r="H15" s="15" t="n">
        <v>3</v>
      </c>
      <c r="I15" s="17" t="n">
        <v>0.05</v>
      </c>
      <c r="J15" s="18" t="n">
        <v>135.44</v>
      </c>
      <c r="K15" s="19" t="n">
        <v>35.38</v>
      </c>
      <c r="L15" s="15" t="n">
        <f aca="false">YEAR(B15)</f>
        <v>2024</v>
      </c>
      <c r="M15" s="20" t="n">
        <f aca="false">IF(J15&gt;0,K15/J15,0)</f>
        <v>0.261222681630242</v>
      </c>
    </row>
    <row r="16" customFormat="false" ht="15" hidden="false" customHeight="false" outlineLevel="0" collapsed="false">
      <c r="A16" s="15" t="s">
        <v>73</v>
      </c>
      <c r="B16" s="16" t="n">
        <v>45055</v>
      </c>
      <c r="C16" s="15" t="s">
        <v>68</v>
      </c>
      <c r="D16" s="15" t="s">
        <v>42</v>
      </c>
      <c r="E16" s="15" t="s">
        <v>37</v>
      </c>
      <c r="F16" s="15" t="s">
        <v>17</v>
      </c>
      <c r="G16" s="15" t="s">
        <v>28</v>
      </c>
      <c r="H16" s="15" t="n">
        <v>7</v>
      </c>
      <c r="I16" s="17" t="n">
        <v>0.1</v>
      </c>
      <c r="J16" s="18" t="n">
        <v>139.69</v>
      </c>
      <c r="K16" s="19" t="n">
        <v>27.06</v>
      </c>
      <c r="L16" s="15" t="n">
        <f aca="false">YEAR(B16)</f>
        <v>2023</v>
      </c>
      <c r="M16" s="20" t="n">
        <f aca="false">IF(J16&gt;0,K16/J16,0)</f>
        <v>0.193714653876441</v>
      </c>
    </row>
    <row r="17" customFormat="false" ht="15" hidden="false" customHeight="false" outlineLevel="0" collapsed="false">
      <c r="A17" s="15" t="s">
        <v>74</v>
      </c>
      <c r="B17" s="16" t="n">
        <v>45968</v>
      </c>
      <c r="C17" s="15" t="s">
        <v>56</v>
      </c>
      <c r="D17" s="15" t="s">
        <v>42</v>
      </c>
      <c r="E17" s="15" t="s">
        <v>37</v>
      </c>
      <c r="F17" s="15" t="s">
        <v>17</v>
      </c>
      <c r="G17" s="15" t="s">
        <v>28</v>
      </c>
      <c r="H17" s="15" t="n">
        <v>6</v>
      </c>
      <c r="I17" s="17" t="n">
        <v>0.15</v>
      </c>
      <c r="J17" s="18" t="n">
        <v>126.13</v>
      </c>
      <c r="K17" s="19" t="n">
        <v>22.94</v>
      </c>
      <c r="L17" s="15" t="n">
        <f aca="false">YEAR(B17)</f>
        <v>2025</v>
      </c>
      <c r="M17" s="20" t="n">
        <f aca="false">IF(J17&gt;0,K17/J17,0)</f>
        <v>0.181875842384841</v>
      </c>
    </row>
    <row r="18" customFormat="false" ht="15" hidden="false" customHeight="false" outlineLevel="0" collapsed="false">
      <c r="A18" s="15" t="s">
        <v>75</v>
      </c>
      <c r="B18" s="16" t="n">
        <v>45546</v>
      </c>
      <c r="C18" s="15" t="s">
        <v>56</v>
      </c>
      <c r="D18" s="15" t="s">
        <v>43</v>
      </c>
      <c r="E18" s="15" t="s">
        <v>38</v>
      </c>
      <c r="F18" s="15" t="s">
        <v>17</v>
      </c>
      <c r="G18" s="15" t="s">
        <v>29</v>
      </c>
      <c r="H18" s="15" t="n">
        <v>5</v>
      </c>
      <c r="I18" s="17" t="n">
        <v>0</v>
      </c>
      <c r="J18" s="18" t="n">
        <v>94.43</v>
      </c>
      <c r="K18" s="19" t="n">
        <v>33.7</v>
      </c>
      <c r="L18" s="15" t="n">
        <f aca="false">YEAR(B18)</f>
        <v>2024</v>
      </c>
      <c r="M18" s="20" t="n">
        <f aca="false">IF(J18&gt;0,K18/J18,0)</f>
        <v>0.356878110769882</v>
      </c>
    </row>
    <row r="19" customFormat="false" ht="15" hidden="false" customHeight="false" outlineLevel="0" collapsed="false">
      <c r="A19" s="15" t="s">
        <v>76</v>
      </c>
      <c r="B19" s="16" t="n">
        <v>44741</v>
      </c>
      <c r="C19" s="15" t="s">
        <v>56</v>
      </c>
      <c r="D19" s="15" t="s">
        <v>42</v>
      </c>
      <c r="E19" s="15" t="s">
        <v>38</v>
      </c>
      <c r="F19" s="15" t="s">
        <v>18</v>
      </c>
      <c r="G19" s="15" t="s">
        <v>30</v>
      </c>
      <c r="H19" s="15" t="n">
        <v>3</v>
      </c>
      <c r="I19" s="17" t="n">
        <v>0</v>
      </c>
      <c r="J19" s="18" t="n">
        <v>110.04</v>
      </c>
      <c r="K19" s="19" t="n">
        <v>29.2</v>
      </c>
      <c r="L19" s="15" t="n">
        <f aca="false">YEAR(B19)</f>
        <v>2022</v>
      </c>
      <c r="M19" s="20" t="n">
        <f aca="false">IF(J19&gt;0,K19/J19,0)</f>
        <v>0.265358051617594</v>
      </c>
    </row>
    <row r="20" customFormat="false" ht="15" hidden="false" customHeight="false" outlineLevel="0" collapsed="false">
      <c r="A20" s="15" t="s">
        <v>77</v>
      </c>
      <c r="B20" s="16" t="n">
        <v>45368</v>
      </c>
      <c r="C20" s="15" t="s">
        <v>71</v>
      </c>
      <c r="D20" s="15" t="s">
        <v>42</v>
      </c>
      <c r="E20" s="15" t="s">
        <v>37</v>
      </c>
      <c r="F20" s="15" t="s">
        <v>17</v>
      </c>
      <c r="G20" s="15" t="s">
        <v>29</v>
      </c>
      <c r="H20" s="15" t="n">
        <v>5</v>
      </c>
      <c r="I20" s="17" t="n">
        <v>0.1</v>
      </c>
      <c r="J20" s="18" t="n">
        <v>88.75</v>
      </c>
      <c r="K20" s="19" t="n">
        <v>25.78</v>
      </c>
      <c r="L20" s="15" t="n">
        <f aca="false">YEAR(B20)</f>
        <v>2024</v>
      </c>
      <c r="M20" s="20" t="n">
        <f aca="false">IF(J20&gt;0,K20/J20,0)</f>
        <v>0.290478873239437</v>
      </c>
    </row>
    <row r="21" customFormat="false" ht="15" hidden="false" customHeight="false" outlineLevel="0" collapsed="false">
      <c r="A21" s="15" t="s">
        <v>78</v>
      </c>
      <c r="B21" s="16" t="n">
        <v>44902</v>
      </c>
      <c r="C21" s="15" t="s">
        <v>56</v>
      </c>
      <c r="D21" s="15" t="s">
        <v>43</v>
      </c>
      <c r="E21" s="15" t="s">
        <v>39</v>
      </c>
      <c r="F21" s="15" t="s">
        <v>17</v>
      </c>
      <c r="G21" s="15" t="s">
        <v>28</v>
      </c>
      <c r="H21" s="15" t="n">
        <v>3</v>
      </c>
      <c r="I21" s="17" t="n">
        <v>0</v>
      </c>
      <c r="J21" s="18" t="n">
        <v>89.59</v>
      </c>
      <c r="K21" s="19" t="n">
        <v>24.65</v>
      </c>
      <c r="L21" s="15" t="n">
        <f aca="false">YEAR(B21)</f>
        <v>2022</v>
      </c>
      <c r="M21" s="20" t="n">
        <f aca="false">IF(J21&gt;0,K21/J21,0)</f>
        <v>0.275142314990512</v>
      </c>
    </row>
    <row r="22" customFormat="false" ht="15" hidden="false" customHeight="false" outlineLevel="0" collapsed="false">
      <c r="A22" s="15" t="s">
        <v>79</v>
      </c>
      <c r="B22" s="16" t="n">
        <v>45813</v>
      </c>
      <c r="C22" s="15" t="s">
        <v>71</v>
      </c>
      <c r="D22" s="15" t="s">
        <v>44</v>
      </c>
      <c r="E22" s="15" t="s">
        <v>37</v>
      </c>
      <c r="F22" s="15" t="s">
        <v>17</v>
      </c>
      <c r="G22" s="15" t="s">
        <v>29</v>
      </c>
      <c r="H22" s="15" t="n">
        <v>3</v>
      </c>
      <c r="I22" s="17" t="n">
        <v>0</v>
      </c>
      <c r="J22" s="18" t="n">
        <v>46.09</v>
      </c>
      <c r="K22" s="19" t="n">
        <v>15.31</v>
      </c>
      <c r="L22" s="15" t="n">
        <f aca="false">YEAR(B22)</f>
        <v>2025</v>
      </c>
      <c r="M22" s="20" t="n">
        <f aca="false">IF(J22&gt;0,K22/J22,0)</f>
        <v>0.332176177044912</v>
      </c>
    </row>
    <row r="23" customFormat="false" ht="15" hidden="false" customHeight="false" outlineLevel="0" collapsed="false">
      <c r="A23" s="15" t="s">
        <v>80</v>
      </c>
      <c r="B23" s="16" t="n">
        <v>45908</v>
      </c>
      <c r="C23" s="15" t="s">
        <v>56</v>
      </c>
      <c r="D23" s="15" t="s">
        <v>43</v>
      </c>
      <c r="E23" s="15" t="s">
        <v>37</v>
      </c>
      <c r="F23" s="15" t="s">
        <v>16</v>
      </c>
      <c r="G23" s="15" t="s">
        <v>27</v>
      </c>
      <c r="H23" s="15" t="n">
        <v>4</v>
      </c>
      <c r="I23" s="17" t="n">
        <v>0</v>
      </c>
      <c r="J23" s="18" t="n">
        <v>259.79</v>
      </c>
      <c r="K23" s="19" t="n">
        <v>64.63</v>
      </c>
      <c r="L23" s="15" t="n">
        <f aca="false">YEAR(B23)</f>
        <v>2025</v>
      </c>
      <c r="M23" s="20" t="n">
        <f aca="false">IF(J23&gt;0,K23/J23,0)</f>
        <v>0.248777859039994</v>
      </c>
    </row>
    <row r="24" customFormat="false" ht="15" hidden="false" customHeight="false" outlineLevel="0" collapsed="false">
      <c r="A24" s="15" t="s">
        <v>81</v>
      </c>
      <c r="B24" s="16" t="n">
        <v>44893</v>
      </c>
      <c r="C24" s="15" t="s">
        <v>71</v>
      </c>
      <c r="D24" s="15" t="s">
        <v>42</v>
      </c>
      <c r="E24" s="15" t="s">
        <v>39</v>
      </c>
      <c r="F24" s="15" t="s">
        <v>17</v>
      </c>
      <c r="G24" s="15" t="s">
        <v>28</v>
      </c>
      <c r="H24" s="15" t="n">
        <v>3</v>
      </c>
      <c r="I24" s="17" t="n">
        <v>0</v>
      </c>
      <c r="J24" s="18" t="n">
        <v>80.97</v>
      </c>
      <c r="K24" s="19" t="n">
        <v>18.02</v>
      </c>
      <c r="L24" s="15" t="n">
        <f aca="false">YEAR(B24)</f>
        <v>2022</v>
      </c>
      <c r="M24" s="20" t="n">
        <f aca="false">IF(J24&gt;0,K24/J24,0)</f>
        <v>0.222551562307027</v>
      </c>
    </row>
    <row r="25" customFormat="false" ht="15" hidden="false" customHeight="false" outlineLevel="0" collapsed="false">
      <c r="A25" s="15" t="s">
        <v>82</v>
      </c>
      <c r="B25" s="16" t="n">
        <v>45423</v>
      </c>
      <c r="C25" s="15" t="s">
        <v>56</v>
      </c>
      <c r="D25" s="15" t="s">
        <v>42</v>
      </c>
      <c r="E25" s="15" t="s">
        <v>37</v>
      </c>
      <c r="F25" s="15" t="s">
        <v>17</v>
      </c>
      <c r="G25" s="15" t="s">
        <v>28</v>
      </c>
      <c r="H25" s="15" t="n">
        <v>4</v>
      </c>
      <c r="I25" s="17" t="n">
        <v>0.1</v>
      </c>
      <c r="J25" s="18" t="n">
        <v>105.59</v>
      </c>
      <c r="K25" s="19" t="n">
        <v>18.86</v>
      </c>
      <c r="L25" s="15" t="n">
        <f aca="false">YEAR(B25)</f>
        <v>2024</v>
      </c>
      <c r="M25" s="20" t="n">
        <f aca="false">IF(J25&gt;0,K25/J25,0)</f>
        <v>0.178615399185529</v>
      </c>
    </row>
    <row r="26" customFormat="false" ht="15" hidden="false" customHeight="false" outlineLevel="0" collapsed="false">
      <c r="A26" s="15" t="s">
        <v>83</v>
      </c>
      <c r="B26" s="16" t="n">
        <v>45430</v>
      </c>
      <c r="C26" s="15" t="s">
        <v>71</v>
      </c>
      <c r="D26" s="15" t="s">
        <v>42</v>
      </c>
      <c r="E26" s="15" t="s">
        <v>37</v>
      </c>
      <c r="F26" s="15" t="s">
        <v>16</v>
      </c>
      <c r="G26" s="15" t="s">
        <v>25</v>
      </c>
      <c r="H26" s="15" t="n">
        <v>5</v>
      </c>
      <c r="I26" s="17" t="n">
        <v>0.15</v>
      </c>
      <c r="J26" s="18" t="n">
        <v>1303.66</v>
      </c>
      <c r="K26" s="19" t="n">
        <v>-74.38</v>
      </c>
      <c r="L26" s="15" t="n">
        <f aca="false">YEAR(B26)</f>
        <v>2024</v>
      </c>
      <c r="M26" s="20" t="n">
        <f aca="false">IF(J26&gt;0,K26/J26,0)</f>
        <v>-0.0570547535400334</v>
      </c>
    </row>
    <row r="27" customFormat="false" ht="15" hidden="false" customHeight="false" outlineLevel="0" collapsed="false">
      <c r="A27" s="15" t="s">
        <v>84</v>
      </c>
      <c r="B27" s="16" t="n">
        <v>45086</v>
      </c>
      <c r="C27" s="15" t="s">
        <v>56</v>
      </c>
      <c r="D27" s="15" t="s">
        <v>42</v>
      </c>
      <c r="E27" s="15" t="s">
        <v>36</v>
      </c>
      <c r="F27" s="15" t="s">
        <v>16</v>
      </c>
      <c r="G27" s="15" t="s">
        <v>22</v>
      </c>
      <c r="H27" s="15" t="n">
        <v>3</v>
      </c>
      <c r="I27" s="17" t="n">
        <v>0</v>
      </c>
      <c r="J27" s="18" t="n">
        <v>1358.49</v>
      </c>
      <c r="K27" s="19" t="n">
        <v>-65.69</v>
      </c>
      <c r="L27" s="15" t="n">
        <f aca="false">YEAR(B27)</f>
        <v>2023</v>
      </c>
      <c r="M27" s="20" t="n">
        <f aca="false">IF(J27&gt;0,K27/J27,0)</f>
        <v>-0.0483551590368718</v>
      </c>
    </row>
    <row r="28" customFormat="false" ht="15" hidden="false" customHeight="false" outlineLevel="0" collapsed="false">
      <c r="A28" s="15" t="s">
        <v>85</v>
      </c>
      <c r="B28" s="16" t="n">
        <v>45141</v>
      </c>
      <c r="C28" s="15" t="s">
        <v>56</v>
      </c>
      <c r="D28" s="15" t="s">
        <v>42</v>
      </c>
      <c r="E28" s="15" t="s">
        <v>39</v>
      </c>
      <c r="F28" s="15" t="s">
        <v>17</v>
      </c>
      <c r="G28" s="15" t="s">
        <v>29</v>
      </c>
      <c r="H28" s="15" t="n">
        <v>1</v>
      </c>
      <c r="I28" s="17" t="n">
        <v>0.2</v>
      </c>
      <c r="J28" s="18" t="n">
        <v>16.52</v>
      </c>
      <c r="K28" s="19" t="n">
        <v>3.33</v>
      </c>
      <c r="L28" s="15" t="n">
        <f aca="false">YEAR(B28)</f>
        <v>2023</v>
      </c>
      <c r="M28" s="20" t="n">
        <f aca="false">IF(J28&gt;0,K28/J28,0)</f>
        <v>0.201573849878935</v>
      </c>
    </row>
    <row r="29" customFormat="false" ht="15" hidden="false" customHeight="false" outlineLevel="0" collapsed="false">
      <c r="A29" s="15" t="s">
        <v>86</v>
      </c>
      <c r="B29" s="16" t="n">
        <v>45784</v>
      </c>
      <c r="C29" s="15" t="s">
        <v>56</v>
      </c>
      <c r="D29" s="15" t="s">
        <v>44</v>
      </c>
      <c r="E29" s="15" t="s">
        <v>36</v>
      </c>
      <c r="F29" s="15" t="s">
        <v>16</v>
      </c>
      <c r="G29" s="15" t="s">
        <v>25</v>
      </c>
      <c r="H29" s="15" t="n">
        <v>4</v>
      </c>
      <c r="I29" s="17" t="n">
        <v>0</v>
      </c>
      <c r="J29" s="18" t="n">
        <v>1312.51</v>
      </c>
      <c r="K29" s="19" t="n">
        <v>155.13</v>
      </c>
      <c r="L29" s="15" t="n">
        <f aca="false">YEAR(B29)</f>
        <v>2025</v>
      </c>
      <c r="M29" s="20" t="n">
        <f aca="false">IF(J29&gt;0,K29/J29,0)</f>
        <v>0.118193385193256</v>
      </c>
    </row>
    <row r="30" customFormat="false" ht="15" hidden="false" customHeight="false" outlineLevel="0" collapsed="false">
      <c r="A30" s="15" t="s">
        <v>87</v>
      </c>
      <c r="B30" s="16" t="n">
        <v>45864</v>
      </c>
      <c r="C30" s="15" t="s">
        <v>68</v>
      </c>
      <c r="D30" s="15" t="s">
        <v>44</v>
      </c>
      <c r="E30" s="15" t="s">
        <v>37</v>
      </c>
      <c r="F30" s="15" t="s">
        <v>18</v>
      </c>
      <c r="G30" s="15" t="s">
        <v>32</v>
      </c>
      <c r="H30" s="15" t="n">
        <v>2</v>
      </c>
      <c r="I30" s="17" t="n">
        <v>0.05</v>
      </c>
      <c r="J30" s="18" t="n">
        <v>766.02</v>
      </c>
      <c r="K30" s="19" t="n">
        <v>88.32</v>
      </c>
      <c r="L30" s="15" t="n">
        <f aca="false">YEAR(B30)</f>
        <v>2025</v>
      </c>
      <c r="M30" s="20" t="n">
        <f aca="false">IF(J30&gt;0,K30/J30,0)</f>
        <v>0.115297250724524</v>
      </c>
    </row>
    <row r="31" customFormat="false" ht="15" hidden="false" customHeight="false" outlineLevel="0" collapsed="false">
      <c r="A31" s="15" t="s">
        <v>88</v>
      </c>
      <c r="B31" s="16" t="n">
        <v>45614</v>
      </c>
      <c r="C31" s="15" t="s">
        <v>58</v>
      </c>
      <c r="D31" s="15" t="s">
        <v>42</v>
      </c>
      <c r="E31" s="15" t="s">
        <v>36</v>
      </c>
      <c r="F31" s="15" t="s">
        <v>17</v>
      </c>
      <c r="G31" s="15" t="s">
        <v>29</v>
      </c>
      <c r="H31" s="15" t="n">
        <v>4</v>
      </c>
      <c r="I31" s="17" t="n">
        <v>0</v>
      </c>
      <c r="J31" s="18" t="n">
        <v>71.25</v>
      </c>
      <c r="K31" s="19" t="n">
        <v>26.52</v>
      </c>
      <c r="L31" s="15" t="n">
        <f aca="false">YEAR(B31)</f>
        <v>2024</v>
      </c>
      <c r="M31" s="20" t="n">
        <f aca="false">IF(J31&gt;0,K31/J31,0)</f>
        <v>0.37221052631579</v>
      </c>
    </row>
    <row r="32" customFormat="false" ht="15" hidden="false" customHeight="false" outlineLevel="0" collapsed="false">
      <c r="A32" s="15" t="s">
        <v>89</v>
      </c>
      <c r="B32" s="16" t="n">
        <v>45889</v>
      </c>
      <c r="C32" s="15" t="s">
        <v>56</v>
      </c>
      <c r="D32" s="15" t="s">
        <v>42</v>
      </c>
      <c r="E32" s="15" t="s">
        <v>36</v>
      </c>
      <c r="F32" s="15" t="s">
        <v>16</v>
      </c>
      <c r="G32" s="15" t="s">
        <v>22</v>
      </c>
      <c r="H32" s="15" t="n">
        <v>6</v>
      </c>
      <c r="I32" s="17" t="n">
        <v>0</v>
      </c>
      <c r="J32" s="18" t="n">
        <v>3459.31</v>
      </c>
      <c r="K32" s="19" t="n">
        <v>167.89</v>
      </c>
      <c r="L32" s="15" t="n">
        <f aca="false">YEAR(B32)</f>
        <v>2025</v>
      </c>
      <c r="M32" s="20" t="n">
        <f aca="false">IF(J32&gt;0,K32/J32,0)</f>
        <v>0.0485327998936204</v>
      </c>
    </row>
    <row r="33" customFormat="false" ht="15" hidden="false" customHeight="false" outlineLevel="0" collapsed="false">
      <c r="A33" s="15" t="s">
        <v>90</v>
      </c>
      <c r="B33" s="16" t="n">
        <v>45548</v>
      </c>
      <c r="C33" s="15" t="s">
        <v>71</v>
      </c>
      <c r="D33" s="15" t="s">
        <v>43</v>
      </c>
      <c r="E33" s="15" t="s">
        <v>37</v>
      </c>
      <c r="F33" s="15" t="s">
        <v>17</v>
      </c>
      <c r="G33" s="15" t="s">
        <v>29</v>
      </c>
      <c r="H33" s="15" t="n">
        <v>3</v>
      </c>
      <c r="I33" s="17" t="n">
        <v>0</v>
      </c>
      <c r="J33" s="18" t="n">
        <v>61.68</v>
      </c>
      <c r="K33" s="19" t="n">
        <v>21.74</v>
      </c>
      <c r="L33" s="15" t="n">
        <f aca="false">YEAR(B33)</f>
        <v>2024</v>
      </c>
      <c r="M33" s="20" t="n">
        <f aca="false">IF(J33&gt;0,K33/J33,0)</f>
        <v>0.352464332036316</v>
      </c>
    </row>
    <row r="34" customFormat="false" ht="15" hidden="false" customHeight="false" outlineLevel="0" collapsed="false">
      <c r="A34" s="15" t="s">
        <v>91</v>
      </c>
      <c r="B34" s="16" t="n">
        <v>45892</v>
      </c>
      <c r="C34" s="15" t="s">
        <v>56</v>
      </c>
      <c r="D34" s="15" t="s">
        <v>44</v>
      </c>
      <c r="E34" s="15" t="s">
        <v>37</v>
      </c>
      <c r="F34" s="15" t="s">
        <v>17</v>
      </c>
      <c r="G34" s="15" t="s">
        <v>26</v>
      </c>
      <c r="H34" s="15" t="n">
        <v>4</v>
      </c>
      <c r="I34" s="17" t="n">
        <v>0.3</v>
      </c>
      <c r="J34" s="18" t="n">
        <v>235.58</v>
      </c>
      <c r="K34" s="19" t="n">
        <v>-15.14</v>
      </c>
      <c r="L34" s="15" t="n">
        <f aca="false">YEAR(B34)</f>
        <v>2025</v>
      </c>
      <c r="M34" s="20" t="n">
        <f aca="false">IF(J34&gt;0,K34/J34,0)</f>
        <v>-0.0642669156974276</v>
      </c>
    </row>
    <row r="35" customFormat="false" ht="15" hidden="false" customHeight="false" outlineLevel="0" collapsed="false">
      <c r="A35" s="15" t="s">
        <v>92</v>
      </c>
      <c r="B35" s="16" t="n">
        <v>45887</v>
      </c>
      <c r="C35" s="15" t="s">
        <v>68</v>
      </c>
      <c r="D35" s="15" t="s">
        <v>44</v>
      </c>
      <c r="E35" s="15" t="s">
        <v>38</v>
      </c>
      <c r="F35" s="15" t="s">
        <v>17</v>
      </c>
      <c r="G35" s="15" t="s">
        <v>29</v>
      </c>
      <c r="H35" s="15" t="n">
        <v>2</v>
      </c>
      <c r="I35" s="17" t="n">
        <v>0.5</v>
      </c>
      <c r="J35" s="18" t="n">
        <v>15.02</v>
      </c>
      <c r="K35" s="19" t="n">
        <v>0.63</v>
      </c>
      <c r="L35" s="15" t="n">
        <f aca="false">YEAR(B35)</f>
        <v>2025</v>
      </c>
      <c r="M35" s="20" t="n">
        <f aca="false">IF(J35&gt;0,K35/J35,0)</f>
        <v>0.0419440745672437</v>
      </c>
    </row>
    <row r="36" customFormat="false" ht="15" hidden="false" customHeight="false" outlineLevel="0" collapsed="false">
      <c r="A36" s="15" t="s">
        <v>93</v>
      </c>
      <c r="B36" s="16" t="n">
        <v>45729</v>
      </c>
      <c r="C36" s="15" t="s">
        <v>56</v>
      </c>
      <c r="D36" s="15" t="s">
        <v>44</v>
      </c>
      <c r="E36" s="15" t="s">
        <v>36</v>
      </c>
      <c r="F36" s="15" t="s">
        <v>16</v>
      </c>
      <c r="G36" s="15" t="s">
        <v>25</v>
      </c>
      <c r="H36" s="15" t="n">
        <v>1</v>
      </c>
      <c r="I36" s="17" t="n">
        <v>0</v>
      </c>
      <c r="J36" s="18" t="n">
        <v>295.88</v>
      </c>
      <c r="K36" s="19" t="n">
        <v>28.33</v>
      </c>
      <c r="L36" s="15" t="n">
        <f aca="false">YEAR(B36)</f>
        <v>2025</v>
      </c>
      <c r="M36" s="20" t="n">
        <f aca="false">IF(J36&gt;0,K36/J36,0)</f>
        <v>0.0957482763282412</v>
      </c>
    </row>
    <row r="37" customFormat="false" ht="15" hidden="false" customHeight="false" outlineLevel="0" collapsed="false">
      <c r="A37" s="15" t="s">
        <v>94</v>
      </c>
      <c r="B37" s="16" t="n">
        <v>44871</v>
      </c>
      <c r="C37" s="15" t="s">
        <v>56</v>
      </c>
      <c r="D37" s="15" t="s">
        <v>42</v>
      </c>
      <c r="E37" s="15" t="s">
        <v>38</v>
      </c>
      <c r="F37" s="15" t="s">
        <v>17</v>
      </c>
      <c r="G37" s="15" t="s">
        <v>28</v>
      </c>
      <c r="H37" s="15" t="n">
        <v>7</v>
      </c>
      <c r="I37" s="17" t="n">
        <v>0</v>
      </c>
      <c r="J37" s="18" t="n">
        <v>163.24</v>
      </c>
      <c r="K37" s="19" t="n">
        <v>46.62</v>
      </c>
      <c r="L37" s="15" t="n">
        <f aca="false">YEAR(B37)</f>
        <v>2022</v>
      </c>
      <c r="M37" s="20" t="n">
        <f aca="false">IF(J37&gt;0,K37/J37,0)</f>
        <v>0.285591766723842</v>
      </c>
    </row>
    <row r="38" customFormat="false" ht="15" hidden="false" customHeight="false" outlineLevel="0" collapsed="false">
      <c r="A38" s="15" t="s">
        <v>95</v>
      </c>
      <c r="B38" s="16" t="n">
        <v>45177</v>
      </c>
      <c r="C38" s="15" t="s">
        <v>71</v>
      </c>
      <c r="D38" s="15" t="s">
        <v>42</v>
      </c>
      <c r="E38" s="15" t="s">
        <v>38</v>
      </c>
      <c r="F38" s="15" t="s">
        <v>17</v>
      </c>
      <c r="G38" s="15" t="s">
        <v>26</v>
      </c>
      <c r="H38" s="15" t="n">
        <v>5</v>
      </c>
      <c r="I38" s="17" t="n">
        <v>0.1</v>
      </c>
      <c r="J38" s="18" t="n">
        <v>315.79</v>
      </c>
      <c r="K38" s="19" t="n">
        <v>20.51</v>
      </c>
      <c r="L38" s="15" t="n">
        <f aca="false">YEAR(B38)</f>
        <v>2023</v>
      </c>
      <c r="M38" s="20" t="n">
        <f aca="false">IF(J38&gt;0,K38/J38,0)</f>
        <v>0.0649482250862915</v>
      </c>
    </row>
    <row r="39" customFormat="false" ht="15" hidden="false" customHeight="false" outlineLevel="0" collapsed="false">
      <c r="A39" s="15" t="s">
        <v>96</v>
      </c>
      <c r="B39" s="16" t="n">
        <v>45927</v>
      </c>
      <c r="C39" s="15" t="s">
        <v>71</v>
      </c>
      <c r="D39" s="15" t="s">
        <v>42</v>
      </c>
      <c r="E39" s="15" t="s">
        <v>36</v>
      </c>
      <c r="F39" s="15" t="s">
        <v>17</v>
      </c>
      <c r="G39" s="15" t="s">
        <v>29</v>
      </c>
      <c r="H39" s="15" t="n">
        <v>5</v>
      </c>
      <c r="I39" s="17" t="n">
        <v>0.05</v>
      </c>
      <c r="J39" s="18" t="n">
        <v>70.1</v>
      </c>
      <c r="K39" s="19" t="n">
        <v>23.36</v>
      </c>
      <c r="L39" s="15" t="n">
        <f aca="false">YEAR(B39)</f>
        <v>2025</v>
      </c>
      <c r="M39" s="20" t="n">
        <f aca="false">IF(J39&gt;0,K39/J39,0)</f>
        <v>0.333238231098431</v>
      </c>
    </row>
    <row r="40" customFormat="false" ht="15" hidden="false" customHeight="false" outlineLevel="0" collapsed="false">
      <c r="A40" s="15" t="s">
        <v>97</v>
      </c>
      <c r="B40" s="16" t="n">
        <v>44792</v>
      </c>
      <c r="C40" s="15" t="s">
        <v>56</v>
      </c>
      <c r="D40" s="15" t="s">
        <v>42</v>
      </c>
      <c r="E40" s="15" t="s">
        <v>38</v>
      </c>
      <c r="F40" s="15" t="s">
        <v>18</v>
      </c>
      <c r="G40" s="15" t="s">
        <v>32</v>
      </c>
      <c r="H40" s="15" t="n">
        <v>1</v>
      </c>
      <c r="I40" s="17" t="n">
        <v>0</v>
      </c>
      <c r="J40" s="18" t="n">
        <v>302.83</v>
      </c>
      <c r="K40" s="19" t="n">
        <v>52.45</v>
      </c>
      <c r="L40" s="15" t="n">
        <f aca="false">YEAR(B40)</f>
        <v>2022</v>
      </c>
      <c r="M40" s="20" t="n">
        <f aca="false">IF(J40&gt;0,K40/J40,0)</f>
        <v>0.173199484859492</v>
      </c>
    </row>
    <row r="41" customFormat="false" ht="15" hidden="false" customHeight="false" outlineLevel="0" collapsed="false">
      <c r="A41" s="15" t="s">
        <v>98</v>
      </c>
      <c r="B41" s="16" t="n">
        <v>45963</v>
      </c>
      <c r="C41" s="15" t="s">
        <v>56</v>
      </c>
      <c r="D41" s="15" t="s">
        <v>43</v>
      </c>
      <c r="E41" s="15" t="s">
        <v>38</v>
      </c>
      <c r="F41" s="15" t="s">
        <v>17</v>
      </c>
      <c r="G41" s="15" t="s">
        <v>31</v>
      </c>
      <c r="H41" s="15" t="n">
        <v>5</v>
      </c>
      <c r="I41" s="17" t="n">
        <v>0.15</v>
      </c>
      <c r="J41" s="18" t="n">
        <v>599.61</v>
      </c>
      <c r="K41" s="19" t="n">
        <v>-9.98</v>
      </c>
      <c r="L41" s="15" t="n">
        <f aca="false">YEAR(B41)</f>
        <v>2025</v>
      </c>
      <c r="M41" s="20" t="n">
        <f aca="false">IF(J41&gt;0,K41/J41,0)</f>
        <v>-0.0166441520321542</v>
      </c>
    </row>
    <row r="42" customFormat="false" ht="15" hidden="false" customHeight="false" outlineLevel="0" collapsed="false">
      <c r="A42" s="15" t="s">
        <v>99</v>
      </c>
      <c r="B42" s="16" t="n">
        <v>44701</v>
      </c>
      <c r="C42" s="15" t="s">
        <v>56</v>
      </c>
      <c r="D42" s="15" t="s">
        <v>42</v>
      </c>
      <c r="E42" s="15" t="s">
        <v>39</v>
      </c>
      <c r="F42" s="15" t="s">
        <v>17</v>
      </c>
      <c r="G42" s="15" t="s">
        <v>26</v>
      </c>
      <c r="H42" s="15" t="n">
        <v>3</v>
      </c>
      <c r="I42" s="17" t="n">
        <v>0.3</v>
      </c>
      <c r="J42" s="18" t="n">
        <v>241.22</v>
      </c>
      <c r="K42" s="19" t="n">
        <v>-36.2</v>
      </c>
      <c r="L42" s="15" t="n">
        <f aca="false">YEAR(B42)</f>
        <v>2022</v>
      </c>
      <c r="M42" s="20" t="n">
        <f aca="false">IF(J42&gt;0,K42/J42,0)</f>
        <v>-0.150070475084985</v>
      </c>
    </row>
    <row r="43" customFormat="false" ht="15" hidden="false" customHeight="false" outlineLevel="0" collapsed="false">
      <c r="A43" s="15" t="s">
        <v>100</v>
      </c>
      <c r="B43" s="16" t="n">
        <v>44748</v>
      </c>
      <c r="C43" s="15" t="s">
        <v>56</v>
      </c>
      <c r="D43" s="15" t="s">
        <v>42</v>
      </c>
      <c r="E43" s="15" t="s">
        <v>39</v>
      </c>
      <c r="F43" s="15" t="s">
        <v>18</v>
      </c>
      <c r="G43" s="15" t="s">
        <v>32</v>
      </c>
      <c r="H43" s="15" t="n">
        <v>4</v>
      </c>
      <c r="I43" s="17" t="n">
        <v>0</v>
      </c>
      <c r="J43" s="18" t="n">
        <v>2002.15</v>
      </c>
      <c r="K43" s="19" t="n">
        <v>374.32</v>
      </c>
      <c r="L43" s="15" t="n">
        <f aca="false">YEAR(B43)</f>
        <v>2022</v>
      </c>
      <c r="M43" s="20" t="n">
        <f aca="false">IF(J43&gt;0,K43/J43,0)</f>
        <v>0.186959019054516</v>
      </c>
    </row>
    <row r="44" customFormat="false" ht="15" hidden="false" customHeight="false" outlineLevel="0" collapsed="false">
      <c r="A44" s="15" t="s">
        <v>101</v>
      </c>
      <c r="B44" s="16" t="n">
        <v>45175</v>
      </c>
      <c r="C44" s="15" t="s">
        <v>56</v>
      </c>
      <c r="D44" s="15" t="s">
        <v>42</v>
      </c>
      <c r="E44" s="15" t="s">
        <v>36</v>
      </c>
      <c r="F44" s="15" t="s">
        <v>16</v>
      </c>
      <c r="G44" s="15" t="s">
        <v>25</v>
      </c>
      <c r="H44" s="15" t="n">
        <v>4</v>
      </c>
      <c r="I44" s="17" t="n">
        <v>0</v>
      </c>
      <c r="J44" s="18" t="n">
        <v>1044.24</v>
      </c>
      <c r="K44" s="19" t="n">
        <v>99.54</v>
      </c>
      <c r="L44" s="15" t="n">
        <f aca="false">YEAR(B44)</f>
        <v>2023</v>
      </c>
      <c r="M44" s="20" t="n">
        <f aca="false">IF(J44&gt;0,K44/J44,0)</f>
        <v>0.095322914272581</v>
      </c>
    </row>
    <row r="45" customFormat="false" ht="15" hidden="false" customHeight="false" outlineLevel="0" collapsed="false">
      <c r="A45" s="15" t="s">
        <v>102</v>
      </c>
      <c r="B45" s="16" t="n">
        <v>44904</v>
      </c>
      <c r="C45" s="15" t="s">
        <v>56</v>
      </c>
      <c r="D45" s="15" t="s">
        <v>42</v>
      </c>
      <c r="E45" s="15" t="s">
        <v>39</v>
      </c>
      <c r="F45" s="15" t="s">
        <v>18</v>
      </c>
      <c r="G45" s="15" t="s">
        <v>33</v>
      </c>
      <c r="H45" s="15" t="n">
        <v>3</v>
      </c>
      <c r="I45" s="17" t="n">
        <v>0.1</v>
      </c>
      <c r="J45" s="18" t="n">
        <v>2049.17</v>
      </c>
      <c r="K45" s="19" t="n">
        <v>391.64</v>
      </c>
      <c r="L45" s="15" t="n">
        <f aca="false">YEAR(B45)</f>
        <v>2022</v>
      </c>
      <c r="M45" s="20" t="n">
        <f aca="false">IF(J45&gt;0,K45/J45,0)</f>
        <v>0.191121283251268</v>
      </c>
    </row>
    <row r="46" customFormat="false" ht="15" hidden="false" customHeight="false" outlineLevel="0" collapsed="false">
      <c r="A46" s="15" t="s">
        <v>103</v>
      </c>
      <c r="B46" s="16" t="n">
        <v>45012</v>
      </c>
      <c r="C46" s="15" t="s">
        <v>71</v>
      </c>
      <c r="D46" s="15" t="s">
        <v>44</v>
      </c>
      <c r="E46" s="15" t="s">
        <v>36</v>
      </c>
      <c r="F46" s="15" t="s">
        <v>17</v>
      </c>
      <c r="G46" s="15" t="s">
        <v>29</v>
      </c>
      <c r="H46" s="15" t="n">
        <v>5</v>
      </c>
      <c r="I46" s="17" t="n">
        <v>0.4</v>
      </c>
      <c r="J46" s="18" t="n">
        <v>51.97</v>
      </c>
      <c r="K46" s="19" t="n">
        <v>-0.78</v>
      </c>
      <c r="L46" s="15" t="n">
        <f aca="false">YEAR(B46)</f>
        <v>2023</v>
      </c>
      <c r="M46" s="20" t="n">
        <f aca="false">IF(J46&gt;0,K46/J46,0)</f>
        <v>-0.0150086588416394</v>
      </c>
    </row>
    <row r="47" customFormat="false" ht="15" hidden="false" customHeight="false" outlineLevel="0" collapsed="false">
      <c r="A47" s="15" t="s">
        <v>104</v>
      </c>
      <c r="B47" s="16" t="n">
        <v>45569</v>
      </c>
      <c r="C47" s="15" t="s">
        <v>71</v>
      </c>
      <c r="D47" s="15" t="s">
        <v>42</v>
      </c>
      <c r="E47" s="15" t="s">
        <v>36</v>
      </c>
      <c r="F47" s="15" t="s">
        <v>17</v>
      </c>
      <c r="G47" s="15" t="s">
        <v>29</v>
      </c>
      <c r="H47" s="15" t="n">
        <v>1</v>
      </c>
      <c r="I47" s="17" t="n">
        <v>0</v>
      </c>
      <c r="J47" s="18" t="n">
        <v>16.37</v>
      </c>
      <c r="K47" s="19" t="n">
        <v>6.76</v>
      </c>
      <c r="L47" s="15" t="n">
        <f aca="false">YEAR(B47)</f>
        <v>2024</v>
      </c>
      <c r="M47" s="20" t="n">
        <f aca="false">IF(J47&gt;0,K47/J47,0)</f>
        <v>0.412950519242517</v>
      </c>
    </row>
    <row r="48" customFormat="false" ht="15" hidden="false" customHeight="false" outlineLevel="0" collapsed="false">
      <c r="A48" s="15" t="s">
        <v>105</v>
      </c>
      <c r="B48" s="16" t="n">
        <v>45837</v>
      </c>
      <c r="C48" s="15" t="s">
        <v>56</v>
      </c>
      <c r="D48" s="15" t="s">
        <v>42</v>
      </c>
      <c r="E48" s="15" t="s">
        <v>37</v>
      </c>
      <c r="F48" s="15" t="s">
        <v>17</v>
      </c>
      <c r="G48" s="15" t="s">
        <v>26</v>
      </c>
      <c r="H48" s="15" t="n">
        <v>3</v>
      </c>
      <c r="I48" s="17" t="n">
        <v>0.15</v>
      </c>
      <c r="J48" s="18" t="n">
        <v>229.54</v>
      </c>
      <c r="K48" s="19" t="n">
        <v>13.86</v>
      </c>
      <c r="L48" s="15" t="n">
        <f aca="false">YEAR(B48)</f>
        <v>2025</v>
      </c>
      <c r="M48" s="20" t="n">
        <f aca="false">IF(J48&gt;0,K48/J48,0)</f>
        <v>0.0603816328308792</v>
      </c>
    </row>
    <row r="49" customFormat="false" ht="15" hidden="false" customHeight="false" outlineLevel="0" collapsed="false">
      <c r="A49" s="15" t="s">
        <v>106</v>
      </c>
      <c r="B49" s="16" t="n">
        <v>45634</v>
      </c>
      <c r="C49" s="15" t="s">
        <v>56</v>
      </c>
      <c r="D49" s="15" t="s">
        <v>42</v>
      </c>
      <c r="E49" s="15" t="s">
        <v>39</v>
      </c>
      <c r="F49" s="15" t="s">
        <v>16</v>
      </c>
      <c r="G49" s="15" t="s">
        <v>23</v>
      </c>
      <c r="H49" s="15" t="n">
        <v>2</v>
      </c>
      <c r="I49" s="17" t="n">
        <v>0.2</v>
      </c>
      <c r="J49" s="18" t="n">
        <v>509.9</v>
      </c>
      <c r="K49" s="19" t="n">
        <v>-95.24</v>
      </c>
      <c r="L49" s="15" t="n">
        <f aca="false">YEAR(B49)</f>
        <v>2024</v>
      </c>
      <c r="M49" s="20" t="n">
        <f aca="false">IF(J49&gt;0,K49/J49,0)</f>
        <v>-0.186781721906256</v>
      </c>
    </row>
    <row r="50" customFormat="false" ht="15" hidden="false" customHeight="false" outlineLevel="0" collapsed="false">
      <c r="A50" s="15" t="s">
        <v>107</v>
      </c>
      <c r="B50" s="16" t="n">
        <v>44829</v>
      </c>
      <c r="C50" s="15" t="s">
        <v>56</v>
      </c>
      <c r="D50" s="15" t="s">
        <v>42</v>
      </c>
      <c r="E50" s="15" t="s">
        <v>39</v>
      </c>
      <c r="F50" s="15" t="s">
        <v>17</v>
      </c>
      <c r="G50" s="15" t="s">
        <v>29</v>
      </c>
      <c r="H50" s="15" t="n">
        <v>2</v>
      </c>
      <c r="I50" s="17" t="n">
        <v>0</v>
      </c>
      <c r="J50" s="18" t="n">
        <v>27.9</v>
      </c>
      <c r="K50" s="19" t="n">
        <v>9.99</v>
      </c>
      <c r="L50" s="15" t="n">
        <f aca="false">YEAR(B50)</f>
        <v>2022</v>
      </c>
      <c r="M50" s="20" t="n">
        <f aca="false">IF(J50&gt;0,K50/J50,0)</f>
        <v>0.358064516129032</v>
      </c>
    </row>
    <row r="51" customFormat="false" ht="15" hidden="false" customHeight="false" outlineLevel="0" collapsed="false">
      <c r="A51" s="15" t="s">
        <v>108</v>
      </c>
      <c r="B51" s="16" t="n">
        <v>45535</v>
      </c>
      <c r="C51" s="15" t="s">
        <v>56</v>
      </c>
      <c r="D51" s="15" t="s">
        <v>42</v>
      </c>
      <c r="E51" s="15" t="s">
        <v>36</v>
      </c>
      <c r="F51" s="15" t="s">
        <v>16</v>
      </c>
      <c r="G51" s="15" t="s">
        <v>25</v>
      </c>
      <c r="H51" s="15" t="n">
        <v>3</v>
      </c>
      <c r="I51" s="17" t="n">
        <v>0.1</v>
      </c>
      <c r="J51" s="18" t="n">
        <v>667.99</v>
      </c>
      <c r="K51" s="19" t="n">
        <v>2.74</v>
      </c>
      <c r="L51" s="15" t="n">
        <f aca="false">YEAR(B51)</f>
        <v>2024</v>
      </c>
      <c r="M51" s="20" t="n">
        <f aca="false">IF(J51&gt;0,K51/J51,0)</f>
        <v>0.0041018578122427</v>
      </c>
    </row>
    <row r="52" customFormat="false" ht="15" hidden="false" customHeight="false" outlineLevel="0" collapsed="false">
      <c r="A52" s="15" t="s">
        <v>109</v>
      </c>
      <c r="B52" s="16" t="n">
        <v>44809</v>
      </c>
      <c r="C52" s="15" t="s">
        <v>56</v>
      </c>
      <c r="D52" s="15" t="s">
        <v>42</v>
      </c>
      <c r="E52" s="15" t="s">
        <v>36</v>
      </c>
      <c r="F52" s="15" t="s">
        <v>17</v>
      </c>
      <c r="G52" s="15" t="s">
        <v>29</v>
      </c>
      <c r="H52" s="15" t="n">
        <v>7</v>
      </c>
      <c r="I52" s="17" t="n">
        <v>0.2</v>
      </c>
      <c r="J52" s="18" t="n">
        <v>93.06</v>
      </c>
      <c r="K52" s="19" t="n">
        <v>25.81</v>
      </c>
      <c r="L52" s="15" t="n">
        <f aca="false">YEAR(B52)</f>
        <v>2022</v>
      </c>
      <c r="M52" s="20" t="n">
        <f aca="false">IF(J52&gt;0,K52/J52,0)</f>
        <v>0.277347947560714</v>
      </c>
    </row>
    <row r="53" customFormat="false" ht="15" hidden="false" customHeight="false" outlineLevel="0" collapsed="false">
      <c r="A53" s="15" t="s">
        <v>110</v>
      </c>
      <c r="B53" s="16" t="n">
        <v>45604</v>
      </c>
      <c r="C53" s="15" t="s">
        <v>56</v>
      </c>
      <c r="D53" s="15" t="s">
        <v>43</v>
      </c>
      <c r="E53" s="15" t="s">
        <v>38</v>
      </c>
      <c r="F53" s="15" t="s">
        <v>17</v>
      </c>
      <c r="G53" s="15" t="s">
        <v>31</v>
      </c>
      <c r="H53" s="15" t="n">
        <v>9</v>
      </c>
      <c r="I53" s="17" t="n">
        <v>0</v>
      </c>
      <c r="J53" s="18" t="n">
        <v>1067.23</v>
      </c>
      <c r="K53" s="19" t="n">
        <v>186.87</v>
      </c>
      <c r="L53" s="15" t="n">
        <f aca="false">YEAR(B53)</f>
        <v>2024</v>
      </c>
      <c r="M53" s="20" t="n">
        <f aca="false">IF(J53&gt;0,K53/J53,0)</f>
        <v>0.175098151288851</v>
      </c>
    </row>
    <row r="54" customFormat="false" ht="15" hidden="false" customHeight="false" outlineLevel="0" collapsed="false">
      <c r="A54" s="15" t="s">
        <v>111</v>
      </c>
      <c r="B54" s="16" t="n">
        <v>44865</v>
      </c>
      <c r="C54" s="15" t="s">
        <v>68</v>
      </c>
      <c r="D54" s="15" t="s">
        <v>43</v>
      </c>
      <c r="E54" s="15" t="s">
        <v>36</v>
      </c>
      <c r="F54" s="15" t="s">
        <v>16</v>
      </c>
      <c r="G54" s="15" t="s">
        <v>25</v>
      </c>
      <c r="H54" s="15" t="n">
        <v>4</v>
      </c>
      <c r="I54" s="17" t="n">
        <v>0</v>
      </c>
      <c r="J54" s="18" t="n">
        <v>1255.66</v>
      </c>
      <c r="K54" s="19" t="n">
        <v>193.41</v>
      </c>
      <c r="L54" s="15" t="n">
        <f aca="false">YEAR(B54)</f>
        <v>2022</v>
      </c>
      <c r="M54" s="20" t="n">
        <f aca="false">IF(J54&gt;0,K54/J54,0)</f>
        <v>0.154030549671089</v>
      </c>
    </row>
    <row r="55" customFormat="false" ht="15" hidden="false" customHeight="false" outlineLevel="0" collapsed="false">
      <c r="A55" s="15" t="s">
        <v>112</v>
      </c>
      <c r="B55" s="16" t="n">
        <v>44583</v>
      </c>
      <c r="C55" s="15" t="s">
        <v>68</v>
      </c>
      <c r="D55" s="15" t="s">
        <v>42</v>
      </c>
      <c r="E55" s="15" t="s">
        <v>38</v>
      </c>
      <c r="F55" s="15" t="s">
        <v>17</v>
      </c>
      <c r="G55" s="15" t="s">
        <v>28</v>
      </c>
      <c r="H55" s="15" t="n">
        <v>3</v>
      </c>
      <c r="I55" s="17" t="n">
        <v>0.1</v>
      </c>
      <c r="J55" s="18" t="n">
        <v>54.13</v>
      </c>
      <c r="K55" s="19" t="n">
        <v>11.92</v>
      </c>
      <c r="L55" s="15" t="n">
        <f aca="false">YEAR(B55)</f>
        <v>2022</v>
      </c>
      <c r="M55" s="20" t="n">
        <f aca="false">IF(J55&gt;0,K55/J55,0)</f>
        <v>0.220210604101238</v>
      </c>
    </row>
    <row r="56" customFormat="false" ht="15" hidden="false" customHeight="false" outlineLevel="0" collapsed="false">
      <c r="A56" s="15" t="s">
        <v>113</v>
      </c>
      <c r="B56" s="16" t="n">
        <v>45618</v>
      </c>
      <c r="C56" s="15" t="s">
        <v>68</v>
      </c>
      <c r="D56" s="15" t="s">
        <v>44</v>
      </c>
      <c r="E56" s="15" t="s">
        <v>37</v>
      </c>
      <c r="F56" s="15" t="s">
        <v>17</v>
      </c>
      <c r="G56" s="15" t="s">
        <v>28</v>
      </c>
      <c r="H56" s="15" t="n">
        <v>3</v>
      </c>
      <c r="I56" s="17" t="n">
        <v>0</v>
      </c>
      <c r="J56" s="18" t="n">
        <v>70.75</v>
      </c>
      <c r="K56" s="19" t="n">
        <v>20.09</v>
      </c>
      <c r="L56" s="15" t="n">
        <f aca="false">YEAR(B56)</f>
        <v>2024</v>
      </c>
      <c r="M56" s="20" t="n">
        <f aca="false">IF(J56&gt;0,K56/J56,0)</f>
        <v>0.283957597173145</v>
      </c>
    </row>
    <row r="57" customFormat="false" ht="15" hidden="false" customHeight="false" outlineLevel="0" collapsed="false">
      <c r="A57" s="15" t="s">
        <v>114</v>
      </c>
      <c r="B57" s="16" t="n">
        <v>44912</v>
      </c>
      <c r="C57" s="15" t="s">
        <v>68</v>
      </c>
      <c r="D57" s="15" t="s">
        <v>42</v>
      </c>
      <c r="E57" s="15" t="s">
        <v>36</v>
      </c>
      <c r="F57" s="15" t="s">
        <v>17</v>
      </c>
      <c r="G57" s="15" t="s">
        <v>28</v>
      </c>
      <c r="H57" s="15" t="n">
        <v>4</v>
      </c>
      <c r="I57" s="17" t="n">
        <v>0</v>
      </c>
      <c r="J57" s="18" t="n">
        <v>84.87</v>
      </c>
      <c r="K57" s="19" t="n">
        <v>26.33</v>
      </c>
      <c r="L57" s="15" t="n">
        <f aca="false">YEAR(B57)</f>
        <v>2022</v>
      </c>
      <c r="M57" s="20" t="n">
        <f aca="false">IF(J57&gt;0,K57/J57,0)</f>
        <v>0.310239189348415</v>
      </c>
    </row>
    <row r="58" customFormat="false" ht="15" hidden="false" customHeight="false" outlineLevel="0" collapsed="false">
      <c r="A58" s="15" t="s">
        <v>115</v>
      </c>
      <c r="B58" s="16" t="n">
        <v>45946</v>
      </c>
      <c r="C58" s="15" t="s">
        <v>56</v>
      </c>
      <c r="D58" s="15" t="s">
        <v>42</v>
      </c>
      <c r="E58" s="15" t="s">
        <v>39</v>
      </c>
      <c r="F58" s="15" t="s">
        <v>16</v>
      </c>
      <c r="G58" s="15" t="s">
        <v>22</v>
      </c>
      <c r="H58" s="15" t="n">
        <v>5</v>
      </c>
      <c r="I58" s="17" t="n">
        <v>0.05</v>
      </c>
      <c r="J58" s="18" t="n">
        <v>2990.18</v>
      </c>
      <c r="K58" s="19" t="n">
        <v>-103.78</v>
      </c>
      <c r="L58" s="15" t="n">
        <f aca="false">YEAR(B58)</f>
        <v>2025</v>
      </c>
      <c r="M58" s="20" t="n">
        <f aca="false">IF(J58&gt;0,K58/J58,0)</f>
        <v>-0.0347069407192878</v>
      </c>
    </row>
    <row r="59" customFormat="false" ht="15" hidden="false" customHeight="false" outlineLevel="0" collapsed="false">
      <c r="A59" s="15" t="s">
        <v>116</v>
      </c>
      <c r="B59" s="16" t="n">
        <v>44911</v>
      </c>
      <c r="C59" s="15" t="s">
        <v>56</v>
      </c>
      <c r="D59" s="15" t="s">
        <v>42</v>
      </c>
      <c r="E59" s="15" t="s">
        <v>37</v>
      </c>
      <c r="F59" s="15" t="s">
        <v>18</v>
      </c>
      <c r="G59" s="15" t="s">
        <v>30</v>
      </c>
      <c r="H59" s="15" t="n">
        <v>4</v>
      </c>
      <c r="I59" s="17" t="n">
        <v>0</v>
      </c>
      <c r="J59" s="18" t="n">
        <v>137.3</v>
      </c>
      <c r="K59" s="19" t="n">
        <v>33.42</v>
      </c>
      <c r="L59" s="15" t="n">
        <f aca="false">YEAR(B59)</f>
        <v>2022</v>
      </c>
      <c r="M59" s="20" t="n">
        <f aca="false">IF(J59&gt;0,K59/J59,0)</f>
        <v>0.243408594319009</v>
      </c>
    </row>
    <row r="60" customFormat="false" ht="15" hidden="false" customHeight="false" outlineLevel="0" collapsed="false">
      <c r="A60" s="15" t="s">
        <v>117</v>
      </c>
      <c r="B60" s="16" t="n">
        <v>44675</v>
      </c>
      <c r="C60" s="15" t="s">
        <v>71</v>
      </c>
      <c r="D60" s="15" t="s">
        <v>42</v>
      </c>
      <c r="E60" s="15" t="s">
        <v>39</v>
      </c>
      <c r="F60" s="15" t="s">
        <v>17</v>
      </c>
      <c r="G60" s="15" t="s">
        <v>28</v>
      </c>
      <c r="H60" s="15" t="n">
        <v>3</v>
      </c>
      <c r="I60" s="17" t="n">
        <v>0.15</v>
      </c>
      <c r="J60" s="18" t="n">
        <v>84.08</v>
      </c>
      <c r="K60" s="19" t="n">
        <v>17.19</v>
      </c>
      <c r="L60" s="15" t="n">
        <f aca="false">YEAR(B60)</f>
        <v>2022</v>
      </c>
      <c r="M60" s="20" t="n">
        <f aca="false">IF(J60&gt;0,K60/J60,0)</f>
        <v>0.204448144624167</v>
      </c>
    </row>
    <row r="61" customFormat="false" ht="15" hidden="false" customHeight="false" outlineLevel="0" collapsed="false">
      <c r="A61" s="15" t="s">
        <v>118</v>
      </c>
      <c r="B61" s="16" t="n">
        <v>45054</v>
      </c>
      <c r="C61" s="15" t="s">
        <v>56</v>
      </c>
      <c r="D61" s="15" t="s">
        <v>43</v>
      </c>
      <c r="E61" s="15" t="s">
        <v>39</v>
      </c>
      <c r="F61" s="15" t="s">
        <v>17</v>
      </c>
      <c r="G61" s="15" t="s">
        <v>29</v>
      </c>
      <c r="H61" s="15" t="n">
        <v>2</v>
      </c>
      <c r="I61" s="17" t="n">
        <v>0</v>
      </c>
      <c r="J61" s="18" t="n">
        <v>36.71</v>
      </c>
      <c r="K61" s="19" t="n">
        <v>13.77</v>
      </c>
      <c r="L61" s="15" t="n">
        <f aca="false">YEAR(B61)</f>
        <v>2023</v>
      </c>
      <c r="M61" s="20" t="n">
        <f aca="false">IF(J61&gt;0,K61/J61,0)</f>
        <v>0.375102152002179</v>
      </c>
    </row>
    <row r="62" customFormat="false" ht="15" hidden="false" customHeight="false" outlineLevel="0" collapsed="false">
      <c r="A62" s="15" t="s">
        <v>119</v>
      </c>
      <c r="B62" s="16" t="n">
        <v>45453</v>
      </c>
      <c r="C62" s="15" t="s">
        <v>56</v>
      </c>
      <c r="D62" s="15" t="s">
        <v>42</v>
      </c>
      <c r="E62" s="15" t="s">
        <v>38</v>
      </c>
      <c r="F62" s="15" t="s">
        <v>17</v>
      </c>
      <c r="G62" s="15" t="s">
        <v>26</v>
      </c>
      <c r="H62" s="15" t="n">
        <v>7</v>
      </c>
      <c r="I62" s="17" t="n">
        <v>0.15</v>
      </c>
      <c r="J62" s="18" t="n">
        <v>439.63</v>
      </c>
      <c r="K62" s="19" t="n">
        <v>-26.16</v>
      </c>
      <c r="L62" s="15" t="n">
        <f aca="false">YEAR(B62)</f>
        <v>2024</v>
      </c>
      <c r="M62" s="20" t="n">
        <f aca="false">IF(J62&gt;0,K62/J62,0)</f>
        <v>-0.059504583399677</v>
      </c>
    </row>
    <row r="63" customFormat="false" ht="15" hidden="false" customHeight="false" outlineLevel="0" collapsed="false">
      <c r="A63" s="15" t="s">
        <v>120</v>
      </c>
      <c r="B63" s="16" t="n">
        <v>45727</v>
      </c>
      <c r="C63" s="15" t="s">
        <v>56</v>
      </c>
      <c r="D63" s="15" t="s">
        <v>42</v>
      </c>
      <c r="E63" s="15" t="s">
        <v>37</v>
      </c>
      <c r="F63" s="15" t="s">
        <v>17</v>
      </c>
      <c r="G63" s="15" t="s">
        <v>28</v>
      </c>
      <c r="H63" s="15" t="n">
        <v>6</v>
      </c>
      <c r="I63" s="17" t="n">
        <v>0</v>
      </c>
      <c r="J63" s="18" t="n">
        <v>147.05</v>
      </c>
      <c r="K63" s="19" t="n">
        <v>35.76</v>
      </c>
      <c r="L63" s="15" t="n">
        <f aca="false">YEAR(B63)</f>
        <v>2025</v>
      </c>
      <c r="M63" s="20" t="n">
        <f aca="false">IF(J63&gt;0,K63/J63,0)</f>
        <v>0.243182590955457</v>
      </c>
    </row>
    <row r="64" customFormat="false" ht="15" hidden="false" customHeight="false" outlineLevel="0" collapsed="false">
      <c r="A64" s="15" t="s">
        <v>121</v>
      </c>
      <c r="B64" s="16" t="n">
        <v>45456</v>
      </c>
      <c r="C64" s="15" t="s">
        <v>56</v>
      </c>
      <c r="D64" s="15" t="s">
        <v>43</v>
      </c>
      <c r="E64" s="15" t="s">
        <v>38</v>
      </c>
      <c r="F64" s="15" t="s">
        <v>18</v>
      </c>
      <c r="G64" s="15" t="s">
        <v>33</v>
      </c>
      <c r="H64" s="15" t="n">
        <v>2</v>
      </c>
      <c r="I64" s="17" t="n">
        <v>0</v>
      </c>
      <c r="J64" s="18" t="n">
        <v>2056.01</v>
      </c>
      <c r="K64" s="19" t="n">
        <v>504.86</v>
      </c>
      <c r="L64" s="15" t="n">
        <f aca="false">YEAR(B64)</f>
        <v>2024</v>
      </c>
      <c r="M64" s="20" t="n">
        <f aca="false">IF(J64&gt;0,K64/J64,0)</f>
        <v>0.245553280382878</v>
      </c>
    </row>
    <row r="65" customFormat="false" ht="15" hidden="false" customHeight="false" outlineLevel="0" collapsed="false">
      <c r="A65" s="15" t="s">
        <v>122</v>
      </c>
      <c r="B65" s="16" t="n">
        <v>45175</v>
      </c>
      <c r="C65" s="15" t="s">
        <v>56</v>
      </c>
      <c r="D65" s="15" t="s">
        <v>42</v>
      </c>
      <c r="E65" s="15" t="s">
        <v>37</v>
      </c>
      <c r="F65" s="15" t="s">
        <v>18</v>
      </c>
      <c r="G65" s="15" t="s">
        <v>30</v>
      </c>
      <c r="H65" s="15" t="n">
        <v>4</v>
      </c>
      <c r="I65" s="17" t="n">
        <v>0.3</v>
      </c>
      <c r="J65" s="18" t="n">
        <v>169.88</v>
      </c>
      <c r="K65" s="19" t="n">
        <v>4.12</v>
      </c>
      <c r="L65" s="15" t="n">
        <f aca="false">YEAR(B65)</f>
        <v>2023</v>
      </c>
      <c r="M65" s="20" t="n">
        <f aca="false">IF(J65&gt;0,K65/J65,0)</f>
        <v>0.0242524134683306</v>
      </c>
    </row>
    <row r="66" customFormat="false" ht="15" hidden="false" customHeight="false" outlineLevel="0" collapsed="false">
      <c r="A66" s="15" t="s">
        <v>123</v>
      </c>
      <c r="B66" s="16" t="n">
        <v>45972</v>
      </c>
      <c r="C66" s="15" t="s">
        <v>71</v>
      </c>
      <c r="D66" s="15" t="s">
        <v>42</v>
      </c>
      <c r="E66" s="15" t="s">
        <v>36</v>
      </c>
      <c r="F66" s="15" t="s">
        <v>17</v>
      </c>
      <c r="G66" s="15" t="s">
        <v>28</v>
      </c>
      <c r="H66" s="15" t="n">
        <v>4</v>
      </c>
      <c r="I66" s="17" t="n">
        <v>0.15</v>
      </c>
      <c r="J66" s="18" t="n">
        <v>64.58</v>
      </c>
      <c r="K66" s="19" t="n">
        <v>12.09</v>
      </c>
      <c r="L66" s="15" t="n">
        <f aca="false">YEAR(B66)</f>
        <v>2025</v>
      </c>
      <c r="M66" s="20" t="n">
        <f aca="false">IF(J66&gt;0,K66/J66,0)</f>
        <v>0.18720966243419</v>
      </c>
    </row>
    <row r="67" customFormat="false" ht="15" hidden="false" customHeight="false" outlineLevel="0" collapsed="false">
      <c r="A67" s="15" t="s">
        <v>124</v>
      </c>
      <c r="B67" s="16" t="n">
        <v>45863</v>
      </c>
      <c r="C67" s="15" t="s">
        <v>71</v>
      </c>
      <c r="D67" s="15" t="s">
        <v>43</v>
      </c>
      <c r="E67" s="15" t="s">
        <v>39</v>
      </c>
      <c r="F67" s="15" t="s">
        <v>18</v>
      </c>
      <c r="G67" s="15" t="s">
        <v>32</v>
      </c>
      <c r="H67" s="15" t="n">
        <v>1</v>
      </c>
      <c r="I67" s="17" t="n">
        <v>0</v>
      </c>
      <c r="J67" s="18" t="n">
        <v>463.8</v>
      </c>
      <c r="K67" s="19" t="n">
        <v>99.83</v>
      </c>
      <c r="L67" s="15" t="n">
        <f aca="false">YEAR(B67)</f>
        <v>2025</v>
      </c>
      <c r="M67" s="20" t="n">
        <f aca="false">IF(J67&gt;0,K67/J67,0)</f>
        <v>0.215243639499784</v>
      </c>
    </row>
    <row r="68" customFormat="false" ht="15" hidden="false" customHeight="false" outlineLevel="0" collapsed="false">
      <c r="A68" s="15" t="s">
        <v>125</v>
      </c>
      <c r="B68" s="16" t="n">
        <v>45727</v>
      </c>
      <c r="C68" s="15" t="s">
        <v>56</v>
      </c>
      <c r="D68" s="15" t="s">
        <v>44</v>
      </c>
      <c r="E68" s="15" t="s">
        <v>39</v>
      </c>
      <c r="F68" s="15" t="s">
        <v>17</v>
      </c>
      <c r="G68" s="15" t="s">
        <v>28</v>
      </c>
      <c r="H68" s="15" t="n">
        <v>4</v>
      </c>
      <c r="I68" s="17" t="n">
        <v>0.2</v>
      </c>
      <c r="J68" s="18" t="n">
        <v>91.29</v>
      </c>
      <c r="K68" s="19" t="n">
        <v>4.19</v>
      </c>
      <c r="L68" s="15" t="n">
        <f aca="false">YEAR(B68)</f>
        <v>2025</v>
      </c>
      <c r="M68" s="20" t="n">
        <f aca="false">IF(J68&gt;0,K68/J68,0)</f>
        <v>0.0458976886844123</v>
      </c>
    </row>
    <row r="69" customFormat="false" ht="15" hidden="false" customHeight="false" outlineLevel="0" collapsed="false">
      <c r="A69" s="15" t="s">
        <v>126</v>
      </c>
      <c r="B69" s="16" t="n">
        <v>44847</v>
      </c>
      <c r="C69" s="15" t="s">
        <v>68</v>
      </c>
      <c r="D69" s="15" t="s">
        <v>44</v>
      </c>
      <c r="E69" s="15" t="s">
        <v>37</v>
      </c>
      <c r="F69" s="15" t="s">
        <v>17</v>
      </c>
      <c r="G69" s="15" t="s">
        <v>28</v>
      </c>
      <c r="H69" s="15" t="n">
        <v>5</v>
      </c>
      <c r="I69" s="17" t="n">
        <v>0.05</v>
      </c>
      <c r="J69" s="18" t="n">
        <v>119.56</v>
      </c>
      <c r="K69" s="19" t="n">
        <v>34.76</v>
      </c>
      <c r="L69" s="15" t="n">
        <f aca="false">YEAR(B69)</f>
        <v>2022</v>
      </c>
      <c r="M69" s="20" t="n">
        <f aca="false">IF(J69&gt;0,K69/J69,0)</f>
        <v>0.29073268651723</v>
      </c>
    </row>
    <row r="70" customFormat="false" ht="15" hidden="false" customHeight="false" outlineLevel="0" collapsed="false">
      <c r="A70" s="15" t="s">
        <v>127</v>
      </c>
      <c r="B70" s="16" t="n">
        <v>45218</v>
      </c>
      <c r="C70" s="15" t="s">
        <v>56</v>
      </c>
      <c r="D70" s="15" t="s">
        <v>44</v>
      </c>
      <c r="E70" s="15" t="s">
        <v>39</v>
      </c>
      <c r="F70" s="15" t="s">
        <v>18</v>
      </c>
      <c r="G70" s="15" t="s">
        <v>32</v>
      </c>
      <c r="H70" s="15" t="n">
        <v>5</v>
      </c>
      <c r="I70" s="17" t="n">
        <v>0</v>
      </c>
      <c r="J70" s="18" t="n">
        <v>2214.28</v>
      </c>
      <c r="K70" s="19" t="n">
        <v>548.74</v>
      </c>
      <c r="L70" s="15" t="n">
        <f aca="false">YEAR(B70)</f>
        <v>2023</v>
      </c>
      <c r="M70" s="20" t="n">
        <f aca="false">IF(J70&gt;0,K70/J70,0)</f>
        <v>0.247818704048269</v>
      </c>
    </row>
    <row r="71" customFormat="false" ht="15" hidden="false" customHeight="false" outlineLevel="0" collapsed="false">
      <c r="A71" s="15" t="s">
        <v>128</v>
      </c>
      <c r="B71" s="16" t="n">
        <v>45982</v>
      </c>
      <c r="C71" s="15" t="s">
        <v>56</v>
      </c>
      <c r="D71" s="15" t="s">
        <v>42</v>
      </c>
      <c r="E71" s="15" t="s">
        <v>36</v>
      </c>
      <c r="F71" s="15" t="s">
        <v>17</v>
      </c>
      <c r="G71" s="15" t="s">
        <v>28</v>
      </c>
      <c r="H71" s="15" t="n">
        <v>5</v>
      </c>
      <c r="I71" s="17" t="n">
        <v>0.2</v>
      </c>
      <c r="J71" s="18" t="n">
        <v>87.69</v>
      </c>
      <c r="K71" s="19" t="n">
        <v>11.44</v>
      </c>
      <c r="L71" s="15" t="n">
        <f aca="false">YEAR(B71)</f>
        <v>2025</v>
      </c>
      <c r="M71" s="20" t="n">
        <f aca="false">IF(J71&gt;0,K71/J71,0)</f>
        <v>0.130459573497548</v>
      </c>
    </row>
    <row r="72" customFormat="false" ht="15" hidden="false" customHeight="false" outlineLevel="0" collapsed="false">
      <c r="A72" s="15" t="s">
        <v>129</v>
      </c>
      <c r="B72" s="16" t="n">
        <v>45882</v>
      </c>
      <c r="C72" s="15" t="s">
        <v>68</v>
      </c>
      <c r="D72" s="15" t="s">
        <v>42</v>
      </c>
      <c r="E72" s="15" t="s">
        <v>38</v>
      </c>
      <c r="F72" s="15" t="s">
        <v>18</v>
      </c>
      <c r="G72" s="15" t="s">
        <v>30</v>
      </c>
      <c r="H72" s="15" t="n">
        <v>3</v>
      </c>
      <c r="I72" s="17" t="n">
        <v>0.1</v>
      </c>
      <c r="J72" s="18" t="n">
        <v>115.13</v>
      </c>
      <c r="K72" s="19" t="n">
        <v>25.13</v>
      </c>
      <c r="L72" s="15" t="n">
        <f aca="false">YEAR(B72)</f>
        <v>2025</v>
      </c>
      <c r="M72" s="20" t="n">
        <f aca="false">IF(J72&gt;0,K72/J72,0)</f>
        <v>0.218274993485625</v>
      </c>
    </row>
    <row r="73" customFormat="false" ht="15" hidden="false" customHeight="false" outlineLevel="0" collapsed="false">
      <c r="A73" s="15" t="s">
        <v>130</v>
      </c>
      <c r="B73" s="16" t="n">
        <v>44949</v>
      </c>
      <c r="C73" s="15" t="s">
        <v>56</v>
      </c>
      <c r="D73" s="15" t="s">
        <v>42</v>
      </c>
      <c r="E73" s="15" t="s">
        <v>36</v>
      </c>
      <c r="F73" s="15" t="s">
        <v>17</v>
      </c>
      <c r="G73" s="15" t="s">
        <v>31</v>
      </c>
      <c r="H73" s="15" t="n">
        <v>7</v>
      </c>
      <c r="I73" s="17" t="n">
        <v>0.1</v>
      </c>
      <c r="J73" s="18" t="n">
        <v>649.43</v>
      </c>
      <c r="K73" s="19" t="n">
        <v>44.29</v>
      </c>
      <c r="L73" s="15" t="n">
        <f aca="false">YEAR(B73)</f>
        <v>2023</v>
      </c>
      <c r="M73" s="20" t="n">
        <f aca="false">IF(J73&gt;0,K73/J73,0)</f>
        <v>0.0681982661718738</v>
      </c>
    </row>
    <row r="74" customFormat="false" ht="15" hidden="false" customHeight="false" outlineLevel="0" collapsed="false">
      <c r="A74" s="15" t="s">
        <v>131</v>
      </c>
      <c r="B74" s="16" t="n">
        <v>45955</v>
      </c>
      <c r="C74" s="15" t="s">
        <v>56</v>
      </c>
      <c r="D74" s="15" t="s">
        <v>43</v>
      </c>
      <c r="E74" s="15" t="s">
        <v>39</v>
      </c>
      <c r="F74" s="15" t="s">
        <v>17</v>
      </c>
      <c r="G74" s="15" t="s">
        <v>26</v>
      </c>
      <c r="H74" s="15" t="n">
        <v>4</v>
      </c>
      <c r="I74" s="17" t="n">
        <v>0.5</v>
      </c>
      <c r="J74" s="18" t="n">
        <v>160.58</v>
      </c>
      <c r="K74" s="19" t="n">
        <v>-47.12</v>
      </c>
      <c r="L74" s="15" t="n">
        <f aca="false">YEAR(B74)</f>
        <v>2025</v>
      </c>
      <c r="M74" s="20" t="n">
        <f aca="false">IF(J74&gt;0,K74/J74,0)</f>
        <v>-0.293436293436293</v>
      </c>
    </row>
    <row r="75" customFormat="false" ht="15" hidden="false" customHeight="false" outlineLevel="0" collapsed="false">
      <c r="A75" s="15" t="s">
        <v>132</v>
      </c>
      <c r="B75" s="16" t="n">
        <v>44882</v>
      </c>
      <c r="C75" s="15" t="s">
        <v>58</v>
      </c>
      <c r="D75" s="15" t="s">
        <v>42</v>
      </c>
      <c r="E75" s="15" t="s">
        <v>37</v>
      </c>
      <c r="F75" s="15" t="s">
        <v>18</v>
      </c>
      <c r="G75" s="15" t="s">
        <v>30</v>
      </c>
      <c r="H75" s="15" t="n">
        <v>2</v>
      </c>
      <c r="I75" s="17" t="n">
        <v>0</v>
      </c>
      <c r="J75" s="18" t="n">
        <v>103.13</v>
      </c>
      <c r="K75" s="19" t="n">
        <v>28.45</v>
      </c>
      <c r="L75" s="15" t="n">
        <f aca="false">YEAR(B75)</f>
        <v>2022</v>
      </c>
      <c r="M75" s="20" t="n">
        <f aca="false">IF(J75&gt;0,K75/J75,0)</f>
        <v>0.275865412586056</v>
      </c>
    </row>
    <row r="76" customFormat="false" ht="15" hidden="false" customHeight="false" outlineLevel="0" collapsed="false">
      <c r="A76" s="15" t="s">
        <v>133</v>
      </c>
      <c r="B76" s="16" t="n">
        <v>45685</v>
      </c>
      <c r="C76" s="15" t="s">
        <v>56</v>
      </c>
      <c r="D76" s="15" t="s">
        <v>42</v>
      </c>
      <c r="E76" s="15" t="s">
        <v>39</v>
      </c>
      <c r="F76" s="15" t="s">
        <v>16</v>
      </c>
      <c r="G76" s="15" t="s">
        <v>27</v>
      </c>
      <c r="H76" s="15" t="n">
        <v>4</v>
      </c>
      <c r="I76" s="17" t="n">
        <v>0.3</v>
      </c>
      <c r="J76" s="18" t="n">
        <v>198.16</v>
      </c>
      <c r="K76" s="19" t="n">
        <v>-20.34</v>
      </c>
      <c r="L76" s="15" t="n">
        <f aca="false">YEAR(B76)</f>
        <v>2025</v>
      </c>
      <c r="M76" s="20" t="n">
        <f aca="false">IF(J76&gt;0,K76/J76,0)</f>
        <v>-0.102644327815906</v>
      </c>
    </row>
    <row r="77" customFormat="false" ht="15" hidden="false" customHeight="false" outlineLevel="0" collapsed="false">
      <c r="A77" s="15" t="s">
        <v>134</v>
      </c>
      <c r="B77" s="16" t="n">
        <v>45085</v>
      </c>
      <c r="C77" s="15" t="s">
        <v>56</v>
      </c>
      <c r="D77" s="15" t="s">
        <v>43</v>
      </c>
      <c r="E77" s="15" t="s">
        <v>36</v>
      </c>
      <c r="F77" s="15" t="s">
        <v>17</v>
      </c>
      <c r="G77" s="15" t="s">
        <v>28</v>
      </c>
      <c r="H77" s="15" t="n">
        <v>2</v>
      </c>
      <c r="I77" s="17" t="n">
        <v>0.05</v>
      </c>
      <c r="J77" s="18" t="n">
        <v>59.27</v>
      </c>
      <c r="K77" s="19" t="n">
        <v>15.77</v>
      </c>
      <c r="L77" s="15" t="n">
        <f aca="false">YEAR(B77)</f>
        <v>2023</v>
      </c>
      <c r="M77" s="20" t="n">
        <f aca="false">IF(J77&gt;0,K77/J77,0)</f>
        <v>0.266070524717395</v>
      </c>
    </row>
    <row r="78" customFormat="false" ht="15" hidden="false" customHeight="false" outlineLevel="0" collapsed="false">
      <c r="A78" s="15" t="s">
        <v>135</v>
      </c>
      <c r="B78" s="16" t="n">
        <v>45608</v>
      </c>
      <c r="C78" s="15" t="s">
        <v>68</v>
      </c>
      <c r="D78" s="15" t="s">
        <v>43</v>
      </c>
      <c r="E78" s="15" t="s">
        <v>39</v>
      </c>
      <c r="F78" s="15" t="s">
        <v>17</v>
      </c>
      <c r="G78" s="15" t="s">
        <v>28</v>
      </c>
      <c r="H78" s="15" t="n">
        <v>4</v>
      </c>
      <c r="I78" s="17" t="n">
        <v>0.1</v>
      </c>
      <c r="J78" s="18" t="n">
        <v>91.25</v>
      </c>
      <c r="K78" s="19" t="n">
        <v>23.27</v>
      </c>
      <c r="L78" s="15" t="n">
        <f aca="false">YEAR(B78)</f>
        <v>2024</v>
      </c>
      <c r="M78" s="20" t="n">
        <f aca="false">IF(J78&gt;0,K78/J78,0)</f>
        <v>0.255013698630137</v>
      </c>
    </row>
    <row r="79" customFormat="false" ht="15" hidden="false" customHeight="false" outlineLevel="0" collapsed="false">
      <c r="A79" s="15" t="s">
        <v>136</v>
      </c>
      <c r="B79" s="16" t="n">
        <v>45808</v>
      </c>
      <c r="C79" s="15" t="s">
        <v>68</v>
      </c>
      <c r="D79" s="15" t="s">
        <v>44</v>
      </c>
      <c r="E79" s="15" t="s">
        <v>37</v>
      </c>
      <c r="F79" s="15" t="s">
        <v>17</v>
      </c>
      <c r="G79" s="15" t="s">
        <v>29</v>
      </c>
      <c r="H79" s="15" t="n">
        <v>4</v>
      </c>
      <c r="I79" s="17" t="n">
        <v>0.1</v>
      </c>
      <c r="J79" s="18" t="n">
        <v>60.4</v>
      </c>
      <c r="K79" s="19" t="n">
        <v>18.15</v>
      </c>
      <c r="L79" s="15" t="n">
        <f aca="false">YEAR(B79)</f>
        <v>2025</v>
      </c>
      <c r="M79" s="20" t="n">
        <f aca="false">IF(J79&gt;0,K79/J79,0)</f>
        <v>0.300496688741722</v>
      </c>
    </row>
    <row r="80" customFormat="false" ht="15" hidden="false" customHeight="false" outlineLevel="0" collapsed="false">
      <c r="A80" s="15" t="s">
        <v>137</v>
      </c>
      <c r="B80" s="16" t="n">
        <v>45440</v>
      </c>
      <c r="C80" s="15" t="s">
        <v>56</v>
      </c>
      <c r="D80" s="15" t="s">
        <v>43</v>
      </c>
      <c r="E80" s="15" t="s">
        <v>39</v>
      </c>
      <c r="F80" s="15" t="s">
        <v>17</v>
      </c>
      <c r="G80" s="15" t="s">
        <v>28</v>
      </c>
      <c r="H80" s="15" t="n">
        <v>2</v>
      </c>
      <c r="I80" s="17" t="n">
        <v>0</v>
      </c>
      <c r="J80" s="18" t="n">
        <v>43.23</v>
      </c>
      <c r="K80" s="19" t="n">
        <v>9.59</v>
      </c>
      <c r="L80" s="15" t="n">
        <f aca="false">YEAR(B80)</f>
        <v>2024</v>
      </c>
      <c r="M80" s="20" t="n">
        <f aca="false">IF(J80&gt;0,K80/J80,0)</f>
        <v>0.221836687485542</v>
      </c>
    </row>
    <row r="81" customFormat="false" ht="15" hidden="false" customHeight="false" outlineLevel="0" collapsed="false">
      <c r="A81" s="15" t="s">
        <v>138</v>
      </c>
      <c r="B81" s="16" t="n">
        <v>44865</v>
      </c>
      <c r="C81" s="15" t="s">
        <v>71</v>
      </c>
      <c r="D81" s="15" t="s">
        <v>42</v>
      </c>
      <c r="E81" s="15" t="s">
        <v>36</v>
      </c>
      <c r="F81" s="15" t="s">
        <v>17</v>
      </c>
      <c r="G81" s="15" t="s">
        <v>31</v>
      </c>
      <c r="H81" s="15" t="n">
        <v>3</v>
      </c>
      <c r="I81" s="17" t="n">
        <v>0</v>
      </c>
      <c r="J81" s="18" t="n">
        <v>355.8</v>
      </c>
      <c r="K81" s="19" t="n">
        <v>86.18</v>
      </c>
      <c r="L81" s="15" t="n">
        <f aca="false">YEAR(B81)</f>
        <v>2022</v>
      </c>
      <c r="M81" s="20" t="n">
        <f aca="false">IF(J81&gt;0,K81/J81,0)</f>
        <v>0.24221472737493</v>
      </c>
    </row>
    <row r="82" customFormat="false" ht="15" hidden="false" customHeight="false" outlineLevel="0" collapsed="false">
      <c r="A82" s="15" t="s">
        <v>139</v>
      </c>
      <c r="B82" s="16" t="n">
        <v>44912</v>
      </c>
      <c r="C82" s="15" t="s">
        <v>56</v>
      </c>
      <c r="D82" s="15" t="s">
        <v>42</v>
      </c>
      <c r="E82" s="15" t="s">
        <v>39</v>
      </c>
      <c r="F82" s="15" t="s">
        <v>18</v>
      </c>
      <c r="G82" s="15" t="s">
        <v>32</v>
      </c>
      <c r="H82" s="15" t="n">
        <v>7</v>
      </c>
      <c r="I82" s="17" t="n">
        <v>0</v>
      </c>
      <c r="J82" s="18" t="n">
        <v>2960.53</v>
      </c>
      <c r="K82" s="19" t="n">
        <v>560.95</v>
      </c>
      <c r="L82" s="15" t="n">
        <f aca="false">YEAR(B82)</f>
        <v>2022</v>
      </c>
      <c r="M82" s="20" t="n">
        <f aca="false">IF(J82&gt;0,K82/J82,0)</f>
        <v>0.189476208651829</v>
      </c>
    </row>
    <row r="83" customFormat="false" ht="15" hidden="false" customHeight="false" outlineLevel="0" collapsed="false">
      <c r="A83" s="15" t="s">
        <v>140</v>
      </c>
      <c r="B83" s="16" t="n">
        <v>45958</v>
      </c>
      <c r="C83" s="15" t="s">
        <v>56</v>
      </c>
      <c r="D83" s="15" t="s">
        <v>43</v>
      </c>
      <c r="E83" s="15" t="s">
        <v>38</v>
      </c>
      <c r="F83" s="15" t="s">
        <v>16</v>
      </c>
      <c r="G83" s="15" t="s">
        <v>25</v>
      </c>
      <c r="H83" s="15" t="n">
        <v>5</v>
      </c>
      <c r="I83" s="17" t="n">
        <v>0.15</v>
      </c>
      <c r="J83" s="18" t="n">
        <v>1167.15</v>
      </c>
      <c r="K83" s="19" t="n">
        <v>-41.49</v>
      </c>
      <c r="L83" s="15" t="n">
        <f aca="false">YEAR(B83)</f>
        <v>2025</v>
      </c>
      <c r="M83" s="20" t="n">
        <f aca="false">IF(J83&gt;0,K83/J83,0)</f>
        <v>-0.0355481300604036</v>
      </c>
    </row>
    <row r="84" customFormat="false" ht="15" hidden="false" customHeight="false" outlineLevel="0" collapsed="false">
      <c r="A84" s="15" t="s">
        <v>141</v>
      </c>
      <c r="B84" s="16" t="n">
        <v>45396</v>
      </c>
      <c r="C84" s="15" t="s">
        <v>68</v>
      </c>
      <c r="D84" s="15" t="s">
        <v>42</v>
      </c>
      <c r="E84" s="15" t="s">
        <v>36</v>
      </c>
      <c r="F84" s="15" t="s">
        <v>17</v>
      </c>
      <c r="G84" s="15" t="s">
        <v>26</v>
      </c>
      <c r="H84" s="15" t="n">
        <v>3</v>
      </c>
      <c r="I84" s="17" t="n">
        <v>0</v>
      </c>
      <c r="J84" s="18" t="n">
        <v>233.1</v>
      </c>
      <c r="K84" s="19" t="n">
        <v>13.38</v>
      </c>
      <c r="L84" s="15" t="n">
        <f aca="false">YEAR(B84)</f>
        <v>2024</v>
      </c>
      <c r="M84" s="20" t="n">
        <f aca="false">IF(J84&gt;0,K84/J84,0)</f>
        <v>0.0574002574002574</v>
      </c>
    </row>
    <row r="85" customFormat="false" ht="15" hidden="false" customHeight="false" outlineLevel="0" collapsed="false">
      <c r="A85" s="15" t="s">
        <v>142</v>
      </c>
      <c r="B85" s="16" t="n">
        <v>44854</v>
      </c>
      <c r="C85" s="15" t="s">
        <v>71</v>
      </c>
      <c r="D85" s="15" t="s">
        <v>43</v>
      </c>
      <c r="E85" s="15" t="s">
        <v>36</v>
      </c>
      <c r="F85" s="15" t="s">
        <v>17</v>
      </c>
      <c r="G85" s="15" t="s">
        <v>31</v>
      </c>
      <c r="H85" s="15" t="n">
        <v>3</v>
      </c>
      <c r="I85" s="17" t="n">
        <v>0.1</v>
      </c>
      <c r="J85" s="18" t="n">
        <v>382.41</v>
      </c>
      <c r="K85" s="19" t="n">
        <v>69.65</v>
      </c>
      <c r="L85" s="15" t="n">
        <f aca="false">YEAR(B85)</f>
        <v>2022</v>
      </c>
      <c r="M85" s="20" t="n">
        <f aca="false">IF(J85&gt;0,K85/J85,0)</f>
        <v>0.182134358411129</v>
      </c>
    </row>
    <row r="86" customFormat="false" ht="15" hidden="false" customHeight="false" outlineLevel="0" collapsed="false">
      <c r="A86" s="15" t="s">
        <v>143</v>
      </c>
      <c r="B86" s="16" t="n">
        <v>45391</v>
      </c>
      <c r="C86" s="15" t="s">
        <v>68</v>
      </c>
      <c r="D86" s="15" t="s">
        <v>42</v>
      </c>
      <c r="E86" s="15" t="s">
        <v>38</v>
      </c>
      <c r="F86" s="15" t="s">
        <v>18</v>
      </c>
      <c r="G86" s="15" t="s">
        <v>30</v>
      </c>
      <c r="H86" s="15" t="n">
        <v>4</v>
      </c>
      <c r="I86" s="17" t="n">
        <v>0.1</v>
      </c>
      <c r="J86" s="18" t="n">
        <v>152.33</v>
      </c>
      <c r="K86" s="19" t="n">
        <v>30.26</v>
      </c>
      <c r="L86" s="15" t="n">
        <f aca="false">YEAR(B86)</f>
        <v>2024</v>
      </c>
      <c r="M86" s="20" t="n">
        <f aca="false">IF(J86&gt;0,K86/J86,0)</f>
        <v>0.198647672815598</v>
      </c>
    </row>
    <row r="87" customFormat="false" ht="15" hidden="false" customHeight="false" outlineLevel="0" collapsed="false">
      <c r="A87" s="15" t="s">
        <v>144</v>
      </c>
      <c r="B87" s="16" t="n">
        <v>45162</v>
      </c>
      <c r="C87" s="15" t="s">
        <v>71</v>
      </c>
      <c r="D87" s="15" t="s">
        <v>43</v>
      </c>
      <c r="E87" s="15" t="s">
        <v>36</v>
      </c>
      <c r="F87" s="15" t="s">
        <v>16</v>
      </c>
      <c r="G87" s="15" t="s">
        <v>27</v>
      </c>
      <c r="H87" s="15" t="n">
        <v>1</v>
      </c>
      <c r="I87" s="17" t="n">
        <v>0.15</v>
      </c>
      <c r="J87" s="18" t="n">
        <v>49.81</v>
      </c>
      <c r="K87" s="19" t="n">
        <v>3.33</v>
      </c>
      <c r="L87" s="15" t="n">
        <f aca="false">YEAR(B87)</f>
        <v>2023</v>
      </c>
      <c r="M87" s="20" t="n">
        <f aca="false">IF(J87&gt;0,K87/J87,0)</f>
        <v>0.0668540453724152</v>
      </c>
    </row>
    <row r="88" customFormat="false" ht="15" hidden="false" customHeight="false" outlineLevel="0" collapsed="false">
      <c r="A88" s="15" t="s">
        <v>145</v>
      </c>
      <c r="B88" s="16" t="n">
        <v>44991</v>
      </c>
      <c r="C88" s="15" t="s">
        <v>71</v>
      </c>
      <c r="D88" s="15" t="s">
        <v>42</v>
      </c>
      <c r="E88" s="15" t="s">
        <v>37</v>
      </c>
      <c r="F88" s="15" t="s">
        <v>17</v>
      </c>
      <c r="G88" s="15" t="s">
        <v>28</v>
      </c>
      <c r="H88" s="15" t="n">
        <v>5</v>
      </c>
      <c r="I88" s="17" t="n">
        <v>0</v>
      </c>
      <c r="J88" s="18" t="n">
        <v>121.47</v>
      </c>
      <c r="K88" s="19" t="n">
        <v>30.11</v>
      </c>
      <c r="L88" s="15" t="n">
        <f aca="false">YEAR(B88)</f>
        <v>2023</v>
      </c>
      <c r="M88" s="20" t="n">
        <f aca="false">IF(J88&gt;0,K88/J88,0)</f>
        <v>0.24788013501276</v>
      </c>
    </row>
    <row r="89" customFormat="false" ht="15" hidden="false" customHeight="false" outlineLevel="0" collapsed="false">
      <c r="A89" s="15" t="s">
        <v>146</v>
      </c>
      <c r="B89" s="16" t="n">
        <v>45540</v>
      </c>
      <c r="C89" s="15" t="s">
        <v>68</v>
      </c>
      <c r="D89" s="15" t="s">
        <v>42</v>
      </c>
      <c r="E89" s="15" t="s">
        <v>37</v>
      </c>
      <c r="F89" s="15" t="s">
        <v>17</v>
      </c>
      <c r="G89" s="15" t="s">
        <v>31</v>
      </c>
      <c r="H89" s="15" t="n">
        <v>3</v>
      </c>
      <c r="I89" s="17" t="n">
        <v>0.2</v>
      </c>
      <c r="J89" s="18" t="n">
        <v>350</v>
      </c>
      <c r="K89" s="19" t="n">
        <v>-2.2</v>
      </c>
      <c r="L89" s="15" t="n">
        <f aca="false">YEAR(B89)</f>
        <v>2024</v>
      </c>
      <c r="M89" s="20" t="n">
        <f aca="false">IF(J89&gt;0,K89/J89,0)</f>
        <v>-0.00628571428571429</v>
      </c>
    </row>
    <row r="90" customFormat="false" ht="15" hidden="false" customHeight="false" outlineLevel="0" collapsed="false">
      <c r="A90" s="15" t="s">
        <v>147</v>
      </c>
      <c r="B90" s="16" t="n">
        <v>45636</v>
      </c>
      <c r="C90" s="15" t="s">
        <v>71</v>
      </c>
      <c r="D90" s="15" t="s">
        <v>42</v>
      </c>
      <c r="E90" s="15" t="s">
        <v>36</v>
      </c>
      <c r="F90" s="15" t="s">
        <v>18</v>
      </c>
      <c r="G90" s="15" t="s">
        <v>24</v>
      </c>
      <c r="H90" s="15" t="n">
        <v>4</v>
      </c>
      <c r="I90" s="17" t="n">
        <v>0.2</v>
      </c>
      <c r="J90" s="18" t="n">
        <v>1642.66</v>
      </c>
      <c r="K90" s="19" t="n">
        <v>-193.79</v>
      </c>
      <c r="L90" s="15" t="n">
        <f aca="false">YEAR(B90)</f>
        <v>2024</v>
      </c>
      <c r="M90" s="20" t="n">
        <f aca="false">IF(J90&gt;0,K90/J90,0)</f>
        <v>-0.11797328722925</v>
      </c>
    </row>
    <row r="91" customFormat="false" ht="15" hidden="false" customHeight="false" outlineLevel="0" collapsed="false">
      <c r="A91" s="15" t="s">
        <v>148</v>
      </c>
      <c r="B91" s="16" t="n">
        <v>45782</v>
      </c>
      <c r="C91" s="15" t="s">
        <v>56</v>
      </c>
      <c r="D91" s="15" t="s">
        <v>44</v>
      </c>
      <c r="E91" s="15" t="s">
        <v>37</v>
      </c>
      <c r="F91" s="15" t="s">
        <v>18</v>
      </c>
      <c r="G91" s="15" t="s">
        <v>30</v>
      </c>
      <c r="H91" s="15" t="n">
        <v>3</v>
      </c>
      <c r="I91" s="17" t="n">
        <v>0</v>
      </c>
      <c r="J91" s="18" t="n">
        <v>151.63</v>
      </c>
      <c r="K91" s="19" t="n">
        <v>48.36</v>
      </c>
      <c r="L91" s="15" t="n">
        <f aca="false">YEAR(B91)</f>
        <v>2025</v>
      </c>
      <c r="M91" s="20" t="n">
        <f aca="false">IF(J91&gt;0,K91/J91,0)</f>
        <v>0.318934247840137</v>
      </c>
    </row>
    <row r="92" customFormat="false" ht="15" hidden="false" customHeight="false" outlineLevel="0" collapsed="false">
      <c r="A92" s="15" t="s">
        <v>149</v>
      </c>
      <c r="B92" s="16" t="n">
        <v>45261</v>
      </c>
      <c r="C92" s="15" t="s">
        <v>56</v>
      </c>
      <c r="D92" s="15" t="s">
        <v>42</v>
      </c>
      <c r="E92" s="15" t="s">
        <v>36</v>
      </c>
      <c r="F92" s="15" t="s">
        <v>17</v>
      </c>
      <c r="G92" s="15" t="s">
        <v>29</v>
      </c>
      <c r="H92" s="15" t="n">
        <v>4</v>
      </c>
      <c r="I92" s="17" t="n">
        <v>0</v>
      </c>
      <c r="J92" s="18" t="n">
        <v>75.97</v>
      </c>
      <c r="K92" s="19" t="n">
        <v>28.1</v>
      </c>
      <c r="L92" s="15" t="n">
        <f aca="false">YEAR(B92)</f>
        <v>2023</v>
      </c>
      <c r="M92" s="20" t="n">
        <f aca="false">IF(J92&gt;0,K92/J92,0)</f>
        <v>0.369882848492826</v>
      </c>
    </row>
    <row r="93" customFormat="false" ht="15" hidden="false" customHeight="false" outlineLevel="0" collapsed="false">
      <c r="A93" s="15" t="s">
        <v>150</v>
      </c>
      <c r="B93" s="16" t="n">
        <v>44612</v>
      </c>
      <c r="C93" s="15" t="s">
        <v>56</v>
      </c>
      <c r="D93" s="15" t="s">
        <v>42</v>
      </c>
      <c r="E93" s="15" t="s">
        <v>36</v>
      </c>
      <c r="F93" s="15" t="s">
        <v>16</v>
      </c>
      <c r="G93" s="15" t="s">
        <v>22</v>
      </c>
      <c r="H93" s="15" t="n">
        <v>3</v>
      </c>
      <c r="I93" s="17" t="n">
        <v>0.15</v>
      </c>
      <c r="J93" s="18" t="n">
        <v>1178.64</v>
      </c>
      <c r="K93" s="19" t="n">
        <v>-296.86</v>
      </c>
      <c r="L93" s="15" t="n">
        <f aca="false">YEAR(B93)</f>
        <v>2022</v>
      </c>
      <c r="M93" s="20" t="n">
        <f aca="false">IF(J93&gt;0,K93/J93,0)</f>
        <v>-0.251866558066925</v>
      </c>
    </row>
    <row r="94" customFormat="false" ht="15" hidden="false" customHeight="false" outlineLevel="0" collapsed="false">
      <c r="A94" s="15" t="s">
        <v>151</v>
      </c>
      <c r="B94" s="16" t="n">
        <v>45224</v>
      </c>
      <c r="C94" s="15" t="s">
        <v>56</v>
      </c>
      <c r="D94" s="15" t="s">
        <v>42</v>
      </c>
      <c r="E94" s="15" t="s">
        <v>37</v>
      </c>
      <c r="F94" s="15" t="s">
        <v>18</v>
      </c>
      <c r="G94" s="15" t="s">
        <v>24</v>
      </c>
      <c r="H94" s="15" t="n">
        <v>2</v>
      </c>
      <c r="I94" s="17" t="n">
        <v>0</v>
      </c>
      <c r="J94" s="18" t="n">
        <v>1199.74</v>
      </c>
      <c r="K94" s="19" t="n">
        <v>44.64</v>
      </c>
      <c r="L94" s="15" t="n">
        <f aca="false">YEAR(B94)</f>
        <v>2023</v>
      </c>
      <c r="M94" s="20" t="n">
        <f aca="false">IF(J94&gt;0,K94/J94,0)</f>
        <v>0.0372080617467118</v>
      </c>
    </row>
    <row r="95" customFormat="false" ht="15" hidden="false" customHeight="false" outlineLevel="0" collapsed="false">
      <c r="A95" s="15" t="s">
        <v>152</v>
      </c>
      <c r="B95" s="16" t="n">
        <v>45461</v>
      </c>
      <c r="C95" s="15" t="s">
        <v>68</v>
      </c>
      <c r="D95" s="15" t="s">
        <v>42</v>
      </c>
      <c r="E95" s="15" t="s">
        <v>37</v>
      </c>
      <c r="F95" s="15" t="s">
        <v>16</v>
      </c>
      <c r="G95" s="15" t="s">
        <v>27</v>
      </c>
      <c r="H95" s="15" t="n">
        <v>2</v>
      </c>
      <c r="I95" s="17" t="n">
        <v>0.4</v>
      </c>
      <c r="J95" s="18" t="n">
        <v>68.34</v>
      </c>
      <c r="K95" s="19" t="n">
        <v>-14.5</v>
      </c>
      <c r="L95" s="15" t="n">
        <f aca="false">YEAR(B95)</f>
        <v>2024</v>
      </c>
      <c r="M95" s="20" t="n">
        <f aca="false">IF(J95&gt;0,K95/J95,0)</f>
        <v>-0.212174422007609</v>
      </c>
    </row>
    <row r="96" customFormat="false" ht="15" hidden="false" customHeight="false" outlineLevel="0" collapsed="false">
      <c r="A96" s="15" t="s">
        <v>153</v>
      </c>
      <c r="B96" s="16" t="n">
        <v>45282</v>
      </c>
      <c r="C96" s="15" t="s">
        <v>56</v>
      </c>
      <c r="D96" s="15" t="s">
        <v>42</v>
      </c>
      <c r="E96" s="15" t="s">
        <v>36</v>
      </c>
      <c r="F96" s="15" t="s">
        <v>17</v>
      </c>
      <c r="G96" s="15" t="s">
        <v>28</v>
      </c>
      <c r="H96" s="15" t="n">
        <v>4</v>
      </c>
      <c r="I96" s="17" t="n">
        <v>0</v>
      </c>
      <c r="J96" s="18" t="n">
        <v>82.32</v>
      </c>
      <c r="K96" s="19" t="n">
        <v>27.92</v>
      </c>
      <c r="L96" s="15" t="n">
        <f aca="false">YEAR(B96)</f>
        <v>2023</v>
      </c>
      <c r="M96" s="20" t="n">
        <f aca="false">IF(J96&gt;0,K96/J96,0)</f>
        <v>0.339164237123421</v>
      </c>
    </row>
    <row r="97" customFormat="false" ht="15" hidden="false" customHeight="false" outlineLevel="0" collapsed="false">
      <c r="A97" s="15" t="s">
        <v>154</v>
      </c>
      <c r="B97" s="16" t="n">
        <v>44803</v>
      </c>
      <c r="C97" s="15" t="s">
        <v>56</v>
      </c>
      <c r="D97" s="15" t="s">
        <v>42</v>
      </c>
      <c r="E97" s="15" t="s">
        <v>39</v>
      </c>
      <c r="F97" s="15" t="s">
        <v>16</v>
      </c>
      <c r="G97" s="15" t="s">
        <v>25</v>
      </c>
      <c r="H97" s="15" t="n">
        <v>1</v>
      </c>
      <c r="I97" s="17" t="n">
        <v>0.4</v>
      </c>
      <c r="J97" s="18" t="n">
        <v>170.8</v>
      </c>
      <c r="K97" s="19" t="n">
        <v>-42.61</v>
      </c>
      <c r="L97" s="15" t="n">
        <f aca="false">YEAR(B97)</f>
        <v>2022</v>
      </c>
      <c r="M97" s="20" t="n">
        <f aca="false">IF(J97&gt;0,K97/J97,0)</f>
        <v>-0.249473067915691</v>
      </c>
    </row>
    <row r="98" customFormat="false" ht="15" hidden="false" customHeight="false" outlineLevel="0" collapsed="false">
      <c r="A98" s="15" t="s">
        <v>155</v>
      </c>
      <c r="B98" s="16" t="n">
        <v>45964</v>
      </c>
      <c r="C98" s="15" t="s">
        <v>56</v>
      </c>
      <c r="D98" s="15" t="s">
        <v>44</v>
      </c>
      <c r="E98" s="15" t="s">
        <v>36</v>
      </c>
      <c r="F98" s="15" t="s">
        <v>17</v>
      </c>
      <c r="G98" s="15" t="s">
        <v>29</v>
      </c>
      <c r="H98" s="15" t="n">
        <v>3</v>
      </c>
      <c r="I98" s="17" t="n">
        <v>0</v>
      </c>
      <c r="J98" s="18" t="n">
        <v>43.5</v>
      </c>
      <c r="K98" s="19" t="n">
        <v>16.91</v>
      </c>
      <c r="L98" s="15" t="n">
        <f aca="false">YEAR(B98)</f>
        <v>2025</v>
      </c>
      <c r="M98" s="20" t="n">
        <f aca="false">IF(J98&gt;0,K98/J98,0)</f>
        <v>0.388735632183908</v>
      </c>
    </row>
    <row r="99" customFormat="false" ht="15" hidden="false" customHeight="false" outlineLevel="0" collapsed="false">
      <c r="A99" s="15" t="s">
        <v>156</v>
      </c>
      <c r="B99" s="16" t="n">
        <v>45597</v>
      </c>
      <c r="C99" s="15" t="s">
        <v>56</v>
      </c>
      <c r="D99" s="15" t="s">
        <v>42</v>
      </c>
      <c r="E99" s="15" t="s">
        <v>39</v>
      </c>
      <c r="F99" s="15" t="s">
        <v>17</v>
      </c>
      <c r="G99" s="15" t="s">
        <v>26</v>
      </c>
      <c r="H99" s="15" t="n">
        <v>3</v>
      </c>
      <c r="I99" s="17" t="n">
        <v>0</v>
      </c>
      <c r="J99" s="18" t="n">
        <v>272.2</v>
      </c>
      <c r="K99" s="19" t="n">
        <v>10.38</v>
      </c>
      <c r="L99" s="15" t="n">
        <f aca="false">YEAR(B99)</f>
        <v>2024</v>
      </c>
      <c r="M99" s="20" t="n">
        <f aca="false">IF(J99&gt;0,K99/J99,0)</f>
        <v>0.0381337252020573</v>
      </c>
    </row>
    <row r="100" customFormat="false" ht="15" hidden="false" customHeight="false" outlineLevel="0" collapsed="false">
      <c r="A100" s="15" t="s">
        <v>157</v>
      </c>
      <c r="B100" s="16" t="n">
        <v>45954</v>
      </c>
      <c r="C100" s="15" t="s">
        <v>56</v>
      </c>
      <c r="D100" s="15" t="s">
        <v>42</v>
      </c>
      <c r="E100" s="15" t="s">
        <v>39</v>
      </c>
      <c r="F100" s="15" t="s">
        <v>18</v>
      </c>
      <c r="G100" s="15" t="s">
        <v>33</v>
      </c>
      <c r="H100" s="15" t="n">
        <v>4</v>
      </c>
      <c r="I100" s="17" t="n">
        <v>0</v>
      </c>
      <c r="J100" s="18" t="n">
        <v>3783.89</v>
      </c>
      <c r="K100" s="19" t="n">
        <v>779.63</v>
      </c>
      <c r="L100" s="15" t="n">
        <f aca="false">YEAR(B100)</f>
        <v>2025</v>
      </c>
      <c r="M100" s="20" t="n">
        <f aca="false">IF(J100&gt;0,K100/J100,0)</f>
        <v>0.206039287611426</v>
      </c>
    </row>
    <row r="101" customFormat="false" ht="15" hidden="false" customHeight="false" outlineLevel="0" collapsed="false">
      <c r="A101" s="15" t="s">
        <v>158</v>
      </c>
      <c r="B101" s="16" t="n">
        <v>44989</v>
      </c>
      <c r="C101" s="15" t="s">
        <v>56</v>
      </c>
      <c r="D101" s="15" t="s">
        <v>42</v>
      </c>
      <c r="E101" s="15" t="s">
        <v>36</v>
      </c>
      <c r="F101" s="15" t="s">
        <v>16</v>
      </c>
      <c r="G101" s="15" t="s">
        <v>27</v>
      </c>
      <c r="H101" s="15" t="n">
        <v>4</v>
      </c>
      <c r="I101" s="17" t="n">
        <v>0</v>
      </c>
      <c r="J101" s="18" t="n">
        <v>247.65</v>
      </c>
      <c r="K101" s="19" t="n">
        <v>48.05</v>
      </c>
      <c r="L101" s="15" t="n">
        <f aca="false">YEAR(B101)</f>
        <v>2023</v>
      </c>
      <c r="M101" s="20" t="n">
        <f aca="false">IF(J101&gt;0,K101/J101,0)</f>
        <v>0.194023823945084</v>
      </c>
    </row>
    <row r="102" customFormat="false" ht="15" hidden="false" customHeight="false" outlineLevel="0" collapsed="false">
      <c r="A102" s="15" t="s">
        <v>159</v>
      </c>
      <c r="B102" s="16" t="n">
        <v>45357</v>
      </c>
      <c r="C102" s="15" t="s">
        <v>71</v>
      </c>
      <c r="D102" s="15" t="s">
        <v>42</v>
      </c>
      <c r="E102" s="15" t="s">
        <v>39</v>
      </c>
      <c r="F102" s="15" t="s">
        <v>17</v>
      </c>
      <c r="G102" s="15" t="s">
        <v>31</v>
      </c>
      <c r="H102" s="15" t="n">
        <v>2</v>
      </c>
      <c r="I102" s="17" t="n">
        <v>0.3</v>
      </c>
      <c r="J102" s="18" t="n">
        <v>197.98</v>
      </c>
      <c r="K102" s="19" t="n">
        <v>-16.13</v>
      </c>
      <c r="L102" s="15" t="n">
        <f aca="false">YEAR(B102)</f>
        <v>2024</v>
      </c>
      <c r="M102" s="20" t="n">
        <f aca="false">IF(J102&gt;0,K102/J102,0)</f>
        <v>-0.0814728760480857</v>
      </c>
    </row>
    <row r="103" customFormat="false" ht="15" hidden="false" customHeight="false" outlineLevel="0" collapsed="false">
      <c r="A103" s="15" t="s">
        <v>160</v>
      </c>
      <c r="B103" s="16" t="n">
        <v>44933</v>
      </c>
      <c r="C103" s="15" t="s">
        <v>56</v>
      </c>
      <c r="D103" s="15" t="s">
        <v>42</v>
      </c>
      <c r="E103" s="15" t="s">
        <v>36</v>
      </c>
      <c r="F103" s="15" t="s">
        <v>17</v>
      </c>
      <c r="G103" s="15" t="s">
        <v>28</v>
      </c>
      <c r="H103" s="15" t="n">
        <v>1</v>
      </c>
      <c r="I103" s="17" t="n">
        <v>0.1</v>
      </c>
      <c r="J103" s="18" t="n">
        <v>22.42</v>
      </c>
      <c r="K103" s="19" t="n">
        <v>4.08</v>
      </c>
      <c r="L103" s="15" t="n">
        <f aca="false">YEAR(B103)</f>
        <v>2023</v>
      </c>
      <c r="M103" s="20" t="n">
        <f aca="false">IF(J103&gt;0,K103/J103,0)</f>
        <v>0.181980374665477</v>
      </c>
    </row>
    <row r="104" customFormat="false" ht="15" hidden="false" customHeight="false" outlineLevel="0" collapsed="false">
      <c r="A104" s="15" t="s">
        <v>161</v>
      </c>
      <c r="B104" s="16" t="n">
        <v>45495</v>
      </c>
      <c r="C104" s="15" t="s">
        <v>58</v>
      </c>
      <c r="D104" s="15" t="s">
        <v>44</v>
      </c>
      <c r="E104" s="15" t="s">
        <v>36</v>
      </c>
      <c r="F104" s="15" t="s">
        <v>17</v>
      </c>
      <c r="G104" s="15" t="s">
        <v>28</v>
      </c>
      <c r="H104" s="15" t="n">
        <v>2</v>
      </c>
      <c r="I104" s="17" t="n">
        <v>0.4</v>
      </c>
      <c r="J104" s="18" t="n">
        <v>26.6</v>
      </c>
      <c r="K104" s="19" t="n">
        <v>-0.22</v>
      </c>
      <c r="L104" s="15" t="n">
        <f aca="false">YEAR(B104)</f>
        <v>2024</v>
      </c>
      <c r="M104" s="20" t="n">
        <f aca="false">IF(J104&gt;0,K104/J104,0)</f>
        <v>-0.00827067669172932</v>
      </c>
    </row>
    <row r="105" customFormat="false" ht="15" hidden="false" customHeight="false" outlineLevel="0" collapsed="false">
      <c r="A105" s="15" t="s">
        <v>162</v>
      </c>
      <c r="B105" s="16" t="n">
        <v>44809</v>
      </c>
      <c r="C105" s="15" t="s">
        <v>56</v>
      </c>
      <c r="D105" s="15" t="s">
        <v>42</v>
      </c>
      <c r="E105" s="15" t="s">
        <v>37</v>
      </c>
      <c r="F105" s="15" t="s">
        <v>18</v>
      </c>
      <c r="G105" s="15" t="s">
        <v>32</v>
      </c>
      <c r="H105" s="15" t="n">
        <v>5</v>
      </c>
      <c r="I105" s="17" t="n">
        <v>0</v>
      </c>
      <c r="J105" s="18" t="n">
        <v>1813.06</v>
      </c>
      <c r="K105" s="19" t="n">
        <v>408.17</v>
      </c>
      <c r="L105" s="15" t="n">
        <f aca="false">YEAR(B105)</f>
        <v>2022</v>
      </c>
      <c r="M105" s="20" t="n">
        <f aca="false">IF(J105&gt;0,K105/J105,0)</f>
        <v>0.225127684687765</v>
      </c>
    </row>
    <row r="106" customFormat="false" ht="15" hidden="false" customHeight="false" outlineLevel="0" collapsed="false">
      <c r="A106" s="15" t="s">
        <v>163</v>
      </c>
      <c r="B106" s="16" t="n">
        <v>45511</v>
      </c>
      <c r="C106" s="15" t="s">
        <v>56</v>
      </c>
      <c r="D106" s="15" t="s">
        <v>43</v>
      </c>
      <c r="E106" s="15" t="s">
        <v>38</v>
      </c>
      <c r="F106" s="15" t="s">
        <v>16</v>
      </c>
      <c r="G106" s="15" t="s">
        <v>22</v>
      </c>
      <c r="H106" s="15" t="n">
        <v>7</v>
      </c>
      <c r="I106" s="17" t="n">
        <v>0.1</v>
      </c>
      <c r="J106" s="18" t="n">
        <v>4157.27</v>
      </c>
      <c r="K106" s="19" t="n">
        <v>-623.53</v>
      </c>
      <c r="L106" s="15" t="n">
        <f aca="false">YEAR(B106)</f>
        <v>2024</v>
      </c>
      <c r="M106" s="20" t="n">
        <f aca="false">IF(J106&gt;0,K106/J106,0)</f>
        <v>-0.149985447180481</v>
      </c>
    </row>
    <row r="107" customFormat="false" ht="15" hidden="false" customHeight="false" outlineLevel="0" collapsed="false">
      <c r="A107" s="15" t="s">
        <v>164</v>
      </c>
      <c r="B107" s="16" t="n">
        <v>46009</v>
      </c>
      <c r="C107" s="15" t="s">
        <v>56</v>
      </c>
      <c r="D107" s="15" t="s">
        <v>44</v>
      </c>
      <c r="E107" s="15" t="s">
        <v>38</v>
      </c>
      <c r="F107" s="15" t="s">
        <v>18</v>
      </c>
      <c r="G107" s="15" t="s">
        <v>24</v>
      </c>
      <c r="H107" s="15" t="n">
        <v>4</v>
      </c>
      <c r="I107" s="17" t="n">
        <v>0.2</v>
      </c>
      <c r="J107" s="18" t="n">
        <v>1808.64</v>
      </c>
      <c r="K107" s="19" t="n">
        <v>-148.02</v>
      </c>
      <c r="L107" s="15" t="n">
        <f aca="false">YEAR(B107)</f>
        <v>2025</v>
      </c>
      <c r="M107" s="20" t="n">
        <f aca="false">IF(J107&gt;0,K107/J107,0)</f>
        <v>-0.0818404989384289</v>
      </c>
    </row>
    <row r="108" customFormat="false" ht="15" hidden="false" customHeight="false" outlineLevel="0" collapsed="false">
      <c r="A108" s="15" t="s">
        <v>165</v>
      </c>
      <c r="B108" s="16" t="n">
        <v>45195</v>
      </c>
      <c r="C108" s="15" t="s">
        <v>56</v>
      </c>
      <c r="D108" s="15" t="s">
        <v>42</v>
      </c>
      <c r="E108" s="15" t="s">
        <v>37</v>
      </c>
      <c r="F108" s="15" t="s">
        <v>18</v>
      </c>
      <c r="G108" s="15" t="s">
        <v>32</v>
      </c>
      <c r="H108" s="15" t="n">
        <v>4</v>
      </c>
      <c r="I108" s="17" t="n">
        <v>0</v>
      </c>
      <c r="J108" s="18" t="n">
        <v>1537.91</v>
      </c>
      <c r="K108" s="19" t="n">
        <v>246.21</v>
      </c>
      <c r="L108" s="15" t="n">
        <f aca="false">YEAR(B108)</f>
        <v>2023</v>
      </c>
      <c r="M108" s="20" t="n">
        <f aca="false">IF(J108&gt;0,K108/J108,0)</f>
        <v>0.160093893660877</v>
      </c>
    </row>
    <row r="109" customFormat="false" ht="15" hidden="false" customHeight="false" outlineLevel="0" collapsed="false">
      <c r="A109" s="15" t="s">
        <v>166</v>
      </c>
      <c r="B109" s="16" t="n">
        <v>44925</v>
      </c>
      <c r="C109" s="15" t="s">
        <v>68</v>
      </c>
      <c r="D109" s="15" t="s">
        <v>42</v>
      </c>
      <c r="E109" s="15" t="s">
        <v>36</v>
      </c>
      <c r="F109" s="15" t="s">
        <v>18</v>
      </c>
      <c r="G109" s="15" t="s">
        <v>30</v>
      </c>
      <c r="H109" s="15" t="n">
        <v>1</v>
      </c>
      <c r="I109" s="17" t="n">
        <v>0</v>
      </c>
      <c r="J109" s="18" t="n">
        <v>34.11</v>
      </c>
      <c r="K109" s="19" t="n">
        <v>10.69</v>
      </c>
      <c r="L109" s="15" t="n">
        <f aca="false">YEAR(B109)</f>
        <v>2022</v>
      </c>
      <c r="M109" s="20" t="n">
        <f aca="false">IF(J109&gt;0,K109/J109,0)</f>
        <v>0.313397830548226</v>
      </c>
    </row>
    <row r="110" customFormat="false" ht="15" hidden="false" customHeight="false" outlineLevel="0" collapsed="false">
      <c r="A110" s="15" t="s">
        <v>167</v>
      </c>
      <c r="B110" s="16" t="n">
        <v>45238</v>
      </c>
      <c r="C110" s="15" t="s">
        <v>71</v>
      </c>
      <c r="D110" s="15" t="s">
        <v>42</v>
      </c>
      <c r="E110" s="15" t="s">
        <v>36</v>
      </c>
      <c r="F110" s="15" t="s">
        <v>17</v>
      </c>
      <c r="G110" s="15" t="s">
        <v>29</v>
      </c>
      <c r="H110" s="15" t="n">
        <v>4</v>
      </c>
      <c r="I110" s="17" t="n">
        <v>0</v>
      </c>
      <c r="J110" s="18" t="n">
        <v>67.43</v>
      </c>
      <c r="K110" s="19" t="n">
        <v>26.3</v>
      </c>
      <c r="L110" s="15" t="n">
        <f aca="false">YEAR(B110)</f>
        <v>2023</v>
      </c>
      <c r="M110" s="20" t="n">
        <f aca="false">IF(J110&gt;0,K110/J110,0)</f>
        <v>0.390034109446834</v>
      </c>
    </row>
    <row r="111" customFormat="false" ht="15" hidden="false" customHeight="false" outlineLevel="0" collapsed="false">
      <c r="A111" s="15" t="s">
        <v>168</v>
      </c>
      <c r="B111" s="16" t="n">
        <v>45661</v>
      </c>
      <c r="C111" s="15" t="s">
        <v>68</v>
      </c>
      <c r="D111" s="15" t="s">
        <v>42</v>
      </c>
      <c r="E111" s="15" t="s">
        <v>37</v>
      </c>
      <c r="F111" s="15" t="s">
        <v>18</v>
      </c>
      <c r="G111" s="15" t="s">
        <v>33</v>
      </c>
      <c r="H111" s="15" t="n">
        <v>6</v>
      </c>
      <c r="I111" s="17" t="n">
        <v>0.2</v>
      </c>
      <c r="J111" s="18" t="n">
        <v>4078.48</v>
      </c>
      <c r="K111" s="19" t="n">
        <v>366.24</v>
      </c>
      <c r="L111" s="15" t="n">
        <f aca="false">YEAR(B111)</f>
        <v>2025</v>
      </c>
      <c r="M111" s="20" t="n">
        <f aca="false">IF(J111&gt;0,K111/J111,0)</f>
        <v>0.0897981600988604</v>
      </c>
    </row>
    <row r="112" customFormat="false" ht="15" hidden="false" customHeight="false" outlineLevel="0" collapsed="false">
      <c r="A112" s="15" t="s">
        <v>169</v>
      </c>
      <c r="B112" s="16" t="n">
        <v>44897</v>
      </c>
      <c r="C112" s="15" t="s">
        <v>56</v>
      </c>
      <c r="D112" s="15" t="s">
        <v>42</v>
      </c>
      <c r="E112" s="15" t="s">
        <v>39</v>
      </c>
      <c r="F112" s="15" t="s">
        <v>17</v>
      </c>
      <c r="G112" s="15" t="s">
        <v>28</v>
      </c>
      <c r="H112" s="15" t="n">
        <v>2</v>
      </c>
      <c r="I112" s="17" t="n">
        <v>0.15</v>
      </c>
      <c r="J112" s="18" t="n">
        <v>41.7</v>
      </c>
      <c r="K112" s="19" t="n">
        <v>5.47</v>
      </c>
      <c r="L112" s="15" t="n">
        <f aca="false">YEAR(B112)</f>
        <v>2022</v>
      </c>
      <c r="M112" s="20" t="n">
        <f aca="false">IF(J112&gt;0,K112/J112,0)</f>
        <v>0.131175059952038</v>
      </c>
    </row>
    <row r="113" customFormat="false" ht="15" hidden="false" customHeight="false" outlineLevel="0" collapsed="false">
      <c r="A113" s="15" t="s">
        <v>170</v>
      </c>
      <c r="B113" s="16" t="n">
        <v>45216</v>
      </c>
      <c r="C113" s="15" t="s">
        <v>56</v>
      </c>
      <c r="D113" s="15" t="s">
        <v>44</v>
      </c>
      <c r="E113" s="15" t="s">
        <v>39</v>
      </c>
      <c r="F113" s="15" t="s">
        <v>17</v>
      </c>
      <c r="G113" s="15" t="s">
        <v>29</v>
      </c>
      <c r="H113" s="15" t="n">
        <v>4</v>
      </c>
      <c r="I113" s="17" t="n">
        <v>0.4</v>
      </c>
      <c r="J113" s="18" t="n">
        <v>42.08</v>
      </c>
      <c r="K113" s="19" t="n">
        <v>1.14</v>
      </c>
      <c r="L113" s="15" t="n">
        <f aca="false">YEAR(B113)</f>
        <v>2023</v>
      </c>
      <c r="M113" s="20" t="n">
        <f aca="false">IF(J113&gt;0,K113/J113,0)</f>
        <v>0.0270912547528517</v>
      </c>
    </row>
    <row r="114" customFormat="false" ht="15" hidden="false" customHeight="false" outlineLevel="0" collapsed="false">
      <c r="A114" s="15" t="s">
        <v>171</v>
      </c>
      <c r="B114" s="16" t="n">
        <v>45110</v>
      </c>
      <c r="C114" s="15" t="s">
        <v>56</v>
      </c>
      <c r="D114" s="15" t="s">
        <v>43</v>
      </c>
      <c r="E114" s="15" t="s">
        <v>37</v>
      </c>
      <c r="F114" s="15" t="s">
        <v>17</v>
      </c>
      <c r="G114" s="15" t="s">
        <v>29</v>
      </c>
      <c r="H114" s="15" t="n">
        <v>2</v>
      </c>
      <c r="I114" s="17" t="n">
        <v>0</v>
      </c>
      <c r="J114" s="18" t="n">
        <v>34.94</v>
      </c>
      <c r="K114" s="19" t="n">
        <v>14.78</v>
      </c>
      <c r="L114" s="15" t="n">
        <f aca="false">YEAR(B114)</f>
        <v>2023</v>
      </c>
      <c r="M114" s="20" t="n">
        <f aca="false">IF(J114&gt;0,K114/J114,0)</f>
        <v>0.423010875787064</v>
      </c>
    </row>
    <row r="115" customFormat="false" ht="15" hidden="false" customHeight="false" outlineLevel="0" collapsed="false">
      <c r="A115" s="15" t="s">
        <v>172</v>
      </c>
      <c r="B115" s="16" t="n">
        <v>46000</v>
      </c>
      <c r="C115" s="15" t="s">
        <v>56</v>
      </c>
      <c r="D115" s="15" t="s">
        <v>42</v>
      </c>
      <c r="E115" s="15" t="s">
        <v>39</v>
      </c>
      <c r="F115" s="15" t="s">
        <v>18</v>
      </c>
      <c r="G115" s="15" t="s">
        <v>30</v>
      </c>
      <c r="H115" s="15" t="n">
        <v>4</v>
      </c>
      <c r="I115" s="17" t="n">
        <v>0.2</v>
      </c>
      <c r="J115" s="18" t="n">
        <v>152.51</v>
      </c>
      <c r="K115" s="19" t="n">
        <v>16.79</v>
      </c>
      <c r="L115" s="15" t="n">
        <f aca="false">YEAR(B115)</f>
        <v>2025</v>
      </c>
      <c r="M115" s="20" t="n">
        <f aca="false">IF(J115&gt;0,K115/J115,0)</f>
        <v>0.110091141564488</v>
      </c>
    </row>
    <row r="116" customFormat="false" ht="15" hidden="false" customHeight="false" outlineLevel="0" collapsed="false">
      <c r="A116" s="15" t="s">
        <v>173</v>
      </c>
      <c r="B116" s="16" t="n">
        <v>45155</v>
      </c>
      <c r="C116" s="15" t="s">
        <v>68</v>
      </c>
      <c r="D116" s="15" t="s">
        <v>42</v>
      </c>
      <c r="E116" s="15" t="s">
        <v>38</v>
      </c>
      <c r="F116" s="15" t="s">
        <v>18</v>
      </c>
      <c r="G116" s="15" t="s">
        <v>32</v>
      </c>
      <c r="H116" s="15" t="n">
        <v>8</v>
      </c>
      <c r="I116" s="17" t="n">
        <v>0</v>
      </c>
      <c r="J116" s="18" t="n">
        <v>3247.97</v>
      </c>
      <c r="K116" s="19" t="n">
        <v>720.14</v>
      </c>
      <c r="L116" s="15" t="n">
        <f aca="false">YEAR(B116)</f>
        <v>2023</v>
      </c>
      <c r="M116" s="20" t="n">
        <f aca="false">IF(J116&gt;0,K116/J116,0)</f>
        <v>0.221720028202231</v>
      </c>
    </row>
    <row r="117" customFormat="false" ht="15" hidden="false" customHeight="false" outlineLevel="0" collapsed="false">
      <c r="A117" s="15" t="s">
        <v>174</v>
      </c>
      <c r="B117" s="16" t="n">
        <v>45452</v>
      </c>
      <c r="C117" s="15" t="s">
        <v>56</v>
      </c>
      <c r="D117" s="15" t="s">
        <v>42</v>
      </c>
      <c r="E117" s="15" t="s">
        <v>39</v>
      </c>
      <c r="F117" s="15" t="s">
        <v>17</v>
      </c>
      <c r="G117" s="15" t="s">
        <v>26</v>
      </c>
      <c r="H117" s="15" t="n">
        <v>7</v>
      </c>
      <c r="I117" s="17" t="n">
        <v>0.15</v>
      </c>
      <c r="J117" s="18" t="n">
        <v>510.4</v>
      </c>
      <c r="K117" s="19" t="n">
        <v>-8.32</v>
      </c>
      <c r="L117" s="15" t="n">
        <f aca="false">YEAR(B117)</f>
        <v>2024</v>
      </c>
      <c r="M117" s="20" t="n">
        <f aca="false">IF(J117&gt;0,K117/J117,0)</f>
        <v>-0.0163009404388715</v>
      </c>
    </row>
    <row r="118" customFormat="false" ht="15" hidden="false" customHeight="false" outlineLevel="0" collapsed="false">
      <c r="A118" s="15" t="s">
        <v>175</v>
      </c>
      <c r="B118" s="16" t="n">
        <v>44585</v>
      </c>
      <c r="C118" s="15" t="s">
        <v>56</v>
      </c>
      <c r="D118" s="15" t="s">
        <v>42</v>
      </c>
      <c r="E118" s="15" t="s">
        <v>37</v>
      </c>
      <c r="F118" s="15" t="s">
        <v>17</v>
      </c>
      <c r="G118" s="15" t="s">
        <v>28</v>
      </c>
      <c r="H118" s="15" t="n">
        <v>5</v>
      </c>
      <c r="I118" s="17" t="n">
        <v>0.2</v>
      </c>
      <c r="J118" s="18" t="n">
        <v>87.36</v>
      </c>
      <c r="K118" s="19" t="n">
        <v>8.76</v>
      </c>
      <c r="L118" s="15" t="n">
        <f aca="false">YEAR(B118)</f>
        <v>2022</v>
      </c>
      <c r="M118" s="20" t="n">
        <f aca="false">IF(J118&gt;0,K118/J118,0)</f>
        <v>0.100274725274725</v>
      </c>
    </row>
    <row r="119" customFormat="false" ht="15" hidden="false" customHeight="false" outlineLevel="0" collapsed="false">
      <c r="A119" s="15" t="s">
        <v>176</v>
      </c>
      <c r="B119" s="16" t="n">
        <v>45876</v>
      </c>
      <c r="C119" s="15" t="s">
        <v>56</v>
      </c>
      <c r="D119" s="15" t="s">
        <v>42</v>
      </c>
      <c r="E119" s="15" t="s">
        <v>36</v>
      </c>
      <c r="F119" s="15" t="s">
        <v>17</v>
      </c>
      <c r="G119" s="15" t="s">
        <v>26</v>
      </c>
      <c r="H119" s="15" t="n">
        <v>7</v>
      </c>
      <c r="I119" s="17" t="n">
        <v>0</v>
      </c>
      <c r="J119" s="18" t="n">
        <v>590.33</v>
      </c>
      <c r="K119" s="19" t="n">
        <v>71.46</v>
      </c>
      <c r="L119" s="15" t="n">
        <f aca="false">YEAR(B119)</f>
        <v>2025</v>
      </c>
      <c r="M119" s="20" t="n">
        <f aca="false">IF(J119&gt;0,K119/J119,0)</f>
        <v>0.121050937611167</v>
      </c>
    </row>
    <row r="120" customFormat="false" ht="15" hidden="false" customHeight="false" outlineLevel="0" collapsed="false">
      <c r="A120" s="15" t="s">
        <v>177</v>
      </c>
      <c r="B120" s="16" t="n">
        <v>45517</v>
      </c>
      <c r="C120" s="15" t="s">
        <v>68</v>
      </c>
      <c r="D120" s="15" t="s">
        <v>43</v>
      </c>
      <c r="E120" s="15" t="s">
        <v>38</v>
      </c>
      <c r="F120" s="15" t="s">
        <v>16</v>
      </c>
      <c r="G120" s="15" t="s">
        <v>27</v>
      </c>
      <c r="H120" s="15" t="n">
        <v>7</v>
      </c>
      <c r="I120" s="17" t="n">
        <v>0.1</v>
      </c>
      <c r="J120" s="18" t="n">
        <v>373.64</v>
      </c>
      <c r="K120" s="19" t="n">
        <v>52.36</v>
      </c>
      <c r="L120" s="15" t="n">
        <f aca="false">YEAR(B120)</f>
        <v>2024</v>
      </c>
      <c r="M120" s="20" t="n">
        <f aca="false">IF(J120&gt;0,K120/J120,0)</f>
        <v>0.140134889198159</v>
      </c>
    </row>
    <row r="121" customFormat="false" ht="15" hidden="false" customHeight="false" outlineLevel="0" collapsed="false">
      <c r="A121" s="15" t="s">
        <v>178</v>
      </c>
      <c r="B121" s="16" t="n">
        <v>44732</v>
      </c>
      <c r="C121" s="15" t="s">
        <v>58</v>
      </c>
      <c r="D121" s="15" t="s">
        <v>44</v>
      </c>
      <c r="E121" s="15" t="s">
        <v>37</v>
      </c>
      <c r="F121" s="15" t="s">
        <v>18</v>
      </c>
      <c r="G121" s="15" t="s">
        <v>32</v>
      </c>
      <c r="H121" s="15" t="n">
        <v>4</v>
      </c>
      <c r="I121" s="17" t="n">
        <v>0.1</v>
      </c>
      <c r="J121" s="18" t="n">
        <v>1516.99</v>
      </c>
      <c r="K121" s="19" t="n">
        <v>187.52</v>
      </c>
      <c r="L121" s="15" t="n">
        <f aca="false">YEAR(B121)</f>
        <v>2022</v>
      </c>
      <c r="M121" s="20" t="n">
        <f aca="false">IF(J121&gt;0,K121/J121,0)</f>
        <v>0.123613207733736</v>
      </c>
    </row>
    <row r="122" customFormat="false" ht="15" hidden="false" customHeight="false" outlineLevel="0" collapsed="false">
      <c r="A122" s="15" t="s">
        <v>179</v>
      </c>
      <c r="B122" s="16" t="n">
        <v>44744</v>
      </c>
      <c r="C122" s="15" t="s">
        <v>71</v>
      </c>
      <c r="D122" s="15" t="s">
        <v>43</v>
      </c>
      <c r="E122" s="15" t="s">
        <v>38</v>
      </c>
      <c r="F122" s="15" t="s">
        <v>17</v>
      </c>
      <c r="G122" s="15" t="s">
        <v>29</v>
      </c>
      <c r="H122" s="15" t="n">
        <v>2</v>
      </c>
      <c r="I122" s="17" t="n">
        <v>0.3</v>
      </c>
      <c r="J122" s="18" t="n">
        <v>24.54</v>
      </c>
      <c r="K122" s="19" t="n">
        <v>4.27</v>
      </c>
      <c r="L122" s="15" t="n">
        <f aca="false">YEAR(B122)</f>
        <v>2022</v>
      </c>
      <c r="M122" s="20" t="n">
        <f aca="false">IF(J122&gt;0,K122/J122,0)</f>
        <v>0.17400162999185</v>
      </c>
    </row>
    <row r="123" customFormat="false" ht="15" hidden="false" customHeight="false" outlineLevel="0" collapsed="false">
      <c r="A123" s="15" t="s">
        <v>180</v>
      </c>
      <c r="B123" s="16" t="n">
        <v>45926</v>
      </c>
      <c r="C123" s="15" t="s">
        <v>71</v>
      </c>
      <c r="D123" s="15" t="s">
        <v>43</v>
      </c>
      <c r="E123" s="15" t="s">
        <v>39</v>
      </c>
      <c r="F123" s="15" t="s">
        <v>17</v>
      </c>
      <c r="G123" s="15" t="s">
        <v>28</v>
      </c>
      <c r="H123" s="15" t="n">
        <v>5</v>
      </c>
      <c r="I123" s="17" t="n">
        <v>0</v>
      </c>
      <c r="J123" s="18" t="n">
        <v>125.67</v>
      </c>
      <c r="K123" s="19" t="n">
        <v>40.17</v>
      </c>
      <c r="L123" s="15" t="n">
        <f aca="false">YEAR(B123)</f>
        <v>2025</v>
      </c>
      <c r="M123" s="20" t="n">
        <f aca="false">IF(J123&gt;0,K123/J123,0)</f>
        <v>0.319646693721652</v>
      </c>
    </row>
    <row r="124" customFormat="false" ht="15" hidden="false" customHeight="false" outlineLevel="0" collapsed="false">
      <c r="A124" s="15" t="s">
        <v>181</v>
      </c>
      <c r="B124" s="16" t="n">
        <v>45548</v>
      </c>
      <c r="C124" s="15" t="s">
        <v>56</v>
      </c>
      <c r="D124" s="15" t="s">
        <v>44</v>
      </c>
      <c r="E124" s="15" t="s">
        <v>36</v>
      </c>
      <c r="F124" s="15" t="s">
        <v>17</v>
      </c>
      <c r="G124" s="15" t="s">
        <v>26</v>
      </c>
      <c r="H124" s="15" t="n">
        <v>5</v>
      </c>
      <c r="I124" s="17" t="n">
        <v>0.2</v>
      </c>
      <c r="J124" s="18" t="n">
        <v>278.59</v>
      </c>
      <c r="K124" s="19" t="n">
        <v>-21.55</v>
      </c>
      <c r="L124" s="15" t="n">
        <f aca="false">YEAR(B124)</f>
        <v>2024</v>
      </c>
      <c r="M124" s="20" t="n">
        <f aca="false">IF(J124&gt;0,K124/J124,0)</f>
        <v>-0.0773538174378119</v>
      </c>
    </row>
    <row r="125" customFormat="false" ht="15" hidden="false" customHeight="false" outlineLevel="0" collapsed="false">
      <c r="A125" s="15" t="s">
        <v>182</v>
      </c>
      <c r="B125" s="16" t="n">
        <v>45838</v>
      </c>
      <c r="C125" s="15" t="s">
        <v>56</v>
      </c>
      <c r="D125" s="15" t="s">
        <v>43</v>
      </c>
      <c r="E125" s="15" t="s">
        <v>39</v>
      </c>
      <c r="F125" s="15" t="s">
        <v>17</v>
      </c>
      <c r="G125" s="15" t="s">
        <v>28</v>
      </c>
      <c r="H125" s="15" t="n">
        <v>2</v>
      </c>
      <c r="I125" s="17" t="n">
        <v>0.15</v>
      </c>
      <c r="J125" s="18" t="n">
        <v>43.33</v>
      </c>
      <c r="K125" s="19" t="n">
        <v>7.76</v>
      </c>
      <c r="L125" s="15" t="n">
        <f aca="false">YEAR(B125)</f>
        <v>2025</v>
      </c>
      <c r="M125" s="20" t="n">
        <f aca="false">IF(J125&gt;0,K125/J125,0)</f>
        <v>0.17909069928456</v>
      </c>
    </row>
    <row r="126" customFormat="false" ht="15" hidden="false" customHeight="false" outlineLevel="0" collapsed="false">
      <c r="A126" s="15" t="s">
        <v>183</v>
      </c>
      <c r="B126" s="16" t="n">
        <v>45623</v>
      </c>
      <c r="C126" s="15" t="s">
        <v>68</v>
      </c>
      <c r="D126" s="15" t="s">
        <v>42</v>
      </c>
      <c r="E126" s="15" t="s">
        <v>36</v>
      </c>
      <c r="F126" s="15" t="s">
        <v>17</v>
      </c>
      <c r="G126" s="15" t="s">
        <v>29</v>
      </c>
      <c r="H126" s="15" t="n">
        <v>8</v>
      </c>
      <c r="I126" s="17" t="n">
        <v>0</v>
      </c>
      <c r="J126" s="18" t="n">
        <v>115.42</v>
      </c>
      <c r="K126" s="19" t="n">
        <v>45.59</v>
      </c>
      <c r="L126" s="15" t="n">
        <f aca="false">YEAR(B126)</f>
        <v>2024</v>
      </c>
      <c r="M126" s="20" t="n">
        <f aca="false">IF(J126&gt;0,K126/J126,0)</f>
        <v>0.394992202391267</v>
      </c>
    </row>
    <row r="127" customFormat="false" ht="15" hidden="false" customHeight="false" outlineLevel="0" collapsed="false">
      <c r="A127" s="15" t="s">
        <v>184</v>
      </c>
      <c r="B127" s="16" t="n">
        <v>45507</v>
      </c>
      <c r="C127" s="15" t="s">
        <v>56</v>
      </c>
      <c r="D127" s="15" t="s">
        <v>43</v>
      </c>
      <c r="E127" s="15" t="s">
        <v>39</v>
      </c>
      <c r="F127" s="15" t="s">
        <v>17</v>
      </c>
      <c r="G127" s="15" t="s">
        <v>29</v>
      </c>
      <c r="H127" s="15" t="n">
        <v>1</v>
      </c>
      <c r="I127" s="17" t="n">
        <v>0</v>
      </c>
      <c r="J127" s="18" t="n">
        <v>19.83</v>
      </c>
      <c r="K127" s="19" t="n">
        <v>5.55</v>
      </c>
      <c r="L127" s="15" t="n">
        <f aca="false">YEAR(B127)</f>
        <v>2024</v>
      </c>
      <c r="M127" s="20" t="n">
        <f aca="false">IF(J127&gt;0,K127/J127,0)</f>
        <v>0.279878971255673</v>
      </c>
    </row>
    <row r="128" customFormat="false" ht="15" hidden="false" customHeight="false" outlineLevel="0" collapsed="false">
      <c r="A128" s="15" t="s">
        <v>185</v>
      </c>
      <c r="B128" s="16" t="n">
        <v>45542</v>
      </c>
      <c r="C128" s="15" t="s">
        <v>68</v>
      </c>
      <c r="D128" s="15" t="s">
        <v>42</v>
      </c>
      <c r="E128" s="15" t="s">
        <v>37</v>
      </c>
      <c r="F128" s="15" t="s">
        <v>16</v>
      </c>
      <c r="G128" s="15" t="s">
        <v>27</v>
      </c>
      <c r="H128" s="15" t="n">
        <v>4</v>
      </c>
      <c r="I128" s="17" t="n">
        <v>0</v>
      </c>
      <c r="J128" s="18" t="n">
        <v>216.71</v>
      </c>
      <c r="K128" s="19" t="n">
        <v>47.26</v>
      </c>
      <c r="L128" s="15" t="n">
        <f aca="false">YEAR(B128)</f>
        <v>2024</v>
      </c>
      <c r="M128" s="20" t="n">
        <f aca="false">IF(J128&gt;0,K128/J128,0)</f>
        <v>0.218079461030871</v>
      </c>
    </row>
    <row r="129" customFormat="false" ht="15" hidden="false" customHeight="false" outlineLevel="0" collapsed="false">
      <c r="A129" s="15" t="s">
        <v>186</v>
      </c>
      <c r="B129" s="16" t="n">
        <v>45577</v>
      </c>
      <c r="C129" s="15" t="s">
        <v>71</v>
      </c>
      <c r="D129" s="15" t="s">
        <v>42</v>
      </c>
      <c r="E129" s="15" t="s">
        <v>36</v>
      </c>
      <c r="F129" s="15" t="s">
        <v>16</v>
      </c>
      <c r="G129" s="15" t="s">
        <v>27</v>
      </c>
      <c r="H129" s="15" t="n">
        <v>3</v>
      </c>
      <c r="I129" s="17" t="n">
        <v>0</v>
      </c>
      <c r="J129" s="18" t="n">
        <v>150.82</v>
      </c>
      <c r="K129" s="19" t="n">
        <v>41.64</v>
      </c>
      <c r="L129" s="15" t="n">
        <f aca="false">YEAR(B129)</f>
        <v>2024</v>
      </c>
      <c r="M129" s="20" t="n">
        <f aca="false">IF(J129&gt;0,K129/J129,0)</f>
        <v>0.276090704150643</v>
      </c>
    </row>
    <row r="130" customFormat="false" ht="15" hidden="false" customHeight="false" outlineLevel="0" collapsed="false">
      <c r="A130" s="15" t="s">
        <v>187</v>
      </c>
      <c r="B130" s="16" t="n">
        <v>45673</v>
      </c>
      <c r="C130" s="15" t="s">
        <v>68</v>
      </c>
      <c r="D130" s="15" t="s">
        <v>42</v>
      </c>
      <c r="E130" s="15" t="s">
        <v>39</v>
      </c>
      <c r="F130" s="15" t="s">
        <v>18</v>
      </c>
      <c r="G130" s="15" t="s">
        <v>32</v>
      </c>
      <c r="H130" s="15" t="n">
        <v>3</v>
      </c>
      <c r="I130" s="17" t="n">
        <v>0.5</v>
      </c>
      <c r="J130" s="18" t="n">
        <v>634.85</v>
      </c>
      <c r="K130" s="19" t="n">
        <v>-191.3</v>
      </c>
      <c r="L130" s="15" t="n">
        <f aca="false">YEAR(B130)</f>
        <v>2025</v>
      </c>
      <c r="M130" s="20" t="n">
        <f aca="false">IF(J130&gt;0,K130/J130,0)</f>
        <v>-0.301331023076317</v>
      </c>
    </row>
    <row r="131" customFormat="false" ht="15" hidden="false" customHeight="false" outlineLevel="0" collapsed="false">
      <c r="A131" s="15" t="s">
        <v>188</v>
      </c>
      <c r="B131" s="16" t="n">
        <v>45278</v>
      </c>
      <c r="C131" s="15" t="s">
        <v>56</v>
      </c>
      <c r="D131" s="15" t="s">
        <v>43</v>
      </c>
      <c r="E131" s="15" t="s">
        <v>37</v>
      </c>
      <c r="F131" s="15" t="s">
        <v>18</v>
      </c>
      <c r="G131" s="15" t="s">
        <v>30</v>
      </c>
      <c r="H131" s="15" t="n">
        <v>2</v>
      </c>
      <c r="I131" s="17" t="n">
        <v>0</v>
      </c>
      <c r="J131" s="18" t="n">
        <v>90.93</v>
      </c>
      <c r="K131" s="19" t="n">
        <v>24.65</v>
      </c>
      <c r="L131" s="15" t="n">
        <f aca="false">YEAR(B131)</f>
        <v>2023</v>
      </c>
      <c r="M131" s="20" t="n">
        <f aca="false">IF(J131&gt;0,K131/J131,0)</f>
        <v>0.271087649840537</v>
      </c>
    </row>
    <row r="132" customFormat="false" ht="15" hidden="false" customHeight="false" outlineLevel="0" collapsed="false">
      <c r="A132" s="15" t="s">
        <v>189</v>
      </c>
      <c r="B132" s="16" t="n">
        <v>45701</v>
      </c>
      <c r="C132" s="15" t="s">
        <v>68</v>
      </c>
      <c r="D132" s="15" t="s">
        <v>44</v>
      </c>
      <c r="E132" s="15" t="s">
        <v>36</v>
      </c>
      <c r="F132" s="15" t="s">
        <v>18</v>
      </c>
      <c r="G132" s="15" t="s">
        <v>24</v>
      </c>
      <c r="H132" s="15" t="n">
        <v>5</v>
      </c>
      <c r="I132" s="17" t="n">
        <v>0</v>
      </c>
      <c r="J132" s="18" t="n">
        <v>2994.15</v>
      </c>
      <c r="K132" s="19" t="n">
        <v>228.79</v>
      </c>
      <c r="L132" s="15" t="n">
        <f aca="false">YEAR(B132)</f>
        <v>2025</v>
      </c>
      <c r="M132" s="20" t="n">
        <f aca="false">IF(J132&gt;0,K132/J132,0)</f>
        <v>0.0764123373912463</v>
      </c>
    </row>
    <row r="133" customFormat="false" ht="15" hidden="false" customHeight="false" outlineLevel="0" collapsed="false">
      <c r="A133" s="15" t="s">
        <v>190</v>
      </c>
      <c r="B133" s="16" t="n">
        <v>45144</v>
      </c>
      <c r="C133" s="15" t="s">
        <v>56</v>
      </c>
      <c r="D133" s="15" t="s">
        <v>43</v>
      </c>
      <c r="E133" s="15" t="s">
        <v>38</v>
      </c>
      <c r="F133" s="15" t="s">
        <v>18</v>
      </c>
      <c r="G133" s="15" t="s">
        <v>30</v>
      </c>
      <c r="H133" s="15" t="n">
        <v>3</v>
      </c>
      <c r="I133" s="17" t="n">
        <v>0.1</v>
      </c>
      <c r="J133" s="18" t="n">
        <v>141.02</v>
      </c>
      <c r="K133" s="19" t="n">
        <v>21.63</v>
      </c>
      <c r="L133" s="15" t="n">
        <f aca="false">YEAR(B133)</f>
        <v>2023</v>
      </c>
      <c r="M133" s="20" t="n">
        <f aca="false">IF(J133&gt;0,K133/J133,0)</f>
        <v>0.153382498936321</v>
      </c>
    </row>
    <row r="134" customFormat="false" ht="15" hidden="false" customHeight="false" outlineLevel="0" collapsed="false">
      <c r="A134" s="15" t="s">
        <v>191</v>
      </c>
      <c r="B134" s="16" t="n">
        <v>45753</v>
      </c>
      <c r="C134" s="15" t="s">
        <v>56</v>
      </c>
      <c r="D134" s="15" t="s">
        <v>43</v>
      </c>
      <c r="E134" s="15" t="s">
        <v>39</v>
      </c>
      <c r="F134" s="15" t="s">
        <v>17</v>
      </c>
      <c r="G134" s="15" t="s">
        <v>26</v>
      </c>
      <c r="H134" s="15" t="n">
        <v>5</v>
      </c>
      <c r="I134" s="17" t="n">
        <v>0.2</v>
      </c>
      <c r="J134" s="18" t="n">
        <v>401.8</v>
      </c>
      <c r="K134" s="19" t="n">
        <v>-13.52</v>
      </c>
      <c r="L134" s="15" t="n">
        <f aca="false">YEAR(B134)</f>
        <v>2025</v>
      </c>
      <c r="M134" s="20" t="n">
        <f aca="false">IF(J134&gt;0,K134/J134,0)</f>
        <v>-0.033648581383773</v>
      </c>
    </row>
    <row r="135" customFormat="false" ht="15" hidden="false" customHeight="false" outlineLevel="0" collapsed="false">
      <c r="A135" s="15" t="s">
        <v>192</v>
      </c>
      <c r="B135" s="16" t="n">
        <v>44893</v>
      </c>
      <c r="C135" s="15" t="s">
        <v>58</v>
      </c>
      <c r="D135" s="15" t="s">
        <v>43</v>
      </c>
      <c r="E135" s="15" t="s">
        <v>38</v>
      </c>
      <c r="F135" s="15" t="s">
        <v>16</v>
      </c>
      <c r="G135" s="15" t="s">
        <v>27</v>
      </c>
      <c r="H135" s="15" t="n">
        <v>5</v>
      </c>
      <c r="I135" s="17" t="n">
        <v>0</v>
      </c>
      <c r="J135" s="18" t="n">
        <v>246.72</v>
      </c>
      <c r="K135" s="19" t="n">
        <v>57.19</v>
      </c>
      <c r="L135" s="15" t="n">
        <f aca="false">YEAR(B135)</f>
        <v>2022</v>
      </c>
      <c r="M135" s="20" t="n">
        <f aca="false">IF(J135&gt;0,K135/J135,0)</f>
        <v>0.231801232166018</v>
      </c>
    </row>
    <row r="136" customFormat="false" ht="15" hidden="false" customHeight="false" outlineLevel="0" collapsed="false">
      <c r="A136" s="15" t="s">
        <v>193</v>
      </c>
      <c r="B136" s="16" t="n">
        <v>45853</v>
      </c>
      <c r="C136" s="15" t="s">
        <v>56</v>
      </c>
      <c r="D136" s="15" t="s">
        <v>44</v>
      </c>
      <c r="E136" s="15" t="s">
        <v>39</v>
      </c>
      <c r="F136" s="15" t="s">
        <v>18</v>
      </c>
      <c r="G136" s="15" t="s">
        <v>30</v>
      </c>
      <c r="H136" s="15" t="n">
        <v>2</v>
      </c>
      <c r="I136" s="17" t="n">
        <v>0.4</v>
      </c>
      <c r="J136" s="18" t="n">
        <v>58.62</v>
      </c>
      <c r="K136" s="19" t="n">
        <v>-1.38</v>
      </c>
      <c r="L136" s="15" t="n">
        <f aca="false">YEAR(B136)</f>
        <v>2025</v>
      </c>
      <c r="M136" s="20" t="n">
        <f aca="false">IF(J136&gt;0,K136/J136,0)</f>
        <v>-0.0235414534288639</v>
      </c>
    </row>
    <row r="137" customFormat="false" ht="15" hidden="false" customHeight="false" outlineLevel="0" collapsed="false">
      <c r="A137" s="15" t="s">
        <v>194</v>
      </c>
      <c r="B137" s="16" t="n">
        <v>45931</v>
      </c>
      <c r="C137" s="15" t="s">
        <v>71</v>
      </c>
      <c r="D137" s="15" t="s">
        <v>42</v>
      </c>
      <c r="E137" s="15" t="s">
        <v>39</v>
      </c>
      <c r="F137" s="15" t="s">
        <v>17</v>
      </c>
      <c r="G137" s="15" t="s">
        <v>29</v>
      </c>
      <c r="H137" s="15" t="n">
        <v>5</v>
      </c>
      <c r="I137" s="17" t="n">
        <v>0</v>
      </c>
      <c r="J137" s="18" t="n">
        <v>106.84</v>
      </c>
      <c r="K137" s="19" t="n">
        <v>41.3</v>
      </c>
      <c r="L137" s="15" t="n">
        <f aca="false">YEAR(B137)</f>
        <v>2025</v>
      </c>
      <c r="M137" s="20" t="n">
        <f aca="false">IF(J137&gt;0,K137/J137,0)</f>
        <v>0.38655934107076</v>
      </c>
    </row>
    <row r="138" customFormat="false" ht="15" hidden="false" customHeight="false" outlineLevel="0" collapsed="false">
      <c r="A138" s="15" t="s">
        <v>195</v>
      </c>
      <c r="B138" s="16" t="n">
        <v>45426</v>
      </c>
      <c r="C138" s="15" t="s">
        <v>58</v>
      </c>
      <c r="D138" s="15" t="s">
        <v>44</v>
      </c>
      <c r="E138" s="15" t="s">
        <v>36</v>
      </c>
      <c r="F138" s="15" t="s">
        <v>17</v>
      </c>
      <c r="G138" s="15" t="s">
        <v>29</v>
      </c>
      <c r="H138" s="15" t="n">
        <v>4</v>
      </c>
      <c r="I138" s="17" t="n">
        <v>0</v>
      </c>
      <c r="J138" s="18" t="n">
        <v>61.64</v>
      </c>
      <c r="K138" s="19" t="n">
        <v>29.1</v>
      </c>
      <c r="L138" s="15" t="n">
        <f aca="false">YEAR(B138)</f>
        <v>2024</v>
      </c>
      <c r="M138" s="20" t="n">
        <f aca="false">IF(J138&gt;0,K138/J138,0)</f>
        <v>0.472096041531473</v>
      </c>
    </row>
    <row r="139" customFormat="false" ht="15" hidden="false" customHeight="false" outlineLevel="0" collapsed="false">
      <c r="A139" s="15" t="s">
        <v>196</v>
      </c>
      <c r="B139" s="16" t="n">
        <v>45545</v>
      </c>
      <c r="C139" s="15" t="s">
        <v>68</v>
      </c>
      <c r="D139" s="15" t="s">
        <v>43</v>
      </c>
      <c r="E139" s="15" t="s">
        <v>39</v>
      </c>
      <c r="F139" s="15" t="s">
        <v>17</v>
      </c>
      <c r="G139" s="15" t="s">
        <v>29</v>
      </c>
      <c r="H139" s="15" t="n">
        <v>1</v>
      </c>
      <c r="I139" s="17" t="n">
        <v>0</v>
      </c>
      <c r="J139" s="18" t="n">
        <v>20.44</v>
      </c>
      <c r="K139" s="19" t="n">
        <v>8.08</v>
      </c>
      <c r="L139" s="15" t="n">
        <f aca="false">YEAR(B139)</f>
        <v>2024</v>
      </c>
      <c r="M139" s="20" t="n">
        <f aca="false">IF(J139&gt;0,K139/J139,0)</f>
        <v>0.395303326810176</v>
      </c>
    </row>
    <row r="140" customFormat="false" ht="15" hidden="false" customHeight="false" outlineLevel="0" collapsed="false">
      <c r="A140" s="15" t="s">
        <v>197</v>
      </c>
      <c r="B140" s="16" t="n">
        <v>45860</v>
      </c>
      <c r="C140" s="15" t="s">
        <v>71</v>
      </c>
      <c r="D140" s="15" t="s">
        <v>43</v>
      </c>
      <c r="E140" s="15" t="s">
        <v>38</v>
      </c>
      <c r="F140" s="15" t="s">
        <v>18</v>
      </c>
      <c r="G140" s="15" t="s">
        <v>30</v>
      </c>
      <c r="H140" s="15" t="n">
        <v>4</v>
      </c>
      <c r="I140" s="17" t="n">
        <v>0</v>
      </c>
      <c r="J140" s="18" t="n">
        <v>164.99</v>
      </c>
      <c r="K140" s="19" t="n">
        <v>58.31</v>
      </c>
      <c r="L140" s="15" t="n">
        <f aca="false">YEAR(B140)</f>
        <v>2025</v>
      </c>
      <c r="M140" s="20" t="n">
        <f aca="false">IF(J140&gt;0,K140/J140,0)</f>
        <v>0.353415358506576</v>
      </c>
    </row>
    <row r="141" customFormat="false" ht="15" hidden="false" customHeight="false" outlineLevel="0" collapsed="false">
      <c r="A141" s="15" t="s">
        <v>198</v>
      </c>
      <c r="B141" s="16" t="n">
        <v>45775</v>
      </c>
      <c r="C141" s="15" t="s">
        <v>56</v>
      </c>
      <c r="D141" s="15" t="s">
        <v>44</v>
      </c>
      <c r="E141" s="15" t="s">
        <v>39</v>
      </c>
      <c r="F141" s="15" t="s">
        <v>17</v>
      </c>
      <c r="G141" s="15" t="s">
        <v>29</v>
      </c>
      <c r="H141" s="15" t="n">
        <v>2</v>
      </c>
      <c r="I141" s="17" t="n">
        <v>0</v>
      </c>
      <c r="J141" s="18" t="n">
        <v>35.23</v>
      </c>
      <c r="K141" s="19" t="n">
        <v>12.12</v>
      </c>
      <c r="L141" s="15" t="n">
        <f aca="false">YEAR(B141)</f>
        <v>2025</v>
      </c>
      <c r="M141" s="20" t="n">
        <f aca="false">IF(J141&gt;0,K141/J141,0)</f>
        <v>0.344024978711326</v>
      </c>
    </row>
    <row r="142" customFormat="false" ht="15" hidden="false" customHeight="false" outlineLevel="0" collapsed="false">
      <c r="A142" s="15" t="s">
        <v>199</v>
      </c>
      <c r="B142" s="16" t="n">
        <v>45889</v>
      </c>
      <c r="C142" s="15" t="s">
        <v>56</v>
      </c>
      <c r="D142" s="15" t="s">
        <v>43</v>
      </c>
      <c r="E142" s="15" t="s">
        <v>37</v>
      </c>
      <c r="F142" s="15" t="s">
        <v>17</v>
      </c>
      <c r="G142" s="15" t="s">
        <v>26</v>
      </c>
      <c r="H142" s="15" t="n">
        <v>3</v>
      </c>
      <c r="I142" s="17" t="n">
        <v>0</v>
      </c>
      <c r="J142" s="18" t="n">
        <v>282.25</v>
      </c>
      <c r="K142" s="19" t="n">
        <v>42.3</v>
      </c>
      <c r="L142" s="15" t="n">
        <f aca="false">YEAR(B142)</f>
        <v>2025</v>
      </c>
      <c r="M142" s="20" t="n">
        <f aca="false">IF(J142&gt;0,K142/J142,0)</f>
        <v>0.149867139061116</v>
      </c>
    </row>
    <row r="143" customFormat="false" ht="15" hidden="false" customHeight="false" outlineLevel="0" collapsed="false">
      <c r="A143" s="15" t="s">
        <v>200</v>
      </c>
      <c r="B143" s="16" t="n">
        <v>45312</v>
      </c>
      <c r="C143" s="15" t="s">
        <v>58</v>
      </c>
      <c r="D143" s="15" t="s">
        <v>43</v>
      </c>
      <c r="E143" s="15" t="s">
        <v>38</v>
      </c>
      <c r="F143" s="15" t="s">
        <v>17</v>
      </c>
      <c r="G143" s="15" t="s">
        <v>28</v>
      </c>
      <c r="H143" s="15" t="n">
        <v>3</v>
      </c>
      <c r="I143" s="17" t="n">
        <v>0.05</v>
      </c>
      <c r="J143" s="18" t="n">
        <v>62.65</v>
      </c>
      <c r="K143" s="19" t="n">
        <v>16.57</v>
      </c>
      <c r="L143" s="15" t="n">
        <f aca="false">YEAR(B143)</f>
        <v>2024</v>
      </c>
      <c r="M143" s="20" t="n">
        <f aca="false">IF(J143&gt;0,K143/J143,0)</f>
        <v>0.264485235434956</v>
      </c>
    </row>
    <row r="144" customFormat="false" ht="15" hidden="false" customHeight="false" outlineLevel="0" collapsed="false">
      <c r="A144" s="15" t="s">
        <v>201</v>
      </c>
      <c r="B144" s="16" t="n">
        <v>45999</v>
      </c>
      <c r="C144" s="15" t="s">
        <v>56</v>
      </c>
      <c r="D144" s="15" t="s">
        <v>43</v>
      </c>
      <c r="E144" s="15" t="s">
        <v>39</v>
      </c>
      <c r="F144" s="15" t="s">
        <v>16</v>
      </c>
      <c r="G144" s="15" t="s">
        <v>27</v>
      </c>
      <c r="H144" s="15" t="n">
        <v>9</v>
      </c>
      <c r="I144" s="17" t="n">
        <v>0</v>
      </c>
      <c r="J144" s="18" t="n">
        <v>632.27</v>
      </c>
      <c r="K144" s="19" t="n">
        <v>115.7</v>
      </c>
      <c r="L144" s="15" t="n">
        <f aca="false">YEAR(B144)</f>
        <v>2025</v>
      </c>
      <c r="M144" s="20" t="n">
        <f aca="false">IF(J144&gt;0,K144/J144,0)</f>
        <v>0.182991443528872</v>
      </c>
    </row>
    <row r="145" customFormat="false" ht="15" hidden="false" customHeight="false" outlineLevel="0" collapsed="false">
      <c r="A145" s="15" t="s">
        <v>202</v>
      </c>
      <c r="B145" s="16" t="n">
        <v>44580</v>
      </c>
      <c r="C145" s="15" t="s">
        <v>68</v>
      </c>
      <c r="D145" s="15" t="s">
        <v>44</v>
      </c>
      <c r="E145" s="15" t="s">
        <v>37</v>
      </c>
      <c r="F145" s="15" t="s">
        <v>17</v>
      </c>
      <c r="G145" s="15" t="s">
        <v>26</v>
      </c>
      <c r="H145" s="15" t="n">
        <v>4</v>
      </c>
      <c r="I145" s="17" t="n">
        <v>0</v>
      </c>
      <c r="J145" s="18" t="n">
        <v>390.82</v>
      </c>
      <c r="K145" s="19" t="n">
        <v>36.81</v>
      </c>
      <c r="L145" s="15" t="n">
        <f aca="false">YEAR(B145)</f>
        <v>2022</v>
      </c>
      <c r="M145" s="20" t="n">
        <f aca="false">IF(J145&gt;0,K145/J145,0)</f>
        <v>0.0941865820582365</v>
      </c>
    </row>
    <row r="146" customFormat="false" ht="15" hidden="false" customHeight="false" outlineLevel="0" collapsed="false">
      <c r="A146" s="15" t="s">
        <v>203</v>
      </c>
      <c r="B146" s="16" t="n">
        <v>45562</v>
      </c>
      <c r="C146" s="15" t="s">
        <v>68</v>
      </c>
      <c r="D146" s="15" t="s">
        <v>43</v>
      </c>
      <c r="E146" s="15" t="s">
        <v>39</v>
      </c>
      <c r="F146" s="15" t="s">
        <v>17</v>
      </c>
      <c r="G146" s="15" t="s">
        <v>29</v>
      </c>
      <c r="H146" s="15" t="n">
        <v>4</v>
      </c>
      <c r="I146" s="17" t="n">
        <v>0</v>
      </c>
      <c r="J146" s="18" t="n">
        <v>92.98</v>
      </c>
      <c r="K146" s="19" t="n">
        <v>30.24</v>
      </c>
      <c r="L146" s="15" t="n">
        <f aca="false">YEAR(B146)</f>
        <v>2024</v>
      </c>
      <c r="M146" s="20" t="n">
        <f aca="false">IF(J146&gt;0,K146/J146,0)</f>
        <v>0.325231232523123</v>
      </c>
    </row>
    <row r="147" customFormat="false" ht="15" hidden="false" customHeight="false" outlineLevel="0" collapsed="false">
      <c r="A147" s="15" t="s">
        <v>204</v>
      </c>
      <c r="B147" s="16" t="n">
        <v>45740</v>
      </c>
      <c r="C147" s="15" t="s">
        <v>68</v>
      </c>
      <c r="D147" s="15" t="s">
        <v>42</v>
      </c>
      <c r="E147" s="15" t="s">
        <v>36</v>
      </c>
      <c r="F147" s="15" t="s">
        <v>17</v>
      </c>
      <c r="G147" s="15" t="s">
        <v>31</v>
      </c>
      <c r="H147" s="15" t="n">
        <v>2</v>
      </c>
      <c r="I147" s="17" t="n">
        <v>0.1</v>
      </c>
      <c r="J147" s="18" t="n">
        <v>221.6</v>
      </c>
      <c r="K147" s="19" t="n">
        <v>34.52</v>
      </c>
      <c r="L147" s="15" t="n">
        <f aca="false">YEAR(B147)</f>
        <v>2025</v>
      </c>
      <c r="M147" s="20" t="n">
        <f aca="false">IF(J147&gt;0,K147/J147,0)</f>
        <v>0.155776173285199</v>
      </c>
    </row>
    <row r="148" customFormat="false" ht="15" hidden="false" customHeight="false" outlineLevel="0" collapsed="false">
      <c r="A148" s="15" t="s">
        <v>205</v>
      </c>
      <c r="B148" s="16" t="n">
        <v>45448</v>
      </c>
      <c r="C148" s="15" t="s">
        <v>56</v>
      </c>
      <c r="D148" s="15" t="s">
        <v>43</v>
      </c>
      <c r="E148" s="15" t="s">
        <v>38</v>
      </c>
      <c r="F148" s="15" t="s">
        <v>17</v>
      </c>
      <c r="G148" s="15" t="s">
        <v>29</v>
      </c>
      <c r="H148" s="15" t="n">
        <v>4</v>
      </c>
      <c r="I148" s="17" t="n">
        <v>0</v>
      </c>
      <c r="J148" s="18" t="n">
        <v>66.94</v>
      </c>
      <c r="K148" s="19" t="n">
        <v>29.69</v>
      </c>
      <c r="L148" s="15" t="n">
        <f aca="false">YEAR(B148)</f>
        <v>2024</v>
      </c>
      <c r="M148" s="20" t="n">
        <f aca="false">IF(J148&gt;0,K148/J148,0)</f>
        <v>0.443531520764864</v>
      </c>
    </row>
    <row r="149" customFormat="false" ht="15" hidden="false" customHeight="false" outlineLevel="0" collapsed="false">
      <c r="A149" s="15" t="s">
        <v>206</v>
      </c>
      <c r="B149" s="16" t="n">
        <v>44889</v>
      </c>
      <c r="C149" s="15" t="s">
        <v>56</v>
      </c>
      <c r="D149" s="15" t="s">
        <v>44</v>
      </c>
      <c r="E149" s="15" t="s">
        <v>36</v>
      </c>
      <c r="F149" s="15" t="s">
        <v>17</v>
      </c>
      <c r="G149" s="15" t="s">
        <v>26</v>
      </c>
      <c r="H149" s="15" t="n">
        <v>5</v>
      </c>
      <c r="I149" s="17" t="n">
        <v>0</v>
      </c>
      <c r="J149" s="18" t="n">
        <v>447.56</v>
      </c>
      <c r="K149" s="19" t="n">
        <v>82.18</v>
      </c>
      <c r="L149" s="15" t="n">
        <f aca="false">YEAR(B149)</f>
        <v>2022</v>
      </c>
      <c r="M149" s="20" t="n">
        <f aca="false">IF(J149&gt;0,K149/J149,0)</f>
        <v>0.183617838948968</v>
      </c>
    </row>
    <row r="150" customFormat="false" ht="15" hidden="false" customHeight="false" outlineLevel="0" collapsed="false">
      <c r="A150" s="15" t="s">
        <v>207</v>
      </c>
      <c r="B150" s="16" t="n">
        <v>45802</v>
      </c>
      <c r="C150" s="15" t="s">
        <v>58</v>
      </c>
      <c r="D150" s="15" t="s">
        <v>42</v>
      </c>
      <c r="E150" s="15" t="s">
        <v>39</v>
      </c>
      <c r="F150" s="15" t="s">
        <v>17</v>
      </c>
      <c r="G150" s="15" t="s">
        <v>31</v>
      </c>
      <c r="H150" s="15" t="n">
        <v>7</v>
      </c>
      <c r="I150" s="17" t="n">
        <v>0</v>
      </c>
      <c r="J150" s="18" t="n">
        <v>854.99</v>
      </c>
      <c r="K150" s="19" t="n">
        <v>207.58</v>
      </c>
      <c r="L150" s="15" t="n">
        <f aca="false">YEAR(B150)</f>
        <v>2025</v>
      </c>
      <c r="M150" s="20" t="n">
        <f aca="false">IF(J150&gt;0,K150/J150,0)</f>
        <v>0.242786465338776</v>
      </c>
    </row>
    <row r="151" customFormat="false" ht="15" hidden="false" customHeight="false" outlineLevel="0" collapsed="false">
      <c r="A151" s="15" t="s">
        <v>208</v>
      </c>
      <c r="B151" s="16" t="n">
        <v>45612</v>
      </c>
      <c r="C151" s="15" t="s">
        <v>68</v>
      </c>
      <c r="D151" s="15" t="s">
        <v>42</v>
      </c>
      <c r="E151" s="15" t="s">
        <v>36</v>
      </c>
      <c r="F151" s="15" t="s">
        <v>17</v>
      </c>
      <c r="G151" s="15" t="s">
        <v>29</v>
      </c>
      <c r="H151" s="15" t="n">
        <v>10</v>
      </c>
      <c r="I151" s="17" t="n">
        <v>0</v>
      </c>
      <c r="J151" s="18" t="n">
        <v>152.08</v>
      </c>
      <c r="K151" s="19" t="n">
        <v>55.7</v>
      </c>
      <c r="L151" s="15" t="n">
        <f aca="false">YEAR(B151)</f>
        <v>2024</v>
      </c>
      <c r="M151" s="20" t="n">
        <f aca="false">IF(J151&gt;0,K151/J151,0)</f>
        <v>0.36625460284061</v>
      </c>
    </row>
    <row r="152" customFormat="false" ht="15" hidden="false" customHeight="false" outlineLevel="0" collapsed="false">
      <c r="A152" s="15" t="s">
        <v>209</v>
      </c>
      <c r="B152" s="16" t="n">
        <v>45285</v>
      </c>
      <c r="C152" s="15" t="s">
        <v>56</v>
      </c>
      <c r="D152" s="15" t="s">
        <v>44</v>
      </c>
      <c r="E152" s="15" t="s">
        <v>39</v>
      </c>
      <c r="F152" s="15" t="s">
        <v>17</v>
      </c>
      <c r="G152" s="15" t="s">
        <v>31</v>
      </c>
      <c r="H152" s="15" t="n">
        <v>5</v>
      </c>
      <c r="I152" s="17" t="n">
        <v>0</v>
      </c>
      <c r="J152" s="18" t="n">
        <v>651.65</v>
      </c>
      <c r="K152" s="19" t="n">
        <v>131.05</v>
      </c>
      <c r="L152" s="15" t="n">
        <f aca="false">YEAR(B152)</f>
        <v>2023</v>
      </c>
      <c r="M152" s="20" t="n">
        <f aca="false">IF(J152&gt;0,K152/J152,0)</f>
        <v>0.201104887593033</v>
      </c>
    </row>
    <row r="153" customFormat="false" ht="15" hidden="false" customHeight="false" outlineLevel="0" collapsed="false">
      <c r="A153" s="15" t="s">
        <v>210</v>
      </c>
      <c r="B153" s="16" t="n">
        <v>44948</v>
      </c>
      <c r="C153" s="15" t="s">
        <v>56</v>
      </c>
      <c r="D153" s="15" t="s">
        <v>44</v>
      </c>
      <c r="E153" s="15" t="s">
        <v>36</v>
      </c>
      <c r="F153" s="15" t="s">
        <v>16</v>
      </c>
      <c r="G153" s="15" t="s">
        <v>27</v>
      </c>
      <c r="H153" s="15" t="n">
        <v>2</v>
      </c>
      <c r="I153" s="17" t="n">
        <v>0</v>
      </c>
      <c r="J153" s="18" t="n">
        <v>112.1</v>
      </c>
      <c r="K153" s="19" t="n">
        <v>21.52</v>
      </c>
      <c r="L153" s="15" t="n">
        <f aca="false">YEAR(B153)</f>
        <v>2023</v>
      </c>
      <c r="M153" s="20" t="n">
        <f aca="false">IF(J153&gt;0,K153/J153,0)</f>
        <v>0.191971454058876</v>
      </c>
    </row>
    <row r="154" customFormat="false" ht="15" hidden="false" customHeight="false" outlineLevel="0" collapsed="false">
      <c r="A154" s="15" t="s">
        <v>211</v>
      </c>
      <c r="B154" s="16" t="n">
        <v>45538</v>
      </c>
      <c r="C154" s="15" t="s">
        <v>56</v>
      </c>
      <c r="D154" s="15" t="s">
        <v>42</v>
      </c>
      <c r="E154" s="15" t="s">
        <v>37</v>
      </c>
      <c r="F154" s="15" t="s">
        <v>16</v>
      </c>
      <c r="G154" s="15" t="s">
        <v>22</v>
      </c>
      <c r="H154" s="15" t="n">
        <v>6</v>
      </c>
      <c r="I154" s="17" t="n">
        <v>0.15</v>
      </c>
      <c r="J154" s="18" t="n">
        <v>3169.3</v>
      </c>
      <c r="K154" s="19" t="n">
        <v>-571.99</v>
      </c>
      <c r="L154" s="15" t="n">
        <f aca="false">YEAR(B154)</f>
        <v>2024</v>
      </c>
      <c r="M154" s="20" t="n">
        <f aca="false">IF(J154&gt;0,K154/J154,0)</f>
        <v>-0.180478339065409</v>
      </c>
    </row>
    <row r="155" customFormat="false" ht="15" hidden="false" customHeight="false" outlineLevel="0" collapsed="false">
      <c r="A155" s="15" t="s">
        <v>212</v>
      </c>
      <c r="B155" s="16" t="n">
        <v>44688</v>
      </c>
      <c r="C155" s="15" t="s">
        <v>56</v>
      </c>
      <c r="D155" s="15" t="s">
        <v>43</v>
      </c>
      <c r="E155" s="15" t="s">
        <v>37</v>
      </c>
      <c r="F155" s="15" t="s">
        <v>16</v>
      </c>
      <c r="G155" s="15" t="s">
        <v>27</v>
      </c>
      <c r="H155" s="15" t="n">
        <v>2</v>
      </c>
      <c r="I155" s="17" t="n">
        <v>0</v>
      </c>
      <c r="J155" s="18" t="n">
        <v>130.39</v>
      </c>
      <c r="K155" s="19" t="n">
        <v>27.45</v>
      </c>
      <c r="L155" s="15" t="n">
        <f aca="false">YEAR(B155)</f>
        <v>2022</v>
      </c>
      <c r="M155" s="20" t="n">
        <f aca="false">IF(J155&gt;0,K155/J155,0)</f>
        <v>0.210522279315898</v>
      </c>
    </row>
    <row r="156" customFormat="false" ht="15" hidden="false" customHeight="false" outlineLevel="0" collapsed="false">
      <c r="A156" s="15" t="s">
        <v>213</v>
      </c>
      <c r="B156" s="16" t="n">
        <v>46013</v>
      </c>
      <c r="C156" s="15" t="s">
        <v>56</v>
      </c>
      <c r="D156" s="15" t="s">
        <v>44</v>
      </c>
      <c r="E156" s="15" t="s">
        <v>38</v>
      </c>
      <c r="F156" s="15" t="s">
        <v>18</v>
      </c>
      <c r="G156" s="15" t="s">
        <v>30</v>
      </c>
      <c r="H156" s="15" t="n">
        <v>3</v>
      </c>
      <c r="I156" s="17" t="n">
        <v>0.5</v>
      </c>
      <c r="J156" s="18" t="n">
        <v>57.01</v>
      </c>
      <c r="K156" s="19" t="n">
        <v>-10.2</v>
      </c>
      <c r="L156" s="15" t="n">
        <f aca="false">YEAR(B156)</f>
        <v>2025</v>
      </c>
      <c r="M156" s="20" t="n">
        <f aca="false">IF(J156&gt;0,K156/J156,0)</f>
        <v>-0.178915979652693</v>
      </c>
    </row>
    <row r="157" customFormat="false" ht="15" hidden="false" customHeight="false" outlineLevel="0" collapsed="false">
      <c r="A157" s="15" t="s">
        <v>214</v>
      </c>
      <c r="B157" s="16" t="n">
        <v>44861</v>
      </c>
      <c r="C157" s="15" t="s">
        <v>56</v>
      </c>
      <c r="D157" s="15" t="s">
        <v>42</v>
      </c>
      <c r="E157" s="15" t="s">
        <v>36</v>
      </c>
      <c r="F157" s="15" t="s">
        <v>17</v>
      </c>
      <c r="G157" s="15" t="s">
        <v>26</v>
      </c>
      <c r="H157" s="15" t="n">
        <v>3</v>
      </c>
      <c r="I157" s="17" t="n">
        <v>0.15</v>
      </c>
      <c r="J157" s="18" t="n">
        <v>192.8</v>
      </c>
      <c r="K157" s="19" t="n">
        <v>-3.39</v>
      </c>
      <c r="L157" s="15" t="n">
        <f aca="false">YEAR(B157)</f>
        <v>2022</v>
      </c>
      <c r="M157" s="20" t="n">
        <f aca="false">IF(J157&gt;0,K157/J157,0)</f>
        <v>-0.0175829875518672</v>
      </c>
    </row>
    <row r="158" customFormat="false" ht="15" hidden="false" customHeight="false" outlineLevel="0" collapsed="false">
      <c r="A158" s="15" t="s">
        <v>215</v>
      </c>
      <c r="B158" s="16" t="n">
        <v>45555</v>
      </c>
      <c r="C158" s="15" t="s">
        <v>68</v>
      </c>
      <c r="D158" s="15" t="s">
        <v>42</v>
      </c>
      <c r="E158" s="15" t="s">
        <v>36</v>
      </c>
      <c r="F158" s="15" t="s">
        <v>18</v>
      </c>
      <c r="G158" s="15" t="s">
        <v>33</v>
      </c>
      <c r="H158" s="15" t="n">
        <v>5</v>
      </c>
      <c r="I158" s="17" t="n">
        <v>0.3</v>
      </c>
      <c r="J158" s="18" t="n">
        <v>3380.92</v>
      </c>
      <c r="K158" s="19" t="n">
        <v>27.03</v>
      </c>
      <c r="L158" s="15" t="n">
        <f aca="false">YEAR(B158)</f>
        <v>2024</v>
      </c>
      <c r="M158" s="20" t="n">
        <f aca="false">IF(J158&gt;0,K158/J158,0)</f>
        <v>0.0079948653029353</v>
      </c>
    </row>
    <row r="159" customFormat="false" ht="15" hidden="false" customHeight="false" outlineLevel="0" collapsed="false">
      <c r="A159" s="15" t="s">
        <v>216</v>
      </c>
      <c r="B159" s="16" t="n">
        <v>44700</v>
      </c>
      <c r="C159" s="15" t="s">
        <v>56</v>
      </c>
      <c r="D159" s="15" t="s">
        <v>43</v>
      </c>
      <c r="E159" s="15" t="s">
        <v>39</v>
      </c>
      <c r="F159" s="15" t="s">
        <v>17</v>
      </c>
      <c r="G159" s="15" t="s">
        <v>29</v>
      </c>
      <c r="H159" s="15" t="n">
        <v>4</v>
      </c>
      <c r="I159" s="17" t="n">
        <v>0.1</v>
      </c>
      <c r="J159" s="18" t="n">
        <v>63.13</v>
      </c>
      <c r="K159" s="19" t="n">
        <v>18.91</v>
      </c>
      <c r="L159" s="15" t="n">
        <f aca="false">YEAR(B159)</f>
        <v>2022</v>
      </c>
      <c r="M159" s="20" t="n">
        <f aca="false">IF(J159&gt;0,K159/J159,0)</f>
        <v>0.299540630445113</v>
      </c>
    </row>
    <row r="160" customFormat="false" ht="15" hidden="false" customHeight="false" outlineLevel="0" collapsed="false">
      <c r="A160" s="15" t="s">
        <v>217</v>
      </c>
      <c r="B160" s="16" t="n">
        <v>45927</v>
      </c>
      <c r="C160" s="15" t="s">
        <v>56</v>
      </c>
      <c r="D160" s="15" t="s">
        <v>42</v>
      </c>
      <c r="E160" s="15" t="s">
        <v>36</v>
      </c>
      <c r="F160" s="15" t="s">
        <v>16</v>
      </c>
      <c r="G160" s="15" t="s">
        <v>27</v>
      </c>
      <c r="H160" s="15" t="n">
        <v>3</v>
      </c>
      <c r="I160" s="17" t="n">
        <v>0</v>
      </c>
      <c r="J160" s="18" t="n">
        <v>178.34</v>
      </c>
      <c r="K160" s="19" t="n">
        <v>30.64</v>
      </c>
      <c r="L160" s="15" t="n">
        <f aca="false">YEAR(B160)</f>
        <v>2025</v>
      </c>
      <c r="M160" s="20" t="n">
        <f aca="false">IF(J160&gt;0,K160/J160,0)</f>
        <v>0.171806661433217</v>
      </c>
    </row>
    <row r="161" customFormat="false" ht="15" hidden="false" customHeight="false" outlineLevel="0" collapsed="false">
      <c r="A161" s="15" t="s">
        <v>218</v>
      </c>
      <c r="B161" s="16" t="n">
        <v>45644</v>
      </c>
      <c r="C161" s="15" t="s">
        <v>71</v>
      </c>
      <c r="D161" s="15" t="s">
        <v>42</v>
      </c>
      <c r="E161" s="15" t="s">
        <v>36</v>
      </c>
      <c r="F161" s="15" t="s">
        <v>18</v>
      </c>
      <c r="G161" s="15" t="s">
        <v>30</v>
      </c>
      <c r="H161" s="15" t="n">
        <v>5</v>
      </c>
      <c r="I161" s="17" t="n">
        <v>0.15</v>
      </c>
      <c r="J161" s="18" t="n">
        <v>172.32</v>
      </c>
      <c r="K161" s="19" t="n">
        <v>29.74</v>
      </c>
      <c r="L161" s="15" t="n">
        <f aca="false">YEAR(B161)</f>
        <v>2024</v>
      </c>
      <c r="M161" s="20" t="n">
        <f aca="false">IF(J161&gt;0,K161/J161,0)</f>
        <v>0.172585886722377</v>
      </c>
    </row>
    <row r="162" customFormat="false" ht="15" hidden="false" customHeight="false" outlineLevel="0" collapsed="false">
      <c r="A162" s="15" t="s">
        <v>219</v>
      </c>
      <c r="B162" s="16" t="n">
        <v>44630</v>
      </c>
      <c r="C162" s="15" t="s">
        <v>68</v>
      </c>
      <c r="D162" s="15" t="s">
        <v>42</v>
      </c>
      <c r="E162" s="15" t="s">
        <v>38</v>
      </c>
      <c r="F162" s="15" t="s">
        <v>17</v>
      </c>
      <c r="G162" s="15" t="s">
        <v>29</v>
      </c>
      <c r="H162" s="15" t="n">
        <v>3</v>
      </c>
      <c r="I162" s="17" t="n">
        <v>0</v>
      </c>
      <c r="J162" s="18" t="n">
        <v>42.88</v>
      </c>
      <c r="K162" s="19" t="n">
        <v>19.49</v>
      </c>
      <c r="L162" s="15" t="n">
        <f aca="false">YEAR(B162)</f>
        <v>2022</v>
      </c>
      <c r="M162" s="20" t="n">
        <f aca="false">IF(J162&gt;0,K162/J162,0)</f>
        <v>0.454524253731343</v>
      </c>
    </row>
    <row r="163" customFormat="false" ht="15" hidden="false" customHeight="false" outlineLevel="0" collapsed="false">
      <c r="A163" s="15" t="s">
        <v>220</v>
      </c>
      <c r="B163" s="16" t="n">
        <v>45920</v>
      </c>
      <c r="C163" s="15" t="s">
        <v>56</v>
      </c>
      <c r="D163" s="15" t="s">
        <v>42</v>
      </c>
      <c r="E163" s="15" t="s">
        <v>36</v>
      </c>
      <c r="F163" s="15" t="s">
        <v>16</v>
      </c>
      <c r="G163" s="15" t="s">
        <v>22</v>
      </c>
      <c r="H163" s="15" t="n">
        <v>1</v>
      </c>
      <c r="I163" s="17" t="n">
        <v>0.1</v>
      </c>
      <c r="J163" s="18" t="n">
        <v>442.22</v>
      </c>
      <c r="K163" s="19" t="n">
        <v>-37.73</v>
      </c>
      <c r="L163" s="15" t="n">
        <f aca="false">YEAR(B163)</f>
        <v>2025</v>
      </c>
      <c r="M163" s="20" t="n">
        <f aca="false">IF(J163&gt;0,K163/J163,0)</f>
        <v>-0.0853195242187147</v>
      </c>
    </row>
    <row r="164" customFormat="false" ht="15" hidden="false" customHeight="false" outlineLevel="0" collapsed="false">
      <c r="A164" s="15" t="s">
        <v>221</v>
      </c>
      <c r="B164" s="16" t="n">
        <v>44955</v>
      </c>
      <c r="C164" s="15" t="s">
        <v>56</v>
      </c>
      <c r="D164" s="15" t="s">
        <v>43</v>
      </c>
      <c r="E164" s="15" t="s">
        <v>38</v>
      </c>
      <c r="F164" s="15" t="s">
        <v>17</v>
      </c>
      <c r="G164" s="15" t="s">
        <v>31</v>
      </c>
      <c r="H164" s="15" t="n">
        <v>3</v>
      </c>
      <c r="I164" s="17" t="n">
        <v>0.2</v>
      </c>
      <c r="J164" s="18" t="n">
        <v>357.39</v>
      </c>
      <c r="K164" s="19" t="n">
        <v>3.63</v>
      </c>
      <c r="L164" s="15" t="n">
        <f aca="false">YEAR(B164)</f>
        <v>2023</v>
      </c>
      <c r="M164" s="20" t="n">
        <f aca="false">IF(J164&gt;0,K164/J164,0)</f>
        <v>0.0101569713758079</v>
      </c>
    </row>
    <row r="165" customFormat="false" ht="15" hidden="false" customHeight="false" outlineLevel="0" collapsed="false">
      <c r="A165" s="15" t="s">
        <v>222</v>
      </c>
      <c r="B165" s="16" t="n">
        <v>45742</v>
      </c>
      <c r="C165" s="15" t="s">
        <v>56</v>
      </c>
      <c r="D165" s="15" t="s">
        <v>43</v>
      </c>
      <c r="E165" s="15" t="s">
        <v>37</v>
      </c>
      <c r="F165" s="15" t="s">
        <v>16</v>
      </c>
      <c r="G165" s="15" t="s">
        <v>22</v>
      </c>
      <c r="H165" s="15" t="n">
        <v>3</v>
      </c>
      <c r="I165" s="17" t="n">
        <v>0.2</v>
      </c>
      <c r="J165" s="18" t="n">
        <v>1675.75</v>
      </c>
      <c r="K165" s="19" t="n">
        <v>-328.23</v>
      </c>
      <c r="L165" s="15" t="n">
        <f aca="false">YEAR(B165)</f>
        <v>2025</v>
      </c>
      <c r="M165" s="20" t="n">
        <f aca="false">IF(J165&gt;0,K165/J165,0)</f>
        <v>-0.195870505743697</v>
      </c>
    </row>
    <row r="166" customFormat="false" ht="15" hidden="false" customHeight="false" outlineLevel="0" collapsed="false">
      <c r="A166" s="15" t="s">
        <v>223</v>
      </c>
      <c r="B166" s="16" t="n">
        <v>45229</v>
      </c>
      <c r="C166" s="15" t="s">
        <v>56</v>
      </c>
      <c r="D166" s="15" t="s">
        <v>42</v>
      </c>
      <c r="E166" s="15" t="s">
        <v>39</v>
      </c>
      <c r="F166" s="15" t="s">
        <v>18</v>
      </c>
      <c r="G166" s="15" t="s">
        <v>30</v>
      </c>
      <c r="H166" s="15" t="n">
        <v>2</v>
      </c>
      <c r="I166" s="17" t="n">
        <v>0</v>
      </c>
      <c r="J166" s="18" t="n">
        <v>89.64</v>
      </c>
      <c r="K166" s="19" t="n">
        <v>29.41</v>
      </c>
      <c r="L166" s="15" t="n">
        <f aca="false">YEAR(B166)</f>
        <v>2023</v>
      </c>
      <c r="M166" s="20" t="n">
        <f aca="false">IF(J166&gt;0,K166/J166,0)</f>
        <v>0.328090138331102</v>
      </c>
    </row>
    <row r="167" customFormat="false" ht="15" hidden="false" customHeight="false" outlineLevel="0" collapsed="false">
      <c r="A167" s="15" t="s">
        <v>224</v>
      </c>
      <c r="B167" s="16" t="n">
        <v>45225</v>
      </c>
      <c r="C167" s="15" t="s">
        <v>56</v>
      </c>
      <c r="D167" s="15" t="s">
        <v>42</v>
      </c>
      <c r="E167" s="15" t="s">
        <v>39</v>
      </c>
      <c r="F167" s="15" t="s">
        <v>17</v>
      </c>
      <c r="G167" s="15" t="s">
        <v>31</v>
      </c>
      <c r="H167" s="15" t="n">
        <v>5</v>
      </c>
      <c r="I167" s="17" t="n">
        <v>0.15</v>
      </c>
      <c r="J167" s="18" t="n">
        <v>500.72</v>
      </c>
      <c r="K167" s="19" t="n">
        <v>23.31</v>
      </c>
      <c r="L167" s="15" t="n">
        <f aca="false">YEAR(B167)</f>
        <v>2023</v>
      </c>
      <c r="M167" s="20" t="n">
        <f aca="false">IF(J167&gt;0,K167/J167,0)</f>
        <v>0.0465529637322256</v>
      </c>
    </row>
    <row r="168" customFormat="false" ht="15" hidden="false" customHeight="false" outlineLevel="0" collapsed="false">
      <c r="A168" s="15" t="s">
        <v>225</v>
      </c>
      <c r="B168" s="16" t="n">
        <v>45660</v>
      </c>
      <c r="C168" s="15" t="s">
        <v>56</v>
      </c>
      <c r="D168" s="15" t="s">
        <v>42</v>
      </c>
      <c r="E168" s="15" t="s">
        <v>38</v>
      </c>
      <c r="F168" s="15" t="s">
        <v>17</v>
      </c>
      <c r="G168" s="15" t="s">
        <v>28</v>
      </c>
      <c r="H168" s="15" t="n">
        <v>2</v>
      </c>
      <c r="I168" s="17" t="n">
        <v>0.15</v>
      </c>
      <c r="J168" s="18" t="n">
        <v>36.58</v>
      </c>
      <c r="K168" s="19" t="n">
        <v>5.18</v>
      </c>
      <c r="L168" s="15" t="n">
        <f aca="false">YEAR(B168)</f>
        <v>2025</v>
      </c>
      <c r="M168" s="20" t="n">
        <f aca="false">IF(J168&gt;0,K168/J168,0)</f>
        <v>0.141607435757244</v>
      </c>
    </row>
    <row r="169" customFormat="false" ht="15" hidden="false" customHeight="false" outlineLevel="0" collapsed="false">
      <c r="A169" s="15" t="s">
        <v>226</v>
      </c>
      <c r="B169" s="16" t="n">
        <v>45017</v>
      </c>
      <c r="C169" s="15" t="s">
        <v>71</v>
      </c>
      <c r="D169" s="15" t="s">
        <v>43</v>
      </c>
      <c r="E169" s="15" t="s">
        <v>39</v>
      </c>
      <c r="F169" s="15" t="s">
        <v>16</v>
      </c>
      <c r="G169" s="15" t="s">
        <v>25</v>
      </c>
      <c r="H169" s="15" t="n">
        <v>3</v>
      </c>
      <c r="I169" s="17" t="n">
        <v>0.4</v>
      </c>
      <c r="J169" s="18" t="n">
        <v>622.6</v>
      </c>
      <c r="K169" s="19" t="n">
        <v>-192.64</v>
      </c>
      <c r="L169" s="15" t="n">
        <f aca="false">YEAR(B169)</f>
        <v>2023</v>
      </c>
      <c r="M169" s="20" t="n">
        <f aca="false">IF(J169&gt;0,K169/J169,0)</f>
        <v>-0.30941214262769</v>
      </c>
    </row>
    <row r="170" customFormat="false" ht="15" hidden="false" customHeight="false" outlineLevel="0" collapsed="false">
      <c r="A170" s="15" t="s">
        <v>227</v>
      </c>
      <c r="B170" s="16" t="n">
        <v>45705</v>
      </c>
      <c r="C170" s="15" t="s">
        <v>68</v>
      </c>
      <c r="D170" s="15" t="s">
        <v>43</v>
      </c>
      <c r="E170" s="15" t="s">
        <v>37</v>
      </c>
      <c r="F170" s="15" t="s">
        <v>18</v>
      </c>
      <c r="G170" s="15" t="s">
        <v>30</v>
      </c>
      <c r="H170" s="15" t="n">
        <v>3</v>
      </c>
      <c r="I170" s="17" t="n">
        <v>0.1</v>
      </c>
      <c r="J170" s="18" t="n">
        <v>127.89</v>
      </c>
      <c r="K170" s="19" t="n">
        <v>20.67</v>
      </c>
      <c r="L170" s="15" t="n">
        <f aca="false">YEAR(B170)</f>
        <v>2025</v>
      </c>
      <c r="M170" s="20" t="n">
        <f aca="false">IF(J170&gt;0,K170/J170,0)</f>
        <v>0.161623269997654</v>
      </c>
    </row>
    <row r="171" customFormat="false" ht="15" hidden="false" customHeight="false" outlineLevel="0" collapsed="false">
      <c r="A171" s="15" t="s">
        <v>228</v>
      </c>
      <c r="B171" s="16" t="n">
        <v>45951</v>
      </c>
      <c r="C171" s="15" t="s">
        <v>56</v>
      </c>
      <c r="D171" s="15" t="s">
        <v>44</v>
      </c>
      <c r="E171" s="15" t="s">
        <v>38</v>
      </c>
      <c r="F171" s="15" t="s">
        <v>16</v>
      </c>
      <c r="G171" s="15" t="s">
        <v>27</v>
      </c>
      <c r="H171" s="15" t="n">
        <v>2</v>
      </c>
      <c r="I171" s="17" t="n">
        <v>0</v>
      </c>
      <c r="J171" s="18" t="n">
        <v>103.72</v>
      </c>
      <c r="K171" s="19" t="n">
        <v>26.88</v>
      </c>
      <c r="L171" s="15" t="n">
        <f aca="false">YEAR(B171)</f>
        <v>2025</v>
      </c>
      <c r="M171" s="20" t="n">
        <f aca="false">IF(J171&gt;0,K171/J171,0)</f>
        <v>0.259159274971076</v>
      </c>
    </row>
    <row r="172" customFormat="false" ht="15" hidden="false" customHeight="false" outlineLevel="0" collapsed="false">
      <c r="A172" s="15" t="s">
        <v>229</v>
      </c>
      <c r="B172" s="16" t="n">
        <v>45464</v>
      </c>
      <c r="C172" s="15" t="s">
        <v>56</v>
      </c>
      <c r="D172" s="15" t="s">
        <v>43</v>
      </c>
      <c r="E172" s="15" t="s">
        <v>38</v>
      </c>
      <c r="F172" s="15" t="s">
        <v>17</v>
      </c>
      <c r="G172" s="15" t="s">
        <v>29</v>
      </c>
      <c r="H172" s="15" t="n">
        <v>3</v>
      </c>
      <c r="I172" s="17" t="n">
        <v>0.05</v>
      </c>
      <c r="J172" s="18" t="n">
        <v>53.06</v>
      </c>
      <c r="K172" s="19" t="n">
        <v>16.82</v>
      </c>
      <c r="L172" s="15" t="n">
        <f aca="false">YEAR(B172)</f>
        <v>2024</v>
      </c>
      <c r="M172" s="20" t="n">
        <f aca="false">IF(J172&gt;0,K172/J172,0)</f>
        <v>0.316999623068225</v>
      </c>
    </row>
    <row r="173" customFormat="false" ht="15" hidden="false" customHeight="false" outlineLevel="0" collapsed="false">
      <c r="A173" s="15" t="s">
        <v>230</v>
      </c>
      <c r="B173" s="16" t="n">
        <v>45645</v>
      </c>
      <c r="C173" s="15" t="s">
        <v>71</v>
      </c>
      <c r="D173" s="15" t="s">
        <v>42</v>
      </c>
      <c r="E173" s="15" t="s">
        <v>37</v>
      </c>
      <c r="F173" s="15" t="s">
        <v>16</v>
      </c>
      <c r="G173" s="15" t="s">
        <v>23</v>
      </c>
      <c r="H173" s="15" t="n">
        <v>4</v>
      </c>
      <c r="I173" s="17" t="n">
        <v>0.4</v>
      </c>
      <c r="J173" s="18" t="n">
        <v>761.84</v>
      </c>
      <c r="K173" s="19" t="n">
        <v>-233.46</v>
      </c>
      <c r="L173" s="15" t="n">
        <f aca="false">YEAR(B173)</f>
        <v>2024</v>
      </c>
      <c r="M173" s="20" t="n">
        <f aca="false">IF(J173&gt;0,K173/J173,0)</f>
        <v>-0.306442297595296</v>
      </c>
    </row>
    <row r="174" customFormat="false" ht="15" hidden="false" customHeight="false" outlineLevel="0" collapsed="false">
      <c r="A174" s="15" t="s">
        <v>231</v>
      </c>
      <c r="B174" s="16" t="n">
        <v>44827</v>
      </c>
      <c r="C174" s="15" t="s">
        <v>71</v>
      </c>
      <c r="D174" s="15" t="s">
        <v>44</v>
      </c>
      <c r="E174" s="15" t="s">
        <v>39</v>
      </c>
      <c r="F174" s="15" t="s">
        <v>16</v>
      </c>
      <c r="G174" s="15" t="s">
        <v>23</v>
      </c>
      <c r="H174" s="15" t="n">
        <v>8</v>
      </c>
      <c r="I174" s="17" t="n">
        <v>0</v>
      </c>
      <c r="J174" s="18" t="n">
        <v>2537.85</v>
      </c>
      <c r="K174" s="19" t="n">
        <v>26.64</v>
      </c>
      <c r="L174" s="15" t="n">
        <f aca="false">YEAR(B174)</f>
        <v>2022</v>
      </c>
      <c r="M174" s="20" t="n">
        <f aca="false">IF(J174&gt;0,K174/J174,0)</f>
        <v>0.0104970742951711</v>
      </c>
    </row>
    <row r="175" customFormat="false" ht="15" hidden="false" customHeight="false" outlineLevel="0" collapsed="false">
      <c r="A175" s="15" t="s">
        <v>232</v>
      </c>
      <c r="B175" s="16" t="n">
        <v>45651</v>
      </c>
      <c r="C175" s="15" t="s">
        <v>56</v>
      </c>
      <c r="D175" s="15" t="s">
        <v>42</v>
      </c>
      <c r="E175" s="15" t="s">
        <v>37</v>
      </c>
      <c r="F175" s="15" t="s">
        <v>17</v>
      </c>
      <c r="G175" s="15" t="s">
        <v>28</v>
      </c>
      <c r="H175" s="15" t="n">
        <v>3</v>
      </c>
      <c r="I175" s="17" t="n">
        <v>0.4</v>
      </c>
      <c r="J175" s="18" t="n">
        <v>44.76</v>
      </c>
      <c r="K175" s="19" t="n">
        <v>-1.18</v>
      </c>
      <c r="L175" s="15" t="n">
        <f aca="false">YEAR(B175)</f>
        <v>2024</v>
      </c>
      <c r="M175" s="20" t="n">
        <f aca="false">IF(J175&gt;0,K175/J175,0)</f>
        <v>-0.0263628239499553</v>
      </c>
    </row>
    <row r="176" customFormat="false" ht="15" hidden="false" customHeight="false" outlineLevel="0" collapsed="false">
      <c r="A176" s="15" t="s">
        <v>233</v>
      </c>
      <c r="B176" s="16" t="n">
        <v>46000</v>
      </c>
      <c r="C176" s="15" t="s">
        <v>56</v>
      </c>
      <c r="D176" s="15" t="s">
        <v>44</v>
      </c>
      <c r="E176" s="15" t="s">
        <v>37</v>
      </c>
      <c r="F176" s="15" t="s">
        <v>16</v>
      </c>
      <c r="G176" s="15" t="s">
        <v>25</v>
      </c>
      <c r="H176" s="15" t="n">
        <v>2</v>
      </c>
      <c r="I176" s="17" t="n">
        <v>0</v>
      </c>
      <c r="J176" s="18" t="n">
        <v>475.43</v>
      </c>
      <c r="K176" s="19" t="n">
        <v>35.32</v>
      </c>
      <c r="L176" s="15" t="n">
        <f aca="false">YEAR(B176)</f>
        <v>2025</v>
      </c>
      <c r="M176" s="20" t="n">
        <f aca="false">IF(J176&gt;0,K176/J176,0)</f>
        <v>0.0742906421555224</v>
      </c>
    </row>
    <row r="177" customFormat="false" ht="15" hidden="false" customHeight="false" outlineLevel="0" collapsed="false">
      <c r="A177" s="15" t="s">
        <v>234</v>
      </c>
      <c r="B177" s="16" t="n">
        <v>45431</v>
      </c>
      <c r="C177" s="15" t="s">
        <v>71</v>
      </c>
      <c r="D177" s="15" t="s">
        <v>42</v>
      </c>
      <c r="E177" s="15" t="s">
        <v>37</v>
      </c>
      <c r="F177" s="15" t="s">
        <v>17</v>
      </c>
      <c r="G177" s="15" t="s">
        <v>28</v>
      </c>
      <c r="H177" s="15" t="n">
        <v>2</v>
      </c>
      <c r="I177" s="17" t="n">
        <v>0</v>
      </c>
      <c r="J177" s="18" t="n">
        <v>47.79</v>
      </c>
      <c r="K177" s="19" t="n">
        <v>13.32</v>
      </c>
      <c r="L177" s="15" t="n">
        <f aca="false">YEAR(B177)</f>
        <v>2024</v>
      </c>
      <c r="M177" s="20" t="n">
        <f aca="false">IF(J177&gt;0,K177/J177,0)</f>
        <v>0.278719397363465</v>
      </c>
    </row>
    <row r="178" customFormat="false" ht="15" hidden="false" customHeight="false" outlineLevel="0" collapsed="false">
      <c r="A178" s="15" t="s">
        <v>235</v>
      </c>
      <c r="B178" s="16" t="n">
        <v>45361</v>
      </c>
      <c r="C178" s="15" t="s">
        <v>56</v>
      </c>
      <c r="D178" s="15" t="s">
        <v>43</v>
      </c>
      <c r="E178" s="15" t="s">
        <v>36</v>
      </c>
      <c r="F178" s="15" t="s">
        <v>18</v>
      </c>
      <c r="G178" s="15" t="s">
        <v>32</v>
      </c>
      <c r="H178" s="15" t="n">
        <v>4</v>
      </c>
      <c r="I178" s="17" t="n">
        <v>0</v>
      </c>
      <c r="J178" s="18" t="n">
        <v>1840.45</v>
      </c>
      <c r="K178" s="19" t="n">
        <v>448.53</v>
      </c>
      <c r="L178" s="15" t="n">
        <f aca="false">YEAR(B178)</f>
        <v>2024</v>
      </c>
      <c r="M178" s="20" t="n">
        <f aca="false">IF(J178&gt;0,K178/J178,0)</f>
        <v>0.243706702165231</v>
      </c>
    </row>
    <row r="179" customFormat="false" ht="15" hidden="false" customHeight="false" outlineLevel="0" collapsed="false">
      <c r="A179" s="15" t="s">
        <v>236</v>
      </c>
      <c r="B179" s="16" t="n">
        <v>45521</v>
      </c>
      <c r="C179" s="15" t="s">
        <v>68</v>
      </c>
      <c r="D179" s="15" t="s">
        <v>44</v>
      </c>
      <c r="E179" s="15" t="s">
        <v>36</v>
      </c>
      <c r="F179" s="15" t="s">
        <v>17</v>
      </c>
      <c r="G179" s="15" t="s">
        <v>31</v>
      </c>
      <c r="H179" s="15" t="n">
        <v>4</v>
      </c>
      <c r="I179" s="17" t="n">
        <v>0.15</v>
      </c>
      <c r="J179" s="18" t="n">
        <v>410.59</v>
      </c>
      <c r="K179" s="19" t="n">
        <v>18.87</v>
      </c>
      <c r="L179" s="15" t="n">
        <f aca="false">YEAR(B179)</f>
        <v>2024</v>
      </c>
      <c r="M179" s="20" t="n">
        <f aca="false">IF(J179&gt;0,K179/J179,0)</f>
        <v>0.0459582551937456</v>
      </c>
    </row>
    <row r="180" customFormat="false" ht="15" hidden="false" customHeight="false" outlineLevel="0" collapsed="false">
      <c r="A180" s="15" t="s">
        <v>237</v>
      </c>
      <c r="B180" s="16" t="n">
        <v>44814</v>
      </c>
      <c r="C180" s="15" t="s">
        <v>68</v>
      </c>
      <c r="D180" s="15" t="s">
        <v>43</v>
      </c>
      <c r="E180" s="15" t="s">
        <v>37</v>
      </c>
      <c r="F180" s="15" t="s">
        <v>17</v>
      </c>
      <c r="G180" s="15" t="s">
        <v>28</v>
      </c>
      <c r="H180" s="15" t="n">
        <v>3</v>
      </c>
      <c r="I180" s="17" t="n">
        <v>0.15</v>
      </c>
      <c r="J180" s="18" t="n">
        <v>63.46</v>
      </c>
      <c r="K180" s="19" t="n">
        <v>13.83</v>
      </c>
      <c r="L180" s="15" t="n">
        <f aca="false">YEAR(B180)</f>
        <v>2022</v>
      </c>
      <c r="M180" s="20" t="n">
        <f aca="false">IF(J180&gt;0,K180/J180,0)</f>
        <v>0.21793255594075</v>
      </c>
    </row>
    <row r="181" customFormat="false" ht="15" hidden="false" customHeight="false" outlineLevel="0" collapsed="false">
      <c r="A181" s="15" t="s">
        <v>238</v>
      </c>
      <c r="B181" s="16" t="n">
        <v>45711</v>
      </c>
      <c r="C181" s="15" t="s">
        <v>56</v>
      </c>
      <c r="D181" s="15" t="s">
        <v>44</v>
      </c>
      <c r="E181" s="15" t="s">
        <v>37</v>
      </c>
      <c r="F181" s="15" t="s">
        <v>17</v>
      </c>
      <c r="G181" s="15" t="s">
        <v>31</v>
      </c>
      <c r="H181" s="15" t="n">
        <v>3</v>
      </c>
      <c r="I181" s="17" t="n">
        <v>0.2</v>
      </c>
      <c r="J181" s="18" t="n">
        <v>393.41</v>
      </c>
      <c r="K181" s="19" t="n">
        <v>-8.04</v>
      </c>
      <c r="L181" s="15" t="n">
        <f aca="false">YEAR(B181)</f>
        <v>2025</v>
      </c>
      <c r="M181" s="20" t="n">
        <f aca="false">IF(J181&gt;0,K181/J181,0)</f>
        <v>-0.0204366945425892</v>
      </c>
    </row>
    <row r="182" customFormat="false" ht="15" hidden="false" customHeight="false" outlineLevel="0" collapsed="false">
      <c r="A182" s="15" t="s">
        <v>239</v>
      </c>
      <c r="B182" s="16" t="n">
        <v>45971</v>
      </c>
      <c r="C182" s="15" t="s">
        <v>71</v>
      </c>
      <c r="D182" s="15" t="s">
        <v>43</v>
      </c>
      <c r="E182" s="15" t="s">
        <v>38</v>
      </c>
      <c r="F182" s="15" t="s">
        <v>16</v>
      </c>
      <c r="G182" s="15" t="s">
        <v>25</v>
      </c>
      <c r="H182" s="15" t="n">
        <v>1</v>
      </c>
      <c r="I182" s="17" t="n">
        <v>0.1</v>
      </c>
      <c r="J182" s="18" t="n">
        <v>284.53</v>
      </c>
      <c r="K182" s="19" t="n">
        <v>-3.19</v>
      </c>
      <c r="L182" s="15" t="n">
        <f aca="false">YEAR(B182)</f>
        <v>2025</v>
      </c>
      <c r="M182" s="20" t="n">
        <f aca="false">IF(J182&gt;0,K182/J182,0)</f>
        <v>-0.011211471549573</v>
      </c>
    </row>
    <row r="183" customFormat="false" ht="15" hidden="false" customHeight="false" outlineLevel="0" collapsed="false">
      <c r="A183" s="15" t="s">
        <v>240</v>
      </c>
      <c r="B183" s="16" t="n">
        <v>45787</v>
      </c>
      <c r="C183" s="15" t="s">
        <v>56</v>
      </c>
      <c r="D183" s="15" t="s">
        <v>42</v>
      </c>
      <c r="E183" s="15" t="s">
        <v>37</v>
      </c>
      <c r="F183" s="15" t="s">
        <v>16</v>
      </c>
      <c r="G183" s="15" t="s">
        <v>27</v>
      </c>
      <c r="H183" s="15" t="n">
        <v>5</v>
      </c>
      <c r="I183" s="17" t="n">
        <v>0</v>
      </c>
      <c r="J183" s="18" t="n">
        <v>295.77</v>
      </c>
      <c r="K183" s="19" t="n">
        <v>70.94</v>
      </c>
      <c r="L183" s="15" t="n">
        <f aca="false">YEAR(B183)</f>
        <v>2025</v>
      </c>
      <c r="M183" s="20" t="n">
        <f aca="false">IF(J183&gt;0,K183/J183,0)</f>
        <v>0.239848530953105</v>
      </c>
    </row>
    <row r="184" customFormat="false" ht="15" hidden="false" customHeight="false" outlineLevel="0" collapsed="false">
      <c r="A184" s="15" t="s">
        <v>241</v>
      </c>
      <c r="B184" s="16" t="n">
        <v>45277</v>
      </c>
      <c r="C184" s="15" t="s">
        <v>56</v>
      </c>
      <c r="D184" s="15" t="s">
        <v>43</v>
      </c>
      <c r="E184" s="15" t="s">
        <v>38</v>
      </c>
      <c r="F184" s="15" t="s">
        <v>17</v>
      </c>
      <c r="G184" s="15" t="s">
        <v>29</v>
      </c>
      <c r="H184" s="15" t="n">
        <v>3</v>
      </c>
      <c r="I184" s="17" t="n">
        <v>0</v>
      </c>
      <c r="J184" s="18" t="n">
        <v>59.71</v>
      </c>
      <c r="K184" s="19" t="n">
        <v>19.55</v>
      </c>
      <c r="L184" s="15" t="n">
        <f aca="false">YEAR(B184)</f>
        <v>2023</v>
      </c>
      <c r="M184" s="20" t="n">
        <f aca="false">IF(J184&gt;0,K184/J184,0)</f>
        <v>0.327415843242338</v>
      </c>
    </row>
    <row r="185" customFormat="false" ht="15" hidden="false" customHeight="false" outlineLevel="0" collapsed="false">
      <c r="A185" s="15" t="s">
        <v>242</v>
      </c>
      <c r="B185" s="16" t="n">
        <v>45342</v>
      </c>
      <c r="C185" s="15" t="s">
        <v>58</v>
      </c>
      <c r="D185" s="15" t="s">
        <v>42</v>
      </c>
      <c r="E185" s="15" t="s">
        <v>39</v>
      </c>
      <c r="F185" s="15" t="s">
        <v>18</v>
      </c>
      <c r="G185" s="15" t="s">
        <v>33</v>
      </c>
      <c r="H185" s="15" t="n">
        <v>3</v>
      </c>
      <c r="I185" s="17" t="n">
        <v>0</v>
      </c>
      <c r="J185" s="18" t="n">
        <v>2295.1</v>
      </c>
      <c r="K185" s="19" t="n">
        <v>552.44</v>
      </c>
      <c r="L185" s="15" t="n">
        <f aca="false">YEAR(B185)</f>
        <v>2024</v>
      </c>
      <c r="M185" s="20" t="n">
        <f aca="false">IF(J185&gt;0,K185/J185,0)</f>
        <v>0.240704108753431</v>
      </c>
    </row>
    <row r="186" customFormat="false" ht="15" hidden="false" customHeight="false" outlineLevel="0" collapsed="false">
      <c r="A186" s="15" t="s">
        <v>243</v>
      </c>
      <c r="B186" s="16" t="n">
        <v>45094</v>
      </c>
      <c r="C186" s="15" t="s">
        <v>58</v>
      </c>
      <c r="D186" s="15" t="s">
        <v>43</v>
      </c>
      <c r="E186" s="15" t="s">
        <v>39</v>
      </c>
      <c r="F186" s="15" t="s">
        <v>17</v>
      </c>
      <c r="G186" s="15" t="s">
        <v>29</v>
      </c>
      <c r="H186" s="15" t="n">
        <v>4</v>
      </c>
      <c r="I186" s="17" t="n">
        <v>0.4</v>
      </c>
      <c r="J186" s="18" t="n">
        <v>44.57</v>
      </c>
      <c r="K186" s="19" t="n">
        <v>0.89</v>
      </c>
      <c r="L186" s="15" t="n">
        <f aca="false">YEAR(B186)</f>
        <v>2023</v>
      </c>
      <c r="M186" s="20" t="n">
        <f aca="false">IF(J186&gt;0,K186/J186,0)</f>
        <v>0.0199685887368185</v>
      </c>
    </row>
    <row r="187" customFormat="false" ht="15" hidden="false" customHeight="false" outlineLevel="0" collapsed="false">
      <c r="A187" s="15" t="s">
        <v>244</v>
      </c>
      <c r="B187" s="16" t="n">
        <v>45239</v>
      </c>
      <c r="C187" s="15" t="s">
        <v>68</v>
      </c>
      <c r="D187" s="15" t="s">
        <v>44</v>
      </c>
      <c r="E187" s="15" t="s">
        <v>36</v>
      </c>
      <c r="F187" s="15" t="s">
        <v>16</v>
      </c>
      <c r="G187" s="15" t="s">
        <v>23</v>
      </c>
      <c r="H187" s="15" t="n">
        <v>7</v>
      </c>
      <c r="I187" s="17" t="n">
        <v>0.1</v>
      </c>
      <c r="J187" s="18" t="n">
        <v>1664.2</v>
      </c>
      <c r="K187" s="19" t="n">
        <v>-78.06</v>
      </c>
      <c r="L187" s="15" t="n">
        <f aca="false">YEAR(B187)</f>
        <v>2023</v>
      </c>
      <c r="M187" s="20" t="n">
        <f aca="false">IF(J187&gt;0,K187/J187,0)</f>
        <v>-0.046905420021632</v>
      </c>
    </row>
    <row r="188" customFormat="false" ht="15" hidden="false" customHeight="false" outlineLevel="0" collapsed="false">
      <c r="A188" s="15" t="s">
        <v>245</v>
      </c>
      <c r="B188" s="16" t="n">
        <v>44588</v>
      </c>
      <c r="C188" s="15" t="s">
        <v>56</v>
      </c>
      <c r="D188" s="15" t="s">
        <v>44</v>
      </c>
      <c r="E188" s="15" t="s">
        <v>39</v>
      </c>
      <c r="F188" s="15" t="s">
        <v>17</v>
      </c>
      <c r="G188" s="15" t="s">
        <v>28</v>
      </c>
      <c r="H188" s="15" t="n">
        <v>2</v>
      </c>
      <c r="I188" s="17" t="n">
        <v>0</v>
      </c>
      <c r="J188" s="18" t="n">
        <v>50.87</v>
      </c>
      <c r="K188" s="19" t="n">
        <v>13.28</v>
      </c>
      <c r="L188" s="15" t="n">
        <f aca="false">YEAR(B188)</f>
        <v>2022</v>
      </c>
      <c r="M188" s="20" t="n">
        <f aca="false">IF(J188&gt;0,K188/J188,0)</f>
        <v>0.261057597798309</v>
      </c>
    </row>
    <row r="189" customFormat="false" ht="15" hidden="false" customHeight="false" outlineLevel="0" collapsed="false">
      <c r="A189" s="15" t="s">
        <v>246</v>
      </c>
      <c r="B189" s="16" t="n">
        <v>45575</v>
      </c>
      <c r="C189" s="15" t="s">
        <v>71</v>
      </c>
      <c r="D189" s="15" t="s">
        <v>42</v>
      </c>
      <c r="E189" s="15" t="s">
        <v>37</v>
      </c>
      <c r="F189" s="15" t="s">
        <v>17</v>
      </c>
      <c r="G189" s="15" t="s">
        <v>31</v>
      </c>
      <c r="H189" s="15" t="n">
        <v>5</v>
      </c>
      <c r="I189" s="17" t="n">
        <v>0.2</v>
      </c>
      <c r="J189" s="18" t="n">
        <v>494.99</v>
      </c>
      <c r="K189" s="19" t="n">
        <v>13.73</v>
      </c>
      <c r="L189" s="15" t="n">
        <f aca="false">YEAR(B189)</f>
        <v>2024</v>
      </c>
      <c r="M189" s="20" t="n">
        <f aca="false">IF(J189&gt;0,K189/J189,0)</f>
        <v>0.0277379340996788</v>
      </c>
    </row>
    <row r="190" customFormat="false" ht="15" hidden="false" customHeight="false" outlineLevel="0" collapsed="false">
      <c r="A190" s="15" t="s">
        <v>247</v>
      </c>
      <c r="B190" s="16" t="n">
        <v>45092</v>
      </c>
      <c r="C190" s="15" t="s">
        <v>71</v>
      </c>
      <c r="D190" s="15" t="s">
        <v>43</v>
      </c>
      <c r="E190" s="15" t="s">
        <v>38</v>
      </c>
      <c r="F190" s="15" t="s">
        <v>17</v>
      </c>
      <c r="G190" s="15" t="s">
        <v>29</v>
      </c>
      <c r="H190" s="15" t="n">
        <v>2</v>
      </c>
      <c r="I190" s="17" t="n">
        <v>0.3</v>
      </c>
      <c r="J190" s="18" t="n">
        <v>24.45</v>
      </c>
      <c r="K190" s="19" t="n">
        <v>2.14</v>
      </c>
      <c r="L190" s="15" t="n">
        <f aca="false">YEAR(B190)</f>
        <v>2023</v>
      </c>
      <c r="M190" s="20" t="n">
        <f aca="false">IF(J190&gt;0,K190/J190,0)</f>
        <v>0.0875255623721881</v>
      </c>
    </row>
    <row r="191" customFormat="false" ht="15" hidden="false" customHeight="false" outlineLevel="0" collapsed="false">
      <c r="A191" s="15" t="s">
        <v>248</v>
      </c>
      <c r="B191" s="16" t="n">
        <v>45969</v>
      </c>
      <c r="C191" s="15" t="s">
        <v>71</v>
      </c>
      <c r="D191" s="15" t="s">
        <v>42</v>
      </c>
      <c r="E191" s="15" t="s">
        <v>37</v>
      </c>
      <c r="F191" s="15" t="s">
        <v>17</v>
      </c>
      <c r="G191" s="15" t="s">
        <v>28</v>
      </c>
      <c r="H191" s="15" t="n">
        <v>7</v>
      </c>
      <c r="I191" s="17" t="n">
        <v>0</v>
      </c>
      <c r="J191" s="18" t="n">
        <v>144.57</v>
      </c>
      <c r="K191" s="19" t="n">
        <v>42.32</v>
      </c>
      <c r="L191" s="15" t="n">
        <f aca="false">YEAR(B191)</f>
        <v>2025</v>
      </c>
      <c r="M191" s="20" t="n">
        <f aca="false">IF(J191&gt;0,K191/J191,0)</f>
        <v>0.292730165317839</v>
      </c>
    </row>
    <row r="192" customFormat="false" ht="15" hidden="false" customHeight="false" outlineLevel="0" collapsed="false">
      <c r="A192" s="15" t="s">
        <v>249</v>
      </c>
      <c r="B192" s="16" t="n">
        <v>45701</v>
      </c>
      <c r="C192" s="15" t="s">
        <v>56</v>
      </c>
      <c r="D192" s="15" t="s">
        <v>43</v>
      </c>
      <c r="E192" s="15" t="s">
        <v>39</v>
      </c>
      <c r="F192" s="15" t="s">
        <v>17</v>
      </c>
      <c r="G192" s="15" t="s">
        <v>28</v>
      </c>
      <c r="H192" s="15" t="n">
        <v>4</v>
      </c>
      <c r="I192" s="17" t="n">
        <v>0.3</v>
      </c>
      <c r="J192" s="18" t="n">
        <v>81.09</v>
      </c>
      <c r="K192" s="19" t="n">
        <v>4.99</v>
      </c>
      <c r="L192" s="15" t="n">
        <f aca="false">YEAR(B192)</f>
        <v>2025</v>
      </c>
      <c r="M192" s="20" t="n">
        <f aca="false">IF(J192&gt;0,K192/J192,0)</f>
        <v>0.0615365643112591</v>
      </c>
    </row>
    <row r="193" customFormat="false" ht="15" hidden="false" customHeight="false" outlineLevel="0" collapsed="false">
      <c r="A193" s="15" t="s">
        <v>250</v>
      </c>
      <c r="B193" s="16" t="n">
        <v>45820</v>
      </c>
      <c r="C193" s="15" t="s">
        <v>56</v>
      </c>
      <c r="D193" s="15" t="s">
        <v>42</v>
      </c>
      <c r="E193" s="15" t="s">
        <v>38</v>
      </c>
      <c r="F193" s="15" t="s">
        <v>16</v>
      </c>
      <c r="G193" s="15" t="s">
        <v>23</v>
      </c>
      <c r="H193" s="15" t="n">
        <v>4</v>
      </c>
      <c r="I193" s="17" t="n">
        <v>0.3</v>
      </c>
      <c r="J193" s="18" t="n">
        <v>776.08</v>
      </c>
      <c r="K193" s="19" t="n">
        <v>-194.33</v>
      </c>
      <c r="L193" s="15" t="n">
        <f aca="false">YEAR(B193)</f>
        <v>2025</v>
      </c>
      <c r="M193" s="20" t="n">
        <f aca="false">IF(J193&gt;0,K193/J193,0)</f>
        <v>-0.250399443356355</v>
      </c>
    </row>
    <row r="194" customFormat="false" ht="15" hidden="false" customHeight="false" outlineLevel="0" collapsed="false">
      <c r="A194" s="15" t="s">
        <v>251</v>
      </c>
      <c r="B194" s="16" t="n">
        <v>44647</v>
      </c>
      <c r="C194" s="15" t="s">
        <v>71</v>
      </c>
      <c r="D194" s="15" t="s">
        <v>42</v>
      </c>
      <c r="E194" s="15" t="s">
        <v>36</v>
      </c>
      <c r="F194" s="15" t="s">
        <v>17</v>
      </c>
      <c r="G194" s="15" t="s">
        <v>31</v>
      </c>
      <c r="H194" s="15" t="n">
        <v>2</v>
      </c>
      <c r="I194" s="17" t="n">
        <v>0.2</v>
      </c>
      <c r="J194" s="18" t="n">
        <v>175.01</v>
      </c>
      <c r="K194" s="19" t="n">
        <v>11.19</v>
      </c>
      <c r="L194" s="15" t="n">
        <f aca="false">YEAR(B194)</f>
        <v>2022</v>
      </c>
      <c r="M194" s="20" t="n">
        <f aca="false">IF(J194&gt;0,K194/J194,0)</f>
        <v>0.0639392034740872</v>
      </c>
    </row>
    <row r="195" customFormat="false" ht="15" hidden="false" customHeight="false" outlineLevel="0" collapsed="false">
      <c r="A195" s="15" t="s">
        <v>252</v>
      </c>
      <c r="B195" s="16" t="n">
        <v>45996</v>
      </c>
      <c r="C195" s="15" t="s">
        <v>56</v>
      </c>
      <c r="D195" s="15" t="s">
        <v>42</v>
      </c>
      <c r="E195" s="15" t="s">
        <v>36</v>
      </c>
      <c r="F195" s="15" t="s">
        <v>16</v>
      </c>
      <c r="G195" s="15" t="s">
        <v>23</v>
      </c>
      <c r="H195" s="15" t="n">
        <v>5</v>
      </c>
      <c r="I195" s="17" t="n">
        <v>0.05</v>
      </c>
      <c r="J195" s="18" t="n">
        <v>1613.74</v>
      </c>
      <c r="K195" s="19" t="n">
        <v>-36.36</v>
      </c>
      <c r="L195" s="15" t="n">
        <f aca="false">YEAR(B195)</f>
        <v>2025</v>
      </c>
      <c r="M195" s="20" t="n">
        <f aca="false">IF(J195&gt;0,K195/J195,0)</f>
        <v>-0.0225315106522736</v>
      </c>
    </row>
    <row r="196" customFormat="false" ht="15" hidden="false" customHeight="false" outlineLevel="0" collapsed="false">
      <c r="A196" s="15" t="s">
        <v>253</v>
      </c>
      <c r="B196" s="16" t="n">
        <v>44838</v>
      </c>
      <c r="C196" s="15" t="s">
        <v>71</v>
      </c>
      <c r="D196" s="15" t="s">
        <v>43</v>
      </c>
      <c r="E196" s="15" t="s">
        <v>37</v>
      </c>
      <c r="F196" s="15" t="s">
        <v>17</v>
      </c>
      <c r="G196" s="15" t="s">
        <v>29</v>
      </c>
      <c r="H196" s="15" t="n">
        <v>3</v>
      </c>
      <c r="I196" s="17" t="n">
        <v>0</v>
      </c>
      <c r="J196" s="18" t="n">
        <v>46.61</v>
      </c>
      <c r="K196" s="19" t="n">
        <v>19.48</v>
      </c>
      <c r="L196" s="15" t="n">
        <f aca="false">YEAR(B196)</f>
        <v>2022</v>
      </c>
      <c r="M196" s="20" t="n">
        <f aca="false">IF(J196&gt;0,K196/J196,0)</f>
        <v>0.417936065222055</v>
      </c>
    </row>
    <row r="197" customFormat="false" ht="15" hidden="false" customHeight="false" outlineLevel="0" collapsed="false">
      <c r="A197" s="15" t="s">
        <v>254</v>
      </c>
      <c r="B197" s="16" t="n">
        <v>44806</v>
      </c>
      <c r="C197" s="15" t="s">
        <v>56</v>
      </c>
      <c r="D197" s="15" t="s">
        <v>42</v>
      </c>
      <c r="E197" s="15" t="s">
        <v>38</v>
      </c>
      <c r="F197" s="15" t="s">
        <v>17</v>
      </c>
      <c r="G197" s="15" t="s">
        <v>31</v>
      </c>
      <c r="H197" s="15" t="n">
        <v>4</v>
      </c>
      <c r="I197" s="17" t="n">
        <v>0.15</v>
      </c>
      <c r="J197" s="18" t="n">
        <v>443.69</v>
      </c>
      <c r="K197" s="19" t="n">
        <v>12.8</v>
      </c>
      <c r="L197" s="15" t="n">
        <f aca="false">YEAR(B197)</f>
        <v>2022</v>
      </c>
      <c r="M197" s="20" t="n">
        <f aca="false">IF(J197&gt;0,K197/J197,0)</f>
        <v>0.0288489711284906</v>
      </c>
    </row>
    <row r="198" customFormat="false" ht="15" hidden="false" customHeight="false" outlineLevel="0" collapsed="false">
      <c r="A198" s="15" t="s">
        <v>255</v>
      </c>
      <c r="B198" s="16" t="n">
        <v>45913</v>
      </c>
      <c r="C198" s="15" t="s">
        <v>68</v>
      </c>
      <c r="D198" s="15" t="s">
        <v>43</v>
      </c>
      <c r="E198" s="15" t="s">
        <v>36</v>
      </c>
      <c r="F198" s="15" t="s">
        <v>18</v>
      </c>
      <c r="G198" s="15" t="s">
        <v>32</v>
      </c>
      <c r="H198" s="15" t="n">
        <v>5</v>
      </c>
      <c r="I198" s="17" t="n">
        <v>0</v>
      </c>
      <c r="J198" s="18" t="n">
        <v>2358.72</v>
      </c>
      <c r="K198" s="19" t="n">
        <v>440.07</v>
      </c>
      <c r="L198" s="15" t="n">
        <f aca="false">YEAR(B198)</f>
        <v>2025</v>
      </c>
      <c r="M198" s="20" t="n">
        <f aca="false">IF(J198&gt;0,K198/J198,0)</f>
        <v>0.18657153032153</v>
      </c>
    </row>
    <row r="199" customFormat="false" ht="15" hidden="false" customHeight="false" outlineLevel="0" collapsed="false">
      <c r="A199" s="15" t="s">
        <v>256</v>
      </c>
      <c r="B199" s="16" t="n">
        <v>45880</v>
      </c>
      <c r="C199" s="15" t="s">
        <v>71</v>
      </c>
      <c r="D199" s="15" t="s">
        <v>42</v>
      </c>
      <c r="E199" s="15" t="s">
        <v>38</v>
      </c>
      <c r="F199" s="15" t="s">
        <v>17</v>
      </c>
      <c r="G199" s="15" t="s">
        <v>28</v>
      </c>
      <c r="H199" s="15" t="n">
        <v>2</v>
      </c>
      <c r="I199" s="17" t="n">
        <v>0.5</v>
      </c>
      <c r="J199" s="18" t="n">
        <v>22.31</v>
      </c>
      <c r="K199" s="19" t="n">
        <v>-3.02</v>
      </c>
      <c r="L199" s="15" t="n">
        <f aca="false">YEAR(B199)</f>
        <v>2025</v>
      </c>
      <c r="M199" s="20" t="n">
        <f aca="false">IF(J199&gt;0,K199/J199,0)</f>
        <v>-0.135365307037203</v>
      </c>
    </row>
    <row r="200" customFormat="false" ht="15" hidden="false" customHeight="false" outlineLevel="0" collapsed="false">
      <c r="A200" s="15" t="s">
        <v>257</v>
      </c>
      <c r="B200" s="16" t="n">
        <v>45029</v>
      </c>
      <c r="C200" s="15" t="s">
        <v>56</v>
      </c>
      <c r="D200" s="15" t="s">
        <v>43</v>
      </c>
      <c r="E200" s="15" t="s">
        <v>39</v>
      </c>
      <c r="F200" s="15" t="s">
        <v>16</v>
      </c>
      <c r="G200" s="15" t="s">
        <v>27</v>
      </c>
      <c r="H200" s="15" t="n">
        <v>3</v>
      </c>
      <c r="I200" s="17" t="n">
        <v>0.2</v>
      </c>
      <c r="J200" s="18" t="n">
        <v>188.35</v>
      </c>
      <c r="K200" s="19" t="n">
        <v>-8.34</v>
      </c>
      <c r="L200" s="15" t="n">
        <f aca="false">YEAR(B200)</f>
        <v>2023</v>
      </c>
      <c r="M200" s="20" t="n">
        <f aca="false">IF(J200&gt;0,K200/J200,0)</f>
        <v>-0.044279267321476</v>
      </c>
    </row>
    <row r="201" customFormat="false" ht="15" hidden="false" customHeight="false" outlineLevel="0" collapsed="false">
      <c r="A201" s="15" t="s">
        <v>258</v>
      </c>
      <c r="B201" s="16" t="n">
        <v>44807</v>
      </c>
      <c r="C201" s="15" t="s">
        <v>71</v>
      </c>
      <c r="D201" s="15" t="s">
        <v>44</v>
      </c>
      <c r="E201" s="15" t="s">
        <v>37</v>
      </c>
      <c r="F201" s="15" t="s">
        <v>17</v>
      </c>
      <c r="G201" s="15" t="s">
        <v>28</v>
      </c>
      <c r="H201" s="15" t="n">
        <v>8</v>
      </c>
      <c r="I201" s="17" t="n">
        <v>0.2</v>
      </c>
      <c r="J201" s="18" t="n">
        <v>153.45</v>
      </c>
      <c r="K201" s="19" t="n">
        <v>24.24</v>
      </c>
      <c r="L201" s="15" t="n">
        <f aca="false">YEAR(B201)</f>
        <v>2022</v>
      </c>
      <c r="M201" s="20" t="n">
        <f aca="false">IF(J201&gt;0,K201/J201,0)</f>
        <v>0.157966764418377</v>
      </c>
    </row>
    <row r="202" customFormat="false" ht="15" hidden="false" customHeight="false" outlineLevel="0" collapsed="false">
      <c r="A202" s="15" t="s">
        <v>259</v>
      </c>
      <c r="B202" s="16" t="n">
        <v>45448</v>
      </c>
      <c r="C202" s="15" t="s">
        <v>71</v>
      </c>
      <c r="D202" s="15" t="s">
        <v>43</v>
      </c>
      <c r="E202" s="15" t="s">
        <v>39</v>
      </c>
      <c r="F202" s="15" t="s">
        <v>16</v>
      </c>
      <c r="G202" s="15" t="s">
        <v>27</v>
      </c>
      <c r="H202" s="15" t="n">
        <v>2</v>
      </c>
      <c r="I202" s="17" t="n">
        <v>0.05</v>
      </c>
      <c r="J202" s="18" t="n">
        <v>137.23</v>
      </c>
      <c r="K202" s="19" t="n">
        <v>22.37</v>
      </c>
      <c r="L202" s="15" t="n">
        <f aca="false">YEAR(B202)</f>
        <v>2024</v>
      </c>
      <c r="M202" s="20" t="n">
        <f aca="false">IF(J202&gt;0,K202/J202,0)</f>
        <v>0.163011003424907</v>
      </c>
    </row>
    <row r="203" customFormat="false" ht="15" hidden="false" customHeight="false" outlineLevel="0" collapsed="false">
      <c r="A203" s="15" t="s">
        <v>260</v>
      </c>
      <c r="B203" s="16" t="n">
        <v>45900</v>
      </c>
      <c r="C203" s="15" t="s">
        <v>56</v>
      </c>
      <c r="D203" s="15" t="s">
        <v>42</v>
      </c>
      <c r="E203" s="15" t="s">
        <v>36</v>
      </c>
      <c r="F203" s="15" t="s">
        <v>16</v>
      </c>
      <c r="G203" s="15" t="s">
        <v>22</v>
      </c>
      <c r="H203" s="15" t="n">
        <v>4</v>
      </c>
      <c r="I203" s="17" t="n">
        <v>0</v>
      </c>
      <c r="J203" s="18" t="n">
        <v>1440.59</v>
      </c>
      <c r="K203" s="19" t="n">
        <v>53.65</v>
      </c>
      <c r="L203" s="15" t="n">
        <f aca="false">YEAR(B203)</f>
        <v>2025</v>
      </c>
      <c r="M203" s="20" t="n">
        <f aca="false">IF(J203&gt;0,K203/J203,0)</f>
        <v>0.0372416856982209</v>
      </c>
    </row>
    <row r="204" customFormat="false" ht="15" hidden="false" customHeight="false" outlineLevel="0" collapsed="false">
      <c r="A204" s="15" t="s">
        <v>261</v>
      </c>
      <c r="B204" s="16" t="n">
        <v>46015</v>
      </c>
      <c r="C204" s="15" t="s">
        <v>68</v>
      </c>
      <c r="D204" s="15" t="s">
        <v>42</v>
      </c>
      <c r="E204" s="15" t="s">
        <v>39</v>
      </c>
      <c r="F204" s="15" t="s">
        <v>17</v>
      </c>
      <c r="G204" s="15" t="s">
        <v>28</v>
      </c>
      <c r="H204" s="15" t="n">
        <v>4</v>
      </c>
      <c r="I204" s="17" t="n">
        <v>0.15</v>
      </c>
      <c r="J204" s="18" t="n">
        <v>92.98</v>
      </c>
      <c r="K204" s="19" t="n">
        <v>13.43</v>
      </c>
      <c r="L204" s="15" t="n">
        <f aca="false">YEAR(B204)</f>
        <v>2025</v>
      </c>
      <c r="M204" s="20" t="n">
        <f aca="false">IF(J204&gt;0,K204/J204,0)</f>
        <v>0.144439664443966</v>
      </c>
    </row>
    <row r="205" customFormat="false" ht="15" hidden="false" customHeight="false" outlineLevel="0" collapsed="false">
      <c r="A205" s="15" t="s">
        <v>262</v>
      </c>
      <c r="B205" s="16" t="n">
        <v>45839</v>
      </c>
      <c r="C205" s="15" t="s">
        <v>56</v>
      </c>
      <c r="D205" s="15" t="s">
        <v>43</v>
      </c>
      <c r="E205" s="15" t="s">
        <v>39</v>
      </c>
      <c r="F205" s="15" t="s">
        <v>17</v>
      </c>
      <c r="G205" s="15" t="s">
        <v>26</v>
      </c>
      <c r="H205" s="15" t="n">
        <v>7</v>
      </c>
      <c r="I205" s="17" t="n">
        <v>0.4</v>
      </c>
      <c r="J205" s="18" t="n">
        <v>434.08</v>
      </c>
      <c r="K205" s="19" t="n">
        <v>-85.49</v>
      </c>
      <c r="L205" s="15" t="n">
        <f aca="false">YEAR(B205)</f>
        <v>2025</v>
      </c>
      <c r="M205" s="20" t="n">
        <f aca="false">IF(J205&gt;0,K205/J205,0)</f>
        <v>-0.19694526354589</v>
      </c>
    </row>
    <row r="206" customFormat="false" ht="15" hidden="false" customHeight="false" outlineLevel="0" collapsed="false">
      <c r="A206" s="15" t="s">
        <v>263</v>
      </c>
      <c r="B206" s="16" t="n">
        <v>45742</v>
      </c>
      <c r="C206" s="15" t="s">
        <v>56</v>
      </c>
      <c r="D206" s="15" t="s">
        <v>44</v>
      </c>
      <c r="E206" s="15" t="s">
        <v>38</v>
      </c>
      <c r="F206" s="15" t="s">
        <v>16</v>
      </c>
      <c r="G206" s="15" t="s">
        <v>23</v>
      </c>
      <c r="H206" s="15" t="n">
        <v>6</v>
      </c>
      <c r="I206" s="17" t="n">
        <v>0.1</v>
      </c>
      <c r="J206" s="18" t="n">
        <v>1263.9</v>
      </c>
      <c r="K206" s="19" t="n">
        <v>-150.37</v>
      </c>
      <c r="L206" s="15" t="n">
        <f aca="false">YEAR(B206)</f>
        <v>2025</v>
      </c>
      <c r="M206" s="20" t="n">
        <f aca="false">IF(J206&gt;0,K206/J206,0)</f>
        <v>-0.118973020017406</v>
      </c>
    </row>
    <row r="207" customFormat="false" ht="15" hidden="false" customHeight="false" outlineLevel="0" collapsed="false">
      <c r="A207" s="15" t="s">
        <v>264</v>
      </c>
      <c r="B207" s="16" t="n">
        <v>44748</v>
      </c>
      <c r="C207" s="15" t="s">
        <v>71</v>
      </c>
      <c r="D207" s="15" t="s">
        <v>43</v>
      </c>
      <c r="E207" s="15" t="s">
        <v>39</v>
      </c>
      <c r="F207" s="15" t="s">
        <v>16</v>
      </c>
      <c r="G207" s="15" t="s">
        <v>25</v>
      </c>
      <c r="H207" s="15" t="n">
        <v>3</v>
      </c>
      <c r="I207" s="17" t="n">
        <v>0</v>
      </c>
      <c r="J207" s="18" t="n">
        <v>763.39</v>
      </c>
      <c r="K207" s="19" t="n">
        <v>153.24</v>
      </c>
      <c r="L207" s="15" t="n">
        <f aca="false">YEAR(B207)</f>
        <v>2022</v>
      </c>
      <c r="M207" s="20" t="n">
        <f aca="false">IF(J207&gt;0,K207/J207,0)</f>
        <v>0.200736189889834</v>
      </c>
    </row>
    <row r="208" customFormat="false" ht="15" hidden="false" customHeight="false" outlineLevel="0" collapsed="false">
      <c r="A208" s="15" t="s">
        <v>265</v>
      </c>
      <c r="B208" s="16" t="n">
        <v>45187</v>
      </c>
      <c r="C208" s="15" t="s">
        <v>56</v>
      </c>
      <c r="D208" s="15" t="s">
        <v>43</v>
      </c>
      <c r="E208" s="15" t="s">
        <v>36</v>
      </c>
      <c r="F208" s="15" t="s">
        <v>17</v>
      </c>
      <c r="G208" s="15" t="s">
        <v>29</v>
      </c>
      <c r="H208" s="15" t="n">
        <v>6</v>
      </c>
      <c r="I208" s="17" t="n">
        <v>0</v>
      </c>
      <c r="J208" s="18" t="n">
        <v>82.92</v>
      </c>
      <c r="K208" s="19" t="n">
        <v>26.09</v>
      </c>
      <c r="L208" s="15" t="n">
        <f aca="false">YEAR(B208)</f>
        <v>2023</v>
      </c>
      <c r="M208" s="20" t="n">
        <f aca="false">IF(J208&gt;0,K208/J208,0)</f>
        <v>0.314640617462615</v>
      </c>
    </row>
    <row r="209" customFormat="false" ht="15" hidden="false" customHeight="false" outlineLevel="0" collapsed="false">
      <c r="A209" s="15" t="s">
        <v>266</v>
      </c>
      <c r="B209" s="16" t="n">
        <v>45494</v>
      </c>
      <c r="C209" s="15" t="s">
        <v>71</v>
      </c>
      <c r="D209" s="15" t="s">
        <v>42</v>
      </c>
      <c r="E209" s="15" t="s">
        <v>39</v>
      </c>
      <c r="F209" s="15" t="s">
        <v>16</v>
      </c>
      <c r="G209" s="15" t="s">
        <v>27</v>
      </c>
      <c r="H209" s="15" t="n">
        <v>3</v>
      </c>
      <c r="I209" s="17" t="n">
        <v>0</v>
      </c>
      <c r="J209" s="18" t="n">
        <v>172.96</v>
      </c>
      <c r="K209" s="19" t="n">
        <v>50.39</v>
      </c>
      <c r="L209" s="15" t="n">
        <f aca="false">YEAR(B209)</f>
        <v>2024</v>
      </c>
      <c r="M209" s="20" t="n">
        <f aca="false">IF(J209&gt;0,K209/J209,0)</f>
        <v>0.291339037927845</v>
      </c>
    </row>
    <row r="210" customFormat="false" ht="15" hidden="false" customHeight="false" outlineLevel="0" collapsed="false">
      <c r="A210" s="15" t="s">
        <v>267</v>
      </c>
      <c r="B210" s="16" t="n">
        <v>45620</v>
      </c>
      <c r="C210" s="15" t="s">
        <v>68</v>
      </c>
      <c r="D210" s="15" t="s">
        <v>43</v>
      </c>
      <c r="E210" s="15" t="s">
        <v>39</v>
      </c>
      <c r="F210" s="15" t="s">
        <v>17</v>
      </c>
      <c r="G210" s="15" t="s">
        <v>28</v>
      </c>
      <c r="H210" s="15" t="n">
        <v>2</v>
      </c>
      <c r="I210" s="17" t="n">
        <v>0.05</v>
      </c>
      <c r="J210" s="18" t="n">
        <v>53.62</v>
      </c>
      <c r="K210" s="19" t="n">
        <v>14.43</v>
      </c>
      <c r="L210" s="15" t="n">
        <f aca="false">YEAR(B210)</f>
        <v>2024</v>
      </c>
      <c r="M210" s="20" t="n">
        <f aca="false">IF(J210&gt;0,K210/J210,0)</f>
        <v>0.269116001491981</v>
      </c>
    </row>
    <row r="211" customFormat="false" ht="15" hidden="false" customHeight="false" outlineLevel="0" collapsed="false">
      <c r="A211" s="15" t="s">
        <v>268</v>
      </c>
      <c r="B211" s="16" t="n">
        <v>45658</v>
      </c>
      <c r="C211" s="15" t="s">
        <v>56</v>
      </c>
      <c r="D211" s="15" t="s">
        <v>43</v>
      </c>
      <c r="E211" s="15" t="s">
        <v>36</v>
      </c>
      <c r="F211" s="15" t="s">
        <v>18</v>
      </c>
      <c r="G211" s="15" t="s">
        <v>32</v>
      </c>
      <c r="H211" s="15" t="n">
        <v>3</v>
      </c>
      <c r="I211" s="17" t="n">
        <v>0.2</v>
      </c>
      <c r="J211" s="18" t="n">
        <v>1021.58</v>
      </c>
      <c r="K211" s="19" t="n">
        <v>2.77</v>
      </c>
      <c r="L211" s="15" t="n">
        <f aca="false">YEAR(B211)</f>
        <v>2025</v>
      </c>
      <c r="M211" s="20" t="n">
        <f aca="false">IF(J211&gt;0,K211/J211,0)</f>
        <v>0.00271148612932908</v>
      </c>
    </row>
    <row r="212" customFormat="false" ht="15" hidden="false" customHeight="false" outlineLevel="0" collapsed="false">
      <c r="A212" s="15" t="s">
        <v>269</v>
      </c>
      <c r="B212" s="16" t="n">
        <v>45364</v>
      </c>
      <c r="C212" s="15" t="s">
        <v>56</v>
      </c>
      <c r="D212" s="15" t="s">
        <v>43</v>
      </c>
      <c r="E212" s="15" t="s">
        <v>38</v>
      </c>
      <c r="F212" s="15" t="s">
        <v>18</v>
      </c>
      <c r="G212" s="15" t="s">
        <v>30</v>
      </c>
      <c r="H212" s="15" t="n">
        <v>3</v>
      </c>
      <c r="I212" s="17" t="n">
        <v>0</v>
      </c>
      <c r="J212" s="18" t="n">
        <v>128.27</v>
      </c>
      <c r="K212" s="19" t="n">
        <v>34.06</v>
      </c>
      <c r="L212" s="15" t="n">
        <f aca="false">YEAR(B212)</f>
        <v>2024</v>
      </c>
      <c r="M212" s="20" t="n">
        <f aca="false">IF(J212&gt;0,K212/J212,0)</f>
        <v>0.265533639978171</v>
      </c>
    </row>
    <row r="213" customFormat="false" ht="15" hidden="false" customHeight="false" outlineLevel="0" collapsed="false">
      <c r="A213" s="15" t="s">
        <v>270</v>
      </c>
      <c r="B213" s="16" t="n">
        <v>46009</v>
      </c>
      <c r="C213" s="15" t="s">
        <v>71</v>
      </c>
      <c r="D213" s="15" t="s">
        <v>44</v>
      </c>
      <c r="E213" s="15" t="s">
        <v>37</v>
      </c>
      <c r="F213" s="15" t="s">
        <v>18</v>
      </c>
      <c r="G213" s="15" t="s">
        <v>24</v>
      </c>
      <c r="H213" s="15" t="n">
        <v>4</v>
      </c>
      <c r="I213" s="17" t="n">
        <v>0.5</v>
      </c>
      <c r="J213" s="18" t="n">
        <v>1345.62</v>
      </c>
      <c r="K213" s="19" t="n">
        <v>-560.62</v>
      </c>
      <c r="L213" s="15" t="n">
        <f aca="false">YEAR(B213)</f>
        <v>2025</v>
      </c>
      <c r="M213" s="20" t="n">
        <f aca="false">IF(J213&gt;0,K213/J213,0)</f>
        <v>-0.416625793314606</v>
      </c>
    </row>
    <row r="214" customFormat="false" ht="15" hidden="false" customHeight="false" outlineLevel="0" collapsed="false">
      <c r="A214" s="15" t="s">
        <v>271</v>
      </c>
      <c r="B214" s="16" t="n">
        <v>45272</v>
      </c>
      <c r="C214" s="15" t="s">
        <v>56</v>
      </c>
      <c r="D214" s="15" t="s">
        <v>43</v>
      </c>
      <c r="E214" s="15" t="s">
        <v>38</v>
      </c>
      <c r="F214" s="15" t="s">
        <v>16</v>
      </c>
      <c r="G214" s="15" t="s">
        <v>23</v>
      </c>
      <c r="H214" s="15" t="n">
        <v>3</v>
      </c>
      <c r="I214" s="17" t="n">
        <v>0.15</v>
      </c>
      <c r="J214" s="18" t="n">
        <v>685.72</v>
      </c>
      <c r="K214" s="19" t="n">
        <v>-95.37</v>
      </c>
      <c r="L214" s="15" t="n">
        <f aca="false">YEAR(B214)</f>
        <v>2023</v>
      </c>
      <c r="M214" s="20" t="n">
        <f aca="false">IF(J214&gt;0,K214/J214,0)</f>
        <v>-0.139080090999242</v>
      </c>
    </row>
    <row r="215" customFormat="false" ht="15" hidden="false" customHeight="false" outlineLevel="0" collapsed="false">
      <c r="A215" s="15" t="s">
        <v>272</v>
      </c>
      <c r="B215" s="16" t="n">
        <v>45011</v>
      </c>
      <c r="C215" s="15" t="s">
        <v>56</v>
      </c>
      <c r="D215" s="15" t="s">
        <v>42</v>
      </c>
      <c r="E215" s="15" t="s">
        <v>36</v>
      </c>
      <c r="F215" s="15" t="s">
        <v>18</v>
      </c>
      <c r="G215" s="15" t="s">
        <v>30</v>
      </c>
      <c r="H215" s="15" t="n">
        <v>3</v>
      </c>
      <c r="I215" s="17" t="n">
        <v>0.5</v>
      </c>
      <c r="J215" s="18" t="n">
        <v>57.36</v>
      </c>
      <c r="K215" s="19" t="n">
        <v>-6.63</v>
      </c>
      <c r="L215" s="15" t="n">
        <f aca="false">YEAR(B215)</f>
        <v>2023</v>
      </c>
      <c r="M215" s="20" t="n">
        <f aca="false">IF(J215&gt;0,K215/J215,0)</f>
        <v>-0.115585774058577</v>
      </c>
    </row>
    <row r="216" customFormat="false" ht="15" hidden="false" customHeight="false" outlineLevel="0" collapsed="false">
      <c r="A216" s="15" t="s">
        <v>273</v>
      </c>
      <c r="B216" s="16" t="n">
        <v>45839</v>
      </c>
      <c r="C216" s="15" t="s">
        <v>71</v>
      </c>
      <c r="D216" s="15" t="s">
        <v>44</v>
      </c>
      <c r="E216" s="15" t="s">
        <v>39</v>
      </c>
      <c r="F216" s="15" t="s">
        <v>17</v>
      </c>
      <c r="G216" s="15" t="s">
        <v>29</v>
      </c>
      <c r="H216" s="15" t="n">
        <v>2</v>
      </c>
      <c r="I216" s="17" t="n">
        <v>0.1</v>
      </c>
      <c r="J216" s="18" t="n">
        <v>43.68</v>
      </c>
      <c r="K216" s="19" t="n">
        <v>12.22</v>
      </c>
      <c r="L216" s="15" t="n">
        <f aca="false">YEAR(B216)</f>
        <v>2025</v>
      </c>
      <c r="M216" s="20" t="n">
        <f aca="false">IF(J216&gt;0,K216/J216,0)</f>
        <v>0.279761904761905</v>
      </c>
    </row>
    <row r="217" customFormat="false" ht="15" hidden="false" customHeight="false" outlineLevel="0" collapsed="false">
      <c r="A217" s="15" t="s">
        <v>274</v>
      </c>
      <c r="B217" s="16" t="n">
        <v>45541</v>
      </c>
      <c r="C217" s="15" t="s">
        <v>56</v>
      </c>
      <c r="D217" s="15" t="s">
        <v>42</v>
      </c>
      <c r="E217" s="15" t="s">
        <v>37</v>
      </c>
      <c r="F217" s="15" t="s">
        <v>18</v>
      </c>
      <c r="G217" s="15" t="s">
        <v>32</v>
      </c>
      <c r="H217" s="15" t="n">
        <v>1</v>
      </c>
      <c r="I217" s="17" t="n">
        <v>0</v>
      </c>
      <c r="J217" s="18" t="n">
        <v>494.54</v>
      </c>
      <c r="K217" s="19" t="n">
        <v>75.94</v>
      </c>
      <c r="L217" s="15" t="n">
        <f aca="false">YEAR(B217)</f>
        <v>2024</v>
      </c>
      <c r="M217" s="20" t="n">
        <f aca="false">IF(J217&gt;0,K217/J217,0)</f>
        <v>0.153556840700449</v>
      </c>
    </row>
    <row r="218" customFormat="false" ht="15" hidden="false" customHeight="false" outlineLevel="0" collapsed="false">
      <c r="A218" s="15" t="s">
        <v>275</v>
      </c>
      <c r="B218" s="16" t="n">
        <v>44596</v>
      </c>
      <c r="C218" s="15" t="s">
        <v>58</v>
      </c>
      <c r="D218" s="15" t="s">
        <v>43</v>
      </c>
      <c r="E218" s="15" t="s">
        <v>36</v>
      </c>
      <c r="F218" s="15" t="s">
        <v>17</v>
      </c>
      <c r="G218" s="15" t="s">
        <v>26</v>
      </c>
      <c r="H218" s="15" t="n">
        <v>3</v>
      </c>
      <c r="I218" s="17" t="n">
        <v>0.05</v>
      </c>
      <c r="J218" s="18" t="n">
        <v>265.77</v>
      </c>
      <c r="K218" s="19" t="n">
        <v>2.47</v>
      </c>
      <c r="L218" s="15" t="n">
        <f aca="false">YEAR(B218)</f>
        <v>2022</v>
      </c>
      <c r="M218" s="20" t="n">
        <f aca="false">IF(J218&gt;0,K218/J218,0)</f>
        <v>0.00929375023516575</v>
      </c>
    </row>
    <row r="219" customFormat="false" ht="15" hidden="false" customHeight="false" outlineLevel="0" collapsed="false">
      <c r="A219" s="15" t="s">
        <v>276</v>
      </c>
      <c r="B219" s="16" t="n">
        <v>44822</v>
      </c>
      <c r="C219" s="15" t="s">
        <v>68</v>
      </c>
      <c r="D219" s="15" t="s">
        <v>42</v>
      </c>
      <c r="E219" s="15" t="s">
        <v>39</v>
      </c>
      <c r="F219" s="15" t="s">
        <v>17</v>
      </c>
      <c r="G219" s="15" t="s">
        <v>31</v>
      </c>
      <c r="H219" s="15" t="n">
        <v>5</v>
      </c>
      <c r="I219" s="17" t="n">
        <v>0.5</v>
      </c>
      <c r="J219" s="18" t="n">
        <v>314.97</v>
      </c>
      <c r="K219" s="19" t="n">
        <v>-100.87</v>
      </c>
      <c r="L219" s="15" t="n">
        <f aca="false">YEAR(B219)</f>
        <v>2022</v>
      </c>
      <c r="M219" s="20" t="n">
        <f aca="false">IF(J219&gt;0,K219/J219,0)</f>
        <v>-0.320252722481506</v>
      </c>
    </row>
    <row r="220" customFormat="false" ht="15" hidden="false" customHeight="false" outlineLevel="0" collapsed="false">
      <c r="A220" s="15" t="s">
        <v>277</v>
      </c>
      <c r="B220" s="16" t="n">
        <v>46021</v>
      </c>
      <c r="C220" s="15" t="s">
        <v>71</v>
      </c>
      <c r="D220" s="15" t="s">
        <v>42</v>
      </c>
      <c r="E220" s="15" t="s">
        <v>36</v>
      </c>
      <c r="F220" s="15" t="s">
        <v>17</v>
      </c>
      <c r="G220" s="15" t="s">
        <v>26</v>
      </c>
      <c r="H220" s="15" t="n">
        <v>3</v>
      </c>
      <c r="I220" s="17" t="n">
        <v>0</v>
      </c>
      <c r="J220" s="18" t="n">
        <v>207.11</v>
      </c>
      <c r="K220" s="19" t="n">
        <v>16.32</v>
      </c>
      <c r="L220" s="15" t="n">
        <f aca="false">YEAR(B220)</f>
        <v>2025</v>
      </c>
      <c r="M220" s="20" t="n">
        <f aca="false">IF(J220&gt;0,K220/J220,0)</f>
        <v>0.0787987060016416</v>
      </c>
    </row>
    <row r="221" customFormat="false" ht="15" hidden="false" customHeight="false" outlineLevel="0" collapsed="false">
      <c r="A221" s="15" t="s">
        <v>278</v>
      </c>
      <c r="B221" s="16" t="n">
        <v>45133</v>
      </c>
      <c r="C221" s="15" t="s">
        <v>68</v>
      </c>
      <c r="D221" s="15" t="s">
        <v>43</v>
      </c>
      <c r="E221" s="15" t="s">
        <v>37</v>
      </c>
      <c r="F221" s="15" t="s">
        <v>18</v>
      </c>
      <c r="G221" s="15" t="s">
        <v>32</v>
      </c>
      <c r="H221" s="15" t="n">
        <v>4</v>
      </c>
      <c r="I221" s="17" t="n">
        <v>0.05</v>
      </c>
      <c r="J221" s="18" t="n">
        <v>1952.91</v>
      </c>
      <c r="K221" s="19" t="n">
        <v>204.33</v>
      </c>
      <c r="L221" s="15" t="n">
        <f aca="false">YEAR(B221)</f>
        <v>2023</v>
      </c>
      <c r="M221" s="20" t="n">
        <f aca="false">IF(J221&gt;0,K221/J221,0)</f>
        <v>0.104628477502804</v>
      </c>
    </row>
    <row r="222" customFormat="false" ht="15" hidden="false" customHeight="false" outlineLevel="0" collapsed="false">
      <c r="A222" s="15" t="s">
        <v>279</v>
      </c>
      <c r="B222" s="16" t="n">
        <v>45041</v>
      </c>
      <c r="C222" s="15" t="s">
        <v>68</v>
      </c>
      <c r="D222" s="15" t="s">
        <v>42</v>
      </c>
      <c r="E222" s="15" t="s">
        <v>39</v>
      </c>
      <c r="F222" s="15" t="s">
        <v>18</v>
      </c>
      <c r="G222" s="15" t="s">
        <v>32</v>
      </c>
      <c r="H222" s="15" t="n">
        <v>2</v>
      </c>
      <c r="I222" s="17" t="n">
        <v>0</v>
      </c>
      <c r="J222" s="18" t="n">
        <v>933.05</v>
      </c>
      <c r="K222" s="19" t="n">
        <v>170.85</v>
      </c>
      <c r="L222" s="15" t="n">
        <f aca="false">YEAR(B222)</f>
        <v>2023</v>
      </c>
      <c r="M222" s="20" t="n">
        <f aca="false">IF(J222&gt;0,K222/J222,0)</f>
        <v>0.183109158137292</v>
      </c>
    </row>
    <row r="223" customFormat="false" ht="15" hidden="false" customHeight="false" outlineLevel="0" collapsed="false">
      <c r="A223" s="15" t="s">
        <v>280</v>
      </c>
      <c r="B223" s="16" t="n">
        <v>45811</v>
      </c>
      <c r="C223" s="15" t="s">
        <v>56</v>
      </c>
      <c r="D223" s="15" t="s">
        <v>42</v>
      </c>
      <c r="E223" s="15" t="s">
        <v>36</v>
      </c>
      <c r="F223" s="15" t="s">
        <v>17</v>
      </c>
      <c r="G223" s="15" t="s">
        <v>29</v>
      </c>
      <c r="H223" s="15" t="n">
        <v>4</v>
      </c>
      <c r="I223" s="17" t="n">
        <v>0.1</v>
      </c>
      <c r="J223" s="18" t="n">
        <v>67.32</v>
      </c>
      <c r="K223" s="19" t="n">
        <v>17.68</v>
      </c>
      <c r="L223" s="15" t="n">
        <f aca="false">YEAR(B223)</f>
        <v>2025</v>
      </c>
      <c r="M223" s="20" t="n">
        <f aca="false">IF(J223&gt;0,K223/J223,0)</f>
        <v>0.262626262626263</v>
      </c>
    </row>
    <row r="224" customFormat="false" ht="15" hidden="false" customHeight="false" outlineLevel="0" collapsed="false">
      <c r="A224" s="15" t="s">
        <v>281</v>
      </c>
      <c r="B224" s="16" t="n">
        <v>45931</v>
      </c>
      <c r="C224" s="15" t="s">
        <v>56</v>
      </c>
      <c r="D224" s="15" t="s">
        <v>43</v>
      </c>
      <c r="E224" s="15" t="s">
        <v>37</v>
      </c>
      <c r="F224" s="15" t="s">
        <v>17</v>
      </c>
      <c r="G224" s="15" t="s">
        <v>31</v>
      </c>
      <c r="H224" s="15" t="n">
        <v>7</v>
      </c>
      <c r="I224" s="17" t="n">
        <v>0</v>
      </c>
      <c r="J224" s="18" t="n">
        <v>1102.35</v>
      </c>
      <c r="K224" s="19" t="n">
        <v>190.57</v>
      </c>
      <c r="L224" s="15" t="n">
        <f aca="false">YEAR(B224)</f>
        <v>2025</v>
      </c>
      <c r="M224" s="20" t="n">
        <f aca="false">IF(J224&gt;0,K224/J224,0)</f>
        <v>0.17287612827142</v>
      </c>
    </row>
    <row r="225" customFormat="false" ht="15" hidden="false" customHeight="false" outlineLevel="0" collapsed="false">
      <c r="A225" s="15" t="s">
        <v>282</v>
      </c>
      <c r="B225" s="16" t="n">
        <v>45736</v>
      </c>
      <c r="C225" s="15" t="s">
        <v>56</v>
      </c>
      <c r="D225" s="15" t="s">
        <v>42</v>
      </c>
      <c r="E225" s="15" t="s">
        <v>38</v>
      </c>
      <c r="F225" s="15" t="s">
        <v>17</v>
      </c>
      <c r="G225" s="15" t="s">
        <v>29</v>
      </c>
      <c r="H225" s="15" t="n">
        <v>3</v>
      </c>
      <c r="I225" s="17" t="n">
        <v>0.2</v>
      </c>
      <c r="J225" s="18" t="n">
        <v>46.71</v>
      </c>
      <c r="K225" s="19" t="n">
        <v>9.88</v>
      </c>
      <c r="L225" s="15" t="n">
        <f aca="false">YEAR(B225)</f>
        <v>2025</v>
      </c>
      <c r="M225" s="20" t="n">
        <f aca="false">IF(J225&gt;0,K225/J225,0)</f>
        <v>0.211517876257761</v>
      </c>
    </row>
    <row r="226" customFormat="false" ht="15" hidden="false" customHeight="false" outlineLevel="0" collapsed="false">
      <c r="A226" s="15" t="s">
        <v>283</v>
      </c>
      <c r="B226" s="16" t="n">
        <v>45409</v>
      </c>
      <c r="C226" s="15" t="s">
        <v>56</v>
      </c>
      <c r="D226" s="15" t="s">
        <v>44</v>
      </c>
      <c r="E226" s="15" t="s">
        <v>38</v>
      </c>
      <c r="F226" s="15" t="s">
        <v>17</v>
      </c>
      <c r="G226" s="15" t="s">
        <v>28</v>
      </c>
      <c r="H226" s="15" t="n">
        <v>5</v>
      </c>
      <c r="I226" s="17" t="n">
        <v>0.05</v>
      </c>
      <c r="J226" s="18" t="n">
        <v>110.79</v>
      </c>
      <c r="K226" s="19" t="n">
        <v>24.63</v>
      </c>
      <c r="L226" s="15" t="n">
        <f aca="false">YEAR(B226)</f>
        <v>2024</v>
      </c>
      <c r="M226" s="20" t="n">
        <f aca="false">IF(J226&gt;0,K226/J226,0)</f>
        <v>0.22231248307609</v>
      </c>
    </row>
    <row r="227" customFormat="false" ht="15" hidden="false" customHeight="false" outlineLevel="0" collapsed="false">
      <c r="A227" s="15" t="s">
        <v>284</v>
      </c>
      <c r="B227" s="16" t="n">
        <v>45531</v>
      </c>
      <c r="C227" s="15" t="s">
        <v>71</v>
      </c>
      <c r="D227" s="15" t="s">
        <v>42</v>
      </c>
      <c r="E227" s="15" t="s">
        <v>37</v>
      </c>
      <c r="F227" s="15" t="s">
        <v>18</v>
      </c>
      <c r="G227" s="15" t="s">
        <v>32</v>
      </c>
      <c r="H227" s="15" t="n">
        <v>2</v>
      </c>
      <c r="I227" s="17" t="n">
        <v>0</v>
      </c>
      <c r="J227" s="18" t="n">
        <v>804.78</v>
      </c>
      <c r="K227" s="19" t="n">
        <v>99.16</v>
      </c>
      <c r="L227" s="15" t="n">
        <f aca="false">YEAR(B227)</f>
        <v>2024</v>
      </c>
      <c r="M227" s="20" t="n">
        <f aca="false">IF(J227&gt;0,K227/J227,0)</f>
        <v>0.123213797559582</v>
      </c>
    </row>
    <row r="228" customFormat="false" ht="15" hidden="false" customHeight="false" outlineLevel="0" collapsed="false">
      <c r="A228" s="15" t="s">
        <v>285</v>
      </c>
      <c r="B228" s="16" t="n">
        <v>45243</v>
      </c>
      <c r="C228" s="15" t="s">
        <v>56</v>
      </c>
      <c r="D228" s="15" t="s">
        <v>42</v>
      </c>
      <c r="E228" s="15" t="s">
        <v>36</v>
      </c>
      <c r="F228" s="15" t="s">
        <v>16</v>
      </c>
      <c r="G228" s="15" t="s">
        <v>25</v>
      </c>
      <c r="H228" s="15" t="n">
        <v>3</v>
      </c>
      <c r="I228" s="17" t="n">
        <v>0</v>
      </c>
      <c r="J228" s="18" t="n">
        <v>671.42</v>
      </c>
      <c r="K228" s="19" t="n">
        <v>51.4</v>
      </c>
      <c r="L228" s="15" t="n">
        <f aca="false">YEAR(B228)</f>
        <v>2023</v>
      </c>
      <c r="M228" s="20" t="n">
        <f aca="false">IF(J228&gt;0,K228/J228,0)</f>
        <v>0.0765541687766227</v>
      </c>
    </row>
    <row r="229" customFormat="false" ht="15" hidden="false" customHeight="false" outlineLevel="0" collapsed="false">
      <c r="A229" s="15" t="s">
        <v>286</v>
      </c>
      <c r="B229" s="16" t="n">
        <v>45492</v>
      </c>
      <c r="C229" s="15" t="s">
        <v>71</v>
      </c>
      <c r="D229" s="15" t="s">
        <v>43</v>
      </c>
      <c r="E229" s="15" t="s">
        <v>36</v>
      </c>
      <c r="F229" s="15" t="s">
        <v>17</v>
      </c>
      <c r="G229" s="15" t="s">
        <v>26</v>
      </c>
      <c r="H229" s="15" t="n">
        <v>3</v>
      </c>
      <c r="I229" s="17" t="n">
        <v>0</v>
      </c>
      <c r="J229" s="18" t="n">
        <v>244.47</v>
      </c>
      <c r="K229" s="19" t="n">
        <v>20.84</v>
      </c>
      <c r="L229" s="15" t="n">
        <f aca="false">YEAR(B229)</f>
        <v>2024</v>
      </c>
      <c r="M229" s="20" t="n">
        <f aca="false">IF(J229&gt;0,K229/J229,0)</f>
        <v>0.0852456334110525</v>
      </c>
    </row>
    <row r="230" customFormat="false" ht="15" hidden="false" customHeight="false" outlineLevel="0" collapsed="false">
      <c r="A230" s="15" t="s">
        <v>287</v>
      </c>
      <c r="B230" s="16" t="n">
        <v>45544</v>
      </c>
      <c r="C230" s="15" t="s">
        <v>68</v>
      </c>
      <c r="D230" s="15" t="s">
        <v>42</v>
      </c>
      <c r="E230" s="15" t="s">
        <v>39</v>
      </c>
      <c r="F230" s="15" t="s">
        <v>17</v>
      </c>
      <c r="G230" s="15" t="s">
        <v>28</v>
      </c>
      <c r="H230" s="15" t="n">
        <v>2</v>
      </c>
      <c r="I230" s="17" t="n">
        <v>0</v>
      </c>
      <c r="J230" s="18" t="n">
        <v>57.35</v>
      </c>
      <c r="K230" s="19" t="n">
        <v>14.93</v>
      </c>
      <c r="L230" s="15" t="n">
        <f aca="false">YEAR(B230)</f>
        <v>2024</v>
      </c>
      <c r="M230" s="20" t="n">
        <f aca="false">IF(J230&gt;0,K230/J230,0)</f>
        <v>0.260331299040976</v>
      </c>
    </row>
    <row r="231" customFormat="false" ht="15" hidden="false" customHeight="false" outlineLevel="0" collapsed="false">
      <c r="A231" s="15" t="s">
        <v>288</v>
      </c>
      <c r="B231" s="16" t="n">
        <v>44926</v>
      </c>
      <c r="C231" s="15" t="s">
        <v>71</v>
      </c>
      <c r="D231" s="15" t="s">
        <v>44</v>
      </c>
      <c r="E231" s="15" t="s">
        <v>39</v>
      </c>
      <c r="F231" s="15" t="s">
        <v>17</v>
      </c>
      <c r="G231" s="15" t="s">
        <v>29</v>
      </c>
      <c r="H231" s="15" t="n">
        <v>2</v>
      </c>
      <c r="I231" s="17" t="n">
        <v>0.2</v>
      </c>
      <c r="J231" s="18" t="n">
        <v>32.18</v>
      </c>
      <c r="K231" s="19" t="n">
        <v>7.11</v>
      </c>
      <c r="L231" s="15" t="n">
        <f aca="false">YEAR(B231)</f>
        <v>2022</v>
      </c>
      <c r="M231" s="20" t="n">
        <f aca="false">IF(J231&gt;0,K231/J231,0)</f>
        <v>0.22094468614046</v>
      </c>
    </row>
    <row r="232" customFormat="false" ht="15" hidden="false" customHeight="false" outlineLevel="0" collapsed="false">
      <c r="A232" s="15" t="s">
        <v>289</v>
      </c>
      <c r="B232" s="16" t="n">
        <v>45096</v>
      </c>
      <c r="C232" s="15" t="s">
        <v>71</v>
      </c>
      <c r="D232" s="15" t="s">
        <v>42</v>
      </c>
      <c r="E232" s="15" t="s">
        <v>39</v>
      </c>
      <c r="F232" s="15" t="s">
        <v>17</v>
      </c>
      <c r="G232" s="15" t="s">
        <v>26</v>
      </c>
      <c r="H232" s="15" t="n">
        <v>5</v>
      </c>
      <c r="I232" s="17" t="n">
        <v>0</v>
      </c>
      <c r="J232" s="18" t="n">
        <v>412.22</v>
      </c>
      <c r="K232" s="19" t="n">
        <v>20.64</v>
      </c>
      <c r="L232" s="15" t="n">
        <f aca="false">YEAR(B232)</f>
        <v>2023</v>
      </c>
      <c r="M232" s="20" t="n">
        <f aca="false">IF(J232&gt;0,K232/J232,0)</f>
        <v>0.0500703507835622</v>
      </c>
    </row>
    <row r="233" customFormat="false" ht="15" hidden="false" customHeight="false" outlineLevel="0" collapsed="false">
      <c r="A233" s="15" t="s">
        <v>290</v>
      </c>
      <c r="B233" s="16" t="n">
        <v>44636</v>
      </c>
      <c r="C233" s="15" t="s">
        <v>56</v>
      </c>
      <c r="D233" s="15" t="s">
        <v>42</v>
      </c>
      <c r="E233" s="15" t="s">
        <v>37</v>
      </c>
      <c r="F233" s="15" t="s">
        <v>17</v>
      </c>
      <c r="G233" s="15" t="s">
        <v>26</v>
      </c>
      <c r="H233" s="15" t="n">
        <v>5</v>
      </c>
      <c r="I233" s="17" t="n">
        <v>0</v>
      </c>
      <c r="J233" s="18" t="n">
        <v>453.75</v>
      </c>
      <c r="K233" s="19" t="n">
        <v>22.38</v>
      </c>
      <c r="L233" s="15" t="n">
        <f aca="false">YEAR(B233)</f>
        <v>2022</v>
      </c>
      <c r="M233" s="20" t="n">
        <f aca="false">IF(J233&gt;0,K233/J233,0)</f>
        <v>0.0493223140495868</v>
      </c>
    </row>
    <row r="234" customFormat="false" ht="15" hidden="false" customHeight="false" outlineLevel="0" collapsed="false">
      <c r="A234" s="15" t="s">
        <v>291</v>
      </c>
      <c r="B234" s="16" t="n">
        <v>45621</v>
      </c>
      <c r="C234" s="15" t="s">
        <v>71</v>
      </c>
      <c r="D234" s="15" t="s">
        <v>43</v>
      </c>
      <c r="E234" s="15" t="s">
        <v>38</v>
      </c>
      <c r="F234" s="15" t="s">
        <v>17</v>
      </c>
      <c r="G234" s="15" t="s">
        <v>26</v>
      </c>
      <c r="H234" s="15" t="n">
        <v>5</v>
      </c>
      <c r="I234" s="17" t="n">
        <v>0.1</v>
      </c>
      <c r="J234" s="18" t="n">
        <v>458.63</v>
      </c>
      <c r="K234" s="19" t="n">
        <v>26.99</v>
      </c>
      <c r="L234" s="15" t="n">
        <f aca="false">YEAR(B234)</f>
        <v>2024</v>
      </c>
      <c r="M234" s="20" t="n">
        <f aca="false">IF(J234&gt;0,K234/J234,0)</f>
        <v>0.0588491812572226</v>
      </c>
    </row>
    <row r="235" customFormat="false" ht="15" hidden="false" customHeight="false" outlineLevel="0" collapsed="false">
      <c r="A235" s="15" t="s">
        <v>292</v>
      </c>
      <c r="B235" s="16" t="n">
        <v>45843</v>
      </c>
      <c r="C235" s="15" t="s">
        <v>56</v>
      </c>
      <c r="D235" s="15" t="s">
        <v>42</v>
      </c>
      <c r="E235" s="15" t="s">
        <v>37</v>
      </c>
      <c r="F235" s="15" t="s">
        <v>16</v>
      </c>
      <c r="G235" s="15" t="s">
        <v>25</v>
      </c>
      <c r="H235" s="15" t="n">
        <v>3</v>
      </c>
      <c r="I235" s="17" t="n">
        <v>0.05</v>
      </c>
      <c r="J235" s="18" t="n">
        <v>672.33</v>
      </c>
      <c r="K235" s="19" t="n">
        <v>-0.59</v>
      </c>
      <c r="L235" s="15" t="n">
        <f aca="false">YEAR(B235)</f>
        <v>2025</v>
      </c>
      <c r="M235" s="20" t="n">
        <f aca="false">IF(J235&gt;0,K235/J235,0)</f>
        <v>-0.000877545253075127</v>
      </c>
    </row>
    <row r="236" customFormat="false" ht="15" hidden="false" customHeight="false" outlineLevel="0" collapsed="false">
      <c r="A236" s="15" t="s">
        <v>293</v>
      </c>
      <c r="B236" s="16" t="n">
        <v>45219</v>
      </c>
      <c r="C236" s="15" t="s">
        <v>71</v>
      </c>
      <c r="D236" s="15" t="s">
        <v>42</v>
      </c>
      <c r="E236" s="15" t="s">
        <v>39</v>
      </c>
      <c r="F236" s="15" t="s">
        <v>18</v>
      </c>
      <c r="G236" s="15" t="s">
        <v>24</v>
      </c>
      <c r="H236" s="15" t="n">
        <v>3</v>
      </c>
      <c r="I236" s="17" t="n">
        <v>0.1</v>
      </c>
      <c r="J236" s="18" t="n">
        <v>1837.91</v>
      </c>
      <c r="K236" s="19" t="n">
        <v>31.82</v>
      </c>
      <c r="L236" s="15" t="n">
        <f aca="false">YEAR(B236)</f>
        <v>2023</v>
      </c>
      <c r="M236" s="20" t="n">
        <f aca="false">IF(J236&gt;0,K236/J236,0)</f>
        <v>0.0173131437339152</v>
      </c>
    </row>
    <row r="237" customFormat="false" ht="15" hidden="false" customHeight="false" outlineLevel="0" collapsed="false">
      <c r="A237" s="15" t="s">
        <v>294</v>
      </c>
      <c r="B237" s="16" t="n">
        <v>44822</v>
      </c>
      <c r="C237" s="15" t="s">
        <v>56</v>
      </c>
      <c r="D237" s="15" t="s">
        <v>43</v>
      </c>
      <c r="E237" s="15" t="s">
        <v>39</v>
      </c>
      <c r="F237" s="15" t="s">
        <v>18</v>
      </c>
      <c r="G237" s="15" t="s">
        <v>32</v>
      </c>
      <c r="H237" s="15" t="n">
        <v>1</v>
      </c>
      <c r="I237" s="17" t="n">
        <v>0.1</v>
      </c>
      <c r="J237" s="18" t="n">
        <v>498.88</v>
      </c>
      <c r="K237" s="19" t="n">
        <v>-11.53</v>
      </c>
      <c r="L237" s="15" t="n">
        <f aca="false">YEAR(B237)</f>
        <v>2022</v>
      </c>
      <c r="M237" s="20" t="n">
        <f aca="false">IF(J237&gt;0,K237/J237,0)</f>
        <v>-0.023111770365619</v>
      </c>
    </row>
    <row r="238" customFormat="false" ht="15" hidden="false" customHeight="false" outlineLevel="0" collapsed="false">
      <c r="A238" s="15" t="s">
        <v>295</v>
      </c>
      <c r="B238" s="16" t="n">
        <v>44903</v>
      </c>
      <c r="C238" s="15" t="s">
        <v>56</v>
      </c>
      <c r="D238" s="15" t="s">
        <v>43</v>
      </c>
      <c r="E238" s="15" t="s">
        <v>37</v>
      </c>
      <c r="F238" s="15" t="s">
        <v>17</v>
      </c>
      <c r="G238" s="15" t="s">
        <v>31</v>
      </c>
      <c r="H238" s="15" t="n">
        <v>1</v>
      </c>
      <c r="I238" s="17" t="n">
        <v>0</v>
      </c>
      <c r="J238" s="18" t="n">
        <v>125.45</v>
      </c>
      <c r="K238" s="19" t="n">
        <v>17.74</v>
      </c>
      <c r="L238" s="15" t="n">
        <f aca="false">YEAR(B238)</f>
        <v>2022</v>
      </c>
      <c r="M238" s="20" t="n">
        <f aca="false">IF(J238&gt;0,K238/J238,0)</f>
        <v>0.141410920685532</v>
      </c>
    </row>
    <row r="239" customFormat="false" ht="15" hidden="false" customHeight="false" outlineLevel="0" collapsed="false">
      <c r="A239" s="15" t="s">
        <v>296</v>
      </c>
      <c r="B239" s="16" t="n">
        <v>45902</v>
      </c>
      <c r="C239" s="15" t="s">
        <v>56</v>
      </c>
      <c r="D239" s="15" t="s">
        <v>43</v>
      </c>
      <c r="E239" s="15" t="s">
        <v>37</v>
      </c>
      <c r="F239" s="15" t="s">
        <v>18</v>
      </c>
      <c r="G239" s="15" t="s">
        <v>33</v>
      </c>
      <c r="H239" s="15" t="n">
        <v>3</v>
      </c>
      <c r="I239" s="17" t="n">
        <v>0.1</v>
      </c>
      <c r="J239" s="18" t="n">
        <v>2625.19</v>
      </c>
      <c r="K239" s="19" t="n">
        <v>724.21</v>
      </c>
      <c r="L239" s="15" t="n">
        <f aca="false">YEAR(B239)</f>
        <v>2025</v>
      </c>
      <c r="M239" s="20" t="n">
        <f aca="false">IF(J239&gt;0,K239/J239,0)</f>
        <v>0.27586955610832</v>
      </c>
    </row>
    <row r="240" customFormat="false" ht="15" hidden="false" customHeight="false" outlineLevel="0" collapsed="false">
      <c r="A240" s="15" t="s">
        <v>297</v>
      </c>
      <c r="B240" s="16" t="n">
        <v>45891</v>
      </c>
      <c r="C240" s="15" t="s">
        <v>56</v>
      </c>
      <c r="D240" s="15" t="s">
        <v>42</v>
      </c>
      <c r="E240" s="15" t="s">
        <v>39</v>
      </c>
      <c r="F240" s="15" t="s">
        <v>18</v>
      </c>
      <c r="G240" s="15" t="s">
        <v>30</v>
      </c>
      <c r="H240" s="15" t="n">
        <v>3</v>
      </c>
      <c r="I240" s="17" t="n">
        <v>0.3</v>
      </c>
      <c r="J240" s="18" t="n">
        <v>93.62</v>
      </c>
      <c r="K240" s="19" t="n">
        <v>8.11</v>
      </c>
      <c r="L240" s="15" t="n">
        <f aca="false">YEAR(B240)</f>
        <v>2025</v>
      </c>
      <c r="M240" s="20" t="n">
        <f aca="false">IF(J240&gt;0,K240/J240,0)</f>
        <v>0.086626789147618</v>
      </c>
    </row>
    <row r="241" customFormat="false" ht="15" hidden="false" customHeight="false" outlineLevel="0" collapsed="false">
      <c r="A241" s="15" t="s">
        <v>298</v>
      </c>
      <c r="B241" s="16" t="n">
        <v>45485</v>
      </c>
      <c r="C241" s="15" t="s">
        <v>68</v>
      </c>
      <c r="D241" s="15" t="s">
        <v>42</v>
      </c>
      <c r="E241" s="15" t="s">
        <v>36</v>
      </c>
      <c r="F241" s="15" t="s">
        <v>17</v>
      </c>
      <c r="G241" s="15" t="s">
        <v>28</v>
      </c>
      <c r="H241" s="15" t="n">
        <v>4</v>
      </c>
      <c r="I241" s="17" t="n">
        <v>0</v>
      </c>
      <c r="J241" s="18" t="n">
        <v>93.79</v>
      </c>
      <c r="K241" s="19" t="n">
        <v>25.78</v>
      </c>
      <c r="L241" s="15" t="n">
        <f aca="false">YEAR(B241)</f>
        <v>2024</v>
      </c>
      <c r="M241" s="20" t="n">
        <f aca="false">IF(J241&gt;0,K241/J241,0)</f>
        <v>0.274869389060667</v>
      </c>
    </row>
    <row r="242" customFormat="false" ht="15" hidden="false" customHeight="false" outlineLevel="0" collapsed="false">
      <c r="A242" s="15" t="s">
        <v>299</v>
      </c>
      <c r="B242" s="16" t="n">
        <v>45944</v>
      </c>
      <c r="C242" s="15" t="s">
        <v>68</v>
      </c>
      <c r="D242" s="15" t="s">
        <v>42</v>
      </c>
      <c r="E242" s="15" t="s">
        <v>36</v>
      </c>
      <c r="F242" s="15" t="s">
        <v>18</v>
      </c>
      <c r="G242" s="15" t="s">
        <v>30</v>
      </c>
      <c r="H242" s="15" t="n">
        <v>5</v>
      </c>
      <c r="I242" s="17" t="n">
        <v>0</v>
      </c>
      <c r="J242" s="18" t="n">
        <v>249.24</v>
      </c>
      <c r="K242" s="19" t="n">
        <v>83.58</v>
      </c>
      <c r="L242" s="15" t="n">
        <f aca="false">YEAR(B242)</f>
        <v>2025</v>
      </c>
      <c r="M242" s="20" t="n">
        <f aca="false">IF(J242&gt;0,K242/J242,0)</f>
        <v>0.335339431872894</v>
      </c>
    </row>
    <row r="243" customFormat="false" ht="15" hidden="false" customHeight="false" outlineLevel="0" collapsed="false">
      <c r="A243" s="15" t="s">
        <v>300</v>
      </c>
      <c r="B243" s="16" t="n">
        <v>45211</v>
      </c>
      <c r="C243" s="15" t="s">
        <v>56</v>
      </c>
      <c r="D243" s="15" t="s">
        <v>43</v>
      </c>
      <c r="E243" s="15" t="s">
        <v>36</v>
      </c>
      <c r="F243" s="15" t="s">
        <v>17</v>
      </c>
      <c r="G243" s="15" t="s">
        <v>28</v>
      </c>
      <c r="H243" s="15" t="n">
        <v>2</v>
      </c>
      <c r="I243" s="17" t="n">
        <v>0.2</v>
      </c>
      <c r="J243" s="18" t="n">
        <v>32.78</v>
      </c>
      <c r="K243" s="19" t="n">
        <v>1.55</v>
      </c>
      <c r="L243" s="15" t="n">
        <f aca="false">YEAR(B243)</f>
        <v>2023</v>
      </c>
      <c r="M243" s="20" t="n">
        <f aca="false">IF(J243&gt;0,K243/J243,0)</f>
        <v>0.0472849298352654</v>
      </c>
    </row>
    <row r="244" customFormat="false" ht="15" hidden="false" customHeight="false" outlineLevel="0" collapsed="false">
      <c r="A244" s="15" t="s">
        <v>301</v>
      </c>
      <c r="B244" s="16" t="n">
        <v>45736</v>
      </c>
      <c r="C244" s="15" t="s">
        <v>56</v>
      </c>
      <c r="D244" s="15" t="s">
        <v>43</v>
      </c>
      <c r="E244" s="15" t="s">
        <v>39</v>
      </c>
      <c r="F244" s="15" t="s">
        <v>17</v>
      </c>
      <c r="G244" s="15" t="s">
        <v>29</v>
      </c>
      <c r="H244" s="15" t="n">
        <v>3</v>
      </c>
      <c r="I244" s="17" t="n">
        <v>0.3</v>
      </c>
      <c r="J244" s="18" t="n">
        <v>39.65</v>
      </c>
      <c r="K244" s="19" t="n">
        <v>3.89</v>
      </c>
      <c r="L244" s="15" t="n">
        <f aca="false">YEAR(B244)</f>
        <v>2025</v>
      </c>
      <c r="M244" s="20" t="n">
        <f aca="false">IF(J244&gt;0,K244/J244,0)</f>
        <v>0.0981084489281211</v>
      </c>
    </row>
    <row r="245" customFormat="false" ht="15" hidden="false" customHeight="false" outlineLevel="0" collapsed="false">
      <c r="A245" s="15" t="s">
        <v>302</v>
      </c>
      <c r="B245" s="16" t="n">
        <v>44754</v>
      </c>
      <c r="C245" s="15" t="s">
        <v>71</v>
      </c>
      <c r="D245" s="15" t="s">
        <v>42</v>
      </c>
      <c r="E245" s="15" t="s">
        <v>38</v>
      </c>
      <c r="F245" s="15" t="s">
        <v>17</v>
      </c>
      <c r="G245" s="15" t="s">
        <v>26</v>
      </c>
      <c r="H245" s="15" t="n">
        <v>1</v>
      </c>
      <c r="I245" s="17" t="n">
        <v>0.2</v>
      </c>
      <c r="J245" s="18" t="n">
        <v>57.24</v>
      </c>
      <c r="K245" s="19" t="n">
        <v>-3.68</v>
      </c>
      <c r="L245" s="15" t="n">
        <f aca="false">YEAR(B245)</f>
        <v>2022</v>
      </c>
      <c r="M245" s="20" t="n">
        <f aca="false">IF(J245&gt;0,K245/J245,0)</f>
        <v>-0.0642907058001398</v>
      </c>
    </row>
    <row r="246" customFormat="false" ht="15" hidden="false" customHeight="false" outlineLevel="0" collapsed="false">
      <c r="A246" s="15" t="s">
        <v>303</v>
      </c>
      <c r="B246" s="16" t="n">
        <v>45183</v>
      </c>
      <c r="C246" s="15" t="s">
        <v>68</v>
      </c>
      <c r="D246" s="15" t="s">
        <v>42</v>
      </c>
      <c r="E246" s="15" t="s">
        <v>39</v>
      </c>
      <c r="F246" s="15" t="s">
        <v>17</v>
      </c>
      <c r="G246" s="15" t="s">
        <v>26</v>
      </c>
      <c r="H246" s="15" t="n">
        <v>4</v>
      </c>
      <c r="I246" s="17" t="n">
        <v>0.05</v>
      </c>
      <c r="J246" s="18" t="n">
        <v>301.5</v>
      </c>
      <c r="K246" s="19" t="n">
        <v>10.83</v>
      </c>
      <c r="L246" s="15" t="n">
        <f aca="false">YEAR(B246)</f>
        <v>2023</v>
      </c>
      <c r="M246" s="20" t="n">
        <f aca="false">IF(J246&gt;0,K246/J246,0)</f>
        <v>0.0359203980099503</v>
      </c>
    </row>
    <row r="247" customFormat="false" ht="15" hidden="false" customHeight="false" outlineLevel="0" collapsed="false">
      <c r="A247" s="15" t="s">
        <v>304</v>
      </c>
      <c r="B247" s="16" t="n">
        <v>44798</v>
      </c>
      <c r="C247" s="15" t="s">
        <v>56</v>
      </c>
      <c r="D247" s="15" t="s">
        <v>44</v>
      </c>
      <c r="E247" s="15" t="s">
        <v>37</v>
      </c>
      <c r="F247" s="15" t="s">
        <v>16</v>
      </c>
      <c r="G247" s="15" t="s">
        <v>23</v>
      </c>
      <c r="H247" s="15" t="n">
        <v>7</v>
      </c>
      <c r="I247" s="17" t="n">
        <v>0.15</v>
      </c>
      <c r="J247" s="18" t="n">
        <v>1498.62</v>
      </c>
      <c r="K247" s="19" t="n">
        <v>-256.39</v>
      </c>
      <c r="L247" s="15" t="n">
        <f aca="false">YEAR(B247)</f>
        <v>2022</v>
      </c>
      <c r="M247" s="20" t="n">
        <f aca="false">IF(J247&gt;0,K247/J247,0)</f>
        <v>-0.171084064005552</v>
      </c>
    </row>
    <row r="248" customFormat="false" ht="15" hidden="false" customHeight="false" outlineLevel="0" collapsed="false">
      <c r="A248" s="15" t="s">
        <v>305</v>
      </c>
      <c r="B248" s="16" t="n">
        <v>45413</v>
      </c>
      <c r="C248" s="15" t="s">
        <v>56</v>
      </c>
      <c r="D248" s="15" t="s">
        <v>43</v>
      </c>
      <c r="E248" s="15" t="s">
        <v>37</v>
      </c>
      <c r="F248" s="15" t="s">
        <v>17</v>
      </c>
      <c r="G248" s="15" t="s">
        <v>31</v>
      </c>
      <c r="H248" s="15" t="n">
        <v>4</v>
      </c>
      <c r="I248" s="17" t="n">
        <v>0</v>
      </c>
      <c r="J248" s="18" t="n">
        <v>553.06</v>
      </c>
      <c r="K248" s="19" t="n">
        <v>106.17</v>
      </c>
      <c r="L248" s="15" t="n">
        <f aca="false">YEAR(B248)</f>
        <v>2024</v>
      </c>
      <c r="M248" s="20" t="n">
        <f aca="false">IF(J248&gt;0,K248/J248,0)</f>
        <v>0.191968321701081</v>
      </c>
    </row>
    <row r="249" customFormat="false" ht="15" hidden="false" customHeight="false" outlineLevel="0" collapsed="false">
      <c r="A249" s="15" t="s">
        <v>306</v>
      </c>
      <c r="B249" s="16" t="n">
        <v>45454</v>
      </c>
      <c r="C249" s="15" t="s">
        <v>56</v>
      </c>
      <c r="D249" s="15" t="s">
        <v>42</v>
      </c>
      <c r="E249" s="15" t="s">
        <v>38</v>
      </c>
      <c r="F249" s="15" t="s">
        <v>16</v>
      </c>
      <c r="G249" s="15" t="s">
        <v>23</v>
      </c>
      <c r="H249" s="15" t="n">
        <v>3</v>
      </c>
      <c r="I249" s="17" t="n">
        <v>0</v>
      </c>
      <c r="J249" s="18" t="n">
        <v>837.93</v>
      </c>
      <c r="K249" s="19" t="n">
        <v>-0.91</v>
      </c>
      <c r="L249" s="15" t="n">
        <f aca="false">YEAR(B249)</f>
        <v>2024</v>
      </c>
      <c r="M249" s="20" t="n">
        <f aca="false">IF(J249&gt;0,K249/J249,0)</f>
        <v>-0.00108600957120523</v>
      </c>
    </row>
    <row r="250" customFormat="false" ht="15" hidden="false" customHeight="false" outlineLevel="0" collapsed="false">
      <c r="A250" s="15" t="s">
        <v>307</v>
      </c>
      <c r="B250" s="16" t="n">
        <v>45648</v>
      </c>
      <c r="C250" s="15" t="s">
        <v>71</v>
      </c>
      <c r="D250" s="15" t="s">
        <v>42</v>
      </c>
      <c r="E250" s="15" t="s">
        <v>36</v>
      </c>
      <c r="F250" s="15" t="s">
        <v>17</v>
      </c>
      <c r="G250" s="15" t="s">
        <v>31</v>
      </c>
      <c r="H250" s="15" t="n">
        <v>4</v>
      </c>
      <c r="I250" s="17" t="n">
        <v>0</v>
      </c>
      <c r="J250" s="18" t="n">
        <v>503.75</v>
      </c>
      <c r="K250" s="19" t="n">
        <v>78.69</v>
      </c>
      <c r="L250" s="15" t="n">
        <f aca="false">YEAR(B250)</f>
        <v>2024</v>
      </c>
      <c r="M250" s="20" t="n">
        <f aca="false">IF(J250&gt;0,K250/J250,0)</f>
        <v>0.156208436724566</v>
      </c>
    </row>
    <row r="251" customFormat="false" ht="15" hidden="false" customHeight="false" outlineLevel="0" collapsed="false">
      <c r="A251" s="15" t="s">
        <v>308</v>
      </c>
      <c r="B251" s="16" t="n">
        <v>46001</v>
      </c>
      <c r="C251" s="15" t="s">
        <v>56</v>
      </c>
      <c r="D251" s="15" t="s">
        <v>42</v>
      </c>
      <c r="E251" s="15" t="s">
        <v>37</v>
      </c>
      <c r="F251" s="15" t="s">
        <v>17</v>
      </c>
      <c r="G251" s="15" t="s">
        <v>28</v>
      </c>
      <c r="H251" s="15" t="n">
        <v>3</v>
      </c>
      <c r="I251" s="17" t="n">
        <v>0.1</v>
      </c>
      <c r="J251" s="18" t="n">
        <v>51.79</v>
      </c>
      <c r="K251" s="19" t="n">
        <v>8.24</v>
      </c>
      <c r="L251" s="15" t="n">
        <f aca="false">YEAR(B251)</f>
        <v>2025</v>
      </c>
      <c r="M251" s="20" t="n">
        <f aca="false">IF(J251&gt;0,K251/J251,0)</f>
        <v>0.159104074145588</v>
      </c>
    </row>
    <row r="252" customFormat="false" ht="15" hidden="false" customHeight="false" outlineLevel="0" collapsed="false">
      <c r="A252" s="15" t="s">
        <v>309</v>
      </c>
      <c r="B252" s="16" t="n">
        <v>45803</v>
      </c>
      <c r="C252" s="15" t="s">
        <v>56</v>
      </c>
      <c r="D252" s="15" t="s">
        <v>43</v>
      </c>
      <c r="E252" s="15" t="s">
        <v>39</v>
      </c>
      <c r="F252" s="15" t="s">
        <v>16</v>
      </c>
      <c r="G252" s="15" t="s">
        <v>25</v>
      </c>
      <c r="H252" s="15" t="n">
        <v>4</v>
      </c>
      <c r="I252" s="17" t="n">
        <v>0</v>
      </c>
      <c r="J252" s="18" t="n">
        <v>1153.61</v>
      </c>
      <c r="K252" s="19" t="n">
        <v>149.07</v>
      </c>
      <c r="L252" s="15" t="n">
        <f aca="false">YEAR(B252)</f>
        <v>2025</v>
      </c>
      <c r="M252" s="20" t="n">
        <f aca="false">IF(J252&gt;0,K252/J252,0)</f>
        <v>0.129220447118177</v>
      </c>
    </row>
    <row r="253" customFormat="false" ht="15" hidden="false" customHeight="false" outlineLevel="0" collapsed="false">
      <c r="A253" s="15" t="s">
        <v>310</v>
      </c>
      <c r="B253" s="16" t="n">
        <v>45411</v>
      </c>
      <c r="C253" s="15" t="s">
        <v>71</v>
      </c>
      <c r="D253" s="15" t="s">
        <v>42</v>
      </c>
      <c r="E253" s="15" t="s">
        <v>39</v>
      </c>
      <c r="F253" s="15" t="s">
        <v>18</v>
      </c>
      <c r="G253" s="15" t="s">
        <v>33</v>
      </c>
      <c r="H253" s="15" t="n">
        <v>8</v>
      </c>
      <c r="I253" s="17" t="n">
        <v>0.1</v>
      </c>
      <c r="J253" s="18" t="n">
        <v>6930.51</v>
      </c>
      <c r="K253" s="19" t="n">
        <v>1132.07</v>
      </c>
      <c r="L253" s="15" t="n">
        <f aca="false">YEAR(B253)</f>
        <v>2024</v>
      </c>
      <c r="M253" s="20" t="n">
        <f aca="false">IF(J253&gt;0,K253/J253,0)</f>
        <v>0.163345843235202</v>
      </c>
    </row>
    <row r="254" customFormat="false" ht="15" hidden="false" customHeight="false" outlineLevel="0" collapsed="false">
      <c r="A254" s="15" t="s">
        <v>311</v>
      </c>
      <c r="B254" s="16" t="n">
        <v>45131</v>
      </c>
      <c r="C254" s="15" t="s">
        <v>71</v>
      </c>
      <c r="D254" s="15" t="s">
        <v>43</v>
      </c>
      <c r="E254" s="15" t="s">
        <v>39</v>
      </c>
      <c r="F254" s="15" t="s">
        <v>17</v>
      </c>
      <c r="G254" s="15" t="s">
        <v>28</v>
      </c>
      <c r="H254" s="15" t="n">
        <v>4</v>
      </c>
      <c r="I254" s="17" t="n">
        <v>0</v>
      </c>
      <c r="J254" s="18" t="n">
        <v>133.06</v>
      </c>
      <c r="K254" s="19" t="n">
        <v>32.78</v>
      </c>
      <c r="L254" s="15" t="n">
        <f aca="false">YEAR(B254)</f>
        <v>2023</v>
      </c>
      <c r="M254" s="20" t="n">
        <f aca="false">IF(J254&gt;0,K254/J254,0)</f>
        <v>0.246355027807004</v>
      </c>
    </row>
    <row r="255" customFormat="false" ht="15" hidden="false" customHeight="false" outlineLevel="0" collapsed="false">
      <c r="A255" s="15" t="s">
        <v>312</v>
      </c>
      <c r="B255" s="16" t="n">
        <v>45031</v>
      </c>
      <c r="C255" s="15" t="s">
        <v>68</v>
      </c>
      <c r="D255" s="15" t="s">
        <v>42</v>
      </c>
      <c r="E255" s="15" t="s">
        <v>39</v>
      </c>
      <c r="F255" s="15" t="s">
        <v>16</v>
      </c>
      <c r="G255" s="15" t="s">
        <v>25</v>
      </c>
      <c r="H255" s="15" t="n">
        <v>6</v>
      </c>
      <c r="I255" s="17" t="n">
        <v>0.2</v>
      </c>
      <c r="J255" s="18" t="n">
        <v>1331.41</v>
      </c>
      <c r="K255" s="19" t="n">
        <v>-141.05</v>
      </c>
      <c r="L255" s="15" t="n">
        <f aca="false">YEAR(B255)</f>
        <v>2023</v>
      </c>
      <c r="M255" s="20" t="n">
        <f aca="false">IF(J255&gt;0,K255/J255,0)</f>
        <v>-0.105940318910028</v>
      </c>
    </row>
    <row r="256" customFormat="false" ht="15" hidden="false" customHeight="false" outlineLevel="0" collapsed="false">
      <c r="A256" s="15" t="s">
        <v>313</v>
      </c>
      <c r="B256" s="16" t="n">
        <v>45963</v>
      </c>
      <c r="C256" s="15" t="s">
        <v>56</v>
      </c>
      <c r="D256" s="15" t="s">
        <v>42</v>
      </c>
      <c r="E256" s="15" t="s">
        <v>36</v>
      </c>
      <c r="F256" s="15" t="s">
        <v>17</v>
      </c>
      <c r="G256" s="15" t="s">
        <v>26</v>
      </c>
      <c r="H256" s="15" t="n">
        <v>1</v>
      </c>
      <c r="I256" s="17" t="n">
        <v>0</v>
      </c>
      <c r="J256" s="18" t="n">
        <v>80.85</v>
      </c>
      <c r="K256" s="19" t="n">
        <v>9.99</v>
      </c>
      <c r="L256" s="15" t="n">
        <f aca="false">YEAR(B256)</f>
        <v>2025</v>
      </c>
      <c r="M256" s="20" t="n">
        <f aca="false">IF(J256&gt;0,K256/J256,0)</f>
        <v>0.123562152133581</v>
      </c>
    </row>
    <row r="257" customFormat="false" ht="15" hidden="false" customHeight="false" outlineLevel="0" collapsed="false">
      <c r="A257" s="15" t="s">
        <v>314</v>
      </c>
      <c r="B257" s="16" t="n">
        <v>44734</v>
      </c>
      <c r="C257" s="15" t="s">
        <v>68</v>
      </c>
      <c r="D257" s="15" t="s">
        <v>42</v>
      </c>
      <c r="E257" s="15" t="s">
        <v>38</v>
      </c>
      <c r="F257" s="15" t="s">
        <v>17</v>
      </c>
      <c r="G257" s="15" t="s">
        <v>29</v>
      </c>
      <c r="H257" s="15" t="n">
        <v>2</v>
      </c>
      <c r="I257" s="17" t="n">
        <v>0.2</v>
      </c>
      <c r="J257" s="18" t="n">
        <v>28.44</v>
      </c>
      <c r="K257" s="19" t="n">
        <v>5.24</v>
      </c>
      <c r="L257" s="15" t="n">
        <f aca="false">YEAR(B257)</f>
        <v>2022</v>
      </c>
      <c r="M257" s="20" t="n">
        <f aca="false">IF(J257&gt;0,K257/J257,0)</f>
        <v>0.184247538677918</v>
      </c>
    </row>
    <row r="258" customFormat="false" ht="15" hidden="false" customHeight="false" outlineLevel="0" collapsed="false">
      <c r="A258" s="15" t="s">
        <v>315</v>
      </c>
      <c r="B258" s="16" t="n">
        <v>45068</v>
      </c>
      <c r="C258" s="15" t="s">
        <v>56</v>
      </c>
      <c r="D258" s="15" t="s">
        <v>42</v>
      </c>
      <c r="E258" s="15" t="s">
        <v>39</v>
      </c>
      <c r="F258" s="15" t="s">
        <v>18</v>
      </c>
      <c r="G258" s="15" t="s">
        <v>32</v>
      </c>
      <c r="H258" s="15" t="n">
        <v>3</v>
      </c>
      <c r="I258" s="17" t="n">
        <v>0</v>
      </c>
      <c r="J258" s="18" t="n">
        <v>1204.75</v>
      </c>
      <c r="K258" s="19" t="n">
        <v>234.29</v>
      </c>
      <c r="L258" s="15" t="n">
        <f aca="false">YEAR(B258)</f>
        <v>2023</v>
      </c>
      <c r="M258" s="20" t="n">
        <f aca="false">IF(J258&gt;0,K258/J258,0)</f>
        <v>0.194471882133223</v>
      </c>
    </row>
    <row r="259" customFormat="false" ht="15" hidden="false" customHeight="false" outlineLevel="0" collapsed="false">
      <c r="A259" s="15" t="s">
        <v>316</v>
      </c>
      <c r="B259" s="16" t="n">
        <v>44904</v>
      </c>
      <c r="C259" s="15" t="s">
        <v>71</v>
      </c>
      <c r="D259" s="15" t="s">
        <v>42</v>
      </c>
      <c r="E259" s="15" t="s">
        <v>39</v>
      </c>
      <c r="F259" s="15" t="s">
        <v>17</v>
      </c>
      <c r="G259" s="15" t="s">
        <v>29</v>
      </c>
      <c r="H259" s="15" t="n">
        <v>2</v>
      </c>
      <c r="I259" s="17" t="n">
        <v>0.05</v>
      </c>
      <c r="J259" s="18" t="n">
        <v>45.85</v>
      </c>
      <c r="K259" s="19" t="n">
        <v>17.64</v>
      </c>
      <c r="L259" s="15" t="n">
        <f aca="false">YEAR(B259)</f>
        <v>2022</v>
      </c>
      <c r="M259" s="20" t="n">
        <f aca="false">IF(J259&gt;0,K259/J259,0)</f>
        <v>0.384732824427481</v>
      </c>
    </row>
    <row r="260" customFormat="false" ht="15" hidden="false" customHeight="false" outlineLevel="0" collapsed="false">
      <c r="A260" s="15" t="s">
        <v>317</v>
      </c>
      <c r="B260" s="16" t="n">
        <v>44908</v>
      </c>
      <c r="C260" s="15" t="s">
        <v>56</v>
      </c>
      <c r="D260" s="15" t="s">
        <v>43</v>
      </c>
      <c r="E260" s="15" t="s">
        <v>36</v>
      </c>
      <c r="F260" s="15" t="s">
        <v>16</v>
      </c>
      <c r="G260" s="15" t="s">
        <v>27</v>
      </c>
      <c r="H260" s="15" t="n">
        <v>5</v>
      </c>
      <c r="I260" s="17" t="n">
        <v>0</v>
      </c>
      <c r="J260" s="18" t="n">
        <v>339.47</v>
      </c>
      <c r="K260" s="19" t="n">
        <v>68.83</v>
      </c>
      <c r="L260" s="15" t="n">
        <f aca="false">YEAR(B260)</f>
        <v>2022</v>
      </c>
      <c r="M260" s="20" t="n">
        <f aca="false">IF(J260&gt;0,K260/J260,0)</f>
        <v>0.202757239225852</v>
      </c>
    </row>
    <row r="261" customFormat="false" ht="15" hidden="false" customHeight="false" outlineLevel="0" collapsed="false">
      <c r="A261" s="15" t="s">
        <v>318</v>
      </c>
      <c r="B261" s="16" t="n">
        <v>45729</v>
      </c>
      <c r="C261" s="15" t="s">
        <v>56</v>
      </c>
      <c r="D261" s="15" t="s">
        <v>44</v>
      </c>
      <c r="E261" s="15" t="s">
        <v>38</v>
      </c>
      <c r="F261" s="15" t="s">
        <v>17</v>
      </c>
      <c r="G261" s="15" t="s">
        <v>31</v>
      </c>
      <c r="H261" s="15" t="n">
        <v>3</v>
      </c>
      <c r="I261" s="17" t="n">
        <v>0</v>
      </c>
      <c r="J261" s="18" t="n">
        <v>418.31</v>
      </c>
      <c r="K261" s="19" t="n">
        <v>103.24</v>
      </c>
      <c r="L261" s="15" t="n">
        <f aca="false">YEAR(B261)</f>
        <v>2025</v>
      </c>
      <c r="M261" s="20" t="n">
        <f aca="false">IF(J261&gt;0,K261/J261,0)</f>
        <v>0.246802610504172</v>
      </c>
    </row>
    <row r="262" customFormat="false" ht="15" hidden="false" customHeight="false" outlineLevel="0" collapsed="false">
      <c r="A262" s="15" t="s">
        <v>319</v>
      </c>
      <c r="B262" s="16" t="n">
        <v>45742</v>
      </c>
      <c r="C262" s="15" t="s">
        <v>56</v>
      </c>
      <c r="D262" s="15" t="s">
        <v>42</v>
      </c>
      <c r="E262" s="15" t="s">
        <v>37</v>
      </c>
      <c r="F262" s="15" t="s">
        <v>16</v>
      </c>
      <c r="G262" s="15" t="s">
        <v>25</v>
      </c>
      <c r="H262" s="15" t="n">
        <v>3</v>
      </c>
      <c r="I262" s="17" t="n">
        <v>0.3</v>
      </c>
      <c r="J262" s="18" t="n">
        <v>714.57</v>
      </c>
      <c r="K262" s="19" t="n">
        <v>-129.6</v>
      </c>
      <c r="L262" s="15" t="n">
        <f aca="false">YEAR(B262)</f>
        <v>2025</v>
      </c>
      <c r="M262" s="20" t="n">
        <f aca="false">IF(J262&gt;0,K262/J262,0)</f>
        <v>-0.181367815609387</v>
      </c>
    </row>
    <row r="263" customFormat="false" ht="15" hidden="false" customHeight="false" outlineLevel="0" collapsed="false">
      <c r="A263" s="15" t="s">
        <v>320</v>
      </c>
      <c r="B263" s="16" t="n">
        <v>45515</v>
      </c>
      <c r="C263" s="15" t="s">
        <v>58</v>
      </c>
      <c r="D263" s="15" t="s">
        <v>42</v>
      </c>
      <c r="E263" s="15" t="s">
        <v>37</v>
      </c>
      <c r="F263" s="15" t="s">
        <v>18</v>
      </c>
      <c r="G263" s="15" t="s">
        <v>32</v>
      </c>
      <c r="H263" s="15" t="n">
        <v>2</v>
      </c>
      <c r="I263" s="17" t="n">
        <v>0.3</v>
      </c>
      <c r="J263" s="18" t="n">
        <v>613.63</v>
      </c>
      <c r="K263" s="19" t="n">
        <v>-37.61</v>
      </c>
      <c r="L263" s="15" t="n">
        <f aca="false">YEAR(B263)</f>
        <v>2024</v>
      </c>
      <c r="M263" s="20" t="n">
        <f aca="false">IF(J263&gt;0,K263/J263,0)</f>
        <v>-0.0612910059808028</v>
      </c>
    </row>
    <row r="264" customFormat="false" ht="15" hidden="false" customHeight="false" outlineLevel="0" collapsed="false">
      <c r="A264" s="15" t="s">
        <v>321</v>
      </c>
      <c r="B264" s="16" t="n">
        <v>45277</v>
      </c>
      <c r="C264" s="15" t="s">
        <v>58</v>
      </c>
      <c r="D264" s="15" t="s">
        <v>43</v>
      </c>
      <c r="E264" s="15" t="s">
        <v>38</v>
      </c>
      <c r="F264" s="15" t="s">
        <v>17</v>
      </c>
      <c r="G264" s="15" t="s">
        <v>28</v>
      </c>
      <c r="H264" s="15" t="n">
        <v>2</v>
      </c>
      <c r="I264" s="17" t="n">
        <v>0</v>
      </c>
      <c r="J264" s="18" t="n">
        <v>44.31</v>
      </c>
      <c r="K264" s="19" t="n">
        <v>15.54</v>
      </c>
      <c r="L264" s="15" t="n">
        <f aca="false">YEAR(B264)</f>
        <v>2023</v>
      </c>
      <c r="M264" s="20" t="n">
        <f aca="false">IF(J264&gt;0,K264/J264,0)</f>
        <v>0.350710900473934</v>
      </c>
    </row>
    <row r="265" customFormat="false" ht="15" hidden="false" customHeight="false" outlineLevel="0" collapsed="false">
      <c r="A265" s="15" t="s">
        <v>322</v>
      </c>
      <c r="B265" s="16" t="n">
        <v>44647</v>
      </c>
      <c r="C265" s="15" t="s">
        <v>56</v>
      </c>
      <c r="D265" s="15" t="s">
        <v>43</v>
      </c>
      <c r="E265" s="15" t="s">
        <v>37</v>
      </c>
      <c r="F265" s="15" t="s">
        <v>17</v>
      </c>
      <c r="G265" s="15" t="s">
        <v>29</v>
      </c>
      <c r="H265" s="15" t="n">
        <v>2</v>
      </c>
      <c r="I265" s="17" t="n">
        <v>0.05</v>
      </c>
      <c r="J265" s="18" t="n">
        <v>35.53</v>
      </c>
      <c r="K265" s="19" t="n">
        <v>10.99</v>
      </c>
      <c r="L265" s="15" t="n">
        <f aca="false">YEAR(B265)</f>
        <v>2022</v>
      </c>
      <c r="M265" s="20" t="n">
        <f aca="false">IF(J265&gt;0,K265/J265,0)</f>
        <v>0.309316070925978</v>
      </c>
    </row>
    <row r="266" customFormat="false" ht="15" hidden="false" customHeight="false" outlineLevel="0" collapsed="false">
      <c r="A266" s="15" t="s">
        <v>323</v>
      </c>
      <c r="B266" s="16" t="n">
        <v>44867</v>
      </c>
      <c r="C266" s="15" t="s">
        <v>71</v>
      </c>
      <c r="D266" s="15" t="s">
        <v>42</v>
      </c>
      <c r="E266" s="15" t="s">
        <v>37</v>
      </c>
      <c r="F266" s="15" t="s">
        <v>17</v>
      </c>
      <c r="G266" s="15" t="s">
        <v>28</v>
      </c>
      <c r="H266" s="15" t="n">
        <v>2</v>
      </c>
      <c r="I266" s="17" t="n">
        <v>0</v>
      </c>
      <c r="J266" s="18" t="n">
        <v>57.72</v>
      </c>
      <c r="K266" s="19" t="n">
        <v>12.96</v>
      </c>
      <c r="L266" s="15" t="n">
        <f aca="false">YEAR(B266)</f>
        <v>2022</v>
      </c>
      <c r="M266" s="20" t="n">
        <f aca="false">IF(J266&gt;0,K266/J266,0)</f>
        <v>0.224532224532225</v>
      </c>
    </row>
    <row r="267" customFormat="false" ht="15" hidden="false" customHeight="false" outlineLevel="0" collapsed="false">
      <c r="A267" s="15" t="s">
        <v>324</v>
      </c>
      <c r="B267" s="16" t="n">
        <v>44623</v>
      </c>
      <c r="C267" s="15" t="s">
        <v>56</v>
      </c>
      <c r="D267" s="15" t="s">
        <v>42</v>
      </c>
      <c r="E267" s="15" t="s">
        <v>39</v>
      </c>
      <c r="F267" s="15" t="s">
        <v>18</v>
      </c>
      <c r="G267" s="15" t="s">
        <v>30</v>
      </c>
      <c r="H267" s="15" t="n">
        <v>4</v>
      </c>
      <c r="I267" s="17" t="n">
        <v>0</v>
      </c>
      <c r="J267" s="18" t="n">
        <v>197.85</v>
      </c>
      <c r="K267" s="19" t="n">
        <v>64.1</v>
      </c>
      <c r="L267" s="15" t="n">
        <f aca="false">YEAR(B267)</f>
        <v>2022</v>
      </c>
      <c r="M267" s="20" t="n">
        <f aca="false">IF(J267&gt;0,K267/J267,0)</f>
        <v>0.323982815264089</v>
      </c>
    </row>
    <row r="268" customFormat="false" ht="15" hidden="false" customHeight="false" outlineLevel="0" collapsed="false">
      <c r="A268" s="15" t="s">
        <v>325</v>
      </c>
      <c r="B268" s="16" t="n">
        <v>45632</v>
      </c>
      <c r="C268" s="15" t="s">
        <v>56</v>
      </c>
      <c r="D268" s="15" t="s">
        <v>42</v>
      </c>
      <c r="E268" s="15" t="s">
        <v>38</v>
      </c>
      <c r="F268" s="15" t="s">
        <v>18</v>
      </c>
      <c r="G268" s="15" t="s">
        <v>32</v>
      </c>
      <c r="H268" s="15" t="n">
        <v>2</v>
      </c>
      <c r="I268" s="17" t="n">
        <v>0.05</v>
      </c>
      <c r="J268" s="18" t="n">
        <v>686.68</v>
      </c>
      <c r="K268" s="19" t="n">
        <v>95.39</v>
      </c>
      <c r="L268" s="15" t="n">
        <f aca="false">YEAR(B268)</f>
        <v>2024</v>
      </c>
      <c r="M268" s="20" t="n">
        <f aca="false">IF(J268&gt;0,K268/J268,0)</f>
        <v>0.138914778353818</v>
      </c>
    </row>
    <row r="269" customFormat="false" ht="15" hidden="false" customHeight="false" outlineLevel="0" collapsed="false">
      <c r="A269" s="15" t="s">
        <v>326</v>
      </c>
      <c r="B269" s="16" t="n">
        <v>45800</v>
      </c>
      <c r="C269" s="15" t="s">
        <v>71</v>
      </c>
      <c r="D269" s="15" t="s">
        <v>42</v>
      </c>
      <c r="E269" s="15" t="s">
        <v>36</v>
      </c>
      <c r="F269" s="15" t="s">
        <v>16</v>
      </c>
      <c r="G269" s="15" t="s">
        <v>27</v>
      </c>
      <c r="H269" s="15" t="n">
        <v>4</v>
      </c>
      <c r="I269" s="17" t="n">
        <v>0.2</v>
      </c>
      <c r="J269" s="18" t="n">
        <v>201.04</v>
      </c>
      <c r="K269" s="19" t="n">
        <v>17.84</v>
      </c>
      <c r="L269" s="15" t="n">
        <f aca="false">YEAR(B269)</f>
        <v>2025</v>
      </c>
      <c r="M269" s="20" t="n">
        <f aca="false">IF(J269&gt;0,K269/J269,0)</f>
        <v>0.0887385594906486</v>
      </c>
    </row>
    <row r="270" customFormat="false" ht="15" hidden="false" customHeight="false" outlineLevel="0" collapsed="false">
      <c r="A270" s="15" t="s">
        <v>327</v>
      </c>
      <c r="B270" s="16" t="n">
        <v>45546</v>
      </c>
      <c r="C270" s="15" t="s">
        <v>68</v>
      </c>
      <c r="D270" s="15" t="s">
        <v>43</v>
      </c>
      <c r="E270" s="15" t="s">
        <v>37</v>
      </c>
      <c r="F270" s="15" t="s">
        <v>17</v>
      </c>
      <c r="G270" s="15" t="s">
        <v>29</v>
      </c>
      <c r="H270" s="15" t="n">
        <v>4</v>
      </c>
      <c r="I270" s="17" t="n">
        <v>0.2</v>
      </c>
      <c r="J270" s="18" t="n">
        <v>68.63</v>
      </c>
      <c r="K270" s="19" t="n">
        <v>15.94</v>
      </c>
      <c r="L270" s="15" t="n">
        <f aca="false">YEAR(B270)</f>
        <v>2024</v>
      </c>
      <c r="M270" s="20" t="n">
        <f aca="false">IF(J270&gt;0,K270/J270,0)</f>
        <v>0.232259944630628</v>
      </c>
    </row>
    <row r="271" customFormat="false" ht="15" hidden="false" customHeight="false" outlineLevel="0" collapsed="false">
      <c r="A271" s="15" t="s">
        <v>328</v>
      </c>
      <c r="B271" s="16" t="n">
        <v>46002</v>
      </c>
      <c r="C271" s="15" t="s">
        <v>56</v>
      </c>
      <c r="D271" s="15" t="s">
        <v>42</v>
      </c>
      <c r="E271" s="15" t="s">
        <v>39</v>
      </c>
      <c r="F271" s="15" t="s">
        <v>16</v>
      </c>
      <c r="G271" s="15" t="s">
        <v>22</v>
      </c>
      <c r="H271" s="15" t="n">
        <v>1</v>
      </c>
      <c r="I271" s="17" t="n">
        <v>0.05</v>
      </c>
      <c r="J271" s="18" t="n">
        <v>570.73</v>
      </c>
      <c r="K271" s="19" t="n">
        <v>-86.22</v>
      </c>
      <c r="L271" s="15" t="n">
        <f aca="false">YEAR(B271)</f>
        <v>2025</v>
      </c>
      <c r="M271" s="20" t="n">
        <f aca="false">IF(J271&gt;0,K271/J271,0)</f>
        <v>-0.151069682687085</v>
      </c>
    </row>
    <row r="272" customFormat="false" ht="15" hidden="false" customHeight="false" outlineLevel="0" collapsed="false">
      <c r="A272" s="15" t="s">
        <v>329</v>
      </c>
      <c r="B272" s="16" t="n">
        <v>44887</v>
      </c>
      <c r="C272" s="15" t="s">
        <v>68</v>
      </c>
      <c r="D272" s="15" t="s">
        <v>44</v>
      </c>
      <c r="E272" s="15" t="s">
        <v>37</v>
      </c>
      <c r="F272" s="15" t="s">
        <v>17</v>
      </c>
      <c r="G272" s="15" t="s">
        <v>29</v>
      </c>
      <c r="H272" s="15" t="n">
        <v>2</v>
      </c>
      <c r="I272" s="17" t="n">
        <v>0</v>
      </c>
      <c r="J272" s="18" t="n">
        <v>36.67</v>
      </c>
      <c r="K272" s="19" t="n">
        <v>16.52</v>
      </c>
      <c r="L272" s="15" t="n">
        <f aca="false">YEAR(B272)</f>
        <v>2022</v>
      </c>
      <c r="M272" s="20" t="n">
        <f aca="false">IF(J272&gt;0,K272/J272,0)</f>
        <v>0.450504499590946</v>
      </c>
    </row>
    <row r="273" customFormat="false" ht="15" hidden="false" customHeight="false" outlineLevel="0" collapsed="false">
      <c r="A273" s="15" t="s">
        <v>330</v>
      </c>
      <c r="B273" s="16" t="n">
        <v>45748</v>
      </c>
      <c r="C273" s="15" t="s">
        <v>56</v>
      </c>
      <c r="D273" s="15" t="s">
        <v>42</v>
      </c>
      <c r="E273" s="15" t="s">
        <v>39</v>
      </c>
      <c r="F273" s="15" t="s">
        <v>16</v>
      </c>
      <c r="G273" s="15" t="s">
        <v>23</v>
      </c>
      <c r="H273" s="15" t="n">
        <v>3</v>
      </c>
      <c r="I273" s="17" t="n">
        <v>0.1</v>
      </c>
      <c r="J273" s="18" t="n">
        <v>819.82</v>
      </c>
      <c r="K273" s="19" t="n">
        <v>-29.9</v>
      </c>
      <c r="L273" s="15" t="n">
        <f aca="false">YEAR(B273)</f>
        <v>2025</v>
      </c>
      <c r="M273" s="20" t="n">
        <f aca="false">IF(J273&gt;0,K273/J273,0)</f>
        <v>-0.0364714205557317</v>
      </c>
    </row>
    <row r="274" customFormat="false" ht="15" hidden="false" customHeight="false" outlineLevel="0" collapsed="false">
      <c r="A274" s="15" t="s">
        <v>331</v>
      </c>
      <c r="B274" s="16" t="n">
        <v>45156</v>
      </c>
      <c r="C274" s="15" t="s">
        <v>56</v>
      </c>
      <c r="D274" s="15" t="s">
        <v>43</v>
      </c>
      <c r="E274" s="15" t="s">
        <v>38</v>
      </c>
      <c r="F274" s="15" t="s">
        <v>16</v>
      </c>
      <c r="G274" s="15" t="s">
        <v>27</v>
      </c>
      <c r="H274" s="15" t="n">
        <v>6</v>
      </c>
      <c r="I274" s="17" t="n">
        <v>0.2</v>
      </c>
      <c r="J274" s="18" t="n">
        <v>200.83</v>
      </c>
      <c r="K274" s="19" t="n">
        <v>8.09</v>
      </c>
      <c r="L274" s="15" t="n">
        <f aca="false">YEAR(B274)</f>
        <v>2023</v>
      </c>
      <c r="M274" s="20" t="n">
        <f aca="false">IF(J274&gt;0,K274/J274,0)</f>
        <v>0.0402828262709755</v>
      </c>
    </row>
    <row r="275" customFormat="false" ht="15" hidden="false" customHeight="false" outlineLevel="0" collapsed="false">
      <c r="A275" s="15" t="s">
        <v>332</v>
      </c>
      <c r="B275" s="16" t="n">
        <v>45699</v>
      </c>
      <c r="C275" s="15" t="s">
        <v>71</v>
      </c>
      <c r="D275" s="15" t="s">
        <v>44</v>
      </c>
      <c r="E275" s="15" t="s">
        <v>39</v>
      </c>
      <c r="F275" s="15" t="s">
        <v>18</v>
      </c>
      <c r="G275" s="15" t="s">
        <v>33</v>
      </c>
      <c r="H275" s="15" t="n">
        <v>4</v>
      </c>
      <c r="I275" s="17" t="n">
        <v>0.1</v>
      </c>
      <c r="J275" s="18" t="n">
        <v>3458.16</v>
      </c>
      <c r="K275" s="19" t="n">
        <v>832.84</v>
      </c>
      <c r="L275" s="15" t="n">
        <f aca="false">YEAR(B275)</f>
        <v>2025</v>
      </c>
      <c r="M275" s="20" t="n">
        <f aca="false">IF(J275&gt;0,K275/J275,0)</f>
        <v>0.240833275499109</v>
      </c>
    </row>
    <row r="276" customFormat="false" ht="15" hidden="false" customHeight="false" outlineLevel="0" collapsed="false">
      <c r="A276" s="15" t="s">
        <v>333</v>
      </c>
      <c r="B276" s="16" t="n">
        <v>44592</v>
      </c>
      <c r="C276" s="15" t="s">
        <v>56</v>
      </c>
      <c r="D276" s="15" t="s">
        <v>42</v>
      </c>
      <c r="E276" s="15" t="s">
        <v>37</v>
      </c>
      <c r="F276" s="15" t="s">
        <v>16</v>
      </c>
      <c r="G276" s="15" t="s">
        <v>27</v>
      </c>
      <c r="H276" s="15" t="n">
        <v>2</v>
      </c>
      <c r="I276" s="17" t="n">
        <v>0</v>
      </c>
      <c r="J276" s="18" t="n">
        <v>108.81</v>
      </c>
      <c r="K276" s="19" t="n">
        <v>20.13</v>
      </c>
      <c r="L276" s="15" t="n">
        <f aca="false">YEAR(B276)</f>
        <v>2022</v>
      </c>
      <c r="M276" s="20" t="n">
        <f aca="false">IF(J276&gt;0,K276/J276,0)</f>
        <v>0.185001378549766</v>
      </c>
    </row>
    <row r="277" customFormat="false" ht="15" hidden="false" customHeight="false" outlineLevel="0" collapsed="false">
      <c r="A277" s="15" t="s">
        <v>334</v>
      </c>
      <c r="B277" s="16" t="n">
        <v>45244</v>
      </c>
      <c r="C277" s="15" t="s">
        <v>71</v>
      </c>
      <c r="D277" s="15" t="s">
        <v>44</v>
      </c>
      <c r="E277" s="15" t="s">
        <v>37</v>
      </c>
      <c r="F277" s="15" t="s">
        <v>17</v>
      </c>
      <c r="G277" s="15" t="s">
        <v>29</v>
      </c>
      <c r="H277" s="15" t="n">
        <v>3</v>
      </c>
      <c r="I277" s="17" t="n">
        <v>0.2</v>
      </c>
      <c r="J277" s="18" t="n">
        <v>40.82</v>
      </c>
      <c r="K277" s="19" t="n">
        <v>8.46</v>
      </c>
      <c r="L277" s="15" t="n">
        <f aca="false">YEAR(B277)</f>
        <v>2023</v>
      </c>
      <c r="M277" s="20" t="n">
        <f aca="false">IF(J277&gt;0,K277/J277,0)</f>
        <v>0.207251347378736</v>
      </c>
    </row>
    <row r="278" customFormat="false" ht="15" hidden="false" customHeight="false" outlineLevel="0" collapsed="false">
      <c r="A278" s="15" t="s">
        <v>335</v>
      </c>
      <c r="B278" s="16" t="n">
        <v>45719</v>
      </c>
      <c r="C278" s="15" t="s">
        <v>56</v>
      </c>
      <c r="D278" s="15" t="s">
        <v>42</v>
      </c>
      <c r="E278" s="15" t="s">
        <v>39</v>
      </c>
      <c r="F278" s="15" t="s">
        <v>17</v>
      </c>
      <c r="G278" s="15" t="s">
        <v>29</v>
      </c>
      <c r="H278" s="15" t="n">
        <v>3</v>
      </c>
      <c r="I278" s="17" t="n">
        <v>0.1</v>
      </c>
      <c r="J278" s="18" t="n">
        <v>59.09</v>
      </c>
      <c r="K278" s="19" t="n">
        <v>15.8</v>
      </c>
      <c r="L278" s="15" t="n">
        <f aca="false">YEAR(B278)</f>
        <v>2025</v>
      </c>
      <c r="M278" s="20" t="n">
        <f aca="false">IF(J278&gt;0,K278/J278,0)</f>
        <v>0.26738872905737</v>
      </c>
    </row>
    <row r="279" customFormat="false" ht="15" hidden="false" customHeight="false" outlineLevel="0" collapsed="false">
      <c r="A279" s="15" t="s">
        <v>336</v>
      </c>
      <c r="B279" s="16" t="n">
        <v>45452</v>
      </c>
      <c r="C279" s="15" t="s">
        <v>68</v>
      </c>
      <c r="D279" s="15" t="s">
        <v>42</v>
      </c>
      <c r="E279" s="15" t="s">
        <v>37</v>
      </c>
      <c r="F279" s="15" t="s">
        <v>17</v>
      </c>
      <c r="G279" s="15" t="s">
        <v>28</v>
      </c>
      <c r="H279" s="15" t="n">
        <v>2</v>
      </c>
      <c r="I279" s="17" t="n">
        <v>0</v>
      </c>
      <c r="J279" s="18" t="n">
        <v>49.44</v>
      </c>
      <c r="K279" s="19" t="n">
        <v>17.03</v>
      </c>
      <c r="L279" s="15" t="n">
        <f aca="false">YEAR(B279)</f>
        <v>2024</v>
      </c>
      <c r="M279" s="20" t="n">
        <f aca="false">IF(J279&gt;0,K279/J279,0)</f>
        <v>0.344457928802589</v>
      </c>
    </row>
    <row r="280" customFormat="false" ht="15" hidden="false" customHeight="false" outlineLevel="0" collapsed="false">
      <c r="A280" s="15" t="s">
        <v>337</v>
      </c>
      <c r="B280" s="16" t="n">
        <v>45894</v>
      </c>
      <c r="C280" s="15" t="s">
        <v>58</v>
      </c>
      <c r="D280" s="15" t="s">
        <v>44</v>
      </c>
      <c r="E280" s="15" t="s">
        <v>39</v>
      </c>
      <c r="F280" s="15" t="s">
        <v>16</v>
      </c>
      <c r="G280" s="15" t="s">
        <v>27</v>
      </c>
      <c r="H280" s="15" t="n">
        <v>3</v>
      </c>
      <c r="I280" s="17" t="n">
        <v>0</v>
      </c>
      <c r="J280" s="18" t="n">
        <v>211.31</v>
      </c>
      <c r="K280" s="19" t="n">
        <v>49.43</v>
      </c>
      <c r="L280" s="15" t="n">
        <f aca="false">YEAR(B280)</f>
        <v>2025</v>
      </c>
      <c r="M280" s="20" t="n">
        <f aca="false">IF(J280&gt;0,K280/J280,0)</f>
        <v>0.233921726373574</v>
      </c>
    </row>
    <row r="281" customFormat="false" ht="15" hidden="false" customHeight="false" outlineLevel="0" collapsed="false">
      <c r="A281" s="15" t="s">
        <v>338</v>
      </c>
      <c r="B281" s="16" t="n">
        <v>45326</v>
      </c>
      <c r="C281" s="15" t="s">
        <v>56</v>
      </c>
      <c r="D281" s="15" t="s">
        <v>44</v>
      </c>
      <c r="E281" s="15" t="s">
        <v>39</v>
      </c>
      <c r="F281" s="15" t="s">
        <v>17</v>
      </c>
      <c r="G281" s="15" t="s">
        <v>29</v>
      </c>
      <c r="H281" s="15" t="n">
        <v>2</v>
      </c>
      <c r="I281" s="17" t="n">
        <v>0</v>
      </c>
      <c r="J281" s="18" t="n">
        <v>29.8</v>
      </c>
      <c r="K281" s="19" t="n">
        <v>10.88</v>
      </c>
      <c r="L281" s="15" t="n">
        <f aca="false">YEAR(B281)</f>
        <v>2024</v>
      </c>
      <c r="M281" s="20" t="n">
        <f aca="false">IF(J281&gt;0,K281/J281,0)</f>
        <v>0.36510067114094</v>
      </c>
    </row>
    <row r="282" customFormat="false" ht="15" hidden="false" customHeight="false" outlineLevel="0" collapsed="false">
      <c r="A282" s="15" t="s">
        <v>339</v>
      </c>
      <c r="B282" s="16" t="n">
        <v>46022</v>
      </c>
      <c r="C282" s="15" t="s">
        <v>68</v>
      </c>
      <c r="D282" s="15" t="s">
        <v>42</v>
      </c>
      <c r="E282" s="15" t="s">
        <v>37</v>
      </c>
      <c r="F282" s="15" t="s">
        <v>18</v>
      </c>
      <c r="G282" s="15" t="s">
        <v>32</v>
      </c>
      <c r="H282" s="15" t="n">
        <v>6</v>
      </c>
      <c r="I282" s="17" t="n">
        <v>0.2</v>
      </c>
      <c r="J282" s="18" t="n">
        <v>1744.27</v>
      </c>
      <c r="K282" s="19" t="n">
        <v>41.73</v>
      </c>
      <c r="L282" s="15" t="n">
        <f aca="false">YEAR(B282)</f>
        <v>2025</v>
      </c>
      <c r="M282" s="20" t="n">
        <f aca="false">IF(J282&gt;0,K282/J282,0)</f>
        <v>0.023924048455801</v>
      </c>
    </row>
    <row r="283" customFormat="false" ht="15" hidden="false" customHeight="false" outlineLevel="0" collapsed="false">
      <c r="A283" s="15" t="s">
        <v>340</v>
      </c>
      <c r="B283" s="16" t="n">
        <v>46003</v>
      </c>
      <c r="C283" s="15" t="s">
        <v>71</v>
      </c>
      <c r="D283" s="15" t="s">
        <v>42</v>
      </c>
      <c r="E283" s="15" t="s">
        <v>39</v>
      </c>
      <c r="F283" s="15" t="s">
        <v>17</v>
      </c>
      <c r="G283" s="15" t="s">
        <v>26</v>
      </c>
      <c r="H283" s="15" t="n">
        <v>5</v>
      </c>
      <c r="I283" s="17" t="n">
        <v>0.05</v>
      </c>
      <c r="J283" s="18" t="n">
        <v>367.12</v>
      </c>
      <c r="K283" s="19" t="n">
        <v>18</v>
      </c>
      <c r="L283" s="15" t="n">
        <f aca="false">YEAR(B283)</f>
        <v>2025</v>
      </c>
      <c r="M283" s="20" t="n">
        <f aca="false">IF(J283&gt;0,K283/J283,0)</f>
        <v>0.049030289823491</v>
      </c>
    </row>
    <row r="284" customFormat="false" ht="15" hidden="false" customHeight="false" outlineLevel="0" collapsed="false">
      <c r="A284" s="15" t="s">
        <v>341</v>
      </c>
      <c r="B284" s="16" t="n">
        <v>45081</v>
      </c>
      <c r="C284" s="15" t="s">
        <v>56</v>
      </c>
      <c r="D284" s="15" t="s">
        <v>43</v>
      </c>
      <c r="E284" s="15" t="s">
        <v>36</v>
      </c>
      <c r="F284" s="15" t="s">
        <v>18</v>
      </c>
      <c r="G284" s="15" t="s">
        <v>30</v>
      </c>
      <c r="H284" s="15" t="n">
        <v>5</v>
      </c>
      <c r="I284" s="17" t="n">
        <v>0.15</v>
      </c>
      <c r="J284" s="18" t="n">
        <v>223.65</v>
      </c>
      <c r="K284" s="19" t="n">
        <v>43.15</v>
      </c>
      <c r="L284" s="15" t="n">
        <f aca="false">YEAR(B284)</f>
        <v>2023</v>
      </c>
      <c r="M284" s="20" t="n">
        <f aca="false">IF(J284&gt;0,K284/J284,0)</f>
        <v>0.192935390118489</v>
      </c>
    </row>
    <row r="285" customFormat="false" ht="15" hidden="false" customHeight="false" outlineLevel="0" collapsed="false">
      <c r="A285" s="15" t="s">
        <v>342</v>
      </c>
      <c r="B285" s="16" t="n">
        <v>46020</v>
      </c>
      <c r="C285" s="15" t="s">
        <v>56</v>
      </c>
      <c r="D285" s="15" t="s">
        <v>42</v>
      </c>
      <c r="E285" s="15" t="s">
        <v>36</v>
      </c>
      <c r="F285" s="15" t="s">
        <v>16</v>
      </c>
      <c r="G285" s="15" t="s">
        <v>27</v>
      </c>
      <c r="H285" s="15" t="n">
        <v>8</v>
      </c>
      <c r="I285" s="17" t="n">
        <v>0</v>
      </c>
      <c r="J285" s="18" t="n">
        <v>513.35</v>
      </c>
      <c r="K285" s="19" t="n">
        <v>100.32</v>
      </c>
      <c r="L285" s="15" t="n">
        <f aca="false">YEAR(B285)</f>
        <v>2025</v>
      </c>
      <c r="M285" s="20" t="n">
        <f aca="false">IF(J285&gt;0,K285/J285,0)</f>
        <v>0.195422226551086</v>
      </c>
    </row>
    <row r="286" customFormat="false" ht="15" hidden="false" customHeight="false" outlineLevel="0" collapsed="false">
      <c r="A286" s="15" t="s">
        <v>343</v>
      </c>
      <c r="B286" s="16" t="n">
        <v>45635</v>
      </c>
      <c r="C286" s="15" t="s">
        <v>56</v>
      </c>
      <c r="D286" s="15" t="s">
        <v>42</v>
      </c>
      <c r="E286" s="15" t="s">
        <v>39</v>
      </c>
      <c r="F286" s="15" t="s">
        <v>17</v>
      </c>
      <c r="G286" s="15" t="s">
        <v>26</v>
      </c>
      <c r="H286" s="15" t="n">
        <v>7</v>
      </c>
      <c r="I286" s="17" t="n">
        <v>0</v>
      </c>
      <c r="J286" s="18" t="n">
        <v>671.22</v>
      </c>
      <c r="K286" s="19" t="n">
        <v>68.88</v>
      </c>
      <c r="L286" s="15" t="n">
        <f aca="false">YEAR(B286)</f>
        <v>2024</v>
      </c>
      <c r="M286" s="20" t="n">
        <f aca="false">IF(J286&gt;0,K286/J286,0)</f>
        <v>0.102619111468669</v>
      </c>
    </row>
    <row r="287" customFormat="false" ht="15" hidden="false" customHeight="false" outlineLevel="0" collapsed="false">
      <c r="A287" s="15" t="s">
        <v>344</v>
      </c>
      <c r="B287" s="16" t="n">
        <v>44628</v>
      </c>
      <c r="C287" s="15" t="s">
        <v>56</v>
      </c>
      <c r="D287" s="15" t="s">
        <v>42</v>
      </c>
      <c r="E287" s="15" t="s">
        <v>39</v>
      </c>
      <c r="F287" s="15" t="s">
        <v>17</v>
      </c>
      <c r="G287" s="15" t="s">
        <v>31</v>
      </c>
      <c r="H287" s="15" t="n">
        <v>2</v>
      </c>
      <c r="I287" s="17" t="n">
        <v>0</v>
      </c>
      <c r="J287" s="18" t="n">
        <v>277.08</v>
      </c>
      <c r="K287" s="19" t="n">
        <v>60.91</v>
      </c>
      <c r="L287" s="15" t="n">
        <f aca="false">YEAR(B287)</f>
        <v>2022</v>
      </c>
      <c r="M287" s="20" t="n">
        <f aca="false">IF(J287&gt;0,K287/J287,0)</f>
        <v>0.219828208459651</v>
      </c>
    </row>
    <row r="288" customFormat="false" ht="15" hidden="false" customHeight="false" outlineLevel="0" collapsed="false">
      <c r="A288" s="15" t="s">
        <v>345</v>
      </c>
      <c r="B288" s="16" t="n">
        <v>45095</v>
      </c>
      <c r="C288" s="15" t="s">
        <v>56</v>
      </c>
      <c r="D288" s="15" t="s">
        <v>42</v>
      </c>
      <c r="E288" s="15" t="s">
        <v>37</v>
      </c>
      <c r="F288" s="15" t="s">
        <v>16</v>
      </c>
      <c r="G288" s="15" t="s">
        <v>27</v>
      </c>
      <c r="H288" s="15" t="n">
        <v>5</v>
      </c>
      <c r="I288" s="17" t="n">
        <v>0</v>
      </c>
      <c r="J288" s="18" t="n">
        <v>288.48</v>
      </c>
      <c r="K288" s="19" t="n">
        <v>82.08</v>
      </c>
      <c r="L288" s="15" t="n">
        <f aca="false">YEAR(B288)</f>
        <v>2023</v>
      </c>
      <c r="M288" s="20" t="n">
        <f aca="false">IF(J288&gt;0,K288/J288,0)</f>
        <v>0.284525790349418</v>
      </c>
    </row>
    <row r="289" customFormat="false" ht="15" hidden="false" customHeight="false" outlineLevel="0" collapsed="false">
      <c r="A289" s="15" t="s">
        <v>346</v>
      </c>
      <c r="B289" s="16" t="n">
        <v>46016</v>
      </c>
      <c r="C289" s="15" t="s">
        <v>58</v>
      </c>
      <c r="D289" s="15" t="s">
        <v>42</v>
      </c>
      <c r="E289" s="15" t="s">
        <v>37</v>
      </c>
      <c r="F289" s="15" t="s">
        <v>16</v>
      </c>
      <c r="G289" s="15" t="s">
        <v>27</v>
      </c>
      <c r="H289" s="15" t="n">
        <v>7</v>
      </c>
      <c r="I289" s="17" t="n">
        <v>0</v>
      </c>
      <c r="J289" s="18" t="n">
        <v>311.2</v>
      </c>
      <c r="K289" s="19" t="n">
        <v>67.03</v>
      </c>
      <c r="L289" s="15" t="n">
        <f aca="false">YEAR(B289)</f>
        <v>2025</v>
      </c>
      <c r="M289" s="20" t="n">
        <f aca="false">IF(J289&gt;0,K289/J289,0)</f>
        <v>0.215392030848329</v>
      </c>
    </row>
    <row r="290" customFormat="false" ht="15" hidden="false" customHeight="false" outlineLevel="0" collapsed="false">
      <c r="A290" s="15" t="s">
        <v>347</v>
      </c>
      <c r="B290" s="16" t="n">
        <v>44625</v>
      </c>
      <c r="C290" s="15" t="s">
        <v>56</v>
      </c>
      <c r="D290" s="15" t="s">
        <v>43</v>
      </c>
      <c r="E290" s="15" t="s">
        <v>39</v>
      </c>
      <c r="F290" s="15" t="s">
        <v>16</v>
      </c>
      <c r="G290" s="15" t="s">
        <v>22</v>
      </c>
      <c r="H290" s="15" t="n">
        <v>3</v>
      </c>
      <c r="I290" s="17" t="n">
        <v>0.2</v>
      </c>
      <c r="J290" s="18" t="n">
        <v>1505.43</v>
      </c>
      <c r="K290" s="19" t="n">
        <v>-286.93</v>
      </c>
      <c r="L290" s="15" t="n">
        <f aca="false">YEAR(B290)</f>
        <v>2022</v>
      </c>
      <c r="M290" s="20" t="n">
        <f aca="false">IF(J290&gt;0,K290/J290,0)</f>
        <v>-0.190596706588815</v>
      </c>
    </row>
    <row r="291" customFormat="false" ht="15" hidden="false" customHeight="false" outlineLevel="0" collapsed="false">
      <c r="A291" s="15" t="s">
        <v>348</v>
      </c>
      <c r="B291" s="16" t="n">
        <v>44913</v>
      </c>
      <c r="C291" s="15" t="s">
        <v>71</v>
      </c>
      <c r="D291" s="15" t="s">
        <v>43</v>
      </c>
      <c r="E291" s="15" t="s">
        <v>37</v>
      </c>
      <c r="F291" s="15" t="s">
        <v>17</v>
      </c>
      <c r="G291" s="15" t="s">
        <v>31</v>
      </c>
      <c r="H291" s="15" t="n">
        <v>4</v>
      </c>
      <c r="I291" s="17" t="n">
        <v>0.15</v>
      </c>
      <c r="J291" s="18" t="n">
        <v>430.24</v>
      </c>
      <c r="K291" s="19" t="n">
        <v>-6.29</v>
      </c>
      <c r="L291" s="15" t="n">
        <f aca="false">YEAR(B291)</f>
        <v>2022</v>
      </c>
      <c r="M291" s="20" t="n">
        <f aca="false">IF(J291&gt;0,K291/J291,0)</f>
        <v>-0.0146197471178877</v>
      </c>
    </row>
    <row r="292" customFormat="false" ht="15" hidden="false" customHeight="false" outlineLevel="0" collapsed="false">
      <c r="A292" s="15" t="s">
        <v>349</v>
      </c>
      <c r="B292" s="16" t="n">
        <v>45804</v>
      </c>
      <c r="C292" s="15" t="s">
        <v>68</v>
      </c>
      <c r="D292" s="15" t="s">
        <v>42</v>
      </c>
      <c r="E292" s="15" t="s">
        <v>36</v>
      </c>
      <c r="F292" s="15" t="s">
        <v>17</v>
      </c>
      <c r="G292" s="15" t="s">
        <v>29</v>
      </c>
      <c r="H292" s="15" t="n">
        <v>2</v>
      </c>
      <c r="I292" s="17" t="n">
        <v>0.1</v>
      </c>
      <c r="J292" s="18" t="n">
        <v>30.43</v>
      </c>
      <c r="K292" s="19" t="n">
        <v>11.81</v>
      </c>
      <c r="L292" s="15" t="n">
        <f aca="false">YEAR(B292)</f>
        <v>2025</v>
      </c>
      <c r="M292" s="20" t="n">
        <f aca="false">IF(J292&gt;0,K292/J292,0)</f>
        <v>0.388103844889911</v>
      </c>
    </row>
    <row r="293" customFormat="false" ht="15" hidden="false" customHeight="false" outlineLevel="0" collapsed="false">
      <c r="A293" s="15" t="s">
        <v>350</v>
      </c>
      <c r="B293" s="16" t="n">
        <v>45904</v>
      </c>
      <c r="C293" s="15" t="s">
        <v>56</v>
      </c>
      <c r="D293" s="15" t="s">
        <v>43</v>
      </c>
      <c r="E293" s="15" t="s">
        <v>37</v>
      </c>
      <c r="F293" s="15" t="s">
        <v>17</v>
      </c>
      <c r="G293" s="15" t="s">
        <v>29</v>
      </c>
      <c r="H293" s="15" t="n">
        <v>6</v>
      </c>
      <c r="I293" s="17" t="n">
        <v>0.2</v>
      </c>
      <c r="J293" s="18" t="n">
        <v>76.98</v>
      </c>
      <c r="K293" s="19" t="n">
        <v>14.86</v>
      </c>
      <c r="L293" s="15" t="n">
        <f aca="false">YEAR(B293)</f>
        <v>2025</v>
      </c>
      <c r="M293" s="20" t="n">
        <f aca="false">IF(J293&gt;0,K293/J293,0)</f>
        <v>0.193037152507145</v>
      </c>
    </row>
    <row r="294" customFormat="false" ht="15" hidden="false" customHeight="false" outlineLevel="0" collapsed="false">
      <c r="A294" s="15" t="s">
        <v>351</v>
      </c>
      <c r="B294" s="16" t="n">
        <v>45690</v>
      </c>
      <c r="C294" s="15" t="s">
        <v>71</v>
      </c>
      <c r="D294" s="15" t="s">
        <v>42</v>
      </c>
      <c r="E294" s="15" t="s">
        <v>36</v>
      </c>
      <c r="F294" s="15" t="s">
        <v>17</v>
      </c>
      <c r="G294" s="15" t="s">
        <v>29</v>
      </c>
      <c r="H294" s="15" t="n">
        <v>2</v>
      </c>
      <c r="I294" s="17" t="n">
        <v>0.05</v>
      </c>
      <c r="J294" s="18" t="n">
        <v>33.2</v>
      </c>
      <c r="K294" s="19" t="n">
        <v>11.46</v>
      </c>
      <c r="L294" s="15" t="n">
        <f aca="false">YEAR(B294)</f>
        <v>2025</v>
      </c>
      <c r="M294" s="20" t="n">
        <f aca="false">IF(J294&gt;0,K294/J294,0)</f>
        <v>0.345180722891566</v>
      </c>
    </row>
    <row r="295" customFormat="false" ht="15" hidden="false" customHeight="false" outlineLevel="0" collapsed="false">
      <c r="A295" s="15" t="s">
        <v>352</v>
      </c>
      <c r="B295" s="16" t="n">
        <v>45272</v>
      </c>
      <c r="C295" s="15" t="s">
        <v>71</v>
      </c>
      <c r="D295" s="15" t="s">
        <v>44</v>
      </c>
      <c r="E295" s="15" t="s">
        <v>38</v>
      </c>
      <c r="F295" s="15" t="s">
        <v>17</v>
      </c>
      <c r="G295" s="15" t="s">
        <v>28</v>
      </c>
      <c r="H295" s="15" t="n">
        <v>4</v>
      </c>
      <c r="I295" s="17" t="n">
        <v>0.2</v>
      </c>
      <c r="J295" s="18" t="n">
        <v>67.12</v>
      </c>
      <c r="K295" s="19" t="n">
        <v>3.69</v>
      </c>
      <c r="L295" s="15" t="n">
        <f aca="false">YEAR(B295)</f>
        <v>2023</v>
      </c>
      <c r="M295" s="20" t="n">
        <f aca="false">IF(J295&gt;0,K295/J295,0)</f>
        <v>0.0549761620977354</v>
      </c>
    </row>
    <row r="296" customFormat="false" ht="15" hidden="false" customHeight="false" outlineLevel="0" collapsed="false">
      <c r="A296" s="15" t="s">
        <v>353</v>
      </c>
      <c r="B296" s="16" t="n">
        <v>44600</v>
      </c>
      <c r="C296" s="15" t="s">
        <v>71</v>
      </c>
      <c r="D296" s="15" t="s">
        <v>42</v>
      </c>
      <c r="E296" s="15" t="s">
        <v>39</v>
      </c>
      <c r="F296" s="15" t="s">
        <v>17</v>
      </c>
      <c r="G296" s="15" t="s">
        <v>29</v>
      </c>
      <c r="H296" s="15" t="n">
        <v>2</v>
      </c>
      <c r="I296" s="17" t="n">
        <v>0</v>
      </c>
      <c r="J296" s="18" t="n">
        <v>39.28</v>
      </c>
      <c r="K296" s="19" t="n">
        <v>16.08</v>
      </c>
      <c r="L296" s="15" t="n">
        <f aca="false">YEAR(B296)</f>
        <v>2022</v>
      </c>
      <c r="M296" s="20" t="n">
        <f aca="false">IF(J296&gt;0,K296/J296,0)</f>
        <v>0.409368635437882</v>
      </c>
    </row>
    <row r="297" customFormat="false" ht="15" hidden="false" customHeight="false" outlineLevel="0" collapsed="false">
      <c r="A297" s="15" t="s">
        <v>354</v>
      </c>
      <c r="B297" s="16" t="n">
        <v>44950</v>
      </c>
      <c r="C297" s="15" t="s">
        <v>56</v>
      </c>
      <c r="D297" s="15" t="s">
        <v>42</v>
      </c>
      <c r="E297" s="15" t="s">
        <v>36</v>
      </c>
      <c r="F297" s="15" t="s">
        <v>17</v>
      </c>
      <c r="G297" s="15" t="s">
        <v>31</v>
      </c>
      <c r="H297" s="15" t="n">
        <v>4</v>
      </c>
      <c r="I297" s="17" t="n">
        <v>0.1</v>
      </c>
      <c r="J297" s="18" t="n">
        <v>425.43</v>
      </c>
      <c r="K297" s="19" t="n">
        <v>60.54</v>
      </c>
      <c r="L297" s="15" t="n">
        <f aca="false">YEAR(B297)</f>
        <v>2023</v>
      </c>
      <c r="M297" s="20" t="n">
        <f aca="false">IF(J297&gt;0,K297/J297,0)</f>
        <v>0.14230308158804</v>
      </c>
    </row>
    <row r="298" customFormat="false" ht="15" hidden="false" customHeight="false" outlineLevel="0" collapsed="false">
      <c r="A298" s="15" t="s">
        <v>355</v>
      </c>
      <c r="B298" s="16" t="n">
        <v>45925</v>
      </c>
      <c r="C298" s="15" t="s">
        <v>56</v>
      </c>
      <c r="D298" s="15" t="s">
        <v>44</v>
      </c>
      <c r="E298" s="15" t="s">
        <v>39</v>
      </c>
      <c r="F298" s="15" t="s">
        <v>16</v>
      </c>
      <c r="G298" s="15" t="s">
        <v>25</v>
      </c>
      <c r="H298" s="15" t="n">
        <v>3</v>
      </c>
      <c r="I298" s="17" t="n">
        <v>0</v>
      </c>
      <c r="J298" s="18" t="n">
        <v>1030.35</v>
      </c>
      <c r="K298" s="19" t="n">
        <v>170.06</v>
      </c>
      <c r="L298" s="15" t="n">
        <f aca="false">YEAR(B298)</f>
        <v>2025</v>
      </c>
      <c r="M298" s="20" t="n">
        <f aca="false">IF(J298&gt;0,K298/J298,0)</f>
        <v>0.165050710923473</v>
      </c>
    </row>
    <row r="299" customFormat="false" ht="15" hidden="false" customHeight="false" outlineLevel="0" collapsed="false">
      <c r="A299" s="15" t="s">
        <v>356</v>
      </c>
      <c r="B299" s="16" t="n">
        <v>45601</v>
      </c>
      <c r="C299" s="15" t="s">
        <v>71</v>
      </c>
      <c r="D299" s="15" t="s">
        <v>42</v>
      </c>
      <c r="E299" s="15" t="s">
        <v>39</v>
      </c>
      <c r="F299" s="15" t="s">
        <v>18</v>
      </c>
      <c r="G299" s="15" t="s">
        <v>33</v>
      </c>
      <c r="H299" s="15" t="n">
        <v>3</v>
      </c>
      <c r="I299" s="17" t="n">
        <v>0</v>
      </c>
      <c r="J299" s="18" t="n">
        <v>3847.07</v>
      </c>
      <c r="K299" s="19" t="n">
        <v>1091.84</v>
      </c>
      <c r="L299" s="15" t="n">
        <f aca="false">YEAR(B299)</f>
        <v>2024</v>
      </c>
      <c r="M299" s="20" t="n">
        <f aca="false">IF(J299&gt;0,K299/J299,0)</f>
        <v>0.283810796268329</v>
      </c>
    </row>
    <row r="300" customFormat="false" ht="15" hidden="false" customHeight="false" outlineLevel="0" collapsed="false">
      <c r="A300" s="15" t="s">
        <v>357</v>
      </c>
      <c r="B300" s="16" t="n">
        <v>44878</v>
      </c>
      <c r="C300" s="15" t="s">
        <v>56</v>
      </c>
      <c r="D300" s="15" t="s">
        <v>42</v>
      </c>
      <c r="E300" s="15" t="s">
        <v>38</v>
      </c>
      <c r="F300" s="15" t="s">
        <v>17</v>
      </c>
      <c r="G300" s="15" t="s">
        <v>29</v>
      </c>
      <c r="H300" s="15" t="n">
        <v>5</v>
      </c>
      <c r="I300" s="17" t="n">
        <v>0.2</v>
      </c>
      <c r="J300" s="18" t="n">
        <v>55.92</v>
      </c>
      <c r="K300" s="19" t="n">
        <v>8.84</v>
      </c>
      <c r="L300" s="15" t="n">
        <f aca="false">YEAR(B300)</f>
        <v>2022</v>
      </c>
      <c r="M300" s="20" t="n">
        <f aca="false">IF(J300&gt;0,K300/J300,0)</f>
        <v>0.158082975679542</v>
      </c>
    </row>
    <row r="301" customFormat="false" ht="15" hidden="false" customHeight="false" outlineLevel="0" collapsed="false">
      <c r="A301" s="15" t="s">
        <v>358</v>
      </c>
      <c r="B301" s="16" t="n">
        <v>45275</v>
      </c>
      <c r="C301" s="15" t="s">
        <v>56</v>
      </c>
      <c r="D301" s="15" t="s">
        <v>44</v>
      </c>
      <c r="E301" s="15" t="s">
        <v>36</v>
      </c>
      <c r="F301" s="15" t="s">
        <v>18</v>
      </c>
      <c r="G301" s="15" t="s">
        <v>30</v>
      </c>
      <c r="H301" s="15" t="n">
        <v>2</v>
      </c>
      <c r="I301" s="17" t="n">
        <v>0</v>
      </c>
      <c r="J301" s="18" t="n">
        <v>67.33</v>
      </c>
      <c r="K301" s="19" t="n">
        <v>18.92</v>
      </c>
      <c r="L301" s="15" t="n">
        <f aca="false">YEAR(B301)</f>
        <v>2023</v>
      </c>
      <c r="M301" s="20" t="n">
        <f aca="false">IF(J301&gt;0,K301/J301,0)</f>
        <v>0.28100401009951</v>
      </c>
    </row>
    <row r="302" customFormat="false" ht="15" hidden="false" customHeight="false" outlineLevel="0" collapsed="false">
      <c r="A302" s="15" t="s">
        <v>359</v>
      </c>
      <c r="B302" s="16" t="n">
        <v>44691</v>
      </c>
      <c r="C302" s="15" t="s">
        <v>56</v>
      </c>
      <c r="D302" s="15" t="s">
        <v>44</v>
      </c>
      <c r="E302" s="15" t="s">
        <v>36</v>
      </c>
      <c r="F302" s="15" t="s">
        <v>16</v>
      </c>
      <c r="G302" s="15" t="s">
        <v>22</v>
      </c>
      <c r="H302" s="15" t="n">
        <v>3</v>
      </c>
      <c r="I302" s="17" t="n">
        <v>0</v>
      </c>
      <c r="J302" s="18" t="n">
        <v>1384.75</v>
      </c>
      <c r="K302" s="19" t="n">
        <v>-64.15</v>
      </c>
      <c r="L302" s="15" t="n">
        <f aca="false">YEAR(B302)</f>
        <v>2022</v>
      </c>
      <c r="M302" s="20" t="n">
        <f aca="false">IF(J302&gt;0,K302/J302,0)</f>
        <v>-0.0463260516338689</v>
      </c>
    </row>
    <row r="303" customFormat="false" ht="15" hidden="false" customHeight="false" outlineLevel="0" collapsed="false">
      <c r="A303" s="15" t="s">
        <v>360</v>
      </c>
      <c r="B303" s="16" t="n">
        <v>45999</v>
      </c>
      <c r="C303" s="15" t="s">
        <v>56</v>
      </c>
      <c r="D303" s="15" t="s">
        <v>43</v>
      </c>
      <c r="E303" s="15" t="s">
        <v>36</v>
      </c>
      <c r="F303" s="15" t="s">
        <v>17</v>
      </c>
      <c r="G303" s="15" t="s">
        <v>29</v>
      </c>
      <c r="H303" s="15" t="n">
        <v>3</v>
      </c>
      <c r="I303" s="17" t="n">
        <v>0.1</v>
      </c>
      <c r="J303" s="18" t="n">
        <v>43.77</v>
      </c>
      <c r="K303" s="19" t="n">
        <v>11.86</v>
      </c>
      <c r="L303" s="15" t="n">
        <f aca="false">YEAR(B303)</f>
        <v>2025</v>
      </c>
      <c r="M303" s="20" t="n">
        <f aca="false">IF(J303&gt;0,K303/J303,0)</f>
        <v>0.270961846013251</v>
      </c>
    </row>
    <row r="304" customFormat="false" ht="15" hidden="false" customHeight="false" outlineLevel="0" collapsed="false">
      <c r="A304" s="15" t="s">
        <v>361</v>
      </c>
      <c r="B304" s="16" t="n">
        <v>44786</v>
      </c>
      <c r="C304" s="15" t="s">
        <v>68</v>
      </c>
      <c r="D304" s="15" t="s">
        <v>42</v>
      </c>
      <c r="E304" s="15" t="s">
        <v>37</v>
      </c>
      <c r="F304" s="15" t="s">
        <v>17</v>
      </c>
      <c r="G304" s="15" t="s">
        <v>28</v>
      </c>
      <c r="H304" s="15" t="n">
        <v>4</v>
      </c>
      <c r="I304" s="17" t="n">
        <v>0.2</v>
      </c>
      <c r="J304" s="18" t="n">
        <v>85.02</v>
      </c>
      <c r="K304" s="19" t="n">
        <v>11.44</v>
      </c>
      <c r="L304" s="15" t="n">
        <f aca="false">YEAR(B304)</f>
        <v>2022</v>
      </c>
      <c r="M304" s="20" t="n">
        <f aca="false">IF(J304&gt;0,K304/J304,0)</f>
        <v>0.134556574923547</v>
      </c>
    </row>
    <row r="305" customFormat="false" ht="15" hidden="false" customHeight="false" outlineLevel="0" collapsed="false">
      <c r="A305" s="15" t="s">
        <v>362</v>
      </c>
      <c r="B305" s="16" t="n">
        <v>45728</v>
      </c>
      <c r="C305" s="15" t="s">
        <v>68</v>
      </c>
      <c r="D305" s="15" t="s">
        <v>44</v>
      </c>
      <c r="E305" s="15" t="s">
        <v>36</v>
      </c>
      <c r="F305" s="15" t="s">
        <v>17</v>
      </c>
      <c r="G305" s="15" t="s">
        <v>28</v>
      </c>
      <c r="H305" s="15" t="n">
        <v>7</v>
      </c>
      <c r="I305" s="17" t="n">
        <v>0.2</v>
      </c>
      <c r="J305" s="18" t="n">
        <v>123.02</v>
      </c>
      <c r="K305" s="19" t="n">
        <v>9.31</v>
      </c>
      <c r="L305" s="15" t="n">
        <f aca="false">YEAR(B305)</f>
        <v>2025</v>
      </c>
      <c r="M305" s="20" t="n">
        <f aca="false">IF(J305&gt;0,K305/J305,0)</f>
        <v>0.0756787514225329</v>
      </c>
    </row>
    <row r="306" customFormat="false" ht="15" hidden="false" customHeight="false" outlineLevel="0" collapsed="false">
      <c r="A306" s="15" t="s">
        <v>363</v>
      </c>
      <c r="B306" s="16" t="n">
        <v>45101</v>
      </c>
      <c r="C306" s="15" t="s">
        <v>71</v>
      </c>
      <c r="D306" s="15" t="s">
        <v>44</v>
      </c>
      <c r="E306" s="15" t="s">
        <v>36</v>
      </c>
      <c r="F306" s="15" t="s">
        <v>17</v>
      </c>
      <c r="G306" s="15" t="s">
        <v>29</v>
      </c>
      <c r="H306" s="15" t="n">
        <v>2</v>
      </c>
      <c r="I306" s="17" t="n">
        <v>0.2</v>
      </c>
      <c r="J306" s="18" t="n">
        <v>31.93</v>
      </c>
      <c r="K306" s="19" t="n">
        <v>4.42</v>
      </c>
      <c r="L306" s="15" t="n">
        <f aca="false">YEAR(B306)</f>
        <v>2023</v>
      </c>
      <c r="M306" s="20" t="n">
        <f aca="false">IF(J306&gt;0,K306/J306,0)</f>
        <v>0.138427810836204</v>
      </c>
    </row>
    <row r="307" customFormat="false" ht="15" hidden="false" customHeight="false" outlineLevel="0" collapsed="false">
      <c r="A307" s="15" t="s">
        <v>364</v>
      </c>
      <c r="B307" s="16" t="n">
        <v>45404</v>
      </c>
      <c r="C307" s="15" t="s">
        <v>56</v>
      </c>
      <c r="D307" s="15" t="s">
        <v>42</v>
      </c>
      <c r="E307" s="15" t="s">
        <v>39</v>
      </c>
      <c r="F307" s="15" t="s">
        <v>17</v>
      </c>
      <c r="G307" s="15" t="s">
        <v>31</v>
      </c>
      <c r="H307" s="15" t="n">
        <v>3</v>
      </c>
      <c r="I307" s="17" t="n">
        <v>0</v>
      </c>
      <c r="J307" s="18" t="n">
        <v>359.63</v>
      </c>
      <c r="K307" s="19" t="n">
        <v>80.64</v>
      </c>
      <c r="L307" s="15" t="n">
        <f aca="false">YEAR(B307)</f>
        <v>2024</v>
      </c>
      <c r="M307" s="20" t="n">
        <f aca="false">IF(J307&gt;0,K307/J307,0)</f>
        <v>0.224230459082946</v>
      </c>
    </row>
    <row r="308" customFormat="false" ht="15" hidden="false" customHeight="false" outlineLevel="0" collapsed="false">
      <c r="A308" s="15" t="s">
        <v>365</v>
      </c>
      <c r="B308" s="16" t="n">
        <v>45139</v>
      </c>
      <c r="C308" s="15" t="s">
        <v>71</v>
      </c>
      <c r="D308" s="15" t="s">
        <v>42</v>
      </c>
      <c r="E308" s="15" t="s">
        <v>38</v>
      </c>
      <c r="F308" s="15" t="s">
        <v>17</v>
      </c>
      <c r="G308" s="15" t="s">
        <v>26</v>
      </c>
      <c r="H308" s="15" t="n">
        <v>6</v>
      </c>
      <c r="I308" s="17" t="n">
        <v>0.1</v>
      </c>
      <c r="J308" s="18" t="n">
        <v>406.98</v>
      </c>
      <c r="K308" s="19" t="n">
        <v>17.39</v>
      </c>
      <c r="L308" s="15" t="n">
        <f aca="false">YEAR(B308)</f>
        <v>2023</v>
      </c>
      <c r="M308" s="20" t="n">
        <f aca="false">IF(J308&gt;0,K308/J308,0)</f>
        <v>0.0427293724507347</v>
      </c>
    </row>
    <row r="309" customFormat="false" ht="15" hidden="false" customHeight="false" outlineLevel="0" collapsed="false">
      <c r="A309" s="15" t="s">
        <v>366</v>
      </c>
      <c r="B309" s="16" t="n">
        <v>45930</v>
      </c>
      <c r="C309" s="15" t="s">
        <v>71</v>
      </c>
      <c r="D309" s="15" t="s">
        <v>43</v>
      </c>
      <c r="E309" s="15" t="s">
        <v>38</v>
      </c>
      <c r="F309" s="15" t="s">
        <v>18</v>
      </c>
      <c r="G309" s="15" t="s">
        <v>30</v>
      </c>
      <c r="H309" s="15" t="n">
        <v>4</v>
      </c>
      <c r="I309" s="17" t="n">
        <v>0</v>
      </c>
      <c r="J309" s="18" t="n">
        <v>155.7</v>
      </c>
      <c r="K309" s="19" t="n">
        <v>52.13</v>
      </c>
      <c r="L309" s="15" t="n">
        <f aca="false">YEAR(B309)</f>
        <v>2025</v>
      </c>
      <c r="M309" s="20" t="n">
        <f aca="false">IF(J309&gt;0,K309/J309,0)</f>
        <v>0.334810533076429</v>
      </c>
    </row>
    <row r="310" customFormat="false" ht="15" hidden="false" customHeight="false" outlineLevel="0" collapsed="false">
      <c r="A310" s="15" t="s">
        <v>367</v>
      </c>
      <c r="B310" s="16" t="n">
        <v>45746</v>
      </c>
      <c r="C310" s="15" t="s">
        <v>56</v>
      </c>
      <c r="D310" s="15" t="s">
        <v>42</v>
      </c>
      <c r="E310" s="15" t="s">
        <v>38</v>
      </c>
      <c r="F310" s="15" t="s">
        <v>17</v>
      </c>
      <c r="G310" s="15" t="s">
        <v>31</v>
      </c>
      <c r="H310" s="15" t="n">
        <v>3</v>
      </c>
      <c r="I310" s="17" t="n">
        <v>0.2</v>
      </c>
      <c r="J310" s="18" t="n">
        <v>296.44</v>
      </c>
      <c r="K310" s="19" t="n">
        <v>30.56</v>
      </c>
      <c r="L310" s="15" t="n">
        <f aca="false">YEAR(B310)</f>
        <v>2025</v>
      </c>
      <c r="M310" s="20" t="n">
        <f aca="false">IF(J310&gt;0,K310/J310,0)</f>
        <v>0.103090001349346</v>
      </c>
    </row>
    <row r="311" customFormat="false" ht="15" hidden="false" customHeight="false" outlineLevel="0" collapsed="false">
      <c r="A311" s="15" t="s">
        <v>368</v>
      </c>
      <c r="B311" s="16" t="n">
        <v>45621</v>
      </c>
      <c r="C311" s="15" t="s">
        <v>56</v>
      </c>
      <c r="D311" s="15" t="s">
        <v>42</v>
      </c>
      <c r="E311" s="15" t="s">
        <v>37</v>
      </c>
      <c r="F311" s="15" t="s">
        <v>17</v>
      </c>
      <c r="G311" s="15" t="s">
        <v>26</v>
      </c>
      <c r="H311" s="15" t="n">
        <v>2</v>
      </c>
      <c r="I311" s="17" t="n">
        <v>0.1</v>
      </c>
      <c r="J311" s="18" t="n">
        <v>131.89</v>
      </c>
      <c r="K311" s="19" t="n">
        <v>8.94</v>
      </c>
      <c r="L311" s="15" t="n">
        <f aca="false">YEAR(B311)</f>
        <v>2024</v>
      </c>
      <c r="M311" s="20" t="n">
        <f aca="false">IF(J311&gt;0,K311/J311,0)</f>
        <v>0.0677837591932671</v>
      </c>
    </row>
    <row r="312" customFormat="false" ht="15" hidden="false" customHeight="false" outlineLevel="0" collapsed="false">
      <c r="A312" s="15" t="s">
        <v>369</v>
      </c>
      <c r="B312" s="16" t="n">
        <v>45816</v>
      </c>
      <c r="C312" s="15" t="s">
        <v>71</v>
      </c>
      <c r="D312" s="15" t="s">
        <v>43</v>
      </c>
      <c r="E312" s="15" t="s">
        <v>38</v>
      </c>
      <c r="F312" s="15" t="s">
        <v>17</v>
      </c>
      <c r="G312" s="15" t="s">
        <v>29</v>
      </c>
      <c r="H312" s="15" t="n">
        <v>3</v>
      </c>
      <c r="I312" s="17" t="n">
        <v>0.3</v>
      </c>
      <c r="J312" s="18" t="n">
        <v>34.16</v>
      </c>
      <c r="K312" s="19" t="n">
        <v>3.32</v>
      </c>
      <c r="L312" s="15" t="n">
        <f aca="false">YEAR(B312)</f>
        <v>2025</v>
      </c>
      <c r="M312" s="20" t="n">
        <f aca="false">IF(J312&gt;0,K312/J312,0)</f>
        <v>0.0971896955503513</v>
      </c>
    </row>
    <row r="313" customFormat="false" ht="15" hidden="false" customHeight="false" outlineLevel="0" collapsed="false">
      <c r="A313" s="15" t="s">
        <v>370</v>
      </c>
      <c r="B313" s="16" t="n">
        <v>45017</v>
      </c>
      <c r="C313" s="15" t="s">
        <v>68</v>
      </c>
      <c r="D313" s="15" t="s">
        <v>42</v>
      </c>
      <c r="E313" s="15" t="s">
        <v>39</v>
      </c>
      <c r="F313" s="15" t="s">
        <v>17</v>
      </c>
      <c r="G313" s="15" t="s">
        <v>28</v>
      </c>
      <c r="H313" s="15" t="n">
        <v>7</v>
      </c>
      <c r="I313" s="17" t="n">
        <v>0</v>
      </c>
      <c r="J313" s="18" t="n">
        <v>180.36</v>
      </c>
      <c r="K313" s="19" t="n">
        <v>62.62</v>
      </c>
      <c r="L313" s="15" t="n">
        <f aca="false">YEAR(B313)</f>
        <v>2023</v>
      </c>
      <c r="M313" s="20" t="n">
        <f aca="false">IF(J313&gt;0,K313/J313,0)</f>
        <v>0.347194499889111</v>
      </c>
    </row>
    <row r="314" customFormat="false" ht="15" hidden="false" customHeight="false" outlineLevel="0" collapsed="false">
      <c r="A314" s="15" t="s">
        <v>371</v>
      </c>
      <c r="B314" s="16" t="n">
        <v>44983</v>
      </c>
      <c r="C314" s="15" t="s">
        <v>68</v>
      </c>
      <c r="D314" s="15" t="s">
        <v>44</v>
      </c>
      <c r="E314" s="15" t="s">
        <v>39</v>
      </c>
      <c r="F314" s="15" t="s">
        <v>17</v>
      </c>
      <c r="G314" s="15" t="s">
        <v>29</v>
      </c>
      <c r="H314" s="15" t="n">
        <v>2</v>
      </c>
      <c r="I314" s="17" t="n">
        <v>0</v>
      </c>
      <c r="J314" s="18" t="n">
        <v>38</v>
      </c>
      <c r="K314" s="19" t="n">
        <v>17</v>
      </c>
      <c r="L314" s="15" t="n">
        <f aca="false">YEAR(B314)</f>
        <v>2023</v>
      </c>
      <c r="M314" s="20" t="n">
        <f aca="false">IF(J314&gt;0,K314/J314,0)</f>
        <v>0.447368421052632</v>
      </c>
    </row>
    <row r="315" customFormat="false" ht="15" hidden="false" customHeight="false" outlineLevel="0" collapsed="false">
      <c r="A315" s="15" t="s">
        <v>372</v>
      </c>
      <c r="B315" s="16" t="n">
        <v>45637</v>
      </c>
      <c r="C315" s="15" t="s">
        <v>56</v>
      </c>
      <c r="D315" s="15" t="s">
        <v>43</v>
      </c>
      <c r="E315" s="15" t="s">
        <v>38</v>
      </c>
      <c r="F315" s="15" t="s">
        <v>17</v>
      </c>
      <c r="G315" s="15" t="s">
        <v>31</v>
      </c>
      <c r="H315" s="15" t="n">
        <v>3</v>
      </c>
      <c r="I315" s="17" t="n">
        <v>0</v>
      </c>
      <c r="J315" s="18" t="n">
        <v>393.81</v>
      </c>
      <c r="K315" s="19" t="n">
        <v>79.52</v>
      </c>
      <c r="L315" s="15" t="n">
        <f aca="false">YEAR(B315)</f>
        <v>2024</v>
      </c>
      <c r="M315" s="20" t="n">
        <f aca="false">IF(J315&gt;0,K315/J315,0)</f>
        <v>0.201924786064346</v>
      </c>
    </row>
    <row r="316" customFormat="false" ht="15" hidden="false" customHeight="false" outlineLevel="0" collapsed="false">
      <c r="A316" s="15" t="s">
        <v>373</v>
      </c>
      <c r="B316" s="16" t="n">
        <v>45242</v>
      </c>
      <c r="C316" s="15" t="s">
        <v>68</v>
      </c>
      <c r="D316" s="15" t="s">
        <v>42</v>
      </c>
      <c r="E316" s="15" t="s">
        <v>39</v>
      </c>
      <c r="F316" s="15" t="s">
        <v>17</v>
      </c>
      <c r="G316" s="15" t="s">
        <v>28</v>
      </c>
      <c r="H316" s="15" t="n">
        <v>6</v>
      </c>
      <c r="I316" s="17" t="n">
        <v>0.1</v>
      </c>
      <c r="J316" s="18" t="n">
        <v>131.15</v>
      </c>
      <c r="K316" s="19" t="n">
        <v>34.14</v>
      </c>
      <c r="L316" s="15" t="n">
        <f aca="false">YEAR(B316)</f>
        <v>2023</v>
      </c>
      <c r="M316" s="20" t="n">
        <f aca="false">IF(J316&gt;0,K316/J316,0)</f>
        <v>0.260312619138391</v>
      </c>
    </row>
    <row r="317" customFormat="false" ht="15" hidden="false" customHeight="false" outlineLevel="0" collapsed="false">
      <c r="A317" s="15" t="s">
        <v>374</v>
      </c>
      <c r="B317" s="16" t="n">
        <v>46015</v>
      </c>
      <c r="C317" s="15" t="s">
        <v>71</v>
      </c>
      <c r="D317" s="15" t="s">
        <v>42</v>
      </c>
      <c r="E317" s="15" t="s">
        <v>39</v>
      </c>
      <c r="F317" s="15" t="s">
        <v>17</v>
      </c>
      <c r="G317" s="15" t="s">
        <v>31</v>
      </c>
      <c r="H317" s="15" t="n">
        <v>3</v>
      </c>
      <c r="I317" s="17" t="n">
        <v>0.5</v>
      </c>
      <c r="J317" s="18" t="n">
        <v>228.94</v>
      </c>
      <c r="K317" s="19" t="n">
        <v>-52.14</v>
      </c>
      <c r="L317" s="15" t="n">
        <f aca="false">YEAR(B317)</f>
        <v>2025</v>
      </c>
      <c r="M317" s="20" t="n">
        <f aca="false">IF(J317&gt;0,K317/J317,0)</f>
        <v>-0.227745260767013</v>
      </c>
    </row>
    <row r="318" customFormat="false" ht="15" hidden="false" customHeight="false" outlineLevel="0" collapsed="false">
      <c r="A318" s="15" t="s">
        <v>375</v>
      </c>
      <c r="B318" s="16" t="n">
        <v>45229</v>
      </c>
      <c r="C318" s="15" t="s">
        <v>56</v>
      </c>
      <c r="D318" s="15" t="s">
        <v>42</v>
      </c>
      <c r="E318" s="15" t="s">
        <v>36</v>
      </c>
      <c r="F318" s="15" t="s">
        <v>17</v>
      </c>
      <c r="G318" s="15" t="s">
        <v>29</v>
      </c>
      <c r="H318" s="15" t="n">
        <v>4</v>
      </c>
      <c r="I318" s="17" t="n">
        <v>0</v>
      </c>
      <c r="J318" s="18" t="n">
        <v>69</v>
      </c>
      <c r="K318" s="19" t="n">
        <v>24.86</v>
      </c>
      <c r="L318" s="15" t="n">
        <f aca="false">YEAR(B318)</f>
        <v>2023</v>
      </c>
      <c r="M318" s="20" t="n">
        <f aca="false">IF(J318&gt;0,K318/J318,0)</f>
        <v>0.360289855072464</v>
      </c>
    </row>
    <row r="319" customFormat="false" ht="15" hidden="false" customHeight="false" outlineLevel="0" collapsed="false">
      <c r="A319" s="15" t="s">
        <v>376</v>
      </c>
      <c r="B319" s="16" t="n">
        <v>45555</v>
      </c>
      <c r="C319" s="15" t="s">
        <v>56</v>
      </c>
      <c r="D319" s="15" t="s">
        <v>42</v>
      </c>
      <c r="E319" s="15" t="s">
        <v>37</v>
      </c>
      <c r="F319" s="15" t="s">
        <v>17</v>
      </c>
      <c r="G319" s="15" t="s">
        <v>28</v>
      </c>
      <c r="H319" s="15" t="n">
        <v>7</v>
      </c>
      <c r="I319" s="17" t="n">
        <v>0.05</v>
      </c>
      <c r="J319" s="18" t="n">
        <v>170.65</v>
      </c>
      <c r="K319" s="19" t="n">
        <v>40.32</v>
      </c>
      <c r="L319" s="15" t="n">
        <f aca="false">YEAR(B319)</f>
        <v>2024</v>
      </c>
      <c r="M319" s="20" t="n">
        <f aca="false">IF(J319&gt;0,K319/J319,0)</f>
        <v>0.236273073542338</v>
      </c>
    </row>
    <row r="320" customFormat="false" ht="15" hidden="false" customHeight="false" outlineLevel="0" collapsed="false">
      <c r="A320" s="15" t="s">
        <v>377</v>
      </c>
      <c r="B320" s="16" t="n">
        <v>45748</v>
      </c>
      <c r="C320" s="15" t="s">
        <v>68</v>
      </c>
      <c r="D320" s="15" t="s">
        <v>44</v>
      </c>
      <c r="E320" s="15" t="s">
        <v>36</v>
      </c>
      <c r="F320" s="15" t="s">
        <v>17</v>
      </c>
      <c r="G320" s="15" t="s">
        <v>31</v>
      </c>
      <c r="H320" s="15" t="n">
        <v>2</v>
      </c>
      <c r="I320" s="17" t="n">
        <v>0</v>
      </c>
      <c r="J320" s="18" t="n">
        <v>260.33</v>
      </c>
      <c r="K320" s="19" t="n">
        <v>55.46</v>
      </c>
      <c r="L320" s="15" t="n">
        <f aca="false">YEAR(B320)</f>
        <v>2025</v>
      </c>
      <c r="M320" s="20" t="n">
        <f aca="false">IF(J320&gt;0,K320/J320,0)</f>
        <v>0.213037298813045</v>
      </c>
    </row>
    <row r="321" customFormat="false" ht="15" hidden="false" customHeight="false" outlineLevel="0" collapsed="false">
      <c r="A321" s="15" t="s">
        <v>378</v>
      </c>
      <c r="B321" s="16" t="n">
        <v>45066</v>
      </c>
      <c r="C321" s="15" t="s">
        <v>56</v>
      </c>
      <c r="D321" s="15" t="s">
        <v>42</v>
      </c>
      <c r="E321" s="15" t="s">
        <v>39</v>
      </c>
      <c r="F321" s="15" t="s">
        <v>17</v>
      </c>
      <c r="G321" s="15" t="s">
        <v>31</v>
      </c>
      <c r="H321" s="15" t="n">
        <v>5</v>
      </c>
      <c r="I321" s="17" t="n">
        <v>0</v>
      </c>
      <c r="J321" s="18" t="n">
        <v>686.94</v>
      </c>
      <c r="K321" s="19" t="n">
        <v>101.56</v>
      </c>
      <c r="L321" s="15" t="n">
        <f aca="false">YEAR(B321)</f>
        <v>2023</v>
      </c>
      <c r="M321" s="20" t="n">
        <f aca="false">IF(J321&gt;0,K321/J321,0)</f>
        <v>0.147844062072379</v>
      </c>
    </row>
    <row r="322" customFormat="false" ht="15" hidden="false" customHeight="false" outlineLevel="0" collapsed="false">
      <c r="A322" s="15" t="s">
        <v>379</v>
      </c>
      <c r="B322" s="16" t="n">
        <v>44984</v>
      </c>
      <c r="C322" s="15" t="s">
        <v>56</v>
      </c>
      <c r="D322" s="15" t="s">
        <v>42</v>
      </c>
      <c r="E322" s="15" t="s">
        <v>39</v>
      </c>
      <c r="F322" s="15" t="s">
        <v>17</v>
      </c>
      <c r="G322" s="15" t="s">
        <v>28</v>
      </c>
      <c r="H322" s="15" t="n">
        <v>5</v>
      </c>
      <c r="I322" s="17" t="n">
        <v>0</v>
      </c>
      <c r="J322" s="18" t="n">
        <v>91.34</v>
      </c>
      <c r="K322" s="19" t="n">
        <v>32.8</v>
      </c>
      <c r="L322" s="15" t="n">
        <f aca="false">YEAR(B322)</f>
        <v>2023</v>
      </c>
      <c r="M322" s="20" t="n">
        <f aca="false">IF(J322&gt;0,K322/J322,0)</f>
        <v>0.35909787606744</v>
      </c>
    </row>
    <row r="323" customFormat="false" ht="15" hidden="false" customHeight="false" outlineLevel="0" collapsed="false">
      <c r="A323" s="15" t="s">
        <v>380</v>
      </c>
      <c r="B323" s="16" t="n">
        <v>44587</v>
      </c>
      <c r="C323" s="15" t="s">
        <v>56</v>
      </c>
      <c r="D323" s="15" t="s">
        <v>44</v>
      </c>
      <c r="E323" s="15" t="s">
        <v>37</v>
      </c>
      <c r="F323" s="15" t="s">
        <v>18</v>
      </c>
      <c r="G323" s="15" t="s">
        <v>30</v>
      </c>
      <c r="H323" s="15" t="n">
        <v>6</v>
      </c>
      <c r="I323" s="17" t="n">
        <v>0.2</v>
      </c>
      <c r="J323" s="18" t="n">
        <v>261.65</v>
      </c>
      <c r="K323" s="19" t="n">
        <v>44.06</v>
      </c>
      <c r="L323" s="15" t="n">
        <f aca="false">YEAR(B323)</f>
        <v>2022</v>
      </c>
      <c r="M323" s="20" t="n">
        <f aca="false">IF(J323&gt;0,K323/J323,0)</f>
        <v>0.16839289126696</v>
      </c>
    </row>
    <row r="324" customFormat="false" ht="15" hidden="false" customHeight="false" outlineLevel="0" collapsed="false">
      <c r="A324" s="15" t="s">
        <v>381</v>
      </c>
      <c r="B324" s="16" t="n">
        <v>45105</v>
      </c>
      <c r="C324" s="15" t="s">
        <v>56</v>
      </c>
      <c r="D324" s="15" t="s">
        <v>42</v>
      </c>
      <c r="E324" s="15" t="s">
        <v>37</v>
      </c>
      <c r="F324" s="15" t="s">
        <v>18</v>
      </c>
      <c r="G324" s="15" t="s">
        <v>30</v>
      </c>
      <c r="H324" s="15" t="n">
        <v>2</v>
      </c>
      <c r="I324" s="17" t="n">
        <v>0.1</v>
      </c>
      <c r="J324" s="18" t="n">
        <v>80.12</v>
      </c>
      <c r="K324" s="19" t="n">
        <v>13.81</v>
      </c>
      <c r="L324" s="15" t="n">
        <f aca="false">YEAR(B324)</f>
        <v>2023</v>
      </c>
      <c r="M324" s="20" t="n">
        <f aca="false">IF(J324&gt;0,K324/J324,0)</f>
        <v>0.172366450324513</v>
      </c>
    </row>
    <row r="325" customFormat="false" ht="15" hidden="false" customHeight="false" outlineLevel="0" collapsed="false">
      <c r="A325" s="15" t="s">
        <v>382</v>
      </c>
      <c r="B325" s="16" t="n">
        <v>45531</v>
      </c>
      <c r="C325" s="15" t="s">
        <v>56</v>
      </c>
      <c r="D325" s="15" t="s">
        <v>43</v>
      </c>
      <c r="E325" s="15" t="s">
        <v>36</v>
      </c>
      <c r="F325" s="15" t="s">
        <v>16</v>
      </c>
      <c r="G325" s="15" t="s">
        <v>23</v>
      </c>
      <c r="H325" s="15" t="n">
        <v>4</v>
      </c>
      <c r="I325" s="17" t="n">
        <v>0.4</v>
      </c>
      <c r="J325" s="18" t="n">
        <v>655.12</v>
      </c>
      <c r="K325" s="19" t="n">
        <v>-236.73</v>
      </c>
      <c r="L325" s="15" t="n">
        <f aca="false">YEAR(B325)</f>
        <v>2024</v>
      </c>
      <c r="M325" s="20" t="n">
        <f aca="false">IF(J325&gt;0,K325/J325,0)</f>
        <v>-0.361353645133716</v>
      </c>
    </row>
    <row r="326" customFormat="false" ht="15" hidden="false" customHeight="false" outlineLevel="0" collapsed="false">
      <c r="A326" s="15" t="s">
        <v>383</v>
      </c>
      <c r="B326" s="16" t="n">
        <v>45355</v>
      </c>
      <c r="C326" s="15" t="s">
        <v>56</v>
      </c>
      <c r="D326" s="15" t="s">
        <v>43</v>
      </c>
      <c r="E326" s="15" t="s">
        <v>39</v>
      </c>
      <c r="F326" s="15" t="s">
        <v>17</v>
      </c>
      <c r="G326" s="15" t="s">
        <v>28</v>
      </c>
      <c r="H326" s="15" t="n">
        <v>4</v>
      </c>
      <c r="I326" s="17" t="n">
        <v>0</v>
      </c>
      <c r="J326" s="18" t="n">
        <v>120.8</v>
      </c>
      <c r="K326" s="19" t="n">
        <v>39.72</v>
      </c>
      <c r="L326" s="15" t="n">
        <f aca="false">YEAR(B326)</f>
        <v>2024</v>
      </c>
      <c r="M326" s="20" t="n">
        <f aca="false">IF(J326&gt;0,K326/J326,0)</f>
        <v>0.328807947019868</v>
      </c>
    </row>
    <row r="327" customFormat="false" ht="15" hidden="false" customHeight="false" outlineLevel="0" collapsed="false">
      <c r="A327" s="15" t="s">
        <v>384</v>
      </c>
      <c r="B327" s="16" t="n">
        <v>44945</v>
      </c>
      <c r="C327" s="15" t="s">
        <v>56</v>
      </c>
      <c r="D327" s="15" t="s">
        <v>42</v>
      </c>
      <c r="E327" s="15" t="s">
        <v>36</v>
      </c>
      <c r="F327" s="15" t="s">
        <v>17</v>
      </c>
      <c r="G327" s="15" t="s">
        <v>26</v>
      </c>
      <c r="H327" s="15" t="n">
        <v>2</v>
      </c>
      <c r="I327" s="17" t="n">
        <v>0</v>
      </c>
      <c r="J327" s="18" t="n">
        <v>159.84</v>
      </c>
      <c r="K327" s="19" t="n">
        <v>20.08</v>
      </c>
      <c r="L327" s="15" t="n">
        <f aca="false">YEAR(B327)</f>
        <v>2023</v>
      </c>
      <c r="M327" s="20" t="n">
        <f aca="false">IF(J327&gt;0,K327/J327,0)</f>
        <v>0.125625625625626</v>
      </c>
    </row>
    <row r="328" customFormat="false" ht="15" hidden="false" customHeight="false" outlineLevel="0" collapsed="false">
      <c r="A328" s="15" t="s">
        <v>385</v>
      </c>
      <c r="B328" s="16" t="n">
        <v>44913</v>
      </c>
      <c r="C328" s="15" t="s">
        <v>71</v>
      </c>
      <c r="D328" s="15" t="s">
        <v>42</v>
      </c>
      <c r="E328" s="15" t="s">
        <v>39</v>
      </c>
      <c r="F328" s="15" t="s">
        <v>16</v>
      </c>
      <c r="G328" s="15" t="s">
        <v>23</v>
      </c>
      <c r="H328" s="15" t="n">
        <v>4</v>
      </c>
      <c r="I328" s="17" t="n">
        <v>0</v>
      </c>
      <c r="J328" s="18" t="n">
        <v>1388.93</v>
      </c>
      <c r="K328" s="19" t="n">
        <v>-62.97</v>
      </c>
      <c r="L328" s="15" t="n">
        <f aca="false">YEAR(B328)</f>
        <v>2022</v>
      </c>
      <c r="M328" s="20" t="n">
        <f aca="false">IF(J328&gt;0,K328/J328,0)</f>
        <v>-0.0453370580230825</v>
      </c>
    </row>
    <row r="329" customFormat="false" ht="15" hidden="false" customHeight="false" outlineLevel="0" collapsed="false">
      <c r="A329" s="15" t="s">
        <v>386</v>
      </c>
      <c r="B329" s="16" t="n">
        <v>45516</v>
      </c>
      <c r="C329" s="15" t="s">
        <v>68</v>
      </c>
      <c r="D329" s="15" t="s">
        <v>44</v>
      </c>
      <c r="E329" s="15" t="s">
        <v>38</v>
      </c>
      <c r="F329" s="15" t="s">
        <v>17</v>
      </c>
      <c r="G329" s="15" t="s">
        <v>28</v>
      </c>
      <c r="H329" s="15" t="n">
        <v>6</v>
      </c>
      <c r="I329" s="17" t="n">
        <v>0.2</v>
      </c>
      <c r="J329" s="18" t="n">
        <v>97.1</v>
      </c>
      <c r="K329" s="19" t="n">
        <v>7.93</v>
      </c>
      <c r="L329" s="15" t="n">
        <f aca="false">YEAR(B329)</f>
        <v>2024</v>
      </c>
      <c r="M329" s="20" t="n">
        <f aca="false">IF(J329&gt;0,K329/J329,0)</f>
        <v>0.0816683831101957</v>
      </c>
    </row>
    <row r="330" customFormat="false" ht="15" hidden="false" customHeight="false" outlineLevel="0" collapsed="false">
      <c r="A330" s="15" t="s">
        <v>387</v>
      </c>
      <c r="B330" s="16" t="n">
        <v>45900</v>
      </c>
      <c r="C330" s="15" t="s">
        <v>56</v>
      </c>
      <c r="D330" s="15" t="s">
        <v>42</v>
      </c>
      <c r="E330" s="15" t="s">
        <v>38</v>
      </c>
      <c r="F330" s="15" t="s">
        <v>16</v>
      </c>
      <c r="G330" s="15" t="s">
        <v>25</v>
      </c>
      <c r="H330" s="15" t="n">
        <v>1</v>
      </c>
      <c r="I330" s="17" t="n">
        <v>0.2</v>
      </c>
      <c r="J330" s="18" t="n">
        <v>200.98</v>
      </c>
      <c r="K330" s="19" t="n">
        <v>-15.88</v>
      </c>
      <c r="L330" s="15" t="n">
        <f aca="false">YEAR(B330)</f>
        <v>2025</v>
      </c>
      <c r="M330" s="20" t="n">
        <f aca="false">IF(J330&gt;0,K330/J330,0)</f>
        <v>-0.0790128370982187</v>
      </c>
    </row>
    <row r="331" customFormat="false" ht="15" hidden="false" customHeight="false" outlineLevel="0" collapsed="false">
      <c r="A331" s="15" t="s">
        <v>388</v>
      </c>
      <c r="B331" s="16" t="n">
        <v>45368</v>
      </c>
      <c r="C331" s="15" t="s">
        <v>56</v>
      </c>
      <c r="D331" s="15" t="s">
        <v>42</v>
      </c>
      <c r="E331" s="15" t="s">
        <v>37</v>
      </c>
      <c r="F331" s="15" t="s">
        <v>16</v>
      </c>
      <c r="G331" s="15" t="s">
        <v>27</v>
      </c>
      <c r="H331" s="15" t="n">
        <v>1</v>
      </c>
      <c r="I331" s="17" t="n">
        <v>0.15</v>
      </c>
      <c r="J331" s="18" t="n">
        <v>43.63</v>
      </c>
      <c r="K331" s="19" t="n">
        <v>2.3</v>
      </c>
      <c r="L331" s="15" t="n">
        <f aca="false">YEAR(B331)</f>
        <v>2024</v>
      </c>
      <c r="M331" s="20" t="n">
        <f aca="false">IF(J331&gt;0,K331/J331,0)</f>
        <v>0.0527160210864084</v>
      </c>
    </row>
    <row r="332" customFormat="false" ht="15" hidden="false" customHeight="false" outlineLevel="0" collapsed="false">
      <c r="A332" s="15" t="s">
        <v>389</v>
      </c>
      <c r="B332" s="16" t="n">
        <v>45747</v>
      </c>
      <c r="C332" s="15" t="s">
        <v>56</v>
      </c>
      <c r="D332" s="15" t="s">
        <v>42</v>
      </c>
      <c r="E332" s="15" t="s">
        <v>38</v>
      </c>
      <c r="F332" s="15" t="s">
        <v>17</v>
      </c>
      <c r="G332" s="15" t="s">
        <v>26</v>
      </c>
      <c r="H332" s="15" t="n">
        <v>1</v>
      </c>
      <c r="I332" s="17" t="n">
        <v>0</v>
      </c>
      <c r="J332" s="18" t="n">
        <v>71.75</v>
      </c>
      <c r="K332" s="19" t="n">
        <v>10.49</v>
      </c>
      <c r="L332" s="15" t="n">
        <f aca="false">YEAR(B332)</f>
        <v>2025</v>
      </c>
      <c r="M332" s="20" t="n">
        <f aca="false">IF(J332&gt;0,K332/J332,0)</f>
        <v>0.146202090592335</v>
      </c>
    </row>
    <row r="333" customFormat="false" ht="15" hidden="false" customHeight="false" outlineLevel="0" collapsed="false">
      <c r="A333" s="15" t="s">
        <v>390</v>
      </c>
      <c r="B333" s="16" t="n">
        <v>45525</v>
      </c>
      <c r="C333" s="15" t="s">
        <v>56</v>
      </c>
      <c r="D333" s="15" t="s">
        <v>42</v>
      </c>
      <c r="E333" s="15" t="s">
        <v>39</v>
      </c>
      <c r="F333" s="15" t="s">
        <v>17</v>
      </c>
      <c r="G333" s="15" t="s">
        <v>31</v>
      </c>
      <c r="H333" s="15" t="n">
        <v>5</v>
      </c>
      <c r="I333" s="17" t="n">
        <v>0</v>
      </c>
      <c r="J333" s="18" t="n">
        <v>712.62</v>
      </c>
      <c r="K333" s="19" t="n">
        <v>138.03</v>
      </c>
      <c r="L333" s="15" t="n">
        <f aca="false">YEAR(B333)</f>
        <v>2024</v>
      </c>
      <c r="M333" s="20" t="n">
        <f aca="false">IF(J333&gt;0,K333/J333,0)</f>
        <v>0.193693693693694</v>
      </c>
    </row>
    <row r="334" customFormat="false" ht="15" hidden="false" customHeight="false" outlineLevel="0" collapsed="false">
      <c r="A334" s="15" t="s">
        <v>391</v>
      </c>
      <c r="B334" s="16" t="n">
        <v>45954</v>
      </c>
      <c r="C334" s="15" t="s">
        <v>56</v>
      </c>
      <c r="D334" s="15" t="s">
        <v>42</v>
      </c>
      <c r="E334" s="15" t="s">
        <v>39</v>
      </c>
      <c r="F334" s="15" t="s">
        <v>18</v>
      </c>
      <c r="G334" s="15" t="s">
        <v>33</v>
      </c>
      <c r="H334" s="15" t="n">
        <v>7</v>
      </c>
      <c r="I334" s="17" t="n">
        <v>0.2</v>
      </c>
      <c r="J334" s="18" t="n">
        <v>5061.36</v>
      </c>
      <c r="K334" s="19" t="n">
        <v>599.06</v>
      </c>
      <c r="L334" s="15" t="n">
        <f aca="false">YEAR(B334)</f>
        <v>2025</v>
      </c>
      <c r="M334" s="20" t="n">
        <f aca="false">IF(J334&gt;0,K334/J334,0)</f>
        <v>0.118359492310367</v>
      </c>
    </row>
    <row r="335" customFormat="false" ht="15" hidden="false" customHeight="false" outlineLevel="0" collapsed="false">
      <c r="A335" s="15" t="s">
        <v>392</v>
      </c>
      <c r="B335" s="16" t="n">
        <v>45261</v>
      </c>
      <c r="C335" s="15" t="s">
        <v>58</v>
      </c>
      <c r="D335" s="15" t="s">
        <v>42</v>
      </c>
      <c r="E335" s="15" t="s">
        <v>37</v>
      </c>
      <c r="F335" s="15" t="s">
        <v>16</v>
      </c>
      <c r="G335" s="15" t="s">
        <v>25</v>
      </c>
      <c r="H335" s="15" t="n">
        <v>4</v>
      </c>
      <c r="I335" s="17" t="n">
        <v>0.1</v>
      </c>
      <c r="J335" s="18" t="n">
        <v>944.18</v>
      </c>
      <c r="K335" s="19" t="n">
        <v>28.17</v>
      </c>
      <c r="L335" s="15" t="n">
        <f aca="false">YEAR(B335)</f>
        <v>2023</v>
      </c>
      <c r="M335" s="20" t="n">
        <f aca="false">IF(J335&gt;0,K335/J335,0)</f>
        <v>0.0298354127390964</v>
      </c>
    </row>
    <row r="336" customFormat="false" ht="15" hidden="false" customHeight="false" outlineLevel="0" collapsed="false">
      <c r="A336" s="15" t="s">
        <v>393</v>
      </c>
      <c r="B336" s="16" t="n">
        <v>44656</v>
      </c>
      <c r="C336" s="15" t="s">
        <v>71</v>
      </c>
      <c r="D336" s="15" t="s">
        <v>43</v>
      </c>
      <c r="E336" s="15" t="s">
        <v>36</v>
      </c>
      <c r="F336" s="15" t="s">
        <v>16</v>
      </c>
      <c r="G336" s="15" t="s">
        <v>25</v>
      </c>
      <c r="H336" s="15" t="n">
        <v>3</v>
      </c>
      <c r="I336" s="17" t="n">
        <v>0.4</v>
      </c>
      <c r="J336" s="18" t="n">
        <v>510.33</v>
      </c>
      <c r="K336" s="19" t="n">
        <v>-182.11</v>
      </c>
      <c r="L336" s="15" t="n">
        <f aca="false">YEAR(B336)</f>
        <v>2022</v>
      </c>
      <c r="M336" s="20" t="n">
        <f aca="false">IF(J336&gt;0,K336/J336,0)</f>
        <v>-0.356847530029589</v>
      </c>
    </row>
    <row r="337" customFormat="false" ht="15" hidden="false" customHeight="false" outlineLevel="0" collapsed="false">
      <c r="A337" s="15" t="s">
        <v>394</v>
      </c>
      <c r="B337" s="16" t="n">
        <v>45684</v>
      </c>
      <c r="C337" s="15" t="s">
        <v>68</v>
      </c>
      <c r="D337" s="15" t="s">
        <v>43</v>
      </c>
      <c r="E337" s="15" t="s">
        <v>38</v>
      </c>
      <c r="F337" s="15" t="s">
        <v>18</v>
      </c>
      <c r="G337" s="15" t="s">
        <v>30</v>
      </c>
      <c r="H337" s="15" t="n">
        <v>3</v>
      </c>
      <c r="I337" s="17" t="n">
        <v>0</v>
      </c>
      <c r="J337" s="18" t="n">
        <v>140.18</v>
      </c>
      <c r="K337" s="19" t="n">
        <v>41.21</v>
      </c>
      <c r="L337" s="15" t="n">
        <f aca="false">YEAR(B337)</f>
        <v>2025</v>
      </c>
      <c r="M337" s="20" t="n">
        <f aca="false">IF(J337&gt;0,K337/J337,0)</f>
        <v>0.293979169639036</v>
      </c>
    </row>
    <row r="338" customFormat="false" ht="15" hidden="false" customHeight="false" outlineLevel="0" collapsed="false">
      <c r="A338" s="15" t="s">
        <v>395</v>
      </c>
      <c r="B338" s="16" t="n">
        <v>45965</v>
      </c>
      <c r="C338" s="15" t="s">
        <v>71</v>
      </c>
      <c r="D338" s="15" t="s">
        <v>42</v>
      </c>
      <c r="E338" s="15" t="s">
        <v>37</v>
      </c>
      <c r="F338" s="15" t="s">
        <v>17</v>
      </c>
      <c r="G338" s="15" t="s">
        <v>29</v>
      </c>
      <c r="H338" s="15" t="n">
        <v>3</v>
      </c>
      <c r="I338" s="17" t="n">
        <v>0.3</v>
      </c>
      <c r="J338" s="18" t="n">
        <v>32.34</v>
      </c>
      <c r="K338" s="19" t="n">
        <v>5.11</v>
      </c>
      <c r="L338" s="15" t="n">
        <f aca="false">YEAR(B338)</f>
        <v>2025</v>
      </c>
      <c r="M338" s="20" t="n">
        <f aca="false">IF(J338&gt;0,K338/J338,0)</f>
        <v>0.158008658008658</v>
      </c>
    </row>
    <row r="339" customFormat="false" ht="15" hidden="false" customHeight="false" outlineLevel="0" collapsed="false">
      <c r="A339" s="15" t="s">
        <v>396</v>
      </c>
      <c r="B339" s="16" t="n">
        <v>45900</v>
      </c>
      <c r="C339" s="15" t="s">
        <v>71</v>
      </c>
      <c r="D339" s="15" t="s">
        <v>43</v>
      </c>
      <c r="E339" s="15" t="s">
        <v>36</v>
      </c>
      <c r="F339" s="15" t="s">
        <v>17</v>
      </c>
      <c r="G339" s="15" t="s">
        <v>28</v>
      </c>
      <c r="H339" s="15" t="n">
        <v>6</v>
      </c>
      <c r="I339" s="17" t="n">
        <v>0</v>
      </c>
      <c r="J339" s="18" t="n">
        <v>141.75</v>
      </c>
      <c r="K339" s="19" t="n">
        <v>45.33</v>
      </c>
      <c r="L339" s="15" t="n">
        <f aca="false">YEAR(B339)</f>
        <v>2025</v>
      </c>
      <c r="M339" s="20" t="n">
        <f aca="false">IF(J339&gt;0,K339/J339,0)</f>
        <v>0.31978835978836</v>
      </c>
    </row>
    <row r="340" customFormat="false" ht="15" hidden="false" customHeight="false" outlineLevel="0" collapsed="false">
      <c r="A340" s="15" t="s">
        <v>397</v>
      </c>
      <c r="B340" s="16" t="n">
        <v>45455</v>
      </c>
      <c r="C340" s="15" t="s">
        <v>68</v>
      </c>
      <c r="D340" s="15" t="s">
        <v>42</v>
      </c>
      <c r="E340" s="15" t="s">
        <v>37</v>
      </c>
      <c r="F340" s="15" t="s">
        <v>16</v>
      </c>
      <c r="G340" s="15" t="s">
        <v>27</v>
      </c>
      <c r="H340" s="15" t="n">
        <v>3</v>
      </c>
      <c r="I340" s="17" t="n">
        <v>0</v>
      </c>
      <c r="J340" s="18" t="n">
        <v>188.72</v>
      </c>
      <c r="K340" s="19" t="n">
        <v>51.95</v>
      </c>
      <c r="L340" s="15" t="n">
        <f aca="false">YEAR(B340)</f>
        <v>2024</v>
      </c>
      <c r="M340" s="20" t="n">
        <f aca="false">IF(J340&gt;0,K340/J340,0)</f>
        <v>0.275275540483256</v>
      </c>
    </row>
    <row r="341" customFormat="false" ht="15" hidden="false" customHeight="false" outlineLevel="0" collapsed="false">
      <c r="A341" s="15" t="s">
        <v>398</v>
      </c>
      <c r="B341" s="16" t="n">
        <v>45265</v>
      </c>
      <c r="C341" s="15" t="s">
        <v>71</v>
      </c>
      <c r="D341" s="15" t="s">
        <v>42</v>
      </c>
      <c r="E341" s="15" t="s">
        <v>37</v>
      </c>
      <c r="F341" s="15" t="s">
        <v>17</v>
      </c>
      <c r="G341" s="15" t="s">
        <v>26</v>
      </c>
      <c r="H341" s="15" t="n">
        <v>3</v>
      </c>
      <c r="I341" s="17" t="n">
        <v>0</v>
      </c>
      <c r="J341" s="18" t="n">
        <v>264.57</v>
      </c>
      <c r="K341" s="19" t="n">
        <v>20.4</v>
      </c>
      <c r="L341" s="15" t="n">
        <f aca="false">YEAR(B341)</f>
        <v>2023</v>
      </c>
      <c r="M341" s="20" t="n">
        <f aca="false">IF(J341&gt;0,K341/J341,0)</f>
        <v>0.0771062478739086</v>
      </c>
    </row>
    <row r="342" customFormat="false" ht="15" hidden="false" customHeight="false" outlineLevel="0" collapsed="false">
      <c r="A342" s="15" t="s">
        <v>399</v>
      </c>
      <c r="B342" s="16" t="n">
        <v>45266</v>
      </c>
      <c r="C342" s="15" t="s">
        <v>58</v>
      </c>
      <c r="D342" s="15" t="s">
        <v>42</v>
      </c>
      <c r="E342" s="15" t="s">
        <v>38</v>
      </c>
      <c r="F342" s="15" t="s">
        <v>17</v>
      </c>
      <c r="G342" s="15" t="s">
        <v>29</v>
      </c>
      <c r="H342" s="15" t="n">
        <v>3</v>
      </c>
      <c r="I342" s="17" t="n">
        <v>0.4</v>
      </c>
      <c r="J342" s="18" t="n">
        <v>25.58</v>
      </c>
      <c r="K342" s="19" t="n">
        <v>-2.66</v>
      </c>
      <c r="L342" s="15" t="n">
        <f aca="false">YEAR(B342)</f>
        <v>2023</v>
      </c>
      <c r="M342" s="20" t="n">
        <f aca="false">IF(J342&gt;0,K342/J342,0)</f>
        <v>-0.10398749022674</v>
      </c>
    </row>
    <row r="343" customFormat="false" ht="15" hidden="false" customHeight="false" outlineLevel="0" collapsed="false">
      <c r="A343" s="15" t="s">
        <v>400</v>
      </c>
      <c r="B343" s="16" t="n">
        <v>44678</v>
      </c>
      <c r="C343" s="15" t="s">
        <v>68</v>
      </c>
      <c r="D343" s="15" t="s">
        <v>44</v>
      </c>
      <c r="E343" s="15" t="s">
        <v>39</v>
      </c>
      <c r="F343" s="15" t="s">
        <v>18</v>
      </c>
      <c r="G343" s="15" t="s">
        <v>30</v>
      </c>
      <c r="H343" s="15" t="n">
        <v>3</v>
      </c>
      <c r="I343" s="17" t="n">
        <v>0</v>
      </c>
      <c r="J343" s="18" t="n">
        <v>144.5</v>
      </c>
      <c r="K343" s="19" t="n">
        <v>46.58</v>
      </c>
      <c r="L343" s="15" t="n">
        <f aca="false">YEAR(B343)</f>
        <v>2022</v>
      </c>
      <c r="M343" s="20" t="n">
        <f aca="false">IF(J343&gt;0,K343/J343,0)</f>
        <v>0.322352941176471</v>
      </c>
    </row>
    <row r="344" customFormat="false" ht="15" hidden="false" customHeight="false" outlineLevel="0" collapsed="false">
      <c r="A344" s="15" t="s">
        <v>401</v>
      </c>
      <c r="B344" s="16" t="n">
        <v>45002</v>
      </c>
      <c r="C344" s="15" t="s">
        <v>56</v>
      </c>
      <c r="D344" s="15" t="s">
        <v>42</v>
      </c>
      <c r="E344" s="15" t="s">
        <v>36</v>
      </c>
      <c r="F344" s="15" t="s">
        <v>17</v>
      </c>
      <c r="G344" s="15" t="s">
        <v>28</v>
      </c>
      <c r="H344" s="15" t="n">
        <v>3</v>
      </c>
      <c r="I344" s="17" t="n">
        <v>0.2</v>
      </c>
      <c r="J344" s="18" t="n">
        <v>48.59</v>
      </c>
      <c r="K344" s="19" t="n">
        <v>4.18</v>
      </c>
      <c r="L344" s="15" t="n">
        <f aca="false">YEAR(B344)</f>
        <v>2023</v>
      </c>
      <c r="M344" s="20" t="n">
        <f aca="false">IF(J344&gt;0,K344/J344,0)</f>
        <v>0.0860259312615764</v>
      </c>
    </row>
    <row r="345" customFormat="false" ht="15" hidden="false" customHeight="false" outlineLevel="0" collapsed="false">
      <c r="A345" s="15" t="s">
        <v>402</v>
      </c>
      <c r="B345" s="16" t="n">
        <v>45269</v>
      </c>
      <c r="C345" s="15" t="s">
        <v>56</v>
      </c>
      <c r="D345" s="15" t="s">
        <v>44</v>
      </c>
      <c r="E345" s="15" t="s">
        <v>38</v>
      </c>
      <c r="F345" s="15" t="s">
        <v>16</v>
      </c>
      <c r="G345" s="15" t="s">
        <v>22</v>
      </c>
      <c r="H345" s="15" t="n">
        <v>4</v>
      </c>
      <c r="I345" s="17" t="n">
        <v>0.05</v>
      </c>
      <c r="J345" s="18" t="n">
        <v>1661.46</v>
      </c>
      <c r="K345" s="19" t="n">
        <v>-243.66</v>
      </c>
      <c r="L345" s="15" t="n">
        <f aca="false">YEAR(B345)</f>
        <v>2023</v>
      </c>
      <c r="M345" s="20" t="n">
        <f aca="false">IF(J345&gt;0,K345/J345,0)</f>
        <v>-0.146654147556968</v>
      </c>
    </row>
    <row r="346" customFormat="false" ht="15" hidden="false" customHeight="false" outlineLevel="0" collapsed="false">
      <c r="A346" s="15" t="s">
        <v>403</v>
      </c>
      <c r="B346" s="16" t="n">
        <v>45400</v>
      </c>
      <c r="C346" s="15" t="s">
        <v>71</v>
      </c>
      <c r="D346" s="15" t="s">
        <v>43</v>
      </c>
      <c r="E346" s="15" t="s">
        <v>37</v>
      </c>
      <c r="F346" s="15" t="s">
        <v>18</v>
      </c>
      <c r="G346" s="15" t="s">
        <v>30</v>
      </c>
      <c r="H346" s="15" t="n">
        <v>2</v>
      </c>
      <c r="I346" s="17" t="n">
        <v>0.3</v>
      </c>
      <c r="J346" s="18" t="n">
        <v>68.81</v>
      </c>
      <c r="K346" s="19" t="n">
        <v>2.36</v>
      </c>
      <c r="L346" s="15" t="n">
        <f aca="false">YEAR(B346)</f>
        <v>2024</v>
      </c>
      <c r="M346" s="20" t="n">
        <f aca="false">IF(J346&gt;0,K346/J346,0)</f>
        <v>0.0342973405028339</v>
      </c>
    </row>
    <row r="347" customFormat="false" ht="15" hidden="false" customHeight="false" outlineLevel="0" collapsed="false">
      <c r="A347" s="15" t="s">
        <v>404</v>
      </c>
      <c r="B347" s="16" t="n">
        <v>45160</v>
      </c>
      <c r="C347" s="15" t="s">
        <v>56</v>
      </c>
      <c r="D347" s="15" t="s">
        <v>42</v>
      </c>
      <c r="E347" s="15" t="s">
        <v>39</v>
      </c>
      <c r="F347" s="15" t="s">
        <v>17</v>
      </c>
      <c r="G347" s="15" t="s">
        <v>29</v>
      </c>
      <c r="H347" s="15" t="n">
        <v>4</v>
      </c>
      <c r="I347" s="17" t="n">
        <v>0.3</v>
      </c>
      <c r="J347" s="18" t="n">
        <v>45.33</v>
      </c>
      <c r="K347" s="19" t="n">
        <v>5.91</v>
      </c>
      <c r="L347" s="15" t="n">
        <f aca="false">YEAR(B347)</f>
        <v>2023</v>
      </c>
      <c r="M347" s="20" t="n">
        <f aca="false">IF(J347&gt;0,K347/J347,0)</f>
        <v>0.130377233620119</v>
      </c>
    </row>
    <row r="348" customFormat="false" ht="15" hidden="false" customHeight="false" outlineLevel="0" collapsed="false">
      <c r="A348" s="15" t="s">
        <v>405</v>
      </c>
      <c r="B348" s="16" t="n">
        <v>45599</v>
      </c>
      <c r="C348" s="15" t="s">
        <v>71</v>
      </c>
      <c r="D348" s="15" t="s">
        <v>44</v>
      </c>
      <c r="E348" s="15" t="s">
        <v>37</v>
      </c>
      <c r="F348" s="15" t="s">
        <v>16</v>
      </c>
      <c r="G348" s="15" t="s">
        <v>27</v>
      </c>
      <c r="H348" s="15" t="n">
        <v>5</v>
      </c>
      <c r="I348" s="17" t="n">
        <v>0</v>
      </c>
      <c r="J348" s="18" t="n">
        <v>292.55</v>
      </c>
      <c r="K348" s="19" t="n">
        <v>44.92</v>
      </c>
      <c r="L348" s="15" t="n">
        <f aca="false">YEAR(B348)</f>
        <v>2024</v>
      </c>
      <c r="M348" s="20" t="n">
        <f aca="false">IF(J348&gt;0,K348/J348,0)</f>
        <v>0.153546402324389</v>
      </c>
    </row>
    <row r="349" customFormat="false" ht="15" hidden="false" customHeight="false" outlineLevel="0" collapsed="false">
      <c r="A349" s="15" t="s">
        <v>406</v>
      </c>
      <c r="B349" s="16" t="n">
        <v>45690</v>
      </c>
      <c r="C349" s="15" t="s">
        <v>56</v>
      </c>
      <c r="D349" s="15" t="s">
        <v>43</v>
      </c>
      <c r="E349" s="15" t="s">
        <v>39</v>
      </c>
      <c r="F349" s="15" t="s">
        <v>17</v>
      </c>
      <c r="G349" s="15" t="s">
        <v>29</v>
      </c>
      <c r="H349" s="15" t="n">
        <v>5</v>
      </c>
      <c r="I349" s="17" t="n">
        <v>0</v>
      </c>
      <c r="J349" s="18" t="n">
        <v>92.35</v>
      </c>
      <c r="K349" s="19" t="n">
        <v>37</v>
      </c>
      <c r="L349" s="15" t="n">
        <f aca="false">YEAR(B349)</f>
        <v>2025</v>
      </c>
      <c r="M349" s="20" t="n">
        <f aca="false">IF(J349&gt;0,K349/J349,0)</f>
        <v>0.400649702219816</v>
      </c>
    </row>
    <row r="350" customFormat="false" ht="15" hidden="false" customHeight="false" outlineLevel="0" collapsed="false">
      <c r="A350" s="15" t="s">
        <v>407</v>
      </c>
      <c r="B350" s="16" t="n">
        <v>45252</v>
      </c>
      <c r="C350" s="15" t="s">
        <v>56</v>
      </c>
      <c r="D350" s="15" t="s">
        <v>42</v>
      </c>
      <c r="E350" s="15" t="s">
        <v>38</v>
      </c>
      <c r="F350" s="15" t="s">
        <v>17</v>
      </c>
      <c r="G350" s="15" t="s">
        <v>29</v>
      </c>
      <c r="H350" s="15" t="n">
        <v>5</v>
      </c>
      <c r="I350" s="17" t="n">
        <v>0.05</v>
      </c>
      <c r="J350" s="18" t="n">
        <v>75.79</v>
      </c>
      <c r="K350" s="19" t="n">
        <v>26.31</v>
      </c>
      <c r="L350" s="15" t="n">
        <f aca="false">YEAR(B350)</f>
        <v>2023</v>
      </c>
      <c r="M350" s="20" t="n">
        <f aca="false">IF(J350&gt;0,K350/J350,0)</f>
        <v>0.347143422615121</v>
      </c>
    </row>
    <row r="351" customFormat="false" ht="15" hidden="false" customHeight="false" outlineLevel="0" collapsed="false">
      <c r="A351" s="15" t="s">
        <v>408</v>
      </c>
      <c r="B351" s="16" t="n">
        <v>45599</v>
      </c>
      <c r="C351" s="15" t="s">
        <v>56</v>
      </c>
      <c r="D351" s="15" t="s">
        <v>42</v>
      </c>
      <c r="E351" s="15" t="s">
        <v>37</v>
      </c>
      <c r="F351" s="15" t="s">
        <v>17</v>
      </c>
      <c r="G351" s="15" t="s">
        <v>26</v>
      </c>
      <c r="H351" s="15" t="n">
        <v>4</v>
      </c>
      <c r="I351" s="17" t="n">
        <v>0.05</v>
      </c>
      <c r="J351" s="18" t="n">
        <v>303.45</v>
      </c>
      <c r="K351" s="19" t="n">
        <v>34.34</v>
      </c>
      <c r="L351" s="15" t="n">
        <f aca="false">YEAR(B351)</f>
        <v>2024</v>
      </c>
      <c r="M351" s="20" t="n">
        <f aca="false">IF(J351&gt;0,K351/J351,0)</f>
        <v>0.113165266106443</v>
      </c>
    </row>
    <row r="352" customFormat="false" ht="15" hidden="false" customHeight="false" outlineLevel="0" collapsed="false">
      <c r="A352" s="15" t="s">
        <v>409</v>
      </c>
      <c r="B352" s="16" t="n">
        <v>44955</v>
      </c>
      <c r="C352" s="15" t="s">
        <v>56</v>
      </c>
      <c r="D352" s="15" t="s">
        <v>43</v>
      </c>
      <c r="E352" s="15" t="s">
        <v>38</v>
      </c>
      <c r="F352" s="15" t="s">
        <v>17</v>
      </c>
      <c r="G352" s="15" t="s">
        <v>29</v>
      </c>
      <c r="H352" s="15" t="n">
        <v>1</v>
      </c>
      <c r="I352" s="17" t="n">
        <v>0.3</v>
      </c>
      <c r="J352" s="18" t="n">
        <v>11.48</v>
      </c>
      <c r="K352" s="19" t="n">
        <v>1.31</v>
      </c>
      <c r="L352" s="15" t="n">
        <f aca="false">YEAR(B352)</f>
        <v>2023</v>
      </c>
      <c r="M352" s="20" t="n">
        <f aca="false">IF(J352&gt;0,K352/J352,0)</f>
        <v>0.11411149825784</v>
      </c>
    </row>
    <row r="353" customFormat="false" ht="15" hidden="false" customHeight="false" outlineLevel="0" collapsed="false">
      <c r="A353" s="15" t="s">
        <v>410</v>
      </c>
      <c r="B353" s="16" t="n">
        <v>45139</v>
      </c>
      <c r="C353" s="15" t="s">
        <v>56</v>
      </c>
      <c r="D353" s="15" t="s">
        <v>42</v>
      </c>
      <c r="E353" s="15" t="s">
        <v>39</v>
      </c>
      <c r="F353" s="15" t="s">
        <v>16</v>
      </c>
      <c r="G353" s="15" t="s">
        <v>27</v>
      </c>
      <c r="H353" s="15" t="n">
        <v>3</v>
      </c>
      <c r="I353" s="17" t="n">
        <v>0.15</v>
      </c>
      <c r="J353" s="18" t="n">
        <v>138.87</v>
      </c>
      <c r="K353" s="19" t="n">
        <v>17.95</v>
      </c>
      <c r="L353" s="15" t="n">
        <f aca="false">YEAR(B353)</f>
        <v>2023</v>
      </c>
      <c r="M353" s="20" t="n">
        <f aca="false">IF(J353&gt;0,K353/J353,0)</f>
        <v>0.129257579030748</v>
      </c>
    </row>
    <row r="354" customFormat="false" ht="15" hidden="false" customHeight="false" outlineLevel="0" collapsed="false">
      <c r="A354" s="15" t="s">
        <v>411</v>
      </c>
      <c r="B354" s="16" t="n">
        <v>45859</v>
      </c>
      <c r="C354" s="15" t="s">
        <v>58</v>
      </c>
      <c r="D354" s="15" t="s">
        <v>42</v>
      </c>
      <c r="E354" s="15" t="s">
        <v>38</v>
      </c>
      <c r="F354" s="15" t="s">
        <v>16</v>
      </c>
      <c r="G354" s="15" t="s">
        <v>25</v>
      </c>
      <c r="H354" s="15" t="n">
        <v>7</v>
      </c>
      <c r="I354" s="17" t="n">
        <v>0</v>
      </c>
      <c r="J354" s="18" t="n">
        <v>1807.46</v>
      </c>
      <c r="K354" s="19" t="n">
        <v>98.74</v>
      </c>
      <c r="L354" s="15" t="n">
        <f aca="false">YEAR(B354)</f>
        <v>2025</v>
      </c>
      <c r="M354" s="20" t="n">
        <f aca="false">IF(J354&gt;0,K354/J354,0)</f>
        <v>0.0546291480862647</v>
      </c>
    </row>
    <row r="355" customFormat="false" ht="15" hidden="false" customHeight="false" outlineLevel="0" collapsed="false">
      <c r="A355" s="15" t="s">
        <v>412</v>
      </c>
      <c r="B355" s="16" t="n">
        <v>44648</v>
      </c>
      <c r="C355" s="15" t="s">
        <v>68</v>
      </c>
      <c r="D355" s="15" t="s">
        <v>43</v>
      </c>
      <c r="E355" s="15" t="s">
        <v>37</v>
      </c>
      <c r="F355" s="15" t="s">
        <v>16</v>
      </c>
      <c r="G355" s="15" t="s">
        <v>25</v>
      </c>
      <c r="H355" s="15" t="n">
        <v>3</v>
      </c>
      <c r="I355" s="17" t="n">
        <v>0</v>
      </c>
      <c r="J355" s="18" t="n">
        <v>791.48</v>
      </c>
      <c r="K355" s="19" t="n">
        <v>109.79</v>
      </c>
      <c r="L355" s="15" t="n">
        <f aca="false">YEAR(B355)</f>
        <v>2022</v>
      </c>
      <c r="M355" s="20" t="n">
        <f aca="false">IF(J355&gt;0,K355/J355,0)</f>
        <v>0.13871481275585</v>
      </c>
    </row>
    <row r="356" customFormat="false" ht="15" hidden="false" customHeight="false" outlineLevel="0" collapsed="false">
      <c r="A356" s="15" t="s">
        <v>413</v>
      </c>
      <c r="B356" s="16" t="n">
        <v>44992</v>
      </c>
      <c r="C356" s="15" t="s">
        <v>56</v>
      </c>
      <c r="D356" s="15" t="s">
        <v>44</v>
      </c>
      <c r="E356" s="15" t="s">
        <v>36</v>
      </c>
      <c r="F356" s="15" t="s">
        <v>17</v>
      </c>
      <c r="G356" s="15" t="s">
        <v>29</v>
      </c>
      <c r="H356" s="15" t="n">
        <v>3</v>
      </c>
      <c r="I356" s="17" t="n">
        <v>0.05</v>
      </c>
      <c r="J356" s="18" t="n">
        <v>47.94</v>
      </c>
      <c r="K356" s="19" t="n">
        <v>14.91</v>
      </c>
      <c r="L356" s="15" t="n">
        <f aca="false">YEAR(B356)</f>
        <v>2023</v>
      </c>
      <c r="M356" s="20" t="n">
        <f aca="false">IF(J356&gt;0,K356/J356,0)</f>
        <v>0.311013767209011</v>
      </c>
    </row>
    <row r="357" customFormat="false" ht="15" hidden="false" customHeight="false" outlineLevel="0" collapsed="false">
      <c r="A357" s="15" t="s">
        <v>414</v>
      </c>
      <c r="B357" s="16" t="n">
        <v>45136</v>
      </c>
      <c r="C357" s="15" t="s">
        <v>56</v>
      </c>
      <c r="D357" s="15" t="s">
        <v>42</v>
      </c>
      <c r="E357" s="15" t="s">
        <v>37</v>
      </c>
      <c r="F357" s="15" t="s">
        <v>17</v>
      </c>
      <c r="G357" s="15" t="s">
        <v>31</v>
      </c>
      <c r="H357" s="15" t="n">
        <v>4</v>
      </c>
      <c r="I357" s="17" t="n">
        <v>0.05</v>
      </c>
      <c r="J357" s="18" t="n">
        <v>467.61</v>
      </c>
      <c r="K357" s="19" t="n">
        <v>37.83</v>
      </c>
      <c r="L357" s="15" t="n">
        <f aca="false">YEAR(B357)</f>
        <v>2023</v>
      </c>
      <c r="M357" s="20" t="n">
        <f aca="false">IF(J357&gt;0,K357/J357,0)</f>
        <v>0.0809007506255213</v>
      </c>
    </row>
    <row r="358" customFormat="false" ht="15" hidden="false" customHeight="false" outlineLevel="0" collapsed="false">
      <c r="A358" s="15" t="s">
        <v>415</v>
      </c>
      <c r="B358" s="16" t="n">
        <v>45153</v>
      </c>
      <c r="C358" s="15" t="s">
        <v>68</v>
      </c>
      <c r="D358" s="15" t="s">
        <v>42</v>
      </c>
      <c r="E358" s="15" t="s">
        <v>37</v>
      </c>
      <c r="F358" s="15" t="s">
        <v>17</v>
      </c>
      <c r="G358" s="15" t="s">
        <v>28</v>
      </c>
      <c r="H358" s="15" t="n">
        <v>3</v>
      </c>
      <c r="I358" s="17" t="n">
        <v>0.2</v>
      </c>
      <c r="J358" s="18" t="n">
        <v>65.86</v>
      </c>
      <c r="K358" s="19" t="n">
        <v>8.59</v>
      </c>
      <c r="L358" s="15" t="n">
        <f aca="false">YEAR(B358)</f>
        <v>2023</v>
      </c>
      <c r="M358" s="20" t="n">
        <f aca="false">IF(J358&gt;0,K358/J358,0)</f>
        <v>0.130428180989979</v>
      </c>
    </row>
    <row r="359" customFormat="false" ht="15" hidden="false" customHeight="false" outlineLevel="0" collapsed="false">
      <c r="A359" s="15" t="s">
        <v>416</v>
      </c>
      <c r="B359" s="16" t="n">
        <v>44854</v>
      </c>
      <c r="C359" s="15" t="s">
        <v>56</v>
      </c>
      <c r="D359" s="15" t="s">
        <v>44</v>
      </c>
      <c r="E359" s="15" t="s">
        <v>37</v>
      </c>
      <c r="F359" s="15" t="s">
        <v>17</v>
      </c>
      <c r="G359" s="15" t="s">
        <v>29</v>
      </c>
      <c r="H359" s="15" t="n">
        <v>5</v>
      </c>
      <c r="I359" s="17" t="n">
        <v>0</v>
      </c>
      <c r="J359" s="18" t="n">
        <v>98.88</v>
      </c>
      <c r="K359" s="19" t="n">
        <v>40.91</v>
      </c>
      <c r="L359" s="15" t="n">
        <f aca="false">YEAR(B359)</f>
        <v>2022</v>
      </c>
      <c r="M359" s="20" t="n">
        <f aca="false">IF(J359&gt;0,K359/J359,0)</f>
        <v>0.413733818770227</v>
      </c>
    </row>
    <row r="360" customFormat="false" ht="15" hidden="false" customHeight="false" outlineLevel="0" collapsed="false">
      <c r="A360" s="15" t="s">
        <v>417</v>
      </c>
      <c r="B360" s="16" t="n">
        <v>45520</v>
      </c>
      <c r="C360" s="15" t="s">
        <v>68</v>
      </c>
      <c r="D360" s="15" t="s">
        <v>43</v>
      </c>
      <c r="E360" s="15" t="s">
        <v>37</v>
      </c>
      <c r="F360" s="15" t="s">
        <v>17</v>
      </c>
      <c r="G360" s="15" t="s">
        <v>26</v>
      </c>
      <c r="H360" s="15" t="n">
        <v>4</v>
      </c>
      <c r="I360" s="17" t="n">
        <v>0.2</v>
      </c>
      <c r="J360" s="18" t="n">
        <v>327.69</v>
      </c>
      <c r="K360" s="19" t="n">
        <v>7.24</v>
      </c>
      <c r="L360" s="15" t="n">
        <f aca="false">YEAR(B360)</f>
        <v>2024</v>
      </c>
      <c r="M360" s="20" t="n">
        <f aca="false">IF(J360&gt;0,K360/J360,0)</f>
        <v>0.0220940523055327</v>
      </c>
    </row>
    <row r="361" customFormat="false" ht="15" hidden="false" customHeight="false" outlineLevel="0" collapsed="false">
      <c r="A361" s="15" t="s">
        <v>418</v>
      </c>
      <c r="B361" s="16" t="n">
        <v>45717</v>
      </c>
      <c r="C361" s="15" t="s">
        <v>56</v>
      </c>
      <c r="D361" s="15" t="s">
        <v>42</v>
      </c>
      <c r="E361" s="15" t="s">
        <v>36</v>
      </c>
      <c r="F361" s="15" t="s">
        <v>16</v>
      </c>
      <c r="G361" s="15" t="s">
        <v>27</v>
      </c>
      <c r="H361" s="15" t="n">
        <v>1</v>
      </c>
      <c r="I361" s="17" t="n">
        <v>0</v>
      </c>
      <c r="J361" s="18" t="n">
        <v>52.43</v>
      </c>
      <c r="K361" s="19" t="n">
        <v>14.3</v>
      </c>
      <c r="L361" s="15" t="n">
        <f aca="false">YEAR(B361)</f>
        <v>2025</v>
      </c>
      <c r="M361" s="20" t="n">
        <f aca="false">IF(J361&gt;0,K361/J361,0)</f>
        <v>0.272744611863437</v>
      </c>
    </row>
    <row r="362" customFormat="false" ht="15" hidden="false" customHeight="false" outlineLevel="0" collapsed="false">
      <c r="A362" s="15" t="s">
        <v>419</v>
      </c>
      <c r="B362" s="16" t="n">
        <v>44814</v>
      </c>
      <c r="C362" s="15" t="s">
        <v>68</v>
      </c>
      <c r="D362" s="15" t="s">
        <v>44</v>
      </c>
      <c r="E362" s="15" t="s">
        <v>39</v>
      </c>
      <c r="F362" s="15" t="s">
        <v>17</v>
      </c>
      <c r="G362" s="15" t="s">
        <v>29</v>
      </c>
      <c r="H362" s="15" t="n">
        <v>1</v>
      </c>
      <c r="I362" s="17" t="n">
        <v>0</v>
      </c>
      <c r="J362" s="18" t="n">
        <v>17.57</v>
      </c>
      <c r="K362" s="19" t="n">
        <v>7.17</v>
      </c>
      <c r="L362" s="15" t="n">
        <f aca="false">YEAR(B362)</f>
        <v>2022</v>
      </c>
      <c r="M362" s="20" t="n">
        <f aca="false">IF(J362&gt;0,K362/J362,0)</f>
        <v>0.408081957882755</v>
      </c>
    </row>
    <row r="363" customFormat="false" ht="15" hidden="false" customHeight="false" outlineLevel="0" collapsed="false">
      <c r="A363" s="15" t="s">
        <v>420</v>
      </c>
      <c r="B363" s="16" t="n">
        <v>45980</v>
      </c>
      <c r="C363" s="15" t="s">
        <v>56</v>
      </c>
      <c r="D363" s="15" t="s">
        <v>42</v>
      </c>
      <c r="E363" s="15" t="s">
        <v>39</v>
      </c>
      <c r="F363" s="15" t="s">
        <v>17</v>
      </c>
      <c r="G363" s="15" t="s">
        <v>26</v>
      </c>
      <c r="H363" s="15" t="n">
        <v>4</v>
      </c>
      <c r="I363" s="17" t="n">
        <v>0</v>
      </c>
      <c r="J363" s="18" t="n">
        <v>387.96</v>
      </c>
      <c r="K363" s="19" t="n">
        <v>48.87</v>
      </c>
      <c r="L363" s="15" t="n">
        <f aca="false">YEAR(B363)</f>
        <v>2025</v>
      </c>
      <c r="M363" s="20" t="n">
        <f aca="false">IF(J363&gt;0,K363/J363,0)</f>
        <v>0.125966594494278</v>
      </c>
    </row>
    <row r="364" customFormat="false" ht="15" hidden="false" customHeight="false" outlineLevel="0" collapsed="false">
      <c r="A364" s="15" t="s">
        <v>421</v>
      </c>
      <c r="B364" s="16" t="n">
        <v>45992</v>
      </c>
      <c r="C364" s="15" t="s">
        <v>56</v>
      </c>
      <c r="D364" s="15" t="s">
        <v>43</v>
      </c>
      <c r="E364" s="15" t="s">
        <v>37</v>
      </c>
      <c r="F364" s="15" t="s">
        <v>16</v>
      </c>
      <c r="G364" s="15" t="s">
        <v>27</v>
      </c>
      <c r="H364" s="15" t="n">
        <v>2</v>
      </c>
      <c r="I364" s="17" t="n">
        <v>0.1</v>
      </c>
      <c r="J364" s="18" t="n">
        <v>111.65</v>
      </c>
      <c r="K364" s="19" t="n">
        <v>13.96</v>
      </c>
      <c r="L364" s="15" t="n">
        <f aca="false">YEAR(B364)</f>
        <v>2025</v>
      </c>
      <c r="M364" s="20" t="n">
        <f aca="false">IF(J364&gt;0,K364/J364,0)</f>
        <v>0.125033587102553</v>
      </c>
    </row>
    <row r="365" customFormat="false" ht="15" hidden="false" customHeight="false" outlineLevel="0" collapsed="false">
      <c r="A365" s="15" t="s">
        <v>422</v>
      </c>
      <c r="B365" s="16" t="n">
        <v>45565</v>
      </c>
      <c r="C365" s="15" t="s">
        <v>56</v>
      </c>
      <c r="D365" s="15" t="s">
        <v>42</v>
      </c>
      <c r="E365" s="15" t="s">
        <v>39</v>
      </c>
      <c r="F365" s="15" t="s">
        <v>17</v>
      </c>
      <c r="G365" s="15" t="s">
        <v>26</v>
      </c>
      <c r="H365" s="15" t="n">
        <v>3</v>
      </c>
      <c r="I365" s="17" t="n">
        <v>0</v>
      </c>
      <c r="J365" s="18" t="n">
        <v>289.42</v>
      </c>
      <c r="K365" s="19" t="n">
        <v>25.64</v>
      </c>
      <c r="L365" s="15" t="n">
        <f aca="false">YEAR(B365)</f>
        <v>2024</v>
      </c>
      <c r="M365" s="20" t="n">
        <f aca="false">IF(J365&gt;0,K365/J365,0)</f>
        <v>0.0885909750535554</v>
      </c>
    </row>
    <row r="366" customFormat="false" ht="15" hidden="false" customHeight="false" outlineLevel="0" collapsed="false">
      <c r="A366" s="15" t="s">
        <v>423</v>
      </c>
      <c r="B366" s="16" t="n">
        <v>45215</v>
      </c>
      <c r="C366" s="15" t="s">
        <v>56</v>
      </c>
      <c r="D366" s="15" t="s">
        <v>44</v>
      </c>
      <c r="E366" s="15" t="s">
        <v>38</v>
      </c>
      <c r="F366" s="15" t="s">
        <v>16</v>
      </c>
      <c r="G366" s="15" t="s">
        <v>25</v>
      </c>
      <c r="H366" s="15" t="n">
        <v>3</v>
      </c>
      <c r="I366" s="17" t="n">
        <v>0.15</v>
      </c>
      <c r="J366" s="18" t="n">
        <v>764.32</v>
      </c>
      <c r="K366" s="19" t="n">
        <v>-24.39</v>
      </c>
      <c r="L366" s="15" t="n">
        <f aca="false">YEAR(B366)</f>
        <v>2023</v>
      </c>
      <c r="M366" s="20" t="n">
        <f aca="false">IF(J366&gt;0,K366/J366,0)</f>
        <v>-0.0319107180238643</v>
      </c>
    </row>
    <row r="367" customFormat="false" ht="15" hidden="false" customHeight="false" outlineLevel="0" collapsed="false">
      <c r="A367" s="15" t="s">
        <v>424</v>
      </c>
      <c r="B367" s="16" t="n">
        <v>45024</v>
      </c>
      <c r="C367" s="15" t="s">
        <v>56</v>
      </c>
      <c r="D367" s="15" t="s">
        <v>42</v>
      </c>
      <c r="E367" s="15" t="s">
        <v>36</v>
      </c>
      <c r="F367" s="15" t="s">
        <v>16</v>
      </c>
      <c r="G367" s="15" t="s">
        <v>27</v>
      </c>
      <c r="H367" s="15" t="n">
        <v>8</v>
      </c>
      <c r="I367" s="17" t="n">
        <v>0.2</v>
      </c>
      <c r="J367" s="18" t="n">
        <v>290.14</v>
      </c>
      <c r="K367" s="19" t="n">
        <v>11.83</v>
      </c>
      <c r="L367" s="15" t="n">
        <f aca="false">YEAR(B367)</f>
        <v>2023</v>
      </c>
      <c r="M367" s="20" t="n">
        <f aca="false">IF(J367&gt;0,K367/J367,0)</f>
        <v>0.040773419728407</v>
      </c>
    </row>
    <row r="368" customFormat="false" ht="15" hidden="false" customHeight="false" outlineLevel="0" collapsed="false">
      <c r="A368" s="15" t="s">
        <v>425</v>
      </c>
      <c r="B368" s="16" t="n">
        <v>45531</v>
      </c>
      <c r="C368" s="15" t="s">
        <v>58</v>
      </c>
      <c r="D368" s="15" t="s">
        <v>42</v>
      </c>
      <c r="E368" s="15" t="s">
        <v>38</v>
      </c>
      <c r="F368" s="15" t="s">
        <v>16</v>
      </c>
      <c r="G368" s="15" t="s">
        <v>27</v>
      </c>
      <c r="H368" s="15" t="n">
        <v>1</v>
      </c>
      <c r="I368" s="17" t="n">
        <v>0</v>
      </c>
      <c r="J368" s="18" t="n">
        <v>49.54</v>
      </c>
      <c r="K368" s="19" t="n">
        <v>13.14</v>
      </c>
      <c r="L368" s="15" t="n">
        <f aca="false">YEAR(B368)</f>
        <v>2024</v>
      </c>
      <c r="M368" s="20" t="n">
        <f aca="false">IF(J368&gt;0,K368/J368,0)</f>
        <v>0.265240209931369</v>
      </c>
    </row>
    <row r="369" customFormat="false" ht="15" hidden="false" customHeight="false" outlineLevel="0" collapsed="false">
      <c r="A369" s="15" t="s">
        <v>426</v>
      </c>
      <c r="B369" s="16" t="n">
        <v>46009</v>
      </c>
      <c r="C369" s="15" t="s">
        <v>68</v>
      </c>
      <c r="D369" s="15" t="s">
        <v>42</v>
      </c>
      <c r="E369" s="15" t="s">
        <v>39</v>
      </c>
      <c r="F369" s="15" t="s">
        <v>18</v>
      </c>
      <c r="G369" s="15" t="s">
        <v>30</v>
      </c>
      <c r="H369" s="15" t="n">
        <v>2</v>
      </c>
      <c r="I369" s="17" t="n">
        <v>0.2</v>
      </c>
      <c r="J369" s="18" t="n">
        <v>65.75</v>
      </c>
      <c r="K369" s="19" t="n">
        <v>5.64</v>
      </c>
      <c r="L369" s="15" t="n">
        <f aca="false">YEAR(B369)</f>
        <v>2025</v>
      </c>
      <c r="M369" s="20" t="n">
        <f aca="false">IF(J369&gt;0,K369/J369,0)</f>
        <v>0.0857794676806084</v>
      </c>
    </row>
    <row r="370" customFormat="false" ht="15" hidden="false" customHeight="false" outlineLevel="0" collapsed="false">
      <c r="A370" s="15" t="s">
        <v>427</v>
      </c>
      <c r="B370" s="16" t="n">
        <v>44698</v>
      </c>
      <c r="C370" s="15" t="s">
        <v>56</v>
      </c>
      <c r="D370" s="15" t="s">
        <v>42</v>
      </c>
      <c r="E370" s="15" t="s">
        <v>38</v>
      </c>
      <c r="F370" s="15" t="s">
        <v>18</v>
      </c>
      <c r="G370" s="15" t="s">
        <v>30</v>
      </c>
      <c r="H370" s="15" t="n">
        <v>2</v>
      </c>
      <c r="I370" s="17" t="n">
        <v>0.1</v>
      </c>
      <c r="J370" s="18" t="n">
        <v>58.59</v>
      </c>
      <c r="K370" s="19" t="n">
        <v>9.52</v>
      </c>
      <c r="L370" s="15" t="n">
        <f aca="false">YEAR(B370)</f>
        <v>2022</v>
      </c>
      <c r="M370" s="20" t="n">
        <f aca="false">IF(J370&gt;0,K370/J370,0)</f>
        <v>0.162485065710872</v>
      </c>
    </row>
    <row r="371" customFormat="false" ht="15" hidden="false" customHeight="false" outlineLevel="0" collapsed="false">
      <c r="A371" s="15" t="s">
        <v>428</v>
      </c>
      <c r="B371" s="16" t="n">
        <v>45598</v>
      </c>
      <c r="C371" s="15" t="s">
        <v>56</v>
      </c>
      <c r="D371" s="15" t="s">
        <v>43</v>
      </c>
      <c r="E371" s="15" t="s">
        <v>39</v>
      </c>
      <c r="F371" s="15" t="s">
        <v>16</v>
      </c>
      <c r="G371" s="15" t="s">
        <v>27</v>
      </c>
      <c r="H371" s="15" t="n">
        <v>3</v>
      </c>
      <c r="I371" s="17" t="n">
        <v>0.05</v>
      </c>
      <c r="J371" s="18" t="n">
        <v>217.33</v>
      </c>
      <c r="K371" s="19" t="n">
        <v>53</v>
      </c>
      <c r="L371" s="15" t="n">
        <f aca="false">YEAR(B371)</f>
        <v>2024</v>
      </c>
      <c r="M371" s="20" t="n">
        <f aca="false">IF(J371&gt;0,K371/J371,0)</f>
        <v>0.24386877099342</v>
      </c>
    </row>
    <row r="372" customFormat="false" ht="15" hidden="false" customHeight="false" outlineLevel="0" collapsed="false">
      <c r="A372" s="15" t="s">
        <v>429</v>
      </c>
      <c r="B372" s="16" t="n">
        <v>46015</v>
      </c>
      <c r="C372" s="15" t="s">
        <v>68</v>
      </c>
      <c r="D372" s="15" t="s">
        <v>43</v>
      </c>
      <c r="E372" s="15" t="s">
        <v>38</v>
      </c>
      <c r="F372" s="15" t="s">
        <v>17</v>
      </c>
      <c r="G372" s="15" t="s">
        <v>31</v>
      </c>
      <c r="H372" s="15" t="n">
        <v>2</v>
      </c>
      <c r="I372" s="17" t="n">
        <v>0</v>
      </c>
      <c r="J372" s="18" t="n">
        <v>280.38</v>
      </c>
      <c r="K372" s="19" t="n">
        <v>58.93</v>
      </c>
      <c r="L372" s="15" t="n">
        <f aca="false">YEAR(B372)</f>
        <v>2025</v>
      </c>
      <c r="M372" s="20" t="n">
        <f aca="false">IF(J372&gt;0,K372/J372,0)</f>
        <v>0.210179042727727</v>
      </c>
    </row>
    <row r="373" customFormat="false" ht="15" hidden="false" customHeight="false" outlineLevel="0" collapsed="false">
      <c r="A373" s="15" t="s">
        <v>430</v>
      </c>
      <c r="B373" s="16" t="n">
        <v>44842</v>
      </c>
      <c r="C373" s="15" t="s">
        <v>71</v>
      </c>
      <c r="D373" s="15" t="s">
        <v>42</v>
      </c>
      <c r="E373" s="15" t="s">
        <v>37</v>
      </c>
      <c r="F373" s="15" t="s">
        <v>16</v>
      </c>
      <c r="G373" s="15" t="s">
        <v>22</v>
      </c>
      <c r="H373" s="15" t="n">
        <v>3</v>
      </c>
      <c r="I373" s="17" t="n">
        <v>0.05</v>
      </c>
      <c r="J373" s="18" t="n">
        <v>1432.26</v>
      </c>
      <c r="K373" s="19" t="n">
        <v>-64.17</v>
      </c>
      <c r="L373" s="15" t="n">
        <f aca="false">YEAR(B373)</f>
        <v>2022</v>
      </c>
      <c r="M373" s="20" t="n">
        <f aca="false">IF(J373&gt;0,K373/J373,0)</f>
        <v>-0.0448033178333543</v>
      </c>
    </row>
    <row r="374" customFormat="false" ht="15" hidden="false" customHeight="false" outlineLevel="0" collapsed="false">
      <c r="A374" s="15" t="s">
        <v>431</v>
      </c>
      <c r="B374" s="16" t="n">
        <v>45751</v>
      </c>
      <c r="C374" s="15" t="s">
        <v>58</v>
      </c>
      <c r="D374" s="15" t="s">
        <v>42</v>
      </c>
      <c r="E374" s="15" t="s">
        <v>37</v>
      </c>
      <c r="F374" s="15" t="s">
        <v>18</v>
      </c>
      <c r="G374" s="15" t="s">
        <v>30</v>
      </c>
      <c r="H374" s="15" t="n">
        <v>4</v>
      </c>
      <c r="I374" s="17" t="n">
        <v>0.1</v>
      </c>
      <c r="J374" s="18" t="n">
        <v>165.99</v>
      </c>
      <c r="K374" s="19" t="n">
        <v>35.31</v>
      </c>
      <c r="L374" s="15" t="n">
        <f aca="false">YEAR(B374)</f>
        <v>2025</v>
      </c>
      <c r="M374" s="20" t="n">
        <f aca="false">IF(J374&gt;0,K374/J374,0)</f>
        <v>0.21272365805169</v>
      </c>
    </row>
    <row r="375" customFormat="false" ht="15" hidden="false" customHeight="false" outlineLevel="0" collapsed="false">
      <c r="A375" s="15" t="s">
        <v>432</v>
      </c>
      <c r="B375" s="16" t="n">
        <v>45000</v>
      </c>
      <c r="C375" s="15" t="s">
        <v>56</v>
      </c>
      <c r="D375" s="15" t="s">
        <v>44</v>
      </c>
      <c r="E375" s="15" t="s">
        <v>36</v>
      </c>
      <c r="F375" s="15" t="s">
        <v>17</v>
      </c>
      <c r="G375" s="15" t="s">
        <v>26</v>
      </c>
      <c r="H375" s="15" t="n">
        <v>4</v>
      </c>
      <c r="I375" s="17" t="n">
        <v>0.4</v>
      </c>
      <c r="J375" s="18" t="n">
        <v>223.68</v>
      </c>
      <c r="K375" s="19" t="n">
        <v>-53.27</v>
      </c>
      <c r="L375" s="15" t="n">
        <f aca="false">YEAR(B375)</f>
        <v>2023</v>
      </c>
      <c r="M375" s="20" t="n">
        <f aca="false">IF(J375&gt;0,K375/J375,0)</f>
        <v>-0.238152718168813</v>
      </c>
    </row>
    <row r="376" customFormat="false" ht="15" hidden="false" customHeight="false" outlineLevel="0" collapsed="false">
      <c r="A376" s="15" t="s">
        <v>433</v>
      </c>
      <c r="B376" s="16" t="n">
        <v>45424</v>
      </c>
      <c r="C376" s="15" t="s">
        <v>56</v>
      </c>
      <c r="D376" s="15" t="s">
        <v>44</v>
      </c>
      <c r="E376" s="15" t="s">
        <v>37</v>
      </c>
      <c r="F376" s="15" t="s">
        <v>17</v>
      </c>
      <c r="G376" s="15" t="s">
        <v>28</v>
      </c>
      <c r="H376" s="15" t="n">
        <v>2</v>
      </c>
      <c r="I376" s="17" t="n">
        <v>0.05</v>
      </c>
      <c r="J376" s="18" t="n">
        <v>49.76</v>
      </c>
      <c r="K376" s="19" t="n">
        <v>7.94</v>
      </c>
      <c r="L376" s="15" t="n">
        <f aca="false">YEAR(B376)</f>
        <v>2024</v>
      </c>
      <c r="M376" s="20" t="n">
        <f aca="false">IF(J376&gt;0,K376/J376,0)</f>
        <v>0.159565916398714</v>
      </c>
    </row>
    <row r="377" customFormat="false" ht="15" hidden="false" customHeight="false" outlineLevel="0" collapsed="false">
      <c r="A377" s="15" t="s">
        <v>434</v>
      </c>
      <c r="B377" s="16" t="n">
        <v>45558</v>
      </c>
      <c r="C377" s="15" t="s">
        <v>56</v>
      </c>
      <c r="D377" s="15" t="s">
        <v>43</v>
      </c>
      <c r="E377" s="15" t="s">
        <v>39</v>
      </c>
      <c r="F377" s="15" t="s">
        <v>16</v>
      </c>
      <c r="G377" s="15" t="s">
        <v>22</v>
      </c>
      <c r="H377" s="15" t="n">
        <v>2</v>
      </c>
      <c r="I377" s="17" t="n">
        <v>0.05</v>
      </c>
      <c r="J377" s="18" t="n">
        <v>1112.2</v>
      </c>
      <c r="K377" s="19" t="n">
        <v>-160.1</v>
      </c>
      <c r="L377" s="15" t="n">
        <f aca="false">YEAR(B377)</f>
        <v>2024</v>
      </c>
      <c r="M377" s="20" t="n">
        <f aca="false">IF(J377&gt;0,K377/J377,0)</f>
        <v>-0.143948930048552</v>
      </c>
    </row>
    <row r="378" customFormat="false" ht="15" hidden="false" customHeight="false" outlineLevel="0" collapsed="false">
      <c r="A378" s="15" t="s">
        <v>435</v>
      </c>
      <c r="B378" s="16" t="n">
        <v>45370</v>
      </c>
      <c r="C378" s="15" t="s">
        <v>56</v>
      </c>
      <c r="D378" s="15" t="s">
        <v>42</v>
      </c>
      <c r="E378" s="15" t="s">
        <v>37</v>
      </c>
      <c r="F378" s="15" t="s">
        <v>18</v>
      </c>
      <c r="G378" s="15" t="s">
        <v>24</v>
      </c>
      <c r="H378" s="15" t="n">
        <v>3</v>
      </c>
      <c r="I378" s="17" t="n">
        <v>0.1</v>
      </c>
      <c r="J378" s="18" t="n">
        <v>2297.7</v>
      </c>
      <c r="K378" s="19" t="n">
        <v>-303.61</v>
      </c>
      <c r="L378" s="15" t="n">
        <f aca="false">YEAR(B378)</f>
        <v>2024</v>
      </c>
      <c r="M378" s="20" t="n">
        <f aca="false">IF(J378&gt;0,K378/J378,0)</f>
        <v>-0.132136484310397</v>
      </c>
    </row>
    <row r="379" customFormat="false" ht="15" hidden="false" customHeight="false" outlineLevel="0" collapsed="false">
      <c r="A379" s="15" t="s">
        <v>436</v>
      </c>
      <c r="B379" s="16" t="n">
        <v>45163</v>
      </c>
      <c r="C379" s="15" t="s">
        <v>71</v>
      </c>
      <c r="D379" s="15" t="s">
        <v>43</v>
      </c>
      <c r="E379" s="15" t="s">
        <v>38</v>
      </c>
      <c r="F379" s="15" t="s">
        <v>18</v>
      </c>
      <c r="G379" s="15" t="s">
        <v>30</v>
      </c>
      <c r="H379" s="15" t="n">
        <v>6</v>
      </c>
      <c r="I379" s="17" t="n">
        <v>0.2</v>
      </c>
      <c r="J379" s="18" t="n">
        <v>230.17</v>
      </c>
      <c r="K379" s="19" t="n">
        <v>27.51</v>
      </c>
      <c r="L379" s="15" t="n">
        <f aca="false">YEAR(B379)</f>
        <v>2023</v>
      </c>
      <c r="M379" s="20" t="n">
        <f aca="false">IF(J379&gt;0,K379/J379,0)</f>
        <v>0.119520354520572</v>
      </c>
    </row>
    <row r="380" customFormat="false" ht="15" hidden="false" customHeight="false" outlineLevel="0" collapsed="false">
      <c r="A380" s="15" t="s">
        <v>437</v>
      </c>
      <c r="B380" s="16" t="n">
        <v>44984</v>
      </c>
      <c r="C380" s="15" t="s">
        <v>58</v>
      </c>
      <c r="D380" s="15" t="s">
        <v>43</v>
      </c>
      <c r="E380" s="15" t="s">
        <v>37</v>
      </c>
      <c r="F380" s="15" t="s">
        <v>17</v>
      </c>
      <c r="G380" s="15" t="s">
        <v>26</v>
      </c>
      <c r="H380" s="15" t="n">
        <v>5</v>
      </c>
      <c r="I380" s="17" t="n">
        <v>0.05</v>
      </c>
      <c r="J380" s="18" t="n">
        <v>445.67</v>
      </c>
      <c r="K380" s="19" t="n">
        <v>15.39</v>
      </c>
      <c r="L380" s="15" t="n">
        <f aca="false">YEAR(B380)</f>
        <v>2023</v>
      </c>
      <c r="M380" s="20" t="n">
        <f aca="false">IF(J380&gt;0,K380/J380,0)</f>
        <v>0.0345322772454956</v>
      </c>
    </row>
    <row r="381" customFormat="false" ht="15" hidden="false" customHeight="false" outlineLevel="0" collapsed="false">
      <c r="A381" s="15" t="s">
        <v>438</v>
      </c>
      <c r="B381" s="16" t="n">
        <v>45479</v>
      </c>
      <c r="C381" s="15" t="s">
        <v>71</v>
      </c>
      <c r="D381" s="15" t="s">
        <v>42</v>
      </c>
      <c r="E381" s="15" t="s">
        <v>36</v>
      </c>
      <c r="F381" s="15" t="s">
        <v>17</v>
      </c>
      <c r="G381" s="15" t="s">
        <v>31</v>
      </c>
      <c r="H381" s="15" t="n">
        <v>2</v>
      </c>
      <c r="I381" s="17" t="n">
        <v>0.05</v>
      </c>
      <c r="J381" s="18" t="n">
        <v>270.37</v>
      </c>
      <c r="K381" s="19" t="n">
        <v>44.99</v>
      </c>
      <c r="L381" s="15" t="n">
        <f aca="false">YEAR(B381)</f>
        <v>2024</v>
      </c>
      <c r="M381" s="20" t="n">
        <f aca="false">IF(J381&gt;0,K381/J381,0)</f>
        <v>0.166401597810408</v>
      </c>
    </row>
    <row r="382" customFormat="false" ht="15" hidden="false" customHeight="false" outlineLevel="0" collapsed="false">
      <c r="A382" s="15" t="s">
        <v>439</v>
      </c>
      <c r="B382" s="16" t="n">
        <v>45176</v>
      </c>
      <c r="C382" s="15" t="s">
        <v>68</v>
      </c>
      <c r="D382" s="15" t="s">
        <v>43</v>
      </c>
      <c r="E382" s="15" t="s">
        <v>38</v>
      </c>
      <c r="F382" s="15" t="s">
        <v>17</v>
      </c>
      <c r="G382" s="15" t="s">
        <v>28</v>
      </c>
      <c r="H382" s="15" t="n">
        <v>6</v>
      </c>
      <c r="I382" s="17" t="n">
        <v>0.3</v>
      </c>
      <c r="J382" s="18" t="n">
        <v>125.3</v>
      </c>
      <c r="K382" s="19" t="n">
        <v>-0.55</v>
      </c>
      <c r="L382" s="15" t="n">
        <f aca="false">YEAR(B382)</f>
        <v>2023</v>
      </c>
      <c r="M382" s="20" t="n">
        <f aca="false">IF(J382&gt;0,K382/J382,0)</f>
        <v>-0.00438946528332003</v>
      </c>
    </row>
    <row r="383" customFormat="false" ht="15" hidden="false" customHeight="false" outlineLevel="0" collapsed="false">
      <c r="A383" s="15" t="s">
        <v>440</v>
      </c>
      <c r="B383" s="16" t="n">
        <v>45240</v>
      </c>
      <c r="C383" s="15" t="s">
        <v>68</v>
      </c>
      <c r="D383" s="15" t="s">
        <v>43</v>
      </c>
      <c r="E383" s="15" t="s">
        <v>36</v>
      </c>
      <c r="F383" s="15" t="s">
        <v>16</v>
      </c>
      <c r="G383" s="15" t="s">
        <v>22</v>
      </c>
      <c r="H383" s="15" t="n">
        <v>2</v>
      </c>
      <c r="I383" s="17" t="n">
        <v>0</v>
      </c>
      <c r="J383" s="18" t="n">
        <v>856.2</v>
      </c>
      <c r="K383" s="19" t="n">
        <v>-34.23</v>
      </c>
      <c r="L383" s="15" t="n">
        <f aca="false">YEAR(B383)</f>
        <v>2023</v>
      </c>
      <c r="M383" s="20" t="n">
        <f aca="false">IF(J383&gt;0,K383/J383,0)</f>
        <v>-0.039978976874562</v>
      </c>
    </row>
    <row r="384" customFormat="false" ht="15" hidden="false" customHeight="false" outlineLevel="0" collapsed="false">
      <c r="A384" s="15" t="s">
        <v>441</v>
      </c>
      <c r="B384" s="16" t="n">
        <v>45972</v>
      </c>
      <c r="C384" s="15" t="s">
        <v>71</v>
      </c>
      <c r="D384" s="15" t="s">
        <v>43</v>
      </c>
      <c r="E384" s="15" t="s">
        <v>36</v>
      </c>
      <c r="F384" s="15" t="s">
        <v>17</v>
      </c>
      <c r="G384" s="15" t="s">
        <v>28</v>
      </c>
      <c r="H384" s="15" t="n">
        <v>7</v>
      </c>
      <c r="I384" s="17" t="n">
        <v>0</v>
      </c>
      <c r="J384" s="18" t="n">
        <v>148.73</v>
      </c>
      <c r="K384" s="19" t="n">
        <v>47.13</v>
      </c>
      <c r="L384" s="15" t="n">
        <f aca="false">YEAR(B384)</f>
        <v>2025</v>
      </c>
      <c r="M384" s="20" t="n">
        <f aca="false">IF(J384&gt;0,K384/J384,0)</f>
        <v>0.316882942244335</v>
      </c>
    </row>
    <row r="385" customFormat="false" ht="15" hidden="false" customHeight="false" outlineLevel="0" collapsed="false">
      <c r="A385" s="15" t="s">
        <v>442</v>
      </c>
      <c r="B385" s="16" t="n">
        <v>45001</v>
      </c>
      <c r="C385" s="15" t="s">
        <v>71</v>
      </c>
      <c r="D385" s="15" t="s">
        <v>42</v>
      </c>
      <c r="E385" s="15" t="s">
        <v>37</v>
      </c>
      <c r="F385" s="15" t="s">
        <v>17</v>
      </c>
      <c r="G385" s="15" t="s">
        <v>26</v>
      </c>
      <c r="H385" s="15" t="n">
        <v>2</v>
      </c>
      <c r="I385" s="17" t="n">
        <v>0.2</v>
      </c>
      <c r="J385" s="18" t="n">
        <v>166.07</v>
      </c>
      <c r="K385" s="19" t="n">
        <v>-15.03</v>
      </c>
      <c r="L385" s="15" t="n">
        <f aca="false">YEAR(B385)</f>
        <v>2023</v>
      </c>
      <c r="M385" s="20" t="n">
        <f aca="false">IF(J385&gt;0,K385/J385,0)</f>
        <v>-0.0905040043355212</v>
      </c>
    </row>
    <row r="386" customFormat="false" ht="15" hidden="false" customHeight="false" outlineLevel="0" collapsed="false">
      <c r="A386" s="15" t="s">
        <v>443</v>
      </c>
      <c r="B386" s="16" t="n">
        <v>44573</v>
      </c>
      <c r="C386" s="15" t="s">
        <v>68</v>
      </c>
      <c r="D386" s="15" t="s">
        <v>43</v>
      </c>
      <c r="E386" s="15" t="s">
        <v>37</v>
      </c>
      <c r="F386" s="15" t="s">
        <v>16</v>
      </c>
      <c r="G386" s="15" t="s">
        <v>27</v>
      </c>
      <c r="H386" s="15" t="n">
        <v>4</v>
      </c>
      <c r="I386" s="17" t="n">
        <v>0</v>
      </c>
      <c r="J386" s="18" t="n">
        <v>263.27</v>
      </c>
      <c r="K386" s="19" t="n">
        <v>58.56</v>
      </c>
      <c r="L386" s="15" t="n">
        <f aca="false">YEAR(B386)</f>
        <v>2022</v>
      </c>
      <c r="M386" s="20" t="n">
        <f aca="false">IF(J386&gt;0,K386/J386,0)</f>
        <v>0.222433243438295</v>
      </c>
    </row>
    <row r="387" customFormat="false" ht="15" hidden="false" customHeight="false" outlineLevel="0" collapsed="false">
      <c r="A387" s="15" t="s">
        <v>444</v>
      </c>
      <c r="B387" s="16" t="n">
        <v>45398</v>
      </c>
      <c r="C387" s="15" t="s">
        <v>68</v>
      </c>
      <c r="D387" s="15" t="s">
        <v>42</v>
      </c>
      <c r="E387" s="15" t="s">
        <v>39</v>
      </c>
      <c r="F387" s="15" t="s">
        <v>16</v>
      </c>
      <c r="G387" s="15" t="s">
        <v>27</v>
      </c>
      <c r="H387" s="15" t="n">
        <v>5</v>
      </c>
      <c r="I387" s="17" t="n">
        <v>0.05</v>
      </c>
      <c r="J387" s="18" t="n">
        <v>338.62</v>
      </c>
      <c r="K387" s="19" t="n">
        <v>73.06</v>
      </c>
      <c r="L387" s="15" t="n">
        <f aca="false">YEAR(B387)</f>
        <v>2024</v>
      </c>
      <c r="M387" s="20" t="n">
        <f aca="false">IF(J387&gt;0,K387/J387,0)</f>
        <v>0.21575807690036</v>
      </c>
    </row>
    <row r="388" customFormat="false" ht="15" hidden="false" customHeight="false" outlineLevel="0" collapsed="false">
      <c r="A388" s="15" t="s">
        <v>445</v>
      </c>
      <c r="B388" s="16" t="n">
        <v>45461</v>
      </c>
      <c r="C388" s="15" t="s">
        <v>68</v>
      </c>
      <c r="D388" s="15" t="s">
        <v>42</v>
      </c>
      <c r="E388" s="15" t="s">
        <v>37</v>
      </c>
      <c r="F388" s="15" t="s">
        <v>17</v>
      </c>
      <c r="G388" s="15" t="s">
        <v>31</v>
      </c>
      <c r="H388" s="15" t="n">
        <v>3</v>
      </c>
      <c r="I388" s="17" t="n">
        <v>0.2</v>
      </c>
      <c r="J388" s="18" t="n">
        <v>300.67</v>
      </c>
      <c r="K388" s="19" t="n">
        <v>-6.85</v>
      </c>
      <c r="L388" s="15" t="n">
        <f aca="false">YEAR(B388)</f>
        <v>2024</v>
      </c>
      <c r="M388" s="20" t="n">
        <f aca="false">IF(J388&gt;0,K388/J388,0)</f>
        <v>-0.0227824525226993</v>
      </c>
    </row>
    <row r="389" customFormat="false" ht="15" hidden="false" customHeight="false" outlineLevel="0" collapsed="false">
      <c r="A389" s="15" t="s">
        <v>446</v>
      </c>
      <c r="B389" s="16" t="n">
        <v>45588</v>
      </c>
      <c r="C389" s="15" t="s">
        <v>71</v>
      </c>
      <c r="D389" s="15" t="s">
        <v>42</v>
      </c>
      <c r="E389" s="15" t="s">
        <v>37</v>
      </c>
      <c r="F389" s="15" t="s">
        <v>17</v>
      </c>
      <c r="G389" s="15" t="s">
        <v>26</v>
      </c>
      <c r="H389" s="15" t="n">
        <v>3</v>
      </c>
      <c r="I389" s="17" t="n">
        <v>0.15</v>
      </c>
      <c r="J389" s="18" t="n">
        <v>216.88</v>
      </c>
      <c r="K389" s="19" t="n">
        <v>-7.68</v>
      </c>
      <c r="L389" s="15" t="n">
        <f aca="false">YEAR(B389)</f>
        <v>2024</v>
      </c>
      <c r="M389" s="20" t="n">
        <f aca="false">IF(J389&gt;0,K389/J389,0)</f>
        <v>-0.0354112873478421</v>
      </c>
    </row>
    <row r="390" customFormat="false" ht="15" hidden="false" customHeight="false" outlineLevel="0" collapsed="false">
      <c r="A390" s="15" t="s">
        <v>447</v>
      </c>
      <c r="B390" s="16" t="n">
        <v>45935</v>
      </c>
      <c r="C390" s="15" t="s">
        <v>71</v>
      </c>
      <c r="D390" s="15" t="s">
        <v>42</v>
      </c>
      <c r="E390" s="15" t="s">
        <v>37</v>
      </c>
      <c r="F390" s="15" t="s">
        <v>17</v>
      </c>
      <c r="G390" s="15" t="s">
        <v>29</v>
      </c>
      <c r="H390" s="15" t="n">
        <v>3</v>
      </c>
      <c r="I390" s="17" t="n">
        <v>0.2</v>
      </c>
      <c r="J390" s="18" t="n">
        <v>49.34</v>
      </c>
      <c r="K390" s="19" t="n">
        <v>13.37</v>
      </c>
      <c r="L390" s="15" t="n">
        <f aca="false">YEAR(B390)</f>
        <v>2025</v>
      </c>
      <c r="M390" s="20" t="n">
        <f aca="false">IF(J390&gt;0,K390/J390,0)</f>
        <v>0.270976895014187</v>
      </c>
    </row>
    <row r="391" customFormat="false" ht="15" hidden="false" customHeight="false" outlineLevel="0" collapsed="false">
      <c r="A391" s="15" t="s">
        <v>448</v>
      </c>
      <c r="B391" s="16" t="n">
        <v>44922</v>
      </c>
      <c r="C391" s="15" t="s">
        <v>56</v>
      </c>
      <c r="D391" s="15" t="s">
        <v>43</v>
      </c>
      <c r="E391" s="15" t="s">
        <v>36</v>
      </c>
      <c r="F391" s="15" t="s">
        <v>16</v>
      </c>
      <c r="G391" s="15" t="s">
        <v>25</v>
      </c>
      <c r="H391" s="15" t="n">
        <v>4</v>
      </c>
      <c r="I391" s="17" t="n">
        <v>0.05</v>
      </c>
      <c r="J391" s="18" t="n">
        <v>985.26</v>
      </c>
      <c r="K391" s="19" t="n">
        <v>35.17</v>
      </c>
      <c r="L391" s="15" t="n">
        <f aca="false">YEAR(B391)</f>
        <v>2022</v>
      </c>
      <c r="M391" s="20" t="n">
        <f aca="false">IF(J391&gt;0,K391/J391,0)</f>
        <v>0.0356961614193208</v>
      </c>
    </row>
    <row r="392" customFormat="false" ht="15" hidden="false" customHeight="false" outlineLevel="0" collapsed="false">
      <c r="A392" s="15" t="s">
        <v>449</v>
      </c>
      <c r="B392" s="16" t="n">
        <v>45031</v>
      </c>
      <c r="C392" s="15" t="s">
        <v>56</v>
      </c>
      <c r="D392" s="15" t="s">
        <v>43</v>
      </c>
      <c r="E392" s="15" t="s">
        <v>38</v>
      </c>
      <c r="F392" s="15" t="s">
        <v>16</v>
      </c>
      <c r="G392" s="15" t="s">
        <v>23</v>
      </c>
      <c r="H392" s="15" t="n">
        <v>2</v>
      </c>
      <c r="I392" s="17" t="n">
        <v>0</v>
      </c>
      <c r="J392" s="18" t="n">
        <v>552.09</v>
      </c>
      <c r="K392" s="19" t="n">
        <v>31.24</v>
      </c>
      <c r="L392" s="15" t="n">
        <f aca="false">YEAR(B392)</f>
        <v>2023</v>
      </c>
      <c r="M392" s="20" t="n">
        <f aca="false">IF(J392&gt;0,K392/J392,0)</f>
        <v>0.0565849770870691</v>
      </c>
    </row>
    <row r="393" customFormat="false" ht="15" hidden="false" customHeight="false" outlineLevel="0" collapsed="false">
      <c r="A393" s="15" t="s">
        <v>450</v>
      </c>
      <c r="B393" s="16" t="n">
        <v>45963</v>
      </c>
      <c r="C393" s="15" t="s">
        <v>56</v>
      </c>
      <c r="D393" s="15" t="s">
        <v>42</v>
      </c>
      <c r="E393" s="15" t="s">
        <v>38</v>
      </c>
      <c r="F393" s="15" t="s">
        <v>16</v>
      </c>
      <c r="G393" s="15" t="s">
        <v>23</v>
      </c>
      <c r="H393" s="15" t="n">
        <v>3</v>
      </c>
      <c r="I393" s="17" t="n">
        <v>0</v>
      </c>
      <c r="J393" s="18" t="n">
        <v>861.35</v>
      </c>
      <c r="K393" s="19" t="n">
        <v>98.11</v>
      </c>
      <c r="L393" s="15" t="n">
        <f aca="false">YEAR(B393)</f>
        <v>2025</v>
      </c>
      <c r="M393" s="20" t="n">
        <f aca="false">IF(J393&gt;0,K393/J393,0)</f>
        <v>0.113902594764033</v>
      </c>
    </row>
    <row r="394" customFormat="false" ht="15" hidden="false" customHeight="false" outlineLevel="0" collapsed="false">
      <c r="A394" s="15" t="s">
        <v>451</v>
      </c>
      <c r="B394" s="16" t="n">
        <v>45007</v>
      </c>
      <c r="C394" s="15" t="s">
        <v>56</v>
      </c>
      <c r="D394" s="15" t="s">
        <v>42</v>
      </c>
      <c r="E394" s="15" t="s">
        <v>36</v>
      </c>
      <c r="F394" s="15" t="s">
        <v>18</v>
      </c>
      <c r="G394" s="15" t="s">
        <v>30</v>
      </c>
      <c r="H394" s="15" t="n">
        <v>2</v>
      </c>
      <c r="I394" s="17" t="n">
        <v>0</v>
      </c>
      <c r="J394" s="18" t="n">
        <v>67.17</v>
      </c>
      <c r="K394" s="19" t="n">
        <v>18.27</v>
      </c>
      <c r="L394" s="15" t="n">
        <f aca="false">YEAR(B394)</f>
        <v>2023</v>
      </c>
      <c r="M394" s="20" t="n">
        <f aca="false">IF(J394&gt;0,K394/J394,0)</f>
        <v>0.271996426976329</v>
      </c>
    </row>
    <row r="395" customFormat="false" ht="15" hidden="false" customHeight="false" outlineLevel="0" collapsed="false">
      <c r="A395" s="15" t="s">
        <v>452</v>
      </c>
      <c r="B395" s="16" t="n">
        <v>45285</v>
      </c>
      <c r="C395" s="15" t="s">
        <v>56</v>
      </c>
      <c r="D395" s="15" t="s">
        <v>43</v>
      </c>
      <c r="E395" s="15" t="s">
        <v>39</v>
      </c>
      <c r="F395" s="15" t="s">
        <v>17</v>
      </c>
      <c r="G395" s="15" t="s">
        <v>29</v>
      </c>
      <c r="H395" s="15" t="n">
        <v>6</v>
      </c>
      <c r="I395" s="17" t="n">
        <v>0</v>
      </c>
      <c r="J395" s="18" t="n">
        <v>122.78</v>
      </c>
      <c r="K395" s="19" t="n">
        <v>55</v>
      </c>
      <c r="L395" s="15" t="n">
        <f aca="false">YEAR(B395)</f>
        <v>2023</v>
      </c>
      <c r="M395" s="20" t="n">
        <f aca="false">IF(J395&gt;0,K395/J395,0)</f>
        <v>0.447955693109627</v>
      </c>
    </row>
    <row r="396" customFormat="false" ht="15" hidden="false" customHeight="false" outlineLevel="0" collapsed="false">
      <c r="A396" s="15" t="s">
        <v>453</v>
      </c>
      <c r="B396" s="16" t="n">
        <v>44706</v>
      </c>
      <c r="C396" s="15" t="s">
        <v>56</v>
      </c>
      <c r="D396" s="15" t="s">
        <v>42</v>
      </c>
      <c r="E396" s="15" t="s">
        <v>37</v>
      </c>
      <c r="F396" s="15" t="s">
        <v>17</v>
      </c>
      <c r="G396" s="15" t="s">
        <v>26</v>
      </c>
      <c r="H396" s="15" t="n">
        <v>6</v>
      </c>
      <c r="I396" s="17" t="n">
        <v>0.05</v>
      </c>
      <c r="J396" s="18" t="n">
        <v>581.84</v>
      </c>
      <c r="K396" s="19" t="n">
        <v>22.55</v>
      </c>
      <c r="L396" s="15" t="n">
        <f aca="false">YEAR(B396)</f>
        <v>2022</v>
      </c>
      <c r="M396" s="20" t="n">
        <f aca="false">IF(J396&gt;0,K396/J396,0)</f>
        <v>0.0387563591365324</v>
      </c>
    </row>
    <row r="397" customFormat="false" ht="15" hidden="false" customHeight="false" outlineLevel="0" collapsed="false">
      <c r="A397" s="15" t="s">
        <v>454</v>
      </c>
      <c r="B397" s="16" t="n">
        <v>45517</v>
      </c>
      <c r="C397" s="15" t="s">
        <v>68</v>
      </c>
      <c r="D397" s="15" t="s">
        <v>42</v>
      </c>
      <c r="E397" s="15" t="s">
        <v>36</v>
      </c>
      <c r="F397" s="15" t="s">
        <v>17</v>
      </c>
      <c r="G397" s="15" t="s">
        <v>31</v>
      </c>
      <c r="H397" s="15" t="n">
        <v>1</v>
      </c>
      <c r="I397" s="17" t="n">
        <v>0.15</v>
      </c>
      <c r="J397" s="18" t="n">
        <v>117.41</v>
      </c>
      <c r="K397" s="19" t="n">
        <v>3.85</v>
      </c>
      <c r="L397" s="15" t="n">
        <f aca="false">YEAR(B397)</f>
        <v>2024</v>
      </c>
      <c r="M397" s="20" t="n">
        <f aca="false">IF(J397&gt;0,K397/J397,0)</f>
        <v>0.0327910740141385</v>
      </c>
    </row>
    <row r="398" customFormat="false" ht="15" hidden="false" customHeight="false" outlineLevel="0" collapsed="false">
      <c r="A398" s="15" t="s">
        <v>455</v>
      </c>
      <c r="B398" s="16" t="n">
        <v>45104</v>
      </c>
      <c r="C398" s="15" t="s">
        <v>56</v>
      </c>
      <c r="D398" s="15" t="s">
        <v>42</v>
      </c>
      <c r="E398" s="15" t="s">
        <v>37</v>
      </c>
      <c r="F398" s="15" t="s">
        <v>18</v>
      </c>
      <c r="G398" s="15" t="s">
        <v>32</v>
      </c>
      <c r="H398" s="15" t="n">
        <v>5</v>
      </c>
      <c r="I398" s="17" t="n">
        <v>0</v>
      </c>
      <c r="J398" s="18" t="n">
        <v>1810.88</v>
      </c>
      <c r="K398" s="19" t="n">
        <v>369.85</v>
      </c>
      <c r="L398" s="15" t="n">
        <f aca="false">YEAR(B398)</f>
        <v>2023</v>
      </c>
      <c r="M398" s="20" t="n">
        <f aca="false">IF(J398&gt;0,K398/J398,0)</f>
        <v>0.204237718678212</v>
      </c>
    </row>
    <row r="399" customFormat="false" ht="15" hidden="false" customHeight="false" outlineLevel="0" collapsed="false">
      <c r="A399" s="15" t="s">
        <v>456</v>
      </c>
      <c r="B399" s="16" t="n">
        <v>45383</v>
      </c>
      <c r="C399" s="15" t="s">
        <v>71</v>
      </c>
      <c r="D399" s="15" t="s">
        <v>42</v>
      </c>
      <c r="E399" s="15" t="s">
        <v>37</v>
      </c>
      <c r="F399" s="15" t="s">
        <v>16</v>
      </c>
      <c r="G399" s="15" t="s">
        <v>22</v>
      </c>
      <c r="H399" s="15" t="n">
        <v>2</v>
      </c>
      <c r="I399" s="17" t="n">
        <v>0</v>
      </c>
      <c r="J399" s="18" t="n">
        <v>1100.74</v>
      </c>
      <c r="K399" s="19" t="n">
        <v>41.92</v>
      </c>
      <c r="L399" s="15" t="n">
        <f aca="false">YEAR(B399)</f>
        <v>2024</v>
      </c>
      <c r="M399" s="20" t="n">
        <f aca="false">IF(J399&gt;0,K399/J399,0)</f>
        <v>0.0380834711194288</v>
      </c>
    </row>
    <row r="400" customFormat="false" ht="15" hidden="false" customHeight="false" outlineLevel="0" collapsed="false">
      <c r="A400" s="15" t="s">
        <v>457</v>
      </c>
      <c r="B400" s="16" t="n">
        <v>44713</v>
      </c>
      <c r="C400" s="15" t="s">
        <v>58</v>
      </c>
      <c r="D400" s="15" t="s">
        <v>42</v>
      </c>
      <c r="E400" s="15" t="s">
        <v>37</v>
      </c>
      <c r="F400" s="15" t="s">
        <v>17</v>
      </c>
      <c r="G400" s="15" t="s">
        <v>29</v>
      </c>
      <c r="H400" s="15" t="n">
        <v>6</v>
      </c>
      <c r="I400" s="17" t="n">
        <v>0</v>
      </c>
      <c r="J400" s="18" t="n">
        <v>110.93</v>
      </c>
      <c r="K400" s="19" t="n">
        <v>45.38</v>
      </c>
      <c r="L400" s="15" t="n">
        <f aca="false">YEAR(B400)</f>
        <v>2022</v>
      </c>
      <c r="M400" s="20" t="n">
        <f aca="false">IF(J400&gt;0,K400/J400,0)</f>
        <v>0.40908681150275</v>
      </c>
    </row>
    <row r="401" customFormat="false" ht="15" hidden="false" customHeight="false" outlineLevel="0" collapsed="false">
      <c r="A401" s="15" t="s">
        <v>458</v>
      </c>
      <c r="B401" s="16" t="n">
        <v>44882</v>
      </c>
      <c r="C401" s="15" t="s">
        <v>56</v>
      </c>
      <c r="D401" s="15" t="s">
        <v>42</v>
      </c>
      <c r="E401" s="15" t="s">
        <v>36</v>
      </c>
      <c r="F401" s="15" t="s">
        <v>17</v>
      </c>
      <c r="G401" s="15" t="s">
        <v>29</v>
      </c>
      <c r="H401" s="15" t="n">
        <v>5</v>
      </c>
      <c r="I401" s="17" t="n">
        <v>0.15</v>
      </c>
      <c r="J401" s="18" t="n">
        <v>85.2</v>
      </c>
      <c r="K401" s="19" t="n">
        <v>19.45</v>
      </c>
      <c r="L401" s="15" t="n">
        <f aca="false">YEAR(B401)</f>
        <v>2022</v>
      </c>
      <c r="M401" s="20" t="n">
        <f aca="false">IF(J401&gt;0,K401/J401,0)</f>
        <v>0.228286384976526</v>
      </c>
    </row>
    <row r="402" customFormat="false" ht="15" hidden="false" customHeight="false" outlineLevel="0" collapsed="false">
      <c r="A402" s="15" t="s">
        <v>459</v>
      </c>
      <c r="B402" s="16" t="n">
        <v>45882</v>
      </c>
      <c r="C402" s="15" t="s">
        <v>68</v>
      </c>
      <c r="D402" s="15" t="s">
        <v>44</v>
      </c>
      <c r="E402" s="15" t="s">
        <v>37</v>
      </c>
      <c r="F402" s="15" t="s">
        <v>17</v>
      </c>
      <c r="G402" s="15" t="s">
        <v>28</v>
      </c>
      <c r="H402" s="15" t="n">
        <v>5</v>
      </c>
      <c r="I402" s="17" t="n">
        <v>0</v>
      </c>
      <c r="J402" s="18" t="n">
        <v>138.83</v>
      </c>
      <c r="K402" s="19" t="n">
        <v>45.46</v>
      </c>
      <c r="L402" s="15" t="n">
        <f aca="false">YEAR(B402)</f>
        <v>2025</v>
      </c>
      <c r="M402" s="20" t="n">
        <f aca="false">IF(J402&gt;0,K402/J402,0)</f>
        <v>0.327450839155802</v>
      </c>
    </row>
    <row r="403" customFormat="false" ht="15" hidden="false" customHeight="false" outlineLevel="0" collapsed="false">
      <c r="A403" s="15" t="s">
        <v>460</v>
      </c>
      <c r="B403" s="16" t="n">
        <v>45056</v>
      </c>
      <c r="C403" s="15" t="s">
        <v>58</v>
      </c>
      <c r="D403" s="15" t="s">
        <v>42</v>
      </c>
      <c r="E403" s="15" t="s">
        <v>37</v>
      </c>
      <c r="F403" s="15" t="s">
        <v>18</v>
      </c>
      <c r="G403" s="15" t="s">
        <v>30</v>
      </c>
      <c r="H403" s="15" t="n">
        <v>5</v>
      </c>
      <c r="I403" s="17" t="n">
        <v>0</v>
      </c>
      <c r="J403" s="18" t="n">
        <v>196.16</v>
      </c>
      <c r="K403" s="19" t="n">
        <v>72.14</v>
      </c>
      <c r="L403" s="15" t="n">
        <f aca="false">YEAR(B403)</f>
        <v>2023</v>
      </c>
      <c r="M403" s="20" t="n">
        <f aca="false">IF(J403&gt;0,K403/J403,0)</f>
        <v>0.36776101141925</v>
      </c>
    </row>
    <row r="404" customFormat="false" ht="15" hidden="false" customHeight="false" outlineLevel="0" collapsed="false">
      <c r="A404" s="15" t="s">
        <v>461</v>
      </c>
      <c r="B404" s="16" t="n">
        <v>45936</v>
      </c>
      <c r="C404" s="15" t="s">
        <v>71</v>
      </c>
      <c r="D404" s="15" t="s">
        <v>42</v>
      </c>
      <c r="E404" s="15" t="s">
        <v>36</v>
      </c>
      <c r="F404" s="15" t="s">
        <v>18</v>
      </c>
      <c r="G404" s="15" t="s">
        <v>32</v>
      </c>
      <c r="H404" s="15" t="n">
        <v>7</v>
      </c>
      <c r="I404" s="17" t="n">
        <v>0</v>
      </c>
      <c r="J404" s="18" t="n">
        <v>2704.37</v>
      </c>
      <c r="K404" s="19" t="n">
        <v>454.93</v>
      </c>
      <c r="L404" s="15" t="n">
        <f aca="false">YEAR(B404)</f>
        <v>2025</v>
      </c>
      <c r="M404" s="20" t="n">
        <f aca="false">IF(J404&gt;0,K404/J404,0)</f>
        <v>0.168220324881581</v>
      </c>
    </row>
    <row r="405" customFormat="false" ht="15" hidden="false" customHeight="false" outlineLevel="0" collapsed="false">
      <c r="A405" s="15" t="s">
        <v>462</v>
      </c>
      <c r="B405" s="16" t="n">
        <v>45704</v>
      </c>
      <c r="C405" s="15" t="s">
        <v>56</v>
      </c>
      <c r="D405" s="15" t="s">
        <v>42</v>
      </c>
      <c r="E405" s="15" t="s">
        <v>39</v>
      </c>
      <c r="F405" s="15" t="s">
        <v>18</v>
      </c>
      <c r="G405" s="15" t="s">
        <v>32</v>
      </c>
      <c r="H405" s="15" t="n">
        <v>5</v>
      </c>
      <c r="I405" s="17" t="n">
        <v>0.1</v>
      </c>
      <c r="J405" s="18" t="n">
        <v>2332.98</v>
      </c>
      <c r="K405" s="19" t="n">
        <v>128.88</v>
      </c>
      <c r="L405" s="15" t="n">
        <f aca="false">YEAR(B405)</f>
        <v>2025</v>
      </c>
      <c r="M405" s="20" t="n">
        <f aca="false">IF(J405&gt;0,K405/J405,0)</f>
        <v>0.0552426510300131</v>
      </c>
    </row>
    <row r="406" customFormat="false" ht="15" hidden="false" customHeight="false" outlineLevel="0" collapsed="false">
      <c r="A406" s="15" t="s">
        <v>463</v>
      </c>
      <c r="B406" s="16" t="n">
        <v>45299</v>
      </c>
      <c r="C406" s="15" t="s">
        <v>56</v>
      </c>
      <c r="D406" s="15" t="s">
        <v>44</v>
      </c>
      <c r="E406" s="15" t="s">
        <v>36</v>
      </c>
      <c r="F406" s="15" t="s">
        <v>18</v>
      </c>
      <c r="G406" s="15" t="s">
        <v>32</v>
      </c>
      <c r="H406" s="15" t="n">
        <v>5</v>
      </c>
      <c r="I406" s="17" t="n">
        <v>0</v>
      </c>
      <c r="J406" s="18" t="n">
        <v>1947.64</v>
      </c>
      <c r="K406" s="19" t="n">
        <v>406.12</v>
      </c>
      <c r="L406" s="15" t="n">
        <f aca="false">YEAR(B406)</f>
        <v>2024</v>
      </c>
      <c r="M406" s="20" t="n">
        <f aca="false">IF(J406&gt;0,K406/J406,0)</f>
        <v>0.208519028157154</v>
      </c>
    </row>
    <row r="407" customFormat="false" ht="15" hidden="false" customHeight="false" outlineLevel="0" collapsed="false">
      <c r="A407" s="15" t="s">
        <v>464</v>
      </c>
      <c r="B407" s="16" t="n">
        <v>44723</v>
      </c>
      <c r="C407" s="15" t="s">
        <v>71</v>
      </c>
      <c r="D407" s="15" t="s">
        <v>43</v>
      </c>
      <c r="E407" s="15" t="s">
        <v>37</v>
      </c>
      <c r="F407" s="15" t="s">
        <v>17</v>
      </c>
      <c r="G407" s="15" t="s">
        <v>31</v>
      </c>
      <c r="H407" s="15" t="n">
        <v>1</v>
      </c>
      <c r="I407" s="17" t="n">
        <v>0</v>
      </c>
      <c r="J407" s="18" t="n">
        <v>141.99</v>
      </c>
      <c r="K407" s="19" t="n">
        <v>29.78</v>
      </c>
      <c r="L407" s="15" t="n">
        <f aca="false">YEAR(B407)</f>
        <v>2022</v>
      </c>
      <c r="M407" s="20" t="n">
        <f aca="false">IF(J407&gt;0,K407/J407,0)</f>
        <v>0.209733079794352</v>
      </c>
    </row>
    <row r="408" customFormat="false" ht="15" hidden="false" customHeight="false" outlineLevel="0" collapsed="false">
      <c r="A408" s="15" t="s">
        <v>465</v>
      </c>
      <c r="B408" s="16" t="n">
        <v>45956</v>
      </c>
      <c r="C408" s="15" t="s">
        <v>58</v>
      </c>
      <c r="D408" s="15" t="s">
        <v>43</v>
      </c>
      <c r="E408" s="15" t="s">
        <v>37</v>
      </c>
      <c r="F408" s="15" t="s">
        <v>18</v>
      </c>
      <c r="G408" s="15" t="s">
        <v>30</v>
      </c>
      <c r="H408" s="15" t="n">
        <v>2</v>
      </c>
      <c r="I408" s="17" t="n">
        <v>0.2</v>
      </c>
      <c r="J408" s="18" t="n">
        <v>72.53</v>
      </c>
      <c r="K408" s="19" t="n">
        <v>7.64</v>
      </c>
      <c r="L408" s="15" t="n">
        <f aca="false">YEAR(B408)</f>
        <v>2025</v>
      </c>
      <c r="M408" s="20" t="n">
        <f aca="false">IF(J408&gt;0,K408/J408,0)</f>
        <v>0.105335723149042</v>
      </c>
    </row>
    <row r="409" customFormat="false" ht="15" hidden="false" customHeight="false" outlineLevel="0" collapsed="false">
      <c r="A409" s="15" t="s">
        <v>466</v>
      </c>
      <c r="B409" s="16" t="n">
        <v>45914</v>
      </c>
      <c r="C409" s="15" t="s">
        <v>68</v>
      </c>
      <c r="D409" s="15" t="s">
        <v>44</v>
      </c>
      <c r="E409" s="15" t="s">
        <v>39</v>
      </c>
      <c r="F409" s="15" t="s">
        <v>16</v>
      </c>
      <c r="G409" s="15" t="s">
        <v>23</v>
      </c>
      <c r="H409" s="15" t="n">
        <v>4</v>
      </c>
      <c r="I409" s="17" t="n">
        <v>0.2</v>
      </c>
      <c r="J409" s="18" t="n">
        <v>998.29</v>
      </c>
      <c r="K409" s="19" t="n">
        <v>-228.15</v>
      </c>
      <c r="L409" s="15" t="n">
        <f aca="false">YEAR(B409)</f>
        <v>2025</v>
      </c>
      <c r="M409" s="20" t="n">
        <f aca="false">IF(J409&gt;0,K409/J409,0)</f>
        <v>-0.228540804776167</v>
      </c>
    </row>
    <row r="410" customFormat="false" ht="15" hidden="false" customHeight="false" outlineLevel="0" collapsed="false">
      <c r="A410" s="15" t="s">
        <v>467</v>
      </c>
      <c r="B410" s="16" t="n">
        <v>45268</v>
      </c>
      <c r="C410" s="15" t="s">
        <v>56</v>
      </c>
      <c r="D410" s="15" t="s">
        <v>44</v>
      </c>
      <c r="E410" s="15" t="s">
        <v>36</v>
      </c>
      <c r="F410" s="15" t="s">
        <v>17</v>
      </c>
      <c r="G410" s="15" t="s">
        <v>28</v>
      </c>
      <c r="H410" s="15" t="n">
        <v>4</v>
      </c>
      <c r="I410" s="17" t="n">
        <v>0.1</v>
      </c>
      <c r="J410" s="18" t="n">
        <v>84.87</v>
      </c>
      <c r="K410" s="19" t="n">
        <v>23.9</v>
      </c>
      <c r="L410" s="15" t="n">
        <f aca="false">YEAR(B410)</f>
        <v>2023</v>
      </c>
      <c r="M410" s="20" t="n">
        <f aca="false">IF(J410&gt;0,K410/J410,0)</f>
        <v>0.281607163897726</v>
      </c>
    </row>
    <row r="411" customFormat="false" ht="15" hidden="false" customHeight="false" outlineLevel="0" collapsed="false">
      <c r="A411" s="15" t="s">
        <v>468</v>
      </c>
      <c r="B411" s="16" t="n">
        <v>44649</v>
      </c>
      <c r="C411" s="15" t="s">
        <v>71</v>
      </c>
      <c r="D411" s="15" t="s">
        <v>42</v>
      </c>
      <c r="E411" s="15" t="s">
        <v>39</v>
      </c>
      <c r="F411" s="15" t="s">
        <v>17</v>
      </c>
      <c r="G411" s="15" t="s">
        <v>29</v>
      </c>
      <c r="H411" s="15" t="n">
        <v>4</v>
      </c>
      <c r="I411" s="17" t="n">
        <v>0</v>
      </c>
      <c r="J411" s="18" t="n">
        <v>73.14</v>
      </c>
      <c r="K411" s="19" t="n">
        <v>29.24</v>
      </c>
      <c r="L411" s="15" t="n">
        <f aca="false">YEAR(B411)</f>
        <v>2022</v>
      </c>
      <c r="M411" s="20" t="n">
        <f aca="false">IF(J411&gt;0,K411/J411,0)</f>
        <v>0.399781241454744</v>
      </c>
    </row>
    <row r="412" customFormat="false" ht="15" hidden="false" customHeight="false" outlineLevel="0" collapsed="false">
      <c r="A412" s="15" t="s">
        <v>469</v>
      </c>
      <c r="B412" s="16" t="n">
        <v>45200</v>
      </c>
      <c r="C412" s="15" t="s">
        <v>56</v>
      </c>
      <c r="D412" s="15" t="s">
        <v>42</v>
      </c>
      <c r="E412" s="15" t="s">
        <v>36</v>
      </c>
      <c r="F412" s="15" t="s">
        <v>17</v>
      </c>
      <c r="G412" s="15" t="s">
        <v>28</v>
      </c>
      <c r="H412" s="15" t="n">
        <v>4</v>
      </c>
      <c r="I412" s="17" t="n">
        <v>0</v>
      </c>
      <c r="J412" s="18" t="n">
        <v>120.27</v>
      </c>
      <c r="K412" s="19" t="n">
        <v>38.41</v>
      </c>
      <c r="L412" s="15" t="n">
        <f aca="false">YEAR(B412)</f>
        <v>2023</v>
      </c>
      <c r="M412" s="20" t="n">
        <f aca="false">IF(J412&gt;0,K412/J412,0)</f>
        <v>0.319364762617444</v>
      </c>
    </row>
    <row r="413" customFormat="false" ht="15" hidden="false" customHeight="false" outlineLevel="0" collapsed="false">
      <c r="A413" s="15" t="s">
        <v>470</v>
      </c>
      <c r="B413" s="16" t="n">
        <v>45795</v>
      </c>
      <c r="C413" s="15" t="s">
        <v>56</v>
      </c>
      <c r="D413" s="15" t="s">
        <v>44</v>
      </c>
      <c r="E413" s="15" t="s">
        <v>37</v>
      </c>
      <c r="F413" s="15" t="s">
        <v>17</v>
      </c>
      <c r="G413" s="15" t="s">
        <v>31</v>
      </c>
      <c r="H413" s="15" t="n">
        <v>3</v>
      </c>
      <c r="I413" s="17" t="n">
        <v>0</v>
      </c>
      <c r="J413" s="18" t="n">
        <v>452.9</v>
      </c>
      <c r="K413" s="19" t="n">
        <v>90.7</v>
      </c>
      <c r="L413" s="15" t="n">
        <f aca="false">YEAR(B413)</f>
        <v>2025</v>
      </c>
      <c r="M413" s="20" t="n">
        <f aca="false">IF(J413&gt;0,K413/J413,0)</f>
        <v>0.200264959152131</v>
      </c>
    </row>
    <row r="414" customFormat="false" ht="15" hidden="false" customHeight="false" outlineLevel="0" collapsed="false">
      <c r="A414" s="15" t="s">
        <v>471</v>
      </c>
      <c r="B414" s="16" t="n">
        <v>45810</v>
      </c>
      <c r="C414" s="15" t="s">
        <v>71</v>
      </c>
      <c r="D414" s="15" t="s">
        <v>44</v>
      </c>
      <c r="E414" s="15" t="s">
        <v>37</v>
      </c>
      <c r="F414" s="15" t="s">
        <v>17</v>
      </c>
      <c r="G414" s="15" t="s">
        <v>29</v>
      </c>
      <c r="H414" s="15" t="n">
        <v>5</v>
      </c>
      <c r="I414" s="17" t="n">
        <v>0.15</v>
      </c>
      <c r="J414" s="18" t="n">
        <v>87.28</v>
      </c>
      <c r="K414" s="19" t="n">
        <v>22.2</v>
      </c>
      <c r="L414" s="15" t="n">
        <f aca="false">YEAR(B414)</f>
        <v>2025</v>
      </c>
      <c r="M414" s="20" t="n">
        <f aca="false">IF(J414&gt;0,K414/J414,0)</f>
        <v>0.254353803849679</v>
      </c>
    </row>
    <row r="415" customFormat="false" ht="15" hidden="false" customHeight="false" outlineLevel="0" collapsed="false">
      <c r="A415" s="15" t="s">
        <v>472</v>
      </c>
      <c r="B415" s="16" t="n">
        <v>45157</v>
      </c>
      <c r="C415" s="15" t="s">
        <v>71</v>
      </c>
      <c r="D415" s="15" t="s">
        <v>42</v>
      </c>
      <c r="E415" s="15" t="s">
        <v>39</v>
      </c>
      <c r="F415" s="15" t="s">
        <v>18</v>
      </c>
      <c r="G415" s="15" t="s">
        <v>33</v>
      </c>
      <c r="H415" s="15" t="n">
        <v>4</v>
      </c>
      <c r="I415" s="17" t="n">
        <v>0</v>
      </c>
      <c r="J415" s="18" t="n">
        <v>3690.06</v>
      </c>
      <c r="K415" s="19" t="n">
        <v>1113.96</v>
      </c>
      <c r="L415" s="15" t="n">
        <f aca="false">YEAR(B415)</f>
        <v>2023</v>
      </c>
      <c r="M415" s="20" t="n">
        <f aca="false">IF(J415&gt;0,K415/J415,0)</f>
        <v>0.301881270223248</v>
      </c>
    </row>
    <row r="416" customFormat="false" ht="15" hidden="false" customHeight="false" outlineLevel="0" collapsed="false">
      <c r="A416" s="15" t="s">
        <v>473</v>
      </c>
      <c r="B416" s="16" t="n">
        <v>45226</v>
      </c>
      <c r="C416" s="15" t="s">
        <v>56</v>
      </c>
      <c r="D416" s="15" t="s">
        <v>43</v>
      </c>
      <c r="E416" s="15" t="s">
        <v>39</v>
      </c>
      <c r="F416" s="15" t="s">
        <v>17</v>
      </c>
      <c r="G416" s="15" t="s">
        <v>28</v>
      </c>
      <c r="H416" s="15" t="n">
        <v>1</v>
      </c>
      <c r="I416" s="17" t="n">
        <v>0.2</v>
      </c>
      <c r="J416" s="18" t="n">
        <v>18.69</v>
      </c>
      <c r="K416" s="19" t="n">
        <v>1.24</v>
      </c>
      <c r="L416" s="15" t="n">
        <f aca="false">YEAR(B416)</f>
        <v>2023</v>
      </c>
      <c r="M416" s="20" t="n">
        <f aca="false">IF(J416&gt;0,K416/J416,0)</f>
        <v>0.0663456393793473</v>
      </c>
    </row>
    <row r="417" customFormat="false" ht="15" hidden="false" customHeight="false" outlineLevel="0" collapsed="false">
      <c r="A417" s="15" t="s">
        <v>474</v>
      </c>
      <c r="B417" s="16" t="n">
        <v>45109</v>
      </c>
      <c r="C417" s="15" t="s">
        <v>56</v>
      </c>
      <c r="D417" s="15" t="s">
        <v>44</v>
      </c>
      <c r="E417" s="15" t="s">
        <v>36</v>
      </c>
      <c r="F417" s="15" t="s">
        <v>17</v>
      </c>
      <c r="G417" s="15" t="s">
        <v>28</v>
      </c>
      <c r="H417" s="15" t="n">
        <v>1</v>
      </c>
      <c r="I417" s="17" t="n">
        <v>0.15</v>
      </c>
      <c r="J417" s="18" t="n">
        <v>24.52</v>
      </c>
      <c r="K417" s="19" t="n">
        <v>2.73</v>
      </c>
      <c r="L417" s="15" t="n">
        <f aca="false">YEAR(B417)</f>
        <v>2023</v>
      </c>
      <c r="M417" s="20" t="n">
        <f aca="false">IF(J417&gt;0,K417/J417,0)</f>
        <v>0.111337683523654</v>
      </c>
    </row>
    <row r="418" customFormat="false" ht="15" hidden="false" customHeight="false" outlineLevel="0" collapsed="false">
      <c r="A418" s="15" t="s">
        <v>475</v>
      </c>
      <c r="B418" s="16" t="n">
        <v>45260</v>
      </c>
      <c r="C418" s="15" t="s">
        <v>56</v>
      </c>
      <c r="D418" s="15" t="s">
        <v>42</v>
      </c>
      <c r="E418" s="15" t="s">
        <v>36</v>
      </c>
      <c r="F418" s="15" t="s">
        <v>18</v>
      </c>
      <c r="G418" s="15" t="s">
        <v>24</v>
      </c>
      <c r="H418" s="15" t="n">
        <v>1</v>
      </c>
      <c r="I418" s="17" t="n">
        <v>0</v>
      </c>
      <c r="J418" s="18" t="n">
        <v>588.6</v>
      </c>
      <c r="K418" s="19" t="n">
        <v>52.2</v>
      </c>
      <c r="L418" s="15" t="n">
        <f aca="false">YEAR(B418)</f>
        <v>2023</v>
      </c>
      <c r="M418" s="20" t="n">
        <f aca="false">IF(J418&gt;0,K418/J418,0)</f>
        <v>0.0886850152905199</v>
      </c>
    </row>
    <row r="419" customFormat="false" ht="15" hidden="false" customHeight="false" outlineLevel="0" collapsed="false">
      <c r="A419" s="15" t="s">
        <v>476</v>
      </c>
      <c r="B419" s="16" t="n">
        <v>45615</v>
      </c>
      <c r="C419" s="15" t="s">
        <v>71</v>
      </c>
      <c r="D419" s="15" t="s">
        <v>42</v>
      </c>
      <c r="E419" s="15" t="s">
        <v>39</v>
      </c>
      <c r="F419" s="15" t="s">
        <v>16</v>
      </c>
      <c r="G419" s="15" t="s">
        <v>22</v>
      </c>
      <c r="H419" s="15" t="n">
        <v>3</v>
      </c>
      <c r="I419" s="17" t="n">
        <v>0</v>
      </c>
      <c r="J419" s="18" t="n">
        <v>1677.7</v>
      </c>
      <c r="K419" s="19" t="n">
        <v>-29.29</v>
      </c>
      <c r="L419" s="15" t="n">
        <f aca="false">YEAR(B419)</f>
        <v>2024</v>
      </c>
      <c r="M419" s="20" t="n">
        <f aca="false">IF(J419&gt;0,K419/J419,0)</f>
        <v>-0.0174584252250104</v>
      </c>
    </row>
    <row r="420" customFormat="false" ht="15" hidden="false" customHeight="false" outlineLevel="0" collapsed="false">
      <c r="A420" s="15" t="s">
        <v>477</v>
      </c>
      <c r="B420" s="16" t="n">
        <v>45265</v>
      </c>
      <c r="C420" s="15" t="s">
        <v>58</v>
      </c>
      <c r="D420" s="15" t="s">
        <v>42</v>
      </c>
      <c r="E420" s="15" t="s">
        <v>37</v>
      </c>
      <c r="F420" s="15" t="s">
        <v>16</v>
      </c>
      <c r="G420" s="15" t="s">
        <v>22</v>
      </c>
      <c r="H420" s="15" t="n">
        <v>4</v>
      </c>
      <c r="I420" s="17" t="n">
        <v>0.05</v>
      </c>
      <c r="J420" s="18" t="n">
        <v>1890.43</v>
      </c>
      <c r="K420" s="19" t="n">
        <v>-239.11</v>
      </c>
      <c r="L420" s="15" t="n">
        <f aca="false">YEAR(B420)</f>
        <v>2023</v>
      </c>
      <c r="M420" s="20" t="n">
        <f aca="false">IF(J420&gt;0,K420/J420,0)</f>
        <v>-0.126484450627635</v>
      </c>
    </row>
    <row r="421" customFormat="false" ht="15" hidden="false" customHeight="false" outlineLevel="0" collapsed="false">
      <c r="A421" s="15" t="s">
        <v>478</v>
      </c>
      <c r="B421" s="16" t="n">
        <v>45751</v>
      </c>
      <c r="C421" s="15" t="s">
        <v>71</v>
      </c>
      <c r="D421" s="15" t="s">
        <v>43</v>
      </c>
      <c r="E421" s="15" t="s">
        <v>39</v>
      </c>
      <c r="F421" s="15" t="s">
        <v>17</v>
      </c>
      <c r="G421" s="15" t="s">
        <v>28</v>
      </c>
      <c r="H421" s="15" t="n">
        <v>1</v>
      </c>
      <c r="I421" s="17" t="n">
        <v>0</v>
      </c>
      <c r="J421" s="18" t="n">
        <v>30.54</v>
      </c>
      <c r="K421" s="19" t="n">
        <v>9.3</v>
      </c>
      <c r="L421" s="15" t="n">
        <f aca="false">YEAR(B421)</f>
        <v>2025</v>
      </c>
      <c r="M421" s="20" t="n">
        <f aca="false">IF(J421&gt;0,K421/J421,0)</f>
        <v>0.304518664047151</v>
      </c>
    </row>
    <row r="422" customFormat="false" ht="15" hidden="false" customHeight="false" outlineLevel="0" collapsed="false">
      <c r="A422" s="15" t="s">
        <v>479</v>
      </c>
      <c r="B422" s="16" t="n">
        <v>44907</v>
      </c>
      <c r="C422" s="15" t="s">
        <v>56</v>
      </c>
      <c r="D422" s="15" t="s">
        <v>42</v>
      </c>
      <c r="E422" s="15" t="s">
        <v>39</v>
      </c>
      <c r="F422" s="15" t="s">
        <v>17</v>
      </c>
      <c r="G422" s="15" t="s">
        <v>28</v>
      </c>
      <c r="H422" s="15" t="n">
        <v>3</v>
      </c>
      <c r="I422" s="17" t="n">
        <v>0.1</v>
      </c>
      <c r="J422" s="18" t="n">
        <v>70.82</v>
      </c>
      <c r="K422" s="19" t="n">
        <v>10.97</v>
      </c>
      <c r="L422" s="15" t="n">
        <f aca="false">YEAR(B422)</f>
        <v>2022</v>
      </c>
      <c r="M422" s="20" t="n">
        <f aca="false">IF(J422&gt;0,K422/J422,0)</f>
        <v>0.15489974583451</v>
      </c>
    </row>
    <row r="423" customFormat="false" ht="15" hidden="false" customHeight="false" outlineLevel="0" collapsed="false">
      <c r="A423" s="15" t="s">
        <v>480</v>
      </c>
      <c r="B423" s="16" t="n">
        <v>44749</v>
      </c>
      <c r="C423" s="15" t="s">
        <v>56</v>
      </c>
      <c r="D423" s="15" t="s">
        <v>43</v>
      </c>
      <c r="E423" s="15" t="s">
        <v>37</v>
      </c>
      <c r="F423" s="15" t="s">
        <v>16</v>
      </c>
      <c r="G423" s="15" t="s">
        <v>27</v>
      </c>
      <c r="H423" s="15" t="n">
        <v>2</v>
      </c>
      <c r="I423" s="17" t="n">
        <v>0</v>
      </c>
      <c r="J423" s="18" t="n">
        <v>126.71</v>
      </c>
      <c r="K423" s="19" t="n">
        <v>28.84</v>
      </c>
      <c r="L423" s="15" t="n">
        <f aca="false">YEAR(B423)</f>
        <v>2022</v>
      </c>
      <c r="M423" s="20" t="n">
        <f aca="false">IF(J423&gt;0,K423/J423,0)</f>
        <v>0.227606345197696</v>
      </c>
    </row>
    <row r="424" customFormat="false" ht="15" hidden="false" customHeight="false" outlineLevel="0" collapsed="false">
      <c r="A424" s="15" t="s">
        <v>481</v>
      </c>
      <c r="B424" s="16" t="n">
        <v>45482</v>
      </c>
      <c r="C424" s="15" t="s">
        <v>56</v>
      </c>
      <c r="D424" s="15" t="s">
        <v>42</v>
      </c>
      <c r="E424" s="15" t="s">
        <v>37</v>
      </c>
      <c r="F424" s="15" t="s">
        <v>18</v>
      </c>
      <c r="G424" s="15" t="s">
        <v>32</v>
      </c>
      <c r="H424" s="15" t="n">
        <v>2</v>
      </c>
      <c r="I424" s="17" t="n">
        <v>0.1</v>
      </c>
      <c r="J424" s="18" t="n">
        <v>642.52</v>
      </c>
      <c r="K424" s="19" t="n">
        <v>45.61</v>
      </c>
      <c r="L424" s="15" t="n">
        <f aca="false">YEAR(B424)</f>
        <v>2024</v>
      </c>
      <c r="M424" s="20" t="n">
        <f aca="false">IF(J424&gt;0,K424/J424,0)</f>
        <v>0.0709861171636681</v>
      </c>
    </row>
    <row r="425" customFormat="false" ht="15" hidden="false" customHeight="false" outlineLevel="0" collapsed="false">
      <c r="A425" s="15" t="s">
        <v>482</v>
      </c>
      <c r="B425" s="16" t="n">
        <v>45225</v>
      </c>
      <c r="C425" s="15" t="s">
        <v>56</v>
      </c>
      <c r="D425" s="15" t="s">
        <v>42</v>
      </c>
      <c r="E425" s="15" t="s">
        <v>37</v>
      </c>
      <c r="F425" s="15" t="s">
        <v>17</v>
      </c>
      <c r="G425" s="15" t="s">
        <v>29</v>
      </c>
      <c r="H425" s="15" t="n">
        <v>4</v>
      </c>
      <c r="I425" s="17" t="n">
        <v>0</v>
      </c>
      <c r="J425" s="18" t="n">
        <v>81.91</v>
      </c>
      <c r="K425" s="19" t="n">
        <v>33</v>
      </c>
      <c r="L425" s="15" t="n">
        <f aca="false">YEAR(B425)</f>
        <v>2023</v>
      </c>
      <c r="M425" s="20" t="n">
        <f aca="false">IF(J425&gt;0,K425/J425,0)</f>
        <v>0.402881211085338</v>
      </c>
    </row>
    <row r="426" customFormat="false" ht="15" hidden="false" customHeight="false" outlineLevel="0" collapsed="false">
      <c r="A426" s="15" t="s">
        <v>483</v>
      </c>
      <c r="B426" s="16" t="n">
        <v>44592</v>
      </c>
      <c r="C426" s="15" t="s">
        <v>56</v>
      </c>
      <c r="D426" s="15" t="s">
        <v>43</v>
      </c>
      <c r="E426" s="15" t="s">
        <v>39</v>
      </c>
      <c r="F426" s="15" t="s">
        <v>18</v>
      </c>
      <c r="G426" s="15" t="s">
        <v>33</v>
      </c>
      <c r="H426" s="15" t="n">
        <v>2</v>
      </c>
      <c r="I426" s="17" t="n">
        <v>0.05</v>
      </c>
      <c r="J426" s="18" t="n">
        <v>1873.47</v>
      </c>
      <c r="K426" s="19" t="n">
        <v>352.93</v>
      </c>
      <c r="L426" s="15" t="n">
        <f aca="false">YEAR(B426)</f>
        <v>2022</v>
      </c>
      <c r="M426" s="20" t="n">
        <f aca="false">IF(J426&gt;0,K426/J426,0)</f>
        <v>0.18838305390532</v>
      </c>
    </row>
    <row r="427" customFormat="false" ht="15" hidden="false" customHeight="false" outlineLevel="0" collapsed="false">
      <c r="A427" s="15" t="s">
        <v>484</v>
      </c>
      <c r="B427" s="16" t="n">
        <v>44788</v>
      </c>
      <c r="C427" s="15" t="s">
        <v>56</v>
      </c>
      <c r="D427" s="15" t="s">
        <v>44</v>
      </c>
      <c r="E427" s="15" t="s">
        <v>37</v>
      </c>
      <c r="F427" s="15" t="s">
        <v>17</v>
      </c>
      <c r="G427" s="15" t="s">
        <v>26</v>
      </c>
      <c r="H427" s="15" t="n">
        <v>4</v>
      </c>
      <c r="I427" s="17" t="n">
        <v>0</v>
      </c>
      <c r="J427" s="18" t="n">
        <v>334.61</v>
      </c>
      <c r="K427" s="19" t="n">
        <v>19.9</v>
      </c>
      <c r="L427" s="15" t="n">
        <f aca="false">YEAR(B427)</f>
        <v>2022</v>
      </c>
      <c r="M427" s="20" t="n">
        <f aca="false">IF(J427&gt;0,K427/J427,0)</f>
        <v>0.0594722213920684</v>
      </c>
    </row>
    <row r="428" customFormat="false" ht="15" hidden="false" customHeight="false" outlineLevel="0" collapsed="false">
      <c r="A428" s="15" t="s">
        <v>485</v>
      </c>
      <c r="B428" s="16" t="n">
        <v>44929</v>
      </c>
      <c r="C428" s="15" t="s">
        <v>56</v>
      </c>
      <c r="D428" s="15" t="s">
        <v>42</v>
      </c>
      <c r="E428" s="15" t="s">
        <v>38</v>
      </c>
      <c r="F428" s="15" t="s">
        <v>16</v>
      </c>
      <c r="G428" s="15" t="s">
        <v>22</v>
      </c>
      <c r="H428" s="15" t="n">
        <v>3</v>
      </c>
      <c r="I428" s="17" t="n">
        <v>0</v>
      </c>
      <c r="J428" s="18" t="n">
        <v>1591.63</v>
      </c>
      <c r="K428" s="19" t="n">
        <v>-44.06</v>
      </c>
      <c r="L428" s="15" t="n">
        <f aca="false">YEAR(B428)</f>
        <v>2023</v>
      </c>
      <c r="M428" s="20" t="n">
        <f aca="false">IF(J428&gt;0,K428/J428,0)</f>
        <v>-0.0276823131004065</v>
      </c>
    </row>
    <row r="429" customFormat="false" ht="15" hidden="false" customHeight="false" outlineLevel="0" collapsed="false">
      <c r="A429" s="15" t="s">
        <v>486</v>
      </c>
      <c r="B429" s="16" t="n">
        <v>45705</v>
      </c>
      <c r="C429" s="15" t="s">
        <v>56</v>
      </c>
      <c r="D429" s="15" t="s">
        <v>42</v>
      </c>
      <c r="E429" s="15" t="s">
        <v>38</v>
      </c>
      <c r="F429" s="15" t="s">
        <v>17</v>
      </c>
      <c r="G429" s="15" t="s">
        <v>28</v>
      </c>
      <c r="H429" s="15" t="n">
        <v>3</v>
      </c>
      <c r="I429" s="17" t="n">
        <v>0.3</v>
      </c>
      <c r="J429" s="18" t="n">
        <v>58.23</v>
      </c>
      <c r="K429" s="19" t="n">
        <v>-1</v>
      </c>
      <c r="L429" s="15" t="n">
        <f aca="false">YEAR(B429)</f>
        <v>2025</v>
      </c>
      <c r="M429" s="20" t="n">
        <f aca="false">IF(J429&gt;0,K429/J429,0)</f>
        <v>-0.0171732783788425</v>
      </c>
    </row>
    <row r="430" customFormat="false" ht="15" hidden="false" customHeight="false" outlineLevel="0" collapsed="false">
      <c r="A430" s="15" t="s">
        <v>487</v>
      </c>
      <c r="B430" s="16" t="n">
        <v>45364</v>
      </c>
      <c r="C430" s="15" t="s">
        <v>56</v>
      </c>
      <c r="D430" s="15" t="s">
        <v>43</v>
      </c>
      <c r="E430" s="15" t="s">
        <v>38</v>
      </c>
      <c r="F430" s="15" t="s">
        <v>17</v>
      </c>
      <c r="G430" s="15" t="s">
        <v>29</v>
      </c>
      <c r="H430" s="15" t="n">
        <v>1</v>
      </c>
      <c r="I430" s="17" t="n">
        <v>0.05</v>
      </c>
      <c r="J430" s="18" t="n">
        <v>15.26</v>
      </c>
      <c r="K430" s="19" t="n">
        <v>4.71</v>
      </c>
      <c r="L430" s="15" t="n">
        <f aca="false">YEAR(B430)</f>
        <v>2024</v>
      </c>
      <c r="M430" s="20" t="n">
        <f aca="false">IF(J430&gt;0,K430/J430,0)</f>
        <v>0.3086500655308</v>
      </c>
    </row>
    <row r="431" customFormat="false" ht="15" hidden="false" customHeight="false" outlineLevel="0" collapsed="false">
      <c r="A431" s="15" t="s">
        <v>488</v>
      </c>
      <c r="B431" s="16" t="n">
        <v>45799</v>
      </c>
      <c r="C431" s="15" t="s">
        <v>56</v>
      </c>
      <c r="D431" s="15" t="s">
        <v>42</v>
      </c>
      <c r="E431" s="15" t="s">
        <v>39</v>
      </c>
      <c r="F431" s="15" t="s">
        <v>17</v>
      </c>
      <c r="G431" s="15" t="s">
        <v>29</v>
      </c>
      <c r="H431" s="15" t="n">
        <v>2</v>
      </c>
      <c r="I431" s="17" t="n">
        <v>0.3</v>
      </c>
      <c r="J431" s="18" t="n">
        <v>26.87</v>
      </c>
      <c r="K431" s="19" t="n">
        <v>3.84</v>
      </c>
      <c r="L431" s="15" t="n">
        <f aca="false">YEAR(B431)</f>
        <v>2025</v>
      </c>
      <c r="M431" s="20" t="n">
        <f aca="false">IF(J431&gt;0,K431/J431,0)</f>
        <v>0.142910308894678</v>
      </c>
    </row>
    <row r="432" customFormat="false" ht="15" hidden="false" customHeight="false" outlineLevel="0" collapsed="false">
      <c r="A432" s="15" t="s">
        <v>489</v>
      </c>
      <c r="B432" s="16" t="n">
        <v>45260</v>
      </c>
      <c r="C432" s="15" t="s">
        <v>71</v>
      </c>
      <c r="D432" s="15" t="s">
        <v>42</v>
      </c>
      <c r="E432" s="15" t="s">
        <v>37</v>
      </c>
      <c r="F432" s="15" t="s">
        <v>17</v>
      </c>
      <c r="G432" s="15" t="s">
        <v>29</v>
      </c>
      <c r="H432" s="15" t="n">
        <v>5</v>
      </c>
      <c r="I432" s="17" t="n">
        <v>0.05</v>
      </c>
      <c r="J432" s="18" t="n">
        <v>75.45</v>
      </c>
      <c r="K432" s="19" t="n">
        <v>24.15</v>
      </c>
      <c r="L432" s="15" t="n">
        <f aca="false">YEAR(B432)</f>
        <v>2023</v>
      </c>
      <c r="M432" s="20" t="n">
        <f aca="false">IF(J432&gt;0,K432/J432,0)</f>
        <v>0.320079522862823</v>
      </c>
    </row>
    <row r="433" customFormat="false" ht="15" hidden="false" customHeight="false" outlineLevel="0" collapsed="false">
      <c r="A433" s="15" t="s">
        <v>490</v>
      </c>
      <c r="B433" s="16" t="n">
        <v>44565</v>
      </c>
      <c r="C433" s="15" t="s">
        <v>56</v>
      </c>
      <c r="D433" s="15" t="s">
        <v>43</v>
      </c>
      <c r="E433" s="15" t="s">
        <v>39</v>
      </c>
      <c r="F433" s="15" t="s">
        <v>17</v>
      </c>
      <c r="G433" s="15" t="s">
        <v>31</v>
      </c>
      <c r="H433" s="15" t="n">
        <v>4</v>
      </c>
      <c r="I433" s="17" t="n">
        <v>0.15</v>
      </c>
      <c r="J433" s="18" t="n">
        <v>589.8</v>
      </c>
      <c r="K433" s="19" t="n">
        <v>35.96</v>
      </c>
      <c r="L433" s="15" t="n">
        <f aca="false">YEAR(B433)</f>
        <v>2022</v>
      </c>
      <c r="M433" s="20" t="n">
        <f aca="false">IF(J433&gt;0,K433/J433,0)</f>
        <v>0.0609698202780604</v>
      </c>
    </row>
    <row r="434" customFormat="false" ht="15" hidden="false" customHeight="false" outlineLevel="0" collapsed="false">
      <c r="A434" s="15" t="s">
        <v>491</v>
      </c>
      <c r="B434" s="16" t="n">
        <v>45522</v>
      </c>
      <c r="C434" s="15" t="s">
        <v>58</v>
      </c>
      <c r="D434" s="15" t="s">
        <v>43</v>
      </c>
      <c r="E434" s="15" t="s">
        <v>37</v>
      </c>
      <c r="F434" s="15" t="s">
        <v>18</v>
      </c>
      <c r="G434" s="15" t="s">
        <v>30</v>
      </c>
      <c r="H434" s="15" t="n">
        <v>4</v>
      </c>
      <c r="I434" s="17" t="n">
        <v>0</v>
      </c>
      <c r="J434" s="18" t="n">
        <v>210.15</v>
      </c>
      <c r="K434" s="19" t="n">
        <v>65.24</v>
      </c>
      <c r="L434" s="15" t="n">
        <f aca="false">YEAR(B434)</f>
        <v>2024</v>
      </c>
      <c r="M434" s="20" t="n">
        <f aca="false">IF(J434&gt;0,K434/J434,0)</f>
        <v>0.310444920295027</v>
      </c>
    </row>
    <row r="435" customFormat="false" ht="15" hidden="false" customHeight="false" outlineLevel="0" collapsed="false">
      <c r="A435" s="15" t="s">
        <v>492</v>
      </c>
      <c r="B435" s="16" t="n">
        <v>45531</v>
      </c>
      <c r="C435" s="15" t="s">
        <v>56</v>
      </c>
      <c r="D435" s="15" t="s">
        <v>43</v>
      </c>
      <c r="E435" s="15" t="s">
        <v>36</v>
      </c>
      <c r="F435" s="15" t="s">
        <v>18</v>
      </c>
      <c r="G435" s="15" t="s">
        <v>30</v>
      </c>
      <c r="H435" s="15" t="n">
        <v>5</v>
      </c>
      <c r="I435" s="17" t="n">
        <v>0</v>
      </c>
      <c r="J435" s="18" t="n">
        <v>255.15</v>
      </c>
      <c r="K435" s="19" t="n">
        <v>59.75</v>
      </c>
      <c r="L435" s="15" t="n">
        <f aca="false">YEAR(B435)</f>
        <v>2024</v>
      </c>
      <c r="M435" s="20" t="n">
        <f aca="false">IF(J435&gt;0,K435/J435,0)</f>
        <v>0.234175974916716</v>
      </c>
    </row>
    <row r="436" customFormat="false" ht="15" hidden="false" customHeight="false" outlineLevel="0" collapsed="false">
      <c r="A436" s="15" t="s">
        <v>493</v>
      </c>
      <c r="B436" s="16" t="n">
        <v>45697</v>
      </c>
      <c r="C436" s="15" t="s">
        <v>56</v>
      </c>
      <c r="D436" s="15" t="s">
        <v>42</v>
      </c>
      <c r="E436" s="15" t="s">
        <v>37</v>
      </c>
      <c r="F436" s="15" t="s">
        <v>17</v>
      </c>
      <c r="G436" s="15" t="s">
        <v>29</v>
      </c>
      <c r="H436" s="15" t="n">
        <v>5</v>
      </c>
      <c r="I436" s="17" t="n">
        <v>0</v>
      </c>
      <c r="J436" s="18" t="n">
        <v>80.54</v>
      </c>
      <c r="K436" s="19" t="n">
        <v>34.41</v>
      </c>
      <c r="L436" s="15" t="n">
        <f aca="false">YEAR(B436)</f>
        <v>2025</v>
      </c>
      <c r="M436" s="20" t="n">
        <f aca="false">IF(J436&gt;0,K436/J436,0)</f>
        <v>0.42724112242364</v>
      </c>
    </row>
    <row r="437" customFormat="false" ht="15" hidden="false" customHeight="false" outlineLevel="0" collapsed="false">
      <c r="A437" s="15" t="s">
        <v>494</v>
      </c>
      <c r="B437" s="16" t="n">
        <v>45725</v>
      </c>
      <c r="C437" s="15" t="s">
        <v>56</v>
      </c>
      <c r="D437" s="15" t="s">
        <v>44</v>
      </c>
      <c r="E437" s="15" t="s">
        <v>37</v>
      </c>
      <c r="F437" s="15" t="s">
        <v>17</v>
      </c>
      <c r="G437" s="15" t="s">
        <v>31</v>
      </c>
      <c r="H437" s="15" t="n">
        <v>5</v>
      </c>
      <c r="I437" s="17" t="n">
        <v>0.1</v>
      </c>
      <c r="J437" s="18" t="n">
        <v>674.62</v>
      </c>
      <c r="K437" s="19" t="n">
        <v>70.76</v>
      </c>
      <c r="L437" s="15" t="n">
        <f aca="false">YEAR(B437)</f>
        <v>2025</v>
      </c>
      <c r="M437" s="20" t="n">
        <f aca="false">IF(J437&gt;0,K437/J437,0)</f>
        <v>0.104888678070618</v>
      </c>
    </row>
    <row r="438" customFormat="false" ht="15" hidden="false" customHeight="false" outlineLevel="0" collapsed="false">
      <c r="A438" s="15" t="s">
        <v>495</v>
      </c>
      <c r="B438" s="16" t="n">
        <v>45047</v>
      </c>
      <c r="C438" s="15" t="s">
        <v>71</v>
      </c>
      <c r="D438" s="15" t="s">
        <v>44</v>
      </c>
      <c r="E438" s="15" t="s">
        <v>39</v>
      </c>
      <c r="F438" s="15" t="s">
        <v>17</v>
      </c>
      <c r="G438" s="15" t="s">
        <v>28</v>
      </c>
      <c r="H438" s="15" t="n">
        <v>3</v>
      </c>
      <c r="I438" s="17" t="n">
        <v>0.05</v>
      </c>
      <c r="J438" s="18" t="n">
        <v>77.64</v>
      </c>
      <c r="K438" s="19" t="n">
        <v>20.54</v>
      </c>
      <c r="L438" s="15" t="n">
        <f aca="false">YEAR(B438)</f>
        <v>2023</v>
      </c>
      <c r="M438" s="20" t="n">
        <f aca="false">IF(J438&gt;0,K438/J438,0)</f>
        <v>0.264554353426069</v>
      </c>
    </row>
    <row r="439" customFormat="false" ht="15" hidden="false" customHeight="false" outlineLevel="0" collapsed="false">
      <c r="A439" s="15" t="s">
        <v>496</v>
      </c>
      <c r="B439" s="16" t="n">
        <v>44640</v>
      </c>
      <c r="C439" s="15" t="s">
        <v>56</v>
      </c>
      <c r="D439" s="15" t="s">
        <v>42</v>
      </c>
      <c r="E439" s="15" t="s">
        <v>37</v>
      </c>
      <c r="F439" s="15" t="s">
        <v>17</v>
      </c>
      <c r="G439" s="15" t="s">
        <v>26</v>
      </c>
      <c r="H439" s="15" t="n">
        <v>3</v>
      </c>
      <c r="I439" s="17" t="n">
        <v>0.2</v>
      </c>
      <c r="J439" s="18" t="n">
        <v>203.63</v>
      </c>
      <c r="K439" s="19" t="n">
        <v>-18.29</v>
      </c>
      <c r="L439" s="15" t="n">
        <f aca="false">YEAR(B439)</f>
        <v>2022</v>
      </c>
      <c r="M439" s="20" t="n">
        <f aca="false">IF(J439&gt;0,K439/J439,0)</f>
        <v>-0.0898197711535628</v>
      </c>
    </row>
    <row r="440" customFormat="false" ht="15" hidden="false" customHeight="false" outlineLevel="0" collapsed="false">
      <c r="A440" s="15" t="s">
        <v>497</v>
      </c>
      <c r="B440" s="16" t="n">
        <v>45530</v>
      </c>
      <c r="C440" s="15" t="s">
        <v>71</v>
      </c>
      <c r="D440" s="15" t="s">
        <v>43</v>
      </c>
      <c r="E440" s="15" t="s">
        <v>39</v>
      </c>
      <c r="F440" s="15" t="s">
        <v>17</v>
      </c>
      <c r="G440" s="15" t="s">
        <v>31</v>
      </c>
      <c r="H440" s="15" t="n">
        <v>2</v>
      </c>
      <c r="I440" s="17" t="n">
        <v>0</v>
      </c>
      <c r="J440" s="18" t="n">
        <v>257.4</v>
      </c>
      <c r="K440" s="19" t="n">
        <v>40.85</v>
      </c>
      <c r="L440" s="15" t="n">
        <f aca="false">YEAR(B440)</f>
        <v>2024</v>
      </c>
      <c r="M440" s="20" t="n">
        <f aca="false">IF(J440&gt;0,K440/J440,0)</f>
        <v>0.158702408702409</v>
      </c>
    </row>
    <row r="441" customFormat="false" ht="15" hidden="false" customHeight="false" outlineLevel="0" collapsed="false">
      <c r="A441" s="15" t="s">
        <v>498</v>
      </c>
      <c r="B441" s="16" t="n">
        <v>45552</v>
      </c>
      <c r="C441" s="15" t="s">
        <v>56</v>
      </c>
      <c r="D441" s="15" t="s">
        <v>42</v>
      </c>
      <c r="E441" s="15" t="s">
        <v>37</v>
      </c>
      <c r="F441" s="15" t="s">
        <v>17</v>
      </c>
      <c r="G441" s="15" t="s">
        <v>29</v>
      </c>
      <c r="H441" s="15" t="n">
        <v>2</v>
      </c>
      <c r="I441" s="17" t="n">
        <v>0.05</v>
      </c>
      <c r="J441" s="18" t="n">
        <v>34.36</v>
      </c>
      <c r="K441" s="19" t="n">
        <v>10.53</v>
      </c>
      <c r="L441" s="15" t="n">
        <f aca="false">YEAR(B441)</f>
        <v>2024</v>
      </c>
      <c r="M441" s="20" t="n">
        <f aca="false">IF(J441&gt;0,K441/J441,0)</f>
        <v>0.306461001164144</v>
      </c>
    </row>
    <row r="442" customFormat="false" ht="15" hidden="false" customHeight="false" outlineLevel="0" collapsed="false">
      <c r="A442" s="15" t="s">
        <v>499</v>
      </c>
      <c r="B442" s="16" t="n">
        <v>45941</v>
      </c>
      <c r="C442" s="15" t="s">
        <v>68</v>
      </c>
      <c r="D442" s="15" t="s">
        <v>42</v>
      </c>
      <c r="E442" s="15" t="s">
        <v>36</v>
      </c>
      <c r="F442" s="15" t="s">
        <v>17</v>
      </c>
      <c r="G442" s="15" t="s">
        <v>26</v>
      </c>
      <c r="H442" s="15" t="n">
        <v>2</v>
      </c>
      <c r="I442" s="17" t="n">
        <v>0</v>
      </c>
      <c r="J442" s="18" t="n">
        <v>161.2</v>
      </c>
      <c r="K442" s="19" t="n">
        <v>9.65</v>
      </c>
      <c r="L442" s="15" t="n">
        <f aca="false">YEAR(B442)</f>
        <v>2025</v>
      </c>
      <c r="M442" s="20" t="n">
        <f aca="false">IF(J442&gt;0,K442/J442,0)</f>
        <v>0.059863523573201</v>
      </c>
    </row>
    <row r="443" customFormat="false" ht="15" hidden="false" customHeight="false" outlineLevel="0" collapsed="false">
      <c r="A443" s="15" t="s">
        <v>500</v>
      </c>
      <c r="B443" s="16" t="n">
        <v>45145</v>
      </c>
      <c r="C443" s="15" t="s">
        <v>56</v>
      </c>
      <c r="D443" s="15" t="s">
        <v>42</v>
      </c>
      <c r="E443" s="15" t="s">
        <v>38</v>
      </c>
      <c r="F443" s="15" t="s">
        <v>18</v>
      </c>
      <c r="G443" s="15" t="s">
        <v>30</v>
      </c>
      <c r="H443" s="15" t="n">
        <v>5</v>
      </c>
      <c r="I443" s="17" t="n">
        <v>0</v>
      </c>
      <c r="J443" s="18" t="n">
        <v>265.78</v>
      </c>
      <c r="K443" s="19" t="n">
        <v>82.77</v>
      </c>
      <c r="L443" s="15" t="n">
        <f aca="false">YEAR(B443)</f>
        <v>2023</v>
      </c>
      <c r="M443" s="20" t="n">
        <f aca="false">IF(J443&gt;0,K443/J443,0)</f>
        <v>0.311422981413199</v>
      </c>
    </row>
    <row r="444" customFormat="false" ht="15" hidden="false" customHeight="false" outlineLevel="0" collapsed="false">
      <c r="A444" s="15" t="s">
        <v>501</v>
      </c>
      <c r="B444" s="16" t="n">
        <v>45848</v>
      </c>
      <c r="C444" s="15" t="s">
        <v>56</v>
      </c>
      <c r="D444" s="15" t="s">
        <v>42</v>
      </c>
      <c r="E444" s="15" t="s">
        <v>39</v>
      </c>
      <c r="F444" s="15" t="s">
        <v>17</v>
      </c>
      <c r="G444" s="15" t="s">
        <v>26</v>
      </c>
      <c r="H444" s="15" t="n">
        <v>3</v>
      </c>
      <c r="I444" s="17" t="n">
        <v>0.2</v>
      </c>
      <c r="J444" s="18" t="n">
        <v>184.62</v>
      </c>
      <c r="K444" s="19" t="n">
        <v>-11.64</v>
      </c>
      <c r="L444" s="15" t="n">
        <f aca="false">YEAR(B444)</f>
        <v>2025</v>
      </c>
      <c r="M444" s="20" t="n">
        <f aca="false">IF(J444&gt;0,K444/J444,0)</f>
        <v>-0.0630484237894053</v>
      </c>
    </row>
    <row r="445" customFormat="false" ht="15" hidden="false" customHeight="false" outlineLevel="0" collapsed="false">
      <c r="A445" s="15" t="s">
        <v>502</v>
      </c>
      <c r="B445" s="16" t="n">
        <v>45109</v>
      </c>
      <c r="C445" s="15" t="s">
        <v>68</v>
      </c>
      <c r="D445" s="15" t="s">
        <v>42</v>
      </c>
      <c r="E445" s="15" t="s">
        <v>38</v>
      </c>
      <c r="F445" s="15" t="s">
        <v>18</v>
      </c>
      <c r="G445" s="15" t="s">
        <v>30</v>
      </c>
      <c r="H445" s="15" t="n">
        <v>4</v>
      </c>
      <c r="I445" s="17" t="n">
        <v>0.05</v>
      </c>
      <c r="J445" s="18" t="n">
        <v>171.82</v>
      </c>
      <c r="K445" s="19" t="n">
        <v>41.55</v>
      </c>
      <c r="L445" s="15" t="n">
        <f aca="false">YEAR(B445)</f>
        <v>2023</v>
      </c>
      <c r="M445" s="20" t="n">
        <f aca="false">IF(J445&gt;0,K445/J445,0)</f>
        <v>0.241822837853568</v>
      </c>
    </row>
    <row r="446" customFormat="false" ht="15" hidden="false" customHeight="false" outlineLevel="0" collapsed="false">
      <c r="A446" s="15" t="s">
        <v>503</v>
      </c>
      <c r="B446" s="16" t="n">
        <v>44953</v>
      </c>
      <c r="C446" s="15" t="s">
        <v>68</v>
      </c>
      <c r="D446" s="15" t="s">
        <v>42</v>
      </c>
      <c r="E446" s="15" t="s">
        <v>36</v>
      </c>
      <c r="F446" s="15" t="s">
        <v>17</v>
      </c>
      <c r="G446" s="15" t="s">
        <v>31</v>
      </c>
      <c r="H446" s="15" t="n">
        <v>2</v>
      </c>
      <c r="I446" s="17" t="n">
        <v>0</v>
      </c>
      <c r="J446" s="18" t="n">
        <v>247.49</v>
      </c>
      <c r="K446" s="19" t="n">
        <v>47.73</v>
      </c>
      <c r="L446" s="15" t="n">
        <f aca="false">YEAR(B446)</f>
        <v>2023</v>
      </c>
      <c r="M446" s="20" t="n">
        <f aca="false">IF(J446&gt;0,K446/J446,0)</f>
        <v>0.192856277021294</v>
      </c>
    </row>
    <row r="447" customFormat="false" ht="15" hidden="false" customHeight="false" outlineLevel="0" collapsed="false">
      <c r="A447" s="15" t="s">
        <v>504</v>
      </c>
      <c r="B447" s="16" t="n">
        <v>44871</v>
      </c>
      <c r="C447" s="15" t="s">
        <v>56</v>
      </c>
      <c r="D447" s="15" t="s">
        <v>43</v>
      </c>
      <c r="E447" s="15" t="s">
        <v>36</v>
      </c>
      <c r="F447" s="15" t="s">
        <v>18</v>
      </c>
      <c r="G447" s="15" t="s">
        <v>30</v>
      </c>
      <c r="H447" s="15" t="n">
        <v>2</v>
      </c>
      <c r="I447" s="17" t="n">
        <v>0.2</v>
      </c>
      <c r="J447" s="18" t="n">
        <v>67.99</v>
      </c>
      <c r="K447" s="19" t="n">
        <v>7.18</v>
      </c>
      <c r="L447" s="15" t="n">
        <f aca="false">YEAR(B447)</f>
        <v>2022</v>
      </c>
      <c r="M447" s="20" t="n">
        <f aca="false">IF(J447&gt;0,K447/J447,0)</f>
        <v>0.105603765259597</v>
      </c>
    </row>
    <row r="448" customFormat="false" ht="15" hidden="false" customHeight="false" outlineLevel="0" collapsed="false">
      <c r="A448" s="15" t="s">
        <v>505</v>
      </c>
      <c r="B448" s="16" t="n">
        <v>45566</v>
      </c>
      <c r="C448" s="15" t="s">
        <v>68</v>
      </c>
      <c r="D448" s="15" t="s">
        <v>42</v>
      </c>
      <c r="E448" s="15" t="s">
        <v>38</v>
      </c>
      <c r="F448" s="15" t="s">
        <v>17</v>
      </c>
      <c r="G448" s="15" t="s">
        <v>26</v>
      </c>
      <c r="H448" s="15" t="n">
        <v>4</v>
      </c>
      <c r="I448" s="17" t="n">
        <v>0</v>
      </c>
      <c r="J448" s="18" t="n">
        <v>285.1</v>
      </c>
      <c r="K448" s="19" t="n">
        <v>48.72</v>
      </c>
      <c r="L448" s="15" t="n">
        <f aca="false">YEAR(B448)</f>
        <v>2024</v>
      </c>
      <c r="M448" s="20" t="n">
        <f aca="false">IF(J448&gt;0,K448/J448,0)</f>
        <v>0.170887407927043</v>
      </c>
    </row>
    <row r="449" customFormat="false" ht="15" hidden="false" customHeight="false" outlineLevel="0" collapsed="false">
      <c r="A449" s="15" t="s">
        <v>506</v>
      </c>
      <c r="B449" s="16" t="n">
        <v>45523</v>
      </c>
      <c r="C449" s="15" t="s">
        <v>56</v>
      </c>
      <c r="D449" s="15" t="s">
        <v>42</v>
      </c>
      <c r="E449" s="15" t="s">
        <v>39</v>
      </c>
      <c r="F449" s="15" t="s">
        <v>18</v>
      </c>
      <c r="G449" s="15" t="s">
        <v>30</v>
      </c>
      <c r="H449" s="15" t="n">
        <v>4</v>
      </c>
      <c r="I449" s="17" t="n">
        <v>0.2</v>
      </c>
      <c r="J449" s="18" t="n">
        <v>127.08</v>
      </c>
      <c r="K449" s="19" t="n">
        <v>20.87</v>
      </c>
      <c r="L449" s="15" t="n">
        <f aca="false">YEAR(B449)</f>
        <v>2024</v>
      </c>
      <c r="M449" s="20" t="n">
        <f aca="false">IF(J449&gt;0,K449/J449,0)</f>
        <v>0.164227258419893</v>
      </c>
    </row>
    <row r="450" customFormat="false" ht="15" hidden="false" customHeight="false" outlineLevel="0" collapsed="false">
      <c r="A450" s="15" t="s">
        <v>507</v>
      </c>
      <c r="B450" s="16" t="n">
        <v>45925</v>
      </c>
      <c r="C450" s="15" t="s">
        <v>68</v>
      </c>
      <c r="D450" s="15" t="s">
        <v>42</v>
      </c>
      <c r="E450" s="15" t="s">
        <v>38</v>
      </c>
      <c r="F450" s="15" t="s">
        <v>17</v>
      </c>
      <c r="G450" s="15" t="s">
        <v>29</v>
      </c>
      <c r="H450" s="15" t="n">
        <v>4</v>
      </c>
      <c r="I450" s="17" t="n">
        <v>0</v>
      </c>
      <c r="J450" s="18" t="n">
        <v>63.93</v>
      </c>
      <c r="K450" s="19" t="n">
        <v>26.16</v>
      </c>
      <c r="L450" s="15" t="n">
        <f aca="false">YEAR(B450)</f>
        <v>2025</v>
      </c>
      <c r="M450" s="20" t="n">
        <f aca="false">IF(J450&gt;0,K450/J450,0)</f>
        <v>0.409197559831065</v>
      </c>
    </row>
    <row r="451" customFormat="false" ht="15" hidden="false" customHeight="false" outlineLevel="0" collapsed="false">
      <c r="A451" s="15" t="s">
        <v>508</v>
      </c>
      <c r="B451" s="16" t="n">
        <v>46005</v>
      </c>
      <c r="C451" s="15" t="s">
        <v>68</v>
      </c>
      <c r="D451" s="15" t="s">
        <v>44</v>
      </c>
      <c r="E451" s="15" t="s">
        <v>39</v>
      </c>
      <c r="F451" s="15" t="s">
        <v>18</v>
      </c>
      <c r="G451" s="15" t="s">
        <v>24</v>
      </c>
      <c r="H451" s="15" t="n">
        <v>3</v>
      </c>
      <c r="I451" s="17" t="n">
        <v>0.1</v>
      </c>
      <c r="J451" s="18" t="n">
        <v>1871.03</v>
      </c>
      <c r="K451" s="19" t="n">
        <v>-26.28</v>
      </c>
      <c r="L451" s="15" t="n">
        <f aca="false">YEAR(B451)</f>
        <v>2025</v>
      </c>
      <c r="M451" s="20" t="n">
        <f aca="false">IF(J451&gt;0,K451/J451,0)</f>
        <v>-0.0140457395124611</v>
      </c>
    </row>
    <row r="452" customFormat="false" ht="15" hidden="false" customHeight="false" outlineLevel="0" collapsed="false">
      <c r="A452" s="15" t="s">
        <v>509</v>
      </c>
      <c r="B452" s="16" t="n">
        <v>45013</v>
      </c>
      <c r="C452" s="15" t="s">
        <v>56</v>
      </c>
      <c r="D452" s="15" t="s">
        <v>44</v>
      </c>
      <c r="E452" s="15" t="s">
        <v>38</v>
      </c>
      <c r="F452" s="15" t="s">
        <v>17</v>
      </c>
      <c r="G452" s="15" t="s">
        <v>28</v>
      </c>
      <c r="H452" s="15" t="n">
        <v>5</v>
      </c>
      <c r="I452" s="17" t="n">
        <v>0</v>
      </c>
      <c r="J452" s="18" t="n">
        <v>142.02</v>
      </c>
      <c r="K452" s="19" t="n">
        <v>37.68</v>
      </c>
      <c r="L452" s="15" t="n">
        <f aca="false">YEAR(B452)</f>
        <v>2023</v>
      </c>
      <c r="M452" s="20" t="n">
        <f aca="false">IF(J452&gt;0,K452/J452,0)</f>
        <v>0.265314744402197</v>
      </c>
    </row>
    <row r="453" customFormat="false" ht="15" hidden="false" customHeight="false" outlineLevel="0" collapsed="false">
      <c r="A453" s="15" t="s">
        <v>510</v>
      </c>
      <c r="B453" s="16" t="n">
        <v>45634</v>
      </c>
      <c r="C453" s="15" t="s">
        <v>56</v>
      </c>
      <c r="D453" s="15" t="s">
        <v>43</v>
      </c>
      <c r="E453" s="15" t="s">
        <v>36</v>
      </c>
      <c r="F453" s="15" t="s">
        <v>17</v>
      </c>
      <c r="G453" s="15" t="s">
        <v>29</v>
      </c>
      <c r="H453" s="15" t="n">
        <v>4</v>
      </c>
      <c r="I453" s="17" t="n">
        <v>0.2</v>
      </c>
      <c r="J453" s="18" t="n">
        <v>67.66</v>
      </c>
      <c r="K453" s="19" t="n">
        <v>10.96</v>
      </c>
      <c r="L453" s="15" t="n">
        <f aca="false">YEAR(B453)</f>
        <v>2024</v>
      </c>
      <c r="M453" s="20" t="n">
        <f aca="false">IF(J453&gt;0,K453/J453,0)</f>
        <v>0.161986402601242</v>
      </c>
    </row>
    <row r="454" customFormat="false" ht="15" hidden="false" customHeight="false" outlineLevel="0" collapsed="false">
      <c r="A454" s="15" t="s">
        <v>511</v>
      </c>
      <c r="B454" s="16" t="n">
        <v>44780</v>
      </c>
      <c r="C454" s="15" t="s">
        <v>56</v>
      </c>
      <c r="D454" s="15" t="s">
        <v>42</v>
      </c>
      <c r="E454" s="15" t="s">
        <v>39</v>
      </c>
      <c r="F454" s="15" t="s">
        <v>16</v>
      </c>
      <c r="G454" s="15" t="s">
        <v>22</v>
      </c>
      <c r="H454" s="15" t="n">
        <v>2</v>
      </c>
      <c r="I454" s="17" t="n">
        <v>0</v>
      </c>
      <c r="J454" s="18" t="n">
        <v>1117.78</v>
      </c>
      <c r="K454" s="19" t="n">
        <v>-20.66</v>
      </c>
      <c r="L454" s="15" t="n">
        <f aca="false">YEAR(B454)</f>
        <v>2022</v>
      </c>
      <c r="M454" s="20" t="n">
        <f aca="false">IF(J454&gt;0,K454/J454,0)</f>
        <v>-0.0184830646459947</v>
      </c>
    </row>
    <row r="455" customFormat="false" ht="15" hidden="false" customHeight="false" outlineLevel="0" collapsed="false">
      <c r="A455" s="15" t="s">
        <v>512</v>
      </c>
      <c r="B455" s="16" t="n">
        <v>45492</v>
      </c>
      <c r="C455" s="15" t="s">
        <v>56</v>
      </c>
      <c r="D455" s="15" t="s">
        <v>42</v>
      </c>
      <c r="E455" s="15" t="s">
        <v>39</v>
      </c>
      <c r="F455" s="15" t="s">
        <v>16</v>
      </c>
      <c r="G455" s="15" t="s">
        <v>25</v>
      </c>
      <c r="H455" s="15" t="n">
        <v>1</v>
      </c>
      <c r="I455" s="17" t="n">
        <v>0.1</v>
      </c>
      <c r="J455" s="18" t="n">
        <v>321.49</v>
      </c>
      <c r="K455" s="19" t="n">
        <v>21.67</v>
      </c>
      <c r="L455" s="15" t="n">
        <f aca="false">YEAR(B455)</f>
        <v>2024</v>
      </c>
      <c r="M455" s="20" t="n">
        <f aca="false">IF(J455&gt;0,K455/J455,0)</f>
        <v>0.0674048959532178</v>
      </c>
    </row>
    <row r="456" customFormat="false" ht="15" hidden="false" customHeight="false" outlineLevel="0" collapsed="false">
      <c r="A456" s="15" t="s">
        <v>513</v>
      </c>
      <c r="B456" s="16" t="n">
        <v>44936</v>
      </c>
      <c r="C456" s="15" t="s">
        <v>58</v>
      </c>
      <c r="D456" s="15" t="s">
        <v>43</v>
      </c>
      <c r="E456" s="15" t="s">
        <v>39</v>
      </c>
      <c r="F456" s="15" t="s">
        <v>16</v>
      </c>
      <c r="G456" s="15" t="s">
        <v>23</v>
      </c>
      <c r="H456" s="15" t="n">
        <v>5</v>
      </c>
      <c r="I456" s="17" t="n">
        <v>0</v>
      </c>
      <c r="J456" s="18" t="n">
        <v>1633.99</v>
      </c>
      <c r="K456" s="19" t="n">
        <v>39.14</v>
      </c>
      <c r="L456" s="15" t="n">
        <f aca="false">YEAR(B456)</f>
        <v>2023</v>
      </c>
      <c r="M456" s="20" t="n">
        <f aca="false">IF(J456&gt;0,K456/J456,0)</f>
        <v>0.0239536349671663</v>
      </c>
    </row>
    <row r="457" customFormat="false" ht="15" hidden="false" customHeight="false" outlineLevel="0" collapsed="false">
      <c r="A457" s="15" t="s">
        <v>514</v>
      </c>
      <c r="B457" s="16" t="n">
        <v>45921</v>
      </c>
      <c r="C457" s="15" t="s">
        <v>68</v>
      </c>
      <c r="D457" s="15" t="s">
        <v>44</v>
      </c>
      <c r="E457" s="15" t="s">
        <v>36</v>
      </c>
      <c r="F457" s="15" t="s">
        <v>16</v>
      </c>
      <c r="G457" s="15" t="s">
        <v>25</v>
      </c>
      <c r="H457" s="15" t="n">
        <v>3</v>
      </c>
      <c r="I457" s="17" t="n">
        <v>0.4</v>
      </c>
      <c r="J457" s="18" t="n">
        <v>454.2</v>
      </c>
      <c r="K457" s="19" t="n">
        <v>-120.14</v>
      </c>
      <c r="L457" s="15" t="n">
        <f aca="false">YEAR(B457)</f>
        <v>2025</v>
      </c>
      <c r="M457" s="20" t="n">
        <f aca="false">IF(J457&gt;0,K457/J457,0)</f>
        <v>-0.264509026860414</v>
      </c>
    </row>
    <row r="458" customFormat="false" ht="15" hidden="false" customHeight="false" outlineLevel="0" collapsed="false">
      <c r="A458" s="15" t="s">
        <v>515</v>
      </c>
      <c r="B458" s="16" t="n">
        <v>45076</v>
      </c>
      <c r="C458" s="15" t="s">
        <v>56</v>
      </c>
      <c r="D458" s="15" t="s">
        <v>44</v>
      </c>
      <c r="E458" s="15" t="s">
        <v>39</v>
      </c>
      <c r="F458" s="15" t="s">
        <v>16</v>
      </c>
      <c r="G458" s="15" t="s">
        <v>22</v>
      </c>
      <c r="H458" s="15" t="n">
        <v>4</v>
      </c>
      <c r="I458" s="17" t="n">
        <v>0.1</v>
      </c>
      <c r="J458" s="18" t="n">
        <v>1992.21</v>
      </c>
      <c r="K458" s="19" t="n">
        <v>-388.85</v>
      </c>
      <c r="L458" s="15" t="n">
        <f aca="false">YEAR(B458)</f>
        <v>2023</v>
      </c>
      <c r="M458" s="20" t="n">
        <f aca="false">IF(J458&gt;0,K458/J458,0)</f>
        <v>-0.195185246535255</v>
      </c>
    </row>
    <row r="459" customFormat="false" ht="15" hidden="false" customHeight="false" outlineLevel="0" collapsed="false">
      <c r="A459" s="15" t="s">
        <v>516</v>
      </c>
      <c r="B459" s="16" t="n">
        <v>45831</v>
      </c>
      <c r="C459" s="15" t="s">
        <v>56</v>
      </c>
      <c r="D459" s="15" t="s">
        <v>43</v>
      </c>
      <c r="E459" s="15" t="s">
        <v>37</v>
      </c>
      <c r="F459" s="15" t="s">
        <v>17</v>
      </c>
      <c r="G459" s="15" t="s">
        <v>28</v>
      </c>
      <c r="H459" s="15" t="n">
        <v>5</v>
      </c>
      <c r="I459" s="17" t="n">
        <v>0.05</v>
      </c>
      <c r="J459" s="18" t="n">
        <v>105.15</v>
      </c>
      <c r="K459" s="19" t="n">
        <v>27.6</v>
      </c>
      <c r="L459" s="15" t="n">
        <f aca="false">YEAR(B459)</f>
        <v>2025</v>
      </c>
      <c r="M459" s="20" t="n">
        <f aca="false">IF(J459&gt;0,K459/J459,0)</f>
        <v>0.262482168330956</v>
      </c>
    </row>
    <row r="460" customFormat="false" ht="15" hidden="false" customHeight="false" outlineLevel="0" collapsed="false">
      <c r="A460" s="15" t="s">
        <v>517</v>
      </c>
      <c r="B460" s="16" t="n">
        <v>44834</v>
      </c>
      <c r="C460" s="15" t="s">
        <v>58</v>
      </c>
      <c r="D460" s="15" t="s">
        <v>44</v>
      </c>
      <c r="E460" s="15" t="s">
        <v>36</v>
      </c>
      <c r="F460" s="15" t="s">
        <v>17</v>
      </c>
      <c r="G460" s="15" t="s">
        <v>29</v>
      </c>
      <c r="H460" s="15" t="n">
        <v>3</v>
      </c>
      <c r="I460" s="17" t="n">
        <v>0.15</v>
      </c>
      <c r="J460" s="18" t="n">
        <v>40.74</v>
      </c>
      <c r="K460" s="19" t="n">
        <v>11.98</v>
      </c>
      <c r="L460" s="15" t="n">
        <f aca="false">YEAR(B460)</f>
        <v>2022</v>
      </c>
      <c r="M460" s="20" t="n">
        <f aca="false">IF(J460&gt;0,K460/J460,0)</f>
        <v>0.294059891998036</v>
      </c>
    </row>
    <row r="461" customFormat="false" ht="15" hidden="false" customHeight="false" outlineLevel="0" collapsed="false">
      <c r="A461" s="15" t="s">
        <v>518</v>
      </c>
      <c r="B461" s="16" t="n">
        <v>45197</v>
      </c>
      <c r="C461" s="15" t="s">
        <v>68</v>
      </c>
      <c r="D461" s="15" t="s">
        <v>42</v>
      </c>
      <c r="E461" s="15" t="s">
        <v>39</v>
      </c>
      <c r="F461" s="15" t="s">
        <v>18</v>
      </c>
      <c r="G461" s="15" t="s">
        <v>33</v>
      </c>
      <c r="H461" s="15" t="n">
        <v>4</v>
      </c>
      <c r="I461" s="17" t="n">
        <v>0.1</v>
      </c>
      <c r="J461" s="18" t="n">
        <v>3677.63</v>
      </c>
      <c r="K461" s="19" t="n">
        <v>606.9</v>
      </c>
      <c r="L461" s="15" t="n">
        <f aca="false">YEAR(B461)</f>
        <v>2023</v>
      </c>
      <c r="M461" s="20" t="n">
        <f aca="false">IF(J461&gt;0,K461/J461,0)</f>
        <v>0.165024757792383</v>
      </c>
    </row>
    <row r="462" customFormat="false" ht="15" hidden="false" customHeight="false" outlineLevel="0" collapsed="false">
      <c r="A462" s="15" t="s">
        <v>519</v>
      </c>
      <c r="B462" s="16" t="n">
        <v>45964</v>
      </c>
      <c r="C462" s="15" t="s">
        <v>56</v>
      </c>
      <c r="D462" s="15" t="s">
        <v>43</v>
      </c>
      <c r="E462" s="15" t="s">
        <v>38</v>
      </c>
      <c r="F462" s="15" t="s">
        <v>16</v>
      </c>
      <c r="G462" s="15" t="s">
        <v>25</v>
      </c>
      <c r="H462" s="15" t="n">
        <v>4</v>
      </c>
      <c r="I462" s="17" t="n">
        <v>0.1</v>
      </c>
      <c r="J462" s="18" t="n">
        <v>1208.81</v>
      </c>
      <c r="K462" s="19" t="n">
        <v>-22.82</v>
      </c>
      <c r="L462" s="15" t="n">
        <f aca="false">YEAR(B462)</f>
        <v>2025</v>
      </c>
      <c r="M462" s="20" t="n">
        <f aca="false">IF(J462&gt;0,K462/J462,0)</f>
        <v>-0.0188780701681819</v>
      </c>
    </row>
    <row r="463" customFormat="false" ht="15" hidden="false" customHeight="false" outlineLevel="0" collapsed="false">
      <c r="A463" s="15" t="s">
        <v>520</v>
      </c>
      <c r="B463" s="16" t="n">
        <v>44744</v>
      </c>
      <c r="C463" s="15" t="s">
        <v>56</v>
      </c>
      <c r="D463" s="15" t="s">
        <v>42</v>
      </c>
      <c r="E463" s="15" t="s">
        <v>37</v>
      </c>
      <c r="F463" s="15" t="s">
        <v>17</v>
      </c>
      <c r="G463" s="15" t="s">
        <v>26</v>
      </c>
      <c r="H463" s="15" t="n">
        <v>5</v>
      </c>
      <c r="I463" s="17" t="n">
        <v>0.2</v>
      </c>
      <c r="J463" s="18" t="n">
        <v>432.33</v>
      </c>
      <c r="K463" s="19" t="n">
        <v>-64.48</v>
      </c>
      <c r="L463" s="15" t="n">
        <f aca="false">YEAR(B463)</f>
        <v>2022</v>
      </c>
      <c r="M463" s="20" t="n">
        <f aca="false">IF(J463&gt;0,K463/J463,0)</f>
        <v>-0.149145328799759</v>
      </c>
    </row>
    <row r="464" customFormat="false" ht="15" hidden="false" customHeight="false" outlineLevel="0" collapsed="false">
      <c r="A464" s="15" t="s">
        <v>521</v>
      </c>
      <c r="B464" s="16" t="n">
        <v>45175</v>
      </c>
      <c r="C464" s="15" t="s">
        <v>56</v>
      </c>
      <c r="D464" s="15" t="s">
        <v>44</v>
      </c>
      <c r="E464" s="15" t="s">
        <v>37</v>
      </c>
      <c r="F464" s="15" t="s">
        <v>18</v>
      </c>
      <c r="G464" s="15" t="s">
        <v>33</v>
      </c>
      <c r="H464" s="15" t="n">
        <v>5</v>
      </c>
      <c r="I464" s="17" t="n">
        <v>0.2</v>
      </c>
      <c r="J464" s="18" t="n">
        <v>4183.65</v>
      </c>
      <c r="K464" s="19" t="n">
        <v>321.31</v>
      </c>
      <c r="L464" s="15" t="n">
        <f aca="false">YEAR(B464)</f>
        <v>2023</v>
      </c>
      <c r="M464" s="20" t="n">
        <f aca="false">IF(J464&gt;0,K464/J464,0)</f>
        <v>0.0768013576661528</v>
      </c>
    </row>
    <row r="465" customFormat="false" ht="15" hidden="false" customHeight="false" outlineLevel="0" collapsed="false">
      <c r="A465" s="15" t="s">
        <v>522</v>
      </c>
      <c r="B465" s="16" t="n">
        <v>45563</v>
      </c>
      <c r="C465" s="15" t="s">
        <v>56</v>
      </c>
      <c r="D465" s="15" t="s">
        <v>44</v>
      </c>
      <c r="E465" s="15" t="s">
        <v>39</v>
      </c>
      <c r="F465" s="15" t="s">
        <v>17</v>
      </c>
      <c r="G465" s="15" t="s">
        <v>29</v>
      </c>
      <c r="H465" s="15" t="n">
        <v>4</v>
      </c>
      <c r="I465" s="17" t="n">
        <v>0.15</v>
      </c>
      <c r="J465" s="18" t="n">
        <v>60.76</v>
      </c>
      <c r="K465" s="19" t="n">
        <v>15.68</v>
      </c>
      <c r="L465" s="15" t="n">
        <f aca="false">YEAR(B465)</f>
        <v>2024</v>
      </c>
      <c r="M465" s="20" t="n">
        <f aca="false">IF(J465&gt;0,K465/J465,0)</f>
        <v>0.258064516129032</v>
      </c>
    </row>
    <row r="466" customFormat="false" ht="15" hidden="false" customHeight="false" outlineLevel="0" collapsed="false">
      <c r="A466" s="15" t="s">
        <v>523</v>
      </c>
      <c r="B466" s="16" t="n">
        <v>46020</v>
      </c>
      <c r="C466" s="15" t="s">
        <v>58</v>
      </c>
      <c r="D466" s="15" t="s">
        <v>42</v>
      </c>
      <c r="E466" s="15" t="s">
        <v>37</v>
      </c>
      <c r="F466" s="15" t="s">
        <v>17</v>
      </c>
      <c r="G466" s="15" t="s">
        <v>29</v>
      </c>
      <c r="H466" s="15" t="n">
        <v>5</v>
      </c>
      <c r="I466" s="17" t="n">
        <v>0</v>
      </c>
      <c r="J466" s="18" t="n">
        <v>84.35</v>
      </c>
      <c r="K466" s="19" t="n">
        <v>29.35</v>
      </c>
      <c r="L466" s="15" t="n">
        <f aca="false">YEAR(B466)</f>
        <v>2025</v>
      </c>
      <c r="M466" s="20" t="n">
        <f aca="false">IF(J466&gt;0,K466/J466,0)</f>
        <v>0.347954949614701</v>
      </c>
    </row>
    <row r="467" customFormat="false" ht="15" hidden="false" customHeight="false" outlineLevel="0" collapsed="false">
      <c r="A467" s="15" t="s">
        <v>524</v>
      </c>
      <c r="B467" s="16" t="n">
        <v>45597</v>
      </c>
      <c r="C467" s="15" t="s">
        <v>56</v>
      </c>
      <c r="D467" s="15" t="s">
        <v>42</v>
      </c>
      <c r="E467" s="15" t="s">
        <v>39</v>
      </c>
      <c r="F467" s="15" t="s">
        <v>17</v>
      </c>
      <c r="G467" s="15" t="s">
        <v>28</v>
      </c>
      <c r="H467" s="15" t="n">
        <v>3</v>
      </c>
      <c r="I467" s="17" t="n">
        <v>0</v>
      </c>
      <c r="J467" s="18" t="n">
        <v>75.58</v>
      </c>
      <c r="K467" s="19" t="n">
        <v>26.04</v>
      </c>
      <c r="L467" s="15" t="n">
        <f aca="false">YEAR(B467)</f>
        <v>2024</v>
      </c>
      <c r="M467" s="20" t="n">
        <f aca="false">IF(J467&gt;0,K467/J467,0)</f>
        <v>0.344535591426303</v>
      </c>
    </row>
    <row r="468" customFormat="false" ht="15" hidden="false" customHeight="false" outlineLevel="0" collapsed="false">
      <c r="A468" s="15" t="s">
        <v>525</v>
      </c>
      <c r="B468" s="16" t="n">
        <v>45181</v>
      </c>
      <c r="C468" s="15" t="s">
        <v>56</v>
      </c>
      <c r="D468" s="15" t="s">
        <v>43</v>
      </c>
      <c r="E468" s="15" t="s">
        <v>37</v>
      </c>
      <c r="F468" s="15" t="s">
        <v>17</v>
      </c>
      <c r="G468" s="15" t="s">
        <v>28</v>
      </c>
      <c r="H468" s="15" t="n">
        <v>4</v>
      </c>
      <c r="I468" s="17" t="n">
        <v>0</v>
      </c>
      <c r="J468" s="18" t="n">
        <v>95.93</v>
      </c>
      <c r="K468" s="19" t="n">
        <v>22.91</v>
      </c>
      <c r="L468" s="15" t="n">
        <f aca="false">YEAR(B468)</f>
        <v>2023</v>
      </c>
      <c r="M468" s="20" t="n">
        <f aca="false">IF(J468&gt;0,K468/J468,0)</f>
        <v>0.238819972896904</v>
      </c>
    </row>
    <row r="469" customFormat="false" ht="15" hidden="false" customHeight="false" outlineLevel="0" collapsed="false">
      <c r="A469" s="15" t="s">
        <v>526</v>
      </c>
      <c r="B469" s="16" t="n">
        <v>45077</v>
      </c>
      <c r="C469" s="15" t="s">
        <v>56</v>
      </c>
      <c r="D469" s="15" t="s">
        <v>44</v>
      </c>
      <c r="E469" s="15" t="s">
        <v>39</v>
      </c>
      <c r="F469" s="15" t="s">
        <v>16</v>
      </c>
      <c r="G469" s="15" t="s">
        <v>22</v>
      </c>
      <c r="H469" s="15" t="n">
        <v>3</v>
      </c>
      <c r="I469" s="17" t="n">
        <v>0.2</v>
      </c>
      <c r="J469" s="18" t="n">
        <v>990.06</v>
      </c>
      <c r="K469" s="19" t="n">
        <v>-157.6</v>
      </c>
      <c r="L469" s="15" t="n">
        <f aca="false">YEAR(B469)</f>
        <v>2023</v>
      </c>
      <c r="M469" s="20" t="n">
        <f aca="false">IF(J469&gt;0,K469/J469,0)</f>
        <v>-0.159182271781508</v>
      </c>
    </row>
    <row r="470" customFormat="false" ht="15" hidden="false" customHeight="false" outlineLevel="0" collapsed="false">
      <c r="A470" s="15" t="s">
        <v>527</v>
      </c>
      <c r="B470" s="16" t="n">
        <v>45633</v>
      </c>
      <c r="C470" s="15" t="s">
        <v>56</v>
      </c>
      <c r="D470" s="15" t="s">
        <v>43</v>
      </c>
      <c r="E470" s="15" t="s">
        <v>39</v>
      </c>
      <c r="F470" s="15" t="s">
        <v>17</v>
      </c>
      <c r="G470" s="15" t="s">
        <v>31</v>
      </c>
      <c r="H470" s="15" t="n">
        <v>2</v>
      </c>
      <c r="I470" s="17" t="n">
        <v>0.2</v>
      </c>
      <c r="J470" s="18" t="n">
        <v>248.13</v>
      </c>
      <c r="K470" s="19" t="n">
        <v>6.65</v>
      </c>
      <c r="L470" s="15" t="n">
        <f aca="false">YEAR(B470)</f>
        <v>2024</v>
      </c>
      <c r="M470" s="20" t="n">
        <f aca="false">IF(J470&gt;0,K470/J470,0)</f>
        <v>0.0268004674968766</v>
      </c>
    </row>
    <row r="471" customFormat="false" ht="15" hidden="false" customHeight="false" outlineLevel="0" collapsed="false">
      <c r="A471" s="15" t="s">
        <v>528</v>
      </c>
      <c r="B471" s="16" t="n">
        <v>45855</v>
      </c>
      <c r="C471" s="15" t="s">
        <v>56</v>
      </c>
      <c r="D471" s="15" t="s">
        <v>42</v>
      </c>
      <c r="E471" s="15" t="s">
        <v>37</v>
      </c>
      <c r="F471" s="15" t="s">
        <v>18</v>
      </c>
      <c r="G471" s="15" t="s">
        <v>32</v>
      </c>
      <c r="H471" s="15" t="n">
        <v>2</v>
      </c>
      <c r="I471" s="17" t="n">
        <v>0</v>
      </c>
      <c r="J471" s="18" t="n">
        <v>883.91</v>
      </c>
      <c r="K471" s="19" t="n">
        <v>200.84</v>
      </c>
      <c r="L471" s="15" t="n">
        <f aca="false">YEAR(B471)</f>
        <v>2025</v>
      </c>
      <c r="M471" s="20" t="n">
        <f aca="false">IF(J471&gt;0,K471/J471,0)</f>
        <v>0.227217703159824</v>
      </c>
    </row>
    <row r="472" customFormat="false" ht="15" hidden="false" customHeight="false" outlineLevel="0" collapsed="false">
      <c r="A472" s="15" t="s">
        <v>529</v>
      </c>
      <c r="B472" s="16" t="n">
        <v>45681</v>
      </c>
      <c r="C472" s="15" t="s">
        <v>56</v>
      </c>
      <c r="D472" s="15" t="s">
        <v>42</v>
      </c>
      <c r="E472" s="15" t="s">
        <v>38</v>
      </c>
      <c r="F472" s="15" t="s">
        <v>16</v>
      </c>
      <c r="G472" s="15" t="s">
        <v>27</v>
      </c>
      <c r="H472" s="15" t="n">
        <v>5</v>
      </c>
      <c r="I472" s="17" t="n">
        <v>0</v>
      </c>
      <c r="J472" s="18" t="n">
        <v>295.48</v>
      </c>
      <c r="K472" s="19" t="n">
        <v>71.52</v>
      </c>
      <c r="L472" s="15" t="n">
        <f aca="false">YEAR(B472)</f>
        <v>2025</v>
      </c>
      <c r="M472" s="20" t="n">
        <f aca="false">IF(J472&gt;0,K472/J472,0)</f>
        <v>0.242046839041559</v>
      </c>
    </row>
    <row r="473" customFormat="false" ht="15" hidden="false" customHeight="false" outlineLevel="0" collapsed="false">
      <c r="A473" s="15" t="s">
        <v>530</v>
      </c>
      <c r="B473" s="16" t="n">
        <v>45226</v>
      </c>
      <c r="C473" s="15" t="s">
        <v>56</v>
      </c>
      <c r="D473" s="15" t="s">
        <v>44</v>
      </c>
      <c r="E473" s="15" t="s">
        <v>38</v>
      </c>
      <c r="F473" s="15" t="s">
        <v>18</v>
      </c>
      <c r="G473" s="15" t="s">
        <v>30</v>
      </c>
      <c r="H473" s="15" t="n">
        <v>4</v>
      </c>
      <c r="I473" s="17" t="n">
        <v>0</v>
      </c>
      <c r="J473" s="18" t="n">
        <v>154.33</v>
      </c>
      <c r="K473" s="19" t="n">
        <v>60.45</v>
      </c>
      <c r="L473" s="15" t="n">
        <f aca="false">YEAR(B473)</f>
        <v>2023</v>
      </c>
      <c r="M473" s="20" t="n">
        <f aca="false">IF(J473&gt;0,K473/J473,0)</f>
        <v>0.391693125121493</v>
      </c>
    </row>
    <row r="474" customFormat="false" ht="15" hidden="false" customHeight="false" outlineLevel="0" collapsed="false">
      <c r="A474" s="15" t="s">
        <v>531</v>
      </c>
      <c r="B474" s="16" t="n">
        <v>45537</v>
      </c>
      <c r="C474" s="15" t="s">
        <v>56</v>
      </c>
      <c r="D474" s="15" t="s">
        <v>42</v>
      </c>
      <c r="E474" s="15" t="s">
        <v>37</v>
      </c>
      <c r="F474" s="15" t="s">
        <v>16</v>
      </c>
      <c r="G474" s="15" t="s">
        <v>27</v>
      </c>
      <c r="H474" s="15" t="n">
        <v>4</v>
      </c>
      <c r="I474" s="17" t="n">
        <v>0</v>
      </c>
      <c r="J474" s="18" t="n">
        <v>268.46</v>
      </c>
      <c r="K474" s="19" t="n">
        <v>67.43</v>
      </c>
      <c r="L474" s="15" t="n">
        <f aca="false">YEAR(B474)</f>
        <v>2024</v>
      </c>
      <c r="M474" s="20" t="n">
        <f aca="false">IF(J474&gt;0,K474/J474,0)</f>
        <v>0.251173359159651</v>
      </c>
    </row>
    <row r="475" customFormat="false" ht="15" hidden="false" customHeight="false" outlineLevel="0" collapsed="false">
      <c r="A475" s="15" t="s">
        <v>532</v>
      </c>
      <c r="B475" s="16" t="n">
        <v>44809</v>
      </c>
      <c r="C475" s="15" t="s">
        <v>58</v>
      </c>
      <c r="D475" s="15" t="s">
        <v>43</v>
      </c>
      <c r="E475" s="15" t="s">
        <v>37</v>
      </c>
      <c r="F475" s="15" t="s">
        <v>16</v>
      </c>
      <c r="G475" s="15" t="s">
        <v>27</v>
      </c>
      <c r="H475" s="15" t="n">
        <v>1</v>
      </c>
      <c r="I475" s="17" t="n">
        <v>0.05</v>
      </c>
      <c r="J475" s="18" t="n">
        <v>72.72</v>
      </c>
      <c r="K475" s="19" t="n">
        <v>11.77</v>
      </c>
      <c r="L475" s="15" t="n">
        <f aca="false">YEAR(B475)</f>
        <v>2022</v>
      </c>
      <c r="M475" s="20" t="n">
        <f aca="false">IF(J475&gt;0,K475/J475,0)</f>
        <v>0.161853685368537</v>
      </c>
    </row>
    <row r="476" customFormat="false" ht="15" hidden="false" customHeight="false" outlineLevel="0" collapsed="false">
      <c r="A476" s="15" t="s">
        <v>533</v>
      </c>
      <c r="B476" s="16" t="n">
        <v>45431</v>
      </c>
      <c r="C476" s="15" t="s">
        <v>71</v>
      </c>
      <c r="D476" s="15" t="s">
        <v>42</v>
      </c>
      <c r="E476" s="15" t="s">
        <v>36</v>
      </c>
      <c r="F476" s="15" t="s">
        <v>18</v>
      </c>
      <c r="G476" s="15" t="s">
        <v>24</v>
      </c>
      <c r="H476" s="15" t="n">
        <v>4</v>
      </c>
      <c r="I476" s="17" t="n">
        <v>0.3</v>
      </c>
      <c r="J476" s="18" t="n">
        <v>1408.43</v>
      </c>
      <c r="K476" s="19" t="n">
        <v>-321.28</v>
      </c>
      <c r="L476" s="15" t="n">
        <f aca="false">YEAR(B476)</f>
        <v>2024</v>
      </c>
      <c r="M476" s="20" t="n">
        <f aca="false">IF(J476&gt;0,K476/J476,0)</f>
        <v>-0.228112153248653</v>
      </c>
    </row>
    <row r="477" customFormat="false" ht="15" hidden="false" customHeight="false" outlineLevel="0" collapsed="false">
      <c r="A477" s="15" t="s">
        <v>534</v>
      </c>
      <c r="B477" s="16" t="n">
        <v>44688</v>
      </c>
      <c r="C477" s="15" t="s">
        <v>68</v>
      </c>
      <c r="D477" s="15" t="s">
        <v>42</v>
      </c>
      <c r="E477" s="15" t="s">
        <v>38</v>
      </c>
      <c r="F477" s="15" t="s">
        <v>18</v>
      </c>
      <c r="G477" s="15" t="s">
        <v>30</v>
      </c>
      <c r="H477" s="15" t="n">
        <v>2</v>
      </c>
      <c r="I477" s="17" t="n">
        <v>0.1</v>
      </c>
      <c r="J477" s="18" t="n">
        <v>78.74</v>
      </c>
      <c r="K477" s="19" t="n">
        <v>15.43</v>
      </c>
      <c r="L477" s="15" t="n">
        <f aca="false">YEAR(B477)</f>
        <v>2022</v>
      </c>
      <c r="M477" s="20" t="n">
        <f aca="false">IF(J477&gt;0,K477/J477,0)</f>
        <v>0.195961391922784</v>
      </c>
    </row>
    <row r="478" customFormat="false" ht="15" hidden="false" customHeight="false" outlineLevel="0" collapsed="false">
      <c r="A478" s="15" t="s">
        <v>535</v>
      </c>
      <c r="B478" s="16" t="n">
        <v>45689</v>
      </c>
      <c r="C478" s="15" t="s">
        <v>56</v>
      </c>
      <c r="D478" s="15" t="s">
        <v>43</v>
      </c>
      <c r="E478" s="15" t="s">
        <v>37</v>
      </c>
      <c r="F478" s="15" t="s">
        <v>17</v>
      </c>
      <c r="G478" s="15" t="s">
        <v>28</v>
      </c>
      <c r="H478" s="15" t="n">
        <v>3</v>
      </c>
      <c r="I478" s="17" t="n">
        <v>0.3</v>
      </c>
      <c r="J478" s="18" t="n">
        <v>67.28</v>
      </c>
      <c r="K478" s="19" t="n">
        <v>-1.65</v>
      </c>
      <c r="L478" s="15" t="n">
        <f aca="false">YEAR(B478)</f>
        <v>2025</v>
      </c>
      <c r="M478" s="20" t="n">
        <f aca="false">IF(J478&gt;0,K478/J478,0)</f>
        <v>-0.0245243757431629</v>
      </c>
    </row>
    <row r="479" customFormat="false" ht="15" hidden="false" customHeight="false" outlineLevel="0" collapsed="false">
      <c r="A479" s="15" t="s">
        <v>536</v>
      </c>
      <c r="B479" s="16" t="n">
        <v>45474</v>
      </c>
      <c r="C479" s="15" t="s">
        <v>58</v>
      </c>
      <c r="D479" s="15" t="s">
        <v>43</v>
      </c>
      <c r="E479" s="15" t="s">
        <v>36</v>
      </c>
      <c r="F479" s="15" t="s">
        <v>17</v>
      </c>
      <c r="G479" s="15" t="s">
        <v>26</v>
      </c>
      <c r="H479" s="15" t="n">
        <v>2</v>
      </c>
      <c r="I479" s="17" t="n">
        <v>0.1</v>
      </c>
      <c r="J479" s="18" t="n">
        <v>148.72</v>
      </c>
      <c r="K479" s="19" t="n">
        <v>1.69</v>
      </c>
      <c r="L479" s="15" t="n">
        <f aca="false">YEAR(B479)</f>
        <v>2024</v>
      </c>
      <c r="M479" s="20" t="n">
        <f aca="false">IF(J479&gt;0,K479/J479,0)</f>
        <v>0.0113636363636364</v>
      </c>
    </row>
    <row r="480" customFormat="false" ht="15" hidden="false" customHeight="false" outlineLevel="0" collapsed="false">
      <c r="A480" s="15" t="s">
        <v>537</v>
      </c>
      <c r="B480" s="16" t="n">
        <v>44907</v>
      </c>
      <c r="C480" s="15" t="s">
        <v>71</v>
      </c>
      <c r="D480" s="15" t="s">
        <v>42</v>
      </c>
      <c r="E480" s="15" t="s">
        <v>38</v>
      </c>
      <c r="F480" s="15" t="s">
        <v>17</v>
      </c>
      <c r="G480" s="15" t="s">
        <v>28</v>
      </c>
      <c r="H480" s="15" t="n">
        <v>3</v>
      </c>
      <c r="I480" s="17" t="n">
        <v>0.2</v>
      </c>
      <c r="J480" s="18" t="n">
        <v>49.69</v>
      </c>
      <c r="K480" s="19" t="n">
        <v>4.84</v>
      </c>
      <c r="L480" s="15" t="n">
        <f aca="false">YEAR(B480)</f>
        <v>2022</v>
      </c>
      <c r="M480" s="20" t="n">
        <f aca="false">IF(J480&gt;0,K480/J480,0)</f>
        <v>0.0974039042060777</v>
      </c>
    </row>
    <row r="481" customFormat="false" ht="15" hidden="false" customHeight="false" outlineLevel="0" collapsed="false">
      <c r="A481" s="15" t="s">
        <v>538</v>
      </c>
      <c r="B481" s="16" t="n">
        <v>45650</v>
      </c>
      <c r="C481" s="15" t="s">
        <v>68</v>
      </c>
      <c r="D481" s="15" t="s">
        <v>42</v>
      </c>
      <c r="E481" s="15" t="s">
        <v>36</v>
      </c>
      <c r="F481" s="15" t="s">
        <v>16</v>
      </c>
      <c r="G481" s="15" t="s">
        <v>27</v>
      </c>
      <c r="H481" s="15" t="n">
        <v>5</v>
      </c>
      <c r="I481" s="17" t="n">
        <v>0</v>
      </c>
      <c r="J481" s="18" t="n">
        <v>303.18</v>
      </c>
      <c r="K481" s="19" t="n">
        <v>81.91</v>
      </c>
      <c r="L481" s="15" t="n">
        <f aca="false">YEAR(B481)</f>
        <v>2024</v>
      </c>
      <c r="M481" s="20" t="n">
        <f aca="false">IF(J481&gt;0,K481/J481,0)</f>
        <v>0.270169536249093</v>
      </c>
    </row>
    <row r="482" customFormat="false" ht="15" hidden="false" customHeight="false" outlineLevel="0" collapsed="false">
      <c r="A482" s="15" t="s">
        <v>539</v>
      </c>
      <c r="B482" s="16" t="n">
        <v>44901</v>
      </c>
      <c r="C482" s="15" t="s">
        <v>56</v>
      </c>
      <c r="D482" s="15" t="s">
        <v>44</v>
      </c>
      <c r="E482" s="15" t="s">
        <v>37</v>
      </c>
      <c r="F482" s="15" t="s">
        <v>17</v>
      </c>
      <c r="G482" s="15" t="s">
        <v>29</v>
      </c>
      <c r="H482" s="15" t="n">
        <v>2</v>
      </c>
      <c r="I482" s="17" t="n">
        <v>0.1</v>
      </c>
      <c r="J482" s="18" t="n">
        <v>37.12</v>
      </c>
      <c r="K482" s="19" t="n">
        <v>9.96</v>
      </c>
      <c r="L482" s="15" t="n">
        <f aca="false">YEAR(B482)</f>
        <v>2022</v>
      </c>
      <c r="M482" s="20" t="n">
        <f aca="false">IF(J482&gt;0,K482/J482,0)</f>
        <v>0.268318965517241</v>
      </c>
    </row>
    <row r="483" customFormat="false" ht="15" hidden="false" customHeight="false" outlineLevel="0" collapsed="false">
      <c r="A483" s="15" t="s">
        <v>540</v>
      </c>
      <c r="B483" s="16" t="n">
        <v>45422</v>
      </c>
      <c r="C483" s="15" t="s">
        <v>71</v>
      </c>
      <c r="D483" s="15" t="s">
        <v>42</v>
      </c>
      <c r="E483" s="15" t="s">
        <v>37</v>
      </c>
      <c r="F483" s="15" t="s">
        <v>17</v>
      </c>
      <c r="G483" s="15" t="s">
        <v>31</v>
      </c>
      <c r="H483" s="15" t="n">
        <v>3</v>
      </c>
      <c r="I483" s="17" t="n">
        <v>0.1</v>
      </c>
      <c r="J483" s="18" t="n">
        <v>345.09</v>
      </c>
      <c r="K483" s="19" t="n">
        <v>40.78</v>
      </c>
      <c r="L483" s="15" t="n">
        <f aca="false">YEAR(B483)</f>
        <v>2024</v>
      </c>
      <c r="M483" s="20" t="n">
        <f aca="false">IF(J483&gt;0,K483/J483,0)</f>
        <v>0.118172071053928</v>
      </c>
    </row>
    <row r="484" customFormat="false" ht="15" hidden="false" customHeight="false" outlineLevel="0" collapsed="false">
      <c r="A484" s="15" t="s">
        <v>541</v>
      </c>
      <c r="B484" s="16" t="n">
        <v>45409</v>
      </c>
      <c r="C484" s="15" t="s">
        <v>68</v>
      </c>
      <c r="D484" s="15" t="s">
        <v>44</v>
      </c>
      <c r="E484" s="15" t="s">
        <v>36</v>
      </c>
      <c r="F484" s="15" t="s">
        <v>18</v>
      </c>
      <c r="G484" s="15" t="s">
        <v>30</v>
      </c>
      <c r="H484" s="15" t="n">
        <v>2</v>
      </c>
      <c r="I484" s="17" t="n">
        <v>0.1</v>
      </c>
      <c r="J484" s="18" t="n">
        <v>78.95</v>
      </c>
      <c r="K484" s="19" t="n">
        <v>16.89</v>
      </c>
      <c r="L484" s="15" t="n">
        <f aca="false">YEAR(B484)</f>
        <v>2024</v>
      </c>
      <c r="M484" s="20" t="n">
        <f aca="false">IF(J484&gt;0,K484/J484,0)</f>
        <v>0.21393286890437</v>
      </c>
    </row>
    <row r="485" customFormat="false" ht="15" hidden="false" customHeight="false" outlineLevel="0" collapsed="false">
      <c r="A485" s="15" t="s">
        <v>542</v>
      </c>
      <c r="B485" s="16" t="n">
        <v>45522</v>
      </c>
      <c r="C485" s="15" t="s">
        <v>56</v>
      </c>
      <c r="D485" s="15" t="s">
        <v>42</v>
      </c>
      <c r="E485" s="15" t="s">
        <v>36</v>
      </c>
      <c r="F485" s="15" t="s">
        <v>17</v>
      </c>
      <c r="G485" s="15" t="s">
        <v>29</v>
      </c>
      <c r="H485" s="15" t="n">
        <v>2</v>
      </c>
      <c r="I485" s="17" t="n">
        <v>0.05</v>
      </c>
      <c r="J485" s="18" t="n">
        <v>31.06</v>
      </c>
      <c r="K485" s="19" t="n">
        <v>9.99</v>
      </c>
      <c r="L485" s="15" t="n">
        <f aca="false">YEAR(B485)</f>
        <v>2024</v>
      </c>
      <c r="M485" s="20" t="n">
        <f aca="false">IF(J485&gt;0,K485/J485,0)</f>
        <v>0.321635544108178</v>
      </c>
    </row>
    <row r="486" customFormat="false" ht="15" hidden="false" customHeight="false" outlineLevel="0" collapsed="false">
      <c r="A486" s="15" t="s">
        <v>543</v>
      </c>
      <c r="B486" s="16" t="n">
        <v>45662</v>
      </c>
      <c r="C486" s="15" t="s">
        <v>71</v>
      </c>
      <c r="D486" s="15" t="s">
        <v>42</v>
      </c>
      <c r="E486" s="15" t="s">
        <v>36</v>
      </c>
      <c r="F486" s="15" t="s">
        <v>16</v>
      </c>
      <c r="G486" s="15" t="s">
        <v>25</v>
      </c>
      <c r="H486" s="15" t="n">
        <v>2</v>
      </c>
      <c r="I486" s="17" t="n">
        <v>0</v>
      </c>
      <c r="J486" s="18" t="n">
        <v>558.33</v>
      </c>
      <c r="K486" s="19" t="n">
        <v>65.31</v>
      </c>
      <c r="L486" s="15" t="n">
        <f aca="false">YEAR(B486)</f>
        <v>2025</v>
      </c>
      <c r="M486" s="20" t="n">
        <f aca="false">IF(J486&gt;0,K486/J486,0)</f>
        <v>0.116973832679598</v>
      </c>
    </row>
    <row r="487" customFormat="false" ht="15" hidden="false" customHeight="false" outlineLevel="0" collapsed="false">
      <c r="A487" s="15" t="s">
        <v>544</v>
      </c>
      <c r="B487" s="16" t="n">
        <v>44881</v>
      </c>
      <c r="C487" s="15" t="s">
        <v>71</v>
      </c>
      <c r="D487" s="15" t="s">
        <v>43</v>
      </c>
      <c r="E487" s="15" t="s">
        <v>39</v>
      </c>
      <c r="F487" s="15" t="s">
        <v>18</v>
      </c>
      <c r="G487" s="15" t="s">
        <v>32</v>
      </c>
      <c r="H487" s="15" t="n">
        <v>5</v>
      </c>
      <c r="I487" s="17" t="n">
        <v>0</v>
      </c>
      <c r="J487" s="18" t="n">
        <v>2341.34</v>
      </c>
      <c r="K487" s="19" t="n">
        <v>609.48</v>
      </c>
      <c r="L487" s="15" t="n">
        <f aca="false">YEAR(B487)</f>
        <v>2022</v>
      </c>
      <c r="M487" s="20" t="n">
        <f aca="false">IF(J487&gt;0,K487/J487,0)</f>
        <v>0.260312470636473</v>
      </c>
    </row>
    <row r="488" customFormat="false" ht="15" hidden="false" customHeight="false" outlineLevel="0" collapsed="false">
      <c r="A488" s="15" t="s">
        <v>545</v>
      </c>
      <c r="B488" s="16" t="n">
        <v>45609</v>
      </c>
      <c r="C488" s="15" t="s">
        <v>58</v>
      </c>
      <c r="D488" s="15" t="s">
        <v>44</v>
      </c>
      <c r="E488" s="15" t="s">
        <v>37</v>
      </c>
      <c r="F488" s="15" t="s">
        <v>17</v>
      </c>
      <c r="G488" s="15" t="s">
        <v>28</v>
      </c>
      <c r="H488" s="15" t="n">
        <v>1</v>
      </c>
      <c r="I488" s="17" t="n">
        <v>0.1</v>
      </c>
      <c r="J488" s="18" t="n">
        <v>27.89</v>
      </c>
      <c r="K488" s="19" t="n">
        <v>6.12</v>
      </c>
      <c r="L488" s="15" t="n">
        <f aca="false">YEAR(B488)</f>
        <v>2024</v>
      </c>
      <c r="M488" s="20" t="n">
        <f aca="false">IF(J488&gt;0,K488/J488,0)</f>
        <v>0.219433488705629</v>
      </c>
    </row>
    <row r="489" customFormat="false" ht="15" hidden="false" customHeight="false" outlineLevel="0" collapsed="false">
      <c r="A489" s="15" t="s">
        <v>546</v>
      </c>
      <c r="B489" s="16" t="n">
        <v>46000</v>
      </c>
      <c r="C489" s="15" t="s">
        <v>56</v>
      </c>
      <c r="D489" s="15" t="s">
        <v>42</v>
      </c>
      <c r="E489" s="15" t="s">
        <v>38</v>
      </c>
      <c r="F489" s="15" t="s">
        <v>17</v>
      </c>
      <c r="G489" s="15" t="s">
        <v>26</v>
      </c>
      <c r="H489" s="15" t="n">
        <v>4</v>
      </c>
      <c r="I489" s="17" t="n">
        <v>0.1</v>
      </c>
      <c r="J489" s="18" t="n">
        <v>271.61</v>
      </c>
      <c r="K489" s="19" t="n">
        <v>27.55</v>
      </c>
      <c r="L489" s="15" t="n">
        <f aca="false">YEAR(B489)</f>
        <v>2025</v>
      </c>
      <c r="M489" s="20" t="n">
        <f aca="false">IF(J489&gt;0,K489/J489,0)</f>
        <v>0.101432200581716</v>
      </c>
    </row>
    <row r="490" customFormat="false" ht="15" hidden="false" customHeight="false" outlineLevel="0" collapsed="false">
      <c r="A490" s="15" t="s">
        <v>547</v>
      </c>
      <c r="B490" s="16" t="n">
        <v>44808</v>
      </c>
      <c r="C490" s="15" t="s">
        <v>71</v>
      </c>
      <c r="D490" s="15" t="s">
        <v>44</v>
      </c>
      <c r="E490" s="15" t="s">
        <v>37</v>
      </c>
      <c r="F490" s="15" t="s">
        <v>17</v>
      </c>
      <c r="G490" s="15" t="s">
        <v>29</v>
      </c>
      <c r="H490" s="15" t="n">
        <v>2</v>
      </c>
      <c r="I490" s="17" t="n">
        <v>0</v>
      </c>
      <c r="J490" s="18" t="n">
        <v>53.8</v>
      </c>
      <c r="K490" s="19" t="n">
        <v>24.42</v>
      </c>
      <c r="L490" s="15" t="n">
        <f aca="false">YEAR(B490)</f>
        <v>2022</v>
      </c>
      <c r="M490" s="20" t="n">
        <f aca="false">IF(J490&gt;0,K490/J490,0)</f>
        <v>0.453903345724907</v>
      </c>
    </row>
    <row r="491" customFormat="false" ht="15" hidden="false" customHeight="false" outlineLevel="0" collapsed="false">
      <c r="A491" s="15" t="s">
        <v>548</v>
      </c>
      <c r="B491" s="16" t="n">
        <v>45379</v>
      </c>
      <c r="C491" s="15" t="s">
        <v>56</v>
      </c>
      <c r="D491" s="15" t="s">
        <v>42</v>
      </c>
      <c r="E491" s="15" t="s">
        <v>39</v>
      </c>
      <c r="F491" s="15" t="s">
        <v>16</v>
      </c>
      <c r="G491" s="15" t="s">
        <v>27</v>
      </c>
      <c r="H491" s="15" t="n">
        <v>2</v>
      </c>
      <c r="I491" s="17" t="n">
        <v>0.05</v>
      </c>
      <c r="J491" s="18" t="n">
        <v>98.65</v>
      </c>
      <c r="K491" s="19" t="n">
        <v>18.07</v>
      </c>
      <c r="L491" s="15" t="n">
        <f aca="false">YEAR(B491)</f>
        <v>2024</v>
      </c>
      <c r="M491" s="20" t="n">
        <f aca="false">IF(J491&gt;0,K491/J491,0)</f>
        <v>0.18317283324886</v>
      </c>
    </row>
    <row r="492" customFormat="false" ht="15" hidden="false" customHeight="false" outlineLevel="0" collapsed="false">
      <c r="A492" s="15" t="s">
        <v>549</v>
      </c>
      <c r="B492" s="16" t="n">
        <v>44881</v>
      </c>
      <c r="C492" s="15" t="s">
        <v>56</v>
      </c>
      <c r="D492" s="15" t="s">
        <v>43</v>
      </c>
      <c r="E492" s="15" t="s">
        <v>37</v>
      </c>
      <c r="F492" s="15" t="s">
        <v>18</v>
      </c>
      <c r="G492" s="15" t="s">
        <v>30</v>
      </c>
      <c r="H492" s="15" t="n">
        <v>3</v>
      </c>
      <c r="I492" s="17" t="n">
        <v>0.2</v>
      </c>
      <c r="J492" s="18" t="n">
        <v>129</v>
      </c>
      <c r="K492" s="19" t="n">
        <v>20.7</v>
      </c>
      <c r="L492" s="15" t="n">
        <f aca="false">YEAR(B492)</f>
        <v>2022</v>
      </c>
      <c r="M492" s="20" t="n">
        <f aca="false">IF(J492&gt;0,K492/J492,0)</f>
        <v>0.16046511627907</v>
      </c>
    </row>
    <row r="493" customFormat="false" ht="15" hidden="false" customHeight="false" outlineLevel="0" collapsed="false">
      <c r="A493" s="15" t="s">
        <v>550</v>
      </c>
      <c r="B493" s="16" t="n">
        <v>45241</v>
      </c>
      <c r="C493" s="15" t="s">
        <v>56</v>
      </c>
      <c r="D493" s="15" t="s">
        <v>42</v>
      </c>
      <c r="E493" s="15" t="s">
        <v>39</v>
      </c>
      <c r="F493" s="15" t="s">
        <v>16</v>
      </c>
      <c r="G493" s="15" t="s">
        <v>27</v>
      </c>
      <c r="H493" s="15" t="n">
        <v>6</v>
      </c>
      <c r="I493" s="17" t="n">
        <v>0</v>
      </c>
      <c r="J493" s="18" t="n">
        <v>387.89</v>
      </c>
      <c r="K493" s="19" t="n">
        <v>87.65</v>
      </c>
      <c r="L493" s="15" t="n">
        <f aca="false">YEAR(B493)</f>
        <v>2023</v>
      </c>
      <c r="M493" s="20" t="n">
        <f aca="false">IF(J493&gt;0,K493/J493,0)</f>
        <v>0.225966124416716</v>
      </c>
    </row>
    <row r="494" customFormat="false" ht="15" hidden="false" customHeight="false" outlineLevel="0" collapsed="false">
      <c r="A494" s="15" t="s">
        <v>551</v>
      </c>
      <c r="B494" s="16" t="n">
        <v>45243</v>
      </c>
      <c r="C494" s="15" t="s">
        <v>71</v>
      </c>
      <c r="D494" s="15" t="s">
        <v>44</v>
      </c>
      <c r="E494" s="15" t="s">
        <v>37</v>
      </c>
      <c r="F494" s="15" t="s">
        <v>17</v>
      </c>
      <c r="G494" s="15" t="s">
        <v>29</v>
      </c>
      <c r="H494" s="15" t="n">
        <v>3</v>
      </c>
      <c r="I494" s="17" t="n">
        <v>0.05</v>
      </c>
      <c r="J494" s="18" t="n">
        <v>53.29</v>
      </c>
      <c r="K494" s="19" t="n">
        <v>17.37</v>
      </c>
      <c r="L494" s="15" t="n">
        <f aca="false">YEAR(B494)</f>
        <v>2023</v>
      </c>
      <c r="M494" s="20" t="n">
        <f aca="false">IF(J494&gt;0,K494/J494,0)</f>
        <v>0.325952336273222</v>
      </c>
    </row>
    <row r="495" customFormat="false" ht="15" hidden="false" customHeight="false" outlineLevel="0" collapsed="false">
      <c r="A495" s="15" t="s">
        <v>552</v>
      </c>
      <c r="B495" s="16" t="n">
        <v>45159</v>
      </c>
      <c r="C495" s="15" t="s">
        <v>68</v>
      </c>
      <c r="D495" s="15" t="s">
        <v>42</v>
      </c>
      <c r="E495" s="15" t="s">
        <v>36</v>
      </c>
      <c r="F495" s="15" t="s">
        <v>17</v>
      </c>
      <c r="G495" s="15" t="s">
        <v>28</v>
      </c>
      <c r="H495" s="15" t="n">
        <v>3</v>
      </c>
      <c r="I495" s="17" t="n">
        <v>0</v>
      </c>
      <c r="J495" s="18" t="n">
        <v>69.46</v>
      </c>
      <c r="K495" s="19" t="n">
        <v>20.68</v>
      </c>
      <c r="L495" s="15" t="n">
        <f aca="false">YEAR(B495)</f>
        <v>2023</v>
      </c>
      <c r="M495" s="20" t="n">
        <f aca="false">IF(J495&gt;0,K495/J495,0)</f>
        <v>0.297725309530665</v>
      </c>
    </row>
    <row r="496" customFormat="false" ht="15" hidden="false" customHeight="false" outlineLevel="0" collapsed="false">
      <c r="A496" s="15" t="s">
        <v>553</v>
      </c>
      <c r="B496" s="16" t="n">
        <v>45076</v>
      </c>
      <c r="C496" s="15" t="s">
        <v>56</v>
      </c>
      <c r="D496" s="15" t="s">
        <v>44</v>
      </c>
      <c r="E496" s="15" t="s">
        <v>36</v>
      </c>
      <c r="F496" s="15" t="s">
        <v>18</v>
      </c>
      <c r="G496" s="15" t="s">
        <v>33</v>
      </c>
      <c r="H496" s="15" t="n">
        <v>4</v>
      </c>
      <c r="I496" s="17" t="n">
        <v>0.1</v>
      </c>
      <c r="J496" s="18" t="n">
        <v>3693.25</v>
      </c>
      <c r="K496" s="19" t="n">
        <v>522.45</v>
      </c>
      <c r="L496" s="15" t="n">
        <f aca="false">YEAR(B496)</f>
        <v>2023</v>
      </c>
      <c r="M496" s="20" t="n">
        <f aca="false">IF(J496&gt;0,K496/J496,0)</f>
        <v>0.141460773031883</v>
      </c>
    </row>
    <row r="497" customFormat="false" ht="15" hidden="false" customHeight="false" outlineLevel="0" collapsed="false">
      <c r="A497" s="15" t="s">
        <v>554</v>
      </c>
      <c r="B497" s="16" t="n">
        <v>44870</v>
      </c>
      <c r="C497" s="15" t="s">
        <v>68</v>
      </c>
      <c r="D497" s="15" t="s">
        <v>42</v>
      </c>
      <c r="E497" s="15" t="s">
        <v>36</v>
      </c>
      <c r="F497" s="15" t="s">
        <v>18</v>
      </c>
      <c r="G497" s="15" t="s">
        <v>30</v>
      </c>
      <c r="H497" s="15" t="n">
        <v>8</v>
      </c>
      <c r="I497" s="17" t="n">
        <v>0.05</v>
      </c>
      <c r="J497" s="18" t="n">
        <v>333.92</v>
      </c>
      <c r="K497" s="19" t="n">
        <v>103.78</v>
      </c>
      <c r="L497" s="15" t="n">
        <f aca="false">YEAR(B497)</f>
        <v>2022</v>
      </c>
      <c r="M497" s="20" t="n">
        <f aca="false">IF(J497&gt;0,K497/J497,0)</f>
        <v>0.31079300431241</v>
      </c>
    </row>
    <row r="498" customFormat="false" ht="15" hidden="false" customHeight="false" outlineLevel="0" collapsed="false">
      <c r="A498" s="15" t="s">
        <v>555</v>
      </c>
      <c r="B498" s="16" t="n">
        <v>44915</v>
      </c>
      <c r="C498" s="15" t="s">
        <v>58</v>
      </c>
      <c r="D498" s="15" t="s">
        <v>44</v>
      </c>
      <c r="E498" s="15" t="s">
        <v>36</v>
      </c>
      <c r="F498" s="15" t="s">
        <v>17</v>
      </c>
      <c r="G498" s="15" t="s">
        <v>28</v>
      </c>
      <c r="H498" s="15" t="n">
        <v>3</v>
      </c>
      <c r="I498" s="17" t="n">
        <v>0</v>
      </c>
      <c r="J498" s="18" t="n">
        <v>50.07</v>
      </c>
      <c r="K498" s="19" t="n">
        <v>13.88</v>
      </c>
      <c r="L498" s="15" t="n">
        <f aca="false">YEAR(B498)</f>
        <v>2022</v>
      </c>
      <c r="M498" s="20" t="n">
        <f aca="false">IF(J498&gt;0,K498/J498,0)</f>
        <v>0.277211903335331</v>
      </c>
    </row>
    <row r="499" customFormat="false" ht="15" hidden="false" customHeight="false" outlineLevel="0" collapsed="false">
      <c r="A499" s="15" t="s">
        <v>556</v>
      </c>
      <c r="B499" s="16" t="n">
        <v>44704</v>
      </c>
      <c r="C499" s="15" t="s">
        <v>56</v>
      </c>
      <c r="D499" s="15" t="s">
        <v>42</v>
      </c>
      <c r="E499" s="15" t="s">
        <v>39</v>
      </c>
      <c r="F499" s="15" t="s">
        <v>18</v>
      </c>
      <c r="G499" s="15" t="s">
        <v>24</v>
      </c>
      <c r="H499" s="15" t="n">
        <v>2</v>
      </c>
      <c r="I499" s="17" t="n">
        <v>0.1</v>
      </c>
      <c r="J499" s="18" t="n">
        <v>1127.25</v>
      </c>
      <c r="K499" s="19" t="n">
        <v>-35.83</v>
      </c>
      <c r="L499" s="15" t="n">
        <f aca="false">YEAR(B499)</f>
        <v>2022</v>
      </c>
      <c r="M499" s="20" t="n">
        <f aca="false">IF(J499&gt;0,K499/J499,0)</f>
        <v>-0.0317853182523841</v>
      </c>
    </row>
    <row r="500" customFormat="false" ht="15" hidden="false" customHeight="false" outlineLevel="0" collapsed="false">
      <c r="A500" s="15" t="s">
        <v>557</v>
      </c>
      <c r="B500" s="16" t="n">
        <v>45269</v>
      </c>
      <c r="C500" s="15" t="s">
        <v>56</v>
      </c>
      <c r="D500" s="15" t="s">
        <v>44</v>
      </c>
      <c r="E500" s="15" t="s">
        <v>37</v>
      </c>
      <c r="F500" s="15" t="s">
        <v>17</v>
      </c>
      <c r="G500" s="15" t="s">
        <v>29</v>
      </c>
      <c r="H500" s="15" t="n">
        <v>3</v>
      </c>
      <c r="I500" s="17" t="n">
        <v>0</v>
      </c>
      <c r="J500" s="18" t="n">
        <v>57.98</v>
      </c>
      <c r="K500" s="19" t="n">
        <v>23.43</v>
      </c>
      <c r="L500" s="15" t="n">
        <f aca="false">YEAR(B500)</f>
        <v>2023</v>
      </c>
      <c r="M500" s="20" t="n">
        <f aca="false">IF(J500&gt;0,K500/J500,0)</f>
        <v>0.404104863746119</v>
      </c>
    </row>
    <row r="501" customFormat="false" ht="15" hidden="false" customHeight="false" outlineLevel="0" collapsed="false">
      <c r="A501" s="15" t="s">
        <v>558</v>
      </c>
      <c r="B501" s="16" t="n">
        <v>45646</v>
      </c>
      <c r="C501" s="15" t="s">
        <v>56</v>
      </c>
      <c r="D501" s="15" t="s">
        <v>43</v>
      </c>
      <c r="E501" s="15" t="s">
        <v>36</v>
      </c>
      <c r="F501" s="15" t="s">
        <v>17</v>
      </c>
      <c r="G501" s="15" t="s">
        <v>26</v>
      </c>
      <c r="H501" s="15" t="n">
        <v>1</v>
      </c>
      <c r="I501" s="17" t="n">
        <v>0.1</v>
      </c>
      <c r="J501" s="18" t="n">
        <v>76.26</v>
      </c>
      <c r="K501" s="19" t="n">
        <v>4.22</v>
      </c>
      <c r="L501" s="15" t="n">
        <f aca="false">YEAR(B501)</f>
        <v>2024</v>
      </c>
      <c r="M501" s="20" t="n">
        <f aca="false">IF(J501&gt;0,K501/J501,0)</f>
        <v>0.0553370049829531</v>
      </c>
    </row>
    <row r="502" customFormat="false" ht="15" hidden="false" customHeight="false" outlineLevel="0" collapsed="false">
      <c r="A502" s="15" t="s">
        <v>559</v>
      </c>
      <c r="B502" s="16" t="n">
        <v>45429</v>
      </c>
      <c r="C502" s="15" t="s">
        <v>71</v>
      </c>
      <c r="D502" s="15" t="s">
        <v>42</v>
      </c>
      <c r="E502" s="15" t="s">
        <v>39</v>
      </c>
      <c r="F502" s="15" t="s">
        <v>18</v>
      </c>
      <c r="G502" s="15" t="s">
        <v>30</v>
      </c>
      <c r="H502" s="15" t="n">
        <v>10</v>
      </c>
      <c r="I502" s="17" t="n">
        <v>0</v>
      </c>
      <c r="J502" s="18" t="n">
        <v>557.32</v>
      </c>
      <c r="K502" s="19" t="n">
        <v>182.25</v>
      </c>
      <c r="L502" s="15" t="n">
        <f aca="false">YEAR(B502)</f>
        <v>2024</v>
      </c>
      <c r="M502" s="20" t="n">
        <f aca="false">IF(J502&gt;0,K502/J502,0)</f>
        <v>0.327011411756262</v>
      </c>
    </row>
    <row r="503" customFormat="false" ht="15" hidden="false" customHeight="false" outlineLevel="0" collapsed="false">
      <c r="A503" s="15" t="s">
        <v>560</v>
      </c>
      <c r="B503" s="16" t="n">
        <v>45940</v>
      </c>
      <c r="C503" s="15" t="s">
        <v>56</v>
      </c>
      <c r="D503" s="15" t="s">
        <v>43</v>
      </c>
      <c r="E503" s="15" t="s">
        <v>39</v>
      </c>
      <c r="F503" s="15" t="s">
        <v>17</v>
      </c>
      <c r="G503" s="15" t="s">
        <v>29</v>
      </c>
      <c r="H503" s="15" t="n">
        <v>2</v>
      </c>
      <c r="I503" s="17" t="n">
        <v>0.4</v>
      </c>
      <c r="J503" s="18" t="n">
        <v>23.79</v>
      </c>
      <c r="K503" s="19" t="n">
        <v>1.59</v>
      </c>
      <c r="L503" s="15" t="n">
        <f aca="false">YEAR(B503)</f>
        <v>2025</v>
      </c>
      <c r="M503" s="20" t="n">
        <f aca="false">IF(J503&gt;0,K503/J503,0)</f>
        <v>0.0668348045397226</v>
      </c>
    </row>
    <row r="504" customFormat="false" ht="15" hidden="false" customHeight="false" outlineLevel="0" collapsed="false">
      <c r="A504" s="15" t="s">
        <v>561</v>
      </c>
      <c r="B504" s="16" t="n">
        <v>45802</v>
      </c>
      <c r="C504" s="15" t="s">
        <v>56</v>
      </c>
      <c r="D504" s="15" t="s">
        <v>43</v>
      </c>
      <c r="E504" s="15" t="s">
        <v>39</v>
      </c>
      <c r="F504" s="15" t="s">
        <v>17</v>
      </c>
      <c r="G504" s="15" t="s">
        <v>26</v>
      </c>
      <c r="H504" s="15" t="n">
        <v>3</v>
      </c>
      <c r="I504" s="17" t="n">
        <v>0</v>
      </c>
      <c r="J504" s="18" t="n">
        <v>253.42</v>
      </c>
      <c r="K504" s="19" t="n">
        <v>28.75</v>
      </c>
      <c r="L504" s="15" t="n">
        <f aca="false">YEAR(B504)</f>
        <v>2025</v>
      </c>
      <c r="M504" s="20" t="n">
        <f aca="false">IF(J504&gt;0,K504/J504,0)</f>
        <v>0.113448030936785</v>
      </c>
    </row>
    <row r="505" customFormat="false" ht="15" hidden="false" customHeight="false" outlineLevel="0" collapsed="false">
      <c r="A505" s="15" t="s">
        <v>562</v>
      </c>
      <c r="B505" s="16" t="n">
        <v>45158</v>
      </c>
      <c r="C505" s="15" t="s">
        <v>71</v>
      </c>
      <c r="D505" s="15" t="s">
        <v>42</v>
      </c>
      <c r="E505" s="15" t="s">
        <v>37</v>
      </c>
      <c r="F505" s="15" t="s">
        <v>17</v>
      </c>
      <c r="G505" s="15" t="s">
        <v>29</v>
      </c>
      <c r="H505" s="15" t="n">
        <v>3</v>
      </c>
      <c r="I505" s="17" t="n">
        <v>0.15</v>
      </c>
      <c r="J505" s="18" t="n">
        <v>52.07</v>
      </c>
      <c r="K505" s="19" t="n">
        <v>12.07</v>
      </c>
      <c r="L505" s="15" t="n">
        <f aca="false">YEAR(B505)</f>
        <v>2023</v>
      </c>
      <c r="M505" s="20" t="n">
        <f aca="false">IF(J505&gt;0,K505/J505,0)</f>
        <v>0.231803341655464</v>
      </c>
    </row>
    <row r="506" customFormat="false" ht="15" hidden="false" customHeight="false" outlineLevel="0" collapsed="false">
      <c r="A506" s="15" t="s">
        <v>563</v>
      </c>
      <c r="B506" s="16" t="n">
        <v>45358</v>
      </c>
      <c r="C506" s="15" t="s">
        <v>68</v>
      </c>
      <c r="D506" s="15" t="s">
        <v>43</v>
      </c>
      <c r="E506" s="15" t="s">
        <v>39</v>
      </c>
      <c r="F506" s="15" t="s">
        <v>17</v>
      </c>
      <c r="G506" s="15" t="s">
        <v>31</v>
      </c>
      <c r="H506" s="15" t="n">
        <v>5</v>
      </c>
      <c r="I506" s="17" t="n">
        <v>0</v>
      </c>
      <c r="J506" s="18" t="n">
        <v>832.53</v>
      </c>
      <c r="K506" s="19" t="n">
        <v>147.77</v>
      </c>
      <c r="L506" s="15" t="n">
        <f aca="false">YEAR(B506)</f>
        <v>2024</v>
      </c>
      <c r="M506" s="20" t="n">
        <f aca="false">IF(J506&gt;0,K506/J506,0)</f>
        <v>0.177495105281491</v>
      </c>
    </row>
    <row r="507" customFormat="false" ht="15" hidden="false" customHeight="false" outlineLevel="0" collapsed="false">
      <c r="A507" s="15" t="s">
        <v>564</v>
      </c>
      <c r="B507" s="16" t="n">
        <v>45818</v>
      </c>
      <c r="C507" s="15" t="s">
        <v>56</v>
      </c>
      <c r="D507" s="15" t="s">
        <v>44</v>
      </c>
      <c r="E507" s="15" t="s">
        <v>36</v>
      </c>
      <c r="F507" s="15" t="s">
        <v>16</v>
      </c>
      <c r="G507" s="15" t="s">
        <v>22</v>
      </c>
      <c r="H507" s="15" t="n">
        <v>5</v>
      </c>
      <c r="I507" s="17" t="n">
        <v>0.1</v>
      </c>
      <c r="J507" s="18" t="n">
        <v>2097.46</v>
      </c>
      <c r="K507" s="19" t="n">
        <v>-293.71</v>
      </c>
      <c r="L507" s="15" t="n">
        <f aca="false">YEAR(B507)</f>
        <v>2025</v>
      </c>
      <c r="M507" s="20" t="n">
        <f aca="false">IF(J507&gt;0,K507/J507,0)</f>
        <v>-0.140031275924213</v>
      </c>
    </row>
    <row r="508" customFormat="false" ht="15" hidden="false" customHeight="false" outlineLevel="0" collapsed="false">
      <c r="A508" s="15" t="s">
        <v>565</v>
      </c>
      <c r="B508" s="16" t="n">
        <v>44811</v>
      </c>
      <c r="C508" s="15" t="s">
        <v>68</v>
      </c>
      <c r="D508" s="15" t="s">
        <v>43</v>
      </c>
      <c r="E508" s="15" t="s">
        <v>38</v>
      </c>
      <c r="F508" s="15" t="s">
        <v>18</v>
      </c>
      <c r="G508" s="15" t="s">
        <v>24</v>
      </c>
      <c r="H508" s="15" t="n">
        <v>4</v>
      </c>
      <c r="I508" s="17" t="n">
        <v>0</v>
      </c>
      <c r="J508" s="18" t="n">
        <v>2602.8</v>
      </c>
      <c r="K508" s="19" t="n">
        <v>192.94</v>
      </c>
      <c r="L508" s="15" t="n">
        <f aca="false">YEAR(B508)</f>
        <v>2022</v>
      </c>
      <c r="M508" s="20" t="n">
        <f aca="false">IF(J508&gt;0,K508/J508,0)</f>
        <v>0.0741278623021362</v>
      </c>
    </row>
    <row r="509" customFormat="false" ht="15" hidden="false" customHeight="false" outlineLevel="0" collapsed="false">
      <c r="A509" s="15" t="s">
        <v>566</v>
      </c>
      <c r="B509" s="16" t="n">
        <v>44809</v>
      </c>
      <c r="C509" s="15" t="s">
        <v>56</v>
      </c>
      <c r="D509" s="15" t="s">
        <v>42</v>
      </c>
      <c r="E509" s="15" t="s">
        <v>37</v>
      </c>
      <c r="F509" s="15" t="s">
        <v>18</v>
      </c>
      <c r="G509" s="15" t="s">
        <v>30</v>
      </c>
      <c r="H509" s="15" t="n">
        <v>6</v>
      </c>
      <c r="I509" s="17" t="n">
        <v>0</v>
      </c>
      <c r="J509" s="18" t="n">
        <v>265.77</v>
      </c>
      <c r="K509" s="19" t="n">
        <v>67.28</v>
      </c>
      <c r="L509" s="15" t="n">
        <f aca="false">YEAR(B509)</f>
        <v>2022</v>
      </c>
      <c r="M509" s="20" t="n">
        <f aca="false">IF(J509&gt;0,K509/J509,0)</f>
        <v>0.253151220980547</v>
      </c>
    </row>
    <row r="510" customFormat="false" ht="15" hidden="false" customHeight="false" outlineLevel="0" collapsed="false">
      <c r="A510" s="15" t="s">
        <v>567</v>
      </c>
      <c r="B510" s="16" t="n">
        <v>45082</v>
      </c>
      <c r="C510" s="15" t="s">
        <v>56</v>
      </c>
      <c r="D510" s="15" t="s">
        <v>42</v>
      </c>
      <c r="E510" s="15" t="s">
        <v>38</v>
      </c>
      <c r="F510" s="15" t="s">
        <v>18</v>
      </c>
      <c r="G510" s="15" t="s">
        <v>32</v>
      </c>
      <c r="H510" s="15" t="n">
        <v>2</v>
      </c>
      <c r="I510" s="17" t="n">
        <v>0</v>
      </c>
      <c r="J510" s="18" t="n">
        <v>748.64</v>
      </c>
      <c r="K510" s="19" t="n">
        <v>111.21</v>
      </c>
      <c r="L510" s="15" t="n">
        <f aca="false">YEAR(B510)</f>
        <v>2023</v>
      </c>
      <c r="M510" s="20" t="n">
        <f aca="false">IF(J510&gt;0,K510/J510,0)</f>
        <v>0.148549369523402</v>
      </c>
    </row>
    <row r="511" customFormat="false" ht="15" hidden="false" customHeight="false" outlineLevel="0" collapsed="false">
      <c r="A511" s="15" t="s">
        <v>568</v>
      </c>
      <c r="B511" s="16" t="n">
        <v>45257</v>
      </c>
      <c r="C511" s="15" t="s">
        <v>58</v>
      </c>
      <c r="D511" s="15" t="s">
        <v>42</v>
      </c>
      <c r="E511" s="15" t="s">
        <v>39</v>
      </c>
      <c r="F511" s="15" t="s">
        <v>18</v>
      </c>
      <c r="G511" s="15" t="s">
        <v>30</v>
      </c>
      <c r="H511" s="15" t="n">
        <v>2</v>
      </c>
      <c r="I511" s="17" t="n">
        <v>0.05</v>
      </c>
      <c r="J511" s="18" t="n">
        <v>92.38</v>
      </c>
      <c r="K511" s="19" t="n">
        <v>24.92</v>
      </c>
      <c r="L511" s="15" t="n">
        <f aca="false">YEAR(B511)</f>
        <v>2023</v>
      </c>
      <c r="M511" s="20" t="n">
        <f aca="false">IF(J511&gt;0,K511/J511,0)</f>
        <v>0.269755358302663</v>
      </c>
    </row>
    <row r="512" customFormat="false" ht="15" hidden="false" customHeight="false" outlineLevel="0" collapsed="false">
      <c r="A512" s="15" t="s">
        <v>569</v>
      </c>
      <c r="B512" s="16" t="n">
        <v>44725</v>
      </c>
      <c r="C512" s="15" t="s">
        <v>56</v>
      </c>
      <c r="D512" s="15" t="s">
        <v>44</v>
      </c>
      <c r="E512" s="15" t="s">
        <v>36</v>
      </c>
      <c r="F512" s="15" t="s">
        <v>17</v>
      </c>
      <c r="G512" s="15" t="s">
        <v>28</v>
      </c>
      <c r="H512" s="15" t="n">
        <v>4</v>
      </c>
      <c r="I512" s="17" t="n">
        <v>0.05</v>
      </c>
      <c r="J512" s="18" t="n">
        <v>93.4</v>
      </c>
      <c r="K512" s="19" t="n">
        <v>29.73</v>
      </c>
      <c r="L512" s="15" t="n">
        <f aca="false">YEAR(B512)</f>
        <v>2022</v>
      </c>
      <c r="M512" s="20" t="n">
        <f aca="false">IF(J512&gt;0,K512/J512,0)</f>
        <v>0.31830835117773</v>
      </c>
    </row>
    <row r="513" customFormat="false" ht="15" hidden="false" customHeight="false" outlineLevel="0" collapsed="false">
      <c r="A513" s="15" t="s">
        <v>570</v>
      </c>
      <c r="B513" s="16" t="n">
        <v>45197</v>
      </c>
      <c r="C513" s="15" t="s">
        <v>71</v>
      </c>
      <c r="D513" s="15" t="s">
        <v>42</v>
      </c>
      <c r="E513" s="15" t="s">
        <v>37</v>
      </c>
      <c r="F513" s="15" t="s">
        <v>18</v>
      </c>
      <c r="G513" s="15" t="s">
        <v>30</v>
      </c>
      <c r="H513" s="15" t="n">
        <v>6</v>
      </c>
      <c r="I513" s="17" t="n">
        <v>0</v>
      </c>
      <c r="J513" s="18" t="n">
        <v>312.49</v>
      </c>
      <c r="K513" s="19" t="n">
        <v>86.89</v>
      </c>
      <c r="L513" s="15" t="n">
        <f aca="false">YEAR(B513)</f>
        <v>2023</v>
      </c>
      <c r="M513" s="20" t="n">
        <f aca="false">IF(J513&gt;0,K513/J513,0)</f>
        <v>0.27805689782073</v>
      </c>
    </row>
    <row r="514" customFormat="false" ht="15" hidden="false" customHeight="false" outlineLevel="0" collapsed="false">
      <c r="A514" s="15" t="s">
        <v>571</v>
      </c>
      <c r="B514" s="16" t="n">
        <v>45624</v>
      </c>
      <c r="C514" s="15" t="s">
        <v>68</v>
      </c>
      <c r="D514" s="15" t="s">
        <v>43</v>
      </c>
      <c r="E514" s="15" t="s">
        <v>37</v>
      </c>
      <c r="F514" s="15" t="s">
        <v>16</v>
      </c>
      <c r="G514" s="15" t="s">
        <v>23</v>
      </c>
      <c r="H514" s="15" t="n">
        <v>4</v>
      </c>
      <c r="I514" s="17" t="n">
        <v>0</v>
      </c>
      <c r="J514" s="18" t="n">
        <v>1234.92</v>
      </c>
      <c r="K514" s="19" t="n">
        <v>-26.38</v>
      </c>
      <c r="L514" s="15" t="n">
        <f aca="false">YEAR(B514)</f>
        <v>2024</v>
      </c>
      <c r="M514" s="20" t="n">
        <f aca="false">IF(J514&gt;0,K514/J514,0)</f>
        <v>-0.0213617076409808</v>
      </c>
    </row>
    <row r="515" customFormat="false" ht="15" hidden="false" customHeight="false" outlineLevel="0" collapsed="false">
      <c r="A515" s="15" t="s">
        <v>572</v>
      </c>
      <c r="B515" s="16" t="n">
        <v>44869</v>
      </c>
      <c r="C515" s="15" t="s">
        <v>58</v>
      </c>
      <c r="D515" s="15" t="s">
        <v>43</v>
      </c>
      <c r="E515" s="15" t="s">
        <v>39</v>
      </c>
      <c r="F515" s="15" t="s">
        <v>16</v>
      </c>
      <c r="G515" s="15" t="s">
        <v>22</v>
      </c>
      <c r="H515" s="15" t="n">
        <v>6</v>
      </c>
      <c r="I515" s="17" t="n">
        <v>0.15</v>
      </c>
      <c r="J515" s="18" t="n">
        <v>2756</v>
      </c>
      <c r="K515" s="19" t="n">
        <v>-618.62</v>
      </c>
      <c r="L515" s="15" t="n">
        <f aca="false">YEAR(B515)</f>
        <v>2022</v>
      </c>
      <c r="M515" s="20" t="n">
        <f aca="false">IF(J515&gt;0,K515/J515,0)</f>
        <v>-0.224462989840348</v>
      </c>
    </row>
    <row r="516" customFormat="false" ht="15" hidden="false" customHeight="false" outlineLevel="0" collapsed="false">
      <c r="A516" s="15" t="s">
        <v>573</v>
      </c>
      <c r="B516" s="16" t="n">
        <v>45943</v>
      </c>
      <c r="C516" s="15" t="s">
        <v>56</v>
      </c>
      <c r="D516" s="15" t="s">
        <v>44</v>
      </c>
      <c r="E516" s="15" t="s">
        <v>37</v>
      </c>
      <c r="F516" s="15" t="s">
        <v>17</v>
      </c>
      <c r="G516" s="15" t="s">
        <v>28</v>
      </c>
      <c r="H516" s="15" t="n">
        <v>3</v>
      </c>
      <c r="I516" s="17" t="n">
        <v>0</v>
      </c>
      <c r="J516" s="18" t="n">
        <v>83.93</v>
      </c>
      <c r="K516" s="19" t="n">
        <v>29.51</v>
      </c>
      <c r="L516" s="15" t="n">
        <f aca="false">YEAR(B516)</f>
        <v>2025</v>
      </c>
      <c r="M516" s="20" t="n">
        <f aca="false">IF(J516&gt;0,K516/J516,0)</f>
        <v>0.351602525914453</v>
      </c>
    </row>
    <row r="517" customFormat="false" ht="15" hidden="false" customHeight="false" outlineLevel="0" collapsed="false">
      <c r="A517" s="15" t="s">
        <v>574</v>
      </c>
      <c r="B517" s="16" t="n">
        <v>45733</v>
      </c>
      <c r="C517" s="15" t="s">
        <v>56</v>
      </c>
      <c r="D517" s="15" t="s">
        <v>42</v>
      </c>
      <c r="E517" s="15" t="s">
        <v>36</v>
      </c>
      <c r="F517" s="15" t="s">
        <v>17</v>
      </c>
      <c r="G517" s="15" t="s">
        <v>29</v>
      </c>
      <c r="H517" s="15" t="n">
        <v>2</v>
      </c>
      <c r="I517" s="17" t="n">
        <v>0.1</v>
      </c>
      <c r="J517" s="18" t="n">
        <v>31.57</v>
      </c>
      <c r="K517" s="19" t="n">
        <v>10.14</v>
      </c>
      <c r="L517" s="15" t="n">
        <f aca="false">YEAR(B517)</f>
        <v>2025</v>
      </c>
      <c r="M517" s="20" t="n">
        <f aca="false">IF(J517&gt;0,K517/J517,0)</f>
        <v>0.321191004117833</v>
      </c>
    </row>
    <row r="518" customFormat="false" ht="15" hidden="false" customHeight="false" outlineLevel="0" collapsed="false">
      <c r="A518" s="15" t="s">
        <v>575</v>
      </c>
      <c r="B518" s="16" t="n">
        <v>45072</v>
      </c>
      <c r="C518" s="15" t="s">
        <v>56</v>
      </c>
      <c r="D518" s="15" t="s">
        <v>42</v>
      </c>
      <c r="E518" s="15" t="s">
        <v>38</v>
      </c>
      <c r="F518" s="15" t="s">
        <v>17</v>
      </c>
      <c r="G518" s="15" t="s">
        <v>29</v>
      </c>
      <c r="H518" s="15" t="n">
        <v>2</v>
      </c>
      <c r="I518" s="17" t="n">
        <v>0</v>
      </c>
      <c r="J518" s="18" t="n">
        <v>38.66</v>
      </c>
      <c r="K518" s="19" t="n">
        <v>14.94</v>
      </c>
      <c r="L518" s="15" t="n">
        <f aca="false">YEAR(B518)</f>
        <v>2023</v>
      </c>
      <c r="M518" s="20" t="n">
        <f aca="false">IF(J518&gt;0,K518/J518,0)</f>
        <v>0.386445938954992</v>
      </c>
    </row>
    <row r="519" customFormat="false" ht="15" hidden="false" customHeight="false" outlineLevel="0" collapsed="false">
      <c r="A519" s="15" t="s">
        <v>576</v>
      </c>
      <c r="B519" s="16" t="n">
        <v>44965</v>
      </c>
      <c r="C519" s="15" t="s">
        <v>56</v>
      </c>
      <c r="D519" s="15" t="s">
        <v>43</v>
      </c>
      <c r="E519" s="15" t="s">
        <v>36</v>
      </c>
      <c r="F519" s="15" t="s">
        <v>16</v>
      </c>
      <c r="G519" s="15" t="s">
        <v>22</v>
      </c>
      <c r="H519" s="15" t="n">
        <v>2</v>
      </c>
      <c r="I519" s="17" t="n">
        <v>0.1</v>
      </c>
      <c r="J519" s="18" t="n">
        <v>1210.99</v>
      </c>
      <c r="K519" s="19" t="n">
        <v>-253.61</v>
      </c>
      <c r="L519" s="15" t="n">
        <f aca="false">YEAR(B519)</f>
        <v>2023</v>
      </c>
      <c r="M519" s="20" t="n">
        <f aca="false">IF(J519&gt;0,K519/J519,0)</f>
        <v>-0.209423694663044</v>
      </c>
    </row>
    <row r="520" customFormat="false" ht="15" hidden="false" customHeight="false" outlineLevel="0" collapsed="false">
      <c r="A520" s="15" t="s">
        <v>577</v>
      </c>
      <c r="B520" s="16" t="n">
        <v>45408</v>
      </c>
      <c r="C520" s="15" t="s">
        <v>71</v>
      </c>
      <c r="D520" s="15" t="s">
        <v>42</v>
      </c>
      <c r="E520" s="15" t="s">
        <v>38</v>
      </c>
      <c r="F520" s="15" t="s">
        <v>16</v>
      </c>
      <c r="G520" s="15" t="s">
        <v>25</v>
      </c>
      <c r="H520" s="15" t="n">
        <v>3</v>
      </c>
      <c r="I520" s="17" t="n">
        <v>0.5</v>
      </c>
      <c r="J520" s="18" t="n">
        <v>371.61</v>
      </c>
      <c r="K520" s="19" t="n">
        <v>-124.5</v>
      </c>
      <c r="L520" s="15" t="n">
        <f aca="false">YEAR(B520)</f>
        <v>2024</v>
      </c>
      <c r="M520" s="20" t="n">
        <f aca="false">IF(J520&gt;0,K520/J520,0)</f>
        <v>-0.335028659078066</v>
      </c>
    </row>
    <row r="521" customFormat="false" ht="15" hidden="false" customHeight="false" outlineLevel="0" collapsed="false">
      <c r="A521" s="15" t="s">
        <v>578</v>
      </c>
      <c r="B521" s="16" t="n">
        <v>44625</v>
      </c>
      <c r="C521" s="15" t="s">
        <v>56</v>
      </c>
      <c r="D521" s="15" t="s">
        <v>43</v>
      </c>
      <c r="E521" s="15" t="s">
        <v>36</v>
      </c>
      <c r="F521" s="15" t="s">
        <v>16</v>
      </c>
      <c r="G521" s="15" t="s">
        <v>22</v>
      </c>
      <c r="H521" s="15" t="n">
        <v>2</v>
      </c>
      <c r="I521" s="17" t="n">
        <v>0</v>
      </c>
      <c r="J521" s="18" t="n">
        <v>1054.68</v>
      </c>
      <c r="K521" s="19" t="n">
        <v>-41.94</v>
      </c>
      <c r="L521" s="15" t="n">
        <f aca="false">YEAR(B521)</f>
        <v>2022</v>
      </c>
      <c r="M521" s="20" t="n">
        <f aca="false">IF(J521&gt;0,K521/J521,0)</f>
        <v>-0.0397656161110479</v>
      </c>
    </row>
    <row r="522" customFormat="false" ht="15" hidden="false" customHeight="false" outlineLevel="0" collapsed="false">
      <c r="A522" s="15" t="s">
        <v>579</v>
      </c>
      <c r="B522" s="16" t="n">
        <v>45823</v>
      </c>
      <c r="C522" s="15" t="s">
        <v>56</v>
      </c>
      <c r="D522" s="15" t="s">
        <v>42</v>
      </c>
      <c r="E522" s="15" t="s">
        <v>37</v>
      </c>
      <c r="F522" s="15" t="s">
        <v>16</v>
      </c>
      <c r="G522" s="15" t="s">
        <v>22</v>
      </c>
      <c r="H522" s="15" t="n">
        <v>3</v>
      </c>
      <c r="I522" s="17" t="n">
        <v>0.1</v>
      </c>
      <c r="J522" s="18" t="n">
        <v>1424.59</v>
      </c>
      <c r="K522" s="19" t="n">
        <v>-139.01</v>
      </c>
      <c r="L522" s="15" t="n">
        <f aca="false">YEAR(B522)</f>
        <v>2025</v>
      </c>
      <c r="M522" s="20" t="n">
        <f aca="false">IF(J522&gt;0,K522/J522,0)</f>
        <v>-0.097578952540731</v>
      </c>
    </row>
    <row r="523" customFormat="false" ht="15" hidden="false" customHeight="false" outlineLevel="0" collapsed="false">
      <c r="A523" s="15" t="s">
        <v>580</v>
      </c>
      <c r="B523" s="16" t="n">
        <v>44825</v>
      </c>
      <c r="C523" s="15" t="s">
        <v>71</v>
      </c>
      <c r="D523" s="15" t="s">
        <v>43</v>
      </c>
      <c r="E523" s="15" t="s">
        <v>39</v>
      </c>
      <c r="F523" s="15" t="s">
        <v>17</v>
      </c>
      <c r="G523" s="15" t="s">
        <v>29</v>
      </c>
      <c r="H523" s="15" t="n">
        <v>1</v>
      </c>
      <c r="I523" s="17" t="n">
        <v>0.3</v>
      </c>
      <c r="J523" s="18" t="n">
        <v>12.87</v>
      </c>
      <c r="K523" s="19" t="n">
        <v>1.4</v>
      </c>
      <c r="L523" s="15" t="n">
        <f aca="false">YEAR(B523)</f>
        <v>2022</v>
      </c>
      <c r="M523" s="20" t="n">
        <f aca="false">IF(J523&gt;0,K523/J523,0)</f>
        <v>0.108780108780109</v>
      </c>
    </row>
    <row r="524" customFormat="false" ht="15" hidden="false" customHeight="false" outlineLevel="0" collapsed="false">
      <c r="A524" s="15" t="s">
        <v>581</v>
      </c>
      <c r="B524" s="16" t="n">
        <v>45989</v>
      </c>
      <c r="C524" s="15" t="s">
        <v>56</v>
      </c>
      <c r="D524" s="15" t="s">
        <v>44</v>
      </c>
      <c r="E524" s="15" t="s">
        <v>37</v>
      </c>
      <c r="F524" s="15" t="s">
        <v>17</v>
      </c>
      <c r="G524" s="15" t="s">
        <v>29</v>
      </c>
      <c r="H524" s="15" t="n">
        <v>7</v>
      </c>
      <c r="I524" s="17" t="n">
        <v>0.2</v>
      </c>
      <c r="J524" s="18" t="n">
        <v>115.65</v>
      </c>
      <c r="K524" s="19" t="n">
        <v>23.57</v>
      </c>
      <c r="L524" s="15" t="n">
        <f aca="false">YEAR(B524)</f>
        <v>2025</v>
      </c>
      <c r="M524" s="20" t="n">
        <f aca="false">IF(J524&gt;0,K524/J524,0)</f>
        <v>0.20380458279291</v>
      </c>
    </row>
    <row r="525" customFormat="false" ht="15" hidden="false" customHeight="false" outlineLevel="0" collapsed="false">
      <c r="A525" s="15" t="s">
        <v>582</v>
      </c>
      <c r="B525" s="16" t="n">
        <v>45605</v>
      </c>
      <c r="C525" s="15" t="s">
        <v>68</v>
      </c>
      <c r="D525" s="15" t="s">
        <v>42</v>
      </c>
      <c r="E525" s="15" t="s">
        <v>37</v>
      </c>
      <c r="F525" s="15" t="s">
        <v>18</v>
      </c>
      <c r="G525" s="15" t="s">
        <v>30</v>
      </c>
      <c r="H525" s="15" t="n">
        <v>3</v>
      </c>
      <c r="I525" s="17" t="n">
        <v>0</v>
      </c>
      <c r="J525" s="18" t="n">
        <v>115.43</v>
      </c>
      <c r="K525" s="19" t="n">
        <v>30.31</v>
      </c>
      <c r="L525" s="15" t="n">
        <f aca="false">YEAR(B525)</f>
        <v>2024</v>
      </c>
      <c r="M525" s="20" t="n">
        <f aca="false">IF(J525&gt;0,K525/J525,0)</f>
        <v>0.262583383869012</v>
      </c>
    </row>
    <row r="526" customFormat="false" ht="15" hidden="false" customHeight="false" outlineLevel="0" collapsed="false">
      <c r="A526" s="15" t="s">
        <v>583</v>
      </c>
      <c r="B526" s="16" t="n">
        <v>45894</v>
      </c>
      <c r="C526" s="15" t="s">
        <v>56</v>
      </c>
      <c r="D526" s="15" t="s">
        <v>42</v>
      </c>
      <c r="E526" s="15" t="s">
        <v>36</v>
      </c>
      <c r="F526" s="15" t="s">
        <v>17</v>
      </c>
      <c r="G526" s="15" t="s">
        <v>29</v>
      </c>
      <c r="H526" s="15" t="n">
        <v>6</v>
      </c>
      <c r="I526" s="17" t="n">
        <v>0.2</v>
      </c>
      <c r="J526" s="18" t="n">
        <v>81.28</v>
      </c>
      <c r="K526" s="19" t="n">
        <v>17.18</v>
      </c>
      <c r="L526" s="15" t="n">
        <f aca="false">YEAR(B526)</f>
        <v>2025</v>
      </c>
      <c r="M526" s="20" t="n">
        <f aca="false">IF(J526&gt;0,K526/J526,0)</f>
        <v>0.21136811023622</v>
      </c>
    </row>
    <row r="527" customFormat="false" ht="15" hidden="false" customHeight="false" outlineLevel="0" collapsed="false">
      <c r="A527" s="15" t="s">
        <v>584</v>
      </c>
      <c r="B527" s="16" t="n">
        <v>45708</v>
      </c>
      <c r="C527" s="15" t="s">
        <v>56</v>
      </c>
      <c r="D527" s="15" t="s">
        <v>42</v>
      </c>
      <c r="E527" s="15" t="s">
        <v>36</v>
      </c>
      <c r="F527" s="15" t="s">
        <v>18</v>
      </c>
      <c r="G527" s="15" t="s">
        <v>32</v>
      </c>
      <c r="H527" s="15" t="n">
        <v>4</v>
      </c>
      <c r="I527" s="17" t="n">
        <v>0.15</v>
      </c>
      <c r="J527" s="18" t="n">
        <v>1120.69</v>
      </c>
      <c r="K527" s="19" t="n">
        <v>1.3</v>
      </c>
      <c r="L527" s="15" t="n">
        <f aca="false">YEAR(B527)</f>
        <v>2025</v>
      </c>
      <c r="M527" s="20" t="n">
        <f aca="false">IF(J527&gt;0,K527/J527,0)</f>
        <v>0.00115999964307703</v>
      </c>
    </row>
    <row r="528" customFormat="false" ht="15" hidden="false" customHeight="false" outlineLevel="0" collapsed="false">
      <c r="A528" s="15" t="s">
        <v>585</v>
      </c>
      <c r="B528" s="16" t="n">
        <v>45958</v>
      </c>
      <c r="C528" s="15" t="s">
        <v>71</v>
      </c>
      <c r="D528" s="15" t="s">
        <v>44</v>
      </c>
      <c r="E528" s="15" t="s">
        <v>37</v>
      </c>
      <c r="F528" s="15" t="s">
        <v>17</v>
      </c>
      <c r="G528" s="15" t="s">
        <v>29</v>
      </c>
      <c r="H528" s="15" t="n">
        <v>3</v>
      </c>
      <c r="I528" s="17" t="n">
        <v>0.5</v>
      </c>
      <c r="J528" s="18" t="n">
        <v>21.84</v>
      </c>
      <c r="K528" s="19" t="n">
        <v>-2.37</v>
      </c>
      <c r="L528" s="15" t="n">
        <f aca="false">YEAR(B528)</f>
        <v>2025</v>
      </c>
      <c r="M528" s="20" t="n">
        <f aca="false">IF(J528&gt;0,K528/J528,0)</f>
        <v>-0.108516483516484</v>
      </c>
    </row>
    <row r="529" customFormat="false" ht="15" hidden="false" customHeight="false" outlineLevel="0" collapsed="false">
      <c r="A529" s="15" t="s">
        <v>586</v>
      </c>
      <c r="B529" s="16" t="n">
        <v>45588</v>
      </c>
      <c r="C529" s="15" t="s">
        <v>56</v>
      </c>
      <c r="D529" s="15" t="s">
        <v>44</v>
      </c>
      <c r="E529" s="15" t="s">
        <v>39</v>
      </c>
      <c r="F529" s="15" t="s">
        <v>16</v>
      </c>
      <c r="G529" s="15" t="s">
        <v>25</v>
      </c>
      <c r="H529" s="15" t="n">
        <v>3</v>
      </c>
      <c r="I529" s="17" t="n">
        <v>0</v>
      </c>
      <c r="J529" s="18" t="n">
        <v>862.28</v>
      </c>
      <c r="K529" s="19" t="n">
        <v>53.61</v>
      </c>
      <c r="L529" s="15" t="n">
        <f aca="false">YEAR(B529)</f>
        <v>2024</v>
      </c>
      <c r="M529" s="20" t="n">
        <f aca="false">IF(J529&gt;0,K529/J529,0)</f>
        <v>0.0621723802013267</v>
      </c>
    </row>
    <row r="530" customFormat="false" ht="15" hidden="false" customHeight="false" outlineLevel="0" collapsed="false">
      <c r="A530" s="15" t="s">
        <v>587</v>
      </c>
      <c r="B530" s="16" t="n">
        <v>45062</v>
      </c>
      <c r="C530" s="15" t="s">
        <v>56</v>
      </c>
      <c r="D530" s="15" t="s">
        <v>44</v>
      </c>
      <c r="E530" s="15" t="s">
        <v>36</v>
      </c>
      <c r="F530" s="15" t="s">
        <v>16</v>
      </c>
      <c r="G530" s="15" t="s">
        <v>25</v>
      </c>
      <c r="H530" s="15" t="n">
        <v>3</v>
      </c>
      <c r="I530" s="17" t="n">
        <v>0.3</v>
      </c>
      <c r="J530" s="18" t="n">
        <v>571.36</v>
      </c>
      <c r="K530" s="19" t="n">
        <v>-94.79</v>
      </c>
      <c r="L530" s="15" t="n">
        <f aca="false">YEAR(B530)</f>
        <v>2023</v>
      </c>
      <c r="M530" s="20" t="n">
        <f aca="false">IF(J530&gt;0,K530/J530,0)</f>
        <v>-0.165902408288995</v>
      </c>
    </row>
    <row r="531" customFormat="false" ht="15" hidden="false" customHeight="false" outlineLevel="0" collapsed="false">
      <c r="A531" s="15" t="s">
        <v>588</v>
      </c>
      <c r="B531" s="16" t="n">
        <v>45351</v>
      </c>
      <c r="C531" s="15" t="s">
        <v>68</v>
      </c>
      <c r="D531" s="15" t="s">
        <v>42</v>
      </c>
      <c r="E531" s="15" t="s">
        <v>39</v>
      </c>
      <c r="F531" s="15" t="s">
        <v>18</v>
      </c>
      <c r="G531" s="15" t="s">
        <v>24</v>
      </c>
      <c r="H531" s="15" t="n">
        <v>4</v>
      </c>
      <c r="I531" s="17" t="n">
        <v>0</v>
      </c>
      <c r="J531" s="18" t="n">
        <v>2896.1</v>
      </c>
      <c r="K531" s="19" t="n">
        <v>161.96</v>
      </c>
      <c r="L531" s="15" t="n">
        <f aca="false">YEAR(B531)</f>
        <v>2024</v>
      </c>
      <c r="M531" s="20" t="n">
        <f aca="false">IF(J531&gt;0,K531/J531,0)</f>
        <v>0.0559234833051345</v>
      </c>
    </row>
    <row r="532" customFormat="false" ht="15" hidden="false" customHeight="false" outlineLevel="0" collapsed="false">
      <c r="A532" s="15" t="s">
        <v>589</v>
      </c>
      <c r="B532" s="16" t="n">
        <v>45955</v>
      </c>
      <c r="C532" s="15" t="s">
        <v>68</v>
      </c>
      <c r="D532" s="15" t="s">
        <v>42</v>
      </c>
      <c r="E532" s="15" t="s">
        <v>38</v>
      </c>
      <c r="F532" s="15" t="s">
        <v>18</v>
      </c>
      <c r="G532" s="15" t="s">
        <v>32</v>
      </c>
      <c r="H532" s="15" t="n">
        <v>4</v>
      </c>
      <c r="I532" s="17" t="n">
        <v>0.2</v>
      </c>
      <c r="J532" s="18" t="n">
        <v>1333.54</v>
      </c>
      <c r="K532" s="19" t="n">
        <v>7.14</v>
      </c>
      <c r="L532" s="15" t="n">
        <f aca="false">YEAR(B532)</f>
        <v>2025</v>
      </c>
      <c r="M532" s="20" t="n">
        <f aca="false">IF(J532&gt;0,K532/J532,0)</f>
        <v>0.00535417010363394</v>
      </c>
    </row>
    <row r="533" customFormat="false" ht="15" hidden="false" customHeight="false" outlineLevel="0" collapsed="false">
      <c r="A533" s="15" t="s">
        <v>590</v>
      </c>
      <c r="B533" s="16" t="n">
        <v>46012</v>
      </c>
      <c r="C533" s="15" t="s">
        <v>56</v>
      </c>
      <c r="D533" s="15" t="s">
        <v>44</v>
      </c>
      <c r="E533" s="15" t="s">
        <v>37</v>
      </c>
      <c r="F533" s="15" t="s">
        <v>18</v>
      </c>
      <c r="G533" s="15" t="s">
        <v>30</v>
      </c>
      <c r="H533" s="15" t="n">
        <v>4</v>
      </c>
      <c r="I533" s="17" t="n">
        <v>0</v>
      </c>
      <c r="J533" s="18" t="n">
        <v>190.51</v>
      </c>
      <c r="K533" s="19" t="n">
        <v>65.64</v>
      </c>
      <c r="L533" s="15" t="n">
        <f aca="false">YEAR(B533)</f>
        <v>2025</v>
      </c>
      <c r="M533" s="20" t="n">
        <f aca="false">IF(J533&gt;0,K533/J533,0)</f>
        <v>0.344548842580442</v>
      </c>
    </row>
    <row r="534" customFormat="false" ht="15" hidden="false" customHeight="false" outlineLevel="0" collapsed="false">
      <c r="A534" s="15" t="s">
        <v>591</v>
      </c>
      <c r="B534" s="16" t="n">
        <v>45936</v>
      </c>
      <c r="C534" s="15" t="s">
        <v>56</v>
      </c>
      <c r="D534" s="15" t="s">
        <v>42</v>
      </c>
      <c r="E534" s="15" t="s">
        <v>36</v>
      </c>
      <c r="F534" s="15" t="s">
        <v>17</v>
      </c>
      <c r="G534" s="15" t="s">
        <v>26</v>
      </c>
      <c r="H534" s="15" t="n">
        <v>6</v>
      </c>
      <c r="I534" s="17" t="n">
        <v>0.2</v>
      </c>
      <c r="J534" s="18" t="n">
        <v>426.38</v>
      </c>
      <c r="K534" s="19" t="n">
        <v>-40.9</v>
      </c>
      <c r="L534" s="15" t="n">
        <f aca="false">YEAR(B534)</f>
        <v>2025</v>
      </c>
      <c r="M534" s="20" t="n">
        <f aca="false">IF(J534&gt;0,K534/J534,0)</f>
        <v>-0.0959238238191285</v>
      </c>
    </row>
    <row r="535" customFormat="false" ht="15" hidden="false" customHeight="false" outlineLevel="0" collapsed="false">
      <c r="A535" s="15" t="s">
        <v>592</v>
      </c>
      <c r="B535" s="16" t="n">
        <v>45961</v>
      </c>
      <c r="C535" s="15" t="s">
        <v>56</v>
      </c>
      <c r="D535" s="15" t="s">
        <v>42</v>
      </c>
      <c r="E535" s="15" t="s">
        <v>36</v>
      </c>
      <c r="F535" s="15" t="s">
        <v>16</v>
      </c>
      <c r="G535" s="15" t="s">
        <v>27</v>
      </c>
      <c r="H535" s="15" t="n">
        <v>2</v>
      </c>
      <c r="I535" s="17" t="n">
        <v>0</v>
      </c>
      <c r="J535" s="18" t="n">
        <v>98.81</v>
      </c>
      <c r="K535" s="19" t="n">
        <v>26.48</v>
      </c>
      <c r="L535" s="15" t="n">
        <f aca="false">YEAR(B535)</f>
        <v>2025</v>
      </c>
      <c r="M535" s="20" t="n">
        <f aca="false">IF(J535&gt;0,K535/J535,0)</f>
        <v>0.267989069932193</v>
      </c>
    </row>
    <row r="536" customFormat="false" ht="15" hidden="false" customHeight="false" outlineLevel="0" collapsed="false">
      <c r="A536" s="15" t="s">
        <v>593</v>
      </c>
      <c r="B536" s="16" t="n">
        <v>45599</v>
      </c>
      <c r="C536" s="15" t="s">
        <v>68</v>
      </c>
      <c r="D536" s="15" t="s">
        <v>42</v>
      </c>
      <c r="E536" s="15" t="s">
        <v>36</v>
      </c>
      <c r="F536" s="15" t="s">
        <v>16</v>
      </c>
      <c r="G536" s="15" t="s">
        <v>22</v>
      </c>
      <c r="H536" s="15" t="n">
        <v>1</v>
      </c>
      <c r="I536" s="17" t="n">
        <v>0.1</v>
      </c>
      <c r="J536" s="18" t="n">
        <v>406.06</v>
      </c>
      <c r="K536" s="19" t="n">
        <v>-41.23</v>
      </c>
      <c r="L536" s="15" t="n">
        <f aca="false">YEAR(B536)</f>
        <v>2024</v>
      </c>
      <c r="M536" s="20" t="n">
        <f aca="false">IF(J536&gt;0,K536/J536,0)</f>
        <v>-0.10153671871152</v>
      </c>
    </row>
    <row r="537" customFormat="false" ht="15" hidden="false" customHeight="false" outlineLevel="0" collapsed="false">
      <c r="A537" s="15" t="s">
        <v>594</v>
      </c>
      <c r="B537" s="16" t="n">
        <v>45934</v>
      </c>
      <c r="C537" s="15" t="s">
        <v>58</v>
      </c>
      <c r="D537" s="15" t="s">
        <v>43</v>
      </c>
      <c r="E537" s="15" t="s">
        <v>39</v>
      </c>
      <c r="F537" s="15" t="s">
        <v>17</v>
      </c>
      <c r="G537" s="15" t="s">
        <v>31</v>
      </c>
      <c r="H537" s="15" t="n">
        <v>2</v>
      </c>
      <c r="I537" s="17" t="n">
        <v>0.05</v>
      </c>
      <c r="J537" s="18" t="n">
        <v>242.81</v>
      </c>
      <c r="K537" s="19" t="n">
        <v>50.58</v>
      </c>
      <c r="L537" s="15" t="n">
        <f aca="false">YEAR(B537)</f>
        <v>2025</v>
      </c>
      <c r="M537" s="20" t="n">
        <f aca="false">IF(J537&gt;0,K537/J537,0)</f>
        <v>0.208311025081339</v>
      </c>
    </row>
    <row r="538" customFormat="false" ht="15" hidden="false" customHeight="false" outlineLevel="0" collapsed="false">
      <c r="A538" s="15" t="s">
        <v>595</v>
      </c>
      <c r="B538" s="16" t="n">
        <v>44987</v>
      </c>
      <c r="C538" s="15" t="s">
        <v>56</v>
      </c>
      <c r="D538" s="15" t="s">
        <v>44</v>
      </c>
      <c r="E538" s="15" t="s">
        <v>39</v>
      </c>
      <c r="F538" s="15" t="s">
        <v>18</v>
      </c>
      <c r="G538" s="15" t="s">
        <v>30</v>
      </c>
      <c r="H538" s="15" t="n">
        <v>6</v>
      </c>
      <c r="I538" s="17" t="n">
        <v>0</v>
      </c>
      <c r="J538" s="18" t="n">
        <v>325.58</v>
      </c>
      <c r="K538" s="19" t="n">
        <v>102.35</v>
      </c>
      <c r="L538" s="15" t="n">
        <f aca="false">YEAR(B538)</f>
        <v>2023</v>
      </c>
      <c r="M538" s="20" t="n">
        <f aca="false">IF(J538&gt;0,K538/J538,0)</f>
        <v>0.314362061551692</v>
      </c>
    </row>
    <row r="539" customFormat="false" ht="15" hidden="false" customHeight="false" outlineLevel="0" collapsed="false">
      <c r="A539" s="15" t="s">
        <v>596</v>
      </c>
      <c r="B539" s="16" t="n">
        <v>45376</v>
      </c>
      <c r="C539" s="15" t="s">
        <v>68</v>
      </c>
      <c r="D539" s="15" t="s">
        <v>42</v>
      </c>
      <c r="E539" s="15" t="s">
        <v>36</v>
      </c>
      <c r="F539" s="15" t="s">
        <v>17</v>
      </c>
      <c r="G539" s="15" t="s">
        <v>28</v>
      </c>
      <c r="H539" s="15" t="n">
        <v>5</v>
      </c>
      <c r="I539" s="17" t="n">
        <v>0.1</v>
      </c>
      <c r="J539" s="18" t="n">
        <v>119.75</v>
      </c>
      <c r="K539" s="19" t="n">
        <v>25.23</v>
      </c>
      <c r="L539" s="15" t="n">
        <f aca="false">YEAR(B539)</f>
        <v>2024</v>
      </c>
      <c r="M539" s="20" t="n">
        <f aca="false">IF(J539&gt;0,K539/J539,0)</f>
        <v>0.210688935281837</v>
      </c>
    </row>
    <row r="540" customFormat="false" ht="15" hidden="false" customHeight="false" outlineLevel="0" collapsed="false">
      <c r="A540" s="15" t="s">
        <v>597</v>
      </c>
      <c r="B540" s="16" t="n">
        <v>45431</v>
      </c>
      <c r="C540" s="15" t="s">
        <v>56</v>
      </c>
      <c r="D540" s="15" t="s">
        <v>44</v>
      </c>
      <c r="E540" s="15" t="s">
        <v>39</v>
      </c>
      <c r="F540" s="15" t="s">
        <v>17</v>
      </c>
      <c r="G540" s="15" t="s">
        <v>29</v>
      </c>
      <c r="H540" s="15" t="n">
        <v>4</v>
      </c>
      <c r="I540" s="17" t="n">
        <v>0.1</v>
      </c>
      <c r="J540" s="18" t="n">
        <v>82.07</v>
      </c>
      <c r="K540" s="19" t="n">
        <v>31.07</v>
      </c>
      <c r="L540" s="15" t="n">
        <f aca="false">YEAR(B540)</f>
        <v>2024</v>
      </c>
      <c r="M540" s="20" t="n">
        <f aca="false">IF(J540&gt;0,K540/J540,0)</f>
        <v>0.378579261605946</v>
      </c>
    </row>
    <row r="541" customFormat="false" ht="15" hidden="false" customHeight="false" outlineLevel="0" collapsed="false">
      <c r="A541" s="15" t="s">
        <v>598</v>
      </c>
      <c r="B541" s="16" t="n">
        <v>45454</v>
      </c>
      <c r="C541" s="15" t="s">
        <v>56</v>
      </c>
      <c r="D541" s="15" t="s">
        <v>43</v>
      </c>
      <c r="E541" s="15" t="s">
        <v>36</v>
      </c>
      <c r="F541" s="15" t="s">
        <v>18</v>
      </c>
      <c r="G541" s="15" t="s">
        <v>30</v>
      </c>
      <c r="H541" s="15" t="n">
        <v>3</v>
      </c>
      <c r="I541" s="17" t="n">
        <v>0.15</v>
      </c>
      <c r="J541" s="18" t="n">
        <v>86.01</v>
      </c>
      <c r="K541" s="19" t="n">
        <v>16.79</v>
      </c>
      <c r="L541" s="15" t="n">
        <f aca="false">YEAR(B541)</f>
        <v>2024</v>
      </c>
      <c r="M541" s="20" t="n">
        <f aca="false">IF(J541&gt;0,K541/J541,0)</f>
        <v>0.195209859318684</v>
      </c>
    </row>
    <row r="542" customFormat="false" ht="15" hidden="false" customHeight="false" outlineLevel="0" collapsed="false">
      <c r="A542" s="15" t="s">
        <v>599</v>
      </c>
      <c r="B542" s="16" t="n">
        <v>45873</v>
      </c>
      <c r="C542" s="15" t="s">
        <v>56</v>
      </c>
      <c r="D542" s="15" t="s">
        <v>42</v>
      </c>
      <c r="E542" s="15" t="s">
        <v>38</v>
      </c>
      <c r="F542" s="15" t="s">
        <v>16</v>
      </c>
      <c r="G542" s="15" t="s">
        <v>27</v>
      </c>
      <c r="H542" s="15" t="n">
        <v>6</v>
      </c>
      <c r="I542" s="17" t="n">
        <v>0.15</v>
      </c>
      <c r="J542" s="18" t="n">
        <v>270.44</v>
      </c>
      <c r="K542" s="19" t="n">
        <v>27.65</v>
      </c>
      <c r="L542" s="15" t="n">
        <f aca="false">YEAR(B542)</f>
        <v>2025</v>
      </c>
      <c r="M542" s="20" t="n">
        <f aca="false">IF(J542&gt;0,K542/J542,0)</f>
        <v>0.102240792782133</v>
      </c>
    </row>
    <row r="543" customFormat="false" ht="15" hidden="false" customHeight="false" outlineLevel="0" collapsed="false">
      <c r="A543" s="15" t="s">
        <v>600</v>
      </c>
      <c r="B543" s="16" t="n">
        <v>45833</v>
      </c>
      <c r="C543" s="15" t="s">
        <v>56</v>
      </c>
      <c r="D543" s="15" t="s">
        <v>42</v>
      </c>
      <c r="E543" s="15" t="s">
        <v>36</v>
      </c>
      <c r="F543" s="15" t="s">
        <v>16</v>
      </c>
      <c r="G543" s="15" t="s">
        <v>23</v>
      </c>
      <c r="H543" s="15" t="n">
        <v>5</v>
      </c>
      <c r="I543" s="17" t="n">
        <v>0.2</v>
      </c>
      <c r="J543" s="18" t="n">
        <v>1149.69</v>
      </c>
      <c r="K543" s="19" t="n">
        <v>-173.57</v>
      </c>
      <c r="L543" s="15" t="n">
        <f aca="false">YEAR(B543)</f>
        <v>2025</v>
      </c>
      <c r="M543" s="20" t="n">
        <f aca="false">IF(J543&gt;0,K543/J543,0)</f>
        <v>-0.15097113134845</v>
      </c>
    </row>
    <row r="544" customFormat="false" ht="15" hidden="false" customHeight="false" outlineLevel="0" collapsed="false">
      <c r="A544" s="15" t="s">
        <v>601</v>
      </c>
      <c r="B544" s="16" t="n">
        <v>44785</v>
      </c>
      <c r="C544" s="15" t="s">
        <v>56</v>
      </c>
      <c r="D544" s="15" t="s">
        <v>42</v>
      </c>
      <c r="E544" s="15" t="s">
        <v>36</v>
      </c>
      <c r="F544" s="15" t="s">
        <v>18</v>
      </c>
      <c r="G544" s="15" t="s">
        <v>32</v>
      </c>
      <c r="H544" s="15" t="n">
        <v>3</v>
      </c>
      <c r="I544" s="17" t="n">
        <v>0</v>
      </c>
      <c r="J544" s="18" t="n">
        <v>1147.01</v>
      </c>
      <c r="K544" s="19" t="n">
        <v>189.15</v>
      </c>
      <c r="L544" s="15" t="n">
        <f aca="false">YEAR(B544)</f>
        <v>2022</v>
      </c>
      <c r="M544" s="20" t="n">
        <f aca="false">IF(J544&gt;0,K544/J544,0)</f>
        <v>0.164907019119275</v>
      </c>
    </row>
    <row r="545" customFormat="false" ht="15" hidden="false" customHeight="false" outlineLevel="0" collapsed="false">
      <c r="A545" s="15" t="s">
        <v>602</v>
      </c>
      <c r="B545" s="16" t="n">
        <v>45355</v>
      </c>
      <c r="C545" s="15" t="s">
        <v>56</v>
      </c>
      <c r="D545" s="15" t="s">
        <v>42</v>
      </c>
      <c r="E545" s="15" t="s">
        <v>39</v>
      </c>
      <c r="F545" s="15" t="s">
        <v>17</v>
      </c>
      <c r="G545" s="15" t="s">
        <v>29</v>
      </c>
      <c r="H545" s="15" t="n">
        <v>6</v>
      </c>
      <c r="I545" s="17" t="n">
        <v>0.4</v>
      </c>
      <c r="J545" s="18" t="n">
        <v>76.24</v>
      </c>
      <c r="K545" s="19" t="n">
        <v>-3</v>
      </c>
      <c r="L545" s="15" t="n">
        <f aca="false">YEAR(B545)</f>
        <v>2024</v>
      </c>
      <c r="M545" s="20" t="n">
        <f aca="false">IF(J545&gt;0,K545/J545,0)</f>
        <v>-0.0393494228751312</v>
      </c>
    </row>
    <row r="546" customFormat="false" ht="15" hidden="false" customHeight="false" outlineLevel="0" collapsed="false">
      <c r="A546" s="15" t="s">
        <v>603</v>
      </c>
      <c r="B546" s="16" t="n">
        <v>44719</v>
      </c>
      <c r="C546" s="15" t="s">
        <v>56</v>
      </c>
      <c r="D546" s="15" t="s">
        <v>43</v>
      </c>
      <c r="E546" s="15" t="s">
        <v>39</v>
      </c>
      <c r="F546" s="15" t="s">
        <v>17</v>
      </c>
      <c r="G546" s="15" t="s">
        <v>29</v>
      </c>
      <c r="H546" s="15" t="n">
        <v>2</v>
      </c>
      <c r="I546" s="17" t="n">
        <v>0.2</v>
      </c>
      <c r="J546" s="18" t="n">
        <v>32.42</v>
      </c>
      <c r="K546" s="19" t="n">
        <v>6.48</v>
      </c>
      <c r="L546" s="15" t="n">
        <f aca="false">YEAR(B546)</f>
        <v>2022</v>
      </c>
      <c r="M546" s="20" t="n">
        <f aca="false">IF(J546&gt;0,K546/J546,0)</f>
        <v>0.199876619370759</v>
      </c>
    </row>
    <row r="547" customFormat="false" ht="15" hidden="false" customHeight="false" outlineLevel="0" collapsed="false">
      <c r="A547" s="15" t="s">
        <v>604</v>
      </c>
      <c r="B547" s="16" t="n">
        <v>45806</v>
      </c>
      <c r="C547" s="15" t="s">
        <v>71</v>
      </c>
      <c r="D547" s="15" t="s">
        <v>42</v>
      </c>
      <c r="E547" s="15" t="s">
        <v>37</v>
      </c>
      <c r="F547" s="15" t="s">
        <v>17</v>
      </c>
      <c r="G547" s="15" t="s">
        <v>31</v>
      </c>
      <c r="H547" s="15" t="n">
        <v>4</v>
      </c>
      <c r="I547" s="17" t="n">
        <v>0.3</v>
      </c>
      <c r="J547" s="18" t="n">
        <v>377.03</v>
      </c>
      <c r="K547" s="19" t="n">
        <v>-39.71</v>
      </c>
      <c r="L547" s="15" t="n">
        <f aca="false">YEAR(B547)</f>
        <v>2025</v>
      </c>
      <c r="M547" s="20" t="n">
        <f aca="false">IF(J547&gt;0,K547/J547,0)</f>
        <v>-0.105323183831525</v>
      </c>
    </row>
    <row r="548" customFormat="false" ht="15" hidden="false" customHeight="false" outlineLevel="0" collapsed="false">
      <c r="A548" s="15" t="s">
        <v>605</v>
      </c>
      <c r="B548" s="16" t="n">
        <v>45437</v>
      </c>
      <c r="C548" s="15" t="s">
        <v>56</v>
      </c>
      <c r="D548" s="15" t="s">
        <v>42</v>
      </c>
      <c r="E548" s="15" t="s">
        <v>37</v>
      </c>
      <c r="F548" s="15" t="s">
        <v>17</v>
      </c>
      <c r="G548" s="15" t="s">
        <v>31</v>
      </c>
      <c r="H548" s="15" t="n">
        <v>4</v>
      </c>
      <c r="I548" s="17" t="n">
        <v>0</v>
      </c>
      <c r="J548" s="18" t="n">
        <v>565.23</v>
      </c>
      <c r="K548" s="19" t="n">
        <v>130.7</v>
      </c>
      <c r="L548" s="15" t="n">
        <f aca="false">YEAR(B548)</f>
        <v>2024</v>
      </c>
      <c r="M548" s="20" t="n">
        <f aca="false">IF(J548&gt;0,K548/J548,0)</f>
        <v>0.231233303257081</v>
      </c>
    </row>
    <row r="549" customFormat="false" ht="15" hidden="false" customHeight="false" outlineLevel="0" collapsed="false">
      <c r="A549" s="15" t="s">
        <v>606</v>
      </c>
      <c r="B549" s="16" t="n">
        <v>44816</v>
      </c>
      <c r="C549" s="15" t="s">
        <v>56</v>
      </c>
      <c r="D549" s="15" t="s">
        <v>43</v>
      </c>
      <c r="E549" s="15" t="s">
        <v>38</v>
      </c>
      <c r="F549" s="15" t="s">
        <v>17</v>
      </c>
      <c r="G549" s="15" t="s">
        <v>29</v>
      </c>
      <c r="H549" s="15" t="n">
        <v>4</v>
      </c>
      <c r="I549" s="17" t="n">
        <v>0</v>
      </c>
      <c r="J549" s="18" t="n">
        <v>68.02</v>
      </c>
      <c r="K549" s="19" t="n">
        <v>25.86</v>
      </c>
      <c r="L549" s="15" t="n">
        <f aca="false">YEAR(B549)</f>
        <v>2022</v>
      </c>
      <c r="M549" s="20" t="n">
        <f aca="false">IF(J549&gt;0,K549/J549,0)</f>
        <v>0.380182299323728</v>
      </c>
    </row>
    <row r="550" customFormat="false" ht="15" hidden="false" customHeight="false" outlineLevel="0" collapsed="false">
      <c r="A550" s="15" t="s">
        <v>607</v>
      </c>
      <c r="B550" s="16" t="n">
        <v>46016</v>
      </c>
      <c r="C550" s="15" t="s">
        <v>56</v>
      </c>
      <c r="D550" s="15" t="s">
        <v>42</v>
      </c>
      <c r="E550" s="15" t="s">
        <v>37</v>
      </c>
      <c r="F550" s="15" t="s">
        <v>16</v>
      </c>
      <c r="G550" s="15" t="s">
        <v>27</v>
      </c>
      <c r="H550" s="15" t="n">
        <v>6</v>
      </c>
      <c r="I550" s="17" t="n">
        <v>0</v>
      </c>
      <c r="J550" s="18" t="n">
        <v>320.02</v>
      </c>
      <c r="K550" s="19" t="n">
        <v>80.74</v>
      </c>
      <c r="L550" s="15" t="n">
        <f aca="false">YEAR(B550)</f>
        <v>2025</v>
      </c>
      <c r="M550" s="20" t="n">
        <f aca="false">IF(J550&gt;0,K550/J550,0)</f>
        <v>0.252296731454284</v>
      </c>
    </row>
    <row r="551" customFormat="false" ht="15" hidden="false" customHeight="false" outlineLevel="0" collapsed="false">
      <c r="A551" s="15" t="s">
        <v>608</v>
      </c>
      <c r="B551" s="16" t="n">
        <v>45668</v>
      </c>
      <c r="C551" s="15" t="s">
        <v>68</v>
      </c>
      <c r="D551" s="15" t="s">
        <v>43</v>
      </c>
      <c r="E551" s="15" t="s">
        <v>37</v>
      </c>
      <c r="F551" s="15" t="s">
        <v>17</v>
      </c>
      <c r="G551" s="15" t="s">
        <v>31</v>
      </c>
      <c r="H551" s="15" t="n">
        <v>3</v>
      </c>
      <c r="I551" s="17" t="n">
        <v>0</v>
      </c>
      <c r="J551" s="18" t="n">
        <v>434.51</v>
      </c>
      <c r="K551" s="19" t="n">
        <v>92.88</v>
      </c>
      <c r="L551" s="15" t="n">
        <f aca="false">YEAR(B551)</f>
        <v>2025</v>
      </c>
      <c r="M551" s="20" t="n">
        <f aca="false">IF(J551&gt;0,K551/J551,0)</f>
        <v>0.213758026282479</v>
      </c>
    </row>
    <row r="552" customFormat="false" ht="15" hidden="false" customHeight="false" outlineLevel="0" collapsed="false">
      <c r="A552" s="15" t="s">
        <v>609</v>
      </c>
      <c r="B552" s="16" t="n">
        <v>46022</v>
      </c>
      <c r="C552" s="15" t="s">
        <v>58</v>
      </c>
      <c r="D552" s="15" t="s">
        <v>42</v>
      </c>
      <c r="E552" s="15" t="s">
        <v>37</v>
      </c>
      <c r="F552" s="15" t="s">
        <v>17</v>
      </c>
      <c r="G552" s="15" t="s">
        <v>26</v>
      </c>
      <c r="H552" s="15" t="n">
        <v>6</v>
      </c>
      <c r="I552" s="17" t="n">
        <v>0.15</v>
      </c>
      <c r="J552" s="18" t="n">
        <v>478.68</v>
      </c>
      <c r="K552" s="19" t="n">
        <v>-13.03</v>
      </c>
      <c r="L552" s="15" t="n">
        <f aca="false">YEAR(B552)</f>
        <v>2025</v>
      </c>
      <c r="M552" s="20" t="n">
        <f aca="false">IF(J552&gt;0,K552/J552,0)</f>
        <v>-0.0272206902314699</v>
      </c>
    </row>
    <row r="553" customFormat="false" ht="15" hidden="false" customHeight="false" outlineLevel="0" collapsed="false">
      <c r="A553" s="15" t="s">
        <v>610</v>
      </c>
      <c r="B553" s="16" t="n">
        <v>45355</v>
      </c>
      <c r="C553" s="15" t="s">
        <v>56</v>
      </c>
      <c r="D553" s="15" t="s">
        <v>43</v>
      </c>
      <c r="E553" s="15" t="s">
        <v>39</v>
      </c>
      <c r="F553" s="15" t="s">
        <v>18</v>
      </c>
      <c r="G553" s="15" t="s">
        <v>32</v>
      </c>
      <c r="H553" s="15" t="n">
        <v>3</v>
      </c>
      <c r="I553" s="17" t="n">
        <v>0</v>
      </c>
      <c r="J553" s="18" t="n">
        <v>1422.96</v>
      </c>
      <c r="K553" s="19" t="n">
        <v>244.29</v>
      </c>
      <c r="L553" s="15" t="n">
        <f aca="false">YEAR(B553)</f>
        <v>2024</v>
      </c>
      <c r="M553" s="20" t="n">
        <f aca="false">IF(J553&gt;0,K553/J553,0)</f>
        <v>0.171677348625401</v>
      </c>
    </row>
    <row r="554" customFormat="false" ht="15" hidden="false" customHeight="false" outlineLevel="0" collapsed="false">
      <c r="A554" s="15" t="s">
        <v>611</v>
      </c>
      <c r="B554" s="16" t="n">
        <v>45555</v>
      </c>
      <c r="C554" s="15" t="s">
        <v>71</v>
      </c>
      <c r="D554" s="15" t="s">
        <v>42</v>
      </c>
      <c r="E554" s="15" t="s">
        <v>36</v>
      </c>
      <c r="F554" s="15" t="s">
        <v>16</v>
      </c>
      <c r="G554" s="15" t="s">
        <v>25</v>
      </c>
      <c r="H554" s="15" t="n">
        <v>1</v>
      </c>
      <c r="I554" s="17" t="n">
        <v>0</v>
      </c>
      <c r="J554" s="18" t="n">
        <v>305.51</v>
      </c>
      <c r="K554" s="19" t="n">
        <v>37.16</v>
      </c>
      <c r="L554" s="15" t="n">
        <f aca="false">YEAR(B554)</f>
        <v>2024</v>
      </c>
      <c r="M554" s="20" t="n">
        <f aca="false">IF(J554&gt;0,K554/J554,0)</f>
        <v>0.121632679781349</v>
      </c>
    </row>
    <row r="555" customFormat="false" ht="15" hidden="false" customHeight="false" outlineLevel="0" collapsed="false">
      <c r="A555" s="15" t="s">
        <v>612</v>
      </c>
      <c r="B555" s="16" t="n">
        <v>45027</v>
      </c>
      <c r="C555" s="15" t="s">
        <v>56</v>
      </c>
      <c r="D555" s="15" t="s">
        <v>42</v>
      </c>
      <c r="E555" s="15" t="s">
        <v>38</v>
      </c>
      <c r="F555" s="15" t="s">
        <v>17</v>
      </c>
      <c r="G555" s="15" t="s">
        <v>26</v>
      </c>
      <c r="H555" s="15" t="n">
        <v>5</v>
      </c>
      <c r="I555" s="17" t="n">
        <v>0</v>
      </c>
      <c r="J555" s="18" t="n">
        <v>328.25</v>
      </c>
      <c r="K555" s="19" t="n">
        <v>25.83</v>
      </c>
      <c r="L555" s="15" t="n">
        <f aca="false">YEAR(B555)</f>
        <v>2023</v>
      </c>
      <c r="M555" s="20" t="n">
        <f aca="false">IF(J555&gt;0,K555/J555,0)</f>
        <v>0.0786900228484387</v>
      </c>
    </row>
    <row r="556" customFormat="false" ht="15" hidden="false" customHeight="false" outlineLevel="0" collapsed="false">
      <c r="A556" s="15" t="s">
        <v>613</v>
      </c>
      <c r="B556" s="16" t="n">
        <v>44645</v>
      </c>
      <c r="C556" s="15" t="s">
        <v>56</v>
      </c>
      <c r="D556" s="15" t="s">
        <v>42</v>
      </c>
      <c r="E556" s="15" t="s">
        <v>36</v>
      </c>
      <c r="F556" s="15" t="s">
        <v>18</v>
      </c>
      <c r="G556" s="15" t="s">
        <v>32</v>
      </c>
      <c r="H556" s="15" t="n">
        <v>4</v>
      </c>
      <c r="I556" s="17" t="n">
        <v>0.4</v>
      </c>
      <c r="J556" s="18" t="n">
        <v>804.19</v>
      </c>
      <c r="K556" s="19" t="n">
        <v>-155.73</v>
      </c>
      <c r="L556" s="15" t="n">
        <f aca="false">YEAR(B556)</f>
        <v>2022</v>
      </c>
      <c r="M556" s="20" t="n">
        <f aca="false">IF(J556&gt;0,K556/J556,0)</f>
        <v>-0.193648267200537</v>
      </c>
    </row>
    <row r="557" customFormat="false" ht="15" hidden="false" customHeight="false" outlineLevel="0" collapsed="false">
      <c r="A557" s="15" t="s">
        <v>614</v>
      </c>
      <c r="B557" s="16" t="n">
        <v>45467</v>
      </c>
      <c r="C557" s="15" t="s">
        <v>68</v>
      </c>
      <c r="D557" s="15" t="s">
        <v>44</v>
      </c>
      <c r="E557" s="15" t="s">
        <v>37</v>
      </c>
      <c r="F557" s="15" t="s">
        <v>17</v>
      </c>
      <c r="G557" s="15" t="s">
        <v>28</v>
      </c>
      <c r="H557" s="15" t="n">
        <v>3</v>
      </c>
      <c r="I557" s="17" t="n">
        <v>0</v>
      </c>
      <c r="J557" s="18" t="n">
        <v>91.56</v>
      </c>
      <c r="K557" s="19" t="n">
        <v>31.65</v>
      </c>
      <c r="L557" s="15" t="n">
        <f aca="false">YEAR(B557)</f>
        <v>2024</v>
      </c>
      <c r="M557" s="20" t="n">
        <f aca="false">IF(J557&gt;0,K557/J557,0)</f>
        <v>0.3456749672346</v>
      </c>
    </row>
    <row r="558" customFormat="false" ht="15" hidden="false" customHeight="false" outlineLevel="0" collapsed="false">
      <c r="A558" s="15" t="s">
        <v>615</v>
      </c>
      <c r="B558" s="16" t="n">
        <v>45561</v>
      </c>
      <c r="C558" s="15" t="s">
        <v>56</v>
      </c>
      <c r="D558" s="15" t="s">
        <v>42</v>
      </c>
      <c r="E558" s="15" t="s">
        <v>39</v>
      </c>
      <c r="F558" s="15" t="s">
        <v>18</v>
      </c>
      <c r="G558" s="15" t="s">
        <v>30</v>
      </c>
      <c r="H558" s="15" t="n">
        <v>3</v>
      </c>
      <c r="I558" s="17" t="n">
        <v>0.05</v>
      </c>
      <c r="J558" s="18" t="n">
        <v>135.05</v>
      </c>
      <c r="K558" s="19" t="n">
        <v>30.3</v>
      </c>
      <c r="L558" s="15" t="n">
        <f aca="false">YEAR(B558)</f>
        <v>2024</v>
      </c>
      <c r="M558" s="20" t="n">
        <f aca="false">IF(J558&gt;0,K558/J558,0)</f>
        <v>0.224361347649019</v>
      </c>
    </row>
    <row r="559" customFormat="false" ht="15" hidden="false" customHeight="false" outlineLevel="0" collapsed="false">
      <c r="A559" s="15" t="s">
        <v>616</v>
      </c>
      <c r="B559" s="16" t="n">
        <v>45295</v>
      </c>
      <c r="C559" s="15" t="s">
        <v>68</v>
      </c>
      <c r="D559" s="15" t="s">
        <v>42</v>
      </c>
      <c r="E559" s="15" t="s">
        <v>36</v>
      </c>
      <c r="F559" s="15" t="s">
        <v>17</v>
      </c>
      <c r="G559" s="15" t="s">
        <v>31</v>
      </c>
      <c r="H559" s="15" t="n">
        <v>4</v>
      </c>
      <c r="I559" s="17" t="n">
        <v>0</v>
      </c>
      <c r="J559" s="18" t="n">
        <v>597.32</v>
      </c>
      <c r="K559" s="19" t="n">
        <v>99.52</v>
      </c>
      <c r="L559" s="15" t="n">
        <f aca="false">YEAR(B559)</f>
        <v>2024</v>
      </c>
      <c r="M559" s="20" t="n">
        <f aca="false">IF(J559&gt;0,K559/J559,0)</f>
        <v>0.166610861849595</v>
      </c>
    </row>
    <row r="560" customFormat="false" ht="15" hidden="false" customHeight="false" outlineLevel="0" collapsed="false">
      <c r="A560" s="15" t="s">
        <v>617</v>
      </c>
      <c r="B560" s="16" t="n">
        <v>45022</v>
      </c>
      <c r="C560" s="15" t="s">
        <v>56</v>
      </c>
      <c r="D560" s="15" t="s">
        <v>42</v>
      </c>
      <c r="E560" s="15" t="s">
        <v>37</v>
      </c>
      <c r="F560" s="15" t="s">
        <v>18</v>
      </c>
      <c r="G560" s="15" t="s">
        <v>30</v>
      </c>
      <c r="H560" s="15" t="n">
        <v>1</v>
      </c>
      <c r="I560" s="17" t="n">
        <v>0</v>
      </c>
      <c r="J560" s="18" t="n">
        <v>46.03</v>
      </c>
      <c r="K560" s="19" t="n">
        <v>15.69</v>
      </c>
      <c r="L560" s="15" t="n">
        <f aca="false">YEAR(B560)</f>
        <v>2023</v>
      </c>
      <c r="M560" s="20" t="n">
        <f aca="false">IF(J560&gt;0,K560/J560,0)</f>
        <v>0.340864653486856</v>
      </c>
    </row>
    <row r="561" customFormat="false" ht="15" hidden="false" customHeight="false" outlineLevel="0" collapsed="false">
      <c r="A561" s="15" t="s">
        <v>618</v>
      </c>
      <c r="B561" s="16" t="n">
        <v>44912</v>
      </c>
      <c r="C561" s="15" t="s">
        <v>71</v>
      </c>
      <c r="D561" s="15" t="s">
        <v>42</v>
      </c>
      <c r="E561" s="15" t="s">
        <v>38</v>
      </c>
      <c r="F561" s="15" t="s">
        <v>16</v>
      </c>
      <c r="G561" s="15" t="s">
        <v>27</v>
      </c>
      <c r="H561" s="15" t="n">
        <v>4</v>
      </c>
      <c r="I561" s="17" t="n">
        <v>0.15</v>
      </c>
      <c r="J561" s="18" t="n">
        <v>198.18</v>
      </c>
      <c r="K561" s="19" t="n">
        <v>18.97</v>
      </c>
      <c r="L561" s="15" t="n">
        <f aca="false">YEAR(B561)</f>
        <v>2022</v>
      </c>
      <c r="M561" s="20" t="n">
        <f aca="false">IF(J561&gt;0,K561/J561,0)</f>
        <v>0.0957210616611161</v>
      </c>
    </row>
    <row r="562" customFormat="false" ht="15" hidden="false" customHeight="false" outlineLevel="0" collapsed="false">
      <c r="A562" s="15" t="s">
        <v>619</v>
      </c>
      <c r="B562" s="16" t="n">
        <v>45517</v>
      </c>
      <c r="C562" s="15" t="s">
        <v>71</v>
      </c>
      <c r="D562" s="15" t="s">
        <v>42</v>
      </c>
      <c r="E562" s="15" t="s">
        <v>39</v>
      </c>
      <c r="F562" s="15" t="s">
        <v>17</v>
      </c>
      <c r="G562" s="15" t="s">
        <v>29</v>
      </c>
      <c r="H562" s="15" t="n">
        <v>4</v>
      </c>
      <c r="I562" s="17" t="n">
        <v>0.5</v>
      </c>
      <c r="J562" s="18" t="n">
        <v>42.72</v>
      </c>
      <c r="K562" s="19" t="n">
        <v>-5.35</v>
      </c>
      <c r="L562" s="15" t="n">
        <f aca="false">YEAR(B562)</f>
        <v>2024</v>
      </c>
      <c r="M562" s="20" t="n">
        <f aca="false">IF(J562&gt;0,K562/J562,0)</f>
        <v>-0.125234082397004</v>
      </c>
    </row>
    <row r="563" customFormat="false" ht="15" hidden="false" customHeight="false" outlineLevel="0" collapsed="false">
      <c r="A563" s="15" t="s">
        <v>620</v>
      </c>
      <c r="B563" s="16" t="n">
        <v>45800</v>
      </c>
      <c r="C563" s="15" t="s">
        <v>71</v>
      </c>
      <c r="D563" s="15" t="s">
        <v>43</v>
      </c>
      <c r="E563" s="15" t="s">
        <v>37</v>
      </c>
      <c r="F563" s="15" t="s">
        <v>18</v>
      </c>
      <c r="G563" s="15" t="s">
        <v>33</v>
      </c>
      <c r="H563" s="15" t="n">
        <v>2</v>
      </c>
      <c r="I563" s="17" t="n">
        <v>0</v>
      </c>
      <c r="J563" s="18" t="n">
        <v>1859.86</v>
      </c>
      <c r="K563" s="19" t="n">
        <v>445.41</v>
      </c>
      <c r="L563" s="15" t="n">
        <f aca="false">YEAR(B563)</f>
        <v>2025</v>
      </c>
      <c r="M563" s="20" t="n">
        <f aca="false">IF(J563&gt;0,K563/J563,0)</f>
        <v>0.239485767745959</v>
      </c>
    </row>
    <row r="564" customFormat="false" ht="15" hidden="false" customHeight="false" outlineLevel="0" collapsed="false">
      <c r="A564" s="15" t="s">
        <v>621</v>
      </c>
      <c r="B564" s="16" t="n">
        <v>45744</v>
      </c>
      <c r="C564" s="15" t="s">
        <v>56</v>
      </c>
      <c r="D564" s="15" t="s">
        <v>42</v>
      </c>
      <c r="E564" s="15" t="s">
        <v>36</v>
      </c>
      <c r="F564" s="15" t="s">
        <v>16</v>
      </c>
      <c r="G564" s="15" t="s">
        <v>23</v>
      </c>
      <c r="H564" s="15" t="n">
        <v>4</v>
      </c>
      <c r="I564" s="17" t="n">
        <v>0.2</v>
      </c>
      <c r="J564" s="18" t="n">
        <v>637.42</v>
      </c>
      <c r="K564" s="19" t="n">
        <v>-80.29</v>
      </c>
      <c r="L564" s="15" t="n">
        <f aca="false">YEAR(B564)</f>
        <v>2025</v>
      </c>
      <c r="M564" s="20" t="n">
        <f aca="false">IF(J564&gt;0,K564/J564,0)</f>
        <v>-0.12596090489787</v>
      </c>
    </row>
    <row r="565" customFormat="false" ht="15" hidden="false" customHeight="false" outlineLevel="0" collapsed="false">
      <c r="A565" s="15" t="s">
        <v>622</v>
      </c>
      <c r="B565" s="16" t="n">
        <v>45752</v>
      </c>
      <c r="C565" s="15" t="s">
        <v>71</v>
      </c>
      <c r="D565" s="15" t="s">
        <v>43</v>
      </c>
      <c r="E565" s="15" t="s">
        <v>37</v>
      </c>
      <c r="F565" s="15" t="s">
        <v>18</v>
      </c>
      <c r="G565" s="15" t="s">
        <v>32</v>
      </c>
      <c r="H565" s="15" t="n">
        <v>4</v>
      </c>
      <c r="I565" s="17" t="n">
        <v>0.1</v>
      </c>
      <c r="J565" s="18" t="n">
        <v>2334.22</v>
      </c>
      <c r="K565" s="19" t="n">
        <v>70.53</v>
      </c>
      <c r="L565" s="15" t="n">
        <f aca="false">YEAR(B565)</f>
        <v>2025</v>
      </c>
      <c r="M565" s="20" t="n">
        <f aca="false">IF(J565&gt;0,K565/J565,0)</f>
        <v>0.0302156609059986</v>
      </c>
    </row>
    <row r="566" customFormat="false" ht="15" hidden="false" customHeight="false" outlineLevel="0" collapsed="false">
      <c r="A566" s="15" t="s">
        <v>623</v>
      </c>
      <c r="B566" s="16" t="n">
        <v>45171</v>
      </c>
      <c r="C566" s="15" t="s">
        <v>71</v>
      </c>
      <c r="D566" s="15" t="s">
        <v>43</v>
      </c>
      <c r="E566" s="15" t="s">
        <v>39</v>
      </c>
      <c r="F566" s="15" t="s">
        <v>16</v>
      </c>
      <c r="G566" s="15" t="s">
        <v>27</v>
      </c>
      <c r="H566" s="15" t="n">
        <v>5</v>
      </c>
      <c r="I566" s="17" t="n">
        <v>0.2</v>
      </c>
      <c r="J566" s="18" t="n">
        <v>232.77</v>
      </c>
      <c r="K566" s="19" t="n">
        <v>0.94</v>
      </c>
      <c r="L566" s="15" t="n">
        <f aca="false">YEAR(B566)</f>
        <v>2023</v>
      </c>
      <c r="M566" s="20" t="n">
        <f aca="false">IF(J566&gt;0,K566/J566,0)</f>
        <v>0.00403832108948748</v>
      </c>
    </row>
    <row r="567" customFormat="false" ht="15" hidden="false" customHeight="false" outlineLevel="0" collapsed="false">
      <c r="A567" s="15" t="s">
        <v>624</v>
      </c>
      <c r="B567" s="16" t="n">
        <v>45822</v>
      </c>
      <c r="C567" s="15" t="s">
        <v>56</v>
      </c>
      <c r="D567" s="15" t="s">
        <v>42</v>
      </c>
      <c r="E567" s="15" t="s">
        <v>39</v>
      </c>
      <c r="F567" s="15" t="s">
        <v>17</v>
      </c>
      <c r="G567" s="15" t="s">
        <v>31</v>
      </c>
      <c r="H567" s="15" t="n">
        <v>3</v>
      </c>
      <c r="I567" s="17" t="n">
        <v>0</v>
      </c>
      <c r="J567" s="18" t="n">
        <v>428.58</v>
      </c>
      <c r="K567" s="19" t="n">
        <v>104.13</v>
      </c>
      <c r="L567" s="15" t="n">
        <f aca="false">YEAR(B567)</f>
        <v>2025</v>
      </c>
      <c r="M567" s="20" t="n">
        <f aca="false">IF(J567&gt;0,K567/J567,0)</f>
        <v>0.242965140697186</v>
      </c>
    </row>
    <row r="568" customFormat="false" ht="15" hidden="false" customHeight="false" outlineLevel="0" collapsed="false">
      <c r="A568" s="15" t="s">
        <v>625</v>
      </c>
      <c r="B568" s="16" t="n">
        <v>44962</v>
      </c>
      <c r="C568" s="15" t="s">
        <v>56</v>
      </c>
      <c r="D568" s="15" t="s">
        <v>43</v>
      </c>
      <c r="E568" s="15" t="s">
        <v>36</v>
      </c>
      <c r="F568" s="15" t="s">
        <v>17</v>
      </c>
      <c r="G568" s="15" t="s">
        <v>26</v>
      </c>
      <c r="H568" s="15" t="n">
        <v>7</v>
      </c>
      <c r="I568" s="17" t="n">
        <v>0.1</v>
      </c>
      <c r="J568" s="18" t="n">
        <v>496.54</v>
      </c>
      <c r="K568" s="19" t="n">
        <v>33.78</v>
      </c>
      <c r="L568" s="15" t="n">
        <f aca="false">YEAR(B568)</f>
        <v>2023</v>
      </c>
      <c r="M568" s="20" t="n">
        <f aca="false">IF(J568&gt;0,K568/J568,0)</f>
        <v>0.0680307729488057</v>
      </c>
    </row>
    <row r="569" customFormat="false" ht="15" hidden="false" customHeight="false" outlineLevel="0" collapsed="false">
      <c r="A569" s="15" t="s">
        <v>626</v>
      </c>
      <c r="B569" s="16" t="n">
        <v>45974</v>
      </c>
      <c r="C569" s="15" t="s">
        <v>56</v>
      </c>
      <c r="D569" s="15" t="s">
        <v>43</v>
      </c>
      <c r="E569" s="15" t="s">
        <v>36</v>
      </c>
      <c r="F569" s="15" t="s">
        <v>16</v>
      </c>
      <c r="G569" s="15" t="s">
        <v>27</v>
      </c>
      <c r="H569" s="15" t="n">
        <v>5</v>
      </c>
      <c r="I569" s="17" t="n">
        <v>0.2</v>
      </c>
      <c r="J569" s="18" t="n">
        <v>252.17</v>
      </c>
      <c r="K569" s="19" t="n">
        <v>22.01</v>
      </c>
      <c r="L569" s="15" t="n">
        <f aca="false">YEAR(B569)</f>
        <v>2025</v>
      </c>
      <c r="M569" s="20" t="n">
        <f aca="false">IF(J569&gt;0,K569/J569,0)</f>
        <v>0.0872823888646548</v>
      </c>
    </row>
    <row r="570" customFormat="false" ht="15" hidden="false" customHeight="false" outlineLevel="0" collapsed="false">
      <c r="A570" s="15" t="s">
        <v>627</v>
      </c>
      <c r="B570" s="16" t="n">
        <v>45832</v>
      </c>
      <c r="C570" s="15" t="s">
        <v>71</v>
      </c>
      <c r="D570" s="15" t="s">
        <v>44</v>
      </c>
      <c r="E570" s="15" t="s">
        <v>36</v>
      </c>
      <c r="F570" s="15" t="s">
        <v>17</v>
      </c>
      <c r="G570" s="15" t="s">
        <v>26</v>
      </c>
      <c r="H570" s="15" t="n">
        <v>3</v>
      </c>
      <c r="I570" s="17" t="n">
        <v>0</v>
      </c>
      <c r="J570" s="18" t="n">
        <v>273.15</v>
      </c>
      <c r="K570" s="19" t="n">
        <v>31.97</v>
      </c>
      <c r="L570" s="15" t="n">
        <f aca="false">YEAR(B570)</f>
        <v>2025</v>
      </c>
      <c r="M570" s="20" t="n">
        <f aca="false">IF(J570&gt;0,K570/J570,0)</f>
        <v>0.117041918359876</v>
      </c>
    </row>
    <row r="571" customFormat="false" ht="15" hidden="false" customHeight="false" outlineLevel="0" collapsed="false">
      <c r="A571" s="15" t="s">
        <v>628</v>
      </c>
      <c r="B571" s="16" t="n">
        <v>44704</v>
      </c>
      <c r="C571" s="15" t="s">
        <v>56</v>
      </c>
      <c r="D571" s="15" t="s">
        <v>42</v>
      </c>
      <c r="E571" s="15" t="s">
        <v>39</v>
      </c>
      <c r="F571" s="15" t="s">
        <v>16</v>
      </c>
      <c r="G571" s="15" t="s">
        <v>22</v>
      </c>
      <c r="H571" s="15" t="n">
        <v>2</v>
      </c>
      <c r="I571" s="17" t="n">
        <v>0</v>
      </c>
      <c r="J571" s="18" t="n">
        <v>1133.02</v>
      </c>
      <c r="K571" s="19" t="n">
        <v>-10.92</v>
      </c>
      <c r="L571" s="15" t="n">
        <f aca="false">YEAR(B571)</f>
        <v>2022</v>
      </c>
      <c r="M571" s="20" t="n">
        <f aca="false">IF(J571&gt;0,K571/J571,0)</f>
        <v>-0.00963795872976647</v>
      </c>
    </row>
    <row r="572" customFormat="false" ht="15" hidden="false" customHeight="false" outlineLevel="0" collapsed="false">
      <c r="A572" s="15" t="s">
        <v>629</v>
      </c>
      <c r="B572" s="16" t="n">
        <v>45963</v>
      </c>
      <c r="C572" s="15" t="s">
        <v>58</v>
      </c>
      <c r="D572" s="15" t="s">
        <v>42</v>
      </c>
      <c r="E572" s="15" t="s">
        <v>37</v>
      </c>
      <c r="F572" s="15" t="s">
        <v>17</v>
      </c>
      <c r="G572" s="15" t="s">
        <v>28</v>
      </c>
      <c r="H572" s="15" t="n">
        <v>4</v>
      </c>
      <c r="I572" s="17" t="n">
        <v>0</v>
      </c>
      <c r="J572" s="18" t="n">
        <v>108.2</v>
      </c>
      <c r="K572" s="19" t="n">
        <v>27.47</v>
      </c>
      <c r="L572" s="15" t="n">
        <f aca="false">YEAR(B572)</f>
        <v>2025</v>
      </c>
      <c r="M572" s="20" t="n">
        <f aca="false">IF(J572&gt;0,K572/J572,0)</f>
        <v>0.253881700554529</v>
      </c>
    </row>
    <row r="573" customFormat="false" ht="15" hidden="false" customHeight="false" outlineLevel="0" collapsed="false">
      <c r="A573" s="15" t="s">
        <v>630</v>
      </c>
      <c r="B573" s="16" t="n">
        <v>44869</v>
      </c>
      <c r="C573" s="15" t="s">
        <v>71</v>
      </c>
      <c r="D573" s="15" t="s">
        <v>42</v>
      </c>
      <c r="E573" s="15" t="s">
        <v>39</v>
      </c>
      <c r="F573" s="15" t="s">
        <v>18</v>
      </c>
      <c r="G573" s="15" t="s">
        <v>30</v>
      </c>
      <c r="H573" s="15" t="n">
        <v>5</v>
      </c>
      <c r="I573" s="17" t="n">
        <v>0.1</v>
      </c>
      <c r="J573" s="18" t="n">
        <v>262.1</v>
      </c>
      <c r="K573" s="19" t="n">
        <v>50.48</v>
      </c>
      <c r="L573" s="15" t="n">
        <f aca="false">YEAR(B573)</f>
        <v>2022</v>
      </c>
      <c r="M573" s="20" t="n">
        <f aca="false">IF(J573&gt;0,K573/J573,0)</f>
        <v>0.192598244944678</v>
      </c>
    </row>
    <row r="574" customFormat="false" ht="15" hidden="false" customHeight="false" outlineLevel="0" collapsed="false">
      <c r="A574" s="15" t="s">
        <v>631</v>
      </c>
      <c r="B574" s="16" t="n">
        <v>45136</v>
      </c>
      <c r="C574" s="15" t="s">
        <v>68</v>
      </c>
      <c r="D574" s="15" t="s">
        <v>44</v>
      </c>
      <c r="E574" s="15" t="s">
        <v>37</v>
      </c>
      <c r="F574" s="15" t="s">
        <v>16</v>
      </c>
      <c r="G574" s="15" t="s">
        <v>27</v>
      </c>
      <c r="H574" s="15" t="n">
        <v>4</v>
      </c>
      <c r="I574" s="17" t="n">
        <v>0.2</v>
      </c>
      <c r="J574" s="18" t="n">
        <v>175.53</v>
      </c>
      <c r="K574" s="19" t="n">
        <v>5.53</v>
      </c>
      <c r="L574" s="15" t="n">
        <f aca="false">YEAR(B574)</f>
        <v>2023</v>
      </c>
      <c r="M574" s="20" t="n">
        <f aca="false">IF(J574&gt;0,K574/J574,0)</f>
        <v>0.0315045861106364</v>
      </c>
    </row>
    <row r="575" customFormat="false" ht="15" hidden="false" customHeight="false" outlineLevel="0" collapsed="false">
      <c r="A575" s="15" t="s">
        <v>632</v>
      </c>
      <c r="B575" s="16" t="n">
        <v>45666</v>
      </c>
      <c r="C575" s="15" t="s">
        <v>56</v>
      </c>
      <c r="D575" s="15" t="s">
        <v>42</v>
      </c>
      <c r="E575" s="15" t="s">
        <v>36</v>
      </c>
      <c r="F575" s="15" t="s">
        <v>18</v>
      </c>
      <c r="G575" s="15" t="s">
        <v>32</v>
      </c>
      <c r="H575" s="15" t="n">
        <v>5</v>
      </c>
      <c r="I575" s="17" t="n">
        <v>0</v>
      </c>
      <c r="J575" s="18" t="n">
        <v>1677.36</v>
      </c>
      <c r="K575" s="19" t="n">
        <v>288.49</v>
      </c>
      <c r="L575" s="15" t="n">
        <f aca="false">YEAR(B575)</f>
        <v>2025</v>
      </c>
      <c r="M575" s="20" t="n">
        <f aca="false">IF(J575&gt;0,K575/J575,0)</f>
        <v>0.17199050889493</v>
      </c>
    </row>
    <row r="576" customFormat="false" ht="15" hidden="false" customHeight="false" outlineLevel="0" collapsed="false">
      <c r="A576" s="15" t="s">
        <v>633</v>
      </c>
      <c r="B576" s="16" t="n">
        <v>45542</v>
      </c>
      <c r="C576" s="15" t="s">
        <v>68</v>
      </c>
      <c r="D576" s="15" t="s">
        <v>43</v>
      </c>
      <c r="E576" s="15" t="s">
        <v>36</v>
      </c>
      <c r="F576" s="15" t="s">
        <v>16</v>
      </c>
      <c r="G576" s="15" t="s">
        <v>27</v>
      </c>
      <c r="H576" s="15" t="n">
        <v>7</v>
      </c>
      <c r="I576" s="17" t="n">
        <v>0.2</v>
      </c>
      <c r="J576" s="18" t="n">
        <v>297.12</v>
      </c>
      <c r="K576" s="19" t="n">
        <v>13.85</v>
      </c>
      <c r="L576" s="15" t="n">
        <f aca="false">YEAR(B576)</f>
        <v>2024</v>
      </c>
      <c r="M576" s="20" t="n">
        <f aca="false">IF(J576&gt;0,K576/J576,0)</f>
        <v>0.0466141626278945</v>
      </c>
    </row>
    <row r="577" customFormat="false" ht="15" hidden="false" customHeight="false" outlineLevel="0" collapsed="false">
      <c r="A577" s="15" t="s">
        <v>634</v>
      </c>
      <c r="B577" s="16" t="n">
        <v>45985</v>
      </c>
      <c r="C577" s="15" t="s">
        <v>56</v>
      </c>
      <c r="D577" s="15" t="s">
        <v>44</v>
      </c>
      <c r="E577" s="15" t="s">
        <v>36</v>
      </c>
      <c r="F577" s="15" t="s">
        <v>17</v>
      </c>
      <c r="G577" s="15" t="s">
        <v>28</v>
      </c>
      <c r="H577" s="15" t="n">
        <v>4</v>
      </c>
      <c r="I577" s="17" t="n">
        <v>0.1</v>
      </c>
      <c r="J577" s="18" t="n">
        <v>92.21</v>
      </c>
      <c r="K577" s="19" t="n">
        <v>17.43</v>
      </c>
      <c r="L577" s="15" t="n">
        <f aca="false">YEAR(B577)</f>
        <v>2025</v>
      </c>
      <c r="M577" s="20" t="n">
        <f aca="false">IF(J577&gt;0,K577/J577,0)</f>
        <v>0.189025051512851</v>
      </c>
    </row>
    <row r="578" customFormat="false" ht="15" hidden="false" customHeight="false" outlineLevel="0" collapsed="false">
      <c r="A578" s="15" t="s">
        <v>635</v>
      </c>
      <c r="B578" s="16" t="n">
        <v>45015</v>
      </c>
      <c r="C578" s="15" t="s">
        <v>56</v>
      </c>
      <c r="D578" s="15" t="s">
        <v>42</v>
      </c>
      <c r="E578" s="15" t="s">
        <v>37</v>
      </c>
      <c r="F578" s="15" t="s">
        <v>18</v>
      </c>
      <c r="G578" s="15" t="s">
        <v>30</v>
      </c>
      <c r="H578" s="15" t="n">
        <v>4</v>
      </c>
      <c r="I578" s="17" t="n">
        <v>0</v>
      </c>
      <c r="J578" s="18" t="n">
        <v>225.02</v>
      </c>
      <c r="K578" s="19" t="n">
        <v>51.91</v>
      </c>
      <c r="L578" s="15" t="n">
        <f aca="false">YEAR(B578)</f>
        <v>2023</v>
      </c>
      <c r="M578" s="20" t="n">
        <f aca="false">IF(J578&gt;0,K578/J578,0)</f>
        <v>0.230690605279531</v>
      </c>
    </row>
    <row r="579" customFormat="false" ht="15" hidden="false" customHeight="false" outlineLevel="0" collapsed="false">
      <c r="A579" s="15" t="s">
        <v>636</v>
      </c>
      <c r="B579" s="16" t="n">
        <v>45187</v>
      </c>
      <c r="C579" s="15" t="s">
        <v>68</v>
      </c>
      <c r="D579" s="15" t="s">
        <v>43</v>
      </c>
      <c r="E579" s="15" t="s">
        <v>39</v>
      </c>
      <c r="F579" s="15" t="s">
        <v>18</v>
      </c>
      <c r="G579" s="15" t="s">
        <v>30</v>
      </c>
      <c r="H579" s="15" t="n">
        <v>6</v>
      </c>
      <c r="I579" s="17" t="n">
        <v>0.1</v>
      </c>
      <c r="J579" s="18" t="n">
        <v>279.55</v>
      </c>
      <c r="K579" s="19" t="n">
        <v>40.4</v>
      </c>
      <c r="L579" s="15" t="n">
        <f aca="false">YEAR(B579)</f>
        <v>2023</v>
      </c>
      <c r="M579" s="20" t="n">
        <f aca="false">IF(J579&gt;0,K579/J579,0)</f>
        <v>0.144517975317475</v>
      </c>
    </row>
    <row r="580" customFormat="false" ht="15" hidden="false" customHeight="false" outlineLevel="0" collapsed="false">
      <c r="A580" s="15" t="s">
        <v>637</v>
      </c>
      <c r="B580" s="16" t="n">
        <v>45775</v>
      </c>
      <c r="C580" s="15" t="s">
        <v>56</v>
      </c>
      <c r="D580" s="15" t="s">
        <v>44</v>
      </c>
      <c r="E580" s="15" t="s">
        <v>39</v>
      </c>
      <c r="F580" s="15" t="s">
        <v>17</v>
      </c>
      <c r="G580" s="15" t="s">
        <v>29</v>
      </c>
      <c r="H580" s="15" t="n">
        <v>3</v>
      </c>
      <c r="I580" s="17" t="n">
        <v>0</v>
      </c>
      <c r="J580" s="18" t="n">
        <v>53.44</v>
      </c>
      <c r="K580" s="19" t="n">
        <v>20.33</v>
      </c>
      <c r="L580" s="15" t="n">
        <f aca="false">YEAR(B580)</f>
        <v>2025</v>
      </c>
      <c r="M580" s="20" t="n">
        <f aca="false">IF(J580&gt;0,K580/J580,0)</f>
        <v>0.380426646706587</v>
      </c>
    </row>
    <row r="581" customFormat="false" ht="15" hidden="false" customHeight="false" outlineLevel="0" collapsed="false">
      <c r="A581" s="15" t="s">
        <v>638</v>
      </c>
      <c r="B581" s="16" t="n">
        <v>44713</v>
      </c>
      <c r="C581" s="15" t="s">
        <v>58</v>
      </c>
      <c r="D581" s="15" t="s">
        <v>42</v>
      </c>
      <c r="E581" s="15" t="s">
        <v>39</v>
      </c>
      <c r="F581" s="15" t="s">
        <v>18</v>
      </c>
      <c r="G581" s="15" t="s">
        <v>30</v>
      </c>
      <c r="H581" s="15" t="n">
        <v>1</v>
      </c>
      <c r="I581" s="17" t="n">
        <v>0.15</v>
      </c>
      <c r="J581" s="18" t="n">
        <v>40.21</v>
      </c>
      <c r="K581" s="19" t="n">
        <v>7.95</v>
      </c>
      <c r="L581" s="15" t="n">
        <f aca="false">YEAR(B581)</f>
        <v>2022</v>
      </c>
      <c r="M581" s="20" t="n">
        <f aca="false">IF(J581&gt;0,K581/J581,0)</f>
        <v>0.197712011937329</v>
      </c>
    </row>
    <row r="582" customFormat="false" ht="15" hidden="false" customHeight="false" outlineLevel="0" collapsed="false">
      <c r="A582" s="15" t="s">
        <v>639</v>
      </c>
      <c r="B582" s="16" t="n">
        <v>45691</v>
      </c>
      <c r="C582" s="15" t="s">
        <v>71</v>
      </c>
      <c r="D582" s="15" t="s">
        <v>43</v>
      </c>
      <c r="E582" s="15" t="s">
        <v>39</v>
      </c>
      <c r="F582" s="15" t="s">
        <v>16</v>
      </c>
      <c r="G582" s="15" t="s">
        <v>23</v>
      </c>
      <c r="H582" s="15" t="n">
        <v>4</v>
      </c>
      <c r="I582" s="17" t="n">
        <v>0.05</v>
      </c>
      <c r="J582" s="18" t="n">
        <v>1284.8</v>
      </c>
      <c r="K582" s="19" t="n">
        <v>-50.91</v>
      </c>
      <c r="L582" s="15" t="n">
        <f aca="false">YEAR(B582)</f>
        <v>2025</v>
      </c>
      <c r="M582" s="20" t="n">
        <f aca="false">IF(J582&gt;0,K582/J582,0)</f>
        <v>-0.0396248443337484</v>
      </c>
    </row>
    <row r="583" customFormat="false" ht="15" hidden="false" customHeight="false" outlineLevel="0" collapsed="false">
      <c r="A583" s="15" t="s">
        <v>640</v>
      </c>
      <c r="B583" s="16" t="n">
        <v>45105</v>
      </c>
      <c r="C583" s="15" t="s">
        <v>56</v>
      </c>
      <c r="D583" s="15" t="s">
        <v>43</v>
      </c>
      <c r="E583" s="15" t="s">
        <v>38</v>
      </c>
      <c r="F583" s="15" t="s">
        <v>17</v>
      </c>
      <c r="G583" s="15" t="s">
        <v>29</v>
      </c>
      <c r="H583" s="15" t="n">
        <v>5</v>
      </c>
      <c r="I583" s="17" t="n">
        <v>0.2</v>
      </c>
      <c r="J583" s="18" t="n">
        <v>69.95</v>
      </c>
      <c r="K583" s="19" t="n">
        <v>12.32</v>
      </c>
      <c r="L583" s="15" t="n">
        <f aca="false">YEAR(B583)</f>
        <v>2023</v>
      </c>
      <c r="M583" s="20" t="n">
        <f aca="false">IF(J583&gt;0,K583/J583,0)</f>
        <v>0.176125804145818</v>
      </c>
    </row>
    <row r="584" customFormat="false" ht="15" hidden="false" customHeight="false" outlineLevel="0" collapsed="false">
      <c r="A584" s="15" t="s">
        <v>641</v>
      </c>
      <c r="B584" s="16" t="n">
        <v>45497</v>
      </c>
      <c r="C584" s="15" t="s">
        <v>71</v>
      </c>
      <c r="D584" s="15" t="s">
        <v>43</v>
      </c>
      <c r="E584" s="15" t="s">
        <v>39</v>
      </c>
      <c r="F584" s="15" t="s">
        <v>16</v>
      </c>
      <c r="G584" s="15" t="s">
        <v>25</v>
      </c>
      <c r="H584" s="15" t="n">
        <v>2</v>
      </c>
      <c r="I584" s="17" t="n">
        <v>0.1</v>
      </c>
      <c r="J584" s="18" t="n">
        <v>532.78</v>
      </c>
      <c r="K584" s="19" t="n">
        <v>0.52</v>
      </c>
      <c r="L584" s="15" t="n">
        <f aca="false">YEAR(B584)</f>
        <v>2024</v>
      </c>
      <c r="M584" s="20" t="n">
        <f aca="false">IF(J584&gt;0,K584/J584,0)</f>
        <v>0.000976012613086077</v>
      </c>
    </row>
    <row r="585" customFormat="false" ht="15" hidden="false" customHeight="false" outlineLevel="0" collapsed="false">
      <c r="A585" s="15" t="s">
        <v>642</v>
      </c>
      <c r="B585" s="16" t="n">
        <v>45427</v>
      </c>
      <c r="C585" s="15" t="s">
        <v>68</v>
      </c>
      <c r="D585" s="15" t="s">
        <v>42</v>
      </c>
      <c r="E585" s="15" t="s">
        <v>39</v>
      </c>
      <c r="F585" s="15" t="s">
        <v>18</v>
      </c>
      <c r="G585" s="15" t="s">
        <v>33</v>
      </c>
      <c r="H585" s="15" t="n">
        <v>6</v>
      </c>
      <c r="I585" s="17" t="n">
        <v>0.1</v>
      </c>
      <c r="J585" s="18" t="n">
        <v>6595</v>
      </c>
      <c r="K585" s="19" t="n">
        <v>1370.6</v>
      </c>
      <c r="L585" s="15" t="n">
        <f aca="false">YEAR(B585)</f>
        <v>2024</v>
      </c>
      <c r="M585" s="20" t="n">
        <f aca="false">IF(J585&gt;0,K585/J585,0)</f>
        <v>0.207824109173616</v>
      </c>
    </row>
    <row r="586" customFormat="false" ht="15" hidden="false" customHeight="false" outlineLevel="0" collapsed="false">
      <c r="A586" s="15" t="s">
        <v>643</v>
      </c>
      <c r="B586" s="16" t="n">
        <v>45946</v>
      </c>
      <c r="C586" s="15" t="s">
        <v>56</v>
      </c>
      <c r="D586" s="15" t="s">
        <v>42</v>
      </c>
      <c r="E586" s="15" t="s">
        <v>37</v>
      </c>
      <c r="F586" s="15" t="s">
        <v>17</v>
      </c>
      <c r="G586" s="15" t="s">
        <v>29</v>
      </c>
      <c r="H586" s="15" t="n">
        <v>5</v>
      </c>
      <c r="I586" s="17" t="n">
        <v>0.1</v>
      </c>
      <c r="J586" s="18" t="n">
        <v>85.93</v>
      </c>
      <c r="K586" s="19" t="n">
        <v>21.34</v>
      </c>
      <c r="L586" s="15" t="n">
        <f aca="false">YEAR(B586)</f>
        <v>2025</v>
      </c>
      <c r="M586" s="20" t="n">
        <f aca="false">IF(J586&gt;0,K586/J586,0)</f>
        <v>0.248341673455138</v>
      </c>
    </row>
    <row r="587" customFormat="false" ht="15" hidden="false" customHeight="false" outlineLevel="0" collapsed="false">
      <c r="A587" s="15" t="s">
        <v>644</v>
      </c>
      <c r="B587" s="16" t="n">
        <v>45152</v>
      </c>
      <c r="C587" s="15" t="s">
        <v>56</v>
      </c>
      <c r="D587" s="15" t="s">
        <v>44</v>
      </c>
      <c r="E587" s="15" t="s">
        <v>38</v>
      </c>
      <c r="F587" s="15" t="s">
        <v>16</v>
      </c>
      <c r="G587" s="15" t="s">
        <v>25</v>
      </c>
      <c r="H587" s="15" t="n">
        <v>3</v>
      </c>
      <c r="I587" s="17" t="n">
        <v>0</v>
      </c>
      <c r="J587" s="18" t="n">
        <v>752.47</v>
      </c>
      <c r="K587" s="19" t="n">
        <v>48.6</v>
      </c>
      <c r="L587" s="15" t="n">
        <f aca="false">YEAR(B587)</f>
        <v>2023</v>
      </c>
      <c r="M587" s="20" t="n">
        <f aca="false">IF(J587&gt;0,K587/J587,0)</f>
        <v>0.0645872925166452</v>
      </c>
    </row>
    <row r="588" customFormat="false" ht="15" hidden="false" customHeight="false" outlineLevel="0" collapsed="false">
      <c r="A588" s="15" t="s">
        <v>645</v>
      </c>
      <c r="B588" s="16" t="n">
        <v>45139</v>
      </c>
      <c r="C588" s="15" t="s">
        <v>56</v>
      </c>
      <c r="D588" s="15" t="s">
        <v>44</v>
      </c>
      <c r="E588" s="15" t="s">
        <v>36</v>
      </c>
      <c r="F588" s="15" t="s">
        <v>17</v>
      </c>
      <c r="G588" s="15" t="s">
        <v>28</v>
      </c>
      <c r="H588" s="15" t="n">
        <v>3</v>
      </c>
      <c r="I588" s="17" t="n">
        <v>0</v>
      </c>
      <c r="J588" s="18" t="n">
        <v>77.94</v>
      </c>
      <c r="K588" s="19" t="n">
        <v>28.53</v>
      </c>
      <c r="L588" s="15" t="n">
        <f aca="false">YEAR(B588)</f>
        <v>2023</v>
      </c>
      <c r="M588" s="20" t="n">
        <f aca="false">IF(J588&gt;0,K588/J588,0)</f>
        <v>0.366050808314088</v>
      </c>
    </row>
    <row r="589" customFormat="false" ht="15" hidden="false" customHeight="false" outlineLevel="0" collapsed="false">
      <c r="A589" s="15" t="s">
        <v>646</v>
      </c>
      <c r="B589" s="16" t="n">
        <v>45124</v>
      </c>
      <c r="C589" s="15" t="s">
        <v>56</v>
      </c>
      <c r="D589" s="15" t="s">
        <v>42</v>
      </c>
      <c r="E589" s="15" t="s">
        <v>39</v>
      </c>
      <c r="F589" s="15" t="s">
        <v>16</v>
      </c>
      <c r="G589" s="15" t="s">
        <v>25</v>
      </c>
      <c r="H589" s="15" t="n">
        <v>6</v>
      </c>
      <c r="I589" s="17" t="n">
        <v>0</v>
      </c>
      <c r="J589" s="18" t="n">
        <v>1559.59</v>
      </c>
      <c r="K589" s="19" t="n">
        <v>108.93</v>
      </c>
      <c r="L589" s="15" t="n">
        <f aca="false">YEAR(B589)</f>
        <v>2023</v>
      </c>
      <c r="M589" s="20" t="n">
        <f aca="false">IF(J589&gt;0,K589/J589,0)</f>
        <v>0.0698452798491911</v>
      </c>
    </row>
    <row r="590" customFormat="false" ht="15" hidden="false" customHeight="false" outlineLevel="0" collapsed="false">
      <c r="A590" s="15" t="s">
        <v>647</v>
      </c>
      <c r="B590" s="16" t="n">
        <v>45279</v>
      </c>
      <c r="C590" s="15" t="s">
        <v>56</v>
      </c>
      <c r="D590" s="15" t="s">
        <v>44</v>
      </c>
      <c r="E590" s="15" t="s">
        <v>37</v>
      </c>
      <c r="F590" s="15" t="s">
        <v>17</v>
      </c>
      <c r="G590" s="15" t="s">
        <v>29</v>
      </c>
      <c r="H590" s="15" t="n">
        <v>3</v>
      </c>
      <c r="I590" s="17" t="n">
        <v>0.2</v>
      </c>
      <c r="J590" s="18" t="n">
        <v>45.47</v>
      </c>
      <c r="K590" s="19" t="n">
        <v>12.08</v>
      </c>
      <c r="L590" s="15" t="n">
        <f aca="false">YEAR(B590)</f>
        <v>2023</v>
      </c>
      <c r="M590" s="20" t="n">
        <f aca="false">IF(J590&gt;0,K590/J590,0)</f>
        <v>0.265669672311414</v>
      </c>
    </row>
    <row r="591" customFormat="false" ht="15" hidden="false" customHeight="false" outlineLevel="0" collapsed="false">
      <c r="A591" s="15" t="s">
        <v>648</v>
      </c>
      <c r="B591" s="16" t="n">
        <v>45644</v>
      </c>
      <c r="C591" s="15" t="s">
        <v>68</v>
      </c>
      <c r="D591" s="15" t="s">
        <v>42</v>
      </c>
      <c r="E591" s="15" t="s">
        <v>37</v>
      </c>
      <c r="F591" s="15" t="s">
        <v>16</v>
      </c>
      <c r="G591" s="15" t="s">
        <v>25</v>
      </c>
      <c r="H591" s="15" t="n">
        <v>2</v>
      </c>
      <c r="I591" s="17" t="n">
        <v>0</v>
      </c>
      <c r="J591" s="18" t="n">
        <v>497.39</v>
      </c>
      <c r="K591" s="19" t="n">
        <v>49.88</v>
      </c>
      <c r="L591" s="15" t="n">
        <f aca="false">YEAR(B591)</f>
        <v>2024</v>
      </c>
      <c r="M591" s="20" t="n">
        <f aca="false">IF(J591&gt;0,K591/J591,0)</f>
        <v>0.10028347976437</v>
      </c>
    </row>
    <row r="592" customFormat="false" ht="15" hidden="false" customHeight="false" outlineLevel="0" collapsed="false">
      <c r="A592" s="15" t="s">
        <v>649</v>
      </c>
      <c r="B592" s="16" t="n">
        <v>45309</v>
      </c>
      <c r="C592" s="15" t="s">
        <v>71</v>
      </c>
      <c r="D592" s="15" t="s">
        <v>42</v>
      </c>
      <c r="E592" s="15" t="s">
        <v>37</v>
      </c>
      <c r="F592" s="15" t="s">
        <v>17</v>
      </c>
      <c r="G592" s="15" t="s">
        <v>26</v>
      </c>
      <c r="H592" s="15" t="n">
        <v>3</v>
      </c>
      <c r="I592" s="17" t="n">
        <v>0</v>
      </c>
      <c r="J592" s="18" t="n">
        <v>274.51</v>
      </c>
      <c r="K592" s="19" t="n">
        <v>44</v>
      </c>
      <c r="L592" s="15" t="n">
        <f aca="false">YEAR(B592)</f>
        <v>2024</v>
      </c>
      <c r="M592" s="20" t="n">
        <f aca="false">IF(J592&gt;0,K592/J592,0)</f>
        <v>0.160285599796</v>
      </c>
    </row>
    <row r="593" customFormat="false" ht="15" hidden="false" customHeight="false" outlineLevel="0" collapsed="false">
      <c r="A593" s="15" t="s">
        <v>650</v>
      </c>
      <c r="B593" s="16" t="n">
        <v>44718</v>
      </c>
      <c r="C593" s="15" t="s">
        <v>56</v>
      </c>
      <c r="D593" s="15" t="s">
        <v>42</v>
      </c>
      <c r="E593" s="15" t="s">
        <v>38</v>
      </c>
      <c r="F593" s="15" t="s">
        <v>17</v>
      </c>
      <c r="G593" s="15" t="s">
        <v>28</v>
      </c>
      <c r="H593" s="15" t="n">
        <v>3</v>
      </c>
      <c r="I593" s="17" t="n">
        <v>0.5</v>
      </c>
      <c r="J593" s="18" t="n">
        <v>25.56</v>
      </c>
      <c r="K593" s="19" t="n">
        <v>-3.78</v>
      </c>
      <c r="L593" s="15" t="n">
        <f aca="false">YEAR(B593)</f>
        <v>2022</v>
      </c>
      <c r="M593" s="20" t="n">
        <f aca="false">IF(J593&gt;0,K593/J593,0)</f>
        <v>-0.147887323943662</v>
      </c>
    </row>
    <row r="594" customFormat="false" ht="15" hidden="false" customHeight="false" outlineLevel="0" collapsed="false">
      <c r="A594" s="15" t="s">
        <v>651</v>
      </c>
      <c r="B594" s="16" t="n">
        <v>45537</v>
      </c>
      <c r="C594" s="15" t="s">
        <v>56</v>
      </c>
      <c r="D594" s="15" t="s">
        <v>42</v>
      </c>
      <c r="E594" s="15" t="s">
        <v>39</v>
      </c>
      <c r="F594" s="15" t="s">
        <v>17</v>
      </c>
      <c r="G594" s="15" t="s">
        <v>26</v>
      </c>
      <c r="H594" s="15" t="n">
        <v>4</v>
      </c>
      <c r="I594" s="17" t="n">
        <v>0.2</v>
      </c>
      <c r="J594" s="18" t="n">
        <v>257.82</v>
      </c>
      <c r="K594" s="19" t="n">
        <v>-16.61</v>
      </c>
      <c r="L594" s="15" t="n">
        <f aca="false">YEAR(B594)</f>
        <v>2024</v>
      </c>
      <c r="M594" s="20" t="n">
        <f aca="false">IF(J594&gt;0,K594/J594,0)</f>
        <v>-0.0644247924908851</v>
      </c>
    </row>
    <row r="595" customFormat="false" ht="15" hidden="false" customHeight="false" outlineLevel="0" collapsed="false">
      <c r="A595" s="15" t="s">
        <v>652</v>
      </c>
      <c r="B595" s="16" t="n">
        <v>45905</v>
      </c>
      <c r="C595" s="15" t="s">
        <v>56</v>
      </c>
      <c r="D595" s="15" t="s">
        <v>42</v>
      </c>
      <c r="E595" s="15" t="s">
        <v>39</v>
      </c>
      <c r="F595" s="15" t="s">
        <v>17</v>
      </c>
      <c r="G595" s="15" t="s">
        <v>26</v>
      </c>
      <c r="H595" s="15" t="n">
        <v>2</v>
      </c>
      <c r="I595" s="17" t="n">
        <v>0.1</v>
      </c>
      <c r="J595" s="18" t="n">
        <v>192.15</v>
      </c>
      <c r="K595" s="19" t="n">
        <v>17.98</v>
      </c>
      <c r="L595" s="15" t="n">
        <f aca="false">YEAR(B595)</f>
        <v>2025</v>
      </c>
      <c r="M595" s="20" t="n">
        <f aca="false">IF(J595&gt;0,K595/J595,0)</f>
        <v>0.0935727296383034</v>
      </c>
    </row>
    <row r="596" customFormat="false" ht="15" hidden="false" customHeight="false" outlineLevel="0" collapsed="false">
      <c r="A596" s="15" t="s">
        <v>653</v>
      </c>
      <c r="B596" s="16" t="n">
        <v>45748</v>
      </c>
      <c r="C596" s="15" t="s">
        <v>56</v>
      </c>
      <c r="D596" s="15" t="s">
        <v>42</v>
      </c>
      <c r="E596" s="15" t="s">
        <v>39</v>
      </c>
      <c r="F596" s="15" t="s">
        <v>18</v>
      </c>
      <c r="G596" s="15" t="s">
        <v>30</v>
      </c>
      <c r="H596" s="15" t="n">
        <v>2</v>
      </c>
      <c r="I596" s="17" t="n">
        <v>0.4</v>
      </c>
      <c r="J596" s="18" t="n">
        <v>59.42</v>
      </c>
      <c r="K596" s="19" t="n">
        <v>-3.81</v>
      </c>
      <c r="L596" s="15" t="n">
        <f aca="false">YEAR(B596)</f>
        <v>2025</v>
      </c>
      <c r="M596" s="20" t="n">
        <f aca="false">IF(J596&gt;0,K596/J596,0)</f>
        <v>-0.064119824974756</v>
      </c>
    </row>
    <row r="597" customFormat="false" ht="15" hidden="false" customHeight="false" outlineLevel="0" collapsed="false">
      <c r="A597" s="15" t="s">
        <v>654</v>
      </c>
      <c r="B597" s="16" t="n">
        <v>45622</v>
      </c>
      <c r="C597" s="15" t="s">
        <v>56</v>
      </c>
      <c r="D597" s="15" t="s">
        <v>44</v>
      </c>
      <c r="E597" s="15" t="s">
        <v>36</v>
      </c>
      <c r="F597" s="15" t="s">
        <v>17</v>
      </c>
      <c r="G597" s="15" t="s">
        <v>28</v>
      </c>
      <c r="H597" s="15" t="n">
        <v>2</v>
      </c>
      <c r="I597" s="17" t="n">
        <v>0.15</v>
      </c>
      <c r="J597" s="18" t="n">
        <v>41.52</v>
      </c>
      <c r="K597" s="19" t="n">
        <v>5.34</v>
      </c>
      <c r="L597" s="15" t="n">
        <f aca="false">YEAR(B597)</f>
        <v>2024</v>
      </c>
      <c r="M597" s="20" t="n">
        <f aca="false">IF(J597&gt;0,K597/J597,0)</f>
        <v>0.128612716763006</v>
      </c>
    </row>
    <row r="598" customFormat="false" ht="15" hidden="false" customHeight="false" outlineLevel="0" collapsed="false">
      <c r="A598" s="15" t="s">
        <v>655</v>
      </c>
      <c r="B598" s="16" t="n">
        <v>44571</v>
      </c>
      <c r="C598" s="15" t="s">
        <v>68</v>
      </c>
      <c r="D598" s="15" t="s">
        <v>42</v>
      </c>
      <c r="E598" s="15" t="s">
        <v>36</v>
      </c>
      <c r="F598" s="15" t="s">
        <v>17</v>
      </c>
      <c r="G598" s="15" t="s">
        <v>28</v>
      </c>
      <c r="H598" s="15" t="n">
        <v>4</v>
      </c>
      <c r="I598" s="17" t="n">
        <v>0.2</v>
      </c>
      <c r="J598" s="18" t="n">
        <v>59.1</v>
      </c>
      <c r="K598" s="19" t="n">
        <v>6.8</v>
      </c>
      <c r="L598" s="15" t="n">
        <f aca="false">YEAR(B598)</f>
        <v>2022</v>
      </c>
      <c r="M598" s="20" t="n">
        <f aca="false">IF(J598&gt;0,K598/J598,0)</f>
        <v>0.115059221658206</v>
      </c>
    </row>
    <row r="599" customFormat="false" ht="15" hidden="false" customHeight="false" outlineLevel="0" collapsed="false">
      <c r="A599" s="15" t="s">
        <v>656</v>
      </c>
      <c r="B599" s="16" t="n">
        <v>45797</v>
      </c>
      <c r="C599" s="15" t="s">
        <v>71</v>
      </c>
      <c r="D599" s="15" t="s">
        <v>43</v>
      </c>
      <c r="E599" s="15" t="s">
        <v>38</v>
      </c>
      <c r="F599" s="15" t="s">
        <v>17</v>
      </c>
      <c r="G599" s="15" t="s">
        <v>31</v>
      </c>
      <c r="H599" s="15" t="n">
        <v>4</v>
      </c>
      <c r="I599" s="17" t="n">
        <v>0.15</v>
      </c>
      <c r="J599" s="18" t="n">
        <v>387.02</v>
      </c>
      <c r="K599" s="19" t="n">
        <v>25.98</v>
      </c>
      <c r="L599" s="15" t="n">
        <f aca="false">YEAR(B599)</f>
        <v>2025</v>
      </c>
      <c r="M599" s="20" t="n">
        <f aca="false">IF(J599&gt;0,K599/J599,0)</f>
        <v>0.0671283137822335</v>
      </c>
    </row>
    <row r="600" customFormat="false" ht="15" hidden="false" customHeight="false" outlineLevel="0" collapsed="false">
      <c r="A600" s="15" t="s">
        <v>657</v>
      </c>
      <c r="B600" s="16" t="n">
        <v>45975</v>
      </c>
      <c r="C600" s="15" t="s">
        <v>56</v>
      </c>
      <c r="D600" s="15" t="s">
        <v>42</v>
      </c>
      <c r="E600" s="15" t="s">
        <v>36</v>
      </c>
      <c r="F600" s="15" t="s">
        <v>18</v>
      </c>
      <c r="G600" s="15" t="s">
        <v>30</v>
      </c>
      <c r="H600" s="15" t="n">
        <v>2</v>
      </c>
      <c r="I600" s="17" t="n">
        <v>0</v>
      </c>
      <c r="J600" s="18" t="n">
        <v>86.05</v>
      </c>
      <c r="K600" s="19" t="n">
        <v>25.64</v>
      </c>
      <c r="L600" s="15" t="n">
        <f aca="false">YEAR(B600)</f>
        <v>2025</v>
      </c>
      <c r="M600" s="20" t="n">
        <f aca="false">IF(J600&gt;0,K600/J600,0)</f>
        <v>0.297966298663568</v>
      </c>
    </row>
    <row r="601" customFormat="false" ht="15" hidden="false" customHeight="false" outlineLevel="0" collapsed="false">
      <c r="A601" s="15" t="s">
        <v>658</v>
      </c>
      <c r="B601" s="16" t="n">
        <v>44567</v>
      </c>
      <c r="C601" s="15" t="s">
        <v>56</v>
      </c>
      <c r="D601" s="15" t="s">
        <v>43</v>
      </c>
      <c r="E601" s="15" t="s">
        <v>37</v>
      </c>
      <c r="F601" s="15" t="s">
        <v>17</v>
      </c>
      <c r="G601" s="15" t="s">
        <v>26</v>
      </c>
      <c r="H601" s="15" t="n">
        <v>2</v>
      </c>
      <c r="I601" s="17" t="n">
        <v>0</v>
      </c>
      <c r="J601" s="18" t="n">
        <v>195.51</v>
      </c>
      <c r="K601" s="19" t="n">
        <v>7.26</v>
      </c>
      <c r="L601" s="15" t="n">
        <f aca="false">YEAR(B601)</f>
        <v>2022</v>
      </c>
      <c r="M601" s="20" t="n">
        <f aca="false">IF(J601&gt;0,K601/J601,0)</f>
        <v>0.0371336504526623</v>
      </c>
    </row>
    <row r="602" customFormat="false" ht="15" hidden="false" customHeight="false" outlineLevel="0" collapsed="false">
      <c r="A602" s="15" t="s">
        <v>659</v>
      </c>
      <c r="B602" s="16" t="n">
        <v>45212</v>
      </c>
      <c r="C602" s="15" t="s">
        <v>71</v>
      </c>
      <c r="D602" s="15" t="s">
        <v>43</v>
      </c>
      <c r="E602" s="15" t="s">
        <v>39</v>
      </c>
      <c r="F602" s="15" t="s">
        <v>16</v>
      </c>
      <c r="G602" s="15" t="s">
        <v>27</v>
      </c>
      <c r="H602" s="15" t="n">
        <v>3</v>
      </c>
      <c r="I602" s="17" t="n">
        <v>0.05</v>
      </c>
      <c r="J602" s="18" t="n">
        <v>225.92</v>
      </c>
      <c r="K602" s="19" t="n">
        <v>47.07</v>
      </c>
      <c r="L602" s="15" t="n">
        <f aca="false">YEAR(B602)</f>
        <v>2023</v>
      </c>
      <c r="M602" s="20" t="n">
        <f aca="false">IF(J602&gt;0,K602/J602,0)</f>
        <v>0.208348087818697</v>
      </c>
    </row>
    <row r="603" customFormat="false" ht="15" hidden="false" customHeight="false" outlineLevel="0" collapsed="false">
      <c r="A603" s="15" t="s">
        <v>660</v>
      </c>
      <c r="B603" s="16" t="n">
        <v>45341</v>
      </c>
      <c r="C603" s="15" t="s">
        <v>56</v>
      </c>
      <c r="D603" s="15" t="s">
        <v>44</v>
      </c>
      <c r="E603" s="15" t="s">
        <v>36</v>
      </c>
      <c r="F603" s="15" t="s">
        <v>16</v>
      </c>
      <c r="G603" s="15" t="s">
        <v>27</v>
      </c>
      <c r="H603" s="15" t="n">
        <v>5</v>
      </c>
      <c r="I603" s="17" t="n">
        <v>0.15</v>
      </c>
      <c r="J603" s="18" t="n">
        <v>225.2</v>
      </c>
      <c r="K603" s="19" t="n">
        <v>6.51</v>
      </c>
      <c r="L603" s="15" t="n">
        <f aca="false">YEAR(B603)</f>
        <v>2024</v>
      </c>
      <c r="M603" s="20" t="n">
        <f aca="false">IF(J603&gt;0,K603/J603,0)</f>
        <v>0.0289076376554174</v>
      </c>
    </row>
    <row r="604" customFormat="false" ht="15" hidden="false" customHeight="false" outlineLevel="0" collapsed="false">
      <c r="A604" s="15" t="s">
        <v>661</v>
      </c>
      <c r="B604" s="16" t="n">
        <v>45175</v>
      </c>
      <c r="C604" s="15" t="s">
        <v>56</v>
      </c>
      <c r="D604" s="15" t="s">
        <v>44</v>
      </c>
      <c r="E604" s="15" t="s">
        <v>37</v>
      </c>
      <c r="F604" s="15" t="s">
        <v>17</v>
      </c>
      <c r="G604" s="15" t="s">
        <v>29</v>
      </c>
      <c r="H604" s="15" t="n">
        <v>5</v>
      </c>
      <c r="I604" s="17" t="n">
        <v>0</v>
      </c>
      <c r="J604" s="18" t="n">
        <v>93.68</v>
      </c>
      <c r="K604" s="19" t="n">
        <v>35.74</v>
      </c>
      <c r="L604" s="15" t="n">
        <f aca="false">YEAR(B604)</f>
        <v>2023</v>
      </c>
      <c r="M604" s="20" t="n">
        <f aca="false">IF(J604&gt;0,K604/J604,0)</f>
        <v>0.381511528608027</v>
      </c>
    </row>
    <row r="605" customFormat="false" ht="15" hidden="false" customHeight="false" outlineLevel="0" collapsed="false">
      <c r="A605" s="15" t="s">
        <v>662</v>
      </c>
      <c r="B605" s="16" t="n">
        <v>44822</v>
      </c>
      <c r="C605" s="15" t="s">
        <v>71</v>
      </c>
      <c r="D605" s="15" t="s">
        <v>43</v>
      </c>
      <c r="E605" s="15" t="s">
        <v>39</v>
      </c>
      <c r="F605" s="15" t="s">
        <v>18</v>
      </c>
      <c r="G605" s="15" t="s">
        <v>30</v>
      </c>
      <c r="H605" s="15" t="n">
        <v>5</v>
      </c>
      <c r="I605" s="17" t="n">
        <v>0.4</v>
      </c>
      <c r="J605" s="18" t="n">
        <v>175.05</v>
      </c>
      <c r="K605" s="19" t="n">
        <v>4.54</v>
      </c>
      <c r="L605" s="15" t="n">
        <f aca="false">YEAR(B605)</f>
        <v>2022</v>
      </c>
      <c r="M605" s="20" t="n">
        <f aca="false">IF(J605&gt;0,K605/J605,0)</f>
        <v>0.0259354470151385</v>
      </c>
    </row>
    <row r="606" customFormat="false" ht="15" hidden="false" customHeight="false" outlineLevel="0" collapsed="false">
      <c r="A606" s="15" t="s">
        <v>663</v>
      </c>
      <c r="B606" s="16" t="n">
        <v>44889</v>
      </c>
      <c r="C606" s="15" t="s">
        <v>68</v>
      </c>
      <c r="D606" s="15" t="s">
        <v>43</v>
      </c>
      <c r="E606" s="15" t="s">
        <v>36</v>
      </c>
      <c r="F606" s="15" t="s">
        <v>17</v>
      </c>
      <c r="G606" s="15" t="s">
        <v>28</v>
      </c>
      <c r="H606" s="15" t="n">
        <v>3</v>
      </c>
      <c r="I606" s="17" t="n">
        <v>0.1</v>
      </c>
      <c r="J606" s="18" t="n">
        <v>68.08</v>
      </c>
      <c r="K606" s="19" t="n">
        <v>16.87</v>
      </c>
      <c r="L606" s="15" t="n">
        <f aca="false">YEAR(B606)</f>
        <v>2022</v>
      </c>
      <c r="M606" s="20" t="n">
        <f aca="false">IF(J606&gt;0,K606/J606,0)</f>
        <v>0.247796709753232</v>
      </c>
    </row>
    <row r="607" customFormat="false" ht="15" hidden="false" customHeight="false" outlineLevel="0" collapsed="false">
      <c r="A607" s="15" t="s">
        <v>664</v>
      </c>
      <c r="B607" s="16" t="n">
        <v>45164</v>
      </c>
      <c r="C607" s="15" t="s">
        <v>56</v>
      </c>
      <c r="D607" s="15" t="s">
        <v>42</v>
      </c>
      <c r="E607" s="15" t="s">
        <v>36</v>
      </c>
      <c r="F607" s="15" t="s">
        <v>16</v>
      </c>
      <c r="G607" s="15" t="s">
        <v>27</v>
      </c>
      <c r="H607" s="15" t="n">
        <v>3</v>
      </c>
      <c r="I607" s="17" t="n">
        <v>0</v>
      </c>
      <c r="J607" s="18" t="n">
        <v>159.18</v>
      </c>
      <c r="K607" s="19" t="n">
        <v>30.84</v>
      </c>
      <c r="L607" s="15" t="n">
        <f aca="false">YEAR(B607)</f>
        <v>2023</v>
      </c>
      <c r="M607" s="20" t="n">
        <f aca="false">IF(J607&gt;0,K607/J607,0)</f>
        <v>0.193742932529212</v>
      </c>
    </row>
    <row r="608" customFormat="false" ht="15" hidden="false" customHeight="false" outlineLevel="0" collapsed="false">
      <c r="A608" s="15" t="s">
        <v>665</v>
      </c>
      <c r="B608" s="16" t="n">
        <v>44694</v>
      </c>
      <c r="C608" s="15" t="s">
        <v>56</v>
      </c>
      <c r="D608" s="15" t="s">
        <v>42</v>
      </c>
      <c r="E608" s="15" t="s">
        <v>36</v>
      </c>
      <c r="F608" s="15" t="s">
        <v>17</v>
      </c>
      <c r="G608" s="15" t="s">
        <v>29</v>
      </c>
      <c r="H608" s="15" t="n">
        <v>4</v>
      </c>
      <c r="I608" s="17" t="n">
        <v>0.2</v>
      </c>
      <c r="J608" s="18" t="n">
        <v>63.98</v>
      </c>
      <c r="K608" s="19" t="n">
        <v>11.47</v>
      </c>
      <c r="L608" s="15" t="n">
        <f aca="false">YEAR(B608)</f>
        <v>2022</v>
      </c>
      <c r="M608" s="20" t="n">
        <f aca="false">IF(J608&gt;0,K608/J608,0)</f>
        <v>0.179274773366677</v>
      </c>
    </row>
    <row r="609" customFormat="false" ht="15" hidden="false" customHeight="false" outlineLevel="0" collapsed="false">
      <c r="A609" s="15" t="s">
        <v>666</v>
      </c>
      <c r="B609" s="16" t="n">
        <v>45369</v>
      </c>
      <c r="C609" s="15" t="s">
        <v>71</v>
      </c>
      <c r="D609" s="15" t="s">
        <v>43</v>
      </c>
      <c r="E609" s="15" t="s">
        <v>38</v>
      </c>
      <c r="F609" s="15" t="s">
        <v>17</v>
      </c>
      <c r="G609" s="15" t="s">
        <v>29</v>
      </c>
      <c r="H609" s="15" t="n">
        <v>2</v>
      </c>
      <c r="I609" s="17" t="n">
        <v>0.3</v>
      </c>
      <c r="J609" s="18" t="n">
        <v>21.38</v>
      </c>
      <c r="K609" s="19" t="n">
        <v>3.01</v>
      </c>
      <c r="L609" s="15" t="n">
        <f aca="false">YEAR(B609)</f>
        <v>2024</v>
      </c>
      <c r="M609" s="20" t="n">
        <f aca="false">IF(J609&gt;0,K609/J609,0)</f>
        <v>0.140785781103835</v>
      </c>
    </row>
    <row r="610" customFormat="false" ht="15" hidden="false" customHeight="false" outlineLevel="0" collapsed="false">
      <c r="A610" s="15" t="s">
        <v>667</v>
      </c>
      <c r="B610" s="16" t="n">
        <v>45624</v>
      </c>
      <c r="C610" s="15" t="s">
        <v>56</v>
      </c>
      <c r="D610" s="15" t="s">
        <v>44</v>
      </c>
      <c r="E610" s="15" t="s">
        <v>36</v>
      </c>
      <c r="F610" s="15" t="s">
        <v>17</v>
      </c>
      <c r="G610" s="15" t="s">
        <v>28</v>
      </c>
      <c r="H610" s="15" t="n">
        <v>4</v>
      </c>
      <c r="I610" s="17" t="n">
        <v>0.15</v>
      </c>
      <c r="J610" s="18" t="n">
        <v>102.77</v>
      </c>
      <c r="K610" s="19" t="n">
        <v>18.33</v>
      </c>
      <c r="L610" s="15" t="n">
        <f aca="false">YEAR(B610)</f>
        <v>2024</v>
      </c>
      <c r="M610" s="20" t="n">
        <f aca="false">IF(J610&gt;0,K610/J610,0)</f>
        <v>0.17835944341734</v>
      </c>
    </row>
    <row r="611" customFormat="false" ht="15" hidden="false" customHeight="false" outlineLevel="0" collapsed="false">
      <c r="A611" s="15" t="s">
        <v>668</v>
      </c>
      <c r="B611" s="16" t="n">
        <v>45321</v>
      </c>
      <c r="C611" s="15" t="s">
        <v>56</v>
      </c>
      <c r="D611" s="15" t="s">
        <v>42</v>
      </c>
      <c r="E611" s="15" t="s">
        <v>38</v>
      </c>
      <c r="F611" s="15" t="s">
        <v>18</v>
      </c>
      <c r="G611" s="15" t="s">
        <v>32</v>
      </c>
      <c r="H611" s="15" t="n">
        <v>4</v>
      </c>
      <c r="I611" s="17" t="n">
        <v>0.1</v>
      </c>
      <c r="J611" s="18" t="n">
        <v>1336.6</v>
      </c>
      <c r="K611" s="19" t="n">
        <v>135.38</v>
      </c>
      <c r="L611" s="15" t="n">
        <f aca="false">YEAR(B611)</f>
        <v>2024</v>
      </c>
      <c r="M611" s="20" t="n">
        <f aca="false">IF(J611&gt;0,K611/J611,0)</f>
        <v>0.1012868472243</v>
      </c>
    </row>
    <row r="612" customFormat="false" ht="15" hidden="false" customHeight="false" outlineLevel="0" collapsed="false">
      <c r="A612" s="15" t="s">
        <v>669</v>
      </c>
      <c r="B612" s="16" t="n">
        <v>45205</v>
      </c>
      <c r="C612" s="15" t="s">
        <v>68</v>
      </c>
      <c r="D612" s="15" t="s">
        <v>42</v>
      </c>
      <c r="E612" s="15" t="s">
        <v>38</v>
      </c>
      <c r="F612" s="15" t="s">
        <v>18</v>
      </c>
      <c r="G612" s="15" t="s">
        <v>30</v>
      </c>
      <c r="H612" s="15" t="n">
        <v>5</v>
      </c>
      <c r="I612" s="17" t="n">
        <v>0.15</v>
      </c>
      <c r="J612" s="18" t="n">
        <v>154.33</v>
      </c>
      <c r="K612" s="19" t="n">
        <v>28.68</v>
      </c>
      <c r="L612" s="15" t="n">
        <f aca="false">YEAR(B612)</f>
        <v>2023</v>
      </c>
      <c r="M612" s="20" t="n">
        <f aca="false">IF(J612&gt;0,K612/J612,0)</f>
        <v>0.185835547204043</v>
      </c>
    </row>
    <row r="613" customFormat="false" ht="15" hidden="false" customHeight="false" outlineLevel="0" collapsed="false">
      <c r="A613" s="15" t="s">
        <v>670</v>
      </c>
      <c r="B613" s="16" t="n">
        <v>44996</v>
      </c>
      <c r="C613" s="15" t="s">
        <v>71</v>
      </c>
      <c r="D613" s="15" t="s">
        <v>42</v>
      </c>
      <c r="E613" s="15" t="s">
        <v>38</v>
      </c>
      <c r="F613" s="15" t="s">
        <v>18</v>
      </c>
      <c r="G613" s="15" t="s">
        <v>30</v>
      </c>
      <c r="H613" s="15" t="n">
        <v>2</v>
      </c>
      <c r="I613" s="17" t="n">
        <v>0.3</v>
      </c>
      <c r="J613" s="18" t="n">
        <v>52.3</v>
      </c>
      <c r="K613" s="19" t="n">
        <v>-0.06</v>
      </c>
      <c r="L613" s="15" t="n">
        <f aca="false">YEAR(B613)</f>
        <v>2023</v>
      </c>
      <c r="M613" s="20" t="n">
        <f aca="false">IF(J613&gt;0,K613/J613,0)</f>
        <v>-0.0011472275334608</v>
      </c>
    </row>
    <row r="614" customFormat="false" ht="15" hidden="false" customHeight="false" outlineLevel="0" collapsed="false">
      <c r="A614" s="15" t="s">
        <v>671</v>
      </c>
      <c r="B614" s="16" t="n">
        <v>45298</v>
      </c>
      <c r="C614" s="15" t="s">
        <v>56</v>
      </c>
      <c r="D614" s="15" t="s">
        <v>42</v>
      </c>
      <c r="E614" s="15" t="s">
        <v>36</v>
      </c>
      <c r="F614" s="15" t="s">
        <v>16</v>
      </c>
      <c r="G614" s="15" t="s">
        <v>25</v>
      </c>
      <c r="H614" s="15" t="n">
        <v>3</v>
      </c>
      <c r="I614" s="17" t="n">
        <v>0</v>
      </c>
      <c r="J614" s="18" t="n">
        <v>829.79</v>
      </c>
      <c r="K614" s="19" t="n">
        <v>113.39</v>
      </c>
      <c r="L614" s="15" t="n">
        <f aca="false">YEAR(B614)</f>
        <v>2024</v>
      </c>
      <c r="M614" s="20" t="n">
        <f aca="false">IF(J614&gt;0,K614/J614,0)</f>
        <v>0.136649031682715</v>
      </c>
    </row>
    <row r="615" customFormat="false" ht="15" hidden="false" customHeight="false" outlineLevel="0" collapsed="false">
      <c r="A615" s="15" t="s">
        <v>672</v>
      </c>
      <c r="B615" s="16" t="n">
        <v>45153</v>
      </c>
      <c r="C615" s="15" t="s">
        <v>71</v>
      </c>
      <c r="D615" s="15" t="s">
        <v>42</v>
      </c>
      <c r="E615" s="15" t="s">
        <v>36</v>
      </c>
      <c r="F615" s="15" t="s">
        <v>16</v>
      </c>
      <c r="G615" s="15" t="s">
        <v>23</v>
      </c>
      <c r="H615" s="15" t="n">
        <v>5</v>
      </c>
      <c r="I615" s="17" t="n">
        <v>0.1</v>
      </c>
      <c r="J615" s="18" t="n">
        <v>1440.93</v>
      </c>
      <c r="K615" s="19" t="n">
        <v>-109.23</v>
      </c>
      <c r="L615" s="15" t="n">
        <f aca="false">YEAR(B615)</f>
        <v>2023</v>
      </c>
      <c r="M615" s="20" t="n">
        <f aca="false">IF(J615&gt;0,K615/J615,0)</f>
        <v>-0.0758052091357665</v>
      </c>
    </row>
    <row r="616" customFormat="false" ht="15" hidden="false" customHeight="false" outlineLevel="0" collapsed="false">
      <c r="A616" s="15" t="s">
        <v>673</v>
      </c>
      <c r="B616" s="16" t="n">
        <v>45596</v>
      </c>
      <c r="C616" s="15" t="s">
        <v>56</v>
      </c>
      <c r="D616" s="15" t="s">
        <v>43</v>
      </c>
      <c r="E616" s="15" t="s">
        <v>37</v>
      </c>
      <c r="F616" s="15" t="s">
        <v>18</v>
      </c>
      <c r="G616" s="15" t="s">
        <v>32</v>
      </c>
      <c r="H616" s="15" t="n">
        <v>9</v>
      </c>
      <c r="I616" s="17" t="n">
        <v>0</v>
      </c>
      <c r="J616" s="18" t="n">
        <v>3932.91</v>
      </c>
      <c r="K616" s="19" t="n">
        <v>507.2</v>
      </c>
      <c r="L616" s="15" t="n">
        <f aca="false">YEAR(B616)</f>
        <v>2024</v>
      </c>
      <c r="M616" s="20" t="n">
        <f aca="false">IF(J616&gt;0,K616/J616,0)</f>
        <v>0.128963032461968</v>
      </c>
    </row>
    <row r="617" customFormat="false" ht="15" hidden="false" customHeight="false" outlineLevel="0" collapsed="false">
      <c r="A617" s="15" t="s">
        <v>674</v>
      </c>
      <c r="B617" s="16" t="n">
        <v>45623</v>
      </c>
      <c r="C617" s="15" t="s">
        <v>71</v>
      </c>
      <c r="D617" s="15" t="s">
        <v>42</v>
      </c>
      <c r="E617" s="15" t="s">
        <v>36</v>
      </c>
      <c r="F617" s="15" t="s">
        <v>16</v>
      </c>
      <c r="G617" s="15" t="s">
        <v>27</v>
      </c>
      <c r="H617" s="15" t="n">
        <v>4</v>
      </c>
      <c r="I617" s="17" t="n">
        <v>0</v>
      </c>
      <c r="J617" s="18" t="n">
        <v>260.96</v>
      </c>
      <c r="K617" s="19" t="n">
        <v>69.16</v>
      </c>
      <c r="L617" s="15" t="n">
        <f aca="false">YEAR(B617)</f>
        <v>2024</v>
      </c>
      <c r="M617" s="20" t="n">
        <f aca="false">IF(J617&gt;0,K617/J617,0)</f>
        <v>0.265021459227468</v>
      </c>
    </row>
    <row r="618" customFormat="false" ht="15" hidden="false" customHeight="false" outlineLevel="0" collapsed="false">
      <c r="A618" s="15" t="s">
        <v>675</v>
      </c>
      <c r="B618" s="16" t="n">
        <v>45084</v>
      </c>
      <c r="C618" s="15" t="s">
        <v>56</v>
      </c>
      <c r="D618" s="15" t="s">
        <v>42</v>
      </c>
      <c r="E618" s="15" t="s">
        <v>37</v>
      </c>
      <c r="F618" s="15" t="s">
        <v>17</v>
      </c>
      <c r="G618" s="15" t="s">
        <v>29</v>
      </c>
      <c r="H618" s="15" t="n">
        <v>4</v>
      </c>
      <c r="I618" s="17" t="n">
        <v>0.1</v>
      </c>
      <c r="J618" s="18" t="n">
        <v>67.43</v>
      </c>
      <c r="K618" s="19" t="n">
        <v>17.64</v>
      </c>
      <c r="L618" s="15" t="n">
        <f aca="false">YEAR(B618)</f>
        <v>2023</v>
      </c>
      <c r="M618" s="20" t="n">
        <f aca="false">IF(J618&gt;0,K618/J618,0)</f>
        <v>0.261604627020614</v>
      </c>
    </row>
    <row r="619" customFormat="false" ht="15" hidden="false" customHeight="false" outlineLevel="0" collapsed="false">
      <c r="A619" s="15" t="s">
        <v>676</v>
      </c>
      <c r="B619" s="16" t="n">
        <v>44653</v>
      </c>
      <c r="C619" s="15" t="s">
        <v>56</v>
      </c>
      <c r="D619" s="15" t="s">
        <v>44</v>
      </c>
      <c r="E619" s="15" t="s">
        <v>36</v>
      </c>
      <c r="F619" s="15" t="s">
        <v>16</v>
      </c>
      <c r="G619" s="15" t="s">
        <v>27</v>
      </c>
      <c r="H619" s="15" t="n">
        <v>4</v>
      </c>
      <c r="I619" s="17" t="n">
        <v>0.2</v>
      </c>
      <c r="J619" s="18" t="n">
        <v>191.83</v>
      </c>
      <c r="K619" s="19" t="n">
        <v>6.89</v>
      </c>
      <c r="L619" s="15" t="n">
        <f aca="false">YEAR(B619)</f>
        <v>2022</v>
      </c>
      <c r="M619" s="20" t="n">
        <f aca="false">IF(J619&gt;0,K619/J619,0)</f>
        <v>0.0359172183704322</v>
      </c>
    </row>
    <row r="620" customFormat="false" ht="15" hidden="false" customHeight="false" outlineLevel="0" collapsed="false">
      <c r="A620" s="15" t="s">
        <v>677</v>
      </c>
      <c r="B620" s="16" t="n">
        <v>45252</v>
      </c>
      <c r="C620" s="15" t="s">
        <v>58</v>
      </c>
      <c r="D620" s="15" t="s">
        <v>42</v>
      </c>
      <c r="E620" s="15" t="s">
        <v>38</v>
      </c>
      <c r="F620" s="15" t="s">
        <v>16</v>
      </c>
      <c r="G620" s="15" t="s">
        <v>27</v>
      </c>
      <c r="H620" s="15" t="n">
        <v>3</v>
      </c>
      <c r="I620" s="17" t="n">
        <v>0.1</v>
      </c>
      <c r="J620" s="18" t="n">
        <v>152.04</v>
      </c>
      <c r="K620" s="19" t="n">
        <v>9.17</v>
      </c>
      <c r="L620" s="15" t="n">
        <f aca="false">YEAR(B620)</f>
        <v>2023</v>
      </c>
      <c r="M620" s="20" t="n">
        <f aca="false">IF(J620&gt;0,K620/J620,0)</f>
        <v>0.0603130755064457</v>
      </c>
    </row>
    <row r="621" customFormat="false" ht="15" hidden="false" customHeight="false" outlineLevel="0" collapsed="false">
      <c r="A621" s="15" t="s">
        <v>678</v>
      </c>
      <c r="B621" s="16" t="n">
        <v>44714</v>
      </c>
      <c r="C621" s="15" t="s">
        <v>56</v>
      </c>
      <c r="D621" s="15" t="s">
        <v>42</v>
      </c>
      <c r="E621" s="15" t="s">
        <v>37</v>
      </c>
      <c r="F621" s="15" t="s">
        <v>17</v>
      </c>
      <c r="G621" s="15" t="s">
        <v>29</v>
      </c>
      <c r="H621" s="15" t="n">
        <v>4</v>
      </c>
      <c r="I621" s="17" t="n">
        <v>0</v>
      </c>
      <c r="J621" s="18" t="n">
        <v>55.43</v>
      </c>
      <c r="K621" s="19" t="n">
        <v>19.8</v>
      </c>
      <c r="L621" s="15" t="n">
        <f aca="false">YEAR(B621)</f>
        <v>2022</v>
      </c>
      <c r="M621" s="20" t="n">
        <f aca="false">IF(J621&gt;0,K621/J621,0)</f>
        <v>0.357207288471947</v>
      </c>
    </row>
    <row r="622" customFormat="false" ht="15" hidden="false" customHeight="false" outlineLevel="0" collapsed="false">
      <c r="A622" s="15" t="s">
        <v>679</v>
      </c>
      <c r="B622" s="16" t="n">
        <v>45152</v>
      </c>
      <c r="C622" s="15" t="s">
        <v>56</v>
      </c>
      <c r="D622" s="15" t="s">
        <v>42</v>
      </c>
      <c r="E622" s="15" t="s">
        <v>39</v>
      </c>
      <c r="F622" s="15" t="s">
        <v>17</v>
      </c>
      <c r="G622" s="15" t="s">
        <v>26</v>
      </c>
      <c r="H622" s="15" t="n">
        <v>3</v>
      </c>
      <c r="I622" s="17" t="n">
        <v>0</v>
      </c>
      <c r="J622" s="18" t="n">
        <v>217.23</v>
      </c>
      <c r="K622" s="19" t="n">
        <v>28.56</v>
      </c>
      <c r="L622" s="15" t="n">
        <f aca="false">YEAR(B622)</f>
        <v>2023</v>
      </c>
      <c r="M622" s="20" t="n">
        <f aca="false">IF(J622&gt;0,K622/J622,0)</f>
        <v>0.131473553376605</v>
      </c>
    </row>
    <row r="623" customFormat="false" ht="15" hidden="false" customHeight="false" outlineLevel="0" collapsed="false">
      <c r="A623" s="15" t="s">
        <v>680</v>
      </c>
      <c r="B623" s="16" t="n">
        <v>45393</v>
      </c>
      <c r="C623" s="15" t="s">
        <v>68</v>
      </c>
      <c r="D623" s="15" t="s">
        <v>42</v>
      </c>
      <c r="E623" s="15" t="s">
        <v>37</v>
      </c>
      <c r="F623" s="15" t="s">
        <v>18</v>
      </c>
      <c r="G623" s="15" t="s">
        <v>30</v>
      </c>
      <c r="H623" s="15" t="n">
        <v>2</v>
      </c>
      <c r="I623" s="17" t="n">
        <v>0</v>
      </c>
      <c r="J623" s="18" t="n">
        <v>98.9</v>
      </c>
      <c r="K623" s="19" t="n">
        <v>32</v>
      </c>
      <c r="L623" s="15" t="n">
        <f aca="false">YEAR(B623)</f>
        <v>2024</v>
      </c>
      <c r="M623" s="20" t="n">
        <f aca="false">IF(J623&gt;0,K623/J623,0)</f>
        <v>0.32355915065723</v>
      </c>
    </row>
    <row r="624" customFormat="false" ht="15" hidden="false" customHeight="false" outlineLevel="0" collapsed="false">
      <c r="A624" s="15" t="s">
        <v>681</v>
      </c>
      <c r="B624" s="16" t="n">
        <v>44742</v>
      </c>
      <c r="C624" s="15" t="s">
        <v>56</v>
      </c>
      <c r="D624" s="15" t="s">
        <v>43</v>
      </c>
      <c r="E624" s="15" t="s">
        <v>39</v>
      </c>
      <c r="F624" s="15" t="s">
        <v>18</v>
      </c>
      <c r="G624" s="15" t="s">
        <v>32</v>
      </c>
      <c r="H624" s="15" t="n">
        <v>7</v>
      </c>
      <c r="I624" s="17" t="n">
        <v>0</v>
      </c>
      <c r="J624" s="18" t="n">
        <v>3194.09</v>
      </c>
      <c r="K624" s="19" t="n">
        <v>627.84</v>
      </c>
      <c r="L624" s="15" t="n">
        <f aca="false">YEAR(B624)</f>
        <v>2022</v>
      </c>
      <c r="M624" s="20" t="n">
        <f aca="false">IF(J624&gt;0,K624/J624,0)</f>
        <v>0.196563027341121</v>
      </c>
    </row>
    <row r="625" customFormat="false" ht="15" hidden="false" customHeight="false" outlineLevel="0" collapsed="false">
      <c r="A625" s="15" t="s">
        <v>682</v>
      </c>
      <c r="B625" s="16" t="n">
        <v>45438</v>
      </c>
      <c r="C625" s="15" t="s">
        <v>56</v>
      </c>
      <c r="D625" s="15" t="s">
        <v>42</v>
      </c>
      <c r="E625" s="15" t="s">
        <v>38</v>
      </c>
      <c r="F625" s="15" t="s">
        <v>16</v>
      </c>
      <c r="G625" s="15" t="s">
        <v>23</v>
      </c>
      <c r="H625" s="15" t="n">
        <v>2</v>
      </c>
      <c r="I625" s="17" t="n">
        <v>0.2</v>
      </c>
      <c r="J625" s="18" t="n">
        <v>463.97</v>
      </c>
      <c r="K625" s="19" t="n">
        <v>-87.65</v>
      </c>
      <c r="L625" s="15" t="n">
        <f aca="false">YEAR(B625)</f>
        <v>2024</v>
      </c>
      <c r="M625" s="20" t="n">
        <f aca="false">IF(J625&gt;0,K625/J625,0)</f>
        <v>-0.188913076276483</v>
      </c>
    </row>
    <row r="626" customFormat="false" ht="15" hidden="false" customHeight="false" outlineLevel="0" collapsed="false">
      <c r="A626" s="15" t="s">
        <v>683</v>
      </c>
      <c r="B626" s="16" t="n">
        <v>45186</v>
      </c>
      <c r="C626" s="15" t="s">
        <v>56</v>
      </c>
      <c r="D626" s="15" t="s">
        <v>42</v>
      </c>
      <c r="E626" s="15" t="s">
        <v>38</v>
      </c>
      <c r="F626" s="15" t="s">
        <v>17</v>
      </c>
      <c r="G626" s="15" t="s">
        <v>28</v>
      </c>
      <c r="H626" s="15" t="n">
        <v>2</v>
      </c>
      <c r="I626" s="17" t="n">
        <v>0.4</v>
      </c>
      <c r="J626" s="18" t="n">
        <v>26.58</v>
      </c>
      <c r="K626" s="19" t="n">
        <v>-0.26</v>
      </c>
      <c r="L626" s="15" t="n">
        <f aca="false">YEAR(B626)</f>
        <v>2023</v>
      </c>
      <c r="M626" s="20" t="n">
        <f aca="false">IF(J626&gt;0,K626/J626,0)</f>
        <v>-0.00978179082016554</v>
      </c>
    </row>
    <row r="627" customFormat="false" ht="15" hidden="false" customHeight="false" outlineLevel="0" collapsed="false">
      <c r="A627" s="15" t="s">
        <v>684</v>
      </c>
      <c r="B627" s="16" t="n">
        <v>44741</v>
      </c>
      <c r="C627" s="15" t="s">
        <v>56</v>
      </c>
      <c r="D627" s="15" t="s">
        <v>44</v>
      </c>
      <c r="E627" s="15" t="s">
        <v>38</v>
      </c>
      <c r="F627" s="15" t="s">
        <v>16</v>
      </c>
      <c r="G627" s="15" t="s">
        <v>25</v>
      </c>
      <c r="H627" s="15" t="n">
        <v>3</v>
      </c>
      <c r="I627" s="17" t="n">
        <v>0</v>
      </c>
      <c r="J627" s="18" t="n">
        <v>788.74</v>
      </c>
      <c r="K627" s="19" t="n">
        <v>137.71</v>
      </c>
      <c r="L627" s="15" t="n">
        <f aca="false">YEAR(B627)</f>
        <v>2022</v>
      </c>
      <c r="M627" s="20" t="n">
        <f aca="false">IF(J627&gt;0,K627/J627,0)</f>
        <v>0.174594923548952</v>
      </c>
    </row>
    <row r="628" customFormat="false" ht="15" hidden="false" customHeight="false" outlineLevel="0" collapsed="false">
      <c r="A628" s="15" t="s">
        <v>685</v>
      </c>
      <c r="B628" s="16" t="n">
        <v>45646</v>
      </c>
      <c r="C628" s="15" t="s">
        <v>71</v>
      </c>
      <c r="D628" s="15" t="s">
        <v>43</v>
      </c>
      <c r="E628" s="15" t="s">
        <v>37</v>
      </c>
      <c r="F628" s="15" t="s">
        <v>17</v>
      </c>
      <c r="G628" s="15" t="s">
        <v>29</v>
      </c>
      <c r="H628" s="15" t="n">
        <v>6</v>
      </c>
      <c r="I628" s="17" t="n">
        <v>0</v>
      </c>
      <c r="J628" s="18" t="n">
        <v>121.56</v>
      </c>
      <c r="K628" s="19" t="n">
        <v>43.29</v>
      </c>
      <c r="L628" s="15" t="n">
        <f aca="false">YEAR(B628)</f>
        <v>2024</v>
      </c>
      <c r="M628" s="20" t="n">
        <f aca="false">IF(J628&gt;0,K628/J628,0)</f>
        <v>0.356120434353406</v>
      </c>
    </row>
    <row r="629" customFormat="false" ht="15" hidden="false" customHeight="false" outlineLevel="0" collapsed="false">
      <c r="A629" s="15" t="s">
        <v>686</v>
      </c>
      <c r="B629" s="16" t="n">
        <v>45617</v>
      </c>
      <c r="C629" s="15" t="s">
        <v>56</v>
      </c>
      <c r="D629" s="15" t="s">
        <v>42</v>
      </c>
      <c r="E629" s="15" t="s">
        <v>37</v>
      </c>
      <c r="F629" s="15" t="s">
        <v>17</v>
      </c>
      <c r="G629" s="15" t="s">
        <v>29</v>
      </c>
      <c r="H629" s="15" t="n">
        <v>4</v>
      </c>
      <c r="I629" s="17" t="n">
        <v>0</v>
      </c>
      <c r="J629" s="18" t="n">
        <v>80.24</v>
      </c>
      <c r="K629" s="19" t="n">
        <v>32.43</v>
      </c>
      <c r="L629" s="15" t="n">
        <f aca="false">YEAR(B629)</f>
        <v>2024</v>
      </c>
      <c r="M629" s="20" t="n">
        <f aca="false">IF(J629&gt;0,K629/J629,0)</f>
        <v>0.404162512462612</v>
      </c>
    </row>
    <row r="630" customFormat="false" ht="15" hidden="false" customHeight="false" outlineLevel="0" collapsed="false">
      <c r="A630" s="15" t="s">
        <v>687</v>
      </c>
      <c r="B630" s="16" t="n">
        <v>44933</v>
      </c>
      <c r="C630" s="15" t="s">
        <v>56</v>
      </c>
      <c r="D630" s="15" t="s">
        <v>42</v>
      </c>
      <c r="E630" s="15" t="s">
        <v>39</v>
      </c>
      <c r="F630" s="15" t="s">
        <v>18</v>
      </c>
      <c r="G630" s="15" t="s">
        <v>30</v>
      </c>
      <c r="H630" s="15" t="n">
        <v>4</v>
      </c>
      <c r="I630" s="17" t="n">
        <v>0.1</v>
      </c>
      <c r="J630" s="18" t="n">
        <v>182.36</v>
      </c>
      <c r="K630" s="19" t="n">
        <v>42.32</v>
      </c>
      <c r="L630" s="15" t="n">
        <f aca="false">YEAR(B630)</f>
        <v>2023</v>
      </c>
      <c r="M630" s="20" t="n">
        <f aca="false">IF(J630&gt;0,K630/J630,0)</f>
        <v>0.23206843606054</v>
      </c>
    </row>
    <row r="631" customFormat="false" ht="15" hidden="false" customHeight="false" outlineLevel="0" collapsed="false">
      <c r="A631" s="15" t="s">
        <v>688</v>
      </c>
      <c r="B631" s="16" t="n">
        <v>45270</v>
      </c>
      <c r="C631" s="15" t="s">
        <v>56</v>
      </c>
      <c r="D631" s="15" t="s">
        <v>44</v>
      </c>
      <c r="E631" s="15" t="s">
        <v>37</v>
      </c>
      <c r="F631" s="15" t="s">
        <v>17</v>
      </c>
      <c r="G631" s="15" t="s">
        <v>29</v>
      </c>
      <c r="H631" s="15" t="n">
        <v>3</v>
      </c>
      <c r="I631" s="17" t="n">
        <v>0.1</v>
      </c>
      <c r="J631" s="18" t="n">
        <v>47.07</v>
      </c>
      <c r="K631" s="19" t="n">
        <v>16.22</v>
      </c>
      <c r="L631" s="15" t="n">
        <f aca="false">YEAR(B631)</f>
        <v>2023</v>
      </c>
      <c r="M631" s="20" t="n">
        <f aca="false">IF(J631&gt;0,K631/J631,0)</f>
        <v>0.344593159124708</v>
      </c>
    </row>
    <row r="632" customFormat="false" ht="15" hidden="false" customHeight="false" outlineLevel="0" collapsed="false">
      <c r="A632" s="15" t="s">
        <v>689</v>
      </c>
      <c r="B632" s="16" t="n">
        <v>44834</v>
      </c>
      <c r="C632" s="15" t="s">
        <v>68</v>
      </c>
      <c r="D632" s="15" t="s">
        <v>42</v>
      </c>
      <c r="E632" s="15" t="s">
        <v>37</v>
      </c>
      <c r="F632" s="15" t="s">
        <v>17</v>
      </c>
      <c r="G632" s="15" t="s">
        <v>26</v>
      </c>
      <c r="H632" s="15" t="n">
        <v>4</v>
      </c>
      <c r="I632" s="17" t="n">
        <v>0.15</v>
      </c>
      <c r="J632" s="18" t="n">
        <v>269.23</v>
      </c>
      <c r="K632" s="19" t="n">
        <v>1.93</v>
      </c>
      <c r="L632" s="15" t="n">
        <f aca="false">YEAR(B632)</f>
        <v>2022</v>
      </c>
      <c r="M632" s="20" t="n">
        <f aca="false">IF(J632&gt;0,K632/J632,0)</f>
        <v>0.0071685919102626</v>
      </c>
    </row>
    <row r="633" customFormat="false" ht="15" hidden="false" customHeight="false" outlineLevel="0" collapsed="false">
      <c r="A633" s="15" t="s">
        <v>690</v>
      </c>
      <c r="B633" s="16" t="n">
        <v>44802</v>
      </c>
      <c r="C633" s="15" t="s">
        <v>56</v>
      </c>
      <c r="D633" s="15" t="s">
        <v>42</v>
      </c>
      <c r="E633" s="15" t="s">
        <v>39</v>
      </c>
      <c r="F633" s="15" t="s">
        <v>17</v>
      </c>
      <c r="G633" s="15" t="s">
        <v>29</v>
      </c>
      <c r="H633" s="15" t="n">
        <v>5</v>
      </c>
      <c r="I633" s="17" t="n">
        <v>0</v>
      </c>
      <c r="J633" s="18" t="n">
        <v>87.24</v>
      </c>
      <c r="K633" s="19" t="n">
        <v>29.67</v>
      </c>
      <c r="L633" s="15" t="n">
        <f aca="false">YEAR(B633)</f>
        <v>2022</v>
      </c>
      <c r="M633" s="20" t="n">
        <f aca="false">IF(J633&gt;0,K633/J633,0)</f>
        <v>0.34009628610729</v>
      </c>
    </row>
    <row r="634" customFormat="false" ht="15" hidden="false" customHeight="false" outlineLevel="0" collapsed="false">
      <c r="A634" s="15" t="s">
        <v>691</v>
      </c>
      <c r="B634" s="16" t="n">
        <v>45374</v>
      </c>
      <c r="C634" s="15" t="s">
        <v>56</v>
      </c>
      <c r="D634" s="15" t="s">
        <v>42</v>
      </c>
      <c r="E634" s="15" t="s">
        <v>37</v>
      </c>
      <c r="F634" s="15" t="s">
        <v>17</v>
      </c>
      <c r="G634" s="15" t="s">
        <v>28</v>
      </c>
      <c r="H634" s="15" t="n">
        <v>8</v>
      </c>
      <c r="I634" s="17" t="n">
        <v>0.2</v>
      </c>
      <c r="J634" s="18" t="n">
        <v>158.26</v>
      </c>
      <c r="K634" s="19" t="n">
        <v>19.64</v>
      </c>
      <c r="L634" s="15" t="n">
        <f aca="false">YEAR(B634)</f>
        <v>2024</v>
      </c>
      <c r="M634" s="20" t="n">
        <f aca="false">IF(J634&gt;0,K634/J634,0)</f>
        <v>0.124099582964742</v>
      </c>
    </row>
    <row r="635" customFormat="false" ht="15" hidden="false" customHeight="false" outlineLevel="0" collapsed="false">
      <c r="A635" s="15" t="s">
        <v>692</v>
      </c>
      <c r="B635" s="16" t="n">
        <v>45873</v>
      </c>
      <c r="C635" s="15" t="s">
        <v>68</v>
      </c>
      <c r="D635" s="15" t="s">
        <v>42</v>
      </c>
      <c r="E635" s="15" t="s">
        <v>36</v>
      </c>
      <c r="F635" s="15" t="s">
        <v>18</v>
      </c>
      <c r="G635" s="15" t="s">
        <v>30</v>
      </c>
      <c r="H635" s="15" t="n">
        <v>5</v>
      </c>
      <c r="I635" s="17" t="n">
        <v>0.2</v>
      </c>
      <c r="J635" s="18" t="n">
        <v>138.6</v>
      </c>
      <c r="K635" s="19" t="n">
        <v>15.15</v>
      </c>
      <c r="L635" s="15" t="n">
        <f aca="false">YEAR(B635)</f>
        <v>2025</v>
      </c>
      <c r="M635" s="20" t="n">
        <f aca="false">IF(J635&gt;0,K635/J635,0)</f>
        <v>0.109307359307359</v>
      </c>
    </row>
    <row r="636" customFormat="false" ht="15" hidden="false" customHeight="false" outlineLevel="0" collapsed="false">
      <c r="A636" s="15" t="s">
        <v>693</v>
      </c>
      <c r="B636" s="16" t="n">
        <v>45569</v>
      </c>
      <c r="C636" s="15" t="s">
        <v>68</v>
      </c>
      <c r="D636" s="15" t="s">
        <v>42</v>
      </c>
      <c r="E636" s="15" t="s">
        <v>37</v>
      </c>
      <c r="F636" s="15" t="s">
        <v>16</v>
      </c>
      <c r="G636" s="15" t="s">
        <v>22</v>
      </c>
      <c r="H636" s="15" t="n">
        <v>2</v>
      </c>
      <c r="I636" s="17" t="n">
        <v>0</v>
      </c>
      <c r="J636" s="18" t="n">
        <v>1076.44</v>
      </c>
      <c r="K636" s="19" t="n">
        <v>-16.27</v>
      </c>
      <c r="L636" s="15" t="n">
        <f aca="false">YEAR(B636)</f>
        <v>2024</v>
      </c>
      <c r="M636" s="20" t="n">
        <f aca="false">IF(J636&gt;0,K636/J636,0)</f>
        <v>-0.0151146371372301</v>
      </c>
    </row>
    <row r="637" customFormat="false" ht="15" hidden="false" customHeight="false" outlineLevel="0" collapsed="false">
      <c r="A637" s="15" t="s">
        <v>694</v>
      </c>
      <c r="B637" s="16" t="n">
        <v>46021</v>
      </c>
      <c r="C637" s="15" t="s">
        <v>56</v>
      </c>
      <c r="D637" s="15" t="s">
        <v>44</v>
      </c>
      <c r="E637" s="15" t="s">
        <v>38</v>
      </c>
      <c r="F637" s="15" t="s">
        <v>17</v>
      </c>
      <c r="G637" s="15" t="s">
        <v>28</v>
      </c>
      <c r="H637" s="15" t="n">
        <v>2</v>
      </c>
      <c r="I637" s="17" t="n">
        <v>0.4</v>
      </c>
      <c r="J637" s="18" t="n">
        <v>28.17</v>
      </c>
      <c r="K637" s="19" t="n">
        <v>-1.12</v>
      </c>
      <c r="L637" s="15" t="n">
        <f aca="false">YEAR(B637)</f>
        <v>2025</v>
      </c>
      <c r="M637" s="20" t="n">
        <f aca="false">IF(J637&gt;0,K637/J637,0)</f>
        <v>-0.0397586084487043</v>
      </c>
    </row>
    <row r="638" customFormat="false" ht="15" hidden="false" customHeight="false" outlineLevel="0" collapsed="false">
      <c r="A638" s="15" t="s">
        <v>695</v>
      </c>
      <c r="B638" s="16" t="n">
        <v>45611</v>
      </c>
      <c r="C638" s="15" t="s">
        <v>56</v>
      </c>
      <c r="D638" s="15" t="s">
        <v>44</v>
      </c>
      <c r="E638" s="15" t="s">
        <v>39</v>
      </c>
      <c r="F638" s="15" t="s">
        <v>17</v>
      </c>
      <c r="G638" s="15" t="s">
        <v>26</v>
      </c>
      <c r="H638" s="15" t="n">
        <v>4</v>
      </c>
      <c r="I638" s="17" t="n">
        <v>0.05</v>
      </c>
      <c r="J638" s="18" t="n">
        <v>369.66</v>
      </c>
      <c r="K638" s="19" t="n">
        <v>24.53</v>
      </c>
      <c r="L638" s="15" t="n">
        <f aca="false">YEAR(B638)</f>
        <v>2024</v>
      </c>
      <c r="M638" s="20" t="n">
        <f aca="false">IF(J638&gt;0,K638/J638,0)</f>
        <v>0.0663582751717795</v>
      </c>
    </row>
    <row r="639" customFormat="false" ht="15" hidden="false" customHeight="false" outlineLevel="0" collapsed="false">
      <c r="A639" s="15" t="s">
        <v>696</v>
      </c>
      <c r="B639" s="16" t="n">
        <v>45832</v>
      </c>
      <c r="C639" s="15" t="s">
        <v>56</v>
      </c>
      <c r="D639" s="15" t="s">
        <v>43</v>
      </c>
      <c r="E639" s="15" t="s">
        <v>37</v>
      </c>
      <c r="F639" s="15" t="s">
        <v>17</v>
      </c>
      <c r="G639" s="15" t="s">
        <v>29</v>
      </c>
      <c r="H639" s="15" t="n">
        <v>4</v>
      </c>
      <c r="I639" s="17" t="n">
        <v>0.1</v>
      </c>
      <c r="J639" s="18" t="n">
        <v>73.31</v>
      </c>
      <c r="K639" s="19" t="n">
        <v>20.34</v>
      </c>
      <c r="L639" s="15" t="n">
        <f aca="false">YEAR(B639)</f>
        <v>2025</v>
      </c>
      <c r="M639" s="20" t="n">
        <f aca="false">IF(J639&gt;0,K639/J639,0)</f>
        <v>0.277451916518892</v>
      </c>
    </row>
    <row r="640" customFormat="false" ht="15" hidden="false" customHeight="false" outlineLevel="0" collapsed="false">
      <c r="A640" s="15" t="s">
        <v>697</v>
      </c>
      <c r="B640" s="16" t="n">
        <v>45510</v>
      </c>
      <c r="C640" s="15" t="s">
        <v>56</v>
      </c>
      <c r="D640" s="15" t="s">
        <v>42</v>
      </c>
      <c r="E640" s="15" t="s">
        <v>38</v>
      </c>
      <c r="F640" s="15" t="s">
        <v>16</v>
      </c>
      <c r="G640" s="15" t="s">
        <v>22</v>
      </c>
      <c r="H640" s="15" t="n">
        <v>5</v>
      </c>
      <c r="I640" s="17" t="n">
        <v>0.1</v>
      </c>
      <c r="J640" s="18" t="n">
        <v>1825.69</v>
      </c>
      <c r="K640" s="19" t="n">
        <v>-279.01</v>
      </c>
      <c r="L640" s="15" t="n">
        <f aca="false">YEAR(B640)</f>
        <v>2024</v>
      </c>
      <c r="M640" s="20" t="n">
        <f aca="false">IF(J640&gt;0,K640/J640,0)</f>
        <v>-0.152824411592329</v>
      </c>
    </row>
    <row r="641" customFormat="false" ht="15" hidden="false" customHeight="false" outlineLevel="0" collapsed="false">
      <c r="A641" s="15" t="s">
        <v>698</v>
      </c>
      <c r="B641" s="16" t="n">
        <v>45141</v>
      </c>
      <c r="C641" s="15" t="s">
        <v>56</v>
      </c>
      <c r="D641" s="15" t="s">
        <v>43</v>
      </c>
      <c r="E641" s="15" t="s">
        <v>39</v>
      </c>
      <c r="F641" s="15" t="s">
        <v>17</v>
      </c>
      <c r="G641" s="15" t="s">
        <v>31</v>
      </c>
      <c r="H641" s="15" t="n">
        <v>4</v>
      </c>
      <c r="I641" s="17" t="n">
        <v>0</v>
      </c>
      <c r="J641" s="18" t="n">
        <v>519.74</v>
      </c>
      <c r="K641" s="19" t="n">
        <v>102.74</v>
      </c>
      <c r="L641" s="15" t="n">
        <f aca="false">YEAR(B641)</f>
        <v>2023</v>
      </c>
      <c r="M641" s="20" t="n">
        <f aca="false">IF(J641&gt;0,K641/J641,0)</f>
        <v>0.197675760957402</v>
      </c>
    </row>
    <row r="642" customFormat="false" ht="15" hidden="false" customHeight="false" outlineLevel="0" collapsed="false">
      <c r="A642" s="15" t="s">
        <v>699</v>
      </c>
      <c r="B642" s="16" t="n">
        <v>44816</v>
      </c>
      <c r="C642" s="15" t="s">
        <v>56</v>
      </c>
      <c r="D642" s="15" t="s">
        <v>42</v>
      </c>
      <c r="E642" s="15" t="s">
        <v>37</v>
      </c>
      <c r="F642" s="15" t="s">
        <v>17</v>
      </c>
      <c r="G642" s="15" t="s">
        <v>26</v>
      </c>
      <c r="H642" s="15" t="n">
        <v>5</v>
      </c>
      <c r="I642" s="17" t="n">
        <v>0</v>
      </c>
      <c r="J642" s="18" t="n">
        <v>419.49</v>
      </c>
      <c r="K642" s="19" t="n">
        <v>51.84</v>
      </c>
      <c r="L642" s="15" t="n">
        <f aca="false">YEAR(B642)</f>
        <v>2022</v>
      </c>
      <c r="M642" s="20" t="n">
        <f aca="false">IF(J642&gt;0,K642/J642,0)</f>
        <v>0.123578631195023</v>
      </c>
    </row>
    <row r="643" customFormat="false" ht="15" hidden="false" customHeight="false" outlineLevel="0" collapsed="false">
      <c r="A643" s="15" t="s">
        <v>700</v>
      </c>
      <c r="B643" s="16" t="n">
        <v>45262</v>
      </c>
      <c r="C643" s="15" t="s">
        <v>68</v>
      </c>
      <c r="D643" s="15" t="s">
        <v>42</v>
      </c>
      <c r="E643" s="15" t="s">
        <v>37</v>
      </c>
      <c r="F643" s="15" t="s">
        <v>18</v>
      </c>
      <c r="G643" s="15" t="s">
        <v>30</v>
      </c>
      <c r="H643" s="15" t="n">
        <v>3</v>
      </c>
      <c r="I643" s="17" t="n">
        <v>0.1</v>
      </c>
      <c r="J643" s="18" t="n">
        <v>121.94</v>
      </c>
      <c r="K643" s="19" t="n">
        <v>28.75</v>
      </c>
      <c r="L643" s="15" t="n">
        <f aca="false">YEAR(B643)</f>
        <v>2023</v>
      </c>
      <c r="M643" s="20" t="n">
        <f aca="false">IF(J643&gt;0,K643/J643,0)</f>
        <v>0.235771690995572</v>
      </c>
    </row>
    <row r="644" customFormat="false" ht="15" hidden="false" customHeight="false" outlineLevel="0" collapsed="false">
      <c r="A644" s="15" t="s">
        <v>701</v>
      </c>
      <c r="B644" s="16" t="n">
        <v>45691</v>
      </c>
      <c r="C644" s="15" t="s">
        <v>71</v>
      </c>
      <c r="D644" s="15" t="s">
        <v>42</v>
      </c>
      <c r="E644" s="15" t="s">
        <v>39</v>
      </c>
      <c r="F644" s="15" t="s">
        <v>17</v>
      </c>
      <c r="G644" s="15" t="s">
        <v>29</v>
      </c>
      <c r="H644" s="15" t="n">
        <v>3</v>
      </c>
      <c r="I644" s="17" t="n">
        <v>0</v>
      </c>
      <c r="J644" s="18" t="n">
        <v>61.43</v>
      </c>
      <c r="K644" s="19" t="n">
        <v>26.52</v>
      </c>
      <c r="L644" s="15" t="n">
        <f aca="false">YEAR(B644)</f>
        <v>2025</v>
      </c>
      <c r="M644" s="20" t="n">
        <f aca="false">IF(J644&gt;0,K644/J644,0)</f>
        <v>0.431710890444408</v>
      </c>
    </row>
    <row r="645" customFormat="false" ht="15" hidden="false" customHeight="false" outlineLevel="0" collapsed="false">
      <c r="A645" s="15" t="s">
        <v>702</v>
      </c>
      <c r="B645" s="16" t="n">
        <v>45012</v>
      </c>
      <c r="C645" s="15" t="s">
        <v>56</v>
      </c>
      <c r="D645" s="15" t="s">
        <v>42</v>
      </c>
      <c r="E645" s="15" t="s">
        <v>37</v>
      </c>
      <c r="F645" s="15" t="s">
        <v>18</v>
      </c>
      <c r="G645" s="15" t="s">
        <v>30</v>
      </c>
      <c r="H645" s="15" t="n">
        <v>3</v>
      </c>
      <c r="I645" s="17" t="n">
        <v>0.15</v>
      </c>
      <c r="J645" s="18" t="n">
        <v>107.65</v>
      </c>
      <c r="K645" s="19" t="n">
        <v>26.61</v>
      </c>
      <c r="L645" s="15" t="n">
        <f aca="false">YEAR(B645)</f>
        <v>2023</v>
      </c>
      <c r="M645" s="20" t="n">
        <f aca="false">IF(J645&gt;0,K645/J645,0)</f>
        <v>0.247189967487227</v>
      </c>
    </row>
    <row r="646" customFormat="false" ht="15" hidden="false" customHeight="false" outlineLevel="0" collapsed="false">
      <c r="A646" s="15" t="s">
        <v>703</v>
      </c>
      <c r="B646" s="16" t="n">
        <v>45530</v>
      </c>
      <c r="C646" s="15" t="s">
        <v>56</v>
      </c>
      <c r="D646" s="15" t="s">
        <v>43</v>
      </c>
      <c r="E646" s="15" t="s">
        <v>38</v>
      </c>
      <c r="F646" s="15" t="s">
        <v>17</v>
      </c>
      <c r="G646" s="15" t="s">
        <v>28</v>
      </c>
      <c r="H646" s="15" t="n">
        <v>2</v>
      </c>
      <c r="I646" s="17" t="n">
        <v>0.2</v>
      </c>
      <c r="J646" s="18" t="n">
        <v>39.74</v>
      </c>
      <c r="K646" s="19" t="n">
        <v>4.9</v>
      </c>
      <c r="L646" s="15" t="n">
        <f aca="false">YEAR(B646)</f>
        <v>2024</v>
      </c>
      <c r="M646" s="20" t="n">
        <f aca="false">IF(J646&gt;0,K646/J646,0)</f>
        <v>0.123301459486663</v>
      </c>
    </row>
    <row r="647" customFormat="false" ht="15" hidden="false" customHeight="false" outlineLevel="0" collapsed="false">
      <c r="A647" s="15" t="s">
        <v>704</v>
      </c>
      <c r="B647" s="16" t="n">
        <v>44819</v>
      </c>
      <c r="C647" s="15" t="s">
        <v>56</v>
      </c>
      <c r="D647" s="15" t="s">
        <v>42</v>
      </c>
      <c r="E647" s="15" t="s">
        <v>36</v>
      </c>
      <c r="F647" s="15" t="s">
        <v>16</v>
      </c>
      <c r="G647" s="15" t="s">
        <v>22</v>
      </c>
      <c r="H647" s="15" t="n">
        <v>2</v>
      </c>
      <c r="I647" s="17" t="n">
        <v>0.05</v>
      </c>
      <c r="J647" s="18" t="n">
        <v>828.95</v>
      </c>
      <c r="K647" s="19" t="n">
        <v>-144.2</v>
      </c>
      <c r="L647" s="15" t="n">
        <f aca="false">YEAR(B647)</f>
        <v>2022</v>
      </c>
      <c r="M647" s="20" t="n">
        <f aca="false">IF(J647&gt;0,K647/J647,0)</f>
        <v>-0.17395500331745</v>
      </c>
    </row>
    <row r="648" customFormat="false" ht="15" hidden="false" customHeight="false" outlineLevel="0" collapsed="false">
      <c r="A648" s="15" t="s">
        <v>705</v>
      </c>
      <c r="B648" s="16" t="n">
        <v>45534</v>
      </c>
      <c r="C648" s="15" t="s">
        <v>68</v>
      </c>
      <c r="D648" s="15" t="s">
        <v>44</v>
      </c>
      <c r="E648" s="15" t="s">
        <v>39</v>
      </c>
      <c r="F648" s="15" t="s">
        <v>18</v>
      </c>
      <c r="G648" s="15" t="s">
        <v>30</v>
      </c>
      <c r="H648" s="15" t="n">
        <v>5</v>
      </c>
      <c r="I648" s="17" t="n">
        <v>0</v>
      </c>
      <c r="J648" s="18" t="n">
        <v>267.62</v>
      </c>
      <c r="K648" s="19" t="n">
        <v>102.39</v>
      </c>
      <c r="L648" s="15" t="n">
        <f aca="false">YEAR(B648)</f>
        <v>2024</v>
      </c>
      <c r="M648" s="20" t="n">
        <f aca="false">IF(J648&gt;0,K648/J648,0)</f>
        <v>0.382594723862193</v>
      </c>
    </row>
    <row r="649" customFormat="false" ht="15" hidden="false" customHeight="false" outlineLevel="0" collapsed="false">
      <c r="A649" s="15" t="s">
        <v>706</v>
      </c>
      <c r="B649" s="16" t="n">
        <v>45519</v>
      </c>
      <c r="C649" s="15" t="s">
        <v>56</v>
      </c>
      <c r="D649" s="15" t="s">
        <v>43</v>
      </c>
      <c r="E649" s="15" t="s">
        <v>37</v>
      </c>
      <c r="F649" s="15" t="s">
        <v>18</v>
      </c>
      <c r="G649" s="15" t="s">
        <v>30</v>
      </c>
      <c r="H649" s="15" t="n">
        <v>8</v>
      </c>
      <c r="I649" s="17" t="n">
        <v>0.2</v>
      </c>
      <c r="J649" s="18" t="n">
        <v>275.02</v>
      </c>
      <c r="K649" s="19" t="n">
        <v>44.06</v>
      </c>
      <c r="L649" s="15" t="n">
        <f aca="false">YEAR(B649)</f>
        <v>2024</v>
      </c>
      <c r="M649" s="20" t="n">
        <f aca="false">IF(J649&gt;0,K649/J649,0)</f>
        <v>0.16020653043415</v>
      </c>
    </row>
    <row r="650" customFormat="false" ht="15" hidden="false" customHeight="false" outlineLevel="0" collapsed="false">
      <c r="A650" s="15" t="s">
        <v>707</v>
      </c>
      <c r="B650" s="16" t="n">
        <v>45136</v>
      </c>
      <c r="C650" s="15" t="s">
        <v>56</v>
      </c>
      <c r="D650" s="15" t="s">
        <v>42</v>
      </c>
      <c r="E650" s="15" t="s">
        <v>37</v>
      </c>
      <c r="F650" s="15" t="s">
        <v>18</v>
      </c>
      <c r="G650" s="15" t="s">
        <v>30</v>
      </c>
      <c r="H650" s="15" t="n">
        <v>2</v>
      </c>
      <c r="I650" s="17" t="n">
        <v>0.05</v>
      </c>
      <c r="J650" s="18" t="n">
        <v>91.16</v>
      </c>
      <c r="K650" s="19" t="n">
        <v>27.33</v>
      </c>
      <c r="L650" s="15" t="n">
        <f aca="false">YEAR(B650)</f>
        <v>2023</v>
      </c>
      <c r="M650" s="20" t="n">
        <f aca="false">IF(J650&gt;0,K650/J650,0)</f>
        <v>0.299802544975867</v>
      </c>
    </row>
    <row r="651" customFormat="false" ht="15" hidden="false" customHeight="false" outlineLevel="0" collapsed="false">
      <c r="A651" s="15" t="s">
        <v>708</v>
      </c>
      <c r="B651" s="16" t="n">
        <v>44650</v>
      </c>
      <c r="C651" s="15" t="s">
        <v>56</v>
      </c>
      <c r="D651" s="15" t="s">
        <v>44</v>
      </c>
      <c r="E651" s="15" t="s">
        <v>38</v>
      </c>
      <c r="F651" s="15" t="s">
        <v>17</v>
      </c>
      <c r="G651" s="15" t="s">
        <v>28</v>
      </c>
      <c r="H651" s="15" t="n">
        <v>2</v>
      </c>
      <c r="I651" s="17" t="n">
        <v>0.2</v>
      </c>
      <c r="J651" s="18" t="n">
        <v>40.6</v>
      </c>
      <c r="K651" s="19" t="n">
        <v>2.99</v>
      </c>
      <c r="L651" s="15" t="n">
        <f aca="false">YEAR(B651)</f>
        <v>2022</v>
      </c>
      <c r="M651" s="20" t="n">
        <f aca="false">IF(J651&gt;0,K651/J651,0)</f>
        <v>0.0736453201970443</v>
      </c>
    </row>
    <row r="652" customFormat="false" ht="15" hidden="false" customHeight="false" outlineLevel="0" collapsed="false">
      <c r="A652" s="15" t="s">
        <v>709</v>
      </c>
      <c r="B652" s="16" t="n">
        <v>45288</v>
      </c>
      <c r="C652" s="15" t="s">
        <v>56</v>
      </c>
      <c r="D652" s="15" t="s">
        <v>42</v>
      </c>
      <c r="E652" s="15" t="s">
        <v>37</v>
      </c>
      <c r="F652" s="15" t="s">
        <v>16</v>
      </c>
      <c r="G652" s="15" t="s">
        <v>22</v>
      </c>
      <c r="H652" s="15" t="n">
        <v>4</v>
      </c>
      <c r="I652" s="17" t="n">
        <v>0</v>
      </c>
      <c r="J652" s="18" t="n">
        <v>2310.76</v>
      </c>
      <c r="K652" s="19" t="n">
        <v>-72.51</v>
      </c>
      <c r="L652" s="15" t="n">
        <f aca="false">YEAR(B652)</f>
        <v>2023</v>
      </c>
      <c r="M652" s="20" t="n">
        <f aca="false">IF(J652&gt;0,K652/J652,0)</f>
        <v>-0.0313792864685212</v>
      </c>
    </row>
    <row r="653" customFormat="false" ht="15" hidden="false" customHeight="false" outlineLevel="0" collapsed="false">
      <c r="A653" s="15" t="s">
        <v>710</v>
      </c>
      <c r="B653" s="16" t="n">
        <v>45553</v>
      </c>
      <c r="C653" s="15" t="s">
        <v>58</v>
      </c>
      <c r="D653" s="15" t="s">
        <v>44</v>
      </c>
      <c r="E653" s="15" t="s">
        <v>37</v>
      </c>
      <c r="F653" s="15" t="s">
        <v>16</v>
      </c>
      <c r="G653" s="15" t="s">
        <v>22</v>
      </c>
      <c r="H653" s="15" t="n">
        <v>5</v>
      </c>
      <c r="I653" s="17" t="n">
        <v>0</v>
      </c>
      <c r="J653" s="18" t="n">
        <v>2952.26</v>
      </c>
      <c r="K653" s="19" t="n">
        <v>-26.69</v>
      </c>
      <c r="L653" s="15" t="n">
        <f aca="false">YEAR(B653)</f>
        <v>2024</v>
      </c>
      <c r="M653" s="20" t="n">
        <f aca="false">IF(J653&gt;0,K653/J653,0)</f>
        <v>-0.00904053166049061</v>
      </c>
    </row>
    <row r="654" customFormat="false" ht="15" hidden="false" customHeight="false" outlineLevel="0" collapsed="false">
      <c r="A654" s="15" t="s">
        <v>711</v>
      </c>
      <c r="B654" s="16" t="n">
        <v>45960</v>
      </c>
      <c r="C654" s="15" t="s">
        <v>68</v>
      </c>
      <c r="D654" s="15" t="s">
        <v>42</v>
      </c>
      <c r="E654" s="15" t="s">
        <v>37</v>
      </c>
      <c r="F654" s="15" t="s">
        <v>18</v>
      </c>
      <c r="G654" s="15" t="s">
        <v>32</v>
      </c>
      <c r="H654" s="15" t="n">
        <v>2</v>
      </c>
      <c r="I654" s="17" t="n">
        <v>0.15</v>
      </c>
      <c r="J654" s="18" t="n">
        <v>689.88</v>
      </c>
      <c r="K654" s="19" t="n">
        <v>36.75</v>
      </c>
      <c r="L654" s="15" t="n">
        <f aca="false">YEAR(B654)</f>
        <v>2025</v>
      </c>
      <c r="M654" s="20" t="n">
        <f aca="false">IF(J654&gt;0,K654/J654,0)</f>
        <v>0.0532701339363368</v>
      </c>
    </row>
    <row r="655" customFormat="false" ht="15" hidden="false" customHeight="false" outlineLevel="0" collapsed="false">
      <c r="A655" s="15" t="s">
        <v>712</v>
      </c>
      <c r="B655" s="16" t="n">
        <v>45205</v>
      </c>
      <c r="C655" s="15" t="s">
        <v>56</v>
      </c>
      <c r="D655" s="15" t="s">
        <v>42</v>
      </c>
      <c r="E655" s="15" t="s">
        <v>38</v>
      </c>
      <c r="F655" s="15" t="s">
        <v>17</v>
      </c>
      <c r="G655" s="15" t="s">
        <v>29</v>
      </c>
      <c r="H655" s="15" t="n">
        <v>2</v>
      </c>
      <c r="I655" s="17" t="n">
        <v>0.4</v>
      </c>
      <c r="J655" s="18" t="n">
        <v>17.84</v>
      </c>
      <c r="K655" s="19" t="n">
        <v>2.35</v>
      </c>
      <c r="L655" s="15" t="n">
        <f aca="false">YEAR(B655)</f>
        <v>2023</v>
      </c>
      <c r="M655" s="20" t="n">
        <f aca="false">IF(J655&gt;0,K655/J655,0)</f>
        <v>0.131726457399103</v>
      </c>
    </row>
    <row r="656" customFormat="false" ht="15" hidden="false" customHeight="false" outlineLevel="0" collapsed="false">
      <c r="A656" s="15" t="s">
        <v>713</v>
      </c>
      <c r="B656" s="16" t="n">
        <v>45945</v>
      </c>
      <c r="C656" s="15" t="s">
        <v>71</v>
      </c>
      <c r="D656" s="15" t="s">
        <v>42</v>
      </c>
      <c r="E656" s="15" t="s">
        <v>39</v>
      </c>
      <c r="F656" s="15" t="s">
        <v>18</v>
      </c>
      <c r="G656" s="15" t="s">
        <v>30</v>
      </c>
      <c r="H656" s="15" t="n">
        <v>5</v>
      </c>
      <c r="I656" s="17" t="n">
        <v>0.2</v>
      </c>
      <c r="J656" s="18" t="n">
        <v>168.98</v>
      </c>
      <c r="K656" s="19" t="n">
        <v>23.27</v>
      </c>
      <c r="L656" s="15" t="n">
        <f aca="false">YEAR(B656)</f>
        <v>2025</v>
      </c>
      <c r="M656" s="20" t="n">
        <f aca="false">IF(J656&gt;0,K656/J656,0)</f>
        <v>0.137708604568588</v>
      </c>
    </row>
    <row r="657" customFormat="false" ht="15" hidden="false" customHeight="false" outlineLevel="0" collapsed="false">
      <c r="A657" s="15" t="s">
        <v>714</v>
      </c>
      <c r="B657" s="16" t="n">
        <v>45252</v>
      </c>
      <c r="C657" s="15" t="s">
        <v>71</v>
      </c>
      <c r="D657" s="15" t="s">
        <v>44</v>
      </c>
      <c r="E657" s="15" t="s">
        <v>38</v>
      </c>
      <c r="F657" s="15" t="s">
        <v>18</v>
      </c>
      <c r="G657" s="15" t="s">
        <v>30</v>
      </c>
      <c r="H657" s="15" t="n">
        <v>1</v>
      </c>
      <c r="I657" s="17" t="n">
        <v>0.1</v>
      </c>
      <c r="J657" s="18" t="n">
        <v>38.5</v>
      </c>
      <c r="K657" s="19" t="n">
        <v>9.15</v>
      </c>
      <c r="L657" s="15" t="n">
        <f aca="false">YEAR(B657)</f>
        <v>2023</v>
      </c>
      <c r="M657" s="20" t="n">
        <f aca="false">IF(J657&gt;0,K657/J657,0)</f>
        <v>0.237662337662338</v>
      </c>
    </row>
    <row r="658" customFormat="false" ht="15" hidden="false" customHeight="false" outlineLevel="0" collapsed="false">
      <c r="A658" s="15" t="s">
        <v>715</v>
      </c>
      <c r="B658" s="16" t="n">
        <v>44901</v>
      </c>
      <c r="C658" s="15" t="s">
        <v>56</v>
      </c>
      <c r="D658" s="15" t="s">
        <v>42</v>
      </c>
      <c r="E658" s="15" t="s">
        <v>39</v>
      </c>
      <c r="F658" s="15" t="s">
        <v>18</v>
      </c>
      <c r="G658" s="15" t="s">
        <v>24</v>
      </c>
      <c r="H658" s="15" t="n">
        <v>3</v>
      </c>
      <c r="I658" s="17" t="n">
        <v>0</v>
      </c>
      <c r="J658" s="18" t="n">
        <v>2315.31</v>
      </c>
      <c r="K658" s="19" t="n">
        <v>118.78</v>
      </c>
      <c r="L658" s="15" t="n">
        <f aca="false">YEAR(B658)</f>
        <v>2022</v>
      </c>
      <c r="M658" s="20" t="n">
        <f aca="false">IF(J658&gt;0,K658/J658,0)</f>
        <v>0.0513019854792663</v>
      </c>
    </row>
    <row r="659" customFormat="false" ht="15" hidden="false" customHeight="false" outlineLevel="0" collapsed="false">
      <c r="A659" s="15" t="s">
        <v>716</v>
      </c>
      <c r="B659" s="16" t="n">
        <v>45472</v>
      </c>
      <c r="C659" s="15" t="s">
        <v>56</v>
      </c>
      <c r="D659" s="15" t="s">
        <v>42</v>
      </c>
      <c r="E659" s="15" t="s">
        <v>36</v>
      </c>
      <c r="F659" s="15" t="s">
        <v>18</v>
      </c>
      <c r="G659" s="15" t="s">
        <v>24</v>
      </c>
      <c r="H659" s="15" t="n">
        <v>6</v>
      </c>
      <c r="I659" s="17" t="n">
        <v>0</v>
      </c>
      <c r="J659" s="18" t="n">
        <v>3008.47</v>
      </c>
      <c r="K659" s="19" t="n">
        <v>159.28</v>
      </c>
      <c r="L659" s="15" t="n">
        <f aca="false">YEAR(B659)</f>
        <v>2024</v>
      </c>
      <c r="M659" s="20" t="n">
        <f aca="false">IF(J659&gt;0,K659/J659,0)</f>
        <v>0.0529438551822023</v>
      </c>
    </row>
    <row r="660" customFormat="false" ht="15" hidden="false" customHeight="false" outlineLevel="0" collapsed="false">
      <c r="A660" s="15" t="s">
        <v>717</v>
      </c>
      <c r="B660" s="16" t="n">
        <v>45670</v>
      </c>
      <c r="C660" s="15" t="s">
        <v>58</v>
      </c>
      <c r="D660" s="15" t="s">
        <v>42</v>
      </c>
      <c r="E660" s="15" t="s">
        <v>37</v>
      </c>
      <c r="F660" s="15" t="s">
        <v>16</v>
      </c>
      <c r="G660" s="15" t="s">
        <v>23</v>
      </c>
      <c r="H660" s="15" t="n">
        <v>3</v>
      </c>
      <c r="I660" s="17" t="n">
        <v>0</v>
      </c>
      <c r="J660" s="18" t="n">
        <v>1054.08</v>
      </c>
      <c r="K660" s="19" t="n">
        <v>2.4</v>
      </c>
      <c r="L660" s="15" t="n">
        <f aca="false">YEAR(B660)</f>
        <v>2025</v>
      </c>
      <c r="M660" s="20" t="n">
        <f aca="false">IF(J660&gt;0,K660/J660,0)</f>
        <v>0.00227686703096539</v>
      </c>
    </row>
    <row r="661" customFormat="false" ht="15" hidden="false" customHeight="false" outlineLevel="0" collapsed="false">
      <c r="A661" s="15" t="s">
        <v>718</v>
      </c>
      <c r="B661" s="16" t="n">
        <v>45158</v>
      </c>
      <c r="C661" s="15" t="s">
        <v>56</v>
      </c>
      <c r="D661" s="15" t="s">
        <v>43</v>
      </c>
      <c r="E661" s="15" t="s">
        <v>36</v>
      </c>
      <c r="F661" s="15" t="s">
        <v>17</v>
      </c>
      <c r="G661" s="15" t="s">
        <v>26</v>
      </c>
      <c r="H661" s="15" t="n">
        <v>6</v>
      </c>
      <c r="I661" s="17" t="n">
        <v>0.1</v>
      </c>
      <c r="J661" s="18" t="n">
        <v>592.72</v>
      </c>
      <c r="K661" s="19" t="n">
        <v>15.23</v>
      </c>
      <c r="L661" s="15" t="n">
        <f aca="false">YEAR(B661)</f>
        <v>2023</v>
      </c>
      <c r="M661" s="20" t="n">
        <f aca="false">IF(J661&gt;0,K661/J661,0)</f>
        <v>0.025695100553381</v>
      </c>
    </row>
    <row r="662" customFormat="false" ht="15" hidden="false" customHeight="false" outlineLevel="0" collapsed="false">
      <c r="A662" s="15" t="s">
        <v>719</v>
      </c>
      <c r="B662" s="16" t="n">
        <v>45691</v>
      </c>
      <c r="C662" s="15" t="s">
        <v>56</v>
      </c>
      <c r="D662" s="15" t="s">
        <v>43</v>
      </c>
      <c r="E662" s="15" t="s">
        <v>39</v>
      </c>
      <c r="F662" s="15" t="s">
        <v>17</v>
      </c>
      <c r="G662" s="15" t="s">
        <v>26</v>
      </c>
      <c r="H662" s="15" t="n">
        <v>2</v>
      </c>
      <c r="I662" s="17" t="n">
        <v>0</v>
      </c>
      <c r="J662" s="18" t="n">
        <v>172.46</v>
      </c>
      <c r="K662" s="19" t="n">
        <v>10.51</v>
      </c>
      <c r="L662" s="15" t="n">
        <f aca="false">YEAR(B662)</f>
        <v>2025</v>
      </c>
      <c r="M662" s="20" t="n">
        <f aca="false">IF(J662&gt;0,K662/J662,0)</f>
        <v>0.0609416676330743</v>
      </c>
    </row>
    <row r="663" customFormat="false" ht="15" hidden="false" customHeight="false" outlineLevel="0" collapsed="false">
      <c r="A663" s="15" t="s">
        <v>720</v>
      </c>
      <c r="B663" s="16" t="n">
        <v>45760</v>
      </c>
      <c r="C663" s="15" t="s">
        <v>56</v>
      </c>
      <c r="D663" s="15" t="s">
        <v>42</v>
      </c>
      <c r="E663" s="15" t="s">
        <v>39</v>
      </c>
      <c r="F663" s="15" t="s">
        <v>17</v>
      </c>
      <c r="G663" s="15" t="s">
        <v>29</v>
      </c>
      <c r="H663" s="15" t="n">
        <v>3</v>
      </c>
      <c r="I663" s="17" t="n">
        <v>0.05</v>
      </c>
      <c r="J663" s="18" t="n">
        <v>42.5</v>
      </c>
      <c r="K663" s="19" t="n">
        <v>19.16</v>
      </c>
      <c r="L663" s="15" t="n">
        <f aca="false">YEAR(B663)</f>
        <v>2025</v>
      </c>
      <c r="M663" s="20" t="n">
        <f aca="false">IF(J663&gt;0,K663/J663,0)</f>
        <v>0.450823529411765</v>
      </c>
    </row>
    <row r="664" customFormat="false" ht="15" hidden="false" customHeight="false" outlineLevel="0" collapsed="false">
      <c r="A664" s="15" t="s">
        <v>721</v>
      </c>
      <c r="B664" s="16" t="n">
        <v>45338</v>
      </c>
      <c r="C664" s="15" t="s">
        <v>58</v>
      </c>
      <c r="D664" s="15" t="s">
        <v>42</v>
      </c>
      <c r="E664" s="15" t="s">
        <v>36</v>
      </c>
      <c r="F664" s="15" t="s">
        <v>17</v>
      </c>
      <c r="G664" s="15" t="s">
        <v>31</v>
      </c>
      <c r="H664" s="15" t="n">
        <v>4</v>
      </c>
      <c r="I664" s="17" t="n">
        <v>0.1</v>
      </c>
      <c r="J664" s="18" t="n">
        <v>517.9</v>
      </c>
      <c r="K664" s="19" t="n">
        <v>63.33</v>
      </c>
      <c r="L664" s="15" t="n">
        <f aca="false">YEAR(B664)</f>
        <v>2024</v>
      </c>
      <c r="M664" s="20" t="n">
        <f aca="false">IF(J664&gt;0,K664/J664,0)</f>
        <v>0.122282293879127</v>
      </c>
    </row>
    <row r="665" customFormat="false" ht="15" hidden="false" customHeight="false" outlineLevel="0" collapsed="false">
      <c r="A665" s="15" t="s">
        <v>722</v>
      </c>
      <c r="B665" s="16" t="n">
        <v>45853</v>
      </c>
      <c r="C665" s="15" t="s">
        <v>71</v>
      </c>
      <c r="D665" s="15" t="s">
        <v>43</v>
      </c>
      <c r="E665" s="15" t="s">
        <v>37</v>
      </c>
      <c r="F665" s="15" t="s">
        <v>17</v>
      </c>
      <c r="G665" s="15" t="s">
        <v>29</v>
      </c>
      <c r="H665" s="15" t="n">
        <v>3</v>
      </c>
      <c r="I665" s="17" t="n">
        <v>0.1</v>
      </c>
      <c r="J665" s="18" t="n">
        <v>54.1</v>
      </c>
      <c r="K665" s="19" t="n">
        <v>16.98</v>
      </c>
      <c r="L665" s="15" t="n">
        <f aca="false">YEAR(B665)</f>
        <v>2025</v>
      </c>
      <c r="M665" s="20" t="n">
        <f aca="false">IF(J665&gt;0,K665/J665,0)</f>
        <v>0.313863216266174</v>
      </c>
    </row>
    <row r="666" customFormat="false" ht="15" hidden="false" customHeight="false" outlineLevel="0" collapsed="false">
      <c r="A666" s="15" t="s">
        <v>723</v>
      </c>
      <c r="B666" s="16" t="n">
        <v>45087</v>
      </c>
      <c r="C666" s="15" t="s">
        <v>71</v>
      </c>
      <c r="D666" s="15" t="s">
        <v>42</v>
      </c>
      <c r="E666" s="15" t="s">
        <v>39</v>
      </c>
      <c r="F666" s="15" t="s">
        <v>17</v>
      </c>
      <c r="G666" s="15" t="s">
        <v>26</v>
      </c>
      <c r="H666" s="15" t="n">
        <v>4</v>
      </c>
      <c r="I666" s="17" t="n">
        <v>0</v>
      </c>
      <c r="J666" s="18" t="n">
        <v>354.08</v>
      </c>
      <c r="K666" s="19" t="n">
        <v>41.69</v>
      </c>
      <c r="L666" s="15" t="n">
        <f aca="false">YEAR(B666)</f>
        <v>2023</v>
      </c>
      <c r="M666" s="20" t="n">
        <f aca="false">IF(J666&gt;0,K666/J666,0)</f>
        <v>0.117741753276096</v>
      </c>
    </row>
    <row r="667" customFormat="false" ht="15" hidden="false" customHeight="false" outlineLevel="0" collapsed="false">
      <c r="A667" s="15" t="s">
        <v>724</v>
      </c>
      <c r="B667" s="16" t="n">
        <v>45640</v>
      </c>
      <c r="C667" s="15" t="s">
        <v>56</v>
      </c>
      <c r="D667" s="15" t="s">
        <v>44</v>
      </c>
      <c r="E667" s="15" t="s">
        <v>37</v>
      </c>
      <c r="F667" s="15" t="s">
        <v>17</v>
      </c>
      <c r="G667" s="15" t="s">
        <v>29</v>
      </c>
      <c r="H667" s="15" t="n">
        <v>7</v>
      </c>
      <c r="I667" s="17" t="n">
        <v>0.3</v>
      </c>
      <c r="J667" s="18" t="n">
        <v>85.49</v>
      </c>
      <c r="K667" s="19" t="n">
        <v>11.44</v>
      </c>
      <c r="L667" s="15" t="n">
        <f aca="false">YEAR(B667)</f>
        <v>2024</v>
      </c>
      <c r="M667" s="20" t="n">
        <f aca="false">IF(J667&gt;0,K667/J667,0)</f>
        <v>0.133816820680781</v>
      </c>
    </row>
    <row r="668" customFormat="false" ht="15" hidden="false" customHeight="false" outlineLevel="0" collapsed="false">
      <c r="A668" s="15" t="s">
        <v>725</v>
      </c>
      <c r="B668" s="16" t="n">
        <v>45245</v>
      </c>
      <c r="C668" s="15" t="s">
        <v>56</v>
      </c>
      <c r="D668" s="15" t="s">
        <v>42</v>
      </c>
      <c r="E668" s="15" t="s">
        <v>39</v>
      </c>
      <c r="F668" s="15" t="s">
        <v>17</v>
      </c>
      <c r="G668" s="15" t="s">
        <v>29</v>
      </c>
      <c r="H668" s="15" t="n">
        <v>3</v>
      </c>
      <c r="I668" s="17" t="n">
        <v>0.05</v>
      </c>
      <c r="J668" s="18" t="n">
        <v>47.6</v>
      </c>
      <c r="K668" s="19" t="n">
        <v>17.9</v>
      </c>
      <c r="L668" s="15" t="n">
        <f aca="false">YEAR(B668)</f>
        <v>2023</v>
      </c>
      <c r="M668" s="20" t="n">
        <f aca="false">IF(J668&gt;0,K668/J668,0)</f>
        <v>0.376050420168067</v>
      </c>
    </row>
    <row r="669" customFormat="false" ht="15" hidden="false" customHeight="false" outlineLevel="0" collapsed="false">
      <c r="A669" s="15" t="s">
        <v>726</v>
      </c>
      <c r="B669" s="16" t="n">
        <v>45990</v>
      </c>
      <c r="C669" s="15" t="s">
        <v>56</v>
      </c>
      <c r="D669" s="15" t="s">
        <v>43</v>
      </c>
      <c r="E669" s="15" t="s">
        <v>37</v>
      </c>
      <c r="F669" s="15" t="s">
        <v>16</v>
      </c>
      <c r="G669" s="15" t="s">
        <v>23</v>
      </c>
      <c r="H669" s="15" t="n">
        <v>3</v>
      </c>
      <c r="I669" s="17" t="n">
        <v>0.15</v>
      </c>
      <c r="J669" s="18" t="n">
        <v>867.65</v>
      </c>
      <c r="K669" s="19" t="n">
        <v>-102.59</v>
      </c>
      <c r="L669" s="15" t="n">
        <f aca="false">YEAR(B669)</f>
        <v>2025</v>
      </c>
      <c r="M669" s="20" t="n">
        <f aca="false">IF(J669&gt;0,K669/J669,0)</f>
        <v>-0.118238921223996</v>
      </c>
    </row>
    <row r="670" customFormat="false" ht="15" hidden="false" customHeight="false" outlineLevel="0" collapsed="false">
      <c r="A670" s="15" t="s">
        <v>727</v>
      </c>
      <c r="B670" s="16" t="n">
        <v>45436</v>
      </c>
      <c r="C670" s="15" t="s">
        <v>68</v>
      </c>
      <c r="D670" s="15" t="s">
        <v>42</v>
      </c>
      <c r="E670" s="15" t="s">
        <v>39</v>
      </c>
      <c r="F670" s="15" t="s">
        <v>17</v>
      </c>
      <c r="G670" s="15" t="s">
        <v>28</v>
      </c>
      <c r="H670" s="15" t="n">
        <v>1</v>
      </c>
      <c r="I670" s="17" t="n">
        <v>0.1</v>
      </c>
      <c r="J670" s="18" t="n">
        <v>20.69</v>
      </c>
      <c r="K670" s="19" t="n">
        <v>4.84</v>
      </c>
      <c r="L670" s="15" t="n">
        <f aca="false">YEAR(B670)</f>
        <v>2024</v>
      </c>
      <c r="M670" s="20" t="n">
        <f aca="false">IF(J670&gt;0,K670/J670,0)</f>
        <v>0.233929434509425</v>
      </c>
    </row>
    <row r="671" customFormat="false" ht="15" hidden="false" customHeight="false" outlineLevel="0" collapsed="false">
      <c r="A671" s="15" t="s">
        <v>728</v>
      </c>
      <c r="B671" s="16" t="n">
        <v>45306</v>
      </c>
      <c r="C671" s="15" t="s">
        <v>56</v>
      </c>
      <c r="D671" s="15" t="s">
        <v>43</v>
      </c>
      <c r="E671" s="15" t="s">
        <v>37</v>
      </c>
      <c r="F671" s="15" t="s">
        <v>16</v>
      </c>
      <c r="G671" s="15" t="s">
        <v>22</v>
      </c>
      <c r="H671" s="15" t="n">
        <v>3</v>
      </c>
      <c r="I671" s="17" t="n">
        <v>0.1</v>
      </c>
      <c r="J671" s="18" t="n">
        <v>1210.06</v>
      </c>
      <c r="K671" s="19" t="n">
        <v>-208.69</v>
      </c>
      <c r="L671" s="15" t="n">
        <f aca="false">YEAR(B671)</f>
        <v>2024</v>
      </c>
      <c r="M671" s="20" t="n">
        <f aca="false">IF(J671&gt;0,K671/J671,0)</f>
        <v>-0.172462522519545</v>
      </c>
    </row>
    <row r="672" customFormat="false" ht="15" hidden="false" customHeight="false" outlineLevel="0" collapsed="false">
      <c r="A672" s="15" t="s">
        <v>729</v>
      </c>
      <c r="B672" s="16" t="n">
        <v>45392</v>
      </c>
      <c r="C672" s="15" t="s">
        <v>71</v>
      </c>
      <c r="D672" s="15" t="s">
        <v>42</v>
      </c>
      <c r="E672" s="15" t="s">
        <v>39</v>
      </c>
      <c r="F672" s="15" t="s">
        <v>16</v>
      </c>
      <c r="G672" s="15" t="s">
        <v>23</v>
      </c>
      <c r="H672" s="15" t="n">
        <v>1</v>
      </c>
      <c r="I672" s="17" t="n">
        <v>0.15</v>
      </c>
      <c r="J672" s="18" t="n">
        <v>249.87</v>
      </c>
      <c r="K672" s="19" t="n">
        <v>-21.71</v>
      </c>
      <c r="L672" s="15" t="n">
        <f aca="false">YEAR(B672)</f>
        <v>2024</v>
      </c>
      <c r="M672" s="20" t="n">
        <f aca="false">IF(J672&gt;0,K672/J672,0)</f>
        <v>-0.0868851802937528</v>
      </c>
    </row>
    <row r="673" customFormat="false" ht="15" hidden="false" customHeight="false" outlineLevel="0" collapsed="false">
      <c r="A673" s="15" t="s">
        <v>730</v>
      </c>
      <c r="B673" s="16" t="n">
        <v>44568</v>
      </c>
      <c r="C673" s="15" t="s">
        <v>56</v>
      </c>
      <c r="D673" s="15" t="s">
        <v>44</v>
      </c>
      <c r="E673" s="15" t="s">
        <v>36</v>
      </c>
      <c r="F673" s="15" t="s">
        <v>17</v>
      </c>
      <c r="G673" s="15" t="s">
        <v>28</v>
      </c>
      <c r="H673" s="15" t="n">
        <v>4</v>
      </c>
      <c r="I673" s="17" t="n">
        <v>0.05</v>
      </c>
      <c r="J673" s="18" t="n">
        <v>77.78</v>
      </c>
      <c r="K673" s="19" t="n">
        <v>17.89</v>
      </c>
      <c r="L673" s="15" t="n">
        <f aca="false">YEAR(B673)</f>
        <v>2022</v>
      </c>
      <c r="M673" s="20" t="n">
        <f aca="false">IF(J673&gt;0,K673/J673,0)</f>
        <v>0.230007714065312</v>
      </c>
    </row>
    <row r="674" customFormat="false" ht="15" hidden="false" customHeight="false" outlineLevel="0" collapsed="false">
      <c r="A674" s="15" t="s">
        <v>731</v>
      </c>
      <c r="B674" s="16" t="n">
        <v>45669</v>
      </c>
      <c r="C674" s="15" t="s">
        <v>71</v>
      </c>
      <c r="D674" s="15" t="s">
        <v>43</v>
      </c>
      <c r="E674" s="15" t="s">
        <v>39</v>
      </c>
      <c r="F674" s="15" t="s">
        <v>17</v>
      </c>
      <c r="G674" s="15" t="s">
        <v>29</v>
      </c>
      <c r="H674" s="15" t="n">
        <v>5</v>
      </c>
      <c r="I674" s="17" t="n">
        <v>0</v>
      </c>
      <c r="J674" s="18" t="n">
        <v>102.18</v>
      </c>
      <c r="K674" s="19" t="n">
        <v>37.15</v>
      </c>
      <c r="L674" s="15" t="n">
        <f aca="false">YEAR(B674)</f>
        <v>2025</v>
      </c>
      <c r="M674" s="20" t="n">
        <f aca="false">IF(J674&gt;0,K674/J674,0)</f>
        <v>0.363574084948131</v>
      </c>
    </row>
    <row r="675" customFormat="false" ht="15" hidden="false" customHeight="false" outlineLevel="0" collapsed="false">
      <c r="A675" s="15" t="s">
        <v>732</v>
      </c>
      <c r="B675" s="16" t="n">
        <v>45278</v>
      </c>
      <c r="C675" s="15" t="s">
        <v>56</v>
      </c>
      <c r="D675" s="15" t="s">
        <v>42</v>
      </c>
      <c r="E675" s="15" t="s">
        <v>36</v>
      </c>
      <c r="F675" s="15" t="s">
        <v>17</v>
      </c>
      <c r="G675" s="15" t="s">
        <v>26</v>
      </c>
      <c r="H675" s="15" t="n">
        <v>3</v>
      </c>
      <c r="I675" s="17" t="n">
        <v>0.2</v>
      </c>
      <c r="J675" s="18" t="n">
        <v>163.4</v>
      </c>
      <c r="K675" s="19" t="n">
        <v>-16.26</v>
      </c>
      <c r="L675" s="15" t="n">
        <f aca="false">YEAR(B675)</f>
        <v>2023</v>
      </c>
      <c r="M675" s="20" t="n">
        <f aca="false">IF(J675&gt;0,K675/J675,0)</f>
        <v>-0.0995104039167687</v>
      </c>
    </row>
    <row r="676" customFormat="false" ht="15" hidden="false" customHeight="false" outlineLevel="0" collapsed="false">
      <c r="A676" s="15" t="s">
        <v>733</v>
      </c>
      <c r="B676" s="16" t="n">
        <v>45584</v>
      </c>
      <c r="C676" s="15" t="s">
        <v>58</v>
      </c>
      <c r="D676" s="15" t="s">
        <v>42</v>
      </c>
      <c r="E676" s="15" t="s">
        <v>39</v>
      </c>
      <c r="F676" s="15" t="s">
        <v>17</v>
      </c>
      <c r="G676" s="15" t="s">
        <v>31</v>
      </c>
      <c r="H676" s="15" t="n">
        <v>4</v>
      </c>
      <c r="I676" s="17" t="n">
        <v>0</v>
      </c>
      <c r="J676" s="18" t="n">
        <v>543.56</v>
      </c>
      <c r="K676" s="19" t="n">
        <v>92.63</v>
      </c>
      <c r="L676" s="15" t="n">
        <f aca="false">YEAR(B676)</f>
        <v>2024</v>
      </c>
      <c r="M676" s="20" t="n">
        <f aca="false">IF(J676&gt;0,K676/J676,0)</f>
        <v>0.170413569799102</v>
      </c>
    </row>
    <row r="677" customFormat="false" ht="15" hidden="false" customHeight="false" outlineLevel="0" collapsed="false">
      <c r="A677" s="15" t="s">
        <v>734</v>
      </c>
      <c r="B677" s="16" t="n">
        <v>45443</v>
      </c>
      <c r="C677" s="15" t="s">
        <v>68</v>
      </c>
      <c r="D677" s="15" t="s">
        <v>42</v>
      </c>
      <c r="E677" s="15" t="s">
        <v>36</v>
      </c>
      <c r="F677" s="15" t="s">
        <v>17</v>
      </c>
      <c r="G677" s="15" t="s">
        <v>29</v>
      </c>
      <c r="H677" s="15" t="n">
        <v>3</v>
      </c>
      <c r="I677" s="17" t="n">
        <v>0.2</v>
      </c>
      <c r="J677" s="18" t="n">
        <v>36.72</v>
      </c>
      <c r="K677" s="19" t="n">
        <v>10.4</v>
      </c>
      <c r="L677" s="15" t="n">
        <f aca="false">YEAR(B677)</f>
        <v>2024</v>
      </c>
      <c r="M677" s="20" t="n">
        <f aca="false">IF(J677&gt;0,K677/J677,0)</f>
        <v>0.28322440087146</v>
      </c>
    </row>
    <row r="678" customFormat="false" ht="15" hidden="false" customHeight="false" outlineLevel="0" collapsed="false">
      <c r="A678" s="15" t="s">
        <v>735</v>
      </c>
      <c r="B678" s="16" t="n">
        <v>44893</v>
      </c>
      <c r="C678" s="15" t="s">
        <v>68</v>
      </c>
      <c r="D678" s="15" t="s">
        <v>43</v>
      </c>
      <c r="E678" s="15" t="s">
        <v>39</v>
      </c>
      <c r="F678" s="15" t="s">
        <v>16</v>
      </c>
      <c r="G678" s="15" t="s">
        <v>27</v>
      </c>
      <c r="H678" s="15" t="n">
        <v>5</v>
      </c>
      <c r="I678" s="17" t="n">
        <v>0</v>
      </c>
      <c r="J678" s="18" t="n">
        <v>310.66</v>
      </c>
      <c r="K678" s="19" t="n">
        <v>73.66</v>
      </c>
      <c r="L678" s="15" t="n">
        <f aca="false">YEAR(B678)</f>
        <v>2022</v>
      </c>
      <c r="M678" s="20" t="n">
        <f aca="false">IF(J678&gt;0,K678/J678,0)</f>
        <v>0.237108092448336</v>
      </c>
    </row>
    <row r="679" customFormat="false" ht="15" hidden="false" customHeight="false" outlineLevel="0" collapsed="false">
      <c r="A679" s="15" t="s">
        <v>736</v>
      </c>
      <c r="B679" s="16" t="n">
        <v>44920</v>
      </c>
      <c r="C679" s="15" t="s">
        <v>71</v>
      </c>
      <c r="D679" s="15" t="s">
        <v>42</v>
      </c>
      <c r="E679" s="15" t="s">
        <v>38</v>
      </c>
      <c r="F679" s="15" t="s">
        <v>18</v>
      </c>
      <c r="G679" s="15" t="s">
        <v>30</v>
      </c>
      <c r="H679" s="15" t="n">
        <v>5</v>
      </c>
      <c r="I679" s="17" t="n">
        <v>0.2</v>
      </c>
      <c r="J679" s="18" t="n">
        <v>186.27</v>
      </c>
      <c r="K679" s="19" t="n">
        <v>17.85</v>
      </c>
      <c r="L679" s="15" t="n">
        <f aca="false">YEAR(B679)</f>
        <v>2022</v>
      </c>
      <c r="M679" s="20" t="n">
        <f aca="false">IF(J679&gt;0,K679/J679,0)</f>
        <v>0.0958286358511838</v>
      </c>
    </row>
    <row r="680" customFormat="false" ht="15" hidden="false" customHeight="false" outlineLevel="0" collapsed="false">
      <c r="A680" s="15" t="s">
        <v>737</v>
      </c>
      <c r="B680" s="16" t="n">
        <v>45385</v>
      </c>
      <c r="C680" s="15" t="s">
        <v>56</v>
      </c>
      <c r="D680" s="15" t="s">
        <v>42</v>
      </c>
      <c r="E680" s="15" t="s">
        <v>38</v>
      </c>
      <c r="F680" s="15" t="s">
        <v>18</v>
      </c>
      <c r="G680" s="15" t="s">
        <v>30</v>
      </c>
      <c r="H680" s="15" t="n">
        <v>3</v>
      </c>
      <c r="I680" s="17" t="n">
        <v>0.15</v>
      </c>
      <c r="J680" s="18" t="n">
        <v>100.51</v>
      </c>
      <c r="K680" s="19" t="n">
        <v>11.43</v>
      </c>
      <c r="L680" s="15" t="n">
        <f aca="false">YEAR(B680)</f>
        <v>2024</v>
      </c>
      <c r="M680" s="20" t="n">
        <f aca="false">IF(J680&gt;0,K680/J680,0)</f>
        <v>0.113720027857925</v>
      </c>
    </row>
    <row r="681" customFormat="false" ht="15" hidden="false" customHeight="false" outlineLevel="0" collapsed="false">
      <c r="A681" s="15" t="s">
        <v>738</v>
      </c>
      <c r="B681" s="16" t="n">
        <v>44876</v>
      </c>
      <c r="C681" s="15" t="s">
        <v>68</v>
      </c>
      <c r="D681" s="15" t="s">
        <v>44</v>
      </c>
      <c r="E681" s="15" t="s">
        <v>37</v>
      </c>
      <c r="F681" s="15" t="s">
        <v>17</v>
      </c>
      <c r="G681" s="15" t="s">
        <v>29</v>
      </c>
      <c r="H681" s="15" t="n">
        <v>2</v>
      </c>
      <c r="I681" s="17" t="n">
        <v>0</v>
      </c>
      <c r="J681" s="18" t="n">
        <v>35.89</v>
      </c>
      <c r="K681" s="19" t="n">
        <v>12.6</v>
      </c>
      <c r="L681" s="15" t="n">
        <f aca="false">YEAR(B681)</f>
        <v>2022</v>
      </c>
      <c r="M681" s="20" t="n">
        <f aca="false">IF(J681&gt;0,K681/J681,0)</f>
        <v>0.351072722206743</v>
      </c>
    </row>
    <row r="682" customFormat="false" ht="15" hidden="false" customHeight="false" outlineLevel="0" collapsed="false">
      <c r="A682" s="15" t="s">
        <v>739</v>
      </c>
      <c r="B682" s="16" t="n">
        <v>45519</v>
      </c>
      <c r="C682" s="15" t="s">
        <v>56</v>
      </c>
      <c r="D682" s="15" t="s">
        <v>43</v>
      </c>
      <c r="E682" s="15" t="s">
        <v>36</v>
      </c>
      <c r="F682" s="15" t="s">
        <v>17</v>
      </c>
      <c r="G682" s="15" t="s">
        <v>28</v>
      </c>
      <c r="H682" s="15" t="n">
        <v>4</v>
      </c>
      <c r="I682" s="17" t="n">
        <v>0.4</v>
      </c>
      <c r="J682" s="18" t="n">
        <v>74.79</v>
      </c>
      <c r="K682" s="19" t="n">
        <v>-4.15</v>
      </c>
      <c r="L682" s="15" t="n">
        <f aca="false">YEAR(B682)</f>
        <v>2024</v>
      </c>
      <c r="M682" s="20" t="n">
        <f aca="false">IF(J682&gt;0,K682/J682,0)</f>
        <v>-0.055488701698088</v>
      </c>
    </row>
    <row r="683" customFormat="false" ht="15" hidden="false" customHeight="false" outlineLevel="0" collapsed="false">
      <c r="A683" s="15" t="s">
        <v>740</v>
      </c>
      <c r="B683" s="16" t="n">
        <v>45754</v>
      </c>
      <c r="C683" s="15" t="s">
        <v>56</v>
      </c>
      <c r="D683" s="15" t="s">
        <v>43</v>
      </c>
      <c r="E683" s="15" t="s">
        <v>37</v>
      </c>
      <c r="F683" s="15" t="s">
        <v>17</v>
      </c>
      <c r="G683" s="15" t="s">
        <v>29</v>
      </c>
      <c r="H683" s="15" t="n">
        <v>5</v>
      </c>
      <c r="I683" s="17" t="n">
        <v>0.1</v>
      </c>
      <c r="J683" s="18" t="n">
        <v>76.98</v>
      </c>
      <c r="K683" s="19" t="n">
        <v>26.48</v>
      </c>
      <c r="L683" s="15" t="n">
        <f aca="false">YEAR(B683)</f>
        <v>2025</v>
      </c>
      <c r="M683" s="20" t="n">
        <f aca="false">IF(J683&gt;0,K683/J683,0)</f>
        <v>0.343985450766433</v>
      </c>
    </row>
    <row r="684" customFormat="false" ht="15" hidden="false" customHeight="false" outlineLevel="0" collapsed="false">
      <c r="A684" s="15" t="s">
        <v>741</v>
      </c>
      <c r="B684" s="16" t="n">
        <v>45856</v>
      </c>
      <c r="C684" s="15" t="s">
        <v>56</v>
      </c>
      <c r="D684" s="15" t="s">
        <v>42</v>
      </c>
      <c r="E684" s="15" t="s">
        <v>38</v>
      </c>
      <c r="F684" s="15" t="s">
        <v>17</v>
      </c>
      <c r="G684" s="15" t="s">
        <v>26</v>
      </c>
      <c r="H684" s="15" t="n">
        <v>7</v>
      </c>
      <c r="I684" s="17" t="n">
        <v>0</v>
      </c>
      <c r="J684" s="18" t="n">
        <v>596.59</v>
      </c>
      <c r="K684" s="19" t="n">
        <v>64.32</v>
      </c>
      <c r="L684" s="15" t="n">
        <f aca="false">YEAR(B684)</f>
        <v>2025</v>
      </c>
      <c r="M684" s="20" t="n">
        <f aca="false">IF(J684&gt;0,K684/J684,0)</f>
        <v>0.107812735714645</v>
      </c>
    </row>
    <row r="685" customFormat="false" ht="15" hidden="false" customHeight="false" outlineLevel="0" collapsed="false">
      <c r="A685" s="15" t="s">
        <v>742</v>
      </c>
      <c r="B685" s="16" t="n">
        <v>45428</v>
      </c>
      <c r="C685" s="15" t="s">
        <v>71</v>
      </c>
      <c r="D685" s="15" t="s">
        <v>43</v>
      </c>
      <c r="E685" s="15" t="s">
        <v>37</v>
      </c>
      <c r="F685" s="15" t="s">
        <v>16</v>
      </c>
      <c r="G685" s="15" t="s">
        <v>22</v>
      </c>
      <c r="H685" s="15" t="n">
        <v>4</v>
      </c>
      <c r="I685" s="17" t="n">
        <v>0</v>
      </c>
      <c r="J685" s="18" t="n">
        <v>2671.96</v>
      </c>
      <c r="K685" s="19" t="n">
        <v>-14.18</v>
      </c>
      <c r="L685" s="15" t="n">
        <f aca="false">YEAR(B685)</f>
        <v>2024</v>
      </c>
      <c r="M685" s="20" t="n">
        <f aca="false">IF(J685&gt;0,K685/J685,0)</f>
        <v>-0.00530696567313882</v>
      </c>
    </row>
    <row r="686" customFormat="false" ht="15" hidden="false" customHeight="false" outlineLevel="0" collapsed="false">
      <c r="A686" s="15" t="s">
        <v>743</v>
      </c>
      <c r="B686" s="16" t="n">
        <v>45226</v>
      </c>
      <c r="C686" s="15" t="s">
        <v>56</v>
      </c>
      <c r="D686" s="15" t="s">
        <v>42</v>
      </c>
      <c r="E686" s="15" t="s">
        <v>39</v>
      </c>
      <c r="F686" s="15" t="s">
        <v>18</v>
      </c>
      <c r="G686" s="15" t="s">
        <v>32</v>
      </c>
      <c r="H686" s="15" t="n">
        <v>5</v>
      </c>
      <c r="I686" s="17" t="n">
        <v>0</v>
      </c>
      <c r="J686" s="18" t="n">
        <v>2180.4</v>
      </c>
      <c r="K686" s="19" t="n">
        <v>536.76</v>
      </c>
      <c r="L686" s="15" t="n">
        <f aca="false">YEAR(B686)</f>
        <v>2023</v>
      </c>
      <c r="M686" s="20" t="n">
        <f aca="false">IF(J686&gt;0,K686/J686,0)</f>
        <v>0.246175013758943</v>
      </c>
    </row>
    <row r="687" customFormat="false" ht="15" hidden="false" customHeight="false" outlineLevel="0" collapsed="false">
      <c r="A687" s="15" t="s">
        <v>744</v>
      </c>
      <c r="B687" s="16" t="n">
        <v>45829</v>
      </c>
      <c r="C687" s="15" t="s">
        <v>68</v>
      </c>
      <c r="D687" s="15" t="s">
        <v>44</v>
      </c>
      <c r="E687" s="15" t="s">
        <v>36</v>
      </c>
      <c r="F687" s="15" t="s">
        <v>17</v>
      </c>
      <c r="G687" s="15" t="s">
        <v>31</v>
      </c>
      <c r="H687" s="15" t="n">
        <v>3</v>
      </c>
      <c r="I687" s="17" t="n">
        <v>0</v>
      </c>
      <c r="J687" s="18" t="n">
        <v>492.85</v>
      </c>
      <c r="K687" s="19" t="n">
        <v>81.03</v>
      </c>
      <c r="L687" s="15" t="n">
        <f aca="false">YEAR(B687)</f>
        <v>2025</v>
      </c>
      <c r="M687" s="20" t="n">
        <f aca="false">IF(J687&gt;0,K687/J687,0)</f>
        <v>0.164411078421426</v>
      </c>
    </row>
    <row r="688" customFormat="false" ht="15" hidden="false" customHeight="false" outlineLevel="0" collapsed="false">
      <c r="A688" s="15" t="s">
        <v>745</v>
      </c>
      <c r="B688" s="16" t="n">
        <v>45679</v>
      </c>
      <c r="C688" s="15" t="s">
        <v>56</v>
      </c>
      <c r="D688" s="15" t="s">
        <v>42</v>
      </c>
      <c r="E688" s="15" t="s">
        <v>39</v>
      </c>
      <c r="F688" s="15" t="s">
        <v>18</v>
      </c>
      <c r="G688" s="15" t="s">
        <v>32</v>
      </c>
      <c r="H688" s="15" t="n">
        <v>2</v>
      </c>
      <c r="I688" s="17" t="n">
        <v>0</v>
      </c>
      <c r="J688" s="18" t="n">
        <v>874.92</v>
      </c>
      <c r="K688" s="19" t="n">
        <v>168.7</v>
      </c>
      <c r="L688" s="15" t="n">
        <f aca="false">YEAR(B688)</f>
        <v>2025</v>
      </c>
      <c r="M688" s="20" t="n">
        <f aca="false">IF(J688&gt;0,K688/J688,0)</f>
        <v>0.192817629040369</v>
      </c>
    </row>
    <row r="689" customFormat="false" ht="15" hidden="false" customHeight="false" outlineLevel="0" collapsed="false">
      <c r="A689" s="15" t="s">
        <v>746</v>
      </c>
      <c r="B689" s="16" t="n">
        <v>45837</v>
      </c>
      <c r="C689" s="15" t="s">
        <v>68</v>
      </c>
      <c r="D689" s="15" t="s">
        <v>44</v>
      </c>
      <c r="E689" s="15" t="s">
        <v>38</v>
      </c>
      <c r="F689" s="15" t="s">
        <v>18</v>
      </c>
      <c r="G689" s="15" t="s">
        <v>32</v>
      </c>
      <c r="H689" s="15" t="n">
        <v>3</v>
      </c>
      <c r="I689" s="17" t="n">
        <v>0.2</v>
      </c>
      <c r="J689" s="18" t="n">
        <v>937.85</v>
      </c>
      <c r="K689" s="19" t="n">
        <v>19.36</v>
      </c>
      <c r="L689" s="15" t="n">
        <f aca="false">YEAR(B689)</f>
        <v>2025</v>
      </c>
      <c r="M689" s="20" t="n">
        <f aca="false">IF(J689&gt;0,K689/J689,0)</f>
        <v>0.0206429599616143</v>
      </c>
    </row>
    <row r="690" customFormat="false" ht="15" hidden="false" customHeight="false" outlineLevel="0" collapsed="false">
      <c r="A690" s="15" t="s">
        <v>747</v>
      </c>
      <c r="B690" s="16" t="n">
        <v>45675</v>
      </c>
      <c r="C690" s="15" t="s">
        <v>56</v>
      </c>
      <c r="D690" s="15" t="s">
        <v>42</v>
      </c>
      <c r="E690" s="15" t="s">
        <v>39</v>
      </c>
      <c r="F690" s="15" t="s">
        <v>18</v>
      </c>
      <c r="G690" s="15" t="s">
        <v>24</v>
      </c>
      <c r="H690" s="15" t="n">
        <v>2</v>
      </c>
      <c r="I690" s="17" t="n">
        <v>0.1</v>
      </c>
      <c r="J690" s="18" t="n">
        <v>1250.94</v>
      </c>
      <c r="K690" s="19" t="n">
        <v>-44.51</v>
      </c>
      <c r="L690" s="15" t="n">
        <f aca="false">YEAR(B690)</f>
        <v>2025</v>
      </c>
      <c r="M690" s="20" t="n">
        <f aca="false">IF(J690&gt;0,K690/J690,0)</f>
        <v>-0.0355812429053352</v>
      </c>
    </row>
    <row r="691" customFormat="false" ht="15" hidden="false" customHeight="false" outlineLevel="0" collapsed="false">
      <c r="A691" s="15" t="s">
        <v>748</v>
      </c>
      <c r="B691" s="16" t="n">
        <v>45240</v>
      </c>
      <c r="C691" s="15" t="s">
        <v>56</v>
      </c>
      <c r="D691" s="15" t="s">
        <v>42</v>
      </c>
      <c r="E691" s="15" t="s">
        <v>37</v>
      </c>
      <c r="F691" s="15" t="s">
        <v>17</v>
      </c>
      <c r="G691" s="15" t="s">
        <v>31</v>
      </c>
      <c r="H691" s="15" t="n">
        <v>7</v>
      </c>
      <c r="I691" s="17" t="n">
        <v>0</v>
      </c>
      <c r="J691" s="18" t="n">
        <v>1007.5</v>
      </c>
      <c r="K691" s="19" t="n">
        <v>225.95</v>
      </c>
      <c r="L691" s="15" t="n">
        <f aca="false">YEAR(B691)</f>
        <v>2023</v>
      </c>
      <c r="M691" s="20" t="n">
        <f aca="false">IF(J691&gt;0,K691/J691,0)</f>
        <v>0.224267990074442</v>
      </c>
    </row>
    <row r="692" customFormat="false" ht="15" hidden="false" customHeight="false" outlineLevel="0" collapsed="false">
      <c r="A692" s="15" t="s">
        <v>749</v>
      </c>
      <c r="B692" s="16" t="n">
        <v>44996</v>
      </c>
      <c r="C692" s="15" t="s">
        <v>56</v>
      </c>
      <c r="D692" s="15" t="s">
        <v>43</v>
      </c>
      <c r="E692" s="15" t="s">
        <v>36</v>
      </c>
      <c r="F692" s="15" t="s">
        <v>16</v>
      </c>
      <c r="G692" s="15" t="s">
        <v>25</v>
      </c>
      <c r="H692" s="15" t="n">
        <v>7</v>
      </c>
      <c r="I692" s="17" t="n">
        <v>0.15</v>
      </c>
      <c r="J692" s="18" t="n">
        <v>1454.71</v>
      </c>
      <c r="K692" s="19" t="n">
        <v>6.92</v>
      </c>
      <c r="L692" s="15" t="n">
        <f aca="false">YEAR(B692)</f>
        <v>2023</v>
      </c>
      <c r="M692" s="20" t="n">
        <f aca="false">IF(J692&gt;0,K692/J692,0)</f>
        <v>0.0047569618686886</v>
      </c>
    </row>
    <row r="693" customFormat="false" ht="15" hidden="false" customHeight="false" outlineLevel="0" collapsed="false">
      <c r="A693" s="15" t="s">
        <v>750</v>
      </c>
      <c r="B693" s="16" t="n">
        <v>45136</v>
      </c>
      <c r="C693" s="15" t="s">
        <v>56</v>
      </c>
      <c r="D693" s="15" t="s">
        <v>43</v>
      </c>
      <c r="E693" s="15" t="s">
        <v>37</v>
      </c>
      <c r="F693" s="15" t="s">
        <v>17</v>
      </c>
      <c r="G693" s="15" t="s">
        <v>28</v>
      </c>
      <c r="H693" s="15" t="n">
        <v>2</v>
      </c>
      <c r="I693" s="17" t="n">
        <v>0.2</v>
      </c>
      <c r="J693" s="18" t="n">
        <v>36.95</v>
      </c>
      <c r="K693" s="19" t="n">
        <v>3.41</v>
      </c>
      <c r="L693" s="15" t="n">
        <f aca="false">YEAR(B693)</f>
        <v>2023</v>
      </c>
      <c r="M693" s="20" t="n">
        <f aca="false">IF(J693&gt;0,K693/J693,0)</f>
        <v>0.0922868741542625</v>
      </c>
    </row>
    <row r="694" customFormat="false" ht="15" hidden="false" customHeight="false" outlineLevel="0" collapsed="false">
      <c r="A694" s="15" t="s">
        <v>751</v>
      </c>
      <c r="B694" s="16" t="n">
        <v>45194</v>
      </c>
      <c r="C694" s="15" t="s">
        <v>56</v>
      </c>
      <c r="D694" s="15" t="s">
        <v>42</v>
      </c>
      <c r="E694" s="15" t="s">
        <v>36</v>
      </c>
      <c r="F694" s="15" t="s">
        <v>17</v>
      </c>
      <c r="G694" s="15" t="s">
        <v>28</v>
      </c>
      <c r="H694" s="15" t="n">
        <v>4</v>
      </c>
      <c r="I694" s="17" t="n">
        <v>0.05</v>
      </c>
      <c r="J694" s="18" t="n">
        <v>67.62</v>
      </c>
      <c r="K694" s="19" t="n">
        <v>17.76</v>
      </c>
      <c r="L694" s="15" t="n">
        <f aca="false">YEAR(B694)</f>
        <v>2023</v>
      </c>
      <c r="M694" s="20" t="n">
        <f aca="false">IF(J694&gt;0,K694/J694,0)</f>
        <v>0.262644188110027</v>
      </c>
    </row>
    <row r="695" customFormat="false" ht="15" hidden="false" customHeight="false" outlineLevel="0" collapsed="false">
      <c r="A695" s="15" t="s">
        <v>752</v>
      </c>
      <c r="B695" s="16" t="n">
        <v>45274</v>
      </c>
      <c r="C695" s="15" t="s">
        <v>71</v>
      </c>
      <c r="D695" s="15" t="s">
        <v>43</v>
      </c>
      <c r="E695" s="15" t="s">
        <v>39</v>
      </c>
      <c r="F695" s="15" t="s">
        <v>18</v>
      </c>
      <c r="G695" s="15" t="s">
        <v>30</v>
      </c>
      <c r="H695" s="15" t="n">
        <v>6</v>
      </c>
      <c r="I695" s="17" t="n">
        <v>0.1</v>
      </c>
      <c r="J695" s="18" t="n">
        <v>280.78</v>
      </c>
      <c r="K695" s="19" t="n">
        <v>31.52</v>
      </c>
      <c r="L695" s="15" t="n">
        <f aca="false">YEAR(B695)</f>
        <v>2023</v>
      </c>
      <c r="M695" s="20" t="n">
        <f aca="false">IF(J695&gt;0,K695/J695,0)</f>
        <v>0.112258707885177</v>
      </c>
    </row>
    <row r="696" customFormat="false" ht="15" hidden="false" customHeight="false" outlineLevel="0" collapsed="false">
      <c r="A696" s="15" t="s">
        <v>753</v>
      </c>
      <c r="B696" s="16" t="n">
        <v>45482</v>
      </c>
      <c r="C696" s="15" t="s">
        <v>56</v>
      </c>
      <c r="D696" s="15" t="s">
        <v>42</v>
      </c>
      <c r="E696" s="15" t="s">
        <v>39</v>
      </c>
      <c r="F696" s="15" t="s">
        <v>17</v>
      </c>
      <c r="G696" s="15" t="s">
        <v>31</v>
      </c>
      <c r="H696" s="15" t="n">
        <v>1</v>
      </c>
      <c r="I696" s="17" t="n">
        <v>0</v>
      </c>
      <c r="J696" s="18" t="n">
        <v>126.1</v>
      </c>
      <c r="K696" s="19" t="n">
        <v>21.44</v>
      </c>
      <c r="L696" s="15" t="n">
        <f aca="false">YEAR(B696)</f>
        <v>2024</v>
      </c>
      <c r="M696" s="20" t="n">
        <f aca="false">IF(J696&gt;0,K696/J696,0)</f>
        <v>0.170023790642347</v>
      </c>
    </row>
    <row r="697" customFormat="false" ht="15" hidden="false" customHeight="false" outlineLevel="0" collapsed="false">
      <c r="A697" s="15" t="s">
        <v>754</v>
      </c>
      <c r="B697" s="16" t="n">
        <v>44685</v>
      </c>
      <c r="C697" s="15" t="s">
        <v>68</v>
      </c>
      <c r="D697" s="15" t="s">
        <v>42</v>
      </c>
      <c r="E697" s="15" t="s">
        <v>39</v>
      </c>
      <c r="F697" s="15" t="s">
        <v>18</v>
      </c>
      <c r="G697" s="15" t="s">
        <v>30</v>
      </c>
      <c r="H697" s="15" t="n">
        <v>5</v>
      </c>
      <c r="I697" s="17" t="n">
        <v>0.15</v>
      </c>
      <c r="J697" s="18" t="n">
        <v>219.58</v>
      </c>
      <c r="K697" s="19" t="n">
        <v>25.08</v>
      </c>
      <c r="L697" s="15" t="n">
        <f aca="false">YEAR(B697)</f>
        <v>2022</v>
      </c>
      <c r="M697" s="20" t="n">
        <f aca="false">IF(J697&gt;0,K697/J697,0)</f>
        <v>0.11421805264596</v>
      </c>
    </row>
    <row r="698" customFormat="false" ht="15" hidden="false" customHeight="false" outlineLevel="0" collapsed="false">
      <c r="A698" s="15" t="s">
        <v>755</v>
      </c>
      <c r="B698" s="16" t="n">
        <v>45548</v>
      </c>
      <c r="C698" s="15" t="s">
        <v>56</v>
      </c>
      <c r="D698" s="15" t="s">
        <v>42</v>
      </c>
      <c r="E698" s="15" t="s">
        <v>37</v>
      </c>
      <c r="F698" s="15" t="s">
        <v>16</v>
      </c>
      <c r="G698" s="15" t="s">
        <v>22</v>
      </c>
      <c r="H698" s="15" t="n">
        <v>6</v>
      </c>
      <c r="I698" s="17" t="n">
        <v>0.1</v>
      </c>
      <c r="J698" s="18" t="n">
        <v>3349.62</v>
      </c>
      <c r="K698" s="19" t="n">
        <v>-515.74</v>
      </c>
      <c r="L698" s="15" t="n">
        <f aca="false">YEAR(B698)</f>
        <v>2024</v>
      </c>
      <c r="M698" s="20" t="n">
        <f aca="false">IF(J698&gt;0,K698/J698,0)</f>
        <v>-0.153969704026128</v>
      </c>
    </row>
    <row r="699" customFormat="false" ht="15" hidden="false" customHeight="false" outlineLevel="0" collapsed="false">
      <c r="A699" s="15" t="s">
        <v>756</v>
      </c>
      <c r="B699" s="16" t="n">
        <v>44978</v>
      </c>
      <c r="C699" s="15" t="s">
        <v>56</v>
      </c>
      <c r="D699" s="15" t="s">
        <v>42</v>
      </c>
      <c r="E699" s="15" t="s">
        <v>39</v>
      </c>
      <c r="F699" s="15" t="s">
        <v>16</v>
      </c>
      <c r="G699" s="15" t="s">
        <v>25</v>
      </c>
      <c r="H699" s="15" t="n">
        <v>4</v>
      </c>
      <c r="I699" s="17" t="n">
        <v>0.3</v>
      </c>
      <c r="J699" s="18" t="n">
        <v>786.67</v>
      </c>
      <c r="K699" s="19" t="n">
        <v>-124.37</v>
      </c>
      <c r="L699" s="15" t="n">
        <f aca="false">YEAR(B699)</f>
        <v>2023</v>
      </c>
      <c r="M699" s="20" t="n">
        <f aca="false">IF(J699&gt;0,K699/J699,0)</f>
        <v>-0.158096787725476</v>
      </c>
    </row>
    <row r="700" customFormat="false" ht="15" hidden="false" customHeight="false" outlineLevel="0" collapsed="false">
      <c r="A700" s="15" t="s">
        <v>757</v>
      </c>
      <c r="B700" s="16" t="n">
        <v>45083</v>
      </c>
      <c r="C700" s="15" t="s">
        <v>68</v>
      </c>
      <c r="D700" s="15" t="s">
        <v>43</v>
      </c>
      <c r="E700" s="15" t="s">
        <v>39</v>
      </c>
      <c r="F700" s="15" t="s">
        <v>18</v>
      </c>
      <c r="G700" s="15" t="s">
        <v>30</v>
      </c>
      <c r="H700" s="15" t="n">
        <v>1</v>
      </c>
      <c r="I700" s="17" t="n">
        <v>0.2</v>
      </c>
      <c r="J700" s="18" t="n">
        <v>31.8</v>
      </c>
      <c r="K700" s="19" t="n">
        <v>4.38</v>
      </c>
      <c r="L700" s="15" t="n">
        <f aca="false">YEAR(B700)</f>
        <v>2023</v>
      </c>
      <c r="M700" s="20" t="n">
        <f aca="false">IF(J700&gt;0,K700/J700,0)</f>
        <v>0.137735849056604</v>
      </c>
    </row>
    <row r="701" customFormat="false" ht="15" hidden="false" customHeight="false" outlineLevel="0" collapsed="false">
      <c r="A701" s="15" t="s">
        <v>758</v>
      </c>
      <c r="B701" s="16" t="n">
        <v>45869</v>
      </c>
      <c r="C701" s="15" t="s">
        <v>71</v>
      </c>
      <c r="D701" s="15" t="s">
        <v>42</v>
      </c>
      <c r="E701" s="15" t="s">
        <v>39</v>
      </c>
      <c r="F701" s="15" t="s">
        <v>17</v>
      </c>
      <c r="G701" s="15" t="s">
        <v>31</v>
      </c>
      <c r="H701" s="15" t="n">
        <v>2</v>
      </c>
      <c r="I701" s="17" t="n">
        <v>0.4</v>
      </c>
      <c r="J701" s="18" t="n">
        <v>145.16</v>
      </c>
      <c r="K701" s="19" t="n">
        <v>-19.19</v>
      </c>
      <c r="L701" s="15" t="n">
        <f aca="false">YEAR(B701)</f>
        <v>2025</v>
      </c>
      <c r="M701" s="20" t="n">
        <f aca="false">IF(J701&gt;0,K701/J701,0)</f>
        <v>-0.132198952879581</v>
      </c>
    </row>
    <row r="702" customFormat="false" ht="15" hidden="false" customHeight="false" outlineLevel="0" collapsed="false">
      <c r="A702" s="15" t="s">
        <v>759</v>
      </c>
      <c r="B702" s="16" t="n">
        <v>44571</v>
      </c>
      <c r="C702" s="15" t="s">
        <v>58</v>
      </c>
      <c r="D702" s="15" t="s">
        <v>44</v>
      </c>
      <c r="E702" s="15" t="s">
        <v>38</v>
      </c>
      <c r="F702" s="15" t="s">
        <v>17</v>
      </c>
      <c r="G702" s="15" t="s">
        <v>26</v>
      </c>
      <c r="H702" s="15" t="n">
        <v>3</v>
      </c>
      <c r="I702" s="17" t="n">
        <v>0</v>
      </c>
      <c r="J702" s="18" t="n">
        <v>238.69</v>
      </c>
      <c r="K702" s="19" t="n">
        <v>39.51</v>
      </c>
      <c r="L702" s="15" t="n">
        <f aca="false">YEAR(B702)</f>
        <v>2022</v>
      </c>
      <c r="M702" s="20" t="n">
        <f aca="false">IF(J702&gt;0,K702/J702,0)</f>
        <v>0.165528509782563</v>
      </c>
    </row>
    <row r="703" customFormat="false" ht="15" hidden="false" customHeight="false" outlineLevel="0" collapsed="false">
      <c r="A703" s="15" t="s">
        <v>760</v>
      </c>
      <c r="B703" s="16" t="n">
        <v>45641</v>
      </c>
      <c r="C703" s="15" t="s">
        <v>56</v>
      </c>
      <c r="D703" s="15" t="s">
        <v>44</v>
      </c>
      <c r="E703" s="15" t="s">
        <v>37</v>
      </c>
      <c r="F703" s="15" t="s">
        <v>16</v>
      </c>
      <c r="G703" s="15" t="s">
        <v>25</v>
      </c>
      <c r="H703" s="15" t="n">
        <v>3</v>
      </c>
      <c r="I703" s="17" t="n">
        <v>0.2</v>
      </c>
      <c r="J703" s="18" t="n">
        <v>692.24</v>
      </c>
      <c r="K703" s="19" t="n">
        <v>-10.01</v>
      </c>
      <c r="L703" s="15" t="n">
        <f aca="false">YEAR(B703)</f>
        <v>2024</v>
      </c>
      <c r="M703" s="20" t="n">
        <f aca="false">IF(J703&gt;0,K703/J703,0)</f>
        <v>-0.0144603027851612</v>
      </c>
    </row>
    <row r="704" customFormat="false" ht="15" hidden="false" customHeight="false" outlineLevel="0" collapsed="false">
      <c r="A704" s="15" t="s">
        <v>761</v>
      </c>
      <c r="B704" s="16" t="n">
        <v>44574</v>
      </c>
      <c r="C704" s="15" t="s">
        <v>56</v>
      </c>
      <c r="D704" s="15" t="s">
        <v>43</v>
      </c>
      <c r="E704" s="15" t="s">
        <v>38</v>
      </c>
      <c r="F704" s="15" t="s">
        <v>18</v>
      </c>
      <c r="G704" s="15" t="s">
        <v>30</v>
      </c>
      <c r="H704" s="15" t="n">
        <v>3</v>
      </c>
      <c r="I704" s="17" t="n">
        <v>0</v>
      </c>
      <c r="J704" s="18" t="n">
        <v>120.09</v>
      </c>
      <c r="K704" s="19" t="n">
        <v>36.76</v>
      </c>
      <c r="L704" s="15" t="n">
        <f aca="false">YEAR(B704)</f>
        <v>2022</v>
      </c>
      <c r="M704" s="20" t="n">
        <f aca="false">IF(J704&gt;0,K704/J704,0)</f>
        <v>0.306103755516696</v>
      </c>
    </row>
    <row r="705" customFormat="false" ht="15" hidden="false" customHeight="false" outlineLevel="0" collapsed="false">
      <c r="A705" s="15" t="s">
        <v>762</v>
      </c>
      <c r="B705" s="16" t="n">
        <v>44970</v>
      </c>
      <c r="C705" s="15" t="s">
        <v>56</v>
      </c>
      <c r="D705" s="15" t="s">
        <v>42</v>
      </c>
      <c r="E705" s="15" t="s">
        <v>37</v>
      </c>
      <c r="F705" s="15" t="s">
        <v>17</v>
      </c>
      <c r="G705" s="15" t="s">
        <v>29</v>
      </c>
      <c r="H705" s="15" t="n">
        <v>7</v>
      </c>
      <c r="I705" s="17" t="n">
        <v>0</v>
      </c>
      <c r="J705" s="18" t="n">
        <v>162.85</v>
      </c>
      <c r="K705" s="19" t="n">
        <v>64.94</v>
      </c>
      <c r="L705" s="15" t="n">
        <f aca="false">YEAR(B705)</f>
        <v>2023</v>
      </c>
      <c r="M705" s="20" t="n">
        <f aca="false">IF(J705&gt;0,K705/J705,0)</f>
        <v>0.398771875959472</v>
      </c>
    </row>
    <row r="706" customFormat="false" ht="15" hidden="false" customHeight="false" outlineLevel="0" collapsed="false">
      <c r="A706" s="15" t="s">
        <v>763</v>
      </c>
      <c r="B706" s="16" t="n">
        <v>45853</v>
      </c>
      <c r="C706" s="15" t="s">
        <v>56</v>
      </c>
      <c r="D706" s="15" t="s">
        <v>42</v>
      </c>
      <c r="E706" s="15" t="s">
        <v>39</v>
      </c>
      <c r="F706" s="15" t="s">
        <v>18</v>
      </c>
      <c r="G706" s="15" t="s">
        <v>32</v>
      </c>
      <c r="H706" s="15" t="n">
        <v>2</v>
      </c>
      <c r="I706" s="17" t="n">
        <v>0.4</v>
      </c>
      <c r="J706" s="18" t="n">
        <v>614.04</v>
      </c>
      <c r="K706" s="19" t="n">
        <v>-161.28</v>
      </c>
      <c r="L706" s="15" t="n">
        <f aca="false">YEAR(B706)</f>
        <v>2025</v>
      </c>
      <c r="M706" s="20" t="n">
        <f aca="false">IF(J706&gt;0,K706/J706,0)</f>
        <v>-0.26265389876881</v>
      </c>
    </row>
    <row r="707" customFormat="false" ht="15" hidden="false" customHeight="false" outlineLevel="0" collapsed="false">
      <c r="A707" s="15" t="s">
        <v>764</v>
      </c>
      <c r="B707" s="16" t="n">
        <v>45068</v>
      </c>
      <c r="C707" s="15" t="s">
        <v>68</v>
      </c>
      <c r="D707" s="15" t="s">
        <v>44</v>
      </c>
      <c r="E707" s="15" t="s">
        <v>37</v>
      </c>
      <c r="F707" s="15" t="s">
        <v>18</v>
      </c>
      <c r="G707" s="15" t="s">
        <v>30</v>
      </c>
      <c r="H707" s="15" t="n">
        <v>5</v>
      </c>
      <c r="I707" s="17" t="n">
        <v>0</v>
      </c>
      <c r="J707" s="18" t="n">
        <v>209.34</v>
      </c>
      <c r="K707" s="19" t="n">
        <v>58.96</v>
      </c>
      <c r="L707" s="15" t="n">
        <f aca="false">YEAR(B707)</f>
        <v>2023</v>
      </c>
      <c r="M707" s="20" t="n">
        <f aca="false">IF(J707&gt;0,K707/J707,0)</f>
        <v>0.281647081303143</v>
      </c>
    </row>
    <row r="708" customFormat="false" ht="15" hidden="false" customHeight="false" outlineLevel="0" collapsed="false">
      <c r="A708" s="15" t="s">
        <v>765</v>
      </c>
      <c r="B708" s="16" t="n">
        <v>44903</v>
      </c>
      <c r="C708" s="15" t="s">
        <v>56</v>
      </c>
      <c r="D708" s="15" t="s">
        <v>43</v>
      </c>
      <c r="E708" s="15" t="s">
        <v>39</v>
      </c>
      <c r="F708" s="15" t="s">
        <v>17</v>
      </c>
      <c r="G708" s="15" t="s">
        <v>29</v>
      </c>
      <c r="H708" s="15" t="n">
        <v>2</v>
      </c>
      <c r="I708" s="17" t="n">
        <v>0</v>
      </c>
      <c r="J708" s="18" t="n">
        <v>45.68</v>
      </c>
      <c r="K708" s="19" t="n">
        <v>20.81</v>
      </c>
      <c r="L708" s="15" t="n">
        <f aca="false">YEAR(B708)</f>
        <v>2022</v>
      </c>
      <c r="M708" s="20" t="n">
        <f aca="false">IF(J708&gt;0,K708/J708,0)</f>
        <v>0.455560420315236</v>
      </c>
    </row>
    <row r="709" customFormat="false" ht="15" hidden="false" customHeight="false" outlineLevel="0" collapsed="false">
      <c r="A709" s="15" t="s">
        <v>766</v>
      </c>
      <c r="B709" s="16" t="n">
        <v>45159</v>
      </c>
      <c r="C709" s="15" t="s">
        <v>56</v>
      </c>
      <c r="D709" s="15" t="s">
        <v>44</v>
      </c>
      <c r="E709" s="15" t="s">
        <v>39</v>
      </c>
      <c r="F709" s="15" t="s">
        <v>17</v>
      </c>
      <c r="G709" s="15" t="s">
        <v>26</v>
      </c>
      <c r="H709" s="15" t="n">
        <v>5</v>
      </c>
      <c r="I709" s="17" t="n">
        <v>0</v>
      </c>
      <c r="J709" s="18" t="n">
        <v>500.48</v>
      </c>
      <c r="K709" s="19" t="n">
        <v>91.26</v>
      </c>
      <c r="L709" s="15" t="n">
        <f aca="false">YEAR(B709)</f>
        <v>2023</v>
      </c>
      <c r="M709" s="20" t="n">
        <f aca="false">IF(J709&gt;0,K709/J709,0)</f>
        <v>0.182344948849105</v>
      </c>
    </row>
    <row r="710" customFormat="false" ht="15" hidden="false" customHeight="false" outlineLevel="0" collapsed="false">
      <c r="A710" s="15" t="s">
        <v>767</v>
      </c>
      <c r="B710" s="16" t="n">
        <v>44687</v>
      </c>
      <c r="C710" s="15" t="s">
        <v>56</v>
      </c>
      <c r="D710" s="15" t="s">
        <v>42</v>
      </c>
      <c r="E710" s="15" t="s">
        <v>37</v>
      </c>
      <c r="F710" s="15" t="s">
        <v>17</v>
      </c>
      <c r="G710" s="15" t="s">
        <v>29</v>
      </c>
      <c r="H710" s="15" t="n">
        <v>8</v>
      </c>
      <c r="I710" s="17" t="n">
        <v>0.05</v>
      </c>
      <c r="J710" s="18" t="n">
        <v>136.73</v>
      </c>
      <c r="K710" s="19" t="n">
        <v>54.71</v>
      </c>
      <c r="L710" s="15" t="n">
        <f aca="false">YEAR(B710)</f>
        <v>2022</v>
      </c>
      <c r="M710" s="20" t="n">
        <f aca="false">IF(J710&gt;0,K710/J710,0)</f>
        <v>0.400131646310247</v>
      </c>
    </row>
    <row r="711" customFormat="false" ht="15" hidden="false" customHeight="false" outlineLevel="0" collapsed="false">
      <c r="A711" s="15" t="s">
        <v>768</v>
      </c>
      <c r="B711" s="16" t="n">
        <v>45153</v>
      </c>
      <c r="C711" s="15" t="s">
        <v>71</v>
      </c>
      <c r="D711" s="15" t="s">
        <v>43</v>
      </c>
      <c r="E711" s="15" t="s">
        <v>36</v>
      </c>
      <c r="F711" s="15" t="s">
        <v>17</v>
      </c>
      <c r="G711" s="15" t="s">
        <v>26</v>
      </c>
      <c r="H711" s="15" t="n">
        <v>3</v>
      </c>
      <c r="I711" s="17" t="n">
        <v>0</v>
      </c>
      <c r="J711" s="18" t="n">
        <v>310.96</v>
      </c>
      <c r="K711" s="19" t="n">
        <v>18.7</v>
      </c>
      <c r="L711" s="15" t="n">
        <f aca="false">YEAR(B711)</f>
        <v>2023</v>
      </c>
      <c r="M711" s="20" t="n">
        <f aca="false">IF(J711&gt;0,K711/J711,0)</f>
        <v>0.060136351942372</v>
      </c>
    </row>
    <row r="712" customFormat="false" ht="15" hidden="false" customHeight="false" outlineLevel="0" collapsed="false">
      <c r="A712" s="15" t="s">
        <v>769</v>
      </c>
      <c r="B712" s="16" t="n">
        <v>45484</v>
      </c>
      <c r="C712" s="15" t="s">
        <v>71</v>
      </c>
      <c r="D712" s="15" t="s">
        <v>43</v>
      </c>
      <c r="E712" s="15" t="s">
        <v>38</v>
      </c>
      <c r="F712" s="15" t="s">
        <v>17</v>
      </c>
      <c r="G712" s="15" t="s">
        <v>29</v>
      </c>
      <c r="H712" s="15" t="n">
        <v>5</v>
      </c>
      <c r="I712" s="17" t="n">
        <v>0</v>
      </c>
      <c r="J712" s="18" t="n">
        <v>82.26</v>
      </c>
      <c r="K712" s="19" t="n">
        <v>32.06</v>
      </c>
      <c r="L712" s="15" t="n">
        <f aca="false">YEAR(B712)</f>
        <v>2024</v>
      </c>
      <c r="M712" s="20" t="n">
        <f aca="false">IF(J712&gt;0,K712/J712,0)</f>
        <v>0.389739849258449</v>
      </c>
    </row>
    <row r="713" customFormat="false" ht="15" hidden="false" customHeight="false" outlineLevel="0" collapsed="false">
      <c r="A713" s="15" t="s">
        <v>770</v>
      </c>
      <c r="B713" s="16" t="n">
        <v>45898</v>
      </c>
      <c r="C713" s="15" t="s">
        <v>56</v>
      </c>
      <c r="D713" s="15" t="s">
        <v>43</v>
      </c>
      <c r="E713" s="15" t="s">
        <v>39</v>
      </c>
      <c r="F713" s="15" t="s">
        <v>17</v>
      </c>
      <c r="G713" s="15" t="s">
        <v>29</v>
      </c>
      <c r="H713" s="15" t="n">
        <v>4</v>
      </c>
      <c r="I713" s="17" t="n">
        <v>0</v>
      </c>
      <c r="J713" s="18" t="n">
        <v>76.15</v>
      </c>
      <c r="K713" s="19" t="n">
        <v>28.33</v>
      </c>
      <c r="L713" s="15" t="n">
        <f aca="false">YEAR(B713)</f>
        <v>2025</v>
      </c>
      <c r="M713" s="20" t="n">
        <f aca="false">IF(J713&gt;0,K713/J713,0)</f>
        <v>0.372028890347997</v>
      </c>
    </row>
    <row r="714" customFormat="false" ht="15" hidden="false" customHeight="false" outlineLevel="0" collapsed="false">
      <c r="A714" s="15" t="s">
        <v>771</v>
      </c>
      <c r="B714" s="16" t="n">
        <v>45295</v>
      </c>
      <c r="C714" s="15" t="s">
        <v>56</v>
      </c>
      <c r="D714" s="15" t="s">
        <v>42</v>
      </c>
      <c r="E714" s="15" t="s">
        <v>37</v>
      </c>
      <c r="F714" s="15" t="s">
        <v>17</v>
      </c>
      <c r="G714" s="15" t="s">
        <v>28</v>
      </c>
      <c r="H714" s="15" t="n">
        <v>3</v>
      </c>
      <c r="I714" s="17" t="n">
        <v>0</v>
      </c>
      <c r="J714" s="18" t="n">
        <v>90.74</v>
      </c>
      <c r="K714" s="19" t="n">
        <v>26.82</v>
      </c>
      <c r="L714" s="15" t="n">
        <f aca="false">YEAR(B714)</f>
        <v>2024</v>
      </c>
      <c r="M714" s="20" t="n">
        <f aca="false">IF(J714&gt;0,K714/J714,0)</f>
        <v>0.295569759753141</v>
      </c>
    </row>
    <row r="715" customFormat="false" ht="15" hidden="false" customHeight="false" outlineLevel="0" collapsed="false">
      <c r="A715" s="15" t="s">
        <v>772</v>
      </c>
      <c r="B715" s="16" t="n">
        <v>45419</v>
      </c>
      <c r="C715" s="15" t="s">
        <v>71</v>
      </c>
      <c r="D715" s="15" t="s">
        <v>42</v>
      </c>
      <c r="E715" s="15" t="s">
        <v>36</v>
      </c>
      <c r="F715" s="15" t="s">
        <v>17</v>
      </c>
      <c r="G715" s="15" t="s">
        <v>28</v>
      </c>
      <c r="H715" s="15" t="n">
        <v>3</v>
      </c>
      <c r="I715" s="17" t="n">
        <v>0.15</v>
      </c>
      <c r="J715" s="18" t="n">
        <v>47.81</v>
      </c>
      <c r="K715" s="19" t="n">
        <v>9.53</v>
      </c>
      <c r="L715" s="15" t="n">
        <f aca="false">YEAR(B715)</f>
        <v>2024</v>
      </c>
      <c r="M715" s="20" t="n">
        <f aca="false">IF(J715&gt;0,K715/J715,0)</f>
        <v>0.199330683957331</v>
      </c>
    </row>
    <row r="716" customFormat="false" ht="15" hidden="false" customHeight="false" outlineLevel="0" collapsed="false">
      <c r="A716" s="15" t="s">
        <v>773</v>
      </c>
      <c r="B716" s="16" t="n">
        <v>45479</v>
      </c>
      <c r="C716" s="15" t="s">
        <v>56</v>
      </c>
      <c r="D716" s="15" t="s">
        <v>43</v>
      </c>
      <c r="E716" s="15" t="s">
        <v>37</v>
      </c>
      <c r="F716" s="15" t="s">
        <v>16</v>
      </c>
      <c r="G716" s="15" t="s">
        <v>25</v>
      </c>
      <c r="H716" s="15" t="n">
        <v>2</v>
      </c>
      <c r="I716" s="17" t="n">
        <v>0.05</v>
      </c>
      <c r="J716" s="18" t="n">
        <v>618.07</v>
      </c>
      <c r="K716" s="19" t="n">
        <v>-5.46</v>
      </c>
      <c r="L716" s="15" t="n">
        <f aca="false">YEAR(B716)</f>
        <v>2024</v>
      </c>
      <c r="M716" s="20" t="n">
        <f aca="false">IF(J716&gt;0,K716/J716,0)</f>
        <v>-0.00883395084699144</v>
      </c>
    </row>
    <row r="717" customFormat="false" ht="15" hidden="false" customHeight="false" outlineLevel="0" collapsed="false">
      <c r="A717" s="15" t="s">
        <v>774</v>
      </c>
      <c r="B717" s="16" t="n">
        <v>45939</v>
      </c>
      <c r="C717" s="15" t="s">
        <v>56</v>
      </c>
      <c r="D717" s="15" t="s">
        <v>43</v>
      </c>
      <c r="E717" s="15" t="s">
        <v>39</v>
      </c>
      <c r="F717" s="15" t="s">
        <v>18</v>
      </c>
      <c r="G717" s="15" t="s">
        <v>32</v>
      </c>
      <c r="H717" s="15" t="n">
        <v>2</v>
      </c>
      <c r="I717" s="17" t="n">
        <v>0</v>
      </c>
      <c r="J717" s="18" t="n">
        <v>944.64</v>
      </c>
      <c r="K717" s="19" t="n">
        <v>140.2</v>
      </c>
      <c r="L717" s="15" t="n">
        <f aca="false">YEAR(B717)</f>
        <v>2025</v>
      </c>
      <c r="M717" s="20" t="n">
        <f aca="false">IF(J717&gt;0,K717/J717,0)</f>
        <v>0.148416327913279</v>
      </c>
    </row>
    <row r="718" customFormat="false" ht="15" hidden="false" customHeight="false" outlineLevel="0" collapsed="false">
      <c r="A718" s="15" t="s">
        <v>775</v>
      </c>
      <c r="B718" s="16" t="n">
        <v>45098</v>
      </c>
      <c r="C718" s="15" t="s">
        <v>56</v>
      </c>
      <c r="D718" s="15" t="s">
        <v>42</v>
      </c>
      <c r="E718" s="15" t="s">
        <v>39</v>
      </c>
      <c r="F718" s="15" t="s">
        <v>17</v>
      </c>
      <c r="G718" s="15" t="s">
        <v>29</v>
      </c>
      <c r="H718" s="15" t="n">
        <v>4</v>
      </c>
      <c r="I718" s="17" t="n">
        <v>0.1</v>
      </c>
      <c r="J718" s="18" t="n">
        <v>70.75</v>
      </c>
      <c r="K718" s="19" t="n">
        <v>16.96</v>
      </c>
      <c r="L718" s="15" t="n">
        <f aca="false">YEAR(B718)</f>
        <v>2023</v>
      </c>
      <c r="M718" s="20" t="n">
        <f aca="false">IF(J718&gt;0,K718/J718,0)</f>
        <v>0.239717314487633</v>
      </c>
    </row>
    <row r="719" customFormat="false" ht="15" hidden="false" customHeight="false" outlineLevel="0" collapsed="false">
      <c r="A719" s="15" t="s">
        <v>776</v>
      </c>
      <c r="B719" s="16" t="n">
        <v>45476</v>
      </c>
      <c r="C719" s="15" t="s">
        <v>56</v>
      </c>
      <c r="D719" s="15" t="s">
        <v>44</v>
      </c>
      <c r="E719" s="15" t="s">
        <v>38</v>
      </c>
      <c r="F719" s="15" t="s">
        <v>16</v>
      </c>
      <c r="G719" s="15" t="s">
        <v>27</v>
      </c>
      <c r="H719" s="15" t="n">
        <v>3</v>
      </c>
      <c r="I719" s="17" t="n">
        <v>0.5</v>
      </c>
      <c r="J719" s="18" t="n">
        <v>84.21</v>
      </c>
      <c r="K719" s="19" t="n">
        <v>-18.78</v>
      </c>
      <c r="L719" s="15" t="n">
        <f aca="false">YEAR(B719)</f>
        <v>2024</v>
      </c>
      <c r="M719" s="20" t="n">
        <f aca="false">IF(J719&gt;0,K719/J719,0)</f>
        <v>-0.223013893836837</v>
      </c>
    </row>
    <row r="720" customFormat="false" ht="15" hidden="false" customHeight="false" outlineLevel="0" collapsed="false">
      <c r="A720" s="15" t="s">
        <v>777</v>
      </c>
      <c r="B720" s="16" t="n">
        <v>45240</v>
      </c>
      <c r="C720" s="15" t="s">
        <v>56</v>
      </c>
      <c r="D720" s="15" t="s">
        <v>42</v>
      </c>
      <c r="E720" s="15" t="s">
        <v>39</v>
      </c>
      <c r="F720" s="15" t="s">
        <v>17</v>
      </c>
      <c r="G720" s="15" t="s">
        <v>28</v>
      </c>
      <c r="H720" s="15" t="n">
        <v>2</v>
      </c>
      <c r="I720" s="17" t="n">
        <v>0.2</v>
      </c>
      <c r="J720" s="18" t="n">
        <v>41.19</v>
      </c>
      <c r="K720" s="19" t="n">
        <v>7.19</v>
      </c>
      <c r="L720" s="15" t="n">
        <f aca="false">YEAR(B720)</f>
        <v>2023</v>
      </c>
      <c r="M720" s="20" t="n">
        <f aca="false">IF(J720&gt;0,K720/J720,0)</f>
        <v>0.174556931294003</v>
      </c>
    </row>
    <row r="721" customFormat="false" ht="15" hidden="false" customHeight="false" outlineLevel="0" collapsed="false">
      <c r="A721" s="15" t="s">
        <v>778</v>
      </c>
      <c r="B721" s="16" t="n">
        <v>44981</v>
      </c>
      <c r="C721" s="15" t="s">
        <v>56</v>
      </c>
      <c r="D721" s="15" t="s">
        <v>43</v>
      </c>
      <c r="E721" s="15" t="s">
        <v>38</v>
      </c>
      <c r="F721" s="15" t="s">
        <v>16</v>
      </c>
      <c r="G721" s="15" t="s">
        <v>22</v>
      </c>
      <c r="H721" s="15" t="n">
        <v>3</v>
      </c>
      <c r="I721" s="17" t="n">
        <v>0</v>
      </c>
      <c r="J721" s="18" t="n">
        <v>2061.23</v>
      </c>
      <c r="K721" s="19" t="n">
        <v>34.8</v>
      </c>
      <c r="L721" s="15" t="n">
        <f aca="false">YEAR(B721)</f>
        <v>2023</v>
      </c>
      <c r="M721" s="20" t="n">
        <f aca="false">IF(J721&gt;0,K721/J721,0)</f>
        <v>0.0168831231837301</v>
      </c>
    </row>
    <row r="722" customFormat="false" ht="15" hidden="false" customHeight="false" outlineLevel="0" collapsed="false">
      <c r="A722" s="15" t="s">
        <v>779</v>
      </c>
      <c r="B722" s="16" t="n">
        <v>45797</v>
      </c>
      <c r="C722" s="15" t="s">
        <v>68</v>
      </c>
      <c r="D722" s="15" t="s">
        <v>42</v>
      </c>
      <c r="E722" s="15" t="s">
        <v>36</v>
      </c>
      <c r="F722" s="15" t="s">
        <v>17</v>
      </c>
      <c r="G722" s="15" t="s">
        <v>29</v>
      </c>
      <c r="H722" s="15" t="n">
        <v>4</v>
      </c>
      <c r="I722" s="17" t="n">
        <v>0</v>
      </c>
      <c r="J722" s="18" t="n">
        <v>52.54</v>
      </c>
      <c r="K722" s="19" t="n">
        <v>20.19</v>
      </c>
      <c r="L722" s="15" t="n">
        <f aca="false">YEAR(B722)</f>
        <v>2025</v>
      </c>
      <c r="M722" s="20" t="n">
        <f aca="false">IF(J722&gt;0,K722/J722,0)</f>
        <v>0.384278644842025</v>
      </c>
    </row>
    <row r="723" customFormat="false" ht="15" hidden="false" customHeight="false" outlineLevel="0" collapsed="false">
      <c r="A723" s="15" t="s">
        <v>780</v>
      </c>
      <c r="B723" s="16" t="n">
        <v>44630</v>
      </c>
      <c r="C723" s="15" t="s">
        <v>71</v>
      </c>
      <c r="D723" s="15" t="s">
        <v>43</v>
      </c>
      <c r="E723" s="15" t="s">
        <v>36</v>
      </c>
      <c r="F723" s="15" t="s">
        <v>17</v>
      </c>
      <c r="G723" s="15" t="s">
        <v>28</v>
      </c>
      <c r="H723" s="15" t="n">
        <v>4</v>
      </c>
      <c r="I723" s="17" t="n">
        <v>0.2</v>
      </c>
      <c r="J723" s="18" t="n">
        <v>82.3</v>
      </c>
      <c r="K723" s="19" t="n">
        <v>8.15</v>
      </c>
      <c r="L723" s="15" t="n">
        <f aca="false">YEAR(B723)</f>
        <v>2022</v>
      </c>
      <c r="M723" s="20" t="n">
        <f aca="false">IF(J723&gt;0,K723/J723,0)</f>
        <v>0.0990279465370595</v>
      </c>
    </row>
    <row r="724" customFormat="false" ht="15" hidden="false" customHeight="false" outlineLevel="0" collapsed="false">
      <c r="A724" s="15" t="s">
        <v>781</v>
      </c>
      <c r="B724" s="16" t="n">
        <v>44606</v>
      </c>
      <c r="C724" s="15" t="s">
        <v>56</v>
      </c>
      <c r="D724" s="15" t="s">
        <v>43</v>
      </c>
      <c r="E724" s="15" t="s">
        <v>38</v>
      </c>
      <c r="F724" s="15" t="s">
        <v>18</v>
      </c>
      <c r="G724" s="15" t="s">
        <v>30</v>
      </c>
      <c r="H724" s="15" t="n">
        <v>6</v>
      </c>
      <c r="I724" s="17" t="n">
        <v>0</v>
      </c>
      <c r="J724" s="18" t="n">
        <v>247.18</v>
      </c>
      <c r="K724" s="19" t="n">
        <v>73.51</v>
      </c>
      <c r="L724" s="15" t="n">
        <f aca="false">YEAR(B724)</f>
        <v>2022</v>
      </c>
      <c r="M724" s="20" t="n">
        <f aca="false">IF(J724&gt;0,K724/J724,0)</f>
        <v>0.2973946112145</v>
      </c>
    </row>
    <row r="725" customFormat="false" ht="15" hidden="false" customHeight="false" outlineLevel="0" collapsed="false">
      <c r="A725" s="15" t="s">
        <v>782</v>
      </c>
      <c r="B725" s="16" t="n">
        <v>44948</v>
      </c>
      <c r="C725" s="15" t="s">
        <v>56</v>
      </c>
      <c r="D725" s="15" t="s">
        <v>43</v>
      </c>
      <c r="E725" s="15" t="s">
        <v>39</v>
      </c>
      <c r="F725" s="15" t="s">
        <v>17</v>
      </c>
      <c r="G725" s="15" t="s">
        <v>28</v>
      </c>
      <c r="H725" s="15" t="n">
        <v>3</v>
      </c>
      <c r="I725" s="17" t="n">
        <v>0</v>
      </c>
      <c r="J725" s="18" t="n">
        <v>84.75</v>
      </c>
      <c r="K725" s="19" t="n">
        <v>27.56</v>
      </c>
      <c r="L725" s="15" t="n">
        <f aca="false">YEAR(B725)</f>
        <v>2023</v>
      </c>
      <c r="M725" s="20" t="n">
        <f aca="false">IF(J725&gt;0,K725/J725,0)</f>
        <v>0.325191740412979</v>
      </c>
    </row>
    <row r="726" customFormat="false" ht="15" hidden="false" customHeight="false" outlineLevel="0" collapsed="false">
      <c r="A726" s="15" t="s">
        <v>783</v>
      </c>
      <c r="B726" s="16" t="n">
        <v>44617</v>
      </c>
      <c r="C726" s="15" t="s">
        <v>71</v>
      </c>
      <c r="D726" s="15" t="s">
        <v>44</v>
      </c>
      <c r="E726" s="15" t="s">
        <v>39</v>
      </c>
      <c r="F726" s="15" t="s">
        <v>17</v>
      </c>
      <c r="G726" s="15" t="s">
        <v>31</v>
      </c>
      <c r="H726" s="15" t="n">
        <v>5</v>
      </c>
      <c r="I726" s="17" t="n">
        <v>0</v>
      </c>
      <c r="J726" s="18" t="n">
        <v>896.83</v>
      </c>
      <c r="K726" s="19" t="n">
        <v>232.6</v>
      </c>
      <c r="L726" s="15" t="n">
        <f aca="false">YEAR(B726)</f>
        <v>2022</v>
      </c>
      <c r="M726" s="20" t="n">
        <f aca="false">IF(J726&gt;0,K726/J726,0)</f>
        <v>0.259357960817546</v>
      </c>
    </row>
    <row r="727" customFormat="false" ht="15" hidden="false" customHeight="false" outlineLevel="0" collapsed="false">
      <c r="A727" s="15" t="s">
        <v>784</v>
      </c>
      <c r="B727" s="16" t="n">
        <v>45457</v>
      </c>
      <c r="C727" s="15" t="s">
        <v>71</v>
      </c>
      <c r="D727" s="15" t="s">
        <v>42</v>
      </c>
      <c r="E727" s="15" t="s">
        <v>39</v>
      </c>
      <c r="F727" s="15" t="s">
        <v>17</v>
      </c>
      <c r="G727" s="15" t="s">
        <v>26</v>
      </c>
      <c r="H727" s="15" t="n">
        <v>5</v>
      </c>
      <c r="I727" s="17" t="n">
        <v>0</v>
      </c>
      <c r="J727" s="18" t="n">
        <v>522.78</v>
      </c>
      <c r="K727" s="19" t="n">
        <v>70.38</v>
      </c>
      <c r="L727" s="15" t="n">
        <f aca="false">YEAR(B727)</f>
        <v>2024</v>
      </c>
      <c r="M727" s="20" t="n">
        <f aca="false">IF(J727&gt;0,K727/J727,0)</f>
        <v>0.134626420291518</v>
      </c>
    </row>
    <row r="728" customFormat="false" ht="15" hidden="false" customHeight="false" outlineLevel="0" collapsed="false">
      <c r="A728" s="15" t="s">
        <v>785</v>
      </c>
      <c r="B728" s="16" t="n">
        <v>45307</v>
      </c>
      <c r="C728" s="15" t="s">
        <v>56</v>
      </c>
      <c r="D728" s="15" t="s">
        <v>44</v>
      </c>
      <c r="E728" s="15" t="s">
        <v>38</v>
      </c>
      <c r="F728" s="15" t="s">
        <v>17</v>
      </c>
      <c r="G728" s="15" t="s">
        <v>26</v>
      </c>
      <c r="H728" s="15" t="n">
        <v>3</v>
      </c>
      <c r="I728" s="17" t="n">
        <v>0</v>
      </c>
      <c r="J728" s="18" t="n">
        <v>196.81</v>
      </c>
      <c r="K728" s="19" t="n">
        <v>27.17</v>
      </c>
      <c r="L728" s="15" t="n">
        <f aca="false">YEAR(B728)</f>
        <v>2024</v>
      </c>
      <c r="M728" s="20" t="n">
        <f aca="false">IF(J728&gt;0,K728/J728,0)</f>
        <v>0.138051928255678</v>
      </c>
    </row>
    <row r="729" customFormat="false" ht="15" hidden="false" customHeight="false" outlineLevel="0" collapsed="false">
      <c r="A729" s="15" t="s">
        <v>786</v>
      </c>
      <c r="B729" s="16" t="n">
        <v>45615</v>
      </c>
      <c r="C729" s="15" t="s">
        <v>56</v>
      </c>
      <c r="D729" s="15" t="s">
        <v>42</v>
      </c>
      <c r="E729" s="15" t="s">
        <v>39</v>
      </c>
      <c r="F729" s="15" t="s">
        <v>18</v>
      </c>
      <c r="G729" s="15" t="s">
        <v>30</v>
      </c>
      <c r="H729" s="15" t="n">
        <v>1</v>
      </c>
      <c r="I729" s="17" t="n">
        <v>0</v>
      </c>
      <c r="J729" s="18" t="n">
        <v>47.88</v>
      </c>
      <c r="K729" s="19" t="n">
        <v>13.07</v>
      </c>
      <c r="L729" s="15" t="n">
        <f aca="false">YEAR(B729)</f>
        <v>2024</v>
      </c>
      <c r="M729" s="20" t="n">
        <f aca="false">IF(J729&gt;0,K729/J729,0)</f>
        <v>0.27297410192147</v>
      </c>
    </row>
    <row r="730" customFormat="false" ht="15" hidden="false" customHeight="false" outlineLevel="0" collapsed="false">
      <c r="A730" s="15" t="s">
        <v>787</v>
      </c>
      <c r="B730" s="16" t="n">
        <v>44854</v>
      </c>
      <c r="C730" s="15" t="s">
        <v>56</v>
      </c>
      <c r="D730" s="15" t="s">
        <v>42</v>
      </c>
      <c r="E730" s="15" t="s">
        <v>39</v>
      </c>
      <c r="F730" s="15" t="s">
        <v>17</v>
      </c>
      <c r="G730" s="15" t="s">
        <v>26</v>
      </c>
      <c r="H730" s="15" t="n">
        <v>4</v>
      </c>
      <c r="I730" s="17" t="n">
        <v>0.2</v>
      </c>
      <c r="J730" s="18" t="n">
        <v>259.88</v>
      </c>
      <c r="K730" s="19" t="n">
        <v>-8.26</v>
      </c>
      <c r="L730" s="15" t="n">
        <f aca="false">YEAR(B730)</f>
        <v>2022</v>
      </c>
      <c r="M730" s="20" t="n">
        <f aca="false">IF(J730&gt;0,K730/J730,0)</f>
        <v>-0.0317839002616592</v>
      </c>
    </row>
    <row r="731" customFormat="false" ht="15" hidden="false" customHeight="false" outlineLevel="0" collapsed="false">
      <c r="A731" s="15" t="s">
        <v>788</v>
      </c>
      <c r="B731" s="16" t="n">
        <v>45640</v>
      </c>
      <c r="C731" s="15" t="s">
        <v>56</v>
      </c>
      <c r="D731" s="15" t="s">
        <v>43</v>
      </c>
      <c r="E731" s="15" t="s">
        <v>39</v>
      </c>
      <c r="F731" s="15" t="s">
        <v>18</v>
      </c>
      <c r="G731" s="15" t="s">
        <v>32</v>
      </c>
      <c r="H731" s="15" t="n">
        <v>8</v>
      </c>
      <c r="I731" s="17" t="n">
        <v>0.2</v>
      </c>
      <c r="J731" s="18" t="n">
        <v>3414.87</v>
      </c>
      <c r="K731" s="19" t="n">
        <v>42.43</v>
      </c>
      <c r="L731" s="15" t="n">
        <f aca="false">YEAR(B731)</f>
        <v>2024</v>
      </c>
      <c r="M731" s="20" t="n">
        <f aca="false">IF(J731&gt;0,K731/J731,0)</f>
        <v>0.0124250703540691</v>
      </c>
    </row>
    <row r="732" customFormat="false" ht="15" hidden="false" customHeight="false" outlineLevel="0" collapsed="false">
      <c r="A732" s="15" t="s">
        <v>789</v>
      </c>
      <c r="B732" s="16" t="n">
        <v>45776</v>
      </c>
      <c r="C732" s="15" t="s">
        <v>56</v>
      </c>
      <c r="D732" s="15" t="s">
        <v>42</v>
      </c>
      <c r="E732" s="15" t="s">
        <v>39</v>
      </c>
      <c r="F732" s="15" t="s">
        <v>16</v>
      </c>
      <c r="G732" s="15" t="s">
        <v>27</v>
      </c>
      <c r="H732" s="15" t="n">
        <v>2</v>
      </c>
      <c r="I732" s="17" t="n">
        <v>0</v>
      </c>
      <c r="J732" s="18" t="n">
        <v>141.9</v>
      </c>
      <c r="K732" s="19" t="n">
        <v>23</v>
      </c>
      <c r="L732" s="15" t="n">
        <f aca="false">YEAR(B732)</f>
        <v>2025</v>
      </c>
      <c r="M732" s="20" t="n">
        <f aca="false">IF(J732&gt;0,K732/J732,0)</f>
        <v>0.162085976039464</v>
      </c>
    </row>
    <row r="733" customFormat="false" ht="15" hidden="false" customHeight="false" outlineLevel="0" collapsed="false">
      <c r="A733" s="15" t="s">
        <v>790</v>
      </c>
      <c r="B733" s="16" t="n">
        <v>45355</v>
      </c>
      <c r="C733" s="15" t="s">
        <v>68</v>
      </c>
      <c r="D733" s="15" t="s">
        <v>42</v>
      </c>
      <c r="E733" s="15" t="s">
        <v>37</v>
      </c>
      <c r="F733" s="15" t="s">
        <v>16</v>
      </c>
      <c r="G733" s="15" t="s">
        <v>25</v>
      </c>
      <c r="H733" s="15" t="n">
        <v>3</v>
      </c>
      <c r="I733" s="17" t="n">
        <v>0.2</v>
      </c>
      <c r="J733" s="18" t="n">
        <v>702.29</v>
      </c>
      <c r="K733" s="19" t="n">
        <v>-61.89</v>
      </c>
      <c r="L733" s="15" t="n">
        <f aca="false">YEAR(B733)</f>
        <v>2024</v>
      </c>
      <c r="M733" s="20" t="n">
        <f aca="false">IF(J733&gt;0,K733/J733,0)</f>
        <v>-0.0881259878397813</v>
      </c>
    </row>
    <row r="734" customFormat="false" ht="15" hidden="false" customHeight="false" outlineLevel="0" collapsed="false">
      <c r="A734" s="15" t="s">
        <v>791</v>
      </c>
      <c r="B734" s="16" t="n">
        <v>45429</v>
      </c>
      <c r="C734" s="15" t="s">
        <v>68</v>
      </c>
      <c r="D734" s="15" t="s">
        <v>42</v>
      </c>
      <c r="E734" s="15" t="s">
        <v>39</v>
      </c>
      <c r="F734" s="15" t="s">
        <v>17</v>
      </c>
      <c r="G734" s="15" t="s">
        <v>31</v>
      </c>
      <c r="H734" s="15" t="n">
        <v>1</v>
      </c>
      <c r="I734" s="17" t="n">
        <v>0.1</v>
      </c>
      <c r="J734" s="18" t="n">
        <v>127.35</v>
      </c>
      <c r="K734" s="19" t="n">
        <v>11.55</v>
      </c>
      <c r="L734" s="15" t="n">
        <f aca="false">YEAR(B734)</f>
        <v>2024</v>
      </c>
      <c r="M734" s="20" t="n">
        <f aca="false">IF(J734&gt;0,K734/J734,0)</f>
        <v>0.0906949352179034</v>
      </c>
    </row>
    <row r="735" customFormat="false" ht="15" hidden="false" customHeight="false" outlineLevel="0" collapsed="false">
      <c r="A735" s="15" t="s">
        <v>792</v>
      </c>
      <c r="B735" s="16" t="n">
        <v>45891</v>
      </c>
      <c r="C735" s="15" t="s">
        <v>58</v>
      </c>
      <c r="D735" s="15" t="s">
        <v>44</v>
      </c>
      <c r="E735" s="15" t="s">
        <v>36</v>
      </c>
      <c r="F735" s="15" t="s">
        <v>17</v>
      </c>
      <c r="G735" s="15" t="s">
        <v>26</v>
      </c>
      <c r="H735" s="15" t="n">
        <v>4</v>
      </c>
      <c r="I735" s="17" t="n">
        <v>0.05</v>
      </c>
      <c r="J735" s="18" t="n">
        <v>311.16</v>
      </c>
      <c r="K735" s="19" t="n">
        <v>25.07</v>
      </c>
      <c r="L735" s="15" t="n">
        <f aca="false">YEAR(B735)</f>
        <v>2025</v>
      </c>
      <c r="M735" s="20" t="n">
        <f aca="false">IF(J735&gt;0,K735/J735,0)</f>
        <v>0.0805694819385525</v>
      </c>
    </row>
    <row r="736" customFormat="false" ht="15" hidden="false" customHeight="false" outlineLevel="0" collapsed="false">
      <c r="A736" s="15" t="s">
        <v>793</v>
      </c>
      <c r="B736" s="16" t="n">
        <v>45393</v>
      </c>
      <c r="C736" s="15" t="s">
        <v>56</v>
      </c>
      <c r="D736" s="15" t="s">
        <v>44</v>
      </c>
      <c r="E736" s="15" t="s">
        <v>36</v>
      </c>
      <c r="F736" s="15" t="s">
        <v>17</v>
      </c>
      <c r="G736" s="15" t="s">
        <v>31</v>
      </c>
      <c r="H736" s="15" t="n">
        <v>3</v>
      </c>
      <c r="I736" s="17" t="n">
        <v>0</v>
      </c>
      <c r="J736" s="18" t="n">
        <v>443.06</v>
      </c>
      <c r="K736" s="19" t="n">
        <v>58.18</v>
      </c>
      <c r="L736" s="15" t="n">
        <f aca="false">YEAR(B736)</f>
        <v>2024</v>
      </c>
      <c r="M736" s="20" t="n">
        <f aca="false">IF(J736&gt;0,K736/J736,0)</f>
        <v>0.131314043244707</v>
      </c>
    </row>
    <row r="737" customFormat="false" ht="15" hidden="false" customHeight="false" outlineLevel="0" collapsed="false">
      <c r="A737" s="15" t="s">
        <v>794</v>
      </c>
      <c r="B737" s="16" t="n">
        <v>45081</v>
      </c>
      <c r="C737" s="15" t="s">
        <v>56</v>
      </c>
      <c r="D737" s="15" t="s">
        <v>42</v>
      </c>
      <c r="E737" s="15" t="s">
        <v>39</v>
      </c>
      <c r="F737" s="15" t="s">
        <v>16</v>
      </c>
      <c r="G737" s="15" t="s">
        <v>25</v>
      </c>
      <c r="H737" s="15" t="n">
        <v>2</v>
      </c>
      <c r="I737" s="17" t="n">
        <v>0.15</v>
      </c>
      <c r="J737" s="18" t="n">
        <v>523.01</v>
      </c>
      <c r="K737" s="19" t="n">
        <v>-16.06</v>
      </c>
      <c r="L737" s="15" t="n">
        <f aca="false">YEAR(B737)</f>
        <v>2023</v>
      </c>
      <c r="M737" s="20" t="n">
        <f aca="false">IF(J737&gt;0,K737/J737,0)</f>
        <v>-0.0307068698495249</v>
      </c>
    </row>
    <row r="738" customFormat="false" ht="15" hidden="false" customHeight="false" outlineLevel="0" collapsed="false">
      <c r="A738" s="15" t="s">
        <v>795</v>
      </c>
      <c r="B738" s="16" t="n">
        <v>44911</v>
      </c>
      <c r="C738" s="15" t="s">
        <v>56</v>
      </c>
      <c r="D738" s="15" t="s">
        <v>43</v>
      </c>
      <c r="E738" s="15" t="s">
        <v>39</v>
      </c>
      <c r="F738" s="15" t="s">
        <v>17</v>
      </c>
      <c r="G738" s="15" t="s">
        <v>29</v>
      </c>
      <c r="H738" s="15" t="n">
        <v>6</v>
      </c>
      <c r="I738" s="17" t="n">
        <v>0.05</v>
      </c>
      <c r="J738" s="18" t="n">
        <v>124.08</v>
      </c>
      <c r="K738" s="19" t="n">
        <v>46.26</v>
      </c>
      <c r="L738" s="15" t="n">
        <f aca="false">YEAR(B738)</f>
        <v>2022</v>
      </c>
      <c r="M738" s="20" t="n">
        <f aca="false">IF(J738&gt;0,K738/J738,0)</f>
        <v>0.372823984526112</v>
      </c>
    </row>
    <row r="739" customFormat="false" ht="15" hidden="false" customHeight="false" outlineLevel="0" collapsed="false">
      <c r="A739" s="15" t="s">
        <v>796</v>
      </c>
      <c r="B739" s="16" t="n">
        <v>45692</v>
      </c>
      <c r="C739" s="15" t="s">
        <v>56</v>
      </c>
      <c r="D739" s="15" t="s">
        <v>42</v>
      </c>
      <c r="E739" s="15" t="s">
        <v>39</v>
      </c>
      <c r="F739" s="15" t="s">
        <v>17</v>
      </c>
      <c r="G739" s="15" t="s">
        <v>26</v>
      </c>
      <c r="H739" s="15" t="n">
        <v>3</v>
      </c>
      <c r="I739" s="17" t="n">
        <v>0.2</v>
      </c>
      <c r="J739" s="18" t="n">
        <v>225.89</v>
      </c>
      <c r="K739" s="19" t="n">
        <v>-5.17</v>
      </c>
      <c r="L739" s="15" t="n">
        <f aca="false">YEAR(B739)</f>
        <v>2025</v>
      </c>
      <c r="M739" s="20" t="n">
        <f aca="false">IF(J739&gt;0,K739/J739,0)</f>
        <v>-0.0228872460046926</v>
      </c>
    </row>
    <row r="740" customFormat="false" ht="15" hidden="false" customHeight="false" outlineLevel="0" collapsed="false">
      <c r="A740" s="15" t="s">
        <v>797</v>
      </c>
      <c r="B740" s="16" t="n">
        <v>44994</v>
      </c>
      <c r="C740" s="15" t="s">
        <v>56</v>
      </c>
      <c r="D740" s="15" t="s">
        <v>42</v>
      </c>
      <c r="E740" s="15" t="s">
        <v>36</v>
      </c>
      <c r="F740" s="15" t="s">
        <v>17</v>
      </c>
      <c r="G740" s="15" t="s">
        <v>31</v>
      </c>
      <c r="H740" s="15" t="n">
        <v>6</v>
      </c>
      <c r="I740" s="17" t="n">
        <v>0.15</v>
      </c>
      <c r="J740" s="18" t="n">
        <v>675.62</v>
      </c>
      <c r="K740" s="19" t="n">
        <v>95.67</v>
      </c>
      <c r="L740" s="15" t="n">
        <f aca="false">YEAR(B740)</f>
        <v>2023</v>
      </c>
      <c r="M740" s="20" t="n">
        <f aca="false">IF(J740&gt;0,K740/J740,0)</f>
        <v>0.141603268109292</v>
      </c>
    </row>
    <row r="741" customFormat="false" ht="15" hidden="false" customHeight="false" outlineLevel="0" collapsed="false">
      <c r="A741" s="15" t="s">
        <v>798</v>
      </c>
      <c r="B741" s="16" t="n">
        <v>44697</v>
      </c>
      <c r="C741" s="15" t="s">
        <v>56</v>
      </c>
      <c r="D741" s="15" t="s">
        <v>42</v>
      </c>
      <c r="E741" s="15" t="s">
        <v>36</v>
      </c>
      <c r="F741" s="15" t="s">
        <v>17</v>
      </c>
      <c r="G741" s="15" t="s">
        <v>26</v>
      </c>
      <c r="H741" s="15" t="n">
        <v>7</v>
      </c>
      <c r="I741" s="17" t="n">
        <v>0.15</v>
      </c>
      <c r="J741" s="18" t="n">
        <v>435.05</v>
      </c>
      <c r="K741" s="19" t="n">
        <v>8.63</v>
      </c>
      <c r="L741" s="15" t="n">
        <f aca="false">YEAR(B741)</f>
        <v>2022</v>
      </c>
      <c r="M741" s="20" t="n">
        <f aca="false">IF(J741&gt;0,K741/J741,0)</f>
        <v>0.0198368003677738</v>
      </c>
    </row>
    <row r="742" customFormat="false" ht="15" hidden="false" customHeight="false" outlineLevel="0" collapsed="false">
      <c r="A742" s="15" t="s">
        <v>799</v>
      </c>
      <c r="B742" s="16" t="n">
        <v>44857</v>
      </c>
      <c r="C742" s="15" t="s">
        <v>56</v>
      </c>
      <c r="D742" s="15" t="s">
        <v>44</v>
      </c>
      <c r="E742" s="15" t="s">
        <v>39</v>
      </c>
      <c r="F742" s="15" t="s">
        <v>16</v>
      </c>
      <c r="G742" s="15" t="s">
        <v>23</v>
      </c>
      <c r="H742" s="15" t="n">
        <v>4</v>
      </c>
      <c r="I742" s="17" t="n">
        <v>0.1</v>
      </c>
      <c r="J742" s="18" t="n">
        <v>1139.81</v>
      </c>
      <c r="K742" s="19" t="n">
        <v>-48.19</v>
      </c>
      <c r="L742" s="15" t="n">
        <f aca="false">YEAR(B742)</f>
        <v>2022</v>
      </c>
      <c r="M742" s="20" t="n">
        <f aca="false">IF(J742&gt;0,K742/J742,0)</f>
        <v>-0.0422789763206148</v>
      </c>
    </row>
    <row r="743" customFormat="false" ht="15" hidden="false" customHeight="false" outlineLevel="0" collapsed="false">
      <c r="A743" s="15" t="s">
        <v>800</v>
      </c>
      <c r="B743" s="16" t="n">
        <v>44992</v>
      </c>
      <c r="C743" s="15" t="s">
        <v>56</v>
      </c>
      <c r="D743" s="15" t="s">
        <v>44</v>
      </c>
      <c r="E743" s="15" t="s">
        <v>37</v>
      </c>
      <c r="F743" s="15" t="s">
        <v>17</v>
      </c>
      <c r="G743" s="15" t="s">
        <v>28</v>
      </c>
      <c r="H743" s="15" t="n">
        <v>4</v>
      </c>
      <c r="I743" s="17" t="n">
        <v>0.05</v>
      </c>
      <c r="J743" s="18" t="n">
        <v>103.71</v>
      </c>
      <c r="K743" s="19" t="n">
        <v>20.04</v>
      </c>
      <c r="L743" s="15" t="n">
        <f aca="false">YEAR(B743)</f>
        <v>2023</v>
      </c>
      <c r="M743" s="20" t="n">
        <f aca="false">IF(J743&gt;0,K743/J743,0)</f>
        <v>0.19323112525311</v>
      </c>
    </row>
    <row r="744" customFormat="false" ht="15" hidden="false" customHeight="false" outlineLevel="0" collapsed="false">
      <c r="A744" s="15" t="s">
        <v>801</v>
      </c>
      <c r="B744" s="16" t="n">
        <v>45728</v>
      </c>
      <c r="C744" s="15" t="s">
        <v>71</v>
      </c>
      <c r="D744" s="15" t="s">
        <v>44</v>
      </c>
      <c r="E744" s="15" t="s">
        <v>39</v>
      </c>
      <c r="F744" s="15" t="s">
        <v>16</v>
      </c>
      <c r="G744" s="15" t="s">
        <v>23</v>
      </c>
      <c r="H744" s="15" t="n">
        <v>4</v>
      </c>
      <c r="I744" s="17" t="n">
        <v>0</v>
      </c>
      <c r="J744" s="18" t="n">
        <v>1352.65</v>
      </c>
      <c r="K744" s="19" t="n">
        <v>52.78</v>
      </c>
      <c r="L744" s="15" t="n">
        <f aca="false">YEAR(B744)</f>
        <v>2025</v>
      </c>
      <c r="M744" s="20" t="n">
        <f aca="false">IF(J744&gt;0,K744/J744,0)</f>
        <v>0.0390197020663143</v>
      </c>
    </row>
    <row r="745" customFormat="false" ht="15" hidden="false" customHeight="false" outlineLevel="0" collapsed="false">
      <c r="A745" s="15" t="s">
        <v>802</v>
      </c>
      <c r="B745" s="16" t="n">
        <v>44566</v>
      </c>
      <c r="C745" s="15" t="s">
        <v>56</v>
      </c>
      <c r="D745" s="15" t="s">
        <v>43</v>
      </c>
      <c r="E745" s="15" t="s">
        <v>37</v>
      </c>
      <c r="F745" s="15" t="s">
        <v>16</v>
      </c>
      <c r="G745" s="15" t="s">
        <v>27</v>
      </c>
      <c r="H745" s="15" t="n">
        <v>3</v>
      </c>
      <c r="I745" s="17" t="n">
        <v>0.2</v>
      </c>
      <c r="J745" s="18" t="n">
        <v>145.81</v>
      </c>
      <c r="K745" s="19" t="n">
        <v>10.71</v>
      </c>
      <c r="L745" s="15" t="n">
        <f aca="false">YEAR(B745)</f>
        <v>2022</v>
      </c>
      <c r="M745" s="20" t="n">
        <f aca="false">IF(J745&gt;0,K745/J745,0)</f>
        <v>0.0734517522803649</v>
      </c>
    </row>
    <row r="746" customFormat="false" ht="15" hidden="false" customHeight="false" outlineLevel="0" collapsed="false">
      <c r="A746" s="15" t="s">
        <v>803</v>
      </c>
      <c r="B746" s="16" t="n">
        <v>45947</v>
      </c>
      <c r="C746" s="15" t="s">
        <v>68</v>
      </c>
      <c r="D746" s="15" t="s">
        <v>43</v>
      </c>
      <c r="E746" s="15" t="s">
        <v>38</v>
      </c>
      <c r="F746" s="15" t="s">
        <v>17</v>
      </c>
      <c r="G746" s="15" t="s">
        <v>28</v>
      </c>
      <c r="H746" s="15" t="n">
        <v>3</v>
      </c>
      <c r="I746" s="17" t="n">
        <v>0.1</v>
      </c>
      <c r="J746" s="18" t="n">
        <v>61.42</v>
      </c>
      <c r="K746" s="19" t="n">
        <v>15.35</v>
      </c>
      <c r="L746" s="15" t="n">
        <f aca="false">YEAR(B746)</f>
        <v>2025</v>
      </c>
      <c r="M746" s="20" t="n">
        <f aca="false">IF(J746&gt;0,K746/J746,0)</f>
        <v>0.249918593292087</v>
      </c>
    </row>
    <row r="747" customFormat="false" ht="15" hidden="false" customHeight="false" outlineLevel="0" collapsed="false">
      <c r="A747" s="15" t="s">
        <v>804</v>
      </c>
      <c r="B747" s="16" t="n">
        <v>45732</v>
      </c>
      <c r="C747" s="15" t="s">
        <v>56</v>
      </c>
      <c r="D747" s="15" t="s">
        <v>42</v>
      </c>
      <c r="E747" s="15" t="s">
        <v>37</v>
      </c>
      <c r="F747" s="15" t="s">
        <v>17</v>
      </c>
      <c r="G747" s="15" t="s">
        <v>28</v>
      </c>
      <c r="H747" s="15" t="n">
        <v>2</v>
      </c>
      <c r="I747" s="17" t="n">
        <v>0.15</v>
      </c>
      <c r="J747" s="18" t="n">
        <v>41.33</v>
      </c>
      <c r="K747" s="19" t="n">
        <v>5.67</v>
      </c>
      <c r="L747" s="15" t="n">
        <f aca="false">YEAR(B747)</f>
        <v>2025</v>
      </c>
      <c r="M747" s="20" t="n">
        <f aca="false">IF(J747&gt;0,K747/J747,0)</f>
        <v>0.137188482942173</v>
      </c>
    </row>
    <row r="748" customFormat="false" ht="15" hidden="false" customHeight="false" outlineLevel="0" collapsed="false">
      <c r="A748" s="15" t="s">
        <v>805</v>
      </c>
      <c r="B748" s="16" t="n">
        <v>45141</v>
      </c>
      <c r="C748" s="15" t="s">
        <v>58</v>
      </c>
      <c r="D748" s="15" t="s">
        <v>43</v>
      </c>
      <c r="E748" s="15" t="s">
        <v>37</v>
      </c>
      <c r="F748" s="15" t="s">
        <v>17</v>
      </c>
      <c r="G748" s="15" t="s">
        <v>29</v>
      </c>
      <c r="H748" s="15" t="n">
        <v>8</v>
      </c>
      <c r="I748" s="17" t="n">
        <v>0</v>
      </c>
      <c r="J748" s="18" t="n">
        <v>154.32</v>
      </c>
      <c r="K748" s="19" t="n">
        <v>60.08</v>
      </c>
      <c r="L748" s="15" t="n">
        <f aca="false">YEAR(B748)</f>
        <v>2023</v>
      </c>
      <c r="M748" s="20" t="n">
        <f aca="false">IF(J748&gt;0,K748/J748,0)</f>
        <v>0.389320891653707</v>
      </c>
    </row>
    <row r="749" customFormat="false" ht="15" hidden="false" customHeight="false" outlineLevel="0" collapsed="false">
      <c r="A749" s="15" t="s">
        <v>806</v>
      </c>
      <c r="B749" s="16" t="n">
        <v>45388</v>
      </c>
      <c r="C749" s="15" t="s">
        <v>56</v>
      </c>
      <c r="D749" s="15" t="s">
        <v>43</v>
      </c>
      <c r="E749" s="15" t="s">
        <v>39</v>
      </c>
      <c r="F749" s="15" t="s">
        <v>17</v>
      </c>
      <c r="G749" s="15" t="s">
        <v>29</v>
      </c>
      <c r="H749" s="15" t="n">
        <v>4</v>
      </c>
      <c r="I749" s="17" t="n">
        <v>0</v>
      </c>
      <c r="J749" s="18" t="n">
        <v>81.94</v>
      </c>
      <c r="K749" s="19" t="n">
        <v>25.84</v>
      </c>
      <c r="L749" s="15" t="n">
        <f aca="false">YEAR(B749)</f>
        <v>2024</v>
      </c>
      <c r="M749" s="20" t="n">
        <f aca="false">IF(J749&gt;0,K749/J749,0)</f>
        <v>0.315352697095436</v>
      </c>
    </row>
    <row r="750" customFormat="false" ht="15" hidden="false" customHeight="false" outlineLevel="0" collapsed="false">
      <c r="A750" s="15" t="s">
        <v>807</v>
      </c>
      <c r="B750" s="16" t="n">
        <v>45664</v>
      </c>
      <c r="C750" s="15" t="s">
        <v>68</v>
      </c>
      <c r="D750" s="15" t="s">
        <v>44</v>
      </c>
      <c r="E750" s="15" t="s">
        <v>38</v>
      </c>
      <c r="F750" s="15" t="s">
        <v>16</v>
      </c>
      <c r="G750" s="15" t="s">
        <v>23</v>
      </c>
      <c r="H750" s="15" t="n">
        <v>2</v>
      </c>
      <c r="I750" s="17" t="n">
        <v>0.05</v>
      </c>
      <c r="J750" s="18" t="n">
        <v>489.69</v>
      </c>
      <c r="K750" s="19" t="n">
        <v>-37.3</v>
      </c>
      <c r="L750" s="15" t="n">
        <f aca="false">YEAR(B750)</f>
        <v>2025</v>
      </c>
      <c r="M750" s="20" t="n">
        <f aca="false">IF(J750&gt;0,K750/J750,0)</f>
        <v>-0.0761706385672568</v>
      </c>
    </row>
    <row r="751" customFormat="false" ht="15" hidden="false" customHeight="false" outlineLevel="0" collapsed="false">
      <c r="A751" s="15" t="s">
        <v>808</v>
      </c>
      <c r="B751" s="16" t="n">
        <v>44919</v>
      </c>
      <c r="C751" s="15" t="s">
        <v>56</v>
      </c>
      <c r="D751" s="15" t="s">
        <v>42</v>
      </c>
      <c r="E751" s="15" t="s">
        <v>38</v>
      </c>
      <c r="F751" s="15" t="s">
        <v>17</v>
      </c>
      <c r="G751" s="15" t="s">
        <v>28</v>
      </c>
      <c r="H751" s="15" t="n">
        <v>5</v>
      </c>
      <c r="I751" s="17" t="n">
        <v>0</v>
      </c>
      <c r="J751" s="18" t="n">
        <v>121.36</v>
      </c>
      <c r="K751" s="19" t="n">
        <v>41.19</v>
      </c>
      <c r="L751" s="15" t="n">
        <f aca="false">YEAR(B751)</f>
        <v>2022</v>
      </c>
      <c r="M751" s="20" t="n">
        <f aca="false">IF(J751&gt;0,K751/J751,0)</f>
        <v>0.339403427818062</v>
      </c>
    </row>
    <row r="752" customFormat="false" ht="15" hidden="false" customHeight="false" outlineLevel="0" collapsed="false">
      <c r="A752" s="15" t="s">
        <v>809</v>
      </c>
      <c r="B752" s="16" t="n">
        <v>45828</v>
      </c>
      <c r="C752" s="15" t="s">
        <v>58</v>
      </c>
      <c r="D752" s="15" t="s">
        <v>43</v>
      </c>
      <c r="E752" s="15" t="s">
        <v>37</v>
      </c>
      <c r="F752" s="15" t="s">
        <v>16</v>
      </c>
      <c r="G752" s="15" t="s">
        <v>27</v>
      </c>
      <c r="H752" s="15" t="n">
        <v>5</v>
      </c>
      <c r="I752" s="17" t="n">
        <v>0</v>
      </c>
      <c r="J752" s="18" t="n">
        <v>310.72</v>
      </c>
      <c r="K752" s="19" t="n">
        <v>87.18</v>
      </c>
      <c r="L752" s="15" t="n">
        <f aca="false">YEAR(B752)</f>
        <v>2025</v>
      </c>
      <c r="M752" s="20" t="n">
        <f aca="false">IF(J752&gt;0,K752/J752,0)</f>
        <v>0.280574150360453</v>
      </c>
    </row>
    <row r="753" customFormat="false" ht="15" hidden="false" customHeight="false" outlineLevel="0" collapsed="false">
      <c r="A753" s="15" t="s">
        <v>810</v>
      </c>
      <c r="B753" s="16" t="n">
        <v>45415</v>
      </c>
      <c r="C753" s="15" t="s">
        <v>56</v>
      </c>
      <c r="D753" s="15" t="s">
        <v>42</v>
      </c>
      <c r="E753" s="15" t="s">
        <v>36</v>
      </c>
      <c r="F753" s="15" t="s">
        <v>17</v>
      </c>
      <c r="G753" s="15" t="s">
        <v>26</v>
      </c>
      <c r="H753" s="15" t="n">
        <v>5</v>
      </c>
      <c r="I753" s="17" t="n">
        <v>0.1</v>
      </c>
      <c r="J753" s="18" t="n">
        <v>364.82</v>
      </c>
      <c r="K753" s="19" t="n">
        <v>4.77</v>
      </c>
      <c r="L753" s="15" t="n">
        <f aca="false">YEAR(B753)</f>
        <v>2024</v>
      </c>
      <c r="M753" s="20" t="n">
        <f aca="false">IF(J753&gt;0,K753/J753,0)</f>
        <v>0.0130749410668275</v>
      </c>
    </row>
    <row r="754" customFormat="false" ht="15" hidden="false" customHeight="false" outlineLevel="0" collapsed="false">
      <c r="A754" s="15" t="s">
        <v>811</v>
      </c>
      <c r="B754" s="16" t="n">
        <v>44826</v>
      </c>
      <c r="C754" s="15" t="s">
        <v>56</v>
      </c>
      <c r="D754" s="15" t="s">
        <v>42</v>
      </c>
      <c r="E754" s="15" t="s">
        <v>36</v>
      </c>
      <c r="F754" s="15" t="s">
        <v>16</v>
      </c>
      <c r="G754" s="15" t="s">
        <v>23</v>
      </c>
      <c r="H754" s="15" t="n">
        <v>4</v>
      </c>
      <c r="I754" s="17" t="n">
        <v>0.15</v>
      </c>
      <c r="J754" s="18" t="n">
        <v>925.29</v>
      </c>
      <c r="K754" s="19" t="n">
        <v>-94.1</v>
      </c>
      <c r="L754" s="15" t="n">
        <f aca="false">YEAR(B754)</f>
        <v>2022</v>
      </c>
      <c r="M754" s="20" t="n">
        <f aca="false">IF(J754&gt;0,K754/J754,0)</f>
        <v>-0.101697846080688</v>
      </c>
    </row>
    <row r="755" customFormat="false" ht="15" hidden="false" customHeight="false" outlineLevel="0" collapsed="false">
      <c r="A755" s="15" t="s">
        <v>812</v>
      </c>
      <c r="B755" s="16" t="n">
        <v>45636</v>
      </c>
      <c r="C755" s="15" t="s">
        <v>56</v>
      </c>
      <c r="D755" s="15" t="s">
        <v>42</v>
      </c>
      <c r="E755" s="15" t="s">
        <v>38</v>
      </c>
      <c r="F755" s="15" t="s">
        <v>18</v>
      </c>
      <c r="G755" s="15" t="s">
        <v>24</v>
      </c>
      <c r="H755" s="15" t="n">
        <v>3</v>
      </c>
      <c r="I755" s="17" t="n">
        <v>0.2</v>
      </c>
      <c r="J755" s="18" t="n">
        <v>1552.42</v>
      </c>
      <c r="K755" s="19" t="n">
        <v>-252.39</v>
      </c>
      <c r="L755" s="15" t="n">
        <f aca="false">YEAR(B755)</f>
        <v>2024</v>
      </c>
      <c r="M755" s="20" t="n">
        <f aca="false">IF(J755&gt;0,K755/J755,0)</f>
        <v>-0.162578425941433</v>
      </c>
    </row>
    <row r="756" customFormat="false" ht="15" hidden="false" customHeight="false" outlineLevel="0" collapsed="false">
      <c r="A756" s="15" t="s">
        <v>813</v>
      </c>
      <c r="B756" s="16" t="n">
        <v>45059</v>
      </c>
      <c r="C756" s="15" t="s">
        <v>56</v>
      </c>
      <c r="D756" s="15" t="s">
        <v>44</v>
      </c>
      <c r="E756" s="15" t="s">
        <v>38</v>
      </c>
      <c r="F756" s="15" t="s">
        <v>18</v>
      </c>
      <c r="G756" s="15" t="s">
        <v>30</v>
      </c>
      <c r="H756" s="15" t="n">
        <v>3</v>
      </c>
      <c r="I756" s="17" t="n">
        <v>0</v>
      </c>
      <c r="J756" s="18" t="n">
        <v>122.12</v>
      </c>
      <c r="K756" s="19" t="n">
        <v>35.39</v>
      </c>
      <c r="L756" s="15" t="n">
        <f aca="false">YEAR(B756)</f>
        <v>2023</v>
      </c>
      <c r="M756" s="20" t="n">
        <f aca="false">IF(J756&gt;0,K756/J756,0)</f>
        <v>0.289796921061251</v>
      </c>
    </row>
    <row r="757" customFormat="false" ht="15" hidden="false" customHeight="false" outlineLevel="0" collapsed="false">
      <c r="A757" s="15" t="s">
        <v>814</v>
      </c>
      <c r="B757" s="16" t="n">
        <v>45791</v>
      </c>
      <c r="C757" s="15" t="s">
        <v>71</v>
      </c>
      <c r="D757" s="15" t="s">
        <v>44</v>
      </c>
      <c r="E757" s="15" t="s">
        <v>37</v>
      </c>
      <c r="F757" s="15" t="s">
        <v>16</v>
      </c>
      <c r="G757" s="15" t="s">
        <v>23</v>
      </c>
      <c r="H757" s="15" t="n">
        <v>3</v>
      </c>
      <c r="I757" s="17" t="n">
        <v>0.2</v>
      </c>
      <c r="J757" s="18" t="n">
        <v>897.32</v>
      </c>
      <c r="K757" s="19" t="n">
        <v>-135.64</v>
      </c>
      <c r="L757" s="15" t="n">
        <f aca="false">YEAR(B757)</f>
        <v>2025</v>
      </c>
      <c r="M757" s="20" t="n">
        <f aca="false">IF(J757&gt;0,K757/J757,0)</f>
        <v>-0.151161235679579</v>
      </c>
    </row>
    <row r="758" customFormat="false" ht="15" hidden="false" customHeight="false" outlineLevel="0" collapsed="false">
      <c r="A758" s="15" t="s">
        <v>815</v>
      </c>
      <c r="B758" s="16" t="n">
        <v>45968</v>
      </c>
      <c r="C758" s="15" t="s">
        <v>56</v>
      </c>
      <c r="D758" s="15" t="s">
        <v>44</v>
      </c>
      <c r="E758" s="15" t="s">
        <v>39</v>
      </c>
      <c r="F758" s="15" t="s">
        <v>18</v>
      </c>
      <c r="G758" s="15" t="s">
        <v>32</v>
      </c>
      <c r="H758" s="15" t="n">
        <v>4</v>
      </c>
      <c r="I758" s="17" t="n">
        <v>0</v>
      </c>
      <c r="J758" s="18" t="n">
        <v>2210.81</v>
      </c>
      <c r="K758" s="19" t="n">
        <v>582.72</v>
      </c>
      <c r="L758" s="15" t="n">
        <f aca="false">YEAR(B758)</f>
        <v>2025</v>
      </c>
      <c r="M758" s="20" t="n">
        <f aca="false">IF(J758&gt;0,K758/J758,0)</f>
        <v>0.263577602779072</v>
      </c>
    </row>
    <row r="759" customFormat="false" ht="15" hidden="false" customHeight="false" outlineLevel="0" collapsed="false">
      <c r="A759" s="15" t="s">
        <v>816</v>
      </c>
      <c r="B759" s="16" t="n">
        <v>44915</v>
      </c>
      <c r="C759" s="15" t="s">
        <v>68</v>
      </c>
      <c r="D759" s="15" t="s">
        <v>42</v>
      </c>
      <c r="E759" s="15" t="s">
        <v>37</v>
      </c>
      <c r="F759" s="15" t="s">
        <v>17</v>
      </c>
      <c r="G759" s="15" t="s">
        <v>26</v>
      </c>
      <c r="H759" s="15" t="n">
        <v>5</v>
      </c>
      <c r="I759" s="17" t="n">
        <v>0</v>
      </c>
      <c r="J759" s="18" t="n">
        <v>368.42</v>
      </c>
      <c r="K759" s="19" t="n">
        <v>34.98</v>
      </c>
      <c r="L759" s="15" t="n">
        <f aca="false">YEAR(B759)</f>
        <v>2022</v>
      </c>
      <c r="M759" s="20" t="n">
        <f aca="false">IF(J759&gt;0,K759/J759,0)</f>
        <v>0.0949459855599587</v>
      </c>
    </row>
    <row r="760" customFormat="false" ht="15" hidden="false" customHeight="false" outlineLevel="0" collapsed="false">
      <c r="A760" s="15" t="s">
        <v>817</v>
      </c>
      <c r="B760" s="16" t="n">
        <v>45164</v>
      </c>
      <c r="C760" s="15" t="s">
        <v>71</v>
      </c>
      <c r="D760" s="15" t="s">
        <v>43</v>
      </c>
      <c r="E760" s="15" t="s">
        <v>37</v>
      </c>
      <c r="F760" s="15" t="s">
        <v>16</v>
      </c>
      <c r="G760" s="15" t="s">
        <v>22</v>
      </c>
      <c r="H760" s="15" t="n">
        <v>4</v>
      </c>
      <c r="I760" s="17" t="n">
        <v>0.1</v>
      </c>
      <c r="J760" s="18" t="n">
        <v>2132.52</v>
      </c>
      <c r="K760" s="19" t="n">
        <v>-396.3</v>
      </c>
      <c r="L760" s="15" t="n">
        <f aca="false">YEAR(B760)</f>
        <v>2023</v>
      </c>
      <c r="M760" s="20" t="n">
        <f aca="false">IF(J760&gt;0,K760/J760,0)</f>
        <v>-0.185836475156153</v>
      </c>
    </row>
    <row r="761" customFormat="false" ht="15" hidden="false" customHeight="false" outlineLevel="0" collapsed="false">
      <c r="A761" s="15" t="s">
        <v>818</v>
      </c>
      <c r="B761" s="16" t="n">
        <v>45646</v>
      </c>
      <c r="C761" s="15" t="s">
        <v>56</v>
      </c>
      <c r="D761" s="15" t="s">
        <v>42</v>
      </c>
      <c r="E761" s="15" t="s">
        <v>37</v>
      </c>
      <c r="F761" s="15" t="s">
        <v>17</v>
      </c>
      <c r="G761" s="15" t="s">
        <v>29</v>
      </c>
      <c r="H761" s="15" t="n">
        <v>7</v>
      </c>
      <c r="I761" s="17" t="n">
        <v>0.3</v>
      </c>
      <c r="J761" s="18" t="n">
        <v>91.02</v>
      </c>
      <c r="K761" s="19" t="n">
        <v>9.55</v>
      </c>
      <c r="L761" s="15" t="n">
        <f aca="false">YEAR(B761)</f>
        <v>2024</v>
      </c>
      <c r="M761" s="20" t="n">
        <f aca="false">IF(J761&gt;0,K761/J761,0)</f>
        <v>0.104921995165898</v>
      </c>
    </row>
    <row r="762" customFormat="false" ht="15" hidden="false" customHeight="false" outlineLevel="0" collapsed="false">
      <c r="A762" s="15" t="s">
        <v>819</v>
      </c>
      <c r="B762" s="16" t="n">
        <v>45360</v>
      </c>
      <c r="C762" s="15" t="s">
        <v>56</v>
      </c>
      <c r="D762" s="15" t="s">
        <v>42</v>
      </c>
      <c r="E762" s="15" t="s">
        <v>36</v>
      </c>
      <c r="F762" s="15" t="s">
        <v>18</v>
      </c>
      <c r="G762" s="15" t="s">
        <v>32</v>
      </c>
      <c r="H762" s="15" t="n">
        <v>2</v>
      </c>
      <c r="I762" s="17" t="n">
        <v>0.3</v>
      </c>
      <c r="J762" s="18" t="n">
        <v>456.27</v>
      </c>
      <c r="K762" s="19" t="n">
        <v>-45.91</v>
      </c>
      <c r="L762" s="15" t="n">
        <f aca="false">YEAR(B762)</f>
        <v>2024</v>
      </c>
      <c r="M762" s="20" t="n">
        <f aca="false">IF(J762&gt;0,K762/J762,0)</f>
        <v>-0.100620246783703</v>
      </c>
    </row>
    <row r="763" customFormat="false" ht="15" hidden="false" customHeight="false" outlineLevel="0" collapsed="false">
      <c r="A763" s="15" t="s">
        <v>820</v>
      </c>
      <c r="B763" s="16" t="n">
        <v>45941</v>
      </c>
      <c r="C763" s="15" t="s">
        <v>68</v>
      </c>
      <c r="D763" s="15" t="s">
        <v>42</v>
      </c>
      <c r="E763" s="15" t="s">
        <v>39</v>
      </c>
      <c r="F763" s="15" t="s">
        <v>17</v>
      </c>
      <c r="G763" s="15" t="s">
        <v>28</v>
      </c>
      <c r="H763" s="15" t="n">
        <v>8</v>
      </c>
      <c r="I763" s="17" t="n">
        <v>0</v>
      </c>
      <c r="J763" s="18" t="n">
        <v>176.81</v>
      </c>
      <c r="K763" s="19" t="n">
        <v>48.91</v>
      </c>
      <c r="L763" s="15" t="n">
        <f aca="false">YEAR(B763)</f>
        <v>2025</v>
      </c>
      <c r="M763" s="20" t="n">
        <f aca="false">IF(J763&gt;0,K763/J763,0)</f>
        <v>0.276624625303999</v>
      </c>
    </row>
    <row r="764" customFormat="false" ht="15" hidden="false" customHeight="false" outlineLevel="0" collapsed="false">
      <c r="A764" s="15" t="s">
        <v>821</v>
      </c>
      <c r="B764" s="16" t="n">
        <v>45153</v>
      </c>
      <c r="C764" s="15" t="s">
        <v>68</v>
      </c>
      <c r="D764" s="15" t="s">
        <v>43</v>
      </c>
      <c r="E764" s="15" t="s">
        <v>38</v>
      </c>
      <c r="F764" s="15" t="s">
        <v>18</v>
      </c>
      <c r="G764" s="15" t="s">
        <v>32</v>
      </c>
      <c r="H764" s="15" t="n">
        <v>4</v>
      </c>
      <c r="I764" s="17" t="n">
        <v>0.2</v>
      </c>
      <c r="J764" s="18" t="n">
        <v>1499.48</v>
      </c>
      <c r="K764" s="19" t="n">
        <v>-28.96</v>
      </c>
      <c r="L764" s="15" t="n">
        <f aca="false">YEAR(B764)</f>
        <v>2023</v>
      </c>
      <c r="M764" s="20" t="n">
        <f aca="false">IF(J764&gt;0,K764/J764,0)</f>
        <v>-0.0193133619654814</v>
      </c>
    </row>
    <row r="765" customFormat="false" ht="15" hidden="false" customHeight="false" outlineLevel="0" collapsed="false">
      <c r="A765" s="15" t="s">
        <v>822</v>
      </c>
      <c r="B765" s="16" t="n">
        <v>45091</v>
      </c>
      <c r="C765" s="15" t="s">
        <v>56</v>
      </c>
      <c r="D765" s="15" t="s">
        <v>42</v>
      </c>
      <c r="E765" s="15" t="s">
        <v>39</v>
      </c>
      <c r="F765" s="15" t="s">
        <v>16</v>
      </c>
      <c r="G765" s="15" t="s">
        <v>27</v>
      </c>
      <c r="H765" s="15" t="n">
        <v>2</v>
      </c>
      <c r="I765" s="17" t="n">
        <v>0.4</v>
      </c>
      <c r="J765" s="18" t="n">
        <v>67.58</v>
      </c>
      <c r="K765" s="19" t="n">
        <v>-7.74</v>
      </c>
      <c r="L765" s="15" t="n">
        <f aca="false">YEAR(B765)</f>
        <v>2023</v>
      </c>
      <c r="M765" s="20" t="n">
        <f aca="false">IF(J765&gt;0,K765/J765,0)</f>
        <v>-0.114530926309559</v>
      </c>
    </row>
    <row r="766" customFormat="false" ht="15" hidden="false" customHeight="false" outlineLevel="0" collapsed="false">
      <c r="A766" s="15" t="s">
        <v>823</v>
      </c>
      <c r="B766" s="16" t="n">
        <v>44612</v>
      </c>
      <c r="C766" s="15" t="s">
        <v>56</v>
      </c>
      <c r="D766" s="15" t="s">
        <v>43</v>
      </c>
      <c r="E766" s="15" t="s">
        <v>36</v>
      </c>
      <c r="F766" s="15" t="s">
        <v>18</v>
      </c>
      <c r="G766" s="15" t="s">
        <v>30</v>
      </c>
      <c r="H766" s="15" t="n">
        <v>3</v>
      </c>
      <c r="I766" s="17" t="n">
        <v>0</v>
      </c>
      <c r="J766" s="18" t="n">
        <v>121.32</v>
      </c>
      <c r="K766" s="19" t="n">
        <v>42.54</v>
      </c>
      <c r="L766" s="15" t="n">
        <f aca="false">YEAR(B766)</f>
        <v>2022</v>
      </c>
      <c r="M766" s="20" t="n">
        <f aca="false">IF(J766&gt;0,K766/J766,0)</f>
        <v>0.350642927794263</v>
      </c>
    </row>
    <row r="767" customFormat="false" ht="15" hidden="false" customHeight="false" outlineLevel="0" collapsed="false">
      <c r="A767" s="15" t="s">
        <v>824</v>
      </c>
      <c r="B767" s="16" t="n">
        <v>45452</v>
      </c>
      <c r="C767" s="15" t="s">
        <v>68</v>
      </c>
      <c r="D767" s="15" t="s">
        <v>42</v>
      </c>
      <c r="E767" s="15" t="s">
        <v>38</v>
      </c>
      <c r="F767" s="15" t="s">
        <v>16</v>
      </c>
      <c r="G767" s="15" t="s">
        <v>27</v>
      </c>
      <c r="H767" s="15" t="n">
        <v>4</v>
      </c>
      <c r="I767" s="17" t="n">
        <v>0.4</v>
      </c>
      <c r="J767" s="18" t="n">
        <v>136.74</v>
      </c>
      <c r="K767" s="19" t="n">
        <v>-10.9</v>
      </c>
      <c r="L767" s="15" t="n">
        <f aca="false">YEAR(B767)</f>
        <v>2024</v>
      </c>
      <c r="M767" s="20" t="n">
        <f aca="false">IF(J767&gt;0,K767/J767,0)</f>
        <v>-0.0797133245575545</v>
      </c>
    </row>
    <row r="768" customFormat="false" ht="15" hidden="false" customHeight="false" outlineLevel="0" collapsed="false">
      <c r="A768" s="15" t="s">
        <v>825</v>
      </c>
      <c r="B768" s="16" t="n">
        <v>45956</v>
      </c>
      <c r="C768" s="15" t="s">
        <v>56</v>
      </c>
      <c r="D768" s="15" t="s">
        <v>43</v>
      </c>
      <c r="E768" s="15" t="s">
        <v>36</v>
      </c>
      <c r="F768" s="15" t="s">
        <v>18</v>
      </c>
      <c r="G768" s="15" t="s">
        <v>32</v>
      </c>
      <c r="H768" s="15" t="n">
        <v>3</v>
      </c>
      <c r="I768" s="17" t="n">
        <v>0</v>
      </c>
      <c r="J768" s="18" t="n">
        <v>1650.36</v>
      </c>
      <c r="K768" s="19" t="n">
        <v>264.61</v>
      </c>
      <c r="L768" s="15" t="n">
        <f aca="false">YEAR(B768)</f>
        <v>2025</v>
      </c>
      <c r="M768" s="20" t="n">
        <f aca="false">IF(J768&gt;0,K768/J768,0)</f>
        <v>0.160334714850093</v>
      </c>
    </row>
    <row r="769" customFormat="false" ht="15" hidden="false" customHeight="false" outlineLevel="0" collapsed="false">
      <c r="A769" s="15" t="s">
        <v>826</v>
      </c>
      <c r="B769" s="16" t="n">
        <v>45986</v>
      </c>
      <c r="C769" s="15" t="s">
        <v>71</v>
      </c>
      <c r="D769" s="15" t="s">
        <v>44</v>
      </c>
      <c r="E769" s="15" t="s">
        <v>37</v>
      </c>
      <c r="F769" s="15" t="s">
        <v>16</v>
      </c>
      <c r="G769" s="15" t="s">
        <v>23</v>
      </c>
      <c r="H769" s="15" t="n">
        <v>5</v>
      </c>
      <c r="I769" s="17" t="n">
        <v>0.2</v>
      </c>
      <c r="J769" s="18" t="n">
        <v>1572.08</v>
      </c>
      <c r="K769" s="19" t="n">
        <v>-232.42</v>
      </c>
      <c r="L769" s="15" t="n">
        <f aca="false">YEAR(B769)</f>
        <v>2025</v>
      </c>
      <c r="M769" s="20" t="n">
        <f aca="false">IF(J769&gt;0,K769/J769,0)</f>
        <v>-0.147842348989873</v>
      </c>
    </row>
    <row r="770" customFormat="false" ht="15" hidden="false" customHeight="false" outlineLevel="0" collapsed="false">
      <c r="A770" s="15" t="s">
        <v>827</v>
      </c>
      <c r="B770" s="16" t="n">
        <v>44929</v>
      </c>
      <c r="C770" s="15" t="s">
        <v>71</v>
      </c>
      <c r="D770" s="15" t="s">
        <v>44</v>
      </c>
      <c r="E770" s="15" t="s">
        <v>38</v>
      </c>
      <c r="F770" s="15" t="s">
        <v>17</v>
      </c>
      <c r="G770" s="15" t="s">
        <v>28</v>
      </c>
      <c r="H770" s="15" t="n">
        <v>1</v>
      </c>
      <c r="I770" s="17" t="n">
        <v>0.3</v>
      </c>
      <c r="J770" s="18" t="n">
        <v>14.48</v>
      </c>
      <c r="K770" s="19" t="n">
        <v>-0.2</v>
      </c>
      <c r="L770" s="15" t="n">
        <f aca="false">YEAR(B770)</f>
        <v>2023</v>
      </c>
      <c r="M770" s="20" t="n">
        <f aca="false">IF(J770&gt;0,K770/J770,0)</f>
        <v>-0.0138121546961326</v>
      </c>
    </row>
    <row r="771" customFormat="false" ht="15" hidden="false" customHeight="false" outlineLevel="0" collapsed="false">
      <c r="A771" s="15" t="s">
        <v>828</v>
      </c>
      <c r="B771" s="16" t="n">
        <v>45841</v>
      </c>
      <c r="C771" s="15" t="s">
        <v>56</v>
      </c>
      <c r="D771" s="15" t="s">
        <v>42</v>
      </c>
      <c r="E771" s="15" t="s">
        <v>39</v>
      </c>
      <c r="F771" s="15" t="s">
        <v>17</v>
      </c>
      <c r="G771" s="15" t="s">
        <v>29</v>
      </c>
      <c r="H771" s="15" t="n">
        <v>3</v>
      </c>
      <c r="I771" s="17" t="n">
        <v>0.05</v>
      </c>
      <c r="J771" s="18" t="n">
        <v>58.02</v>
      </c>
      <c r="K771" s="19" t="n">
        <v>19.29</v>
      </c>
      <c r="L771" s="15" t="n">
        <f aca="false">YEAR(B771)</f>
        <v>2025</v>
      </c>
      <c r="M771" s="20" t="n">
        <f aca="false">IF(J771&gt;0,K771/J771,0)</f>
        <v>0.332471561530507</v>
      </c>
    </row>
    <row r="772" customFormat="false" ht="15" hidden="false" customHeight="false" outlineLevel="0" collapsed="false">
      <c r="A772" s="15" t="s">
        <v>829</v>
      </c>
      <c r="B772" s="16" t="n">
        <v>45959</v>
      </c>
      <c r="C772" s="15" t="s">
        <v>71</v>
      </c>
      <c r="D772" s="15" t="s">
        <v>42</v>
      </c>
      <c r="E772" s="15" t="s">
        <v>36</v>
      </c>
      <c r="F772" s="15" t="s">
        <v>17</v>
      </c>
      <c r="G772" s="15" t="s">
        <v>28</v>
      </c>
      <c r="H772" s="15" t="n">
        <v>4</v>
      </c>
      <c r="I772" s="17" t="n">
        <v>0</v>
      </c>
      <c r="J772" s="18" t="n">
        <v>94.59</v>
      </c>
      <c r="K772" s="19" t="n">
        <v>22.67</v>
      </c>
      <c r="L772" s="15" t="n">
        <f aca="false">YEAR(B772)</f>
        <v>2025</v>
      </c>
      <c r="M772" s="20" t="n">
        <f aca="false">IF(J772&gt;0,K772/J772,0)</f>
        <v>0.239665926630722</v>
      </c>
    </row>
    <row r="773" customFormat="false" ht="15" hidden="false" customHeight="false" outlineLevel="0" collapsed="false">
      <c r="A773" s="15" t="s">
        <v>830</v>
      </c>
      <c r="B773" s="16" t="n">
        <v>45310</v>
      </c>
      <c r="C773" s="15" t="s">
        <v>56</v>
      </c>
      <c r="D773" s="15" t="s">
        <v>43</v>
      </c>
      <c r="E773" s="15" t="s">
        <v>38</v>
      </c>
      <c r="F773" s="15" t="s">
        <v>17</v>
      </c>
      <c r="G773" s="15" t="s">
        <v>29</v>
      </c>
      <c r="H773" s="15" t="n">
        <v>5</v>
      </c>
      <c r="I773" s="17" t="n">
        <v>0</v>
      </c>
      <c r="J773" s="18" t="n">
        <v>107.78</v>
      </c>
      <c r="K773" s="19" t="n">
        <v>39.59</v>
      </c>
      <c r="L773" s="15" t="n">
        <f aca="false">YEAR(B773)</f>
        <v>2024</v>
      </c>
      <c r="M773" s="20" t="n">
        <f aca="false">IF(J773&gt;0,K773/J773,0)</f>
        <v>0.367322323251067</v>
      </c>
    </row>
    <row r="774" customFormat="false" ht="15" hidden="false" customHeight="false" outlineLevel="0" collapsed="false">
      <c r="A774" s="15" t="s">
        <v>831</v>
      </c>
      <c r="B774" s="16" t="n">
        <v>45868</v>
      </c>
      <c r="C774" s="15" t="s">
        <v>56</v>
      </c>
      <c r="D774" s="15" t="s">
        <v>42</v>
      </c>
      <c r="E774" s="15" t="s">
        <v>39</v>
      </c>
      <c r="F774" s="15" t="s">
        <v>18</v>
      </c>
      <c r="G774" s="15" t="s">
        <v>30</v>
      </c>
      <c r="H774" s="15" t="n">
        <v>3</v>
      </c>
      <c r="I774" s="17" t="n">
        <v>0.2</v>
      </c>
      <c r="J774" s="18" t="n">
        <v>101.84</v>
      </c>
      <c r="K774" s="19" t="n">
        <v>12.55</v>
      </c>
      <c r="L774" s="15" t="n">
        <f aca="false">YEAR(B774)</f>
        <v>2025</v>
      </c>
      <c r="M774" s="20" t="n">
        <f aca="false">IF(J774&gt;0,K774/J774,0)</f>
        <v>0.123232521602514</v>
      </c>
    </row>
    <row r="775" customFormat="false" ht="15" hidden="false" customHeight="false" outlineLevel="0" collapsed="false">
      <c r="A775" s="15" t="s">
        <v>832</v>
      </c>
      <c r="B775" s="16" t="n">
        <v>45920</v>
      </c>
      <c r="C775" s="15" t="s">
        <v>56</v>
      </c>
      <c r="D775" s="15" t="s">
        <v>43</v>
      </c>
      <c r="E775" s="15" t="s">
        <v>37</v>
      </c>
      <c r="F775" s="15" t="s">
        <v>17</v>
      </c>
      <c r="G775" s="15" t="s">
        <v>26</v>
      </c>
      <c r="H775" s="15" t="n">
        <v>2</v>
      </c>
      <c r="I775" s="17" t="n">
        <v>0</v>
      </c>
      <c r="J775" s="18" t="n">
        <v>172.34</v>
      </c>
      <c r="K775" s="19" t="n">
        <v>20.5</v>
      </c>
      <c r="L775" s="15" t="n">
        <f aca="false">YEAR(B775)</f>
        <v>2025</v>
      </c>
      <c r="M775" s="20" t="n">
        <f aca="false">IF(J775&gt;0,K775/J775,0)</f>
        <v>0.118950910989904</v>
      </c>
    </row>
    <row r="776" customFormat="false" ht="15" hidden="false" customHeight="false" outlineLevel="0" collapsed="false">
      <c r="A776" s="15" t="s">
        <v>833</v>
      </c>
      <c r="B776" s="16" t="n">
        <v>44904</v>
      </c>
      <c r="C776" s="15" t="s">
        <v>56</v>
      </c>
      <c r="D776" s="15" t="s">
        <v>42</v>
      </c>
      <c r="E776" s="15" t="s">
        <v>38</v>
      </c>
      <c r="F776" s="15" t="s">
        <v>16</v>
      </c>
      <c r="G776" s="15" t="s">
        <v>25</v>
      </c>
      <c r="H776" s="15" t="n">
        <v>3</v>
      </c>
      <c r="I776" s="17" t="n">
        <v>0.2</v>
      </c>
      <c r="J776" s="18" t="n">
        <v>701.92</v>
      </c>
      <c r="K776" s="19" t="n">
        <v>-49.72</v>
      </c>
      <c r="L776" s="15" t="n">
        <f aca="false">YEAR(B776)</f>
        <v>2022</v>
      </c>
      <c r="M776" s="20" t="n">
        <f aca="false">IF(J776&gt;0,K776/J776,0)</f>
        <v>-0.0708342831091862</v>
      </c>
    </row>
    <row r="777" customFormat="false" ht="15" hidden="false" customHeight="false" outlineLevel="0" collapsed="false">
      <c r="A777" s="15" t="s">
        <v>834</v>
      </c>
      <c r="B777" s="16" t="n">
        <v>45219</v>
      </c>
      <c r="C777" s="15" t="s">
        <v>68</v>
      </c>
      <c r="D777" s="15" t="s">
        <v>42</v>
      </c>
      <c r="E777" s="15" t="s">
        <v>39</v>
      </c>
      <c r="F777" s="15" t="s">
        <v>16</v>
      </c>
      <c r="G777" s="15" t="s">
        <v>23</v>
      </c>
      <c r="H777" s="15" t="n">
        <v>2</v>
      </c>
      <c r="I777" s="17" t="n">
        <v>0.1</v>
      </c>
      <c r="J777" s="18" t="n">
        <v>556.59</v>
      </c>
      <c r="K777" s="19" t="n">
        <v>-45.83</v>
      </c>
      <c r="L777" s="15" t="n">
        <f aca="false">YEAR(B777)</f>
        <v>2023</v>
      </c>
      <c r="M777" s="20" t="n">
        <f aca="false">IF(J777&gt;0,K777/J777,0)</f>
        <v>-0.0823406816507663</v>
      </c>
    </row>
    <row r="778" customFormat="false" ht="15" hidden="false" customHeight="false" outlineLevel="0" collapsed="false">
      <c r="A778" s="15" t="s">
        <v>835</v>
      </c>
      <c r="B778" s="16" t="n">
        <v>45628</v>
      </c>
      <c r="C778" s="15" t="s">
        <v>56</v>
      </c>
      <c r="D778" s="15" t="s">
        <v>42</v>
      </c>
      <c r="E778" s="15" t="s">
        <v>39</v>
      </c>
      <c r="F778" s="15" t="s">
        <v>17</v>
      </c>
      <c r="G778" s="15" t="s">
        <v>26</v>
      </c>
      <c r="H778" s="15" t="n">
        <v>3</v>
      </c>
      <c r="I778" s="17" t="n">
        <v>0.1</v>
      </c>
      <c r="J778" s="18" t="n">
        <v>241.05</v>
      </c>
      <c r="K778" s="19" t="n">
        <v>25.3</v>
      </c>
      <c r="L778" s="15" t="n">
        <f aca="false">YEAR(B778)</f>
        <v>2024</v>
      </c>
      <c r="M778" s="20" t="n">
        <f aca="false">IF(J778&gt;0,K778/J778,0)</f>
        <v>0.104957477701722</v>
      </c>
    </row>
    <row r="779" customFormat="false" ht="15" hidden="false" customHeight="false" outlineLevel="0" collapsed="false">
      <c r="A779" s="15" t="s">
        <v>836</v>
      </c>
      <c r="B779" s="16" t="n">
        <v>44736</v>
      </c>
      <c r="C779" s="15" t="s">
        <v>56</v>
      </c>
      <c r="D779" s="15" t="s">
        <v>42</v>
      </c>
      <c r="E779" s="15" t="s">
        <v>39</v>
      </c>
      <c r="F779" s="15" t="s">
        <v>17</v>
      </c>
      <c r="G779" s="15" t="s">
        <v>26</v>
      </c>
      <c r="H779" s="15" t="n">
        <v>2</v>
      </c>
      <c r="I779" s="17" t="n">
        <v>0</v>
      </c>
      <c r="J779" s="18" t="n">
        <v>175.7</v>
      </c>
      <c r="K779" s="19" t="n">
        <v>27.95</v>
      </c>
      <c r="L779" s="15" t="n">
        <f aca="false">YEAR(B779)</f>
        <v>2022</v>
      </c>
      <c r="M779" s="20" t="n">
        <f aca="false">IF(J779&gt;0,K779/J779,0)</f>
        <v>0.15907797381901</v>
      </c>
    </row>
    <row r="780" customFormat="false" ht="15" hidden="false" customHeight="false" outlineLevel="0" collapsed="false">
      <c r="A780" s="15" t="s">
        <v>837</v>
      </c>
      <c r="B780" s="16" t="n">
        <v>45655</v>
      </c>
      <c r="C780" s="15" t="s">
        <v>56</v>
      </c>
      <c r="D780" s="15" t="s">
        <v>43</v>
      </c>
      <c r="E780" s="15" t="s">
        <v>38</v>
      </c>
      <c r="F780" s="15" t="s">
        <v>18</v>
      </c>
      <c r="G780" s="15" t="s">
        <v>30</v>
      </c>
      <c r="H780" s="15" t="n">
        <v>3</v>
      </c>
      <c r="I780" s="17" t="n">
        <v>0.15</v>
      </c>
      <c r="J780" s="18" t="n">
        <v>113.35</v>
      </c>
      <c r="K780" s="19" t="n">
        <v>13.83</v>
      </c>
      <c r="L780" s="15" t="n">
        <f aca="false">YEAR(B780)</f>
        <v>2024</v>
      </c>
      <c r="M780" s="20" t="n">
        <f aca="false">IF(J780&gt;0,K780/J780,0)</f>
        <v>0.122011468901632</v>
      </c>
    </row>
    <row r="781" customFormat="false" ht="15" hidden="false" customHeight="false" outlineLevel="0" collapsed="false">
      <c r="A781" s="15" t="s">
        <v>838</v>
      </c>
      <c r="B781" s="16" t="n">
        <v>45175</v>
      </c>
      <c r="C781" s="15" t="s">
        <v>71</v>
      </c>
      <c r="D781" s="15" t="s">
        <v>42</v>
      </c>
      <c r="E781" s="15" t="s">
        <v>38</v>
      </c>
      <c r="F781" s="15" t="s">
        <v>17</v>
      </c>
      <c r="G781" s="15" t="s">
        <v>26</v>
      </c>
      <c r="H781" s="15" t="n">
        <v>7</v>
      </c>
      <c r="I781" s="17" t="n">
        <v>0</v>
      </c>
      <c r="J781" s="18" t="n">
        <v>587.79</v>
      </c>
      <c r="K781" s="19" t="n">
        <v>54.24</v>
      </c>
      <c r="L781" s="15" t="n">
        <f aca="false">YEAR(B781)</f>
        <v>2023</v>
      </c>
      <c r="M781" s="20" t="n">
        <f aca="false">IF(J781&gt;0,K781/J781,0)</f>
        <v>0.0922778543357322</v>
      </c>
    </row>
    <row r="782" customFormat="false" ht="15" hidden="false" customHeight="false" outlineLevel="0" collapsed="false">
      <c r="A782" s="15" t="s">
        <v>839</v>
      </c>
      <c r="B782" s="16" t="n">
        <v>46011</v>
      </c>
      <c r="C782" s="15" t="s">
        <v>56</v>
      </c>
      <c r="D782" s="15" t="s">
        <v>42</v>
      </c>
      <c r="E782" s="15" t="s">
        <v>36</v>
      </c>
      <c r="F782" s="15" t="s">
        <v>17</v>
      </c>
      <c r="G782" s="15" t="s">
        <v>29</v>
      </c>
      <c r="H782" s="15" t="n">
        <v>5</v>
      </c>
      <c r="I782" s="17" t="n">
        <v>0.4</v>
      </c>
      <c r="J782" s="18" t="n">
        <v>39.43</v>
      </c>
      <c r="K782" s="19" t="n">
        <v>-1.18</v>
      </c>
      <c r="L782" s="15" t="n">
        <f aca="false">YEAR(B782)</f>
        <v>2025</v>
      </c>
      <c r="M782" s="20" t="n">
        <f aca="false">IF(J782&gt;0,K782/J782,0)</f>
        <v>-0.0299264519401471</v>
      </c>
    </row>
    <row r="783" customFormat="false" ht="15" hidden="false" customHeight="false" outlineLevel="0" collapsed="false">
      <c r="A783" s="15" t="s">
        <v>840</v>
      </c>
      <c r="B783" s="16" t="n">
        <v>44684</v>
      </c>
      <c r="C783" s="15" t="s">
        <v>71</v>
      </c>
      <c r="D783" s="15" t="s">
        <v>43</v>
      </c>
      <c r="E783" s="15" t="s">
        <v>39</v>
      </c>
      <c r="F783" s="15" t="s">
        <v>17</v>
      </c>
      <c r="G783" s="15" t="s">
        <v>28</v>
      </c>
      <c r="H783" s="15" t="n">
        <v>3</v>
      </c>
      <c r="I783" s="17" t="n">
        <v>0</v>
      </c>
      <c r="J783" s="18" t="n">
        <v>82.23</v>
      </c>
      <c r="K783" s="19" t="n">
        <v>30.58</v>
      </c>
      <c r="L783" s="15" t="n">
        <f aca="false">YEAR(B783)</f>
        <v>2022</v>
      </c>
      <c r="M783" s="20" t="n">
        <f aca="false">IF(J783&gt;0,K783/J783,0)</f>
        <v>0.371883740727228</v>
      </c>
    </row>
    <row r="784" customFormat="false" ht="15" hidden="false" customHeight="false" outlineLevel="0" collapsed="false">
      <c r="A784" s="15" t="s">
        <v>841</v>
      </c>
      <c r="B784" s="16" t="n">
        <v>45792</v>
      </c>
      <c r="C784" s="15" t="s">
        <v>56</v>
      </c>
      <c r="D784" s="15" t="s">
        <v>44</v>
      </c>
      <c r="E784" s="15" t="s">
        <v>36</v>
      </c>
      <c r="F784" s="15" t="s">
        <v>16</v>
      </c>
      <c r="G784" s="15" t="s">
        <v>27</v>
      </c>
      <c r="H784" s="15" t="n">
        <v>4</v>
      </c>
      <c r="I784" s="17" t="n">
        <v>0.4</v>
      </c>
      <c r="J784" s="18" t="n">
        <v>121.84</v>
      </c>
      <c r="K784" s="19" t="n">
        <v>-18.38</v>
      </c>
      <c r="L784" s="15" t="n">
        <f aca="false">YEAR(B784)</f>
        <v>2025</v>
      </c>
      <c r="M784" s="20" t="n">
        <f aca="false">IF(J784&gt;0,K784/J784,0)</f>
        <v>-0.150853578463559</v>
      </c>
    </row>
    <row r="785" customFormat="false" ht="15" hidden="false" customHeight="false" outlineLevel="0" collapsed="false">
      <c r="A785" s="15" t="s">
        <v>842</v>
      </c>
      <c r="B785" s="16" t="n">
        <v>45228</v>
      </c>
      <c r="C785" s="15" t="s">
        <v>56</v>
      </c>
      <c r="D785" s="15" t="s">
        <v>44</v>
      </c>
      <c r="E785" s="15" t="s">
        <v>38</v>
      </c>
      <c r="F785" s="15" t="s">
        <v>17</v>
      </c>
      <c r="G785" s="15" t="s">
        <v>28</v>
      </c>
      <c r="H785" s="15" t="n">
        <v>2</v>
      </c>
      <c r="I785" s="17" t="n">
        <v>0.4</v>
      </c>
      <c r="J785" s="18" t="n">
        <v>30.73</v>
      </c>
      <c r="K785" s="19" t="n">
        <v>-1.31</v>
      </c>
      <c r="L785" s="15" t="n">
        <f aca="false">YEAR(B785)</f>
        <v>2023</v>
      </c>
      <c r="M785" s="20" t="n">
        <f aca="false">IF(J785&gt;0,K785/J785,0)</f>
        <v>-0.042629352424341</v>
      </c>
    </row>
    <row r="786" customFormat="false" ht="15" hidden="false" customHeight="false" outlineLevel="0" collapsed="false">
      <c r="A786" s="15" t="s">
        <v>843</v>
      </c>
      <c r="B786" s="16" t="n">
        <v>45178</v>
      </c>
      <c r="C786" s="15" t="s">
        <v>71</v>
      </c>
      <c r="D786" s="15" t="s">
        <v>42</v>
      </c>
      <c r="E786" s="15" t="s">
        <v>37</v>
      </c>
      <c r="F786" s="15" t="s">
        <v>18</v>
      </c>
      <c r="G786" s="15" t="s">
        <v>32</v>
      </c>
      <c r="H786" s="15" t="n">
        <v>4</v>
      </c>
      <c r="I786" s="17" t="n">
        <v>0</v>
      </c>
      <c r="J786" s="18" t="n">
        <v>1357.69</v>
      </c>
      <c r="K786" s="19" t="n">
        <v>290.25</v>
      </c>
      <c r="L786" s="15" t="n">
        <f aca="false">YEAR(B786)</f>
        <v>2023</v>
      </c>
      <c r="M786" s="20" t="n">
        <f aca="false">IF(J786&gt;0,K786/J786,0)</f>
        <v>0.21378223305762</v>
      </c>
    </row>
    <row r="787" customFormat="false" ht="15" hidden="false" customHeight="false" outlineLevel="0" collapsed="false">
      <c r="A787" s="15" t="s">
        <v>844</v>
      </c>
      <c r="B787" s="16" t="n">
        <v>45780</v>
      </c>
      <c r="C787" s="15" t="s">
        <v>56</v>
      </c>
      <c r="D787" s="15" t="s">
        <v>44</v>
      </c>
      <c r="E787" s="15" t="s">
        <v>39</v>
      </c>
      <c r="F787" s="15" t="s">
        <v>17</v>
      </c>
      <c r="G787" s="15" t="s">
        <v>29</v>
      </c>
      <c r="H787" s="15" t="n">
        <v>3</v>
      </c>
      <c r="I787" s="17" t="n">
        <v>0.05</v>
      </c>
      <c r="J787" s="18" t="n">
        <v>56.66</v>
      </c>
      <c r="K787" s="19" t="n">
        <v>18.78</v>
      </c>
      <c r="L787" s="15" t="n">
        <f aca="false">YEAR(B787)</f>
        <v>2025</v>
      </c>
      <c r="M787" s="20" t="n">
        <f aca="false">IF(J787&gt;0,K787/J787,0)</f>
        <v>0.331450758912813</v>
      </c>
    </row>
    <row r="788" customFormat="false" ht="15" hidden="false" customHeight="false" outlineLevel="0" collapsed="false">
      <c r="A788" s="15" t="s">
        <v>845</v>
      </c>
      <c r="B788" s="16" t="n">
        <v>44859</v>
      </c>
      <c r="C788" s="15" t="s">
        <v>56</v>
      </c>
      <c r="D788" s="15" t="s">
        <v>43</v>
      </c>
      <c r="E788" s="15" t="s">
        <v>36</v>
      </c>
      <c r="F788" s="15" t="s">
        <v>17</v>
      </c>
      <c r="G788" s="15" t="s">
        <v>29</v>
      </c>
      <c r="H788" s="15" t="n">
        <v>2</v>
      </c>
      <c r="I788" s="17" t="n">
        <v>0.1</v>
      </c>
      <c r="J788" s="18" t="n">
        <v>34.02</v>
      </c>
      <c r="K788" s="19" t="n">
        <v>7.15</v>
      </c>
      <c r="L788" s="15" t="n">
        <f aca="false">YEAR(B788)</f>
        <v>2022</v>
      </c>
      <c r="M788" s="20" t="n">
        <f aca="false">IF(J788&gt;0,K788/J788,0)</f>
        <v>0.210170487948266</v>
      </c>
    </row>
    <row r="789" customFormat="false" ht="15" hidden="false" customHeight="false" outlineLevel="0" collapsed="false">
      <c r="A789" s="15" t="s">
        <v>846</v>
      </c>
      <c r="B789" s="16" t="n">
        <v>45583</v>
      </c>
      <c r="C789" s="15" t="s">
        <v>68</v>
      </c>
      <c r="D789" s="15" t="s">
        <v>43</v>
      </c>
      <c r="E789" s="15" t="s">
        <v>37</v>
      </c>
      <c r="F789" s="15" t="s">
        <v>17</v>
      </c>
      <c r="G789" s="15" t="s">
        <v>28</v>
      </c>
      <c r="H789" s="15" t="n">
        <v>1</v>
      </c>
      <c r="I789" s="17" t="n">
        <v>0.2</v>
      </c>
      <c r="J789" s="18" t="n">
        <v>20.25</v>
      </c>
      <c r="K789" s="19" t="n">
        <v>3.06</v>
      </c>
      <c r="L789" s="15" t="n">
        <f aca="false">YEAR(B789)</f>
        <v>2024</v>
      </c>
      <c r="M789" s="20" t="n">
        <f aca="false">IF(J789&gt;0,K789/J789,0)</f>
        <v>0.151111111111111</v>
      </c>
    </row>
    <row r="790" customFormat="false" ht="15" hidden="false" customHeight="false" outlineLevel="0" collapsed="false">
      <c r="A790" s="15" t="s">
        <v>847</v>
      </c>
      <c r="B790" s="16" t="n">
        <v>45404</v>
      </c>
      <c r="C790" s="15" t="s">
        <v>56</v>
      </c>
      <c r="D790" s="15" t="s">
        <v>44</v>
      </c>
      <c r="E790" s="15" t="s">
        <v>36</v>
      </c>
      <c r="F790" s="15" t="s">
        <v>17</v>
      </c>
      <c r="G790" s="15" t="s">
        <v>31</v>
      </c>
      <c r="H790" s="15" t="n">
        <v>5</v>
      </c>
      <c r="I790" s="17" t="n">
        <v>0</v>
      </c>
      <c r="J790" s="18" t="n">
        <v>597.5</v>
      </c>
      <c r="K790" s="19" t="n">
        <v>104.39</v>
      </c>
      <c r="L790" s="15" t="n">
        <f aca="false">YEAR(B790)</f>
        <v>2024</v>
      </c>
      <c r="M790" s="20" t="n">
        <f aca="false">IF(J790&gt;0,K790/J790,0)</f>
        <v>0.17471129707113</v>
      </c>
    </row>
    <row r="791" customFormat="false" ht="15" hidden="false" customHeight="false" outlineLevel="0" collapsed="false">
      <c r="A791" s="15" t="s">
        <v>848</v>
      </c>
      <c r="B791" s="16" t="n">
        <v>45040</v>
      </c>
      <c r="C791" s="15" t="s">
        <v>56</v>
      </c>
      <c r="D791" s="15" t="s">
        <v>43</v>
      </c>
      <c r="E791" s="15" t="s">
        <v>37</v>
      </c>
      <c r="F791" s="15" t="s">
        <v>17</v>
      </c>
      <c r="G791" s="15" t="s">
        <v>31</v>
      </c>
      <c r="H791" s="15" t="n">
        <v>6</v>
      </c>
      <c r="I791" s="17" t="n">
        <v>0</v>
      </c>
      <c r="J791" s="18" t="n">
        <v>863.7</v>
      </c>
      <c r="K791" s="19" t="n">
        <v>122.35</v>
      </c>
      <c r="L791" s="15" t="n">
        <f aca="false">YEAR(B791)</f>
        <v>2023</v>
      </c>
      <c r="M791" s="20" t="n">
        <f aca="false">IF(J791&gt;0,K791/J791,0)</f>
        <v>0.141657983095982</v>
      </c>
    </row>
    <row r="792" customFormat="false" ht="15" hidden="false" customHeight="false" outlineLevel="0" collapsed="false">
      <c r="A792" s="15" t="s">
        <v>849</v>
      </c>
      <c r="B792" s="16" t="n">
        <v>45079</v>
      </c>
      <c r="C792" s="15" t="s">
        <v>56</v>
      </c>
      <c r="D792" s="15" t="s">
        <v>43</v>
      </c>
      <c r="E792" s="15" t="s">
        <v>39</v>
      </c>
      <c r="F792" s="15" t="s">
        <v>18</v>
      </c>
      <c r="G792" s="15" t="s">
        <v>30</v>
      </c>
      <c r="H792" s="15" t="n">
        <v>2</v>
      </c>
      <c r="I792" s="17" t="n">
        <v>0.1</v>
      </c>
      <c r="J792" s="18" t="n">
        <v>78.15</v>
      </c>
      <c r="K792" s="19" t="n">
        <v>14.52</v>
      </c>
      <c r="L792" s="15" t="n">
        <f aca="false">YEAR(B792)</f>
        <v>2023</v>
      </c>
      <c r="M792" s="20" t="n">
        <f aca="false">IF(J792&gt;0,K792/J792,0)</f>
        <v>0.185796545105566</v>
      </c>
    </row>
    <row r="793" customFormat="false" ht="15" hidden="false" customHeight="false" outlineLevel="0" collapsed="false">
      <c r="A793" s="15" t="s">
        <v>850</v>
      </c>
      <c r="B793" s="16" t="n">
        <v>45670</v>
      </c>
      <c r="C793" s="15" t="s">
        <v>56</v>
      </c>
      <c r="D793" s="15" t="s">
        <v>42</v>
      </c>
      <c r="E793" s="15" t="s">
        <v>36</v>
      </c>
      <c r="F793" s="15" t="s">
        <v>17</v>
      </c>
      <c r="G793" s="15" t="s">
        <v>31</v>
      </c>
      <c r="H793" s="15" t="n">
        <v>4</v>
      </c>
      <c r="I793" s="17" t="n">
        <v>0.1</v>
      </c>
      <c r="J793" s="18" t="n">
        <v>371.8</v>
      </c>
      <c r="K793" s="19" t="n">
        <v>44.48</v>
      </c>
      <c r="L793" s="15" t="n">
        <f aca="false">YEAR(B793)</f>
        <v>2025</v>
      </c>
      <c r="M793" s="20" t="n">
        <f aca="false">IF(J793&gt;0,K793/J793,0)</f>
        <v>0.119634211941904</v>
      </c>
    </row>
    <row r="794" customFormat="false" ht="15" hidden="false" customHeight="false" outlineLevel="0" collapsed="false">
      <c r="A794" s="15" t="s">
        <v>851</v>
      </c>
      <c r="B794" s="16" t="n">
        <v>45621</v>
      </c>
      <c r="C794" s="15" t="s">
        <v>71</v>
      </c>
      <c r="D794" s="15" t="s">
        <v>42</v>
      </c>
      <c r="E794" s="15" t="s">
        <v>39</v>
      </c>
      <c r="F794" s="15" t="s">
        <v>17</v>
      </c>
      <c r="G794" s="15" t="s">
        <v>28</v>
      </c>
      <c r="H794" s="15" t="n">
        <v>3</v>
      </c>
      <c r="I794" s="17" t="n">
        <v>0</v>
      </c>
      <c r="J794" s="18" t="n">
        <v>69.95</v>
      </c>
      <c r="K794" s="19" t="n">
        <v>19.39</v>
      </c>
      <c r="L794" s="15" t="n">
        <f aca="false">YEAR(B794)</f>
        <v>2024</v>
      </c>
      <c r="M794" s="20" t="n">
        <f aca="false">IF(J794&gt;0,K794/J794,0)</f>
        <v>0.277197998570407</v>
      </c>
    </row>
    <row r="795" customFormat="false" ht="15" hidden="false" customHeight="false" outlineLevel="0" collapsed="false">
      <c r="A795" s="15" t="s">
        <v>852</v>
      </c>
      <c r="B795" s="16" t="n">
        <v>44849</v>
      </c>
      <c r="C795" s="15" t="s">
        <v>68</v>
      </c>
      <c r="D795" s="15" t="s">
        <v>43</v>
      </c>
      <c r="E795" s="15" t="s">
        <v>37</v>
      </c>
      <c r="F795" s="15" t="s">
        <v>17</v>
      </c>
      <c r="G795" s="15" t="s">
        <v>26</v>
      </c>
      <c r="H795" s="15" t="n">
        <v>5</v>
      </c>
      <c r="I795" s="17" t="n">
        <v>0.15</v>
      </c>
      <c r="J795" s="18" t="n">
        <v>373.41</v>
      </c>
      <c r="K795" s="19" t="n">
        <v>-15.81</v>
      </c>
      <c r="L795" s="15" t="n">
        <f aca="false">YEAR(B795)</f>
        <v>2022</v>
      </c>
      <c r="M795" s="20" t="n">
        <f aca="false">IF(J795&gt;0,K795/J795,0)</f>
        <v>-0.0423395195629469</v>
      </c>
    </row>
    <row r="796" customFormat="false" ht="15" hidden="false" customHeight="false" outlineLevel="0" collapsed="false">
      <c r="A796" s="15" t="s">
        <v>853</v>
      </c>
      <c r="B796" s="16" t="n">
        <v>46005</v>
      </c>
      <c r="C796" s="15" t="s">
        <v>71</v>
      </c>
      <c r="D796" s="15" t="s">
        <v>42</v>
      </c>
      <c r="E796" s="15" t="s">
        <v>37</v>
      </c>
      <c r="F796" s="15" t="s">
        <v>18</v>
      </c>
      <c r="G796" s="15" t="s">
        <v>33</v>
      </c>
      <c r="H796" s="15" t="n">
        <v>3</v>
      </c>
      <c r="I796" s="17" t="n">
        <v>0</v>
      </c>
      <c r="J796" s="18" t="n">
        <v>2664.26</v>
      </c>
      <c r="K796" s="19" t="n">
        <v>768.07</v>
      </c>
      <c r="L796" s="15" t="n">
        <f aca="false">YEAR(B796)</f>
        <v>2025</v>
      </c>
      <c r="M796" s="20" t="n">
        <f aca="false">IF(J796&gt;0,K796/J796,0)</f>
        <v>0.288286428501723</v>
      </c>
    </row>
    <row r="797" customFormat="false" ht="15" hidden="false" customHeight="false" outlineLevel="0" collapsed="false">
      <c r="A797" s="15" t="s">
        <v>854</v>
      </c>
      <c r="B797" s="16" t="n">
        <v>45753</v>
      </c>
      <c r="C797" s="15" t="s">
        <v>56</v>
      </c>
      <c r="D797" s="15" t="s">
        <v>43</v>
      </c>
      <c r="E797" s="15" t="s">
        <v>37</v>
      </c>
      <c r="F797" s="15" t="s">
        <v>18</v>
      </c>
      <c r="G797" s="15" t="s">
        <v>30</v>
      </c>
      <c r="H797" s="15" t="n">
        <v>5</v>
      </c>
      <c r="I797" s="17" t="n">
        <v>0.2</v>
      </c>
      <c r="J797" s="18" t="n">
        <v>184.68</v>
      </c>
      <c r="K797" s="19" t="n">
        <v>32.82</v>
      </c>
      <c r="L797" s="15" t="n">
        <f aca="false">YEAR(B797)</f>
        <v>2025</v>
      </c>
      <c r="M797" s="20" t="n">
        <f aca="false">IF(J797&gt;0,K797/J797,0)</f>
        <v>0.177712800519818</v>
      </c>
    </row>
    <row r="798" customFormat="false" ht="15" hidden="false" customHeight="false" outlineLevel="0" collapsed="false">
      <c r="A798" s="15" t="s">
        <v>855</v>
      </c>
      <c r="B798" s="16" t="n">
        <v>45539</v>
      </c>
      <c r="C798" s="15" t="s">
        <v>56</v>
      </c>
      <c r="D798" s="15" t="s">
        <v>42</v>
      </c>
      <c r="E798" s="15" t="s">
        <v>39</v>
      </c>
      <c r="F798" s="15" t="s">
        <v>16</v>
      </c>
      <c r="G798" s="15" t="s">
        <v>27</v>
      </c>
      <c r="H798" s="15" t="n">
        <v>2</v>
      </c>
      <c r="I798" s="17" t="n">
        <v>0.1</v>
      </c>
      <c r="J798" s="18" t="n">
        <v>111.05</v>
      </c>
      <c r="K798" s="19" t="n">
        <v>12.55</v>
      </c>
      <c r="L798" s="15" t="n">
        <f aca="false">YEAR(B798)</f>
        <v>2024</v>
      </c>
      <c r="M798" s="20" t="n">
        <f aca="false">IF(J798&gt;0,K798/J798,0)</f>
        <v>0.113012156686177</v>
      </c>
    </row>
    <row r="799" customFormat="false" ht="15" hidden="false" customHeight="false" outlineLevel="0" collapsed="false">
      <c r="A799" s="15" t="s">
        <v>856</v>
      </c>
      <c r="B799" s="16" t="n">
        <v>45187</v>
      </c>
      <c r="C799" s="15" t="s">
        <v>68</v>
      </c>
      <c r="D799" s="15" t="s">
        <v>43</v>
      </c>
      <c r="E799" s="15" t="s">
        <v>36</v>
      </c>
      <c r="F799" s="15" t="s">
        <v>16</v>
      </c>
      <c r="G799" s="15" t="s">
        <v>22</v>
      </c>
      <c r="H799" s="15" t="n">
        <v>2</v>
      </c>
      <c r="I799" s="17" t="n">
        <v>0.15</v>
      </c>
      <c r="J799" s="18" t="n">
        <v>938.81</v>
      </c>
      <c r="K799" s="19" t="n">
        <v>-207.92</v>
      </c>
      <c r="L799" s="15" t="n">
        <f aca="false">YEAR(B799)</f>
        <v>2023</v>
      </c>
      <c r="M799" s="20" t="n">
        <f aca="false">IF(J799&gt;0,K799/J799,0)</f>
        <v>-0.221471863316326</v>
      </c>
    </row>
    <row r="800" customFormat="false" ht="15" hidden="false" customHeight="false" outlineLevel="0" collapsed="false">
      <c r="A800" s="15" t="s">
        <v>857</v>
      </c>
      <c r="B800" s="16" t="n">
        <v>45363</v>
      </c>
      <c r="C800" s="15" t="s">
        <v>68</v>
      </c>
      <c r="D800" s="15" t="s">
        <v>42</v>
      </c>
      <c r="E800" s="15" t="s">
        <v>37</v>
      </c>
      <c r="F800" s="15" t="s">
        <v>18</v>
      </c>
      <c r="G800" s="15" t="s">
        <v>30</v>
      </c>
      <c r="H800" s="15" t="n">
        <v>5</v>
      </c>
      <c r="I800" s="17" t="n">
        <v>0.1</v>
      </c>
      <c r="J800" s="18" t="n">
        <v>212.18</v>
      </c>
      <c r="K800" s="19" t="n">
        <v>29.7</v>
      </c>
      <c r="L800" s="15" t="n">
        <f aca="false">YEAR(B800)</f>
        <v>2024</v>
      </c>
      <c r="M800" s="20" t="n">
        <f aca="false">IF(J800&gt;0,K800/J800,0)</f>
        <v>0.139975492506363</v>
      </c>
    </row>
    <row r="801" customFormat="false" ht="15" hidden="false" customHeight="false" outlineLevel="0" collapsed="false">
      <c r="A801" s="15" t="s">
        <v>858</v>
      </c>
      <c r="B801" s="16" t="n">
        <v>45064</v>
      </c>
      <c r="C801" s="15" t="s">
        <v>56</v>
      </c>
      <c r="D801" s="15" t="s">
        <v>42</v>
      </c>
      <c r="E801" s="15" t="s">
        <v>39</v>
      </c>
      <c r="F801" s="15" t="s">
        <v>17</v>
      </c>
      <c r="G801" s="15" t="s">
        <v>28</v>
      </c>
      <c r="H801" s="15" t="n">
        <v>3</v>
      </c>
      <c r="I801" s="17" t="n">
        <v>0</v>
      </c>
      <c r="J801" s="18" t="n">
        <v>84.52</v>
      </c>
      <c r="K801" s="19" t="n">
        <v>28.66</v>
      </c>
      <c r="L801" s="15" t="n">
        <f aca="false">YEAR(B801)</f>
        <v>2023</v>
      </c>
      <c r="M801" s="20" t="n">
        <f aca="false">IF(J801&gt;0,K801/J801,0)</f>
        <v>0.33909133932797</v>
      </c>
    </row>
    <row r="802" customFormat="false" ht="15" hidden="false" customHeight="false" outlineLevel="0" collapsed="false">
      <c r="A802" s="15" t="s">
        <v>859</v>
      </c>
      <c r="B802" s="16" t="n">
        <v>45872</v>
      </c>
      <c r="C802" s="15" t="s">
        <v>68</v>
      </c>
      <c r="D802" s="15" t="s">
        <v>43</v>
      </c>
      <c r="E802" s="15" t="s">
        <v>36</v>
      </c>
      <c r="F802" s="15" t="s">
        <v>18</v>
      </c>
      <c r="G802" s="15" t="s">
        <v>33</v>
      </c>
      <c r="H802" s="15" t="n">
        <v>5</v>
      </c>
      <c r="I802" s="17" t="n">
        <v>0</v>
      </c>
      <c r="J802" s="18" t="n">
        <v>4363.53</v>
      </c>
      <c r="K802" s="19" t="n">
        <v>817.13</v>
      </c>
      <c r="L802" s="15" t="n">
        <f aca="false">YEAR(B802)</f>
        <v>2025</v>
      </c>
      <c r="M802" s="20" t="n">
        <f aca="false">IF(J802&gt;0,K802/J802,0)</f>
        <v>0.187263522881704</v>
      </c>
    </row>
    <row r="803" customFormat="false" ht="15" hidden="false" customHeight="false" outlineLevel="0" collapsed="false">
      <c r="A803" s="15" t="s">
        <v>860</v>
      </c>
      <c r="B803" s="16" t="n">
        <v>44655</v>
      </c>
      <c r="C803" s="15" t="s">
        <v>71</v>
      </c>
      <c r="D803" s="15" t="s">
        <v>42</v>
      </c>
      <c r="E803" s="15" t="s">
        <v>37</v>
      </c>
      <c r="F803" s="15" t="s">
        <v>17</v>
      </c>
      <c r="G803" s="15" t="s">
        <v>29</v>
      </c>
      <c r="H803" s="15" t="n">
        <v>2</v>
      </c>
      <c r="I803" s="17" t="n">
        <v>0.05</v>
      </c>
      <c r="J803" s="18" t="n">
        <v>38.68</v>
      </c>
      <c r="K803" s="19" t="n">
        <v>11.83</v>
      </c>
      <c r="L803" s="15" t="n">
        <f aca="false">YEAR(B803)</f>
        <v>2022</v>
      </c>
      <c r="M803" s="20" t="n">
        <f aca="false">IF(J803&gt;0,K803/J803,0)</f>
        <v>0.305842812823164</v>
      </c>
    </row>
    <row r="804" customFormat="false" ht="15" hidden="false" customHeight="false" outlineLevel="0" collapsed="false">
      <c r="A804" s="15" t="s">
        <v>861</v>
      </c>
      <c r="B804" s="16" t="n">
        <v>45845</v>
      </c>
      <c r="C804" s="15" t="s">
        <v>56</v>
      </c>
      <c r="D804" s="15" t="s">
        <v>42</v>
      </c>
      <c r="E804" s="15" t="s">
        <v>36</v>
      </c>
      <c r="F804" s="15" t="s">
        <v>16</v>
      </c>
      <c r="G804" s="15" t="s">
        <v>22</v>
      </c>
      <c r="H804" s="15" t="n">
        <v>5</v>
      </c>
      <c r="I804" s="17" t="n">
        <v>0</v>
      </c>
      <c r="J804" s="18" t="n">
        <v>2531.67</v>
      </c>
      <c r="K804" s="19" t="n">
        <v>-140.56</v>
      </c>
      <c r="L804" s="15" t="n">
        <f aca="false">YEAR(B804)</f>
        <v>2025</v>
      </c>
      <c r="M804" s="20" t="n">
        <f aca="false">IF(J804&gt;0,K804/J804,0)</f>
        <v>-0.0555206642255902</v>
      </c>
    </row>
    <row r="805" customFormat="false" ht="15" hidden="false" customHeight="false" outlineLevel="0" collapsed="false">
      <c r="A805" s="15" t="s">
        <v>862</v>
      </c>
      <c r="B805" s="16" t="n">
        <v>45234</v>
      </c>
      <c r="C805" s="15" t="s">
        <v>56</v>
      </c>
      <c r="D805" s="15" t="s">
        <v>43</v>
      </c>
      <c r="E805" s="15" t="s">
        <v>36</v>
      </c>
      <c r="F805" s="15" t="s">
        <v>18</v>
      </c>
      <c r="G805" s="15" t="s">
        <v>24</v>
      </c>
      <c r="H805" s="15" t="n">
        <v>6</v>
      </c>
      <c r="I805" s="17" t="n">
        <v>0</v>
      </c>
      <c r="J805" s="18" t="n">
        <v>4064.7</v>
      </c>
      <c r="K805" s="19" t="n">
        <v>270.18</v>
      </c>
      <c r="L805" s="15" t="n">
        <f aca="false">YEAR(B805)</f>
        <v>2023</v>
      </c>
      <c r="M805" s="20" t="n">
        <f aca="false">IF(J805&gt;0,K805/J805,0)</f>
        <v>0.0664698501734445</v>
      </c>
    </row>
    <row r="806" customFormat="false" ht="15" hidden="false" customHeight="false" outlineLevel="0" collapsed="false">
      <c r="A806" s="15" t="s">
        <v>863</v>
      </c>
      <c r="B806" s="16" t="n">
        <v>44683</v>
      </c>
      <c r="C806" s="15" t="s">
        <v>56</v>
      </c>
      <c r="D806" s="15" t="s">
        <v>42</v>
      </c>
      <c r="E806" s="15" t="s">
        <v>36</v>
      </c>
      <c r="F806" s="15" t="s">
        <v>17</v>
      </c>
      <c r="G806" s="15" t="s">
        <v>29</v>
      </c>
      <c r="H806" s="15" t="n">
        <v>6</v>
      </c>
      <c r="I806" s="17" t="n">
        <v>0</v>
      </c>
      <c r="J806" s="18" t="n">
        <v>98.97</v>
      </c>
      <c r="K806" s="19" t="n">
        <v>42</v>
      </c>
      <c r="L806" s="15" t="n">
        <f aca="false">YEAR(B806)</f>
        <v>2022</v>
      </c>
      <c r="M806" s="20" t="n">
        <f aca="false">IF(J806&gt;0,K806/J806,0)</f>
        <v>0.424371021521673</v>
      </c>
    </row>
    <row r="807" customFormat="false" ht="15" hidden="false" customHeight="false" outlineLevel="0" collapsed="false">
      <c r="A807" s="15" t="s">
        <v>864</v>
      </c>
      <c r="B807" s="16" t="n">
        <v>45794</v>
      </c>
      <c r="C807" s="15" t="s">
        <v>68</v>
      </c>
      <c r="D807" s="15" t="s">
        <v>44</v>
      </c>
      <c r="E807" s="15" t="s">
        <v>37</v>
      </c>
      <c r="F807" s="15" t="s">
        <v>16</v>
      </c>
      <c r="G807" s="15" t="s">
        <v>25</v>
      </c>
      <c r="H807" s="15" t="n">
        <v>5</v>
      </c>
      <c r="I807" s="17" t="n">
        <v>0.2</v>
      </c>
      <c r="J807" s="18" t="n">
        <v>1034.28</v>
      </c>
      <c r="K807" s="19" t="n">
        <v>-66.51</v>
      </c>
      <c r="L807" s="15" t="n">
        <f aca="false">YEAR(B807)</f>
        <v>2025</v>
      </c>
      <c r="M807" s="20" t="n">
        <f aca="false">IF(J807&gt;0,K807/J807,0)</f>
        <v>-0.0643056038983641</v>
      </c>
    </row>
    <row r="808" customFormat="false" ht="15" hidden="false" customHeight="false" outlineLevel="0" collapsed="false">
      <c r="A808" s="15" t="s">
        <v>865</v>
      </c>
      <c r="B808" s="16" t="n">
        <v>45138</v>
      </c>
      <c r="C808" s="15" t="s">
        <v>71</v>
      </c>
      <c r="D808" s="15" t="s">
        <v>43</v>
      </c>
      <c r="E808" s="15" t="s">
        <v>37</v>
      </c>
      <c r="F808" s="15" t="s">
        <v>18</v>
      </c>
      <c r="G808" s="15" t="s">
        <v>30</v>
      </c>
      <c r="H808" s="15" t="n">
        <v>1</v>
      </c>
      <c r="I808" s="17" t="n">
        <v>0</v>
      </c>
      <c r="J808" s="18" t="n">
        <v>46.22</v>
      </c>
      <c r="K808" s="19" t="n">
        <v>16.59</v>
      </c>
      <c r="L808" s="15" t="n">
        <f aca="false">YEAR(B808)</f>
        <v>2023</v>
      </c>
      <c r="M808" s="20" t="n">
        <f aca="false">IF(J808&gt;0,K808/J808,0)</f>
        <v>0.35893552574643</v>
      </c>
    </row>
    <row r="809" customFormat="false" ht="15" hidden="false" customHeight="false" outlineLevel="0" collapsed="false">
      <c r="A809" s="15" t="s">
        <v>866</v>
      </c>
      <c r="B809" s="16" t="n">
        <v>45332</v>
      </c>
      <c r="C809" s="15" t="s">
        <v>56</v>
      </c>
      <c r="D809" s="15" t="s">
        <v>43</v>
      </c>
      <c r="E809" s="15" t="s">
        <v>36</v>
      </c>
      <c r="F809" s="15" t="s">
        <v>16</v>
      </c>
      <c r="G809" s="15" t="s">
        <v>25</v>
      </c>
      <c r="H809" s="15" t="n">
        <v>3</v>
      </c>
      <c r="I809" s="17" t="n">
        <v>0</v>
      </c>
      <c r="J809" s="18" t="n">
        <v>771.95</v>
      </c>
      <c r="K809" s="19" t="n">
        <v>126.72</v>
      </c>
      <c r="L809" s="15" t="n">
        <f aca="false">YEAR(B809)</f>
        <v>2024</v>
      </c>
      <c r="M809" s="20" t="n">
        <f aca="false">IF(J809&gt;0,K809/J809,0)</f>
        <v>0.164155709566682</v>
      </c>
    </row>
    <row r="810" customFormat="false" ht="15" hidden="false" customHeight="false" outlineLevel="0" collapsed="false">
      <c r="A810" s="15" t="s">
        <v>867</v>
      </c>
      <c r="B810" s="16" t="n">
        <v>45665</v>
      </c>
      <c r="C810" s="15" t="s">
        <v>71</v>
      </c>
      <c r="D810" s="15" t="s">
        <v>44</v>
      </c>
      <c r="E810" s="15" t="s">
        <v>36</v>
      </c>
      <c r="F810" s="15" t="s">
        <v>16</v>
      </c>
      <c r="G810" s="15" t="s">
        <v>25</v>
      </c>
      <c r="H810" s="15" t="n">
        <v>3</v>
      </c>
      <c r="I810" s="17" t="n">
        <v>0</v>
      </c>
      <c r="J810" s="18" t="n">
        <v>734.85</v>
      </c>
      <c r="K810" s="19" t="n">
        <v>71.61</v>
      </c>
      <c r="L810" s="15" t="n">
        <f aca="false">YEAR(B810)</f>
        <v>2025</v>
      </c>
      <c r="M810" s="20" t="n">
        <f aca="false">IF(J810&gt;0,K810/J810,0)</f>
        <v>0.097448458869157</v>
      </c>
    </row>
    <row r="811" customFormat="false" ht="15" hidden="false" customHeight="false" outlineLevel="0" collapsed="false">
      <c r="A811" s="15" t="s">
        <v>868</v>
      </c>
      <c r="B811" s="16" t="n">
        <v>45869</v>
      </c>
      <c r="C811" s="15" t="s">
        <v>56</v>
      </c>
      <c r="D811" s="15" t="s">
        <v>43</v>
      </c>
      <c r="E811" s="15" t="s">
        <v>38</v>
      </c>
      <c r="F811" s="15" t="s">
        <v>17</v>
      </c>
      <c r="G811" s="15" t="s">
        <v>26</v>
      </c>
      <c r="H811" s="15" t="n">
        <v>1</v>
      </c>
      <c r="I811" s="17" t="n">
        <v>0</v>
      </c>
      <c r="J811" s="18" t="n">
        <v>89.83</v>
      </c>
      <c r="K811" s="19" t="n">
        <v>11.74</v>
      </c>
      <c r="L811" s="15" t="n">
        <f aca="false">YEAR(B811)</f>
        <v>2025</v>
      </c>
      <c r="M811" s="20" t="n">
        <f aca="false">IF(J811&gt;0,K811/J811,0)</f>
        <v>0.130691305799844</v>
      </c>
    </row>
    <row r="812" customFormat="false" ht="15" hidden="false" customHeight="false" outlineLevel="0" collapsed="false">
      <c r="A812" s="15" t="s">
        <v>869</v>
      </c>
      <c r="B812" s="16" t="n">
        <v>45882</v>
      </c>
      <c r="C812" s="15" t="s">
        <v>58</v>
      </c>
      <c r="D812" s="15" t="s">
        <v>43</v>
      </c>
      <c r="E812" s="15" t="s">
        <v>36</v>
      </c>
      <c r="F812" s="15" t="s">
        <v>17</v>
      </c>
      <c r="G812" s="15" t="s">
        <v>31</v>
      </c>
      <c r="H812" s="15" t="n">
        <v>3</v>
      </c>
      <c r="I812" s="17" t="n">
        <v>0</v>
      </c>
      <c r="J812" s="18" t="n">
        <v>409.26</v>
      </c>
      <c r="K812" s="19" t="n">
        <v>77.79</v>
      </c>
      <c r="L812" s="15" t="n">
        <f aca="false">YEAR(B812)</f>
        <v>2025</v>
      </c>
      <c r="M812" s="20" t="n">
        <f aca="false">IF(J812&gt;0,K812/J812,0)</f>
        <v>0.190074769095441</v>
      </c>
    </row>
    <row r="813" customFormat="false" ht="15" hidden="false" customHeight="false" outlineLevel="0" collapsed="false">
      <c r="A813" s="15" t="s">
        <v>870</v>
      </c>
      <c r="B813" s="16" t="n">
        <v>45861</v>
      </c>
      <c r="C813" s="15" t="s">
        <v>56</v>
      </c>
      <c r="D813" s="15" t="s">
        <v>42</v>
      </c>
      <c r="E813" s="15" t="s">
        <v>37</v>
      </c>
      <c r="F813" s="15" t="s">
        <v>17</v>
      </c>
      <c r="G813" s="15" t="s">
        <v>29</v>
      </c>
      <c r="H813" s="15" t="n">
        <v>3</v>
      </c>
      <c r="I813" s="17" t="n">
        <v>0.2</v>
      </c>
      <c r="J813" s="18" t="n">
        <v>43.45</v>
      </c>
      <c r="K813" s="19" t="n">
        <v>9.12</v>
      </c>
      <c r="L813" s="15" t="n">
        <f aca="false">YEAR(B813)</f>
        <v>2025</v>
      </c>
      <c r="M813" s="20" t="n">
        <f aca="false">IF(J813&gt;0,K813/J813,0)</f>
        <v>0.209896432681243</v>
      </c>
    </row>
    <row r="814" customFormat="false" ht="15" hidden="false" customHeight="false" outlineLevel="0" collapsed="false">
      <c r="A814" s="15" t="s">
        <v>871</v>
      </c>
      <c r="B814" s="16" t="n">
        <v>45937</v>
      </c>
      <c r="C814" s="15" t="s">
        <v>56</v>
      </c>
      <c r="D814" s="15" t="s">
        <v>43</v>
      </c>
      <c r="E814" s="15" t="s">
        <v>36</v>
      </c>
      <c r="F814" s="15" t="s">
        <v>17</v>
      </c>
      <c r="G814" s="15" t="s">
        <v>26</v>
      </c>
      <c r="H814" s="15" t="n">
        <v>5</v>
      </c>
      <c r="I814" s="17" t="n">
        <v>0</v>
      </c>
      <c r="J814" s="18" t="n">
        <v>444.26</v>
      </c>
      <c r="K814" s="19" t="n">
        <v>85.28</v>
      </c>
      <c r="L814" s="15" t="n">
        <f aca="false">YEAR(B814)</f>
        <v>2025</v>
      </c>
      <c r="M814" s="20" t="n">
        <f aca="false">IF(J814&gt;0,K814/J814,0)</f>
        <v>0.191959663260253</v>
      </c>
    </row>
    <row r="815" customFormat="false" ht="15" hidden="false" customHeight="false" outlineLevel="0" collapsed="false">
      <c r="A815" s="15" t="s">
        <v>872</v>
      </c>
      <c r="B815" s="16" t="n">
        <v>45634</v>
      </c>
      <c r="C815" s="15" t="s">
        <v>56</v>
      </c>
      <c r="D815" s="15" t="s">
        <v>44</v>
      </c>
      <c r="E815" s="15" t="s">
        <v>37</v>
      </c>
      <c r="F815" s="15" t="s">
        <v>17</v>
      </c>
      <c r="G815" s="15" t="s">
        <v>29</v>
      </c>
      <c r="H815" s="15" t="n">
        <v>3</v>
      </c>
      <c r="I815" s="17" t="n">
        <v>0.4</v>
      </c>
      <c r="J815" s="18" t="n">
        <v>34.87</v>
      </c>
      <c r="K815" s="19" t="n">
        <v>0.96</v>
      </c>
      <c r="L815" s="15" t="n">
        <f aca="false">YEAR(B815)</f>
        <v>2024</v>
      </c>
      <c r="M815" s="20" t="n">
        <f aca="false">IF(J815&gt;0,K815/J815,0)</f>
        <v>0.0275308287926584</v>
      </c>
    </row>
    <row r="816" customFormat="false" ht="15" hidden="false" customHeight="false" outlineLevel="0" collapsed="false">
      <c r="A816" s="15" t="s">
        <v>873</v>
      </c>
      <c r="B816" s="16" t="n">
        <v>45141</v>
      </c>
      <c r="C816" s="15" t="s">
        <v>56</v>
      </c>
      <c r="D816" s="15" t="s">
        <v>43</v>
      </c>
      <c r="E816" s="15" t="s">
        <v>39</v>
      </c>
      <c r="F816" s="15" t="s">
        <v>17</v>
      </c>
      <c r="G816" s="15" t="s">
        <v>29</v>
      </c>
      <c r="H816" s="15" t="n">
        <v>4</v>
      </c>
      <c r="I816" s="17" t="n">
        <v>0.1</v>
      </c>
      <c r="J816" s="18" t="n">
        <v>59.93</v>
      </c>
      <c r="K816" s="19" t="n">
        <v>15.62</v>
      </c>
      <c r="L816" s="15" t="n">
        <f aca="false">YEAR(B816)</f>
        <v>2023</v>
      </c>
      <c r="M816" s="20" t="n">
        <f aca="false">IF(J816&gt;0,K816/J816,0)</f>
        <v>0.260637410312031</v>
      </c>
    </row>
    <row r="817" customFormat="false" ht="15" hidden="false" customHeight="false" outlineLevel="0" collapsed="false">
      <c r="A817" s="15" t="s">
        <v>874</v>
      </c>
      <c r="B817" s="16" t="n">
        <v>44768</v>
      </c>
      <c r="C817" s="15" t="s">
        <v>71</v>
      </c>
      <c r="D817" s="15" t="s">
        <v>43</v>
      </c>
      <c r="E817" s="15" t="s">
        <v>37</v>
      </c>
      <c r="F817" s="15" t="s">
        <v>17</v>
      </c>
      <c r="G817" s="15" t="s">
        <v>29</v>
      </c>
      <c r="H817" s="15" t="n">
        <v>2</v>
      </c>
      <c r="I817" s="17" t="n">
        <v>0.1</v>
      </c>
      <c r="J817" s="18" t="n">
        <v>36.61</v>
      </c>
      <c r="K817" s="19" t="n">
        <v>10.33</v>
      </c>
      <c r="L817" s="15" t="n">
        <f aca="false">YEAR(B817)</f>
        <v>2022</v>
      </c>
      <c r="M817" s="20" t="n">
        <f aca="false">IF(J817&gt;0,K817/J817,0)</f>
        <v>0.282163343348812</v>
      </c>
    </row>
    <row r="818" customFormat="false" ht="15" hidden="false" customHeight="false" outlineLevel="0" collapsed="false">
      <c r="A818" s="15" t="s">
        <v>875</v>
      </c>
      <c r="B818" s="16" t="n">
        <v>44808</v>
      </c>
      <c r="C818" s="15" t="s">
        <v>56</v>
      </c>
      <c r="D818" s="15" t="s">
        <v>42</v>
      </c>
      <c r="E818" s="15" t="s">
        <v>39</v>
      </c>
      <c r="F818" s="15" t="s">
        <v>16</v>
      </c>
      <c r="G818" s="15" t="s">
        <v>22</v>
      </c>
      <c r="H818" s="15" t="n">
        <v>5</v>
      </c>
      <c r="I818" s="17" t="n">
        <v>0.1</v>
      </c>
      <c r="J818" s="18" t="n">
        <v>2568.61</v>
      </c>
      <c r="K818" s="19" t="n">
        <v>-290.02</v>
      </c>
      <c r="L818" s="15" t="n">
        <f aca="false">YEAR(B818)</f>
        <v>2022</v>
      </c>
      <c r="M818" s="20" t="n">
        <f aca="false">IF(J818&gt;0,K818/J818,0)</f>
        <v>-0.112909316712152</v>
      </c>
    </row>
    <row r="819" customFormat="false" ht="15" hidden="false" customHeight="false" outlineLevel="0" collapsed="false">
      <c r="A819" s="15" t="s">
        <v>876</v>
      </c>
      <c r="B819" s="16" t="n">
        <v>45058</v>
      </c>
      <c r="C819" s="15" t="s">
        <v>56</v>
      </c>
      <c r="D819" s="15" t="s">
        <v>42</v>
      </c>
      <c r="E819" s="15" t="s">
        <v>38</v>
      </c>
      <c r="F819" s="15" t="s">
        <v>18</v>
      </c>
      <c r="G819" s="15" t="s">
        <v>24</v>
      </c>
      <c r="H819" s="15" t="n">
        <v>2</v>
      </c>
      <c r="I819" s="17" t="n">
        <v>0</v>
      </c>
      <c r="J819" s="18" t="n">
        <v>1386.66</v>
      </c>
      <c r="K819" s="19" t="n">
        <v>11.42</v>
      </c>
      <c r="L819" s="15" t="n">
        <f aca="false">YEAR(B819)</f>
        <v>2023</v>
      </c>
      <c r="M819" s="20" t="n">
        <f aca="false">IF(J819&gt;0,K819/J819,0)</f>
        <v>0.0082356165173871</v>
      </c>
    </row>
    <row r="820" customFormat="false" ht="15" hidden="false" customHeight="false" outlineLevel="0" collapsed="false">
      <c r="A820" s="15" t="s">
        <v>877</v>
      </c>
      <c r="B820" s="16" t="n">
        <v>44677</v>
      </c>
      <c r="C820" s="15" t="s">
        <v>56</v>
      </c>
      <c r="D820" s="15" t="s">
        <v>42</v>
      </c>
      <c r="E820" s="15" t="s">
        <v>38</v>
      </c>
      <c r="F820" s="15" t="s">
        <v>17</v>
      </c>
      <c r="G820" s="15" t="s">
        <v>29</v>
      </c>
      <c r="H820" s="15" t="n">
        <v>1</v>
      </c>
      <c r="I820" s="17" t="n">
        <v>0</v>
      </c>
      <c r="J820" s="18" t="n">
        <v>16.89</v>
      </c>
      <c r="K820" s="19" t="n">
        <v>6.78</v>
      </c>
      <c r="L820" s="15" t="n">
        <f aca="false">YEAR(B820)</f>
        <v>2022</v>
      </c>
      <c r="M820" s="20" t="n">
        <f aca="false">IF(J820&gt;0,K820/J820,0)</f>
        <v>0.401420959147425</v>
      </c>
    </row>
    <row r="821" customFormat="false" ht="15" hidden="false" customHeight="false" outlineLevel="0" collapsed="false">
      <c r="A821" s="15" t="s">
        <v>878</v>
      </c>
      <c r="B821" s="16" t="n">
        <v>44749</v>
      </c>
      <c r="C821" s="15" t="s">
        <v>56</v>
      </c>
      <c r="D821" s="15" t="s">
        <v>42</v>
      </c>
      <c r="E821" s="15" t="s">
        <v>39</v>
      </c>
      <c r="F821" s="15" t="s">
        <v>16</v>
      </c>
      <c r="G821" s="15" t="s">
        <v>25</v>
      </c>
      <c r="H821" s="15" t="n">
        <v>3</v>
      </c>
      <c r="I821" s="17" t="n">
        <v>0</v>
      </c>
      <c r="J821" s="18" t="n">
        <v>697.79</v>
      </c>
      <c r="K821" s="19" t="n">
        <v>65.49</v>
      </c>
      <c r="L821" s="15" t="n">
        <f aca="false">YEAR(B821)</f>
        <v>2022</v>
      </c>
      <c r="M821" s="20" t="n">
        <f aca="false">IF(J821&gt;0,K821/J821,0)</f>
        <v>0.0938534516115164</v>
      </c>
    </row>
    <row r="822" customFormat="false" ht="15" hidden="false" customHeight="false" outlineLevel="0" collapsed="false">
      <c r="A822" s="15" t="s">
        <v>879</v>
      </c>
      <c r="B822" s="16" t="n">
        <v>45976</v>
      </c>
      <c r="C822" s="15" t="s">
        <v>56</v>
      </c>
      <c r="D822" s="15" t="s">
        <v>42</v>
      </c>
      <c r="E822" s="15" t="s">
        <v>39</v>
      </c>
      <c r="F822" s="15" t="s">
        <v>18</v>
      </c>
      <c r="G822" s="15" t="s">
        <v>32</v>
      </c>
      <c r="H822" s="15" t="n">
        <v>3</v>
      </c>
      <c r="I822" s="17" t="n">
        <v>0</v>
      </c>
      <c r="J822" s="18" t="n">
        <v>1167.3</v>
      </c>
      <c r="K822" s="19" t="n">
        <v>181.36</v>
      </c>
      <c r="L822" s="15" t="n">
        <f aca="false">YEAR(B822)</f>
        <v>2025</v>
      </c>
      <c r="M822" s="20" t="n">
        <f aca="false">IF(J822&gt;0,K822/J822,0)</f>
        <v>0.15536708643879</v>
      </c>
    </row>
    <row r="823" customFormat="false" ht="15" hidden="false" customHeight="false" outlineLevel="0" collapsed="false">
      <c r="A823" s="15" t="s">
        <v>880</v>
      </c>
      <c r="B823" s="16" t="n">
        <v>45588</v>
      </c>
      <c r="C823" s="15" t="s">
        <v>58</v>
      </c>
      <c r="D823" s="15" t="s">
        <v>44</v>
      </c>
      <c r="E823" s="15" t="s">
        <v>36</v>
      </c>
      <c r="F823" s="15" t="s">
        <v>17</v>
      </c>
      <c r="G823" s="15" t="s">
        <v>26</v>
      </c>
      <c r="H823" s="15" t="n">
        <v>3</v>
      </c>
      <c r="I823" s="17" t="n">
        <v>0</v>
      </c>
      <c r="J823" s="18" t="n">
        <v>206.1</v>
      </c>
      <c r="K823" s="19" t="n">
        <v>23.18</v>
      </c>
      <c r="L823" s="15" t="n">
        <f aca="false">YEAR(B823)</f>
        <v>2024</v>
      </c>
      <c r="M823" s="20" t="n">
        <f aca="false">IF(J823&gt;0,K823/J823,0)</f>
        <v>0.11246967491509</v>
      </c>
    </row>
    <row r="824" customFormat="false" ht="15" hidden="false" customHeight="false" outlineLevel="0" collapsed="false">
      <c r="A824" s="15" t="s">
        <v>881</v>
      </c>
      <c r="B824" s="16" t="n">
        <v>45909</v>
      </c>
      <c r="C824" s="15" t="s">
        <v>56</v>
      </c>
      <c r="D824" s="15" t="s">
        <v>44</v>
      </c>
      <c r="E824" s="15" t="s">
        <v>39</v>
      </c>
      <c r="F824" s="15" t="s">
        <v>17</v>
      </c>
      <c r="G824" s="15" t="s">
        <v>31</v>
      </c>
      <c r="H824" s="15" t="n">
        <v>3</v>
      </c>
      <c r="I824" s="17" t="n">
        <v>0</v>
      </c>
      <c r="J824" s="18" t="n">
        <v>406.57</v>
      </c>
      <c r="K824" s="19" t="n">
        <v>68.42</v>
      </c>
      <c r="L824" s="15" t="n">
        <f aca="false">YEAR(B824)</f>
        <v>2025</v>
      </c>
      <c r="M824" s="20" t="n">
        <f aca="false">IF(J824&gt;0,K824/J824,0)</f>
        <v>0.168285904026367</v>
      </c>
    </row>
    <row r="825" customFormat="false" ht="15" hidden="false" customHeight="false" outlineLevel="0" collapsed="false">
      <c r="A825" s="15" t="s">
        <v>882</v>
      </c>
      <c r="B825" s="16" t="n">
        <v>45871</v>
      </c>
      <c r="C825" s="15" t="s">
        <v>71</v>
      </c>
      <c r="D825" s="15" t="s">
        <v>44</v>
      </c>
      <c r="E825" s="15" t="s">
        <v>39</v>
      </c>
      <c r="F825" s="15" t="s">
        <v>16</v>
      </c>
      <c r="G825" s="15" t="s">
        <v>27</v>
      </c>
      <c r="H825" s="15" t="n">
        <v>4</v>
      </c>
      <c r="I825" s="17" t="n">
        <v>0</v>
      </c>
      <c r="J825" s="18" t="n">
        <v>255.7</v>
      </c>
      <c r="K825" s="19" t="n">
        <v>55.83</v>
      </c>
      <c r="L825" s="15" t="n">
        <f aca="false">YEAR(B825)</f>
        <v>2025</v>
      </c>
      <c r="M825" s="20" t="n">
        <f aca="false">IF(J825&gt;0,K825/J825,0)</f>
        <v>0.218341806804849</v>
      </c>
    </row>
    <row r="826" customFormat="false" ht="15" hidden="false" customHeight="false" outlineLevel="0" collapsed="false">
      <c r="A826" s="15" t="s">
        <v>883</v>
      </c>
      <c r="B826" s="16" t="n">
        <v>44726</v>
      </c>
      <c r="C826" s="15" t="s">
        <v>71</v>
      </c>
      <c r="D826" s="15" t="s">
        <v>44</v>
      </c>
      <c r="E826" s="15" t="s">
        <v>39</v>
      </c>
      <c r="F826" s="15" t="s">
        <v>17</v>
      </c>
      <c r="G826" s="15" t="s">
        <v>31</v>
      </c>
      <c r="H826" s="15" t="n">
        <v>3</v>
      </c>
      <c r="I826" s="17" t="n">
        <v>0</v>
      </c>
      <c r="J826" s="18" t="n">
        <v>462.8</v>
      </c>
      <c r="K826" s="19" t="n">
        <v>66.7</v>
      </c>
      <c r="L826" s="15" t="n">
        <f aca="false">YEAR(B826)</f>
        <v>2022</v>
      </c>
      <c r="M826" s="20" t="n">
        <f aca="false">IF(J826&gt;0,K826/J826,0)</f>
        <v>0.144122731201383</v>
      </c>
    </row>
    <row r="827" customFormat="false" ht="15" hidden="false" customHeight="false" outlineLevel="0" collapsed="false">
      <c r="A827" s="15" t="s">
        <v>884</v>
      </c>
      <c r="B827" s="16" t="n">
        <v>45976</v>
      </c>
      <c r="C827" s="15" t="s">
        <v>56</v>
      </c>
      <c r="D827" s="15" t="s">
        <v>42</v>
      </c>
      <c r="E827" s="15" t="s">
        <v>38</v>
      </c>
      <c r="F827" s="15" t="s">
        <v>17</v>
      </c>
      <c r="G827" s="15" t="s">
        <v>28</v>
      </c>
      <c r="H827" s="15" t="n">
        <v>3</v>
      </c>
      <c r="I827" s="17" t="n">
        <v>0</v>
      </c>
      <c r="J827" s="18" t="n">
        <v>52.68</v>
      </c>
      <c r="K827" s="19" t="n">
        <v>14.19</v>
      </c>
      <c r="L827" s="15" t="n">
        <f aca="false">YEAR(B827)</f>
        <v>2025</v>
      </c>
      <c r="M827" s="20" t="n">
        <f aca="false">IF(J827&gt;0,K827/J827,0)</f>
        <v>0.269362186788155</v>
      </c>
    </row>
    <row r="828" customFormat="false" ht="15" hidden="false" customHeight="false" outlineLevel="0" collapsed="false">
      <c r="A828" s="15" t="s">
        <v>885</v>
      </c>
      <c r="B828" s="16" t="n">
        <v>45303</v>
      </c>
      <c r="C828" s="15" t="s">
        <v>56</v>
      </c>
      <c r="D828" s="15" t="s">
        <v>44</v>
      </c>
      <c r="E828" s="15" t="s">
        <v>36</v>
      </c>
      <c r="F828" s="15" t="s">
        <v>17</v>
      </c>
      <c r="G828" s="15" t="s">
        <v>31</v>
      </c>
      <c r="H828" s="15" t="n">
        <v>5</v>
      </c>
      <c r="I828" s="17" t="n">
        <v>0</v>
      </c>
      <c r="J828" s="18" t="n">
        <v>529.21</v>
      </c>
      <c r="K828" s="19" t="n">
        <v>95.23</v>
      </c>
      <c r="L828" s="15" t="n">
        <f aca="false">YEAR(B828)</f>
        <v>2024</v>
      </c>
      <c r="M828" s="20" t="n">
        <f aca="false">IF(J828&gt;0,K828/J828,0)</f>
        <v>0.179947468868691</v>
      </c>
    </row>
    <row r="829" customFormat="false" ht="15" hidden="false" customHeight="false" outlineLevel="0" collapsed="false">
      <c r="A829" s="15" t="s">
        <v>886</v>
      </c>
      <c r="B829" s="16" t="n">
        <v>44965</v>
      </c>
      <c r="C829" s="15" t="s">
        <v>56</v>
      </c>
      <c r="D829" s="15" t="s">
        <v>44</v>
      </c>
      <c r="E829" s="15" t="s">
        <v>36</v>
      </c>
      <c r="F829" s="15" t="s">
        <v>17</v>
      </c>
      <c r="G829" s="15" t="s">
        <v>26</v>
      </c>
      <c r="H829" s="15" t="n">
        <v>6</v>
      </c>
      <c r="I829" s="17" t="n">
        <v>0</v>
      </c>
      <c r="J829" s="18" t="n">
        <v>566.5</v>
      </c>
      <c r="K829" s="19" t="n">
        <v>48.65</v>
      </c>
      <c r="L829" s="15" t="n">
        <f aca="false">YEAR(B829)</f>
        <v>2023</v>
      </c>
      <c r="M829" s="20" t="n">
        <f aca="false">IF(J829&gt;0,K829/J829,0)</f>
        <v>0.0858781994704325</v>
      </c>
    </row>
    <row r="830" customFormat="false" ht="15" hidden="false" customHeight="false" outlineLevel="0" collapsed="false">
      <c r="A830" s="15" t="s">
        <v>887</v>
      </c>
      <c r="B830" s="16" t="n">
        <v>44775</v>
      </c>
      <c r="C830" s="15" t="s">
        <v>56</v>
      </c>
      <c r="D830" s="15" t="s">
        <v>42</v>
      </c>
      <c r="E830" s="15" t="s">
        <v>37</v>
      </c>
      <c r="F830" s="15" t="s">
        <v>16</v>
      </c>
      <c r="G830" s="15" t="s">
        <v>23</v>
      </c>
      <c r="H830" s="15" t="n">
        <v>1</v>
      </c>
      <c r="I830" s="17" t="n">
        <v>0.05</v>
      </c>
      <c r="J830" s="18" t="n">
        <v>246.36</v>
      </c>
      <c r="K830" s="19" t="n">
        <v>-7.43</v>
      </c>
      <c r="L830" s="15" t="n">
        <f aca="false">YEAR(B830)</f>
        <v>2022</v>
      </c>
      <c r="M830" s="20" t="n">
        <f aca="false">IF(J830&gt;0,K830/J830,0)</f>
        <v>-0.0301591167397305</v>
      </c>
    </row>
    <row r="831" customFormat="false" ht="15" hidden="false" customHeight="false" outlineLevel="0" collapsed="false">
      <c r="A831" s="15" t="s">
        <v>888</v>
      </c>
      <c r="B831" s="16" t="n">
        <v>45852</v>
      </c>
      <c r="C831" s="15" t="s">
        <v>56</v>
      </c>
      <c r="D831" s="15" t="s">
        <v>42</v>
      </c>
      <c r="E831" s="15" t="s">
        <v>39</v>
      </c>
      <c r="F831" s="15" t="s">
        <v>16</v>
      </c>
      <c r="G831" s="15" t="s">
        <v>25</v>
      </c>
      <c r="H831" s="15" t="n">
        <v>4</v>
      </c>
      <c r="I831" s="17" t="n">
        <v>0.2</v>
      </c>
      <c r="J831" s="18" t="n">
        <v>1077.01</v>
      </c>
      <c r="K831" s="19" t="n">
        <v>-161.91</v>
      </c>
      <c r="L831" s="15" t="n">
        <f aca="false">YEAR(B831)</f>
        <v>2025</v>
      </c>
      <c r="M831" s="20" t="n">
        <f aca="false">IF(J831&gt;0,K831/J831,0)</f>
        <v>-0.150332865990102</v>
      </c>
    </row>
    <row r="832" customFormat="false" ht="15" hidden="false" customHeight="false" outlineLevel="0" collapsed="false">
      <c r="A832" s="15" t="s">
        <v>889</v>
      </c>
      <c r="B832" s="16" t="n">
        <v>45488</v>
      </c>
      <c r="C832" s="15" t="s">
        <v>56</v>
      </c>
      <c r="D832" s="15" t="s">
        <v>42</v>
      </c>
      <c r="E832" s="15" t="s">
        <v>37</v>
      </c>
      <c r="F832" s="15" t="s">
        <v>16</v>
      </c>
      <c r="G832" s="15" t="s">
        <v>22</v>
      </c>
      <c r="H832" s="15" t="n">
        <v>3</v>
      </c>
      <c r="I832" s="17" t="n">
        <v>0</v>
      </c>
      <c r="J832" s="18" t="n">
        <v>1619.51</v>
      </c>
      <c r="K832" s="19" t="n">
        <v>-170.77</v>
      </c>
      <c r="L832" s="15" t="n">
        <f aca="false">YEAR(B832)</f>
        <v>2024</v>
      </c>
      <c r="M832" s="20" t="n">
        <f aca="false">IF(J832&gt;0,K832/J832,0)</f>
        <v>-0.105445474248384</v>
      </c>
    </row>
    <row r="833" customFormat="false" ht="15" hidden="false" customHeight="false" outlineLevel="0" collapsed="false">
      <c r="A833" s="15" t="s">
        <v>890</v>
      </c>
      <c r="B833" s="16" t="n">
        <v>45343</v>
      </c>
      <c r="C833" s="15" t="s">
        <v>58</v>
      </c>
      <c r="D833" s="15" t="s">
        <v>42</v>
      </c>
      <c r="E833" s="15" t="s">
        <v>39</v>
      </c>
      <c r="F833" s="15" t="s">
        <v>17</v>
      </c>
      <c r="G833" s="15" t="s">
        <v>29</v>
      </c>
      <c r="H833" s="15" t="n">
        <v>5</v>
      </c>
      <c r="I833" s="17" t="n">
        <v>0.1</v>
      </c>
      <c r="J833" s="18" t="n">
        <v>80.71</v>
      </c>
      <c r="K833" s="19" t="n">
        <v>20.75</v>
      </c>
      <c r="L833" s="15" t="n">
        <f aca="false">YEAR(B833)</f>
        <v>2024</v>
      </c>
      <c r="M833" s="20" t="n">
        <f aca="false">IF(J833&gt;0,K833/J833,0)</f>
        <v>0.257093296989221</v>
      </c>
    </row>
    <row r="834" customFormat="false" ht="15" hidden="false" customHeight="false" outlineLevel="0" collapsed="false">
      <c r="A834" s="15" t="s">
        <v>891</v>
      </c>
      <c r="B834" s="16" t="n">
        <v>45075</v>
      </c>
      <c r="C834" s="15" t="s">
        <v>56</v>
      </c>
      <c r="D834" s="15" t="s">
        <v>43</v>
      </c>
      <c r="E834" s="15" t="s">
        <v>38</v>
      </c>
      <c r="F834" s="15" t="s">
        <v>17</v>
      </c>
      <c r="G834" s="15" t="s">
        <v>28</v>
      </c>
      <c r="H834" s="15" t="n">
        <v>2</v>
      </c>
      <c r="I834" s="17" t="n">
        <v>0</v>
      </c>
      <c r="J834" s="18" t="n">
        <v>44.4</v>
      </c>
      <c r="K834" s="19" t="n">
        <v>10.46</v>
      </c>
      <c r="L834" s="15" t="n">
        <f aca="false">YEAR(B834)</f>
        <v>2023</v>
      </c>
      <c r="M834" s="20" t="n">
        <f aca="false">IF(J834&gt;0,K834/J834,0)</f>
        <v>0.235585585585586</v>
      </c>
    </row>
    <row r="835" customFormat="false" ht="15" hidden="false" customHeight="false" outlineLevel="0" collapsed="false">
      <c r="A835" s="15" t="s">
        <v>892</v>
      </c>
      <c r="B835" s="16" t="n">
        <v>45490</v>
      </c>
      <c r="C835" s="15" t="s">
        <v>71</v>
      </c>
      <c r="D835" s="15" t="s">
        <v>44</v>
      </c>
      <c r="E835" s="15" t="s">
        <v>36</v>
      </c>
      <c r="F835" s="15" t="s">
        <v>17</v>
      </c>
      <c r="G835" s="15" t="s">
        <v>28</v>
      </c>
      <c r="H835" s="15" t="n">
        <v>2</v>
      </c>
      <c r="I835" s="17" t="n">
        <v>0.1</v>
      </c>
      <c r="J835" s="18" t="n">
        <v>40.67</v>
      </c>
      <c r="K835" s="19" t="n">
        <v>10.37</v>
      </c>
      <c r="L835" s="15" t="n">
        <f aca="false">YEAR(B835)</f>
        <v>2024</v>
      </c>
      <c r="M835" s="20" t="n">
        <f aca="false">IF(J835&gt;0,K835/J835,0)</f>
        <v>0.254979100073764</v>
      </c>
    </row>
    <row r="836" customFormat="false" ht="15" hidden="false" customHeight="false" outlineLevel="0" collapsed="false">
      <c r="A836" s="15" t="s">
        <v>893</v>
      </c>
      <c r="B836" s="16" t="n">
        <v>45592</v>
      </c>
      <c r="C836" s="15" t="s">
        <v>71</v>
      </c>
      <c r="D836" s="15" t="s">
        <v>43</v>
      </c>
      <c r="E836" s="15" t="s">
        <v>39</v>
      </c>
      <c r="F836" s="15" t="s">
        <v>18</v>
      </c>
      <c r="G836" s="15" t="s">
        <v>30</v>
      </c>
      <c r="H836" s="15" t="n">
        <v>4</v>
      </c>
      <c r="I836" s="17" t="n">
        <v>0.1</v>
      </c>
      <c r="J836" s="18" t="n">
        <v>168.2</v>
      </c>
      <c r="K836" s="19" t="n">
        <v>46</v>
      </c>
      <c r="L836" s="15" t="n">
        <f aca="false">YEAR(B836)</f>
        <v>2024</v>
      </c>
      <c r="M836" s="20" t="n">
        <f aca="false">IF(J836&gt;0,K836/J836,0)</f>
        <v>0.273483947681332</v>
      </c>
    </row>
    <row r="837" customFormat="false" ht="15" hidden="false" customHeight="false" outlineLevel="0" collapsed="false">
      <c r="A837" s="15" t="s">
        <v>894</v>
      </c>
      <c r="B837" s="16" t="n">
        <v>45574</v>
      </c>
      <c r="C837" s="15" t="s">
        <v>56</v>
      </c>
      <c r="D837" s="15" t="s">
        <v>42</v>
      </c>
      <c r="E837" s="15" t="s">
        <v>39</v>
      </c>
      <c r="F837" s="15" t="s">
        <v>18</v>
      </c>
      <c r="G837" s="15" t="s">
        <v>33</v>
      </c>
      <c r="H837" s="15" t="n">
        <v>3</v>
      </c>
      <c r="I837" s="17" t="n">
        <v>0.2</v>
      </c>
      <c r="J837" s="18" t="n">
        <v>2085.48</v>
      </c>
      <c r="K837" s="19" t="n">
        <v>284.59</v>
      </c>
      <c r="L837" s="15" t="n">
        <f aca="false">YEAR(B837)</f>
        <v>2024</v>
      </c>
      <c r="M837" s="20" t="n">
        <f aca="false">IF(J837&gt;0,K837/J837,0)</f>
        <v>0.136462588948348</v>
      </c>
    </row>
    <row r="838" customFormat="false" ht="15" hidden="false" customHeight="false" outlineLevel="0" collapsed="false">
      <c r="A838" s="15" t="s">
        <v>895</v>
      </c>
      <c r="B838" s="16" t="n">
        <v>45558</v>
      </c>
      <c r="C838" s="15" t="s">
        <v>56</v>
      </c>
      <c r="D838" s="15" t="s">
        <v>43</v>
      </c>
      <c r="E838" s="15" t="s">
        <v>39</v>
      </c>
      <c r="F838" s="15" t="s">
        <v>16</v>
      </c>
      <c r="G838" s="15" t="s">
        <v>25</v>
      </c>
      <c r="H838" s="15" t="n">
        <v>2</v>
      </c>
      <c r="I838" s="17" t="n">
        <v>0.15</v>
      </c>
      <c r="J838" s="18" t="n">
        <v>554.29</v>
      </c>
      <c r="K838" s="19" t="n">
        <v>-8.62</v>
      </c>
      <c r="L838" s="15" t="n">
        <f aca="false">YEAR(B838)</f>
        <v>2024</v>
      </c>
      <c r="M838" s="20" t="n">
        <f aca="false">IF(J838&gt;0,K838/J838,0)</f>
        <v>-0.0155514261487669</v>
      </c>
    </row>
    <row r="839" customFormat="false" ht="15" hidden="false" customHeight="false" outlineLevel="0" collapsed="false">
      <c r="A839" s="15" t="s">
        <v>896</v>
      </c>
      <c r="B839" s="16" t="n">
        <v>45341</v>
      </c>
      <c r="C839" s="15" t="s">
        <v>68</v>
      </c>
      <c r="D839" s="15" t="s">
        <v>44</v>
      </c>
      <c r="E839" s="15" t="s">
        <v>37</v>
      </c>
      <c r="F839" s="15" t="s">
        <v>17</v>
      </c>
      <c r="G839" s="15" t="s">
        <v>28</v>
      </c>
      <c r="H839" s="15" t="n">
        <v>4</v>
      </c>
      <c r="I839" s="17" t="n">
        <v>0</v>
      </c>
      <c r="J839" s="18" t="n">
        <v>88.03</v>
      </c>
      <c r="K839" s="19" t="n">
        <v>28.16</v>
      </c>
      <c r="L839" s="15" t="n">
        <f aca="false">YEAR(B839)</f>
        <v>2024</v>
      </c>
      <c r="M839" s="20" t="n">
        <f aca="false">IF(J839&gt;0,K839/J839,0)</f>
        <v>0.319890946268318</v>
      </c>
    </row>
    <row r="840" customFormat="false" ht="15" hidden="false" customHeight="false" outlineLevel="0" collapsed="false">
      <c r="A840" s="15" t="s">
        <v>897</v>
      </c>
      <c r="B840" s="16" t="n">
        <v>45194</v>
      </c>
      <c r="C840" s="15" t="s">
        <v>58</v>
      </c>
      <c r="D840" s="15" t="s">
        <v>42</v>
      </c>
      <c r="E840" s="15" t="s">
        <v>39</v>
      </c>
      <c r="F840" s="15" t="s">
        <v>17</v>
      </c>
      <c r="G840" s="15" t="s">
        <v>28</v>
      </c>
      <c r="H840" s="15" t="n">
        <v>2</v>
      </c>
      <c r="I840" s="17" t="n">
        <v>0.2</v>
      </c>
      <c r="J840" s="18" t="n">
        <v>37.7</v>
      </c>
      <c r="K840" s="19" t="n">
        <v>2.61</v>
      </c>
      <c r="L840" s="15" t="n">
        <f aca="false">YEAR(B840)</f>
        <v>2023</v>
      </c>
      <c r="M840" s="20" t="n">
        <f aca="false">IF(J840&gt;0,K840/J840,0)</f>
        <v>0.0692307692307692</v>
      </c>
    </row>
    <row r="841" customFormat="false" ht="15" hidden="false" customHeight="false" outlineLevel="0" collapsed="false">
      <c r="A841" s="15" t="s">
        <v>898</v>
      </c>
      <c r="B841" s="16" t="n">
        <v>45603</v>
      </c>
      <c r="C841" s="15" t="s">
        <v>71</v>
      </c>
      <c r="D841" s="15" t="s">
        <v>42</v>
      </c>
      <c r="E841" s="15" t="s">
        <v>36</v>
      </c>
      <c r="F841" s="15" t="s">
        <v>16</v>
      </c>
      <c r="G841" s="15" t="s">
        <v>25</v>
      </c>
      <c r="H841" s="15" t="n">
        <v>3</v>
      </c>
      <c r="I841" s="17" t="n">
        <v>0.2</v>
      </c>
      <c r="J841" s="18" t="n">
        <v>666.48</v>
      </c>
      <c r="K841" s="19" t="n">
        <v>-31.44</v>
      </c>
      <c r="L841" s="15" t="n">
        <f aca="false">YEAR(B841)</f>
        <v>2024</v>
      </c>
      <c r="M841" s="20" t="n">
        <f aca="false">IF(J841&gt;0,K841/J841,0)</f>
        <v>-0.0471732084983796</v>
      </c>
    </row>
    <row r="842" customFormat="false" ht="15" hidden="false" customHeight="false" outlineLevel="0" collapsed="false">
      <c r="A842" s="15" t="s">
        <v>899</v>
      </c>
      <c r="B842" s="16" t="n">
        <v>45721</v>
      </c>
      <c r="C842" s="15" t="s">
        <v>56</v>
      </c>
      <c r="D842" s="15" t="s">
        <v>44</v>
      </c>
      <c r="E842" s="15" t="s">
        <v>37</v>
      </c>
      <c r="F842" s="15" t="s">
        <v>17</v>
      </c>
      <c r="G842" s="15" t="s">
        <v>31</v>
      </c>
      <c r="H842" s="15" t="n">
        <v>2</v>
      </c>
      <c r="I842" s="17" t="n">
        <v>0.1</v>
      </c>
      <c r="J842" s="18" t="n">
        <v>254.07</v>
      </c>
      <c r="K842" s="19" t="n">
        <v>23.26</v>
      </c>
      <c r="L842" s="15" t="n">
        <f aca="false">YEAR(B842)</f>
        <v>2025</v>
      </c>
      <c r="M842" s="20" t="n">
        <f aca="false">IF(J842&gt;0,K842/J842,0)</f>
        <v>0.091549572952336</v>
      </c>
    </row>
    <row r="843" customFormat="false" ht="15" hidden="false" customHeight="false" outlineLevel="0" collapsed="false">
      <c r="A843" s="15" t="s">
        <v>900</v>
      </c>
      <c r="B843" s="16" t="n">
        <v>45996</v>
      </c>
      <c r="C843" s="15" t="s">
        <v>56</v>
      </c>
      <c r="D843" s="15" t="s">
        <v>43</v>
      </c>
      <c r="E843" s="15" t="s">
        <v>39</v>
      </c>
      <c r="F843" s="15" t="s">
        <v>17</v>
      </c>
      <c r="G843" s="15" t="s">
        <v>28</v>
      </c>
      <c r="H843" s="15" t="n">
        <v>2</v>
      </c>
      <c r="I843" s="17" t="n">
        <v>0</v>
      </c>
      <c r="J843" s="18" t="n">
        <v>60.86</v>
      </c>
      <c r="K843" s="19" t="n">
        <v>14.3</v>
      </c>
      <c r="L843" s="15" t="n">
        <f aca="false">YEAR(B843)</f>
        <v>2025</v>
      </c>
      <c r="M843" s="20" t="n">
        <f aca="false">IF(J843&gt;0,K843/J843,0)</f>
        <v>0.234965494577719</v>
      </c>
    </row>
    <row r="844" customFormat="false" ht="15" hidden="false" customHeight="false" outlineLevel="0" collapsed="false">
      <c r="A844" s="15" t="s">
        <v>901</v>
      </c>
      <c r="B844" s="16" t="n">
        <v>45715</v>
      </c>
      <c r="C844" s="15" t="s">
        <v>68</v>
      </c>
      <c r="D844" s="15" t="s">
        <v>42</v>
      </c>
      <c r="E844" s="15" t="s">
        <v>36</v>
      </c>
      <c r="F844" s="15" t="s">
        <v>17</v>
      </c>
      <c r="G844" s="15" t="s">
        <v>29</v>
      </c>
      <c r="H844" s="15" t="n">
        <v>6</v>
      </c>
      <c r="I844" s="17" t="n">
        <v>0.05</v>
      </c>
      <c r="J844" s="18" t="n">
        <v>86.45</v>
      </c>
      <c r="K844" s="19" t="n">
        <v>27.94</v>
      </c>
      <c r="L844" s="15" t="n">
        <f aca="false">YEAR(B844)</f>
        <v>2025</v>
      </c>
      <c r="M844" s="20" t="n">
        <f aca="false">IF(J844&gt;0,K844/J844,0)</f>
        <v>0.323192596876807</v>
      </c>
    </row>
    <row r="845" customFormat="false" ht="15" hidden="false" customHeight="false" outlineLevel="0" collapsed="false">
      <c r="A845" s="15" t="s">
        <v>902</v>
      </c>
      <c r="B845" s="16" t="n">
        <v>44868</v>
      </c>
      <c r="C845" s="15" t="s">
        <v>56</v>
      </c>
      <c r="D845" s="15" t="s">
        <v>43</v>
      </c>
      <c r="E845" s="15" t="s">
        <v>38</v>
      </c>
      <c r="F845" s="15" t="s">
        <v>17</v>
      </c>
      <c r="G845" s="15" t="s">
        <v>29</v>
      </c>
      <c r="H845" s="15" t="n">
        <v>2</v>
      </c>
      <c r="I845" s="17" t="n">
        <v>0</v>
      </c>
      <c r="J845" s="18" t="n">
        <v>30.66</v>
      </c>
      <c r="K845" s="19" t="n">
        <v>10.8</v>
      </c>
      <c r="L845" s="15" t="n">
        <f aca="false">YEAR(B845)</f>
        <v>2022</v>
      </c>
      <c r="M845" s="20" t="n">
        <f aca="false">IF(J845&gt;0,K845/J845,0)</f>
        <v>0.352250489236791</v>
      </c>
    </row>
    <row r="846" customFormat="false" ht="15" hidden="false" customHeight="false" outlineLevel="0" collapsed="false">
      <c r="A846" s="15" t="s">
        <v>903</v>
      </c>
      <c r="B846" s="16" t="n">
        <v>45232</v>
      </c>
      <c r="C846" s="15" t="s">
        <v>56</v>
      </c>
      <c r="D846" s="15" t="s">
        <v>43</v>
      </c>
      <c r="E846" s="15" t="s">
        <v>39</v>
      </c>
      <c r="F846" s="15" t="s">
        <v>17</v>
      </c>
      <c r="G846" s="15" t="s">
        <v>28</v>
      </c>
      <c r="H846" s="15" t="n">
        <v>3</v>
      </c>
      <c r="I846" s="17" t="n">
        <v>0</v>
      </c>
      <c r="J846" s="18" t="n">
        <v>79.6</v>
      </c>
      <c r="K846" s="19" t="n">
        <v>25.66</v>
      </c>
      <c r="L846" s="15" t="n">
        <f aca="false">YEAR(B846)</f>
        <v>2023</v>
      </c>
      <c r="M846" s="20" t="n">
        <f aca="false">IF(J846&gt;0,K846/J846,0)</f>
        <v>0.322361809045226</v>
      </c>
    </row>
    <row r="847" customFormat="false" ht="15" hidden="false" customHeight="false" outlineLevel="0" collapsed="false">
      <c r="A847" s="15" t="s">
        <v>904</v>
      </c>
      <c r="B847" s="16" t="n">
        <v>45262</v>
      </c>
      <c r="C847" s="15" t="s">
        <v>56</v>
      </c>
      <c r="D847" s="15" t="s">
        <v>43</v>
      </c>
      <c r="E847" s="15" t="s">
        <v>37</v>
      </c>
      <c r="F847" s="15" t="s">
        <v>17</v>
      </c>
      <c r="G847" s="15" t="s">
        <v>29</v>
      </c>
      <c r="H847" s="15" t="n">
        <v>6</v>
      </c>
      <c r="I847" s="17" t="n">
        <v>0.15</v>
      </c>
      <c r="J847" s="18" t="n">
        <v>102.75</v>
      </c>
      <c r="K847" s="19" t="n">
        <v>28.94</v>
      </c>
      <c r="L847" s="15" t="n">
        <f aca="false">YEAR(B847)</f>
        <v>2023</v>
      </c>
      <c r="M847" s="20" t="n">
        <f aca="false">IF(J847&gt;0,K847/J847,0)</f>
        <v>0.281654501216545</v>
      </c>
    </row>
    <row r="848" customFormat="false" ht="15" hidden="false" customHeight="false" outlineLevel="0" collapsed="false">
      <c r="A848" s="15" t="s">
        <v>905</v>
      </c>
      <c r="B848" s="16" t="n">
        <v>45874</v>
      </c>
      <c r="C848" s="15" t="s">
        <v>56</v>
      </c>
      <c r="D848" s="15" t="s">
        <v>42</v>
      </c>
      <c r="E848" s="15" t="s">
        <v>39</v>
      </c>
      <c r="F848" s="15" t="s">
        <v>17</v>
      </c>
      <c r="G848" s="15" t="s">
        <v>28</v>
      </c>
      <c r="H848" s="15" t="n">
        <v>6</v>
      </c>
      <c r="I848" s="17" t="n">
        <v>0</v>
      </c>
      <c r="J848" s="18" t="n">
        <v>156.87</v>
      </c>
      <c r="K848" s="19" t="n">
        <v>50.2</v>
      </c>
      <c r="L848" s="15" t="n">
        <f aca="false">YEAR(B848)</f>
        <v>2025</v>
      </c>
      <c r="M848" s="20" t="n">
        <f aca="false">IF(J848&gt;0,K848/J848,0)</f>
        <v>0.320010199528272</v>
      </c>
    </row>
    <row r="849" customFormat="false" ht="15" hidden="false" customHeight="false" outlineLevel="0" collapsed="false">
      <c r="A849" s="15" t="s">
        <v>906</v>
      </c>
      <c r="B849" s="16" t="n">
        <v>45254</v>
      </c>
      <c r="C849" s="15" t="s">
        <v>56</v>
      </c>
      <c r="D849" s="15" t="s">
        <v>42</v>
      </c>
      <c r="E849" s="15" t="s">
        <v>39</v>
      </c>
      <c r="F849" s="15" t="s">
        <v>16</v>
      </c>
      <c r="G849" s="15" t="s">
        <v>27</v>
      </c>
      <c r="H849" s="15" t="n">
        <v>2</v>
      </c>
      <c r="I849" s="17" t="n">
        <v>0.1</v>
      </c>
      <c r="J849" s="18" t="n">
        <v>123.3</v>
      </c>
      <c r="K849" s="19" t="n">
        <v>14.32</v>
      </c>
      <c r="L849" s="15" t="n">
        <f aca="false">YEAR(B849)</f>
        <v>2023</v>
      </c>
      <c r="M849" s="20" t="n">
        <f aca="false">IF(J849&gt;0,K849/J849,0)</f>
        <v>0.116139497161395</v>
      </c>
    </row>
    <row r="850" customFormat="false" ht="15" hidden="false" customHeight="false" outlineLevel="0" collapsed="false">
      <c r="A850" s="15" t="s">
        <v>907</v>
      </c>
      <c r="B850" s="16" t="n">
        <v>45729</v>
      </c>
      <c r="C850" s="15" t="s">
        <v>68</v>
      </c>
      <c r="D850" s="15" t="s">
        <v>43</v>
      </c>
      <c r="E850" s="15" t="s">
        <v>37</v>
      </c>
      <c r="F850" s="15" t="s">
        <v>16</v>
      </c>
      <c r="G850" s="15" t="s">
        <v>27</v>
      </c>
      <c r="H850" s="15" t="n">
        <v>1</v>
      </c>
      <c r="I850" s="17" t="n">
        <v>0.4</v>
      </c>
      <c r="J850" s="18" t="n">
        <v>43.38</v>
      </c>
      <c r="K850" s="19" t="n">
        <v>-6.39</v>
      </c>
      <c r="L850" s="15" t="n">
        <f aca="false">YEAR(B850)</f>
        <v>2025</v>
      </c>
      <c r="M850" s="20" t="n">
        <f aca="false">IF(J850&gt;0,K850/J850,0)</f>
        <v>-0.147302904564315</v>
      </c>
    </row>
    <row r="851" customFormat="false" ht="15" hidden="false" customHeight="false" outlineLevel="0" collapsed="false">
      <c r="A851" s="15" t="s">
        <v>908</v>
      </c>
      <c r="B851" s="16" t="n">
        <v>45918</v>
      </c>
      <c r="C851" s="15" t="s">
        <v>58</v>
      </c>
      <c r="D851" s="15" t="s">
        <v>44</v>
      </c>
      <c r="E851" s="15" t="s">
        <v>37</v>
      </c>
      <c r="F851" s="15" t="s">
        <v>16</v>
      </c>
      <c r="G851" s="15" t="s">
        <v>27</v>
      </c>
      <c r="H851" s="15" t="n">
        <v>3</v>
      </c>
      <c r="I851" s="17" t="n">
        <v>0</v>
      </c>
      <c r="J851" s="18" t="n">
        <v>230.7</v>
      </c>
      <c r="K851" s="19" t="n">
        <v>51.45</v>
      </c>
      <c r="L851" s="15" t="n">
        <f aca="false">YEAR(B851)</f>
        <v>2025</v>
      </c>
      <c r="M851" s="20" t="n">
        <f aca="false">IF(J851&gt;0,K851/J851,0)</f>
        <v>0.223016905071521</v>
      </c>
    </row>
    <row r="852" customFormat="false" ht="15" hidden="false" customHeight="false" outlineLevel="0" collapsed="false">
      <c r="A852" s="15" t="s">
        <v>909</v>
      </c>
      <c r="B852" s="16" t="n">
        <v>45433</v>
      </c>
      <c r="C852" s="15" t="s">
        <v>71</v>
      </c>
      <c r="D852" s="15" t="s">
        <v>43</v>
      </c>
      <c r="E852" s="15" t="s">
        <v>39</v>
      </c>
      <c r="F852" s="15" t="s">
        <v>17</v>
      </c>
      <c r="G852" s="15" t="s">
        <v>29</v>
      </c>
      <c r="H852" s="15" t="n">
        <v>4</v>
      </c>
      <c r="I852" s="17" t="n">
        <v>0.1</v>
      </c>
      <c r="J852" s="18" t="n">
        <v>71.08</v>
      </c>
      <c r="K852" s="19" t="n">
        <v>25.56</v>
      </c>
      <c r="L852" s="15" t="n">
        <f aca="false">YEAR(B852)</f>
        <v>2024</v>
      </c>
      <c r="M852" s="20" t="n">
        <f aca="false">IF(J852&gt;0,K852/J852,0)</f>
        <v>0.359594822734947</v>
      </c>
    </row>
    <row r="853" customFormat="false" ht="15" hidden="false" customHeight="false" outlineLevel="0" collapsed="false">
      <c r="A853" s="15" t="s">
        <v>910</v>
      </c>
      <c r="B853" s="16" t="n">
        <v>44815</v>
      </c>
      <c r="C853" s="15" t="s">
        <v>71</v>
      </c>
      <c r="D853" s="15" t="s">
        <v>44</v>
      </c>
      <c r="E853" s="15" t="s">
        <v>38</v>
      </c>
      <c r="F853" s="15" t="s">
        <v>17</v>
      </c>
      <c r="G853" s="15" t="s">
        <v>29</v>
      </c>
      <c r="H853" s="15" t="n">
        <v>5</v>
      </c>
      <c r="I853" s="17" t="n">
        <v>0.05</v>
      </c>
      <c r="J853" s="18" t="n">
        <v>98.14</v>
      </c>
      <c r="K853" s="19" t="n">
        <v>40.61</v>
      </c>
      <c r="L853" s="15" t="n">
        <f aca="false">YEAR(B853)</f>
        <v>2022</v>
      </c>
      <c r="M853" s="20" t="n">
        <f aca="false">IF(J853&gt;0,K853/J853,0)</f>
        <v>0.413796617077644</v>
      </c>
    </row>
    <row r="854" customFormat="false" ht="15" hidden="false" customHeight="false" outlineLevel="0" collapsed="false">
      <c r="A854" s="15" t="s">
        <v>911</v>
      </c>
      <c r="B854" s="16" t="n">
        <v>45371</v>
      </c>
      <c r="C854" s="15" t="s">
        <v>56</v>
      </c>
      <c r="D854" s="15" t="s">
        <v>43</v>
      </c>
      <c r="E854" s="15" t="s">
        <v>37</v>
      </c>
      <c r="F854" s="15" t="s">
        <v>16</v>
      </c>
      <c r="G854" s="15" t="s">
        <v>25</v>
      </c>
      <c r="H854" s="15" t="n">
        <v>4</v>
      </c>
      <c r="I854" s="17" t="n">
        <v>0.2</v>
      </c>
      <c r="J854" s="18" t="n">
        <v>1043.99</v>
      </c>
      <c r="K854" s="19" t="n">
        <v>-83.29</v>
      </c>
      <c r="L854" s="15" t="n">
        <f aca="false">YEAR(B854)</f>
        <v>2024</v>
      </c>
      <c r="M854" s="20" t="n">
        <f aca="false">IF(J854&gt;0,K854/J854,0)</f>
        <v>-0.079780457667219</v>
      </c>
    </row>
    <row r="855" customFormat="false" ht="15" hidden="false" customHeight="false" outlineLevel="0" collapsed="false">
      <c r="A855" s="15" t="s">
        <v>912</v>
      </c>
      <c r="B855" s="16" t="n">
        <v>44671</v>
      </c>
      <c r="C855" s="15" t="s">
        <v>56</v>
      </c>
      <c r="D855" s="15" t="s">
        <v>43</v>
      </c>
      <c r="E855" s="15" t="s">
        <v>37</v>
      </c>
      <c r="F855" s="15" t="s">
        <v>17</v>
      </c>
      <c r="G855" s="15" t="s">
        <v>26</v>
      </c>
      <c r="H855" s="15" t="n">
        <v>4</v>
      </c>
      <c r="I855" s="17" t="n">
        <v>0.1</v>
      </c>
      <c r="J855" s="18" t="n">
        <v>367.35</v>
      </c>
      <c r="K855" s="19" t="n">
        <v>-8.15</v>
      </c>
      <c r="L855" s="15" t="n">
        <f aca="false">YEAR(B855)</f>
        <v>2022</v>
      </c>
      <c r="M855" s="20" t="n">
        <f aca="false">IF(J855&gt;0,K855/J855,0)</f>
        <v>-0.0221859262283925</v>
      </c>
    </row>
    <row r="856" customFormat="false" ht="15" hidden="false" customHeight="false" outlineLevel="0" collapsed="false">
      <c r="A856" s="15" t="s">
        <v>913</v>
      </c>
      <c r="B856" s="16" t="n">
        <v>44871</v>
      </c>
      <c r="C856" s="15" t="s">
        <v>68</v>
      </c>
      <c r="D856" s="15" t="s">
        <v>42</v>
      </c>
      <c r="E856" s="15" t="s">
        <v>37</v>
      </c>
      <c r="F856" s="15" t="s">
        <v>18</v>
      </c>
      <c r="G856" s="15" t="s">
        <v>32</v>
      </c>
      <c r="H856" s="15" t="n">
        <v>5</v>
      </c>
      <c r="I856" s="17" t="n">
        <v>0</v>
      </c>
      <c r="J856" s="18" t="n">
        <v>2001.94</v>
      </c>
      <c r="K856" s="19" t="n">
        <v>109.55</v>
      </c>
      <c r="L856" s="15" t="n">
        <f aca="false">YEAR(B856)</f>
        <v>2022</v>
      </c>
      <c r="M856" s="20" t="n">
        <f aca="false">IF(J856&gt;0,K856/J856,0)</f>
        <v>0.0547219197378543</v>
      </c>
    </row>
    <row r="857" customFormat="false" ht="15" hidden="false" customHeight="false" outlineLevel="0" collapsed="false">
      <c r="A857" s="15" t="s">
        <v>914</v>
      </c>
      <c r="B857" s="16" t="n">
        <v>45905</v>
      </c>
      <c r="C857" s="15" t="s">
        <v>56</v>
      </c>
      <c r="D857" s="15" t="s">
        <v>43</v>
      </c>
      <c r="E857" s="15" t="s">
        <v>39</v>
      </c>
      <c r="F857" s="15" t="s">
        <v>18</v>
      </c>
      <c r="G857" s="15" t="s">
        <v>30</v>
      </c>
      <c r="H857" s="15" t="n">
        <v>4</v>
      </c>
      <c r="I857" s="17" t="n">
        <v>0</v>
      </c>
      <c r="J857" s="18" t="n">
        <v>180.71</v>
      </c>
      <c r="K857" s="19" t="n">
        <v>60.53</v>
      </c>
      <c r="L857" s="15" t="n">
        <f aca="false">YEAR(B857)</f>
        <v>2025</v>
      </c>
      <c r="M857" s="20" t="n">
        <f aca="false">IF(J857&gt;0,K857/J857,0)</f>
        <v>0.33495656023463</v>
      </c>
    </row>
    <row r="858" customFormat="false" ht="15" hidden="false" customHeight="false" outlineLevel="0" collapsed="false">
      <c r="A858" s="15" t="s">
        <v>915</v>
      </c>
      <c r="B858" s="16" t="n">
        <v>45921</v>
      </c>
      <c r="C858" s="15" t="s">
        <v>71</v>
      </c>
      <c r="D858" s="15" t="s">
        <v>42</v>
      </c>
      <c r="E858" s="15" t="s">
        <v>38</v>
      </c>
      <c r="F858" s="15" t="s">
        <v>18</v>
      </c>
      <c r="G858" s="15" t="s">
        <v>30</v>
      </c>
      <c r="H858" s="15" t="n">
        <v>5</v>
      </c>
      <c r="I858" s="17" t="n">
        <v>0.2</v>
      </c>
      <c r="J858" s="18" t="n">
        <v>174.7</v>
      </c>
      <c r="K858" s="19" t="n">
        <v>24.14</v>
      </c>
      <c r="L858" s="15" t="n">
        <f aca="false">YEAR(B858)</f>
        <v>2025</v>
      </c>
      <c r="M858" s="20" t="n">
        <f aca="false">IF(J858&gt;0,K858/J858,0)</f>
        <v>0.138179736691471</v>
      </c>
    </row>
    <row r="859" customFormat="false" ht="15" hidden="false" customHeight="false" outlineLevel="0" collapsed="false">
      <c r="A859" s="15" t="s">
        <v>916</v>
      </c>
      <c r="B859" s="16" t="n">
        <v>46022</v>
      </c>
      <c r="C859" s="15" t="s">
        <v>56</v>
      </c>
      <c r="D859" s="15" t="s">
        <v>42</v>
      </c>
      <c r="E859" s="15" t="s">
        <v>37</v>
      </c>
      <c r="F859" s="15" t="s">
        <v>18</v>
      </c>
      <c r="G859" s="15" t="s">
        <v>33</v>
      </c>
      <c r="H859" s="15" t="n">
        <v>6</v>
      </c>
      <c r="I859" s="17" t="n">
        <v>0.1</v>
      </c>
      <c r="J859" s="18" t="n">
        <v>4735.03</v>
      </c>
      <c r="K859" s="19" t="n">
        <v>534.92</v>
      </c>
      <c r="L859" s="15" t="n">
        <f aca="false">YEAR(B859)</f>
        <v>2025</v>
      </c>
      <c r="M859" s="20" t="n">
        <f aca="false">IF(J859&gt;0,K859/J859,0)</f>
        <v>0.11297077315244</v>
      </c>
    </row>
    <row r="860" customFormat="false" ht="15" hidden="false" customHeight="false" outlineLevel="0" collapsed="false">
      <c r="A860" s="15" t="s">
        <v>917</v>
      </c>
      <c r="B860" s="16" t="n">
        <v>44958</v>
      </c>
      <c r="C860" s="15" t="s">
        <v>56</v>
      </c>
      <c r="D860" s="15" t="s">
        <v>42</v>
      </c>
      <c r="E860" s="15" t="s">
        <v>36</v>
      </c>
      <c r="F860" s="15" t="s">
        <v>17</v>
      </c>
      <c r="G860" s="15" t="s">
        <v>28</v>
      </c>
      <c r="H860" s="15" t="n">
        <v>3</v>
      </c>
      <c r="I860" s="17" t="n">
        <v>0</v>
      </c>
      <c r="J860" s="18" t="n">
        <v>58.08</v>
      </c>
      <c r="K860" s="19" t="n">
        <v>18.21</v>
      </c>
      <c r="L860" s="15" t="n">
        <f aca="false">YEAR(B860)</f>
        <v>2023</v>
      </c>
      <c r="M860" s="20" t="n">
        <f aca="false">IF(J860&gt;0,K860/J860,0)</f>
        <v>0.31353305785124</v>
      </c>
    </row>
    <row r="861" customFormat="false" ht="15" hidden="false" customHeight="false" outlineLevel="0" collapsed="false">
      <c r="A861" s="15" t="s">
        <v>918</v>
      </c>
      <c r="B861" s="16" t="n">
        <v>45249</v>
      </c>
      <c r="C861" s="15" t="s">
        <v>56</v>
      </c>
      <c r="D861" s="15" t="s">
        <v>42</v>
      </c>
      <c r="E861" s="15" t="s">
        <v>37</v>
      </c>
      <c r="F861" s="15" t="s">
        <v>17</v>
      </c>
      <c r="G861" s="15" t="s">
        <v>28</v>
      </c>
      <c r="H861" s="15" t="n">
        <v>4</v>
      </c>
      <c r="I861" s="17" t="n">
        <v>0</v>
      </c>
      <c r="J861" s="18" t="n">
        <v>79.51</v>
      </c>
      <c r="K861" s="19" t="n">
        <v>28.62</v>
      </c>
      <c r="L861" s="15" t="n">
        <f aca="false">YEAR(B861)</f>
        <v>2023</v>
      </c>
      <c r="M861" s="20" t="n">
        <f aca="false">IF(J861&gt;0,K861/J861,0)</f>
        <v>0.359954722676393</v>
      </c>
    </row>
    <row r="862" customFormat="false" ht="15" hidden="false" customHeight="false" outlineLevel="0" collapsed="false">
      <c r="A862" s="15" t="s">
        <v>919</v>
      </c>
      <c r="B862" s="16" t="n">
        <v>45232</v>
      </c>
      <c r="C862" s="15" t="s">
        <v>58</v>
      </c>
      <c r="D862" s="15" t="s">
        <v>42</v>
      </c>
      <c r="E862" s="15" t="s">
        <v>36</v>
      </c>
      <c r="F862" s="15" t="s">
        <v>17</v>
      </c>
      <c r="G862" s="15" t="s">
        <v>29</v>
      </c>
      <c r="H862" s="15" t="n">
        <v>4</v>
      </c>
      <c r="I862" s="17" t="n">
        <v>0.1</v>
      </c>
      <c r="J862" s="18" t="n">
        <v>53.39</v>
      </c>
      <c r="K862" s="19" t="n">
        <v>15.54</v>
      </c>
      <c r="L862" s="15" t="n">
        <f aca="false">YEAR(B862)</f>
        <v>2023</v>
      </c>
      <c r="M862" s="20" t="n">
        <f aca="false">IF(J862&gt;0,K862/J862,0)</f>
        <v>0.291065742648436</v>
      </c>
    </row>
    <row r="863" customFormat="false" ht="15" hidden="false" customHeight="false" outlineLevel="0" collapsed="false">
      <c r="A863" s="15" t="s">
        <v>920</v>
      </c>
      <c r="B863" s="16" t="n">
        <v>44995</v>
      </c>
      <c r="C863" s="15" t="s">
        <v>56</v>
      </c>
      <c r="D863" s="15" t="s">
        <v>44</v>
      </c>
      <c r="E863" s="15" t="s">
        <v>37</v>
      </c>
      <c r="F863" s="15" t="s">
        <v>18</v>
      </c>
      <c r="G863" s="15" t="s">
        <v>24</v>
      </c>
      <c r="H863" s="15" t="n">
        <v>2</v>
      </c>
      <c r="I863" s="17" t="n">
        <v>0</v>
      </c>
      <c r="J863" s="18" t="n">
        <v>1570.83</v>
      </c>
      <c r="K863" s="19" t="n">
        <v>145.62</v>
      </c>
      <c r="L863" s="15" t="n">
        <f aca="false">YEAR(B863)</f>
        <v>2023</v>
      </c>
      <c r="M863" s="20" t="n">
        <f aca="false">IF(J863&gt;0,K863/J863,0)</f>
        <v>0.0927025839842631</v>
      </c>
    </row>
    <row r="864" customFormat="false" ht="15" hidden="false" customHeight="false" outlineLevel="0" collapsed="false">
      <c r="A864" s="15" t="s">
        <v>921</v>
      </c>
      <c r="B864" s="16" t="n">
        <v>44784</v>
      </c>
      <c r="C864" s="15" t="s">
        <v>68</v>
      </c>
      <c r="D864" s="15" t="s">
        <v>43</v>
      </c>
      <c r="E864" s="15" t="s">
        <v>39</v>
      </c>
      <c r="F864" s="15" t="s">
        <v>17</v>
      </c>
      <c r="G864" s="15" t="s">
        <v>28</v>
      </c>
      <c r="H864" s="15" t="n">
        <v>6</v>
      </c>
      <c r="I864" s="17" t="n">
        <v>0.2</v>
      </c>
      <c r="J864" s="18" t="n">
        <v>146.36</v>
      </c>
      <c r="K864" s="19" t="n">
        <v>24.2</v>
      </c>
      <c r="L864" s="15" t="n">
        <f aca="false">YEAR(B864)</f>
        <v>2022</v>
      </c>
      <c r="M864" s="20" t="n">
        <f aca="false">IF(J864&gt;0,K864/J864,0)</f>
        <v>0.165345722875102</v>
      </c>
    </row>
    <row r="865" customFormat="false" ht="15" hidden="false" customHeight="false" outlineLevel="0" collapsed="false">
      <c r="A865" s="15" t="s">
        <v>922</v>
      </c>
      <c r="B865" s="16" t="n">
        <v>44813</v>
      </c>
      <c r="C865" s="15" t="s">
        <v>71</v>
      </c>
      <c r="D865" s="15" t="s">
        <v>43</v>
      </c>
      <c r="E865" s="15" t="s">
        <v>38</v>
      </c>
      <c r="F865" s="15" t="s">
        <v>17</v>
      </c>
      <c r="G865" s="15" t="s">
        <v>26</v>
      </c>
      <c r="H865" s="15" t="n">
        <v>6</v>
      </c>
      <c r="I865" s="17" t="n">
        <v>0.3</v>
      </c>
      <c r="J865" s="18" t="n">
        <v>321.87</v>
      </c>
      <c r="K865" s="19" t="n">
        <v>-43.45</v>
      </c>
      <c r="L865" s="15" t="n">
        <f aca="false">YEAR(B865)</f>
        <v>2022</v>
      </c>
      <c r="M865" s="20" t="n">
        <f aca="false">IF(J865&gt;0,K865/J865,0)</f>
        <v>-0.134992388231274</v>
      </c>
    </row>
    <row r="866" customFormat="false" ht="15" hidden="false" customHeight="false" outlineLevel="0" collapsed="false">
      <c r="A866" s="15" t="s">
        <v>923</v>
      </c>
      <c r="B866" s="16" t="n">
        <v>45431</v>
      </c>
      <c r="C866" s="15" t="s">
        <v>56</v>
      </c>
      <c r="D866" s="15" t="s">
        <v>42</v>
      </c>
      <c r="E866" s="15" t="s">
        <v>37</v>
      </c>
      <c r="F866" s="15" t="s">
        <v>17</v>
      </c>
      <c r="G866" s="15" t="s">
        <v>29</v>
      </c>
      <c r="H866" s="15" t="n">
        <v>1</v>
      </c>
      <c r="I866" s="17" t="n">
        <v>0.1</v>
      </c>
      <c r="J866" s="18" t="n">
        <v>14.83</v>
      </c>
      <c r="K866" s="19" t="n">
        <v>4.34</v>
      </c>
      <c r="L866" s="15" t="n">
        <f aca="false">YEAR(B866)</f>
        <v>2024</v>
      </c>
      <c r="M866" s="20" t="n">
        <f aca="false">IF(J866&gt;0,K866/J866,0)</f>
        <v>0.292650033715442</v>
      </c>
    </row>
    <row r="867" customFormat="false" ht="15" hidden="false" customHeight="false" outlineLevel="0" collapsed="false">
      <c r="A867" s="15" t="s">
        <v>924</v>
      </c>
      <c r="B867" s="16" t="n">
        <v>45607</v>
      </c>
      <c r="C867" s="15" t="s">
        <v>56</v>
      </c>
      <c r="D867" s="15" t="s">
        <v>43</v>
      </c>
      <c r="E867" s="15" t="s">
        <v>38</v>
      </c>
      <c r="F867" s="15" t="s">
        <v>16</v>
      </c>
      <c r="G867" s="15" t="s">
        <v>27</v>
      </c>
      <c r="H867" s="15" t="n">
        <v>2</v>
      </c>
      <c r="I867" s="17" t="n">
        <v>0.4</v>
      </c>
      <c r="J867" s="18" t="n">
        <v>64.85</v>
      </c>
      <c r="K867" s="19" t="n">
        <v>-5.28</v>
      </c>
      <c r="L867" s="15" t="n">
        <f aca="false">YEAR(B867)</f>
        <v>2024</v>
      </c>
      <c r="M867" s="20" t="n">
        <f aca="false">IF(J867&gt;0,K867/J867,0)</f>
        <v>-0.0814186584425598</v>
      </c>
    </row>
    <row r="868" customFormat="false" ht="15" hidden="false" customHeight="false" outlineLevel="0" collapsed="false">
      <c r="A868" s="15" t="s">
        <v>925</v>
      </c>
      <c r="B868" s="16" t="n">
        <v>45577</v>
      </c>
      <c r="C868" s="15" t="s">
        <v>56</v>
      </c>
      <c r="D868" s="15" t="s">
        <v>43</v>
      </c>
      <c r="E868" s="15" t="s">
        <v>39</v>
      </c>
      <c r="F868" s="15" t="s">
        <v>17</v>
      </c>
      <c r="G868" s="15" t="s">
        <v>31</v>
      </c>
      <c r="H868" s="15" t="n">
        <v>1</v>
      </c>
      <c r="I868" s="17" t="n">
        <v>0</v>
      </c>
      <c r="J868" s="18" t="n">
        <v>146.59</v>
      </c>
      <c r="K868" s="19" t="n">
        <v>34.19</v>
      </c>
      <c r="L868" s="15" t="n">
        <f aca="false">YEAR(B868)</f>
        <v>2024</v>
      </c>
      <c r="M868" s="20" t="n">
        <f aca="false">IF(J868&gt;0,K868/J868,0)</f>
        <v>0.233235554949178</v>
      </c>
    </row>
    <row r="869" customFormat="false" ht="15" hidden="false" customHeight="false" outlineLevel="0" collapsed="false">
      <c r="A869" s="15" t="s">
        <v>926</v>
      </c>
      <c r="B869" s="16" t="n">
        <v>44716</v>
      </c>
      <c r="C869" s="15" t="s">
        <v>68</v>
      </c>
      <c r="D869" s="15" t="s">
        <v>42</v>
      </c>
      <c r="E869" s="15" t="s">
        <v>36</v>
      </c>
      <c r="F869" s="15" t="s">
        <v>17</v>
      </c>
      <c r="G869" s="15" t="s">
        <v>26</v>
      </c>
      <c r="H869" s="15" t="n">
        <v>7</v>
      </c>
      <c r="I869" s="17" t="n">
        <v>0.1</v>
      </c>
      <c r="J869" s="18" t="n">
        <v>413.82</v>
      </c>
      <c r="K869" s="19" t="n">
        <v>42.25</v>
      </c>
      <c r="L869" s="15" t="n">
        <f aca="false">YEAR(B869)</f>
        <v>2022</v>
      </c>
      <c r="M869" s="20" t="n">
        <f aca="false">IF(J869&gt;0,K869/J869,0)</f>
        <v>0.102097530327195</v>
      </c>
    </row>
    <row r="870" customFormat="false" ht="15" hidden="false" customHeight="false" outlineLevel="0" collapsed="false">
      <c r="A870" s="15" t="s">
        <v>927</v>
      </c>
      <c r="B870" s="16" t="n">
        <v>45757</v>
      </c>
      <c r="C870" s="15" t="s">
        <v>56</v>
      </c>
      <c r="D870" s="15" t="s">
        <v>43</v>
      </c>
      <c r="E870" s="15" t="s">
        <v>39</v>
      </c>
      <c r="F870" s="15" t="s">
        <v>16</v>
      </c>
      <c r="G870" s="15" t="s">
        <v>25</v>
      </c>
      <c r="H870" s="15" t="n">
        <v>5</v>
      </c>
      <c r="I870" s="17" t="n">
        <v>0</v>
      </c>
      <c r="J870" s="18" t="n">
        <v>1567.67</v>
      </c>
      <c r="K870" s="19" t="n">
        <v>120.68</v>
      </c>
      <c r="L870" s="15" t="n">
        <f aca="false">YEAR(B870)</f>
        <v>2025</v>
      </c>
      <c r="M870" s="20" t="n">
        <f aca="false">IF(J870&gt;0,K870/J870,0)</f>
        <v>0.0769804869647311</v>
      </c>
    </row>
    <row r="871" customFormat="false" ht="15" hidden="false" customHeight="false" outlineLevel="0" collapsed="false">
      <c r="A871" s="15" t="s">
        <v>928</v>
      </c>
      <c r="B871" s="16" t="n">
        <v>45566</v>
      </c>
      <c r="C871" s="15" t="s">
        <v>58</v>
      </c>
      <c r="D871" s="15" t="s">
        <v>42</v>
      </c>
      <c r="E871" s="15" t="s">
        <v>38</v>
      </c>
      <c r="F871" s="15" t="s">
        <v>16</v>
      </c>
      <c r="G871" s="15" t="s">
        <v>23</v>
      </c>
      <c r="H871" s="15" t="n">
        <v>3</v>
      </c>
      <c r="I871" s="17" t="n">
        <v>0.15</v>
      </c>
      <c r="J871" s="18" t="n">
        <v>660.85</v>
      </c>
      <c r="K871" s="19" t="n">
        <v>-66.4</v>
      </c>
      <c r="L871" s="15" t="n">
        <f aca="false">YEAR(B871)</f>
        <v>2024</v>
      </c>
      <c r="M871" s="20" t="n">
        <f aca="false">IF(J871&gt;0,K871/J871,0)</f>
        <v>-0.100476658848453</v>
      </c>
    </row>
    <row r="872" customFormat="false" ht="15" hidden="false" customHeight="false" outlineLevel="0" collapsed="false">
      <c r="A872" s="15" t="s">
        <v>929</v>
      </c>
      <c r="B872" s="16" t="n">
        <v>44627</v>
      </c>
      <c r="C872" s="15" t="s">
        <v>56</v>
      </c>
      <c r="D872" s="15" t="s">
        <v>42</v>
      </c>
      <c r="E872" s="15" t="s">
        <v>36</v>
      </c>
      <c r="F872" s="15" t="s">
        <v>17</v>
      </c>
      <c r="G872" s="15" t="s">
        <v>26</v>
      </c>
      <c r="H872" s="15" t="n">
        <v>7</v>
      </c>
      <c r="I872" s="17" t="n">
        <v>0</v>
      </c>
      <c r="J872" s="18" t="n">
        <v>418.02</v>
      </c>
      <c r="K872" s="19" t="n">
        <v>49.14</v>
      </c>
      <c r="L872" s="15" t="n">
        <f aca="false">YEAR(B872)</f>
        <v>2022</v>
      </c>
      <c r="M872" s="20" t="n">
        <f aca="false">IF(J872&gt;0,K872/J872,0)</f>
        <v>0.117554184010334</v>
      </c>
    </row>
    <row r="873" customFormat="false" ht="15" hidden="false" customHeight="false" outlineLevel="0" collapsed="false">
      <c r="A873" s="15" t="s">
        <v>930</v>
      </c>
      <c r="B873" s="16" t="n">
        <v>44939</v>
      </c>
      <c r="C873" s="15" t="s">
        <v>56</v>
      </c>
      <c r="D873" s="15" t="s">
        <v>42</v>
      </c>
      <c r="E873" s="15" t="s">
        <v>37</v>
      </c>
      <c r="F873" s="15" t="s">
        <v>17</v>
      </c>
      <c r="G873" s="15" t="s">
        <v>29</v>
      </c>
      <c r="H873" s="15" t="n">
        <v>5</v>
      </c>
      <c r="I873" s="17" t="n">
        <v>0.05</v>
      </c>
      <c r="J873" s="18" t="n">
        <v>120.37</v>
      </c>
      <c r="K873" s="19" t="n">
        <v>37.85</v>
      </c>
      <c r="L873" s="15" t="n">
        <f aca="false">YEAR(B873)</f>
        <v>2023</v>
      </c>
      <c r="M873" s="20" t="n">
        <f aca="false">IF(J873&gt;0,K873/J873,0)</f>
        <v>0.314447121375758</v>
      </c>
    </row>
    <row r="874" customFormat="false" ht="15" hidden="false" customHeight="false" outlineLevel="0" collapsed="false">
      <c r="A874" s="15" t="s">
        <v>931</v>
      </c>
      <c r="B874" s="16" t="n">
        <v>44999</v>
      </c>
      <c r="C874" s="15" t="s">
        <v>56</v>
      </c>
      <c r="D874" s="15" t="s">
        <v>44</v>
      </c>
      <c r="E874" s="15" t="s">
        <v>37</v>
      </c>
      <c r="F874" s="15" t="s">
        <v>18</v>
      </c>
      <c r="G874" s="15" t="s">
        <v>30</v>
      </c>
      <c r="H874" s="15" t="n">
        <v>4</v>
      </c>
      <c r="I874" s="17" t="n">
        <v>0</v>
      </c>
      <c r="J874" s="18" t="n">
        <v>202.67</v>
      </c>
      <c r="K874" s="19" t="n">
        <v>72.42</v>
      </c>
      <c r="L874" s="15" t="n">
        <f aca="false">YEAR(B874)</f>
        <v>2023</v>
      </c>
      <c r="M874" s="20" t="n">
        <f aca="false">IF(J874&gt;0,K874/J874,0)</f>
        <v>0.357329649183402</v>
      </c>
    </row>
    <row r="875" customFormat="false" ht="15" hidden="false" customHeight="false" outlineLevel="0" collapsed="false">
      <c r="A875" s="15" t="s">
        <v>932</v>
      </c>
      <c r="B875" s="16" t="n">
        <v>44917</v>
      </c>
      <c r="C875" s="15" t="s">
        <v>71</v>
      </c>
      <c r="D875" s="15" t="s">
        <v>42</v>
      </c>
      <c r="E875" s="15" t="s">
        <v>38</v>
      </c>
      <c r="F875" s="15" t="s">
        <v>16</v>
      </c>
      <c r="G875" s="15" t="s">
        <v>25</v>
      </c>
      <c r="H875" s="15" t="n">
        <v>3</v>
      </c>
      <c r="I875" s="17" t="n">
        <v>0.2</v>
      </c>
      <c r="J875" s="18" t="n">
        <v>587.5</v>
      </c>
      <c r="K875" s="19" t="n">
        <v>-34.4</v>
      </c>
      <c r="L875" s="15" t="n">
        <f aca="false">YEAR(B875)</f>
        <v>2022</v>
      </c>
      <c r="M875" s="20" t="n">
        <f aca="false">IF(J875&gt;0,K875/J875,0)</f>
        <v>-0.0585531914893617</v>
      </c>
    </row>
    <row r="876" customFormat="false" ht="15" hidden="false" customHeight="false" outlineLevel="0" collapsed="false">
      <c r="A876" s="15" t="s">
        <v>933</v>
      </c>
      <c r="B876" s="16" t="n">
        <v>45098</v>
      </c>
      <c r="C876" s="15" t="s">
        <v>56</v>
      </c>
      <c r="D876" s="15" t="s">
        <v>43</v>
      </c>
      <c r="E876" s="15" t="s">
        <v>37</v>
      </c>
      <c r="F876" s="15" t="s">
        <v>17</v>
      </c>
      <c r="G876" s="15" t="s">
        <v>28</v>
      </c>
      <c r="H876" s="15" t="n">
        <v>5</v>
      </c>
      <c r="I876" s="17" t="n">
        <v>0.3</v>
      </c>
      <c r="J876" s="18" t="n">
        <v>94.26</v>
      </c>
      <c r="K876" s="19" t="n">
        <v>4.1</v>
      </c>
      <c r="L876" s="15" t="n">
        <f aca="false">YEAR(B876)</f>
        <v>2023</v>
      </c>
      <c r="M876" s="20" t="n">
        <f aca="false">IF(J876&gt;0,K876/J876,0)</f>
        <v>0.0434967112242733</v>
      </c>
    </row>
    <row r="877" customFormat="false" ht="15" hidden="false" customHeight="false" outlineLevel="0" collapsed="false">
      <c r="A877" s="15" t="s">
        <v>934</v>
      </c>
      <c r="B877" s="16" t="n">
        <v>45811</v>
      </c>
      <c r="C877" s="15" t="s">
        <v>56</v>
      </c>
      <c r="D877" s="15" t="s">
        <v>43</v>
      </c>
      <c r="E877" s="15" t="s">
        <v>39</v>
      </c>
      <c r="F877" s="15" t="s">
        <v>18</v>
      </c>
      <c r="G877" s="15" t="s">
        <v>32</v>
      </c>
      <c r="H877" s="15" t="n">
        <v>4</v>
      </c>
      <c r="I877" s="17" t="n">
        <v>0.1</v>
      </c>
      <c r="J877" s="18" t="n">
        <v>1594.29</v>
      </c>
      <c r="K877" s="19" t="n">
        <v>118.73</v>
      </c>
      <c r="L877" s="15" t="n">
        <f aca="false">YEAR(B877)</f>
        <v>2025</v>
      </c>
      <c r="M877" s="20" t="n">
        <f aca="false">IF(J877&gt;0,K877/J877,0)</f>
        <v>0.0744720220286146</v>
      </c>
    </row>
    <row r="878" customFormat="false" ht="15" hidden="false" customHeight="false" outlineLevel="0" collapsed="false">
      <c r="A878" s="15" t="s">
        <v>935</v>
      </c>
      <c r="B878" s="16" t="n">
        <v>45614</v>
      </c>
      <c r="C878" s="15" t="s">
        <v>56</v>
      </c>
      <c r="D878" s="15" t="s">
        <v>42</v>
      </c>
      <c r="E878" s="15" t="s">
        <v>39</v>
      </c>
      <c r="F878" s="15" t="s">
        <v>18</v>
      </c>
      <c r="G878" s="15" t="s">
        <v>32</v>
      </c>
      <c r="H878" s="15" t="n">
        <v>2</v>
      </c>
      <c r="I878" s="17" t="n">
        <v>0</v>
      </c>
      <c r="J878" s="18" t="n">
        <v>836.2</v>
      </c>
      <c r="K878" s="19" t="n">
        <v>209.77</v>
      </c>
      <c r="L878" s="15" t="n">
        <f aca="false">YEAR(B878)</f>
        <v>2024</v>
      </c>
      <c r="M878" s="20" t="n">
        <f aca="false">IF(J878&gt;0,K878/J878,0)</f>
        <v>0.25086103802918</v>
      </c>
    </row>
    <row r="879" customFormat="false" ht="15" hidden="false" customHeight="false" outlineLevel="0" collapsed="false">
      <c r="A879" s="15" t="s">
        <v>936</v>
      </c>
      <c r="B879" s="16" t="n">
        <v>45533</v>
      </c>
      <c r="C879" s="15" t="s">
        <v>71</v>
      </c>
      <c r="D879" s="15" t="s">
        <v>44</v>
      </c>
      <c r="E879" s="15" t="s">
        <v>39</v>
      </c>
      <c r="F879" s="15" t="s">
        <v>18</v>
      </c>
      <c r="G879" s="15" t="s">
        <v>30</v>
      </c>
      <c r="H879" s="15" t="n">
        <v>3</v>
      </c>
      <c r="I879" s="17" t="n">
        <v>0</v>
      </c>
      <c r="J879" s="18" t="n">
        <v>143.12</v>
      </c>
      <c r="K879" s="19" t="n">
        <v>39.33</v>
      </c>
      <c r="L879" s="15" t="n">
        <f aca="false">YEAR(B879)</f>
        <v>2024</v>
      </c>
      <c r="M879" s="20" t="n">
        <f aca="false">IF(J879&gt;0,K879/J879,0)</f>
        <v>0.274804359977641</v>
      </c>
    </row>
    <row r="880" customFormat="false" ht="15" hidden="false" customHeight="false" outlineLevel="0" collapsed="false">
      <c r="A880" s="15" t="s">
        <v>937</v>
      </c>
      <c r="B880" s="16" t="n">
        <v>45507</v>
      </c>
      <c r="C880" s="15" t="s">
        <v>56</v>
      </c>
      <c r="D880" s="15" t="s">
        <v>42</v>
      </c>
      <c r="E880" s="15" t="s">
        <v>37</v>
      </c>
      <c r="F880" s="15" t="s">
        <v>17</v>
      </c>
      <c r="G880" s="15" t="s">
        <v>26</v>
      </c>
      <c r="H880" s="15" t="n">
        <v>3</v>
      </c>
      <c r="I880" s="17" t="n">
        <v>0.3</v>
      </c>
      <c r="J880" s="18" t="n">
        <v>233.43</v>
      </c>
      <c r="K880" s="19" t="n">
        <v>-35.98</v>
      </c>
      <c r="L880" s="15" t="n">
        <f aca="false">YEAR(B880)</f>
        <v>2024</v>
      </c>
      <c r="M880" s="20" t="n">
        <f aca="false">IF(J880&gt;0,K880/J880,0)</f>
        <v>-0.154136143597652</v>
      </c>
    </row>
    <row r="881" customFormat="false" ht="15" hidden="false" customHeight="false" outlineLevel="0" collapsed="false">
      <c r="A881" s="15" t="s">
        <v>938</v>
      </c>
      <c r="B881" s="16" t="n">
        <v>44832</v>
      </c>
      <c r="C881" s="15" t="s">
        <v>71</v>
      </c>
      <c r="D881" s="15" t="s">
        <v>43</v>
      </c>
      <c r="E881" s="15" t="s">
        <v>36</v>
      </c>
      <c r="F881" s="15" t="s">
        <v>16</v>
      </c>
      <c r="G881" s="15" t="s">
        <v>25</v>
      </c>
      <c r="H881" s="15" t="n">
        <v>6</v>
      </c>
      <c r="I881" s="17" t="n">
        <v>0</v>
      </c>
      <c r="J881" s="18" t="n">
        <v>1781.09</v>
      </c>
      <c r="K881" s="19" t="n">
        <v>100.95</v>
      </c>
      <c r="L881" s="15" t="n">
        <f aca="false">YEAR(B881)</f>
        <v>2022</v>
      </c>
      <c r="M881" s="20" t="n">
        <f aca="false">IF(J881&gt;0,K881/J881,0)</f>
        <v>0.0566787753566636</v>
      </c>
    </row>
    <row r="882" customFormat="false" ht="15" hidden="false" customHeight="false" outlineLevel="0" collapsed="false">
      <c r="A882" s="15" t="s">
        <v>939</v>
      </c>
      <c r="B882" s="16" t="n">
        <v>45718</v>
      </c>
      <c r="C882" s="15" t="s">
        <v>71</v>
      </c>
      <c r="D882" s="15" t="s">
        <v>43</v>
      </c>
      <c r="E882" s="15" t="s">
        <v>39</v>
      </c>
      <c r="F882" s="15" t="s">
        <v>16</v>
      </c>
      <c r="G882" s="15" t="s">
        <v>22</v>
      </c>
      <c r="H882" s="15" t="n">
        <v>2</v>
      </c>
      <c r="I882" s="17" t="n">
        <v>0.3</v>
      </c>
      <c r="J882" s="18" t="n">
        <v>792.75</v>
      </c>
      <c r="K882" s="19" t="n">
        <v>-250.47</v>
      </c>
      <c r="L882" s="15" t="n">
        <f aca="false">YEAR(B882)</f>
        <v>2025</v>
      </c>
      <c r="M882" s="20" t="n">
        <f aca="false">IF(J882&gt;0,K882/J882,0)</f>
        <v>-0.315950804162725</v>
      </c>
    </row>
    <row r="883" customFormat="false" ht="15" hidden="false" customHeight="false" outlineLevel="0" collapsed="false">
      <c r="A883" s="15" t="s">
        <v>940</v>
      </c>
      <c r="B883" s="16" t="n">
        <v>44884</v>
      </c>
      <c r="C883" s="15" t="s">
        <v>56</v>
      </c>
      <c r="D883" s="15" t="s">
        <v>43</v>
      </c>
      <c r="E883" s="15" t="s">
        <v>36</v>
      </c>
      <c r="F883" s="15" t="s">
        <v>17</v>
      </c>
      <c r="G883" s="15" t="s">
        <v>29</v>
      </c>
      <c r="H883" s="15" t="n">
        <v>3</v>
      </c>
      <c r="I883" s="17" t="n">
        <v>0</v>
      </c>
      <c r="J883" s="18" t="n">
        <v>48.67</v>
      </c>
      <c r="K883" s="19" t="n">
        <v>14.55</v>
      </c>
      <c r="L883" s="15" t="n">
        <f aca="false">YEAR(B883)</f>
        <v>2022</v>
      </c>
      <c r="M883" s="20" t="n">
        <f aca="false">IF(J883&gt;0,K883/J883,0)</f>
        <v>0.298952126566674</v>
      </c>
    </row>
    <row r="884" customFormat="false" ht="15" hidden="false" customHeight="false" outlineLevel="0" collapsed="false">
      <c r="A884" s="15" t="s">
        <v>941</v>
      </c>
      <c r="B884" s="16" t="n">
        <v>45583</v>
      </c>
      <c r="C884" s="15" t="s">
        <v>56</v>
      </c>
      <c r="D884" s="15" t="s">
        <v>44</v>
      </c>
      <c r="E884" s="15" t="s">
        <v>37</v>
      </c>
      <c r="F884" s="15" t="s">
        <v>16</v>
      </c>
      <c r="G884" s="15" t="s">
        <v>22</v>
      </c>
      <c r="H884" s="15" t="n">
        <v>3</v>
      </c>
      <c r="I884" s="17" t="n">
        <v>0.2</v>
      </c>
      <c r="J884" s="18" t="n">
        <v>1002.61</v>
      </c>
      <c r="K884" s="19" t="n">
        <v>-191.1</v>
      </c>
      <c r="L884" s="15" t="n">
        <f aca="false">YEAR(B884)</f>
        <v>2024</v>
      </c>
      <c r="M884" s="20" t="n">
        <f aca="false">IF(J884&gt;0,K884/J884,0)</f>
        <v>-0.190602527403477</v>
      </c>
    </row>
    <row r="885" customFormat="false" ht="15" hidden="false" customHeight="false" outlineLevel="0" collapsed="false">
      <c r="A885" s="15" t="s">
        <v>942</v>
      </c>
      <c r="B885" s="16" t="n">
        <v>45340</v>
      </c>
      <c r="C885" s="15" t="s">
        <v>71</v>
      </c>
      <c r="D885" s="15" t="s">
        <v>42</v>
      </c>
      <c r="E885" s="15" t="s">
        <v>39</v>
      </c>
      <c r="F885" s="15" t="s">
        <v>17</v>
      </c>
      <c r="G885" s="15" t="s">
        <v>28</v>
      </c>
      <c r="H885" s="15" t="n">
        <v>5</v>
      </c>
      <c r="I885" s="17" t="n">
        <v>0.2</v>
      </c>
      <c r="J885" s="18" t="n">
        <v>105.64</v>
      </c>
      <c r="K885" s="19" t="n">
        <v>19.85</v>
      </c>
      <c r="L885" s="15" t="n">
        <f aca="false">YEAR(B885)</f>
        <v>2024</v>
      </c>
      <c r="M885" s="20" t="n">
        <f aca="false">IF(J885&gt;0,K885/J885,0)</f>
        <v>0.187902309731162</v>
      </c>
    </row>
    <row r="886" customFormat="false" ht="15" hidden="false" customHeight="false" outlineLevel="0" collapsed="false">
      <c r="A886" s="15" t="s">
        <v>943</v>
      </c>
      <c r="B886" s="16" t="n">
        <v>45812</v>
      </c>
      <c r="C886" s="15" t="s">
        <v>56</v>
      </c>
      <c r="D886" s="15" t="s">
        <v>42</v>
      </c>
      <c r="E886" s="15" t="s">
        <v>37</v>
      </c>
      <c r="F886" s="15" t="s">
        <v>16</v>
      </c>
      <c r="G886" s="15" t="s">
        <v>27</v>
      </c>
      <c r="H886" s="15" t="n">
        <v>1</v>
      </c>
      <c r="I886" s="17" t="n">
        <v>0</v>
      </c>
      <c r="J886" s="18" t="n">
        <v>56.69</v>
      </c>
      <c r="K886" s="19" t="n">
        <v>11.48</v>
      </c>
      <c r="L886" s="15" t="n">
        <f aca="false">YEAR(B886)</f>
        <v>2025</v>
      </c>
      <c r="M886" s="20" t="n">
        <f aca="false">IF(J886&gt;0,K886/J886,0)</f>
        <v>0.202504850943729</v>
      </c>
    </row>
    <row r="887" customFormat="false" ht="15" hidden="false" customHeight="false" outlineLevel="0" collapsed="false">
      <c r="A887" s="15" t="s">
        <v>944</v>
      </c>
      <c r="B887" s="16" t="n">
        <v>45743</v>
      </c>
      <c r="C887" s="15" t="s">
        <v>56</v>
      </c>
      <c r="D887" s="15" t="s">
        <v>42</v>
      </c>
      <c r="E887" s="15" t="s">
        <v>37</v>
      </c>
      <c r="F887" s="15" t="s">
        <v>17</v>
      </c>
      <c r="G887" s="15" t="s">
        <v>29</v>
      </c>
      <c r="H887" s="15" t="n">
        <v>2</v>
      </c>
      <c r="I887" s="17" t="n">
        <v>0</v>
      </c>
      <c r="J887" s="18" t="n">
        <v>43.77</v>
      </c>
      <c r="K887" s="19" t="n">
        <v>19.33</v>
      </c>
      <c r="L887" s="15" t="n">
        <f aca="false">YEAR(B887)</f>
        <v>2025</v>
      </c>
      <c r="M887" s="20" t="n">
        <f aca="false">IF(J887&gt;0,K887/J887,0)</f>
        <v>0.441626684944026</v>
      </c>
    </row>
    <row r="888" customFormat="false" ht="15" hidden="false" customHeight="false" outlineLevel="0" collapsed="false">
      <c r="A888" s="15" t="s">
        <v>945</v>
      </c>
      <c r="B888" s="16" t="n">
        <v>45088</v>
      </c>
      <c r="C888" s="15" t="s">
        <v>56</v>
      </c>
      <c r="D888" s="15" t="s">
        <v>43</v>
      </c>
      <c r="E888" s="15" t="s">
        <v>36</v>
      </c>
      <c r="F888" s="15" t="s">
        <v>17</v>
      </c>
      <c r="G888" s="15" t="s">
        <v>28</v>
      </c>
      <c r="H888" s="15" t="n">
        <v>3</v>
      </c>
      <c r="I888" s="17" t="n">
        <v>0</v>
      </c>
      <c r="J888" s="18" t="n">
        <v>72.36</v>
      </c>
      <c r="K888" s="19" t="n">
        <v>24.32</v>
      </c>
      <c r="L888" s="15" t="n">
        <f aca="false">YEAR(B888)</f>
        <v>2023</v>
      </c>
      <c r="M888" s="20" t="n">
        <f aca="false">IF(J888&gt;0,K888/J888,0)</f>
        <v>0.336097291321172</v>
      </c>
    </row>
    <row r="889" customFormat="false" ht="15" hidden="false" customHeight="false" outlineLevel="0" collapsed="false">
      <c r="A889" s="15" t="s">
        <v>946</v>
      </c>
      <c r="B889" s="16" t="n">
        <v>44804</v>
      </c>
      <c r="C889" s="15" t="s">
        <v>56</v>
      </c>
      <c r="D889" s="15" t="s">
        <v>42</v>
      </c>
      <c r="E889" s="15" t="s">
        <v>36</v>
      </c>
      <c r="F889" s="15" t="s">
        <v>16</v>
      </c>
      <c r="G889" s="15" t="s">
        <v>22</v>
      </c>
      <c r="H889" s="15" t="n">
        <v>2</v>
      </c>
      <c r="I889" s="17" t="n">
        <v>0</v>
      </c>
      <c r="J889" s="18" t="n">
        <v>1085.67</v>
      </c>
      <c r="K889" s="19" t="n">
        <v>-61.59</v>
      </c>
      <c r="L889" s="15" t="n">
        <f aca="false">YEAR(B889)</f>
        <v>2022</v>
      </c>
      <c r="M889" s="20" t="n">
        <f aca="false">IF(J889&gt;0,K889/J889,0)</f>
        <v>-0.056729945563569</v>
      </c>
    </row>
    <row r="890" customFormat="false" ht="15" hidden="false" customHeight="false" outlineLevel="0" collapsed="false">
      <c r="A890" s="15" t="s">
        <v>947</v>
      </c>
      <c r="B890" s="16" t="n">
        <v>44912</v>
      </c>
      <c r="C890" s="15" t="s">
        <v>71</v>
      </c>
      <c r="D890" s="15" t="s">
        <v>42</v>
      </c>
      <c r="E890" s="15" t="s">
        <v>39</v>
      </c>
      <c r="F890" s="15" t="s">
        <v>17</v>
      </c>
      <c r="G890" s="15" t="s">
        <v>29</v>
      </c>
      <c r="H890" s="15" t="n">
        <v>1</v>
      </c>
      <c r="I890" s="17" t="n">
        <v>0.05</v>
      </c>
      <c r="J890" s="18" t="n">
        <v>18.72</v>
      </c>
      <c r="K890" s="19" t="n">
        <v>5.98</v>
      </c>
      <c r="L890" s="15" t="n">
        <f aca="false">YEAR(B890)</f>
        <v>2022</v>
      </c>
      <c r="M890" s="20" t="n">
        <f aca="false">IF(J890&gt;0,K890/J890,0)</f>
        <v>0.319444444444445</v>
      </c>
    </row>
    <row r="891" customFormat="false" ht="15" hidden="false" customHeight="false" outlineLevel="0" collapsed="false">
      <c r="A891" s="15" t="s">
        <v>948</v>
      </c>
      <c r="B891" s="16" t="n">
        <v>44899</v>
      </c>
      <c r="C891" s="15" t="s">
        <v>71</v>
      </c>
      <c r="D891" s="15" t="s">
        <v>43</v>
      </c>
      <c r="E891" s="15" t="s">
        <v>39</v>
      </c>
      <c r="F891" s="15" t="s">
        <v>17</v>
      </c>
      <c r="G891" s="15" t="s">
        <v>29</v>
      </c>
      <c r="H891" s="15" t="n">
        <v>4</v>
      </c>
      <c r="I891" s="17" t="n">
        <v>0</v>
      </c>
      <c r="J891" s="18" t="n">
        <v>88.2</v>
      </c>
      <c r="K891" s="19" t="n">
        <v>35.13</v>
      </c>
      <c r="L891" s="15" t="n">
        <f aca="false">YEAR(B891)</f>
        <v>2022</v>
      </c>
      <c r="M891" s="20" t="n">
        <f aca="false">IF(J891&gt;0,K891/J891,0)</f>
        <v>0.398299319727891</v>
      </c>
    </row>
    <row r="892" customFormat="false" ht="15" hidden="false" customHeight="false" outlineLevel="0" collapsed="false">
      <c r="A892" s="15" t="s">
        <v>949</v>
      </c>
      <c r="B892" s="16" t="n">
        <v>44825</v>
      </c>
      <c r="C892" s="15" t="s">
        <v>56</v>
      </c>
      <c r="D892" s="15" t="s">
        <v>43</v>
      </c>
      <c r="E892" s="15" t="s">
        <v>38</v>
      </c>
      <c r="F892" s="15" t="s">
        <v>18</v>
      </c>
      <c r="G892" s="15" t="s">
        <v>32</v>
      </c>
      <c r="H892" s="15" t="n">
        <v>4</v>
      </c>
      <c r="I892" s="17" t="n">
        <v>0.3</v>
      </c>
      <c r="J892" s="18" t="n">
        <v>1132.36</v>
      </c>
      <c r="K892" s="19" t="n">
        <v>-111.61</v>
      </c>
      <c r="L892" s="15" t="n">
        <f aca="false">YEAR(B892)</f>
        <v>2022</v>
      </c>
      <c r="M892" s="20" t="n">
        <f aca="false">IF(J892&gt;0,K892/J892,0)</f>
        <v>-0.0985640608993606</v>
      </c>
    </row>
    <row r="893" customFormat="false" ht="15" hidden="false" customHeight="false" outlineLevel="0" collapsed="false">
      <c r="A893" s="15" t="s">
        <v>950</v>
      </c>
      <c r="B893" s="16" t="n">
        <v>45343</v>
      </c>
      <c r="C893" s="15" t="s">
        <v>56</v>
      </c>
      <c r="D893" s="15" t="s">
        <v>42</v>
      </c>
      <c r="E893" s="15" t="s">
        <v>39</v>
      </c>
      <c r="F893" s="15" t="s">
        <v>18</v>
      </c>
      <c r="G893" s="15" t="s">
        <v>30</v>
      </c>
      <c r="H893" s="15" t="n">
        <v>4</v>
      </c>
      <c r="I893" s="17" t="n">
        <v>0</v>
      </c>
      <c r="J893" s="18" t="n">
        <v>161.03</v>
      </c>
      <c r="K893" s="19" t="n">
        <v>38.95</v>
      </c>
      <c r="L893" s="15" t="n">
        <f aca="false">YEAR(B893)</f>
        <v>2024</v>
      </c>
      <c r="M893" s="20" t="n">
        <f aca="false">IF(J893&gt;0,K893/J893,0)</f>
        <v>0.241880394957461</v>
      </c>
    </row>
    <row r="894" customFormat="false" ht="15" hidden="false" customHeight="false" outlineLevel="0" collapsed="false">
      <c r="A894" s="15" t="s">
        <v>951</v>
      </c>
      <c r="B894" s="16" t="n">
        <v>45742</v>
      </c>
      <c r="C894" s="15" t="s">
        <v>56</v>
      </c>
      <c r="D894" s="15" t="s">
        <v>42</v>
      </c>
      <c r="E894" s="15" t="s">
        <v>39</v>
      </c>
      <c r="F894" s="15" t="s">
        <v>17</v>
      </c>
      <c r="G894" s="15" t="s">
        <v>31</v>
      </c>
      <c r="H894" s="15" t="n">
        <v>5</v>
      </c>
      <c r="I894" s="17" t="n">
        <v>0.05</v>
      </c>
      <c r="J894" s="18" t="n">
        <v>610.44</v>
      </c>
      <c r="K894" s="19" t="n">
        <v>81.9</v>
      </c>
      <c r="L894" s="15" t="n">
        <f aca="false">YEAR(B894)</f>
        <v>2025</v>
      </c>
      <c r="M894" s="20" t="n">
        <f aca="false">IF(J894&gt;0,K894/J894,0)</f>
        <v>0.134165519952821</v>
      </c>
    </row>
    <row r="895" customFormat="false" ht="15" hidden="false" customHeight="false" outlineLevel="0" collapsed="false">
      <c r="A895" s="15" t="s">
        <v>952</v>
      </c>
      <c r="B895" s="16" t="n">
        <v>45949</v>
      </c>
      <c r="C895" s="15" t="s">
        <v>56</v>
      </c>
      <c r="D895" s="15" t="s">
        <v>42</v>
      </c>
      <c r="E895" s="15" t="s">
        <v>38</v>
      </c>
      <c r="F895" s="15" t="s">
        <v>16</v>
      </c>
      <c r="G895" s="15" t="s">
        <v>23</v>
      </c>
      <c r="H895" s="15" t="n">
        <v>6</v>
      </c>
      <c r="I895" s="17" t="n">
        <v>0</v>
      </c>
      <c r="J895" s="18" t="n">
        <v>1613.57</v>
      </c>
      <c r="K895" s="19" t="n">
        <v>-75.54</v>
      </c>
      <c r="L895" s="15" t="n">
        <f aca="false">YEAR(B895)</f>
        <v>2025</v>
      </c>
      <c r="M895" s="20" t="n">
        <f aca="false">IF(J895&gt;0,K895/J895,0)</f>
        <v>-0.0468154464944192</v>
      </c>
    </row>
    <row r="896" customFormat="false" ht="15" hidden="false" customHeight="false" outlineLevel="0" collapsed="false">
      <c r="A896" s="15" t="s">
        <v>953</v>
      </c>
      <c r="B896" s="16" t="n">
        <v>44590</v>
      </c>
      <c r="C896" s="15" t="s">
        <v>56</v>
      </c>
      <c r="D896" s="15" t="s">
        <v>42</v>
      </c>
      <c r="E896" s="15" t="s">
        <v>36</v>
      </c>
      <c r="F896" s="15" t="s">
        <v>17</v>
      </c>
      <c r="G896" s="15" t="s">
        <v>28</v>
      </c>
      <c r="H896" s="15" t="n">
        <v>5</v>
      </c>
      <c r="I896" s="17" t="n">
        <v>0.1</v>
      </c>
      <c r="J896" s="18" t="n">
        <v>103.26</v>
      </c>
      <c r="K896" s="19" t="n">
        <v>17.55</v>
      </c>
      <c r="L896" s="15" t="n">
        <f aca="false">YEAR(B896)</f>
        <v>2022</v>
      </c>
      <c r="M896" s="20" t="n">
        <f aca="false">IF(J896&gt;0,K896/J896,0)</f>
        <v>0.169959325973271</v>
      </c>
    </row>
    <row r="897" customFormat="false" ht="15" hidden="false" customHeight="false" outlineLevel="0" collapsed="false">
      <c r="A897" s="15" t="s">
        <v>954</v>
      </c>
      <c r="B897" s="16" t="n">
        <v>44648</v>
      </c>
      <c r="C897" s="15" t="s">
        <v>56</v>
      </c>
      <c r="D897" s="15" t="s">
        <v>42</v>
      </c>
      <c r="E897" s="15" t="s">
        <v>39</v>
      </c>
      <c r="F897" s="15" t="s">
        <v>18</v>
      </c>
      <c r="G897" s="15" t="s">
        <v>30</v>
      </c>
      <c r="H897" s="15" t="n">
        <v>3</v>
      </c>
      <c r="I897" s="17" t="n">
        <v>0</v>
      </c>
      <c r="J897" s="18" t="n">
        <v>137.91</v>
      </c>
      <c r="K897" s="19" t="n">
        <v>32.51</v>
      </c>
      <c r="L897" s="15" t="n">
        <f aca="false">YEAR(B897)</f>
        <v>2022</v>
      </c>
      <c r="M897" s="20" t="n">
        <f aca="false">IF(J897&gt;0,K897/J897,0)</f>
        <v>0.235733449351026</v>
      </c>
    </row>
    <row r="898" customFormat="false" ht="15" hidden="false" customHeight="false" outlineLevel="0" collapsed="false">
      <c r="A898" s="15" t="s">
        <v>955</v>
      </c>
      <c r="B898" s="16" t="n">
        <v>45290</v>
      </c>
      <c r="C898" s="15" t="s">
        <v>56</v>
      </c>
      <c r="D898" s="15" t="s">
        <v>42</v>
      </c>
      <c r="E898" s="15" t="s">
        <v>39</v>
      </c>
      <c r="F898" s="15" t="s">
        <v>17</v>
      </c>
      <c r="G898" s="15" t="s">
        <v>26</v>
      </c>
      <c r="H898" s="15" t="n">
        <v>3</v>
      </c>
      <c r="I898" s="17" t="n">
        <v>0.05</v>
      </c>
      <c r="J898" s="18" t="n">
        <v>283.08</v>
      </c>
      <c r="K898" s="19" t="n">
        <v>0.27</v>
      </c>
      <c r="L898" s="15" t="n">
        <f aca="false">YEAR(B898)</f>
        <v>2023</v>
      </c>
      <c r="M898" s="20" t="n">
        <f aca="false">IF(J898&gt;0,K898/J898,0)</f>
        <v>0.000953793980500212</v>
      </c>
    </row>
    <row r="899" customFormat="false" ht="15" hidden="false" customHeight="false" outlineLevel="0" collapsed="false">
      <c r="A899" s="15" t="s">
        <v>956</v>
      </c>
      <c r="B899" s="16" t="n">
        <v>45255</v>
      </c>
      <c r="C899" s="15" t="s">
        <v>58</v>
      </c>
      <c r="D899" s="15" t="s">
        <v>44</v>
      </c>
      <c r="E899" s="15" t="s">
        <v>39</v>
      </c>
      <c r="F899" s="15" t="s">
        <v>17</v>
      </c>
      <c r="G899" s="15" t="s">
        <v>29</v>
      </c>
      <c r="H899" s="15" t="n">
        <v>3</v>
      </c>
      <c r="I899" s="17" t="n">
        <v>0</v>
      </c>
      <c r="J899" s="18" t="n">
        <v>62.69</v>
      </c>
      <c r="K899" s="19" t="n">
        <v>23.82</v>
      </c>
      <c r="L899" s="15" t="n">
        <f aca="false">YEAR(B899)</f>
        <v>2023</v>
      </c>
      <c r="M899" s="20" t="n">
        <f aca="false">IF(J899&gt;0,K899/J899,0)</f>
        <v>0.379964906683682</v>
      </c>
    </row>
    <row r="900" customFormat="false" ht="15" hidden="false" customHeight="false" outlineLevel="0" collapsed="false">
      <c r="A900" s="15" t="s">
        <v>957</v>
      </c>
      <c r="B900" s="16" t="n">
        <v>44714</v>
      </c>
      <c r="C900" s="15" t="s">
        <v>56</v>
      </c>
      <c r="D900" s="15" t="s">
        <v>44</v>
      </c>
      <c r="E900" s="15" t="s">
        <v>37</v>
      </c>
      <c r="F900" s="15" t="s">
        <v>17</v>
      </c>
      <c r="G900" s="15" t="s">
        <v>29</v>
      </c>
      <c r="H900" s="15" t="n">
        <v>4</v>
      </c>
      <c r="I900" s="17" t="n">
        <v>0</v>
      </c>
      <c r="J900" s="18" t="n">
        <v>69.1</v>
      </c>
      <c r="K900" s="19" t="n">
        <v>23.94</v>
      </c>
      <c r="L900" s="15" t="n">
        <f aca="false">YEAR(B900)</f>
        <v>2022</v>
      </c>
      <c r="M900" s="20" t="n">
        <f aca="false">IF(J900&gt;0,K900/J900,0)</f>
        <v>0.346454413892909</v>
      </c>
    </row>
    <row r="901" customFormat="false" ht="15" hidden="false" customHeight="false" outlineLevel="0" collapsed="false">
      <c r="A901" s="15" t="s">
        <v>958</v>
      </c>
      <c r="B901" s="16" t="n">
        <v>45987</v>
      </c>
      <c r="C901" s="15" t="s">
        <v>56</v>
      </c>
      <c r="D901" s="15" t="s">
        <v>44</v>
      </c>
      <c r="E901" s="15" t="s">
        <v>38</v>
      </c>
      <c r="F901" s="15" t="s">
        <v>17</v>
      </c>
      <c r="G901" s="15" t="s">
        <v>29</v>
      </c>
      <c r="H901" s="15" t="n">
        <v>2</v>
      </c>
      <c r="I901" s="17" t="n">
        <v>0</v>
      </c>
      <c r="J901" s="18" t="n">
        <v>27.44</v>
      </c>
      <c r="K901" s="19" t="n">
        <v>10.54</v>
      </c>
      <c r="L901" s="15" t="n">
        <f aca="false">YEAR(B901)</f>
        <v>2025</v>
      </c>
      <c r="M901" s="20" t="n">
        <f aca="false">IF(J901&gt;0,K901/J901,0)</f>
        <v>0.384110787172012</v>
      </c>
    </row>
    <row r="902" customFormat="false" ht="15" hidden="false" customHeight="false" outlineLevel="0" collapsed="false">
      <c r="A902" s="15" t="s">
        <v>959</v>
      </c>
      <c r="B902" s="16" t="n">
        <v>45688</v>
      </c>
      <c r="C902" s="15" t="s">
        <v>71</v>
      </c>
      <c r="D902" s="15" t="s">
        <v>44</v>
      </c>
      <c r="E902" s="15" t="s">
        <v>39</v>
      </c>
      <c r="F902" s="15" t="s">
        <v>17</v>
      </c>
      <c r="G902" s="15" t="s">
        <v>28</v>
      </c>
      <c r="H902" s="15" t="n">
        <v>2</v>
      </c>
      <c r="I902" s="17" t="n">
        <v>0</v>
      </c>
      <c r="J902" s="18" t="n">
        <v>60.47</v>
      </c>
      <c r="K902" s="19" t="n">
        <v>18.36</v>
      </c>
      <c r="L902" s="15" t="n">
        <f aca="false">YEAR(B902)</f>
        <v>2025</v>
      </c>
      <c r="M902" s="20" t="n">
        <f aca="false">IF(J902&gt;0,K902/J902,0)</f>
        <v>0.303621630560609</v>
      </c>
    </row>
    <row r="903" customFormat="false" ht="15" hidden="false" customHeight="false" outlineLevel="0" collapsed="false">
      <c r="A903" s="15" t="s">
        <v>960</v>
      </c>
      <c r="B903" s="16" t="n">
        <v>45627</v>
      </c>
      <c r="C903" s="15" t="s">
        <v>56</v>
      </c>
      <c r="D903" s="15" t="s">
        <v>44</v>
      </c>
      <c r="E903" s="15" t="s">
        <v>37</v>
      </c>
      <c r="F903" s="15" t="s">
        <v>18</v>
      </c>
      <c r="G903" s="15" t="s">
        <v>33</v>
      </c>
      <c r="H903" s="15" t="n">
        <v>2</v>
      </c>
      <c r="I903" s="17" t="n">
        <v>0.05</v>
      </c>
      <c r="J903" s="18" t="n">
        <v>1640.89</v>
      </c>
      <c r="K903" s="19" t="n">
        <v>395.78</v>
      </c>
      <c r="L903" s="15" t="n">
        <f aca="false">YEAR(B903)</f>
        <v>2024</v>
      </c>
      <c r="M903" s="20" t="n">
        <f aca="false">IF(J903&gt;0,K903/J903,0)</f>
        <v>0.241198374053105</v>
      </c>
    </row>
    <row r="904" customFormat="false" ht="15" hidden="false" customHeight="false" outlineLevel="0" collapsed="false">
      <c r="A904" s="15" t="s">
        <v>961</v>
      </c>
      <c r="B904" s="16" t="n">
        <v>45941</v>
      </c>
      <c r="C904" s="15" t="s">
        <v>56</v>
      </c>
      <c r="D904" s="15" t="s">
        <v>42</v>
      </c>
      <c r="E904" s="15" t="s">
        <v>37</v>
      </c>
      <c r="F904" s="15" t="s">
        <v>18</v>
      </c>
      <c r="G904" s="15" t="s">
        <v>33</v>
      </c>
      <c r="H904" s="15" t="n">
        <v>2</v>
      </c>
      <c r="I904" s="17" t="n">
        <v>0.4</v>
      </c>
      <c r="J904" s="18" t="n">
        <v>1085.1</v>
      </c>
      <c r="K904" s="19" t="n">
        <v>-75.1</v>
      </c>
      <c r="L904" s="15" t="n">
        <f aca="false">YEAR(B904)</f>
        <v>2025</v>
      </c>
      <c r="M904" s="20" t="n">
        <f aca="false">IF(J904&gt;0,K904/J904,0)</f>
        <v>-0.0692102110404571</v>
      </c>
    </row>
    <row r="905" customFormat="false" ht="15" hidden="false" customHeight="false" outlineLevel="0" collapsed="false">
      <c r="A905" s="15" t="s">
        <v>962</v>
      </c>
      <c r="B905" s="16" t="n">
        <v>45033</v>
      </c>
      <c r="C905" s="15" t="s">
        <v>71</v>
      </c>
      <c r="D905" s="15" t="s">
        <v>43</v>
      </c>
      <c r="E905" s="15" t="s">
        <v>39</v>
      </c>
      <c r="F905" s="15" t="s">
        <v>16</v>
      </c>
      <c r="G905" s="15" t="s">
        <v>27</v>
      </c>
      <c r="H905" s="15" t="n">
        <v>3</v>
      </c>
      <c r="I905" s="17" t="n">
        <v>0.3</v>
      </c>
      <c r="J905" s="18" t="n">
        <v>151.66</v>
      </c>
      <c r="K905" s="19" t="n">
        <v>-11.02</v>
      </c>
      <c r="L905" s="15" t="n">
        <f aca="false">YEAR(B905)</f>
        <v>2023</v>
      </c>
      <c r="M905" s="20" t="n">
        <f aca="false">IF(J905&gt;0,K905/J905,0)</f>
        <v>-0.0726625346169062</v>
      </c>
    </row>
    <row r="906" customFormat="false" ht="15" hidden="false" customHeight="false" outlineLevel="0" collapsed="false">
      <c r="A906" s="15" t="s">
        <v>963</v>
      </c>
      <c r="B906" s="16" t="n">
        <v>45833</v>
      </c>
      <c r="C906" s="15" t="s">
        <v>56</v>
      </c>
      <c r="D906" s="15" t="s">
        <v>42</v>
      </c>
      <c r="E906" s="15" t="s">
        <v>39</v>
      </c>
      <c r="F906" s="15" t="s">
        <v>17</v>
      </c>
      <c r="G906" s="15" t="s">
        <v>26</v>
      </c>
      <c r="H906" s="15" t="n">
        <v>2</v>
      </c>
      <c r="I906" s="17" t="n">
        <v>0</v>
      </c>
      <c r="J906" s="18" t="n">
        <v>176.93</v>
      </c>
      <c r="K906" s="19" t="n">
        <v>24.17</v>
      </c>
      <c r="L906" s="15" t="n">
        <f aca="false">YEAR(B906)</f>
        <v>2025</v>
      </c>
      <c r="M906" s="20" t="n">
        <f aca="false">IF(J906&gt;0,K906/J906,0)</f>
        <v>0.136607697959645</v>
      </c>
    </row>
    <row r="907" customFormat="false" ht="15" hidden="false" customHeight="false" outlineLevel="0" collapsed="false">
      <c r="A907" s="15" t="s">
        <v>964</v>
      </c>
      <c r="B907" s="16" t="n">
        <v>45984</v>
      </c>
      <c r="C907" s="15" t="s">
        <v>68</v>
      </c>
      <c r="D907" s="15" t="s">
        <v>42</v>
      </c>
      <c r="E907" s="15" t="s">
        <v>36</v>
      </c>
      <c r="F907" s="15" t="s">
        <v>18</v>
      </c>
      <c r="G907" s="15" t="s">
        <v>24</v>
      </c>
      <c r="H907" s="15" t="n">
        <v>2</v>
      </c>
      <c r="I907" s="17" t="n">
        <v>0.15</v>
      </c>
      <c r="J907" s="18" t="n">
        <v>1113.7</v>
      </c>
      <c r="K907" s="19" t="n">
        <v>-128.52</v>
      </c>
      <c r="L907" s="15" t="n">
        <f aca="false">YEAR(B907)</f>
        <v>2025</v>
      </c>
      <c r="M907" s="20" t="n">
        <f aca="false">IF(J907&gt;0,K907/J907,0)</f>
        <v>-0.115399120050283</v>
      </c>
    </row>
    <row r="908" customFormat="false" ht="15" hidden="false" customHeight="false" outlineLevel="0" collapsed="false">
      <c r="A908" s="15" t="s">
        <v>965</v>
      </c>
      <c r="B908" s="16" t="n">
        <v>45652</v>
      </c>
      <c r="C908" s="15" t="s">
        <v>56</v>
      </c>
      <c r="D908" s="15" t="s">
        <v>43</v>
      </c>
      <c r="E908" s="15" t="s">
        <v>39</v>
      </c>
      <c r="F908" s="15" t="s">
        <v>17</v>
      </c>
      <c r="G908" s="15" t="s">
        <v>28</v>
      </c>
      <c r="H908" s="15" t="n">
        <v>4</v>
      </c>
      <c r="I908" s="17" t="n">
        <v>0.1</v>
      </c>
      <c r="J908" s="18" t="n">
        <v>89.42</v>
      </c>
      <c r="K908" s="19" t="n">
        <v>19.82</v>
      </c>
      <c r="L908" s="15" t="n">
        <f aca="false">YEAR(B908)</f>
        <v>2024</v>
      </c>
      <c r="M908" s="20" t="n">
        <f aca="false">IF(J908&gt;0,K908/J908,0)</f>
        <v>0.221650637441288</v>
      </c>
    </row>
    <row r="909" customFormat="false" ht="15" hidden="false" customHeight="false" outlineLevel="0" collapsed="false">
      <c r="A909" s="15" t="s">
        <v>966</v>
      </c>
      <c r="B909" s="16" t="n">
        <v>45556</v>
      </c>
      <c r="C909" s="15" t="s">
        <v>56</v>
      </c>
      <c r="D909" s="15" t="s">
        <v>43</v>
      </c>
      <c r="E909" s="15" t="s">
        <v>39</v>
      </c>
      <c r="F909" s="15" t="s">
        <v>17</v>
      </c>
      <c r="G909" s="15" t="s">
        <v>31</v>
      </c>
      <c r="H909" s="15" t="n">
        <v>4</v>
      </c>
      <c r="I909" s="17" t="n">
        <v>0</v>
      </c>
      <c r="J909" s="18" t="n">
        <v>544.39</v>
      </c>
      <c r="K909" s="19" t="n">
        <v>101.96</v>
      </c>
      <c r="L909" s="15" t="n">
        <f aca="false">YEAR(B909)</f>
        <v>2024</v>
      </c>
      <c r="M909" s="20" t="n">
        <f aca="false">IF(J909&gt;0,K909/J909,0)</f>
        <v>0.187292198607616</v>
      </c>
    </row>
    <row r="910" customFormat="false" ht="15" hidden="false" customHeight="false" outlineLevel="0" collapsed="false">
      <c r="A910" s="15" t="s">
        <v>967</v>
      </c>
      <c r="B910" s="16" t="n">
        <v>46000</v>
      </c>
      <c r="C910" s="15" t="s">
        <v>56</v>
      </c>
      <c r="D910" s="15" t="s">
        <v>44</v>
      </c>
      <c r="E910" s="15" t="s">
        <v>38</v>
      </c>
      <c r="F910" s="15" t="s">
        <v>17</v>
      </c>
      <c r="G910" s="15" t="s">
        <v>28</v>
      </c>
      <c r="H910" s="15" t="n">
        <v>4</v>
      </c>
      <c r="I910" s="17" t="n">
        <v>0.1</v>
      </c>
      <c r="J910" s="18" t="n">
        <v>86.85</v>
      </c>
      <c r="K910" s="19" t="n">
        <v>15.94</v>
      </c>
      <c r="L910" s="15" t="n">
        <f aca="false">YEAR(B910)</f>
        <v>2025</v>
      </c>
      <c r="M910" s="20" t="n">
        <f aca="false">IF(J910&gt;0,K910/J910,0)</f>
        <v>0.183534830166955</v>
      </c>
    </row>
    <row r="911" customFormat="false" ht="15" hidden="false" customHeight="false" outlineLevel="0" collapsed="false">
      <c r="A911" s="15" t="s">
        <v>968</v>
      </c>
      <c r="B911" s="16" t="n">
        <v>44650</v>
      </c>
      <c r="C911" s="15" t="s">
        <v>68</v>
      </c>
      <c r="D911" s="15" t="s">
        <v>44</v>
      </c>
      <c r="E911" s="15" t="s">
        <v>39</v>
      </c>
      <c r="F911" s="15" t="s">
        <v>17</v>
      </c>
      <c r="G911" s="15" t="s">
        <v>29</v>
      </c>
      <c r="H911" s="15" t="n">
        <v>6</v>
      </c>
      <c r="I911" s="17" t="n">
        <v>0.2</v>
      </c>
      <c r="J911" s="18" t="n">
        <v>108.41</v>
      </c>
      <c r="K911" s="19" t="n">
        <v>24.52</v>
      </c>
      <c r="L911" s="15" t="n">
        <f aca="false">YEAR(B911)</f>
        <v>2022</v>
      </c>
      <c r="M911" s="20" t="n">
        <f aca="false">IF(J911&gt;0,K911/J911,0)</f>
        <v>0.226178396826861</v>
      </c>
    </row>
    <row r="912" customFormat="false" ht="15" hidden="false" customHeight="false" outlineLevel="0" collapsed="false">
      <c r="A912" s="15" t="s">
        <v>969</v>
      </c>
      <c r="B912" s="16" t="n">
        <v>45790</v>
      </c>
      <c r="C912" s="15" t="s">
        <v>71</v>
      </c>
      <c r="D912" s="15" t="s">
        <v>43</v>
      </c>
      <c r="E912" s="15" t="s">
        <v>36</v>
      </c>
      <c r="F912" s="15" t="s">
        <v>18</v>
      </c>
      <c r="G912" s="15" t="s">
        <v>33</v>
      </c>
      <c r="H912" s="15" t="n">
        <v>3</v>
      </c>
      <c r="I912" s="17" t="n">
        <v>0</v>
      </c>
      <c r="J912" s="18" t="n">
        <v>3168.73</v>
      </c>
      <c r="K912" s="19" t="n">
        <v>908.94</v>
      </c>
      <c r="L912" s="15" t="n">
        <f aca="false">YEAR(B912)</f>
        <v>2025</v>
      </c>
      <c r="M912" s="20" t="n">
        <f aca="false">IF(J912&gt;0,K912/J912,0)</f>
        <v>0.28684678088698</v>
      </c>
    </row>
    <row r="913" customFormat="false" ht="15" hidden="false" customHeight="false" outlineLevel="0" collapsed="false">
      <c r="A913" s="15" t="s">
        <v>970</v>
      </c>
      <c r="B913" s="16" t="n">
        <v>45048</v>
      </c>
      <c r="C913" s="15" t="s">
        <v>56</v>
      </c>
      <c r="D913" s="15" t="s">
        <v>43</v>
      </c>
      <c r="E913" s="15" t="s">
        <v>37</v>
      </c>
      <c r="F913" s="15" t="s">
        <v>17</v>
      </c>
      <c r="G913" s="15" t="s">
        <v>26</v>
      </c>
      <c r="H913" s="15" t="n">
        <v>3</v>
      </c>
      <c r="I913" s="17" t="n">
        <v>0</v>
      </c>
      <c r="J913" s="18" t="n">
        <v>306.95</v>
      </c>
      <c r="K913" s="19" t="n">
        <v>43.15</v>
      </c>
      <c r="L913" s="15" t="n">
        <f aca="false">YEAR(B913)</f>
        <v>2023</v>
      </c>
      <c r="M913" s="20" t="n">
        <f aca="false">IF(J913&gt;0,K913/J913,0)</f>
        <v>0.140576641146767</v>
      </c>
    </row>
    <row r="914" customFormat="false" ht="15" hidden="false" customHeight="false" outlineLevel="0" collapsed="false">
      <c r="A914" s="15" t="s">
        <v>971</v>
      </c>
      <c r="B914" s="16" t="n">
        <v>44883</v>
      </c>
      <c r="C914" s="15" t="s">
        <v>68</v>
      </c>
      <c r="D914" s="15" t="s">
        <v>44</v>
      </c>
      <c r="E914" s="15" t="s">
        <v>39</v>
      </c>
      <c r="F914" s="15" t="s">
        <v>18</v>
      </c>
      <c r="G914" s="15" t="s">
        <v>32</v>
      </c>
      <c r="H914" s="15" t="n">
        <v>6</v>
      </c>
      <c r="I914" s="17" t="n">
        <v>0</v>
      </c>
      <c r="J914" s="18" t="n">
        <v>2561.55</v>
      </c>
      <c r="K914" s="19" t="n">
        <v>482.62</v>
      </c>
      <c r="L914" s="15" t="n">
        <f aca="false">YEAR(B914)</f>
        <v>2022</v>
      </c>
      <c r="M914" s="20" t="n">
        <f aca="false">IF(J914&gt;0,K914/J914,0)</f>
        <v>0.188409361519393</v>
      </c>
    </row>
    <row r="915" customFormat="false" ht="15" hidden="false" customHeight="false" outlineLevel="0" collapsed="false">
      <c r="A915" s="15" t="s">
        <v>972</v>
      </c>
      <c r="B915" s="16" t="n">
        <v>45247</v>
      </c>
      <c r="C915" s="15" t="s">
        <v>56</v>
      </c>
      <c r="D915" s="15" t="s">
        <v>42</v>
      </c>
      <c r="E915" s="15" t="s">
        <v>39</v>
      </c>
      <c r="F915" s="15" t="s">
        <v>17</v>
      </c>
      <c r="G915" s="15" t="s">
        <v>29</v>
      </c>
      <c r="H915" s="15" t="n">
        <v>2</v>
      </c>
      <c r="I915" s="17" t="n">
        <v>0.15</v>
      </c>
      <c r="J915" s="18" t="n">
        <v>31.16</v>
      </c>
      <c r="K915" s="19" t="n">
        <v>6.09</v>
      </c>
      <c r="L915" s="15" t="n">
        <f aca="false">YEAR(B915)</f>
        <v>2023</v>
      </c>
      <c r="M915" s="20" t="n">
        <f aca="false">IF(J915&gt;0,K915/J915,0)</f>
        <v>0.195442875481386</v>
      </c>
    </row>
    <row r="916" customFormat="false" ht="15" hidden="false" customHeight="false" outlineLevel="0" collapsed="false">
      <c r="A916" s="15" t="s">
        <v>973</v>
      </c>
      <c r="B916" s="16" t="n">
        <v>45407</v>
      </c>
      <c r="C916" s="15" t="s">
        <v>56</v>
      </c>
      <c r="D916" s="15" t="s">
        <v>42</v>
      </c>
      <c r="E916" s="15" t="s">
        <v>36</v>
      </c>
      <c r="F916" s="15" t="s">
        <v>17</v>
      </c>
      <c r="G916" s="15" t="s">
        <v>28</v>
      </c>
      <c r="H916" s="15" t="n">
        <v>5</v>
      </c>
      <c r="I916" s="17" t="n">
        <v>0</v>
      </c>
      <c r="J916" s="18" t="n">
        <v>116.31</v>
      </c>
      <c r="K916" s="19" t="n">
        <v>23.75</v>
      </c>
      <c r="L916" s="15" t="n">
        <f aca="false">YEAR(B916)</f>
        <v>2024</v>
      </c>
      <c r="M916" s="20" t="n">
        <f aca="false">IF(J916&gt;0,K916/J916,0)</f>
        <v>0.20419568394807</v>
      </c>
    </row>
    <row r="917" customFormat="false" ht="15" hidden="false" customHeight="false" outlineLevel="0" collapsed="false">
      <c r="A917" s="15" t="s">
        <v>974</v>
      </c>
      <c r="B917" s="16" t="n">
        <v>44678</v>
      </c>
      <c r="C917" s="15" t="s">
        <v>56</v>
      </c>
      <c r="D917" s="15" t="s">
        <v>42</v>
      </c>
      <c r="E917" s="15" t="s">
        <v>37</v>
      </c>
      <c r="F917" s="15" t="s">
        <v>18</v>
      </c>
      <c r="G917" s="15" t="s">
        <v>32</v>
      </c>
      <c r="H917" s="15" t="n">
        <v>3</v>
      </c>
      <c r="I917" s="17" t="n">
        <v>0.2</v>
      </c>
      <c r="J917" s="18" t="n">
        <v>1180.31</v>
      </c>
      <c r="K917" s="19" t="n">
        <v>1.94</v>
      </c>
      <c r="L917" s="15" t="n">
        <f aca="false">YEAR(B917)</f>
        <v>2022</v>
      </c>
      <c r="M917" s="20" t="n">
        <f aca="false">IF(J917&gt;0,K917/J917,0)</f>
        <v>0.0016436359939338</v>
      </c>
    </row>
    <row r="918" customFormat="false" ht="15" hidden="false" customHeight="false" outlineLevel="0" collapsed="false">
      <c r="A918" s="15" t="s">
        <v>975</v>
      </c>
      <c r="B918" s="16" t="n">
        <v>45964</v>
      </c>
      <c r="C918" s="15" t="s">
        <v>56</v>
      </c>
      <c r="D918" s="15" t="s">
        <v>44</v>
      </c>
      <c r="E918" s="15" t="s">
        <v>38</v>
      </c>
      <c r="F918" s="15" t="s">
        <v>16</v>
      </c>
      <c r="G918" s="15" t="s">
        <v>25</v>
      </c>
      <c r="H918" s="15" t="n">
        <v>2</v>
      </c>
      <c r="I918" s="17" t="n">
        <v>0</v>
      </c>
      <c r="J918" s="18" t="n">
        <v>507.98</v>
      </c>
      <c r="K918" s="19" t="n">
        <v>28.78</v>
      </c>
      <c r="L918" s="15" t="n">
        <f aca="false">YEAR(B918)</f>
        <v>2025</v>
      </c>
      <c r="M918" s="20" t="n">
        <f aca="false">IF(J918&gt;0,K918/J918,0)</f>
        <v>0.0566557738493642</v>
      </c>
    </row>
    <row r="919" customFormat="false" ht="15" hidden="false" customHeight="false" outlineLevel="0" collapsed="false">
      <c r="A919" s="15" t="s">
        <v>976</v>
      </c>
      <c r="B919" s="16" t="n">
        <v>44866</v>
      </c>
      <c r="C919" s="15" t="s">
        <v>71</v>
      </c>
      <c r="D919" s="15" t="s">
        <v>43</v>
      </c>
      <c r="E919" s="15" t="s">
        <v>36</v>
      </c>
      <c r="F919" s="15" t="s">
        <v>17</v>
      </c>
      <c r="G919" s="15" t="s">
        <v>26</v>
      </c>
      <c r="H919" s="15" t="n">
        <v>5</v>
      </c>
      <c r="I919" s="17" t="n">
        <v>0.3</v>
      </c>
      <c r="J919" s="18" t="n">
        <v>299.36</v>
      </c>
      <c r="K919" s="19" t="n">
        <v>-22.55</v>
      </c>
      <c r="L919" s="15" t="n">
        <f aca="false">YEAR(B919)</f>
        <v>2022</v>
      </c>
      <c r="M919" s="20" t="n">
        <f aca="false">IF(J919&gt;0,K919/J919,0)</f>
        <v>-0.0753273650454303</v>
      </c>
    </row>
    <row r="920" customFormat="false" ht="15" hidden="false" customHeight="false" outlineLevel="0" collapsed="false">
      <c r="A920" s="15" t="s">
        <v>977</v>
      </c>
      <c r="B920" s="16" t="n">
        <v>44833</v>
      </c>
      <c r="C920" s="15" t="s">
        <v>68</v>
      </c>
      <c r="D920" s="15" t="s">
        <v>42</v>
      </c>
      <c r="E920" s="15" t="s">
        <v>37</v>
      </c>
      <c r="F920" s="15" t="s">
        <v>17</v>
      </c>
      <c r="G920" s="15" t="s">
        <v>31</v>
      </c>
      <c r="H920" s="15" t="n">
        <v>7</v>
      </c>
      <c r="I920" s="17" t="n">
        <v>0</v>
      </c>
      <c r="J920" s="18" t="n">
        <v>892.73</v>
      </c>
      <c r="K920" s="19" t="n">
        <v>139.92</v>
      </c>
      <c r="L920" s="15" t="n">
        <f aca="false">YEAR(B920)</f>
        <v>2022</v>
      </c>
      <c r="M920" s="20" t="n">
        <f aca="false">IF(J920&gt;0,K920/J920,0)</f>
        <v>0.156732718739148</v>
      </c>
    </row>
    <row r="921" customFormat="false" ht="15" hidden="false" customHeight="false" outlineLevel="0" collapsed="false">
      <c r="A921" s="15" t="s">
        <v>978</v>
      </c>
      <c r="B921" s="16" t="n">
        <v>45623</v>
      </c>
      <c r="C921" s="15" t="s">
        <v>56</v>
      </c>
      <c r="D921" s="15" t="s">
        <v>42</v>
      </c>
      <c r="E921" s="15" t="s">
        <v>37</v>
      </c>
      <c r="F921" s="15" t="s">
        <v>17</v>
      </c>
      <c r="G921" s="15" t="s">
        <v>26</v>
      </c>
      <c r="H921" s="15" t="n">
        <v>4</v>
      </c>
      <c r="I921" s="17" t="n">
        <v>0</v>
      </c>
      <c r="J921" s="18" t="n">
        <v>461.04</v>
      </c>
      <c r="K921" s="19" t="n">
        <v>49.61</v>
      </c>
      <c r="L921" s="15" t="n">
        <f aca="false">YEAR(B921)</f>
        <v>2024</v>
      </c>
      <c r="M921" s="20" t="n">
        <f aca="false">IF(J921&gt;0,K921/J921,0)</f>
        <v>0.107604546243276</v>
      </c>
    </row>
    <row r="922" customFormat="false" ht="15" hidden="false" customHeight="false" outlineLevel="0" collapsed="false">
      <c r="A922" s="15" t="s">
        <v>979</v>
      </c>
      <c r="B922" s="16" t="n">
        <v>45154</v>
      </c>
      <c r="C922" s="15" t="s">
        <v>56</v>
      </c>
      <c r="D922" s="15" t="s">
        <v>43</v>
      </c>
      <c r="E922" s="15" t="s">
        <v>38</v>
      </c>
      <c r="F922" s="15" t="s">
        <v>17</v>
      </c>
      <c r="G922" s="15" t="s">
        <v>26</v>
      </c>
      <c r="H922" s="15" t="n">
        <v>3</v>
      </c>
      <c r="I922" s="17" t="n">
        <v>0</v>
      </c>
      <c r="J922" s="18" t="n">
        <v>298.74</v>
      </c>
      <c r="K922" s="19" t="n">
        <v>30.95</v>
      </c>
      <c r="L922" s="15" t="n">
        <f aca="false">YEAR(B922)</f>
        <v>2023</v>
      </c>
      <c r="M922" s="20" t="n">
        <f aca="false">IF(J922&gt;0,K922/J922,0)</f>
        <v>0.103601794202316</v>
      </c>
    </row>
    <row r="923" customFormat="false" ht="15" hidden="false" customHeight="false" outlineLevel="0" collapsed="false">
      <c r="A923" s="15" t="s">
        <v>980</v>
      </c>
      <c r="B923" s="16" t="n">
        <v>44564</v>
      </c>
      <c r="C923" s="15" t="s">
        <v>56</v>
      </c>
      <c r="D923" s="15" t="s">
        <v>43</v>
      </c>
      <c r="E923" s="15" t="s">
        <v>39</v>
      </c>
      <c r="F923" s="15" t="s">
        <v>17</v>
      </c>
      <c r="G923" s="15" t="s">
        <v>29</v>
      </c>
      <c r="H923" s="15" t="n">
        <v>3</v>
      </c>
      <c r="I923" s="17" t="n">
        <v>0.2</v>
      </c>
      <c r="J923" s="18" t="n">
        <v>54.63</v>
      </c>
      <c r="K923" s="19" t="n">
        <v>10.41</v>
      </c>
      <c r="L923" s="15" t="n">
        <f aca="false">YEAR(B923)</f>
        <v>2022</v>
      </c>
      <c r="M923" s="20" t="n">
        <f aca="false">IF(J923&gt;0,K923/J923,0)</f>
        <v>0.190554640307523</v>
      </c>
    </row>
    <row r="924" customFormat="false" ht="15" hidden="false" customHeight="false" outlineLevel="0" collapsed="false">
      <c r="A924" s="15" t="s">
        <v>981</v>
      </c>
      <c r="B924" s="16" t="n">
        <v>45286</v>
      </c>
      <c r="C924" s="15" t="s">
        <v>68</v>
      </c>
      <c r="D924" s="15" t="s">
        <v>42</v>
      </c>
      <c r="E924" s="15" t="s">
        <v>37</v>
      </c>
      <c r="F924" s="15" t="s">
        <v>16</v>
      </c>
      <c r="G924" s="15" t="s">
        <v>27</v>
      </c>
      <c r="H924" s="15" t="n">
        <v>5</v>
      </c>
      <c r="I924" s="17" t="n">
        <v>0</v>
      </c>
      <c r="J924" s="18" t="n">
        <v>363.91</v>
      </c>
      <c r="K924" s="19" t="n">
        <v>67.82</v>
      </c>
      <c r="L924" s="15" t="n">
        <f aca="false">YEAR(B924)</f>
        <v>2023</v>
      </c>
      <c r="M924" s="20" t="n">
        <f aca="false">IF(J924&gt;0,K924/J924,0)</f>
        <v>0.18636476051771</v>
      </c>
    </row>
    <row r="925" customFormat="false" ht="15" hidden="false" customHeight="false" outlineLevel="0" collapsed="false">
      <c r="A925" s="15" t="s">
        <v>982</v>
      </c>
      <c r="B925" s="16" t="n">
        <v>44589</v>
      </c>
      <c r="C925" s="15" t="s">
        <v>68</v>
      </c>
      <c r="D925" s="15" t="s">
        <v>42</v>
      </c>
      <c r="E925" s="15" t="s">
        <v>37</v>
      </c>
      <c r="F925" s="15" t="s">
        <v>17</v>
      </c>
      <c r="G925" s="15" t="s">
        <v>31</v>
      </c>
      <c r="H925" s="15" t="n">
        <v>3</v>
      </c>
      <c r="I925" s="17" t="n">
        <v>0.05</v>
      </c>
      <c r="J925" s="18" t="n">
        <v>385.8</v>
      </c>
      <c r="K925" s="19" t="n">
        <v>62.66</v>
      </c>
      <c r="L925" s="15" t="n">
        <f aca="false">YEAR(B925)</f>
        <v>2022</v>
      </c>
      <c r="M925" s="20" t="n">
        <f aca="false">IF(J925&gt;0,K925/J925,0)</f>
        <v>0.162415759460861</v>
      </c>
    </row>
    <row r="926" customFormat="false" ht="15" hidden="false" customHeight="false" outlineLevel="0" collapsed="false">
      <c r="A926" s="15" t="s">
        <v>983</v>
      </c>
      <c r="B926" s="16" t="n">
        <v>44889</v>
      </c>
      <c r="C926" s="15" t="s">
        <v>56</v>
      </c>
      <c r="D926" s="15" t="s">
        <v>44</v>
      </c>
      <c r="E926" s="15" t="s">
        <v>39</v>
      </c>
      <c r="F926" s="15" t="s">
        <v>17</v>
      </c>
      <c r="G926" s="15" t="s">
        <v>26</v>
      </c>
      <c r="H926" s="15" t="n">
        <v>3</v>
      </c>
      <c r="I926" s="17" t="n">
        <v>0.1</v>
      </c>
      <c r="J926" s="18" t="n">
        <v>250.61</v>
      </c>
      <c r="K926" s="19" t="n">
        <v>4.74</v>
      </c>
      <c r="L926" s="15" t="n">
        <f aca="false">YEAR(B926)</f>
        <v>2022</v>
      </c>
      <c r="M926" s="20" t="n">
        <f aca="false">IF(J926&gt;0,K926/J926,0)</f>
        <v>0.0189138502054986</v>
      </c>
    </row>
    <row r="927" customFormat="false" ht="15" hidden="false" customHeight="false" outlineLevel="0" collapsed="false">
      <c r="A927" s="15" t="s">
        <v>984</v>
      </c>
      <c r="B927" s="16" t="n">
        <v>45691</v>
      </c>
      <c r="C927" s="15" t="s">
        <v>68</v>
      </c>
      <c r="D927" s="15" t="s">
        <v>43</v>
      </c>
      <c r="E927" s="15" t="s">
        <v>37</v>
      </c>
      <c r="F927" s="15" t="s">
        <v>18</v>
      </c>
      <c r="G927" s="15" t="s">
        <v>32</v>
      </c>
      <c r="H927" s="15" t="n">
        <v>4</v>
      </c>
      <c r="I927" s="17" t="n">
        <v>0</v>
      </c>
      <c r="J927" s="18" t="n">
        <v>1443.11</v>
      </c>
      <c r="K927" s="19" t="n">
        <v>205.17</v>
      </c>
      <c r="L927" s="15" t="n">
        <f aca="false">YEAR(B927)</f>
        <v>2025</v>
      </c>
      <c r="M927" s="20" t="n">
        <f aca="false">IF(J927&gt;0,K927/J927,0)</f>
        <v>0.142172114391834</v>
      </c>
    </row>
    <row r="928" customFormat="false" ht="15" hidden="false" customHeight="false" outlineLevel="0" collapsed="false">
      <c r="A928" s="15" t="s">
        <v>985</v>
      </c>
      <c r="B928" s="16" t="n">
        <v>45641</v>
      </c>
      <c r="C928" s="15" t="s">
        <v>56</v>
      </c>
      <c r="D928" s="15" t="s">
        <v>42</v>
      </c>
      <c r="E928" s="15" t="s">
        <v>37</v>
      </c>
      <c r="F928" s="15" t="s">
        <v>18</v>
      </c>
      <c r="G928" s="15" t="s">
        <v>32</v>
      </c>
      <c r="H928" s="15" t="n">
        <v>2</v>
      </c>
      <c r="I928" s="17" t="n">
        <v>0.3</v>
      </c>
      <c r="J928" s="18" t="n">
        <v>666.22</v>
      </c>
      <c r="K928" s="19" t="n">
        <v>-27.42</v>
      </c>
      <c r="L928" s="15" t="n">
        <f aca="false">YEAR(B928)</f>
        <v>2024</v>
      </c>
      <c r="M928" s="20" t="n">
        <f aca="false">IF(J928&gt;0,K928/J928,0)</f>
        <v>-0.0411575755756357</v>
      </c>
    </row>
    <row r="929" customFormat="false" ht="15" hidden="false" customHeight="false" outlineLevel="0" collapsed="false">
      <c r="A929" s="15" t="s">
        <v>986</v>
      </c>
      <c r="B929" s="16" t="n">
        <v>45088</v>
      </c>
      <c r="C929" s="15" t="s">
        <v>56</v>
      </c>
      <c r="D929" s="15" t="s">
        <v>42</v>
      </c>
      <c r="E929" s="15" t="s">
        <v>38</v>
      </c>
      <c r="F929" s="15" t="s">
        <v>18</v>
      </c>
      <c r="G929" s="15" t="s">
        <v>30</v>
      </c>
      <c r="H929" s="15" t="n">
        <v>3</v>
      </c>
      <c r="I929" s="17" t="n">
        <v>0</v>
      </c>
      <c r="J929" s="18" t="n">
        <v>101.51</v>
      </c>
      <c r="K929" s="19" t="n">
        <v>35</v>
      </c>
      <c r="L929" s="15" t="n">
        <f aca="false">YEAR(B929)</f>
        <v>2023</v>
      </c>
      <c r="M929" s="20" t="n">
        <f aca="false">IF(J929&gt;0,K929/J929,0)</f>
        <v>0.344793616392474</v>
      </c>
    </row>
    <row r="930" customFormat="false" ht="15" hidden="false" customHeight="false" outlineLevel="0" collapsed="false">
      <c r="A930" s="15" t="s">
        <v>987</v>
      </c>
      <c r="B930" s="16" t="n">
        <v>45735</v>
      </c>
      <c r="C930" s="15" t="s">
        <v>56</v>
      </c>
      <c r="D930" s="15" t="s">
        <v>42</v>
      </c>
      <c r="E930" s="15" t="s">
        <v>38</v>
      </c>
      <c r="F930" s="15" t="s">
        <v>17</v>
      </c>
      <c r="G930" s="15" t="s">
        <v>26</v>
      </c>
      <c r="H930" s="15" t="n">
        <v>3</v>
      </c>
      <c r="I930" s="17" t="n">
        <v>0.4</v>
      </c>
      <c r="J930" s="18" t="n">
        <v>140.14</v>
      </c>
      <c r="K930" s="19" t="n">
        <v>-39.88</v>
      </c>
      <c r="L930" s="15" t="n">
        <f aca="false">YEAR(B930)</f>
        <v>2025</v>
      </c>
      <c r="M930" s="20" t="n">
        <f aca="false">IF(J930&gt;0,K930/J930,0)</f>
        <v>-0.284572570286856</v>
      </c>
    </row>
    <row r="931" customFormat="false" ht="15" hidden="false" customHeight="false" outlineLevel="0" collapsed="false">
      <c r="A931" s="15" t="s">
        <v>988</v>
      </c>
      <c r="B931" s="16" t="n">
        <v>44878</v>
      </c>
      <c r="C931" s="15" t="s">
        <v>68</v>
      </c>
      <c r="D931" s="15" t="s">
        <v>43</v>
      </c>
      <c r="E931" s="15" t="s">
        <v>39</v>
      </c>
      <c r="F931" s="15" t="s">
        <v>17</v>
      </c>
      <c r="G931" s="15" t="s">
        <v>31</v>
      </c>
      <c r="H931" s="15" t="n">
        <v>4</v>
      </c>
      <c r="I931" s="17" t="n">
        <v>0.2</v>
      </c>
      <c r="J931" s="18" t="n">
        <v>500.08</v>
      </c>
      <c r="K931" s="19" t="n">
        <v>6.25</v>
      </c>
      <c r="L931" s="15" t="n">
        <f aca="false">YEAR(B931)</f>
        <v>2022</v>
      </c>
      <c r="M931" s="20" t="n">
        <f aca="false">IF(J931&gt;0,K931/J931,0)</f>
        <v>0.0124980003199488</v>
      </c>
    </row>
    <row r="932" customFormat="false" ht="15" hidden="false" customHeight="false" outlineLevel="0" collapsed="false">
      <c r="A932" s="15" t="s">
        <v>989</v>
      </c>
      <c r="B932" s="16" t="n">
        <v>45828</v>
      </c>
      <c r="C932" s="15" t="s">
        <v>56</v>
      </c>
      <c r="D932" s="15" t="s">
        <v>44</v>
      </c>
      <c r="E932" s="15" t="s">
        <v>37</v>
      </c>
      <c r="F932" s="15" t="s">
        <v>16</v>
      </c>
      <c r="G932" s="15" t="s">
        <v>25</v>
      </c>
      <c r="H932" s="15" t="n">
        <v>2</v>
      </c>
      <c r="I932" s="17" t="n">
        <v>0</v>
      </c>
      <c r="J932" s="18" t="n">
        <v>577.57</v>
      </c>
      <c r="K932" s="19" t="n">
        <v>25.03</v>
      </c>
      <c r="L932" s="15" t="n">
        <f aca="false">YEAR(B932)</f>
        <v>2025</v>
      </c>
      <c r="M932" s="20" t="n">
        <f aca="false">IF(J932&gt;0,K932/J932,0)</f>
        <v>0.043336738404003</v>
      </c>
    </row>
    <row r="933" customFormat="false" ht="15" hidden="false" customHeight="false" outlineLevel="0" collapsed="false">
      <c r="A933" s="15" t="s">
        <v>990</v>
      </c>
      <c r="B933" s="16" t="n">
        <v>45849</v>
      </c>
      <c r="C933" s="15" t="s">
        <v>68</v>
      </c>
      <c r="D933" s="15" t="s">
        <v>42</v>
      </c>
      <c r="E933" s="15" t="s">
        <v>38</v>
      </c>
      <c r="F933" s="15" t="s">
        <v>18</v>
      </c>
      <c r="G933" s="15" t="s">
        <v>30</v>
      </c>
      <c r="H933" s="15" t="n">
        <v>5</v>
      </c>
      <c r="I933" s="17" t="n">
        <v>0.15</v>
      </c>
      <c r="J933" s="18" t="n">
        <v>191.31</v>
      </c>
      <c r="K933" s="19" t="n">
        <v>34.65</v>
      </c>
      <c r="L933" s="15" t="n">
        <f aca="false">YEAR(B933)</f>
        <v>2025</v>
      </c>
      <c r="M933" s="20" t="n">
        <f aca="false">IF(J933&gt;0,K933/J933,0)</f>
        <v>0.181119648737651</v>
      </c>
    </row>
    <row r="934" customFormat="false" ht="15" hidden="false" customHeight="false" outlineLevel="0" collapsed="false">
      <c r="A934" s="15" t="s">
        <v>991</v>
      </c>
      <c r="B934" s="16" t="n">
        <v>44570</v>
      </c>
      <c r="C934" s="15" t="s">
        <v>56</v>
      </c>
      <c r="D934" s="15" t="s">
        <v>42</v>
      </c>
      <c r="E934" s="15" t="s">
        <v>38</v>
      </c>
      <c r="F934" s="15" t="s">
        <v>17</v>
      </c>
      <c r="G934" s="15" t="s">
        <v>26</v>
      </c>
      <c r="H934" s="15" t="n">
        <v>2</v>
      </c>
      <c r="I934" s="17" t="n">
        <v>0.05</v>
      </c>
      <c r="J934" s="18" t="n">
        <v>132.58</v>
      </c>
      <c r="K934" s="19" t="n">
        <v>9.98</v>
      </c>
      <c r="L934" s="15" t="n">
        <f aca="false">YEAR(B934)</f>
        <v>2022</v>
      </c>
      <c r="M934" s="20" t="n">
        <f aca="false">IF(J934&gt;0,K934/J934,0)</f>
        <v>0.0752753054759391</v>
      </c>
    </row>
    <row r="935" customFormat="false" ht="15" hidden="false" customHeight="false" outlineLevel="0" collapsed="false">
      <c r="A935" s="15" t="s">
        <v>992</v>
      </c>
      <c r="B935" s="16" t="n">
        <v>45587</v>
      </c>
      <c r="C935" s="15" t="s">
        <v>56</v>
      </c>
      <c r="D935" s="15" t="s">
        <v>42</v>
      </c>
      <c r="E935" s="15" t="s">
        <v>37</v>
      </c>
      <c r="F935" s="15" t="s">
        <v>16</v>
      </c>
      <c r="G935" s="15" t="s">
        <v>23</v>
      </c>
      <c r="H935" s="15" t="n">
        <v>3</v>
      </c>
      <c r="I935" s="17" t="n">
        <v>0.05</v>
      </c>
      <c r="J935" s="18" t="n">
        <v>961.34</v>
      </c>
      <c r="K935" s="19" t="n">
        <v>-26.8</v>
      </c>
      <c r="L935" s="15" t="n">
        <f aca="false">YEAR(B935)</f>
        <v>2024</v>
      </c>
      <c r="M935" s="20" t="n">
        <f aca="false">IF(J935&gt;0,K935/J935,0)</f>
        <v>-0.0278777539684191</v>
      </c>
    </row>
    <row r="936" customFormat="false" ht="15" hidden="false" customHeight="false" outlineLevel="0" collapsed="false">
      <c r="A936" s="15" t="s">
        <v>993</v>
      </c>
      <c r="B936" s="16" t="n">
        <v>45500</v>
      </c>
      <c r="C936" s="15" t="s">
        <v>68</v>
      </c>
      <c r="D936" s="15" t="s">
        <v>42</v>
      </c>
      <c r="E936" s="15" t="s">
        <v>39</v>
      </c>
      <c r="F936" s="15" t="s">
        <v>17</v>
      </c>
      <c r="G936" s="15" t="s">
        <v>29</v>
      </c>
      <c r="H936" s="15" t="n">
        <v>2</v>
      </c>
      <c r="I936" s="17" t="n">
        <v>0</v>
      </c>
      <c r="J936" s="18" t="n">
        <v>33.01</v>
      </c>
      <c r="K936" s="19" t="n">
        <v>11.7</v>
      </c>
      <c r="L936" s="15" t="n">
        <f aca="false">YEAR(B936)</f>
        <v>2024</v>
      </c>
      <c r="M936" s="20" t="n">
        <f aca="false">IF(J936&gt;0,K936/J936,0)</f>
        <v>0.354438049076038</v>
      </c>
    </row>
    <row r="937" customFormat="false" ht="15" hidden="false" customHeight="false" outlineLevel="0" collapsed="false">
      <c r="A937" s="15" t="s">
        <v>994</v>
      </c>
      <c r="B937" s="16" t="n">
        <v>45295</v>
      </c>
      <c r="C937" s="15" t="s">
        <v>56</v>
      </c>
      <c r="D937" s="15" t="s">
        <v>42</v>
      </c>
      <c r="E937" s="15" t="s">
        <v>39</v>
      </c>
      <c r="F937" s="15" t="s">
        <v>16</v>
      </c>
      <c r="G937" s="15" t="s">
        <v>25</v>
      </c>
      <c r="H937" s="15" t="n">
        <v>4</v>
      </c>
      <c r="I937" s="17" t="n">
        <v>0.1</v>
      </c>
      <c r="J937" s="18" t="n">
        <v>929.94</v>
      </c>
      <c r="K937" s="19" t="n">
        <v>-9.23</v>
      </c>
      <c r="L937" s="15" t="n">
        <f aca="false">YEAR(B937)</f>
        <v>2024</v>
      </c>
      <c r="M937" s="20" t="n">
        <f aca="false">IF(J937&gt;0,K937/J937,0)</f>
        <v>-0.00992537152934598</v>
      </c>
    </row>
    <row r="938" customFormat="false" ht="15" hidden="false" customHeight="false" outlineLevel="0" collapsed="false">
      <c r="A938" s="15" t="s">
        <v>995</v>
      </c>
      <c r="B938" s="16" t="n">
        <v>45436</v>
      </c>
      <c r="C938" s="15" t="s">
        <v>71</v>
      </c>
      <c r="D938" s="15" t="s">
        <v>42</v>
      </c>
      <c r="E938" s="15" t="s">
        <v>36</v>
      </c>
      <c r="F938" s="15" t="s">
        <v>17</v>
      </c>
      <c r="G938" s="15" t="s">
        <v>28</v>
      </c>
      <c r="H938" s="15" t="n">
        <v>5</v>
      </c>
      <c r="I938" s="17" t="n">
        <v>0.15</v>
      </c>
      <c r="J938" s="18" t="n">
        <v>96.2</v>
      </c>
      <c r="K938" s="19" t="n">
        <v>7.82</v>
      </c>
      <c r="L938" s="15" t="n">
        <f aca="false">YEAR(B938)</f>
        <v>2024</v>
      </c>
      <c r="M938" s="20" t="n">
        <f aca="false">IF(J938&gt;0,K938/J938,0)</f>
        <v>0.0812889812889813</v>
      </c>
    </row>
    <row r="939" customFormat="false" ht="15" hidden="false" customHeight="false" outlineLevel="0" collapsed="false">
      <c r="A939" s="15" t="s">
        <v>996</v>
      </c>
      <c r="B939" s="16" t="n">
        <v>44772</v>
      </c>
      <c r="C939" s="15" t="s">
        <v>56</v>
      </c>
      <c r="D939" s="15" t="s">
        <v>42</v>
      </c>
      <c r="E939" s="15" t="s">
        <v>39</v>
      </c>
      <c r="F939" s="15" t="s">
        <v>18</v>
      </c>
      <c r="G939" s="15" t="s">
        <v>32</v>
      </c>
      <c r="H939" s="15" t="n">
        <v>2</v>
      </c>
      <c r="I939" s="17" t="n">
        <v>0</v>
      </c>
      <c r="J939" s="18" t="n">
        <v>867.22</v>
      </c>
      <c r="K939" s="19" t="n">
        <v>209.67</v>
      </c>
      <c r="L939" s="15" t="n">
        <f aca="false">YEAR(B939)</f>
        <v>2022</v>
      </c>
      <c r="M939" s="20" t="n">
        <f aca="false">IF(J939&gt;0,K939/J939,0)</f>
        <v>0.241772560595927</v>
      </c>
    </row>
    <row r="940" customFormat="false" ht="15" hidden="false" customHeight="false" outlineLevel="0" collapsed="false">
      <c r="A940" s="15" t="s">
        <v>997</v>
      </c>
      <c r="B940" s="16" t="n">
        <v>45952</v>
      </c>
      <c r="C940" s="15" t="s">
        <v>56</v>
      </c>
      <c r="D940" s="15" t="s">
        <v>43</v>
      </c>
      <c r="E940" s="15" t="s">
        <v>39</v>
      </c>
      <c r="F940" s="15" t="s">
        <v>16</v>
      </c>
      <c r="G940" s="15" t="s">
        <v>27</v>
      </c>
      <c r="H940" s="15" t="n">
        <v>5</v>
      </c>
      <c r="I940" s="17" t="n">
        <v>0.1</v>
      </c>
      <c r="J940" s="18" t="n">
        <v>355.86</v>
      </c>
      <c r="K940" s="19" t="n">
        <v>38.69</v>
      </c>
      <c r="L940" s="15" t="n">
        <f aca="false">YEAR(B940)</f>
        <v>2025</v>
      </c>
      <c r="M940" s="20" t="n">
        <f aca="false">IF(J940&gt;0,K940/J940,0)</f>
        <v>0.108722531332547</v>
      </c>
    </row>
    <row r="941" customFormat="false" ht="15" hidden="false" customHeight="false" outlineLevel="0" collapsed="false">
      <c r="A941" s="15" t="s">
        <v>998</v>
      </c>
      <c r="B941" s="16" t="n">
        <v>44747</v>
      </c>
      <c r="C941" s="15" t="s">
        <v>56</v>
      </c>
      <c r="D941" s="15" t="s">
        <v>43</v>
      </c>
      <c r="E941" s="15" t="s">
        <v>39</v>
      </c>
      <c r="F941" s="15" t="s">
        <v>18</v>
      </c>
      <c r="G941" s="15" t="s">
        <v>30</v>
      </c>
      <c r="H941" s="15" t="n">
        <v>3</v>
      </c>
      <c r="I941" s="17" t="n">
        <v>0</v>
      </c>
      <c r="J941" s="18" t="n">
        <v>173.98</v>
      </c>
      <c r="K941" s="19" t="n">
        <v>57.31</v>
      </c>
      <c r="L941" s="15" t="n">
        <f aca="false">YEAR(B941)</f>
        <v>2022</v>
      </c>
      <c r="M941" s="20" t="n">
        <f aca="false">IF(J941&gt;0,K941/J941,0)</f>
        <v>0.329405678813657</v>
      </c>
    </row>
    <row r="942" customFormat="false" ht="15" hidden="false" customHeight="false" outlineLevel="0" collapsed="false">
      <c r="A942" s="15" t="s">
        <v>999</v>
      </c>
      <c r="B942" s="16" t="n">
        <v>45311</v>
      </c>
      <c r="C942" s="15" t="s">
        <v>56</v>
      </c>
      <c r="D942" s="15" t="s">
        <v>42</v>
      </c>
      <c r="E942" s="15" t="s">
        <v>37</v>
      </c>
      <c r="F942" s="15" t="s">
        <v>17</v>
      </c>
      <c r="G942" s="15" t="s">
        <v>29</v>
      </c>
      <c r="H942" s="15" t="n">
        <v>2</v>
      </c>
      <c r="I942" s="17" t="n">
        <v>0.2</v>
      </c>
      <c r="J942" s="18" t="n">
        <v>33.89</v>
      </c>
      <c r="K942" s="19" t="n">
        <v>8.08</v>
      </c>
      <c r="L942" s="15" t="n">
        <f aca="false">YEAR(B942)</f>
        <v>2024</v>
      </c>
      <c r="M942" s="20" t="n">
        <f aca="false">IF(J942&gt;0,K942/J942,0)</f>
        <v>0.238418412511065</v>
      </c>
    </row>
    <row r="943" customFormat="false" ht="15" hidden="false" customHeight="false" outlineLevel="0" collapsed="false">
      <c r="A943" s="15" t="s">
        <v>1000</v>
      </c>
      <c r="B943" s="16" t="n">
        <v>45772</v>
      </c>
      <c r="C943" s="15" t="s">
        <v>58</v>
      </c>
      <c r="D943" s="15" t="s">
        <v>42</v>
      </c>
      <c r="E943" s="15" t="s">
        <v>39</v>
      </c>
      <c r="F943" s="15" t="s">
        <v>16</v>
      </c>
      <c r="G943" s="15" t="s">
        <v>25</v>
      </c>
      <c r="H943" s="15" t="n">
        <v>6</v>
      </c>
      <c r="I943" s="17" t="n">
        <v>0.1</v>
      </c>
      <c r="J943" s="18" t="n">
        <v>1514.94</v>
      </c>
      <c r="K943" s="19" t="n">
        <v>-66.09</v>
      </c>
      <c r="L943" s="15" t="n">
        <f aca="false">YEAR(B943)</f>
        <v>2025</v>
      </c>
      <c r="M943" s="20" t="n">
        <f aca="false">IF(J943&gt;0,K943/J943,0)</f>
        <v>-0.0436254901184205</v>
      </c>
    </row>
    <row r="944" customFormat="false" ht="15" hidden="false" customHeight="false" outlineLevel="0" collapsed="false">
      <c r="A944" s="15" t="s">
        <v>1001</v>
      </c>
      <c r="B944" s="16" t="n">
        <v>44694</v>
      </c>
      <c r="C944" s="15" t="s">
        <v>56</v>
      </c>
      <c r="D944" s="15" t="s">
        <v>44</v>
      </c>
      <c r="E944" s="15" t="s">
        <v>36</v>
      </c>
      <c r="F944" s="15" t="s">
        <v>17</v>
      </c>
      <c r="G944" s="15" t="s">
        <v>31</v>
      </c>
      <c r="H944" s="15" t="n">
        <v>2</v>
      </c>
      <c r="I944" s="17" t="n">
        <v>0</v>
      </c>
      <c r="J944" s="18" t="n">
        <v>226.17</v>
      </c>
      <c r="K944" s="19" t="n">
        <v>56.92</v>
      </c>
      <c r="L944" s="15" t="n">
        <f aca="false">YEAR(B944)</f>
        <v>2022</v>
      </c>
      <c r="M944" s="20" t="n">
        <f aca="false">IF(J944&gt;0,K944/J944,0)</f>
        <v>0.251669098465756</v>
      </c>
    </row>
    <row r="945" customFormat="false" ht="15" hidden="false" customHeight="false" outlineLevel="0" collapsed="false">
      <c r="A945" s="15" t="s">
        <v>1002</v>
      </c>
      <c r="B945" s="16" t="n">
        <v>45222</v>
      </c>
      <c r="C945" s="15" t="s">
        <v>58</v>
      </c>
      <c r="D945" s="15" t="s">
        <v>42</v>
      </c>
      <c r="E945" s="15" t="s">
        <v>37</v>
      </c>
      <c r="F945" s="15" t="s">
        <v>17</v>
      </c>
      <c r="G945" s="15" t="s">
        <v>31</v>
      </c>
      <c r="H945" s="15" t="n">
        <v>5</v>
      </c>
      <c r="I945" s="17" t="n">
        <v>0.1</v>
      </c>
      <c r="J945" s="18" t="n">
        <v>547.52</v>
      </c>
      <c r="K945" s="19" t="n">
        <v>23.92</v>
      </c>
      <c r="L945" s="15" t="n">
        <f aca="false">YEAR(B945)</f>
        <v>2023</v>
      </c>
      <c r="M945" s="20" t="n">
        <f aca="false">IF(J945&gt;0,K945/J945,0)</f>
        <v>0.043687901811806</v>
      </c>
    </row>
    <row r="946" customFormat="false" ht="15" hidden="false" customHeight="false" outlineLevel="0" collapsed="false">
      <c r="A946" s="15" t="s">
        <v>1003</v>
      </c>
      <c r="B946" s="16" t="n">
        <v>45202</v>
      </c>
      <c r="C946" s="15" t="s">
        <v>71</v>
      </c>
      <c r="D946" s="15" t="s">
        <v>42</v>
      </c>
      <c r="E946" s="15" t="s">
        <v>37</v>
      </c>
      <c r="F946" s="15" t="s">
        <v>17</v>
      </c>
      <c r="G946" s="15" t="s">
        <v>31</v>
      </c>
      <c r="H946" s="15" t="n">
        <v>2</v>
      </c>
      <c r="I946" s="17" t="n">
        <v>0</v>
      </c>
      <c r="J946" s="18" t="n">
        <v>216.56</v>
      </c>
      <c r="K946" s="19" t="n">
        <v>31.77</v>
      </c>
      <c r="L946" s="15" t="n">
        <f aca="false">YEAR(B946)</f>
        <v>2023</v>
      </c>
      <c r="M946" s="20" t="n">
        <f aca="false">IF(J946&gt;0,K946/J946,0)</f>
        <v>0.146702992242335</v>
      </c>
    </row>
    <row r="947" customFormat="false" ht="15" hidden="false" customHeight="false" outlineLevel="0" collapsed="false">
      <c r="A947" s="15" t="s">
        <v>1004</v>
      </c>
      <c r="B947" s="16" t="n">
        <v>44824</v>
      </c>
      <c r="C947" s="15" t="s">
        <v>68</v>
      </c>
      <c r="D947" s="15" t="s">
        <v>43</v>
      </c>
      <c r="E947" s="15" t="s">
        <v>39</v>
      </c>
      <c r="F947" s="15" t="s">
        <v>16</v>
      </c>
      <c r="G947" s="15" t="s">
        <v>22</v>
      </c>
      <c r="H947" s="15" t="n">
        <v>6</v>
      </c>
      <c r="I947" s="17" t="n">
        <v>0</v>
      </c>
      <c r="J947" s="18" t="n">
        <v>3941.39</v>
      </c>
      <c r="K947" s="19" t="n">
        <v>192.81</v>
      </c>
      <c r="L947" s="15" t="n">
        <f aca="false">YEAR(B947)</f>
        <v>2022</v>
      </c>
      <c r="M947" s="20" t="n">
        <f aca="false">IF(J947&gt;0,K947/J947,0)</f>
        <v>0.0489192898951893</v>
      </c>
    </row>
    <row r="948" customFormat="false" ht="15" hidden="false" customHeight="false" outlineLevel="0" collapsed="false">
      <c r="A948" s="15" t="s">
        <v>1005</v>
      </c>
      <c r="B948" s="16" t="n">
        <v>45569</v>
      </c>
      <c r="C948" s="15" t="s">
        <v>56</v>
      </c>
      <c r="D948" s="15" t="s">
        <v>43</v>
      </c>
      <c r="E948" s="15" t="s">
        <v>36</v>
      </c>
      <c r="F948" s="15" t="s">
        <v>17</v>
      </c>
      <c r="G948" s="15" t="s">
        <v>28</v>
      </c>
      <c r="H948" s="15" t="n">
        <v>3</v>
      </c>
      <c r="I948" s="17" t="n">
        <v>0</v>
      </c>
      <c r="J948" s="18" t="n">
        <v>85.51</v>
      </c>
      <c r="K948" s="19" t="n">
        <v>22.25</v>
      </c>
      <c r="L948" s="15" t="n">
        <f aca="false">YEAR(B948)</f>
        <v>2024</v>
      </c>
      <c r="M948" s="20" t="n">
        <f aca="false">IF(J948&gt;0,K948/J948,0)</f>
        <v>0.260203484972518</v>
      </c>
    </row>
    <row r="949" customFormat="false" ht="15" hidden="false" customHeight="false" outlineLevel="0" collapsed="false">
      <c r="A949" s="15" t="s">
        <v>1006</v>
      </c>
      <c r="B949" s="16" t="n">
        <v>45578</v>
      </c>
      <c r="C949" s="15" t="s">
        <v>56</v>
      </c>
      <c r="D949" s="15" t="s">
        <v>42</v>
      </c>
      <c r="E949" s="15" t="s">
        <v>39</v>
      </c>
      <c r="F949" s="15" t="s">
        <v>17</v>
      </c>
      <c r="G949" s="15" t="s">
        <v>31</v>
      </c>
      <c r="H949" s="15" t="n">
        <v>2</v>
      </c>
      <c r="I949" s="17" t="n">
        <v>0.2</v>
      </c>
      <c r="J949" s="18" t="n">
        <v>269.4</v>
      </c>
      <c r="K949" s="19" t="n">
        <v>11.45</v>
      </c>
      <c r="L949" s="15" t="n">
        <f aca="false">YEAR(B949)</f>
        <v>2024</v>
      </c>
      <c r="M949" s="20" t="n">
        <f aca="false">IF(J949&gt;0,K949/J949,0)</f>
        <v>0.0425018559762435</v>
      </c>
    </row>
    <row r="950" customFormat="false" ht="15" hidden="false" customHeight="false" outlineLevel="0" collapsed="false">
      <c r="A950" s="15" t="s">
        <v>1007</v>
      </c>
      <c r="B950" s="16" t="n">
        <v>45837</v>
      </c>
      <c r="C950" s="15" t="s">
        <v>71</v>
      </c>
      <c r="D950" s="15" t="s">
        <v>42</v>
      </c>
      <c r="E950" s="15" t="s">
        <v>38</v>
      </c>
      <c r="F950" s="15" t="s">
        <v>17</v>
      </c>
      <c r="G950" s="15" t="s">
        <v>29</v>
      </c>
      <c r="H950" s="15" t="n">
        <v>2</v>
      </c>
      <c r="I950" s="17" t="n">
        <v>0.5</v>
      </c>
      <c r="J950" s="18" t="n">
        <v>15.15</v>
      </c>
      <c r="K950" s="19" t="n">
        <v>-0.46</v>
      </c>
      <c r="L950" s="15" t="n">
        <f aca="false">YEAR(B950)</f>
        <v>2025</v>
      </c>
      <c r="M950" s="20" t="n">
        <f aca="false">IF(J950&gt;0,K950/J950,0)</f>
        <v>-0.0303630363036304</v>
      </c>
    </row>
    <row r="951" customFormat="false" ht="15" hidden="false" customHeight="false" outlineLevel="0" collapsed="false">
      <c r="A951" s="15" t="s">
        <v>1008</v>
      </c>
      <c r="B951" s="16" t="n">
        <v>45363</v>
      </c>
      <c r="C951" s="15" t="s">
        <v>68</v>
      </c>
      <c r="D951" s="15" t="s">
        <v>42</v>
      </c>
      <c r="E951" s="15" t="s">
        <v>37</v>
      </c>
      <c r="F951" s="15" t="s">
        <v>16</v>
      </c>
      <c r="G951" s="15" t="s">
        <v>27</v>
      </c>
      <c r="H951" s="15" t="n">
        <v>4</v>
      </c>
      <c r="I951" s="17" t="n">
        <v>0.1</v>
      </c>
      <c r="J951" s="18" t="n">
        <v>217.35</v>
      </c>
      <c r="K951" s="19" t="n">
        <v>13.35</v>
      </c>
      <c r="L951" s="15" t="n">
        <f aca="false">YEAR(B951)</f>
        <v>2024</v>
      </c>
      <c r="M951" s="20" t="n">
        <f aca="false">IF(J951&gt;0,K951/J951,0)</f>
        <v>0.0614216701173223</v>
      </c>
    </row>
    <row r="952" customFormat="false" ht="15" hidden="false" customHeight="false" outlineLevel="0" collapsed="false">
      <c r="A952" s="15" t="s">
        <v>1009</v>
      </c>
      <c r="B952" s="16" t="n">
        <v>46010</v>
      </c>
      <c r="C952" s="15" t="s">
        <v>56</v>
      </c>
      <c r="D952" s="15" t="s">
        <v>44</v>
      </c>
      <c r="E952" s="15" t="s">
        <v>36</v>
      </c>
      <c r="F952" s="15" t="s">
        <v>17</v>
      </c>
      <c r="G952" s="15" t="s">
        <v>29</v>
      </c>
      <c r="H952" s="15" t="n">
        <v>2</v>
      </c>
      <c r="I952" s="17" t="n">
        <v>0</v>
      </c>
      <c r="J952" s="18" t="n">
        <v>39.6</v>
      </c>
      <c r="K952" s="19" t="n">
        <v>17.58</v>
      </c>
      <c r="L952" s="15" t="n">
        <f aca="false">YEAR(B952)</f>
        <v>2025</v>
      </c>
      <c r="M952" s="20" t="n">
        <f aca="false">IF(J952&gt;0,K952/J952,0)</f>
        <v>0.443939393939394</v>
      </c>
    </row>
    <row r="953" customFormat="false" ht="15" hidden="false" customHeight="false" outlineLevel="0" collapsed="false">
      <c r="A953" s="15" t="s">
        <v>1010</v>
      </c>
      <c r="B953" s="16" t="n">
        <v>45786</v>
      </c>
      <c r="C953" s="15" t="s">
        <v>56</v>
      </c>
      <c r="D953" s="15" t="s">
        <v>42</v>
      </c>
      <c r="E953" s="15" t="s">
        <v>38</v>
      </c>
      <c r="F953" s="15" t="s">
        <v>18</v>
      </c>
      <c r="G953" s="15" t="s">
        <v>30</v>
      </c>
      <c r="H953" s="15" t="n">
        <v>4</v>
      </c>
      <c r="I953" s="17" t="n">
        <v>0.4</v>
      </c>
      <c r="J953" s="18" t="n">
        <v>83.97</v>
      </c>
      <c r="K953" s="19" t="n">
        <v>-4.47</v>
      </c>
      <c r="L953" s="15" t="n">
        <f aca="false">YEAR(B953)</f>
        <v>2025</v>
      </c>
      <c r="M953" s="20" t="n">
        <f aca="false">IF(J953&gt;0,K953/J953,0)</f>
        <v>-0.053233297606288</v>
      </c>
    </row>
    <row r="954" customFormat="false" ht="15" hidden="false" customHeight="false" outlineLevel="0" collapsed="false">
      <c r="A954" s="15" t="s">
        <v>1011</v>
      </c>
      <c r="B954" s="16" t="n">
        <v>45152</v>
      </c>
      <c r="C954" s="15" t="s">
        <v>58</v>
      </c>
      <c r="D954" s="15" t="s">
        <v>42</v>
      </c>
      <c r="E954" s="15" t="s">
        <v>36</v>
      </c>
      <c r="F954" s="15" t="s">
        <v>18</v>
      </c>
      <c r="G954" s="15" t="s">
        <v>30</v>
      </c>
      <c r="H954" s="15" t="n">
        <v>3</v>
      </c>
      <c r="I954" s="17" t="n">
        <v>0</v>
      </c>
      <c r="J954" s="18" t="n">
        <v>146.86</v>
      </c>
      <c r="K954" s="19" t="n">
        <v>43.36</v>
      </c>
      <c r="L954" s="15" t="n">
        <f aca="false">YEAR(B954)</f>
        <v>2023</v>
      </c>
      <c r="M954" s="20" t="n">
        <f aca="false">IF(J954&gt;0,K954/J954,0)</f>
        <v>0.295247174179491</v>
      </c>
    </row>
    <row r="955" customFormat="false" ht="15" hidden="false" customHeight="false" outlineLevel="0" collapsed="false">
      <c r="A955" s="15" t="s">
        <v>1012</v>
      </c>
      <c r="B955" s="16" t="n">
        <v>45144</v>
      </c>
      <c r="C955" s="15" t="s">
        <v>71</v>
      </c>
      <c r="D955" s="15" t="s">
        <v>42</v>
      </c>
      <c r="E955" s="15" t="s">
        <v>36</v>
      </c>
      <c r="F955" s="15" t="s">
        <v>16</v>
      </c>
      <c r="G955" s="15" t="s">
        <v>25</v>
      </c>
      <c r="H955" s="15" t="n">
        <v>6</v>
      </c>
      <c r="I955" s="17" t="n">
        <v>0.2</v>
      </c>
      <c r="J955" s="18" t="n">
        <v>1187.01</v>
      </c>
      <c r="K955" s="19" t="n">
        <v>-20.19</v>
      </c>
      <c r="L955" s="15" t="n">
        <f aca="false">YEAR(B955)</f>
        <v>2023</v>
      </c>
      <c r="M955" s="20" t="n">
        <f aca="false">IF(J955&gt;0,K955/J955,0)</f>
        <v>-0.0170091237647535</v>
      </c>
    </row>
    <row r="956" customFormat="false" ht="15" hidden="false" customHeight="false" outlineLevel="0" collapsed="false">
      <c r="A956" s="15" t="s">
        <v>1013</v>
      </c>
      <c r="B956" s="16" t="n">
        <v>46001</v>
      </c>
      <c r="C956" s="15" t="s">
        <v>56</v>
      </c>
      <c r="D956" s="15" t="s">
        <v>43</v>
      </c>
      <c r="E956" s="15" t="s">
        <v>39</v>
      </c>
      <c r="F956" s="15" t="s">
        <v>16</v>
      </c>
      <c r="G956" s="15" t="s">
        <v>27</v>
      </c>
      <c r="H956" s="15" t="n">
        <v>5</v>
      </c>
      <c r="I956" s="17" t="n">
        <v>0.05</v>
      </c>
      <c r="J956" s="18" t="n">
        <v>404.39</v>
      </c>
      <c r="K956" s="19" t="n">
        <v>52.19</v>
      </c>
      <c r="L956" s="15" t="n">
        <f aca="false">YEAR(B956)</f>
        <v>2025</v>
      </c>
      <c r="M956" s="20" t="n">
        <f aca="false">IF(J956&gt;0,K956/J956,0)</f>
        <v>0.129058582061871</v>
      </c>
    </row>
    <row r="957" customFormat="false" ht="15" hidden="false" customHeight="false" outlineLevel="0" collapsed="false">
      <c r="A957" s="15" t="s">
        <v>1014</v>
      </c>
      <c r="B957" s="16" t="n">
        <v>44791</v>
      </c>
      <c r="C957" s="15" t="s">
        <v>56</v>
      </c>
      <c r="D957" s="15" t="s">
        <v>42</v>
      </c>
      <c r="E957" s="15" t="s">
        <v>39</v>
      </c>
      <c r="F957" s="15" t="s">
        <v>16</v>
      </c>
      <c r="G957" s="15" t="s">
        <v>27</v>
      </c>
      <c r="H957" s="15" t="n">
        <v>4</v>
      </c>
      <c r="I957" s="17" t="n">
        <v>0</v>
      </c>
      <c r="J957" s="18" t="n">
        <v>260.06</v>
      </c>
      <c r="K957" s="19" t="n">
        <v>65.45</v>
      </c>
      <c r="L957" s="15" t="n">
        <f aca="false">YEAR(B957)</f>
        <v>2022</v>
      </c>
      <c r="M957" s="20" t="n">
        <f aca="false">IF(J957&gt;0,K957/J957,0)</f>
        <v>0.251672690917481</v>
      </c>
    </row>
    <row r="958" customFormat="false" ht="15" hidden="false" customHeight="false" outlineLevel="0" collapsed="false">
      <c r="A958" s="15" t="s">
        <v>1015</v>
      </c>
      <c r="B958" s="16" t="n">
        <v>44969</v>
      </c>
      <c r="C958" s="15" t="s">
        <v>56</v>
      </c>
      <c r="D958" s="15" t="s">
        <v>43</v>
      </c>
      <c r="E958" s="15" t="s">
        <v>39</v>
      </c>
      <c r="F958" s="15" t="s">
        <v>17</v>
      </c>
      <c r="G958" s="15" t="s">
        <v>31</v>
      </c>
      <c r="H958" s="15" t="n">
        <v>5</v>
      </c>
      <c r="I958" s="17" t="n">
        <v>0.2</v>
      </c>
      <c r="J958" s="18" t="n">
        <v>664.61</v>
      </c>
      <c r="K958" s="19" t="n">
        <v>29.96</v>
      </c>
      <c r="L958" s="15" t="n">
        <f aca="false">YEAR(B958)</f>
        <v>2023</v>
      </c>
      <c r="M958" s="20" t="n">
        <f aca="false">IF(J958&gt;0,K958/J958,0)</f>
        <v>0.0450790689276418</v>
      </c>
    </row>
    <row r="959" customFormat="false" ht="15" hidden="false" customHeight="false" outlineLevel="0" collapsed="false">
      <c r="A959" s="15" t="s">
        <v>1016</v>
      </c>
      <c r="B959" s="16" t="n">
        <v>45997</v>
      </c>
      <c r="C959" s="15" t="s">
        <v>68</v>
      </c>
      <c r="D959" s="15" t="s">
        <v>43</v>
      </c>
      <c r="E959" s="15" t="s">
        <v>36</v>
      </c>
      <c r="F959" s="15" t="s">
        <v>17</v>
      </c>
      <c r="G959" s="15" t="s">
        <v>31</v>
      </c>
      <c r="H959" s="15" t="n">
        <v>1</v>
      </c>
      <c r="I959" s="17" t="n">
        <v>0</v>
      </c>
      <c r="J959" s="18" t="n">
        <v>140.09</v>
      </c>
      <c r="K959" s="19" t="n">
        <v>40.63</v>
      </c>
      <c r="L959" s="15" t="n">
        <f aca="false">YEAR(B959)</f>
        <v>2025</v>
      </c>
      <c r="M959" s="20" t="n">
        <f aca="false">IF(J959&gt;0,K959/J959,0)</f>
        <v>0.290027839246199</v>
      </c>
    </row>
    <row r="960" customFormat="false" ht="15" hidden="false" customHeight="false" outlineLevel="0" collapsed="false">
      <c r="A960" s="15" t="s">
        <v>1017</v>
      </c>
      <c r="B960" s="16" t="n">
        <v>44913</v>
      </c>
      <c r="C960" s="15" t="s">
        <v>56</v>
      </c>
      <c r="D960" s="15" t="s">
        <v>42</v>
      </c>
      <c r="E960" s="15" t="s">
        <v>36</v>
      </c>
      <c r="F960" s="15" t="s">
        <v>17</v>
      </c>
      <c r="G960" s="15" t="s">
        <v>29</v>
      </c>
      <c r="H960" s="15" t="n">
        <v>5</v>
      </c>
      <c r="I960" s="17" t="n">
        <v>0.15</v>
      </c>
      <c r="J960" s="18" t="n">
        <v>91.87</v>
      </c>
      <c r="K960" s="19" t="n">
        <v>20.48</v>
      </c>
      <c r="L960" s="15" t="n">
        <f aca="false">YEAR(B960)</f>
        <v>2022</v>
      </c>
      <c r="M960" s="20" t="n">
        <f aca="false">IF(J960&gt;0,K960/J960,0)</f>
        <v>0.222923696527702</v>
      </c>
    </row>
    <row r="961" customFormat="false" ht="15" hidden="false" customHeight="false" outlineLevel="0" collapsed="false">
      <c r="A961" s="15" t="s">
        <v>1018</v>
      </c>
      <c r="B961" s="16" t="n">
        <v>45171</v>
      </c>
      <c r="C961" s="15" t="s">
        <v>68</v>
      </c>
      <c r="D961" s="15" t="s">
        <v>43</v>
      </c>
      <c r="E961" s="15" t="s">
        <v>39</v>
      </c>
      <c r="F961" s="15" t="s">
        <v>18</v>
      </c>
      <c r="G961" s="15" t="s">
        <v>30</v>
      </c>
      <c r="H961" s="15" t="n">
        <v>4</v>
      </c>
      <c r="I961" s="17" t="n">
        <v>0.1</v>
      </c>
      <c r="J961" s="18" t="n">
        <v>164.78</v>
      </c>
      <c r="K961" s="19" t="n">
        <v>29.64</v>
      </c>
      <c r="L961" s="15" t="n">
        <f aca="false">YEAR(B961)</f>
        <v>2023</v>
      </c>
      <c r="M961" s="20" t="n">
        <f aca="false">IF(J961&gt;0,K961/J961,0)</f>
        <v>0.179876198567787</v>
      </c>
    </row>
    <row r="962" customFormat="false" ht="15" hidden="false" customHeight="false" outlineLevel="0" collapsed="false">
      <c r="A962" s="15" t="s">
        <v>1019</v>
      </c>
      <c r="B962" s="16" t="n">
        <v>45642</v>
      </c>
      <c r="C962" s="15" t="s">
        <v>56</v>
      </c>
      <c r="D962" s="15" t="s">
        <v>42</v>
      </c>
      <c r="E962" s="15" t="s">
        <v>39</v>
      </c>
      <c r="F962" s="15" t="s">
        <v>17</v>
      </c>
      <c r="G962" s="15" t="s">
        <v>31</v>
      </c>
      <c r="H962" s="15" t="n">
        <v>5</v>
      </c>
      <c r="I962" s="17" t="n">
        <v>0.15</v>
      </c>
      <c r="J962" s="18" t="n">
        <v>492.03</v>
      </c>
      <c r="K962" s="19" t="n">
        <v>47.35</v>
      </c>
      <c r="L962" s="15" t="n">
        <f aca="false">YEAR(B962)</f>
        <v>2024</v>
      </c>
      <c r="M962" s="20" t="n">
        <f aca="false">IF(J962&gt;0,K962/J962,0)</f>
        <v>0.0962339694734061</v>
      </c>
    </row>
    <row r="963" customFormat="false" ht="15" hidden="false" customHeight="false" outlineLevel="0" collapsed="false">
      <c r="A963" s="15" t="s">
        <v>1020</v>
      </c>
      <c r="B963" s="16" t="n">
        <v>45979</v>
      </c>
      <c r="C963" s="15" t="s">
        <v>56</v>
      </c>
      <c r="D963" s="15" t="s">
        <v>42</v>
      </c>
      <c r="E963" s="15" t="s">
        <v>37</v>
      </c>
      <c r="F963" s="15" t="s">
        <v>17</v>
      </c>
      <c r="G963" s="15" t="s">
        <v>28</v>
      </c>
      <c r="H963" s="15" t="n">
        <v>3</v>
      </c>
      <c r="I963" s="17" t="n">
        <v>0</v>
      </c>
      <c r="J963" s="18" t="n">
        <v>76.63</v>
      </c>
      <c r="K963" s="19" t="n">
        <v>23.65</v>
      </c>
      <c r="L963" s="15" t="n">
        <f aca="false">YEAR(B963)</f>
        <v>2025</v>
      </c>
      <c r="M963" s="20" t="n">
        <f aca="false">IF(J963&gt;0,K963/J963,0)</f>
        <v>0.308625864543912</v>
      </c>
    </row>
    <row r="964" customFormat="false" ht="15" hidden="false" customHeight="false" outlineLevel="0" collapsed="false">
      <c r="A964" s="15" t="s">
        <v>1021</v>
      </c>
      <c r="B964" s="16" t="n">
        <v>45794</v>
      </c>
      <c r="C964" s="15" t="s">
        <v>56</v>
      </c>
      <c r="D964" s="15" t="s">
        <v>44</v>
      </c>
      <c r="E964" s="15" t="s">
        <v>39</v>
      </c>
      <c r="F964" s="15" t="s">
        <v>17</v>
      </c>
      <c r="G964" s="15" t="s">
        <v>26</v>
      </c>
      <c r="H964" s="15" t="n">
        <v>2</v>
      </c>
      <c r="I964" s="17" t="n">
        <v>0.3</v>
      </c>
      <c r="J964" s="18" t="n">
        <v>117.3</v>
      </c>
      <c r="K964" s="19" t="n">
        <v>-10.96</v>
      </c>
      <c r="L964" s="15" t="n">
        <f aca="false">YEAR(B964)</f>
        <v>2025</v>
      </c>
      <c r="M964" s="20" t="n">
        <f aca="false">IF(J964&gt;0,K964/J964,0)</f>
        <v>-0.0934356351236147</v>
      </c>
    </row>
    <row r="965" customFormat="false" ht="15" hidden="false" customHeight="false" outlineLevel="0" collapsed="false">
      <c r="A965" s="15" t="s">
        <v>1022</v>
      </c>
      <c r="B965" s="16" t="n">
        <v>45112</v>
      </c>
      <c r="C965" s="15" t="s">
        <v>58</v>
      </c>
      <c r="D965" s="15" t="s">
        <v>42</v>
      </c>
      <c r="E965" s="15" t="s">
        <v>39</v>
      </c>
      <c r="F965" s="15" t="s">
        <v>17</v>
      </c>
      <c r="G965" s="15" t="s">
        <v>28</v>
      </c>
      <c r="H965" s="15" t="n">
        <v>4</v>
      </c>
      <c r="I965" s="17" t="n">
        <v>0</v>
      </c>
      <c r="J965" s="18" t="n">
        <v>106.58</v>
      </c>
      <c r="K965" s="19" t="n">
        <v>24.06</v>
      </c>
      <c r="L965" s="15" t="n">
        <f aca="false">YEAR(B965)</f>
        <v>2023</v>
      </c>
      <c r="M965" s="20" t="n">
        <f aca="false">IF(J965&gt;0,K965/J965,0)</f>
        <v>0.225745918558829</v>
      </c>
    </row>
    <row r="966" customFormat="false" ht="15" hidden="false" customHeight="false" outlineLevel="0" collapsed="false">
      <c r="A966" s="15" t="s">
        <v>1023</v>
      </c>
      <c r="B966" s="16" t="n">
        <v>44915</v>
      </c>
      <c r="C966" s="15" t="s">
        <v>71</v>
      </c>
      <c r="D966" s="15" t="s">
        <v>42</v>
      </c>
      <c r="E966" s="15" t="s">
        <v>36</v>
      </c>
      <c r="F966" s="15" t="s">
        <v>17</v>
      </c>
      <c r="G966" s="15" t="s">
        <v>28</v>
      </c>
      <c r="H966" s="15" t="n">
        <v>3</v>
      </c>
      <c r="I966" s="17" t="n">
        <v>0.1</v>
      </c>
      <c r="J966" s="18" t="n">
        <v>59.07</v>
      </c>
      <c r="K966" s="19" t="n">
        <v>13.71</v>
      </c>
      <c r="L966" s="15" t="n">
        <f aca="false">YEAR(B966)</f>
        <v>2022</v>
      </c>
      <c r="M966" s="20" t="n">
        <f aca="false">IF(J966&gt;0,K966/J966,0)</f>
        <v>0.23209751142712</v>
      </c>
    </row>
    <row r="967" customFormat="false" ht="15" hidden="false" customHeight="false" outlineLevel="0" collapsed="false">
      <c r="A967" s="15" t="s">
        <v>1024</v>
      </c>
      <c r="B967" s="16" t="n">
        <v>45395</v>
      </c>
      <c r="C967" s="15" t="s">
        <v>56</v>
      </c>
      <c r="D967" s="15" t="s">
        <v>43</v>
      </c>
      <c r="E967" s="15" t="s">
        <v>36</v>
      </c>
      <c r="F967" s="15" t="s">
        <v>18</v>
      </c>
      <c r="G967" s="15" t="s">
        <v>24</v>
      </c>
      <c r="H967" s="15" t="n">
        <v>4</v>
      </c>
      <c r="I967" s="17" t="n">
        <v>0</v>
      </c>
      <c r="J967" s="18" t="n">
        <v>2718.58</v>
      </c>
      <c r="K967" s="19" t="n">
        <v>127.44</v>
      </c>
      <c r="L967" s="15" t="n">
        <f aca="false">YEAR(B967)</f>
        <v>2024</v>
      </c>
      <c r="M967" s="20" t="n">
        <f aca="false">IF(J967&gt;0,K967/J967,0)</f>
        <v>0.0468774139440443</v>
      </c>
    </row>
    <row r="968" customFormat="false" ht="15" hidden="false" customHeight="false" outlineLevel="0" collapsed="false">
      <c r="A968" s="15" t="s">
        <v>1025</v>
      </c>
      <c r="B968" s="16" t="n">
        <v>45160</v>
      </c>
      <c r="C968" s="15" t="s">
        <v>56</v>
      </c>
      <c r="D968" s="15" t="s">
        <v>42</v>
      </c>
      <c r="E968" s="15" t="s">
        <v>39</v>
      </c>
      <c r="F968" s="15" t="s">
        <v>18</v>
      </c>
      <c r="G968" s="15" t="s">
        <v>32</v>
      </c>
      <c r="H968" s="15" t="n">
        <v>3</v>
      </c>
      <c r="I968" s="17" t="n">
        <v>0.05</v>
      </c>
      <c r="J968" s="18" t="n">
        <v>1152.52</v>
      </c>
      <c r="K968" s="19" t="n">
        <v>209.83</v>
      </c>
      <c r="L968" s="15" t="n">
        <f aca="false">YEAR(B968)</f>
        <v>2023</v>
      </c>
      <c r="M968" s="20" t="n">
        <f aca="false">IF(J968&gt;0,K968/J968,0)</f>
        <v>0.182061916496026</v>
      </c>
    </row>
    <row r="969" customFormat="false" ht="15" hidden="false" customHeight="false" outlineLevel="0" collapsed="false">
      <c r="A969" s="15" t="s">
        <v>1026</v>
      </c>
      <c r="B969" s="16" t="n">
        <v>45727</v>
      </c>
      <c r="C969" s="15" t="s">
        <v>68</v>
      </c>
      <c r="D969" s="15" t="s">
        <v>44</v>
      </c>
      <c r="E969" s="15" t="s">
        <v>37</v>
      </c>
      <c r="F969" s="15" t="s">
        <v>17</v>
      </c>
      <c r="G969" s="15" t="s">
        <v>28</v>
      </c>
      <c r="H969" s="15" t="n">
        <v>3</v>
      </c>
      <c r="I969" s="17" t="n">
        <v>0</v>
      </c>
      <c r="J969" s="18" t="n">
        <v>96.13</v>
      </c>
      <c r="K969" s="19" t="n">
        <v>22.18</v>
      </c>
      <c r="L969" s="15" t="n">
        <f aca="false">YEAR(B969)</f>
        <v>2025</v>
      </c>
      <c r="M969" s="20" t="n">
        <f aca="false">IF(J969&gt;0,K969/J969,0)</f>
        <v>0.23072922084677</v>
      </c>
    </row>
    <row r="970" customFormat="false" ht="15" hidden="false" customHeight="false" outlineLevel="0" collapsed="false">
      <c r="A970" s="15" t="s">
        <v>1027</v>
      </c>
      <c r="B970" s="16" t="n">
        <v>45881</v>
      </c>
      <c r="C970" s="15" t="s">
        <v>68</v>
      </c>
      <c r="D970" s="15" t="s">
        <v>42</v>
      </c>
      <c r="E970" s="15" t="s">
        <v>37</v>
      </c>
      <c r="F970" s="15" t="s">
        <v>16</v>
      </c>
      <c r="G970" s="15" t="s">
        <v>22</v>
      </c>
      <c r="H970" s="15" t="n">
        <v>4</v>
      </c>
      <c r="I970" s="17" t="n">
        <v>0</v>
      </c>
      <c r="J970" s="18" t="n">
        <v>2007.58</v>
      </c>
      <c r="K970" s="19" t="n">
        <v>-91.67</v>
      </c>
      <c r="L970" s="15" t="n">
        <f aca="false">YEAR(B970)</f>
        <v>2025</v>
      </c>
      <c r="M970" s="20" t="n">
        <f aca="false">IF(J970&gt;0,K970/J970,0)</f>
        <v>-0.0456619412426902</v>
      </c>
    </row>
    <row r="971" customFormat="false" ht="15" hidden="false" customHeight="false" outlineLevel="0" collapsed="false">
      <c r="A971" s="15" t="s">
        <v>1028</v>
      </c>
      <c r="B971" s="16" t="n">
        <v>45443</v>
      </c>
      <c r="C971" s="15" t="s">
        <v>56</v>
      </c>
      <c r="D971" s="15" t="s">
        <v>42</v>
      </c>
      <c r="E971" s="15" t="s">
        <v>37</v>
      </c>
      <c r="F971" s="15" t="s">
        <v>18</v>
      </c>
      <c r="G971" s="15" t="s">
        <v>24</v>
      </c>
      <c r="H971" s="15" t="n">
        <v>4</v>
      </c>
      <c r="I971" s="17" t="n">
        <v>0</v>
      </c>
      <c r="J971" s="18" t="n">
        <v>2722.91</v>
      </c>
      <c r="K971" s="19" t="n">
        <v>143.46</v>
      </c>
      <c r="L971" s="15" t="n">
        <f aca="false">YEAR(B971)</f>
        <v>2024</v>
      </c>
      <c r="M971" s="20" t="n">
        <f aca="false">IF(J971&gt;0,K971/J971,0)</f>
        <v>0.0526862804866852</v>
      </c>
    </row>
    <row r="972" customFormat="false" ht="15" hidden="false" customHeight="false" outlineLevel="0" collapsed="false">
      <c r="A972" s="15" t="s">
        <v>1029</v>
      </c>
      <c r="B972" s="16" t="n">
        <v>44824</v>
      </c>
      <c r="C972" s="15" t="s">
        <v>56</v>
      </c>
      <c r="D972" s="15" t="s">
        <v>43</v>
      </c>
      <c r="E972" s="15" t="s">
        <v>38</v>
      </c>
      <c r="F972" s="15" t="s">
        <v>17</v>
      </c>
      <c r="G972" s="15" t="s">
        <v>31</v>
      </c>
      <c r="H972" s="15" t="n">
        <v>3</v>
      </c>
      <c r="I972" s="17" t="n">
        <v>0.5</v>
      </c>
      <c r="J972" s="18" t="n">
        <v>192.14</v>
      </c>
      <c r="K972" s="19" t="n">
        <v>-55.79</v>
      </c>
      <c r="L972" s="15" t="n">
        <f aca="false">YEAR(B972)</f>
        <v>2022</v>
      </c>
      <c r="M972" s="20" t="n">
        <f aca="false">IF(J972&gt;0,K972/J972,0)</f>
        <v>-0.290361194962007</v>
      </c>
    </row>
    <row r="973" customFormat="false" ht="15" hidden="false" customHeight="false" outlineLevel="0" collapsed="false">
      <c r="A973" s="15" t="s">
        <v>1030</v>
      </c>
      <c r="B973" s="16" t="n">
        <v>44830</v>
      </c>
      <c r="C973" s="15" t="s">
        <v>56</v>
      </c>
      <c r="D973" s="15" t="s">
        <v>43</v>
      </c>
      <c r="E973" s="15" t="s">
        <v>37</v>
      </c>
      <c r="F973" s="15" t="s">
        <v>17</v>
      </c>
      <c r="G973" s="15" t="s">
        <v>26</v>
      </c>
      <c r="H973" s="15" t="n">
        <v>3</v>
      </c>
      <c r="I973" s="17" t="n">
        <v>0.1</v>
      </c>
      <c r="J973" s="18" t="n">
        <v>263.8</v>
      </c>
      <c r="K973" s="19" t="n">
        <v>10.97</v>
      </c>
      <c r="L973" s="15" t="n">
        <f aca="false">YEAR(B973)</f>
        <v>2022</v>
      </c>
      <c r="M973" s="20" t="n">
        <f aca="false">IF(J973&gt;0,K973/J973,0)</f>
        <v>0.0415845337376801</v>
      </c>
    </row>
    <row r="974" customFormat="false" ht="15" hidden="false" customHeight="false" outlineLevel="0" collapsed="false">
      <c r="A974" s="15" t="s">
        <v>1031</v>
      </c>
      <c r="B974" s="16" t="n">
        <v>45524</v>
      </c>
      <c r="C974" s="15" t="s">
        <v>56</v>
      </c>
      <c r="D974" s="15" t="s">
        <v>42</v>
      </c>
      <c r="E974" s="15" t="s">
        <v>36</v>
      </c>
      <c r="F974" s="15" t="s">
        <v>17</v>
      </c>
      <c r="G974" s="15" t="s">
        <v>28</v>
      </c>
      <c r="H974" s="15" t="n">
        <v>3</v>
      </c>
      <c r="I974" s="17" t="n">
        <v>0.3</v>
      </c>
      <c r="J974" s="18" t="n">
        <v>47.26</v>
      </c>
      <c r="K974" s="19" t="n">
        <v>2.52</v>
      </c>
      <c r="L974" s="15" t="n">
        <f aca="false">YEAR(B974)</f>
        <v>2024</v>
      </c>
      <c r="M974" s="20" t="n">
        <f aca="false">IF(J974&gt;0,K974/J974,0)</f>
        <v>0.0533220482437579</v>
      </c>
    </row>
    <row r="975" customFormat="false" ht="15" hidden="false" customHeight="false" outlineLevel="0" collapsed="false">
      <c r="A975" s="15" t="s">
        <v>1032</v>
      </c>
      <c r="B975" s="16" t="n">
        <v>45680</v>
      </c>
      <c r="C975" s="15" t="s">
        <v>56</v>
      </c>
      <c r="D975" s="15" t="s">
        <v>42</v>
      </c>
      <c r="E975" s="15" t="s">
        <v>36</v>
      </c>
      <c r="F975" s="15" t="s">
        <v>17</v>
      </c>
      <c r="G975" s="15" t="s">
        <v>29</v>
      </c>
      <c r="H975" s="15" t="n">
        <v>2</v>
      </c>
      <c r="I975" s="17" t="n">
        <v>0.2</v>
      </c>
      <c r="J975" s="18" t="n">
        <v>29.6</v>
      </c>
      <c r="K975" s="19" t="n">
        <v>6.76</v>
      </c>
      <c r="L975" s="15" t="n">
        <f aca="false">YEAR(B975)</f>
        <v>2025</v>
      </c>
      <c r="M975" s="20" t="n">
        <f aca="false">IF(J975&gt;0,K975/J975,0)</f>
        <v>0.228378378378378</v>
      </c>
    </row>
    <row r="976" customFormat="false" ht="15" hidden="false" customHeight="false" outlineLevel="0" collapsed="false">
      <c r="A976" s="15" t="s">
        <v>1033</v>
      </c>
      <c r="B976" s="16" t="n">
        <v>45728</v>
      </c>
      <c r="C976" s="15" t="s">
        <v>68</v>
      </c>
      <c r="D976" s="15" t="s">
        <v>43</v>
      </c>
      <c r="E976" s="15" t="s">
        <v>39</v>
      </c>
      <c r="F976" s="15" t="s">
        <v>18</v>
      </c>
      <c r="G976" s="15" t="s">
        <v>32</v>
      </c>
      <c r="H976" s="15" t="n">
        <v>6</v>
      </c>
      <c r="I976" s="17" t="n">
        <v>0</v>
      </c>
      <c r="J976" s="18" t="n">
        <v>2992.57</v>
      </c>
      <c r="K976" s="19" t="n">
        <v>516.88</v>
      </c>
      <c r="L976" s="15" t="n">
        <f aca="false">YEAR(B976)</f>
        <v>2025</v>
      </c>
      <c r="M976" s="20" t="n">
        <f aca="false">IF(J976&gt;0,K976/J976,0)</f>
        <v>0.172721105939042</v>
      </c>
    </row>
    <row r="977" customFormat="false" ht="15" hidden="false" customHeight="false" outlineLevel="0" collapsed="false">
      <c r="A977" s="15" t="s">
        <v>1034</v>
      </c>
      <c r="B977" s="16" t="n">
        <v>45425</v>
      </c>
      <c r="C977" s="15" t="s">
        <v>71</v>
      </c>
      <c r="D977" s="15" t="s">
        <v>43</v>
      </c>
      <c r="E977" s="15" t="s">
        <v>36</v>
      </c>
      <c r="F977" s="15" t="s">
        <v>16</v>
      </c>
      <c r="G977" s="15" t="s">
        <v>22</v>
      </c>
      <c r="H977" s="15" t="n">
        <v>2</v>
      </c>
      <c r="I977" s="17" t="n">
        <v>0.2</v>
      </c>
      <c r="J977" s="18" t="n">
        <v>646.54</v>
      </c>
      <c r="K977" s="19" t="n">
        <v>-163.47</v>
      </c>
      <c r="L977" s="15" t="n">
        <f aca="false">YEAR(B977)</f>
        <v>2024</v>
      </c>
      <c r="M977" s="20" t="n">
        <f aca="false">IF(J977&gt;0,K977/J977,0)</f>
        <v>-0.252838184799084</v>
      </c>
    </row>
    <row r="978" customFormat="false" ht="15" hidden="false" customHeight="false" outlineLevel="0" collapsed="false">
      <c r="A978" s="15" t="s">
        <v>1035</v>
      </c>
      <c r="B978" s="16" t="n">
        <v>44709</v>
      </c>
      <c r="C978" s="15" t="s">
        <v>56</v>
      </c>
      <c r="D978" s="15" t="s">
        <v>43</v>
      </c>
      <c r="E978" s="15" t="s">
        <v>39</v>
      </c>
      <c r="F978" s="15" t="s">
        <v>18</v>
      </c>
      <c r="G978" s="15" t="s">
        <v>33</v>
      </c>
      <c r="H978" s="15" t="n">
        <v>3</v>
      </c>
      <c r="I978" s="17" t="n">
        <v>0.3</v>
      </c>
      <c r="J978" s="18" t="n">
        <v>2254.55</v>
      </c>
      <c r="K978" s="19" t="n">
        <v>-6.94</v>
      </c>
      <c r="L978" s="15" t="n">
        <f aca="false">YEAR(B978)</f>
        <v>2022</v>
      </c>
      <c r="M978" s="20" t="n">
        <f aca="false">IF(J978&gt;0,K978/J978,0)</f>
        <v>-0.00307821960036371</v>
      </c>
    </row>
    <row r="979" customFormat="false" ht="15" hidden="false" customHeight="false" outlineLevel="0" collapsed="false">
      <c r="A979" s="15" t="s">
        <v>1036</v>
      </c>
      <c r="B979" s="16" t="n">
        <v>45534</v>
      </c>
      <c r="C979" s="15" t="s">
        <v>56</v>
      </c>
      <c r="D979" s="15" t="s">
        <v>43</v>
      </c>
      <c r="E979" s="15" t="s">
        <v>38</v>
      </c>
      <c r="F979" s="15" t="s">
        <v>18</v>
      </c>
      <c r="G979" s="15" t="s">
        <v>30</v>
      </c>
      <c r="H979" s="15" t="n">
        <v>4</v>
      </c>
      <c r="I979" s="17" t="n">
        <v>0.1</v>
      </c>
      <c r="J979" s="18" t="n">
        <v>155.03</v>
      </c>
      <c r="K979" s="19" t="n">
        <v>35.08</v>
      </c>
      <c r="L979" s="15" t="n">
        <f aca="false">YEAR(B979)</f>
        <v>2024</v>
      </c>
      <c r="M979" s="20" t="n">
        <f aca="false">IF(J979&gt;0,K979/J979,0)</f>
        <v>0.226278784751338</v>
      </c>
    </row>
    <row r="980" customFormat="false" ht="15" hidden="false" customHeight="false" outlineLevel="0" collapsed="false">
      <c r="A980" s="15" t="s">
        <v>1037</v>
      </c>
      <c r="B980" s="16" t="n">
        <v>45267</v>
      </c>
      <c r="C980" s="15" t="s">
        <v>71</v>
      </c>
      <c r="D980" s="15" t="s">
        <v>42</v>
      </c>
      <c r="E980" s="15" t="s">
        <v>38</v>
      </c>
      <c r="F980" s="15" t="s">
        <v>17</v>
      </c>
      <c r="G980" s="15" t="s">
        <v>28</v>
      </c>
      <c r="H980" s="15" t="n">
        <v>2</v>
      </c>
      <c r="I980" s="17" t="n">
        <v>0.4</v>
      </c>
      <c r="J980" s="18" t="n">
        <v>25.73</v>
      </c>
      <c r="K980" s="19" t="n">
        <v>-1.85</v>
      </c>
      <c r="L980" s="15" t="n">
        <f aca="false">YEAR(B980)</f>
        <v>2023</v>
      </c>
      <c r="M980" s="20" t="n">
        <f aca="false">IF(J980&gt;0,K980/J980,0)</f>
        <v>-0.0719005052467936</v>
      </c>
    </row>
    <row r="981" customFormat="false" ht="15" hidden="false" customHeight="false" outlineLevel="0" collapsed="false">
      <c r="A981" s="15" t="s">
        <v>1038</v>
      </c>
      <c r="B981" s="16" t="n">
        <v>45847</v>
      </c>
      <c r="C981" s="15" t="s">
        <v>71</v>
      </c>
      <c r="D981" s="15" t="s">
        <v>43</v>
      </c>
      <c r="E981" s="15" t="s">
        <v>39</v>
      </c>
      <c r="F981" s="15" t="s">
        <v>17</v>
      </c>
      <c r="G981" s="15" t="s">
        <v>28</v>
      </c>
      <c r="H981" s="15" t="n">
        <v>1</v>
      </c>
      <c r="I981" s="17" t="n">
        <v>0.05</v>
      </c>
      <c r="J981" s="18" t="n">
        <v>31.07</v>
      </c>
      <c r="K981" s="19" t="n">
        <v>5.93</v>
      </c>
      <c r="L981" s="15" t="n">
        <f aca="false">YEAR(B981)</f>
        <v>2025</v>
      </c>
      <c r="M981" s="20" t="n">
        <f aca="false">IF(J981&gt;0,K981/J981,0)</f>
        <v>0.190859349855166</v>
      </c>
    </row>
    <row r="982" customFormat="false" ht="15" hidden="false" customHeight="false" outlineLevel="0" collapsed="false">
      <c r="A982" s="15" t="s">
        <v>1039</v>
      </c>
      <c r="B982" s="16" t="n">
        <v>45656</v>
      </c>
      <c r="C982" s="15" t="s">
        <v>56</v>
      </c>
      <c r="D982" s="15" t="s">
        <v>42</v>
      </c>
      <c r="E982" s="15" t="s">
        <v>38</v>
      </c>
      <c r="F982" s="15" t="s">
        <v>17</v>
      </c>
      <c r="G982" s="15" t="s">
        <v>28</v>
      </c>
      <c r="H982" s="15" t="n">
        <v>4</v>
      </c>
      <c r="I982" s="17" t="n">
        <v>0.2</v>
      </c>
      <c r="J982" s="18" t="n">
        <v>77.71</v>
      </c>
      <c r="K982" s="19" t="n">
        <v>11.87</v>
      </c>
      <c r="L982" s="15" t="n">
        <f aca="false">YEAR(B982)</f>
        <v>2024</v>
      </c>
      <c r="M982" s="20" t="n">
        <f aca="false">IF(J982&gt;0,K982/J982,0)</f>
        <v>0.152747394157766</v>
      </c>
    </row>
    <row r="983" customFormat="false" ht="15" hidden="false" customHeight="false" outlineLevel="0" collapsed="false">
      <c r="A983" s="15" t="s">
        <v>1040</v>
      </c>
      <c r="B983" s="16" t="n">
        <v>45177</v>
      </c>
      <c r="C983" s="15" t="s">
        <v>58</v>
      </c>
      <c r="D983" s="15" t="s">
        <v>44</v>
      </c>
      <c r="E983" s="15" t="s">
        <v>37</v>
      </c>
      <c r="F983" s="15" t="s">
        <v>18</v>
      </c>
      <c r="G983" s="15" t="s">
        <v>30</v>
      </c>
      <c r="H983" s="15" t="n">
        <v>1</v>
      </c>
      <c r="I983" s="17" t="n">
        <v>0.15</v>
      </c>
      <c r="J983" s="18" t="n">
        <v>38.75</v>
      </c>
      <c r="K983" s="19" t="n">
        <v>5.54</v>
      </c>
      <c r="L983" s="15" t="n">
        <f aca="false">YEAR(B983)</f>
        <v>2023</v>
      </c>
      <c r="M983" s="20" t="n">
        <f aca="false">IF(J983&gt;0,K983/J983,0)</f>
        <v>0.142967741935484</v>
      </c>
    </row>
    <row r="984" customFormat="false" ht="15" hidden="false" customHeight="false" outlineLevel="0" collapsed="false">
      <c r="A984" s="15" t="s">
        <v>1041</v>
      </c>
      <c r="B984" s="16" t="n">
        <v>44759</v>
      </c>
      <c r="C984" s="15" t="s">
        <v>56</v>
      </c>
      <c r="D984" s="15" t="s">
        <v>42</v>
      </c>
      <c r="E984" s="15" t="s">
        <v>36</v>
      </c>
      <c r="F984" s="15" t="s">
        <v>16</v>
      </c>
      <c r="G984" s="15" t="s">
        <v>27</v>
      </c>
      <c r="H984" s="15" t="n">
        <v>3</v>
      </c>
      <c r="I984" s="17" t="n">
        <v>0.1</v>
      </c>
      <c r="J984" s="18" t="n">
        <v>140.2</v>
      </c>
      <c r="K984" s="19" t="n">
        <v>20.93</v>
      </c>
      <c r="L984" s="15" t="n">
        <f aca="false">YEAR(B984)</f>
        <v>2022</v>
      </c>
      <c r="M984" s="20" t="n">
        <f aca="false">IF(J984&gt;0,K984/J984,0)</f>
        <v>0.149286733238231</v>
      </c>
    </row>
    <row r="985" customFormat="false" ht="15" hidden="false" customHeight="false" outlineLevel="0" collapsed="false">
      <c r="A985" s="15" t="s">
        <v>1042</v>
      </c>
      <c r="B985" s="16" t="n">
        <v>45995</v>
      </c>
      <c r="C985" s="15" t="s">
        <v>56</v>
      </c>
      <c r="D985" s="15" t="s">
        <v>43</v>
      </c>
      <c r="E985" s="15" t="s">
        <v>37</v>
      </c>
      <c r="F985" s="15" t="s">
        <v>17</v>
      </c>
      <c r="G985" s="15" t="s">
        <v>28</v>
      </c>
      <c r="H985" s="15" t="n">
        <v>5</v>
      </c>
      <c r="I985" s="17" t="n">
        <v>0.2</v>
      </c>
      <c r="J985" s="18" t="n">
        <v>92.12</v>
      </c>
      <c r="K985" s="19" t="n">
        <v>11.88</v>
      </c>
      <c r="L985" s="15" t="n">
        <f aca="false">YEAR(B985)</f>
        <v>2025</v>
      </c>
      <c r="M985" s="20" t="n">
        <f aca="false">IF(J985&gt;0,K985/J985,0)</f>
        <v>0.128962223187147</v>
      </c>
    </row>
    <row r="986" customFormat="false" ht="15" hidden="false" customHeight="false" outlineLevel="0" collapsed="false">
      <c r="A986" s="15" t="s">
        <v>1043</v>
      </c>
      <c r="B986" s="16" t="n">
        <v>45924</v>
      </c>
      <c r="C986" s="15" t="s">
        <v>56</v>
      </c>
      <c r="D986" s="15" t="s">
        <v>42</v>
      </c>
      <c r="E986" s="15" t="s">
        <v>39</v>
      </c>
      <c r="F986" s="15" t="s">
        <v>18</v>
      </c>
      <c r="G986" s="15" t="s">
        <v>30</v>
      </c>
      <c r="H986" s="15" t="n">
        <v>7</v>
      </c>
      <c r="I986" s="17" t="n">
        <v>0.3</v>
      </c>
      <c r="J986" s="18" t="n">
        <v>261.9</v>
      </c>
      <c r="K986" s="19" t="n">
        <v>27.86</v>
      </c>
      <c r="L986" s="15" t="n">
        <f aca="false">YEAR(B986)</f>
        <v>2025</v>
      </c>
      <c r="M986" s="20" t="n">
        <f aca="false">IF(J986&gt;0,K986/J986,0)</f>
        <v>0.106376479572356</v>
      </c>
    </row>
    <row r="987" customFormat="false" ht="15" hidden="false" customHeight="false" outlineLevel="0" collapsed="false">
      <c r="A987" s="15" t="s">
        <v>1044</v>
      </c>
      <c r="B987" s="16" t="n">
        <v>44855</v>
      </c>
      <c r="C987" s="15" t="s">
        <v>71</v>
      </c>
      <c r="D987" s="15" t="s">
        <v>42</v>
      </c>
      <c r="E987" s="15" t="s">
        <v>36</v>
      </c>
      <c r="F987" s="15" t="s">
        <v>17</v>
      </c>
      <c r="G987" s="15" t="s">
        <v>31</v>
      </c>
      <c r="H987" s="15" t="n">
        <v>2</v>
      </c>
      <c r="I987" s="17" t="n">
        <v>0.1</v>
      </c>
      <c r="J987" s="18" t="n">
        <v>186.55</v>
      </c>
      <c r="K987" s="19" t="n">
        <v>24.67</v>
      </c>
      <c r="L987" s="15" t="n">
        <f aca="false">YEAR(B987)</f>
        <v>2022</v>
      </c>
      <c r="M987" s="20" t="n">
        <f aca="false">IF(J987&gt;0,K987/J987,0)</f>
        <v>0.132243366389708</v>
      </c>
    </row>
    <row r="988" customFormat="false" ht="15" hidden="false" customHeight="false" outlineLevel="0" collapsed="false">
      <c r="A988" s="15" t="s">
        <v>1045</v>
      </c>
      <c r="B988" s="16" t="n">
        <v>45118</v>
      </c>
      <c r="C988" s="15" t="s">
        <v>71</v>
      </c>
      <c r="D988" s="15" t="s">
        <v>43</v>
      </c>
      <c r="E988" s="15" t="s">
        <v>38</v>
      </c>
      <c r="F988" s="15" t="s">
        <v>17</v>
      </c>
      <c r="G988" s="15" t="s">
        <v>29</v>
      </c>
      <c r="H988" s="15" t="n">
        <v>4</v>
      </c>
      <c r="I988" s="17" t="n">
        <v>0.2</v>
      </c>
      <c r="J988" s="18" t="n">
        <v>57.52</v>
      </c>
      <c r="K988" s="19" t="n">
        <v>10.9</v>
      </c>
      <c r="L988" s="15" t="n">
        <f aca="false">YEAR(B988)</f>
        <v>2023</v>
      </c>
      <c r="M988" s="20" t="n">
        <f aca="false">IF(J988&gt;0,K988/J988,0)</f>
        <v>0.189499304589708</v>
      </c>
    </row>
    <row r="989" customFormat="false" ht="15" hidden="false" customHeight="false" outlineLevel="0" collapsed="false">
      <c r="A989" s="15" t="s">
        <v>1046</v>
      </c>
      <c r="B989" s="16" t="n">
        <v>45126</v>
      </c>
      <c r="C989" s="15" t="s">
        <v>56</v>
      </c>
      <c r="D989" s="15" t="s">
        <v>42</v>
      </c>
      <c r="E989" s="15" t="s">
        <v>36</v>
      </c>
      <c r="F989" s="15" t="s">
        <v>17</v>
      </c>
      <c r="G989" s="15" t="s">
        <v>26</v>
      </c>
      <c r="H989" s="15" t="n">
        <v>6</v>
      </c>
      <c r="I989" s="17" t="n">
        <v>0</v>
      </c>
      <c r="J989" s="18" t="n">
        <v>358.02</v>
      </c>
      <c r="K989" s="19" t="n">
        <v>46.96</v>
      </c>
      <c r="L989" s="15" t="n">
        <f aca="false">YEAR(B989)</f>
        <v>2023</v>
      </c>
      <c r="M989" s="20" t="n">
        <f aca="false">IF(J989&gt;0,K989/J989,0)</f>
        <v>0.131165856656053</v>
      </c>
    </row>
    <row r="990" customFormat="false" ht="15" hidden="false" customHeight="false" outlineLevel="0" collapsed="false">
      <c r="A990" s="15" t="s">
        <v>1047</v>
      </c>
      <c r="B990" s="16" t="n">
        <v>45305</v>
      </c>
      <c r="C990" s="15" t="s">
        <v>56</v>
      </c>
      <c r="D990" s="15" t="s">
        <v>44</v>
      </c>
      <c r="E990" s="15" t="s">
        <v>36</v>
      </c>
      <c r="F990" s="15" t="s">
        <v>17</v>
      </c>
      <c r="G990" s="15" t="s">
        <v>28</v>
      </c>
      <c r="H990" s="15" t="n">
        <v>6</v>
      </c>
      <c r="I990" s="17" t="n">
        <v>0.1</v>
      </c>
      <c r="J990" s="18" t="n">
        <v>139.67</v>
      </c>
      <c r="K990" s="19" t="n">
        <v>19.87</v>
      </c>
      <c r="L990" s="15" t="n">
        <f aca="false">YEAR(B990)</f>
        <v>2024</v>
      </c>
      <c r="M990" s="20" t="n">
        <f aca="false">IF(J990&gt;0,K990/J990,0)</f>
        <v>0.142263907782631</v>
      </c>
    </row>
    <row r="991" customFormat="false" ht="15" hidden="false" customHeight="false" outlineLevel="0" collapsed="false">
      <c r="A991" s="15" t="s">
        <v>1048</v>
      </c>
      <c r="B991" s="16" t="n">
        <v>44896</v>
      </c>
      <c r="C991" s="15" t="s">
        <v>71</v>
      </c>
      <c r="D991" s="15" t="s">
        <v>42</v>
      </c>
      <c r="E991" s="15" t="s">
        <v>37</v>
      </c>
      <c r="F991" s="15" t="s">
        <v>17</v>
      </c>
      <c r="G991" s="15" t="s">
        <v>29</v>
      </c>
      <c r="H991" s="15" t="n">
        <v>4</v>
      </c>
      <c r="I991" s="17" t="n">
        <v>0.15</v>
      </c>
      <c r="J991" s="18" t="n">
        <v>56.73</v>
      </c>
      <c r="K991" s="19" t="n">
        <v>12.07</v>
      </c>
      <c r="L991" s="15" t="n">
        <f aca="false">YEAR(B991)</f>
        <v>2022</v>
      </c>
      <c r="M991" s="20" t="n">
        <f aca="false">IF(J991&gt;0,K991/J991,0)</f>
        <v>0.212762206945179</v>
      </c>
    </row>
    <row r="992" customFormat="false" ht="15" hidden="false" customHeight="false" outlineLevel="0" collapsed="false">
      <c r="A992" s="15" t="s">
        <v>1049</v>
      </c>
      <c r="B992" s="16" t="n">
        <v>45198</v>
      </c>
      <c r="C992" s="15" t="s">
        <v>56</v>
      </c>
      <c r="D992" s="15" t="s">
        <v>43</v>
      </c>
      <c r="E992" s="15" t="s">
        <v>39</v>
      </c>
      <c r="F992" s="15" t="s">
        <v>18</v>
      </c>
      <c r="G992" s="15" t="s">
        <v>30</v>
      </c>
      <c r="H992" s="15" t="n">
        <v>2</v>
      </c>
      <c r="I992" s="17" t="n">
        <v>0</v>
      </c>
      <c r="J992" s="18" t="n">
        <v>123.07</v>
      </c>
      <c r="K992" s="19" t="n">
        <v>35.42</v>
      </c>
      <c r="L992" s="15" t="n">
        <f aca="false">YEAR(B992)</f>
        <v>2023</v>
      </c>
      <c r="M992" s="20" t="n">
        <f aca="false">IF(J992&gt;0,K992/J992,0)</f>
        <v>0.287803688957504</v>
      </c>
    </row>
    <row r="993" customFormat="false" ht="15" hidden="false" customHeight="false" outlineLevel="0" collapsed="false">
      <c r="A993" s="15" t="s">
        <v>1050</v>
      </c>
      <c r="B993" s="16" t="n">
        <v>45704</v>
      </c>
      <c r="C993" s="15" t="s">
        <v>71</v>
      </c>
      <c r="D993" s="15" t="s">
        <v>42</v>
      </c>
      <c r="E993" s="15" t="s">
        <v>36</v>
      </c>
      <c r="F993" s="15" t="s">
        <v>17</v>
      </c>
      <c r="G993" s="15" t="s">
        <v>29</v>
      </c>
      <c r="H993" s="15" t="n">
        <v>3</v>
      </c>
      <c r="I993" s="17" t="n">
        <v>0</v>
      </c>
      <c r="J993" s="18" t="n">
        <v>54.69</v>
      </c>
      <c r="K993" s="19" t="n">
        <v>17.99</v>
      </c>
      <c r="L993" s="15" t="n">
        <f aca="false">YEAR(B993)</f>
        <v>2025</v>
      </c>
      <c r="M993" s="20" t="n">
        <f aca="false">IF(J993&gt;0,K993/J993,0)</f>
        <v>0.328944962515999</v>
      </c>
    </row>
    <row r="994" customFormat="false" ht="15" hidden="false" customHeight="false" outlineLevel="0" collapsed="false">
      <c r="A994" s="15" t="s">
        <v>1051</v>
      </c>
      <c r="B994" s="16" t="n">
        <v>44679</v>
      </c>
      <c r="C994" s="15" t="s">
        <v>56</v>
      </c>
      <c r="D994" s="15" t="s">
        <v>42</v>
      </c>
      <c r="E994" s="15" t="s">
        <v>37</v>
      </c>
      <c r="F994" s="15" t="s">
        <v>18</v>
      </c>
      <c r="G994" s="15" t="s">
        <v>24</v>
      </c>
      <c r="H994" s="15" t="n">
        <v>7</v>
      </c>
      <c r="I994" s="17" t="n">
        <v>0.2</v>
      </c>
      <c r="J994" s="18" t="n">
        <v>4383.61</v>
      </c>
      <c r="K994" s="19" t="n">
        <v>-317.42</v>
      </c>
      <c r="L994" s="15" t="n">
        <f aca="false">YEAR(B994)</f>
        <v>2022</v>
      </c>
      <c r="M994" s="20" t="n">
        <f aca="false">IF(J994&gt;0,K994/J994,0)</f>
        <v>-0.0724106387201416</v>
      </c>
    </row>
    <row r="995" customFormat="false" ht="15" hidden="false" customHeight="false" outlineLevel="0" collapsed="false">
      <c r="A995" s="15" t="s">
        <v>1052</v>
      </c>
      <c r="B995" s="16" t="n">
        <v>44800</v>
      </c>
      <c r="C995" s="15" t="s">
        <v>68</v>
      </c>
      <c r="D995" s="15" t="s">
        <v>43</v>
      </c>
      <c r="E995" s="15" t="s">
        <v>38</v>
      </c>
      <c r="F995" s="15" t="s">
        <v>18</v>
      </c>
      <c r="G995" s="15" t="s">
        <v>33</v>
      </c>
      <c r="H995" s="15" t="n">
        <v>3</v>
      </c>
      <c r="I995" s="17" t="n">
        <v>0</v>
      </c>
      <c r="J995" s="18" t="n">
        <v>2738.36</v>
      </c>
      <c r="K995" s="19" t="n">
        <v>666.76</v>
      </c>
      <c r="L995" s="15" t="n">
        <f aca="false">YEAR(B995)</f>
        <v>2022</v>
      </c>
      <c r="M995" s="20" t="n">
        <f aca="false">IF(J995&gt;0,K995/J995,0)</f>
        <v>0.243488803517434</v>
      </c>
    </row>
    <row r="996" customFormat="false" ht="15" hidden="false" customHeight="false" outlineLevel="0" collapsed="false">
      <c r="A996" s="15" t="s">
        <v>1053</v>
      </c>
      <c r="B996" s="16" t="n">
        <v>45845</v>
      </c>
      <c r="C996" s="15" t="s">
        <v>56</v>
      </c>
      <c r="D996" s="15" t="s">
        <v>43</v>
      </c>
      <c r="E996" s="15" t="s">
        <v>38</v>
      </c>
      <c r="F996" s="15" t="s">
        <v>17</v>
      </c>
      <c r="G996" s="15" t="s">
        <v>28</v>
      </c>
      <c r="H996" s="15" t="n">
        <v>2</v>
      </c>
      <c r="I996" s="17" t="n">
        <v>0.1</v>
      </c>
      <c r="J996" s="18" t="n">
        <v>41.24</v>
      </c>
      <c r="K996" s="19" t="n">
        <v>10.95</v>
      </c>
      <c r="L996" s="15" t="n">
        <f aca="false">YEAR(B996)</f>
        <v>2025</v>
      </c>
      <c r="M996" s="20" t="n">
        <f aca="false">IF(J996&gt;0,K996/J996,0)</f>
        <v>0.265518913676043</v>
      </c>
    </row>
    <row r="997" customFormat="false" ht="15" hidden="false" customHeight="false" outlineLevel="0" collapsed="false">
      <c r="A997" s="15" t="s">
        <v>1054</v>
      </c>
      <c r="B997" s="16" t="n">
        <v>44641</v>
      </c>
      <c r="C997" s="15" t="s">
        <v>56</v>
      </c>
      <c r="D997" s="15" t="s">
        <v>42</v>
      </c>
      <c r="E997" s="15" t="s">
        <v>37</v>
      </c>
      <c r="F997" s="15" t="s">
        <v>17</v>
      </c>
      <c r="G997" s="15" t="s">
        <v>26</v>
      </c>
      <c r="H997" s="15" t="n">
        <v>2</v>
      </c>
      <c r="I997" s="17" t="n">
        <v>0.05</v>
      </c>
      <c r="J997" s="18" t="n">
        <v>201.44</v>
      </c>
      <c r="K997" s="19" t="n">
        <v>23.61</v>
      </c>
      <c r="L997" s="15" t="n">
        <f aca="false">YEAR(B997)</f>
        <v>2022</v>
      </c>
      <c r="M997" s="20" t="n">
        <f aca="false">IF(J997&gt;0,K997/J997,0)</f>
        <v>0.117206115965052</v>
      </c>
    </row>
    <row r="998" customFormat="false" ht="15" hidden="false" customHeight="false" outlineLevel="0" collapsed="false">
      <c r="A998" s="15" t="s">
        <v>1055</v>
      </c>
      <c r="B998" s="16" t="n">
        <v>45520</v>
      </c>
      <c r="C998" s="15" t="s">
        <v>58</v>
      </c>
      <c r="D998" s="15" t="s">
        <v>42</v>
      </c>
      <c r="E998" s="15" t="s">
        <v>39</v>
      </c>
      <c r="F998" s="15" t="s">
        <v>17</v>
      </c>
      <c r="G998" s="15" t="s">
        <v>29</v>
      </c>
      <c r="H998" s="15" t="n">
        <v>6</v>
      </c>
      <c r="I998" s="17" t="n">
        <v>0</v>
      </c>
      <c r="J998" s="18" t="n">
        <v>119.75</v>
      </c>
      <c r="K998" s="19" t="n">
        <v>47.24</v>
      </c>
      <c r="L998" s="15" t="n">
        <f aca="false">YEAR(B998)</f>
        <v>2024</v>
      </c>
      <c r="M998" s="20" t="n">
        <f aca="false">IF(J998&gt;0,K998/J998,0)</f>
        <v>0.394488517745303</v>
      </c>
    </row>
    <row r="999" customFormat="false" ht="15" hidden="false" customHeight="false" outlineLevel="0" collapsed="false">
      <c r="A999" s="15" t="s">
        <v>1056</v>
      </c>
      <c r="B999" s="16" t="n">
        <v>45754</v>
      </c>
      <c r="C999" s="15" t="s">
        <v>71</v>
      </c>
      <c r="D999" s="15" t="s">
        <v>42</v>
      </c>
      <c r="E999" s="15" t="s">
        <v>39</v>
      </c>
      <c r="F999" s="15" t="s">
        <v>18</v>
      </c>
      <c r="G999" s="15" t="s">
        <v>30</v>
      </c>
      <c r="H999" s="15" t="n">
        <v>5</v>
      </c>
      <c r="I999" s="17" t="n">
        <v>0.3</v>
      </c>
      <c r="J999" s="18" t="n">
        <v>182.33</v>
      </c>
      <c r="K999" s="19" t="n">
        <v>-4.27</v>
      </c>
      <c r="L999" s="15" t="n">
        <f aca="false">YEAR(B999)</f>
        <v>2025</v>
      </c>
      <c r="M999" s="20" t="n">
        <f aca="false">IF(J999&gt;0,K999/J999,0)</f>
        <v>-0.023419075303022</v>
      </c>
    </row>
    <row r="1000" customFormat="false" ht="15" hidden="false" customHeight="false" outlineLevel="0" collapsed="false">
      <c r="A1000" s="15" t="s">
        <v>1057</v>
      </c>
      <c r="B1000" s="16" t="n">
        <v>45987</v>
      </c>
      <c r="C1000" s="15" t="s">
        <v>56</v>
      </c>
      <c r="D1000" s="15" t="s">
        <v>43</v>
      </c>
      <c r="E1000" s="15" t="s">
        <v>39</v>
      </c>
      <c r="F1000" s="15" t="s">
        <v>17</v>
      </c>
      <c r="G1000" s="15" t="s">
        <v>29</v>
      </c>
      <c r="H1000" s="15" t="n">
        <v>4</v>
      </c>
      <c r="I1000" s="17" t="n">
        <v>0</v>
      </c>
      <c r="J1000" s="18" t="n">
        <v>76.81</v>
      </c>
      <c r="K1000" s="19" t="n">
        <v>29.18</v>
      </c>
      <c r="L1000" s="15" t="n">
        <f aca="false">YEAR(B1000)</f>
        <v>2025</v>
      </c>
      <c r="M1000" s="20" t="n">
        <f aca="false">IF(J1000&gt;0,K1000/J1000,0)</f>
        <v>0.379898450722562</v>
      </c>
    </row>
    <row r="1001" customFormat="false" ht="15" hidden="false" customHeight="false" outlineLevel="0" collapsed="false">
      <c r="A1001" s="15" t="s">
        <v>1058</v>
      </c>
      <c r="B1001" s="16" t="n">
        <v>45234</v>
      </c>
      <c r="C1001" s="15" t="s">
        <v>56</v>
      </c>
      <c r="D1001" s="15" t="s">
        <v>42</v>
      </c>
      <c r="E1001" s="15" t="s">
        <v>37</v>
      </c>
      <c r="F1001" s="15" t="s">
        <v>18</v>
      </c>
      <c r="G1001" s="15" t="s">
        <v>30</v>
      </c>
      <c r="H1001" s="15" t="n">
        <v>5</v>
      </c>
      <c r="I1001" s="17" t="n">
        <v>0</v>
      </c>
      <c r="J1001" s="18" t="n">
        <v>194.73</v>
      </c>
      <c r="K1001" s="19" t="n">
        <v>47.62</v>
      </c>
      <c r="L1001" s="15" t="n">
        <f aca="false">YEAR(B1001)</f>
        <v>2023</v>
      </c>
      <c r="M1001" s="20" t="n">
        <f aca="false">IF(J1001&gt;0,K1001/J1001,0)</f>
        <v>0.244543727212037</v>
      </c>
    </row>
    <row r="1002" customFormat="false" ht="15" hidden="false" customHeight="false" outlineLevel="0" collapsed="false">
      <c r="A1002" s="15" t="s">
        <v>1059</v>
      </c>
      <c r="B1002" s="16" t="n">
        <v>45864</v>
      </c>
      <c r="C1002" s="15" t="s">
        <v>71</v>
      </c>
      <c r="D1002" s="15" t="s">
        <v>42</v>
      </c>
      <c r="E1002" s="15" t="s">
        <v>37</v>
      </c>
      <c r="F1002" s="15" t="s">
        <v>17</v>
      </c>
      <c r="G1002" s="15" t="s">
        <v>31</v>
      </c>
      <c r="H1002" s="15" t="n">
        <v>4</v>
      </c>
      <c r="I1002" s="17" t="n">
        <v>0.1</v>
      </c>
      <c r="J1002" s="18" t="n">
        <v>488.41</v>
      </c>
      <c r="K1002" s="19" t="n">
        <v>39.32</v>
      </c>
      <c r="L1002" s="15" t="n">
        <f aca="false">YEAR(B1002)</f>
        <v>2025</v>
      </c>
      <c r="M1002" s="20" t="n">
        <f aca="false">IF(J1002&gt;0,K1002/J1002,0)</f>
        <v>0.0805061321430765</v>
      </c>
    </row>
    <row r="1003" customFormat="false" ht="15" hidden="false" customHeight="false" outlineLevel="0" collapsed="false">
      <c r="A1003" s="15" t="s">
        <v>1060</v>
      </c>
      <c r="B1003" s="16" t="n">
        <v>45772</v>
      </c>
      <c r="C1003" s="15" t="s">
        <v>56</v>
      </c>
      <c r="D1003" s="15" t="s">
        <v>42</v>
      </c>
      <c r="E1003" s="15" t="s">
        <v>39</v>
      </c>
      <c r="F1003" s="15" t="s">
        <v>17</v>
      </c>
      <c r="G1003" s="15" t="s">
        <v>28</v>
      </c>
      <c r="H1003" s="15" t="n">
        <v>2</v>
      </c>
      <c r="I1003" s="17" t="n">
        <v>0.2</v>
      </c>
      <c r="J1003" s="18" t="n">
        <v>39.93</v>
      </c>
      <c r="K1003" s="19" t="n">
        <v>1.98</v>
      </c>
      <c r="L1003" s="15" t="n">
        <f aca="false">YEAR(B1003)</f>
        <v>2025</v>
      </c>
      <c r="M1003" s="20" t="n">
        <f aca="false">IF(J1003&gt;0,K1003/J1003,0)</f>
        <v>0.0495867768595041</v>
      </c>
    </row>
    <row r="1004" customFormat="false" ht="15" hidden="false" customHeight="false" outlineLevel="0" collapsed="false">
      <c r="A1004" s="15" t="s">
        <v>1061</v>
      </c>
      <c r="B1004" s="16" t="n">
        <v>45614</v>
      </c>
      <c r="C1004" s="15" t="s">
        <v>71</v>
      </c>
      <c r="D1004" s="15" t="s">
        <v>43</v>
      </c>
      <c r="E1004" s="15" t="s">
        <v>38</v>
      </c>
      <c r="F1004" s="15" t="s">
        <v>18</v>
      </c>
      <c r="G1004" s="15" t="s">
        <v>30</v>
      </c>
      <c r="H1004" s="15" t="n">
        <v>4</v>
      </c>
      <c r="I1004" s="17" t="n">
        <v>0</v>
      </c>
      <c r="J1004" s="18" t="n">
        <v>166.67</v>
      </c>
      <c r="K1004" s="19" t="n">
        <v>48</v>
      </c>
      <c r="L1004" s="15" t="n">
        <f aca="false">YEAR(B1004)</f>
        <v>2024</v>
      </c>
      <c r="M1004" s="20" t="n">
        <f aca="false">IF(J1004&gt;0,K1004/J1004,0)</f>
        <v>0.287994240115198</v>
      </c>
    </row>
    <row r="1005" customFormat="false" ht="15" hidden="false" customHeight="false" outlineLevel="0" collapsed="false">
      <c r="A1005" s="15" t="s">
        <v>1062</v>
      </c>
      <c r="B1005" s="16" t="n">
        <v>44712</v>
      </c>
      <c r="C1005" s="15" t="s">
        <v>71</v>
      </c>
      <c r="D1005" s="15" t="s">
        <v>42</v>
      </c>
      <c r="E1005" s="15" t="s">
        <v>37</v>
      </c>
      <c r="F1005" s="15" t="s">
        <v>17</v>
      </c>
      <c r="G1005" s="15" t="s">
        <v>28</v>
      </c>
      <c r="H1005" s="15" t="n">
        <v>3</v>
      </c>
      <c r="I1005" s="17" t="n">
        <v>0.1</v>
      </c>
      <c r="J1005" s="18" t="n">
        <v>78.48</v>
      </c>
      <c r="K1005" s="19" t="n">
        <v>19.49</v>
      </c>
      <c r="L1005" s="15" t="n">
        <f aca="false">YEAR(B1005)</f>
        <v>2022</v>
      </c>
      <c r="M1005" s="20" t="n">
        <f aca="false">IF(J1005&gt;0,K1005/J1005,0)</f>
        <v>0.248343527013252</v>
      </c>
    </row>
    <row r="1006" customFormat="false" ht="15" hidden="false" customHeight="false" outlineLevel="0" collapsed="false">
      <c r="A1006" s="15" t="s">
        <v>1063</v>
      </c>
      <c r="B1006" s="16" t="n">
        <v>46005</v>
      </c>
      <c r="C1006" s="15" t="s">
        <v>56</v>
      </c>
      <c r="D1006" s="15" t="s">
        <v>43</v>
      </c>
      <c r="E1006" s="15" t="s">
        <v>38</v>
      </c>
      <c r="F1006" s="15" t="s">
        <v>17</v>
      </c>
      <c r="G1006" s="15" t="s">
        <v>26</v>
      </c>
      <c r="H1006" s="15" t="n">
        <v>4</v>
      </c>
      <c r="I1006" s="17" t="n">
        <v>0.4</v>
      </c>
      <c r="J1006" s="18" t="n">
        <v>187.82</v>
      </c>
      <c r="K1006" s="19" t="n">
        <v>-40.88</v>
      </c>
      <c r="L1006" s="15" t="n">
        <f aca="false">YEAR(B1006)</f>
        <v>2025</v>
      </c>
      <c r="M1006" s="20" t="n">
        <f aca="false">IF(J1006&gt;0,K1006/J1006,0)</f>
        <v>-0.217655201788947</v>
      </c>
    </row>
    <row r="1007" customFormat="false" ht="15" hidden="false" customHeight="false" outlineLevel="0" collapsed="false">
      <c r="A1007" s="15" t="s">
        <v>1064</v>
      </c>
      <c r="B1007" s="16" t="n">
        <v>44851</v>
      </c>
      <c r="C1007" s="15" t="s">
        <v>71</v>
      </c>
      <c r="D1007" s="15" t="s">
        <v>43</v>
      </c>
      <c r="E1007" s="15" t="s">
        <v>37</v>
      </c>
      <c r="F1007" s="15" t="s">
        <v>16</v>
      </c>
      <c r="G1007" s="15" t="s">
        <v>27</v>
      </c>
      <c r="H1007" s="15" t="n">
        <v>3</v>
      </c>
      <c r="I1007" s="17" t="n">
        <v>0.2</v>
      </c>
      <c r="J1007" s="18" t="n">
        <v>162.53</v>
      </c>
      <c r="K1007" s="19" t="n">
        <v>-7.84</v>
      </c>
      <c r="L1007" s="15" t="n">
        <f aca="false">YEAR(B1007)</f>
        <v>2022</v>
      </c>
      <c r="M1007" s="20" t="n">
        <f aca="false">IF(J1007&gt;0,K1007/J1007,0)</f>
        <v>-0.0482372485079678</v>
      </c>
    </row>
    <row r="1008" customFormat="false" ht="15" hidden="false" customHeight="false" outlineLevel="0" collapsed="false">
      <c r="A1008" s="15" t="s">
        <v>1065</v>
      </c>
      <c r="B1008" s="16" t="n">
        <v>45539</v>
      </c>
      <c r="C1008" s="15" t="s">
        <v>71</v>
      </c>
      <c r="D1008" s="15" t="s">
        <v>42</v>
      </c>
      <c r="E1008" s="15" t="s">
        <v>37</v>
      </c>
      <c r="F1008" s="15" t="s">
        <v>18</v>
      </c>
      <c r="G1008" s="15" t="s">
        <v>30</v>
      </c>
      <c r="H1008" s="15" t="n">
        <v>6</v>
      </c>
      <c r="I1008" s="17" t="n">
        <v>0.2</v>
      </c>
      <c r="J1008" s="18" t="n">
        <v>225.04</v>
      </c>
      <c r="K1008" s="19" t="n">
        <v>21.72</v>
      </c>
      <c r="L1008" s="15" t="n">
        <f aca="false">YEAR(B1008)</f>
        <v>2024</v>
      </c>
      <c r="M1008" s="20" t="n">
        <f aca="false">IF(J1008&gt;0,K1008/J1008,0)</f>
        <v>0.0965161749022396</v>
      </c>
    </row>
    <row r="1009" customFormat="false" ht="15" hidden="false" customHeight="false" outlineLevel="0" collapsed="false">
      <c r="A1009" s="15" t="s">
        <v>1066</v>
      </c>
      <c r="B1009" s="16" t="n">
        <v>45769</v>
      </c>
      <c r="C1009" s="15" t="s">
        <v>68</v>
      </c>
      <c r="D1009" s="15" t="s">
        <v>42</v>
      </c>
      <c r="E1009" s="15" t="s">
        <v>39</v>
      </c>
      <c r="F1009" s="15" t="s">
        <v>18</v>
      </c>
      <c r="G1009" s="15" t="s">
        <v>24</v>
      </c>
      <c r="H1009" s="15" t="n">
        <v>8</v>
      </c>
      <c r="I1009" s="17" t="n">
        <v>0.2</v>
      </c>
      <c r="J1009" s="18" t="n">
        <v>4068.28</v>
      </c>
      <c r="K1009" s="19" t="n">
        <v>-499.38</v>
      </c>
      <c r="L1009" s="15" t="n">
        <f aca="false">YEAR(B1009)</f>
        <v>2025</v>
      </c>
      <c r="M1009" s="20" t="n">
        <f aca="false">IF(J1009&gt;0,K1009/J1009,0)</f>
        <v>-0.122749663248351</v>
      </c>
    </row>
    <row r="1010" customFormat="false" ht="15" hidden="false" customHeight="false" outlineLevel="0" collapsed="false">
      <c r="A1010" s="15" t="s">
        <v>1067</v>
      </c>
      <c r="B1010" s="16" t="n">
        <v>44858</v>
      </c>
      <c r="C1010" s="15" t="s">
        <v>58</v>
      </c>
      <c r="D1010" s="15" t="s">
        <v>42</v>
      </c>
      <c r="E1010" s="15" t="s">
        <v>36</v>
      </c>
      <c r="F1010" s="15" t="s">
        <v>16</v>
      </c>
      <c r="G1010" s="15" t="s">
        <v>27</v>
      </c>
      <c r="H1010" s="15" t="n">
        <v>3</v>
      </c>
      <c r="I1010" s="17" t="n">
        <v>0</v>
      </c>
      <c r="J1010" s="18" t="n">
        <v>165.05</v>
      </c>
      <c r="K1010" s="19" t="n">
        <v>40.2</v>
      </c>
      <c r="L1010" s="15" t="n">
        <f aca="false">YEAR(B1010)</f>
        <v>2022</v>
      </c>
      <c r="M1010" s="20" t="n">
        <f aca="false">IF(J1010&gt;0,K1010/J1010,0)</f>
        <v>0.243562556800969</v>
      </c>
    </row>
    <row r="1011" customFormat="false" ht="15" hidden="false" customHeight="false" outlineLevel="0" collapsed="false">
      <c r="A1011" s="15" t="s">
        <v>1068</v>
      </c>
      <c r="B1011" s="16" t="n">
        <v>45929</v>
      </c>
      <c r="C1011" s="15" t="s">
        <v>68</v>
      </c>
      <c r="D1011" s="15" t="s">
        <v>42</v>
      </c>
      <c r="E1011" s="15" t="s">
        <v>37</v>
      </c>
      <c r="F1011" s="15" t="s">
        <v>16</v>
      </c>
      <c r="G1011" s="15" t="s">
        <v>22</v>
      </c>
      <c r="H1011" s="15" t="n">
        <v>3</v>
      </c>
      <c r="I1011" s="17" t="n">
        <v>0</v>
      </c>
      <c r="J1011" s="18" t="n">
        <v>1480.31</v>
      </c>
      <c r="K1011" s="19" t="n">
        <v>-69.39</v>
      </c>
      <c r="L1011" s="15" t="n">
        <f aca="false">YEAR(B1011)</f>
        <v>2025</v>
      </c>
      <c r="M1011" s="20" t="n">
        <f aca="false">IF(J1011&gt;0,K1011/J1011,0)</f>
        <v>-0.0468753166566462</v>
      </c>
    </row>
    <row r="1012" customFormat="false" ht="15" hidden="false" customHeight="false" outlineLevel="0" collapsed="false">
      <c r="A1012" s="15" t="s">
        <v>1069</v>
      </c>
      <c r="B1012" s="16" t="n">
        <v>44706</v>
      </c>
      <c r="C1012" s="15" t="s">
        <v>68</v>
      </c>
      <c r="D1012" s="15" t="s">
        <v>44</v>
      </c>
      <c r="E1012" s="15" t="s">
        <v>39</v>
      </c>
      <c r="F1012" s="15" t="s">
        <v>17</v>
      </c>
      <c r="G1012" s="15" t="s">
        <v>28</v>
      </c>
      <c r="H1012" s="15" t="n">
        <v>5</v>
      </c>
      <c r="I1012" s="17" t="n">
        <v>0.15</v>
      </c>
      <c r="J1012" s="18" t="n">
        <v>118.27</v>
      </c>
      <c r="K1012" s="19" t="n">
        <v>14.62</v>
      </c>
      <c r="L1012" s="15" t="n">
        <f aca="false">YEAR(B1012)</f>
        <v>2022</v>
      </c>
      <c r="M1012" s="20" t="n">
        <f aca="false">IF(J1012&gt;0,K1012/J1012,0)</f>
        <v>0.123615456159635</v>
      </c>
    </row>
    <row r="1013" customFormat="false" ht="15" hidden="false" customHeight="false" outlineLevel="0" collapsed="false">
      <c r="A1013" s="15" t="s">
        <v>1070</v>
      </c>
      <c r="B1013" s="16" t="n">
        <v>45644</v>
      </c>
      <c r="C1013" s="15" t="s">
        <v>56</v>
      </c>
      <c r="D1013" s="15" t="s">
        <v>42</v>
      </c>
      <c r="E1013" s="15" t="s">
        <v>39</v>
      </c>
      <c r="F1013" s="15" t="s">
        <v>18</v>
      </c>
      <c r="G1013" s="15" t="s">
        <v>33</v>
      </c>
      <c r="H1013" s="15" t="n">
        <v>2</v>
      </c>
      <c r="I1013" s="17" t="n">
        <v>0.3</v>
      </c>
      <c r="J1013" s="18" t="n">
        <v>1282.38</v>
      </c>
      <c r="K1013" s="19" t="n">
        <v>-33.93</v>
      </c>
      <c r="L1013" s="15" t="n">
        <f aca="false">YEAR(B1013)</f>
        <v>2024</v>
      </c>
      <c r="M1013" s="20" t="n">
        <f aca="false">IF(J1013&gt;0,K1013/J1013,0)</f>
        <v>-0.0264586160108548</v>
      </c>
    </row>
    <row r="1014" customFormat="false" ht="15" hidden="false" customHeight="false" outlineLevel="0" collapsed="false">
      <c r="A1014" s="15" t="s">
        <v>1071</v>
      </c>
      <c r="B1014" s="16" t="n">
        <v>45908</v>
      </c>
      <c r="C1014" s="15" t="s">
        <v>68</v>
      </c>
      <c r="D1014" s="15" t="s">
        <v>44</v>
      </c>
      <c r="E1014" s="15" t="s">
        <v>38</v>
      </c>
      <c r="F1014" s="15" t="s">
        <v>17</v>
      </c>
      <c r="G1014" s="15" t="s">
        <v>29</v>
      </c>
      <c r="H1014" s="15" t="n">
        <v>7</v>
      </c>
      <c r="I1014" s="17" t="n">
        <v>0.05</v>
      </c>
      <c r="J1014" s="18" t="n">
        <v>123.97</v>
      </c>
      <c r="K1014" s="19" t="n">
        <v>35.16</v>
      </c>
      <c r="L1014" s="15" t="n">
        <f aca="false">YEAR(B1014)</f>
        <v>2025</v>
      </c>
      <c r="M1014" s="20" t="n">
        <f aca="false">IF(J1014&gt;0,K1014/J1014,0)</f>
        <v>0.283617004113899</v>
      </c>
    </row>
    <row r="1015" customFormat="false" ht="15" hidden="false" customHeight="false" outlineLevel="0" collapsed="false">
      <c r="A1015" s="15" t="s">
        <v>1072</v>
      </c>
      <c r="B1015" s="16" t="n">
        <v>44997</v>
      </c>
      <c r="C1015" s="15" t="s">
        <v>56</v>
      </c>
      <c r="D1015" s="15" t="s">
        <v>42</v>
      </c>
      <c r="E1015" s="15" t="s">
        <v>37</v>
      </c>
      <c r="F1015" s="15" t="s">
        <v>17</v>
      </c>
      <c r="G1015" s="15" t="s">
        <v>28</v>
      </c>
      <c r="H1015" s="15" t="n">
        <v>4</v>
      </c>
      <c r="I1015" s="17" t="n">
        <v>0.1</v>
      </c>
      <c r="J1015" s="18" t="n">
        <v>88.48</v>
      </c>
      <c r="K1015" s="19" t="n">
        <v>14.89</v>
      </c>
      <c r="L1015" s="15" t="n">
        <f aca="false">YEAR(B1015)</f>
        <v>2023</v>
      </c>
      <c r="M1015" s="20" t="n">
        <f aca="false">IF(J1015&gt;0,K1015/J1015,0)</f>
        <v>0.168286618444846</v>
      </c>
    </row>
    <row r="1016" customFormat="false" ht="15" hidden="false" customHeight="false" outlineLevel="0" collapsed="false">
      <c r="A1016" s="15" t="s">
        <v>1073</v>
      </c>
      <c r="B1016" s="16" t="n">
        <v>44851</v>
      </c>
      <c r="C1016" s="15" t="s">
        <v>71</v>
      </c>
      <c r="D1016" s="15" t="s">
        <v>44</v>
      </c>
      <c r="E1016" s="15" t="s">
        <v>39</v>
      </c>
      <c r="F1016" s="15" t="s">
        <v>17</v>
      </c>
      <c r="G1016" s="15" t="s">
        <v>29</v>
      </c>
      <c r="H1016" s="15" t="n">
        <v>1</v>
      </c>
      <c r="I1016" s="17" t="n">
        <v>0.1</v>
      </c>
      <c r="J1016" s="18" t="n">
        <v>19.39</v>
      </c>
      <c r="K1016" s="19" t="n">
        <v>5.57</v>
      </c>
      <c r="L1016" s="15" t="n">
        <f aca="false">YEAR(B1016)</f>
        <v>2022</v>
      </c>
      <c r="M1016" s="20" t="n">
        <f aca="false">IF(J1016&gt;0,K1016/J1016,0)</f>
        <v>0.287261474987107</v>
      </c>
    </row>
    <row r="1017" customFormat="false" ht="15" hidden="false" customHeight="false" outlineLevel="0" collapsed="false">
      <c r="A1017" s="15" t="s">
        <v>1074</v>
      </c>
      <c r="B1017" s="16" t="n">
        <v>44890</v>
      </c>
      <c r="C1017" s="15" t="s">
        <v>56</v>
      </c>
      <c r="D1017" s="15" t="s">
        <v>42</v>
      </c>
      <c r="E1017" s="15" t="s">
        <v>38</v>
      </c>
      <c r="F1017" s="15" t="s">
        <v>16</v>
      </c>
      <c r="G1017" s="15" t="s">
        <v>22</v>
      </c>
      <c r="H1017" s="15" t="n">
        <v>4</v>
      </c>
      <c r="I1017" s="17" t="n">
        <v>0.2</v>
      </c>
      <c r="J1017" s="18" t="n">
        <v>1271.55</v>
      </c>
      <c r="K1017" s="19" t="n">
        <v>-293.25</v>
      </c>
      <c r="L1017" s="15" t="n">
        <f aca="false">YEAR(B1017)</f>
        <v>2022</v>
      </c>
      <c r="M1017" s="20" t="n">
        <f aca="false">IF(J1017&gt;0,K1017/J1017,0)</f>
        <v>-0.230624041524124</v>
      </c>
    </row>
    <row r="1018" customFormat="false" ht="15" hidden="false" customHeight="false" outlineLevel="0" collapsed="false">
      <c r="A1018" s="15" t="s">
        <v>1075</v>
      </c>
      <c r="B1018" s="16" t="n">
        <v>45178</v>
      </c>
      <c r="C1018" s="15" t="s">
        <v>56</v>
      </c>
      <c r="D1018" s="15" t="s">
        <v>43</v>
      </c>
      <c r="E1018" s="15" t="s">
        <v>39</v>
      </c>
      <c r="F1018" s="15" t="s">
        <v>17</v>
      </c>
      <c r="G1018" s="15" t="s">
        <v>28</v>
      </c>
      <c r="H1018" s="15" t="n">
        <v>4</v>
      </c>
      <c r="I1018" s="17" t="n">
        <v>0</v>
      </c>
      <c r="J1018" s="18" t="n">
        <v>114.78</v>
      </c>
      <c r="K1018" s="19" t="n">
        <v>39.66</v>
      </c>
      <c r="L1018" s="15" t="n">
        <f aca="false">YEAR(B1018)</f>
        <v>2023</v>
      </c>
      <c r="M1018" s="20" t="n">
        <f aca="false">IF(J1018&gt;0,K1018/J1018,0)</f>
        <v>0.34553058024046</v>
      </c>
    </row>
    <row r="1019" customFormat="false" ht="15" hidden="false" customHeight="false" outlineLevel="0" collapsed="false">
      <c r="A1019" s="15" t="s">
        <v>1076</v>
      </c>
      <c r="B1019" s="16" t="n">
        <v>45514</v>
      </c>
      <c r="C1019" s="15" t="s">
        <v>56</v>
      </c>
      <c r="D1019" s="15" t="s">
        <v>42</v>
      </c>
      <c r="E1019" s="15" t="s">
        <v>36</v>
      </c>
      <c r="F1019" s="15" t="s">
        <v>18</v>
      </c>
      <c r="G1019" s="15" t="s">
        <v>32</v>
      </c>
      <c r="H1019" s="15" t="n">
        <v>1</v>
      </c>
      <c r="I1019" s="17" t="n">
        <v>0.1</v>
      </c>
      <c r="J1019" s="18" t="n">
        <v>300.8</v>
      </c>
      <c r="K1019" s="19" t="n">
        <v>37.03</v>
      </c>
      <c r="L1019" s="15" t="n">
        <f aca="false">YEAR(B1019)</f>
        <v>2024</v>
      </c>
      <c r="M1019" s="20" t="n">
        <f aca="false">IF(J1019&gt;0,K1019/J1019,0)</f>
        <v>0.123105053191489</v>
      </c>
    </row>
    <row r="1020" customFormat="false" ht="15" hidden="false" customHeight="false" outlineLevel="0" collapsed="false">
      <c r="A1020" s="15" t="s">
        <v>1077</v>
      </c>
      <c r="B1020" s="16" t="n">
        <v>44874</v>
      </c>
      <c r="C1020" s="15" t="s">
        <v>56</v>
      </c>
      <c r="D1020" s="15" t="s">
        <v>42</v>
      </c>
      <c r="E1020" s="15" t="s">
        <v>39</v>
      </c>
      <c r="F1020" s="15" t="s">
        <v>17</v>
      </c>
      <c r="G1020" s="15" t="s">
        <v>26</v>
      </c>
      <c r="H1020" s="15" t="n">
        <v>2</v>
      </c>
      <c r="I1020" s="17" t="n">
        <v>0.2</v>
      </c>
      <c r="J1020" s="18" t="n">
        <v>128.33</v>
      </c>
      <c r="K1020" s="19" t="n">
        <v>-10.95</v>
      </c>
      <c r="L1020" s="15" t="n">
        <f aca="false">YEAR(B1020)</f>
        <v>2022</v>
      </c>
      <c r="M1020" s="20" t="n">
        <f aca="false">IF(J1020&gt;0,K1020/J1020,0)</f>
        <v>-0.0853268916075742</v>
      </c>
    </row>
    <row r="1021" customFormat="false" ht="15" hidden="false" customHeight="false" outlineLevel="0" collapsed="false">
      <c r="A1021" s="15" t="s">
        <v>1078</v>
      </c>
      <c r="B1021" s="16" t="n">
        <v>45961</v>
      </c>
      <c r="C1021" s="15" t="s">
        <v>56</v>
      </c>
      <c r="D1021" s="15" t="s">
        <v>42</v>
      </c>
      <c r="E1021" s="15" t="s">
        <v>37</v>
      </c>
      <c r="F1021" s="15" t="s">
        <v>17</v>
      </c>
      <c r="G1021" s="15" t="s">
        <v>26</v>
      </c>
      <c r="H1021" s="15" t="n">
        <v>3</v>
      </c>
      <c r="I1021" s="17" t="n">
        <v>0</v>
      </c>
      <c r="J1021" s="18" t="n">
        <v>285.3</v>
      </c>
      <c r="K1021" s="19" t="n">
        <v>51.78</v>
      </c>
      <c r="L1021" s="15" t="n">
        <f aca="false">YEAR(B1021)</f>
        <v>2025</v>
      </c>
      <c r="M1021" s="20" t="n">
        <f aca="false">IF(J1021&gt;0,K1021/J1021,0)</f>
        <v>0.18149316508938</v>
      </c>
    </row>
    <row r="1022" customFormat="false" ht="15" hidden="false" customHeight="false" outlineLevel="0" collapsed="false">
      <c r="A1022" s="15" t="s">
        <v>1079</v>
      </c>
      <c r="B1022" s="16" t="n">
        <v>44868</v>
      </c>
      <c r="C1022" s="15" t="s">
        <v>56</v>
      </c>
      <c r="D1022" s="15" t="s">
        <v>43</v>
      </c>
      <c r="E1022" s="15" t="s">
        <v>36</v>
      </c>
      <c r="F1022" s="15" t="s">
        <v>17</v>
      </c>
      <c r="G1022" s="15" t="s">
        <v>31</v>
      </c>
      <c r="H1022" s="15" t="n">
        <v>2</v>
      </c>
      <c r="I1022" s="17" t="n">
        <v>0.15</v>
      </c>
      <c r="J1022" s="18" t="n">
        <v>186.19</v>
      </c>
      <c r="K1022" s="19" t="n">
        <v>13.47</v>
      </c>
      <c r="L1022" s="15" t="n">
        <f aca="false">YEAR(B1022)</f>
        <v>2022</v>
      </c>
      <c r="M1022" s="20" t="n">
        <f aca="false">IF(J1022&gt;0,K1022/J1022,0)</f>
        <v>0.072345453568935</v>
      </c>
    </row>
    <row r="1023" customFormat="false" ht="15" hidden="false" customHeight="false" outlineLevel="0" collapsed="false">
      <c r="A1023" s="15" t="s">
        <v>1080</v>
      </c>
      <c r="B1023" s="16" t="n">
        <v>45826</v>
      </c>
      <c r="C1023" s="15" t="s">
        <v>56</v>
      </c>
      <c r="D1023" s="15" t="s">
        <v>43</v>
      </c>
      <c r="E1023" s="15" t="s">
        <v>36</v>
      </c>
      <c r="F1023" s="15" t="s">
        <v>16</v>
      </c>
      <c r="G1023" s="15" t="s">
        <v>27</v>
      </c>
      <c r="H1023" s="15" t="n">
        <v>3</v>
      </c>
      <c r="I1023" s="17" t="n">
        <v>0.1</v>
      </c>
      <c r="J1023" s="18" t="n">
        <v>155.27</v>
      </c>
      <c r="K1023" s="19" t="n">
        <v>10.5</v>
      </c>
      <c r="L1023" s="15" t="n">
        <f aca="false">YEAR(B1023)</f>
        <v>2025</v>
      </c>
      <c r="M1023" s="20" t="n">
        <f aca="false">IF(J1023&gt;0,K1023/J1023,0)</f>
        <v>0.0676241385972822</v>
      </c>
    </row>
    <row r="1024" customFormat="false" ht="15" hidden="false" customHeight="false" outlineLevel="0" collapsed="false">
      <c r="A1024" s="15" t="s">
        <v>1081</v>
      </c>
      <c r="B1024" s="16" t="n">
        <v>45373</v>
      </c>
      <c r="C1024" s="15" t="s">
        <v>58</v>
      </c>
      <c r="D1024" s="15" t="s">
        <v>43</v>
      </c>
      <c r="E1024" s="15" t="s">
        <v>37</v>
      </c>
      <c r="F1024" s="15" t="s">
        <v>17</v>
      </c>
      <c r="G1024" s="15" t="s">
        <v>28</v>
      </c>
      <c r="H1024" s="15" t="n">
        <v>7</v>
      </c>
      <c r="I1024" s="17" t="n">
        <v>0.3</v>
      </c>
      <c r="J1024" s="18" t="n">
        <v>124.56</v>
      </c>
      <c r="K1024" s="19" t="n">
        <v>3.78</v>
      </c>
      <c r="L1024" s="15" t="n">
        <f aca="false">YEAR(B1024)</f>
        <v>2024</v>
      </c>
      <c r="M1024" s="20" t="n">
        <f aca="false">IF(J1024&gt;0,K1024/J1024,0)</f>
        <v>0.0303468208092486</v>
      </c>
    </row>
    <row r="1025" customFormat="false" ht="15" hidden="false" customHeight="false" outlineLevel="0" collapsed="false">
      <c r="A1025" s="15" t="s">
        <v>1082</v>
      </c>
      <c r="B1025" s="16" t="n">
        <v>45790</v>
      </c>
      <c r="C1025" s="15" t="s">
        <v>56</v>
      </c>
      <c r="D1025" s="15" t="s">
        <v>43</v>
      </c>
      <c r="E1025" s="15" t="s">
        <v>39</v>
      </c>
      <c r="F1025" s="15" t="s">
        <v>18</v>
      </c>
      <c r="G1025" s="15" t="s">
        <v>30</v>
      </c>
      <c r="H1025" s="15" t="n">
        <v>4</v>
      </c>
      <c r="I1025" s="17" t="n">
        <v>0</v>
      </c>
      <c r="J1025" s="18" t="n">
        <v>197.17</v>
      </c>
      <c r="K1025" s="19" t="n">
        <v>65.37</v>
      </c>
      <c r="L1025" s="15" t="n">
        <f aca="false">YEAR(B1025)</f>
        <v>2025</v>
      </c>
      <c r="M1025" s="20" t="n">
        <f aca="false">IF(J1025&gt;0,K1025/J1025,0)</f>
        <v>0.331541309529847</v>
      </c>
    </row>
    <row r="1026" customFormat="false" ht="15" hidden="false" customHeight="false" outlineLevel="0" collapsed="false">
      <c r="A1026" s="15" t="s">
        <v>1083</v>
      </c>
      <c r="B1026" s="16" t="n">
        <v>45280</v>
      </c>
      <c r="C1026" s="15" t="s">
        <v>56</v>
      </c>
      <c r="D1026" s="15" t="s">
        <v>43</v>
      </c>
      <c r="E1026" s="15" t="s">
        <v>38</v>
      </c>
      <c r="F1026" s="15" t="s">
        <v>16</v>
      </c>
      <c r="G1026" s="15" t="s">
        <v>27</v>
      </c>
      <c r="H1026" s="15" t="n">
        <v>2</v>
      </c>
      <c r="I1026" s="17" t="n">
        <v>0.05</v>
      </c>
      <c r="J1026" s="18" t="n">
        <v>121.38</v>
      </c>
      <c r="K1026" s="19" t="n">
        <v>20.1</v>
      </c>
      <c r="L1026" s="15" t="n">
        <f aca="false">YEAR(B1026)</f>
        <v>2023</v>
      </c>
      <c r="M1026" s="20" t="n">
        <f aca="false">IF(J1026&gt;0,K1026/J1026,0)</f>
        <v>0.165595650024716</v>
      </c>
    </row>
    <row r="1027" customFormat="false" ht="15" hidden="false" customHeight="false" outlineLevel="0" collapsed="false">
      <c r="A1027" s="15" t="s">
        <v>1084</v>
      </c>
      <c r="B1027" s="16" t="n">
        <v>45939</v>
      </c>
      <c r="C1027" s="15" t="s">
        <v>71</v>
      </c>
      <c r="D1027" s="15" t="s">
        <v>44</v>
      </c>
      <c r="E1027" s="15" t="s">
        <v>36</v>
      </c>
      <c r="F1027" s="15" t="s">
        <v>17</v>
      </c>
      <c r="G1027" s="15" t="s">
        <v>29</v>
      </c>
      <c r="H1027" s="15" t="n">
        <v>3</v>
      </c>
      <c r="I1027" s="17" t="n">
        <v>0</v>
      </c>
      <c r="J1027" s="18" t="n">
        <v>55.09</v>
      </c>
      <c r="K1027" s="19" t="n">
        <v>20.68</v>
      </c>
      <c r="L1027" s="15" t="n">
        <f aca="false">YEAR(B1027)</f>
        <v>2025</v>
      </c>
      <c r="M1027" s="20" t="n">
        <f aca="false">IF(J1027&gt;0,K1027/J1027,0)</f>
        <v>0.375385732437829</v>
      </c>
    </row>
    <row r="1028" customFormat="false" ht="15" hidden="false" customHeight="false" outlineLevel="0" collapsed="false">
      <c r="A1028" s="15" t="s">
        <v>1085</v>
      </c>
      <c r="B1028" s="16" t="n">
        <v>45598</v>
      </c>
      <c r="C1028" s="15" t="s">
        <v>71</v>
      </c>
      <c r="D1028" s="15" t="s">
        <v>42</v>
      </c>
      <c r="E1028" s="15" t="s">
        <v>37</v>
      </c>
      <c r="F1028" s="15" t="s">
        <v>17</v>
      </c>
      <c r="G1028" s="15" t="s">
        <v>28</v>
      </c>
      <c r="H1028" s="15" t="n">
        <v>3</v>
      </c>
      <c r="I1028" s="17" t="n">
        <v>0.2</v>
      </c>
      <c r="J1028" s="18" t="n">
        <v>70.64</v>
      </c>
      <c r="K1028" s="19" t="n">
        <v>6.72</v>
      </c>
      <c r="L1028" s="15" t="n">
        <f aca="false">YEAR(B1028)</f>
        <v>2024</v>
      </c>
      <c r="M1028" s="20" t="n">
        <f aca="false">IF(J1028&gt;0,K1028/J1028,0)</f>
        <v>0.0951302378255946</v>
      </c>
    </row>
    <row r="1029" customFormat="false" ht="15" hidden="false" customHeight="false" outlineLevel="0" collapsed="false">
      <c r="A1029" s="15" t="s">
        <v>1086</v>
      </c>
      <c r="B1029" s="16" t="n">
        <v>45905</v>
      </c>
      <c r="C1029" s="15" t="s">
        <v>56</v>
      </c>
      <c r="D1029" s="15" t="s">
        <v>44</v>
      </c>
      <c r="E1029" s="15" t="s">
        <v>37</v>
      </c>
      <c r="F1029" s="15" t="s">
        <v>17</v>
      </c>
      <c r="G1029" s="15" t="s">
        <v>29</v>
      </c>
      <c r="H1029" s="15" t="n">
        <v>4</v>
      </c>
      <c r="I1029" s="17" t="n">
        <v>0.3</v>
      </c>
      <c r="J1029" s="18" t="n">
        <v>42.29</v>
      </c>
      <c r="K1029" s="19" t="n">
        <v>4.28</v>
      </c>
      <c r="L1029" s="15" t="n">
        <f aca="false">YEAR(B1029)</f>
        <v>2025</v>
      </c>
      <c r="M1029" s="20" t="n">
        <f aca="false">IF(J1029&gt;0,K1029/J1029,0)</f>
        <v>0.101205958855521</v>
      </c>
    </row>
    <row r="1030" customFormat="false" ht="15" hidden="false" customHeight="false" outlineLevel="0" collapsed="false">
      <c r="A1030" s="15" t="s">
        <v>1087</v>
      </c>
      <c r="B1030" s="16" t="n">
        <v>45482</v>
      </c>
      <c r="C1030" s="15" t="s">
        <v>71</v>
      </c>
      <c r="D1030" s="15" t="s">
        <v>44</v>
      </c>
      <c r="E1030" s="15" t="s">
        <v>37</v>
      </c>
      <c r="F1030" s="15" t="s">
        <v>16</v>
      </c>
      <c r="G1030" s="15" t="s">
        <v>22</v>
      </c>
      <c r="H1030" s="15" t="n">
        <v>4</v>
      </c>
      <c r="I1030" s="17" t="n">
        <v>0</v>
      </c>
      <c r="J1030" s="18" t="n">
        <v>2185.57</v>
      </c>
      <c r="K1030" s="19" t="n">
        <v>-83.38</v>
      </c>
      <c r="L1030" s="15" t="n">
        <f aca="false">YEAR(B1030)</f>
        <v>2024</v>
      </c>
      <c r="M1030" s="20" t="n">
        <f aca="false">IF(J1030&gt;0,K1030/J1030,0)</f>
        <v>-0.0381502308322314</v>
      </c>
    </row>
    <row r="1031" customFormat="false" ht="15" hidden="false" customHeight="false" outlineLevel="0" collapsed="false">
      <c r="A1031" s="15" t="s">
        <v>1088</v>
      </c>
      <c r="B1031" s="16" t="n">
        <v>45415</v>
      </c>
      <c r="C1031" s="15" t="s">
        <v>68</v>
      </c>
      <c r="D1031" s="15" t="s">
        <v>42</v>
      </c>
      <c r="E1031" s="15" t="s">
        <v>37</v>
      </c>
      <c r="F1031" s="15" t="s">
        <v>17</v>
      </c>
      <c r="G1031" s="15" t="s">
        <v>29</v>
      </c>
      <c r="H1031" s="15" t="n">
        <v>2</v>
      </c>
      <c r="I1031" s="17" t="n">
        <v>0.2</v>
      </c>
      <c r="J1031" s="18" t="n">
        <v>28.74</v>
      </c>
      <c r="K1031" s="19" t="n">
        <v>5.91</v>
      </c>
      <c r="L1031" s="15" t="n">
        <f aca="false">YEAR(B1031)</f>
        <v>2024</v>
      </c>
      <c r="M1031" s="20" t="n">
        <f aca="false">IF(J1031&gt;0,K1031/J1031,0)</f>
        <v>0.205636743215031</v>
      </c>
    </row>
    <row r="1032" customFormat="false" ht="15" hidden="false" customHeight="false" outlineLevel="0" collapsed="false">
      <c r="A1032" s="15" t="s">
        <v>1089</v>
      </c>
      <c r="B1032" s="16" t="n">
        <v>45357</v>
      </c>
      <c r="C1032" s="15" t="s">
        <v>56</v>
      </c>
      <c r="D1032" s="15" t="s">
        <v>42</v>
      </c>
      <c r="E1032" s="15" t="s">
        <v>37</v>
      </c>
      <c r="F1032" s="15" t="s">
        <v>17</v>
      </c>
      <c r="G1032" s="15" t="s">
        <v>26</v>
      </c>
      <c r="H1032" s="15" t="n">
        <v>3</v>
      </c>
      <c r="I1032" s="17" t="n">
        <v>0.3</v>
      </c>
      <c r="J1032" s="18" t="n">
        <v>185.79</v>
      </c>
      <c r="K1032" s="19" t="n">
        <v>-26.96</v>
      </c>
      <c r="L1032" s="15" t="n">
        <f aca="false">YEAR(B1032)</f>
        <v>2024</v>
      </c>
      <c r="M1032" s="20" t="n">
        <f aca="false">IF(J1032&gt;0,K1032/J1032,0)</f>
        <v>-0.145110070509715</v>
      </c>
    </row>
    <row r="1033" customFormat="false" ht="15" hidden="false" customHeight="false" outlineLevel="0" collapsed="false">
      <c r="A1033" s="15" t="s">
        <v>1090</v>
      </c>
      <c r="B1033" s="16" t="n">
        <v>44826</v>
      </c>
      <c r="C1033" s="15" t="s">
        <v>56</v>
      </c>
      <c r="D1033" s="15" t="s">
        <v>42</v>
      </c>
      <c r="E1033" s="15" t="s">
        <v>36</v>
      </c>
      <c r="F1033" s="15" t="s">
        <v>17</v>
      </c>
      <c r="G1033" s="15" t="s">
        <v>28</v>
      </c>
      <c r="H1033" s="15" t="n">
        <v>3</v>
      </c>
      <c r="I1033" s="17" t="n">
        <v>0</v>
      </c>
      <c r="J1033" s="18" t="n">
        <v>77.88</v>
      </c>
      <c r="K1033" s="19" t="n">
        <v>23.78</v>
      </c>
      <c r="L1033" s="15" t="n">
        <f aca="false">YEAR(B1033)</f>
        <v>2022</v>
      </c>
      <c r="M1033" s="20" t="n">
        <f aca="false">IF(J1033&gt;0,K1033/J1033,0)</f>
        <v>0.305341551104263</v>
      </c>
    </row>
    <row r="1034" customFormat="false" ht="15" hidden="false" customHeight="false" outlineLevel="0" collapsed="false">
      <c r="A1034" s="15" t="s">
        <v>1091</v>
      </c>
      <c r="B1034" s="16" t="n">
        <v>45552</v>
      </c>
      <c r="C1034" s="15" t="s">
        <v>56</v>
      </c>
      <c r="D1034" s="15" t="s">
        <v>42</v>
      </c>
      <c r="E1034" s="15" t="s">
        <v>38</v>
      </c>
      <c r="F1034" s="15" t="s">
        <v>17</v>
      </c>
      <c r="G1034" s="15" t="s">
        <v>31</v>
      </c>
      <c r="H1034" s="15" t="n">
        <v>2</v>
      </c>
      <c r="I1034" s="17" t="n">
        <v>0.2</v>
      </c>
      <c r="J1034" s="18" t="n">
        <v>171.23</v>
      </c>
      <c r="K1034" s="19" t="n">
        <v>-2.9</v>
      </c>
      <c r="L1034" s="15" t="n">
        <f aca="false">YEAR(B1034)</f>
        <v>2024</v>
      </c>
      <c r="M1034" s="20" t="n">
        <f aca="false">IF(J1034&gt;0,K1034/J1034,0)</f>
        <v>-0.0169362845295801</v>
      </c>
    </row>
    <row r="1035" customFormat="false" ht="15" hidden="false" customHeight="false" outlineLevel="0" collapsed="false">
      <c r="A1035" s="15" t="s">
        <v>1092</v>
      </c>
      <c r="B1035" s="16" t="n">
        <v>44921</v>
      </c>
      <c r="C1035" s="15" t="s">
        <v>56</v>
      </c>
      <c r="D1035" s="15" t="s">
        <v>44</v>
      </c>
      <c r="E1035" s="15" t="s">
        <v>36</v>
      </c>
      <c r="F1035" s="15" t="s">
        <v>18</v>
      </c>
      <c r="G1035" s="15" t="s">
        <v>32</v>
      </c>
      <c r="H1035" s="15" t="n">
        <v>2</v>
      </c>
      <c r="I1035" s="17" t="n">
        <v>0.1</v>
      </c>
      <c r="J1035" s="18" t="n">
        <v>643.53</v>
      </c>
      <c r="K1035" s="19" t="n">
        <v>52.49</v>
      </c>
      <c r="L1035" s="15" t="n">
        <f aca="false">YEAR(B1035)</f>
        <v>2022</v>
      </c>
      <c r="M1035" s="20" t="n">
        <f aca="false">IF(J1035&gt;0,K1035/J1035,0)</f>
        <v>0.0815657389709882</v>
      </c>
    </row>
    <row r="1036" customFormat="false" ht="15" hidden="false" customHeight="false" outlineLevel="0" collapsed="false">
      <c r="A1036" s="15" t="s">
        <v>1093</v>
      </c>
      <c r="B1036" s="16" t="n">
        <v>44877</v>
      </c>
      <c r="C1036" s="15" t="s">
        <v>71</v>
      </c>
      <c r="D1036" s="15" t="s">
        <v>43</v>
      </c>
      <c r="E1036" s="15" t="s">
        <v>37</v>
      </c>
      <c r="F1036" s="15" t="s">
        <v>17</v>
      </c>
      <c r="G1036" s="15" t="s">
        <v>26</v>
      </c>
      <c r="H1036" s="15" t="n">
        <v>5</v>
      </c>
      <c r="I1036" s="17" t="n">
        <v>0</v>
      </c>
      <c r="J1036" s="18" t="n">
        <v>448.56</v>
      </c>
      <c r="K1036" s="19" t="n">
        <v>36.68</v>
      </c>
      <c r="L1036" s="15" t="n">
        <f aca="false">YEAR(B1036)</f>
        <v>2022</v>
      </c>
      <c r="M1036" s="20" t="n">
        <f aca="false">IF(J1036&gt;0,K1036/J1036,0)</f>
        <v>0.081772784019975</v>
      </c>
    </row>
    <row r="1037" customFormat="false" ht="15" hidden="false" customHeight="false" outlineLevel="0" collapsed="false">
      <c r="A1037" s="15" t="s">
        <v>1094</v>
      </c>
      <c r="B1037" s="16" t="n">
        <v>45491</v>
      </c>
      <c r="C1037" s="15" t="s">
        <v>56</v>
      </c>
      <c r="D1037" s="15" t="s">
        <v>44</v>
      </c>
      <c r="E1037" s="15" t="s">
        <v>39</v>
      </c>
      <c r="F1037" s="15" t="s">
        <v>17</v>
      </c>
      <c r="G1037" s="15" t="s">
        <v>31</v>
      </c>
      <c r="H1037" s="15" t="n">
        <v>5</v>
      </c>
      <c r="I1037" s="17" t="n">
        <v>0.3</v>
      </c>
      <c r="J1037" s="18" t="n">
        <v>534.65</v>
      </c>
      <c r="K1037" s="19" t="n">
        <v>-31.26</v>
      </c>
      <c r="L1037" s="15" t="n">
        <f aca="false">YEAR(B1037)</f>
        <v>2024</v>
      </c>
      <c r="M1037" s="20" t="n">
        <f aca="false">IF(J1037&gt;0,K1037/J1037,0)</f>
        <v>-0.0584681567380529</v>
      </c>
    </row>
    <row r="1038" customFormat="false" ht="15" hidden="false" customHeight="false" outlineLevel="0" collapsed="false">
      <c r="A1038" s="15" t="s">
        <v>1095</v>
      </c>
      <c r="B1038" s="16" t="n">
        <v>45450</v>
      </c>
      <c r="C1038" s="15" t="s">
        <v>56</v>
      </c>
      <c r="D1038" s="15" t="s">
        <v>42</v>
      </c>
      <c r="E1038" s="15" t="s">
        <v>36</v>
      </c>
      <c r="F1038" s="15" t="s">
        <v>17</v>
      </c>
      <c r="G1038" s="15" t="s">
        <v>29</v>
      </c>
      <c r="H1038" s="15" t="n">
        <v>5</v>
      </c>
      <c r="I1038" s="17" t="n">
        <v>0.1</v>
      </c>
      <c r="J1038" s="18" t="n">
        <v>56.21</v>
      </c>
      <c r="K1038" s="19" t="n">
        <v>16.35</v>
      </c>
      <c r="L1038" s="15" t="n">
        <f aca="false">YEAR(B1038)</f>
        <v>2024</v>
      </c>
      <c r="M1038" s="20" t="n">
        <f aca="false">IF(J1038&gt;0,K1038/J1038,0)</f>
        <v>0.290873510051592</v>
      </c>
    </row>
    <row r="1039" customFormat="false" ht="15" hidden="false" customHeight="false" outlineLevel="0" collapsed="false">
      <c r="A1039" s="15" t="s">
        <v>1096</v>
      </c>
      <c r="B1039" s="16" t="n">
        <v>45977</v>
      </c>
      <c r="C1039" s="15" t="s">
        <v>68</v>
      </c>
      <c r="D1039" s="15" t="s">
        <v>44</v>
      </c>
      <c r="E1039" s="15" t="s">
        <v>36</v>
      </c>
      <c r="F1039" s="15" t="s">
        <v>16</v>
      </c>
      <c r="G1039" s="15" t="s">
        <v>27</v>
      </c>
      <c r="H1039" s="15" t="n">
        <v>3</v>
      </c>
      <c r="I1039" s="17" t="n">
        <v>0</v>
      </c>
      <c r="J1039" s="18" t="n">
        <v>172.19</v>
      </c>
      <c r="K1039" s="19" t="n">
        <v>34.07</v>
      </c>
      <c r="L1039" s="15" t="n">
        <f aca="false">YEAR(B1039)</f>
        <v>2025</v>
      </c>
      <c r="M1039" s="20" t="n">
        <f aca="false">IF(J1039&gt;0,K1039/J1039,0)</f>
        <v>0.197862825948081</v>
      </c>
    </row>
    <row r="1040" customFormat="false" ht="15" hidden="false" customHeight="false" outlineLevel="0" collapsed="false">
      <c r="A1040" s="15" t="s">
        <v>1097</v>
      </c>
      <c r="B1040" s="16" t="n">
        <v>45083</v>
      </c>
      <c r="C1040" s="15" t="s">
        <v>58</v>
      </c>
      <c r="D1040" s="15" t="s">
        <v>43</v>
      </c>
      <c r="E1040" s="15" t="s">
        <v>37</v>
      </c>
      <c r="F1040" s="15" t="s">
        <v>17</v>
      </c>
      <c r="G1040" s="15" t="s">
        <v>26</v>
      </c>
      <c r="H1040" s="15" t="n">
        <v>4</v>
      </c>
      <c r="I1040" s="17" t="n">
        <v>0</v>
      </c>
      <c r="J1040" s="18" t="n">
        <v>367.57</v>
      </c>
      <c r="K1040" s="19" t="n">
        <v>57.25</v>
      </c>
      <c r="L1040" s="15" t="n">
        <f aca="false">YEAR(B1040)</f>
        <v>2023</v>
      </c>
      <c r="M1040" s="20" t="n">
        <f aca="false">IF(J1040&gt;0,K1040/J1040,0)</f>
        <v>0.15575264575455</v>
      </c>
    </row>
    <row r="1041" customFormat="false" ht="15" hidden="false" customHeight="false" outlineLevel="0" collapsed="false">
      <c r="A1041" s="15" t="s">
        <v>1098</v>
      </c>
      <c r="B1041" s="16" t="n">
        <v>45221</v>
      </c>
      <c r="C1041" s="15" t="s">
        <v>56</v>
      </c>
      <c r="D1041" s="15" t="s">
        <v>42</v>
      </c>
      <c r="E1041" s="15" t="s">
        <v>36</v>
      </c>
      <c r="F1041" s="15" t="s">
        <v>17</v>
      </c>
      <c r="G1041" s="15" t="s">
        <v>29</v>
      </c>
      <c r="H1041" s="15" t="n">
        <v>4</v>
      </c>
      <c r="I1041" s="17" t="n">
        <v>0.1</v>
      </c>
      <c r="J1041" s="18" t="n">
        <v>61.39</v>
      </c>
      <c r="K1041" s="19" t="n">
        <v>14.99</v>
      </c>
      <c r="L1041" s="15" t="n">
        <f aca="false">YEAR(B1041)</f>
        <v>2023</v>
      </c>
      <c r="M1041" s="20" t="n">
        <f aca="false">IF(J1041&gt;0,K1041/J1041,0)</f>
        <v>0.244176575989575</v>
      </c>
    </row>
    <row r="1042" customFormat="false" ht="15" hidden="false" customHeight="false" outlineLevel="0" collapsed="false">
      <c r="A1042" s="15" t="s">
        <v>1099</v>
      </c>
      <c r="B1042" s="16" t="n">
        <v>45385</v>
      </c>
      <c r="C1042" s="15" t="s">
        <v>56</v>
      </c>
      <c r="D1042" s="15" t="s">
        <v>43</v>
      </c>
      <c r="E1042" s="15" t="s">
        <v>39</v>
      </c>
      <c r="F1042" s="15" t="s">
        <v>16</v>
      </c>
      <c r="G1042" s="15" t="s">
        <v>27</v>
      </c>
      <c r="H1042" s="15" t="n">
        <v>6</v>
      </c>
      <c r="I1042" s="17" t="n">
        <v>0.1</v>
      </c>
      <c r="J1042" s="18" t="n">
        <v>321.47</v>
      </c>
      <c r="K1042" s="19" t="n">
        <v>66.05</v>
      </c>
      <c r="L1042" s="15" t="n">
        <f aca="false">YEAR(B1042)</f>
        <v>2024</v>
      </c>
      <c r="M1042" s="20" t="n">
        <f aca="false">IF(J1042&gt;0,K1042/J1042,0)</f>
        <v>0.205462407067534</v>
      </c>
    </row>
    <row r="1043" customFormat="false" ht="15" hidden="false" customHeight="false" outlineLevel="0" collapsed="false">
      <c r="A1043" s="15" t="s">
        <v>1100</v>
      </c>
      <c r="B1043" s="16" t="n">
        <v>45763</v>
      </c>
      <c r="C1043" s="15" t="s">
        <v>68</v>
      </c>
      <c r="D1043" s="15" t="s">
        <v>42</v>
      </c>
      <c r="E1043" s="15" t="s">
        <v>38</v>
      </c>
      <c r="F1043" s="15" t="s">
        <v>17</v>
      </c>
      <c r="G1043" s="15" t="s">
        <v>29</v>
      </c>
      <c r="H1043" s="15" t="n">
        <v>2</v>
      </c>
      <c r="I1043" s="17" t="n">
        <v>0.1</v>
      </c>
      <c r="J1043" s="18" t="n">
        <v>25.77</v>
      </c>
      <c r="K1043" s="19" t="n">
        <v>6.61</v>
      </c>
      <c r="L1043" s="15" t="n">
        <f aca="false">YEAR(B1043)</f>
        <v>2025</v>
      </c>
      <c r="M1043" s="20" t="n">
        <f aca="false">IF(J1043&gt;0,K1043/J1043,0)</f>
        <v>0.256499805975941</v>
      </c>
    </row>
    <row r="1044" customFormat="false" ht="15" hidden="false" customHeight="false" outlineLevel="0" collapsed="false">
      <c r="A1044" s="15" t="s">
        <v>1101</v>
      </c>
      <c r="B1044" s="16" t="n">
        <v>45391</v>
      </c>
      <c r="C1044" s="15" t="s">
        <v>56</v>
      </c>
      <c r="D1044" s="15" t="s">
        <v>44</v>
      </c>
      <c r="E1044" s="15" t="s">
        <v>36</v>
      </c>
      <c r="F1044" s="15" t="s">
        <v>16</v>
      </c>
      <c r="G1044" s="15" t="s">
        <v>25</v>
      </c>
      <c r="H1044" s="15" t="n">
        <v>4</v>
      </c>
      <c r="I1044" s="17" t="n">
        <v>0.3</v>
      </c>
      <c r="J1044" s="18" t="n">
        <v>835.26</v>
      </c>
      <c r="K1044" s="19" t="n">
        <v>-109.32</v>
      </c>
      <c r="L1044" s="15" t="n">
        <f aca="false">YEAR(B1044)</f>
        <v>2024</v>
      </c>
      <c r="M1044" s="20" t="n">
        <f aca="false">IF(J1044&gt;0,K1044/J1044,0)</f>
        <v>-0.130881402198118</v>
      </c>
    </row>
    <row r="1045" customFormat="false" ht="15" hidden="false" customHeight="false" outlineLevel="0" collapsed="false">
      <c r="A1045" s="15" t="s">
        <v>1102</v>
      </c>
      <c r="B1045" s="16" t="n">
        <v>45098</v>
      </c>
      <c r="C1045" s="15" t="s">
        <v>56</v>
      </c>
      <c r="D1045" s="15" t="s">
        <v>42</v>
      </c>
      <c r="E1045" s="15" t="s">
        <v>39</v>
      </c>
      <c r="F1045" s="15" t="s">
        <v>18</v>
      </c>
      <c r="G1045" s="15" t="s">
        <v>33</v>
      </c>
      <c r="H1045" s="15" t="n">
        <v>4</v>
      </c>
      <c r="I1045" s="17" t="n">
        <v>0.15</v>
      </c>
      <c r="J1045" s="18" t="n">
        <v>3163.67</v>
      </c>
      <c r="K1045" s="19" t="n">
        <v>437.13</v>
      </c>
      <c r="L1045" s="15" t="n">
        <f aca="false">YEAR(B1045)</f>
        <v>2023</v>
      </c>
      <c r="M1045" s="20" t="n">
        <f aca="false">IF(J1045&gt;0,K1045/J1045,0)</f>
        <v>0.138171806794008</v>
      </c>
    </row>
    <row r="1046" customFormat="false" ht="15" hidden="false" customHeight="false" outlineLevel="0" collapsed="false">
      <c r="A1046" s="15" t="s">
        <v>1103</v>
      </c>
      <c r="B1046" s="16" t="n">
        <v>45981</v>
      </c>
      <c r="C1046" s="15" t="s">
        <v>56</v>
      </c>
      <c r="D1046" s="15" t="s">
        <v>42</v>
      </c>
      <c r="E1046" s="15" t="s">
        <v>36</v>
      </c>
      <c r="F1046" s="15" t="s">
        <v>17</v>
      </c>
      <c r="G1046" s="15" t="s">
        <v>28</v>
      </c>
      <c r="H1046" s="15" t="n">
        <v>3</v>
      </c>
      <c r="I1046" s="17" t="n">
        <v>0.1</v>
      </c>
      <c r="J1046" s="18" t="n">
        <v>65.3</v>
      </c>
      <c r="K1046" s="19" t="n">
        <v>16.01</v>
      </c>
      <c r="L1046" s="15" t="n">
        <f aca="false">YEAR(B1046)</f>
        <v>2025</v>
      </c>
      <c r="M1046" s="20" t="n">
        <f aca="false">IF(J1046&gt;0,K1046/J1046,0)</f>
        <v>0.245176110260337</v>
      </c>
    </row>
    <row r="1047" customFormat="false" ht="15" hidden="false" customHeight="false" outlineLevel="0" collapsed="false">
      <c r="A1047" s="15" t="s">
        <v>1104</v>
      </c>
      <c r="B1047" s="16" t="n">
        <v>45201</v>
      </c>
      <c r="C1047" s="15" t="s">
        <v>71</v>
      </c>
      <c r="D1047" s="15" t="s">
        <v>42</v>
      </c>
      <c r="E1047" s="15" t="s">
        <v>36</v>
      </c>
      <c r="F1047" s="15" t="s">
        <v>17</v>
      </c>
      <c r="G1047" s="15" t="s">
        <v>29</v>
      </c>
      <c r="H1047" s="15" t="n">
        <v>3</v>
      </c>
      <c r="I1047" s="17" t="n">
        <v>0.1</v>
      </c>
      <c r="J1047" s="18" t="n">
        <v>42.39</v>
      </c>
      <c r="K1047" s="19" t="n">
        <v>14.37</v>
      </c>
      <c r="L1047" s="15" t="n">
        <f aca="false">YEAR(B1047)</f>
        <v>2023</v>
      </c>
      <c r="M1047" s="20" t="n">
        <f aca="false">IF(J1047&gt;0,K1047/J1047,0)</f>
        <v>0.338995046001415</v>
      </c>
    </row>
    <row r="1048" customFormat="false" ht="15" hidden="false" customHeight="false" outlineLevel="0" collapsed="false">
      <c r="A1048" s="15" t="s">
        <v>1105</v>
      </c>
      <c r="B1048" s="16" t="n">
        <v>45160</v>
      </c>
      <c r="C1048" s="15" t="s">
        <v>56</v>
      </c>
      <c r="D1048" s="15" t="s">
        <v>44</v>
      </c>
      <c r="E1048" s="15" t="s">
        <v>36</v>
      </c>
      <c r="F1048" s="15" t="s">
        <v>17</v>
      </c>
      <c r="G1048" s="15" t="s">
        <v>29</v>
      </c>
      <c r="H1048" s="15" t="n">
        <v>2</v>
      </c>
      <c r="I1048" s="17" t="n">
        <v>0</v>
      </c>
      <c r="J1048" s="18" t="n">
        <v>32.97</v>
      </c>
      <c r="K1048" s="19" t="n">
        <v>9.77</v>
      </c>
      <c r="L1048" s="15" t="n">
        <f aca="false">YEAR(B1048)</f>
        <v>2023</v>
      </c>
      <c r="M1048" s="20" t="n">
        <f aca="false">IF(J1048&gt;0,K1048/J1048,0)</f>
        <v>0.29632999696694</v>
      </c>
    </row>
    <row r="1049" customFormat="false" ht="15" hidden="false" customHeight="false" outlineLevel="0" collapsed="false">
      <c r="A1049" s="15" t="s">
        <v>1106</v>
      </c>
      <c r="B1049" s="16" t="n">
        <v>45253</v>
      </c>
      <c r="C1049" s="15" t="s">
        <v>58</v>
      </c>
      <c r="D1049" s="15" t="s">
        <v>43</v>
      </c>
      <c r="E1049" s="15" t="s">
        <v>37</v>
      </c>
      <c r="F1049" s="15" t="s">
        <v>17</v>
      </c>
      <c r="G1049" s="15" t="s">
        <v>31</v>
      </c>
      <c r="H1049" s="15" t="n">
        <v>3</v>
      </c>
      <c r="I1049" s="17" t="n">
        <v>0.05</v>
      </c>
      <c r="J1049" s="18" t="n">
        <v>393.2</v>
      </c>
      <c r="K1049" s="19" t="n">
        <v>60.32</v>
      </c>
      <c r="L1049" s="15" t="n">
        <f aca="false">YEAR(B1049)</f>
        <v>2023</v>
      </c>
      <c r="M1049" s="20" t="n">
        <f aca="false">IF(J1049&gt;0,K1049/J1049,0)</f>
        <v>0.153407934893184</v>
      </c>
    </row>
    <row r="1050" customFormat="false" ht="15" hidden="false" customHeight="false" outlineLevel="0" collapsed="false">
      <c r="A1050" s="15" t="s">
        <v>1107</v>
      </c>
      <c r="B1050" s="16" t="n">
        <v>45501</v>
      </c>
      <c r="C1050" s="15" t="s">
        <v>56</v>
      </c>
      <c r="D1050" s="15" t="s">
        <v>42</v>
      </c>
      <c r="E1050" s="15" t="s">
        <v>37</v>
      </c>
      <c r="F1050" s="15" t="s">
        <v>17</v>
      </c>
      <c r="G1050" s="15" t="s">
        <v>26</v>
      </c>
      <c r="H1050" s="15" t="n">
        <v>3</v>
      </c>
      <c r="I1050" s="17" t="n">
        <v>0.3</v>
      </c>
      <c r="J1050" s="18" t="n">
        <v>187.98</v>
      </c>
      <c r="K1050" s="19" t="n">
        <v>-26.03</v>
      </c>
      <c r="L1050" s="15" t="n">
        <f aca="false">YEAR(B1050)</f>
        <v>2024</v>
      </c>
      <c r="M1050" s="20" t="n">
        <f aca="false">IF(J1050&gt;0,K1050/J1050,0)</f>
        <v>-0.138472177891265</v>
      </c>
    </row>
    <row r="1051" customFormat="false" ht="15" hidden="false" customHeight="false" outlineLevel="0" collapsed="false">
      <c r="A1051" s="15" t="s">
        <v>1108</v>
      </c>
      <c r="B1051" s="16" t="n">
        <v>45599</v>
      </c>
      <c r="C1051" s="15" t="s">
        <v>56</v>
      </c>
      <c r="D1051" s="15" t="s">
        <v>44</v>
      </c>
      <c r="E1051" s="15" t="s">
        <v>37</v>
      </c>
      <c r="F1051" s="15" t="s">
        <v>17</v>
      </c>
      <c r="G1051" s="15" t="s">
        <v>28</v>
      </c>
      <c r="H1051" s="15" t="n">
        <v>3</v>
      </c>
      <c r="I1051" s="17" t="n">
        <v>0</v>
      </c>
      <c r="J1051" s="18" t="n">
        <v>68.04</v>
      </c>
      <c r="K1051" s="19" t="n">
        <v>15.13</v>
      </c>
      <c r="L1051" s="15" t="n">
        <f aca="false">YEAR(B1051)</f>
        <v>2024</v>
      </c>
      <c r="M1051" s="20" t="n">
        <f aca="false">IF(J1051&gt;0,K1051/J1051,0)</f>
        <v>0.222369194591417</v>
      </c>
    </row>
    <row r="1052" customFormat="false" ht="15" hidden="false" customHeight="false" outlineLevel="0" collapsed="false">
      <c r="A1052" s="15" t="s">
        <v>1109</v>
      </c>
      <c r="B1052" s="16" t="n">
        <v>44895</v>
      </c>
      <c r="C1052" s="15" t="s">
        <v>56</v>
      </c>
      <c r="D1052" s="15" t="s">
        <v>42</v>
      </c>
      <c r="E1052" s="15" t="s">
        <v>38</v>
      </c>
      <c r="F1052" s="15" t="s">
        <v>16</v>
      </c>
      <c r="G1052" s="15" t="s">
        <v>23</v>
      </c>
      <c r="H1052" s="15" t="n">
        <v>4</v>
      </c>
      <c r="I1052" s="17" t="n">
        <v>0.15</v>
      </c>
      <c r="J1052" s="18" t="n">
        <v>1099.68</v>
      </c>
      <c r="K1052" s="19" t="n">
        <v>-132.81</v>
      </c>
      <c r="L1052" s="15" t="n">
        <f aca="false">YEAR(B1052)</f>
        <v>2022</v>
      </c>
      <c r="M1052" s="20" t="n">
        <f aca="false">IF(J1052&gt;0,K1052/J1052,0)</f>
        <v>-0.120771497162811</v>
      </c>
    </row>
    <row r="1053" customFormat="false" ht="15" hidden="false" customHeight="false" outlineLevel="0" collapsed="false">
      <c r="A1053" s="15" t="s">
        <v>1110</v>
      </c>
      <c r="B1053" s="16" t="n">
        <v>45993</v>
      </c>
      <c r="C1053" s="15" t="s">
        <v>71</v>
      </c>
      <c r="D1053" s="15" t="s">
        <v>43</v>
      </c>
      <c r="E1053" s="15" t="s">
        <v>39</v>
      </c>
      <c r="F1053" s="15" t="s">
        <v>18</v>
      </c>
      <c r="G1053" s="15" t="s">
        <v>32</v>
      </c>
      <c r="H1053" s="15" t="n">
        <v>6</v>
      </c>
      <c r="I1053" s="17" t="n">
        <v>0</v>
      </c>
      <c r="J1053" s="18" t="n">
        <v>3015.09</v>
      </c>
      <c r="K1053" s="19" t="n">
        <v>436.82</v>
      </c>
      <c r="L1053" s="15" t="n">
        <f aca="false">YEAR(B1053)</f>
        <v>2025</v>
      </c>
      <c r="M1053" s="20" t="n">
        <f aca="false">IF(J1053&gt;0,K1053/J1053,0)</f>
        <v>0.14487793067537</v>
      </c>
    </row>
    <row r="1054" customFormat="false" ht="15" hidden="false" customHeight="false" outlineLevel="0" collapsed="false">
      <c r="A1054" s="15" t="s">
        <v>1111</v>
      </c>
      <c r="B1054" s="16" t="n">
        <v>45225</v>
      </c>
      <c r="C1054" s="15" t="s">
        <v>71</v>
      </c>
      <c r="D1054" s="15" t="s">
        <v>43</v>
      </c>
      <c r="E1054" s="15" t="s">
        <v>38</v>
      </c>
      <c r="F1054" s="15" t="s">
        <v>17</v>
      </c>
      <c r="G1054" s="15" t="s">
        <v>31</v>
      </c>
      <c r="H1054" s="15" t="n">
        <v>2</v>
      </c>
      <c r="I1054" s="17" t="n">
        <v>0.05</v>
      </c>
      <c r="J1054" s="18" t="n">
        <v>247.74</v>
      </c>
      <c r="K1054" s="19" t="n">
        <v>34.82</v>
      </c>
      <c r="L1054" s="15" t="n">
        <f aca="false">YEAR(B1054)</f>
        <v>2023</v>
      </c>
      <c r="M1054" s="20" t="n">
        <f aca="false">IF(J1054&gt;0,K1054/J1054,0)</f>
        <v>0.140550577218051</v>
      </c>
    </row>
    <row r="1055" customFormat="false" ht="15" hidden="false" customHeight="false" outlineLevel="0" collapsed="false">
      <c r="A1055" s="15" t="s">
        <v>1112</v>
      </c>
      <c r="B1055" s="16" t="n">
        <v>45842</v>
      </c>
      <c r="C1055" s="15" t="s">
        <v>68</v>
      </c>
      <c r="D1055" s="15" t="s">
        <v>42</v>
      </c>
      <c r="E1055" s="15" t="s">
        <v>39</v>
      </c>
      <c r="F1055" s="15" t="s">
        <v>17</v>
      </c>
      <c r="G1055" s="15" t="s">
        <v>29</v>
      </c>
      <c r="H1055" s="15" t="n">
        <v>5</v>
      </c>
      <c r="I1055" s="17" t="n">
        <v>0.05</v>
      </c>
      <c r="J1055" s="18" t="n">
        <v>95.42</v>
      </c>
      <c r="K1055" s="19" t="n">
        <v>30.75</v>
      </c>
      <c r="L1055" s="15" t="n">
        <f aca="false">YEAR(B1055)</f>
        <v>2025</v>
      </c>
      <c r="M1055" s="20" t="n">
        <f aca="false">IF(J1055&gt;0,K1055/J1055,0)</f>
        <v>0.322259484384825</v>
      </c>
    </row>
    <row r="1056" customFormat="false" ht="15" hidden="false" customHeight="false" outlineLevel="0" collapsed="false">
      <c r="A1056" s="15" t="s">
        <v>1113</v>
      </c>
      <c r="B1056" s="16" t="n">
        <v>45871</v>
      </c>
      <c r="C1056" s="15" t="s">
        <v>56</v>
      </c>
      <c r="D1056" s="15" t="s">
        <v>42</v>
      </c>
      <c r="E1056" s="15" t="s">
        <v>37</v>
      </c>
      <c r="F1056" s="15" t="s">
        <v>17</v>
      </c>
      <c r="G1056" s="15" t="s">
        <v>29</v>
      </c>
      <c r="H1056" s="15" t="n">
        <v>4</v>
      </c>
      <c r="I1056" s="17" t="n">
        <v>0.2</v>
      </c>
      <c r="J1056" s="18" t="n">
        <v>49.05</v>
      </c>
      <c r="K1056" s="19" t="n">
        <v>13.77</v>
      </c>
      <c r="L1056" s="15" t="n">
        <f aca="false">YEAR(B1056)</f>
        <v>2025</v>
      </c>
      <c r="M1056" s="20" t="n">
        <f aca="false">IF(J1056&gt;0,K1056/J1056,0)</f>
        <v>0.280733944954128</v>
      </c>
    </row>
    <row r="1057" customFormat="false" ht="15" hidden="false" customHeight="false" outlineLevel="0" collapsed="false">
      <c r="A1057" s="15" t="s">
        <v>1114</v>
      </c>
      <c r="B1057" s="16" t="n">
        <v>45520</v>
      </c>
      <c r="C1057" s="15" t="s">
        <v>56</v>
      </c>
      <c r="D1057" s="15" t="s">
        <v>43</v>
      </c>
      <c r="E1057" s="15" t="s">
        <v>38</v>
      </c>
      <c r="F1057" s="15" t="s">
        <v>17</v>
      </c>
      <c r="G1057" s="15" t="s">
        <v>26</v>
      </c>
      <c r="H1057" s="15" t="n">
        <v>6</v>
      </c>
      <c r="I1057" s="17" t="n">
        <v>0.05</v>
      </c>
      <c r="J1057" s="18" t="n">
        <v>485.69</v>
      </c>
      <c r="K1057" s="19" t="n">
        <v>35.33</v>
      </c>
      <c r="L1057" s="15" t="n">
        <f aca="false">YEAR(B1057)</f>
        <v>2024</v>
      </c>
      <c r="M1057" s="20" t="n">
        <f aca="false">IF(J1057&gt;0,K1057/J1057,0)</f>
        <v>0.072741872387737</v>
      </c>
    </row>
    <row r="1058" customFormat="false" ht="15" hidden="false" customHeight="false" outlineLevel="0" collapsed="false">
      <c r="A1058" s="15" t="s">
        <v>1115</v>
      </c>
      <c r="B1058" s="16" t="n">
        <v>45152</v>
      </c>
      <c r="C1058" s="15" t="s">
        <v>56</v>
      </c>
      <c r="D1058" s="15" t="s">
        <v>43</v>
      </c>
      <c r="E1058" s="15" t="s">
        <v>37</v>
      </c>
      <c r="F1058" s="15" t="s">
        <v>18</v>
      </c>
      <c r="G1058" s="15" t="s">
        <v>30</v>
      </c>
      <c r="H1058" s="15" t="n">
        <v>7</v>
      </c>
      <c r="I1058" s="17" t="n">
        <v>0.1</v>
      </c>
      <c r="J1058" s="18" t="n">
        <v>365.71</v>
      </c>
      <c r="K1058" s="19" t="n">
        <v>104.15</v>
      </c>
      <c r="L1058" s="15" t="n">
        <f aca="false">YEAR(B1058)</f>
        <v>2023</v>
      </c>
      <c r="M1058" s="20" t="n">
        <f aca="false">IF(J1058&gt;0,K1058/J1058,0)</f>
        <v>0.28478849361516</v>
      </c>
    </row>
    <row r="1059" customFormat="false" ht="15" hidden="false" customHeight="false" outlineLevel="0" collapsed="false">
      <c r="A1059" s="15" t="s">
        <v>1116</v>
      </c>
      <c r="B1059" s="16" t="n">
        <v>45099</v>
      </c>
      <c r="C1059" s="15" t="s">
        <v>56</v>
      </c>
      <c r="D1059" s="15" t="s">
        <v>44</v>
      </c>
      <c r="E1059" s="15" t="s">
        <v>36</v>
      </c>
      <c r="F1059" s="15" t="s">
        <v>17</v>
      </c>
      <c r="G1059" s="15" t="s">
        <v>28</v>
      </c>
      <c r="H1059" s="15" t="n">
        <v>5</v>
      </c>
      <c r="I1059" s="17" t="n">
        <v>0.1</v>
      </c>
      <c r="J1059" s="18" t="n">
        <v>99.65</v>
      </c>
      <c r="K1059" s="19" t="n">
        <v>18.27</v>
      </c>
      <c r="L1059" s="15" t="n">
        <f aca="false">YEAR(B1059)</f>
        <v>2023</v>
      </c>
      <c r="M1059" s="20" t="n">
        <f aca="false">IF(J1059&gt;0,K1059/J1059,0)</f>
        <v>0.183341695935775</v>
      </c>
    </row>
    <row r="1060" customFormat="false" ht="15" hidden="false" customHeight="false" outlineLevel="0" collapsed="false">
      <c r="A1060" s="15" t="s">
        <v>1117</v>
      </c>
      <c r="B1060" s="16" t="n">
        <v>45673</v>
      </c>
      <c r="C1060" s="15" t="s">
        <v>58</v>
      </c>
      <c r="D1060" s="15" t="s">
        <v>42</v>
      </c>
      <c r="E1060" s="15" t="s">
        <v>39</v>
      </c>
      <c r="F1060" s="15" t="s">
        <v>17</v>
      </c>
      <c r="G1060" s="15" t="s">
        <v>26</v>
      </c>
      <c r="H1060" s="15" t="n">
        <v>7</v>
      </c>
      <c r="I1060" s="17" t="n">
        <v>0</v>
      </c>
      <c r="J1060" s="18" t="n">
        <v>679.78</v>
      </c>
      <c r="K1060" s="19" t="n">
        <v>79.43</v>
      </c>
      <c r="L1060" s="15" t="n">
        <f aca="false">YEAR(B1060)</f>
        <v>2025</v>
      </c>
      <c r="M1060" s="20" t="n">
        <f aca="false">IF(J1060&gt;0,K1060/J1060,0)</f>
        <v>0.116846626849863</v>
      </c>
    </row>
    <row r="1061" customFormat="false" ht="15" hidden="false" customHeight="false" outlineLevel="0" collapsed="false">
      <c r="A1061" s="15" t="s">
        <v>1118</v>
      </c>
      <c r="B1061" s="16" t="n">
        <v>44745</v>
      </c>
      <c r="C1061" s="15" t="s">
        <v>71</v>
      </c>
      <c r="D1061" s="15" t="s">
        <v>42</v>
      </c>
      <c r="E1061" s="15" t="s">
        <v>39</v>
      </c>
      <c r="F1061" s="15" t="s">
        <v>17</v>
      </c>
      <c r="G1061" s="15" t="s">
        <v>26</v>
      </c>
      <c r="H1061" s="15" t="n">
        <v>5</v>
      </c>
      <c r="I1061" s="17" t="n">
        <v>0.4</v>
      </c>
      <c r="J1061" s="18" t="n">
        <v>275.14</v>
      </c>
      <c r="K1061" s="19" t="n">
        <v>-69.53</v>
      </c>
      <c r="L1061" s="15" t="n">
        <f aca="false">YEAR(B1061)</f>
        <v>2022</v>
      </c>
      <c r="M1061" s="20" t="n">
        <f aca="false">IF(J1061&gt;0,K1061/J1061,0)</f>
        <v>-0.252707712437305</v>
      </c>
    </row>
    <row r="1062" customFormat="false" ht="15" hidden="false" customHeight="false" outlineLevel="0" collapsed="false">
      <c r="A1062" s="15" t="s">
        <v>1119</v>
      </c>
      <c r="B1062" s="16" t="n">
        <v>45267</v>
      </c>
      <c r="C1062" s="15" t="s">
        <v>56</v>
      </c>
      <c r="D1062" s="15" t="s">
        <v>44</v>
      </c>
      <c r="E1062" s="15" t="s">
        <v>37</v>
      </c>
      <c r="F1062" s="15" t="s">
        <v>16</v>
      </c>
      <c r="G1062" s="15" t="s">
        <v>22</v>
      </c>
      <c r="H1062" s="15" t="n">
        <v>3</v>
      </c>
      <c r="I1062" s="17" t="n">
        <v>0.1</v>
      </c>
      <c r="J1062" s="18" t="n">
        <v>1421.28</v>
      </c>
      <c r="K1062" s="19" t="n">
        <v>-105.02</v>
      </c>
      <c r="L1062" s="15" t="n">
        <f aca="false">YEAR(B1062)</f>
        <v>2023</v>
      </c>
      <c r="M1062" s="20" t="n">
        <f aca="false">IF(J1062&gt;0,K1062/J1062,0)</f>
        <v>-0.0738911403805021</v>
      </c>
    </row>
    <row r="1063" customFormat="false" ht="15" hidden="false" customHeight="false" outlineLevel="0" collapsed="false">
      <c r="A1063" s="15" t="s">
        <v>1120</v>
      </c>
      <c r="B1063" s="16" t="n">
        <v>45200</v>
      </c>
      <c r="C1063" s="15" t="s">
        <v>56</v>
      </c>
      <c r="D1063" s="15" t="s">
        <v>42</v>
      </c>
      <c r="E1063" s="15" t="s">
        <v>36</v>
      </c>
      <c r="F1063" s="15" t="s">
        <v>17</v>
      </c>
      <c r="G1063" s="15" t="s">
        <v>29</v>
      </c>
      <c r="H1063" s="15" t="n">
        <v>5</v>
      </c>
      <c r="I1063" s="17" t="n">
        <v>0.2</v>
      </c>
      <c r="J1063" s="18" t="n">
        <v>50.13</v>
      </c>
      <c r="K1063" s="19" t="n">
        <v>13.13</v>
      </c>
      <c r="L1063" s="15" t="n">
        <f aca="false">YEAR(B1063)</f>
        <v>2023</v>
      </c>
      <c r="M1063" s="20" t="n">
        <f aca="false">IF(J1063&gt;0,K1063/J1063,0)</f>
        <v>0.261919010572512</v>
      </c>
    </row>
    <row r="1064" customFormat="false" ht="15" hidden="false" customHeight="false" outlineLevel="0" collapsed="false">
      <c r="A1064" s="15" t="s">
        <v>1121</v>
      </c>
      <c r="B1064" s="16" t="n">
        <v>45558</v>
      </c>
      <c r="C1064" s="15" t="s">
        <v>56</v>
      </c>
      <c r="D1064" s="15" t="s">
        <v>44</v>
      </c>
      <c r="E1064" s="15" t="s">
        <v>37</v>
      </c>
      <c r="F1064" s="15" t="s">
        <v>18</v>
      </c>
      <c r="G1064" s="15" t="s">
        <v>32</v>
      </c>
      <c r="H1064" s="15" t="n">
        <v>3</v>
      </c>
      <c r="I1064" s="17" t="n">
        <v>0</v>
      </c>
      <c r="J1064" s="18" t="n">
        <v>1585.35</v>
      </c>
      <c r="K1064" s="19" t="n">
        <v>259.26</v>
      </c>
      <c r="L1064" s="15" t="n">
        <f aca="false">YEAR(B1064)</f>
        <v>2024</v>
      </c>
      <c r="M1064" s="20" t="n">
        <f aca="false">IF(J1064&gt;0,K1064/J1064,0)</f>
        <v>0.163534866117892</v>
      </c>
    </row>
    <row r="1065" customFormat="false" ht="15" hidden="false" customHeight="false" outlineLevel="0" collapsed="false">
      <c r="A1065" s="15" t="s">
        <v>1122</v>
      </c>
      <c r="B1065" s="16" t="n">
        <v>44919</v>
      </c>
      <c r="C1065" s="15" t="s">
        <v>56</v>
      </c>
      <c r="D1065" s="15" t="s">
        <v>42</v>
      </c>
      <c r="E1065" s="15" t="s">
        <v>39</v>
      </c>
      <c r="F1065" s="15" t="s">
        <v>16</v>
      </c>
      <c r="G1065" s="15" t="s">
        <v>25</v>
      </c>
      <c r="H1065" s="15" t="n">
        <v>2</v>
      </c>
      <c r="I1065" s="17" t="n">
        <v>0.15</v>
      </c>
      <c r="J1065" s="18" t="n">
        <v>572.13</v>
      </c>
      <c r="K1065" s="19" t="n">
        <v>-46.32</v>
      </c>
      <c r="L1065" s="15" t="n">
        <f aca="false">YEAR(B1065)</f>
        <v>2022</v>
      </c>
      <c r="M1065" s="20" t="n">
        <f aca="false">IF(J1065&gt;0,K1065/J1065,0)</f>
        <v>-0.0809606208379215</v>
      </c>
    </row>
    <row r="1066" customFormat="false" ht="15" hidden="false" customHeight="false" outlineLevel="0" collapsed="false">
      <c r="A1066" s="15" t="s">
        <v>1123</v>
      </c>
      <c r="B1066" s="16" t="n">
        <v>45987</v>
      </c>
      <c r="C1066" s="15" t="s">
        <v>58</v>
      </c>
      <c r="D1066" s="15" t="s">
        <v>44</v>
      </c>
      <c r="E1066" s="15" t="s">
        <v>39</v>
      </c>
      <c r="F1066" s="15" t="s">
        <v>17</v>
      </c>
      <c r="G1066" s="15" t="s">
        <v>28</v>
      </c>
      <c r="H1066" s="15" t="n">
        <v>4</v>
      </c>
      <c r="I1066" s="17" t="n">
        <v>0.1</v>
      </c>
      <c r="J1066" s="18" t="n">
        <v>85.73</v>
      </c>
      <c r="K1066" s="19" t="n">
        <v>19.47</v>
      </c>
      <c r="L1066" s="15" t="n">
        <f aca="false">YEAR(B1066)</f>
        <v>2025</v>
      </c>
      <c r="M1066" s="20" t="n">
        <f aca="false">IF(J1066&gt;0,K1066/J1066,0)</f>
        <v>0.227108363466698</v>
      </c>
    </row>
    <row r="1067" customFormat="false" ht="15" hidden="false" customHeight="false" outlineLevel="0" collapsed="false">
      <c r="A1067" s="15" t="s">
        <v>1124</v>
      </c>
      <c r="B1067" s="16" t="n">
        <v>45341</v>
      </c>
      <c r="C1067" s="15" t="s">
        <v>68</v>
      </c>
      <c r="D1067" s="15" t="s">
        <v>44</v>
      </c>
      <c r="E1067" s="15" t="s">
        <v>38</v>
      </c>
      <c r="F1067" s="15" t="s">
        <v>17</v>
      </c>
      <c r="G1067" s="15" t="s">
        <v>29</v>
      </c>
      <c r="H1067" s="15" t="n">
        <v>4</v>
      </c>
      <c r="I1067" s="17" t="n">
        <v>0.4</v>
      </c>
      <c r="J1067" s="18" t="n">
        <v>39.27</v>
      </c>
      <c r="K1067" s="19" t="n">
        <v>-0.51</v>
      </c>
      <c r="L1067" s="15" t="n">
        <f aca="false">YEAR(B1067)</f>
        <v>2024</v>
      </c>
      <c r="M1067" s="20" t="n">
        <f aca="false">IF(J1067&gt;0,K1067/J1067,0)</f>
        <v>-0.012987012987013</v>
      </c>
    </row>
    <row r="1068" customFormat="false" ht="15" hidden="false" customHeight="false" outlineLevel="0" collapsed="false">
      <c r="A1068" s="15" t="s">
        <v>1125</v>
      </c>
      <c r="B1068" s="16" t="n">
        <v>45335</v>
      </c>
      <c r="C1068" s="15" t="s">
        <v>56</v>
      </c>
      <c r="D1068" s="15" t="s">
        <v>42</v>
      </c>
      <c r="E1068" s="15" t="s">
        <v>38</v>
      </c>
      <c r="F1068" s="15" t="s">
        <v>18</v>
      </c>
      <c r="G1068" s="15" t="s">
        <v>32</v>
      </c>
      <c r="H1068" s="15" t="n">
        <v>3</v>
      </c>
      <c r="I1068" s="17" t="n">
        <v>0</v>
      </c>
      <c r="J1068" s="18" t="n">
        <v>1240.88</v>
      </c>
      <c r="K1068" s="19" t="n">
        <v>146.83</v>
      </c>
      <c r="L1068" s="15" t="n">
        <f aca="false">YEAR(B1068)</f>
        <v>2024</v>
      </c>
      <c r="M1068" s="20" t="n">
        <f aca="false">IF(J1068&gt;0,K1068/J1068,0)</f>
        <v>0.118327316098253</v>
      </c>
    </row>
    <row r="1069" customFormat="false" ht="15" hidden="false" customHeight="false" outlineLevel="0" collapsed="false">
      <c r="A1069" s="15" t="s">
        <v>1126</v>
      </c>
      <c r="B1069" s="16" t="n">
        <v>45419</v>
      </c>
      <c r="C1069" s="15" t="s">
        <v>58</v>
      </c>
      <c r="D1069" s="15" t="s">
        <v>44</v>
      </c>
      <c r="E1069" s="15" t="s">
        <v>37</v>
      </c>
      <c r="F1069" s="15" t="s">
        <v>17</v>
      </c>
      <c r="G1069" s="15" t="s">
        <v>28</v>
      </c>
      <c r="H1069" s="15" t="n">
        <v>2</v>
      </c>
      <c r="I1069" s="17" t="n">
        <v>0.1</v>
      </c>
      <c r="J1069" s="18" t="n">
        <v>45.58</v>
      </c>
      <c r="K1069" s="19" t="n">
        <v>10.24</v>
      </c>
      <c r="L1069" s="15" t="n">
        <f aca="false">YEAR(B1069)</f>
        <v>2024</v>
      </c>
      <c r="M1069" s="20" t="n">
        <f aca="false">IF(J1069&gt;0,K1069/J1069,0)</f>
        <v>0.224659938569548</v>
      </c>
    </row>
    <row r="1070" customFormat="false" ht="15" hidden="false" customHeight="false" outlineLevel="0" collapsed="false">
      <c r="A1070" s="15" t="s">
        <v>1127</v>
      </c>
      <c r="B1070" s="16" t="n">
        <v>45994</v>
      </c>
      <c r="C1070" s="15" t="s">
        <v>68</v>
      </c>
      <c r="D1070" s="15" t="s">
        <v>42</v>
      </c>
      <c r="E1070" s="15" t="s">
        <v>37</v>
      </c>
      <c r="F1070" s="15" t="s">
        <v>18</v>
      </c>
      <c r="G1070" s="15" t="s">
        <v>32</v>
      </c>
      <c r="H1070" s="15" t="n">
        <v>3</v>
      </c>
      <c r="I1070" s="17" t="n">
        <v>0.1</v>
      </c>
      <c r="J1070" s="18" t="n">
        <v>1217.67</v>
      </c>
      <c r="K1070" s="19" t="n">
        <v>50.51</v>
      </c>
      <c r="L1070" s="15" t="n">
        <f aca="false">YEAR(B1070)</f>
        <v>2025</v>
      </c>
      <c r="M1070" s="20" t="n">
        <f aca="false">IF(J1070&gt;0,K1070/J1070,0)</f>
        <v>0.0414808609886094</v>
      </c>
    </row>
    <row r="1071" customFormat="false" ht="15" hidden="false" customHeight="false" outlineLevel="0" collapsed="false">
      <c r="A1071" s="15" t="s">
        <v>1128</v>
      </c>
      <c r="B1071" s="16" t="n">
        <v>45987</v>
      </c>
      <c r="C1071" s="15" t="s">
        <v>56</v>
      </c>
      <c r="D1071" s="15" t="s">
        <v>42</v>
      </c>
      <c r="E1071" s="15" t="s">
        <v>36</v>
      </c>
      <c r="F1071" s="15" t="s">
        <v>18</v>
      </c>
      <c r="G1071" s="15" t="s">
        <v>33</v>
      </c>
      <c r="H1071" s="15" t="n">
        <v>4</v>
      </c>
      <c r="I1071" s="17" t="n">
        <v>0.1</v>
      </c>
      <c r="J1071" s="18" t="n">
        <v>3166.13</v>
      </c>
      <c r="K1071" s="19" t="n">
        <v>689.01</v>
      </c>
      <c r="L1071" s="15" t="n">
        <f aca="false">YEAR(B1071)</f>
        <v>2025</v>
      </c>
      <c r="M1071" s="20" t="n">
        <f aca="false">IF(J1071&gt;0,K1071/J1071,0)</f>
        <v>0.217618985954462</v>
      </c>
    </row>
    <row r="1072" customFormat="false" ht="15" hidden="false" customHeight="false" outlineLevel="0" collapsed="false">
      <c r="A1072" s="15" t="s">
        <v>1129</v>
      </c>
      <c r="B1072" s="16" t="n">
        <v>45472</v>
      </c>
      <c r="C1072" s="15" t="s">
        <v>56</v>
      </c>
      <c r="D1072" s="15" t="s">
        <v>44</v>
      </c>
      <c r="E1072" s="15" t="s">
        <v>37</v>
      </c>
      <c r="F1072" s="15" t="s">
        <v>17</v>
      </c>
      <c r="G1072" s="15" t="s">
        <v>31</v>
      </c>
      <c r="H1072" s="15" t="n">
        <v>5</v>
      </c>
      <c r="I1072" s="17" t="n">
        <v>0.05</v>
      </c>
      <c r="J1072" s="18" t="n">
        <v>589.68</v>
      </c>
      <c r="K1072" s="19" t="n">
        <v>117.7</v>
      </c>
      <c r="L1072" s="15" t="n">
        <f aca="false">YEAR(B1072)</f>
        <v>2024</v>
      </c>
      <c r="M1072" s="20" t="n">
        <f aca="false">IF(J1072&gt;0,K1072/J1072,0)</f>
        <v>0.199599782933116</v>
      </c>
    </row>
    <row r="1073" customFormat="false" ht="15" hidden="false" customHeight="false" outlineLevel="0" collapsed="false">
      <c r="A1073" s="15" t="s">
        <v>1130</v>
      </c>
      <c r="B1073" s="16" t="n">
        <v>45371</v>
      </c>
      <c r="C1073" s="15" t="s">
        <v>71</v>
      </c>
      <c r="D1073" s="15" t="s">
        <v>43</v>
      </c>
      <c r="E1073" s="15" t="s">
        <v>36</v>
      </c>
      <c r="F1073" s="15" t="s">
        <v>17</v>
      </c>
      <c r="G1073" s="15" t="s">
        <v>26</v>
      </c>
      <c r="H1073" s="15" t="n">
        <v>8</v>
      </c>
      <c r="I1073" s="17" t="n">
        <v>0.1</v>
      </c>
      <c r="J1073" s="18" t="n">
        <v>588</v>
      </c>
      <c r="K1073" s="19" t="n">
        <v>-8.14</v>
      </c>
      <c r="L1073" s="15" t="n">
        <f aca="false">YEAR(B1073)</f>
        <v>2024</v>
      </c>
      <c r="M1073" s="20" t="n">
        <f aca="false">IF(J1073&gt;0,K1073/J1073,0)</f>
        <v>-0.013843537414966</v>
      </c>
    </row>
    <row r="1074" customFormat="false" ht="15" hidden="false" customHeight="false" outlineLevel="0" collapsed="false">
      <c r="A1074" s="15" t="s">
        <v>1131</v>
      </c>
      <c r="B1074" s="16" t="n">
        <v>45361</v>
      </c>
      <c r="C1074" s="15" t="s">
        <v>56</v>
      </c>
      <c r="D1074" s="15" t="s">
        <v>42</v>
      </c>
      <c r="E1074" s="15" t="s">
        <v>37</v>
      </c>
      <c r="F1074" s="15" t="s">
        <v>17</v>
      </c>
      <c r="G1074" s="15" t="s">
        <v>28</v>
      </c>
      <c r="H1074" s="15" t="n">
        <v>4</v>
      </c>
      <c r="I1074" s="17" t="n">
        <v>0</v>
      </c>
      <c r="J1074" s="18" t="n">
        <v>90.61</v>
      </c>
      <c r="K1074" s="19" t="n">
        <v>24.82</v>
      </c>
      <c r="L1074" s="15" t="n">
        <f aca="false">YEAR(B1074)</f>
        <v>2024</v>
      </c>
      <c r="M1074" s="20" t="n">
        <f aca="false">IF(J1074&gt;0,K1074/J1074,0)</f>
        <v>0.273921200750469</v>
      </c>
    </row>
    <row r="1075" customFormat="false" ht="15" hidden="false" customHeight="false" outlineLevel="0" collapsed="false">
      <c r="A1075" s="15" t="s">
        <v>1132</v>
      </c>
      <c r="B1075" s="16" t="n">
        <v>45743</v>
      </c>
      <c r="C1075" s="15" t="s">
        <v>71</v>
      </c>
      <c r="D1075" s="15" t="s">
        <v>42</v>
      </c>
      <c r="E1075" s="15" t="s">
        <v>38</v>
      </c>
      <c r="F1075" s="15" t="s">
        <v>17</v>
      </c>
      <c r="G1075" s="15" t="s">
        <v>26</v>
      </c>
      <c r="H1075" s="15" t="n">
        <v>3</v>
      </c>
      <c r="I1075" s="17" t="n">
        <v>0</v>
      </c>
      <c r="J1075" s="18" t="n">
        <v>250.69</v>
      </c>
      <c r="K1075" s="19" t="n">
        <v>37.65</v>
      </c>
      <c r="L1075" s="15" t="n">
        <f aca="false">YEAR(B1075)</f>
        <v>2025</v>
      </c>
      <c r="M1075" s="20" t="n">
        <f aca="false">IF(J1075&gt;0,K1075/J1075,0)</f>
        <v>0.150185488052974</v>
      </c>
    </row>
    <row r="1076" customFormat="false" ht="15" hidden="false" customHeight="false" outlineLevel="0" collapsed="false">
      <c r="A1076" s="15" t="s">
        <v>1133</v>
      </c>
      <c r="B1076" s="16" t="n">
        <v>44911</v>
      </c>
      <c r="C1076" s="15" t="s">
        <v>56</v>
      </c>
      <c r="D1076" s="15" t="s">
        <v>42</v>
      </c>
      <c r="E1076" s="15" t="s">
        <v>36</v>
      </c>
      <c r="F1076" s="15" t="s">
        <v>17</v>
      </c>
      <c r="G1076" s="15" t="s">
        <v>29</v>
      </c>
      <c r="H1076" s="15" t="n">
        <v>5</v>
      </c>
      <c r="I1076" s="17" t="n">
        <v>0</v>
      </c>
      <c r="J1076" s="18" t="n">
        <v>91.9</v>
      </c>
      <c r="K1076" s="19" t="n">
        <v>30.7</v>
      </c>
      <c r="L1076" s="15" t="n">
        <f aca="false">YEAR(B1076)</f>
        <v>2022</v>
      </c>
      <c r="M1076" s="20" t="n">
        <f aca="false">IF(J1076&gt;0,K1076/J1076,0)</f>
        <v>0.334058759521219</v>
      </c>
    </row>
    <row r="1077" customFormat="false" ht="15" hidden="false" customHeight="false" outlineLevel="0" collapsed="false">
      <c r="A1077" s="15" t="s">
        <v>1134</v>
      </c>
      <c r="B1077" s="16" t="n">
        <v>45249</v>
      </c>
      <c r="C1077" s="15" t="s">
        <v>71</v>
      </c>
      <c r="D1077" s="15" t="s">
        <v>43</v>
      </c>
      <c r="E1077" s="15" t="s">
        <v>37</v>
      </c>
      <c r="F1077" s="15" t="s">
        <v>17</v>
      </c>
      <c r="G1077" s="15" t="s">
        <v>28</v>
      </c>
      <c r="H1077" s="15" t="n">
        <v>8</v>
      </c>
      <c r="I1077" s="17" t="n">
        <v>0</v>
      </c>
      <c r="J1077" s="18" t="n">
        <v>225.46</v>
      </c>
      <c r="K1077" s="19" t="n">
        <v>68.69</v>
      </c>
      <c r="L1077" s="15" t="n">
        <f aca="false">YEAR(B1077)</f>
        <v>2023</v>
      </c>
      <c r="M1077" s="20" t="n">
        <f aca="false">IF(J1077&gt;0,K1077/J1077,0)</f>
        <v>0.304666016144771</v>
      </c>
    </row>
    <row r="1078" customFormat="false" ht="15" hidden="false" customHeight="false" outlineLevel="0" collapsed="false">
      <c r="A1078" s="15" t="s">
        <v>1135</v>
      </c>
      <c r="B1078" s="16" t="n">
        <v>45444</v>
      </c>
      <c r="C1078" s="15" t="s">
        <v>56</v>
      </c>
      <c r="D1078" s="15" t="s">
        <v>43</v>
      </c>
      <c r="E1078" s="15" t="s">
        <v>36</v>
      </c>
      <c r="F1078" s="15" t="s">
        <v>17</v>
      </c>
      <c r="G1078" s="15" t="s">
        <v>29</v>
      </c>
      <c r="H1078" s="15" t="n">
        <v>6</v>
      </c>
      <c r="I1078" s="17" t="n">
        <v>0</v>
      </c>
      <c r="J1078" s="18" t="n">
        <v>111.15</v>
      </c>
      <c r="K1078" s="19" t="n">
        <v>53.82</v>
      </c>
      <c r="L1078" s="15" t="n">
        <f aca="false">YEAR(B1078)</f>
        <v>2024</v>
      </c>
      <c r="M1078" s="20" t="n">
        <f aca="false">IF(J1078&gt;0,K1078/J1078,0)</f>
        <v>0.484210526315789</v>
      </c>
    </row>
    <row r="1079" customFormat="false" ht="15" hidden="false" customHeight="false" outlineLevel="0" collapsed="false">
      <c r="A1079" s="15" t="s">
        <v>1136</v>
      </c>
      <c r="B1079" s="16" t="n">
        <v>44722</v>
      </c>
      <c r="C1079" s="15" t="s">
        <v>71</v>
      </c>
      <c r="D1079" s="15" t="s">
        <v>42</v>
      </c>
      <c r="E1079" s="15" t="s">
        <v>37</v>
      </c>
      <c r="F1079" s="15" t="s">
        <v>18</v>
      </c>
      <c r="G1079" s="15" t="s">
        <v>30</v>
      </c>
      <c r="H1079" s="15" t="n">
        <v>5</v>
      </c>
      <c r="I1079" s="17" t="n">
        <v>0.1</v>
      </c>
      <c r="J1079" s="18" t="n">
        <v>187.72</v>
      </c>
      <c r="K1079" s="19" t="n">
        <v>38.67</v>
      </c>
      <c r="L1079" s="15" t="n">
        <f aca="false">YEAR(B1079)</f>
        <v>2022</v>
      </c>
      <c r="M1079" s="20" t="n">
        <f aca="false">IF(J1079&gt;0,K1079/J1079,0)</f>
        <v>0.205998295333475</v>
      </c>
    </row>
    <row r="1080" customFormat="false" ht="15" hidden="false" customHeight="false" outlineLevel="0" collapsed="false">
      <c r="A1080" s="15" t="s">
        <v>1137</v>
      </c>
      <c r="B1080" s="16" t="n">
        <v>45408</v>
      </c>
      <c r="C1080" s="15" t="s">
        <v>56</v>
      </c>
      <c r="D1080" s="15" t="s">
        <v>42</v>
      </c>
      <c r="E1080" s="15" t="s">
        <v>39</v>
      </c>
      <c r="F1080" s="15" t="s">
        <v>17</v>
      </c>
      <c r="G1080" s="15" t="s">
        <v>28</v>
      </c>
      <c r="H1080" s="15" t="n">
        <v>4</v>
      </c>
      <c r="I1080" s="17" t="n">
        <v>0.2</v>
      </c>
      <c r="J1080" s="18" t="n">
        <v>80.72</v>
      </c>
      <c r="K1080" s="19" t="n">
        <v>11.75</v>
      </c>
      <c r="L1080" s="15" t="n">
        <f aca="false">YEAR(B1080)</f>
        <v>2024</v>
      </c>
      <c r="M1080" s="20" t="n">
        <f aca="false">IF(J1080&gt;0,K1080/J1080,0)</f>
        <v>0.145564915758176</v>
      </c>
    </row>
    <row r="1081" customFormat="false" ht="15" hidden="false" customHeight="false" outlineLevel="0" collapsed="false">
      <c r="A1081" s="15" t="s">
        <v>1138</v>
      </c>
      <c r="B1081" s="16" t="n">
        <v>44765</v>
      </c>
      <c r="C1081" s="15" t="s">
        <v>71</v>
      </c>
      <c r="D1081" s="15" t="s">
        <v>43</v>
      </c>
      <c r="E1081" s="15" t="s">
        <v>37</v>
      </c>
      <c r="F1081" s="15" t="s">
        <v>18</v>
      </c>
      <c r="G1081" s="15" t="s">
        <v>33</v>
      </c>
      <c r="H1081" s="15" t="n">
        <v>6</v>
      </c>
      <c r="I1081" s="17" t="n">
        <v>0.3</v>
      </c>
      <c r="J1081" s="18" t="n">
        <v>3830.34</v>
      </c>
      <c r="K1081" s="19" t="n">
        <v>-117.48</v>
      </c>
      <c r="L1081" s="15" t="n">
        <f aca="false">YEAR(B1081)</f>
        <v>2022</v>
      </c>
      <c r="M1081" s="20" t="n">
        <f aca="false">IF(J1081&gt;0,K1081/J1081,0)</f>
        <v>-0.030670906499162</v>
      </c>
    </row>
    <row r="1082" customFormat="false" ht="15" hidden="false" customHeight="false" outlineLevel="0" collapsed="false">
      <c r="A1082" s="15" t="s">
        <v>1139</v>
      </c>
      <c r="B1082" s="16" t="n">
        <v>45239</v>
      </c>
      <c r="C1082" s="15" t="s">
        <v>68</v>
      </c>
      <c r="D1082" s="15" t="s">
        <v>44</v>
      </c>
      <c r="E1082" s="15" t="s">
        <v>38</v>
      </c>
      <c r="F1082" s="15" t="s">
        <v>18</v>
      </c>
      <c r="G1082" s="15" t="s">
        <v>32</v>
      </c>
      <c r="H1082" s="15" t="n">
        <v>3</v>
      </c>
      <c r="I1082" s="17" t="n">
        <v>0.15</v>
      </c>
      <c r="J1082" s="18" t="n">
        <v>953.21</v>
      </c>
      <c r="K1082" s="19" t="n">
        <v>31.81</v>
      </c>
      <c r="L1082" s="15" t="n">
        <f aca="false">YEAR(B1082)</f>
        <v>2023</v>
      </c>
      <c r="M1082" s="20" t="n">
        <f aca="false">IF(J1082&gt;0,K1082/J1082,0)</f>
        <v>0.0333714501526421</v>
      </c>
    </row>
    <row r="1083" customFormat="false" ht="15" hidden="false" customHeight="false" outlineLevel="0" collapsed="false">
      <c r="A1083" s="15" t="s">
        <v>1140</v>
      </c>
      <c r="B1083" s="16" t="n">
        <v>45962</v>
      </c>
      <c r="C1083" s="15" t="s">
        <v>56</v>
      </c>
      <c r="D1083" s="15" t="s">
        <v>44</v>
      </c>
      <c r="E1083" s="15" t="s">
        <v>37</v>
      </c>
      <c r="F1083" s="15" t="s">
        <v>17</v>
      </c>
      <c r="G1083" s="15" t="s">
        <v>31</v>
      </c>
      <c r="H1083" s="15" t="n">
        <v>1</v>
      </c>
      <c r="I1083" s="17" t="n">
        <v>0.2</v>
      </c>
      <c r="J1083" s="18" t="n">
        <v>111.14</v>
      </c>
      <c r="K1083" s="19" t="n">
        <v>3.21</v>
      </c>
      <c r="L1083" s="15" t="n">
        <f aca="false">YEAR(B1083)</f>
        <v>2025</v>
      </c>
      <c r="M1083" s="20" t="n">
        <f aca="false">IF(J1083&gt;0,K1083/J1083,0)</f>
        <v>0.0288824905524564</v>
      </c>
    </row>
    <row r="1084" customFormat="false" ht="15" hidden="false" customHeight="false" outlineLevel="0" collapsed="false">
      <c r="A1084" s="15" t="s">
        <v>1141</v>
      </c>
      <c r="B1084" s="16" t="n">
        <v>44764</v>
      </c>
      <c r="C1084" s="15" t="s">
        <v>56</v>
      </c>
      <c r="D1084" s="15" t="s">
        <v>43</v>
      </c>
      <c r="E1084" s="15" t="s">
        <v>37</v>
      </c>
      <c r="F1084" s="15" t="s">
        <v>17</v>
      </c>
      <c r="G1084" s="15" t="s">
        <v>29</v>
      </c>
      <c r="H1084" s="15" t="n">
        <v>4</v>
      </c>
      <c r="I1084" s="17" t="n">
        <v>0</v>
      </c>
      <c r="J1084" s="18" t="n">
        <v>77.05</v>
      </c>
      <c r="K1084" s="19" t="n">
        <v>19.94</v>
      </c>
      <c r="L1084" s="15" t="n">
        <f aca="false">YEAR(B1084)</f>
        <v>2022</v>
      </c>
      <c r="M1084" s="20" t="n">
        <f aca="false">IF(J1084&gt;0,K1084/J1084,0)</f>
        <v>0.25879299156392</v>
      </c>
    </row>
    <row r="1085" customFormat="false" ht="15" hidden="false" customHeight="false" outlineLevel="0" collapsed="false">
      <c r="A1085" s="15" t="s">
        <v>1142</v>
      </c>
      <c r="B1085" s="16" t="n">
        <v>44838</v>
      </c>
      <c r="C1085" s="15" t="s">
        <v>56</v>
      </c>
      <c r="D1085" s="15" t="s">
        <v>44</v>
      </c>
      <c r="E1085" s="15" t="s">
        <v>39</v>
      </c>
      <c r="F1085" s="15" t="s">
        <v>17</v>
      </c>
      <c r="G1085" s="15" t="s">
        <v>29</v>
      </c>
      <c r="H1085" s="15" t="n">
        <v>1</v>
      </c>
      <c r="I1085" s="17" t="n">
        <v>0.3</v>
      </c>
      <c r="J1085" s="18" t="n">
        <v>12.98</v>
      </c>
      <c r="K1085" s="19" t="n">
        <v>2.34</v>
      </c>
      <c r="L1085" s="15" t="n">
        <f aca="false">YEAR(B1085)</f>
        <v>2022</v>
      </c>
      <c r="M1085" s="20" t="n">
        <f aca="false">IF(J1085&gt;0,K1085/J1085,0)</f>
        <v>0.180277349768875</v>
      </c>
    </row>
    <row r="1086" customFormat="false" ht="15" hidden="false" customHeight="false" outlineLevel="0" collapsed="false">
      <c r="A1086" s="15" t="s">
        <v>1143</v>
      </c>
      <c r="B1086" s="16" t="n">
        <v>44897</v>
      </c>
      <c r="C1086" s="15" t="s">
        <v>56</v>
      </c>
      <c r="D1086" s="15" t="s">
        <v>42</v>
      </c>
      <c r="E1086" s="15" t="s">
        <v>36</v>
      </c>
      <c r="F1086" s="15" t="s">
        <v>18</v>
      </c>
      <c r="G1086" s="15" t="s">
        <v>24</v>
      </c>
      <c r="H1086" s="15" t="n">
        <v>2</v>
      </c>
      <c r="I1086" s="17" t="n">
        <v>0.2</v>
      </c>
      <c r="J1086" s="18" t="n">
        <v>1113.39</v>
      </c>
      <c r="K1086" s="19" t="n">
        <v>-127.81</v>
      </c>
      <c r="L1086" s="15" t="n">
        <f aca="false">YEAR(B1086)</f>
        <v>2022</v>
      </c>
      <c r="M1086" s="20" t="n">
        <f aca="false">IF(J1086&gt;0,K1086/J1086,0)</f>
        <v>-0.114793558411698</v>
      </c>
    </row>
    <row r="1087" customFormat="false" ht="15" hidden="false" customHeight="false" outlineLevel="0" collapsed="false">
      <c r="A1087" s="15" t="s">
        <v>1144</v>
      </c>
      <c r="B1087" s="16" t="n">
        <v>44774</v>
      </c>
      <c r="C1087" s="15" t="s">
        <v>71</v>
      </c>
      <c r="D1087" s="15" t="s">
        <v>42</v>
      </c>
      <c r="E1087" s="15" t="s">
        <v>36</v>
      </c>
      <c r="F1087" s="15" t="s">
        <v>17</v>
      </c>
      <c r="G1087" s="15" t="s">
        <v>29</v>
      </c>
      <c r="H1087" s="15" t="n">
        <v>4</v>
      </c>
      <c r="I1087" s="17" t="n">
        <v>0.05</v>
      </c>
      <c r="J1087" s="18" t="n">
        <v>59.26</v>
      </c>
      <c r="K1087" s="19" t="n">
        <v>18.27</v>
      </c>
      <c r="L1087" s="15" t="n">
        <f aca="false">YEAR(B1087)</f>
        <v>2022</v>
      </c>
      <c r="M1087" s="20" t="n">
        <f aca="false">IF(J1087&gt;0,K1087/J1087,0)</f>
        <v>0.308302396220047</v>
      </c>
    </row>
    <row r="1088" customFormat="false" ht="15" hidden="false" customHeight="false" outlineLevel="0" collapsed="false">
      <c r="A1088" s="15" t="s">
        <v>1145</v>
      </c>
      <c r="B1088" s="16" t="n">
        <v>45574</v>
      </c>
      <c r="C1088" s="15" t="s">
        <v>71</v>
      </c>
      <c r="D1088" s="15" t="s">
        <v>42</v>
      </c>
      <c r="E1088" s="15" t="s">
        <v>36</v>
      </c>
      <c r="F1088" s="15" t="s">
        <v>17</v>
      </c>
      <c r="G1088" s="15" t="s">
        <v>28</v>
      </c>
      <c r="H1088" s="15" t="n">
        <v>3</v>
      </c>
      <c r="I1088" s="17" t="n">
        <v>0.5</v>
      </c>
      <c r="J1088" s="18" t="n">
        <v>38.19</v>
      </c>
      <c r="K1088" s="19" t="n">
        <v>-7.02</v>
      </c>
      <c r="L1088" s="15" t="n">
        <f aca="false">YEAR(B1088)</f>
        <v>2024</v>
      </c>
      <c r="M1088" s="20" t="n">
        <f aca="false">IF(J1088&gt;0,K1088/J1088,0)</f>
        <v>-0.18381775333857</v>
      </c>
    </row>
    <row r="1089" customFormat="false" ht="15" hidden="false" customHeight="false" outlineLevel="0" collapsed="false">
      <c r="A1089" s="15" t="s">
        <v>1146</v>
      </c>
      <c r="B1089" s="16" t="n">
        <v>44912</v>
      </c>
      <c r="C1089" s="15" t="s">
        <v>71</v>
      </c>
      <c r="D1089" s="15" t="s">
        <v>43</v>
      </c>
      <c r="E1089" s="15" t="s">
        <v>36</v>
      </c>
      <c r="F1089" s="15" t="s">
        <v>17</v>
      </c>
      <c r="G1089" s="15" t="s">
        <v>26</v>
      </c>
      <c r="H1089" s="15" t="n">
        <v>5</v>
      </c>
      <c r="I1089" s="17" t="n">
        <v>0.3</v>
      </c>
      <c r="J1089" s="18" t="n">
        <v>264.74</v>
      </c>
      <c r="K1089" s="19" t="n">
        <v>-48.88</v>
      </c>
      <c r="L1089" s="15" t="n">
        <f aca="false">YEAR(B1089)</f>
        <v>2022</v>
      </c>
      <c r="M1089" s="20" t="n">
        <f aca="false">IF(J1089&gt;0,K1089/J1089,0)</f>
        <v>-0.184633980509179</v>
      </c>
    </row>
    <row r="1090" customFormat="false" ht="15" hidden="false" customHeight="false" outlineLevel="0" collapsed="false">
      <c r="A1090" s="15" t="s">
        <v>1147</v>
      </c>
      <c r="B1090" s="16" t="n">
        <v>45268</v>
      </c>
      <c r="C1090" s="15" t="s">
        <v>68</v>
      </c>
      <c r="D1090" s="15" t="s">
        <v>43</v>
      </c>
      <c r="E1090" s="15" t="s">
        <v>37</v>
      </c>
      <c r="F1090" s="15" t="s">
        <v>17</v>
      </c>
      <c r="G1090" s="15" t="s">
        <v>28</v>
      </c>
      <c r="H1090" s="15" t="n">
        <v>2</v>
      </c>
      <c r="I1090" s="17" t="n">
        <v>0</v>
      </c>
      <c r="J1090" s="18" t="n">
        <v>48.24</v>
      </c>
      <c r="K1090" s="19" t="n">
        <v>16.98</v>
      </c>
      <c r="L1090" s="15" t="n">
        <f aca="false">YEAR(B1090)</f>
        <v>2023</v>
      </c>
      <c r="M1090" s="20" t="n">
        <f aca="false">IF(J1090&gt;0,K1090/J1090,0)</f>
        <v>0.351990049751244</v>
      </c>
    </row>
    <row r="1091" customFormat="false" ht="15" hidden="false" customHeight="false" outlineLevel="0" collapsed="false">
      <c r="A1091" s="15" t="s">
        <v>1148</v>
      </c>
      <c r="B1091" s="16" t="n">
        <v>45564</v>
      </c>
      <c r="C1091" s="15" t="s">
        <v>56</v>
      </c>
      <c r="D1091" s="15" t="s">
        <v>42</v>
      </c>
      <c r="E1091" s="15" t="s">
        <v>38</v>
      </c>
      <c r="F1091" s="15" t="s">
        <v>17</v>
      </c>
      <c r="G1091" s="15" t="s">
        <v>28</v>
      </c>
      <c r="H1091" s="15" t="n">
        <v>4</v>
      </c>
      <c r="I1091" s="17" t="n">
        <v>0.2</v>
      </c>
      <c r="J1091" s="18" t="n">
        <v>62.27</v>
      </c>
      <c r="K1091" s="19" t="n">
        <v>6.78</v>
      </c>
      <c r="L1091" s="15" t="n">
        <f aca="false">YEAR(B1091)</f>
        <v>2024</v>
      </c>
      <c r="M1091" s="20" t="n">
        <f aca="false">IF(J1091&gt;0,K1091/J1091,0)</f>
        <v>0.108880680905733</v>
      </c>
    </row>
    <row r="1092" customFormat="false" ht="15" hidden="false" customHeight="false" outlineLevel="0" collapsed="false">
      <c r="A1092" s="15" t="s">
        <v>1149</v>
      </c>
      <c r="B1092" s="16" t="n">
        <v>45761</v>
      </c>
      <c r="C1092" s="15" t="s">
        <v>56</v>
      </c>
      <c r="D1092" s="15" t="s">
        <v>43</v>
      </c>
      <c r="E1092" s="15" t="s">
        <v>37</v>
      </c>
      <c r="F1092" s="15" t="s">
        <v>17</v>
      </c>
      <c r="G1092" s="15" t="s">
        <v>31</v>
      </c>
      <c r="H1092" s="15" t="n">
        <v>5</v>
      </c>
      <c r="I1092" s="17" t="n">
        <v>0.05</v>
      </c>
      <c r="J1092" s="18" t="n">
        <v>797.57</v>
      </c>
      <c r="K1092" s="19" t="n">
        <v>111.14</v>
      </c>
      <c r="L1092" s="15" t="n">
        <f aca="false">YEAR(B1092)</f>
        <v>2025</v>
      </c>
      <c r="M1092" s="20" t="n">
        <f aca="false">IF(J1092&gt;0,K1092/J1092,0)</f>
        <v>0.139348270371253</v>
      </c>
    </row>
    <row r="1093" customFormat="false" ht="15" hidden="false" customHeight="false" outlineLevel="0" collapsed="false">
      <c r="A1093" s="15" t="s">
        <v>1150</v>
      </c>
      <c r="B1093" s="16" t="n">
        <v>45604</v>
      </c>
      <c r="C1093" s="15" t="s">
        <v>56</v>
      </c>
      <c r="D1093" s="15" t="s">
        <v>42</v>
      </c>
      <c r="E1093" s="15" t="s">
        <v>39</v>
      </c>
      <c r="F1093" s="15" t="s">
        <v>18</v>
      </c>
      <c r="G1093" s="15" t="s">
        <v>32</v>
      </c>
      <c r="H1093" s="15" t="n">
        <v>5</v>
      </c>
      <c r="I1093" s="17" t="n">
        <v>0</v>
      </c>
      <c r="J1093" s="18" t="n">
        <v>2045.65</v>
      </c>
      <c r="K1093" s="19" t="n">
        <v>441.57</v>
      </c>
      <c r="L1093" s="15" t="n">
        <f aca="false">YEAR(B1093)</f>
        <v>2024</v>
      </c>
      <c r="M1093" s="20" t="n">
        <f aca="false">IF(J1093&gt;0,K1093/J1093,0)</f>
        <v>0.215858040231711</v>
      </c>
    </row>
    <row r="1094" customFormat="false" ht="15" hidden="false" customHeight="false" outlineLevel="0" collapsed="false">
      <c r="A1094" s="15" t="s">
        <v>1151</v>
      </c>
      <c r="B1094" s="16" t="n">
        <v>44956</v>
      </c>
      <c r="C1094" s="15" t="s">
        <v>56</v>
      </c>
      <c r="D1094" s="15" t="s">
        <v>44</v>
      </c>
      <c r="E1094" s="15" t="s">
        <v>36</v>
      </c>
      <c r="F1094" s="15" t="s">
        <v>18</v>
      </c>
      <c r="G1094" s="15" t="s">
        <v>30</v>
      </c>
      <c r="H1094" s="15" t="n">
        <v>4</v>
      </c>
      <c r="I1094" s="17" t="n">
        <v>0.3</v>
      </c>
      <c r="J1094" s="18" t="n">
        <v>140.77</v>
      </c>
      <c r="K1094" s="19" t="n">
        <v>-0.65</v>
      </c>
      <c r="L1094" s="15" t="n">
        <f aca="false">YEAR(B1094)</f>
        <v>2023</v>
      </c>
      <c r="M1094" s="20" t="n">
        <f aca="false">IF(J1094&gt;0,K1094/J1094,0)</f>
        <v>-0.00461746110676991</v>
      </c>
    </row>
    <row r="1095" customFormat="false" ht="15" hidden="false" customHeight="false" outlineLevel="0" collapsed="false">
      <c r="A1095" s="15" t="s">
        <v>1152</v>
      </c>
      <c r="B1095" s="16" t="n">
        <v>45269</v>
      </c>
      <c r="C1095" s="15" t="s">
        <v>68</v>
      </c>
      <c r="D1095" s="15" t="s">
        <v>43</v>
      </c>
      <c r="E1095" s="15" t="s">
        <v>39</v>
      </c>
      <c r="F1095" s="15" t="s">
        <v>17</v>
      </c>
      <c r="G1095" s="15" t="s">
        <v>29</v>
      </c>
      <c r="H1095" s="15" t="n">
        <v>7</v>
      </c>
      <c r="I1095" s="17" t="n">
        <v>0.2</v>
      </c>
      <c r="J1095" s="18" t="n">
        <v>108.3</v>
      </c>
      <c r="K1095" s="19" t="n">
        <v>25.71</v>
      </c>
      <c r="L1095" s="15" t="n">
        <f aca="false">YEAR(B1095)</f>
        <v>2023</v>
      </c>
      <c r="M1095" s="20" t="n">
        <f aca="false">IF(J1095&gt;0,K1095/J1095,0)</f>
        <v>0.237396121883657</v>
      </c>
    </row>
    <row r="1096" customFormat="false" ht="15" hidden="false" customHeight="false" outlineLevel="0" collapsed="false">
      <c r="A1096" s="15" t="s">
        <v>1153</v>
      </c>
      <c r="B1096" s="16" t="n">
        <v>44882</v>
      </c>
      <c r="C1096" s="15" t="s">
        <v>56</v>
      </c>
      <c r="D1096" s="15" t="s">
        <v>43</v>
      </c>
      <c r="E1096" s="15" t="s">
        <v>38</v>
      </c>
      <c r="F1096" s="15" t="s">
        <v>16</v>
      </c>
      <c r="G1096" s="15" t="s">
        <v>27</v>
      </c>
      <c r="H1096" s="15" t="n">
        <v>3</v>
      </c>
      <c r="I1096" s="17" t="n">
        <v>0</v>
      </c>
      <c r="J1096" s="18" t="n">
        <v>162.54</v>
      </c>
      <c r="K1096" s="19" t="n">
        <v>38.6</v>
      </c>
      <c r="L1096" s="15" t="n">
        <f aca="false">YEAR(B1096)</f>
        <v>2022</v>
      </c>
      <c r="M1096" s="20" t="n">
        <f aca="false">IF(J1096&gt;0,K1096/J1096,0)</f>
        <v>0.237480004921865</v>
      </c>
    </row>
    <row r="1097" customFormat="false" ht="15" hidden="false" customHeight="false" outlineLevel="0" collapsed="false">
      <c r="A1097" s="15" t="s">
        <v>1154</v>
      </c>
      <c r="B1097" s="16" t="n">
        <v>45481</v>
      </c>
      <c r="C1097" s="15" t="s">
        <v>56</v>
      </c>
      <c r="D1097" s="15" t="s">
        <v>42</v>
      </c>
      <c r="E1097" s="15" t="s">
        <v>39</v>
      </c>
      <c r="F1097" s="15" t="s">
        <v>17</v>
      </c>
      <c r="G1097" s="15" t="s">
        <v>28</v>
      </c>
      <c r="H1097" s="15" t="n">
        <v>5</v>
      </c>
      <c r="I1097" s="17" t="n">
        <v>0.05</v>
      </c>
      <c r="J1097" s="18" t="n">
        <v>163.98</v>
      </c>
      <c r="K1097" s="19" t="n">
        <v>41.89</v>
      </c>
      <c r="L1097" s="15" t="n">
        <f aca="false">YEAR(B1097)</f>
        <v>2024</v>
      </c>
      <c r="M1097" s="20" t="n">
        <f aca="false">IF(J1097&gt;0,K1097/J1097,0)</f>
        <v>0.255457982680815</v>
      </c>
    </row>
    <row r="1098" customFormat="false" ht="15" hidden="false" customHeight="false" outlineLevel="0" collapsed="false">
      <c r="A1098" s="15" t="s">
        <v>1155</v>
      </c>
      <c r="B1098" s="16" t="n">
        <v>45816</v>
      </c>
      <c r="C1098" s="15" t="s">
        <v>56</v>
      </c>
      <c r="D1098" s="15" t="s">
        <v>42</v>
      </c>
      <c r="E1098" s="15" t="s">
        <v>38</v>
      </c>
      <c r="F1098" s="15" t="s">
        <v>16</v>
      </c>
      <c r="G1098" s="15" t="s">
        <v>27</v>
      </c>
      <c r="H1098" s="15" t="n">
        <v>6</v>
      </c>
      <c r="I1098" s="17" t="n">
        <v>0.05</v>
      </c>
      <c r="J1098" s="18" t="n">
        <v>335.42</v>
      </c>
      <c r="K1098" s="19" t="n">
        <v>62.97</v>
      </c>
      <c r="L1098" s="15" t="n">
        <f aca="false">YEAR(B1098)</f>
        <v>2025</v>
      </c>
      <c r="M1098" s="20" t="n">
        <f aca="false">IF(J1098&gt;0,K1098/J1098,0)</f>
        <v>0.187734780275476</v>
      </c>
    </row>
    <row r="1099" customFormat="false" ht="15" hidden="false" customHeight="false" outlineLevel="0" collapsed="false">
      <c r="A1099" s="15" t="s">
        <v>1156</v>
      </c>
      <c r="B1099" s="16" t="n">
        <v>45243</v>
      </c>
      <c r="C1099" s="15" t="s">
        <v>56</v>
      </c>
      <c r="D1099" s="15" t="s">
        <v>42</v>
      </c>
      <c r="E1099" s="15" t="s">
        <v>36</v>
      </c>
      <c r="F1099" s="15" t="s">
        <v>17</v>
      </c>
      <c r="G1099" s="15" t="s">
        <v>28</v>
      </c>
      <c r="H1099" s="15" t="n">
        <v>2</v>
      </c>
      <c r="I1099" s="17" t="n">
        <v>0.3</v>
      </c>
      <c r="J1099" s="18" t="n">
        <v>35.44</v>
      </c>
      <c r="K1099" s="19" t="n">
        <v>2.35</v>
      </c>
      <c r="L1099" s="15" t="n">
        <f aca="false">YEAR(B1099)</f>
        <v>2023</v>
      </c>
      <c r="M1099" s="20" t="n">
        <f aca="false">IF(J1099&gt;0,K1099/J1099,0)</f>
        <v>0.0663092550790068</v>
      </c>
    </row>
    <row r="1100" customFormat="false" ht="15" hidden="false" customHeight="false" outlineLevel="0" collapsed="false">
      <c r="A1100" s="15" t="s">
        <v>1157</v>
      </c>
      <c r="B1100" s="16" t="n">
        <v>45821</v>
      </c>
      <c r="C1100" s="15" t="s">
        <v>58</v>
      </c>
      <c r="D1100" s="15" t="s">
        <v>43</v>
      </c>
      <c r="E1100" s="15" t="s">
        <v>39</v>
      </c>
      <c r="F1100" s="15" t="s">
        <v>17</v>
      </c>
      <c r="G1100" s="15" t="s">
        <v>28</v>
      </c>
      <c r="H1100" s="15" t="n">
        <v>4</v>
      </c>
      <c r="I1100" s="17" t="n">
        <v>0</v>
      </c>
      <c r="J1100" s="18" t="n">
        <v>113.02</v>
      </c>
      <c r="K1100" s="19" t="n">
        <v>34.8</v>
      </c>
      <c r="L1100" s="15" t="n">
        <f aca="false">YEAR(B1100)</f>
        <v>2025</v>
      </c>
      <c r="M1100" s="20" t="n">
        <f aca="false">IF(J1100&gt;0,K1100/J1100,0)</f>
        <v>0.3079101044063</v>
      </c>
    </row>
    <row r="1101" customFormat="false" ht="15" hidden="false" customHeight="false" outlineLevel="0" collapsed="false">
      <c r="A1101" s="15" t="s">
        <v>1158</v>
      </c>
      <c r="B1101" s="16" t="n">
        <v>45482</v>
      </c>
      <c r="C1101" s="15" t="s">
        <v>56</v>
      </c>
      <c r="D1101" s="15" t="s">
        <v>44</v>
      </c>
      <c r="E1101" s="15" t="s">
        <v>36</v>
      </c>
      <c r="F1101" s="15" t="s">
        <v>17</v>
      </c>
      <c r="G1101" s="15" t="s">
        <v>26</v>
      </c>
      <c r="H1101" s="15" t="n">
        <v>3</v>
      </c>
      <c r="I1101" s="17" t="n">
        <v>0.1</v>
      </c>
      <c r="J1101" s="18" t="n">
        <v>183.44</v>
      </c>
      <c r="K1101" s="19" t="n">
        <v>9.3</v>
      </c>
      <c r="L1101" s="15" t="n">
        <f aca="false">YEAR(B1101)</f>
        <v>2024</v>
      </c>
      <c r="M1101" s="20" t="n">
        <f aca="false">IF(J1101&gt;0,K1101/J1101,0)</f>
        <v>0.0506977758395116</v>
      </c>
    </row>
    <row r="1102" customFormat="false" ht="15" hidden="false" customHeight="false" outlineLevel="0" collapsed="false">
      <c r="A1102" s="15" t="s">
        <v>1159</v>
      </c>
      <c r="B1102" s="16" t="n">
        <v>45677</v>
      </c>
      <c r="C1102" s="15" t="s">
        <v>58</v>
      </c>
      <c r="D1102" s="15" t="s">
        <v>42</v>
      </c>
      <c r="E1102" s="15" t="s">
        <v>36</v>
      </c>
      <c r="F1102" s="15" t="s">
        <v>18</v>
      </c>
      <c r="G1102" s="15" t="s">
        <v>30</v>
      </c>
      <c r="H1102" s="15" t="n">
        <v>2</v>
      </c>
      <c r="I1102" s="17" t="n">
        <v>0</v>
      </c>
      <c r="J1102" s="18" t="n">
        <v>93.58</v>
      </c>
      <c r="K1102" s="19" t="n">
        <v>32.79</v>
      </c>
      <c r="L1102" s="15" t="n">
        <f aca="false">YEAR(B1102)</f>
        <v>2025</v>
      </c>
      <c r="M1102" s="20" t="n">
        <f aca="false">IF(J1102&gt;0,K1102/J1102,0)</f>
        <v>0.350395383628981</v>
      </c>
    </row>
    <row r="1103" customFormat="false" ht="15" hidden="false" customHeight="false" outlineLevel="0" collapsed="false">
      <c r="A1103" s="15" t="s">
        <v>1160</v>
      </c>
      <c r="B1103" s="16" t="n">
        <v>45634</v>
      </c>
      <c r="C1103" s="15" t="s">
        <v>71</v>
      </c>
      <c r="D1103" s="15" t="s">
        <v>42</v>
      </c>
      <c r="E1103" s="15" t="s">
        <v>36</v>
      </c>
      <c r="F1103" s="15" t="s">
        <v>18</v>
      </c>
      <c r="G1103" s="15" t="s">
        <v>30</v>
      </c>
      <c r="H1103" s="15" t="n">
        <v>5</v>
      </c>
      <c r="I1103" s="17" t="n">
        <v>0.2</v>
      </c>
      <c r="J1103" s="18" t="n">
        <v>178.85</v>
      </c>
      <c r="K1103" s="19" t="n">
        <v>23.8</v>
      </c>
      <c r="L1103" s="15" t="n">
        <f aca="false">YEAR(B1103)</f>
        <v>2024</v>
      </c>
      <c r="M1103" s="20" t="n">
        <f aca="false">IF(J1103&gt;0,K1103/J1103,0)</f>
        <v>0.13307240704501</v>
      </c>
    </row>
    <row r="1104" customFormat="false" ht="15" hidden="false" customHeight="false" outlineLevel="0" collapsed="false">
      <c r="A1104" s="15" t="s">
        <v>1161</v>
      </c>
      <c r="B1104" s="16" t="n">
        <v>44666</v>
      </c>
      <c r="C1104" s="15" t="s">
        <v>68</v>
      </c>
      <c r="D1104" s="15" t="s">
        <v>42</v>
      </c>
      <c r="E1104" s="15" t="s">
        <v>36</v>
      </c>
      <c r="F1104" s="15" t="s">
        <v>16</v>
      </c>
      <c r="G1104" s="15" t="s">
        <v>23</v>
      </c>
      <c r="H1104" s="15" t="n">
        <v>4</v>
      </c>
      <c r="I1104" s="17" t="n">
        <v>0.05</v>
      </c>
      <c r="J1104" s="18" t="n">
        <v>1239.65</v>
      </c>
      <c r="K1104" s="19" t="n">
        <v>-20.54</v>
      </c>
      <c r="L1104" s="15" t="n">
        <f aca="false">YEAR(B1104)</f>
        <v>2022</v>
      </c>
      <c r="M1104" s="20" t="n">
        <f aca="false">IF(J1104&gt;0,K1104/J1104,0)</f>
        <v>-0.0165691929173557</v>
      </c>
    </row>
    <row r="1105" customFormat="false" ht="15" hidden="false" customHeight="false" outlineLevel="0" collapsed="false">
      <c r="A1105" s="15" t="s">
        <v>1162</v>
      </c>
      <c r="B1105" s="16" t="n">
        <v>45510</v>
      </c>
      <c r="C1105" s="15" t="s">
        <v>56</v>
      </c>
      <c r="D1105" s="15" t="s">
        <v>44</v>
      </c>
      <c r="E1105" s="15" t="s">
        <v>37</v>
      </c>
      <c r="F1105" s="15" t="s">
        <v>17</v>
      </c>
      <c r="G1105" s="15" t="s">
        <v>29</v>
      </c>
      <c r="H1105" s="15" t="n">
        <v>4</v>
      </c>
      <c r="I1105" s="17" t="n">
        <v>0</v>
      </c>
      <c r="J1105" s="18" t="n">
        <v>85.12</v>
      </c>
      <c r="K1105" s="19" t="n">
        <v>33.66</v>
      </c>
      <c r="L1105" s="15" t="n">
        <f aca="false">YEAR(B1105)</f>
        <v>2024</v>
      </c>
      <c r="M1105" s="20" t="n">
        <f aca="false">IF(J1105&gt;0,K1105/J1105,0)</f>
        <v>0.395441729323308</v>
      </c>
    </row>
    <row r="1106" customFormat="false" ht="15" hidden="false" customHeight="false" outlineLevel="0" collapsed="false">
      <c r="A1106" s="15" t="s">
        <v>1163</v>
      </c>
      <c r="B1106" s="16" t="n">
        <v>45121</v>
      </c>
      <c r="C1106" s="15" t="s">
        <v>56</v>
      </c>
      <c r="D1106" s="15" t="s">
        <v>44</v>
      </c>
      <c r="E1106" s="15" t="s">
        <v>39</v>
      </c>
      <c r="F1106" s="15" t="s">
        <v>17</v>
      </c>
      <c r="G1106" s="15" t="s">
        <v>31</v>
      </c>
      <c r="H1106" s="15" t="n">
        <v>2</v>
      </c>
      <c r="I1106" s="17" t="n">
        <v>0</v>
      </c>
      <c r="J1106" s="18" t="n">
        <v>313.86</v>
      </c>
      <c r="K1106" s="19" t="n">
        <v>64.66</v>
      </c>
      <c r="L1106" s="15" t="n">
        <f aca="false">YEAR(B1106)</f>
        <v>2023</v>
      </c>
      <c r="M1106" s="20" t="n">
        <f aca="false">IF(J1106&gt;0,K1106/J1106,0)</f>
        <v>0.206015420888294</v>
      </c>
    </row>
    <row r="1107" customFormat="false" ht="15" hidden="false" customHeight="false" outlineLevel="0" collapsed="false">
      <c r="A1107" s="15" t="s">
        <v>1164</v>
      </c>
      <c r="B1107" s="16" t="n">
        <v>45935</v>
      </c>
      <c r="C1107" s="15" t="s">
        <v>56</v>
      </c>
      <c r="D1107" s="15" t="s">
        <v>42</v>
      </c>
      <c r="E1107" s="15" t="s">
        <v>36</v>
      </c>
      <c r="F1107" s="15" t="s">
        <v>18</v>
      </c>
      <c r="G1107" s="15" t="s">
        <v>30</v>
      </c>
      <c r="H1107" s="15" t="n">
        <v>3</v>
      </c>
      <c r="I1107" s="17" t="n">
        <v>0.05</v>
      </c>
      <c r="J1107" s="18" t="n">
        <v>100.48</v>
      </c>
      <c r="K1107" s="19" t="n">
        <v>24.98</v>
      </c>
      <c r="L1107" s="15" t="n">
        <f aca="false">YEAR(B1107)</f>
        <v>2025</v>
      </c>
      <c r="M1107" s="20" t="n">
        <f aca="false">IF(J1107&gt;0,K1107/J1107,0)</f>
        <v>0.248606687898089</v>
      </c>
    </row>
    <row r="1108" customFormat="false" ht="15" hidden="false" customHeight="false" outlineLevel="0" collapsed="false">
      <c r="A1108" s="15" t="s">
        <v>1165</v>
      </c>
      <c r="B1108" s="16" t="n">
        <v>45567</v>
      </c>
      <c r="C1108" s="15" t="s">
        <v>56</v>
      </c>
      <c r="D1108" s="15" t="s">
        <v>42</v>
      </c>
      <c r="E1108" s="15" t="s">
        <v>37</v>
      </c>
      <c r="F1108" s="15" t="s">
        <v>17</v>
      </c>
      <c r="G1108" s="15" t="s">
        <v>29</v>
      </c>
      <c r="H1108" s="15" t="n">
        <v>4</v>
      </c>
      <c r="I1108" s="17" t="n">
        <v>0</v>
      </c>
      <c r="J1108" s="18" t="n">
        <v>66.41</v>
      </c>
      <c r="K1108" s="19" t="n">
        <v>23.46</v>
      </c>
      <c r="L1108" s="15" t="n">
        <f aca="false">YEAR(B1108)</f>
        <v>2024</v>
      </c>
      <c r="M1108" s="20" t="n">
        <f aca="false">IF(J1108&gt;0,K1108/J1108,0)</f>
        <v>0.353260051197109</v>
      </c>
    </row>
    <row r="1109" customFormat="false" ht="15" hidden="false" customHeight="false" outlineLevel="0" collapsed="false">
      <c r="A1109" s="15" t="s">
        <v>1166</v>
      </c>
      <c r="B1109" s="16" t="n">
        <v>44894</v>
      </c>
      <c r="C1109" s="15" t="s">
        <v>56</v>
      </c>
      <c r="D1109" s="15" t="s">
        <v>42</v>
      </c>
      <c r="E1109" s="15" t="s">
        <v>37</v>
      </c>
      <c r="F1109" s="15" t="s">
        <v>17</v>
      </c>
      <c r="G1109" s="15" t="s">
        <v>29</v>
      </c>
      <c r="H1109" s="15" t="n">
        <v>3</v>
      </c>
      <c r="I1109" s="17" t="n">
        <v>0.15</v>
      </c>
      <c r="J1109" s="18" t="n">
        <v>45.34</v>
      </c>
      <c r="K1109" s="19" t="n">
        <v>10.24</v>
      </c>
      <c r="L1109" s="15" t="n">
        <f aca="false">YEAR(B1109)</f>
        <v>2022</v>
      </c>
      <c r="M1109" s="20" t="n">
        <f aca="false">IF(J1109&gt;0,K1109/J1109,0)</f>
        <v>0.225849139832378</v>
      </c>
    </row>
    <row r="1110" customFormat="false" ht="15" hidden="false" customHeight="false" outlineLevel="0" collapsed="false">
      <c r="A1110" s="15" t="s">
        <v>1167</v>
      </c>
      <c r="B1110" s="16" t="n">
        <v>45643</v>
      </c>
      <c r="C1110" s="15" t="s">
        <v>56</v>
      </c>
      <c r="D1110" s="15" t="s">
        <v>44</v>
      </c>
      <c r="E1110" s="15" t="s">
        <v>36</v>
      </c>
      <c r="F1110" s="15" t="s">
        <v>16</v>
      </c>
      <c r="G1110" s="15" t="s">
        <v>25</v>
      </c>
      <c r="H1110" s="15" t="n">
        <v>4</v>
      </c>
      <c r="I1110" s="17" t="n">
        <v>0.1</v>
      </c>
      <c r="J1110" s="18" t="n">
        <v>965.16</v>
      </c>
      <c r="K1110" s="19" t="n">
        <v>-53.86</v>
      </c>
      <c r="L1110" s="15" t="n">
        <f aca="false">YEAR(B1110)</f>
        <v>2024</v>
      </c>
      <c r="M1110" s="20" t="n">
        <f aca="false">IF(J1110&gt;0,K1110/J1110,0)</f>
        <v>-0.0558042189895976</v>
      </c>
    </row>
    <row r="1111" customFormat="false" ht="15" hidden="false" customHeight="false" outlineLevel="0" collapsed="false">
      <c r="A1111" s="15" t="s">
        <v>1168</v>
      </c>
      <c r="B1111" s="16" t="n">
        <v>44710</v>
      </c>
      <c r="C1111" s="15" t="s">
        <v>71</v>
      </c>
      <c r="D1111" s="15" t="s">
        <v>43</v>
      </c>
      <c r="E1111" s="15" t="s">
        <v>37</v>
      </c>
      <c r="F1111" s="15" t="s">
        <v>18</v>
      </c>
      <c r="G1111" s="15" t="s">
        <v>30</v>
      </c>
      <c r="H1111" s="15" t="n">
        <v>1</v>
      </c>
      <c r="I1111" s="17" t="n">
        <v>0</v>
      </c>
      <c r="J1111" s="18" t="n">
        <v>53.01</v>
      </c>
      <c r="K1111" s="19" t="n">
        <v>18.74</v>
      </c>
      <c r="L1111" s="15" t="n">
        <f aca="false">YEAR(B1111)</f>
        <v>2022</v>
      </c>
      <c r="M1111" s="20" t="n">
        <f aca="false">IF(J1111&gt;0,K1111/J1111,0)</f>
        <v>0.353518204112432</v>
      </c>
    </row>
    <row r="1112" customFormat="false" ht="15" hidden="false" customHeight="false" outlineLevel="0" collapsed="false">
      <c r="A1112" s="15" t="s">
        <v>1169</v>
      </c>
      <c r="B1112" s="16" t="n">
        <v>44570</v>
      </c>
      <c r="C1112" s="15" t="s">
        <v>56</v>
      </c>
      <c r="D1112" s="15" t="s">
        <v>43</v>
      </c>
      <c r="E1112" s="15" t="s">
        <v>39</v>
      </c>
      <c r="F1112" s="15" t="s">
        <v>16</v>
      </c>
      <c r="G1112" s="15" t="s">
        <v>22</v>
      </c>
      <c r="H1112" s="15" t="n">
        <v>4</v>
      </c>
      <c r="I1112" s="17" t="n">
        <v>0.15</v>
      </c>
      <c r="J1112" s="18" t="n">
        <v>2025.97</v>
      </c>
      <c r="K1112" s="19" t="n">
        <v>-407.15</v>
      </c>
      <c r="L1112" s="15" t="n">
        <f aca="false">YEAR(B1112)</f>
        <v>2022</v>
      </c>
      <c r="M1112" s="20" t="n">
        <f aca="false">IF(J1112&gt;0,K1112/J1112,0)</f>
        <v>-0.200965463457011</v>
      </c>
    </row>
    <row r="1113" customFormat="false" ht="15" hidden="false" customHeight="false" outlineLevel="0" collapsed="false">
      <c r="A1113" s="15" t="s">
        <v>1170</v>
      </c>
      <c r="B1113" s="16" t="n">
        <v>45834</v>
      </c>
      <c r="C1113" s="15" t="s">
        <v>56</v>
      </c>
      <c r="D1113" s="15" t="s">
        <v>44</v>
      </c>
      <c r="E1113" s="15" t="s">
        <v>39</v>
      </c>
      <c r="F1113" s="15" t="s">
        <v>17</v>
      </c>
      <c r="G1113" s="15" t="s">
        <v>26</v>
      </c>
      <c r="H1113" s="15" t="n">
        <v>5</v>
      </c>
      <c r="I1113" s="17" t="n">
        <v>0</v>
      </c>
      <c r="J1113" s="18" t="n">
        <v>469.17</v>
      </c>
      <c r="K1113" s="19" t="n">
        <v>24.17</v>
      </c>
      <c r="L1113" s="15" t="n">
        <f aca="false">YEAR(B1113)</f>
        <v>2025</v>
      </c>
      <c r="M1113" s="20" t="n">
        <f aca="false">IF(J1113&gt;0,K1113/J1113,0)</f>
        <v>0.0515165078756101</v>
      </c>
    </row>
    <row r="1114" customFormat="false" ht="15" hidden="false" customHeight="false" outlineLevel="0" collapsed="false">
      <c r="A1114" s="15" t="s">
        <v>1171</v>
      </c>
      <c r="B1114" s="16" t="n">
        <v>44636</v>
      </c>
      <c r="C1114" s="15" t="s">
        <v>56</v>
      </c>
      <c r="D1114" s="15" t="s">
        <v>42</v>
      </c>
      <c r="E1114" s="15" t="s">
        <v>37</v>
      </c>
      <c r="F1114" s="15" t="s">
        <v>17</v>
      </c>
      <c r="G1114" s="15" t="s">
        <v>26</v>
      </c>
      <c r="H1114" s="15" t="n">
        <v>6</v>
      </c>
      <c r="I1114" s="17" t="n">
        <v>0</v>
      </c>
      <c r="J1114" s="18" t="n">
        <v>500.17</v>
      </c>
      <c r="K1114" s="19" t="n">
        <v>34.38</v>
      </c>
      <c r="L1114" s="15" t="n">
        <f aca="false">YEAR(B1114)</f>
        <v>2022</v>
      </c>
      <c r="M1114" s="20" t="n">
        <f aca="false">IF(J1114&gt;0,K1114/J1114,0)</f>
        <v>0.0687366295459544</v>
      </c>
    </row>
    <row r="1115" customFormat="false" ht="15" hidden="false" customHeight="false" outlineLevel="0" collapsed="false">
      <c r="A1115" s="15" t="s">
        <v>1172</v>
      </c>
      <c r="B1115" s="16" t="n">
        <v>45356</v>
      </c>
      <c r="C1115" s="15" t="s">
        <v>56</v>
      </c>
      <c r="D1115" s="15" t="s">
        <v>42</v>
      </c>
      <c r="E1115" s="15" t="s">
        <v>38</v>
      </c>
      <c r="F1115" s="15" t="s">
        <v>16</v>
      </c>
      <c r="G1115" s="15" t="s">
        <v>27</v>
      </c>
      <c r="H1115" s="15" t="n">
        <v>3</v>
      </c>
      <c r="I1115" s="17" t="n">
        <v>0</v>
      </c>
      <c r="J1115" s="18" t="n">
        <v>146.11</v>
      </c>
      <c r="K1115" s="19" t="n">
        <v>39.3</v>
      </c>
      <c r="L1115" s="15" t="n">
        <f aca="false">YEAR(B1115)</f>
        <v>2024</v>
      </c>
      <c r="M1115" s="20" t="n">
        <f aca="false">IF(J1115&gt;0,K1115/J1115,0)</f>
        <v>0.268975429470947</v>
      </c>
    </row>
    <row r="1116" customFormat="false" ht="15" hidden="false" customHeight="false" outlineLevel="0" collapsed="false">
      <c r="A1116" s="15" t="s">
        <v>1173</v>
      </c>
      <c r="B1116" s="16" t="n">
        <v>44630</v>
      </c>
      <c r="C1116" s="15" t="s">
        <v>56</v>
      </c>
      <c r="D1116" s="15" t="s">
        <v>42</v>
      </c>
      <c r="E1116" s="15" t="s">
        <v>37</v>
      </c>
      <c r="F1116" s="15" t="s">
        <v>16</v>
      </c>
      <c r="G1116" s="15" t="s">
        <v>23</v>
      </c>
      <c r="H1116" s="15" t="n">
        <v>3</v>
      </c>
      <c r="I1116" s="17" t="n">
        <v>0.05</v>
      </c>
      <c r="J1116" s="18" t="n">
        <v>932.52</v>
      </c>
      <c r="K1116" s="19" t="n">
        <v>35.63</v>
      </c>
      <c r="L1116" s="15" t="n">
        <f aca="false">YEAR(B1116)</f>
        <v>2022</v>
      </c>
      <c r="M1116" s="20" t="n">
        <f aca="false">IF(J1116&gt;0,K1116/J1116,0)</f>
        <v>0.0382082958006263</v>
      </c>
    </row>
    <row r="1117" customFormat="false" ht="15" hidden="false" customHeight="false" outlineLevel="0" collapsed="false">
      <c r="A1117" s="15" t="s">
        <v>1174</v>
      </c>
      <c r="B1117" s="16" t="n">
        <v>44767</v>
      </c>
      <c r="C1117" s="15" t="s">
        <v>71</v>
      </c>
      <c r="D1117" s="15" t="s">
        <v>43</v>
      </c>
      <c r="E1117" s="15" t="s">
        <v>36</v>
      </c>
      <c r="F1117" s="15" t="s">
        <v>16</v>
      </c>
      <c r="G1117" s="15" t="s">
        <v>23</v>
      </c>
      <c r="H1117" s="15" t="n">
        <v>3</v>
      </c>
      <c r="I1117" s="17" t="n">
        <v>0</v>
      </c>
      <c r="J1117" s="18" t="n">
        <v>1046.72</v>
      </c>
      <c r="K1117" s="19" t="n">
        <v>49.42</v>
      </c>
      <c r="L1117" s="15" t="n">
        <f aca="false">YEAR(B1117)</f>
        <v>2022</v>
      </c>
      <c r="M1117" s="20" t="n">
        <f aca="false">IF(J1117&gt;0,K1117/J1117,0)</f>
        <v>0.0472141546927545</v>
      </c>
    </row>
    <row r="1118" customFormat="false" ht="15" hidden="false" customHeight="false" outlineLevel="0" collapsed="false">
      <c r="A1118" s="15" t="s">
        <v>1175</v>
      </c>
      <c r="B1118" s="16" t="n">
        <v>46019</v>
      </c>
      <c r="C1118" s="15" t="s">
        <v>56</v>
      </c>
      <c r="D1118" s="15" t="s">
        <v>44</v>
      </c>
      <c r="E1118" s="15" t="s">
        <v>36</v>
      </c>
      <c r="F1118" s="15" t="s">
        <v>18</v>
      </c>
      <c r="G1118" s="15" t="s">
        <v>30</v>
      </c>
      <c r="H1118" s="15" t="n">
        <v>3</v>
      </c>
      <c r="I1118" s="17" t="n">
        <v>0.1</v>
      </c>
      <c r="J1118" s="18" t="n">
        <v>119.27</v>
      </c>
      <c r="K1118" s="19" t="n">
        <v>31.6</v>
      </c>
      <c r="L1118" s="15" t="n">
        <f aca="false">YEAR(B1118)</f>
        <v>2025</v>
      </c>
      <c r="M1118" s="20" t="n">
        <f aca="false">IF(J1118&gt;0,K1118/J1118,0)</f>
        <v>0.26494508258573</v>
      </c>
    </row>
    <row r="1119" customFormat="false" ht="15" hidden="false" customHeight="false" outlineLevel="0" collapsed="false">
      <c r="A1119" s="15" t="s">
        <v>1176</v>
      </c>
      <c r="B1119" s="16" t="n">
        <v>45361</v>
      </c>
      <c r="C1119" s="15" t="s">
        <v>56</v>
      </c>
      <c r="D1119" s="15" t="s">
        <v>43</v>
      </c>
      <c r="E1119" s="15" t="s">
        <v>38</v>
      </c>
      <c r="F1119" s="15" t="s">
        <v>17</v>
      </c>
      <c r="G1119" s="15" t="s">
        <v>26</v>
      </c>
      <c r="H1119" s="15" t="n">
        <v>7</v>
      </c>
      <c r="I1119" s="17" t="n">
        <v>0</v>
      </c>
      <c r="J1119" s="18" t="n">
        <v>577.79</v>
      </c>
      <c r="K1119" s="19" t="n">
        <v>104.62</v>
      </c>
      <c r="L1119" s="15" t="n">
        <f aca="false">YEAR(B1119)</f>
        <v>2024</v>
      </c>
      <c r="M1119" s="20" t="n">
        <f aca="false">IF(J1119&gt;0,K1119/J1119,0)</f>
        <v>0.181069246612091</v>
      </c>
    </row>
    <row r="1120" customFormat="false" ht="15" hidden="false" customHeight="false" outlineLevel="0" collapsed="false">
      <c r="A1120" s="15" t="s">
        <v>1177</v>
      </c>
      <c r="B1120" s="16" t="n">
        <v>44620</v>
      </c>
      <c r="C1120" s="15" t="s">
        <v>71</v>
      </c>
      <c r="D1120" s="15" t="s">
        <v>42</v>
      </c>
      <c r="E1120" s="15" t="s">
        <v>39</v>
      </c>
      <c r="F1120" s="15" t="s">
        <v>17</v>
      </c>
      <c r="G1120" s="15" t="s">
        <v>28</v>
      </c>
      <c r="H1120" s="15" t="n">
        <v>2</v>
      </c>
      <c r="I1120" s="17" t="n">
        <v>0.05</v>
      </c>
      <c r="J1120" s="18" t="n">
        <v>45.82</v>
      </c>
      <c r="K1120" s="19" t="n">
        <v>11.5</v>
      </c>
      <c r="L1120" s="15" t="n">
        <f aca="false">YEAR(B1120)</f>
        <v>2022</v>
      </c>
      <c r="M1120" s="20" t="n">
        <f aca="false">IF(J1120&gt;0,K1120/J1120,0)</f>
        <v>0.250982103884767</v>
      </c>
    </row>
    <row r="1121" customFormat="false" ht="15" hidden="false" customHeight="false" outlineLevel="0" collapsed="false">
      <c r="A1121" s="15" t="s">
        <v>1178</v>
      </c>
      <c r="B1121" s="16" t="n">
        <v>44693</v>
      </c>
      <c r="C1121" s="15" t="s">
        <v>71</v>
      </c>
      <c r="D1121" s="15" t="s">
        <v>43</v>
      </c>
      <c r="E1121" s="15" t="s">
        <v>39</v>
      </c>
      <c r="F1121" s="15" t="s">
        <v>17</v>
      </c>
      <c r="G1121" s="15" t="s">
        <v>31</v>
      </c>
      <c r="H1121" s="15" t="n">
        <v>4</v>
      </c>
      <c r="I1121" s="17" t="n">
        <v>0.5</v>
      </c>
      <c r="J1121" s="18" t="n">
        <v>321.55</v>
      </c>
      <c r="K1121" s="19" t="n">
        <v>-92.98</v>
      </c>
      <c r="L1121" s="15" t="n">
        <f aca="false">YEAR(B1121)</f>
        <v>2022</v>
      </c>
      <c r="M1121" s="20" t="n">
        <f aca="false">IF(J1121&gt;0,K1121/J1121,0)</f>
        <v>-0.28916187218162</v>
      </c>
    </row>
    <row r="1122" customFormat="false" ht="15" hidden="false" customHeight="false" outlineLevel="0" collapsed="false">
      <c r="A1122" s="15" t="s">
        <v>1179</v>
      </c>
      <c r="B1122" s="16" t="n">
        <v>45291</v>
      </c>
      <c r="C1122" s="15" t="s">
        <v>71</v>
      </c>
      <c r="D1122" s="15" t="s">
        <v>43</v>
      </c>
      <c r="E1122" s="15" t="s">
        <v>39</v>
      </c>
      <c r="F1122" s="15" t="s">
        <v>18</v>
      </c>
      <c r="G1122" s="15" t="s">
        <v>33</v>
      </c>
      <c r="H1122" s="15" t="n">
        <v>7</v>
      </c>
      <c r="I1122" s="17" t="n">
        <v>0.4</v>
      </c>
      <c r="J1122" s="18" t="n">
        <v>4918.16</v>
      </c>
      <c r="K1122" s="19" t="n">
        <v>-354.93</v>
      </c>
      <c r="L1122" s="15" t="n">
        <f aca="false">YEAR(B1122)</f>
        <v>2023</v>
      </c>
      <c r="M1122" s="20" t="n">
        <f aca="false">IF(J1122&gt;0,K1122/J1122,0)</f>
        <v>-0.0721672332742327</v>
      </c>
    </row>
    <row r="1123" customFormat="false" ht="15" hidden="false" customHeight="false" outlineLevel="0" collapsed="false">
      <c r="A1123" s="15" t="s">
        <v>1180</v>
      </c>
      <c r="B1123" s="16" t="n">
        <v>45761</v>
      </c>
      <c r="C1123" s="15" t="s">
        <v>56</v>
      </c>
      <c r="D1123" s="15" t="s">
        <v>42</v>
      </c>
      <c r="E1123" s="15" t="s">
        <v>36</v>
      </c>
      <c r="F1123" s="15" t="s">
        <v>17</v>
      </c>
      <c r="G1123" s="15" t="s">
        <v>29</v>
      </c>
      <c r="H1123" s="15" t="n">
        <v>4</v>
      </c>
      <c r="I1123" s="17" t="n">
        <v>0</v>
      </c>
      <c r="J1123" s="18" t="n">
        <v>66.61</v>
      </c>
      <c r="K1123" s="19" t="n">
        <v>29</v>
      </c>
      <c r="L1123" s="15" t="n">
        <f aca="false">YEAR(B1123)</f>
        <v>2025</v>
      </c>
      <c r="M1123" s="20" t="n">
        <f aca="false">IF(J1123&gt;0,K1123/J1123,0)</f>
        <v>0.435370064554872</v>
      </c>
    </row>
    <row r="1124" customFormat="false" ht="15" hidden="false" customHeight="false" outlineLevel="0" collapsed="false">
      <c r="A1124" s="15" t="s">
        <v>1181</v>
      </c>
      <c r="B1124" s="16" t="n">
        <v>45648</v>
      </c>
      <c r="C1124" s="15" t="s">
        <v>56</v>
      </c>
      <c r="D1124" s="15" t="s">
        <v>44</v>
      </c>
      <c r="E1124" s="15" t="s">
        <v>36</v>
      </c>
      <c r="F1124" s="15" t="s">
        <v>18</v>
      </c>
      <c r="G1124" s="15" t="s">
        <v>30</v>
      </c>
      <c r="H1124" s="15" t="n">
        <v>4</v>
      </c>
      <c r="I1124" s="17" t="n">
        <v>0</v>
      </c>
      <c r="J1124" s="18" t="n">
        <v>155.23</v>
      </c>
      <c r="K1124" s="19" t="n">
        <v>38.24</v>
      </c>
      <c r="L1124" s="15" t="n">
        <f aca="false">YEAR(B1124)</f>
        <v>2024</v>
      </c>
      <c r="M1124" s="20" t="n">
        <f aca="false">IF(J1124&gt;0,K1124/J1124,0)</f>
        <v>0.246344134510082</v>
      </c>
    </row>
    <row r="1125" customFormat="false" ht="15" hidden="false" customHeight="false" outlineLevel="0" collapsed="false">
      <c r="A1125" s="15" t="s">
        <v>1182</v>
      </c>
      <c r="B1125" s="16" t="n">
        <v>45980</v>
      </c>
      <c r="C1125" s="15" t="s">
        <v>71</v>
      </c>
      <c r="D1125" s="15" t="s">
        <v>42</v>
      </c>
      <c r="E1125" s="15" t="s">
        <v>36</v>
      </c>
      <c r="F1125" s="15" t="s">
        <v>17</v>
      </c>
      <c r="G1125" s="15" t="s">
        <v>28</v>
      </c>
      <c r="H1125" s="15" t="n">
        <v>2</v>
      </c>
      <c r="I1125" s="17" t="n">
        <v>0</v>
      </c>
      <c r="J1125" s="18" t="n">
        <v>34.23</v>
      </c>
      <c r="K1125" s="19" t="n">
        <v>11.64</v>
      </c>
      <c r="L1125" s="15" t="n">
        <f aca="false">YEAR(B1125)</f>
        <v>2025</v>
      </c>
      <c r="M1125" s="20" t="n">
        <f aca="false">IF(J1125&gt;0,K1125/J1125,0)</f>
        <v>0.340052585451359</v>
      </c>
    </row>
    <row r="1126" customFormat="false" ht="15" hidden="false" customHeight="false" outlineLevel="0" collapsed="false">
      <c r="A1126" s="15" t="s">
        <v>1183</v>
      </c>
      <c r="B1126" s="16" t="n">
        <v>44677</v>
      </c>
      <c r="C1126" s="15" t="s">
        <v>71</v>
      </c>
      <c r="D1126" s="15" t="s">
        <v>44</v>
      </c>
      <c r="E1126" s="15" t="s">
        <v>38</v>
      </c>
      <c r="F1126" s="15" t="s">
        <v>18</v>
      </c>
      <c r="G1126" s="15" t="s">
        <v>30</v>
      </c>
      <c r="H1126" s="15" t="n">
        <v>3</v>
      </c>
      <c r="I1126" s="17" t="n">
        <v>0</v>
      </c>
      <c r="J1126" s="18" t="n">
        <v>114.07</v>
      </c>
      <c r="K1126" s="19" t="n">
        <v>24.34</v>
      </c>
      <c r="L1126" s="15" t="n">
        <f aca="false">YEAR(B1126)</f>
        <v>2022</v>
      </c>
      <c r="M1126" s="20" t="n">
        <f aca="false">IF(J1126&gt;0,K1126/J1126,0)</f>
        <v>0.213377750504076</v>
      </c>
    </row>
    <row r="1127" customFormat="false" ht="15" hidden="false" customHeight="false" outlineLevel="0" collapsed="false">
      <c r="A1127" s="15" t="s">
        <v>1184</v>
      </c>
      <c r="B1127" s="16" t="n">
        <v>45523</v>
      </c>
      <c r="C1127" s="15" t="s">
        <v>68</v>
      </c>
      <c r="D1127" s="15" t="s">
        <v>42</v>
      </c>
      <c r="E1127" s="15" t="s">
        <v>39</v>
      </c>
      <c r="F1127" s="15" t="s">
        <v>17</v>
      </c>
      <c r="G1127" s="15" t="s">
        <v>28</v>
      </c>
      <c r="H1127" s="15" t="n">
        <v>5</v>
      </c>
      <c r="I1127" s="17" t="n">
        <v>0</v>
      </c>
      <c r="J1127" s="18" t="n">
        <v>134.45</v>
      </c>
      <c r="K1127" s="19" t="n">
        <v>42.67</v>
      </c>
      <c r="L1127" s="15" t="n">
        <f aca="false">YEAR(B1127)</f>
        <v>2024</v>
      </c>
      <c r="M1127" s="20" t="n">
        <f aca="false">IF(J1127&gt;0,K1127/J1127,0)</f>
        <v>0.317367050948308</v>
      </c>
    </row>
    <row r="1128" customFormat="false" ht="15" hidden="false" customHeight="false" outlineLevel="0" collapsed="false">
      <c r="A1128" s="15" t="s">
        <v>1185</v>
      </c>
      <c r="B1128" s="16" t="n">
        <v>45443</v>
      </c>
      <c r="C1128" s="15" t="s">
        <v>56</v>
      </c>
      <c r="D1128" s="15" t="s">
        <v>42</v>
      </c>
      <c r="E1128" s="15" t="s">
        <v>38</v>
      </c>
      <c r="F1128" s="15" t="s">
        <v>17</v>
      </c>
      <c r="G1128" s="15" t="s">
        <v>26</v>
      </c>
      <c r="H1128" s="15" t="n">
        <v>2</v>
      </c>
      <c r="I1128" s="17" t="n">
        <v>0</v>
      </c>
      <c r="J1128" s="18" t="n">
        <v>184.68</v>
      </c>
      <c r="K1128" s="19" t="n">
        <v>25.56</v>
      </c>
      <c r="L1128" s="15" t="n">
        <f aca="false">YEAR(B1128)</f>
        <v>2024</v>
      </c>
      <c r="M1128" s="20" t="n">
        <f aca="false">IF(J1128&gt;0,K1128/J1128,0)</f>
        <v>0.138401559454191</v>
      </c>
    </row>
    <row r="1129" customFormat="false" ht="15" hidden="false" customHeight="false" outlineLevel="0" collapsed="false">
      <c r="A1129" s="15" t="s">
        <v>1186</v>
      </c>
      <c r="B1129" s="16" t="n">
        <v>44998</v>
      </c>
      <c r="C1129" s="15" t="s">
        <v>56</v>
      </c>
      <c r="D1129" s="15" t="s">
        <v>43</v>
      </c>
      <c r="E1129" s="15" t="s">
        <v>37</v>
      </c>
      <c r="F1129" s="15" t="s">
        <v>17</v>
      </c>
      <c r="G1129" s="15" t="s">
        <v>29</v>
      </c>
      <c r="H1129" s="15" t="n">
        <v>2</v>
      </c>
      <c r="I1129" s="17" t="n">
        <v>0.05</v>
      </c>
      <c r="J1129" s="18" t="n">
        <v>42.07</v>
      </c>
      <c r="K1129" s="19" t="n">
        <v>10.66</v>
      </c>
      <c r="L1129" s="15" t="n">
        <f aca="false">YEAR(B1129)</f>
        <v>2023</v>
      </c>
      <c r="M1129" s="20" t="n">
        <f aca="false">IF(J1129&gt;0,K1129/J1129,0)</f>
        <v>0.253387211789874</v>
      </c>
    </row>
    <row r="1130" customFormat="false" ht="15" hidden="false" customHeight="false" outlineLevel="0" collapsed="false">
      <c r="A1130" s="15" t="s">
        <v>1187</v>
      </c>
      <c r="B1130" s="16" t="n">
        <v>45014</v>
      </c>
      <c r="C1130" s="15" t="s">
        <v>68</v>
      </c>
      <c r="D1130" s="15" t="s">
        <v>42</v>
      </c>
      <c r="E1130" s="15" t="s">
        <v>36</v>
      </c>
      <c r="F1130" s="15" t="s">
        <v>17</v>
      </c>
      <c r="G1130" s="15" t="s">
        <v>26</v>
      </c>
      <c r="H1130" s="15" t="n">
        <v>7</v>
      </c>
      <c r="I1130" s="17" t="n">
        <v>0.15</v>
      </c>
      <c r="J1130" s="18" t="n">
        <v>466.91</v>
      </c>
      <c r="K1130" s="19" t="n">
        <v>18.52</v>
      </c>
      <c r="L1130" s="15" t="n">
        <f aca="false">YEAR(B1130)</f>
        <v>2023</v>
      </c>
      <c r="M1130" s="20" t="n">
        <f aca="false">IF(J1130&gt;0,K1130/J1130,0)</f>
        <v>0.0396650318048446</v>
      </c>
    </row>
    <row r="1131" customFormat="false" ht="15" hidden="false" customHeight="false" outlineLevel="0" collapsed="false">
      <c r="A1131" s="15" t="s">
        <v>1188</v>
      </c>
      <c r="B1131" s="16" t="n">
        <v>45267</v>
      </c>
      <c r="C1131" s="15" t="s">
        <v>56</v>
      </c>
      <c r="D1131" s="15" t="s">
        <v>44</v>
      </c>
      <c r="E1131" s="15" t="s">
        <v>37</v>
      </c>
      <c r="F1131" s="15" t="s">
        <v>16</v>
      </c>
      <c r="G1131" s="15" t="s">
        <v>25</v>
      </c>
      <c r="H1131" s="15" t="n">
        <v>4</v>
      </c>
      <c r="I1131" s="17" t="n">
        <v>0</v>
      </c>
      <c r="J1131" s="18" t="n">
        <v>883.78</v>
      </c>
      <c r="K1131" s="19" t="n">
        <v>39.88</v>
      </c>
      <c r="L1131" s="15" t="n">
        <f aca="false">YEAR(B1131)</f>
        <v>2023</v>
      </c>
      <c r="M1131" s="20" t="n">
        <f aca="false">IF(J1131&gt;0,K1131/J1131,0)</f>
        <v>0.045124352214352</v>
      </c>
    </row>
    <row r="1132" customFormat="false" ht="15" hidden="false" customHeight="false" outlineLevel="0" collapsed="false">
      <c r="A1132" s="15" t="s">
        <v>1189</v>
      </c>
      <c r="B1132" s="16" t="n">
        <v>45128</v>
      </c>
      <c r="C1132" s="15" t="s">
        <v>58</v>
      </c>
      <c r="D1132" s="15" t="s">
        <v>42</v>
      </c>
      <c r="E1132" s="15" t="s">
        <v>36</v>
      </c>
      <c r="F1132" s="15" t="s">
        <v>17</v>
      </c>
      <c r="G1132" s="15" t="s">
        <v>29</v>
      </c>
      <c r="H1132" s="15" t="n">
        <v>7</v>
      </c>
      <c r="I1132" s="17" t="n">
        <v>0.2</v>
      </c>
      <c r="J1132" s="18" t="n">
        <v>78.1</v>
      </c>
      <c r="K1132" s="19" t="n">
        <v>16.07</v>
      </c>
      <c r="L1132" s="15" t="n">
        <f aca="false">YEAR(B1132)</f>
        <v>2023</v>
      </c>
      <c r="M1132" s="20" t="n">
        <f aca="false">IF(J1132&gt;0,K1132/J1132,0)</f>
        <v>0.205761843790013</v>
      </c>
    </row>
    <row r="1133" customFormat="false" ht="15" hidden="false" customHeight="false" outlineLevel="0" collapsed="false">
      <c r="A1133" s="15" t="s">
        <v>1190</v>
      </c>
      <c r="B1133" s="16" t="n">
        <v>45566</v>
      </c>
      <c r="C1133" s="15" t="s">
        <v>56</v>
      </c>
      <c r="D1133" s="15" t="s">
        <v>42</v>
      </c>
      <c r="E1133" s="15" t="s">
        <v>38</v>
      </c>
      <c r="F1133" s="15" t="s">
        <v>16</v>
      </c>
      <c r="G1133" s="15" t="s">
        <v>25</v>
      </c>
      <c r="H1133" s="15" t="n">
        <v>3</v>
      </c>
      <c r="I1133" s="17" t="n">
        <v>0</v>
      </c>
      <c r="J1133" s="18" t="n">
        <v>860.12</v>
      </c>
      <c r="K1133" s="19" t="n">
        <v>49.94</v>
      </c>
      <c r="L1133" s="15" t="n">
        <f aca="false">YEAR(B1133)</f>
        <v>2024</v>
      </c>
      <c r="M1133" s="20" t="n">
        <f aca="false">IF(J1133&gt;0,K1133/J1133,0)</f>
        <v>0.0580616658140725</v>
      </c>
    </row>
    <row r="1134" customFormat="false" ht="15" hidden="false" customHeight="false" outlineLevel="0" collapsed="false">
      <c r="A1134" s="15" t="s">
        <v>1191</v>
      </c>
      <c r="B1134" s="16" t="n">
        <v>45429</v>
      </c>
      <c r="C1134" s="15" t="s">
        <v>56</v>
      </c>
      <c r="D1134" s="15" t="s">
        <v>42</v>
      </c>
      <c r="E1134" s="15" t="s">
        <v>36</v>
      </c>
      <c r="F1134" s="15" t="s">
        <v>18</v>
      </c>
      <c r="G1134" s="15" t="s">
        <v>33</v>
      </c>
      <c r="H1134" s="15" t="n">
        <v>1</v>
      </c>
      <c r="I1134" s="17" t="n">
        <v>0</v>
      </c>
      <c r="J1134" s="18" t="n">
        <v>1108.53</v>
      </c>
      <c r="K1134" s="19" t="n">
        <v>362.08</v>
      </c>
      <c r="L1134" s="15" t="n">
        <f aca="false">YEAR(B1134)</f>
        <v>2024</v>
      </c>
      <c r="M1134" s="20" t="n">
        <f aca="false">IF(J1134&gt;0,K1134/J1134,0)</f>
        <v>0.32663076326306</v>
      </c>
    </row>
    <row r="1135" customFormat="false" ht="15" hidden="false" customHeight="false" outlineLevel="0" collapsed="false">
      <c r="A1135" s="15" t="s">
        <v>1192</v>
      </c>
      <c r="B1135" s="16" t="n">
        <v>45028</v>
      </c>
      <c r="C1135" s="15" t="s">
        <v>68</v>
      </c>
      <c r="D1135" s="15" t="s">
        <v>42</v>
      </c>
      <c r="E1135" s="15" t="s">
        <v>36</v>
      </c>
      <c r="F1135" s="15" t="s">
        <v>17</v>
      </c>
      <c r="G1135" s="15" t="s">
        <v>29</v>
      </c>
      <c r="H1135" s="15" t="n">
        <v>4</v>
      </c>
      <c r="I1135" s="17" t="n">
        <v>0.2</v>
      </c>
      <c r="J1135" s="18" t="n">
        <v>47.32</v>
      </c>
      <c r="K1135" s="19" t="n">
        <v>7.15</v>
      </c>
      <c r="L1135" s="15" t="n">
        <f aca="false">YEAR(B1135)</f>
        <v>2023</v>
      </c>
      <c r="M1135" s="20" t="n">
        <f aca="false">IF(J1135&gt;0,K1135/J1135,0)</f>
        <v>0.151098901098901</v>
      </c>
    </row>
    <row r="1136" customFormat="false" ht="15" hidden="false" customHeight="false" outlineLevel="0" collapsed="false">
      <c r="A1136" s="15" t="s">
        <v>1193</v>
      </c>
      <c r="B1136" s="16" t="n">
        <v>45867</v>
      </c>
      <c r="C1136" s="15" t="s">
        <v>58</v>
      </c>
      <c r="D1136" s="15" t="s">
        <v>42</v>
      </c>
      <c r="E1136" s="15" t="s">
        <v>39</v>
      </c>
      <c r="F1136" s="15" t="s">
        <v>17</v>
      </c>
      <c r="G1136" s="15" t="s">
        <v>26</v>
      </c>
      <c r="H1136" s="15" t="n">
        <v>4</v>
      </c>
      <c r="I1136" s="17" t="n">
        <v>0.3</v>
      </c>
      <c r="J1136" s="18" t="n">
        <v>278.55</v>
      </c>
      <c r="K1136" s="19" t="n">
        <v>-45.75</v>
      </c>
      <c r="L1136" s="15" t="n">
        <f aca="false">YEAR(B1136)</f>
        <v>2025</v>
      </c>
      <c r="M1136" s="20" t="n">
        <f aca="false">IF(J1136&gt;0,K1136/J1136,0)</f>
        <v>-0.164243403338718</v>
      </c>
    </row>
    <row r="1137" customFormat="false" ht="15" hidden="false" customHeight="false" outlineLevel="0" collapsed="false">
      <c r="A1137" s="15" t="s">
        <v>1194</v>
      </c>
      <c r="B1137" s="16" t="n">
        <v>45874</v>
      </c>
      <c r="C1137" s="15" t="s">
        <v>56</v>
      </c>
      <c r="D1137" s="15" t="s">
        <v>44</v>
      </c>
      <c r="E1137" s="15" t="s">
        <v>38</v>
      </c>
      <c r="F1137" s="15" t="s">
        <v>18</v>
      </c>
      <c r="G1137" s="15" t="s">
        <v>30</v>
      </c>
      <c r="H1137" s="15" t="n">
        <v>3</v>
      </c>
      <c r="I1137" s="17" t="n">
        <v>0.1</v>
      </c>
      <c r="J1137" s="18" t="n">
        <v>133.56</v>
      </c>
      <c r="K1137" s="19" t="n">
        <v>29.05</v>
      </c>
      <c r="L1137" s="15" t="n">
        <f aca="false">YEAR(B1137)</f>
        <v>2025</v>
      </c>
      <c r="M1137" s="20" t="n">
        <f aca="false">IF(J1137&gt;0,K1137/J1137,0)</f>
        <v>0.217505241090147</v>
      </c>
    </row>
    <row r="1138" customFormat="false" ht="15" hidden="false" customHeight="false" outlineLevel="0" collapsed="false">
      <c r="A1138" s="15" t="s">
        <v>1195</v>
      </c>
      <c r="B1138" s="16" t="n">
        <v>45986</v>
      </c>
      <c r="C1138" s="15" t="s">
        <v>56</v>
      </c>
      <c r="D1138" s="15" t="s">
        <v>43</v>
      </c>
      <c r="E1138" s="15" t="s">
        <v>36</v>
      </c>
      <c r="F1138" s="15" t="s">
        <v>17</v>
      </c>
      <c r="G1138" s="15" t="s">
        <v>26</v>
      </c>
      <c r="H1138" s="15" t="n">
        <v>5</v>
      </c>
      <c r="I1138" s="17" t="n">
        <v>0.15</v>
      </c>
      <c r="J1138" s="18" t="n">
        <v>320.05</v>
      </c>
      <c r="K1138" s="19" t="n">
        <v>21.01</v>
      </c>
      <c r="L1138" s="15" t="n">
        <f aca="false">YEAR(B1138)</f>
        <v>2025</v>
      </c>
      <c r="M1138" s="20" t="n">
        <f aca="false">IF(J1138&gt;0,K1138/J1138,0)</f>
        <v>0.0656459928136229</v>
      </c>
    </row>
    <row r="1139" customFormat="false" ht="15" hidden="false" customHeight="false" outlineLevel="0" collapsed="false">
      <c r="A1139" s="15" t="s">
        <v>1196</v>
      </c>
      <c r="B1139" s="16" t="n">
        <v>44868</v>
      </c>
      <c r="C1139" s="15" t="s">
        <v>56</v>
      </c>
      <c r="D1139" s="15" t="s">
        <v>43</v>
      </c>
      <c r="E1139" s="15" t="s">
        <v>36</v>
      </c>
      <c r="F1139" s="15" t="s">
        <v>17</v>
      </c>
      <c r="G1139" s="15" t="s">
        <v>28</v>
      </c>
      <c r="H1139" s="15" t="n">
        <v>4</v>
      </c>
      <c r="I1139" s="17" t="n">
        <v>0.2</v>
      </c>
      <c r="J1139" s="18" t="n">
        <v>77.3</v>
      </c>
      <c r="K1139" s="19" t="n">
        <v>3.99</v>
      </c>
      <c r="L1139" s="15" t="n">
        <f aca="false">YEAR(B1139)</f>
        <v>2022</v>
      </c>
      <c r="M1139" s="20" t="n">
        <f aca="false">IF(J1139&gt;0,K1139/J1139,0)</f>
        <v>0.0516170763260026</v>
      </c>
    </row>
    <row r="1140" customFormat="false" ht="15" hidden="false" customHeight="false" outlineLevel="0" collapsed="false">
      <c r="A1140" s="15" t="s">
        <v>1197</v>
      </c>
      <c r="B1140" s="16" t="n">
        <v>45335</v>
      </c>
      <c r="C1140" s="15" t="s">
        <v>56</v>
      </c>
      <c r="D1140" s="15" t="s">
        <v>42</v>
      </c>
      <c r="E1140" s="15" t="s">
        <v>39</v>
      </c>
      <c r="F1140" s="15" t="s">
        <v>18</v>
      </c>
      <c r="G1140" s="15" t="s">
        <v>32</v>
      </c>
      <c r="H1140" s="15" t="n">
        <v>3</v>
      </c>
      <c r="I1140" s="17" t="n">
        <v>0.2</v>
      </c>
      <c r="J1140" s="18" t="n">
        <v>1111.57</v>
      </c>
      <c r="K1140" s="19" t="n">
        <v>-38.14</v>
      </c>
      <c r="L1140" s="15" t="n">
        <f aca="false">YEAR(B1140)</f>
        <v>2024</v>
      </c>
      <c r="M1140" s="20" t="n">
        <f aca="false">IF(J1140&gt;0,K1140/J1140,0)</f>
        <v>-0.0343118292145344</v>
      </c>
    </row>
    <row r="1141" customFormat="false" ht="15" hidden="false" customHeight="false" outlineLevel="0" collapsed="false">
      <c r="A1141" s="15" t="s">
        <v>1198</v>
      </c>
      <c r="B1141" s="16" t="n">
        <v>44831</v>
      </c>
      <c r="C1141" s="15" t="s">
        <v>56</v>
      </c>
      <c r="D1141" s="15" t="s">
        <v>44</v>
      </c>
      <c r="E1141" s="15" t="s">
        <v>37</v>
      </c>
      <c r="F1141" s="15" t="s">
        <v>18</v>
      </c>
      <c r="G1141" s="15" t="s">
        <v>32</v>
      </c>
      <c r="H1141" s="15" t="n">
        <v>6</v>
      </c>
      <c r="I1141" s="17" t="n">
        <v>0</v>
      </c>
      <c r="J1141" s="18" t="n">
        <v>2718.37</v>
      </c>
      <c r="K1141" s="19" t="n">
        <v>485.89</v>
      </c>
      <c r="L1141" s="15" t="n">
        <f aca="false">YEAR(B1141)</f>
        <v>2022</v>
      </c>
      <c r="M1141" s="20" t="n">
        <f aca="false">IF(J1141&gt;0,K1141/J1141,0)</f>
        <v>0.178743143869304</v>
      </c>
    </row>
    <row r="1142" customFormat="false" ht="15" hidden="false" customHeight="false" outlineLevel="0" collapsed="false">
      <c r="A1142" s="15" t="s">
        <v>1199</v>
      </c>
      <c r="B1142" s="16" t="n">
        <v>46009</v>
      </c>
      <c r="C1142" s="15" t="s">
        <v>56</v>
      </c>
      <c r="D1142" s="15" t="s">
        <v>42</v>
      </c>
      <c r="E1142" s="15" t="s">
        <v>39</v>
      </c>
      <c r="F1142" s="15" t="s">
        <v>17</v>
      </c>
      <c r="G1142" s="15" t="s">
        <v>31</v>
      </c>
      <c r="H1142" s="15" t="n">
        <v>4</v>
      </c>
      <c r="I1142" s="17" t="n">
        <v>0</v>
      </c>
      <c r="J1142" s="18" t="n">
        <v>393.42</v>
      </c>
      <c r="K1142" s="19" t="n">
        <v>73.67</v>
      </c>
      <c r="L1142" s="15" t="n">
        <f aca="false">YEAR(B1142)</f>
        <v>2025</v>
      </c>
      <c r="M1142" s="20" t="n">
        <f aca="false">IF(J1142&gt;0,K1142/J1142,0)</f>
        <v>0.187255350515988</v>
      </c>
    </row>
    <row r="1143" customFormat="false" ht="15" hidden="false" customHeight="false" outlineLevel="0" collapsed="false">
      <c r="A1143" s="15" t="s">
        <v>1200</v>
      </c>
      <c r="B1143" s="16" t="n">
        <v>45158</v>
      </c>
      <c r="C1143" s="15" t="s">
        <v>56</v>
      </c>
      <c r="D1143" s="15" t="s">
        <v>43</v>
      </c>
      <c r="E1143" s="15" t="s">
        <v>37</v>
      </c>
      <c r="F1143" s="15" t="s">
        <v>17</v>
      </c>
      <c r="G1143" s="15" t="s">
        <v>28</v>
      </c>
      <c r="H1143" s="15" t="n">
        <v>2</v>
      </c>
      <c r="I1143" s="17" t="n">
        <v>0</v>
      </c>
      <c r="J1143" s="18" t="n">
        <v>51.57</v>
      </c>
      <c r="K1143" s="19" t="n">
        <v>14.56</v>
      </c>
      <c r="L1143" s="15" t="n">
        <f aca="false">YEAR(B1143)</f>
        <v>2023</v>
      </c>
      <c r="M1143" s="20" t="n">
        <f aca="false">IF(J1143&gt;0,K1143/J1143,0)</f>
        <v>0.282334690711654</v>
      </c>
    </row>
    <row r="1144" customFormat="false" ht="15" hidden="false" customHeight="false" outlineLevel="0" collapsed="false">
      <c r="A1144" s="15" t="s">
        <v>1201</v>
      </c>
      <c r="B1144" s="16" t="n">
        <v>46007</v>
      </c>
      <c r="C1144" s="15" t="s">
        <v>56</v>
      </c>
      <c r="D1144" s="15" t="s">
        <v>42</v>
      </c>
      <c r="E1144" s="15" t="s">
        <v>39</v>
      </c>
      <c r="F1144" s="15" t="s">
        <v>17</v>
      </c>
      <c r="G1144" s="15" t="s">
        <v>26</v>
      </c>
      <c r="H1144" s="15" t="n">
        <v>4</v>
      </c>
      <c r="I1144" s="17" t="n">
        <v>0</v>
      </c>
      <c r="J1144" s="18" t="n">
        <v>364.2</v>
      </c>
      <c r="K1144" s="19" t="n">
        <v>40.49</v>
      </c>
      <c r="L1144" s="15" t="n">
        <f aca="false">YEAR(B1144)</f>
        <v>2025</v>
      </c>
      <c r="M1144" s="20" t="n">
        <f aca="false">IF(J1144&gt;0,K1144/J1144,0)</f>
        <v>0.111175178473366</v>
      </c>
    </row>
    <row r="1145" customFormat="false" ht="15" hidden="false" customHeight="false" outlineLevel="0" collapsed="false">
      <c r="A1145" s="15" t="s">
        <v>1202</v>
      </c>
      <c r="B1145" s="16" t="n">
        <v>45586</v>
      </c>
      <c r="C1145" s="15" t="s">
        <v>68</v>
      </c>
      <c r="D1145" s="15" t="s">
        <v>44</v>
      </c>
      <c r="E1145" s="15" t="s">
        <v>39</v>
      </c>
      <c r="F1145" s="15" t="s">
        <v>17</v>
      </c>
      <c r="G1145" s="15" t="s">
        <v>28</v>
      </c>
      <c r="H1145" s="15" t="n">
        <v>3</v>
      </c>
      <c r="I1145" s="17" t="n">
        <v>0.05</v>
      </c>
      <c r="J1145" s="18" t="n">
        <v>82.1</v>
      </c>
      <c r="K1145" s="19" t="n">
        <v>19.84</v>
      </c>
      <c r="L1145" s="15" t="n">
        <f aca="false">YEAR(B1145)</f>
        <v>2024</v>
      </c>
      <c r="M1145" s="20" t="n">
        <f aca="false">IF(J1145&gt;0,K1145/J1145,0)</f>
        <v>0.241656516443362</v>
      </c>
    </row>
    <row r="1146" customFormat="false" ht="15" hidden="false" customHeight="false" outlineLevel="0" collapsed="false">
      <c r="A1146" s="15" t="s">
        <v>1203</v>
      </c>
      <c r="B1146" s="16" t="n">
        <v>45016</v>
      </c>
      <c r="C1146" s="15" t="s">
        <v>56</v>
      </c>
      <c r="D1146" s="15" t="s">
        <v>42</v>
      </c>
      <c r="E1146" s="15" t="s">
        <v>39</v>
      </c>
      <c r="F1146" s="15" t="s">
        <v>17</v>
      </c>
      <c r="G1146" s="15" t="s">
        <v>28</v>
      </c>
      <c r="H1146" s="15" t="n">
        <v>2</v>
      </c>
      <c r="I1146" s="17" t="n">
        <v>0.1</v>
      </c>
      <c r="J1146" s="18" t="n">
        <v>39.19</v>
      </c>
      <c r="K1146" s="19" t="n">
        <v>11.36</v>
      </c>
      <c r="L1146" s="15" t="n">
        <f aca="false">YEAR(B1146)</f>
        <v>2023</v>
      </c>
      <c r="M1146" s="20" t="n">
        <f aca="false">IF(J1146&gt;0,K1146/J1146,0)</f>
        <v>0.289869864761419</v>
      </c>
    </row>
    <row r="1147" customFormat="false" ht="15" hidden="false" customHeight="false" outlineLevel="0" collapsed="false">
      <c r="A1147" s="15" t="s">
        <v>1204</v>
      </c>
      <c r="B1147" s="16" t="n">
        <v>44624</v>
      </c>
      <c r="C1147" s="15" t="s">
        <v>56</v>
      </c>
      <c r="D1147" s="15" t="s">
        <v>43</v>
      </c>
      <c r="E1147" s="15" t="s">
        <v>39</v>
      </c>
      <c r="F1147" s="15" t="s">
        <v>17</v>
      </c>
      <c r="G1147" s="15" t="s">
        <v>31</v>
      </c>
      <c r="H1147" s="15" t="n">
        <v>3</v>
      </c>
      <c r="I1147" s="17" t="n">
        <v>0</v>
      </c>
      <c r="J1147" s="18" t="n">
        <v>359.95</v>
      </c>
      <c r="K1147" s="19" t="n">
        <v>69.11</v>
      </c>
      <c r="L1147" s="15" t="n">
        <f aca="false">YEAR(B1147)</f>
        <v>2022</v>
      </c>
      <c r="M1147" s="20" t="n">
        <f aca="false">IF(J1147&gt;0,K1147/J1147,0)</f>
        <v>0.191998888734546</v>
      </c>
    </row>
    <row r="1148" customFormat="false" ht="15" hidden="false" customHeight="false" outlineLevel="0" collapsed="false">
      <c r="A1148" s="15" t="s">
        <v>1205</v>
      </c>
      <c r="B1148" s="16" t="n">
        <v>44801</v>
      </c>
      <c r="C1148" s="15" t="s">
        <v>56</v>
      </c>
      <c r="D1148" s="15" t="s">
        <v>44</v>
      </c>
      <c r="E1148" s="15" t="s">
        <v>36</v>
      </c>
      <c r="F1148" s="15" t="s">
        <v>18</v>
      </c>
      <c r="G1148" s="15" t="s">
        <v>30</v>
      </c>
      <c r="H1148" s="15" t="n">
        <v>4</v>
      </c>
      <c r="I1148" s="17" t="n">
        <v>0</v>
      </c>
      <c r="J1148" s="18" t="n">
        <v>191.6</v>
      </c>
      <c r="K1148" s="19" t="n">
        <v>58.96</v>
      </c>
      <c r="L1148" s="15" t="n">
        <f aca="false">YEAR(B1148)</f>
        <v>2022</v>
      </c>
      <c r="M1148" s="20" t="n">
        <f aca="false">IF(J1148&gt;0,K1148/J1148,0)</f>
        <v>0.307724425887265</v>
      </c>
    </row>
    <row r="1149" customFormat="false" ht="15" hidden="false" customHeight="false" outlineLevel="0" collapsed="false">
      <c r="A1149" s="15" t="s">
        <v>1206</v>
      </c>
      <c r="B1149" s="16" t="n">
        <v>44887</v>
      </c>
      <c r="C1149" s="15" t="s">
        <v>56</v>
      </c>
      <c r="D1149" s="15" t="s">
        <v>42</v>
      </c>
      <c r="E1149" s="15" t="s">
        <v>36</v>
      </c>
      <c r="F1149" s="15" t="s">
        <v>17</v>
      </c>
      <c r="G1149" s="15" t="s">
        <v>31</v>
      </c>
      <c r="H1149" s="15" t="n">
        <v>3</v>
      </c>
      <c r="I1149" s="17" t="n">
        <v>0.15</v>
      </c>
      <c r="J1149" s="18" t="n">
        <v>267.72</v>
      </c>
      <c r="K1149" s="19" t="n">
        <v>5.59</v>
      </c>
      <c r="L1149" s="15" t="n">
        <f aca="false">YEAR(B1149)</f>
        <v>2022</v>
      </c>
      <c r="M1149" s="20" t="n">
        <f aca="false">IF(J1149&gt;0,K1149/J1149,0)</f>
        <v>0.020880023905573</v>
      </c>
    </row>
    <row r="1150" customFormat="false" ht="15" hidden="false" customHeight="false" outlineLevel="0" collapsed="false">
      <c r="A1150" s="15" t="s">
        <v>1207</v>
      </c>
      <c r="B1150" s="16" t="n">
        <v>45727</v>
      </c>
      <c r="C1150" s="15" t="s">
        <v>56</v>
      </c>
      <c r="D1150" s="15" t="s">
        <v>42</v>
      </c>
      <c r="E1150" s="15" t="s">
        <v>36</v>
      </c>
      <c r="F1150" s="15" t="s">
        <v>17</v>
      </c>
      <c r="G1150" s="15" t="s">
        <v>29</v>
      </c>
      <c r="H1150" s="15" t="n">
        <v>2</v>
      </c>
      <c r="I1150" s="17" t="n">
        <v>0.05</v>
      </c>
      <c r="J1150" s="18" t="n">
        <v>28.49</v>
      </c>
      <c r="K1150" s="19" t="n">
        <v>8.93</v>
      </c>
      <c r="L1150" s="15" t="n">
        <f aca="false">YEAR(B1150)</f>
        <v>2025</v>
      </c>
      <c r="M1150" s="20" t="n">
        <f aca="false">IF(J1150&gt;0,K1150/J1150,0)</f>
        <v>0.313443313443313</v>
      </c>
    </row>
    <row r="1151" customFormat="false" ht="15" hidden="false" customHeight="false" outlineLevel="0" collapsed="false">
      <c r="A1151" s="15" t="s">
        <v>1208</v>
      </c>
      <c r="B1151" s="16" t="n">
        <v>45062</v>
      </c>
      <c r="C1151" s="15" t="s">
        <v>56</v>
      </c>
      <c r="D1151" s="15" t="s">
        <v>44</v>
      </c>
      <c r="E1151" s="15" t="s">
        <v>37</v>
      </c>
      <c r="F1151" s="15" t="s">
        <v>17</v>
      </c>
      <c r="G1151" s="15" t="s">
        <v>29</v>
      </c>
      <c r="H1151" s="15" t="n">
        <v>2</v>
      </c>
      <c r="I1151" s="17" t="n">
        <v>0</v>
      </c>
      <c r="J1151" s="18" t="n">
        <v>32.05</v>
      </c>
      <c r="K1151" s="19" t="n">
        <v>11.91</v>
      </c>
      <c r="L1151" s="15" t="n">
        <f aca="false">YEAR(B1151)</f>
        <v>2023</v>
      </c>
      <c r="M1151" s="20" t="n">
        <f aca="false">IF(J1151&gt;0,K1151/J1151,0)</f>
        <v>0.371606864274571</v>
      </c>
    </row>
    <row r="1152" customFormat="false" ht="15" hidden="false" customHeight="false" outlineLevel="0" collapsed="false">
      <c r="A1152" s="15" t="s">
        <v>1209</v>
      </c>
      <c r="B1152" s="16" t="n">
        <v>45573</v>
      </c>
      <c r="C1152" s="15" t="s">
        <v>56</v>
      </c>
      <c r="D1152" s="15" t="s">
        <v>44</v>
      </c>
      <c r="E1152" s="15" t="s">
        <v>39</v>
      </c>
      <c r="F1152" s="15" t="s">
        <v>18</v>
      </c>
      <c r="G1152" s="15" t="s">
        <v>32</v>
      </c>
      <c r="H1152" s="15" t="n">
        <v>2</v>
      </c>
      <c r="I1152" s="17" t="n">
        <v>0.4</v>
      </c>
      <c r="J1152" s="18" t="n">
        <v>476.2</v>
      </c>
      <c r="K1152" s="19" t="n">
        <v>-87.25</v>
      </c>
      <c r="L1152" s="15" t="n">
        <f aca="false">YEAR(B1152)</f>
        <v>2024</v>
      </c>
      <c r="M1152" s="20" t="n">
        <f aca="false">IF(J1152&gt;0,K1152/J1152,0)</f>
        <v>-0.183221335573289</v>
      </c>
    </row>
    <row r="1153" customFormat="false" ht="15" hidden="false" customHeight="false" outlineLevel="0" collapsed="false">
      <c r="A1153" s="15" t="s">
        <v>1210</v>
      </c>
      <c r="B1153" s="16" t="n">
        <v>45974</v>
      </c>
      <c r="C1153" s="15" t="s">
        <v>56</v>
      </c>
      <c r="D1153" s="15" t="s">
        <v>43</v>
      </c>
      <c r="E1153" s="15" t="s">
        <v>36</v>
      </c>
      <c r="F1153" s="15" t="s">
        <v>18</v>
      </c>
      <c r="G1153" s="15" t="s">
        <v>30</v>
      </c>
      <c r="H1153" s="15" t="n">
        <v>5</v>
      </c>
      <c r="I1153" s="17" t="n">
        <v>0.2</v>
      </c>
      <c r="J1153" s="18" t="n">
        <v>187.51</v>
      </c>
      <c r="K1153" s="19" t="n">
        <v>24.82</v>
      </c>
      <c r="L1153" s="15" t="n">
        <f aca="false">YEAR(B1153)</f>
        <v>2025</v>
      </c>
      <c r="M1153" s="20" t="n">
        <f aca="false">IF(J1153&gt;0,K1153/J1153,0)</f>
        <v>0.132366273798731</v>
      </c>
    </row>
    <row r="1154" customFormat="false" ht="15" hidden="false" customHeight="false" outlineLevel="0" collapsed="false">
      <c r="A1154" s="15" t="s">
        <v>1211</v>
      </c>
      <c r="B1154" s="16" t="n">
        <v>45898</v>
      </c>
      <c r="C1154" s="15" t="s">
        <v>68</v>
      </c>
      <c r="D1154" s="15" t="s">
        <v>42</v>
      </c>
      <c r="E1154" s="15" t="s">
        <v>37</v>
      </c>
      <c r="F1154" s="15" t="s">
        <v>18</v>
      </c>
      <c r="G1154" s="15" t="s">
        <v>32</v>
      </c>
      <c r="H1154" s="15" t="n">
        <v>5</v>
      </c>
      <c r="I1154" s="17" t="n">
        <v>0.2</v>
      </c>
      <c r="J1154" s="18" t="n">
        <v>1765.22</v>
      </c>
      <c r="K1154" s="19" t="n">
        <v>-85.04</v>
      </c>
      <c r="L1154" s="15" t="n">
        <f aca="false">YEAR(B1154)</f>
        <v>2025</v>
      </c>
      <c r="M1154" s="20" t="n">
        <f aca="false">IF(J1154&gt;0,K1154/J1154,0)</f>
        <v>-0.048175298263106</v>
      </c>
    </row>
    <row r="1155" customFormat="false" ht="15" hidden="false" customHeight="false" outlineLevel="0" collapsed="false">
      <c r="A1155" s="15" t="s">
        <v>1212</v>
      </c>
      <c r="B1155" s="16" t="n">
        <v>45286</v>
      </c>
      <c r="C1155" s="15" t="s">
        <v>71</v>
      </c>
      <c r="D1155" s="15" t="s">
        <v>43</v>
      </c>
      <c r="E1155" s="15" t="s">
        <v>38</v>
      </c>
      <c r="F1155" s="15" t="s">
        <v>16</v>
      </c>
      <c r="G1155" s="15" t="s">
        <v>25</v>
      </c>
      <c r="H1155" s="15" t="n">
        <v>5</v>
      </c>
      <c r="I1155" s="17" t="n">
        <v>0.05</v>
      </c>
      <c r="J1155" s="18" t="n">
        <v>1487.56</v>
      </c>
      <c r="K1155" s="19" t="n">
        <v>73.44</v>
      </c>
      <c r="L1155" s="15" t="n">
        <f aca="false">YEAR(B1155)</f>
        <v>2023</v>
      </c>
      <c r="M1155" s="20" t="n">
        <f aca="false">IF(J1155&gt;0,K1155/J1155,0)</f>
        <v>0.0493694371991718</v>
      </c>
    </row>
    <row r="1156" customFormat="false" ht="15" hidden="false" customHeight="false" outlineLevel="0" collapsed="false">
      <c r="A1156" s="15" t="s">
        <v>1213</v>
      </c>
      <c r="B1156" s="16" t="n">
        <v>45140</v>
      </c>
      <c r="C1156" s="15" t="s">
        <v>56</v>
      </c>
      <c r="D1156" s="15" t="s">
        <v>42</v>
      </c>
      <c r="E1156" s="15" t="s">
        <v>36</v>
      </c>
      <c r="F1156" s="15" t="s">
        <v>16</v>
      </c>
      <c r="G1156" s="15" t="s">
        <v>25</v>
      </c>
      <c r="H1156" s="15" t="n">
        <v>3</v>
      </c>
      <c r="I1156" s="17" t="n">
        <v>0.3</v>
      </c>
      <c r="J1156" s="18" t="n">
        <v>542.2</v>
      </c>
      <c r="K1156" s="19" t="n">
        <v>-48.71</v>
      </c>
      <c r="L1156" s="15" t="n">
        <f aca="false">YEAR(B1156)</f>
        <v>2023</v>
      </c>
      <c r="M1156" s="20" t="n">
        <f aca="false">IF(J1156&gt;0,K1156/J1156,0)</f>
        <v>-0.0898376982663224</v>
      </c>
    </row>
    <row r="1157" customFormat="false" ht="15" hidden="false" customHeight="false" outlineLevel="0" collapsed="false">
      <c r="A1157" s="15" t="s">
        <v>1214</v>
      </c>
      <c r="B1157" s="16" t="n">
        <v>44725</v>
      </c>
      <c r="C1157" s="15" t="s">
        <v>71</v>
      </c>
      <c r="D1157" s="15" t="s">
        <v>42</v>
      </c>
      <c r="E1157" s="15" t="s">
        <v>39</v>
      </c>
      <c r="F1157" s="15" t="s">
        <v>18</v>
      </c>
      <c r="G1157" s="15" t="s">
        <v>30</v>
      </c>
      <c r="H1157" s="15" t="n">
        <v>4</v>
      </c>
      <c r="I1157" s="17" t="n">
        <v>0.05</v>
      </c>
      <c r="J1157" s="18" t="n">
        <v>178.76</v>
      </c>
      <c r="K1157" s="19" t="n">
        <v>37.18</v>
      </c>
      <c r="L1157" s="15" t="n">
        <f aca="false">YEAR(B1157)</f>
        <v>2022</v>
      </c>
      <c r="M1157" s="20" t="n">
        <f aca="false">IF(J1157&gt;0,K1157/J1157,0)</f>
        <v>0.207988364287313</v>
      </c>
    </row>
    <row r="1158" customFormat="false" ht="15" hidden="false" customHeight="false" outlineLevel="0" collapsed="false">
      <c r="A1158" s="15" t="s">
        <v>1215</v>
      </c>
      <c r="B1158" s="16" t="n">
        <v>45670</v>
      </c>
      <c r="C1158" s="15" t="s">
        <v>56</v>
      </c>
      <c r="D1158" s="15" t="s">
        <v>42</v>
      </c>
      <c r="E1158" s="15" t="s">
        <v>38</v>
      </c>
      <c r="F1158" s="15" t="s">
        <v>16</v>
      </c>
      <c r="G1158" s="15" t="s">
        <v>25</v>
      </c>
      <c r="H1158" s="15" t="n">
        <v>3</v>
      </c>
      <c r="I1158" s="17" t="n">
        <v>0</v>
      </c>
      <c r="J1158" s="18" t="n">
        <v>608.67</v>
      </c>
      <c r="K1158" s="19" t="n">
        <v>29.29</v>
      </c>
      <c r="L1158" s="15" t="n">
        <f aca="false">YEAR(B1158)</f>
        <v>2025</v>
      </c>
      <c r="M1158" s="20" t="n">
        <f aca="false">IF(J1158&gt;0,K1158/J1158,0)</f>
        <v>0.0481213136839338</v>
      </c>
    </row>
    <row r="1159" customFormat="false" ht="15" hidden="false" customHeight="false" outlineLevel="0" collapsed="false">
      <c r="A1159" s="15" t="s">
        <v>1216</v>
      </c>
      <c r="B1159" s="16" t="n">
        <v>44896</v>
      </c>
      <c r="C1159" s="15" t="s">
        <v>56</v>
      </c>
      <c r="D1159" s="15" t="s">
        <v>44</v>
      </c>
      <c r="E1159" s="15" t="s">
        <v>39</v>
      </c>
      <c r="F1159" s="15" t="s">
        <v>16</v>
      </c>
      <c r="G1159" s="15" t="s">
        <v>23</v>
      </c>
      <c r="H1159" s="15" t="n">
        <v>2</v>
      </c>
      <c r="I1159" s="17" t="n">
        <v>0.1</v>
      </c>
      <c r="J1159" s="18" t="n">
        <v>565.09</v>
      </c>
      <c r="K1159" s="19" t="n">
        <v>-19.14</v>
      </c>
      <c r="L1159" s="15" t="n">
        <f aca="false">YEAR(B1159)</f>
        <v>2022</v>
      </c>
      <c r="M1159" s="20" t="n">
        <f aca="false">IF(J1159&gt;0,K1159/J1159,0)</f>
        <v>-0.033870710860217</v>
      </c>
    </row>
    <row r="1160" customFormat="false" ht="15" hidden="false" customHeight="false" outlineLevel="0" collapsed="false">
      <c r="A1160" s="15" t="s">
        <v>1217</v>
      </c>
      <c r="B1160" s="16" t="n">
        <v>45728</v>
      </c>
      <c r="C1160" s="15" t="s">
        <v>68</v>
      </c>
      <c r="D1160" s="15" t="s">
        <v>42</v>
      </c>
      <c r="E1160" s="15" t="s">
        <v>37</v>
      </c>
      <c r="F1160" s="15" t="s">
        <v>17</v>
      </c>
      <c r="G1160" s="15" t="s">
        <v>29</v>
      </c>
      <c r="H1160" s="15" t="n">
        <v>4</v>
      </c>
      <c r="I1160" s="17" t="n">
        <v>0</v>
      </c>
      <c r="J1160" s="18" t="n">
        <v>76.81</v>
      </c>
      <c r="K1160" s="19" t="n">
        <v>29.98</v>
      </c>
      <c r="L1160" s="15" t="n">
        <f aca="false">YEAR(B1160)</f>
        <v>2025</v>
      </c>
      <c r="M1160" s="20" t="n">
        <f aca="false">IF(J1160&gt;0,K1160/J1160,0)</f>
        <v>0.390313761229007</v>
      </c>
    </row>
    <row r="1161" customFormat="false" ht="15" hidden="false" customHeight="false" outlineLevel="0" collapsed="false">
      <c r="A1161" s="15" t="s">
        <v>1218</v>
      </c>
      <c r="B1161" s="16" t="n">
        <v>44962</v>
      </c>
      <c r="C1161" s="15" t="s">
        <v>68</v>
      </c>
      <c r="D1161" s="15" t="s">
        <v>42</v>
      </c>
      <c r="E1161" s="15" t="s">
        <v>36</v>
      </c>
      <c r="F1161" s="15" t="s">
        <v>17</v>
      </c>
      <c r="G1161" s="15" t="s">
        <v>28</v>
      </c>
      <c r="H1161" s="15" t="n">
        <v>3</v>
      </c>
      <c r="I1161" s="17" t="n">
        <v>0</v>
      </c>
      <c r="J1161" s="18" t="n">
        <v>74.94</v>
      </c>
      <c r="K1161" s="19" t="n">
        <v>23.63</v>
      </c>
      <c r="L1161" s="15" t="n">
        <f aca="false">YEAR(B1161)</f>
        <v>2023</v>
      </c>
      <c r="M1161" s="20" t="n">
        <f aca="false">IF(J1161&gt;0,K1161/J1161,0)</f>
        <v>0.31531892180411</v>
      </c>
    </row>
    <row r="1162" customFormat="false" ht="15" hidden="false" customHeight="false" outlineLevel="0" collapsed="false">
      <c r="A1162" s="15" t="s">
        <v>1219</v>
      </c>
      <c r="B1162" s="16" t="n">
        <v>44626</v>
      </c>
      <c r="C1162" s="15" t="s">
        <v>56</v>
      </c>
      <c r="D1162" s="15" t="s">
        <v>42</v>
      </c>
      <c r="E1162" s="15" t="s">
        <v>36</v>
      </c>
      <c r="F1162" s="15" t="s">
        <v>16</v>
      </c>
      <c r="G1162" s="15" t="s">
        <v>27</v>
      </c>
      <c r="H1162" s="15" t="n">
        <v>3</v>
      </c>
      <c r="I1162" s="17" t="n">
        <v>0</v>
      </c>
      <c r="J1162" s="18" t="n">
        <v>165.24</v>
      </c>
      <c r="K1162" s="19" t="n">
        <v>22.9</v>
      </c>
      <c r="L1162" s="15" t="n">
        <f aca="false">YEAR(B1162)</f>
        <v>2022</v>
      </c>
      <c r="M1162" s="20" t="n">
        <f aca="false">IF(J1162&gt;0,K1162/J1162,0)</f>
        <v>0.138586298717018</v>
      </c>
    </row>
    <row r="1163" customFormat="false" ht="15" hidden="false" customHeight="false" outlineLevel="0" collapsed="false">
      <c r="A1163" s="15" t="s">
        <v>1220</v>
      </c>
      <c r="B1163" s="16" t="n">
        <v>45518</v>
      </c>
      <c r="C1163" s="15" t="s">
        <v>56</v>
      </c>
      <c r="D1163" s="15" t="s">
        <v>44</v>
      </c>
      <c r="E1163" s="15" t="s">
        <v>37</v>
      </c>
      <c r="F1163" s="15" t="s">
        <v>17</v>
      </c>
      <c r="G1163" s="15" t="s">
        <v>26</v>
      </c>
      <c r="H1163" s="15" t="n">
        <v>4</v>
      </c>
      <c r="I1163" s="17" t="n">
        <v>0.2</v>
      </c>
      <c r="J1163" s="18" t="n">
        <v>312.42</v>
      </c>
      <c r="K1163" s="19" t="n">
        <v>-16.61</v>
      </c>
      <c r="L1163" s="15" t="n">
        <f aca="false">YEAR(B1163)</f>
        <v>2024</v>
      </c>
      <c r="M1163" s="20" t="n">
        <f aca="false">IF(J1163&gt;0,K1163/J1163,0)</f>
        <v>-0.0531656103962614</v>
      </c>
    </row>
    <row r="1164" customFormat="false" ht="15" hidden="false" customHeight="false" outlineLevel="0" collapsed="false">
      <c r="A1164" s="15" t="s">
        <v>1221</v>
      </c>
      <c r="B1164" s="16" t="n">
        <v>45417</v>
      </c>
      <c r="C1164" s="15" t="s">
        <v>71</v>
      </c>
      <c r="D1164" s="15" t="s">
        <v>42</v>
      </c>
      <c r="E1164" s="15" t="s">
        <v>38</v>
      </c>
      <c r="F1164" s="15" t="s">
        <v>17</v>
      </c>
      <c r="G1164" s="15" t="s">
        <v>29</v>
      </c>
      <c r="H1164" s="15" t="n">
        <v>1</v>
      </c>
      <c r="I1164" s="17" t="n">
        <v>0.1</v>
      </c>
      <c r="J1164" s="18" t="n">
        <v>12.78</v>
      </c>
      <c r="K1164" s="19" t="n">
        <v>2.6</v>
      </c>
      <c r="L1164" s="15" t="n">
        <f aca="false">YEAR(B1164)</f>
        <v>2024</v>
      </c>
      <c r="M1164" s="20" t="n">
        <f aca="false">IF(J1164&gt;0,K1164/J1164,0)</f>
        <v>0.203442879499218</v>
      </c>
    </row>
    <row r="1165" customFormat="false" ht="15" hidden="false" customHeight="false" outlineLevel="0" collapsed="false">
      <c r="A1165" s="15" t="s">
        <v>1222</v>
      </c>
      <c r="B1165" s="16" t="n">
        <v>45454</v>
      </c>
      <c r="C1165" s="15" t="s">
        <v>56</v>
      </c>
      <c r="D1165" s="15" t="s">
        <v>42</v>
      </c>
      <c r="E1165" s="15" t="s">
        <v>36</v>
      </c>
      <c r="F1165" s="15" t="s">
        <v>17</v>
      </c>
      <c r="G1165" s="15" t="s">
        <v>28</v>
      </c>
      <c r="H1165" s="15" t="n">
        <v>4</v>
      </c>
      <c r="I1165" s="17" t="n">
        <v>0.05</v>
      </c>
      <c r="J1165" s="18" t="n">
        <v>102.63</v>
      </c>
      <c r="K1165" s="19" t="n">
        <v>21.42</v>
      </c>
      <c r="L1165" s="15" t="n">
        <f aca="false">YEAR(B1165)</f>
        <v>2024</v>
      </c>
      <c r="M1165" s="20" t="n">
        <f aca="false">IF(J1165&gt;0,K1165/J1165,0)</f>
        <v>0.208710903244665</v>
      </c>
    </row>
    <row r="1166" customFormat="false" ht="15" hidden="false" customHeight="false" outlineLevel="0" collapsed="false">
      <c r="A1166" s="15" t="s">
        <v>1223</v>
      </c>
      <c r="B1166" s="16" t="n">
        <v>45641</v>
      </c>
      <c r="C1166" s="15" t="s">
        <v>68</v>
      </c>
      <c r="D1166" s="15" t="s">
        <v>44</v>
      </c>
      <c r="E1166" s="15" t="s">
        <v>37</v>
      </c>
      <c r="F1166" s="15" t="s">
        <v>17</v>
      </c>
      <c r="G1166" s="15" t="s">
        <v>26</v>
      </c>
      <c r="H1166" s="15" t="n">
        <v>3</v>
      </c>
      <c r="I1166" s="17" t="n">
        <v>0.05</v>
      </c>
      <c r="J1166" s="18" t="n">
        <v>254.41</v>
      </c>
      <c r="K1166" s="19" t="n">
        <v>36.6</v>
      </c>
      <c r="L1166" s="15" t="n">
        <f aca="false">YEAR(B1166)</f>
        <v>2024</v>
      </c>
      <c r="M1166" s="20" t="n">
        <f aca="false">IF(J1166&gt;0,K1166/J1166,0)</f>
        <v>0.143862269564876</v>
      </c>
    </row>
    <row r="1167" customFormat="false" ht="15" hidden="false" customHeight="false" outlineLevel="0" collapsed="false">
      <c r="A1167" s="15" t="s">
        <v>1224</v>
      </c>
      <c r="B1167" s="16" t="n">
        <v>44895</v>
      </c>
      <c r="C1167" s="15" t="s">
        <v>56</v>
      </c>
      <c r="D1167" s="15" t="s">
        <v>42</v>
      </c>
      <c r="E1167" s="15" t="s">
        <v>39</v>
      </c>
      <c r="F1167" s="15" t="s">
        <v>17</v>
      </c>
      <c r="G1167" s="15" t="s">
        <v>31</v>
      </c>
      <c r="H1167" s="15" t="n">
        <v>2</v>
      </c>
      <c r="I1167" s="17" t="n">
        <v>0.15</v>
      </c>
      <c r="J1167" s="18" t="n">
        <v>247.04</v>
      </c>
      <c r="K1167" s="19" t="n">
        <v>7.45</v>
      </c>
      <c r="L1167" s="15" t="n">
        <f aca="false">YEAR(B1167)</f>
        <v>2022</v>
      </c>
      <c r="M1167" s="20" t="n">
        <f aca="false">IF(J1167&gt;0,K1167/J1167,0)</f>
        <v>0.0301570595854922</v>
      </c>
    </row>
    <row r="1168" customFormat="false" ht="15" hidden="false" customHeight="false" outlineLevel="0" collapsed="false">
      <c r="A1168" s="15" t="s">
        <v>1225</v>
      </c>
      <c r="B1168" s="16" t="n">
        <v>45240</v>
      </c>
      <c r="C1168" s="15" t="s">
        <v>56</v>
      </c>
      <c r="D1168" s="15" t="s">
        <v>42</v>
      </c>
      <c r="E1168" s="15" t="s">
        <v>39</v>
      </c>
      <c r="F1168" s="15" t="s">
        <v>17</v>
      </c>
      <c r="G1168" s="15" t="s">
        <v>26</v>
      </c>
      <c r="H1168" s="15" t="n">
        <v>3</v>
      </c>
      <c r="I1168" s="17" t="n">
        <v>0.2</v>
      </c>
      <c r="J1168" s="18" t="n">
        <v>242.22</v>
      </c>
      <c r="K1168" s="19" t="n">
        <v>-22.47</v>
      </c>
      <c r="L1168" s="15" t="n">
        <f aca="false">YEAR(B1168)</f>
        <v>2023</v>
      </c>
      <c r="M1168" s="20" t="n">
        <f aca="false">IF(J1168&gt;0,K1168/J1168,0)</f>
        <v>-0.0927669061184048</v>
      </c>
    </row>
    <row r="1169" customFormat="false" ht="15" hidden="false" customHeight="false" outlineLevel="0" collapsed="false">
      <c r="A1169" s="15" t="s">
        <v>1226</v>
      </c>
      <c r="B1169" s="16" t="n">
        <v>45857</v>
      </c>
      <c r="C1169" s="15" t="s">
        <v>56</v>
      </c>
      <c r="D1169" s="15" t="s">
        <v>42</v>
      </c>
      <c r="E1169" s="15" t="s">
        <v>39</v>
      </c>
      <c r="F1169" s="15" t="s">
        <v>17</v>
      </c>
      <c r="G1169" s="15" t="s">
        <v>28</v>
      </c>
      <c r="H1169" s="15" t="n">
        <v>3</v>
      </c>
      <c r="I1169" s="17" t="n">
        <v>0</v>
      </c>
      <c r="J1169" s="18" t="n">
        <v>70.57</v>
      </c>
      <c r="K1169" s="19" t="n">
        <v>22.22</v>
      </c>
      <c r="L1169" s="15" t="n">
        <f aca="false">YEAR(B1169)</f>
        <v>2025</v>
      </c>
      <c r="M1169" s="20" t="n">
        <f aca="false">IF(J1169&gt;0,K1169/J1169,0)</f>
        <v>0.314864673373955</v>
      </c>
    </row>
    <row r="1170" customFormat="false" ht="15" hidden="false" customHeight="false" outlineLevel="0" collapsed="false">
      <c r="A1170" s="15" t="s">
        <v>1227</v>
      </c>
      <c r="B1170" s="16" t="n">
        <v>45534</v>
      </c>
      <c r="C1170" s="15" t="s">
        <v>56</v>
      </c>
      <c r="D1170" s="15" t="s">
        <v>42</v>
      </c>
      <c r="E1170" s="15" t="s">
        <v>37</v>
      </c>
      <c r="F1170" s="15" t="s">
        <v>16</v>
      </c>
      <c r="G1170" s="15" t="s">
        <v>27</v>
      </c>
      <c r="H1170" s="15" t="n">
        <v>3</v>
      </c>
      <c r="I1170" s="17" t="n">
        <v>0.2</v>
      </c>
      <c r="J1170" s="18" t="n">
        <v>161.05</v>
      </c>
      <c r="K1170" s="19" t="n">
        <v>9.47</v>
      </c>
      <c r="L1170" s="15" t="n">
        <f aca="false">YEAR(B1170)</f>
        <v>2024</v>
      </c>
      <c r="M1170" s="20" t="n">
        <f aca="false">IF(J1170&gt;0,K1170/J1170,0)</f>
        <v>0.0588016144054641</v>
      </c>
    </row>
    <row r="1171" customFormat="false" ht="15" hidden="false" customHeight="false" outlineLevel="0" collapsed="false">
      <c r="A1171" s="15" t="s">
        <v>1228</v>
      </c>
      <c r="B1171" s="16" t="n">
        <v>45534</v>
      </c>
      <c r="C1171" s="15" t="s">
        <v>71</v>
      </c>
      <c r="D1171" s="15" t="s">
        <v>42</v>
      </c>
      <c r="E1171" s="15" t="s">
        <v>38</v>
      </c>
      <c r="F1171" s="15" t="s">
        <v>17</v>
      </c>
      <c r="G1171" s="15" t="s">
        <v>31</v>
      </c>
      <c r="H1171" s="15" t="n">
        <v>6</v>
      </c>
      <c r="I1171" s="17" t="n">
        <v>0.4</v>
      </c>
      <c r="J1171" s="18" t="n">
        <v>380.34</v>
      </c>
      <c r="K1171" s="19" t="n">
        <v>-47.86</v>
      </c>
      <c r="L1171" s="15" t="n">
        <f aca="false">YEAR(B1171)</f>
        <v>2024</v>
      </c>
      <c r="M1171" s="20" t="n">
        <f aca="false">IF(J1171&gt;0,K1171/J1171,0)</f>
        <v>-0.125834779407898</v>
      </c>
    </row>
    <row r="1172" customFormat="false" ht="15" hidden="false" customHeight="false" outlineLevel="0" collapsed="false">
      <c r="A1172" s="15" t="s">
        <v>1229</v>
      </c>
      <c r="B1172" s="16" t="n">
        <v>45929</v>
      </c>
      <c r="C1172" s="15" t="s">
        <v>68</v>
      </c>
      <c r="D1172" s="15" t="s">
        <v>43</v>
      </c>
      <c r="E1172" s="15" t="s">
        <v>37</v>
      </c>
      <c r="F1172" s="15" t="s">
        <v>18</v>
      </c>
      <c r="G1172" s="15" t="s">
        <v>30</v>
      </c>
      <c r="H1172" s="15" t="n">
        <v>6</v>
      </c>
      <c r="I1172" s="17" t="n">
        <v>0.2</v>
      </c>
      <c r="J1172" s="18" t="n">
        <v>240.21</v>
      </c>
      <c r="K1172" s="19" t="n">
        <v>37.23</v>
      </c>
      <c r="L1172" s="15" t="n">
        <f aca="false">YEAR(B1172)</f>
        <v>2025</v>
      </c>
      <c r="M1172" s="20" t="n">
        <f aca="false">IF(J1172&gt;0,K1172/J1172,0)</f>
        <v>0.154989384288747</v>
      </c>
    </row>
    <row r="1173" customFormat="false" ht="15" hidden="false" customHeight="false" outlineLevel="0" collapsed="false">
      <c r="A1173" s="15" t="s">
        <v>1230</v>
      </c>
      <c r="B1173" s="16" t="n">
        <v>45468</v>
      </c>
      <c r="C1173" s="15" t="s">
        <v>56</v>
      </c>
      <c r="D1173" s="15" t="s">
        <v>42</v>
      </c>
      <c r="E1173" s="15" t="s">
        <v>39</v>
      </c>
      <c r="F1173" s="15" t="s">
        <v>17</v>
      </c>
      <c r="G1173" s="15" t="s">
        <v>29</v>
      </c>
      <c r="H1173" s="15" t="n">
        <v>3</v>
      </c>
      <c r="I1173" s="17" t="n">
        <v>0.15</v>
      </c>
      <c r="J1173" s="18" t="n">
        <v>58.31</v>
      </c>
      <c r="K1173" s="19" t="n">
        <v>16.78</v>
      </c>
      <c r="L1173" s="15" t="n">
        <f aca="false">YEAR(B1173)</f>
        <v>2024</v>
      </c>
      <c r="M1173" s="20" t="n">
        <f aca="false">IF(J1173&gt;0,K1173/J1173,0)</f>
        <v>0.287772251757846</v>
      </c>
    </row>
    <row r="1174" customFormat="false" ht="15" hidden="false" customHeight="false" outlineLevel="0" collapsed="false">
      <c r="A1174" s="15" t="s">
        <v>1231</v>
      </c>
      <c r="B1174" s="16" t="n">
        <v>45159</v>
      </c>
      <c r="C1174" s="15" t="s">
        <v>56</v>
      </c>
      <c r="D1174" s="15" t="s">
        <v>43</v>
      </c>
      <c r="E1174" s="15" t="s">
        <v>39</v>
      </c>
      <c r="F1174" s="15" t="s">
        <v>17</v>
      </c>
      <c r="G1174" s="15" t="s">
        <v>29</v>
      </c>
      <c r="H1174" s="15" t="n">
        <v>2</v>
      </c>
      <c r="I1174" s="17" t="n">
        <v>0</v>
      </c>
      <c r="J1174" s="18" t="n">
        <v>41.79</v>
      </c>
      <c r="K1174" s="19" t="n">
        <v>16.78</v>
      </c>
      <c r="L1174" s="15" t="n">
        <f aca="false">YEAR(B1174)</f>
        <v>2023</v>
      </c>
      <c r="M1174" s="20" t="n">
        <f aca="false">IF(J1174&gt;0,K1174/J1174,0)</f>
        <v>0.4015314668581</v>
      </c>
    </row>
    <row r="1175" customFormat="false" ht="15" hidden="false" customHeight="false" outlineLevel="0" collapsed="false">
      <c r="A1175" s="15" t="s">
        <v>1232</v>
      </c>
      <c r="B1175" s="16" t="n">
        <v>45650</v>
      </c>
      <c r="C1175" s="15" t="s">
        <v>56</v>
      </c>
      <c r="D1175" s="15" t="s">
        <v>42</v>
      </c>
      <c r="E1175" s="15" t="s">
        <v>38</v>
      </c>
      <c r="F1175" s="15" t="s">
        <v>17</v>
      </c>
      <c r="G1175" s="15" t="s">
        <v>28</v>
      </c>
      <c r="H1175" s="15" t="n">
        <v>2</v>
      </c>
      <c r="I1175" s="17" t="n">
        <v>0.3</v>
      </c>
      <c r="J1175" s="18" t="n">
        <v>30.42</v>
      </c>
      <c r="K1175" s="19" t="n">
        <v>-0.43</v>
      </c>
      <c r="L1175" s="15" t="n">
        <f aca="false">YEAR(B1175)</f>
        <v>2024</v>
      </c>
      <c r="M1175" s="20" t="n">
        <f aca="false">IF(J1175&gt;0,K1175/J1175,0)</f>
        <v>-0.0141354372123603</v>
      </c>
    </row>
    <row r="1176" customFormat="false" ht="15" hidden="false" customHeight="false" outlineLevel="0" collapsed="false">
      <c r="A1176" s="15" t="s">
        <v>1233</v>
      </c>
      <c r="B1176" s="16" t="n">
        <v>44891</v>
      </c>
      <c r="C1176" s="15" t="s">
        <v>58</v>
      </c>
      <c r="D1176" s="15" t="s">
        <v>43</v>
      </c>
      <c r="E1176" s="15" t="s">
        <v>39</v>
      </c>
      <c r="F1176" s="15" t="s">
        <v>17</v>
      </c>
      <c r="G1176" s="15" t="s">
        <v>29</v>
      </c>
      <c r="H1176" s="15" t="n">
        <v>3</v>
      </c>
      <c r="I1176" s="17" t="n">
        <v>0.2</v>
      </c>
      <c r="J1176" s="18" t="n">
        <v>47.8</v>
      </c>
      <c r="K1176" s="19" t="n">
        <v>9.63</v>
      </c>
      <c r="L1176" s="15" t="n">
        <f aca="false">YEAR(B1176)</f>
        <v>2022</v>
      </c>
      <c r="M1176" s="20" t="n">
        <f aca="false">IF(J1176&gt;0,K1176/J1176,0)</f>
        <v>0.201464435146444</v>
      </c>
    </row>
    <row r="1177" customFormat="false" ht="15" hidden="false" customHeight="false" outlineLevel="0" collapsed="false">
      <c r="A1177" s="15" t="s">
        <v>1234</v>
      </c>
      <c r="B1177" s="16" t="n">
        <v>45480</v>
      </c>
      <c r="C1177" s="15" t="s">
        <v>56</v>
      </c>
      <c r="D1177" s="15" t="s">
        <v>42</v>
      </c>
      <c r="E1177" s="15" t="s">
        <v>36</v>
      </c>
      <c r="F1177" s="15" t="s">
        <v>17</v>
      </c>
      <c r="G1177" s="15" t="s">
        <v>29</v>
      </c>
      <c r="H1177" s="15" t="n">
        <v>4</v>
      </c>
      <c r="I1177" s="17" t="n">
        <v>0.4</v>
      </c>
      <c r="J1177" s="18" t="n">
        <v>40.61</v>
      </c>
      <c r="K1177" s="19" t="n">
        <v>3.63</v>
      </c>
      <c r="L1177" s="15" t="n">
        <f aca="false">YEAR(B1177)</f>
        <v>2024</v>
      </c>
      <c r="M1177" s="20" t="n">
        <f aca="false">IF(J1177&gt;0,K1177/J1177,0)</f>
        <v>0.0893868505294262</v>
      </c>
    </row>
    <row r="1178" customFormat="false" ht="15" hidden="false" customHeight="false" outlineLevel="0" collapsed="false">
      <c r="A1178" s="15" t="s">
        <v>1235</v>
      </c>
      <c r="B1178" s="16" t="n">
        <v>45946</v>
      </c>
      <c r="C1178" s="15" t="s">
        <v>71</v>
      </c>
      <c r="D1178" s="15" t="s">
        <v>42</v>
      </c>
      <c r="E1178" s="15" t="s">
        <v>37</v>
      </c>
      <c r="F1178" s="15" t="s">
        <v>18</v>
      </c>
      <c r="G1178" s="15" t="s">
        <v>30</v>
      </c>
      <c r="H1178" s="15" t="n">
        <v>2</v>
      </c>
      <c r="I1178" s="17" t="n">
        <v>0</v>
      </c>
      <c r="J1178" s="18" t="n">
        <v>93.18</v>
      </c>
      <c r="K1178" s="19" t="n">
        <v>30.09</v>
      </c>
      <c r="L1178" s="15" t="n">
        <f aca="false">YEAR(B1178)</f>
        <v>2025</v>
      </c>
      <c r="M1178" s="20" t="n">
        <f aca="false">IF(J1178&gt;0,K1178/J1178,0)</f>
        <v>0.322923374114617</v>
      </c>
    </row>
    <row r="1179" customFormat="false" ht="15" hidden="false" customHeight="false" outlineLevel="0" collapsed="false">
      <c r="A1179" s="15" t="s">
        <v>1236</v>
      </c>
      <c r="B1179" s="16" t="n">
        <v>45558</v>
      </c>
      <c r="C1179" s="15" t="s">
        <v>68</v>
      </c>
      <c r="D1179" s="15" t="s">
        <v>42</v>
      </c>
      <c r="E1179" s="15" t="s">
        <v>38</v>
      </c>
      <c r="F1179" s="15" t="s">
        <v>18</v>
      </c>
      <c r="G1179" s="15" t="s">
        <v>32</v>
      </c>
      <c r="H1179" s="15" t="n">
        <v>5</v>
      </c>
      <c r="I1179" s="17" t="n">
        <v>0.1</v>
      </c>
      <c r="J1179" s="18" t="n">
        <v>1624.02</v>
      </c>
      <c r="K1179" s="19" t="n">
        <v>120.18</v>
      </c>
      <c r="L1179" s="15" t="n">
        <f aca="false">YEAR(B1179)</f>
        <v>2024</v>
      </c>
      <c r="M1179" s="20" t="n">
        <f aca="false">IF(J1179&gt;0,K1179/J1179,0)</f>
        <v>0.0740015517050283</v>
      </c>
    </row>
    <row r="1180" customFormat="false" ht="15" hidden="false" customHeight="false" outlineLevel="0" collapsed="false">
      <c r="A1180" s="15" t="s">
        <v>1237</v>
      </c>
      <c r="B1180" s="16" t="n">
        <v>45562</v>
      </c>
      <c r="C1180" s="15" t="s">
        <v>68</v>
      </c>
      <c r="D1180" s="15" t="s">
        <v>43</v>
      </c>
      <c r="E1180" s="15" t="s">
        <v>37</v>
      </c>
      <c r="F1180" s="15" t="s">
        <v>17</v>
      </c>
      <c r="G1180" s="15" t="s">
        <v>29</v>
      </c>
      <c r="H1180" s="15" t="n">
        <v>2</v>
      </c>
      <c r="I1180" s="17" t="n">
        <v>0.5</v>
      </c>
      <c r="J1180" s="18" t="n">
        <v>19.22</v>
      </c>
      <c r="K1180" s="19" t="n">
        <v>-2.6</v>
      </c>
      <c r="L1180" s="15" t="n">
        <f aca="false">YEAR(B1180)</f>
        <v>2024</v>
      </c>
      <c r="M1180" s="20" t="n">
        <f aca="false">IF(J1180&gt;0,K1180/J1180,0)</f>
        <v>-0.135275754422477</v>
      </c>
    </row>
    <row r="1181" customFormat="false" ht="15" hidden="false" customHeight="false" outlineLevel="0" collapsed="false">
      <c r="A1181" s="15" t="s">
        <v>1238</v>
      </c>
      <c r="B1181" s="16" t="n">
        <v>45553</v>
      </c>
      <c r="C1181" s="15" t="s">
        <v>68</v>
      </c>
      <c r="D1181" s="15" t="s">
        <v>44</v>
      </c>
      <c r="E1181" s="15" t="s">
        <v>37</v>
      </c>
      <c r="F1181" s="15" t="s">
        <v>16</v>
      </c>
      <c r="G1181" s="15" t="s">
        <v>22</v>
      </c>
      <c r="H1181" s="15" t="n">
        <v>3</v>
      </c>
      <c r="I1181" s="17" t="n">
        <v>0.2</v>
      </c>
      <c r="J1181" s="18" t="n">
        <v>1362.23</v>
      </c>
      <c r="K1181" s="19" t="n">
        <v>-267.62</v>
      </c>
      <c r="L1181" s="15" t="n">
        <f aca="false">YEAR(B1181)</f>
        <v>2024</v>
      </c>
      <c r="M1181" s="20" t="n">
        <f aca="false">IF(J1181&gt;0,K1181/J1181,0)</f>
        <v>-0.196457279607702</v>
      </c>
    </row>
    <row r="1182" customFormat="false" ht="15" hidden="false" customHeight="false" outlineLevel="0" collapsed="false">
      <c r="A1182" s="15" t="s">
        <v>1239</v>
      </c>
      <c r="B1182" s="16" t="n">
        <v>44651</v>
      </c>
      <c r="C1182" s="15" t="s">
        <v>68</v>
      </c>
      <c r="D1182" s="15" t="s">
        <v>43</v>
      </c>
      <c r="E1182" s="15" t="s">
        <v>36</v>
      </c>
      <c r="F1182" s="15" t="s">
        <v>17</v>
      </c>
      <c r="G1182" s="15" t="s">
        <v>28</v>
      </c>
      <c r="H1182" s="15" t="n">
        <v>3</v>
      </c>
      <c r="I1182" s="17" t="n">
        <v>0</v>
      </c>
      <c r="J1182" s="18" t="n">
        <v>80.08</v>
      </c>
      <c r="K1182" s="19" t="n">
        <v>26.52</v>
      </c>
      <c r="L1182" s="15" t="n">
        <f aca="false">YEAR(B1182)</f>
        <v>2022</v>
      </c>
      <c r="M1182" s="20" t="n">
        <f aca="false">IF(J1182&gt;0,K1182/J1182,0)</f>
        <v>0.331168831168831</v>
      </c>
    </row>
    <row r="1183" customFormat="false" ht="15" hidden="false" customHeight="false" outlineLevel="0" collapsed="false">
      <c r="A1183" s="15" t="s">
        <v>1240</v>
      </c>
      <c r="B1183" s="16" t="n">
        <v>45874</v>
      </c>
      <c r="C1183" s="15" t="s">
        <v>68</v>
      </c>
      <c r="D1183" s="15" t="s">
        <v>43</v>
      </c>
      <c r="E1183" s="15" t="s">
        <v>36</v>
      </c>
      <c r="F1183" s="15" t="s">
        <v>17</v>
      </c>
      <c r="G1183" s="15" t="s">
        <v>28</v>
      </c>
      <c r="H1183" s="15" t="n">
        <v>4</v>
      </c>
      <c r="I1183" s="17" t="n">
        <v>0.4</v>
      </c>
      <c r="J1183" s="18" t="n">
        <v>55.5</v>
      </c>
      <c r="K1183" s="19" t="n">
        <v>0.7</v>
      </c>
      <c r="L1183" s="15" t="n">
        <f aca="false">YEAR(B1183)</f>
        <v>2025</v>
      </c>
      <c r="M1183" s="20" t="n">
        <f aca="false">IF(J1183&gt;0,K1183/J1183,0)</f>
        <v>0.0126126126126126</v>
      </c>
    </row>
    <row r="1184" customFormat="false" ht="15" hidden="false" customHeight="false" outlineLevel="0" collapsed="false">
      <c r="A1184" s="15" t="s">
        <v>1241</v>
      </c>
      <c r="B1184" s="16" t="n">
        <v>45491</v>
      </c>
      <c r="C1184" s="15" t="s">
        <v>56</v>
      </c>
      <c r="D1184" s="15" t="s">
        <v>42</v>
      </c>
      <c r="E1184" s="15" t="s">
        <v>38</v>
      </c>
      <c r="F1184" s="15" t="s">
        <v>16</v>
      </c>
      <c r="G1184" s="15" t="s">
        <v>27</v>
      </c>
      <c r="H1184" s="15" t="n">
        <v>4</v>
      </c>
      <c r="I1184" s="17" t="n">
        <v>0</v>
      </c>
      <c r="J1184" s="18" t="n">
        <v>242.96</v>
      </c>
      <c r="K1184" s="19" t="n">
        <v>57</v>
      </c>
      <c r="L1184" s="15" t="n">
        <f aca="false">YEAR(B1184)</f>
        <v>2024</v>
      </c>
      <c r="M1184" s="20" t="n">
        <f aca="false">IF(J1184&gt;0,K1184/J1184,0)</f>
        <v>0.234606519591702</v>
      </c>
    </row>
    <row r="1185" customFormat="false" ht="15" hidden="false" customHeight="false" outlineLevel="0" collapsed="false">
      <c r="A1185" s="15" t="s">
        <v>1242</v>
      </c>
      <c r="B1185" s="16" t="n">
        <v>45019</v>
      </c>
      <c r="C1185" s="15" t="s">
        <v>71</v>
      </c>
      <c r="D1185" s="15" t="s">
        <v>42</v>
      </c>
      <c r="E1185" s="15" t="s">
        <v>39</v>
      </c>
      <c r="F1185" s="15" t="s">
        <v>17</v>
      </c>
      <c r="G1185" s="15" t="s">
        <v>28</v>
      </c>
      <c r="H1185" s="15" t="n">
        <v>1</v>
      </c>
      <c r="I1185" s="17" t="n">
        <v>0</v>
      </c>
      <c r="J1185" s="18" t="n">
        <v>20.03</v>
      </c>
      <c r="K1185" s="19" t="n">
        <v>5.55</v>
      </c>
      <c r="L1185" s="15" t="n">
        <f aca="false">YEAR(B1185)</f>
        <v>2023</v>
      </c>
      <c r="M1185" s="20" t="n">
        <f aca="false">IF(J1185&gt;0,K1185/J1185,0)</f>
        <v>0.27708437343984</v>
      </c>
    </row>
    <row r="1186" customFormat="false" ht="15" hidden="false" customHeight="false" outlineLevel="0" collapsed="false">
      <c r="A1186" s="15" t="s">
        <v>1243</v>
      </c>
      <c r="B1186" s="16" t="n">
        <v>45163</v>
      </c>
      <c r="C1186" s="15" t="s">
        <v>71</v>
      </c>
      <c r="D1186" s="15" t="s">
        <v>42</v>
      </c>
      <c r="E1186" s="15" t="s">
        <v>37</v>
      </c>
      <c r="F1186" s="15" t="s">
        <v>17</v>
      </c>
      <c r="G1186" s="15" t="s">
        <v>28</v>
      </c>
      <c r="H1186" s="15" t="n">
        <v>5</v>
      </c>
      <c r="I1186" s="17" t="n">
        <v>0.1</v>
      </c>
      <c r="J1186" s="18" t="n">
        <v>129.15</v>
      </c>
      <c r="K1186" s="19" t="n">
        <v>29.88</v>
      </c>
      <c r="L1186" s="15" t="n">
        <f aca="false">YEAR(B1186)</f>
        <v>2023</v>
      </c>
      <c r="M1186" s="20" t="n">
        <f aca="false">IF(J1186&gt;0,K1186/J1186,0)</f>
        <v>0.231358885017422</v>
      </c>
    </row>
    <row r="1187" customFormat="false" ht="15" hidden="false" customHeight="false" outlineLevel="0" collapsed="false">
      <c r="A1187" s="15" t="s">
        <v>1244</v>
      </c>
      <c r="B1187" s="16" t="n">
        <v>45605</v>
      </c>
      <c r="C1187" s="15" t="s">
        <v>56</v>
      </c>
      <c r="D1187" s="15" t="s">
        <v>43</v>
      </c>
      <c r="E1187" s="15" t="s">
        <v>36</v>
      </c>
      <c r="F1187" s="15" t="s">
        <v>17</v>
      </c>
      <c r="G1187" s="15" t="s">
        <v>29</v>
      </c>
      <c r="H1187" s="15" t="n">
        <v>2</v>
      </c>
      <c r="I1187" s="17" t="n">
        <v>0.05</v>
      </c>
      <c r="J1187" s="18" t="n">
        <v>30.74</v>
      </c>
      <c r="K1187" s="19" t="n">
        <v>10.59</v>
      </c>
      <c r="L1187" s="15" t="n">
        <f aca="false">YEAR(B1187)</f>
        <v>2024</v>
      </c>
      <c r="M1187" s="20" t="n">
        <f aca="false">IF(J1187&gt;0,K1187/J1187,0)</f>
        <v>0.344502277163305</v>
      </c>
    </row>
    <row r="1188" customFormat="false" ht="15" hidden="false" customHeight="false" outlineLevel="0" collapsed="false">
      <c r="A1188" s="15" t="s">
        <v>1245</v>
      </c>
      <c r="B1188" s="16" t="n">
        <v>44999</v>
      </c>
      <c r="C1188" s="15" t="s">
        <v>68</v>
      </c>
      <c r="D1188" s="15" t="s">
        <v>43</v>
      </c>
      <c r="E1188" s="15" t="s">
        <v>36</v>
      </c>
      <c r="F1188" s="15" t="s">
        <v>17</v>
      </c>
      <c r="G1188" s="15" t="s">
        <v>29</v>
      </c>
      <c r="H1188" s="15" t="n">
        <v>2</v>
      </c>
      <c r="I1188" s="17" t="n">
        <v>0.05</v>
      </c>
      <c r="J1188" s="18" t="n">
        <v>36.25</v>
      </c>
      <c r="K1188" s="19" t="n">
        <v>13.79</v>
      </c>
      <c r="L1188" s="15" t="n">
        <f aca="false">YEAR(B1188)</f>
        <v>2023</v>
      </c>
      <c r="M1188" s="20" t="n">
        <f aca="false">IF(J1188&gt;0,K1188/J1188,0)</f>
        <v>0.380413793103448</v>
      </c>
    </row>
    <row r="1189" customFormat="false" ht="15" hidden="false" customHeight="false" outlineLevel="0" collapsed="false">
      <c r="A1189" s="15" t="s">
        <v>1246</v>
      </c>
      <c r="B1189" s="16" t="n">
        <v>45737</v>
      </c>
      <c r="C1189" s="15" t="s">
        <v>68</v>
      </c>
      <c r="D1189" s="15" t="s">
        <v>44</v>
      </c>
      <c r="E1189" s="15" t="s">
        <v>37</v>
      </c>
      <c r="F1189" s="15" t="s">
        <v>17</v>
      </c>
      <c r="G1189" s="15" t="s">
        <v>28</v>
      </c>
      <c r="H1189" s="15" t="n">
        <v>5</v>
      </c>
      <c r="I1189" s="17" t="n">
        <v>0</v>
      </c>
      <c r="J1189" s="18" t="n">
        <v>126.1</v>
      </c>
      <c r="K1189" s="19" t="n">
        <v>38.41</v>
      </c>
      <c r="L1189" s="15" t="n">
        <f aca="false">YEAR(B1189)</f>
        <v>2025</v>
      </c>
      <c r="M1189" s="20" t="n">
        <f aca="false">IF(J1189&gt;0,K1189/J1189,0)</f>
        <v>0.304599524187153</v>
      </c>
    </row>
    <row r="1190" customFormat="false" ht="15" hidden="false" customHeight="false" outlineLevel="0" collapsed="false">
      <c r="A1190" s="15" t="s">
        <v>1247</v>
      </c>
      <c r="B1190" s="16" t="n">
        <v>45459</v>
      </c>
      <c r="C1190" s="15" t="s">
        <v>56</v>
      </c>
      <c r="D1190" s="15" t="s">
        <v>43</v>
      </c>
      <c r="E1190" s="15" t="s">
        <v>37</v>
      </c>
      <c r="F1190" s="15" t="s">
        <v>17</v>
      </c>
      <c r="G1190" s="15" t="s">
        <v>28</v>
      </c>
      <c r="H1190" s="15" t="n">
        <v>2</v>
      </c>
      <c r="I1190" s="17" t="n">
        <v>0.5</v>
      </c>
      <c r="J1190" s="18" t="n">
        <v>23.92</v>
      </c>
      <c r="K1190" s="19" t="n">
        <v>-3.47</v>
      </c>
      <c r="L1190" s="15" t="n">
        <f aca="false">YEAR(B1190)</f>
        <v>2024</v>
      </c>
      <c r="M1190" s="20" t="n">
        <f aca="false">IF(J1190&gt;0,K1190/J1190,0)</f>
        <v>-0.145066889632107</v>
      </c>
    </row>
    <row r="1191" customFormat="false" ht="15" hidden="false" customHeight="false" outlineLevel="0" collapsed="false">
      <c r="A1191" s="15" t="s">
        <v>1248</v>
      </c>
      <c r="B1191" s="16" t="n">
        <v>44588</v>
      </c>
      <c r="C1191" s="15" t="s">
        <v>56</v>
      </c>
      <c r="D1191" s="15" t="s">
        <v>43</v>
      </c>
      <c r="E1191" s="15" t="s">
        <v>39</v>
      </c>
      <c r="F1191" s="15" t="s">
        <v>17</v>
      </c>
      <c r="G1191" s="15" t="s">
        <v>28</v>
      </c>
      <c r="H1191" s="15" t="n">
        <v>3</v>
      </c>
      <c r="I1191" s="17" t="n">
        <v>0</v>
      </c>
      <c r="J1191" s="18" t="n">
        <v>83.38</v>
      </c>
      <c r="K1191" s="19" t="n">
        <v>23.24</v>
      </c>
      <c r="L1191" s="15" t="n">
        <f aca="false">YEAR(B1191)</f>
        <v>2022</v>
      </c>
      <c r="M1191" s="20" t="n">
        <f aca="false">IF(J1191&gt;0,K1191/J1191,0)</f>
        <v>0.27872391460782</v>
      </c>
    </row>
    <row r="1192" customFormat="false" ht="15" hidden="false" customHeight="false" outlineLevel="0" collapsed="false">
      <c r="A1192" s="15" t="s">
        <v>1249</v>
      </c>
      <c r="B1192" s="16" t="n">
        <v>45251</v>
      </c>
      <c r="C1192" s="15" t="s">
        <v>71</v>
      </c>
      <c r="D1192" s="15" t="s">
        <v>44</v>
      </c>
      <c r="E1192" s="15" t="s">
        <v>37</v>
      </c>
      <c r="F1192" s="15" t="s">
        <v>17</v>
      </c>
      <c r="G1192" s="15" t="s">
        <v>28</v>
      </c>
      <c r="H1192" s="15" t="n">
        <v>5</v>
      </c>
      <c r="I1192" s="17" t="n">
        <v>0</v>
      </c>
      <c r="J1192" s="18" t="n">
        <v>111.52</v>
      </c>
      <c r="K1192" s="19" t="n">
        <v>30.6</v>
      </c>
      <c r="L1192" s="15" t="n">
        <f aca="false">YEAR(B1192)</f>
        <v>2023</v>
      </c>
      <c r="M1192" s="20" t="n">
        <f aca="false">IF(J1192&gt;0,K1192/J1192,0)</f>
        <v>0.274390243902439</v>
      </c>
    </row>
    <row r="1193" customFormat="false" ht="15" hidden="false" customHeight="false" outlineLevel="0" collapsed="false">
      <c r="A1193" s="15" t="s">
        <v>1250</v>
      </c>
      <c r="B1193" s="16" t="n">
        <v>45682</v>
      </c>
      <c r="C1193" s="15" t="s">
        <v>56</v>
      </c>
      <c r="D1193" s="15" t="s">
        <v>43</v>
      </c>
      <c r="E1193" s="15" t="s">
        <v>37</v>
      </c>
      <c r="F1193" s="15" t="s">
        <v>16</v>
      </c>
      <c r="G1193" s="15" t="s">
        <v>22</v>
      </c>
      <c r="H1193" s="15" t="n">
        <v>5</v>
      </c>
      <c r="I1193" s="17" t="n">
        <v>0</v>
      </c>
      <c r="J1193" s="18" t="n">
        <v>2525.93</v>
      </c>
      <c r="K1193" s="19" t="n">
        <v>-116.12</v>
      </c>
      <c r="L1193" s="15" t="n">
        <f aca="false">YEAR(B1193)</f>
        <v>2025</v>
      </c>
      <c r="M1193" s="20" t="n">
        <f aca="false">IF(J1193&gt;0,K1193/J1193,0)</f>
        <v>-0.0459711868499919</v>
      </c>
    </row>
    <row r="1194" customFormat="false" ht="15" hidden="false" customHeight="false" outlineLevel="0" collapsed="false">
      <c r="A1194" s="15" t="s">
        <v>1251</v>
      </c>
      <c r="B1194" s="16" t="n">
        <v>45945</v>
      </c>
      <c r="C1194" s="15" t="s">
        <v>71</v>
      </c>
      <c r="D1194" s="15" t="s">
        <v>42</v>
      </c>
      <c r="E1194" s="15" t="s">
        <v>37</v>
      </c>
      <c r="F1194" s="15" t="s">
        <v>17</v>
      </c>
      <c r="G1194" s="15" t="s">
        <v>29</v>
      </c>
      <c r="H1194" s="15" t="n">
        <v>2</v>
      </c>
      <c r="I1194" s="17" t="n">
        <v>0.1</v>
      </c>
      <c r="J1194" s="18" t="n">
        <v>31.71</v>
      </c>
      <c r="K1194" s="19" t="n">
        <v>11.02</v>
      </c>
      <c r="L1194" s="15" t="n">
        <f aca="false">YEAR(B1194)</f>
        <v>2025</v>
      </c>
      <c r="M1194" s="20" t="n">
        <f aca="false">IF(J1194&gt;0,K1194/J1194,0)</f>
        <v>0.347524440239672</v>
      </c>
    </row>
    <row r="1195" customFormat="false" ht="15" hidden="false" customHeight="false" outlineLevel="0" collapsed="false">
      <c r="A1195" s="15" t="s">
        <v>1252</v>
      </c>
      <c r="B1195" s="16" t="n">
        <v>45890</v>
      </c>
      <c r="C1195" s="15" t="s">
        <v>56</v>
      </c>
      <c r="D1195" s="15" t="s">
        <v>43</v>
      </c>
      <c r="E1195" s="15" t="s">
        <v>39</v>
      </c>
      <c r="F1195" s="15" t="s">
        <v>17</v>
      </c>
      <c r="G1195" s="15" t="s">
        <v>28</v>
      </c>
      <c r="H1195" s="15" t="n">
        <v>1</v>
      </c>
      <c r="I1195" s="17" t="n">
        <v>0.1</v>
      </c>
      <c r="J1195" s="18" t="n">
        <v>26.06</v>
      </c>
      <c r="K1195" s="19" t="n">
        <v>5.66</v>
      </c>
      <c r="L1195" s="15" t="n">
        <f aca="false">YEAR(B1195)</f>
        <v>2025</v>
      </c>
      <c r="M1195" s="20" t="n">
        <f aca="false">IF(J1195&gt;0,K1195/J1195,0)</f>
        <v>0.217191097467383</v>
      </c>
    </row>
    <row r="1196" customFormat="false" ht="15" hidden="false" customHeight="false" outlineLevel="0" collapsed="false">
      <c r="A1196" s="15" t="s">
        <v>1253</v>
      </c>
      <c r="B1196" s="16" t="n">
        <v>45742</v>
      </c>
      <c r="C1196" s="15" t="s">
        <v>71</v>
      </c>
      <c r="D1196" s="15" t="s">
        <v>43</v>
      </c>
      <c r="E1196" s="15" t="s">
        <v>36</v>
      </c>
      <c r="F1196" s="15" t="s">
        <v>17</v>
      </c>
      <c r="G1196" s="15" t="s">
        <v>31</v>
      </c>
      <c r="H1196" s="15" t="n">
        <v>4</v>
      </c>
      <c r="I1196" s="17" t="n">
        <v>0</v>
      </c>
      <c r="J1196" s="18" t="n">
        <v>551.44</v>
      </c>
      <c r="K1196" s="19" t="n">
        <v>106.06</v>
      </c>
      <c r="L1196" s="15" t="n">
        <f aca="false">YEAR(B1196)</f>
        <v>2025</v>
      </c>
      <c r="M1196" s="20" t="n">
        <f aca="false">IF(J1196&gt;0,K1196/J1196,0)</f>
        <v>0.192332801392717</v>
      </c>
    </row>
    <row r="1197" customFormat="false" ht="15" hidden="false" customHeight="false" outlineLevel="0" collapsed="false">
      <c r="A1197" s="15" t="s">
        <v>1254</v>
      </c>
      <c r="B1197" s="16" t="n">
        <v>45275</v>
      </c>
      <c r="C1197" s="15" t="s">
        <v>56</v>
      </c>
      <c r="D1197" s="15" t="s">
        <v>42</v>
      </c>
      <c r="E1197" s="15" t="s">
        <v>38</v>
      </c>
      <c r="F1197" s="15" t="s">
        <v>16</v>
      </c>
      <c r="G1197" s="15" t="s">
        <v>25</v>
      </c>
      <c r="H1197" s="15" t="n">
        <v>6</v>
      </c>
      <c r="I1197" s="17" t="n">
        <v>0.1</v>
      </c>
      <c r="J1197" s="18" t="n">
        <v>1495.3</v>
      </c>
      <c r="K1197" s="19" t="n">
        <v>27.38</v>
      </c>
      <c r="L1197" s="15" t="n">
        <f aca="false">YEAR(B1197)</f>
        <v>2023</v>
      </c>
      <c r="M1197" s="20" t="n">
        <f aca="false">IF(J1197&gt;0,K1197/J1197,0)</f>
        <v>0.0183107068815622</v>
      </c>
    </row>
    <row r="1198" customFormat="false" ht="15" hidden="false" customHeight="false" outlineLevel="0" collapsed="false">
      <c r="A1198" s="15" t="s">
        <v>1255</v>
      </c>
      <c r="B1198" s="16" t="n">
        <v>45208</v>
      </c>
      <c r="C1198" s="15" t="s">
        <v>68</v>
      </c>
      <c r="D1198" s="15" t="s">
        <v>42</v>
      </c>
      <c r="E1198" s="15" t="s">
        <v>38</v>
      </c>
      <c r="F1198" s="15" t="s">
        <v>17</v>
      </c>
      <c r="G1198" s="15" t="s">
        <v>29</v>
      </c>
      <c r="H1198" s="15" t="n">
        <v>2</v>
      </c>
      <c r="I1198" s="17" t="n">
        <v>0</v>
      </c>
      <c r="J1198" s="18" t="n">
        <v>31.59</v>
      </c>
      <c r="K1198" s="19" t="n">
        <v>11.43</v>
      </c>
      <c r="L1198" s="15" t="n">
        <f aca="false">YEAR(B1198)</f>
        <v>2023</v>
      </c>
      <c r="M1198" s="20" t="n">
        <f aca="false">IF(J1198&gt;0,K1198/J1198,0)</f>
        <v>0.361823361823362</v>
      </c>
    </row>
    <row r="1199" customFormat="false" ht="15" hidden="false" customHeight="false" outlineLevel="0" collapsed="false">
      <c r="A1199" s="15" t="s">
        <v>1256</v>
      </c>
      <c r="B1199" s="16" t="n">
        <v>45954</v>
      </c>
      <c r="C1199" s="15" t="s">
        <v>71</v>
      </c>
      <c r="D1199" s="15" t="s">
        <v>44</v>
      </c>
      <c r="E1199" s="15" t="s">
        <v>39</v>
      </c>
      <c r="F1199" s="15" t="s">
        <v>16</v>
      </c>
      <c r="G1199" s="15" t="s">
        <v>27</v>
      </c>
      <c r="H1199" s="15" t="n">
        <v>4</v>
      </c>
      <c r="I1199" s="17" t="n">
        <v>0</v>
      </c>
      <c r="J1199" s="18" t="n">
        <v>182.6</v>
      </c>
      <c r="K1199" s="19" t="n">
        <v>35.95</v>
      </c>
      <c r="L1199" s="15" t="n">
        <f aca="false">YEAR(B1199)</f>
        <v>2025</v>
      </c>
      <c r="M1199" s="20" t="n">
        <f aca="false">IF(J1199&gt;0,K1199/J1199,0)</f>
        <v>0.196878422782037</v>
      </c>
    </row>
    <row r="1200" customFormat="false" ht="15" hidden="false" customHeight="false" outlineLevel="0" collapsed="false">
      <c r="A1200" s="15" t="s">
        <v>1257</v>
      </c>
      <c r="B1200" s="16" t="n">
        <v>45018</v>
      </c>
      <c r="C1200" s="15" t="s">
        <v>56</v>
      </c>
      <c r="D1200" s="15" t="s">
        <v>42</v>
      </c>
      <c r="E1200" s="15" t="s">
        <v>36</v>
      </c>
      <c r="F1200" s="15" t="s">
        <v>17</v>
      </c>
      <c r="G1200" s="15" t="s">
        <v>28</v>
      </c>
      <c r="H1200" s="15" t="n">
        <v>6</v>
      </c>
      <c r="I1200" s="17" t="n">
        <v>0</v>
      </c>
      <c r="J1200" s="18" t="n">
        <v>142.82</v>
      </c>
      <c r="K1200" s="19" t="n">
        <v>43.88</v>
      </c>
      <c r="L1200" s="15" t="n">
        <f aca="false">YEAR(B1200)</f>
        <v>2023</v>
      </c>
      <c r="M1200" s="20" t="n">
        <f aca="false">IF(J1200&gt;0,K1200/J1200,0)</f>
        <v>0.307239882369416</v>
      </c>
    </row>
    <row r="1201" customFormat="false" ht="15" hidden="false" customHeight="false" outlineLevel="0" collapsed="false">
      <c r="A1201" s="15" t="s">
        <v>1258</v>
      </c>
      <c r="B1201" s="16" t="n">
        <v>44803</v>
      </c>
      <c r="C1201" s="15" t="s">
        <v>58</v>
      </c>
      <c r="D1201" s="15" t="s">
        <v>42</v>
      </c>
      <c r="E1201" s="15" t="s">
        <v>39</v>
      </c>
      <c r="F1201" s="15" t="s">
        <v>17</v>
      </c>
      <c r="G1201" s="15" t="s">
        <v>29</v>
      </c>
      <c r="H1201" s="15" t="n">
        <v>3</v>
      </c>
      <c r="I1201" s="17" t="n">
        <v>0</v>
      </c>
      <c r="J1201" s="18" t="n">
        <v>51.43</v>
      </c>
      <c r="K1201" s="19" t="n">
        <v>19.22</v>
      </c>
      <c r="L1201" s="15" t="n">
        <f aca="false">YEAR(B1201)</f>
        <v>2022</v>
      </c>
      <c r="M1201" s="20" t="n">
        <f aca="false">IF(J1201&gt;0,K1201/J1201,0)</f>
        <v>0.373711841337741</v>
      </c>
    </row>
    <row r="1202" customFormat="false" ht="15" hidden="false" customHeight="false" outlineLevel="0" collapsed="false">
      <c r="A1202" s="15" t="s">
        <v>1259</v>
      </c>
      <c r="B1202" s="16" t="n">
        <v>44965</v>
      </c>
      <c r="C1202" s="15" t="s">
        <v>56</v>
      </c>
      <c r="D1202" s="15" t="s">
        <v>42</v>
      </c>
      <c r="E1202" s="15" t="s">
        <v>39</v>
      </c>
      <c r="F1202" s="15" t="s">
        <v>17</v>
      </c>
      <c r="G1202" s="15" t="s">
        <v>26</v>
      </c>
      <c r="H1202" s="15" t="n">
        <v>4</v>
      </c>
      <c r="I1202" s="17" t="n">
        <v>0</v>
      </c>
      <c r="J1202" s="18" t="n">
        <v>402.01</v>
      </c>
      <c r="K1202" s="19" t="n">
        <v>35.65</v>
      </c>
      <c r="L1202" s="15" t="n">
        <f aca="false">YEAR(B1202)</f>
        <v>2023</v>
      </c>
      <c r="M1202" s="20" t="n">
        <f aca="false">IF(J1202&gt;0,K1202/J1202,0)</f>
        <v>0.0886793860849233</v>
      </c>
    </row>
    <row r="1203" customFormat="false" ht="15" hidden="false" customHeight="false" outlineLevel="0" collapsed="false">
      <c r="A1203" s="15" t="s">
        <v>1260</v>
      </c>
      <c r="B1203" s="16" t="n">
        <v>45797</v>
      </c>
      <c r="C1203" s="15" t="s">
        <v>56</v>
      </c>
      <c r="D1203" s="15" t="s">
        <v>43</v>
      </c>
      <c r="E1203" s="15" t="s">
        <v>39</v>
      </c>
      <c r="F1203" s="15" t="s">
        <v>18</v>
      </c>
      <c r="G1203" s="15" t="s">
        <v>30</v>
      </c>
      <c r="H1203" s="15" t="n">
        <v>1</v>
      </c>
      <c r="I1203" s="17" t="n">
        <v>0.1</v>
      </c>
      <c r="J1203" s="18" t="n">
        <v>43.56</v>
      </c>
      <c r="K1203" s="19" t="n">
        <v>8.36</v>
      </c>
      <c r="L1203" s="15" t="n">
        <f aca="false">YEAR(B1203)</f>
        <v>2025</v>
      </c>
      <c r="M1203" s="20" t="n">
        <f aca="false">IF(J1203&gt;0,K1203/J1203,0)</f>
        <v>0.191919191919192</v>
      </c>
    </row>
    <row r="1204" customFormat="false" ht="15" hidden="false" customHeight="false" outlineLevel="0" collapsed="false">
      <c r="A1204" s="15" t="s">
        <v>1261</v>
      </c>
      <c r="B1204" s="16" t="n">
        <v>45301</v>
      </c>
      <c r="C1204" s="15" t="s">
        <v>58</v>
      </c>
      <c r="D1204" s="15" t="s">
        <v>42</v>
      </c>
      <c r="E1204" s="15" t="s">
        <v>38</v>
      </c>
      <c r="F1204" s="15" t="s">
        <v>17</v>
      </c>
      <c r="G1204" s="15" t="s">
        <v>31</v>
      </c>
      <c r="H1204" s="15" t="n">
        <v>5</v>
      </c>
      <c r="I1204" s="17" t="n">
        <v>0</v>
      </c>
      <c r="J1204" s="18" t="n">
        <v>586.5</v>
      </c>
      <c r="K1204" s="19" t="n">
        <v>131.6</v>
      </c>
      <c r="L1204" s="15" t="n">
        <f aca="false">YEAR(B1204)</f>
        <v>2024</v>
      </c>
      <c r="M1204" s="20" t="n">
        <f aca="false">IF(J1204&gt;0,K1204/J1204,0)</f>
        <v>0.224381926683717</v>
      </c>
    </row>
    <row r="1205" customFormat="false" ht="15" hidden="false" customHeight="false" outlineLevel="0" collapsed="false">
      <c r="A1205" s="15" t="s">
        <v>1262</v>
      </c>
      <c r="B1205" s="16" t="n">
        <v>45219</v>
      </c>
      <c r="C1205" s="15" t="s">
        <v>56</v>
      </c>
      <c r="D1205" s="15" t="s">
        <v>43</v>
      </c>
      <c r="E1205" s="15" t="s">
        <v>39</v>
      </c>
      <c r="F1205" s="15" t="s">
        <v>17</v>
      </c>
      <c r="G1205" s="15" t="s">
        <v>28</v>
      </c>
      <c r="H1205" s="15" t="n">
        <v>6</v>
      </c>
      <c r="I1205" s="17" t="n">
        <v>0.3</v>
      </c>
      <c r="J1205" s="18" t="n">
        <v>130.83</v>
      </c>
      <c r="K1205" s="19" t="n">
        <v>-1.21</v>
      </c>
      <c r="L1205" s="15" t="n">
        <f aca="false">YEAR(B1205)</f>
        <v>2023</v>
      </c>
      <c r="M1205" s="20" t="n">
        <f aca="false">IF(J1205&gt;0,K1205/J1205,0)</f>
        <v>-0.00924864327753573</v>
      </c>
    </row>
    <row r="1206" customFormat="false" ht="15" hidden="false" customHeight="false" outlineLevel="0" collapsed="false">
      <c r="A1206" s="15" t="s">
        <v>1263</v>
      </c>
      <c r="B1206" s="16" t="n">
        <v>44654</v>
      </c>
      <c r="C1206" s="15" t="s">
        <v>71</v>
      </c>
      <c r="D1206" s="15" t="s">
        <v>43</v>
      </c>
      <c r="E1206" s="15" t="s">
        <v>37</v>
      </c>
      <c r="F1206" s="15" t="s">
        <v>17</v>
      </c>
      <c r="G1206" s="15" t="s">
        <v>29</v>
      </c>
      <c r="H1206" s="15" t="n">
        <v>5</v>
      </c>
      <c r="I1206" s="17" t="n">
        <v>0.2</v>
      </c>
      <c r="J1206" s="18" t="n">
        <v>85.96</v>
      </c>
      <c r="K1206" s="19" t="n">
        <v>13.37</v>
      </c>
      <c r="L1206" s="15" t="n">
        <f aca="false">YEAR(B1206)</f>
        <v>2022</v>
      </c>
      <c r="M1206" s="20" t="n">
        <f aca="false">IF(J1206&gt;0,K1206/J1206,0)</f>
        <v>0.155537459283388</v>
      </c>
    </row>
    <row r="1207" customFormat="false" ht="15" hidden="false" customHeight="false" outlineLevel="0" collapsed="false">
      <c r="A1207" s="15" t="s">
        <v>1264</v>
      </c>
      <c r="B1207" s="16" t="n">
        <v>45429</v>
      </c>
      <c r="C1207" s="15" t="s">
        <v>71</v>
      </c>
      <c r="D1207" s="15" t="s">
        <v>42</v>
      </c>
      <c r="E1207" s="15" t="s">
        <v>39</v>
      </c>
      <c r="F1207" s="15" t="s">
        <v>17</v>
      </c>
      <c r="G1207" s="15" t="s">
        <v>28</v>
      </c>
      <c r="H1207" s="15" t="n">
        <v>4</v>
      </c>
      <c r="I1207" s="17" t="n">
        <v>0.1</v>
      </c>
      <c r="J1207" s="18" t="n">
        <v>87.47</v>
      </c>
      <c r="K1207" s="19" t="n">
        <v>12.64</v>
      </c>
      <c r="L1207" s="15" t="n">
        <f aca="false">YEAR(B1207)</f>
        <v>2024</v>
      </c>
      <c r="M1207" s="20" t="n">
        <f aca="false">IF(J1207&gt;0,K1207/J1207,0)</f>
        <v>0.144506688007317</v>
      </c>
    </row>
    <row r="1208" customFormat="false" ht="15" hidden="false" customHeight="false" outlineLevel="0" collapsed="false">
      <c r="A1208" s="15" t="s">
        <v>1265</v>
      </c>
      <c r="B1208" s="16" t="n">
        <v>45065</v>
      </c>
      <c r="C1208" s="15" t="s">
        <v>58</v>
      </c>
      <c r="D1208" s="15" t="s">
        <v>42</v>
      </c>
      <c r="E1208" s="15" t="s">
        <v>39</v>
      </c>
      <c r="F1208" s="15" t="s">
        <v>16</v>
      </c>
      <c r="G1208" s="15" t="s">
        <v>25</v>
      </c>
      <c r="H1208" s="15" t="n">
        <v>5</v>
      </c>
      <c r="I1208" s="17" t="n">
        <v>0</v>
      </c>
      <c r="J1208" s="18" t="n">
        <v>1366.48</v>
      </c>
      <c r="K1208" s="19" t="n">
        <v>137.85</v>
      </c>
      <c r="L1208" s="15" t="n">
        <f aca="false">YEAR(B1208)</f>
        <v>2023</v>
      </c>
      <c r="M1208" s="20" t="n">
        <f aca="false">IF(J1208&gt;0,K1208/J1208,0)</f>
        <v>0.100879632340027</v>
      </c>
    </row>
    <row r="1209" customFormat="false" ht="15" hidden="false" customHeight="false" outlineLevel="0" collapsed="false">
      <c r="A1209" s="15" t="s">
        <v>1266</v>
      </c>
      <c r="B1209" s="16" t="n">
        <v>45427</v>
      </c>
      <c r="C1209" s="15" t="s">
        <v>56</v>
      </c>
      <c r="D1209" s="15" t="s">
        <v>42</v>
      </c>
      <c r="E1209" s="15" t="s">
        <v>37</v>
      </c>
      <c r="F1209" s="15" t="s">
        <v>18</v>
      </c>
      <c r="G1209" s="15" t="s">
        <v>30</v>
      </c>
      <c r="H1209" s="15" t="n">
        <v>4</v>
      </c>
      <c r="I1209" s="17" t="n">
        <v>0</v>
      </c>
      <c r="J1209" s="18" t="n">
        <v>158.93</v>
      </c>
      <c r="K1209" s="19" t="n">
        <v>48.42</v>
      </c>
      <c r="L1209" s="15" t="n">
        <f aca="false">YEAR(B1209)</f>
        <v>2024</v>
      </c>
      <c r="M1209" s="20" t="n">
        <f aca="false">IF(J1209&gt;0,K1209/J1209,0)</f>
        <v>0.304662430000629</v>
      </c>
    </row>
    <row r="1210" customFormat="false" ht="15" hidden="false" customHeight="false" outlineLevel="0" collapsed="false">
      <c r="A1210" s="15" t="s">
        <v>1267</v>
      </c>
      <c r="B1210" s="16" t="n">
        <v>46019</v>
      </c>
      <c r="C1210" s="15" t="s">
        <v>56</v>
      </c>
      <c r="D1210" s="15" t="s">
        <v>43</v>
      </c>
      <c r="E1210" s="15" t="s">
        <v>39</v>
      </c>
      <c r="F1210" s="15" t="s">
        <v>16</v>
      </c>
      <c r="G1210" s="15" t="s">
        <v>27</v>
      </c>
      <c r="H1210" s="15" t="n">
        <v>2</v>
      </c>
      <c r="I1210" s="17" t="n">
        <v>0</v>
      </c>
      <c r="J1210" s="18" t="n">
        <v>175.71</v>
      </c>
      <c r="K1210" s="19" t="n">
        <v>40.13</v>
      </c>
      <c r="L1210" s="15" t="n">
        <f aca="false">YEAR(B1210)</f>
        <v>2025</v>
      </c>
      <c r="M1210" s="20" t="n">
        <f aca="false">IF(J1210&gt;0,K1210/J1210,0)</f>
        <v>0.228387684252461</v>
      </c>
    </row>
    <row r="1211" customFormat="false" ht="15" hidden="false" customHeight="false" outlineLevel="0" collapsed="false">
      <c r="A1211" s="15" t="s">
        <v>1268</v>
      </c>
      <c r="B1211" s="16" t="n">
        <v>45565</v>
      </c>
      <c r="C1211" s="15" t="s">
        <v>56</v>
      </c>
      <c r="D1211" s="15" t="s">
        <v>42</v>
      </c>
      <c r="E1211" s="15" t="s">
        <v>37</v>
      </c>
      <c r="F1211" s="15" t="s">
        <v>18</v>
      </c>
      <c r="G1211" s="15" t="s">
        <v>24</v>
      </c>
      <c r="H1211" s="15" t="n">
        <v>4</v>
      </c>
      <c r="I1211" s="17" t="n">
        <v>0</v>
      </c>
      <c r="J1211" s="18" t="n">
        <v>2880.38</v>
      </c>
      <c r="K1211" s="19" t="n">
        <v>109.35</v>
      </c>
      <c r="L1211" s="15" t="n">
        <f aca="false">YEAR(B1211)</f>
        <v>2024</v>
      </c>
      <c r="M1211" s="20" t="n">
        <f aca="false">IF(J1211&gt;0,K1211/J1211,0)</f>
        <v>0.0379637408952985</v>
      </c>
    </row>
    <row r="1212" customFormat="false" ht="15" hidden="false" customHeight="false" outlineLevel="0" collapsed="false">
      <c r="A1212" s="15" t="s">
        <v>1269</v>
      </c>
      <c r="B1212" s="16" t="n">
        <v>45317</v>
      </c>
      <c r="C1212" s="15" t="s">
        <v>68</v>
      </c>
      <c r="D1212" s="15" t="s">
        <v>42</v>
      </c>
      <c r="E1212" s="15" t="s">
        <v>39</v>
      </c>
      <c r="F1212" s="15" t="s">
        <v>18</v>
      </c>
      <c r="G1212" s="15" t="s">
        <v>33</v>
      </c>
      <c r="H1212" s="15" t="n">
        <v>2</v>
      </c>
      <c r="I1212" s="17" t="n">
        <v>0</v>
      </c>
      <c r="J1212" s="18" t="n">
        <v>1868.77</v>
      </c>
      <c r="K1212" s="19" t="n">
        <v>532.49</v>
      </c>
      <c r="L1212" s="15" t="n">
        <f aca="false">YEAR(B1212)</f>
        <v>2024</v>
      </c>
      <c r="M1212" s="20" t="n">
        <f aca="false">IF(J1212&gt;0,K1212/J1212,0)</f>
        <v>0.284941432064941</v>
      </c>
    </row>
    <row r="1213" customFormat="false" ht="15" hidden="false" customHeight="false" outlineLevel="0" collapsed="false">
      <c r="A1213" s="15" t="s">
        <v>1270</v>
      </c>
      <c r="B1213" s="16" t="n">
        <v>45021</v>
      </c>
      <c r="C1213" s="15" t="s">
        <v>58</v>
      </c>
      <c r="D1213" s="15" t="s">
        <v>42</v>
      </c>
      <c r="E1213" s="15" t="s">
        <v>39</v>
      </c>
      <c r="F1213" s="15" t="s">
        <v>16</v>
      </c>
      <c r="G1213" s="15" t="s">
        <v>23</v>
      </c>
      <c r="H1213" s="15" t="n">
        <v>1</v>
      </c>
      <c r="I1213" s="17" t="n">
        <v>0.1</v>
      </c>
      <c r="J1213" s="18" t="n">
        <v>209.01</v>
      </c>
      <c r="K1213" s="19" t="n">
        <v>-3.69</v>
      </c>
      <c r="L1213" s="15" t="n">
        <f aca="false">YEAR(B1213)</f>
        <v>2023</v>
      </c>
      <c r="M1213" s="20" t="n">
        <f aca="false">IF(J1213&gt;0,K1213/J1213,0)</f>
        <v>-0.0176546576718817</v>
      </c>
    </row>
    <row r="1214" customFormat="false" ht="15" hidden="false" customHeight="false" outlineLevel="0" collapsed="false">
      <c r="A1214" s="15" t="s">
        <v>1271</v>
      </c>
      <c r="B1214" s="16" t="n">
        <v>45040</v>
      </c>
      <c r="C1214" s="15" t="s">
        <v>71</v>
      </c>
      <c r="D1214" s="15" t="s">
        <v>43</v>
      </c>
      <c r="E1214" s="15" t="s">
        <v>39</v>
      </c>
      <c r="F1214" s="15" t="s">
        <v>18</v>
      </c>
      <c r="G1214" s="15" t="s">
        <v>30</v>
      </c>
      <c r="H1214" s="15" t="n">
        <v>6</v>
      </c>
      <c r="I1214" s="17" t="n">
        <v>0.2</v>
      </c>
      <c r="J1214" s="18" t="n">
        <v>249.76</v>
      </c>
      <c r="K1214" s="19" t="n">
        <v>28.89</v>
      </c>
      <c r="L1214" s="15" t="n">
        <f aca="false">YEAR(B1214)</f>
        <v>2023</v>
      </c>
      <c r="M1214" s="20" t="n">
        <f aca="false">IF(J1214&gt;0,K1214/J1214,0)</f>
        <v>0.115671044202434</v>
      </c>
    </row>
    <row r="1215" customFormat="false" ht="15" hidden="false" customHeight="false" outlineLevel="0" collapsed="false">
      <c r="A1215" s="15" t="s">
        <v>1272</v>
      </c>
      <c r="B1215" s="16" t="n">
        <v>44836</v>
      </c>
      <c r="C1215" s="15" t="s">
        <v>58</v>
      </c>
      <c r="D1215" s="15" t="s">
        <v>42</v>
      </c>
      <c r="E1215" s="15" t="s">
        <v>36</v>
      </c>
      <c r="F1215" s="15" t="s">
        <v>18</v>
      </c>
      <c r="G1215" s="15" t="s">
        <v>32</v>
      </c>
      <c r="H1215" s="15" t="n">
        <v>6</v>
      </c>
      <c r="I1215" s="17" t="n">
        <v>0.1</v>
      </c>
      <c r="J1215" s="18" t="n">
        <v>1965.02</v>
      </c>
      <c r="K1215" s="19" t="n">
        <v>171.26</v>
      </c>
      <c r="L1215" s="15" t="n">
        <f aca="false">YEAR(B1215)</f>
        <v>2022</v>
      </c>
      <c r="M1215" s="20" t="n">
        <f aca="false">IF(J1215&gt;0,K1215/J1215,0)</f>
        <v>0.0871543292180232</v>
      </c>
    </row>
    <row r="1216" customFormat="false" ht="15" hidden="false" customHeight="false" outlineLevel="0" collapsed="false">
      <c r="A1216" s="15" t="s">
        <v>1273</v>
      </c>
      <c r="B1216" s="16" t="n">
        <v>45796</v>
      </c>
      <c r="C1216" s="15" t="s">
        <v>56</v>
      </c>
      <c r="D1216" s="15" t="s">
        <v>44</v>
      </c>
      <c r="E1216" s="15" t="s">
        <v>39</v>
      </c>
      <c r="F1216" s="15" t="s">
        <v>18</v>
      </c>
      <c r="G1216" s="15" t="s">
        <v>32</v>
      </c>
      <c r="H1216" s="15" t="n">
        <v>4</v>
      </c>
      <c r="I1216" s="17" t="n">
        <v>0.2</v>
      </c>
      <c r="J1216" s="18" t="n">
        <v>1340.32</v>
      </c>
      <c r="K1216" s="19" t="n">
        <v>34.56</v>
      </c>
      <c r="L1216" s="15" t="n">
        <f aca="false">YEAR(B1216)</f>
        <v>2025</v>
      </c>
      <c r="M1216" s="20" t="n">
        <f aca="false">IF(J1216&gt;0,K1216/J1216,0)</f>
        <v>0.0257848871911185</v>
      </c>
    </row>
    <row r="1217" customFormat="false" ht="15" hidden="false" customHeight="false" outlineLevel="0" collapsed="false">
      <c r="A1217" s="15" t="s">
        <v>1274</v>
      </c>
      <c r="B1217" s="16" t="n">
        <v>45427</v>
      </c>
      <c r="C1217" s="15" t="s">
        <v>71</v>
      </c>
      <c r="D1217" s="15" t="s">
        <v>42</v>
      </c>
      <c r="E1217" s="15" t="s">
        <v>37</v>
      </c>
      <c r="F1217" s="15" t="s">
        <v>16</v>
      </c>
      <c r="G1217" s="15" t="s">
        <v>22</v>
      </c>
      <c r="H1217" s="15" t="n">
        <v>6</v>
      </c>
      <c r="I1217" s="17" t="n">
        <v>0.15</v>
      </c>
      <c r="J1217" s="18" t="n">
        <v>2862.07</v>
      </c>
      <c r="K1217" s="19" t="n">
        <v>-331.26</v>
      </c>
      <c r="L1217" s="15" t="n">
        <f aca="false">YEAR(B1217)</f>
        <v>2024</v>
      </c>
      <c r="M1217" s="20" t="n">
        <f aca="false">IF(J1217&gt;0,K1217/J1217,0)</f>
        <v>-0.11574140394889</v>
      </c>
    </row>
    <row r="1218" customFormat="false" ht="15" hidden="false" customHeight="false" outlineLevel="0" collapsed="false">
      <c r="A1218" s="15" t="s">
        <v>1275</v>
      </c>
      <c r="B1218" s="16" t="n">
        <v>45181</v>
      </c>
      <c r="C1218" s="15" t="s">
        <v>56</v>
      </c>
      <c r="D1218" s="15" t="s">
        <v>43</v>
      </c>
      <c r="E1218" s="15" t="s">
        <v>39</v>
      </c>
      <c r="F1218" s="15" t="s">
        <v>16</v>
      </c>
      <c r="G1218" s="15" t="s">
        <v>25</v>
      </c>
      <c r="H1218" s="15" t="n">
        <v>8</v>
      </c>
      <c r="I1218" s="17" t="n">
        <v>0.05</v>
      </c>
      <c r="J1218" s="18" t="n">
        <v>2314.46</v>
      </c>
      <c r="K1218" s="19" t="n">
        <v>246.53</v>
      </c>
      <c r="L1218" s="15" t="n">
        <f aca="false">YEAR(B1218)</f>
        <v>2023</v>
      </c>
      <c r="M1218" s="20" t="n">
        <f aca="false">IF(J1218&gt;0,K1218/J1218,0)</f>
        <v>0.106517286969747</v>
      </c>
    </row>
    <row r="1219" customFormat="false" ht="15" hidden="false" customHeight="false" outlineLevel="0" collapsed="false">
      <c r="A1219" s="15" t="s">
        <v>1276</v>
      </c>
      <c r="B1219" s="16" t="n">
        <v>46014</v>
      </c>
      <c r="C1219" s="15" t="s">
        <v>58</v>
      </c>
      <c r="D1219" s="15" t="s">
        <v>43</v>
      </c>
      <c r="E1219" s="15" t="s">
        <v>36</v>
      </c>
      <c r="F1219" s="15" t="s">
        <v>18</v>
      </c>
      <c r="G1219" s="15" t="s">
        <v>32</v>
      </c>
      <c r="H1219" s="15" t="n">
        <v>3</v>
      </c>
      <c r="I1219" s="17" t="n">
        <v>0.3</v>
      </c>
      <c r="J1219" s="18" t="n">
        <v>995.06</v>
      </c>
      <c r="K1219" s="19" t="n">
        <v>-141.99</v>
      </c>
      <c r="L1219" s="15" t="n">
        <f aca="false">YEAR(B1219)</f>
        <v>2025</v>
      </c>
      <c r="M1219" s="20" t="n">
        <f aca="false">IF(J1219&gt;0,K1219/J1219,0)</f>
        <v>-0.142694912869576</v>
      </c>
    </row>
    <row r="1220" customFormat="false" ht="15" hidden="false" customHeight="false" outlineLevel="0" collapsed="false">
      <c r="A1220" s="15" t="s">
        <v>1277</v>
      </c>
      <c r="B1220" s="16" t="n">
        <v>45168</v>
      </c>
      <c r="C1220" s="15" t="s">
        <v>56</v>
      </c>
      <c r="D1220" s="15" t="s">
        <v>42</v>
      </c>
      <c r="E1220" s="15" t="s">
        <v>37</v>
      </c>
      <c r="F1220" s="15" t="s">
        <v>17</v>
      </c>
      <c r="G1220" s="15" t="s">
        <v>26</v>
      </c>
      <c r="H1220" s="15" t="n">
        <v>3</v>
      </c>
      <c r="I1220" s="17" t="n">
        <v>0.15</v>
      </c>
      <c r="J1220" s="18" t="n">
        <v>189.79</v>
      </c>
      <c r="K1220" s="19" t="n">
        <v>6.22</v>
      </c>
      <c r="L1220" s="15" t="n">
        <f aca="false">YEAR(B1220)</f>
        <v>2023</v>
      </c>
      <c r="M1220" s="20" t="n">
        <f aca="false">IF(J1220&gt;0,K1220/J1220,0)</f>
        <v>0.032773064966542</v>
      </c>
    </row>
    <row r="1221" customFormat="false" ht="15" hidden="false" customHeight="false" outlineLevel="0" collapsed="false">
      <c r="A1221" s="15" t="s">
        <v>1278</v>
      </c>
      <c r="B1221" s="16" t="n">
        <v>45517</v>
      </c>
      <c r="C1221" s="15" t="s">
        <v>56</v>
      </c>
      <c r="D1221" s="15" t="s">
        <v>43</v>
      </c>
      <c r="E1221" s="15" t="s">
        <v>36</v>
      </c>
      <c r="F1221" s="15" t="s">
        <v>18</v>
      </c>
      <c r="G1221" s="15" t="s">
        <v>32</v>
      </c>
      <c r="H1221" s="15" t="n">
        <v>4</v>
      </c>
      <c r="I1221" s="17" t="n">
        <v>0.1</v>
      </c>
      <c r="J1221" s="18" t="n">
        <v>1519.25</v>
      </c>
      <c r="K1221" s="19" t="n">
        <v>132.49</v>
      </c>
      <c r="L1221" s="15" t="n">
        <f aca="false">YEAR(B1221)</f>
        <v>2024</v>
      </c>
      <c r="M1221" s="20" t="n">
        <f aca="false">IF(J1221&gt;0,K1221/J1221,0)</f>
        <v>0.0872075037024848</v>
      </c>
    </row>
    <row r="1222" customFormat="false" ht="15" hidden="false" customHeight="false" outlineLevel="0" collapsed="false">
      <c r="A1222" s="15" t="s">
        <v>1279</v>
      </c>
      <c r="B1222" s="16" t="n">
        <v>44744</v>
      </c>
      <c r="C1222" s="15" t="s">
        <v>71</v>
      </c>
      <c r="D1222" s="15" t="s">
        <v>42</v>
      </c>
      <c r="E1222" s="15" t="s">
        <v>37</v>
      </c>
      <c r="F1222" s="15" t="s">
        <v>17</v>
      </c>
      <c r="G1222" s="15" t="s">
        <v>28</v>
      </c>
      <c r="H1222" s="15" t="n">
        <v>5</v>
      </c>
      <c r="I1222" s="17" t="n">
        <v>0</v>
      </c>
      <c r="J1222" s="18" t="n">
        <v>111.69</v>
      </c>
      <c r="K1222" s="19" t="n">
        <v>30.4</v>
      </c>
      <c r="L1222" s="15" t="n">
        <f aca="false">YEAR(B1222)</f>
        <v>2022</v>
      </c>
      <c r="M1222" s="20" t="n">
        <f aca="false">IF(J1222&gt;0,K1222/J1222,0)</f>
        <v>0.272181932133584</v>
      </c>
    </row>
    <row r="1223" customFormat="false" ht="15" hidden="false" customHeight="false" outlineLevel="0" collapsed="false">
      <c r="A1223" s="15" t="s">
        <v>1280</v>
      </c>
      <c r="B1223" s="16" t="n">
        <v>44616</v>
      </c>
      <c r="C1223" s="15" t="s">
        <v>56</v>
      </c>
      <c r="D1223" s="15" t="s">
        <v>42</v>
      </c>
      <c r="E1223" s="15" t="s">
        <v>37</v>
      </c>
      <c r="F1223" s="15" t="s">
        <v>16</v>
      </c>
      <c r="G1223" s="15" t="s">
        <v>27</v>
      </c>
      <c r="H1223" s="15" t="n">
        <v>6</v>
      </c>
      <c r="I1223" s="17" t="n">
        <v>0.1</v>
      </c>
      <c r="J1223" s="18" t="n">
        <v>302.81</v>
      </c>
      <c r="K1223" s="19" t="n">
        <v>55.78</v>
      </c>
      <c r="L1223" s="15" t="n">
        <f aca="false">YEAR(B1223)</f>
        <v>2022</v>
      </c>
      <c r="M1223" s="20" t="n">
        <f aca="false">IF(J1223&gt;0,K1223/J1223,0)</f>
        <v>0.184207919157227</v>
      </c>
    </row>
    <row r="1224" customFormat="false" ht="15" hidden="false" customHeight="false" outlineLevel="0" collapsed="false">
      <c r="A1224" s="15" t="s">
        <v>1281</v>
      </c>
      <c r="B1224" s="16" t="n">
        <v>44820</v>
      </c>
      <c r="C1224" s="15" t="s">
        <v>56</v>
      </c>
      <c r="D1224" s="15" t="s">
        <v>42</v>
      </c>
      <c r="E1224" s="15" t="s">
        <v>39</v>
      </c>
      <c r="F1224" s="15" t="s">
        <v>16</v>
      </c>
      <c r="G1224" s="15" t="s">
        <v>27</v>
      </c>
      <c r="H1224" s="15" t="n">
        <v>2</v>
      </c>
      <c r="I1224" s="17" t="n">
        <v>0.2</v>
      </c>
      <c r="J1224" s="18" t="n">
        <v>114.96</v>
      </c>
      <c r="K1224" s="19" t="n">
        <v>-2.35</v>
      </c>
      <c r="L1224" s="15" t="n">
        <f aca="false">YEAR(B1224)</f>
        <v>2022</v>
      </c>
      <c r="M1224" s="20" t="n">
        <f aca="false">IF(J1224&gt;0,K1224/J1224,0)</f>
        <v>-0.0204418928322895</v>
      </c>
    </row>
    <row r="1225" customFormat="false" ht="15" hidden="false" customHeight="false" outlineLevel="0" collapsed="false">
      <c r="A1225" s="15" t="s">
        <v>1282</v>
      </c>
      <c r="B1225" s="16" t="n">
        <v>45173</v>
      </c>
      <c r="C1225" s="15" t="s">
        <v>71</v>
      </c>
      <c r="D1225" s="15" t="s">
        <v>42</v>
      </c>
      <c r="E1225" s="15" t="s">
        <v>37</v>
      </c>
      <c r="F1225" s="15" t="s">
        <v>17</v>
      </c>
      <c r="G1225" s="15" t="s">
        <v>29</v>
      </c>
      <c r="H1225" s="15" t="n">
        <v>7</v>
      </c>
      <c r="I1225" s="17" t="n">
        <v>0.1</v>
      </c>
      <c r="J1225" s="18" t="n">
        <v>110.69</v>
      </c>
      <c r="K1225" s="19" t="n">
        <v>33.63</v>
      </c>
      <c r="L1225" s="15" t="n">
        <f aca="false">YEAR(B1225)</f>
        <v>2023</v>
      </c>
      <c r="M1225" s="20" t="n">
        <f aca="false">IF(J1225&gt;0,K1225/J1225,0)</f>
        <v>0.30382148342217</v>
      </c>
    </row>
    <row r="1226" customFormat="false" ht="15" hidden="false" customHeight="false" outlineLevel="0" collapsed="false">
      <c r="A1226" s="15" t="s">
        <v>1283</v>
      </c>
      <c r="B1226" s="16" t="n">
        <v>44654</v>
      </c>
      <c r="C1226" s="15" t="s">
        <v>71</v>
      </c>
      <c r="D1226" s="15" t="s">
        <v>44</v>
      </c>
      <c r="E1226" s="15" t="s">
        <v>37</v>
      </c>
      <c r="F1226" s="15" t="s">
        <v>18</v>
      </c>
      <c r="G1226" s="15" t="s">
        <v>32</v>
      </c>
      <c r="H1226" s="15" t="n">
        <v>2</v>
      </c>
      <c r="I1226" s="17" t="n">
        <v>0</v>
      </c>
      <c r="J1226" s="18" t="n">
        <v>908.41</v>
      </c>
      <c r="K1226" s="19" t="n">
        <v>207.91</v>
      </c>
      <c r="L1226" s="15" t="n">
        <f aca="false">YEAR(B1226)</f>
        <v>2022</v>
      </c>
      <c r="M1226" s="20" t="n">
        <f aca="false">IF(J1226&gt;0,K1226/J1226,0)</f>
        <v>0.22887242544666</v>
      </c>
    </row>
    <row r="1227" customFormat="false" ht="15" hidden="false" customHeight="false" outlineLevel="0" collapsed="false">
      <c r="A1227" s="15" t="s">
        <v>1284</v>
      </c>
      <c r="B1227" s="16" t="n">
        <v>45903</v>
      </c>
      <c r="C1227" s="15" t="s">
        <v>71</v>
      </c>
      <c r="D1227" s="15" t="s">
        <v>43</v>
      </c>
      <c r="E1227" s="15" t="s">
        <v>38</v>
      </c>
      <c r="F1227" s="15" t="s">
        <v>18</v>
      </c>
      <c r="G1227" s="15" t="s">
        <v>32</v>
      </c>
      <c r="H1227" s="15" t="n">
        <v>2</v>
      </c>
      <c r="I1227" s="17" t="n">
        <v>0.1</v>
      </c>
      <c r="J1227" s="18" t="n">
        <v>660.26</v>
      </c>
      <c r="K1227" s="19" t="n">
        <v>91.12</v>
      </c>
      <c r="L1227" s="15" t="n">
        <f aca="false">YEAR(B1227)</f>
        <v>2025</v>
      </c>
      <c r="M1227" s="20" t="n">
        <f aca="false">IF(J1227&gt;0,K1227/J1227,0)</f>
        <v>0.138006239966074</v>
      </c>
    </row>
    <row r="1228" customFormat="false" ht="15" hidden="false" customHeight="false" outlineLevel="0" collapsed="false">
      <c r="A1228" s="15" t="s">
        <v>1285</v>
      </c>
      <c r="B1228" s="16" t="n">
        <v>45447</v>
      </c>
      <c r="C1228" s="15" t="s">
        <v>56</v>
      </c>
      <c r="D1228" s="15" t="s">
        <v>42</v>
      </c>
      <c r="E1228" s="15" t="s">
        <v>36</v>
      </c>
      <c r="F1228" s="15" t="s">
        <v>17</v>
      </c>
      <c r="G1228" s="15" t="s">
        <v>26</v>
      </c>
      <c r="H1228" s="15" t="n">
        <v>3</v>
      </c>
      <c r="I1228" s="17" t="n">
        <v>0</v>
      </c>
      <c r="J1228" s="18" t="n">
        <v>239.25</v>
      </c>
      <c r="K1228" s="19" t="n">
        <v>41.18</v>
      </c>
      <c r="L1228" s="15" t="n">
        <f aca="false">YEAR(B1228)</f>
        <v>2024</v>
      </c>
      <c r="M1228" s="20" t="n">
        <f aca="false">IF(J1228&gt;0,K1228/J1228,0)</f>
        <v>0.172121212121212</v>
      </c>
    </row>
    <row r="1229" customFormat="false" ht="15" hidden="false" customHeight="false" outlineLevel="0" collapsed="false">
      <c r="A1229" s="15" t="s">
        <v>1286</v>
      </c>
      <c r="B1229" s="16" t="n">
        <v>45638</v>
      </c>
      <c r="C1229" s="15" t="s">
        <v>56</v>
      </c>
      <c r="D1229" s="15" t="s">
        <v>42</v>
      </c>
      <c r="E1229" s="15" t="s">
        <v>37</v>
      </c>
      <c r="F1229" s="15" t="s">
        <v>17</v>
      </c>
      <c r="G1229" s="15" t="s">
        <v>29</v>
      </c>
      <c r="H1229" s="15" t="n">
        <v>5</v>
      </c>
      <c r="I1229" s="17" t="n">
        <v>0.3</v>
      </c>
      <c r="J1229" s="18" t="n">
        <v>68.22</v>
      </c>
      <c r="K1229" s="19" t="n">
        <v>5.71</v>
      </c>
      <c r="L1229" s="15" t="n">
        <f aca="false">YEAR(B1229)</f>
        <v>2024</v>
      </c>
      <c r="M1229" s="20" t="n">
        <f aca="false">IF(J1229&gt;0,K1229/J1229,0)</f>
        <v>0.083699794781589</v>
      </c>
    </row>
    <row r="1230" customFormat="false" ht="15" hidden="false" customHeight="false" outlineLevel="0" collapsed="false">
      <c r="A1230" s="15" t="s">
        <v>1287</v>
      </c>
      <c r="B1230" s="16" t="n">
        <v>45229</v>
      </c>
      <c r="C1230" s="15" t="s">
        <v>56</v>
      </c>
      <c r="D1230" s="15" t="s">
        <v>43</v>
      </c>
      <c r="E1230" s="15" t="s">
        <v>39</v>
      </c>
      <c r="F1230" s="15" t="s">
        <v>17</v>
      </c>
      <c r="G1230" s="15" t="s">
        <v>26</v>
      </c>
      <c r="H1230" s="15" t="n">
        <v>7</v>
      </c>
      <c r="I1230" s="17" t="n">
        <v>0.1</v>
      </c>
      <c r="J1230" s="18" t="n">
        <v>606.47</v>
      </c>
      <c r="K1230" s="19" t="n">
        <v>12.65</v>
      </c>
      <c r="L1230" s="15" t="n">
        <f aca="false">YEAR(B1230)</f>
        <v>2023</v>
      </c>
      <c r="M1230" s="20" t="n">
        <f aca="false">IF(J1230&gt;0,K1230/J1230,0)</f>
        <v>0.0208584101439478</v>
      </c>
    </row>
    <row r="1231" customFormat="false" ht="15" hidden="false" customHeight="false" outlineLevel="0" collapsed="false">
      <c r="A1231" s="15" t="s">
        <v>1288</v>
      </c>
      <c r="B1231" s="16" t="n">
        <v>45771</v>
      </c>
      <c r="C1231" s="15" t="s">
        <v>58</v>
      </c>
      <c r="D1231" s="15" t="s">
        <v>42</v>
      </c>
      <c r="E1231" s="15" t="s">
        <v>37</v>
      </c>
      <c r="F1231" s="15" t="s">
        <v>17</v>
      </c>
      <c r="G1231" s="15" t="s">
        <v>31</v>
      </c>
      <c r="H1231" s="15" t="n">
        <v>5</v>
      </c>
      <c r="I1231" s="17" t="n">
        <v>0.15</v>
      </c>
      <c r="J1231" s="18" t="n">
        <v>536.91</v>
      </c>
      <c r="K1231" s="19" t="n">
        <v>-7.58</v>
      </c>
      <c r="L1231" s="15" t="n">
        <f aca="false">YEAR(B1231)</f>
        <v>2025</v>
      </c>
      <c r="M1231" s="20" t="n">
        <f aca="false">IF(J1231&gt;0,K1231/J1231,0)</f>
        <v>-0.0141178223538396</v>
      </c>
    </row>
    <row r="1232" customFormat="false" ht="15" hidden="false" customHeight="false" outlineLevel="0" collapsed="false">
      <c r="A1232" s="15" t="s">
        <v>1289</v>
      </c>
      <c r="B1232" s="16" t="n">
        <v>45268</v>
      </c>
      <c r="C1232" s="15" t="s">
        <v>71</v>
      </c>
      <c r="D1232" s="15" t="s">
        <v>42</v>
      </c>
      <c r="E1232" s="15" t="s">
        <v>37</v>
      </c>
      <c r="F1232" s="15" t="s">
        <v>17</v>
      </c>
      <c r="G1232" s="15" t="s">
        <v>29</v>
      </c>
      <c r="H1232" s="15" t="n">
        <v>3</v>
      </c>
      <c r="I1232" s="17" t="n">
        <v>0.4</v>
      </c>
      <c r="J1232" s="18" t="n">
        <v>28.14</v>
      </c>
      <c r="K1232" s="19" t="n">
        <v>-0.85</v>
      </c>
      <c r="L1232" s="15" t="n">
        <f aca="false">YEAR(B1232)</f>
        <v>2023</v>
      </c>
      <c r="M1232" s="20" t="n">
        <f aca="false">IF(J1232&gt;0,K1232/J1232,0)</f>
        <v>-0.0302061122956645</v>
      </c>
    </row>
    <row r="1233" customFormat="false" ht="15" hidden="false" customHeight="false" outlineLevel="0" collapsed="false">
      <c r="A1233" s="15" t="s">
        <v>1290</v>
      </c>
      <c r="B1233" s="16" t="n">
        <v>44583</v>
      </c>
      <c r="C1233" s="15" t="s">
        <v>56</v>
      </c>
      <c r="D1233" s="15" t="s">
        <v>42</v>
      </c>
      <c r="E1233" s="15" t="s">
        <v>36</v>
      </c>
      <c r="F1233" s="15" t="s">
        <v>16</v>
      </c>
      <c r="G1233" s="15" t="s">
        <v>23</v>
      </c>
      <c r="H1233" s="15" t="n">
        <v>1</v>
      </c>
      <c r="I1233" s="17" t="n">
        <v>0.15</v>
      </c>
      <c r="J1233" s="18" t="n">
        <v>241.04</v>
      </c>
      <c r="K1233" s="19" t="n">
        <v>-30.78</v>
      </c>
      <c r="L1233" s="15" t="n">
        <f aca="false">YEAR(B1233)</f>
        <v>2022</v>
      </c>
      <c r="M1233" s="20" t="n">
        <f aca="false">IF(J1233&gt;0,K1233/J1233,0)</f>
        <v>-0.127696647859276</v>
      </c>
    </row>
    <row r="1234" customFormat="false" ht="15" hidden="false" customHeight="false" outlineLevel="0" collapsed="false">
      <c r="A1234" s="15" t="s">
        <v>1291</v>
      </c>
      <c r="B1234" s="16" t="n">
        <v>45059</v>
      </c>
      <c r="C1234" s="15" t="s">
        <v>56</v>
      </c>
      <c r="D1234" s="15" t="s">
        <v>42</v>
      </c>
      <c r="E1234" s="15" t="s">
        <v>36</v>
      </c>
      <c r="F1234" s="15" t="s">
        <v>17</v>
      </c>
      <c r="G1234" s="15" t="s">
        <v>29</v>
      </c>
      <c r="H1234" s="15" t="n">
        <v>7</v>
      </c>
      <c r="I1234" s="17" t="n">
        <v>0.2</v>
      </c>
      <c r="J1234" s="18" t="n">
        <v>80.03</v>
      </c>
      <c r="K1234" s="19" t="n">
        <v>13.47</v>
      </c>
      <c r="L1234" s="15" t="n">
        <f aca="false">YEAR(B1234)</f>
        <v>2023</v>
      </c>
      <c r="M1234" s="20" t="n">
        <f aca="false">IF(J1234&gt;0,K1234/J1234,0)</f>
        <v>0.168311883043859</v>
      </c>
    </row>
    <row r="1235" customFormat="false" ht="15" hidden="false" customHeight="false" outlineLevel="0" collapsed="false">
      <c r="A1235" s="15" t="s">
        <v>1292</v>
      </c>
      <c r="B1235" s="16" t="n">
        <v>45901</v>
      </c>
      <c r="C1235" s="15" t="s">
        <v>56</v>
      </c>
      <c r="D1235" s="15" t="s">
        <v>43</v>
      </c>
      <c r="E1235" s="15" t="s">
        <v>38</v>
      </c>
      <c r="F1235" s="15" t="s">
        <v>17</v>
      </c>
      <c r="G1235" s="15" t="s">
        <v>29</v>
      </c>
      <c r="H1235" s="15" t="n">
        <v>2</v>
      </c>
      <c r="I1235" s="17" t="n">
        <v>0</v>
      </c>
      <c r="J1235" s="18" t="n">
        <v>31.08</v>
      </c>
      <c r="K1235" s="19" t="n">
        <v>14.37</v>
      </c>
      <c r="L1235" s="15" t="n">
        <f aca="false">YEAR(B1235)</f>
        <v>2025</v>
      </c>
      <c r="M1235" s="20" t="n">
        <f aca="false">IF(J1235&gt;0,K1235/J1235,0)</f>
        <v>0.462355212355212</v>
      </c>
    </row>
    <row r="1236" customFormat="false" ht="15" hidden="false" customHeight="false" outlineLevel="0" collapsed="false">
      <c r="A1236" s="15" t="s">
        <v>1293</v>
      </c>
      <c r="B1236" s="16" t="n">
        <v>45871</v>
      </c>
      <c r="C1236" s="15" t="s">
        <v>56</v>
      </c>
      <c r="D1236" s="15" t="s">
        <v>42</v>
      </c>
      <c r="E1236" s="15" t="s">
        <v>38</v>
      </c>
      <c r="F1236" s="15" t="s">
        <v>18</v>
      </c>
      <c r="G1236" s="15" t="s">
        <v>30</v>
      </c>
      <c r="H1236" s="15" t="n">
        <v>2</v>
      </c>
      <c r="I1236" s="17" t="n">
        <v>0.2</v>
      </c>
      <c r="J1236" s="18" t="n">
        <v>68.98</v>
      </c>
      <c r="K1236" s="19" t="n">
        <v>10.8</v>
      </c>
      <c r="L1236" s="15" t="n">
        <f aca="false">YEAR(B1236)</f>
        <v>2025</v>
      </c>
      <c r="M1236" s="20" t="n">
        <f aca="false">IF(J1236&gt;0,K1236/J1236,0)</f>
        <v>0.15656712090461</v>
      </c>
    </row>
    <row r="1237" customFormat="false" ht="15" hidden="false" customHeight="false" outlineLevel="0" collapsed="false">
      <c r="A1237" s="15" t="s">
        <v>1294</v>
      </c>
      <c r="B1237" s="16" t="n">
        <v>44764</v>
      </c>
      <c r="C1237" s="15" t="s">
        <v>56</v>
      </c>
      <c r="D1237" s="15" t="s">
        <v>43</v>
      </c>
      <c r="E1237" s="15" t="s">
        <v>36</v>
      </c>
      <c r="F1237" s="15" t="s">
        <v>18</v>
      </c>
      <c r="G1237" s="15" t="s">
        <v>24</v>
      </c>
      <c r="H1237" s="15" t="n">
        <v>5</v>
      </c>
      <c r="I1237" s="17" t="n">
        <v>0.2</v>
      </c>
      <c r="J1237" s="18" t="n">
        <v>2996.69</v>
      </c>
      <c r="K1237" s="19" t="n">
        <v>-433.36</v>
      </c>
      <c r="L1237" s="15" t="n">
        <f aca="false">YEAR(B1237)</f>
        <v>2022</v>
      </c>
      <c r="M1237" s="20" t="n">
        <f aca="false">IF(J1237&gt;0,K1237/J1237,0)</f>
        <v>-0.144612889554809</v>
      </c>
    </row>
    <row r="1238" customFormat="false" ht="15" hidden="false" customHeight="false" outlineLevel="0" collapsed="false">
      <c r="A1238" s="15" t="s">
        <v>1295</v>
      </c>
      <c r="B1238" s="16" t="n">
        <v>45476</v>
      </c>
      <c r="C1238" s="15" t="s">
        <v>68</v>
      </c>
      <c r="D1238" s="15" t="s">
        <v>43</v>
      </c>
      <c r="E1238" s="15" t="s">
        <v>37</v>
      </c>
      <c r="F1238" s="15" t="s">
        <v>16</v>
      </c>
      <c r="G1238" s="15" t="s">
        <v>25</v>
      </c>
      <c r="H1238" s="15" t="n">
        <v>3</v>
      </c>
      <c r="I1238" s="17" t="n">
        <v>0.2</v>
      </c>
      <c r="J1238" s="18" t="n">
        <v>795.67</v>
      </c>
      <c r="K1238" s="19" t="n">
        <v>-97.46</v>
      </c>
      <c r="L1238" s="15" t="n">
        <f aca="false">YEAR(B1238)</f>
        <v>2024</v>
      </c>
      <c r="M1238" s="20" t="n">
        <f aca="false">IF(J1238&gt;0,K1238/J1238,0)</f>
        <v>-0.122487966116606</v>
      </c>
    </row>
    <row r="1239" customFormat="false" ht="15" hidden="false" customHeight="false" outlineLevel="0" collapsed="false">
      <c r="A1239" s="15" t="s">
        <v>1296</v>
      </c>
      <c r="B1239" s="16" t="n">
        <v>45288</v>
      </c>
      <c r="C1239" s="15" t="s">
        <v>56</v>
      </c>
      <c r="D1239" s="15" t="s">
        <v>43</v>
      </c>
      <c r="E1239" s="15" t="s">
        <v>37</v>
      </c>
      <c r="F1239" s="15" t="s">
        <v>17</v>
      </c>
      <c r="G1239" s="15" t="s">
        <v>28</v>
      </c>
      <c r="H1239" s="15" t="n">
        <v>7</v>
      </c>
      <c r="I1239" s="17" t="n">
        <v>0.2</v>
      </c>
      <c r="J1239" s="18" t="n">
        <v>170.84</v>
      </c>
      <c r="K1239" s="19" t="n">
        <v>34.03</v>
      </c>
      <c r="L1239" s="15" t="n">
        <f aca="false">YEAR(B1239)</f>
        <v>2023</v>
      </c>
      <c r="M1239" s="20" t="n">
        <f aca="false">IF(J1239&gt;0,K1239/J1239,0)</f>
        <v>0.199192226644814</v>
      </c>
    </row>
    <row r="1240" customFormat="false" ht="15" hidden="false" customHeight="false" outlineLevel="0" collapsed="false">
      <c r="A1240" s="15" t="s">
        <v>1297</v>
      </c>
      <c r="B1240" s="16" t="n">
        <v>45724</v>
      </c>
      <c r="C1240" s="15" t="s">
        <v>56</v>
      </c>
      <c r="D1240" s="15" t="s">
        <v>42</v>
      </c>
      <c r="E1240" s="15" t="s">
        <v>36</v>
      </c>
      <c r="F1240" s="15" t="s">
        <v>17</v>
      </c>
      <c r="G1240" s="15" t="s">
        <v>26</v>
      </c>
      <c r="H1240" s="15" t="n">
        <v>6</v>
      </c>
      <c r="I1240" s="17" t="n">
        <v>0.15</v>
      </c>
      <c r="J1240" s="18" t="n">
        <v>486.8</v>
      </c>
      <c r="K1240" s="19" t="n">
        <v>-9.8</v>
      </c>
      <c r="L1240" s="15" t="n">
        <f aca="false">YEAR(B1240)</f>
        <v>2025</v>
      </c>
      <c r="M1240" s="20" t="n">
        <f aca="false">IF(J1240&gt;0,K1240/J1240,0)</f>
        <v>-0.0201314708299096</v>
      </c>
    </row>
    <row r="1241" customFormat="false" ht="15" hidden="false" customHeight="false" outlineLevel="0" collapsed="false">
      <c r="A1241" s="15" t="s">
        <v>1298</v>
      </c>
      <c r="B1241" s="16" t="n">
        <v>45569</v>
      </c>
      <c r="C1241" s="15" t="s">
        <v>56</v>
      </c>
      <c r="D1241" s="15" t="s">
        <v>42</v>
      </c>
      <c r="E1241" s="15" t="s">
        <v>39</v>
      </c>
      <c r="F1241" s="15" t="s">
        <v>18</v>
      </c>
      <c r="G1241" s="15" t="s">
        <v>30</v>
      </c>
      <c r="H1241" s="15" t="n">
        <v>5</v>
      </c>
      <c r="I1241" s="17" t="n">
        <v>0</v>
      </c>
      <c r="J1241" s="18" t="n">
        <v>194.55</v>
      </c>
      <c r="K1241" s="19" t="n">
        <v>54.99</v>
      </c>
      <c r="L1241" s="15" t="n">
        <f aca="false">YEAR(B1241)</f>
        <v>2024</v>
      </c>
      <c r="M1241" s="20" t="n">
        <f aca="false">IF(J1241&gt;0,K1241/J1241,0)</f>
        <v>0.282652274479568</v>
      </c>
    </row>
    <row r="1242" customFormat="false" ht="15" hidden="false" customHeight="false" outlineLevel="0" collapsed="false">
      <c r="A1242" s="15" t="s">
        <v>1299</v>
      </c>
      <c r="B1242" s="16" t="n">
        <v>45038</v>
      </c>
      <c r="C1242" s="15" t="s">
        <v>71</v>
      </c>
      <c r="D1242" s="15" t="s">
        <v>42</v>
      </c>
      <c r="E1242" s="15" t="s">
        <v>38</v>
      </c>
      <c r="F1242" s="15" t="s">
        <v>17</v>
      </c>
      <c r="G1242" s="15" t="s">
        <v>26</v>
      </c>
      <c r="H1242" s="15" t="n">
        <v>5</v>
      </c>
      <c r="I1242" s="17" t="n">
        <v>0</v>
      </c>
      <c r="J1242" s="18" t="n">
        <v>406.39</v>
      </c>
      <c r="K1242" s="19" t="n">
        <v>84.34</v>
      </c>
      <c r="L1242" s="15" t="n">
        <f aca="false">YEAR(B1242)</f>
        <v>2023</v>
      </c>
      <c r="M1242" s="20" t="n">
        <f aca="false">IF(J1242&gt;0,K1242/J1242,0)</f>
        <v>0.207534634218362</v>
      </c>
    </row>
    <row r="1243" customFormat="false" ht="15" hidden="false" customHeight="false" outlineLevel="0" collapsed="false">
      <c r="A1243" s="15" t="s">
        <v>1300</v>
      </c>
      <c r="B1243" s="16" t="n">
        <v>44865</v>
      </c>
      <c r="C1243" s="15" t="s">
        <v>56</v>
      </c>
      <c r="D1243" s="15" t="s">
        <v>42</v>
      </c>
      <c r="E1243" s="15" t="s">
        <v>36</v>
      </c>
      <c r="F1243" s="15" t="s">
        <v>18</v>
      </c>
      <c r="G1243" s="15" t="s">
        <v>30</v>
      </c>
      <c r="H1243" s="15" t="n">
        <v>5</v>
      </c>
      <c r="I1243" s="17" t="n">
        <v>0</v>
      </c>
      <c r="J1243" s="18" t="n">
        <v>210.35</v>
      </c>
      <c r="K1243" s="19" t="n">
        <v>55.04</v>
      </c>
      <c r="L1243" s="15" t="n">
        <f aca="false">YEAR(B1243)</f>
        <v>2022</v>
      </c>
      <c r="M1243" s="20" t="n">
        <f aca="false">IF(J1243&gt;0,K1243/J1243,0)</f>
        <v>0.261659139529356</v>
      </c>
    </row>
    <row r="1244" customFormat="false" ht="15" hidden="false" customHeight="false" outlineLevel="0" collapsed="false">
      <c r="A1244" s="15" t="s">
        <v>1301</v>
      </c>
      <c r="B1244" s="16" t="n">
        <v>45409</v>
      </c>
      <c r="C1244" s="15" t="s">
        <v>56</v>
      </c>
      <c r="D1244" s="15" t="s">
        <v>42</v>
      </c>
      <c r="E1244" s="15" t="s">
        <v>37</v>
      </c>
      <c r="F1244" s="15" t="s">
        <v>17</v>
      </c>
      <c r="G1244" s="15" t="s">
        <v>29</v>
      </c>
      <c r="H1244" s="15" t="n">
        <v>5</v>
      </c>
      <c r="I1244" s="17" t="n">
        <v>0</v>
      </c>
      <c r="J1244" s="18" t="n">
        <v>100.52</v>
      </c>
      <c r="K1244" s="19" t="n">
        <v>41.93</v>
      </c>
      <c r="L1244" s="15" t="n">
        <f aca="false">YEAR(B1244)</f>
        <v>2024</v>
      </c>
      <c r="M1244" s="20" t="n">
        <f aca="false">IF(J1244&gt;0,K1244/J1244,0)</f>
        <v>0.417130919220056</v>
      </c>
    </row>
    <row r="1245" customFormat="false" ht="15" hidden="false" customHeight="false" outlineLevel="0" collapsed="false">
      <c r="A1245" s="15" t="s">
        <v>1302</v>
      </c>
      <c r="B1245" s="16" t="n">
        <v>45504</v>
      </c>
      <c r="C1245" s="15" t="s">
        <v>56</v>
      </c>
      <c r="D1245" s="15" t="s">
        <v>42</v>
      </c>
      <c r="E1245" s="15" t="s">
        <v>36</v>
      </c>
      <c r="F1245" s="15" t="s">
        <v>17</v>
      </c>
      <c r="G1245" s="15" t="s">
        <v>28</v>
      </c>
      <c r="H1245" s="15" t="n">
        <v>3</v>
      </c>
      <c r="I1245" s="17" t="n">
        <v>0</v>
      </c>
      <c r="J1245" s="18" t="n">
        <v>74.88</v>
      </c>
      <c r="K1245" s="19" t="n">
        <v>18.62</v>
      </c>
      <c r="L1245" s="15" t="n">
        <f aca="false">YEAR(B1245)</f>
        <v>2024</v>
      </c>
      <c r="M1245" s="20" t="n">
        <f aca="false">IF(J1245&gt;0,K1245/J1245,0)</f>
        <v>0.24866452991453</v>
      </c>
    </row>
    <row r="1246" customFormat="false" ht="15" hidden="false" customHeight="false" outlineLevel="0" collapsed="false">
      <c r="A1246" s="15" t="s">
        <v>1303</v>
      </c>
      <c r="B1246" s="16" t="n">
        <v>45412</v>
      </c>
      <c r="C1246" s="15" t="s">
        <v>68</v>
      </c>
      <c r="D1246" s="15" t="s">
        <v>43</v>
      </c>
      <c r="E1246" s="15" t="s">
        <v>36</v>
      </c>
      <c r="F1246" s="15" t="s">
        <v>17</v>
      </c>
      <c r="G1246" s="15" t="s">
        <v>26</v>
      </c>
      <c r="H1246" s="15" t="n">
        <v>7</v>
      </c>
      <c r="I1246" s="17" t="n">
        <v>0</v>
      </c>
      <c r="J1246" s="18" t="n">
        <v>553.64</v>
      </c>
      <c r="K1246" s="19" t="n">
        <v>70.72</v>
      </c>
      <c r="L1246" s="15" t="n">
        <f aca="false">YEAR(B1246)</f>
        <v>2024</v>
      </c>
      <c r="M1246" s="20" t="n">
        <f aca="false">IF(J1246&gt;0,K1246/J1246,0)</f>
        <v>0.127736435228668</v>
      </c>
    </row>
    <row r="1247" customFormat="false" ht="15" hidden="false" customHeight="false" outlineLevel="0" collapsed="false">
      <c r="A1247" s="15" t="s">
        <v>1304</v>
      </c>
      <c r="B1247" s="16" t="n">
        <v>45915</v>
      </c>
      <c r="C1247" s="15" t="s">
        <v>68</v>
      </c>
      <c r="D1247" s="15" t="s">
        <v>44</v>
      </c>
      <c r="E1247" s="15" t="s">
        <v>39</v>
      </c>
      <c r="F1247" s="15" t="s">
        <v>16</v>
      </c>
      <c r="G1247" s="15" t="s">
        <v>25</v>
      </c>
      <c r="H1247" s="15" t="n">
        <v>4</v>
      </c>
      <c r="I1247" s="17" t="n">
        <v>0</v>
      </c>
      <c r="J1247" s="18" t="n">
        <v>1352.53</v>
      </c>
      <c r="K1247" s="19" t="n">
        <v>120.18</v>
      </c>
      <c r="L1247" s="15" t="n">
        <f aca="false">YEAR(B1247)</f>
        <v>2025</v>
      </c>
      <c r="M1247" s="20" t="n">
        <f aca="false">IF(J1247&gt;0,K1247/J1247,0)</f>
        <v>0.0888557000584091</v>
      </c>
    </row>
    <row r="1248" customFormat="false" ht="15" hidden="false" customHeight="false" outlineLevel="0" collapsed="false">
      <c r="A1248" s="15" t="s">
        <v>1305</v>
      </c>
      <c r="B1248" s="16" t="n">
        <v>45669</v>
      </c>
      <c r="C1248" s="15" t="s">
        <v>58</v>
      </c>
      <c r="D1248" s="15" t="s">
        <v>43</v>
      </c>
      <c r="E1248" s="15" t="s">
        <v>36</v>
      </c>
      <c r="F1248" s="15" t="s">
        <v>17</v>
      </c>
      <c r="G1248" s="15" t="s">
        <v>26</v>
      </c>
      <c r="H1248" s="15" t="n">
        <v>4</v>
      </c>
      <c r="I1248" s="17" t="n">
        <v>0.05</v>
      </c>
      <c r="J1248" s="18" t="n">
        <v>341.71</v>
      </c>
      <c r="K1248" s="19" t="n">
        <v>27.2</v>
      </c>
      <c r="L1248" s="15" t="n">
        <f aca="false">YEAR(B1248)</f>
        <v>2025</v>
      </c>
      <c r="M1248" s="20" t="n">
        <f aca="false">IF(J1248&gt;0,K1248/J1248,0)</f>
        <v>0.0795996605308595</v>
      </c>
    </row>
    <row r="1249" customFormat="false" ht="15" hidden="false" customHeight="false" outlineLevel="0" collapsed="false">
      <c r="A1249" s="15" t="s">
        <v>1306</v>
      </c>
      <c r="B1249" s="16" t="n">
        <v>45058</v>
      </c>
      <c r="C1249" s="15" t="s">
        <v>56</v>
      </c>
      <c r="D1249" s="15" t="s">
        <v>42</v>
      </c>
      <c r="E1249" s="15" t="s">
        <v>36</v>
      </c>
      <c r="F1249" s="15" t="s">
        <v>17</v>
      </c>
      <c r="G1249" s="15" t="s">
        <v>26</v>
      </c>
      <c r="H1249" s="15" t="n">
        <v>6</v>
      </c>
      <c r="I1249" s="17" t="n">
        <v>0</v>
      </c>
      <c r="J1249" s="18" t="n">
        <v>425.86</v>
      </c>
      <c r="K1249" s="19" t="n">
        <v>71.18</v>
      </c>
      <c r="L1249" s="15" t="n">
        <f aca="false">YEAR(B1249)</f>
        <v>2023</v>
      </c>
      <c r="M1249" s="20" t="n">
        <f aca="false">IF(J1249&gt;0,K1249/J1249,0)</f>
        <v>0.167144131874325</v>
      </c>
    </row>
    <row r="1250" customFormat="false" ht="15" hidden="false" customHeight="false" outlineLevel="0" collapsed="false">
      <c r="A1250" s="15" t="s">
        <v>1307</v>
      </c>
      <c r="B1250" s="16" t="n">
        <v>45827</v>
      </c>
      <c r="C1250" s="15" t="s">
        <v>56</v>
      </c>
      <c r="D1250" s="15" t="s">
        <v>43</v>
      </c>
      <c r="E1250" s="15" t="s">
        <v>36</v>
      </c>
      <c r="F1250" s="15" t="s">
        <v>17</v>
      </c>
      <c r="G1250" s="15" t="s">
        <v>29</v>
      </c>
      <c r="H1250" s="15" t="n">
        <v>1</v>
      </c>
      <c r="I1250" s="17" t="n">
        <v>0.2</v>
      </c>
      <c r="J1250" s="18" t="n">
        <v>11.56</v>
      </c>
      <c r="K1250" s="19" t="n">
        <v>1.81</v>
      </c>
      <c r="L1250" s="15" t="n">
        <f aca="false">YEAR(B1250)</f>
        <v>2025</v>
      </c>
      <c r="M1250" s="20" t="n">
        <f aca="false">IF(J1250&gt;0,K1250/J1250,0)</f>
        <v>0.156574394463668</v>
      </c>
    </row>
    <row r="1251" customFormat="false" ht="15" hidden="false" customHeight="false" outlineLevel="0" collapsed="false">
      <c r="A1251" s="15" t="s">
        <v>1308</v>
      </c>
      <c r="B1251" s="16" t="n">
        <v>45790</v>
      </c>
      <c r="C1251" s="15" t="s">
        <v>56</v>
      </c>
      <c r="D1251" s="15" t="s">
        <v>43</v>
      </c>
      <c r="E1251" s="15" t="s">
        <v>37</v>
      </c>
      <c r="F1251" s="15" t="s">
        <v>17</v>
      </c>
      <c r="G1251" s="15" t="s">
        <v>31</v>
      </c>
      <c r="H1251" s="15" t="n">
        <v>3</v>
      </c>
      <c r="I1251" s="17" t="n">
        <v>0.1</v>
      </c>
      <c r="J1251" s="18" t="n">
        <v>407.28</v>
      </c>
      <c r="K1251" s="19" t="n">
        <v>46.15</v>
      </c>
      <c r="L1251" s="15" t="n">
        <f aca="false">YEAR(B1251)</f>
        <v>2025</v>
      </c>
      <c r="M1251" s="20" t="n">
        <f aca="false">IF(J1251&gt;0,K1251/J1251,0)</f>
        <v>0.11331270870163</v>
      </c>
    </row>
    <row r="1252" customFormat="false" ht="15" hidden="false" customHeight="false" outlineLevel="0" collapsed="false">
      <c r="A1252" s="15" t="s">
        <v>1309</v>
      </c>
      <c r="B1252" s="16" t="n">
        <v>45967</v>
      </c>
      <c r="C1252" s="15" t="s">
        <v>58</v>
      </c>
      <c r="D1252" s="15" t="s">
        <v>42</v>
      </c>
      <c r="E1252" s="15" t="s">
        <v>38</v>
      </c>
      <c r="F1252" s="15" t="s">
        <v>18</v>
      </c>
      <c r="G1252" s="15" t="s">
        <v>30</v>
      </c>
      <c r="H1252" s="15" t="n">
        <v>2</v>
      </c>
      <c r="I1252" s="17" t="n">
        <v>0.3</v>
      </c>
      <c r="J1252" s="18" t="n">
        <v>51.35</v>
      </c>
      <c r="K1252" s="19" t="n">
        <v>4.82</v>
      </c>
      <c r="L1252" s="15" t="n">
        <f aca="false">YEAR(B1252)</f>
        <v>2025</v>
      </c>
      <c r="M1252" s="20" t="n">
        <f aca="false">IF(J1252&gt;0,K1252/J1252,0)</f>
        <v>0.0938656280428432</v>
      </c>
    </row>
    <row r="1253" customFormat="false" ht="15" hidden="false" customHeight="false" outlineLevel="0" collapsed="false">
      <c r="A1253" s="15" t="s">
        <v>1310</v>
      </c>
      <c r="B1253" s="16" t="n">
        <v>45698</v>
      </c>
      <c r="C1253" s="15" t="s">
        <v>56</v>
      </c>
      <c r="D1253" s="15" t="s">
        <v>43</v>
      </c>
      <c r="E1253" s="15" t="s">
        <v>36</v>
      </c>
      <c r="F1253" s="15" t="s">
        <v>18</v>
      </c>
      <c r="G1253" s="15" t="s">
        <v>32</v>
      </c>
      <c r="H1253" s="15" t="n">
        <v>3</v>
      </c>
      <c r="I1253" s="17" t="n">
        <v>0.15</v>
      </c>
      <c r="J1253" s="18" t="n">
        <v>1125.05</v>
      </c>
      <c r="K1253" s="19" t="n">
        <v>42.51</v>
      </c>
      <c r="L1253" s="15" t="n">
        <f aca="false">YEAR(B1253)</f>
        <v>2025</v>
      </c>
      <c r="M1253" s="20" t="n">
        <f aca="false">IF(J1253&gt;0,K1253/J1253,0)</f>
        <v>0.0377849873338963</v>
      </c>
    </row>
    <row r="1254" customFormat="false" ht="15" hidden="false" customHeight="false" outlineLevel="0" collapsed="false">
      <c r="A1254" s="15" t="s">
        <v>1311</v>
      </c>
      <c r="B1254" s="16" t="n">
        <v>45804</v>
      </c>
      <c r="C1254" s="15" t="s">
        <v>71</v>
      </c>
      <c r="D1254" s="15" t="s">
        <v>42</v>
      </c>
      <c r="E1254" s="15" t="s">
        <v>39</v>
      </c>
      <c r="F1254" s="15" t="s">
        <v>18</v>
      </c>
      <c r="G1254" s="15" t="s">
        <v>30</v>
      </c>
      <c r="H1254" s="15" t="n">
        <v>4</v>
      </c>
      <c r="I1254" s="17" t="n">
        <v>0</v>
      </c>
      <c r="J1254" s="18" t="n">
        <v>180.64</v>
      </c>
      <c r="K1254" s="19" t="n">
        <v>52.88</v>
      </c>
      <c r="L1254" s="15" t="n">
        <f aca="false">YEAR(B1254)</f>
        <v>2025</v>
      </c>
      <c r="M1254" s="20" t="n">
        <f aca="false">IF(J1254&gt;0,K1254/J1254,0)</f>
        <v>0.29273693534101</v>
      </c>
    </row>
    <row r="1255" customFormat="false" ht="15" hidden="false" customHeight="false" outlineLevel="0" collapsed="false">
      <c r="A1255" s="15" t="s">
        <v>1312</v>
      </c>
      <c r="B1255" s="16" t="n">
        <v>44735</v>
      </c>
      <c r="C1255" s="15" t="s">
        <v>56</v>
      </c>
      <c r="D1255" s="15" t="s">
        <v>44</v>
      </c>
      <c r="E1255" s="15" t="s">
        <v>37</v>
      </c>
      <c r="F1255" s="15" t="s">
        <v>17</v>
      </c>
      <c r="G1255" s="15" t="s">
        <v>26</v>
      </c>
      <c r="H1255" s="15" t="n">
        <v>3</v>
      </c>
      <c r="I1255" s="17" t="n">
        <v>0.4</v>
      </c>
      <c r="J1255" s="18" t="n">
        <v>167.76</v>
      </c>
      <c r="K1255" s="19" t="n">
        <v>-42.69</v>
      </c>
      <c r="L1255" s="15" t="n">
        <f aca="false">YEAR(B1255)</f>
        <v>2022</v>
      </c>
      <c r="M1255" s="20" t="n">
        <f aca="false">IF(J1255&gt;0,K1255/J1255,0)</f>
        <v>-0.254470672389127</v>
      </c>
    </row>
    <row r="1256" customFormat="false" ht="15" hidden="false" customHeight="false" outlineLevel="0" collapsed="false">
      <c r="A1256" s="15" t="s">
        <v>1313</v>
      </c>
      <c r="B1256" s="16" t="n">
        <v>45436</v>
      </c>
      <c r="C1256" s="15" t="s">
        <v>71</v>
      </c>
      <c r="D1256" s="15" t="s">
        <v>43</v>
      </c>
      <c r="E1256" s="15" t="s">
        <v>37</v>
      </c>
      <c r="F1256" s="15" t="s">
        <v>18</v>
      </c>
      <c r="G1256" s="15" t="s">
        <v>30</v>
      </c>
      <c r="H1256" s="15" t="n">
        <v>5</v>
      </c>
      <c r="I1256" s="17" t="n">
        <v>0.05</v>
      </c>
      <c r="J1256" s="18" t="n">
        <v>242.48</v>
      </c>
      <c r="K1256" s="19" t="n">
        <v>64.56</v>
      </c>
      <c r="L1256" s="15" t="n">
        <f aca="false">YEAR(B1256)</f>
        <v>2024</v>
      </c>
      <c r="M1256" s="20" t="n">
        <f aca="false">IF(J1256&gt;0,K1256/J1256,0)</f>
        <v>0.26624876278456</v>
      </c>
    </row>
    <row r="1257" customFormat="false" ht="15" hidden="false" customHeight="false" outlineLevel="0" collapsed="false">
      <c r="A1257" s="15" t="s">
        <v>1314</v>
      </c>
      <c r="B1257" s="16" t="n">
        <v>45718</v>
      </c>
      <c r="C1257" s="15" t="s">
        <v>71</v>
      </c>
      <c r="D1257" s="15" t="s">
        <v>43</v>
      </c>
      <c r="E1257" s="15" t="s">
        <v>39</v>
      </c>
      <c r="F1257" s="15" t="s">
        <v>16</v>
      </c>
      <c r="G1257" s="15" t="s">
        <v>27</v>
      </c>
      <c r="H1257" s="15" t="n">
        <v>4</v>
      </c>
      <c r="I1257" s="17" t="n">
        <v>0</v>
      </c>
      <c r="J1257" s="18" t="n">
        <v>254.74</v>
      </c>
      <c r="K1257" s="19" t="n">
        <v>58.79</v>
      </c>
      <c r="L1257" s="15" t="n">
        <f aca="false">YEAR(B1257)</f>
        <v>2025</v>
      </c>
      <c r="M1257" s="20" t="n">
        <f aca="false">IF(J1257&gt;0,K1257/J1257,0)</f>
        <v>0.230784329119887</v>
      </c>
    </row>
    <row r="1258" customFormat="false" ht="15" hidden="false" customHeight="false" outlineLevel="0" collapsed="false">
      <c r="A1258" s="15" t="s">
        <v>1315</v>
      </c>
      <c r="B1258" s="16" t="n">
        <v>45144</v>
      </c>
      <c r="C1258" s="15" t="s">
        <v>71</v>
      </c>
      <c r="D1258" s="15" t="s">
        <v>42</v>
      </c>
      <c r="E1258" s="15" t="s">
        <v>39</v>
      </c>
      <c r="F1258" s="15" t="s">
        <v>17</v>
      </c>
      <c r="G1258" s="15" t="s">
        <v>28</v>
      </c>
      <c r="H1258" s="15" t="n">
        <v>2</v>
      </c>
      <c r="I1258" s="17" t="n">
        <v>0.1</v>
      </c>
      <c r="J1258" s="18" t="n">
        <v>38.94</v>
      </c>
      <c r="K1258" s="19" t="n">
        <v>7.68</v>
      </c>
      <c r="L1258" s="15" t="n">
        <f aca="false">YEAR(B1258)</f>
        <v>2023</v>
      </c>
      <c r="M1258" s="20" t="n">
        <f aca="false">IF(J1258&gt;0,K1258/J1258,0)</f>
        <v>0.197226502311248</v>
      </c>
    </row>
    <row r="1259" customFormat="false" ht="15" hidden="false" customHeight="false" outlineLevel="0" collapsed="false">
      <c r="A1259" s="15" t="s">
        <v>1316</v>
      </c>
      <c r="B1259" s="16" t="n">
        <v>45853</v>
      </c>
      <c r="C1259" s="15" t="s">
        <v>68</v>
      </c>
      <c r="D1259" s="15" t="s">
        <v>42</v>
      </c>
      <c r="E1259" s="15" t="s">
        <v>39</v>
      </c>
      <c r="F1259" s="15" t="s">
        <v>17</v>
      </c>
      <c r="G1259" s="15" t="s">
        <v>29</v>
      </c>
      <c r="H1259" s="15" t="n">
        <v>5</v>
      </c>
      <c r="I1259" s="17" t="n">
        <v>0.05</v>
      </c>
      <c r="J1259" s="18" t="n">
        <v>84.82</v>
      </c>
      <c r="K1259" s="19" t="n">
        <v>27.56</v>
      </c>
      <c r="L1259" s="15" t="n">
        <f aca="false">YEAR(B1259)</f>
        <v>2025</v>
      </c>
      <c r="M1259" s="20" t="n">
        <f aca="false">IF(J1259&gt;0,K1259/J1259,0)</f>
        <v>0.324923367130394</v>
      </c>
    </row>
    <row r="1260" customFormat="false" ht="15" hidden="false" customHeight="false" outlineLevel="0" collapsed="false">
      <c r="A1260" s="15" t="s">
        <v>1317</v>
      </c>
      <c r="B1260" s="16" t="n">
        <v>45373</v>
      </c>
      <c r="C1260" s="15" t="s">
        <v>56</v>
      </c>
      <c r="D1260" s="15" t="s">
        <v>42</v>
      </c>
      <c r="E1260" s="15" t="s">
        <v>36</v>
      </c>
      <c r="F1260" s="15" t="s">
        <v>16</v>
      </c>
      <c r="G1260" s="15" t="s">
        <v>27</v>
      </c>
      <c r="H1260" s="15" t="n">
        <v>2</v>
      </c>
      <c r="I1260" s="17" t="n">
        <v>0.15</v>
      </c>
      <c r="J1260" s="18" t="n">
        <v>85.99</v>
      </c>
      <c r="K1260" s="19" t="n">
        <v>12.82</v>
      </c>
      <c r="L1260" s="15" t="n">
        <f aca="false">YEAR(B1260)</f>
        <v>2024</v>
      </c>
      <c r="M1260" s="20" t="n">
        <f aca="false">IF(J1260&gt;0,K1260/J1260,0)</f>
        <v>0.149087103151529</v>
      </c>
    </row>
    <row r="1261" customFormat="false" ht="15" hidden="false" customHeight="false" outlineLevel="0" collapsed="false">
      <c r="A1261" s="15" t="s">
        <v>1318</v>
      </c>
      <c r="B1261" s="16" t="n">
        <v>44919</v>
      </c>
      <c r="C1261" s="15" t="s">
        <v>56</v>
      </c>
      <c r="D1261" s="15" t="s">
        <v>43</v>
      </c>
      <c r="E1261" s="15" t="s">
        <v>39</v>
      </c>
      <c r="F1261" s="15" t="s">
        <v>17</v>
      </c>
      <c r="G1261" s="15" t="s">
        <v>31</v>
      </c>
      <c r="H1261" s="15" t="n">
        <v>4</v>
      </c>
      <c r="I1261" s="17" t="n">
        <v>0.3</v>
      </c>
      <c r="J1261" s="18" t="n">
        <v>412.01</v>
      </c>
      <c r="K1261" s="19" t="n">
        <v>-51.78</v>
      </c>
      <c r="L1261" s="15" t="n">
        <f aca="false">YEAR(B1261)</f>
        <v>2022</v>
      </c>
      <c r="M1261" s="20" t="n">
        <f aca="false">IF(J1261&gt;0,K1261/J1261,0)</f>
        <v>-0.125676561248513</v>
      </c>
    </row>
    <row r="1262" customFormat="false" ht="15" hidden="false" customHeight="false" outlineLevel="0" collapsed="false">
      <c r="A1262" s="15" t="s">
        <v>1319</v>
      </c>
      <c r="B1262" s="16" t="n">
        <v>45697</v>
      </c>
      <c r="C1262" s="15" t="s">
        <v>56</v>
      </c>
      <c r="D1262" s="15" t="s">
        <v>42</v>
      </c>
      <c r="E1262" s="15" t="s">
        <v>38</v>
      </c>
      <c r="F1262" s="15" t="s">
        <v>17</v>
      </c>
      <c r="G1262" s="15" t="s">
        <v>28</v>
      </c>
      <c r="H1262" s="15" t="n">
        <v>5</v>
      </c>
      <c r="I1262" s="17" t="n">
        <v>0</v>
      </c>
      <c r="J1262" s="18" t="n">
        <v>104.98</v>
      </c>
      <c r="K1262" s="19" t="n">
        <v>33.84</v>
      </c>
      <c r="L1262" s="15" t="n">
        <f aca="false">YEAR(B1262)</f>
        <v>2025</v>
      </c>
      <c r="M1262" s="20" t="n">
        <f aca="false">IF(J1262&gt;0,K1262/J1262,0)</f>
        <v>0.32234711373595</v>
      </c>
    </row>
    <row r="1263" customFormat="false" ht="15" hidden="false" customHeight="false" outlineLevel="0" collapsed="false">
      <c r="A1263" s="15" t="s">
        <v>1320</v>
      </c>
      <c r="B1263" s="16" t="n">
        <v>45356</v>
      </c>
      <c r="C1263" s="15" t="s">
        <v>56</v>
      </c>
      <c r="D1263" s="15" t="s">
        <v>42</v>
      </c>
      <c r="E1263" s="15" t="s">
        <v>37</v>
      </c>
      <c r="F1263" s="15" t="s">
        <v>17</v>
      </c>
      <c r="G1263" s="15" t="s">
        <v>29</v>
      </c>
      <c r="H1263" s="15" t="n">
        <v>2</v>
      </c>
      <c r="I1263" s="17" t="n">
        <v>0.05</v>
      </c>
      <c r="J1263" s="18" t="n">
        <v>31.81</v>
      </c>
      <c r="K1263" s="19" t="n">
        <v>12.96</v>
      </c>
      <c r="L1263" s="15" t="n">
        <f aca="false">YEAR(B1263)</f>
        <v>2024</v>
      </c>
      <c r="M1263" s="20" t="n">
        <f aca="false">IF(J1263&gt;0,K1263/J1263,0)</f>
        <v>0.407419050613015</v>
      </c>
    </row>
    <row r="1264" customFormat="false" ht="15" hidden="false" customHeight="false" outlineLevel="0" collapsed="false">
      <c r="A1264" s="15" t="s">
        <v>1321</v>
      </c>
      <c r="B1264" s="16" t="n">
        <v>45657</v>
      </c>
      <c r="C1264" s="15" t="s">
        <v>71</v>
      </c>
      <c r="D1264" s="15" t="s">
        <v>44</v>
      </c>
      <c r="E1264" s="15" t="s">
        <v>37</v>
      </c>
      <c r="F1264" s="15" t="s">
        <v>17</v>
      </c>
      <c r="G1264" s="15" t="s">
        <v>31</v>
      </c>
      <c r="H1264" s="15" t="n">
        <v>8</v>
      </c>
      <c r="I1264" s="17" t="n">
        <v>0.1</v>
      </c>
      <c r="J1264" s="18" t="n">
        <v>1061.26</v>
      </c>
      <c r="K1264" s="19" t="n">
        <v>81.67</v>
      </c>
      <c r="L1264" s="15" t="n">
        <f aca="false">YEAR(B1264)</f>
        <v>2024</v>
      </c>
      <c r="M1264" s="20" t="n">
        <f aca="false">IF(J1264&gt;0,K1264/J1264,0)</f>
        <v>0.0769556941748488</v>
      </c>
    </row>
    <row r="1265" customFormat="false" ht="15" hidden="false" customHeight="false" outlineLevel="0" collapsed="false">
      <c r="A1265" s="15" t="s">
        <v>1322</v>
      </c>
      <c r="B1265" s="16" t="n">
        <v>45362</v>
      </c>
      <c r="C1265" s="15" t="s">
        <v>56</v>
      </c>
      <c r="D1265" s="15" t="s">
        <v>44</v>
      </c>
      <c r="E1265" s="15" t="s">
        <v>37</v>
      </c>
      <c r="F1265" s="15" t="s">
        <v>16</v>
      </c>
      <c r="G1265" s="15" t="s">
        <v>27</v>
      </c>
      <c r="H1265" s="15" t="n">
        <v>1</v>
      </c>
      <c r="I1265" s="17" t="n">
        <v>0.2</v>
      </c>
      <c r="J1265" s="18" t="n">
        <v>47.31</v>
      </c>
      <c r="K1265" s="19" t="n">
        <v>0.83</v>
      </c>
      <c r="L1265" s="15" t="n">
        <f aca="false">YEAR(B1265)</f>
        <v>2024</v>
      </c>
      <c r="M1265" s="20" t="n">
        <f aca="false">IF(J1265&gt;0,K1265/J1265,0)</f>
        <v>0.0175438596491228</v>
      </c>
    </row>
    <row r="1266" customFormat="false" ht="15" hidden="false" customHeight="false" outlineLevel="0" collapsed="false">
      <c r="A1266" s="15" t="s">
        <v>1323</v>
      </c>
      <c r="B1266" s="16" t="n">
        <v>45154</v>
      </c>
      <c r="C1266" s="15" t="s">
        <v>68</v>
      </c>
      <c r="D1266" s="15" t="s">
        <v>42</v>
      </c>
      <c r="E1266" s="15" t="s">
        <v>39</v>
      </c>
      <c r="F1266" s="15" t="s">
        <v>18</v>
      </c>
      <c r="G1266" s="15" t="s">
        <v>24</v>
      </c>
      <c r="H1266" s="15" t="n">
        <v>6</v>
      </c>
      <c r="I1266" s="17" t="n">
        <v>0</v>
      </c>
      <c r="J1266" s="18" t="n">
        <v>4384.65</v>
      </c>
      <c r="K1266" s="19" t="n">
        <v>259.09</v>
      </c>
      <c r="L1266" s="15" t="n">
        <f aca="false">YEAR(B1266)</f>
        <v>2023</v>
      </c>
      <c r="M1266" s="20" t="n">
        <f aca="false">IF(J1266&gt;0,K1266/J1266,0)</f>
        <v>0.0590902352525287</v>
      </c>
    </row>
    <row r="1267" customFormat="false" ht="15" hidden="false" customHeight="false" outlineLevel="0" collapsed="false">
      <c r="A1267" s="15" t="s">
        <v>1324</v>
      </c>
      <c r="B1267" s="16" t="n">
        <v>45684</v>
      </c>
      <c r="C1267" s="15" t="s">
        <v>58</v>
      </c>
      <c r="D1267" s="15" t="s">
        <v>42</v>
      </c>
      <c r="E1267" s="15" t="s">
        <v>38</v>
      </c>
      <c r="F1267" s="15" t="s">
        <v>16</v>
      </c>
      <c r="G1267" s="15" t="s">
        <v>27</v>
      </c>
      <c r="H1267" s="15" t="n">
        <v>2</v>
      </c>
      <c r="I1267" s="17" t="n">
        <v>0.3</v>
      </c>
      <c r="J1267" s="18" t="n">
        <v>68.67</v>
      </c>
      <c r="K1267" s="19" t="n">
        <v>-10.18</v>
      </c>
      <c r="L1267" s="15" t="n">
        <f aca="false">YEAR(B1267)</f>
        <v>2025</v>
      </c>
      <c r="M1267" s="20" t="n">
        <f aca="false">IF(J1267&gt;0,K1267/J1267,0)</f>
        <v>-0.148245230814038</v>
      </c>
    </row>
    <row r="1268" customFormat="false" ht="15" hidden="false" customHeight="false" outlineLevel="0" collapsed="false">
      <c r="A1268" s="15" t="s">
        <v>1325</v>
      </c>
      <c r="B1268" s="16" t="n">
        <v>45501</v>
      </c>
      <c r="C1268" s="15" t="s">
        <v>56</v>
      </c>
      <c r="D1268" s="15" t="s">
        <v>43</v>
      </c>
      <c r="E1268" s="15" t="s">
        <v>39</v>
      </c>
      <c r="F1268" s="15" t="s">
        <v>18</v>
      </c>
      <c r="G1268" s="15" t="s">
        <v>30</v>
      </c>
      <c r="H1268" s="15" t="n">
        <v>4</v>
      </c>
      <c r="I1268" s="17" t="n">
        <v>0</v>
      </c>
      <c r="J1268" s="18" t="n">
        <v>245.76</v>
      </c>
      <c r="K1268" s="19" t="n">
        <v>65.63</v>
      </c>
      <c r="L1268" s="15" t="n">
        <f aca="false">YEAR(B1268)</f>
        <v>2024</v>
      </c>
      <c r="M1268" s="20" t="n">
        <f aca="false">IF(J1268&gt;0,K1268/J1268,0)</f>
        <v>0.267049153645833</v>
      </c>
    </row>
    <row r="1269" customFormat="false" ht="15" hidden="false" customHeight="false" outlineLevel="0" collapsed="false">
      <c r="A1269" s="15" t="s">
        <v>1326</v>
      </c>
      <c r="B1269" s="16" t="n">
        <v>44823</v>
      </c>
      <c r="C1269" s="15" t="s">
        <v>56</v>
      </c>
      <c r="D1269" s="15" t="s">
        <v>43</v>
      </c>
      <c r="E1269" s="15" t="s">
        <v>36</v>
      </c>
      <c r="F1269" s="15" t="s">
        <v>18</v>
      </c>
      <c r="G1269" s="15" t="s">
        <v>32</v>
      </c>
      <c r="H1269" s="15" t="n">
        <v>4</v>
      </c>
      <c r="I1269" s="17" t="n">
        <v>0</v>
      </c>
      <c r="J1269" s="18" t="n">
        <v>1547.21</v>
      </c>
      <c r="K1269" s="19" t="n">
        <v>292.58</v>
      </c>
      <c r="L1269" s="15" t="n">
        <f aca="false">YEAR(B1269)</f>
        <v>2022</v>
      </c>
      <c r="M1269" s="20" t="n">
        <f aca="false">IF(J1269&gt;0,K1269/J1269,0)</f>
        <v>0.189101673334583</v>
      </c>
    </row>
    <row r="1270" customFormat="false" ht="15" hidden="false" customHeight="false" outlineLevel="0" collapsed="false">
      <c r="A1270" s="15" t="s">
        <v>1327</v>
      </c>
      <c r="B1270" s="16" t="n">
        <v>46011</v>
      </c>
      <c r="C1270" s="15" t="s">
        <v>56</v>
      </c>
      <c r="D1270" s="15" t="s">
        <v>44</v>
      </c>
      <c r="E1270" s="15" t="s">
        <v>37</v>
      </c>
      <c r="F1270" s="15" t="s">
        <v>18</v>
      </c>
      <c r="G1270" s="15" t="s">
        <v>33</v>
      </c>
      <c r="H1270" s="15" t="n">
        <v>5</v>
      </c>
      <c r="I1270" s="17" t="n">
        <v>0</v>
      </c>
      <c r="J1270" s="18" t="n">
        <v>4349.17</v>
      </c>
      <c r="K1270" s="19" t="n">
        <v>1184.03</v>
      </c>
      <c r="L1270" s="15" t="n">
        <f aca="false">YEAR(B1270)</f>
        <v>2025</v>
      </c>
      <c r="M1270" s="20" t="n">
        <f aca="false">IF(J1270&gt;0,K1270/J1270,0)</f>
        <v>0.272242749766047</v>
      </c>
    </row>
    <row r="1271" customFormat="false" ht="15" hidden="false" customHeight="false" outlineLevel="0" collapsed="false">
      <c r="A1271" s="15" t="s">
        <v>1328</v>
      </c>
      <c r="B1271" s="16" t="n">
        <v>45607</v>
      </c>
      <c r="C1271" s="15" t="s">
        <v>56</v>
      </c>
      <c r="D1271" s="15" t="s">
        <v>42</v>
      </c>
      <c r="E1271" s="15" t="s">
        <v>37</v>
      </c>
      <c r="F1271" s="15" t="s">
        <v>16</v>
      </c>
      <c r="G1271" s="15" t="s">
        <v>27</v>
      </c>
      <c r="H1271" s="15" t="n">
        <v>4</v>
      </c>
      <c r="I1271" s="17" t="n">
        <v>0.1</v>
      </c>
      <c r="J1271" s="18" t="n">
        <v>234.67</v>
      </c>
      <c r="K1271" s="19" t="n">
        <v>21.24</v>
      </c>
      <c r="L1271" s="15" t="n">
        <f aca="false">YEAR(B1271)</f>
        <v>2024</v>
      </c>
      <c r="M1271" s="20" t="n">
        <f aca="false">IF(J1271&gt;0,K1271/J1271,0)</f>
        <v>0.0905100779818469</v>
      </c>
    </row>
    <row r="1272" customFormat="false" ht="15" hidden="false" customHeight="false" outlineLevel="0" collapsed="false">
      <c r="A1272" s="15" t="s">
        <v>1329</v>
      </c>
      <c r="B1272" s="16" t="n">
        <v>45111</v>
      </c>
      <c r="C1272" s="15" t="s">
        <v>56</v>
      </c>
      <c r="D1272" s="15" t="s">
        <v>42</v>
      </c>
      <c r="E1272" s="15" t="s">
        <v>38</v>
      </c>
      <c r="F1272" s="15" t="s">
        <v>17</v>
      </c>
      <c r="G1272" s="15" t="s">
        <v>28</v>
      </c>
      <c r="H1272" s="15" t="n">
        <v>4</v>
      </c>
      <c r="I1272" s="17" t="n">
        <v>0</v>
      </c>
      <c r="J1272" s="18" t="n">
        <v>120.66</v>
      </c>
      <c r="K1272" s="19" t="n">
        <v>44.98</v>
      </c>
      <c r="L1272" s="15" t="n">
        <f aca="false">YEAR(B1272)</f>
        <v>2023</v>
      </c>
      <c r="M1272" s="20" t="n">
        <f aca="false">IF(J1272&gt;0,K1272/J1272,0)</f>
        <v>0.372783026686557</v>
      </c>
    </row>
    <row r="1273" customFormat="false" ht="15" hidden="false" customHeight="false" outlineLevel="0" collapsed="false">
      <c r="A1273" s="15" t="s">
        <v>1330</v>
      </c>
      <c r="B1273" s="16" t="n">
        <v>45558</v>
      </c>
      <c r="C1273" s="15" t="s">
        <v>68</v>
      </c>
      <c r="D1273" s="15" t="s">
        <v>42</v>
      </c>
      <c r="E1273" s="15" t="s">
        <v>36</v>
      </c>
      <c r="F1273" s="15" t="s">
        <v>18</v>
      </c>
      <c r="G1273" s="15" t="s">
        <v>32</v>
      </c>
      <c r="H1273" s="15" t="n">
        <v>4</v>
      </c>
      <c r="I1273" s="17" t="n">
        <v>0.15</v>
      </c>
      <c r="J1273" s="18" t="n">
        <v>1139.59</v>
      </c>
      <c r="K1273" s="19" t="n">
        <v>56.91</v>
      </c>
      <c r="L1273" s="15" t="n">
        <f aca="false">YEAR(B1273)</f>
        <v>2024</v>
      </c>
      <c r="M1273" s="20" t="n">
        <f aca="false">IF(J1273&gt;0,K1273/J1273,0)</f>
        <v>0.0499390131538536</v>
      </c>
    </row>
    <row r="1274" customFormat="false" ht="15" hidden="false" customHeight="false" outlineLevel="0" collapsed="false">
      <c r="A1274" s="15" t="s">
        <v>1331</v>
      </c>
      <c r="B1274" s="16" t="n">
        <v>44985</v>
      </c>
      <c r="C1274" s="15" t="s">
        <v>58</v>
      </c>
      <c r="D1274" s="15" t="s">
        <v>43</v>
      </c>
      <c r="E1274" s="15" t="s">
        <v>39</v>
      </c>
      <c r="F1274" s="15" t="s">
        <v>18</v>
      </c>
      <c r="G1274" s="15" t="s">
        <v>32</v>
      </c>
      <c r="H1274" s="15" t="n">
        <v>3</v>
      </c>
      <c r="I1274" s="17" t="n">
        <v>0.3</v>
      </c>
      <c r="J1274" s="18" t="n">
        <v>991.21</v>
      </c>
      <c r="K1274" s="19" t="n">
        <v>-132.07</v>
      </c>
      <c r="L1274" s="15" t="n">
        <f aca="false">YEAR(B1274)</f>
        <v>2023</v>
      </c>
      <c r="M1274" s="20" t="n">
        <f aca="false">IF(J1274&gt;0,K1274/J1274,0)</f>
        <v>-0.133241190060633</v>
      </c>
    </row>
    <row r="1275" customFormat="false" ht="15" hidden="false" customHeight="false" outlineLevel="0" collapsed="false">
      <c r="A1275" s="15" t="s">
        <v>1332</v>
      </c>
      <c r="B1275" s="16" t="n">
        <v>45429</v>
      </c>
      <c r="C1275" s="15" t="s">
        <v>56</v>
      </c>
      <c r="D1275" s="15" t="s">
        <v>44</v>
      </c>
      <c r="E1275" s="15" t="s">
        <v>39</v>
      </c>
      <c r="F1275" s="15" t="s">
        <v>17</v>
      </c>
      <c r="G1275" s="15" t="s">
        <v>31</v>
      </c>
      <c r="H1275" s="15" t="n">
        <v>6</v>
      </c>
      <c r="I1275" s="17" t="n">
        <v>0</v>
      </c>
      <c r="J1275" s="18" t="n">
        <v>655.08</v>
      </c>
      <c r="K1275" s="19" t="n">
        <v>118.71</v>
      </c>
      <c r="L1275" s="15" t="n">
        <f aca="false">YEAR(B1275)</f>
        <v>2024</v>
      </c>
      <c r="M1275" s="20" t="n">
        <f aca="false">IF(J1275&gt;0,K1275/J1275,0)</f>
        <v>0.181214508151676</v>
      </c>
    </row>
    <row r="1276" customFormat="false" ht="15" hidden="false" customHeight="false" outlineLevel="0" collapsed="false">
      <c r="A1276" s="15" t="s">
        <v>1333</v>
      </c>
      <c r="B1276" s="16" t="n">
        <v>44856</v>
      </c>
      <c r="C1276" s="15" t="s">
        <v>56</v>
      </c>
      <c r="D1276" s="15" t="s">
        <v>42</v>
      </c>
      <c r="E1276" s="15" t="s">
        <v>37</v>
      </c>
      <c r="F1276" s="15" t="s">
        <v>18</v>
      </c>
      <c r="G1276" s="15" t="s">
        <v>24</v>
      </c>
      <c r="H1276" s="15" t="n">
        <v>2</v>
      </c>
      <c r="I1276" s="17" t="n">
        <v>0.1</v>
      </c>
      <c r="J1276" s="18" t="n">
        <v>1215.91</v>
      </c>
      <c r="K1276" s="19" t="n">
        <v>-103.02</v>
      </c>
      <c r="L1276" s="15" t="n">
        <f aca="false">YEAR(B1276)</f>
        <v>2022</v>
      </c>
      <c r="M1276" s="20" t="n">
        <f aca="false">IF(J1276&gt;0,K1276/J1276,0)</f>
        <v>-0.0847266656249229</v>
      </c>
    </row>
    <row r="1277" customFormat="false" ht="15" hidden="false" customHeight="false" outlineLevel="0" collapsed="false">
      <c r="A1277" s="15" t="s">
        <v>1334</v>
      </c>
      <c r="B1277" s="16" t="n">
        <v>44613</v>
      </c>
      <c r="C1277" s="15" t="s">
        <v>68</v>
      </c>
      <c r="D1277" s="15" t="s">
        <v>44</v>
      </c>
      <c r="E1277" s="15" t="s">
        <v>38</v>
      </c>
      <c r="F1277" s="15" t="s">
        <v>18</v>
      </c>
      <c r="G1277" s="15" t="s">
        <v>32</v>
      </c>
      <c r="H1277" s="15" t="n">
        <v>3</v>
      </c>
      <c r="I1277" s="17" t="n">
        <v>0.05</v>
      </c>
      <c r="J1277" s="18" t="n">
        <v>1118.88</v>
      </c>
      <c r="K1277" s="19" t="n">
        <v>151.75</v>
      </c>
      <c r="L1277" s="15" t="n">
        <f aca="false">YEAR(B1277)</f>
        <v>2022</v>
      </c>
      <c r="M1277" s="20" t="n">
        <f aca="false">IF(J1277&gt;0,K1277/J1277,0)</f>
        <v>0.135626698126698</v>
      </c>
    </row>
    <row r="1278" customFormat="false" ht="15" hidden="false" customHeight="false" outlineLevel="0" collapsed="false">
      <c r="A1278" s="15" t="s">
        <v>1335</v>
      </c>
      <c r="B1278" s="16" t="n">
        <v>45597</v>
      </c>
      <c r="C1278" s="15" t="s">
        <v>56</v>
      </c>
      <c r="D1278" s="15" t="s">
        <v>42</v>
      </c>
      <c r="E1278" s="15" t="s">
        <v>37</v>
      </c>
      <c r="F1278" s="15" t="s">
        <v>18</v>
      </c>
      <c r="G1278" s="15" t="s">
        <v>32</v>
      </c>
      <c r="H1278" s="15" t="n">
        <v>1</v>
      </c>
      <c r="I1278" s="17" t="n">
        <v>0.4</v>
      </c>
      <c r="J1278" s="18" t="n">
        <v>226.65</v>
      </c>
      <c r="K1278" s="19" t="n">
        <v>-37.07</v>
      </c>
      <c r="L1278" s="15" t="n">
        <f aca="false">YEAR(B1278)</f>
        <v>2024</v>
      </c>
      <c r="M1278" s="20" t="n">
        <f aca="false">IF(J1278&gt;0,K1278/J1278,0)</f>
        <v>-0.163556143834105</v>
      </c>
    </row>
    <row r="1279" customFormat="false" ht="15" hidden="false" customHeight="false" outlineLevel="0" collapsed="false">
      <c r="A1279" s="15" t="s">
        <v>1336</v>
      </c>
      <c r="B1279" s="16" t="n">
        <v>44572</v>
      </c>
      <c r="C1279" s="15" t="s">
        <v>56</v>
      </c>
      <c r="D1279" s="15" t="s">
        <v>43</v>
      </c>
      <c r="E1279" s="15" t="s">
        <v>37</v>
      </c>
      <c r="F1279" s="15" t="s">
        <v>18</v>
      </c>
      <c r="G1279" s="15" t="s">
        <v>32</v>
      </c>
      <c r="H1279" s="15" t="n">
        <v>2</v>
      </c>
      <c r="I1279" s="17" t="n">
        <v>0</v>
      </c>
      <c r="J1279" s="18" t="n">
        <v>769.67</v>
      </c>
      <c r="K1279" s="19" t="n">
        <v>116.05</v>
      </c>
      <c r="L1279" s="15" t="n">
        <f aca="false">YEAR(B1279)</f>
        <v>2022</v>
      </c>
      <c r="M1279" s="20" t="n">
        <f aca="false">IF(J1279&gt;0,K1279/J1279,0)</f>
        <v>0.150778905245105</v>
      </c>
    </row>
    <row r="1280" customFormat="false" ht="15" hidden="false" customHeight="false" outlineLevel="0" collapsed="false">
      <c r="A1280" s="15" t="s">
        <v>1337</v>
      </c>
      <c r="B1280" s="16" t="n">
        <v>46020</v>
      </c>
      <c r="C1280" s="15" t="s">
        <v>71</v>
      </c>
      <c r="D1280" s="15" t="s">
        <v>42</v>
      </c>
      <c r="E1280" s="15" t="s">
        <v>37</v>
      </c>
      <c r="F1280" s="15" t="s">
        <v>17</v>
      </c>
      <c r="G1280" s="15" t="s">
        <v>31</v>
      </c>
      <c r="H1280" s="15" t="n">
        <v>4</v>
      </c>
      <c r="I1280" s="17" t="n">
        <v>0.2</v>
      </c>
      <c r="J1280" s="18" t="n">
        <v>440.88</v>
      </c>
      <c r="K1280" s="19" t="n">
        <v>-3.48</v>
      </c>
      <c r="L1280" s="15" t="n">
        <f aca="false">YEAR(B1280)</f>
        <v>2025</v>
      </c>
      <c r="M1280" s="20" t="n">
        <f aca="false">IF(J1280&gt;0,K1280/J1280,0)</f>
        <v>-0.00789330430048993</v>
      </c>
    </row>
    <row r="1281" customFormat="false" ht="15" hidden="false" customHeight="false" outlineLevel="0" collapsed="false">
      <c r="A1281" s="15" t="s">
        <v>1338</v>
      </c>
      <c r="B1281" s="16" t="n">
        <v>45561</v>
      </c>
      <c r="C1281" s="15" t="s">
        <v>71</v>
      </c>
      <c r="D1281" s="15" t="s">
        <v>42</v>
      </c>
      <c r="E1281" s="15" t="s">
        <v>39</v>
      </c>
      <c r="F1281" s="15" t="s">
        <v>17</v>
      </c>
      <c r="G1281" s="15" t="s">
        <v>28</v>
      </c>
      <c r="H1281" s="15" t="n">
        <v>3</v>
      </c>
      <c r="I1281" s="17" t="n">
        <v>0.2</v>
      </c>
      <c r="J1281" s="18" t="n">
        <v>55.29</v>
      </c>
      <c r="K1281" s="19" t="n">
        <v>6.03</v>
      </c>
      <c r="L1281" s="15" t="n">
        <f aca="false">YEAR(B1281)</f>
        <v>2024</v>
      </c>
      <c r="M1281" s="20" t="n">
        <f aca="false">IF(J1281&gt;0,K1281/J1281,0)</f>
        <v>0.109061313076506</v>
      </c>
    </row>
    <row r="1282" customFormat="false" ht="15" hidden="false" customHeight="false" outlineLevel="0" collapsed="false">
      <c r="A1282" s="15" t="s">
        <v>1339</v>
      </c>
      <c r="B1282" s="16" t="n">
        <v>45822</v>
      </c>
      <c r="C1282" s="15" t="s">
        <v>56</v>
      </c>
      <c r="D1282" s="15" t="s">
        <v>43</v>
      </c>
      <c r="E1282" s="15" t="s">
        <v>36</v>
      </c>
      <c r="F1282" s="15" t="s">
        <v>17</v>
      </c>
      <c r="G1282" s="15" t="s">
        <v>28</v>
      </c>
      <c r="H1282" s="15" t="n">
        <v>4</v>
      </c>
      <c r="I1282" s="17" t="n">
        <v>0.4</v>
      </c>
      <c r="J1282" s="18" t="n">
        <v>68.23</v>
      </c>
      <c r="K1282" s="19" t="n">
        <v>-4.22</v>
      </c>
      <c r="L1282" s="15" t="n">
        <f aca="false">YEAR(B1282)</f>
        <v>2025</v>
      </c>
      <c r="M1282" s="20" t="n">
        <f aca="false">IF(J1282&gt;0,K1282/J1282,0)</f>
        <v>-0.0618496262641067</v>
      </c>
    </row>
    <row r="1283" customFormat="false" ht="15" hidden="false" customHeight="false" outlineLevel="0" collapsed="false">
      <c r="A1283" s="15" t="s">
        <v>1340</v>
      </c>
      <c r="B1283" s="16" t="n">
        <v>45132</v>
      </c>
      <c r="C1283" s="15" t="s">
        <v>56</v>
      </c>
      <c r="D1283" s="15" t="s">
        <v>44</v>
      </c>
      <c r="E1283" s="15" t="s">
        <v>39</v>
      </c>
      <c r="F1283" s="15" t="s">
        <v>16</v>
      </c>
      <c r="G1283" s="15" t="s">
        <v>23</v>
      </c>
      <c r="H1283" s="15" t="n">
        <v>3</v>
      </c>
      <c r="I1283" s="17" t="n">
        <v>0</v>
      </c>
      <c r="J1283" s="18" t="n">
        <v>873.82</v>
      </c>
      <c r="K1283" s="19" t="n">
        <v>15.78</v>
      </c>
      <c r="L1283" s="15" t="n">
        <f aca="false">YEAR(B1283)</f>
        <v>2023</v>
      </c>
      <c r="M1283" s="20" t="n">
        <f aca="false">IF(J1283&gt;0,K1283/J1283,0)</f>
        <v>0.0180586390789865</v>
      </c>
    </row>
    <row r="1284" customFormat="false" ht="15" hidden="false" customHeight="false" outlineLevel="0" collapsed="false">
      <c r="A1284" s="15" t="s">
        <v>1341</v>
      </c>
      <c r="B1284" s="16" t="n">
        <v>45350</v>
      </c>
      <c r="C1284" s="15" t="s">
        <v>56</v>
      </c>
      <c r="D1284" s="15" t="s">
        <v>43</v>
      </c>
      <c r="E1284" s="15" t="s">
        <v>39</v>
      </c>
      <c r="F1284" s="15" t="s">
        <v>16</v>
      </c>
      <c r="G1284" s="15" t="s">
        <v>22</v>
      </c>
      <c r="H1284" s="15" t="n">
        <v>2</v>
      </c>
      <c r="I1284" s="17" t="n">
        <v>0</v>
      </c>
      <c r="J1284" s="18" t="n">
        <v>948.07</v>
      </c>
      <c r="K1284" s="19" t="n">
        <v>-9.6</v>
      </c>
      <c r="L1284" s="15" t="n">
        <f aca="false">YEAR(B1284)</f>
        <v>2024</v>
      </c>
      <c r="M1284" s="20" t="n">
        <f aca="false">IF(J1284&gt;0,K1284/J1284,0)</f>
        <v>-0.0101258345902729</v>
      </c>
    </row>
    <row r="1285" customFormat="false" ht="15" hidden="false" customHeight="false" outlineLevel="0" collapsed="false">
      <c r="A1285" s="15" t="s">
        <v>1342</v>
      </c>
      <c r="B1285" s="16" t="n">
        <v>45313</v>
      </c>
      <c r="C1285" s="15" t="s">
        <v>56</v>
      </c>
      <c r="D1285" s="15" t="s">
        <v>42</v>
      </c>
      <c r="E1285" s="15" t="s">
        <v>38</v>
      </c>
      <c r="F1285" s="15" t="s">
        <v>17</v>
      </c>
      <c r="G1285" s="15" t="s">
        <v>29</v>
      </c>
      <c r="H1285" s="15" t="n">
        <v>6</v>
      </c>
      <c r="I1285" s="17" t="n">
        <v>0</v>
      </c>
      <c r="J1285" s="18" t="n">
        <v>86.98</v>
      </c>
      <c r="K1285" s="19" t="n">
        <v>30.57</v>
      </c>
      <c r="L1285" s="15" t="n">
        <f aca="false">YEAR(B1285)</f>
        <v>2024</v>
      </c>
      <c r="M1285" s="20" t="n">
        <f aca="false">IF(J1285&gt;0,K1285/J1285,0)</f>
        <v>0.351460105771442</v>
      </c>
    </row>
    <row r="1286" customFormat="false" ht="15" hidden="false" customHeight="false" outlineLevel="0" collapsed="false">
      <c r="A1286" s="15" t="s">
        <v>1343</v>
      </c>
      <c r="B1286" s="16" t="n">
        <v>45547</v>
      </c>
      <c r="C1286" s="15" t="s">
        <v>71</v>
      </c>
      <c r="D1286" s="15" t="s">
        <v>43</v>
      </c>
      <c r="E1286" s="15" t="s">
        <v>38</v>
      </c>
      <c r="F1286" s="15" t="s">
        <v>18</v>
      </c>
      <c r="G1286" s="15" t="s">
        <v>32</v>
      </c>
      <c r="H1286" s="15" t="n">
        <v>3</v>
      </c>
      <c r="I1286" s="17" t="n">
        <v>0.2</v>
      </c>
      <c r="J1286" s="18" t="n">
        <v>927.37</v>
      </c>
      <c r="K1286" s="19" t="n">
        <v>-28.05</v>
      </c>
      <c r="L1286" s="15" t="n">
        <f aca="false">YEAR(B1286)</f>
        <v>2024</v>
      </c>
      <c r="M1286" s="20" t="n">
        <f aca="false">IF(J1286&gt;0,K1286/J1286,0)</f>
        <v>-0.0302468270485351</v>
      </c>
    </row>
    <row r="1287" customFormat="false" ht="15" hidden="false" customHeight="false" outlineLevel="0" collapsed="false">
      <c r="A1287" s="15" t="s">
        <v>1344</v>
      </c>
      <c r="B1287" s="16" t="n">
        <v>45459</v>
      </c>
      <c r="C1287" s="15" t="s">
        <v>71</v>
      </c>
      <c r="D1287" s="15" t="s">
        <v>42</v>
      </c>
      <c r="E1287" s="15" t="s">
        <v>39</v>
      </c>
      <c r="F1287" s="15" t="s">
        <v>16</v>
      </c>
      <c r="G1287" s="15" t="s">
        <v>27</v>
      </c>
      <c r="H1287" s="15" t="n">
        <v>3</v>
      </c>
      <c r="I1287" s="17" t="n">
        <v>0</v>
      </c>
      <c r="J1287" s="18" t="n">
        <v>166.28</v>
      </c>
      <c r="K1287" s="19" t="n">
        <v>46.29</v>
      </c>
      <c r="L1287" s="15" t="n">
        <f aca="false">YEAR(B1287)</f>
        <v>2024</v>
      </c>
      <c r="M1287" s="20" t="n">
        <f aca="false">IF(J1287&gt;0,K1287/J1287,0)</f>
        <v>0.278385855184027</v>
      </c>
    </row>
    <row r="1288" customFormat="false" ht="15" hidden="false" customHeight="false" outlineLevel="0" collapsed="false">
      <c r="A1288" s="15" t="s">
        <v>1345</v>
      </c>
      <c r="B1288" s="16" t="n">
        <v>45603</v>
      </c>
      <c r="C1288" s="15" t="s">
        <v>56</v>
      </c>
      <c r="D1288" s="15" t="s">
        <v>42</v>
      </c>
      <c r="E1288" s="15" t="s">
        <v>37</v>
      </c>
      <c r="F1288" s="15" t="s">
        <v>17</v>
      </c>
      <c r="G1288" s="15" t="s">
        <v>29</v>
      </c>
      <c r="H1288" s="15" t="n">
        <v>2</v>
      </c>
      <c r="I1288" s="17" t="n">
        <v>0.2</v>
      </c>
      <c r="J1288" s="18" t="n">
        <v>31.16</v>
      </c>
      <c r="K1288" s="19" t="n">
        <v>5.77</v>
      </c>
      <c r="L1288" s="15" t="n">
        <f aca="false">YEAR(B1288)</f>
        <v>2024</v>
      </c>
      <c r="M1288" s="20" t="n">
        <f aca="false">IF(J1288&gt;0,K1288/J1288,0)</f>
        <v>0.185173299101412</v>
      </c>
    </row>
    <row r="1289" customFormat="false" ht="15" hidden="false" customHeight="false" outlineLevel="0" collapsed="false">
      <c r="A1289" s="15" t="s">
        <v>1346</v>
      </c>
      <c r="B1289" s="16" t="n">
        <v>45982</v>
      </c>
      <c r="C1289" s="15" t="s">
        <v>58</v>
      </c>
      <c r="D1289" s="15" t="s">
        <v>42</v>
      </c>
      <c r="E1289" s="15" t="s">
        <v>37</v>
      </c>
      <c r="F1289" s="15" t="s">
        <v>17</v>
      </c>
      <c r="G1289" s="15" t="s">
        <v>26</v>
      </c>
      <c r="H1289" s="15" t="n">
        <v>9</v>
      </c>
      <c r="I1289" s="17" t="n">
        <v>0.3</v>
      </c>
      <c r="J1289" s="18" t="n">
        <v>598.28</v>
      </c>
      <c r="K1289" s="19" t="n">
        <v>-53</v>
      </c>
      <c r="L1289" s="15" t="n">
        <f aca="false">YEAR(B1289)</f>
        <v>2025</v>
      </c>
      <c r="M1289" s="20" t="n">
        <f aca="false">IF(J1289&gt;0,K1289/J1289,0)</f>
        <v>-0.0885872835461657</v>
      </c>
    </row>
    <row r="1290" customFormat="false" ht="15" hidden="false" customHeight="false" outlineLevel="0" collapsed="false">
      <c r="A1290" s="15" t="s">
        <v>1347</v>
      </c>
      <c r="B1290" s="16" t="n">
        <v>45400</v>
      </c>
      <c r="C1290" s="15" t="s">
        <v>58</v>
      </c>
      <c r="D1290" s="15" t="s">
        <v>42</v>
      </c>
      <c r="E1290" s="15" t="s">
        <v>39</v>
      </c>
      <c r="F1290" s="15" t="s">
        <v>17</v>
      </c>
      <c r="G1290" s="15" t="s">
        <v>28</v>
      </c>
      <c r="H1290" s="15" t="n">
        <v>1</v>
      </c>
      <c r="I1290" s="17" t="n">
        <v>0.1</v>
      </c>
      <c r="J1290" s="18" t="n">
        <v>20.42</v>
      </c>
      <c r="K1290" s="19" t="n">
        <v>3.88</v>
      </c>
      <c r="L1290" s="15" t="n">
        <f aca="false">YEAR(B1290)</f>
        <v>2024</v>
      </c>
      <c r="M1290" s="20" t="n">
        <f aca="false">IF(J1290&gt;0,K1290/J1290,0)</f>
        <v>0.190009794319295</v>
      </c>
    </row>
    <row r="1291" customFormat="false" ht="15" hidden="false" customHeight="false" outlineLevel="0" collapsed="false">
      <c r="A1291" s="15" t="s">
        <v>1348</v>
      </c>
      <c r="B1291" s="16" t="n">
        <v>45281</v>
      </c>
      <c r="C1291" s="15" t="s">
        <v>68</v>
      </c>
      <c r="D1291" s="15" t="s">
        <v>42</v>
      </c>
      <c r="E1291" s="15" t="s">
        <v>36</v>
      </c>
      <c r="F1291" s="15" t="s">
        <v>17</v>
      </c>
      <c r="G1291" s="15" t="s">
        <v>26</v>
      </c>
      <c r="H1291" s="15" t="n">
        <v>6</v>
      </c>
      <c r="I1291" s="17" t="n">
        <v>0.05</v>
      </c>
      <c r="J1291" s="18" t="n">
        <v>459.81</v>
      </c>
      <c r="K1291" s="19" t="n">
        <v>51.79</v>
      </c>
      <c r="L1291" s="15" t="n">
        <f aca="false">YEAR(B1291)</f>
        <v>2023</v>
      </c>
      <c r="M1291" s="20" t="n">
        <f aca="false">IF(J1291&gt;0,K1291/J1291,0)</f>
        <v>0.112633479045693</v>
      </c>
    </row>
    <row r="1292" customFormat="false" ht="15" hidden="false" customHeight="false" outlineLevel="0" collapsed="false">
      <c r="A1292" s="15" t="s">
        <v>1349</v>
      </c>
      <c r="B1292" s="16" t="n">
        <v>45913</v>
      </c>
      <c r="C1292" s="15" t="s">
        <v>68</v>
      </c>
      <c r="D1292" s="15" t="s">
        <v>43</v>
      </c>
      <c r="E1292" s="15" t="s">
        <v>37</v>
      </c>
      <c r="F1292" s="15" t="s">
        <v>17</v>
      </c>
      <c r="G1292" s="15" t="s">
        <v>29</v>
      </c>
      <c r="H1292" s="15" t="n">
        <v>5</v>
      </c>
      <c r="I1292" s="17" t="n">
        <v>0</v>
      </c>
      <c r="J1292" s="18" t="n">
        <v>119.55</v>
      </c>
      <c r="K1292" s="19" t="n">
        <v>34.87</v>
      </c>
      <c r="L1292" s="15" t="n">
        <f aca="false">YEAR(B1292)</f>
        <v>2025</v>
      </c>
      <c r="M1292" s="20" t="n">
        <f aca="false">IF(J1292&gt;0,K1292/J1292,0)</f>
        <v>0.291677122542869</v>
      </c>
    </row>
    <row r="1293" customFormat="false" ht="15" hidden="false" customHeight="false" outlineLevel="0" collapsed="false">
      <c r="A1293" s="15" t="s">
        <v>1350</v>
      </c>
      <c r="B1293" s="16" t="n">
        <v>45097</v>
      </c>
      <c r="C1293" s="15" t="s">
        <v>56</v>
      </c>
      <c r="D1293" s="15" t="s">
        <v>43</v>
      </c>
      <c r="E1293" s="15" t="s">
        <v>36</v>
      </c>
      <c r="F1293" s="15" t="s">
        <v>17</v>
      </c>
      <c r="G1293" s="15" t="s">
        <v>28</v>
      </c>
      <c r="H1293" s="15" t="n">
        <v>2</v>
      </c>
      <c r="I1293" s="17" t="n">
        <v>0</v>
      </c>
      <c r="J1293" s="18" t="n">
        <v>43.72</v>
      </c>
      <c r="K1293" s="19" t="n">
        <v>12.43</v>
      </c>
      <c r="L1293" s="15" t="n">
        <f aca="false">YEAR(B1293)</f>
        <v>2023</v>
      </c>
      <c r="M1293" s="20" t="n">
        <f aca="false">IF(J1293&gt;0,K1293/J1293,0)</f>
        <v>0.284309240622141</v>
      </c>
    </row>
    <row r="1294" customFormat="false" ht="15" hidden="false" customHeight="false" outlineLevel="0" collapsed="false">
      <c r="A1294" s="15" t="s">
        <v>1351</v>
      </c>
      <c r="B1294" s="16" t="n">
        <v>45732</v>
      </c>
      <c r="C1294" s="15" t="s">
        <v>56</v>
      </c>
      <c r="D1294" s="15" t="s">
        <v>42</v>
      </c>
      <c r="E1294" s="15" t="s">
        <v>36</v>
      </c>
      <c r="F1294" s="15" t="s">
        <v>18</v>
      </c>
      <c r="G1294" s="15" t="s">
        <v>32</v>
      </c>
      <c r="H1294" s="15" t="n">
        <v>3</v>
      </c>
      <c r="I1294" s="17" t="n">
        <v>0.1</v>
      </c>
      <c r="J1294" s="18" t="n">
        <v>1000.89</v>
      </c>
      <c r="K1294" s="19" t="n">
        <v>139.68</v>
      </c>
      <c r="L1294" s="15" t="n">
        <f aca="false">YEAR(B1294)</f>
        <v>2025</v>
      </c>
      <c r="M1294" s="20" t="n">
        <f aca="false">IF(J1294&gt;0,K1294/J1294,0)</f>
        <v>0.139555795342146</v>
      </c>
    </row>
    <row r="1295" customFormat="false" ht="15" hidden="false" customHeight="false" outlineLevel="0" collapsed="false">
      <c r="A1295" s="15" t="s">
        <v>1352</v>
      </c>
      <c r="B1295" s="16" t="n">
        <v>44694</v>
      </c>
      <c r="C1295" s="15" t="s">
        <v>56</v>
      </c>
      <c r="D1295" s="15" t="s">
        <v>42</v>
      </c>
      <c r="E1295" s="15" t="s">
        <v>38</v>
      </c>
      <c r="F1295" s="15" t="s">
        <v>17</v>
      </c>
      <c r="G1295" s="15" t="s">
        <v>28</v>
      </c>
      <c r="H1295" s="15" t="n">
        <v>8</v>
      </c>
      <c r="I1295" s="17" t="n">
        <v>0</v>
      </c>
      <c r="J1295" s="18" t="n">
        <v>201.85</v>
      </c>
      <c r="K1295" s="19" t="n">
        <v>67.96</v>
      </c>
      <c r="L1295" s="15" t="n">
        <f aca="false">YEAR(B1295)</f>
        <v>2022</v>
      </c>
      <c r="M1295" s="20" t="n">
        <f aca="false">IF(J1295&gt;0,K1295/J1295,0)</f>
        <v>0.336685657666584</v>
      </c>
    </row>
    <row r="1296" customFormat="false" ht="15" hidden="false" customHeight="false" outlineLevel="0" collapsed="false">
      <c r="A1296" s="15" t="s">
        <v>1353</v>
      </c>
      <c r="B1296" s="16" t="n">
        <v>45870</v>
      </c>
      <c r="C1296" s="15" t="s">
        <v>56</v>
      </c>
      <c r="D1296" s="15" t="s">
        <v>42</v>
      </c>
      <c r="E1296" s="15" t="s">
        <v>39</v>
      </c>
      <c r="F1296" s="15" t="s">
        <v>17</v>
      </c>
      <c r="G1296" s="15" t="s">
        <v>28</v>
      </c>
      <c r="H1296" s="15" t="n">
        <v>3</v>
      </c>
      <c r="I1296" s="17" t="n">
        <v>0.3</v>
      </c>
      <c r="J1296" s="18" t="n">
        <v>58.89</v>
      </c>
      <c r="K1296" s="19" t="n">
        <v>4.13</v>
      </c>
      <c r="L1296" s="15" t="n">
        <f aca="false">YEAR(B1296)</f>
        <v>2025</v>
      </c>
      <c r="M1296" s="20" t="n">
        <f aca="false">IF(J1296&gt;0,K1296/J1296,0)</f>
        <v>0.0701307522499576</v>
      </c>
    </row>
    <row r="1297" customFormat="false" ht="15" hidden="false" customHeight="false" outlineLevel="0" collapsed="false">
      <c r="A1297" s="15" t="s">
        <v>1354</v>
      </c>
      <c r="B1297" s="16" t="n">
        <v>45062</v>
      </c>
      <c r="C1297" s="15" t="s">
        <v>56</v>
      </c>
      <c r="D1297" s="15" t="s">
        <v>43</v>
      </c>
      <c r="E1297" s="15" t="s">
        <v>38</v>
      </c>
      <c r="F1297" s="15" t="s">
        <v>17</v>
      </c>
      <c r="G1297" s="15" t="s">
        <v>28</v>
      </c>
      <c r="H1297" s="15" t="n">
        <v>4</v>
      </c>
      <c r="I1297" s="17" t="n">
        <v>0</v>
      </c>
      <c r="J1297" s="18" t="n">
        <v>91.74</v>
      </c>
      <c r="K1297" s="19" t="n">
        <v>27.85</v>
      </c>
      <c r="L1297" s="15" t="n">
        <f aca="false">YEAR(B1297)</f>
        <v>2023</v>
      </c>
      <c r="M1297" s="20" t="n">
        <f aca="false">IF(J1297&gt;0,K1297/J1297,0)</f>
        <v>0.303575321560933</v>
      </c>
    </row>
    <row r="1298" customFormat="false" ht="15" hidden="false" customHeight="false" outlineLevel="0" collapsed="false">
      <c r="A1298" s="15" t="s">
        <v>1355</v>
      </c>
      <c r="B1298" s="16" t="n">
        <v>45799</v>
      </c>
      <c r="C1298" s="15" t="s">
        <v>56</v>
      </c>
      <c r="D1298" s="15" t="s">
        <v>42</v>
      </c>
      <c r="E1298" s="15" t="s">
        <v>37</v>
      </c>
      <c r="F1298" s="15" t="s">
        <v>18</v>
      </c>
      <c r="G1298" s="15" t="s">
        <v>32</v>
      </c>
      <c r="H1298" s="15" t="n">
        <v>3</v>
      </c>
      <c r="I1298" s="17" t="n">
        <v>0.1</v>
      </c>
      <c r="J1298" s="18" t="n">
        <v>1339.31</v>
      </c>
      <c r="K1298" s="19" t="n">
        <v>-19.75</v>
      </c>
      <c r="L1298" s="15" t="n">
        <f aca="false">YEAR(B1298)</f>
        <v>2025</v>
      </c>
      <c r="M1298" s="20" t="n">
        <f aca="false">IF(J1298&gt;0,K1298/J1298,0)</f>
        <v>-0.0147463992652933</v>
      </c>
    </row>
    <row r="1299" customFormat="false" ht="15" hidden="false" customHeight="false" outlineLevel="0" collapsed="false">
      <c r="A1299" s="15" t="s">
        <v>1356</v>
      </c>
      <c r="B1299" s="16" t="n">
        <v>44577</v>
      </c>
      <c r="C1299" s="15" t="s">
        <v>71</v>
      </c>
      <c r="D1299" s="15" t="s">
        <v>42</v>
      </c>
      <c r="E1299" s="15" t="s">
        <v>36</v>
      </c>
      <c r="F1299" s="15" t="s">
        <v>17</v>
      </c>
      <c r="G1299" s="15" t="s">
        <v>28</v>
      </c>
      <c r="H1299" s="15" t="n">
        <v>2</v>
      </c>
      <c r="I1299" s="17" t="n">
        <v>0.4</v>
      </c>
      <c r="J1299" s="18" t="n">
        <v>28.37</v>
      </c>
      <c r="K1299" s="19" t="n">
        <v>-0.81</v>
      </c>
      <c r="L1299" s="15" t="n">
        <f aca="false">YEAR(B1299)</f>
        <v>2022</v>
      </c>
      <c r="M1299" s="20" t="n">
        <f aca="false">IF(J1299&gt;0,K1299/J1299,0)</f>
        <v>-0.0285512865703208</v>
      </c>
    </row>
    <row r="1300" customFormat="false" ht="15" hidden="false" customHeight="false" outlineLevel="0" collapsed="false">
      <c r="A1300" s="15" t="s">
        <v>1357</v>
      </c>
      <c r="B1300" s="16" t="n">
        <v>45852</v>
      </c>
      <c r="C1300" s="15" t="s">
        <v>71</v>
      </c>
      <c r="D1300" s="15" t="s">
        <v>44</v>
      </c>
      <c r="E1300" s="15" t="s">
        <v>39</v>
      </c>
      <c r="F1300" s="15" t="s">
        <v>18</v>
      </c>
      <c r="G1300" s="15" t="s">
        <v>32</v>
      </c>
      <c r="H1300" s="15" t="n">
        <v>4</v>
      </c>
      <c r="I1300" s="17" t="n">
        <v>0.15</v>
      </c>
      <c r="J1300" s="18" t="n">
        <v>1429.6</v>
      </c>
      <c r="K1300" s="19" t="n">
        <v>85.55</v>
      </c>
      <c r="L1300" s="15" t="n">
        <f aca="false">YEAR(B1300)</f>
        <v>2025</v>
      </c>
      <c r="M1300" s="20" t="n">
        <f aca="false">IF(J1300&gt;0,K1300/J1300,0)</f>
        <v>0.0598419138220481</v>
      </c>
    </row>
    <row r="1301" customFormat="false" ht="15" hidden="false" customHeight="false" outlineLevel="0" collapsed="false">
      <c r="A1301" s="15" t="s">
        <v>1358</v>
      </c>
      <c r="B1301" s="16" t="n">
        <v>45653</v>
      </c>
      <c r="C1301" s="15" t="s">
        <v>56</v>
      </c>
      <c r="D1301" s="15" t="s">
        <v>44</v>
      </c>
      <c r="E1301" s="15" t="s">
        <v>38</v>
      </c>
      <c r="F1301" s="15" t="s">
        <v>18</v>
      </c>
      <c r="G1301" s="15" t="s">
        <v>33</v>
      </c>
      <c r="H1301" s="15" t="n">
        <v>2</v>
      </c>
      <c r="I1301" s="17" t="n">
        <v>0</v>
      </c>
      <c r="J1301" s="18" t="n">
        <v>1862.94</v>
      </c>
      <c r="K1301" s="19" t="n">
        <v>487.08</v>
      </c>
      <c r="L1301" s="15" t="n">
        <f aca="false">YEAR(B1301)</f>
        <v>2024</v>
      </c>
      <c r="M1301" s="20" t="n">
        <f aca="false">IF(J1301&gt;0,K1301/J1301,0)</f>
        <v>0.261457695900029</v>
      </c>
    </row>
    <row r="1302" customFormat="false" ht="15" hidden="false" customHeight="false" outlineLevel="0" collapsed="false">
      <c r="A1302" s="15" t="s">
        <v>1359</v>
      </c>
      <c r="B1302" s="16" t="n">
        <v>44655</v>
      </c>
      <c r="C1302" s="15" t="s">
        <v>56</v>
      </c>
      <c r="D1302" s="15" t="s">
        <v>43</v>
      </c>
      <c r="E1302" s="15" t="s">
        <v>39</v>
      </c>
      <c r="F1302" s="15" t="s">
        <v>17</v>
      </c>
      <c r="G1302" s="15" t="s">
        <v>29</v>
      </c>
      <c r="H1302" s="15" t="n">
        <v>4</v>
      </c>
      <c r="I1302" s="17" t="n">
        <v>0.3</v>
      </c>
      <c r="J1302" s="18" t="n">
        <v>48.84</v>
      </c>
      <c r="K1302" s="19" t="n">
        <v>8.13</v>
      </c>
      <c r="L1302" s="15" t="n">
        <f aca="false">YEAR(B1302)</f>
        <v>2022</v>
      </c>
      <c r="M1302" s="20" t="n">
        <f aca="false">IF(J1302&gt;0,K1302/J1302,0)</f>
        <v>0.166461916461916</v>
      </c>
    </row>
    <row r="1303" customFormat="false" ht="15" hidden="false" customHeight="false" outlineLevel="0" collapsed="false">
      <c r="A1303" s="15" t="s">
        <v>1360</v>
      </c>
      <c r="B1303" s="16" t="n">
        <v>45080</v>
      </c>
      <c r="C1303" s="15" t="s">
        <v>56</v>
      </c>
      <c r="D1303" s="15" t="s">
        <v>42</v>
      </c>
      <c r="E1303" s="15" t="s">
        <v>36</v>
      </c>
      <c r="F1303" s="15" t="s">
        <v>17</v>
      </c>
      <c r="G1303" s="15" t="s">
        <v>29</v>
      </c>
      <c r="H1303" s="15" t="n">
        <v>2</v>
      </c>
      <c r="I1303" s="17" t="n">
        <v>0.3</v>
      </c>
      <c r="J1303" s="18" t="n">
        <v>23.92</v>
      </c>
      <c r="K1303" s="19" t="n">
        <v>3.98</v>
      </c>
      <c r="L1303" s="15" t="n">
        <f aca="false">YEAR(B1303)</f>
        <v>2023</v>
      </c>
      <c r="M1303" s="20" t="n">
        <f aca="false">IF(J1303&gt;0,K1303/J1303,0)</f>
        <v>0.166387959866221</v>
      </c>
    </row>
    <row r="1304" customFormat="false" ht="15" hidden="false" customHeight="false" outlineLevel="0" collapsed="false">
      <c r="A1304" s="15" t="s">
        <v>1361</v>
      </c>
      <c r="B1304" s="16" t="n">
        <v>45589</v>
      </c>
      <c r="C1304" s="15" t="s">
        <v>71</v>
      </c>
      <c r="D1304" s="15" t="s">
        <v>43</v>
      </c>
      <c r="E1304" s="15" t="s">
        <v>39</v>
      </c>
      <c r="F1304" s="15" t="s">
        <v>18</v>
      </c>
      <c r="G1304" s="15" t="s">
        <v>32</v>
      </c>
      <c r="H1304" s="15" t="n">
        <v>3</v>
      </c>
      <c r="I1304" s="17" t="n">
        <v>0</v>
      </c>
      <c r="J1304" s="18" t="n">
        <v>1512.53</v>
      </c>
      <c r="K1304" s="19" t="n">
        <v>383.04</v>
      </c>
      <c r="L1304" s="15" t="n">
        <f aca="false">YEAR(B1304)</f>
        <v>2024</v>
      </c>
      <c r="M1304" s="20" t="n">
        <f aca="false">IF(J1304&gt;0,K1304/J1304,0)</f>
        <v>0.25324456374419</v>
      </c>
    </row>
    <row r="1305" customFormat="false" ht="15" hidden="false" customHeight="false" outlineLevel="0" collapsed="false">
      <c r="A1305" s="15" t="s">
        <v>1362</v>
      </c>
      <c r="B1305" s="16" t="n">
        <v>45007</v>
      </c>
      <c r="C1305" s="15" t="s">
        <v>68</v>
      </c>
      <c r="D1305" s="15" t="s">
        <v>43</v>
      </c>
      <c r="E1305" s="15" t="s">
        <v>37</v>
      </c>
      <c r="F1305" s="15" t="s">
        <v>16</v>
      </c>
      <c r="G1305" s="15" t="s">
        <v>23</v>
      </c>
      <c r="H1305" s="15" t="n">
        <v>2</v>
      </c>
      <c r="I1305" s="17" t="n">
        <v>0</v>
      </c>
      <c r="J1305" s="18" t="n">
        <v>613.95</v>
      </c>
      <c r="K1305" s="19" t="n">
        <v>71.27</v>
      </c>
      <c r="L1305" s="15" t="n">
        <f aca="false">YEAR(B1305)</f>
        <v>2023</v>
      </c>
      <c r="M1305" s="20" t="n">
        <f aca="false">IF(J1305&gt;0,K1305/J1305,0)</f>
        <v>0.116084371691506</v>
      </c>
    </row>
    <row r="1306" customFormat="false" ht="15" hidden="false" customHeight="false" outlineLevel="0" collapsed="false">
      <c r="A1306" s="15" t="s">
        <v>1363</v>
      </c>
      <c r="B1306" s="16" t="n">
        <v>45318</v>
      </c>
      <c r="C1306" s="15" t="s">
        <v>68</v>
      </c>
      <c r="D1306" s="15" t="s">
        <v>44</v>
      </c>
      <c r="E1306" s="15" t="s">
        <v>39</v>
      </c>
      <c r="F1306" s="15" t="s">
        <v>17</v>
      </c>
      <c r="G1306" s="15" t="s">
        <v>29</v>
      </c>
      <c r="H1306" s="15" t="n">
        <v>4</v>
      </c>
      <c r="I1306" s="17" t="n">
        <v>0</v>
      </c>
      <c r="J1306" s="18" t="n">
        <v>113.01</v>
      </c>
      <c r="K1306" s="19" t="n">
        <v>38.44</v>
      </c>
      <c r="L1306" s="15" t="n">
        <f aca="false">YEAR(B1306)</f>
        <v>2024</v>
      </c>
      <c r="M1306" s="20" t="n">
        <f aca="false">IF(J1306&gt;0,K1306/J1306,0)</f>
        <v>0.340146889655783</v>
      </c>
    </row>
    <row r="1307" customFormat="false" ht="15" hidden="false" customHeight="false" outlineLevel="0" collapsed="false">
      <c r="A1307" s="15" t="s">
        <v>1364</v>
      </c>
      <c r="B1307" s="16" t="n">
        <v>45684</v>
      </c>
      <c r="C1307" s="15" t="s">
        <v>56</v>
      </c>
      <c r="D1307" s="15" t="s">
        <v>42</v>
      </c>
      <c r="E1307" s="15" t="s">
        <v>37</v>
      </c>
      <c r="F1307" s="15" t="s">
        <v>17</v>
      </c>
      <c r="G1307" s="15" t="s">
        <v>29</v>
      </c>
      <c r="H1307" s="15" t="n">
        <v>4</v>
      </c>
      <c r="I1307" s="17" t="n">
        <v>0.1</v>
      </c>
      <c r="J1307" s="18" t="n">
        <v>62.61</v>
      </c>
      <c r="K1307" s="19" t="n">
        <v>17.75</v>
      </c>
      <c r="L1307" s="15" t="n">
        <f aca="false">YEAR(B1307)</f>
        <v>2025</v>
      </c>
      <c r="M1307" s="20" t="n">
        <f aca="false">IF(J1307&gt;0,K1307/J1307,0)</f>
        <v>0.283501038172816</v>
      </c>
    </row>
    <row r="1308" customFormat="false" ht="15" hidden="false" customHeight="false" outlineLevel="0" collapsed="false">
      <c r="A1308" s="15" t="s">
        <v>1365</v>
      </c>
      <c r="B1308" s="16" t="n">
        <v>45104</v>
      </c>
      <c r="C1308" s="15" t="s">
        <v>56</v>
      </c>
      <c r="D1308" s="15" t="s">
        <v>42</v>
      </c>
      <c r="E1308" s="15" t="s">
        <v>37</v>
      </c>
      <c r="F1308" s="15" t="s">
        <v>16</v>
      </c>
      <c r="G1308" s="15" t="s">
        <v>27</v>
      </c>
      <c r="H1308" s="15" t="n">
        <v>6</v>
      </c>
      <c r="I1308" s="17" t="n">
        <v>0</v>
      </c>
      <c r="J1308" s="18" t="n">
        <v>385.92</v>
      </c>
      <c r="K1308" s="19" t="n">
        <v>93.85</v>
      </c>
      <c r="L1308" s="15" t="n">
        <f aca="false">YEAR(B1308)</f>
        <v>2023</v>
      </c>
      <c r="M1308" s="20" t="n">
        <f aca="false">IF(J1308&gt;0,K1308/J1308,0)</f>
        <v>0.243185116086235</v>
      </c>
    </row>
    <row r="1309" customFormat="false" ht="15" hidden="false" customHeight="false" outlineLevel="0" collapsed="false">
      <c r="A1309" s="15" t="s">
        <v>1366</v>
      </c>
      <c r="B1309" s="16" t="n">
        <v>44917</v>
      </c>
      <c r="C1309" s="15" t="s">
        <v>56</v>
      </c>
      <c r="D1309" s="15" t="s">
        <v>43</v>
      </c>
      <c r="E1309" s="15" t="s">
        <v>36</v>
      </c>
      <c r="F1309" s="15" t="s">
        <v>17</v>
      </c>
      <c r="G1309" s="15" t="s">
        <v>26</v>
      </c>
      <c r="H1309" s="15" t="n">
        <v>5</v>
      </c>
      <c r="I1309" s="17" t="n">
        <v>0.2</v>
      </c>
      <c r="J1309" s="18" t="n">
        <v>330.49</v>
      </c>
      <c r="K1309" s="19" t="n">
        <v>-24.71</v>
      </c>
      <c r="L1309" s="15" t="n">
        <f aca="false">YEAR(B1309)</f>
        <v>2022</v>
      </c>
      <c r="M1309" s="20" t="n">
        <f aca="false">IF(J1309&gt;0,K1309/J1309,0)</f>
        <v>-0.0747677690701685</v>
      </c>
    </row>
    <row r="1310" customFormat="false" ht="15" hidden="false" customHeight="false" outlineLevel="0" collapsed="false">
      <c r="A1310" s="15" t="s">
        <v>1367</v>
      </c>
      <c r="B1310" s="16" t="n">
        <v>44680</v>
      </c>
      <c r="C1310" s="15" t="s">
        <v>56</v>
      </c>
      <c r="D1310" s="15" t="s">
        <v>43</v>
      </c>
      <c r="E1310" s="15" t="s">
        <v>38</v>
      </c>
      <c r="F1310" s="15" t="s">
        <v>18</v>
      </c>
      <c r="G1310" s="15" t="s">
        <v>32</v>
      </c>
      <c r="H1310" s="15" t="n">
        <v>6</v>
      </c>
      <c r="I1310" s="17" t="n">
        <v>0.3</v>
      </c>
      <c r="J1310" s="18" t="n">
        <v>2295.56</v>
      </c>
      <c r="K1310" s="19" t="n">
        <v>-209.98</v>
      </c>
      <c r="L1310" s="15" t="n">
        <f aca="false">YEAR(B1310)</f>
        <v>2022</v>
      </c>
      <c r="M1310" s="20" t="n">
        <f aca="false">IF(J1310&gt;0,K1310/J1310,0)</f>
        <v>-0.0914722333548241</v>
      </c>
    </row>
    <row r="1311" customFormat="false" ht="15" hidden="false" customHeight="false" outlineLevel="0" collapsed="false">
      <c r="A1311" s="15" t="s">
        <v>1368</v>
      </c>
      <c r="B1311" s="16" t="n">
        <v>45821</v>
      </c>
      <c r="C1311" s="15" t="s">
        <v>56</v>
      </c>
      <c r="D1311" s="15" t="s">
        <v>44</v>
      </c>
      <c r="E1311" s="15" t="s">
        <v>37</v>
      </c>
      <c r="F1311" s="15" t="s">
        <v>17</v>
      </c>
      <c r="G1311" s="15" t="s">
        <v>29</v>
      </c>
      <c r="H1311" s="15" t="n">
        <v>3</v>
      </c>
      <c r="I1311" s="17" t="n">
        <v>0</v>
      </c>
      <c r="J1311" s="18" t="n">
        <v>55.26</v>
      </c>
      <c r="K1311" s="19" t="n">
        <v>18.65</v>
      </c>
      <c r="L1311" s="15" t="n">
        <f aca="false">YEAR(B1311)</f>
        <v>2025</v>
      </c>
      <c r="M1311" s="20" t="n">
        <f aca="false">IF(J1311&gt;0,K1311/J1311,0)</f>
        <v>0.337495475931958</v>
      </c>
    </row>
    <row r="1312" customFormat="false" ht="15" hidden="false" customHeight="false" outlineLevel="0" collapsed="false">
      <c r="A1312" s="15" t="s">
        <v>1369</v>
      </c>
      <c r="B1312" s="16" t="n">
        <v>45878</v>
      </c>
      <c r="C1312" s="15" t="s">
        <v>56</v>
      </c>
      <c r="D1312" s="15" t="s">
        <v>43</v>
      </c>
      <c r="E1312" s="15" t="s">
        <v>36</v>
      </c>
      <c r="F1312" s="15" t="s">
        <v>17</v>
      </c>
      <c r="G1312" s="15" t="s">
        <v>28</v>
      </c>
      <c r="H1312" s="15" t="n">
        <v>4</v>
      </c>
      <c r="I1312" s="17" t="n">
        <v>0.15</v>
      </c>
      <c r="J1312" s="18" t="n">
        <v>82.5</v>
      </c>
      <c r="K1312" s="19" t="n">
        <v>15.15</v>
      </c>
      <c r="L1312" s="15" t="n">
        <f aca="false">YEAR(B1312)</f>
        <v>2025</v>
      </c>
      <c r="M1312" s="20" t="n">
        <f aca="false">IF(J1312&gt;0,K1312/J1312,0)</f>
        <v>0.183636363636364</v>
      </c>
    </row>
    <row r="1313" customFormat="false" ht="15" hidden="false" customHeight="false" outlineLevel="0" collapsed="false">
      <c r="A1313" s="15" t="s">
        <v>1370</v>
      </c>
      <c r="B1313" s="16" t="n">
        <v>45401</v>
      </c>
      <c r="C1313" s="15" t="s">
        <v>71</v>
      </c>
      <c r="D1313" s="15" t="s">
        <v>42</v>
      </c>
      <c r="E1313" s="15" t="s">
        <v>36</v>
      </c>
      <c r="F1313" s="15" t="s">
        <v>17</v>
      </c>
      <c r="G1313" s="15" t="s">
        <v>28</v>
      </c>
      <c r="H1313" s="15" t="n">
        <v>6</v>
      </c>
      <c r="I1313" s="17" t="n">
        <v>0</v>
      </c>
      <c r="J1313" s="18" t="n">
        <v>132.72</v>
      </c>
      <c r="K1313" s="19" t="n">
        <v>30.85</v>
      </c>
      <c r="L1313" s="15" t="n">
        <f aca="false">YEAR(B1313)</f>
        <v>2024</v>
      </c>
      <c r="M1313" s="20" t="n">
        <f aca="false">IF(J1313&gt;0,K1313/J1313,0)</f>
        <v>0.232444243520193</v>
      </c>
    </row>
    <row r="1314" customFormat="false" ht="15" hidden="false" customHeight="false" outlineLevel="0" collapsed="false">
      <c r="A1314" s="15" t="s">
        <v>1371</v>
      </c>
      <c r="B1314" s="16" t="n">
        <v>45648</v>
      </c>
      <c r="C1314" s="15" t="s">
        <v>56</v>
      </c>
      <c r="D1314" s="15" t="s">
        <v>42</v>
      </c>
      <c r="E1314" s="15" t="s">
        <v>36</v>
      </c>
      <c r="F1314" s="15" t="s">
        <v>18</v>
      </c>
      <c r="G1314" s="15" t="s">
        <v>30</v>
      </c>
      <c r="H1314" s="15" t="n">
        <v>2</v>
      </c>
      <c r="I1314" s="17" t="n">
        <v>0.05</v>
      </c>
      <c r="J1314" s="18" t="n">
        <v>84.19</v>
      </c>
      <c r="K1314" s="19" t="n">
        <v>18.18</v>
      </c>
      <c r="L1314" s="15" t="n">
        <f aca="false">YEAR(B1314)</f>
        <v>2024</v>
      </c>
      <c r="M1314" s="20" t="n">
        <f aca="false">IF(J1314&gt;0,K1314/J1314,0)</f>
        <v>0.215940135408006</v>
      </c>
    </row>
    <row r="1315" customFormat="false" ht="15" hidden="false" customHeight="false" outlineLevel="0" collapsed="false">
      <c r="A1315" s="15" t="s">
        <v>1372</v>
      </c>
      <c r="B1315" s="16" t="n">
        <v>45343</v>
      </c>
      <c r="C1315" s="15" t="s">
        <v>71</v>
      </c>
      <c r="D1315" s="15" t="s">
        <v>42</v>
      </c>
      <c r="E1315" s="15" t="s">
        <v>36</v>
      </c>
      <c r="F1315" s="15" t="s">
        <v>16</v>
      </c>
      <c r="G1315" s="15" t="s">
        <v>22</v>
      </c>
      <c r="H1315" s="15" t="n">
        <v>5</v>
      </c>
      <c r="I1315" s="17" t="n">
        <v>0.05</v>
      </c>
      <c r="J1315" s="18" t="n">
        <v>2098.91</v>
      </c>
      <c r="K1315" s="19" t="n">
        <v>-215</v>
      </c>
      <c r="L1315" s="15" t="n">
        <f aca="false">YEAR(B1315)</f>
        <v>2024</v>
      </c>
      <c r="M1315" s="20" t="n">
        <f aca="false">IF(J1315&gt;0,K1315/J1315,0)</f>
        <v>-0.102434120567342</v>
      </c>
    </row>
    <row r="1316" customFormat="false" ht="15" hidden="false" customHeight="false" outlineLevel="0" collapsed="false">
      <c r="A1316" s="15" t="s">
        <v>1373</v>
      </c>
      <c r="B1316" s="16" t="n">
        <v>45881</v>
      </c>
      <c r="C1316" s="15" t="s">
        <v>56</v>
      </c>
      <c r="D1316" s="15" t="s">
        <v>42</v>
      </c>
      <c r="E1316" s="15" t="s">
        <v>38</v>
      </c>
      <c r="F1316" s="15" t="s">
        <v>17</v>
      </c>
      <c r="G1316" s="15" t="s">
        <v>26</v>
      </c>
      <c r="H1316" s="15" t="n">
        <v>2</v>
      </c>
      <c r="I1316" s="17" t="n">
        <v>0.05</v>
      </c>
      <c r="J1316" s="18" t="n">
        <v>133.05</v>
      </c>
      <c r="K1316" s="19" t="n">
        <v>10.56</v>
      </c>
      <c r="L1316" s="15" t="n">
        <f aca="false">YEAR(B1316)</f>
        <v>2025</v>
      </c>
      <c r="M1316" s="20" t="n">
        <f aca="false">IF(J1316&gt;0,K1316/J1316,0)</f>
        <v>0.0793686583990981</v>
      </c>
    </row>
    <row r="1317" customFormat="false" ht="15" hidden="false" customHeight="false" outlineLevel="0" collapsed="false">
      <c r="A1317" s="15" t="s">
        <v>1374</v>
      </c>
      <c r="B1317" s="16" t="n">
        <v>44772</v>
      </c>
      <c r="C1317" s="15" t="s">
        <v>71</v>
      </c>
      <c r="D1317" s="15" t="s">
        <v>44</v>
      </c>
      <c r="E1317" s="15" t="s">
        <v>39</v>
      </c>
      <c r="F1317" s="15" t="s">
        <v>18</v>
      </c>
      <c r="G1317" s="15" t="s">
        <v>30</v>
      </c>
      <c r="H1317" s="15" t="n">
        <v>4</v>
      </c>
      <c r="I1317" s="17" t="n">
        <v>0.15</v>
      </c>
      <c r="J1317" s="18" t="n">
        <v>146.08</v>
      </c>
      <c r="K1317" s="19" t="n">
        <v>29.21</v>
      </c>
      <c r="L1317" s="15" t="n">
        <f aca="false">YEAR(B1317)</f>
        <v>2022</v>
      </c>
      <c r="M1317" s="20" t="n">
        <f aca="false">IF(J1317&gt;0,K1317/J1317,0)</f>
        <v>0.199958926615553</v>
      </c>
    </row>
    <row r="1318" customFormat="false" ht="15" hidden="false" customHeight="false" outlineLevel="0" collapsed="false">
      <c r="A1318" s="15" t="s">
        <v>1375</v>
      </c>
      <c r="B1318" s="16" t="n">
        <v>44895</v>
      </c>
      <c r="C1318" s="15" t="s">
        <v>56</v>
      </c>
      <c r="D1318" s="15" t="s">
        <v>44</v>
      </c>
      <c r="E1318" s="15" t="s">
        <v>37</v>
      </c>
      <c r="F1318" s="15" t="s">
        <v>17</v>
      </c>
      <c r="G1318" s="15" t="s">
        <v>28</v>
      </c>
      <c r="H1318" s="15" t="n">
        <v>3</v>
      </c>
      <c r="I1318" s="17" t="n">
        <v>0.3</v>
      </c>
      <c r="J1318" s="18" t="n">
        <v>66.65</v>
      </c>
      <c r="K1318" s="19" t="n">
        <v>0.74</v>
      </c>
      <c r="L1318" s="15" t="n">
        <f aca="false">YEAR(B1318)</f>
        <v>2022</v>
      </c>
      <c r="M1318" s="20" t="n">
        <f aca="false">IF(J1318&gt;0,K1318/J1318,0)</f>
        <v>0.0111027756939235</v>
      </c>
    </row>
    <row r="1319" customFormat="false" ht="15" hidden="false" customHeight="false" outlineLevel="0" collapsed="false">
      <c r="A1319" s="15" t="s">
        <v>1376</v>
      </c>
      <c r="B1319" s="16" t="n">
        <v>44648</v>
      </c>
      <c r="C1319" s="15" t="s">
        <v>71</v>
      </c>
      <c r="D1319" s="15" t="s">
        <v>44</v>
      </c>
      <c r="E1319" s="15" t="s">
        <v>37</v>
      </c>
      <c r="F1319" s="15" t="s">
        <v>17</v>
      </c>
      <c r="G1319" s="15" t="s">
        <v>29</v>
      </c>
      <c r="H1319" s="15" t="n">
        <v>5</v>
      </c>
      <c r="I1319" s="17" t="n">
        <v>0</v>
      </c>
      <c r="J1319" s="18" t="n">
        <v>69.98</v>
      </c>
      <c r="K1319" s="19" t="n">
        <v>22.8</v>
      </c>
      <c r="L1319" s="15" t="n">
        <f aca="false">YEAR(B1319)</f>
        <v>2022</v>
      </c>
      <c r="M1319" s="20" t="n">
        <f aca="false">IF(J1319&gt;0,K1319/J1319,0)</f>
        <v>0.325807373535296</v>
      </c>
    </row>
    <row r="1320" customFormat="false" ht="15" hidden="false" customHeight="false" outlineLevel="0" collapsed="false">
      <c r="A1320" s="15" t="s">
        <v>1377</v>
      </c>
      <c r="B1320" s="16" t="n">
        <v>45873</v>
      </c>
      <c r="C1320" s="15" t="s">
        <v>68</v>
      </c>
      <c r="D1320" s="15" t="s">
        <v>42</v>
      </c>
      <c r="E1320" s="15" t="s">
        <v>39</v>
      </c>
      <c r="F1320" s="15" t="s">
        <v>17</v>
      </c>
      <c r="G1320" s="15" t="s">
        <v>29</v>
      </c>
      <c r="H1320" s="15" t="n">
        <v>1</v>
      </c>
      <c r="I1320" s="17" t="n">
        <v>0.2</v>
      </c>
      <c r="J1320" s="18" t="n">
        <v>13.98</v>
      </c>
      <c r="K1320" s="19" t="n">
        <v>2.47</v>
      </c>
      <c r="L1320" s="15" t="n">
        <f aca="false">YEAR(B1320)</f>
        <v>2025</v>
      </c>
      <c r="M1320" s="20" t="n">
        <f aca="false">IF(J1320&gt;0,K1320/J1320,0)</f>
        <v>0.176680972818312</v>
      </c>
    </row>
    <row r="1321" customFormat="false" ht="15" hidden="false" customHeight="false" outlineLevel="0" collapsed="false">
      <c r="A1321" s="15" t="s">
        <v>1378</v>
      </c>
      <c r="B1321" s="16" t="n">
        <v>45332</v>
      </c>
      <c r="C1321" s="15" t="s">
        <v>71</v>
      </c>
      <c r="D1321" s="15" t="s">
        <v>43</v>
      </c>
      <c r="E1321" s="15" t="s">
        <v>36</v>
      </c>
      <c r="F1321" s="15" t="s">
        <v>17</v>
      </c>
      <c r="G1321" s="15" t="s">
        <v>29</v>
      </c>
      <c r="H1321" s="15" t="n">
        <v>5</v>
      </c>
      <c r="I1321" s="17" t="n">
        <v>0</v>
      </c>
      <c r="J1321" s="18" t="n">
        <v>94.64</v>
      </c>
      <c r="K1321" s="19" t="n">
        <v>29.07</v>
      </c>
      <c r="L1321" s="15" t="n">
        <f aca="false">YEAR(B1321)</f>
        <v>2024</v>
      </c>
      <c r="M1321" s="20" t="n">
        <f aca="false">IF(J1321&gt;0,K1321/J1321,0)</f>
        <v>0.307163989856298</v>
      </c>
    </row>
    <row r="1322" customFormat="false" ht="15" hidden="false" customHeight="false" outlineLevel="0" collapsed="false">
      <c r="A1322" s="15" t="s">
        <v>1379</v>
      </c>
      <c r="B1322" s="16" t="n">
        <v>45086</v>
      </c>
      <c r="C1322" s="15" t="s">
        <v>68</v>
      </c>
      <c r="D1322" s="15" t="s">
        <v>42</v>
      </c>
      <c r="E1322" s="15" t="s">
        <v>38</v>
      </c>
      <c r="F1322" s="15" t="s">
        <v>17</v>
      </c>
      <c r="G1322" s="15" t="s">
        <v>31</v>
      </c>
      <c r="H1322" s="15" t="n">
        <v>6</v>
      </c>
      <c r="I1322" s="17" t="n">
        <v>0</v>
      </c>
      <c r="J1322" s="18" t="n">
        <v>557.39</v>
      </c>
      <c r="K1322" s="19" t="n">
        <v>110.02</v>
      </c>
      <c r="L1322" s="15" t="n">
        <f aca="false">YEAR(B1322)</f>
        <v>2023</v>
      </c>
      <c r="M1322" s="20" t="n">
        <f aca="false">IF(J1322&gt;0,K1322/J1322,0)</f>
        <v>0.197384237248605</v>
      </c>
    </row>
    <row r="1323" customFormat="false" ht="15" hidden="false" customHeight="false" outlineLevel="0" collapsed="false">
      <c r="A1323" s="15" t="s">
        <v>1380</v>
      </c>
      <c r="B1323" s="16" t="n">
        <v>45023</v>
      </c>
      <c r="C1323" s="15" t="s">
        <v>56</v>
      </c>
      <c r="D1323" s="15" t="s">
        <v>43</v>
      </c>
      <c r="E1323" s="15" t="s">
        <v>36</v>
      </c>
      <c r="F1323" s="15" t="s">
        <v>17</v>
      </c>
      <c r="G1323" s="15" t="s">
        <v>31</v>
      </c>
      <c r="H1323" s="15" t="n">
        <v>2</v>
      </c>
      <c r="I1323" s="17" t="n">
        <v>0.05</v>
      </c>
      <c r="J1323" s="18" t="n">
        <v>245.16</v>
      </c>
      <c r="K1323" s="19" t="n">
        <v>50.72</v>
      </c>
      <c r="L1323" s="15" t="n">
        <f aca="false">YEAR(B1323)</f>
        <v>2023</v>
      </c>
      <c r="M1323" s="20" t="n">
        <f aca="false">IF(J1323&gt;0,K1323/J1323,0)</f>
        <v>0.206885299396313</v>
      </c>
    </row>
    <row r="1324" customFormat="false" ht="15" hidden="false" customHeight="false" outlineLevel="0" collapsed="false">
      <c r="A1324" s="15" t="s">
        <v>1381</v>
      </c>
      <c r="B1324" s="16" t="n">
        <v>45948</v>
      </c>
      <c r="C1324" s="15" t="s">
        <v>56</v>
      </c>
      <c r="D1324" s="15" t="s">
        <v>42</v>
      </c>
      <c r="E1324" s="15" t="s">
        <v>37</v>
      </c>
      <c r="F1324" s="15" t="s">
        <v>16</v>
      </c>
      <c r="G1324" s="15" t="s">
        <v>27</v>
      </c>
      <c r="H1324" s="15" t="n">
        <v>3</v>
      </c>
      <c r="I1324" s="17" t="n">
        <v>0.2</v>
      </c>
      <c r="J1324" s="18" t="n">
        <v>123.91</v>
      </c>
      <c r="K1324" s="19" t="n">
        <v>-10.2</v>
      </c>
      <c r="L1324" s="15" t="n">
        <f aca="false">YEAR(B1324)</f>
        <v>2025</v>
      </c>
      <c r="M1324" s="20" t="n">
        <f aca="false">IF(J1324&gt;0,K1324/J1324,0)</f>
        <v>-0.0823178113146639</v>
      </c>
    </row>
    <row r="1325" customFormat="false" ht="15" hidden="false" customHeight="false" outlineLevel="0" collapsed="false">
      <c r="A1325" s="15" t="s">
        <v>1382</v>
      </c>
      <c r="B1325" s="16" t="n">
        <v>45478</v>
      </c>
      <c r="C1325" s="15" t="s">
        <v>56</v>
      </c>
      <c r="D1325" s="15" t="s">
        <v>44</v>
      </c>
      <c r="E1325" s="15" t="s">
        <v>36</v>
      </c>
      <c r="F1325" s="15" t="s">
        <v>17</v>
      </c>
      <c r="G1325" s="15" t="s">
        <v>26</v>
      </c>
      <c r="H1325" s="15" t="n">
        <v>5</v>
      </c>
      <c r="I1325" s="17" t="n">
        <v>0.05</v>
      </c>
      <c r="J1325" s="18" t="n">
        <v>388.17</v>
      </c>
      <c r="K1325" s="19" t="n">
        <v>28.67</v>
      </c>
      <c r="L1325" s="15" t="n">
        <f aca="false">YEAR(B1325)</f>
        <v>2024</v>
      </c>
      <c r="M1325" s="20" t="n">
        <f aca="false">IF(J1325&gt;0,K1325/J1325,0)</f>
        <v>0.0738593915037226</v>
      </c>
    </row>
    <row r="1326" customFormat="false" ht="15" hidden="false" customHeight="false" outlineLevel="0" collapsed="false">
      <c r="A1326" s="15" t="s">
        <v>1383</v>
      </c>
      <c r="B1326" s="16" t="n">
        <v>45967</v>
      </c>
      <c r="C1326" s="15" t="s">
        <v>71</v>
      </c>
      <c r="D1326" s="15" t="s">
        <v>42</v>
      </c>
      <c r="E1326" s="15" t="s">
        <v>37</v>
      </c>
      <c r="F1326" s="15" t="s">
        <v>18</v>
      </c>
      <c r="G1326" s="15" t="s">
        <v>30</v>
      </c>
      <c r="H1326" s="15" t="n">
        <v>4</v>
      </c>
      <c r="I1326" s="17" t="n">
        <v>0</v>
      </c>
      <c r="J1326" s="18" t="n">
        <v>193.09</v>
      </c>
      <c r="K1326" s="19" t="n">
        <v>51.93</v>
      </c>
      <c r="L1326" s="15" t="n">
        <f aca="false">YEAR(B1326)</f>
        <v>2025</v>
      </c>
      <c r="M1326" s="20" t="n">
        <f aca="false">IF(J1326&gt;0,K1326/J1326,0)</f>
        <v>0.268941944171112</v>
      </c>
    </row>
    <row r="1327" customFormat="false" ht="15" hidden="false" customHeight="false" outlineLevel="0" collapsed="false">
      <c r="A1327" s="15" t="s">
        <v>1384</v>
      </c>
      <c r="B1327" s="16" t="n">
        <v>44890</v>
      </c>
      <c r="C1327" s="15" t="s">
        <v>56</v>
      </c>
      <c r="D1327" s="15" t="s">
        <v>43</v>
      </c>
      <c r="E1327" s="15" t="s">
        <v>38</v>
      </c>
      <c r="F1327" s="15" t="s">
        <v>17</v>
      </c>
      <c r="G1327" s="15" t="s">
        <v>28</v>
      </c>
      <c r="H1327" s="15" t="n">
        <v>1</v>
      </c>
      <c r="I1327" s="17" t="n">
        <v>0.2</v>
      </c>
      <c r="J1327" s="18" t="n">
        <v>19.26</v>
      </c>
      <c r="K1327" s="19" t="n">
        <v>3.49</v>
      </c>
      <c r="L1327" s="15" t="n">
        <f aca="false">YEAR(B1327)</f>
        <v>2022</v>
      </c>
      <c r="M1327" s="20" t="n">
        <f aca="false">IF(J1327&gt;0,K1327/J1327,0)</f>
        <v>0.181204569055036</v>
      </c>
    </row>
    <row r="1328" customFormat="false" ht="15" hidden="false" customHeight="false" outlineLevel="0" collapsed="false">
      <c r="A1328" s="15" t="s">
        <v>1385</v>
      </c>
      <c r="B1328" s="16" t="n">
        <v>45493</v>
      </c>
      <c r="C1328" s="15" t="s">
        <v>71</v>
      </c>
      <c r="D1328" s="15" t="s">
        <v>42</v>
      </c>
      <c r="E1328" s="15" t="s">
        <v>39</v>
      </c>
      <c r="F1328" s="15" t="s">
        <v>17</v>
      </c>
      <c r="G1328" s="15" t="s">
        <v>29</v>
      </c>
      <c r="H1328" s="15" t="n">
        <v>4</v>
      </c>
      <c r="I1328" s="17" t="n">
        <v>0.3</v>
      </c>
      <c r="J1328" s="18" t="n">
        <v>56.85</v>
      </c>
      <c r="K1328" s="19" t="n">
        <v>2.12</v>
      </c>
      <c r="L1328" s="15" t="n">
        <f aca="false">YEAR(B1328)</f>
        <v>2024</v>
      </c>
      <c r="M1328" s="20" t="n">
        <f aca="false">IF(J1328&gt;0,K1328/J1328,0)</f>
        <v>0.0372911169744943</v>
      </c>
    </row>
    <row r="1329" customFormat="false" ht="15" hidden="false" customHeight="false" outlineLevel="0" collapsed="false">
      <c r="A1329" s="15" t="s">
        <v>1386</v>
      </c>
      <c r="B1329" s="16" t="n">
        <v>44813</v>
      </c>
      <c r="C1329" s="15" t="s">
        <v>58</v>
      </c>
      <c r="D1329" s="15" t="s">
        <v>42</v>
      </c>
      <c r="E1329" s="15" t="s">
        <v>39</v>
      </c>
      <c r="F1329" s="15" t="s">
        <v>17</v>
      </c>
      <c r="G1329" s="15" t="s">
        <v>29</v>
      </c>
      <c r="H1329" s="15" t="n">
        <v>1</v>
      </c>
      <c r="I1329" s="17" t="n">
        <v>0.05</v>
      </c>
      <c r="J1329" s="18" t="n">
        <v>18.9</v>
      </c>
      <c r="K1329" s="19" t="n">
        <v>6.07</v>
      </c>
      <c r="L1329" s="15" t="n">
        <f aca="false">YEAR(B1329)</f>
        <v>2022</v>
      </c>
      <c r="M1329" s="20" t="n">
        <f aca="false">IF(J1329&gt;0,K1329/J1329,0)</f>
        <v>0.321164021164021</v>
      </c>
    </row>
    <row r="1330" customFormat="false" ht="15" hidden="false" customHeight="false" outlineLevel="0" collapsed="false">
      <c r="A1330" s="15" t="s">
        <v>1387</v>
      </c>
      <c r="B1330" s="16" t="n">
        <v>45288</v>
      </c>
      <c r="C1330" s="15" t="s">
        <v>56</v>
      </c>
      <c r="D1330" s="15" t="s">
        <v>42</v>
      </c>
      <c r="E1330" s="15" t="s">
        <v>38</v>
      </c>
      <c r="F1330" s="15" t="s">
        <v>17</v>
      </c>
      <c r="G1330" s="15" t="s">
        <v>28</v>
      </c>
      <c r="H1330" s="15" t="n">
        <v>6</v>
      </c>
      <c r="I1330" s="17" t="n">
        <v>0</v>
      </c>
      <c r="J1330" s="18" t="n">
        <v>135.35</v>
      </c>
      <c r="K1330" s="19" t="n">
        <v>40.67</v>
      </c>
      <c r="L1330" s="15" t="n">
        <f aca="false">YEAR(B1330)</f>
        <v>2023</v>
      </c>
      <c r="M1330" s="20" t="n">
        <f aca="false">IF(J1330&gt;0,K1330/J1330,0)</f>
        <v>0.300480236424086</v>
      </c>
    </row>
    <row r="1331" customFormat="false" ht="15" hidden="false" customHeight="false" outlineLevel="0" collapsed="false">
      <c r="A1331" s="15" t="s">
        <v>1388</v>
      </c>
      <c r="B1331" s="16" t="n">
        <v>44842</v>
      </c>
      <c r="C1331" s="15" t="s">
        <v>68</v>
      </c>
      <c r="D1331" s="15" t="s">
        <v>44</v>
      </c>
      <c r="E1331" s="15" t="s">
        <v>39</v>
      </c>
      <c r="F1331" s="15" t="s">
        <v>17</v>
      </c>
      <c r="G1331" s="15" t="s">
        <v>29</v>
      </c>
      <c r="H1331" s="15" t="n">
        <v>2</v>
      </c>
      <c r="I1331" s="17" t="n">
        <v>0.2</v>
      </c>
      <c r="J1331" s="18" t="n">
        <v>30.96</v>
      </c>
      <c r="K1331" s="19" t="n">
        <v>5.05</v>
      </c>
      <c r="L1331" s="15" t="n">
        <f aca="false">YEAR(B1331)</f>
        <v>2022</v>
      </c>
      <c r="M1331" s="20" t="n">
        <f aca="false">IF(J1331&gt;0,K1331/J1331,0)</f>
        <v>0.163113695090439</v>
      </c>
    </row>
    <row r="1332" customFormat="false" ht="15" hidden="false" customHeight="false" outlineLevel="0" collapsed="false">
      <c r="A1332" s="15" t="s">
        <v>1389</v>
      </c>
      <c r="B1332" s="16" t="n">
        <v>45495</v>
      </c>
      <c r="C1332" s="15" t="s">
        <v>56</v>
      </c>
      <c r="D1332" s="15" t="s">
        <v>42</v>
      </c>
      <c r="E1332" s="15" t="s">
        <v>38</v>
      </c>
      <c r="F1332" s="15" t="s">
        <v>17</v>
      </c>
      <c r="G1332" s="15" t="s">
        <v>28</v>
      </c>
      <c r="H1332" s="15" t="n">
        <v>2</v>
      </c>
      <c r="I1332" s="17" t="n">
        <v>0.2</v>
      </c>
      <c r="J1332" s="18" t="n">
        <v>36.48</v>
      </c>
      <c r="K1332" s="19" t="n">
        <v>7.74</v>
      </c>
      <c r="L1332" s="15" t="n">
        <f aca="false">YEAR(B1332)</f>
        <v>2024</v>
      </c>
      <c r="M1332" s="20" t="n">
        <f aca="false">IF(J1332&gt;0,K1332/J1332,0)</f>
        <v>0.212171052631579</v>
      </c>
    </row>
    <row r="1333" customFormat="false" ht="15" hidden="false" customHeight="false" outlineLevel="0" collapsed="false">
      <c r="A1333" s="15" t="s">
        <v>1390</v>
      </c>
      <c r="B1333" s="16" t="n">
        <v>45615</v>
      </c>
      <c r="C1333" s="15" t="s">
        <v>58</v>
      </c>
      <c r="D1333" s="15" t="s">
        <v>44</v>
      </c>
      <c r="E1333" s="15" t="s">
        <v>39</v>
      </c>
      <c r="F1333" s="15" t="s">
        <v>16</v>
      </c>
      <c r="G1333" s="15" t="s">
        <v>22</v>
      </c>
      <c r="H1333" s="15" t="n">
        <v>2</v>
      </c>
      <c r="I1333" s="17" t="n">
        <v>0.1</v>
      </c>
      <c r="J1333" s="18" t="n">
        <v>1136.02</v>
      </c>
      <c r="K1333" s="19" t="n">
        <v>-177.05</v>
      </c>
      <c r="L1333" s="15" t="n">
        <f aca="false">YEAR(B1333)</f>
        <v>2024</v>
      </c>
      <c r="M1333" s="20" t="n">
        <f aca="false">IF(J1333&gt;0,K1333/J1333,0)</f>
        <v>-0.155851129381525</v>
      </c>
    </row>
    <row r="1334" customFormat="false" ht="15" hidden="false" customHeight="false" outlineLevel="0" collapsed="false">
      <c r="A1334" s="15" t="s">
        <v>1391</v>
      </c>
      <c r="B1334" s="16" t="n">
        <v>45656</v>
      </c>
      <c r="C1334" s="15" t="s">
        <v>56</v>
      </c>
      <c r="D1334" s="15" t="s">
        <v>42</v>
      </c>
      <c r="E1334" s="15" t="s">
        <v>36</v>
      </c>
      <c r="F1334" s="15" t="s">
        <v>17</v>
      </c>
      <c r="G1334" s="15" t="s">
        <v>26</v>
      </c>
      <c r="H1334" s="15" t="n">
        <v>1</v>
      </c>
      <c r="I1334" s="17" t="n">
        <v>0.2</v>
      </c>
      <c r="J1334" s="18" t="n">
        <v>53.64</v>
      </c>
      <c r="K1334" s="19" t="n">
        <v>-2.67</v>
      </c>
      <c r="L1334" s="15" t="n">
        <f aca="false">YEAR(B1334)</f>
        <v>2024</v>
      </c>
      <c r="M1334" s="20" t="n">
        <f aca="false">IF(J1334&gt;0,K1334/J1334,0)</f>
        <v>-0.0497762863534676</v>
      </c>
    </row>
    <row r="1335" customFormat="false" ht="15" hidden="false" customHeight="false" outlineLevel="0" collapsed="false">
      <c r="A1335" s="15" t="s">
        <v>1392</v>
      </c>
      <c r="B1335" s="16" t="n">
        <v>45252</v>
      </c>
      <c r="C1335" s="15" t="s">
        <v>58</v>
      </c>
      <c r="D1335" s="15" t="s">
        <v>43</v>
      </c>
      <c r="E1335" s="15" t="s">
        <v>39</v>
      </c>
      <c r="F1335" s="15" t="s">
        <v>16</v>
      </c>
      <c r="G1335" s="15" t="s">
        <v>22</v>
      </c>
      <c r="H1335" s="15" t="n">
        <v>2</v>
      </c>
      <c r="I1335" s="17" t="n">
        <v>0.2</v>
      </c>
      <c r="J1335" s="18" t="n">
        <v>772.53</v>
      </c>
      <c r="K1335" s="19" t="n">
        <v>-148.14</v>
      </c>
      <c r="L1335" s="15" t="n">
        <f aca="false">YEAR(B1335)</f>
        <v>2023</v>
      </c>
      <c r="M1335" s="20" t="n">
        <f aca="false">IF(J1335&gt;0,K1335/J1335,0)</f>
        <v>-0.191759543318706</v>
      </c>
    </row>
    <row r="1336" customFormat="false" ht="15" hidden="false" customHeight="false" outlineLevel="0" collapsed="false">
      <c r="A1336" s="15" t="s">
        <v>1393</v>
      </c>
      <c r="B1336" s="16" t="n">
        <v>45056</v>
      </c>
      <c r="C1336" s="15" t="s">
        <v>56</v>
      </c>
      <c r="D1336" s="15" t="s">
        <v>42</v>
      </c>
      <c r="E1336" s="15" t="s">
        <v>36</v>
      </c>
      <c r="F1336" s="15" t="s">
        <v>18</v>
      </c>
      <c r="G1336" s="15" t="s">
        <v>32</v>
      </c>
      <c r="H1336" s="15" t="n">
        <v>4</v>
      </c>
      <c r="I1336" s="17" t="n">
        <v>0</v>
      </c>
      <c r="J1336" s="18" t="n">
        <v>1360.92</v>
      </c>
      <c r="K1336" s="19" t="n">
        <v>289.03</v>
      </c>
      <c r="L1336" s="15" t="n">
        <f aca="false">YEAR(B1336)</f>
        <v>2023</v>
      </c>
      <c r="M1336" s="20" t="n">
        <f aca="false">IF(J1336&gt;0,K1336/J1336,0)</f>
        <v>0.212378391088381</v>
      </c>
    </row>
    <row r="1337" customFormat="false" ht="15" hidden="false" customHeight="false" outlineLevel="0" collapsed="false">
      <c r="A1337" s="15" t="s">
        <v>1394</v>
      </c>
      <c r="B1337" s="16" t="n">
        <v>45480</v>
      </c>
      <c r="C1337" s="15" t="s">
        <v>71</v>
      </c>
      <c r="D1337" s="15" t="s">
        <v>43</v>
      </c>
      <c r="E1337" s="15" t="s">
        <v>36</v>
      </c>
      <c r="F1337" s="15" t="s">
        <v>16</v>
      </c>
      <c r="G1337" s="15" t="s">
        <v>23</v>
      </c>
      <c r="H1337" s="15" t="n">
        <v>3</v>
      </c>
      <c r="I1337" s="17" t="n">
        <v>0</v>
      </c>
      <c r="J1337" s="18" t="n">
        <v>935.23</v>
      </c>
      <c r="K1337" s="19" t="n">
        <v>2.22</v>
      </c>
      <c r="L1337" s="15" t="n">
        <f aca="false">YEAR(B1337)</f>
        <v>2024</v>
      </c>
      <c r="M1337" s="20" t="n">
        <f aca="false">IF(J1337&gt;0,K1337/J1337,0)</f>
        <v>0.00237374763427178</v>
      </c>
    </row>
    <row r="1338" customFormat="false" ht="15" hidden="false" customHeight="false" outlineLevel="0" collapsed="false">
      <c r="A1338" s="15" t="s">
        <v>1395</v>
      </c>
      <c r="B1338" s="16" t="n">
        <v>45178</v>
      </c>
      <c r="C1338" s="15" t="s">
        <v>58</v>
      </c>
      <c r="D1338" s="15" t="s">
        <v>43</v>
      </c>
      <c r="E1338" s="15" t="s">
        <v>39</v>
      </c>
      <c r="F1338" s="15" t="s">
        <v>17</v>
      </c>
      <c r="G1338" s="15" t="s">
        <v>28</v>
      </c>
      <c r="H1338" s="15" t="n">
        <v>3</v>
      </c>
      <c r="I1338" s="17" t="n">
        <v>0.2</v>
      </c>
      <c r="J1338" s="18" t="n">
        <v>69.3</v>
      </c>
      <c r="K1338" s="19" t="n">
        <v>13.01</v>
      </c>
      <c r="L1338" s="15" t="n">
        <f aca="false">YEAR(B1338)</f>
        <v>2023</v>
      </c>
      <c r="M1338" s="20" t="n">
        <f aca="false">IF(J1338&gt;0,K1338/J1338,0)</f>
        <v>0.187734487734488</v>
      </c>
    </row>
    <row r="1339" customFormat="false" ht="15" hidden="false" customHeight="false" outlineLevel="0" collapsed="false">
      <c r="A1339" s="15" t="s">
        <v>1396</v>
      </c>
      <c r="B1339" s="16" t="n">
        <v>45165</v>
      </c>
      <c r="C1339" s="15" t="s">
        <v>56</v>
      </c>
      <c r="D1339" s="15" t="s">
        <v>42</v>
      </c>
      <c r="E1339" s="15" t="s">
        <v>38</v>
      </c>
      <c r="F1339" s="15" t="s">
        <v>17</v>
      </c>
      <c r="G1339" s="15" t="s">
        <v>29</v>
      </c>
      <c r="H1339" s="15" t="n">
        <v>7</v>
      </c>
      <c r="I1339" s="17" t="n">
        <v>0</v>
      </c>
      <c r="J1339" s="18" t="n">
        <v>131.43</v>
      </c>
      <c r="K1339" s="19" t="n">
        <v>39.21</v>
      </c>
      <c r="L1339" s="15" t="n">
        <f aca="false">YEAR(B1339)</f>
        <v>2023</v>
      </c>
      <c r="M1339" s="20" t="n">
        <f aca="false">IF(J1339&gt;0,K1339/J1339,0)</f>
        <v>0.298333713763981</v>
      </c>
    </row>
    <row r="1340" customFormat="false" ht="15" hidden="false" customHeight="false" outlineLevel="0" collapsed="false">
      <c r="A1340" s="15" t="s">
        <v>1397</v>
      </c>
      <c r="B1340" s="16" t="n">
        <v>44580</v>
      </c>
      <c r="C1340" s="15" t="s">
        <v>68</v>
      </c>
      <c r="D1340" s="15" t="s">
        <v>43</v>
      </c>
      <c r="E1340" s="15" t="s">
        <v>37</v>
      </c>
      <c r="F1340" s="15" t="s">
        <v>17</v>
      </c>
      <c r="G1340" s="15" t="s">
        <v>29</v>
      </c>
      <c r="H1340" s="15" t="n">
        <v>3</v>
      </c>
      <c r="I1340" s="17" t="n">
        <v>0.4</v>
      </c>
      <c r="J1340" s="18" t="n">
        <v>33.06</v>
      </c>
      <c r="K1340" s="19" t="n">
        <v>-0.79</v>
      </c>
      <c r="L1340" s="15" t="n">
        <f aca="false">YEAR(B1340)</f>
        <v>2022</v>
      </c>
      <c r="M1340" s="20" t="n">
        <f aca="false">IF(J1340&gt;0,K1340/J1340,0)</f>
        <v>-0.0238959467634604</v>
      </c>
    </row>
    <row r="1341" customFormat="false" ht="15" hidden="false" customHeight="false" outlineLevel="0" collapsed="false">
      <c r="A1341" s="15" t="s">
        <v>1398</v>
      </c>
      <c r="B1341" s="16" t="n">
        <v>45836</v>
      </c>
      <c r="C1341" s="15" t="s">
        <v>56</v>
      </c>
      <c r="D1341" s="15" t="s">
        <v>42</v>
      </c>
      <c r="E1341" s="15" t="s">
        <v>37</v>
      </c>
      <c r="F1341" s="15" t="s">
        <v>18</v>
      </c>
      <c r="G1341" s="15" t="s">
        <v>33</v>
      </c>
      <c r="H1341" s="15" t="n">
        <v>3</v>
      </c>
      <c r="I1341" s="17" t="n">
        <v>0.2</v>
      </c>
      <c r="J1341" s="18" t="n">
        <v>2047.08</v>
      </c>
      <c r="K1341" s="19" t="n">
        <v>87.32</v>
      </c>
      <c r="L1341" s="15" t="n">
        <f aca="false">YEAR(B1341)</f>
        <v>2025</v>
      </c>
      <c r="M1341" s="20" t="n">
        <f aca="false">IF(J1341&gt;0,K1341/J1341,0)</f>
        <v>0.0426558805713504</v>
      </c>
    </row>
    <row r="1342" customFormat="false" ht="15" hidden="false" customHeight="false" outlineLevel="0" collapsed="false">
      <c r="A1342" s="15" t="s">
        <v>1399</v>
      </c>
      <c r="B1342" s="16" t="n">
        <v>45713</v>
      </c>
      <c r="C1342" s="15" t="s">
        <v>56</v>
      </c>
      <c r="D1342" s="15" t="s">
        <v>42</v>
      </c>
      <c r="E1342" s="15" t="s">
        <v>37</v>
      </c>
      <c r="F1342" s="15" t="s">
        <v>17</v>
      </c>
      <c r="G1342" s="15" t="s">
        <v>29</v>
      </c>
      <c r="H1342" s="15" t="n">
        <v>2</v>
      </c>
      <c r="I1342" s="17" t="n">
        <v>0.2</v>
      </c>
      <c r="J1342" s="18" t="n">
        <v>25.43</v>
      </c>
      <c r="K1342" s="19" t="n">
        <v>5.06</v>
      </c>
      <c r="L1342" s="15" t="n">
        <f aca="false">YEAR(B1342)</f>
        <v>2025</v>
      </c>
      <c r="M1342" s="20" t="n">
        <f aca="false">IF(J1342&gt;0,K1342/J1342,0)</f>
        <v>0.198977585528903</v>
      </c>
    </row>
    <row r="1343" customFormat="false" ht="15" hidden="false" customHeight="false" outlineLevel="0" collapsed="false">
      <c r="A1343" s="15" t="s">
        <v>1400</v>
      </c>
      <c r="B1343" s="16" t="n">
        <v>45170</v>
      </c>
      <c r="C1343" s="15" t="s">
        <v>71</v>
      </c>
      <c r="D1343" s="15" t="s">
        <v>43</v>
      </c>
      <c r="E1343" s="15" t="s">
        <v>39</v>
      </c>
      <c r="F1343" s="15" t="s">
        <v>18</v>
      </c>
      <c r="G1343" s="15" t="s">
        <v>30</v>
      </c>
      <c r="H1343" s="15" t="n">
        <v>1</v>
      </c>
      <c r="I1343" s="17" t="n">
        <v>0.2</v>
      </c>
      <c r="J1343" s="18" t="n">
        <v>44.96</v>
      </c>
      <c r="K1343" s="19" t="n">
        <v>6.86</v>
      </c>
      <c r="L1343" s="15" t="n">
        <f aca="false">YEAR(B1343)</f>
        <v>2023</v>
      </c>
      <c r="M1343" s="20" t="n">
        <f aca="false">IF(J1343&gt;0,K1343/J1343,0)</f>
        <v>0.152580071174377</v>
      </c>
    </row>
    <row r="1344" customFormat="false" ht="15" hidden="false" customHeight="false" outlineLevel="0" collapsed="false">
      <c r="A1344" s="15" t="s">
        <v>1401</v>
      </c>
      <c r="B1344" s="16" t="n">
        <v>45943</v>
      </c>
      <c r="C1344" s="15" t="s">
        <v>58</v>
      </c>
      <c r="D1344" s="15" t="s">
        <v>42</v>
      </c>
      <c r="E1344" s="15" t="s">
        <v>38</v>
      </c>
      <c r="F1344" s="15" t="s">
        <v>17</v>
      </c>
      <c r="G1344" s="15" t="s">
        <v>29</v>
      </c>
      <c r="H1344" s="15" t="n">
        <v>8</v>
      </c>
      <c r="I1344" s="17" t="n">
        <v>0.2</v>
      </c>
      <c r="J1344" s="18" t="n">
        <v>115.41</v>
      </c>
      <c r="K1344" s="19" t="n">
        <v>29.06</v>
      </c>
      <c r="L1344" s="15" t="n">
        <f aca="false">YEAR(B1344)</f>
        <v>2025</v>
      </c>
      <c r="M1344" s="20" t="n">
        <f aca="false">IF(J1344&gt;0,K1344/J1344,0)</f>
        <v>0.25179793778702</v>
      </c>
    </row>
    <row r="1345" customFormat="false" ht="15" hidden="false" customHeight="false" outlineLevel="0" collapsed="false">
      <c r="A1345" s="15" t="s">
        <v>1402</v>
      </c>
      <c r="B1345" s="16" t="n">
        <v>45248</v>
      </c>
      <c r="C1345" s="15" t="s">
        <v>71</v>
      </c>
      <c r="D1345" s="15" t="s">
        <v>42</v>
      </c>
      <c r="E1345" s="15" t="s">
        <v>36</v>
      </c>
      <c r="F1345" s="15" t="s">
        <v>17</v>
      </c>
      <c r="G1345" s="15" t="s">
        <v>29</v>
      </c>
      <c r="H1345" s="15" t="n">
        <v>4</v>
      </c>
      <c r="I1345" s="17" t="n">
        <v>0.4</v>
      </c>
      <c r="J1345" s="18" t="n">
        <v>37.72</v>
      </c>
      <c r="K1345" s="19" t="n">
        <v>-0.55</v>
      </c>
      <c r="L1345" s="15" t="n">
        <f aca="false">YEAR(B1345)</f>
        <v>2023</v>
      </c>
      <c r="M1345" s="20" t="n">
        <f aca="false">IF(J1345&gt;0,K1345/J1345,0)</f>
        <v>-0.0145811240721103</v>
      </c>
    </row>
    <row r="1346" customFormat="false" ht="15" hidden="false" customHeight="false" outlineLevel="0" collapsed="false">
      <c r="A1346" s="15" t="s">
        <v>1403</v>
      </c>
      <c r="B1346" s="16" t="n">
        <v>45920</v>
      </c>
      <c r="C1346" s="15" t="s">
        <v>56</v>
      </c>
      <c r="D1346" s="15" t="s">
        <v>43</v>
      </c>
      <c r="E1346" s="15" t="s">
        <v>37</v>
      </c>
      <c r="F1346" s="15" t="s">
        <v>16</v>
      </c>
      <c r="G1346" s="15" t="s">
        <v>25</v>
      </c>
      <c r="H1346" s="15" t="n">
        <v>3</v>
      </c>
      <c r="I1346" s="17" t="n">
        <v>0</v>
      </c>
      <c r="J1346" s="18" t="n">
        <v>946.31</v>
      </c>
      <c r="K1346" s="19" t="n">
        <v>46.34</v>
      </c>
      <c r="L1346" s="15" t="n">
        <f aca="false">YEAR(B1346)</f>
        <v>2025</v>
      </c>
      <c r="M1346" s="20" t="n">
        <f aca="false">IF(J1346&gt;0,K1346/J1346,0)</f>
        <v>0.0489691538713529</v>
      </c>
    </row>
    <row r="1347" customFormat="false" ht="15" hidden="false" customHeight="false" outlineLevel="0" collapsed="false">
      <c r="A1347" s="15" t="s">
        <v>1404</v>
      </c>
      <c r="B1347" s="16" t="n">
        <v>45955</v>
      </c>
      <c r="C1347" s="15" t="s">
        <v>71</v>
      </c>
      <c r="D1347" s="15" t="s">
        <v>44</v>
      </c>
      <c r="E1347" s="15" t="s">
        <v>39</v>
      </c>
      <c r="F1347" s="15" t="s">
        <v>17</v>
      </c>
      <c r="G1347" s="15" t="s">
        <v>29</v>
      </c>
      <c r="H1347" s="15" t="n">
        <v>4</v>
      </c>
      <c r="I1347" s="17" t="n">
        <v>0.1</v>
      </c>
      <c r="J1347" s="18" t="n">
        <v>64.63</v>
      </c>
      <c r="K1347" s="19" t="n">
        <v>20.13</v>
      </c>
      <c r="L1347" s="15" t="n">
        <f aca="false">YEAR(B1347)</f>
        <v>2025</v>
      </c>
      <c r="M1347" s="20" t="n">
        <f aca="false">IF(J1347&gt;0,K1347/J1347,0)</f>
        <v>0.311465263809376</v>
      </c>
    </row>
    <row r="1348" customFormat="false" ht="15" hidden="false" customHeight="false" outlineLevel="0" collapsed="false">
      <c r="A1348" s="15" t="s">
        <v>1405</v>
      </c>
      <c r="B1348" s="16" t="n">
        <v>45670</v>
      </c>
      <c r="C1348" s="15" t="s">
        <v>68</v>
      </c>
      <c r="D1348" s="15" t="s">
        <v>43</v>
      </c>
      <c r="E1348" s="15" t="s">
        <v>38</v>
      </c>
      <c r="F1348" s="15" t="s">
        <v>17</v>
      </c>
      <c r="G1348" s="15" t="s">
        <v>28</v>
      </c>
      <c r="H1348" s="15" t="n">
        <v>3</v>
      </c>
      <c r="I1348" s="17" t="n">
        <v>0.3</v>
      </c>
      <c r="J1348" s="18" t="n">
        <v>55.7</v>
      </c>
      <c r="K1348" s="19" t="n">
        <v>0.49</v>
      </c>
      <c r="L1348" s="15" t="n">
        <f aca="false">YEAR(B1348)</f>
        <v>2025</v>
      </c>
      <c r="M1348" s="20" t="n">
        <f aca="false">IF(J1348&gt;0,K1348/J1348,0)</f>
        <v>0.00879712746858169</v>
      </c>
    </row>
    <row r="1349" customFormat="false" ht="15" hidden="false" customHeight="false" outlineLevel="0" collapsed="false">
      <c r="A1349" s="15" t="s">
        <v>1406</v>
      </c>
      <c r="B1349" s="16" t="n">
        <v>45017</v>
      </c>
      <c r="C1349" s="15" t="s">
        <v>56</v>
      </c>
      <c r="D1349" s="15" t="s">
        <v>42</v>
      </c>
      <c r="E1349" s="15" t="s">
        <v>37</v>
      </c>
      <c r="F1349" s="15" t="s">
        <v>17</v>
      </c>
      <c r="G1349" s="15" t="s">
        <v>28</v>
      </c>
      <c r="H1349" s="15" t="n">
        <v>4</v>
      </c>
      <c r="I1349" s="17" t="n">
        <v>0.1</v>
      </c>
      <c r="J1349" s="18" t="n">
        <v>87.16</v>
      </c>
      <c r="K1349" s="19" t="n">
        <v>21.8</v>
      </c>
      <c r="L1349" s="15" t="n">
        <f aca="false">YEAR(B1349)</f>
        <v>2023</v>
      </c>
      <c r="M1349" s="20" t="n">
        <f aca="false">IF(J1349&gt;0,K1349/J1349,0)</f>
        <v>0.250114731528224</v>
      </c>
    </row>
    <row r="1350" customFormat="false" ht="15" hidden="false" customHeight="false" outlineLevel="0" collapsed="false">
      <c r="A1350" s="15" t="s">
        <v>1407</v>
      </c>
      <c r="B1350" s="16" t="n">
        <v>45415</v>
      </c>
      <c r="C1350" s="15" t="s">
        <v>58</v>
      </c>
      <c r="D1350" s="15" t="s">
        <v>42</v>
      </c>
      <c r="E1350" s="15" t="s">
        <v>39</v>
      </c>
      <c r="F1350" s="15" t="s">
        <v>18</v>
      </c>
      <c r="G1350" s="15" t="s">
        <v>30</v>
      </c>
      <c r="H1350" s="15" t="n">
        <v>3</v>
      </c>
      <c r="I1350" s="17" t="n">
        <v>0.05</v>
      </c>
      <c r="J1350" s="18" t="n">
        <v>105.58</v>
      </c>
      <c r="K1350" s="19" t="n">
        <v>18.43</v>
      </c>
      <c r="L1350" s="15" t="n">
        <f aca="false">YEAR(B1350)</f>
        <v>2024</v>
      </c>
      <c r="M1350" s="20" t="n">
        <f aca="false">IF(J1350&gt;0,K1350/J1350,0)</f>
        <v>0.174559575677212</v>
      </c>
    </row>
    <row r="1351" customFormat="false" ht="15" hidden="false" customHeight="false" outlineLevel="0" collapsed="false">
      <c r="A1351" s="15" t="s">
        <v>1408</v>
      </c>
      <c r="B1351" s="16" t="n">
        <v>44972</v>
      </c>
      <c r="C1351" s="15" t="s">
        <v>56</v>
      </c>
      <c r="D1351" s="15" t="s">
        <v>44</v>
      </c>
      <c r="E1351" s="15" t="s">
        <v>37</v>
      </c>
      <c r="F1351" s="15" t="s">
        <v>17</v>
      </c>
      <c r="G1351" s="15" t="s">
        <v>28</v>
      </c>
      <c r="H1351" s="15" t="n">
        <v>2</v>
      </c>
      <c r="I1351" s="17" t="n">
        <v>0.3</v>
      </c>
      <c r="J1351" s="18" t="n">
        <v>35.94</v>
      </c>
      <c r="K1351" s="19" t="n">
        <v>-0.58</v>
      </c>
      <c r="L1351" s="15" t="n">
        <f aca="false">YEAR(B1351)</f>
        <v>2023</v>
      </c>
      <c r="M1351" s="20" t="n">
        <f aca="false">IF(J1351&gt;0,K1351/J1351,0)</f>
        <v>-0.0161380077907624</v>
      </c>
    </row>
    <row r="1352" customFormat="false" ht="15" hidden="false" customHeight="false" outlineLevel="0" collapsed="false">
      <c r="A1352" s="15" t="s">
        <v>1409</v>
      </c>
      <c r="B1352" s="16" t="n">
        <v>45728</v>
      </c>
      <c r="C1352" s="15" t="s">
        <v>71</v>
      </c>
      <c r="D1352" s="15" t="s">
        <v>43</v>
      </c>
      <c r="E1352" s="15" t="s">
        <v>39</v>
      </c>
      <c r="F1352" s="15" t="s">
        <v>16</v>
      </c>
      <c r="G1352" s="15" t="s">
        <v>25</v>
      </c>
      <c r="H1352" s="15" t="n">
        <v>8</v>
      </c>
      <c r="I1352" s="17" t="n">
        <v>0.2</v>
      </c>
      <c r="J1352" s="18" t="n">
        <v>2198.48</v>
      </c>
      <c r="K1352" s="19" t="n">
        <v>-193.77</v>
      </c>
      <c r="L1352" s="15" t="n">
        <f aca="false">YEAR(B1352)</f>
        <v>2025</v>
      </c>
      <c r="M1352" s="20" t="n">
        <f aca="false">IF(J1352&gt;0,K1352/J1352,0)</f>
        <v>-0.0881381681889305</v>
      </c>
    </row>
    <row r="1353" customFormat="false" ht="15" hidden="false" customHeight="false" outlineLevel="0" collapsed="false">
      <c r="A1353" s="15" t="s">
        <v>1410</v>
      </c>
      <c r="B1353" s="16" t="n">
        <v>45478</v>
      </c>
      <c r="C1353" s="15" t="s">
        <v>71</v>
      </c>
      <c r="D1353" s="15" t="s">
        <v>43</v>
      </c>
      <c r="E1353" s="15" t="s">
        <v>37</v>
      </c>
      <c r="F1353" s="15" t="s">
        <v>17</v>
      </c>
      <c r="G1353" s="15" t="s">
        <v>31</v>
      </c>
      <c r="H1353" s="15" t="n">
        <v>4</v>
      </c>
      <c r="I1353" s="17" t="n">
        <v>0</v>
      </c>
      <c r="J1353" s="18" t="n">
        <v>597.92</v>
      </c>
      <c r="K1353" s="19" t="n">
        <v>130.24</v>
      </c>
      <c r="L1353" s="15" t="n">
        <f aca="false">YEAR(B1353)</f>
        <v>2024</v>
      </c>
      <c r="M1353" s="20" t="n">
        <f aca="false">IF(J1353&gt;0,K1353/J1353,0)</f>
        <v>0.217821782178218</v>
      </c>
    </row>
    <row r="1354" customFormat="false" ht="15" hidden="false" customHeight="false" outlineLevel="0" collapsed="false">
      <c r="A1354" s="15" t="s">
        <v>1411</v>
      </c>
      <c r="B1354" s="16" t="n">
        <v>45349</v>
      </c>
      <c r="C1354" s="15" t="s">
        <v>68</v>
      </c>
      <c r="D1354" s="15" t="s">
        <v>42</v>
      </c>
      <c r="E1354" s="15" t="s">
        <v>36</v>
      </c>
      <c r="F1354" s="15" t="s">
        <v>18</v>
      </c>
      <c r="G1354" s="15" t="s">
        <v>33</v>
      </c>
      <c r="H1354" s="15" t="n">
        <v>1</v>
      </c>
      <c r="I1354" s="17" t="n">
        <v>0.15</v>
      </c>
      <c r="J1354" s="18" t="n">
        <v>694.67</v>
      </c>
      <c r="K1354" s="19" t="n">
        <v>74.68</v>
      </c>
      <c r="L1354" s="15" t="n">
        <f aca="false">YEAR(B1354)</f>
        <v>2024</v>
      </c>
      <c r="M1354" s="20" t="n">
        <f aca="false">IF(J1354&gt;0,K1354/J1354,0)</f>
        <v>0.107504282609009</v>
      </c>
    </row>
    <row r="1355" customFormat="false" ht="15" hidden="false" customHeight="false" outlineLevel="0" collapsed="false">
      <c r="A1355" s="15" t="s">
        <v>1412</v>
      </c>
      <c r="B1355" s="16" t="n">
        <v>45885</v>
      </c>
      <c r="C1355" s="15" t="s">
        <v>56</v>
      </c>
      <c r="D1355" s="15" t="s">
        <v>43</v>
      </c>
      <c r="E1355" s="15" t="s">
        <v>39</v>
      </c>
      <c r="F1355" s="15" t="s">
        <v>18</v>
      </c>
      <c r="G1355" s="15" t="s">
        <v>32</v>
      </c>
      <c r="H1355" s="15" t="n">
        <v>6</v>
      </c>
      <c r="I1355" s="17" t="n">
        <v>0.1</v>
      </c>
      <c r="J1355" s="18" t="n">
        <v>3071.53</v>
      </c>
      <c r="K1355" s="19" t="n">
        <v>196.91</v>
      </c>
      <c r="L1355" s="15" t="n">
        <f aca="false">YEAR(B1355)</f>
        <v>2025</v>
      </c>
      <c r="M1355" s="20" t="n">
        <f aca="false">IF(J1355&gt;0,K1355/J1355,0)</f>
        <v>0.0641081154994416</v>
      </c>
    </row>
    <row r="1356" customFormat="false" ht="15" hidden="false" customHeight="false" outlineLevel="0" collapsed="false">
      <c r="A1356" s="15" t="s">
        <v>1413</v>
      </c>
      <c r="B1356" s="16" t="n">
        <v>45389</v>
      </c>
      <c r="C1356" s="15" t="s">
        <v>56</v>
      </c>
      <c r="D1356" s="15" t="s">
        <v>42</v>
      </c>
      <c r="E1356" s="15" t="s">
        <v>36</v>
      </c>
      <c r="F1356" s="15" t="s">
        <v>18</v>
      </c>
      <c r="G1356" s="15" t="s">
        <v>33</v>
      </c>
      <c r="H1356" s="15" t="n">
        <v>2</v>
      </c>
      <c r="I1356" s="17" t="n">
        <v>0</v>
      </c>
      <c r="J1356" s="18" t="n">
        <v>1616.09</v>
      </c>
      <c r="K1356" s="19" t="n">
        <v>461.98</v>
      </c>
      <c r="L1356" s="15" t="n">
        <f aca="false">YEAR(B1356)</f>
        <v>2024</v>
      </c>
      <c r="M1356" s="20" t="n">
        <f aca="false">IF(J1356&gt;0,K1356/J1356,0)</f>
        <v>0.285862792294984</v>
      </c>
    </row>
    <row r="1357" customFormat="false" ht="15" hidden="false" customHeight="false" outlineLevel="0" collapsed="false">
      <c r="A1357" s="15" t="s">
        <v>1414</v>
      </c>
      <c r="B1357" s="16" t="n">
        <v>44837</v>
      </c>
      <c r="C1357" s="15" t="s">
        <v>56</v>
      </c>
      <c r="D1357" s="15" t="s">
        <v>43</v>
      </c>
      <c r="E1357" s="15" t="s">
        <v>37</v>
      </c>
      <c r="F1357" s="15" t="s">
        <v>17</v>
      </c>
      <c r="G1357" s="15" t="s">
        <v>29</v>
      </c>
      <c r="H1357" s="15" t="n">
        <v>2</v>
      </c>
      <c r="I1357" s="17" t="n">
        <v>0</v>
      </c>
      <c r="J1357" s="18" t="n">
        <v>45.62</v>
      </c>
      <c r="K1357" s="19" t="n">
        <v>17.14</v>
      </c>
      <c r="L1357" s="15" t="n">
        <f aca="false">YEAR(B1357)</f>
        <v>2022</v>
      </c>
      <c r="M1357" s="20" t="n">
        <f aca="false">IF(J1357&gt;0,K1357/J1357,0)</f>
        <v>0.375712406839106</v>
      </c>
    </row>
    <row r="1358" customFormat="false" ht="15" hidden="false" customHeight="false" outlineLevel="0" collapsed="false">
      <c r="A1358" s="15" t="s">
        <v>1415</v>
      </c>
      <c r="B1358" s="16" t="n">
        <v>45999</v>
      </c>
      <c r="C1358" s="15" t="s">
        <v>56</v>
      </c>
      <c r="D1358" s="15" t="s">
        <v>43</v>
      </c>
      <c r="E1358" s="15" t="s">
        <v>39</v>
      </c>
      <c r="F1358" s="15" t="s">
        <v>17</v>
      </c>
      <c r="G1358" s="15" t="s">
        <v>28</v>
      </c>
      <c r="H1358" s="15" t="n">
        <v>2</v>
      </c>
      <c r="I1358" s="17" t="n">
        <v>0.05</v>
      </c>
      <c r="J1358" s="18" t="n">
        <v>55.95</v>
      </c>
      <c r="K1358" s="19" t="n">
        <v>20.17</v>
      </c>
      <c r="L1358" s="15" t="n">
        <f aca="false">YEAR(B1358)</f>
        <v>2025</v>
      </c>
      <c r="M1358" s="20" t="n">
        <f aca="false">IF(J1358&gt;0,K1358/J1358,0)</f>
        <v>0.360500446827525</v>
      </c>
    </row>
    <row r="1359" customFormat="false" ht="15" hidden="false" customHeight="false" outlineLevel="0" collapsed="false">
      <c r="A1359" s="15" t="s">
        <v>1416</v>
      </c>
      <c r="B1359" s="16" t="n">
        <v>45021</v>
      </c>
      <c r="C1359" s="15" t="s">
        <v>68</v>
      </c>
      <c r="D1359" s="15" t="s">
        <v>44</v>
      </c>
      <c r="E1359" s="15" t="s">
        <v>39</v>
      </c>
      <c r="F1359" s="15" t="s">
        <v>18</v>
      </c>
      <c r="G1359" s="15" t="s">
        <v>33</v>
      </c>
      <c r="H1359" s="15" t="n">
        <v>3</v>
      </c>
      <c r="I1359" s="17" t="n">
        <v>0.4</v>
      </c>
      <c r="J1359" s="18" t="n">
        <v>1809.27</v>
      </c>
      <c r="K1359" s="19" t="n">
        <v>-197.2</v>
      </c>
      <c r="L1359" s="15" t="n">
        <f aca="false">YEAR(B1359)</f>
        <v>2023</v>
      </c>
      <c r="M1359" s="20" t="n">
        <f aca="false">IF(J1359&gt;0,K1359/J1359,0)</f>
        <v>-0.108994235244049</v>
      </c>
    </row>
    <row r="1360" customFormat="false" ht="15" hidden="false" customHeight="false" outlineLevel="0" collapsed="false">
      <c r="A1360" s="15" t="s">
        <v>1417</v>
      </c>
      <c r="B1360" s="16" t="n">
        <v>45962</v>
      </c>
      <c r="C1360" s="15" t="s">
        <v>56</v>
      </c>
      <c r="D1360" s="15" t="s">
        <v>42</v>
      </c>
      <c r="E1360" s="15" t="s">
        <v>37</v>
      </c>
      <c r="F1360" s="15" t="s">
        <v>17</v>
      </c>
      <c r="G1360" s="15" t="s">
        <v>26</v>
      </c>
      <c r="H1360" s="15" t="n">
        <v>3</v>
      </c>
      <c r="I1360" s="17" t="n">
        <v>0.1</v>
      </c>
      <c r="J1360" s="18" t="n">
        <v>198.73</v>
      </c>
      <c r="K1360" s="19" t="n">
        <v>3.23</v>
      </c>
      <c r="L1360" s="15" t="n">
        <f aca="false">YEAR(B1360)</f>
        <v>2025</v>
      </c>
      <c r="M1360" s="20" t="n">
        <f aca="false">IF(J1360&gt;0,K1360/J1360,0)</f>
        <v>0.0162532078699743</v>
      </c>
    </row>
    <row r="1361" customFormat="false" ht="15" hidden="false" customHeight="false" outlineLevel="0" collapsed="false">
      <c r="A1361" s="15" t="s">
        <v>1418</v>
      </c>
      <c r="B1361" s="16" t="n">
        <v>45923</v>
      </c>
      <c r="C1361" s="15" t="s">
        <v>56</v>
      </c>
      <c r="D1361" s="15" t="s">
        <v>43</v>
      </c>
      <c r="E1361" s="15" t="s">
        <v>39</v>
      </c>
      <c r="F1361" s="15" t="s">
        <v>17</v>
      </c>
      <c r="G1361" s="15" t="s">
        <v>28</v>
      </c>
      <c r="H1361" s="15" t="n">
        <v>3</v>
      </c>
      <c r="I1361" s="17" t="n">
        <v>0.2</v>
      </c>
      <c r="J1361" s="18" t="n">
        <v>69.48</v>
      </c>
      <c r="K1361" s="19" t="n">
        <v>12.81</v>
      </c>
      <c r="L1361" s="15" t="n">
        <f aca="false">YEAR(B1361)</f>
        <v>2025</v>
      </c>
      <c r="M1361" s="20" t="n">
        <f aca="false">IF(J1361&gt;0,K1361/J1361,0)</f>
        <v>0.184369602763385</v>
      </c>
    </row>
    <row r="1362" customFormat="false" ht="15" hidden="false" customHeight="false" outlineLevel="0" collapsed="false">
      <c r="A1362" s="15" t="s">
        <v>1419</v>
      </c>
      <c r="B1362" s="16" t="n">
        <v>45456</v>
      </c>
      <c r="C1362" s="15" t="s">
        <v>71</v>
      </c>
      <c r="D1362" s="15" t="s">
        <v>43</v>
      </c>
      <c r="E1362" s="15" t="s">
        <v>37</v>
      </c>
      <c r="F1362" s="15" t="s">
        <v>17</v>
      </c>
      <c r="G1362" s="15" t="s">
        <v>28</v>
      </c>
      <c r="H1362" s="15" t="n">
        <v>2</v>
      </c>
      <c r="I1362" s="17" t="n">
        <v>0.1</v>
      </c>
      <c r="J1362" s="18" t="n">
        <v>40.89</v>
      </c>
      <c r="K1362" s="19" t="n">
        <v>8.72</v>
      </c>
      <c r="L1362" s="15" t="n">
        <f aca="false">YEAR(B1362)</f>
        <v>2024</v>
      </c>
      <c r="M1362" s="20" t="n">
        <f aca="false">IF(J1362&gt;0,K1362/J1362,0)</f>
        <v>0.213255074590364</v>
      </c>
    </row>
    <row r="1363" customFormat="false" ht="15" hidden="false" customHeight="false" outlineLevel="0" collapsed="false">
      <c r="A1363" s="15" t="s">
        <v>1420</v>
      </c>
      <c r="B1363" s="16" t="n">
        <v>45660</v>
      </c>
      <c r="C1363" s="15" t="s">
        <v>56</v>
      </c>
      <c r="D1363" s="15" t="s">
        <v>43</v>
      </c>
      <c r="E1363" s="15" t="s">
        <v>39</v>
      </c>
      <c r="F1363" s="15" t="s">
        <v>17</v>
      </c>
      <c r="G1363" s="15" t="s">
        <v>28</v>
      </c>
      <c r="H1363" s="15" t="n">
        <v>7</v>
      </c>
      <c r="I1363" s="17" t="n">
        <v>0.15</v>
      </c>
      <c r="J1363" s="18" t="n">
        <v>178.32</v>
      </c>
      <c r="K1363" s="19" t="n">
        <v>21.62</v>
      </c>
      <c r="L1363" s="15" t="n">
        <f aca="false">YEAR(B1363)</f>
        <v>2025</v>
      </c>
      <c r="M1363" s="20" t="n">
        <f aca="false">IF(J1363&gt;0,K1363/J1363,0)</f>
        <v>0.121242709735307</v>
      </c>
    </row>
    <row r="1364" customFormat="false" ht="15" hidden="false" customHeight="false" outlineLevel="0" collapsed="false">
      <c r="A1364" s="15" t="s">
        <v>1421</v>
      </c>
      <c r="B1364" s="16" t="n">
        <v>44675</v>
      </c>
      <c r="C1364" s="15" t="s">
        <v>68</v>
      </c>
      <c r="D1364" s="15" t="s">
        <v>43</v>
      </c>
      <c r="E1364" s="15" t="s">
        <v>37</v>
      </c>
      <c r="F1364" s="15" t="s">
        <v>16</v>
      </c>
      <c r="G1364" s="15" t="s">
        <v>23</v>
      </c>
      <c r="H1364" s="15" t="n">
        <v>2</v>
      </c>
      <c r="I1364" s="17" t="n">
        <v>0.3</v>
      </c>
      <c r="J1364" s="18" t="n">
        <v>429.99</v>
      </c>
      <c r="K1364" s="19" t="n">
        <v>-125.72</v>
      </c>
      <c r="L1364" s="15" t="n">
        <f aca="false">YEAR(B1364)</f>
        <v>2022</v>
      </c>
      <c r="M1364" s="20" t="n">
        <f aca="false">IF(J1364&gt;0,K1364/J1364,0)</f>
        <v>-0.292378892532384</v>
      </c>
    </row>
    <row r="1365" customFormat="false" ht="15" hidden="false" customHeight="false" outlineLevel="0" collapsed="false">
      <c r="A1365" s="15" t="s">
        <v>1422</v>
      </c>
      <c r="B1365" s="16" t="n">
        <v>45894</v>
      </c>
      <c r="C1365" s="15" t="s">
        <v>68</v>
      </c>
      <c r="D1365" s="15" t="s">
        <v>44</v>
      </c>
      <c r="E1365" s="15" t="s">
        <v>37</v>
      </c>
      <c r="F1365" s="15" t="s">
        <v>17</v>
      </c>
      <c r="G1365" s="15" t="s">
        <v>29</v>
      </c>
      <c r="H1365" s="15" t="n">
        <v>5</v>
      </c>
      <c r="I1365" s="17" t="n">
        <v>0</v>
      </c>
      <c r="J1365" s="18" t="n">
        <v>100.11</v>
      </c>
      <c r="K1365" s="19" t="n">
        <v>29.58</v>
      </c>
      <c r="L1365" s="15" t="n">
        <f aca="false">YEAR(B1365)</f>
        <v>2025</v>
      </c>
      <c r="M1365" s="20" t="n">
        <f aca="false">IF(J1365&gt;0,K1365/J1365,0)</f>
        <v>0.295474977524723</v>
      </c>
    </row>
    <row r="1366" customFormat="false" ht="15" hidden="false" customHeight="false" outlineLevel="0" collapsed="false">
      <c r="A1366" s="15" t="s">
        <v>1423</v>
      </c>
      <c r="B1366" s="16" t="n">
        <v>46015</v>
      </c>
      <c r="C1366" s="15" t="s">
        <v>56</v>
      </c>
      <c r="D1366" s="15" t="s">
        <v>42</v>
      </c>
      <c r="E1366" s="15" t="s">
        <v>36</v>
      </c>
      <c r="F1366" s="15" t="s">
        <v>17</v>
      </c>
      <c r="G1366" s="15" t="s">
        <v>28</v>
      </c>
      <c r="H1366" s="15" t="n">
        <v>4</v>
      </c>
      <c r="I1366" s="17" t="n">
        <v>0</v>
      </c>
      <c r="J1366" s="18" t="n">
        <v>91.53</v>
      </c>
      <c r="K1366" s="19" t="n">
        <v>24.02</v>
      </c>
      <c r="L1366" s="15" t="n">
        <f aca="false">YEAR(B1366)</f>
        <v>2025</v>
      </c>
      <c r="M1366" s="20" t="n">
        <f aca="false">IF(J1366&gt;0,K1366/J1366,0)</f>
        <v>0.262427619359773</v>
      </c>
    </row>
    <row r="1367" customFormat="false" ht="15" hidden="false" customHeight="false" outlineLevel="0" collapsed="false">
      <c r="A1367" s="15" t="s">
        <v>1424</v>
      </c>
      <c r="B1367" s="16" t="n">
        <v>45688</v>
      </c>
      <c r="C1367" s="15" t="s">
        <v>68</v>
      </c>
      <c r="D1367" s="15" t="s">
        <v>42</v>
      </c>
      <c r="E1367" s="15" t="s">
        <v>37</v>
      </c>
      <c r="F1367" s="15" t="s">
        <v>17</v>
      </c>
      <c r="G1367" s="15" t="s">
        <v>28</v>
      </c>
      <c r="H1367" s="15" t="n">
        <v>5</v>
      </c>
      <c r="I1367" s="17" t="n">
        <v>0</v>
      </c>
      <c r="J1367" s="18" t="n">
        <v>133.64</v>
      </c>
      <c r="K1367" s="19" t="n">
        <v>42.05</v>
      </c>
      <c r="L1367" s="15" t="n">
        <f aca="false">YEAR(B1367)</f>
        <v>2025</v>
      </c>
      <c r="M1367" s="20" t="n">
        <f aca="false">IF(J1367&gt;0,K1367/J1367,0)</f>
        <v>0.314651302005388</v>
      </c>
    </row>
    <row r="1368" customFormat="false" ht="15" hidden="false" customHeight="false" outlineLevel="0" collapsed="false">
      <c r="A1368" s="15" t="s">
        <v>1425</v>
      </c>
      <c r="B1368" s="16" t="n">
        <v>45221</v>
      </c>
      <c r="C1368" s="15" t="s">
        <v>56</v>
      </c>
      <c r="D1368" s="15" t="s">
        <v>42</v>
      </c>
      <c r="E1368" s="15" t="s">
        <v>36</v>
      </c>
      <c r="F1368" s="15" t="s">
        <v>17</v>
      </c>
      <c r="G1368" s="15" t="s">
        <v>26</v>
      </c>
      <c r="H1368" s="15" t="n">
        <v>2</v>
      </c>
      <c r="I1368" s="17" t="n">
        <v>0.2</v>
      </c>
      <c r="J1368" s="18" t="n">
        <v>121.85</v>
      </c>
      <c r="K1368" s="19" t="n">
        <v>-10.78</v>
      </c>
      <c r="L1368" s="15" t="n">
        <f aca="false">YEAR(B1368)</f>
        <v>2023</v>
      </c>
      <c r="M1368" s="20" t="n">
        <f aca="false">IF(J1368&gt;0,K1368/J1368,0)</f>
        <v>-0.0884694296265901</v>
      </c>
    </row>
    <row r="1369" customFormat="false" ht="15" hidden="false" customHeight="false" outlineLevel="0" collapsed="false">
      <c r="A1369" s="15" t="s">
        <v>1426</v>
      </c>
      <c r="B1369" s="16" t="n">
        <v>44615</v>
      </c>
      <c r="C1369" s="15" t="s">
        <v>71</v>
      </c>
      <c r="D1369" s="15" t="s">
        <v>42</v>
      </c>
      <c r="E1369" s="15" t="s">
        <v>37</v>
      </c>
      <c r="F1369" s="15" t="s">
        <v>17</v>
      </c>
      <c r="G1369" s="15" t="s">
        <v>28</v>
      </c>
      <c r="H1369" s="15" t="n">
        <v>3</v>
      </c>
      <c r="I1369" s="17" t="n">
        <v>0.2</v>
      </c>
      <c r="J1369" s="18" t="n">
        <v>63.3</v>
      </c>
      <c r="K1369" s="19" t="n">
        <v>7.09</v>
      </c>
      <c r="L1369" s="15" t="n">
        <f aca="false">YEAR(B1369)</f>
        <v>2022</v>
      </c>
      <c r="M1369" s="20" t="n">
        <f aca="false">IF(J1369&gt;0,K1369/J1369,0)</f>
        <v>0.112006319115324</v>
      </c>
    </row>
    <row r="1370" customFormat="false" ht="15" hidden="false" customHeight="false" outlineLevel="0" collapsed="false">
      <c r="A1370" s="15" t="s">
        <v>1427</v>
      </c>
      <c r="B1370" s="16" t="n">
        <v>44600</v>
      </c>
      <c r="C1370" s="15" t="s">
        <v>71</v>
      </c>
      <c r="D1370" s="15" t="s">
        <v>43</v>
      </c>
      <c r="E1370" s="15" t="s">
        <v>39</v>
      </c>
      <c r="F1370" s="15" t="s">
        <v>16</v>
      </c>
      <c r="G1370" s="15" t="s">
        <v>27</v>
      </c>
      <c r="H1370" s="15" t="n">
        <v>3</v>
      </c>
      <c r="I1370" s="17" t="n">
        <v>0.1</v>
      </c>
      <c r="J1370" s="18" t="n">
        <v>179.91</v>
      </c>
      <c r="K1370" s="19" t="n">
        <v>17.75</v>
      </c>
      <c r="L1370" s="15" t="n">
        <f aca="false">YEAR(B1370)</f>
        <v>2022</v>
      </c>
      <c r="M1370" s="20" t="n">
        <f aca="false">IF(J1370&gt;0,K1370/J1370,0)</f>
        <v>0.098660441331777</v>
      </c>
    </row>
    <row r="1371" customFormat="false" ht="15" hidden="false" customHeight="false" outlineLevel="0" collapsed="false">
      <c r="A1371" s="15" t="s">
        <v>1428</v>
      </c>
      <c r="B1371" s="16" t="n">
        <v>45110</v>
      </c>
      <c r="C1371" s="15" t="s">
        <v>68</v>
      </c>
      <c r="D1371" s="15" t="s">
        <v>42</v>
      </c>
      <c r="E1371" s="15" t="s">
        <v>36</v>
      </c>
      <c r="F1371" s="15" t="s">
        <v>17</v>
      </c>
      <c r="G1371" s="15" t="s">
        <v>29</v>
      </c>
      <c r="H1371" s="15" t="n">
        <v>2</v>
      </c>
      <c r="I1371" s="17" t="n">
        <v>0</v>
      </c>
      <c r="J1371" s="18" t="n">
        <v>32.7</v>
      </c>
      <c r="K1371" s="19" t="n">
        <v>12.67</v>
      </c>
      <c r="L1371" s="15" t="n">
        <f aca="false">YEAR(B1371)</f>
        <v>2023</v>
      </c>
      <c r="M1371" s="20" t="n">
        <f aca="false">IF(J1371&gt;0,K1371/J1371,0)</f>
        <v>0.387461773700306</v>
      </c>
    </row>
    <row r="1372" customFormat="false" ht="15" hidden="false" customHeight="false" outlineLevel="0" collapsed="false">
      <c r="A1372" s="15" t="s">
        <v>1429</v>
      </c>
      <c r="B1372" s="16" t="n">
        <v>45729</v>
      </c>
      <c r="C1372" s="15" t="s">
        <v>56</v>
      </c>
      <c r="D1372" s="15" t="s">
        <v>43</v>
      </c>
      <c r="E1372" s="15" t="s">
        <v>39</v>
      </c>
      <c r="F1372" s="15" t="s">
        <v>18</v>
      </c>
      <c r="G1372" s="15" t="s">
        <v>32</v>
      </c>
      <c r="H1372" s="15" t="n">
        <v>5</v>
      </c>
      <c r="I1372" s="17" t="n">
        <v>0.05</v>
      </c>
      <c r="J1372" s="18" t="n">
        <v>1743.01</v>
      </c>
      <c r="K1372" s="19" t="n">
        <v>362.03</v>
      </c>
      <c r="L1372" s="15" t="n">
        <f aca="false">YEAR(B1372)</f>
        <v>2025</v>
      </c>
      <c r="M1372" s="20" t="n">
        <f aca="false">IF(J1372&gt;0,K1372/J1372,0)</f>
        <v>0.207703914492745</v>
      </c>
    </row>
    <row r="1373" customFormat="false" ht="15" hidden="false" customHeight="false" outlineLevel="0" collapsed="false">
      <c r="A1373" s="15" t="s">
        <v>1430</v>
      </c>
      <c r="B1373" s="16" t="n">
        <v>44865</v>
      </c>
      <c r="C1373" s="15" t="s">
        <v>58</v>
      </c>
      <c r="D1373" s="15" t="s">
        <v>42</v>
      </c>
      <c r="E1373" s="15" t="s">
        <v>37</v>
      </c>
      <c r="F1373" s="15" t="s">
        <v>17</v>
      </c>
      <c r="G1373" s="15" t="s">
        <v>29</v>
      </c>
      <c r="H1373" s="15" t="n">
        <v>3</v>
      </c>
      <c r="I1373" s="17" t="n">
        <v>0</v>
      </c>
      <c r="J1373" s="18" t="n">
        <v>48.6</v>
      </c>
      <c r="K1373" s="19" t="n">
        <v>17</v>
      </c>
      <c r="L1373" s="15" t="n">
        <f aca="false">YEAR(B1373)</f>
        <v>2022</v>
      </c>
      <c r="M1373" s="20" t="n">
        <f aca="false">IF(J1373&gt;0,K1373/J1373,0)</f>
        <v>0.349794238683128</v>
      </c>
    </row>
    <row r="1374" customFormat="false" ht="15" hidden="false" customHeight="false" outlineLevel="0" collapsed="false">
      <c r="A1374" s="15" t="s">
        <v>1431</v>
      </c>
      <c r="B1374" s="16" t="n">
        <v>45752</v>
      </c>
      <c r="C1374" s="15" t="s">
        <v>56</v>
      </c>
      <c r="D1374" s="15" t="s">
        <v>43</v>
      </c>
      <c r="E1374" s="15" t="s">
        <v>37</v>
      </c>
      <c r="F1374" s="15" t="s">
        <v>16</v>
      </c>
      <c r="G1374" s="15" t="s">
        <v>25</v>
      </c>
      <c r="H1374" s="15" t="n">
        <v>3</v>
      </c>
      <c r="I1374" s="17" t="n">
        <v>0.5</v>
      </c>
      <c r="J1374" s="18" t="n">
        <v>470.45</v>
      </c>
      <c r="K1374" s="19" t="n">
        <v>-132.47</v>
      </c>
      <c r="L1374" s="15" t="n">
        <f aca="false">YEAR(B1374)</f>
        <v>2025</v>
      </c>
      <c r="M1374" s="20" t="n">
        <f aca="false">IF(J1374&gt;0,K1374/J1374,0)</f>
        <v>-0.281581464555213</v>
      </c>
    </row>
    <row r="1375" customFormat="false" ht="15" hidden="false" customHeight="false" outlineLevel="0" collapsed="false">
      <c r="A1375" s="15" t="s">
        <v>1432</v>
      </c>
      <c r="B1375" s="16" t="n">
        <v>44562</v>
      </c>
      <c r="C1375" s="15" t="s">
        <v>68</v>
      </c>
      <c r="D1375" s="15" t="s">
        <v>43</v>
      </c>
      <c r="E1375" s="15" t="s">
        <v>39</v>
      </c>
      <c r="F1375" s="15" t="s">
        <v>17</v>
      </c>
      <c r="G1375" s="15" t="s">
        <v>26</v>
      </c>
      <c r="H1375" s="15" t="n">
        <v>3</v>
      </c>
      <c r="I1375" s="17" t="n">
        <v>0.15</v>
      </c>
      <c r="J1375" s="18" t="n">
        <v>211.45</v>
      </c>
      <c r="K1375" s="19" t="n">
        <v>-7.23</v>
      </c>
      <c r="L1375" s="15" t="n">
        <f aca="false">YEAR(B1375)</f>
        <v>2022</v>
      </c>
      <c r="M1375" s="20" t="n">
        <f aca="false">IF(J1375&gt;0,K1375/J1375,0)</f>
        <v>-0.034192480491842</v>
      </c>
    </row>
    <row r="1376" customFormat="false" ht="15" hidden="false" customHeight="false" outlineLevel="0" collapsed="false">
      <c r="A1376" s="15" t="s">
        <v>1433</v>
      </c>
      <c r="B1376" s="16" t="n">
        <v>45198</v>
      </c>
      <c r="C1376" s="15" t="s">
        <v>56</v>
      </c>
      <c r="D1376" s="15" t="s">
        <v>42</v>
      </c>
      <c r="E1376" s="15" t="s">
        <v>38</v>
      </c>
      <c r="F1376" s="15" t="s">
        <v>16</v>
      </c>
      <c r="G1376" s="15" t="s">
        <v>25</v>
      </c>
      <c r="H1376" s="15" t="n">
        <v>3</v>
      </c>
      <c r="I1376" s="17" t="n">
        <v>0.05</v>
      </c>
      <c r="J1376" s="18" t="n">
        <v>680.09</v>
      </c>
      <c r="K1376" s="19" t="n">
        <v>9.33</v>
      </c>
      <c r="L1376" s="15" t="n">
        <f aca="false">YEAR(B1376)</f>
        <v>2023</v>
      </c>
      <c r="M1376" s="20" t="n">
        <f aca="false">IF(J1376&gt;0,K1376/J1376,0)</f>
        <v>0.0137187725154024</v>
      </c>
    </row>
    <row r="1377" customFormat="false" ht="15" hidden="false" customHeight="false" outlineLevel="0" collapsed="false">
      <c r="A1377" s="15" t="s">
        <v>1434</v>
      </c>
      <c r="B1377" s="16" t="n">
        <v>45691</v>
      </c>
      <c r="C1377" s="15" t="s">
        <v>58</v>
      </c>
      <c r="D1377" s="15" t="s">
        <v>43</v>
      </c>
      <c r="E1377" s="15" t="s">
        <v>38</v>
      </c>
      <c r="F1377" s="15" t="s">
        <v>17</v>
      </c>
      <c r="G1377" s="15" t="s">
        <v>28</v>
      </c>
      <c r="H1377" s="15" t="n">
        <v>6</v>
      </c>
      <c r="I1377" s="17" t="n">
        <v>0.05</v>
      </c>
      <c r="J1377" s="18" t="n">
        <v>147.91</v>
      </c>
      <c r="K1377" s="19" t="n">
        <v>47.84</v>
      </c>
      <c r="L1377" s="15" t="n">
        <f aca="false">YEAR(B1377)</f>
        <v>2025</v>
      </c>
      <c r="M1377" s="20" t="n">
        <f aca="false">IF(J1377&gt;0,K1377/J1377,0)</f>
        <v>0.323439929686972</v>
      </c>
    </row>
    <row r="1378" customFormat="false" ht="15" hidden="false" customHeight="false" outlineLevel="0" collapsed="false">
      <c r="A1378" s="15" t="s">
        <v>1435</v>
      </c>
      <c r="B1378" s="16" t="n">
        <v>45167</v>
      </c>
      <c r="C1378" s="15" t="s">
        <v>71</v>
      </c>
      <c r="D1378" s="15" t="s">
        <v>44</v>
      </c>
      <c r="E1378" s="15" t="s">
        <v>39</v>
      </c>
      <c r="F1378" s="15" t="s">
        <v>17</v>
      </c>
      <c r="G1378" s="15" t="s">
        <v>31</v>
      </c>
      <c r="H1378" s="15" t="n">
        <v>6</v>
      </c>
      <c r="I1378" s="17" t="n">
        <v>0</v>
      </c>
      <c r="J1378" s="18" t="n">
        <v>840.49</v>
      </c>
      <c r="K1378" s="19" t="n">
        <v>174.01</v>
      </c>
      <c r="L1378" s="15" t="n">
        <f aca="false">YEAR(B1378)</f>
        <v>2023</v>
      </c>
      <c r="M1378" s="20" t="n">
        <f aca="false">IF(J1378&gt;0,K1378/J1378,0)</f>
        <v>0.207033992076051</v>
      </c>
    </row>
    <row r="1379" customFormat="false" ht="15" hidden="false" customHeight="false" outlineLevel="0" collapsed="false">
      <c r="A1379" s="15" t="s">
        <v>1436</v>
      </c>
      <c r="B1379" s="16" t="n">
        <v>45285</v>
      </c>
      <c r="C1379" s="15" t="s">
        <v>56</v>
      </c>
      <c r="D1379" s="15" t="s">
        <v>43</v>
      </c>
      <c r="E1379" s="15" t="s">
        <v>36</v>
      </c>
      <c r="F1379" s="15" t="s">
        <v>17</v>
      </c>
      <c r="G1379" s="15" t="s">
        <v>28</v>
      </c>
      <c r="H1379" s="15" t="n">
        <v>2</v>
      </c>
      <c r="I1379" s="17" t="n">
        <v>0.05</v>
      </c>
      <c r="J1379" s="18" t="n">
        <v>48.9</v>
      </c>
      <c r="K1379" s="19" t="n">
        <v>12.74</v>
      </c>
      <c r="L1379" s="15" t="n">
        <f aca="false">YEAR(B1379)</f>
        <v>2023</v>
      </c>
      <c r="M1379" s="20" t="n">
        <f aca="false">IF(J1379&gt;0,K1379/J1379,0)</f>
        <v>0.260531697341513</v>
      </c>
    </row>
    <row r="1380" customFormat="false" ht="15" hidden="false" customHeight="false" outlineLevel="0" collapsed="false">
      <c r="A1380" s="15" t="s">
        <v>1437</v>
      </c>
      <c r="B1380" s="16" t="n">
        <v>45794</v>
      </c>
      <c r="C1380" s="15" t="s">
        <v>56</v>
      </c>
      <c r="D1380" s="15" t="s">
        <v>42</v>
      </c>
      <c r="E1380" s="15" t="s">
        <v>37</v>
      </c>
      <c r="F1380" s="15" t="s">
        <v>17</v>
      </c>
      <c r="G1380" s="15" t="s">
        <v>29</v>
      </c>
      <c r="H1380" s="15" t="n">
        <v>3</v>
      </c>
      <c r="I1380" s="17" t="n">
        <v>0.1</v>
      </c>
      <c r="J1380" s="18" t="n">
        <v>58.29</v>
      </c>
      <c r="K1380" s="19" t="n">
        <v>14.34</v>
      </c>
      <c r="L1380" s="15" t="n">
        <f aca="false">YEAR(B1380)</f>
        <v>2025</v>
      </c>
      <c r="M1380" s="20" t="n">
        <f aca="false">IF(J1380&gt;0,K1380/J1380,0)</f>
        <v>0.246011322696861</v>
      </c>
    </row>
    <row r="1381" customFormat="false" ht="15" hidden="false" customHeight="false" outlineLevel="0" collapsed="false">
      <c r="A1381" s="15" t="s">
        <v>1438</v>
      </c>
      <c r="B1381" s="16" t="n">
        <v>46009</v>
      </c>
      <c r="C1381" s="15" t="s">
        <v>58</v>
      </c>
      <c r="D1381" s="15" t="s">
        <v>43</v>
      </c>
      <c r="E1381" s="15" t="s">
        <v>39</v>
      </c>
      <c r="F1381" s="15" t="s">
        <v>17</v>
      </c>
      <c r="G1381" s="15" t="s">
        <v>29</v>
      </c>
      <c r="H1381" s="15" t="n">
        <v>2</v>
      </c>
      <c r="I1381" s="17" t="n">
        <v>0.2</v>
      </c>
      <c r="J1381" s="18" t="n">
        <v>27.43</v>
      </c>
      <c r="K1381" s="19" t="n">
        <v>6.96</v>
      </c>
      <c r="L1381" s="15" t="n">
        <f aca="false">YEAR(B1381)</f>
        <v>2025</v>
      </c>
      <c r="M1381" s="20" t="n">
        <f aca="false">IF(J1381&gt;0,K1381/J1381,0)</f>
        <v>0.253736784542472</v>
      </c>
    </row>
    <row r="1382" customFormat="false" ht="15" hidden="false" customHeight="false" outlineLevel="0" collapsed="false">
      <c r="A1382" s="15" t="s">
        <v>1439</v>
      </c>
      <c r="B1382" s="16" t="n">
        <v>45785</v>
      </c>
      <c r="C1382" s="15" t="s">
        <v>56</v>
      </c>
      <c r="D1382" s="15" t="s">
        <v>42</v>
      </c>
      <c r="E1382" s="15" t="s">
        <v>38</v>
      </c>
      <c r="F1382" s="15" t="s">
        <v>17</v>
      </c>
      <c r="G1382" s="15" t="s">
        <v>29</v>
      </c>
      <c r="H1382" s="15" t="n">
        <v>3</v>
      </c>
      <c r="I1382" s="17" t="n">
        <v>0</v>
      </c>
      <c r="J1382" s="18" t="n">
        <v>47.72</v>
      </c>
      <c r="K1382" s="19" t="n">
        <v>17.67</v>
      </c>
      <c r="L1382" s="15" t="n">
        <f aca="false">YEAR(B1382)</f>
        <v>2025</v>
      </c>
      <c r="M1382" s="20" t="n">
        <f aca="false">IF(J1382&gt;0,K1382/J1382,0)</f>
        <v>0.370284995808885</v>
      </c>
    </row>
    <row r="1383" customFormat="false" ht="15" hidden="false" customHeight="false" outlineLevel="0" collapsed="false">
      <c r="A1383" s="15" t="s">
        <v>1440</v>
      </c>
      <c r="B1383" s="16" t="n">
        <v>45497</v>
      </c>
      <c r="C1383" s="15" t="s">
        <v>68</v>
      </c>
      <c r="D1383" s="15" t="s">
        <v>42</v>
      </c>
      <c r="E1383" s="15" t="s">
        <v>36</v>
      </c>
      <c r="F1383" s="15" t="s">
        <v>17</v>
      </c>
      <c r="G1383" s="15" t="s">
        <v>31</v>
      </c>
      <c r="H1383" s="15" t="n">
        <v>2</v>
      </c>
      <c r="I1383" s="17" t="n">
        <v>0.1</v>
      </c>
      <c r="J1383" s="18" t="n">
        <v>253.96</v>
      </c>
      <c r="K1383" s="19" t="n">
        <v>30.02</v>
      </c>
      <c r="L1383" s="15" t="n">
        <f aca="false">YEAR(B1383)</f>
        <v>2024</v>
      </c>
      <c r="M1383" s="20" t="n">
        <f aca="false">IF(J1383&gt;0,K1383/J1383,0)</f>
        <v>0.118207591746732</v>
      </c>
    </row>
    <row r="1384" customFormat="false" ht="15" hidden="false" customHeight="false" outlineLevel="0" collapsed="false">
      <c r="A1384" s="15" t="s">
        <v>1441</v>
      </c>
      <c r="B1384" s="16" t="n">
        <v>45125</v>
      </c>
      <c r="C1384" s="15" t="s">
        <v>56</v>
      </c>
      <c r="D1384" s="15" t="s">
        <v>42</v>
      </c>
      <c r="E1384" s="15" t="s">
        <v>37</v>
      </c>
      <c r="F1384" s="15" t="s">
        <v>16</v>
      </c>
      <c r="G1384" s="15" t="s">
        <v>27</v>
      </c>
      <c r="H1384" s="15" t="n">
        <v>4</v>
      </c>
      <c r="I1384" s="17" t="n">
        <v>0.3</v>
      </c>
      <c r="J1384" s="18" t="n">
        <v>155.39</v>
      </c>
      <c r="K1384" s="19" t="n">
        <v>-5.07</v>
      </c>
      <c r="L1384" s="15" t="n">
        <f aca="false">YEAR(B1384)</f>
        <v>2023</v>
      </c>
      <c r="M1384" s="20" t="n">
        <f aca="false">IF(J1384&gt;0,K1384/J1384,0)</f>
        <v>-0.0326275822124976</v>
      </c>
    </row>
    <row r="1385" customFormat="false" ht="15" hidden="false" customHeight="false" outlineLevel="0" collapsed="false">
      <c r="A1385" s="15" t="s">
        <v>1442</v>
      </c>
      <c r="B1385" s="16" t="n">
        <v>45424</v>
      </c>
      <c r="C1385" s="15" t="s">
        <v>58</v>
      </c>
      <c r="D1385" s="15" t="s">
        <v>42</v>
      </c>
      <c r="E1385" s="15" t="s">
        <v>37</v>
      </c>
      <c r="F1385" s="15" t="s">
        <v>18</v>
      </c>
      <c r="G1385" s="15" t="s">
        <v>32</v>
      </c>
      <c r="H1385" s="15" t="n">
        <v>4</v>
      </c>
      <c r="I1385" s="17" t="n">
        <v>0.2</v>
      </c>
      <c r="J1385" s="18" t="n">
        <v>1617.37</v>
      </c>
      <c r="K1385" s="19" t="n">
        <v>25.15</v>
      </c>
      <c r="L1385" s="15" t="n">
        <f aca="false">YEAR(B1385)</f>
        <v>2024</v>
      </c>
      <c r="M1385" s="20" t="n">
        <f aca="false">IF(J1385&gt;0,K1385/J1385,0)</f>
        <v>0.0155499360072216</v>
      </c>
    </row>
    <row r="1386" customFormat="false" ht="15" hidden="false" customHeight="false" outlineLevel="0" collapsed="false">
      <c r="A1386" s="15" t="s">
        <v>1443</v>
      </c>
      <c r="B1386" s="16" t="n">
        <v>45662</v>
      </c>
      <c r="C1386" s="15" t="s">
        <v>58</v>
      </c>
      <c r="D1386" s="15" t="s">
        <v>43</v>
      </c>
      <c r="E1386" s="15" t="s">
        <v>39</v>
      </c>
      <c r="F1386" s="15" t="s">
        <v>16</v>
      </c>
      <c r="G1386" s="15" t="s">
        <v>27</v>
      </c>
      <c r="H1386" s="15" t="n">
        <v>3</v>
      </c>
      <c r="I1386" s="17" t="n">
        <v>0</v>
      </c>
      <c r="J1386" s="18" t="n">
        <v>273.81</v>
      </c>
      <c r="K1386" s="19" t="n">
        <v>42.99</v>
      </c>
      <c r="L1386" s="15" t="n">
        <f aca="false">YEAR(B1386)</f>
        <v>2025</v>
      </c>
      <c r="M1386" s="20" t="n">
        <f aca="false">IF(J1386&gt;0,K1386/J1386,0)</f>
        <v>0.157006683466637</v>
      </c>
    </row>
    <row r="1387" customFormat="false" ht="15" hidden="false" customHeight="false" outlineLevel="0" collapsed="false">
      <c r="A1387" s="15" t="s">
        <v>1444</v>
      </c>
      <c r="B1387" s="16" t="n">
        <v>45898</v>
      </c>
      <c r="C1387" s="15" t="s">
        <v>56</v>
      </c>
      <c r="D1387" s="15" t="s">
        <v>44</v>
      </c>
      <c r="E1387" s="15" t="s">
        <v>38</v>
      </c>
      <c r="F1387" s="15" t="s">
        <v>17</v>
      </c>
      <c r="G1387" s="15" t="s">
        <v>31</v>
      </c>
      <c r="H1387" s="15" t="n">
        <v>3</v>
      </c>
      <c r="I1387" s="17" t="n">
        <v>0.3</v>
      </c>
      <c r="J1387" s="18" t="n">
        <v>208.66</v>
      </c>
      <c r="K1387" s="19" t="n">
        <v>-20.67</v>
      </c>
      <c r="L1387" s="15" t="n">
        <f aca="false">YEAR(B1387)</f>
        <v>2025</v>
      </c>
      <c r="M1387" s="20" t="n">
        <f aca="false">IF(J1387&gt;0,K1387/J1387,0)</f>
        <v>-0.0990606728649478</v>
      </c>
    </row>
    <row r="1388" customFormat="false" ht="15" hidden="false" customHeight="false" outlineLevel="0" collapsed="false">
      <c r="A1388" s="15" t="s">
        <v>1445</v>
      </c>
      <c r="B1388" s="16" t="n">
        <v>45500</v>
      </c>
      <c r="C1388" s="15" t="s">
        <v>68</v>
      </c>
      <c r="D1388" s="15" t="s">
        <v>43</v>
      </c>
      <c r="E1388" s="15" t="s">
        <v>38</v>
      </c>
      <c r="F1388" s="15" t="s">
        <v>16</v>
      </c>
      <c r="G1388" s="15" t="s">
        <v>27</v>
      </c>
      <c r="H1388" s="15" t="n">
        <v>2</v>
      </c>
      <c r="I1388" s="17" t="n">
        <v>0.05</v>
      </c>
      <c r="J1388" s="18" t="n">
        <v>120.46</v>
      </c>
      <c r="K1388" s="19" t="n">
        <v>22.97</v>
      </c>
      <c r="L1388" s="15" t="n">
        <f aca="false">YEAR(B1388)</f>
        <v>2024</v>
      </c>
      <c r="M1388" s="20" t="n">
        <f aca="false">IF(J1388&gt;0,K1388/J1388,0)</f>
        <v>0.190685704798273</v>
      </c>
    </row>
    <row r="1389" customFormat="false" ht="15" hidden="false" customHeight="false" outlineLevel="0" collapsed="false">
      <c r="A1389" s="15" t="s">
        <v>1446</v>
      </c>
      <c r="B1389" s="16" t="n">
        <v>45997</v>
      </c>
      <c r="C1389" s="15" t="s">
        <v>58</v>
      </c>
      <c r="D1389" s="15" t="s">
        <v>43</v>
      </c>
      <c r="E1389" s="15" t="s">
        <v>36</v>
      </c>
      <c r="F1389" s="15" t="s">
        <v>17</v>
      </c>
      <c r="G1389" s="15" t="s">
        <v>31</v>
      </c>
      <c r="H1389" s="15" t="n">
        <v>1</v>
      </c>
      <c r="I1389" s="17" t="n">
        <v>0.05</v>
      </c>
      <c r="J1389" s="18" t="n">
        <v>109.97</v>
      </c>
      <c r="K1389" s="19" t="n">
        <v>19.16</v>
      </c>
      <c r="L1389" s="15" t="n">
        <f aca="false">YEAR(B1389)</f>
        <v>2025</v>
      </c>
      <c r="M1389" s="20" t="n">
        <f aca="false">IF(J1389&gt;0,K1389/J1389,0)</f>
        <v>0.174229335273256</v>
      </c>
    </row>
    <row r="1390" customFormat="false" ht="15" hidden="false" customHeight="false" outlineLevel="0" collapsed="false">
      <c r="A1390" s="15" t="s">
        <v>1447</v>
      </c>
      <c r="B1390" s="16" t="n">
        <v>45102</v>
      </c>
      <c r="C1390" s="15" t="s">
        <v>56</v>
      </c>
      <c r="D1390" s="15" t="s">
        <v>42</v>
      </c>
      <c r="E1390" s="15" t="s">
        <v>38</v>
      </c>
      <c r="F1390" s="15" t="s">
        <v>17</v>
      </c>
      <c r="G1390" s="15" t="s">
        <v>28</v>
      </c>
      <c r="H1390" s="15" t="n">
        <v>3</v>
      </c>
      <c r="I1390" s="17" t="n">
        <v>0.15</v>
      </c>
      <c r="J1390" s="18" t="n">
        <v>47.5</v>
      </c>
      <c r="K1390" s="19" t="n">
        <v>7.46</v>
      </c>
      <c r="L1390" s="15" t="n">
        <f aca="false">YEAR(B1390)</f>
        <v>2023</v>
      </c>
      <c r="M1390" s="20" t="n">
        <f aca="false">IF(J1390&gt;0,K1390/J1390,0)</f>
        <v>0.157052631578947</v>
      </c>
    </row>
    <row r="1391" customFormat="false" ht="15" hidden="false" customHeight="false" outlineLevel="0" collapsed="false">
      <c r="A1391" s="15" t="s">
        <v>1448</v>
      </c>
      <c r="B1391" s="16" t="n">
        <v>44666</v>
      </c>
      <c r="C1391" s="15" t="s">
        <v>58</v>
      </c>
      <c r="D1391" s="15" t="s">
        <v>42</v>
      </c>
      <c r="E1391" s="15" t="s">
        <v>39</v>
      </c>
      <c r="F1391" s="15" t="s">
        <v>17</v>
      </c>
      <c r="G1391" s="15" t="s">
        <v>29</v>
      </c>
      <c r="H1391" s="15" t="n">
        <v>3</v>
      </c>
      <c r="I1391" s="17" t="n">
        <v>0.2</v>
      </c>
      <c r="J1391" s="18" t="n">
        <v>45.74</v>
      </c>
      <c r="K1391" s="19" t="n">
        <v>9.02</v>
      </c>
      <c r="L1391" s="15" t="n">
        <f aca="false">YEAR(B1391)</f>
        <v>2022</v>
      </c>
      <c r="M1391" s="20" t="n">
        <f aca="false">IF(J1391&gt;0,K1391/J1391,0)</f>
        <v>0.197201574114561</v>
      </c>
    </row>
    <row r="1392" customFormat="false" ht="15" hidden="false" customHeight="false" outlineLevel="0" collapsed="false">
      <c r="A1392" s="15" t="s">
        <v>1449</v>
      </c>
      <c r="B1392" s="16" t="n">
        <v>45691</v>
      </c>
      <c r="C1392" s="15" t="s">
        <v>68</v>
      </c>
      <c r="D1392" s="15" t="s">
        <v>43</v>
      </c>
      <c r="E1392" s="15" t="s">
        <v>39</v>
      </c>
      <c r="F1392" s="15" t="s">
        <v>17</v>
      </c>
      <c r="G1392" s="15" t="s">
        <v>31</v>
      </c>
      <c r="H1392" s="15" t="n">
        <v>3</v>
      </c>
      <c r="I1392" s="17" t="n">
        <v>0.05</v>
      </c>
      <c r="J1392" s="18" t="n">
        <v>534.21</v>
      </c>
      <c r="K1392" s="19" t="n">
        <v>88.34</v>
      </c>
      <c r="L1392" s="15" t="n">
        <f aca="false">YEAR(B1392)</f>
        <v>2025</v>
      </c>
      <c r="M1392" s="20" t="n">
        <f aca="false">IF(J1392&gt;0,K1392/J1392,0)</f>
        <v>0.165365680163232</v>
      </c>
    </row>
    <row r="1393" customFormat="false" ht="15" hidden="false" customHeight="false" outlineLevel="0" collapsed="false">
      <c r="A1393" s="15" t="s">
        <v>1450</v>
      </c>
      <c r="B1393" s="16" t="n">
        <v>45443</v>
      </c>
      <c r="C1393" s="15" t="s">
        <v>68</v>
      </c>
      <c r="D1393" s="15" t="s">
        <v>42</v>
      </c>
      <c r="E1393" s="15" t="s">
        <v>37</v>
      </c>
      <c r="F1393" s="15" t="s">
        <v>17</v>
      </c>
      <c r="G1393" s="15" t="s">
        <v>29</v>
      </c>
      <c r="H1393" s="15" t="n">
        <v>2</v>
      </c>
      <c r="I1393" s="17" t="n">
        <v>0.05</v>
      </c>
      <c r="J1393" s="18" t="n">
        <v>50.54</v>
      </c>
      <c r="K1393" s="19" t="n">
        <v>14.12</v>
      </c>
      <c r="L1393" s="15" t="n">
        <f aca="false">YEAR(B1393)</f>
        <v>2024</v>
      </c>
      <c r="M1393" s="20" t="n">
        <f aca="false">IF(J1393&gt;0,K1393/J1393,0)</f>
        <v>0.279382667194302</v>
      </c>
    </row>
    <row r="1394" customFormat="false" ht="15" hidden="false" customHeight="false" outlineLevel="0" collapsed="false">
      <c r="A1394" s="15" t="s">
        <v>1451</v>
      </c>
      <c r="B1394" s="16" t="n">
        <v>44805</v>
      </c>
      <c r="C1394" s="15" t="s">
        <v>68</v>
      </c>
      <c r="D1394" s="15" t="s">
        <v>42</v>
      </c>
      <c r="E1394" s="15" t="s">
        <v>39</v>
      </c>
      <c r="F1394" s="15" t="s">
        <v>18</v>
      </c>
      <c r="G1394" s="15" t="s">
        <v>30</v>
      </c>
      <c r="H1394" s="15" t="n">
        <v>6</v>
      </c>
      <c r="I1394" s="17" t="n">
        <v>0.2</v>
      </c>
      <c r="J1394" s="18" t="n">
        <v>252.83</v>
      </c>
      <c r="K1394" s="19" t="n">
        <v>31.96</v>
      </c>
      <c r="L1394" s="15" t="n">
        <f aca="false">YEAR(B1394)</f>
        <v>2022</v>
      </c>
      <c r="M1394" s="20" t="n">
        <f aca="false">IF(J1394&gt;0,K1394/J1394,0)</f>
        <v>0.126409049558992</v>
      </c>
    </row>
    <row r="1395" customFormat="false" ht="15" hidden="false" customHeight="false" outlineLevel="0" collapsed="false">
      <c r="A1395" s="15" t="s">
        <v>1452</v>
      </c>
      <c r="B1395" s="16" t="n">
        <v>44609</v>
      </c>
      <c r="C1395" s="15" t="s">
        <v>68</v>
      </c>
      <c r="D1395" s="15" t="s">
        <v>42</v>
      </c>
      <c r="E1395" s="15" t="s">
        <v>36</v>
      </c>
      <c r="F1395" s="15" t="s">
        <v>18</v>
      </c>
      <c r="G1395" s="15" t="s">
        <v>30</v>
      </c>
      <c r="H1395" s="15" t="n">
        <v>4</v>
      </c>
      <c r="I1395" s="17" t="n">
        <v>0.15</v>
      </c>
      <c r="J1395" s="18" t="n">
        <v>108.53</v>
      </c>
      <c r="K1395" s="19" t="n">
        <v>18.26</v>
      </c>
      <c r="L1395" s="15" t="n">
        <f aca="false">YEAR(B1395)</f>
        <v>2022</v>
      </c>
      <c r="M1395" s="20" t="n">
        <f aca="false">IF(J1395&gt;0,K1395/J1395,0)</f>
        <v>0.16824841057772</v>
      </c>
    </row>
    <row r="1396" customFormat="false" ht="15" hidden="false" customHeight="false" outlineLevel="0" collapsed="false">
      <c r="A1396" s="15" t="s">
        <v>1453</v>
      </c>
      <c r="B1396" s="16" t="n">
        <v>44662</v>
      </c>
      <c r="C1396" s="15" t="s">
        <v>58</v>
      </c>
      <c r="D1396" s="15" t="s">
        <v>44</v>
      </c>
      <c r="E1396" s="15" t="s">
        <v>36</v>
      </c>
      <c r="F1396" s="15" t="s">
        <v>18</v>
      </c>
      <c r="G1396" s="15" t="s">
        <v>24</v>
      </c>
      <c r="H1396" s="15" t="n">
        <v>6</v>
      </c>
      <c r="I1396" s="17" t="n">
        <v>0.05</v>
      </c>
      <c r="J1396" s="18" t="n">
        <v>4242.8</v>
      </c>
      <c r="K1396" s="19" t="n">
        <v>221.67</v>
      </c>
      <c r="L1396" s="15" t="n">
        <f aca="false">YEAR(B1396)</f>
        <v>2022</v>
      </c>
      <c r="M1396" s="20" t="n">
        <f aca="false">IF(J1396&gt;0,K1396/J1396,0)</f>
        <v>0.0522461581974168</v>
      </c>
    </row>
    <row r="1397" customFormat="false" ht="15" hidden="false" customHeight="false" outlineLevel="0" collapsed="false">
      <c r="A1397" s="15" t="s">
        <v>1454</v>
      </c>
      <c r="B1397" s="16" t="n">
        <v>45379</v>
      </c>
      <c r="C1397" s="15" t="s">
        <v>68</v>
      </c>
      <c r="D1397" s="15" t="s">
        <v>43</v>
      </c>
      <c r="E1397" s="15" t="s">
        <v>39</v>
      </c>
      <c r="F1397" s="15" t="s">
        <v>16</v>
      </c>
      <c r="G1397" s="15" t="s">
        <v>25</v>
      </c>
      <c r="H1397" s="15" t="n">
        <v>3</v>
      </c>
      <c r="I1397" s="17" t="n">
        <v>0.15</v>
      </c>
      <c r="J1397" s="18" t="n">
        <v>834.32</v>
      </c>
      <c r="K1397" s="19" t="n">
        <v>-44.89</v>
      </c>
      <c r="L1397" s="15" t="n">
        <f aca="false">YEAR(B1397)</f>
        <v>2024</v>
      </c>
      <c r="M1397" s="20" t="n">
        <f aca="false">IF(J1397&gt;0,K1397/J1397,0)</f>
        <v>-0.0538042957138748</v>
      </c>
    </row>
    <row r="1398" customFormat="false" ht="15" hidden="false" customHeight="false" outlineLevel="0" collapsed="false">
      <c r="A1398" s="15" t="s">
        <v>1455</v>
      </c>
      <c r="B1398" s="16" t="n">
        <v>45597</v>
      </c>
      <c r="C1398" s="15" t="s">
        <v>56</v>
      </c>
      <c r="D1398" s="15" t="s">
        <v>43</v>
      </c>
      <c r="E1398" s="15" t="s">
        <v>39</v>
      </c>
      <c r="F1398" s="15" t="s">
        <v>16</v>
      </c>
      <c r="G1398" s="15" t="s">
        <v>27</v>
      </c>
      <c r="H1398" s="15" t="n">
        <v>4</v>
      </c>
      <c r="I1398" s="17" t="n">
        <v>0.1</v>
      </c>
      <c r="J1398" s="18" t="n">
        <v>267.98</v>
      </c>
      <c r="K1398" s="19" t="n">
        <v>25.51</v>
      </c>
      <c r="L1398" s="15" t="n">
        <f aca="false">YEAR(B1398)</f>
        <v>2024</v>
      </c>
      <c r="M1398" s="20" t="n">
        <f aca="false">IF(J1398&gt;0,K1398/J1398,0)</f>
        <v>0.0951936711694903</v>
      </c>
    </row>
    <row r="1399" customFormat="false" ht="15" hidden="false" customHeight="false" outlineLevel="0" collapsed="false">
      <c r="A1399" s="15" t="s">
        <v>1456</v>
      </c>
      <c r="B1399" s="16" t="n">
        <v>45939</v>
      </c>
      <c r="C1399" s="15" t="s">
        <v>56</v>
      </c>
      <c r="D1399" s="15" t="s">
        <v>42</v>
      </c>
      <c r="E1399" s="15" t="s">
        <v>37</v>
      </c>
      <c r="F1399" s="15" t="s">
        <v>17</v>
      </c>
      <c r="G1399" s="15" t="s">
        <v>26</v>
      </c>
      <c r="H1399" s="15" t="n">
        <v>3</v>
      </c>
      <c r="I1399" s="17" t="n">
        <v>0.2</v>
      </c>
      <c r="J1399" s="18" t="n">
        <v>189.31</v>
      </c>
      <c r="K1399" s="19" t="n">
        <v>2.23</v>
      </c>
      <c r="L1399" s="15" t="n">
        <f aca="false">YEAR(B1399)</f>
        <v>2025</v>
      </c>
      <c r="M1399" s="20" t="n">
        <f aca="false">IF(J1399&gt;0,K1399/J1399,0)</f>
        <v>0.0117796207279066</v>
      </c>
    </row>
    <row r="1400" customFormat="false" ht="15" hidden="false" customHeight="false" outlineLevel="0" collapsed="false">
      <c r="A1400" s="15" t="s">
        <v>1457</v>
      </c>
      <c r="B1400" s="16" t="n">
        <v>45593</v>
      </c>
      <c r="C1400" s="15" t="s">
        <v>56</v>
      </c>
      <c r="D1400" s="15" t="s">
        <v>42</v>
      </c>
      <c r="E1400" s="15" t="s">
        <v>39</v>
      </c>
      <c r="F1400" s="15" t="s">
        <v>17</v>
      </c>
      <c r="G1400" s="15" t="s">
        <v>29</v>
      </c>
      <c r="H1400" s="15" t="n">
        <v>5</v>
      </c>
      <c r="I1400" s="17" t="n">
        <v>0</v>
      </c>
      <c r="J1400" s="18" t="n">
        <v>110.49</v>
      </c>
      <c r="K1400" s="19" t="n">
        <v>38.22</v>
      </c>
      <c r="L1400" s="15" t="n">
        <f aca="false">YEAR(B1400)</f>
        <v>2024</v>
      </c>
      <c r="M1400" s="20" t="n">
        <f aca="false">IF(J1400&gt;0,K1400/J1400,0)</f>
        <v>0.345913657344556</v>
      </c>
    </row>
    <row r="1401" customFormat="false" ht="15" hidden="false" customHeight="false" outlineLevel="0" collapsed="false">
      <c r="A1401" s="15" t="s">
        <v>1458</v>
      </c>
      <c r="B1401" s="16" t="n">
        <v>44911</v>
      </c>
      <c r="C1401" s="15" t="s">
        <v>71</v>
      </c>
      <c r="D1401" s="15" t="s">
        <v>42</v>
      </c>
      <c r="E1401" s="15" t="s">
        <v>36</v>
      </c>
      <c r="F1401" s="15" t="s">
        <v>16</v>
      </c>
      <c r="G1401" s="15" t="s">
        <v>25</v>
      </c>
      <c r="H1401" s="15" t="n">
        <v>4</v>
      </c>
      <c r="I1401" s="17" t="n">
        <v>0</v>
      </c>
      <c r="J1401" s="18" t="n">
        <v>993.71</v>
      </c>
      <c r="K1401" s="19" t="n">
        <v>44.46</v>
      </c>
      <c r="L1401" s="15" t="n">
        <f aca="false">YEAR(B1401)</f>
        <v>2022</v>
      </c>
      <c r="M1401" s="20" t="n">
        <f aca="false">IF(J1401&gt;0,K1401/J1401,0)</f>
        <v>0.0447414235541556</v>
      </c>
    </row>
    <row r="1402" customFormat="false" ht="15" hidden="false" customHeight="false" outlineLevel="0" collapsed="false">
      <c r="A1402" s="15" t="s">
        <v>1459</v>
      </c>
      <c r="B1402" s="16" t="n">
        <v>45924</v>
      </c>
      <c r="C1402" s="15" t="s">
        <v>71</v>
      </c>
      <c r="D1402" s="15" t="s">
        <v>43</v>
      </c>
      <c r="E1402" s="15" t="s">
        <v>38</v>
      </c>
      <c r="F1402" s="15" t="s">
        <v>17</v>
      </c>
      <c r="G1402" s="15" t="s">
        <v>26</v>
      </c>
      <c r="H1402" s="15" t="n">
        <v>6</v>
      </c>
      <c r="I1402" s="17" t="n">
        <v>0.3</v>
      </c>
      <c r="J1402" s="18" t="n">
        <v>318.35</v>
      </c>
      <c r="K1402" s="19" t="n">
        <v>-39.19</v>
      </c>
      <c r="L1402" s="15" t="n">
        <f aca="false">YEAR(B1402)</f>
        <v>2025</v>
      </c>
      <c r="M1402" s="20" t="n">
        <f aca="false">IF(J1402&gt;0,K1402/J1402,0)</f>
        <v>-0.123103502434428</v>
      </c>
    </row>
    <row r="1403" customFormat="false" ht="15" hidden="false" customHeight="false" outlineLevel="0" collapsed="false">
      <c r="A1403" s="15" t="s">
        <v>1460</v>
      </c>
      <c r="B1403" s="16" t="n">
        <v>44735</v>
      </c>
      <c r="C1403" s="15" t="s">
        <v>56</v>
      </c>
      <c r="D1403" s="15" t="s">
        <v>44</v>
      </c>
      <c r="E1403" s="15" t="s">
        <v>39</v>
      </c>
      <c r="F1403" s="15" t="s">
        <v>17</v>
      </c>
      <c r="G1403" s="15" t="s">
        <v>26</v>
      </c>
      <c r="H1403" s="15" t="n">
        <v>5</v>
      </c>
      <c r="I1403" s="17" t="n">
        <v>0.2</v>
      </c>
      <c r="J1403" s="18" t="n">
        <v>353.78</v>
      </c>
      <c r="K1403" s="19" t="n">
        <v>-6.82</v>
      </c>
      <c r="L1403" s="15" t="n">
        <f aca="false">YEAR(B1403)</f>
        <v>2022</v>
      </c>
      <c r="M1403" s="20" t="n">
        <f aca="false">IF(J1403&gt;0,K1403/J1403,0)</f>
        <v>-0.0192775171010232</v>
      </c>
    </row>
    <row r="1404" customFormat="false" ht="15" hidden="false" customHeight="false" outlineLevel="0" collapsed="false">
      <c r="A1404" s="15" t="s">
        <v>1461</v>
      </c>
      <c r="B1404" s="16" t="n">
        <v>45486</v>
      </c>
      <c r="C1404" s="15" t="s">
        <v>56</v>
      </c>
      <c r="D1404" s="15" t="s">
        <v>44</v>
      </c>
      <c r="E1404" s="15" t="s">
        <v>37</v>
      </c>
      <c r="F1404" s="15" t="s">
        <v>17</v>
      </c>
      <c r="G1404" s="15" t="s">
        <v>28</v>
      </c>
      <c r="H1404" s="15" t="n">
        <v>3</v>
      </c>
      <c r="I1404" s="17" t="n">
        <v>0.1</v>
      </c>
      <c r="J1404" s="18" t="n">
        <v>69.08</v>
      </c>
      <c r="K1404" s="19" t="n">
        <v>17.92</v>
      </c>
      <c r="L1404" s="15" t="n">
        <f aca="false">YEAR(B1404)</f>
        <v>2024</v>
      </c>
      <c r="M1404" s="20" t="n">
        <f aca="false">IF(J1404&gt;0,K1404/J1404,0)</f>
        <v>0.259409380428489</v>
      </c>
    </row>
    <row r="1405" customFormat="false" ht="15" hidden="false" customHeight="false" outlineLevel="0" collapsed="false">
      <c r="A1405" s="15" t="s">
        <v>1462</v>
      </c>
      <c r="B1405" s="16" t="n">
        <v>44688</v>
      </c>
      <c r="C1405" s="15" t="s">
        <v>56</v>
      </c>
      <c r="D1405" s="15" t="s">
        <v>44</v>
      </c>
      <c r="E1405" s="15" t="s">
        <v>37</v>
      </c>
      <c r="F1405" s="15" t="s">
        <v>17</v>
      </c>
      <c r="G1405" s="15" t="s">
        <v>28</v>
      </c>
      <c r="H1405" s="15" t="n">
        <v>5</v>
      </c>
      <c r="I1405" s="17" t="n">
        <v>0</v>
      </c>
      <c r="J1405" s="18" t="n">
        <v>111.22</v>
      </c>
      <c r="K1405" s="19" t="n">
        <v>37.86</v>
      </c>
      <c r="L1405" s="15" t="n">
        <f aca="false">YEAR(B1405)</f>
        <v>2022</v>
      </c>
      <c r="M1405" s="20" t="n">
        <f aca="false">IF(J1405&gt;0,K1405/J1405,0)</f>
        <v>0.340406401726308</v>
      </c>
    </row>
    <row r="1406" customFormat="false" ht="15" hidden="false" customHeight="false" outlineLevel="0" collapsed="false">
      <c r="A1406" s="15" t="s">
        <v>1463</v>
      </c>
      <c r="B1406" s="16" t="n">
        <v>44810</v>
      </c>
      <c r="C1406" s="15" t="s">
        <v>58</v>
      </c>
      <c r="D1406" s="15" t="s">
        <v>43</v>
      </c>
      <c r="E1406" s="15" t="s">
        <v>36</v>
      </c>
      <c r="F1406" s="15" t="s">
        <v>17</v>
      </c>
      <c r="G1406" s="15" t="s">
        <v>28</v>
      </c>
      <c r="H1406" s="15" t="n">
        <v>5</v>
      </c>
      <c r="I1406" s="17" t="n">
        <v>0.05</v>
      </c>
      <c r="J1406" s="18" t="n">
        <v>131.12</v>
      </c>
      <c r="K1406" s="19" t="n">
        <v>32.27</v>
      </c>
      <c r="L1406" s="15" t="n">
        <f aca="false">YEAR(B1406)</f>
        <v>2022</v>
      </c>
      <c r="M1406" s="20" t="n">
        <f aca="false">IF(J1406&gt;0,K1406/J1406,0)</f>
        <v>0.24611043319097</v>
      </c>
    </row>
    <row r="1407" customFormat="false" ht="15" hidden="false" customHeight="false" outlineLevel="0" collapsed="false">
      <c r="A1407" s="15" t="s">
        <v>1464</v>
      </c>
      <c r="B1407" s="16" t="n">
        <v>45609</v>
      </c>
      <c r="C1407" s="15" t="s">
        <v>71</v>
      </c>
      <c r="D1407" s="15" t="s">
        <v>42</v>
      </c>
      <c r="E1407" s="15" t="s">
        <v>36</v>
      </c>
      <c r="F1407" s="15" t="s">
        <v>17</v>
      </c>
      <c r="G1407" s="15" t="s">
        <v>28</v>
      </c>
      <c r="H1407" s="15" t="n">
        <v>8</v>
      </c>
      <c r="I1407" s="17" t="n">
        <v>0.1</v>
      </c>
      <c r="J1407" s="18" t="n">
        <v>136.24</v>
      </c>
      <c r="K1407" s="19" t="n">
        <v>21.88</v>
      </c>
      <c r="L1407" s="15" t="n">
        <f aca="false">YEAR(B1407)</f>
        <v>2024</v>
      </c>
      <c r="M1407" s="20" t="n">
        <f aca="false">IF(J1407&gt;0,K1407/J1407,0)</f>
        <v>0.160598943041691</v>
      </c>
    </row>
    <row r="1408" customFormat="false" ht="15" hidden="false" customHeight="false" outlineLevel="0" collapsed="false">
      <c r="A1408" s="15" t="s">
        <v>1465</v>
      </c>
      <c r="B1408" s="16" t="n">
        <v>45576</v>
      </c>
      <c r="C1408" s="15" t="s">
        <v>56</v>
      </c>
      <c r="D1408" s="15" t="s">
        <v>43</v>
      </c>
      <c r="E1408" s="15" t="s">
        <v>38</v>
      </c>
      <c r="F1408" s="15" t="s">
        <v>17</v>
      </c>
      <c r="G1408" s="15" t="s">
        <v>26</v>
      </c>
      <c r="H1408" s="15" t="n">
        <v>5</v>
      </c>
      <c r="I1408" s="17" t="n">
        <v>0.1</v>
      </c>
      <c r="J1408" s="18" t="n">
        <v>286.11</v>
      </c>
      <c r="K1408" s="19" t="n">
        <v>3.23</v>
      </c>
      <c r="L1408" s="15" t="n">
        <f aca="false">YEAR(B1408)</f>
        <v>2024</v>
      </c>
      <c r="M1408" s="20" t="n">
        <f aca="false">IF(J1408&gt;0,K1408/J1408,0)</f>
        <v>0.0112893642305407</v>
      </c>
    </row>
    <row r="1409" customFormat="false" ht="15" hidden="false" customHeight="false" outlineLevel="0" collapsed="false">
      <c r="A1409" s="15" t="s">
        <v>1466</v>
      </c>
      <c r="B1409" s="16" t="n">
        <v>45637</v>
      </c>
      <c r="C1409" s="15" t="s">
        <v>56</v>
      </c>
      <c r="D1409" s="15" t="s">
        <v>43</v>
      </c>
      <c r="E1409" s="15" t="s">
        <v>36</v>
      </c>
      <c r="F1409" s="15" t="s">
        <v>17</v>
      </c>
      <c r="G1409" s="15" t="s">
        <v>29</v>
      </c>
      <c r="H1409" s="15" t="n">
        <v>3</v>
      </c>
      <c r="I1409" s="17" t="n">
        <v>0.05</v>
      </c>
      <c r="J1409" s="18" t="n">
        <v>57.45</v>
      </c>
      <c r="K1409" s="19" t="n">
        <v>18.97</v>
      </c>
      <c r="L1409" s="15" t="n">
        <f aca="false">YEAR(B1409)</f>
        <v>2024</v>
      </c>
      <c r="M1409" s="20" t="n">
        <f aca="false">IF(J1409&gt;0,K1409/J1409,0)</f>
        <v>0.330200174064404</v>
      </c>
    </row>
    <row r="1410" customFormat="false" ht="15" hidden="false" customHeight="false" outlineLevel="0" collapsed="false">
      <c r="A1410" s="15" t="s">
        <v>1467</v>
      </c>
      <c r="B1410" s="16" t="n">
        <v>44891</v>
      </c>
      <c r="C1410" s="15" t="s">
        <v>71</v>
      </c>
      <c r="D1410" s="15" t="s">
        <v>42</v>
      </c>
      <c r="E1410" s="15" t="s">
        <v>39</v>
      </c>
      <c r="F1410" s="15" t="s">
        <v>16</v>
      </c>
      <c r="G1410" s="15" t="s">
        <v>25</v>
      </c>
      <c r="H1410" s="15" t="n">
        <v>3</v>
      </c>
      <c r="I1410" s="17" t="n">
        <v>0.2</v>
      </c>
      <c r="J1410" s="18" t="n">
        <v>726.88</v>
      </c>
      <c r="K1410" s="19" t="n">
        <v>-15.03</v>
      </c>
      <c r="L1410" s="15" t="n">
        <f aca="false">YEAR(B1410)</f>
        <v>2022</v>
      </c>
      <c r="M1410" s="20" t="n">
        <f aca="false">IF(J1410&gt;0,K1410/J1410,0)</f>
        <v>-0.0206774158045344</v>
      </c>
    </row>
    <row r="1411" customFormat="false" ht="15" hidden="false" customHeight="false" outlineLevel="0" collapsed="false">
      <c r="A1411" s="15" t="s">
        <v>1468</v>
      </c>
      <c r="B1411" s="16" t="n">
        <v>44999</v>
      </c>
      <c r="C1411" s="15" t="s">
        <v>71</v>
      </c>
      <c r="D1411" s="15" t="s">
        <v>42</v>
      </c>
      <c r="E1411" s="15" t="s">
        <v>38</v>
      </c>
      <c r="F1411" s="15" t="s">
        <v>17</v>
      </c>
      <c r="G1411" s="15" t="s">
        <v>29</v>
      </c>
      <c r="H1411" s="15" t="n">
        <v>3</v>
      </c>
      <c r="I1411" s="17" t="n">
        <v>0.1</v>
      </c>
      <c r="J1411" s="18" t="n">
        <v>40.43</v>
      </c>
      <c r="K1411" s="19" t="n">
        <v>11.85</v>
      </c>
      <c r="L1411" s="15" t="n">
        <f aca="false">YEAR(B1411)</f>
        <v>2023</v>
      </c>
      <c r="M1411" s="20" t="n">
        <f aca="false">IF(J1411&gt;0,K1411/J1411,0)</f>
        <v>0.293099183774425</v>
      </c>
    </row>
    <row r="1412" customFormat="false" ht="15" hidden="false" customHeight="false" outlineLevel="0" collapsed="false">
      <c r="A1412" s="15" t="s">
        <v>1469</v>
      </c>
      <c r="B1412" s="16" t="n">
        <v>46015</v>
      </c>
      <c r="C1412" s="15" t="s">
        <v>68</v>
      </c>
      <c r="D1412" s="15" t="s">
        <v>42</v>
      </c>
      <c r="E1412" s="15" t="s">
        <v>38</v>
      </c>
      <c r="F1412" s="15" t="s">
        <v>16</v>
      </c>
      <c r="G1412" s="15" t="s">
        <v>25</v>
      </c>
      <c r="H1412" s="15" t="n">
        <v>4</v>
      </c>
      <c r="I1412" s="17" t="n">
        <v>0.1</v>
      </c>
      <c r="J1412" s="18" t="n">
        <v>654.36</v>
      </c>
      <c r="K1412" s="19" t="n">
        <v>29.83</v>
      </c>
      <c r="L1412" s="15" t="n">
        <f aca="false">YEAR(B1412)</f>
        <v>2025</v>
      </c>
      <c r="M1412" s="20" t="n">
        <f aca="false">IF(J1412&gt;0,K1412/J1412,0)</f>
        <v>0.0455865272938444</v>
      </c>
    </row>
    <row r="1413" customFormat="false" ht="15" hidden="false" customHeight="false" outlineLevel="0" collapsed="false">
      <c r="A1413" s="15" t="s">
        <v>1470</v>
      </c>
      <c r="B1413" s="16" t="n">
        <v>45687</v>
      </c>
      <c r="C1413" s="15" t="s">
        <v>56</v>
      </c>
      <c r="D1413" s="15" t="s">
        <v>43</v>
      </c>
      <c r="E1413" s="15" t="s">
        <v>38</v>
      </c>
      <c r="F1413" s="15" t="s">
        <v>17</v>
      </c>
      <c r="G1413" s="15" t="s">
        <v>31</v>
      </c>
      <c r="H1413" s="15" t="n">
        <v>1</v>
      </c>
      <c r="I1413" s="17" t="n">
        <v>0.05</v>
      </c>
      <c r="J1413" s="18" t="n">
        <v>137.24</v>
      </c>
      <c r="K1413" s="19" t="n">
        <v>21.58</v>
      </c>
      <c r="L1413" s="15" t="n">
        <f aca="false">YEAR(B1413)</f>
        <v>2025</v>
      </c>
      <c r="M1413" s="20" t="n">
        <f aca="false">IF(J1413&gt;0,K1413/J1413,0)</f>
        <v>0.157242786359662</v>
      </c>
    </row>
    <row r="1414" customFormat="false" ht="15" hidden="false" customHeight="false" outlineLevel="0" collapsed="false">
      <c r="A1414" s="15" t="s">
        <v>1471</v>
      </c>
      <c r="B1414" s="16" t="n">
        <v>45717</v>
      </c>
      <c r="C1414" s="15" t="s">
        <v>56</v>
      </c>
      <c r="D1414" s="15" t="s">
        <v>43</v>
      </c>
      <c r="E1414" s="15" t="s">
        <v>37</v>
      </c>
      <c r="F1414" s="15" t="s">
        <v>18</v>
      </c>
      <c r="G1414" s="15" t="s">
        <v>32</v>
      </c>
      <c r="H1414" s="15" t="n">
        <v>7</v>
      </c>
      <c r="I1414" s="17" t="n">
        <v>0</v>
      </c>
      <c r="J1414" s="18" t="n">
        <v>3028.01</v>
      </c>
      <c r="K1414" s="19" t="n">
        <v>664.21</v>
      </c>
      <c r="L1414" s="15" t="n">
        <f aca="false">YEAR(B1414)</f>
        <v>2025</v>
      </c>
      <c r="M1414" s="20" t="n">
        <f aca="false">IF(J1414&gt;0,K1414/J1414,0)</f>
        <v>0.219355286145026</v>
      </c>
    </row>
    <row r="1415" customFormat="false" ht="15" hidden="false" customHeight="false" outlineLevel="0" collapsed="false">
      <c r="A1415" s="15" t="s">
        <v>1472</v>
      </c>
      <c r="B1415" s="16" t="n">
        <v>45520</v>
      </c>
      <c r="C1415" s="15" t="s">
        <v>71</v>
      </c>
      <c r="D1415" s="15" t="s">
        <v>42</v>
      </c>
      <c r="E1415" s="15" t="s">
        <v>38</v>
      </c>
      <c r="F1415" s="15" t="s">
        <v>17</v>
      </c>
      <c r="G1415" s="15" t="s">
        <v>28</v>
      </c>
      <c r="H1415" s="15" t="n">
        <v>3</v>
      </c>
      <c r="I1415" s="17" t="n">
        <v>0.2</v>
      </c>
      <c r="J1415" s="18" t="n">
        <v>55.35</v>
      </c>
      <c r="K1415" s="19" t="n">
        <v>8.63</v>
      </c>
      <c r="L1415" s="15" t="n">
        <f aca="false">YEAR(B1415)</f>
        <v>2024</v>
      </c>
      <c r="M1415" s="20" t="n">
        <f aca="false">IF(J1415&gt;0,K1415/J1415,0)</f>
        <v>0.155916892502258</v>
      </c>
    </row>
    <row r="1416" customFormat="false" ht="15" hidden="false" customHeight="false" outlineLevel="0" collapsed="false">
      <c r="A1416" s="15" t="s">
        <v>1473</v>
      </c>
      <c r="B1416" s="16" t="n">
        <v>44874</v>
      </c>
      <c r="C1416" s="15" t="s">
        <v>56</v>
      </c>
      <c r="D1416" s="15" t="s">
        <v>42</v>
      </c>
      <c r="E1416" s="15" t="s">
        <v>36</v>
      </c>
      <c r="F1416" s="15" t="s">
        <v>17</v>
      </c>
      <c r="G1416" s="15" t="s">
        <v>29</v>
      </c>
      <c r="H1416" s="15" t="n">
        <v>5</v>
      </c>
      <c r="I1416" s="17" t="n">
        <v>0.2</v>
      </c>
      <c r="J1416" s="18" t="n">
        <v>63.18</v>
      </c>
      <c r="K1416" s="19" t="n">
        <v>13.45</v>
      </c>
      <c r="L1416" s="15" t="n">
        <f aca="false">YEAR(B1416)</f>
        <v>2022</v>
      </c>
      <c r="M1416" s="20" t="n">
        <f aca="false">IF(J1416&gt;0,K1416/J1416,0)</f>
        <v>0.212883823994935</v>
      </c>
    </row>
    <row r="1417" customFormat="false" ht="15" hidden="false" customHeight="false" outlineLevel="0" collapsed="false">
      <c r="A1417" s="15" t="s">
        <v>1474</v>
      </c>
      <c r="B1417" s="16" t="n">
        <v>44896</v>
      </c>
      <c r="C1417" s="15" t="s">
        <v>56</v>
      </c>
      <c r="D1417" s="15" t="s">
        <v>42</v>
      </c>
      <c r="E1417" s="15" t="s">
        <v>38</v>
      </c>
      <c r="F1417" s="15" t="s">
        <v>16</v>
      </c>
      <c r="G1417" s="15" t="s">
        <v>22</v>
      </c>
      <c r="H1417" s="15" t="n">
        <v>5</v>
      </c>
      <c r="I1417" s="17" t="n">
        <v>0</v>
      </c>
      <c r="J1417" s="18" t="n">
        <v>2215.05</v>
      </c>
      <c r="K1417" s="19" t="n">
        <v>-44.85</v>
      </c>
      <c r="L1417" s="15" t="n">
        <f aca="false">YEAR(B1417)</f>
        <v>2022</v>
      </c>
      <c r="M1417" s="20" t="n">
        <f aca="false">IF(J1417&gt;0,K1417/J1417,0)</f>
        <v>-0.0202478499356674</v>
      </c>
    </row>
    <row r="1418" customFormat="false" ht="15" hidden="false" customHeight="false" outlineLevel="0" collapsed="false">
      <c r="A1418" s="15" t="s">
        <v>1475</v>
      </c>
      <c r="B1418" s="16" t="n">
        <v>45506</v>
      </c>
      <c r="C1418" s="15" t="s">
        <v>68</v>
      </c>
      <c r="D1418" s="15" t="s">
        <v>43</v>
      </c>
      <c r="E1418" s="15" t="s">
        <v>36</v>
      </c>
      <c r="F1418" s="15" t="s">
        <v>16</v>
      </c>
      <c r="G1418" s="15" t="s">
        <v>27</v>
      </c>
      <c r="H1418" s="15" t="n">
        <v>3</v>
      </c>
      <c r="I1418" s="17" t="n">
        <v>0</v>
      </c>
      <c r="J1418" s="18" t="n">
        <v>210.13</v>
      </c>
      <c r="K1418" s="19" t="n">
        <v>40.14</v>
      </c>
      <c r="L1418" s="15" t="n">
        <f aca="false">YEAR(B1418)</f>
        <v>2024</v>
      </c>
      <c r="M1418" s="20" t="n">
        <f aca="false">IF(J1418&gt;0,K1418/J1418,0)</f>
        <v>0.191024603816685</v>
      </c>
    </row>
    <row r="1419" customFormat="false" ht="15" hidden="false" customHeight="false" outlineLevel="0" collapsed="false">
      <c r="A1419" s="15" t="s">
        <v>1476</v>
      </c>
      <c r="B1419" s="16" t="n">
        <v>45645</v>
      </c>
      <c r="C1419" s="15" t="s">
        <v>71</v>
      </c>
      <c r="D1419" s="15" t="s">
        <v>42</v>
      </c>
      <c r="E1419" s="15" t="s">
        <v>37</v>
      </c>
      <c r="F1419" s="15" t="s">
        <v>16</v>
      </c>
      <c r="G1419" s="15" t="s">
        <v>25</v>
      </c>
      <c r="H1419" s="15" t="n">
        <v>6</v>
      </c>
      <c r="I1419" s="17" t="n">
        <v>0.4</v>
      </c>
      <c r="J1419" s="18" t="n">
        <v>883.99</v>
      </c>
      <c r="K1419" s="19" t="n">
        <v>-174.28</v>
      </c>
      <c r="L1419" s="15" t="n">
        <f aca="false">YEAR(B1419)</f>
        <v>2024</v>
      </c>
      <c r="M1419" s="20" t="n">
        <f aca="false">IF(J1419&gt;0,K1419/J1419,0)</f>
        <v>-0.197151551488139</v>
      </c>
    </row>
    <row r="1420" customFormat="false" ht="15" hidden="false" customHeight="false" outlineLevel="0" collapsed="false">
      <c r="A1420" s="15" t="s">
        <v>1477</v>
      </c>
      <c r="B1420" s="16" t="n">
        <v>45832</v>
      </c>
      <c r="C1420" s="15" t="s">
        <v>56</v>
      </c>
      <c r="D1420" s="15" t="s">
        <v>42</v>
      </c>
      <c r="E1420" s="15" t="s">
        <v>39</v>
      </c>
      <c r="F1420" s="15" t="s">
        <v>17</v>
      </c>
      <c r="G1420" s="15" t="s">
        <v>26</v>
      </c>
      <c r="H1420" s="15" t="n">
        <v>4</v>
      </c>
      <c r="I1420" s="17" t="n">
        <v>0.05</v>
      </c>
      <c r="J1420" s="18" t="n">
        <v>380.01</v>
      </c>
      <c r="K1420" s="19" t="n">
        <v>25.88</v>
      </c>
      <c r="L1420" s="15" t="n">
        <f aca="false">YEAR(B1420)</f>
        <v>2025</v>
      </c>
      <c r="M1420" s="20" t="n">
        <f aca="false">IF(J1420&gt;0,K1420/J1420,0)</f>
        <v>0.0681034709612905</v>
      </c>
    </row>
    <row r="1421" customFormat="false" ht="15" hidden="false" customHeight="false" outlineLevel="0" collapsed="false">
      <c r="A1421" s="15" t="s">
        <v>1478</v>
      </c>
      <c r="B1421" s="16" t="n">
        <v>45177</v>
      </c>
      <c r="C1421" s="15" t="s">
        <v>71</v>
      </c>
      <c r="D1421" s="15" t="s">
        <v>43</v>
      </c>
      <c r="E1421" s="15" t="s">
        <v>38</v>
      </c>
      <c r="F1421" s="15" t="s">
        <v>17</v>
      </c>
      <c r="G1421" s="15" t="s">
        <v>29</v>
      </c>
      <c r="H1421" s="15" t="n">
        <v>5</v>
      </c>
      <c r="I1421" s="17" t="n">
        <v>0</v>
      </c>
      <c r="J1421" s="18" t="n">
        <v>86.69</v>
      </c>
      <c r="K1421" s="19" t="n">
        <v>32.29</v>
      </c>
      <c r="L1421" s="15" t="n">
        <f aca="false">YEAR(B1421)</f>
        <v>2023</v>
      </c>
      <c r="M1421" s="20" t="n">
        <f aca="false">IF(J1421&gt;0,K1421/J1421,0)</f>
        <v>0.372476640904372</v>
      </c>
    </row>
    <row r="1422" customFormat="false" ht="15" hidden="false" customHeight="false" outlineLevel="0" collapsed="false">
      <c r="A1422" s="15" t="s">
        <v>1479</v>
      </c>
      <c r="B1422" s="16" t="n">
        <v>45053</v>
      </c>
      <c r="C1422" s="15" t="s">
        <v>56</v>
      </c>
      <c r="D1422" s="15" t="s">
        <v>42</v>
      </c>
      <c r="E1422" s="15" t="s">
        <v>39</v>
      </c>
      <c r="F1422" s="15" t="s">
        <v>17</v>
      </c>
      <c r="G1422" s="15" t="s">
        <v>26</v>
      </c>
      <c r="H1422" s="15" t="n">
        <v>4</v>
      </c>
      <c r="I1422" s="17" t="n">
        <v>0</v>
      </c>
      <c r="J1422" s="18" t="n">
        <v>344.6</v>
      </c>
      <c r="K1422" s="19" t="n">
        <v>38.12</v>
      </c>
      <c r="L1422" s="15" t="n">
        <f aca="false">YEAR(B1422)</f>
        <v>2023</v>
      </c>
      <c r="M1422" s="20" t="n">
        <f aca="false">IF(J1422&gt;0,K1422/J1422,0)</f>
        <v>0.110621009866512</v>
      </c>
    </row>
    <row r="1423" customFormat="false" ht="15" hidden="false" customHeight="false" outlineLevel="0" collapsed="false">
      <c r="A1423" s="15" t="s">
        <v>1480</v>
      </c>
      <c r="B1423" s="16" t="n">
        <v>45598</v>
      </c>
      <c r="C1423" s="15" t="s">
        <v>56</v>
      </c>
      <c r="D1423" s="15" t="s">
        <v>42</v>
      </c>
      <c r="E1423" s="15" t="s">
        <v>37</v>
      </c>
      <c r="F1423" s="15" t="s">
        <v>17</v>
      </c>
      <c r="G1423" s="15" t="s">
        <v>28</v>
      </c>
      <c r="H1423" s="15" t="n">
        <v>1</v>
      </c>
      <c r="I1423" s="17" t="n">
        <v>0.15</v>
      </c>
      <c r="J1423" s="18" t="n">
        <v>20.6</v>
      </c>
      <c r="K1423" s="19" t="n">
        <v>4.86</v>
      </c>
      <c r="L1423" s="15" t="n">
        <f aca="false">YEAR(B1423)</f>
        <v>2024</v>
      </c>
      <c r="M1423" s="20" t="n">
        <f aca="false">IF(J1423&gt;0,K1423/J1423,0)</f>
        <v>0.235922330097087</v>
      </c>
    </row>
    <row r="1424" customFormat="false" ht="15" hidden="false" customHeight="false" outlineLevel="0" collapsed="false">
      <c r="A1424" s="15" t="s">
        <v>1481</v>
      </c>
      <c r="B1424" s="16" t="n">
        <v>45553</v>
      </c>
      <c r="C1424" s="15" t="s">
        <v>71</v>
      </c>
      <c r="D1424" s="15" t="s">
        <v>42</v>
      </c>
      <c r="E1424" s="15" t="s">
        <v>39</v>
      </c>
      <c r="F1424" s="15" t="s">
        <v>17</v>
      </c>
      <c r="G1424" s="15" t="s">
        <v>28</v>
      </c>
      <c r="H1424" s="15" t="n">
        <v>1</v>
      </c>
      <c r="I1424" s="17" t="n">
        <v>0</v>
      </c>
      <c r="J1424" s="18" t="n">
        <v>28.73</v>
      </c>
      <c r="K1424" s="19" t="n">
        <v>8.82</v>
      </c>
      <c r="L1424" s="15" t="n">
        <f aca="false">YEAR(B1424)</f>
        <v>2024</v>
      </c>
      <c r="M1424" s="20" t="n">
        <f aca="false">IF(J1424&gt;0,K1424/J1424,0)</f>
        <v>0.306996171249565</v>
      </c>
    </row>
    <row r="1425" customFormat="false" ht="15" hidden="false" customHeight="false" outlineLevel="0" collapsed="false">
      <c r="A1425" s="15" t="s">
        <v>1482</v>
      </c>
      <c r="B1425" s="16" t="n">
        <v>46004</v>
      </c>
      <c r="C1425" s="15" t="s">
        <v>68</v>
      </c>
      <c r="D1425" s="15" t="s">
        <v>44</v>
      </c>
      <c r="E1425" s="15" t="s">
        <v>38</v>
      </c>
      <c r="F1425" s="15" t="s">
        <v>17</v>
      </c>
      <c r="G1425" s="15" t="s">
        <v>29</v>
      </c>
      <c r="H1425" s="15" t="n">
        <v>4</v>
      </c>
      <c r="I1425" s="17" t="n">
        <v>0.2</v>
      </c>
      <c r="J1425" s="18" t="n">
        <v>53.86</v>
      </c>
      <c r="K1425" s="19" t="n">
        <v>10.23</v>
      </c>
      <c r="L1425" s="15" t="n">
        <f aca="false">YEAR(B1425)</f>
        <v>2025</v>
      </c>
      <c r="M1425" s="20" t="n">
        <f aca="false">IF(J1425&gt;0,K1425/J1425,0)</f>
        <v>0.189936873375418</v>
      </c>
    </row>
    <row r="1426" customFormat="false" ht="15" hidden="false" customHeight="false" outlineLevel="0" collapsed="false">
      <c r="A1426" s="15" t="s">
        <v>1483</v>
      </c>
      <c r="B1426" s="16" t="n">
        <v>45120</v>
      </c>
      <c r="C1426" s="15" t="s">
        <v>58</v>
      </c>
      <c r="D1426" s="15" t="s">
        <v>42</v>
      </c>
      <c r="E1426" s="15" t="s">
        <v>38</v>
      </c>
      <c r="F1426" s="15" t="s">
        <v>17</v>
      </c>
      <c r="G1426" s="15" t="s">
        <v>28</v>
      </c>
      <c r="H1426" s="15" t="n">
        <v>6</v>
      </c>
      <c r="I1426" s="17" t="n">
        <v>0.5</v>
      </c>
      <c r="J1426" s="18" t="n">
        <v>64.08</v>
      </c>
      <c r="K1426" s="19" t="n">
        <v>-8.67</v>
      </c>
      <c r="L1426" s="15" t="n">
        <f aca="false">YEAR(B1426)</f>
        <v>2023</v>
      </c>
      <c r="M1426" s="20" t="n">
        <f aca="false">IF(J1426&gt;0,K1426/J1426,0)</f>
        <v>-0.135299625468165</v>
      </c>
    </row>
    <row r="1427" customFormat="false" ht="15" hidden="false" customHeight="false" outlineLevel="0" collapsed="false">
      <c r="A1427" s="15" t="s">
        <v>1484</v>
      </c>
      <c r="B1427" s="16" t="n">
        <v>45299</v>
      </c>
      <c r="C1427" s="15" t="s">
        <v>71</v>
      </c>
      <c r="D1427" s="15" t="s">
        <v>43</v>
      </c>
      <c r="E1427" s="15" t="s">
        <v>37</v>
      </c>
      <c r="F1427" s="15" t="s">
        <v>16</v>
      </c>
      <c r="G1427" s="15" t="s">
        <v>23</v>
      </c>
      <c r="H1427" s="15" t="n">
        <v>4</v>
      </c>
      <c r="I1427" s="17" t="n">
        <v>0</v>
      </c>
      <c r="J1427" s="18" t="n">
        <v>1301.64</v>
      </c>
      <c r="K1427" s="19" t="n">
        <v>27.24</v>
      </c>
      <c r="L1427" s="15" t="n">
        <f aca="false">YEAR(B1427)</f>
        <v>2024</v>
      </c>
      <c r="M1427" s="20" t="n">
        <f aca="false">IF(J1427&gt;0,K1427/J1427,0)</f>
        <v>0.0209274453766018</v>
      </c>
    </row>
    <row r="1428" customFormat="false" ht="15" hidden="false" customHeight="false" outlineLevel="0" collapsed="false">
      <c r="A1428" s="15" t="s">
        <v>1485</v>
      </c>
      <c r="B1428" s="16" t="n">
        <v>45284</v>
      </c>
      <c r="C1428" s="15" t="s">
        <v>58</v>
      </c>
      <c r="D1428" s="15" t="s">
        <v>42</v>
      </c>
      <c r="E1428" s="15" t="s">
        <v>39</v>
      </c>
      <c r="F1428" s="15" t="s">
        <v>17</v>
      </c>
      <c r="G1428" s="15" t="s">
        <v>31</v>
      </c>
      <c r="H1428" s="15" t="n">
        <v>6</v>
      </c>
      <c r="I1428" s="17" t="n">
        <v>0.05</v>
      </c>
      <c r="J1428" s="18" t="n">
        <v>875.36</v>
      </c>
      <c r="K1428" s="19" t="n">
        <v>154.19</v>
      </c>
      <c r="L1428" s="15" t="n">
        <f aca="false">YEAR(B1428)</f>
        <v>2023</v>
      </c>
      <c r="M1428" s="20" t="n">
        <f aca="false">IF(J1428&gt;0,K1428/J1428,0)</f>
        <v>0.176144671906416</v>
      </c>
    </row>
    <row r="1429" customFormat="false" ht="15" hidden="false" customHeight="false" outlineLevel="0" collapsed="false">
      <c r="A1429" s="15" t="s">
        <v>1486</v>
      </c>
      <c r="B1429" s="16" t="n">
        <v>45960</v>
      </c>
      <c r="C1429" s="15" t="s">
        <v>56</v>
      </c>
      <c r="D1429" s="15" t="s">
        <v>42</v>
      </c>
      <c r="E1429" s="15" t="s">
        <v>37</v>
      </c>
      <c r="F1429" s="15" t="s">
        <v>18</v>
      </c>
      <c r="G1429" s="15" t="s">
        <v>33</v>
      </c>
      <c r="H1429" s="15" t="n">
        <v>4</v>
      </c>
      <c r="I1429" s="17" t="n">
        <v>0.1</v>
      </c>
      <c r="J1429" s="18" t="n">
        <v>3272.24</v>
      </c>
      <c r="K1429" s="19" t="n">
        <v>403.41</v>
      </c>
      <c r="L1429" s="15" t="n">
        <f aca="false">YEAR(B1429)</f>
        <v>2025</v>
      </c>
      <c r="M1429" s="20" t="n">
        <f aca="false">IF(J1429&gt;0,K1429/J1429,0)</f>
        <v>0.123282522064396</v>
      </c>
    </row>
    <row r="1430" customFormat="false" ht="15" hidden="false" customHeight="false" outlineLevel="0" collapsed="false">
      <c r="A1430" s="15" t="s">
        <v>1487</v>
      </c>
      <c r="B1430" s="16" t="n">
        <v>45801</v>
      </c>
      <c r="C1430" s="15" t="s">
        <v>56</v>
      </c>
      <c r="D1430" s="15" t="s">
        <v>42</v>
      </c>
      <c r="E1430" s="15" t="s">
        <v>39</v>
      </c>
      <c r="F1430" s="15" t="s">
        <v>17</v>
      </c>
      <c r="G1430" s="15" t="s">
        <v>26</v>
      </c>
      <c r="H1430" s="15" t="n">
        <v>3</v>
      </c>
      <c r="I1430" s="17" t="n">
        <v>0.1</v>
      </c>
      <c r="J1430" s="18" t="n">
        <v>249.37</v>
      </c>
      <c r="K1430" s="19" t="n">
        <v>10.05</v>
      </c>
      <c r="L1430" s="15" t="n">
        <f aca="false">YEAR(B1430)</f>
        <v>2025</v>
      </c>
      <c r="M1430" s="20" t="n">
        <f aca="false">IF(J1430&gt;0,K1430/J1430,0)</f>
        <v>0.0403015599310262</v>
      </c>
    </row>
    <row r="1431" customFormat="false" ht="15" hidden="false" customHeight="false" outlineLevel="0" collapsed="false">
      <c r="A1431" s="15" t="s">
        <v>1488</v>
      </c>
      <c r="B1431" s="16" t="n">
        <v>45314</v>
      </c>
      <c r="C1431" s="15" t="s">
        <v>56</v>
      </c>
      <c r="D1431" s="15" t="s">
        <v>44</v>
      </c>
      <c r="E1431" s="15" t="s">
        <v>39</v>
      </c>
      <c r="F1431" s="15" t="s">
        <v>16</v>
      </c>
      <c r="G1431" s="15" t="s">
        <v>23</v>
      </c>
      <c r="H1431" s="15" t="n">
        <v>3</v>
      </c>
      <c r="I1431" s="17" t="n">
        <v>0.1</v>
      </c>
      <c r="J1431" s="18" t="n">
        <v>880.67</v>
      </c>
      <c r="K1431" s="19" t="n">
        <v>-59.94</v>
      </c>
      <c r="L1431" s="15" t="n">
        <f aca="false">YEAR(B1431)</f>
        <v>2024</v>
      </c>
      <c r="M1431" s="20" t="n">
        <f aca="false">IF(J1431&gt;0,K1431/J1431,0)</f>
        <v>-0.068061816571474</v>
      </c>
    </row>
    <row r="1432" customFormat="false" ht="15" hidden="false" customHeight="false" outlineLevel="0" collapsed="false">
      <c r="A1432" s="15" t="s">
        <v>1489</v>
      </c>
      <c r="B1432" s="16" t="n">
        <v>44755</v>
      </c>
      <c r="C1432" s="15" t="s">
        <v>68</v>
      </c>
      <c r="D1432" s="15" t="s">
        <v>42</v>
      </c>
      <c r="E1432" s="15" t="s">
        <v>39</v>
      </c>
      <c r="F1432" s="15" t="s">
        <v>18</v>
      </c>
      <c r="G1432" s="15" t="s">
        <v>33</v>
      </c>
      <c r="H1432" s="15" t="n">
        <v>4</v>
      </c>
      <c r="I1432" s="17" t="n">
        <v>0.1</v>
      </c>
      <c r="J1432" s="18" t="n">
        <v>2881.6</v>
      </c>
      <c r="K1432" s="19" t="n">
        <v>428.25</v>
      </c>
      <c r="L1432" s="15" t="n">
        <f aca="false">YEAR(B1432)</f>
        <v>2022</v>
      </c>
      <c r="M1432" s="20" t="n">
        <f aca="false">IF(J1432&gt;0,K1432/J1432,0)</f>
        <v>0.148615352581899</v>
      </c>
    </row>
    <row r="1433" customFormat="false" ht="15" hidden="false" customHeight="false" outlineLevel="0" collapsed="false">
      <c r="A1433" s="15" t="s">
        <v>1490</v>
      </c>
      <c r="B1433" s="16" t="n">
        <v>45371</v>
      </c>
      <c r="C1433" s="15" t="s">
        <v>56</v>
      </c>
      <c r="D1433" s="15" t="s">
        <v>43</v>
      </c>
      <c r="E1433" s="15" t="s">
        <v>39</v>
      </c>
      <c r="F1433" s="15" t="s">
        <v>16</v>
      </c>
      <c r="G1433" s="15" t="s">
        <v>27</v>
      </c>
      <c r="H1433" s="15" t="n">
        <v>5</v>
      </c>
      <c r="I1433" s="17" t="n">
        <v>0</v>
      </c>
      <c r="J1433" s="18" t="n">
        <v>353.04</v>
      </c>
      <c r="K1433" s="19" t="n">
        <v>104.68</v>
      </c>
      <c r="L1433" s="15" t="n">
        <f aca="false">YEAR(B1433)</f>
        <v>2024</v>
      </c>
      <c r="M1433" s="20" t="n">
        <f aca="false">IF(J1433&gt;0,K1433/J1433,0)</f>
        <v>0.296510310446408</v>
      </c>
    </row>
    <row r="1434" customFormat="false" ht="15" hidden="false" customHeight="false" outlineLevel="0" collapsed="false">
      <c r="A1434" s="15" t="s">
        <v>1491</v>
      </c>
      <c r="B1434" s="16" t="n">
        <v>45272</v>
      </c>
      <c r="C1434" s="15" t="s">
        <v>56</v>
      </c>
      <c r="D1434" s="15" t="s">
        <v>42</v>
      </c>
      <c r="E1434" s="15" t="s">
        <v>36</v>
      </c>
      <c r="F1434" s="15" t="s">
        <v>17</v>
      </c>
      <c r="G1434" s="15" t="s">
        <v>26</v>
      </c>
      <c r="H1434" s="15" t="n">
        <v>4</v>
      </c>
      <c r="I1434" s="17" t="n">
        <v>0.2</v>
      </c>
      <c r="J1434" s="18" t="n">
        <v>223.03</v>
      </c>
      <c r="K1434" s="19" t="n">
        <v>-22.35</v>
      </c>
      <c r="L1434" s="15" t="n">
        <f aca="false">YEAR(B1434)</f>
        <v>2023</v>
      </c>
      <c r="M1434" s="20" t="n">
        <f aca="false">IF(J1434&gt;0,K1434/J1434,0)</f>
        <v>-0.100210733981976</v>
      </c>
    </row>
    <row r="1435" customFormat="false" ht="15" hidden="false" customHeight="false" outlineLevel="0" collapsed="false">
      <c r="A1435" s="15" t="s">
        <v>1492</v>
      </c>
      <c r="B1435" s="16" t="n">
        <v>45562</v>
      </c>
      <c r="C1435" s="15" t="s">
        <v>56</v>
      </c>
      <c r="D1435" s="15" t="s">
        <v>43</v>
      </c>
      <c r="E1435" s="15" t="s">
        <v>37</v>
      </c>
      <c r="F1435" s="15" t="s">
        <v>16</v>
      </c>
      <c r="G1435" s="15" t="s">
        <v>25</v>
      </c>
      <c r="H1435" s="15" t="n">
        <v>4</v>
      </c>
      <c r="I1435" s="17" t="n">
        <v>0.15</v>
      </c>
      <c r="J1435" s="18" t="n">
        <v>997.25</v>
      </c>
      <c r="K1435" s="19" t="n">
        <v>-31.85</v>
      </c>
      <c r="L1435" s="15" t="n">
        <f aca="false">YEAR(B1435)</f>
        <v>2024</v>
      </c>
      <c r="M1435" s="20" t="n">
        <f aca="false">IF(J1435&gt;0,K1435/J1435,0)</f>
        <v>-0.031937829029832</v>
      </c>
    </row>
    <row r="1436" customFormat="false" ht="15" hidden="false" customHeight="false" outlineLevel="0" collapsed="false">
      <c r="A1436" s="15" t="s">
        <v>1493</v>
      </c>
      <c r="B1436" s="16" t="n">
        <v>45398</v>
      </c>
      <c r="C1436" s="15" t="s">
        <v>56</v>
      </c>
      <c r="D1436" s="15" t="s">
        <v>43</v>
      </c>
      <c r="E1436" s="15" t="s">
        <v>37</v>
      </c>
      <c r="F1436" s="15" t="s">
        <v>17</v>
      </c>
      <c r="G1436" s="15" t="s">
        <v>28</v>
      </c>
      <c r="H1436" s="15" t="n">
        <v>4</v>
      </c>
      <c r="I1436" s="17" t="n">
        <v>0.4</v>
      </c>
      <c r="J1436" s="18" t="n">
        <v>92.26</v>
      </c>
      <c r="K1436" s="19" t="n">
        <v>-3.26</v>
      </c>
      <c r="L1436" s="15" t="n">
        <f aca="false">YEAR(B1436)</f>
        <v>2024</v>
      </c>
      <c r="M1436" s="20" t="n">
        <f aca="false">IF(J1436&gt;0,K1436/J1436,0)</f>
        <v>-0.0353349230435725</v>
      </c>
    </row>
    <row r="1437" customFormat="false" ht="15" hidden="false" customHeight="false" outlineLevel="0" collapsed="false">
      <c r="A1437" s="15" t="s">
        <v>1494</v>
      </c>
      <c r="B1437" s="16" t="n">
        <v>44632</v>
      </c>
      <c r="C1437" s="15" t="s">
        <v>56</v>
      </c>
      <c r="D1437" s="15" t="s">
        <v>43</v>
      </c>
      <c r="E1437" s="15" t="s">
        <v>39</v>
      </c>
      <c r="F1437" s="15" t="s">
        <v>16</v>
      </c>
      <c r="G1437" s="15" t="s">
        <v>23</v>
      </c>
      <c r="H1437" s="15" t="n">
        <v>4</v>
      </c>
      <c r="I1437" s="17" t="n">
        <v>0</v>
      </c>
      <c r="J1437" s="18" t="n">
        <v>1547.72</v>
      </c>
      <c r="K1437" s="19" t="n">
        <v>-68.54</v>
      </c>
      <c r="L1437" s="15" t="n">
        <f aca="false">YEAR(B1437)</f>
        <v>2022</v>
      </c>
      <c r="M1437" s="20" t="n">
        <f aca="false">IF(J1437&gt;0,K1437/J1437,0)</f>
        <v>-0.0442844959036518</v>
      </c>
    </row>
    <row r="1438" customFormat="false" ht="15" hidden="false" customHeight="false" outlineLevel="0" collapsed="false">
      <c r="A1438" s="15" t="s">
        <v>1495</v>
      </c>
      <c r="B1438" s="16" t="n">
        <v>45202</v>
      </c>
      <c r="C1438" s="15" t="s">
        <v>58</v>
      </c>
      <c r="D1438" s="15" t="s">
        <v>42</v>
      </c>
      <c r="E1438" s="15" t="s">
        <v>39</v>
      </c>
      <c r="F1438" s="15" t="s">
        <v>18</v>
      </c>
      <c r="G1438" s="15" t="s">
        <v>32</v>
      </c>
      <c r="H1438" s="15" t="n">
        <v>5</v>
      </c>
      <c r="I1438" s="17" t="n">
        <v>0.1</v>
      </c>
      <c r="J1438" s="18" t="n">
        <v>1985.27</v>
      </c>
      <c r="K1438" s="19" t="n">
        <v>12.8</v>
      </c>
      <c r="L1438" s="15" t="n">
        <f aca="false">YEAR(B1438)</f>
        <v>2023</v>
      </c>
      <c r="M1438" s="20" t="n">
        <f aca="false">IF(J1438&gt;0,K1438/J1438,0)</f>
        <v>0.00644748573241927</v>
      </c>
    </row>
    <row r="1439" customFormat="false" ht="15" hidden="false" customHeight="false" outlineLevel="0" collapsed="false">
      <c r="A1439" s="15" t="s">
        <v>1496</v>
      </c>
      <c r="B1439" s="16" t="n">
        <v>45046</v>
      </c>
      <c r="C1439" s="15" t="s">
        <v>56</v>
      </c>
      <c r="D1439" s="15" t="s">
        <v>42</v>
      </c>
      <c r="E1439" s="15" t="s">
        <v>37</v>
      </c>
      <c r="F1439" s="15" t="s">
        <v>17</v>
      </c>
      <c r="G1439" s="15" t="s">
        <v>31</v>
      </c>
      <c r="H1439" s="15" t="n">
        <v>3</v>
      </c>
      <c r="I1439" s="17" t="n">
        <v>0.2</v>
      </c>
      <c r="J1439" s="18" t="n">
        <v>307.77</v>
      </c>
      <c r="K1439" s="19" t="n">
        <v>12.89</v>
      </c>
      <c r="L1439" s="15" t="n">
        <f aca="false">YEAR(B1439)</f>
        <v>2023</v>
      </c>
      <c r="M1439" s="20" t="n">
        <f aca="false">IF(J1439&gt;0,K1439/J1439,0)</f>
        <v>0.0418819248139845</v>
      </c>
    </row>
    <row r="1440" customFormat="false" ht="15" hidden="false" customHeight="false" outlineLevel="0" collapsed="false">
      <c r="A1440" s="15" t="s">
        <v>1497</v>
      </c>
      <c r="B1440" s="16" t="n">
        <v>45168</v>
      </c>
      <c r="C1440" s="15" t="s">
        <v>68</v>
      </c>
      <c r="D1440" s="15" t="s">
        <v>43</v>
      </c>
      <c r="E1440" s="15" t="s">
        <v>36</v>
      </c>
      <c r="F1440" s="15" t="s">
        <v>18</v>
      </c>
      <c r="G1440" s="15" t="s">
        <v>30</v>
      </c>
      <c r="H1440" s="15" t="n">
        <v>3</v>
      </c>
      <c r="I1440" s="17" t="n">
        <v>0.2</v>
      </c>
      <c r="J1440" s="18" t="n">
        <v>108.59</v>
      </c>
      <c r="K1440" s="19" t="n">
        <v>10</v>
      </c>
      <c r="L1440" s="15" t="n">
        <f aca="false">YEAR(B1440)</f>
        <v>2023</v>
      </c>
      <c r="M1440" s="20" t="n">
        <f aca="false">IF(J1440&gt;0,K1440/J1440,0)</f>
        <v>0.0920895110046966</v>
      </c>
    </row>
    <row r="1441" customFormat="false" ht="15" hidden="false" customHeight="false" outlineLevel="0" collapsed="false">
      <c r="A1441" s="15" t="s">
        <v>1498</v>
      </c>
      <c r="B1441" s="16" t="n">
        <v>45275</v>
      </c>
      <c r="C1441" s="15" t="s">
        <v>56</v>
      </c>
      <c r="D1441" s="15" t="s">
        <v>43</v>
      </c>
      <c r="E1441" s="15" t="s">
        <v>37</v>
      </c>
      <c r="F1441" s="15" t="s">
        <v>17</v>
      </c>
      <c r="G1441" s="15" t="s">
        <v>31</v>
      </c>
      <c r="H1441" s="15" t="n">
        <v>4</v>
      </c>
      <c r="I1441" s="17" t="n">
        <v>0</v>
      </c>
      <c r="J1441" s="18" t="n">
        <v>688.84</v>
      </c>
      <c r="K1441" s="19" t="n">
        <v>113.53</v>
      </c>
      <c r="L1441" s="15" t="n">
        <f aca="false">YEAR(B1441)</f>
        <v>2023</v>
      </c>
      <c r="M1441" s="20" t="n">
        <f aca="false">IF(J1441&gt;0,K1441/J1441,0)</f>
        <v>0.16481330933163</v>
      </c>
    </row>
    <row r="1442" customFormat="false" ht="15" hidden="false" customHeight="false" outlineLevel="0" collapsed="false">
      <c r="A1442" s="15" t="s">
        <v>1499</v>
      </c>
      <c r="B1442" s="16" t="n">
        <v>45459</v>
      </c>
      <c r="C1442" s="15" t="s">
        <v>56</v>
      </c>
      <c r="D1442" s="15" t="s">
        <v>43</v>
      </c>
      <c r="E1442" s="15" t="s">
        <v>39</v>
      </c>
      <c r="F1442" s="15" t="s">
        <v>16</v>
      </c>
      <c r="G1442" s="15" t="s">
        <v>27</v>
      </c>
      <c r="H1442" s="15" t="n">
        <v>2</v>
      </c>
      <c r="I1442" s="17" t="n">
        <v>0</v>
      </c>
      <c r="J1442" s="18" t="n">
        <v>142.99</v>
      </c>
      <c r="K1442" s="19" t="n">
        <v>29.3</v>
      </c>
      <c r="L1442" s="15" t="n">
        <f aca="false">YEAR(B1442)</f>
        <v>2024</v>
      </c>
      <c r="M1442" s="20" t="n">
        <f aca="false">IF(J1442&gt;0,K1442/J1442,0)</f>
        <v>0.20490943422617</v>
      </c>
    </row>
    <row r="1443" customFormat="false" ht="15" hidden="false" customHeight="false" outlineLevel="0" collapsed="false">
      <c r="A1443" s="15" t="s">
        <v>1500</v>
      </c>
      <c r="B1443" s="16" t="n">
        <v>45008</v>
      </c>
      <c r="C1443" s="15" t="s">
        <v>68</v>
      </c>
      <c r="D1443" s="15" t="s">
        <v>43</v>
      </c>
      <c r="E1443" s="15" t="s">
        <v>36</v>
      </c>
      <c r="F1443" s="15" t="s">
        <v>18</v>
      </c>
      <c r="G1443" s="15" t="s">
        <v>30</v>
      </c>
      <c r="H1443" s="15" t="n">
        <v>2</v>
      </c>
      <c r="I1443" s="17" t="n">
        <v>0</v>
      </c>
      <c r="J1443" s="18" t="n">
        <v>92.96</v>
      </c>
      <c r="K1443" s="19" t="n">
        <v>30.91</v>
      </c>
      <c r="L1443" s="15" t="n">
        <f aca="false">YEAR(B1443)</f>
        <v>2023</v>
      </c>
      <c r="M1443" s="20" t="n">
        <f aca="false">IF(J1443&gt;0,K1443/J1443,0)</f>
        <v>0.332508605851979</v>
      </c>
    </row>
    <row r="1444" customFormat="false" ht="15" hidden="false" customHeight="false" outlineLevel="0" collapsed="false">
      <c r="A1444" s="15" t="s">
        <v>1501</v>
      </c>
      <c r="B1444" s="16" t="n">
        <v>45302</v>
      </c>
      <c r="C1444" s="15" t="s">
        <v>56</v>
      </c>
      <c r="D1444" s="15" t="s">
        <v>42</v>
      </c>
      <c r="E1444" s="15" t="s">
        <v>39</v>
      </c>
      <c r="F1444" s="15" t="s">
        <v>17</v>
      </c>
      <c r="G1444" s="15" t="s">
        <v>28</v>
      </c>
      <c r="H1444" s="15" t="n">
        <v>3</v>
      </c>
      <c r="I1444" s="17" t="n">
        <v>0.2</v>
      </c>
      <c r="J1444" s="18" t="n">
        <v>59.81</v>
      </c>
      <c r="K1444" s="19" t="n">
        <v>10.06</v>
      </c>
      <c r="L1444" s="15" t="n">
        <f aca="false">YEAR(B1444)</f>
        <v>2024</v>
      </c>
      <c r="M1444" s="20" t="n">
        <f aca="false">IF(J1444&gt;0,K1444/J1444,0)</f>
        <v>0.168199297776292</v>
      </c>
    </row>
    <row r="1445" customFormat="false" ht="15" hidden="false" customHeight="false" outlineLevel="0" collapsed="false">
      <c r="A1445" s="15" t="s">
        <v>1502</v>
      </c>
      <c r="B1445" s="16" t="n">
        <v>45943</v>
      </c>
      <c r="C1445" s="15" t="s">
        <v>56</v>
      </c>
      <c r="D1445" s="15" t="s">
        <v>42</v>
      </c>
      <c r="E1445" s="15" t="s">
        <v>39</v>
      </c>
      <c r="F1445" s="15" t="s">
        <v>17</v>
      </c>
      <c r="G1445" s="15" t="s">
        <v>29</v>
      </c>
      <c r="H1445" s="15" t="n">
        <v>1</v>
      </c>
      <c r="I1445" s="17" t="n">
        <v>0</v>
      </c>
      <c r="J1445" s="18" t="n">
        <v>17.36</v>
      </c>
      <c r="K1445" s="19" t="n">
        <v>5.97</v>
      </c>
      <c r="L1445" s="15" t="n">
        <f aca="false">YEAR(B1445)</f>
        <v>2025</v>
      </c>
      <c r="M1445" s="20" t="n">
        <f aca="false">IF(J1445&gt;0,K1445/J1445,0)</f>
        <v>0.34389400921659</v>
      </c>
    </row>
    <row r="1446" customFormat="false" ht="15" hidden="false" customHeight="false" outlineLevel="0" collapsed="false">
      <c r="A1446" s="15" t="s">
        <v>1503</v>
      </c>
      <c r="B1446" s="16" t="n">
        <v>44839</v>
      </c>
      <c r="C1446" s="15" t="s">
        <v>71</v>
      </c>
      <c r="D1446" s="15" t="s">
        <v>44</v>
      </c>
      <c r="E1446" s="15" t="s">
        <v>38</v>
      </c>
      <c r="F1446" s="15" t="s">
        <v>16</v>
      </c>
      <c r="G1446" s="15" t="s">
        <v>25</v>
      </c>
      <c r="H1446" s="15" t="n">
        <v>5</v>
      </c>
      <c r="I1446" s="17" t="n">
        <v>0.3</v>
      </c>
      <c r="J1446" s="18" t="n">
        <v>902.4</v>
      </c>
      <c r="K1446" s="19" t="n">
        <v>-196.76</v>
      </c>
      <c r="L1446" s="15" t="n">
        <f aca="false">YEAR(B1446)</f>
        <v>2022</v>
      </c>
      <c r="M1446" s="20" t="n">
        <f aca="false">IF(J1446&gt;0,K1446/J1446,0)</f>
        <v>-0.218040780141844</v>
      </c>
    </row>
    <row r="1447" customFormat="false" ht="15" hidden="false" customHeight="false" outlineLevel="0" collapsed="false">
      <c r="A1447" s="15" t="s">
        <v>1504</v>
      </c>
      <c r="B1447" s="16" t="n">
        <v>45636</v>
      </c>
      <c r="C1447" s="15" t="s">
        <v>56</v>
      </c>
      <c r="D1447" s="15" t="s">
        <v>42</v>
      </c>
      <c r="E1447" s="15" t="s">
        <v>39</v>
      </c>
      <c r="F1447" s="15" t="s">
        <v>17</v>
      </c>
      <c r="G1447" s="15" t="s">
        <v>29</v>
      </c>
      <c r="H1447" s="15" t="n">
        <v>3</v>
      </c>
      <c r="I1447" s="17" t="n">
        <v>0.1</v>
      </c>
      <c r="J1447" s="18" t="n">
        <v>43.98</v>
      </c>
      <c r="K1447" s="19" t="n">
        <v>10.49</v>
      </c>
      <c r="L1447" s="15" t="n">
        <f aca="false">YEAR(B1447)</f>
        <v>2024</v>
      </c>
      <c r="M1447" s="20" t="n">
        <f aca="false">IF(J1447&gt;0,K1447/J1447,0)</f>
        <v>0.238517507958163</v>
      </c>
    </row>
    <row r="1448" customFormat="false" ht="15" hidden="false" customHeight="false" outlineLevel="0" collapsed="false">
      <c r="A1448" s="15" t="s">
        <v>1505</v>
      </c>
      <c r="B1448" s="16" t="n">
        <v>45565</v>
      </c>
      <c r="C1448" s="15" t="s">
        <v>56</v>
      </c>
      <c r="D1448" s="15" t="s">
        <v>42</v>
      </c>
      <c r="E1448" s="15" t="s">
        <v>36</v>
      </c>
      <c r="F1448" s="15" t="s">
        <v>17</v>
      </c>
      <c r="G1448" s="15" t="s">
        <v>29</v>
      </c>
      <c r="H1448" s="15" t="n">
        <v>3</v>
      </c>
      <c r="I1448" s="17" t="n">
        <v>0</v>
      </c>
      <c r="J1448" s="18" t="n">
        <v>53.26</v>
      </c>
      <c r="K1448" s="19" t="n">
        <v>21.31</v>
      </c>
      <c r="L1448" s="15" t="n">
        <f aca="false">YEAR(B1448)</f>
        <v>2024</v>
      </c>
      <c r="M1448" s="20" t="n">
        <f aca="false">IF(J1448&gt;0,K1448/J1448,0)</f>
        <v>0.400112654900488</v>
      </c>
    </row>
    <row r="1449" customFormat="false" ht="15" hidden="false" customHeight="false" outlineLevel="0" collapsed="false">
      <c r="A1449" s="15" t="s">
        <v>1506</v>
      </c>
      <c r="B1449" s="16" t="n">
        <v>45739</v>
      </c>
      <c r="C1449" s="15" t="s">
        <v>71</v>
      </c>
      <c r="D1449" s="15" t="s">
        <v>42</v>
      </c>
      <c r="E1449" s="15" t="s">
        <v>38</v>
      </c>
      <c r="F1449" s="15" t="s">
        <v>18</v>
      </c>
      <c r="G1449" s="15" t="s">
        <v>30</v>
      </c>
      <c r="H1449" s="15" t="n">
        <v>4</v>
      </c>
      <c r="I1449" s="17" t="n">
        <v>0.05</v>
      </c>
      <c r="J1449" s="18" t="n">
        <v>155.85</v>
      </c>
      <c r="K1449" s="19" t="n">
        <v>39.43</v>
      </c>
      <c r="L1449" s="15" t="n">
        <f aca="false">YEAR(B1449)</f>
        <v>2025</v>
      </c>
      <c r="M1449" s="20" t="n">
        <f aca="false">IF(J1449&gt;0,K1449/J1449,0)</f>
        <v>0.252999679178698</v>
      </c>
    </row>
    <row r="1450" customFormat="false" ht="15" hidden="false" customHeight="false" outlineLevel="0" collapsed="false">
      <c r="A1450" s="15" t="s">
        <v>1507</v>
      </c>
      <c r="B1450" s="16" t="n">
        <v>45631</v>
      </c>
      <c r="C1450" s="15" t="s">
        <v>56</v>
      </c>
      <c r="D1450" s="15" t="s">
        <v>42</v>
      </c>
      <c r="E1450" s="15" t="s">
        <v>37</v>
      </c>
      <c r="F1450" s="15" t="s">
        <v>17</v>
      </c>
      <c r="G1450" s="15" t="s">
        <v>28</v>
      </c>
      <c r="H1450" s="15" t="n">
        <v>6</v>
      </c>
      <c r="I1450" s="17" t="n">
        <v>0.4</v>
      </c>
      <c r="J1450" s="18" t="n">
        <v>79.07</v>
      </c>
      <c r="K1450" s="19" t="n">
        <v>-4.06</v>
      </c>
      <c r="L1450" s="15" t="n">
        <f aca="false">YEAR(B1450)</f>
        <v>2024</v>
      </c>
      <c r="M1450" s="20" t="n">
        <f aca="false">IF(J1450&gt;0,K1450/J1450,0)</f>
        <v>-0.0513469078032123</v>
      </c>
    </row>
    <row r="1451" customFormat="false" ht="15" hidden="false" customHeight="false" outlineLevel="0" collapsed="false">
      <c r="A1451" s="15" t="s">
        <v>1508</v>
      </c>
      <c r="B1451" s="16" t="n">
        <v>45775</v>
      </c>
      <c r="C1451" s="15" t="s">
        <v>71</v>
      </c>
      <c r="D1451" s="15" t="s">
        <v>42</v>
      </c>
      <c r="E1451" s="15" t="s">
        <v>36</v>
      </c>
      <c r="F1451" s="15" t="s">
        <v>17</v>
      </c>
      <c r="G1451" s="15" t="s">
        <v>29</v>
      </c>
      <c r="H1451" s="15" t="n">
        <v>3</v>
      </c>
      <c r="I1451" s="17" t="n">
        <v>0</v>
      </c>
      <c r="J1451" s="18" t="n">
        <v>57.51</v>
      </c>
      <c r="K1451" s="19" t="n">
        <v>20.83</v>
      </c>
      <c r="L1451" s="15" t="n">
        <f aca="false">YEAR(B1451)</f>
        <v>2025</v>
      </c>
      <c r="M1451" s="20" t="n">
        <f aca="false">IF(J1451&gt;0,K1451/J1451,0)</f>
        <v>0.362197878629804</v>
      </c>
    </row>
    <row r="1452" customFormat="false" ht="15" hidden="false" customHeight="false" outlineLevel="0" collapsed="false">
      <c r="A1452" s="15" t="s">
        <v>1509</v>
      </c>
      <c r="B1452" s="16" t="n">
        <v>45177</v>
      </c>
      <c r="C1452" s="15" t="s">
        <v>56</v>
      </c>
      <c r="D1452" s="15" t="s">
        <v>43</v>
      </c>
      <c r="E1452" s="15" t="s">
        <v>36</v>
      </c>
      <c r="F1452" s="15" t="s">
        <v>18</v>
      </c>
      <c r="G1452" s="15" t="s">
        <v>33</v>
      </c>
      <c r="H1452" s="15" t="n">
        <v>5</v>
      </c>
      <c r="I1452" s="17" t="n">
        <v>0</v>
      </c>
      <c r="J1452" s="18" t="n">
        <v>3522.94</v>
      </c>
      <c r="K1452" s="19" t="n">
        <v>864.4</v>
      </c>
      <c r="L1452" s="15" t="n">
        <f aca="false">YEAR(B1452)</f>
        <v>2023</v>
      </c>
      <c r="M1452" s="20" t="n">
        <f aca="false">IF(J1452&gt;0,K1452/J1452,0)</f>
        <v>0.245363247741943</v>
      </c>
    </row>
    <row r="1453" customFormat="false" ht="15" hidden="false" customHeight="false" outlineLevel="0" collapsed="false">
      <c r="A1453" s="15" t="s">
        <v>1510</v>
      </c>
      <c r="B1453" s="16" t="n">
        <v>45798</v>
      </c>
      <c r="C1453" s="15" t="s">
        <v>56</v>
      </c>
      <c r="D1453" s="15" t="s">
        <v>42</v>
      </c>
      <c r="E1453" s="15" t="s">
        <v>36</v>
      </c>
      <c r="F1453" s="15" t="s">
        <v>16</v>
      </c>
      <c r="G1453" s="15" t="s">
        <v>22</v>
      </c>
      <c r="H1453" s="15" t="n">
        <v>7</v>
      </c>
      <c r="I1453" s="17" t="n">
        <v>0.4</v>
      </c>
      <c r="J1453" s="18" t="n">
        <v>2211.92</v>
      </c>
      <c r="K1453" s="19" t="n">
        <v>-706.2</v>
      </c>
      <c r="L1453" s="15" t="n">
        <f aca="false">YEAR(B1453)</f>
        <v>2025</v>
      </c>
      <c r="M1453" s="20" t="n">
        <f aca="false">IF(J1453&gt;0,K1453/J1453,0)</f>
        <v>-0.319270136352129</v>
      </c>
    </row>
    <row r="1454" customFormat="false" ht="15" hidden="false" customHeight="false" outlineLevel="0" collapsed="false">
      <c r="A1454" s="15" t="s">
        <v>1511</v>
      </c>
      <c r="B1454" s="16" t="n">
        <v>45208</v>
      </c>
      <c r="C1454" s="15" t="s">
        <v>68</v>
      </c>
      <c r="D1454" s="15" t="s">
        <v>43</v>
      </c>
      <c r="E1454" s="15" t="s">
        <v>38</v>
      </c>
      <c r="F1454" s="15" t="s">
        <v>16</v>
      </c>
      <c r="G1454" s="15" t="s">
        <v>22</v>
      </c>
      <c r="H1454" s="15" t="n">
        <v>1</v>
      </c>
      <c r="I1454" s="17" t="n">
        <v>0.15</v>
      </c>
      <c r="J1454" s="18" t="n">
        <v>408.37</v>
      </c>
      <c r="K1454" s="19" t="n">
        <v>-72.24</v>
      </c>
      <c r="L1454" s="15" t="n">
        <f aca="false">YEAR(B1454)</f>
        <v>2023</v>
      </c>
      <c r="M1454" s="20" t="n">
        <f aca="false">IF(J1454&gt;0,K1454/J1454,0)</f>
        <v>-0.176898400959914</v>
      </c>
    </row>
    <row r="1455" customFormat="false" ht="15" hidden="false" customHeight="false" outlineLevel="0" collapsed="false">
      <c r="A1455" s="15" t="s">
        <v>1512</v>
      </c>
      <c r="B1455" s="16" t="n">
        <v>45117</v>
      </c>
      <c r="C1455" s="15" t="s">
        <v>56</v>
      </c>
      <c r="D1455" s="15" t="s">
        <v>42</v>
      </c>
      <c r="E1455" s="15" t="s">
        <v>39</v>
      </c>
      <c r="F1455" s="15" t="s">
        <v>17</v>
      </c>
      <c r="G1455" s="15" t="s">
        <v>29</v>
      </c>
      <c r="H1455" s="15" t="n">
        <v>4</v>
      </c>
      <c r="I1455" s="17" t="n">
        <v>0.05</v>
      </c>
      <c r="J1455" s="18" t="n">
        <v>64.97</v>
      </c>
      <c r="K1455" s="19" t="n">
        <v>20.06</v>
      </c>
      <c r="L1455" s="15" t="n">
        <f aca="false">YEAR(B1455)</f>
        <v>2023</v>
      </c>
      <c r="M1455" s="20" t="n">
        <f aca="false">IF(J1455&gt;0,K1455/J1455,0)</f>
        <v>0.308757888256118</v>
      </c>
    </row>
    <row r="1456" customFormat="false" ht="15" hidden="false" customHeight="false" outlineLevel="0" collapsed="false">
      <c r="A1456" s="15" t="s">
        <v>1513</v>
      </c>
      <c r="B1456" s="16" t="n">
        <v>45401</v>
      </c>
      <c r="C1456" s="15" t="s">
        <v>68</v>
      </c>
      <c r="D1456" s="15" t="s">
        <v>42</v>
      </c>
      <c r="E1456" s="15" t="s">
        <v>36</v>
      </c>
      <c r="F1456" s="15" t="s">
        <v>18</v>
      </c>
      <c r="G1456" s="15" t="s">
        <v>33</v>
      </c>
      <c r="H1456" s="15" t="n">
        <v>6</v>
      </c>
      <c r="I1456" s="17" t="n">
        <v>0</v>
      </c>
      <c r="J1456" s="18" t="n">
        <v>4322.88</v>
      </c>
      <c r="K1456" s="19" t="n">
        <v>908.94</v>
      </c>
      <c r="L1456" s="15" t="n">
        <f aca="false">YEAR(B1456)</f>
        <v>2024</v>
      </c>
      <c r="M1456" s="20" t="n">
        <f aca="false">IF(J1456&gt;0,K1456/J1456,0)</f>
        <v>0.210262602709305</v>
      </c>
    </row>
    <row r="1457" customFormat="false" ht="15" hidden="false" customHeight="false" outlineLevel="0" collapsed="false">
      <c r="A1457" s="15" t="s">
        <v>1514</v>
      </c>
      <c r="B1457" s="16" t="n">
        <v>45357</v>
      </c>
      <c r="C1457" s="15" t="s">
        <v>68</v>
      </c>
      <c r="D1457" s="15" t="s">
        <v>44</v>
      </c>
      <c r="E1457" s="15" t="s">
        <v>36</v>
      </c>
      <c r="F1457" s="15" t="s">
        <v>17</v>
      </c>
      <c r="G1457" s="15" t="s">
        <v>29</v>
      </c>
      <c r="H1457" s="15" t="n">
        <v>3</v>
      </c>
      <c r="I1457" s="17" t="n">
        <v>0.05</v>
      </c>
      <c r="J1457" s="18" t="n">
        <v>50.52</v>
      </c>
      <c r="K1457" s="19" t="n">
        <v>15.24</v>
      </c>
      <c r="L1457" s="15" t="n">
        <f aca="false">YEAR(B1457)</f>
        <v>2024</v>
      </c>
      <c r="M1457" s="20" t="n">
        <f aca="false">IF(J1457&gt;0,K1457/J1457,0)</f>
        <v>0.30166270783848</v>
      </c>
    </row>
    <row r="1458" customFormat="false" ht="15" hidden="false" customHeight="false" outlineLevel="0" collapsed="false">
      <c r="A1458" s="15" t="s">
        <v>1515</v>
      </c>
      <c r="B1458" s="16" t="n">
        <v>45406</v>
      </c>
      <c r="C1458" s="15" t="s">
        <v>56</v>
      </c>
      <c r="D1458" s="15" t="s">
        <v>43</v>
      </c>
      <c r="E1458" s="15" t="s">
        <v>36</v>
      </c>
      <c r="F1458" s="15" t="s">
        <v>17</v>
      </c>
      <c r="G1458" s="15" t="s">
        <v>29</v>
      </c>
      <c r="H1458" s="15" t="n">
        <v>3</v>
      </c>
      <c r="I1458" s="17" t="n">
        <v>0.5</v>
      </c>
      <c r="J1458" s="18" t="n">
        <v>24.93</v>
      </c>
      <c r="K1458" s="19" t="n">
        <v>-2.28</v>
      </c>
      <c r="L1458" s="15" t="n">
        <f aca="false">YEAR(B1458)</f>
        <v>2024</v>
      </c>
      <c r="M1458" s="20" t="n">
        <f aca="false">IF(J1458&gt;0,K1458/J1458,0)</f>
        <v>-0.0914560770156438</v>
      </c>
    </row>
    <row r="1459" customFormat="false" ht="15" hidden="false" customHeight="false" outlineLevel="0" collapsed="false">
      <c r="A1459" s="15" t="s">
        <v>1516</v>
      </c>
      <c r="B1459" s="16" t="n">
        <v>45741</v>
      </c>
      <c r="C1459" s="15" t="s">
        <v>56</v>
      </c>
      <c r="D1459" s="15" t="s">
        <v>42</v>
      </c>
      <c r="E1459" s="15" t="s">
        <v>38</v>
      </c>
      <c r="F1459" s="15" t="s">
        <v>17</v>
      </c>
      <c r="G1459" s="15" t="s">
        <v>26</v>
      </c>
      <c r="H1459" s="15" t="n">
        <v>2</v>
      </c>
      <c r="I1459" s="17" t="n">
        <v>0</v>
      </c>
      <c r="J1459" s="18" t="n">
        <v>152.78</v>
      </c>
      <c r="K1459" s="19" t="n">
        <v>21.48</v>
      </c>
      <c r="L1459" s="15" t="n">
        <f aca="false">YEAR(B1459)</f>
        <v>2025</v>
      </c>
      <c r="M1459" s="20" t="n">
        <f aca="false">IF(J1459&gt;0,K1459/J1459,0)</f>
        <v>0.140594318628093</v>
      </c>
    </row>
    <row r="1460" customFormat="false" ht="15" hidden="false" customHeight="false" outlineLevel="0" collapsed="false">
      <c r="A1460" s="15" t="s">
        <v>1517</v>
      </c>
      <c r="B1460" s="16" t="n">
        <v>45282</v>
      </c>
      <c r="C1460" s="15" t="s">
        <v>56</v>
      </c>
      <c r="D1460" s="15" t="s">
        <v>42</v>
      </c>
      <c r="E1460" s="15" t="s">
        <v>37</v>
      </c>
      <c r="F1460" s="15" t="s">
        <v>17</v>
      </c>
      <c r="G1460" s="15" t="s">
        <v>26</v>
      </c>
      <c r="H1460" s="15" t="n">
        <v>2</v>
      </c>
      <c r="I1460" s="17" t="n">
        <v>0.05</v>
      </c>
      <c r="J1460" s="18" t="n">
        <v>185.15</v>
      </c>
      <c r="K1460" s="19" t="n">
        <v>6.17</v>
      </c>
      <c r="L1460" s="15" t="n">
        <f aca="false">YEAR(B1460)</f>
        <v>2023</v>
      </c>
      <c r="M1460" s="20" t="n">
        <f aca="false">IF(J1460&gt;0,K1460/J1460,0)</f>
        <v>0.0333243316230084</v>
      </c>
    </row>
    <row r="1461" customFormat="false" ht="15" hidden="false" customHeight="false" outlineLevel="0" collapsed="false">
      <c r="A1461" s="15" t="s">
        <v>1518</v>
      </c>
      <c r="B1461" s="16" t="n">
        <v>45024</v>
      </c>
      <c r="C1461" s="15" t="s">
        <v>56</v>
      </c>
      <c r="D1461" s="15" t="s">
        <v>42</v>
      </c>
      <c r="E1461" s="15" t="s">
        <v>36</v>
      </c>
      <c r="F1461" s="15" t="s">
        <v>16</v>
      </c>
      <c r="G1461" s="15" t="s">
        <v>23</v>
      </c>
      <c r="H1461" s="15" t="n">
        <v>3</v>
      </c>
      <c r="I1461" s="17" t="n">
        <v>0.05</v>
      </c>
      <c r="J1461" s="18" t="n">
        <v>816.29</v>
      </c>
      <c r="K1461" s="19" t="n">
        <v>-49.07</v>
      </c>
      <c r="L1461" s="15" t="n">
        <f aca="false">YEAR(B1461)</f>
        <v>2023</v>
      </c>
      <c r="M1461" s="20" t="n">
        <f aca="false">IF(J1461&gt;0,K1461/J1461,0)</f>
        <v>-0.0601134400764434</v>
      </c>
    </row>
    <row r="1462" customFormat="false" ht="15" hidden="false" customHeight="false" outlineLevel="0" collapsed="false">
      <c r="A1462" s="15" t="s">
        <v>1519</v>
      </c>
      <c r="B1462" s="16" t="n">
        <v>45420</v>
      </c>
      <c r="C1462" s="15" t="s">
        <v>56</v>
      </c>
      <c r="D1462" s="15" t="s">
        <v>42</v>
      </c>
      <c r="E1462" s="15" t="s">
        <v>37</v>
      </c>
      <c r="F1462" s="15" t="s">
        <v>16</v>
      </c>
      <c r="G1462" s="15" t="s">
        <v>27</v>
      </c>
      <c r="H1462" s="15" t="n">
        <v>4</v>
      </c>
      <c r="I1462" s="17" t="n">
        <v>0.3</v>
      </c>
      <c r="J1462" s="18" t="n">
        <v>189.13</v>
      </c>
      <c r="K1462" s="19" t="n">
        <v>3.39</v>
      </c>
      <c r="L1462" s="15" t="n">
        <f aca="false">YEAR(B1462)</f>
        <v>2024</v>
      </c>
      <c r="M1462" s="20" t="n">
        <f aca="false">IF(J1462&gt;0,K1462/J1462,0)</f>
        <v>0.017924179136044</v>
      </c>
    </row>
    <row r="1463" customFormat="false" ht="15" hidden="false" customHeight="false" outlineLevel="0" collapsed="false">
      <c r="A1463" s="15" t="s">
        <v>1520</v>
      </c>
      <c r="B1463" s="16" t="n">
        <v>45241</v>
      </c>
      <c r="C1463" s="15" t="s">
        <v>56</v>
      </c>
      <c r="D1463" s="15" t="s">
        <v>43</v>
      </c>
      <c r="E1463" s="15" t="s">
        <v>37</v>
      </c>
      <c r="F1463" s="15" t="s">
        <v>18</v>
      </c>
      <c r="G1463" s="15" t="s">
        <v>30</v>
      </c>
      <c r="H1463" s="15" t="n">
        <v>3</v>
      </c>
      <c r="I1463" s="17" t="n">
        <v>0.1</v>
      </c>
      <c r="J1463" s="18" t="n">
        <v>126.23</v>
      </c>
      <c r="K1463" s="19" t="n">
        <v>27.79</v>
      </c>
      <c r="L1463" s="15" t="n">
        <f aca="false">YEAR(B1463)</f>
        <v>2023</v>
      </c>
      <c r="M1463" s="20" t="n">
        <f aca="false">IF(J1463&gt;0,K1463/J1463,0)</f>
        <v>0.220153687712905</v>
      </c>
    </row>
    <row r="1464" customFormat="false" ht="15" hidden="false" customHeight="false" outlineLevel="0" collapsed="false">
      <c r="A1464" s="15" t="s">
        <v>1521</v>
      </c>
      <c r="B1464" s="16" t="n">
        <v>44867</v>
      </c>
      <c r="C1464" s="15" t="s">
        <v>56</v>
      </c>
      <c r="D1464" s="15" t="s">
        <v>42</v>
      </c>
      <c r="E1464" s="15" t="s">
        <v>37</v>
      </c>
      <c r="F1464" s="15" t="s">
        <v>18</v>
      </c>
      <c r="G1464" s="15" t="s">
        <v>32</v>
      </c>
      <c r="H1464" s="15" t="n">
        <v>4</v>
      </c>
      <c r="I1464" s="17" t="n">
        <v>0</v>
      </c>
      <c r="J1464" s="18" t="n">
        <v>1964.49</v>
      </c>
      <c r="K1464" s="19" t="n">
        <v>407.15</v>
      </c>
      <c r="L1464" s="15" t="n">
        <f aca="false">YEAR(B1464)</f>
        <v>2022</v>
      </c>
      <c r="M1464" s="20" t="n">
        <f aca="false">IF(J1464&gt;0,K1464/J1464,0)</f>
        <v>0.207254809136213</v>
      </c>
    </row>
    <row r="1465" customFormat="false" ht="15" hidden="false" customHeight="false" outlineLevel="0" collapsed="false">
      <c r="A1465" s="15" t="s">
        <v>1522</v>
      </c>
      <c r="B1465" s="16" t="n">
        <v>45608</v>
      </c>
      <c r="C1465" s="15" t="s">
        <v>58</v>
      </c>
      <c r="D1465" s="15" t="s">
        <v>43</v>
      </c>
      <c r="E1465" s="15" t="s">
        <v>39</v>
      </c>
      <c r="F1465" s="15" t="s">
        <v>17</v>
      </c>
      <c r="G1465" s="15" t="s">
        <v>26</v>
      </c>
      <c r="H1465" s="15" t="n">
        <v>6</v>
      </c>
      <c r="I1465" s="17" t="n">
        <v>0.2</v>
      </c>
      <c r="J1465" s="18" t="n">
        <v>455.22</v>
      </c>
      <c r="K1465" s="19" t="n">
        <v>-27.49</v>
      </c>
      <c r="L1465" s="15" t="n">
        <f aca="false">YEAR(B1465)</f>
        <v>2024</v>
      </c>
      <c r="M1465" s="20" t="n">
        <f aca="false">IF(J1465&gt;0,K1465/J1465,0)</f>
        <v>-0.0603883836386802</v>
      </c>
    </row>
    <row r="1466" customFormat="false" ht="15" hidden="false" customHeight="false" outlineLevel="0" collapsed="false">
      <c r="A1466" s="15" t="s">
        <v>1523</v>
      </c>
      <c r="B1466" s="16" t="n">
        <v>45639</v>
      </c>
      <c r="C1466" s="15" t="s">
        <v>56</v>
      </c>
      <c r="D1466" s="15" t="s">
        <v>42</v>
      </c>
      <c r="E1466" s="15" t="s">
        <v>37</v>
      </c>
      <c r="F1466" s="15" t="s">
        <v>17</v>
      </c>
      <c r="G1466" s="15" t="s">
        <v>29</v>
      </c>
      <c r="H1466" s="15" t="n">
        <v>4</v>
      </c>
      <c r="I1466" s="17" t="n">
        <v>0.1</v>
      </c>
      <c r="J1466" s="18" t="n">
        <v>79.42</v>
      </c>
      <c r="K1466" s="19" t="n">
        <v>24.73</v>
      </c>
      <c r="L1466" s="15" t="n">
        <f aca="false">YEAR(B1466)</f>
        <v>2024</v>
      </c>
      <c r="M1466" s="20" t="n">
        <f aca="false">IF(J1466&gt;0,K1466/J1466,0)</f>
        <v>0.311382523293881</v>
      </c>
    </row>
    <row r="1467" customFormat="false" ht="15" hidden="false" customHeight="false" outlineLevel="0" collapsed="false">
      <c r="A1467" s="15" t="s">
        <v>1524</v>
      </c>
      <c r="B1467" s="16" t="n">
        <v>44808</v>
      </c>
      <c r="C1467" s="15" t="s">
        <v>71</v>
      </c>
      <c r="D1467" s="15" t="s">
        <v>43</v>
      </c>
      <c r="E1467" s="15" t="s">
        <v>36</v>
      </c>
      <c r="F1467" s="15" t="s">
        <v>17</v>
      </c>
      <c r="G1467" s="15" t="s">
        <v>29</v>
      </c>
      <c r="H1467" s="15" t="n">
        <v>2</v>
      </c>
      <c r="I1467" s="17" t="n">
        <v>0.2</v>
      </c>
      <c r="J1467" s="18" t="n">
        <v>29.24</v>
      </c>
      <c r="K1467" s="19" t="n">
        <v>5.88</v>
      </c>
      <c r="L1467" s="15" t="n">
        <f aca="false">YEAR(B1467)</f>
        <v>2022</v>
      </c>
      <c r="M1467" s="20" t="n">
        <f aca="false">IF(J1467&gt;0,K1467/J1467,0)</f>
        <v>0.20109439124487</v>
      </c>
    </row>
    <row r="1468" customFormat="false" ht="15" hidden="false" customHeight="false" outlineLevel="0" collapsed="false">
      <c r="A1468" s="15" t="s">
        <v>1525</v>
      </c>
      <c r="B1468" s="16" t="n">
        <v>44711</v>
      </c>
      <c r="C1468" s="15" t="s">
        <v>56</v>
      </c>
      <c r="D1468" s="15" t="s">
        <v>42</v>
      </c>
      <c r="E1468" s="15" t="s">
        <v>36</v>
      </c>
      <c r="F1468" s="15" t="s">
        <v>17</v>
      </c>
      <c r="G1468" s="15" t="s">
        <v>29</v>
      </c>
      <c r="H1468" s="15" t="n">
        <v>3</v>
      </c>
      <c r="I1468" s="17" t="n">
        <v>0.1</v>
      </c>
      <c r="J1468" s="18" t="n">
        <v>70</v>
      </c>
      <c r="K1468" s="19" t="n">
        <v>22.65</v>
      </c>
      <c r="L1468" s="15" t="n">
        <f aca="false">YEAR(B1468)</f>
        <v>2022</v>
      </c>
      <c r="M1468" s="20" t="n">
        <f aca="false">IF(J1468&gt;0,K1468/J1468,0)</f>
        <v>0.323571428571429</v>
      </c>
    </row>
    <row r="1469" customFormat="false" ht="15" hidden="false" customHeight="false" outlineLevel="0" collapsed="false">
      <c r="A1469" s="15" t="s">
        <v>1526</v>
      </c>
      <c r="B1469" s="16" t="n">
        <v>45695</v>
      </c>
      <c r="C1469" s="15" t="s">
        <v>56</v>
      </c>
      <c r="D1469" s="15" t="s">
        <v>42</v>
      </c>
      <c r="E1469" s="15" t="s">
        <v>39</v>
      </c>
      <c r="F1469" s="15" t="s">
        <v>17</v>
      </c>
      <c r="G1469" s="15" t="s">
        <v>28</v>
      </c>
      <c r="H1469" s="15" t="n">
        <v>4</v>
      </c>
      <c r="I1469" s="17" t="n">
        <v>0.1</v>
      </c>
      <c r="J1469" s="18" t="n">
        <v>90.41</v>
      </c>
      <c r="K1469" s="19" t="n">
        <v>12.89</v>
      </c>
      <c r="L1469" s="15" t="n">
        <f aca="false">YEAR(B1469)</f>
        <v>2025</v>
      </c>
      <c r="M1469" s="20" t="n">
        <f aca="false">IF(J1469&gt;0,K1469/J1469,0)</f>
        <v>0.142572724256166</v>
      </c>
    </row>
    <row r="1470" customFormat="false" ht="15" hidden="false" customHeight="false" outlineLevel="0" collapsed="false">
      <c r="A1470" s="15" t="s">
        <v>1527</v>
      </c>
      <c r="B1470" s="16" t="n">
        <v>45913</v>
      </c>
      <c r="C1470" s="15" t="s">
        <v>71</v>
      </c>
      <c r="D1470" s="15" t="s">
        <v>43</v>
      </c>
      <c r="E1470" s="15" t="s">
        <v>38</v>
      </c>
      <c r="F1470" s="15" t="s">
        <v>17</v>
      </c>
      <c r="G1470" s="15" t="s">
        <v>29</v>
      </c>
      <c r="H1470" s="15" t="n">
        <v>3</v>
      </c>
      <c r="I1470" s="17" t="n">
        <v>0.1</v>
      </c>
      <c r="J1470" s="18" t="n">
        <v>52.73</v>
      </c>
      <c r="K1470" s="19" t="n">
        <v>16.63</v>
      </c>
      <c r="L1470" s="15" t="n">
        <f aca="false">YEAR(B1470)</f>
        <v>2025</v>
      </c>
      <c r="M1470" s="20" t="n">
        <f aca="false">IF(J1470&gt;0,K1470/J1470,0)</f>
        <v>0.315380238953158</v>
      </c>
    </row>
    <row r="1471" customFormat="false" ht="15" hidden="false" customHeight="false" outlineLevel="0" collapsed="false">
      <c r="A1471" s="15" t="s">
        <v>1528</v>
      </c>
      <c r="B1471" s="16" t="n">
        <v>45548</v>
      </c>
      <c r="C1471" s="15" t="s">
        <v>56</v>
      </c>
      <c r="D1471" s="15" t="s">
        <v>42</v>
      </c>
      <c r="E1471" s="15" t="s">
        <v>37</v>
      </c>
      <c r="F1471" s="15" t="s">
        <v>17</v>
      </c>
      <c r="G1471" s="15" t="s">
        <v>28</v>
      </c>
      <c r="H1471" s="15" t="n">
        <v>4</v>
      </c>
      <c r="I1471" s="17" t="n">
        <v>0</v>
      </c>
      <c r="J1471" s="18" t="n">
        <v>77.39</v>
      </c>
      <c r="K1471" s="19" t="n">
        <v>24.57</v>
      </c>
      <c r="L1471" s="15" t="n">
        <f aca="false">YEAR(B1471)</f>
        <v>2024</v>
      </c>
      <c r="M1471" s="20" t="n">
        <f aca="false">IF(J1471&gt;0,K1471/J1471,0)</f>
        <v>0.317482878924926</v>
      </c>
    </row>
    <row r="1472" customFormat="false" ht="15" hidden="false" customHeight="false" outlineLevel="0" collapsed="false">
      <c r="A1472" s="15" t="s">
        <v>1529</v>
      </c>
      <c r="B1472" s="16" t="n">
        <v>45016</v>
      </c>
      <c r="C1472" s="15" t="s">
        <v>56</v>
      </c>
      <c r="D1472" s="15" t="s">
        <v>43</v>
      </c>
      <c r="E1472" s="15" t="s">
        <v>39</v>
      </c>
      <c r="F1472" s="15" t="s">
        <v>18</v>
      </c>
      <c r="G1472" s="15" t="s">
        <v>24</v>
      </c>
      <c r="H1472" s="15" t="n">
        <v>3</v>
      </c>
      <c r="I1472" s="17" t="n">
        <v>0.15</v>
      </c>
      <c r="J1472" s="18" t="n">
        <v>1690.88</v>
      </c>
      <c r="K1472" s="19" t="n">
        <v>-163.47</v>
      </c>
      <c r="L1472" s="15" t="n">
        <f aca="false">YEAR(B1472)</f>
        <v>2023</v>
      </c>
      <c r="M1472" s="20" t="n">
        <f aca="false">IF(J1472&gt;0,K1472/J1472,0)</f>
        <v>-0.0966774697199092</v>
      </c>
    </row>
    <row r="1473" customFormat="false" ht="15" hidden="false" customHeight="false" outlineLevel="0" collapsed="false">
      <c r="A1473" s="15" t="s">
        <v>1530</v>
      </c>
      <c r="B1473" s="16" t="n">
        <v>45329</v>
      </c>
      <c r="C1473" s="15" t="s">
        <v>68</v>
      </c>
      <c r="D1473" s="15" t="s">
        <v>43</v>
      </c>
      <c r="E1473" s="15" t="s">
        <v>36</v>
      </c>
      <c r="F1473" s="15" t="s">
        <v>17</v>
      </c>
      <c r="G1473" s="15" t="s">
        <v>28</v>
      </c>
      <c r="H1473" s="15" t="n">
        <v>7</v>
      </c>
      <c r="I1473" s="17" t="n">
        <v>0.15</v>
      </c>
      <c r="J1473" s="18" t="n">
        <v>156.05</v>
      </c>
      <c r="K1473" s="19" t="n">
        <v>22.87</v>
      </c>
      <c r="L1473" s="15" t="n">
        <f aca="false">YEAR(B1473)</f>
        <v>2024</v>
      </c>
      <c r="M1473" s="20" t="n">
        <f aca="false">IF(J1473&gt;0,K1473/J1473,0)</f>
        <v>0.146555591156681</v>
      </c>
    </row>
    <row r="1474" customFormat="false" ht="15" hidden="false" customHeight="false" outlineLevel="0" collapsed="false">
      <c r="A1474" s="15" t="s">
        <v>1531</v>
      </c>
      <c r="B1474" s="16" t="n">
        <v>46018</v>
      </c>
      <c r="C1474" s="15" t="s">
        <v>56</v>
      </c>
      <c r="D1474" s="15" t="s">
        <v>43</v>
      </c>
      <c r="E1474" s="15" t="s">
        <v>39</v>
      </c>
      <c r="F1474" s="15" t="s">
        <v>18</v>
      </c>
      <c r="G1474" s="15" t="s">
        <v>30</v>
      </c>
      <c r="H1474" s="15" t="n">
        <v>2</v>
      </c>
      <c r="I1474" s="17" t="n">
        <v>0.3</v>
      </c>
      <c r="J1474" s="18" t="n">
        <v>66.53</v>
      </c>
      <c r="K1474" s="19" t="n">
        <v>-1.78</v>
      </c>
      <c r="L1474" s="15" t="n">
        <f aca="false">YEAR(B1474)</f>
        <v>2025</v>
      </c>
      <c r="M1474" s="20" t="n">
        <f aca="false">IF(J1474&gt;0,K1474/J1474,0)</f>
        <v>-0.0267548474372464</v>
      </c>
    </row>
    <row r="1475" customFormat="false" ht="15" hidden="false" customHeight="false" outlineLevel="0" collapsed="false">
      <c r="A1475" s="15" t="s">
        <v>1532</v>
      </c>
      <c r="B1475" s="16" t="n">
        <v>45513</v>
      </c>
      <c r="C1475" s="15" t="s">
        <v>71</v>
      </c>
      <c r="D1475" s="15" t="s">
        <v>43</v>
      </c>
      <c r="E1475" s="15" t="s">
        <v>39</v>
      </c>
      <c r="F1475" s="15" t="s">
        <v>16</v>
      </c>
      <c r="G1475" s="15" t="s">
        <v>27</v>
      </c>
      <c r="H1475" s="15" t="n">
        <v>4</v>
      </c>
      <c r="I1475" s="17" t="n">
        <v>0</v>
      </c>
      <c r="J1475" s="18" t="n">
        <v>264.45</v>
      </c>
      <c r="K1475" s="19" t="n">
        <v>64.93</v>
      </c>
      <c r="L1475" s="15" t="n">
        <f aca="false">YEAR(B1475)</f>
        <v>2024</v>
      </c>
      <c r="M1475" s="20" t="n">
        <f aca="false">IF(J1475&gt;0,K1475/J1475,0)</f>
        <v>0.245528455284553</v>
      </c>
    </row>
    <row r="1476" customFormat="false" ht="15" hidden="false" customHeight="false" outlineLevel="0" collapsed="false">
      <c r="A1476" s="15" t="s">
        <v>1533</v>
      </c>
      <c r="B1476" s="16" t="n">
        <v>45065</v>
      </c>
      <c r="C1476" s="15" t="s">
        <v>56</v>
      </c>
      <c r="D1476" s="15" t="s">
        <v>43</v>
      </c>
      <c r="E1476" s="15" t="s">
        <v>38</v>
      </c>
      <c r="F1476" s="15" t="s">
        <v>17</v>
      </c>
      <c r="G1476" s="15" t="s">
        <v>26</v>
      </c>
      <c r="H1476" s="15" t="n">
        <v>1</v>
      </c>
      <c r="I1476" s="17" t="n">
        <v>0</v>
      </c>
      <c r="J1476" s="18" t="n">
        <v>69.99</v>
      </c>
      <c r="K1476" s="19" t="n">
        <v>5.63</v>
      </c>
      <c r="L1476" s="15" t="n">
        <f aca="false">YEAR(B1476)</f>
        <v>2023</v>
      </c>
      <c r="M1476" s="20" t="n">
        <f aca="false">IF(J1476&gt;0,K1476/J1476,0)</f>
        <v>0.0804400628661237</v>
      </c>
    </row>
    <row r="1477" customFormat="false" ht="15" hidden="false" customHeight="false" outlineLevel="0" collapsed="false">
      <c r="A1477" s="15" t="s">
        <v>1534</v>
      </c>
      <c r="B1477" s="16" t="n">
        <v>45292</v>
      </c>
      <c r="C1477" s="15" t="s">
        <v>68</v>
      </c>
      <c r="D1477" s="15" t="s">
        <v>42</v>
      </c>
      <c r="E1477" s="15" t="s">
        <v>37</v>
      </c>
      <c r="F1477" s="15" t="s">
        <v>16</v>
      </c>
      <c r="G1477" s="15" t="s">
        <v>23</v>
      </c>
      <c r="H1477" s="15" t="n">
        <v>3</v>
      </c>
      <c r="I1477" s="17" t="n">
        <v>0.1</v>
      </c>
      <c r="J1477" s="18" t="n">
        <v>851.41</v>
      </c>
      <c r="K1477" s="19" t="n">
        <v>-40.39</v>
      </c>
      <c r="L1477" s="15" t="n">
        <f aca="false">YEAR(B1477)</f>
        <v>2024</v>
      </c>
      <c r="M1477" s="20" t="n">
        <f aca="false">IF(J1477&gt;0,K1477/J1477,0)</f>
        <v>-0.047438954205377</v>
      </c>
    </row>
    <row r="1478" customFormat="false" ht="15" hidden="false" customHeight="false" outlineLevel="0" collapsed="false">
      <c r="A1478" s="15" t="s">
        <v>1535</v>
      </c>
      <c r="B1478" s="16" t="n">
        <v>44890</v>
      </c>
      <c r="C1478" s="15" t="s">
        <v>56</v>
      </c>
      <c r="D1478" s="15" t="s">
        <v>44</v>
      </c>
      <c r="E1478" s="15" t="s">
        <v>38</v>
      </c>
      <c r="F1478" s="15" t="s">
        <v>17</v>
      </c>
      <c r="G1478" s="15" t="s">
        <v>31</v>
      </c>
      <c r="H1478" s="15" t="n">
        <v>6</v>
      </c>
      <c r="I1478" s="17" t="n">
        <v>0.2</v>
      </c>
      <c r="J1478" s="18" t="n">
        <v>596.25</v>
      </c>
      <c r="K1478" s="19" t="n">
        <v>-5.83</v>
      </c>
      <c r="L1478" s="15" t="n">
        <f aca="false">YEAR(B1478)</f>
        <v>2022</v>
      </c>
      <c r="M1478" s="20" t="n">
        <f aca="false">IF(J1478&gt;0,K1478/J1478,0)</f>
        <v>-0.00977777777777778</v>
      </c>
    </row>
    <row r="1479" customFormat="false" ht="15" hidden="false" customHeight="false" outlineLevel="0" collapsed="false">
      <c r="A1479" s="15" t="s">
        <v>1536</v>
      </c>
      <c r="B1479" s="16" t="n">
        <v>45642</v>
      </c>
      <c r="C1479" s="15" t="s">
        <v>56</v>
      </c>
      <c r="D1479" s="15" t="s">
        <v>43</v>
      </c>
      <c r="E1479" s="15" t="s">
        <v>37</v>
      </c>
      <c r="F1479" s="15" t="s">
        <v>17</v>
      </c>
      <c r="G1479" s="15" t="s">
        <v>26</v>
      </c>
      <c r="H1479" s="15" t="n">
        <v>1</v>
      </c>
      <c r="I1479" s="17" t="n">
        <v>0</v>
      </c>
      <c r="J1479" s="18" t="n">
        <v>78.84</v>
      </c>
      <c r="K1479" s="19" t="n">
        <v>11.5</v>
      </c>
      <c r="L1479" s="15" t="n">
        <f aca="false">YEAR(B1479)</f>
        <v>2024</v>
      </c>
      <c r="M1479" s="20" t="n">
        <f aca="false">IF(J1479&gt;0,K1479/J1479,0)</f>
        <v>0.145865043125317</v>
      </c>
    </row>
    <row r="1480" customFormat="false" ht="15" hidden="false" customHeight="false" outlineLevel="0" collapsed="false">
      <c r="A1480" s="15" t="s">
        <v>1537</v>
      </c>
      <c r="B1480" s="16" t="n">
        <v>46007</v>
      </c>
      <c r="C1480" s="15" t="s">
        <v>71</v>
      </c>
      <c r="D1480" s="15" t="s">
        <v>42</v>
      </c>
      <c r="E1480" s="15" t="s">
        <v>38</v>
      </c>
      <c r="F1480" s="15" t="s">
        <v>16</v>
      </c>
      <c r="G1480" s="15" t="s">
        <v>27</v>
      </c>
      <c r="H1480" s="15" t="n">
        <v>4</v>
      </c>
      <c r="I1480" s="17" t="n">
        <v>0.05</v>
      </c>
      <c r="J1480" s="18" t="n">
        <v>193.86</v>
      </c>
      <c r="K1480" s="19" t="n">
        <v>29.46</v>
      </c>
      <c r="L1480" s="15" t="n">
        <f aca="false">YEAR(B1480)</f>
        <v>2025</v>
      </c>
      <c r="M1480" s="20" t="n">
        <f aca="false">IF(J1480&gt;0,K1480/J1480,0)</f>
        <v>0.151965335809347</v>
      </c>
    </row>
    <row r="1481" customFormat="false" ht="15" hidden="false" customHeight="false" outlineLevel="0" collapsed="false">
      <c r="A1481" s="15" t="s">
        <v>1538</v>
      </c>
      <c r="B1481" s="16" t="n">
        <v>44687</v>
      </c>
      <c r="C1481" s="15" t="s">
        <v>56</v>
      </c>
      <c r="D1481" s="15" t="s">
        <v>43</v>
      </c>
      <c r="E1481" s="15" t="s">
        <v>39</v>
      </c>
      <c r="F1481" s="15" t="s">
        <v>18</v>
      </c>
      <c r="G1481" s="15" t="s">
        <v>33</v>
      </c>
      <c r="H1481" s="15" t="n">
        <v>5</v>
      </c>
      <c r="I1481" s="17" t="n">
        <v>0</v>
      </c>
      <c r="J1481" s="18" t="n">
        <v>4245.17</v>
      </c>
      <c r="K1481" s="19" t="n">
        <v>878.78</v>
      </c>
      <c r="L1481" s="15" t="n">
        <f aca="false">YEAR(B1481)</f>
        <v>2022</v>
      </c>
      <c r="M1481" s="20" t="n">
        <f aca="false">IF(J1481&gt;0,K1481/J1481,0)</f>
        <v>0.207007022098055</v>
      </c>
    </row>
    <row r="1482" customFormat="false" ht="15" hidden="false" customHeight="false" outlineLevel="0" collapsed="false">
      <c r="A1482" s="15" t="s">
        <v>1539</v>
      </c>
      <c r="B1482" s="16" t="n">
        <v>45468</v>
      </c>
      <c r="C1482" s="15" t="s">
        <v>56</v>
      </c>
      <c r="D1482" s="15" t="s">
        <v>43</v>
      </c>
      <c r="E1482" s="15" t="s">
        <v>37</v>
      </c>
      <c r="F1482" s="15" t="s">
        <v>17</v>
      </c>
      <c r="G1482" s="15" t="s">
        <v>26</v>
      </c>
      <c r="H1482" s="15" t="n">
        <v>5</v>
      </c>
      <c r="I1482" s="17" t="n">
        <v>0.2</v>
      </c>
      <c r="J1482" s="18" t="n">
        <v>330.65</v>
      </c>
      <c r="K1482" s="19" t="n">
        <v>-16.23</v>
      </c>
      <c r="L1482" s="15" t="n">
        <f aca="false">YEAR(B1482)</f>
        <v>2024</v>
      </c>
      <c r="M1482" s="20" t="n">
        <f aca="false">IF(J1482&gt;0,K1482/J1482,0)</f>
        <v>-0.0490851353394828</v>
      </c>
    </row>
    <row r="1483" customFormat="false" ht="15" hidden="false" customHeight="false" outlineLevel="0" collapsed="false">
      <c r="A1483" s="15" t="s">
        <v>1540</v>
      </c>
      <c r="B1483" s="16" t="n">
        <v>44637</v>
      </c>
      <c r="C1483" s="15" t="s">
        <v>56</v>
      </c>
      <c r="D1483" s="15" t="s">
        <v>43</v>
      </c>
      <c r="E1483" s="15" t="s">
        <v>39</v>
      </c>
      <c r="F1483" s="15" t="s">
        <v>17</v>
      </c>
      <c r="G1483" s="15" t="s">
        <v>28</v>
      </c>
      <c r="H1483" s="15" t="n">
        <v>3</v>
      </c>
      <c r="I1483" s="17" t="n">
        <v>0</v>
      </c>
      <c r="J1483" s="18" t="n">
        <v>78.15</v>
      </c>
      <c r="K1483" s="19" t="n">
        <v>21.15</v>
      </c>
      <c r="L1483" s="15" t="n">
        <f aca="false">YEAR(B1483)</f>
        <v>2022</v>
      </c>
      <c r="M1483" s="20" t="n">
        <f aca="false">IF(J1483&gt;0,K1483/J1483,0)</f>
        <v>0.27063339731286</v>
      </c>
    </row>
    <row r="1484" customFormat="false" ht="15" hidden="false" customHeight="false" outlineLevel="0" collapsed="false">
      <c r="A1484" s="15" t="s">
        <v>1541</v>
      </c>
      <c r="B1484" s="16" t="n">
        <v>44860</v>
      </c>
      <c r="C1484" s="15" t="s">
        <v>71</v>
      </c>
      <c r="D1484" s="15" t="s">
        <v>42</v>
      </c>
      <c r="E1484" s="15" t="s">
        <v>37</v>
      </c>
      <c r="F1484" s="15" t="s">
        <v>17</v>
      </c>
      <c r="G1484" s="15" t="s">
        <v>26</v>
      </c>
      <c r="H1484" s="15" t="n">
        <v>2</v>
      </c>
      <c r="I1484" s="17" t="n">
        <v>0</v>
      </c>
      <c r="J1484" s="18" t="n">
        <v>136.11</v>
      </c>
      <c r="K1484" s="19" t="n">
        <v>14.85</v>
      </c>
      <c r="L1484" s="15" t="n">
        <f aca="false">YEAR(B1484)</f>
        <v>2022</v>
      </c>
      <c r="M1484" s="20" t="n">
        <f aca="false">IF(J1484&gt;0,K1484/J1484,0)</f>
        <v>0.109102931452502</v>
      </c>
    </row>
    <row r="1485" customFormat="false" ht="15" hidden="false" customHeight="false" outlineLevel="0" collapsed="false">
      <c r="A1485" s="15" t="s">
        <v>1542</v>
      </c>
      <c r="B1485" s="16" t="n">
        <v>45862</v>
      </c>
      <c r="C1485" s="15" t="s">
        <v>68</v>
      </c>
      <c r="D1485" s="15" t="s">
        <v>42</v>
      </c>
      <c r="E1485" s="15" t="s">
        <v>39</v>
      </c>
      <c r="F1485" s="15" t="s">
        <v>17</v>
      </c>
      <c r="G1485" s="15" t="s">
        <v>29</v>
      </c>
      <c r="H1485" s="15" t="n">
        <v>3</v>
      </c>
      <c r="I1485" s="17" t="n">
        <v>0.2</v>
      </c>
      <c r="J1485" s="18" t="n">
        <v>42.62</v>
      </c>
      <c r="K1485" s="19" t="n">
        <v>8.59</v>
      </c>
      <c r="L1485" s="15" t="n">
        <f aca="false">YEAR(B1485)</f>
        <v>2025</v>
      </c>
      <c r="M1485" s="20" t="n">
        <f aca="false">IF(J1485&gt;0,K1485/J1485,0)</f>
        <v>0.201548568747067</v>
      </c>
    </row>
    <row r="1486" customFormat="false" ht="15" hidden="false" customHeight="false" outlineLevel="0" collapsed="false">
      <c r="A1486" s="15" t="s">
        <v>1543</v>
      </c>
      <c r="B1486" s="16" t="n">
        <v>45954</v>
      </c>
      <c r="C1486" s="15" t="s">
        <v>71</v>
      </c>
      <c r="D1486" s="15" t="s">
        <v>42</v>
      </c>
      <c r="E1486" s="15" t="s">
        <v>37</v>
      </c>
      <c r="F1486" s="15" t="s">
        <v>17</v>
      </c>
      <c r="G1486" s="15" t="s">
        <v>28</v>
      </c>
      <c r="H1486" s="15" t="n">
        <v>5</v>
      </c>
      <c r="I1486" s="17" t="n">
        <v>0</v>
      </c>
      <c r="J1486" s="18" t="n">
        <v>105.25</v>
      </c>
      <c r="K1486" s="19" t="n">
        <v>35.73</v>
      </c>
      <c r="L1486" s="15" t="n">
        <f aca="false">YEAR(B1486)</f>
        <v>2025</v>
      </c>
      <c r="M1486" s="20" t="n">
        <f aca="false">IF(J1486&gt;0,K1486/J1486,0)</f>
        <v>0.339477434679335</v>
      </c>
    </row>
    <row r="1487" customFormat="false" ht="15" hidden="false" customHeight="false" outlineLevel="0" collapsed="false">
      <c r="A1487" s="15" t="s">
        <v>1544</v>
      </c>
      <c r="B1487" s="16" t="n">
        <v>45494</v>
      </c>
      <c r="C1487" s="15" t="s">
        <v>56</v>
      </c>
      <c r="D1487" s="15" t="s">
        <v>44</v>
      </c>
      <c r="E1487" s="15" t="s">
        <v>37</v>
      </c>
      <c r="F1487" s="15" t="s">
        <v>16</v>
      </c>
      <c r="G1487" s="15" t="s">
        <v>27</v>
      </c>
      <c r="H1487" s="15" t="n">
        <v>4</v>
      </c>
      <c r="I1487" s="17" t="n">
        <v>0</v>
      </c>
      <c r="J1487" s="18" t="n">
        <v>245.83</v>
      </c>
      <c r="K1487" s="19" t="n">
        <v>50.05</v>
      </c>
      <c r="L1487" s="15" t="n">
        <f aca="false">YEAR(B1487)</f>
        <v>2024</v>
      </c>
      <c r="M1487" s="20" t="n">
        <f aca="false">IF(J1487&gt;0,K1487/J1487,0)</f>
        <v>0.203595980962454</v>
      </c>
    </row>
    <row r="1488" customFormat="false" ht="15" hidden="false" customHeight="false" outlineLevel="0" collapsed="false">
      <c r="A1488" s="15" t="s">
        <v>1545</v>
      </c>
      <c r="B1488" s="16" t="n">
        <v>45044</v>
      </c>
      <c r="C1488" s="15" t="s">
        <v>56</v>
      </c>
      <c r="D1488" s="15" t="s">
        <v>44</v>
      </c>
      <c r="E1488" s="15" t="s">
        <v>39</v>
      </c>
      <c r="F1488" s="15" t="s">
        <v>17</v>
      </c>
      <c r="G1488" s="15" t="s">
        <v>29</v>
      </c>
      <c r="H1488" s="15" t="n">
        <v>4</v>
      </c>
      <c r="I1488" s="17" t="n">
        <v>0</v>
      </c>
      <c r="J1488" s="18" t="n">
        <v>73.29</v>
      </c>
      <c r="K1488" s="19" t="n">
        <v>26.66</v>
      </c>
      <c r="L1488" s="15" t="n">
        <f aca="false">YEAR(B1488)</f>
        <v>2023</v>
      </c>
      <c r="M1488" s="20" t="n">
        <f aca="false">IF(J1488&gt;0,K1488/J1488,0)</f>
        <v>0.363760403875017</v>
      </c>
    </row>
    <row r="1489" customFormat="false" ht="15" hidden="false" customHeight="false" outlineLevel="0" collapsed="false">
      <c r="A1489" s="15" t="s">
        <v>1546</v>
      </c>
      <c r="B1489" s="16" t="n">
        <v>45734</v>
      </c>
      <c r="C1489" s="15" t="s">
        <v>56</v>
      </c>
      <c r="D1489" s="15" t="s">
        <v>42</v>
      </c>
      <c r="E1489" s="15" t="s">
        <v>38</v>
      </c>
      <c r="F1489" s="15" t="s">
        <v>16</v>
      </c>
      <c r="G1489" s="15" t="s">
        <v>27</v>
      </c>
      <c r="H1489" s="15" t="n">
        <v>3</v>
      </c>
      <c r="I1489" s="17" t="n">
        <v>0.2</v>
      </c>
      <c r="J1489" s="18" t="n">
        <v>154.18</v>
      </c>
      <c r="K1489" s="19" t="n">
        <v>7.62</v>
      </c>
      <c r="L1489" s="15" t="n">
        <f aca="false">YEAR(B1489)</f>
        <v>2025</v>
      </c>
      <c r="M1489" s="20" t="n">
        <f aca="false">IF(J1489&gt;0,K1489/J1489,0)</f>
        <v>0.0494227526267998</v>
      </c>
    </row>
    <row r="1490" customFormat="false" ht="15" hidden="false" customHeight="false" outlineLevel="0" collapsed="false">
      <c r="A1490" s="15" t="s">
        <v>1547</v>
      </c>
      <c r="B1490" s="16" t="n">
        <v>45308</v>
      </c>
      <c r="C1490" s="15" t="s">
        <v>56</v>
      </c>
      <c r="D1490" s="15" t="s">
        <v>43</v>
      </c>
      <c r="E1490" s="15" t="s">
        <v>39</v>
      </c>
      <c r="F1490" s="15" t="s">
        <v>18</v>
      </c>
      <c r="G1490" s="15" t="s">
        <v>30</v>
      </c>
      <c r="H1490" s="15" t="n">
        <v>1</v>
      </c>
      <c r="I1490" s="17" t="n">
        <v>0</v>
      </c>
      <c r="J1490" s="18" t="n">
        <v>53.22</v>
      </c>
      <c r="K1490" s="19" t="n">
        <v>15.42</v>
      </c>
      <c r="L1490" s="15" t="n">
        <f aca="false">YEAR(B1490)</f>
        <v>2024</v>
      </c>
      <c r="M1490" s="20" t="n">
        <f aca="false">IF(J1490&gt;0,K1490/J1490,0)</f>
        <v>0.289740698985344</v>
      </c>
    </row>
    <row r="1491" customFormat="false" ht="15" hidden="false" customHeight="false" outlineLevel="0" collapsed="false">
      <c r="A1491" s="15" t="s">
        <v>1548</v>
      </c>
      <c r="B1491" s="16" t="n">
        <v>45710</v>
      </c>
      <c r="C1491" s="15" t="s">
        <v>56</v>
      </c>
      <c r="D1491" s="15" t="s">
        <v>42</v>
      </c>
      <c r="E1491" s="15" t="s">
        <v>38</v>
      </c>
      <c r="F1491" s="15" t="s">
        <v>17</v>
      </c>
      <c r="G1491" s="15" t="s">
        <v>28</v>
      </c>
      <c r="H1491" s="15" t="n">
        <v>5</v>
      </c>
      <c r="I1491" s="17" t="n">
        <v>0.1</v>
      </c>
      <c r="J1491" s="18" t="n">
        <v>110.35</v>
      </c>
      <c r="K1491" s="19" t="n">
        <v>24.51</v>
      </c>
      <c r="L1491" s="15" t="n">
        <f aca="false">YEAR(B1491)</f>
        <v>2025</v>
      </c>
      <c r="M1491" s="20" t="n">
        <f aca="false">IF(J1491&gt;0,K1491/J1491,0)</f>
        <v>0.222111463525147</v>
      </c>
    </row>
    <row r="1492" customFormat="false" ht="15" hidden="false" customHeight="false" outlineLevel="0" collapsed="false">
      <c r="A1492" s="15" t="s">
        <v>1549</v>
      </c>
      <c r="B1492" s="16" t="n">
        <v>45047</v>
      </c>
      <c r="C1492" s="15" t="s">
        <v>56</v>
      </c>
      <c r="D1492" s="15" t="s">
        <v>42</v>
      </c>
      <c r="E1492" s="15" t="s">
        <v>36</v>
      </c>
      <c r="F1492" s="15" t="s">
        <v>16</v>
      </c>
      <c r="G1492" s="15" t="s">
        <v>23</v>
      </c>
      <c r="H1492" s="15" t="n">
        <v>2</v>
      </c>
      <c r="I1492" s="17" t="n">
        <v>0</v>
      </c>
      <c r="J1492" s="18" t="n">
        <v>612.28</v>
      </c>
      <c r="K1492" s="19" t="n">
        <v>32.11</v>
      </c>
      <c r="L1492" s="15" t="n">
        <f aca="false">YEAR(B1492)</f>
        <v>2023</v>
      </c>
      <c r="M1492" s="20" t="n">
        <f aca="false">IF(J1492&gt;0,K1492/J1492,0)</f>
        <v>0.0524433265826093</v>
      </c>
    </row>
    <row r="1493" customFormat="false" ht="15" hidden="false" customHeight="false" outlineLevel="0" collapsed="false">
      <c r="A1493" s="15" t="s">
        <v>1550</v>
      </c>
      <c r="B1493" s="16" t="n">
        <v>45475</v>
      </c>
      <c r="C1493" s="15" t="s">
        <v>56</v>
      </c>
      <c r="D1493" s="15" t="s">
        <v>42</v>
      </c>
      <c r="E1493" s="15" t="s">
        <v>38</v>
      </c>
      <c r="F1493" s="15" t="s">
        <v>17</v>
      </c>
      <c r="G1493" s="15" t="s">
        <v>31</v>
      </c>
      <c r="H1493" s="15" t="n">
        <v>1</v>
      </c>
      <c r="I1493" s="17" t="n">
        <v>0</v>
      </c>
      <c r="J1493" s="18" t="n">
        <v>118.82</v>
      </c>
      <c r="K1493" s="19" t="n">
        <v>27.12</v>
      </c>
      <c r="L1493" s="15" t="n">
        <f aca="false">YEAR(B1493)</f>
        <v>2024</v>
      </c>
      <c r="M1493" s="20" t="n">
        <f aca="false">IF(J1493&gt;0,K1493/J1493,0)</f>
        <v>0.228244403299108</v>
      </c>
    </row>
    <row r="1494" customFormat="false" ht="15" hidden="false" customHeight="false" outlineLevel="0" collapsed="false">
      <c r="A1494" s="15" t="s">
        <v>1551</v>
      </c>
      <c r="B1494" s="16" t="n">
        <v>45923</v>
      </c>
      <c r="C1494" s="15" t="s">
        <v>56</v>
      </c>
      <c r="D1494" s="15" t="s">
        <v>42</v>
      </c>
      <c r="E1494" s="15" t="s">
        <v>39</v>
      </c>
      <c r="F1494" s="15" t="s">
        <v>18</v>
      </c>
      <c r="G1494" s="15" t="s">
        <v>33</v>
      </c>
      <c r="H1494" s="15" t="n">
        <v>4</v>
      </c>
      <c r="I1494" s="17" t="n">
        <v>0</v>
      </c>
      <c r="J1494" s="18" t="n">
        <v>3859.36</v>
      </c>
      <c r="K1494" s="19" t="n">
        <v>1259.86</v>
      </c>
      <c r="L1494" s="15" t="n">
        <f aca="false">YEAR(B1494)</f>
        <v>2025</v>
      </c>
      <c r="M1494" s="20" t="n">
        <f aca="false">IF(J1494&gt;0,K1494/J1494,0)</f>
        <v>0.32644272625513</v>
      </c>
    </row>
    <row r="1495" customFormat="false" ht="15" hidden="false" customHeight="false" outlineLevel="0" collapsed="false">
      <c r="A1495" s="15" t="s">
        <v>1552</v>
      </c>
      <c r="B1495" s="16" t="n">
        <v>44726</v>
      </c>
      <c r="C1495" s="15" t="s">
        <v>56</v>
      </c>
      <c r="D1495" s="15" t="s">
        <v>42</v>
      </c>
      <c r="E1495" s="15" t="s">
        <v>37</v>
      </c>
      <c r="F1495" s="15" t="s">
        <v>16</v>
      </c>
      <c r="G1495" s="15" t="s">
        <v>25</v>
      </c>
      <c r="H1495" s="15" t="n">
        <v>3</v>
      </c>
      <c r="I1495" s="17" t="n">
        <v>0.05</v>
      </c>
      <c r="J1495" s="18" t="n">
        <v>788.24</v>
      </c>
      <c r="K1495" s="19" t="n">
        <v>-18.65</v>
      </c>
      <c r="L1495" s="15" t="n">
        <f aca="false">YEAR(B1495)</f>
        <v>2022</v>
      </c>
      <c r="M1495" s="20" t="n">
        <f aca="false">IF(J1495&gt;0,K1495/J1495,0)</f>
        <v>-0.0236603065056328</v>
      </c>
    </row>
    <row r="1496" customFormat="false" ht="15" hidden="false" customHeight="false" outlineLevel="0" collapsed="false">
      <c r="A1496" s="15" t="s">
        <v>1553</v>
      </c>
      <c r="B1496" s="16" t="n">
        <v>45166</v>
      </c>
      <c r="C1496" s="15" t="s">
        <v>56</v>
      </c>
      <c r="D1496" s="15" t="s">
        <v>42</v>
      </c>
      <c r="E1496" s="15" t="s">
        <v>39</v>
      </c>
      <c r="F1496" s="15" t="s">
        <v>18</v>
      </c>
      <c r="G1496" s="15" t="s">
        <v>30</v>
      </c>
      <c r="H1496" s="15" t="n">
        <v>3</v>
      </c>
      <c r="I1496" s="17" t="n">
        <v>0</v>
      </c>
      <c r="J1496" s="18" t="n">
        <v>149.71</v>
      </c>
      <c r="K1496" s="19" t="n">
        <v>44.58</v>
      </c>
      <c r="L1496" s="15" t="n">
        <f aca="false">YEAR(B1496)</f>
        <v>2023</v>
      </c>
      <c r="M1496" s="20" t="n">
        <f aca="false">IF(J1496&gt;0,K1496/J1496,0)</f>
        <v>0.29777569968606</v>
      </c>
    </row>
    <row r="1497" customFormat="false" ht="15" hidden="false" customHeight="false" outlineLevel="0" collapsed="false">
      <c r="A1497" s="15" t="s">
        <v>1554</v>
      </c>
      <c r="B1497" s="16" t="n">
        <v>45528</v>
      </c>
      <c r="C1497" s="15" t="s">
        <v>56</v>
      </c>
      <c r="D1497" s="15" t="s">
        <v>42</v>
      </c>
      <c r="E1497" s="15" t="s">
        <v>39</v>
      </c>
      <c r="F1497" s="15" t="s">
        <v>17</v>
      </c>
      <c r="G1497" s="15" t="s">
        <v>28</v>
      </c>
      <c r="H1497" s="15" t="n">
        <v>6</v>
      </c>
      <c r="I1497" s="17" t="n">
        <v>0.2</v>
      </c>
      <c r="J1497" s="18" t="n">
        <v>150.75</v>
      </c>
      <c r="K1497" s="19" t="n">
        <v>16.83</v>
      </c>
      <c r="L1497" s="15" t="n">
        <f aca="false">YEAR(B1497)</f>
        <v>2024</v>
      </c>
      <c r="M1497" s="20" t="n">
        <f aca="false">IF(J1497&gt;0,K1497/J1497,0)</f>
        <v>0.111641791044776</v>
      </c>
    </row>
    <row r="1498" customFormat="false" ht="15" hidden="false" customHeight="false" outlineLevel="0" collapsed="false">
      <c r="A1498" s="15" t="s">
        <v>1555</v>
      </c>
      <c r="B1498" s="16" t="n">
        <v>44799</v>
      </c>
      <c r="C1498" s="15" t="s">
        <v>56</v>
      </c>
      <c r="D1498" s="15" t="s">
        <v>42</v>
      </c>
      <c r="E1498" s="15" t="s">
        <v>37</v>
      </c>
      <c r="F1498" s="15" t="s">
        <v>18</v>
      </c>
      <c r="G1498" s="15" t="s">
        <v>30</v>
      </c>
      <c r="H1498" s="15" t="n">
        <v>5</v>
      </c>
      <c r="I1498" s="17" t="n">
        <v>0.2</v>
      </c>
      <c r="J1498" s="18" t="n">
        <v>190.6</v>
      </c>
      <c r="K1498" s="19" t="n">
        <v>33.4</v>
      </c>
      <c r="L1498" s="15" t="n">
        <f aca="false">YEAR(B1498)</f>
        <v>2022</v>
      </c>
      <c r="M1498" s="20" t="n">
        <f aca="false">IF(J1498&gt;0,K1498/J1498,0)</f>
        <v>0.175236096537251</v>
      </c>
    </row>
    <row r="1499" customFormat="false" ht="15" hidden="false" customHeight="false" outlineLevel="0" collapsed="false">
      <c r="A1499" s="15" t="s">
        <v>1556</v>
      </c>
      <c r="B1499" s="16" t="n">
        <v>45186</v>
      </c>
      <c r="C1499" s="15" t="s">
        <v>56</v>
      </c>
      <c r="D1499" s="15" t="s">
        <v>44</v>
      </c>
      <c r="E1499" s="15" t="s">
        <v>36</v>
      </c>
      <c r="F1499" s="15" t="s">
        <v>17</v>
      </c>
      <c r="G1499" s="15" t="s">
        <v>29</v>
      </c>
      <c r="H1499" s="15" t="n">
        <v>6</v>
      </c>
      <c r="I1499" s="17" t="n">
        <v>0.1</v>
      </c>
      <c r="J1499" s="18" t="n">
        <v>85.1</v>
      </c>
      <c r="K1499" s="19" t="n">
        <v>25.85</v>
      </c>
      <c r="L1499" s="15" t="n">
        <f aca="false">YEAR(B1499)</f>
        <v>2023</v>
      </c>
      <c r="M1499" s="20" t="n">
        <f aca="false">IF(J1499&gt;0,K1499/J1499,0)</f>
        <v>0.303760282021152</v>
      </c>
    </row>
    <row r="1500" customFormat="false" ht="15" hidden="false" customHeight="false" outlineLevel="0" collapsed="false">
      <c r="A1500" s="15" t="s">
        <v>1557</v>
      </c>
      <c r="B1500" s="16" t="n">
        <v>44920</v>
      </c>
      <c r="C1500" s="15" t="s">
        <v>56</v>
      </c>
      <c r="D1500" s="15" t="s">
        <v>44</v>
      </c>
      <c r="E1500" s="15" t="s">
        <v>39</v>
      </c>
      <c r="F1500" s="15" t="s">
        <v>17</v>
      </c>
      <c r="G1500" s="15" t="s">
        <v>31</v>
      </c>
      <c r="H1500" s="15" t="n">
        <v>3</v>
      </c>
      <c r="I1500" s="17" t="n">
        <v>0</v>
      </c>
      <c r="J1500" s="18" t="n">
        <v>449.99</v>
      </c>
      <c r="K1500" s="19" t="n">
        <v>61.75</v>
      </c>
      <c r="L1500" s="15" t="n">
        <f aca="false">YEAR(B1500)</f>
        <v>2022</v>
      </c>
      <c r="M1500" s="20" t="n">
        <f aca="false">IF(J1500&gt;0,K1500/J1500,0)</f>
        <v>0.137225271672704</v>
      </c>
    </row>
    <row r="1501" customFormat="false" ht="15" hidden="false" customHeight="false" outlineLevel="0" collapsed="false">
      <c r="A1501" s="15" t="s">
        <v>1558</v>
      </c>
      <c r="B1501" s="16" t="n">
        <v>44830</v>
      </c>
      <c r="C1501" s="15" t="s">
        <v>56</v>
      </c>
      <c r="D1501" s="15" t="s">
        <v>43</v>
      </c>
      <c r="E1501" s="15" t="s">
        <v>36</v>
      </c>
      <c r="F1501" s="15" t="s">
        <v>18</v>
      </c>
      <c r="G1501" s="15" t="s">
        <v>30</v>
      </c>
      <c r="H1501" s="15" t="n">
        <v>5</v>
      </c>
      <c r="I1501" s="17" t="n">
        <v>0.1</v>
      </c>
      <c r="J1501" s="18" t="n">
        <v>218.45</v>
      </c>
      <c r="K1501" s="19" t="n">
        <v>34.64</v>
      </c>
      <c r="L1501" s="15" t="n">
        <f aca="false">YEAR(B1501)</f>
        <v>2022</v>
      </c>
      <c r="M1501" s="20" t="n">
        <f aca="false">IF(J1501&gt;0,K1501/J1501,0)</f>
        <v>0.158571755550469</v>
      </c>
    </row>
    <row r="1502" customFormat="false" ht="15" hidden="false" customHeight="false" outlineLevel="0" collapsed="false">
      <c r="A1502" s="15" t="s">
        <v>1559</v>
      </c>
      <c r="B1502" s="16" t="n">
        <v>44860</v>
      </c>
      <c r="C1502" s="15" t="s">
        <v>56</v>
      </c>
      <c r="D1502" s="15" t="s">
        <v>42</v>
      </c>
      <c r="E1502" s="15" t="s">
        <v>36</v>
      </c>
      <c r="F1502" s="15" t="s">
        <v>17</v>
      </c>
      <c r="G1502" s="15" t="s">
        <v>28</v>
      </c>
      <c r="H1502" s="15" t="n">
        <v>2</v>
      </c>
      <c r="I1502" s="17" t="n">
        <v>0</v>
      </c>
      <c r="J1502" s="18" t="n">
        <v>49.47</v>
      </c>
      <c r="K1502" s="19" t="n">
        <v>14.12</v>
      </c>
      <c r="L1502" s="15" t="n">
        <f aca="false">YEAR(B1502)</f>
        <v>2022</v>
      </c>
      <c r="M1502" s="20" t="n">
        <f aca="false">IF(J1502&gt;0,K1502/J1502,0)</f>
        <v>0.28542551041035</v>
      </c>
    </row>
    <row r="1503" customFormat="false" ht="15" hidden="false" customHeight="false" outlineLevel="0" collapsed="false">
      <c r="A1503" s="15" t="s">
        <v>1560</v>
      </c>
      <c r="B1503" s="16" t="n">
        <v>45496</v>
      </c>
      <c r="C1503" s="15" t="s">
        <v>56</v>
      </c>
      <c r="D1503" s="15" t="s">
        <v>42</v>
      </c>
      <c r="E1503" s="15" t="s">
        <v>39</v>
      </c>
      <c r="F1503" s="15" t="s">
        <v>17</v>
      </c>
      <c r="G1503" s="15" t="s">
        <v>26</v>
      </c>
      <c r="H1503" s="15" t="n">
        <v>6</v>
      </c>
      <c r="I1503" s="17" t="n">
        <v>0.4</v>
      </c>
      <c r="J1503" s="18" t="n">
        <v>435.86</v>
      </c>
      <c r="K1503" s="19" t="n">
        <v>-105.97</v>
      </c>
      <c r="L1503" s="15" t="n">
        <f aca="false">YEAR(B1503)</f>
        <v>2024</v>
      </c>
      <c r="M1503" s="20" t="n">
        <f aca="false">IF(J1503&gt;0,K1503/J1503,0)</f>
        <v>-0.243128527508833</v>
      </c>
    </row>
    <row r="1504" customFormat="false" ht="15" hidden="false" customHeight="false" outlineLevel="0" collapsed="false">
      <c r="A1504" s="15" t="s">
        <v>1561</v>
      </c>
      <c r="B1504" s="16" t="n">
        <v>44744</v>
      </c>
      <c r="C1504" s="15" t="s">
        <v>56</v>
      </c>
      <c r="D1504" s="15" t="s">
        <v>44</v>
      </c>
      <c r="E1504" s="15" t="s">
        <v>37</v>
      </c>
      <c r="F1504" s="15" t="s">
        <v>17</v>
      </c>
      <c r="G1504" s="15" t="s">
        <v>26</v>
      </c>
      <c r="H1504" s="15" t="n">
        <v>3</v>
      </c>
      <c r="I1504" s="17" t="n">
        <v>0.1</v>
      </c>
      <c r="J1504" s="18" t="n">
        <v>258.81</v>
      </c>
      <c r="K1504" s="19" t="n">
        <v>11.35</v>
      </c>
      <c r="L1504" s="15" t="n">
        <f aca="false">YEAR(B1504)</f>
        <v>2022</v>
      </c>
      <c r="M1504" s="20" t="n">
        <f aca="false">IF(J1504&gt;0,K1504/J1504,0)</f>
        <v>0.0438545651249952</v>
      </c>
    </row>
    <row r="1505" customFormat="false" ht="15" hidden="false" customHeight="false" outlineLevel="0" collapsed="false">
      <c r="A1505" s="15" t="s">
        <v>1562</v>
      </c>
      <c r="B1505" s="16" t="n">
        <v>45892</v>
      </c>
      <c r="C1505" s="15" t="s">
        <v>56</v>
      </c>
      <c r="D1505" s="15" t="s">
        <v>44</v>
      </c>
      <c r="E1505" s="15" t="s">
        <v>36</v>
      </c>
      <c r="F1505" s="15" t="s">
        <v>16</v>
      </c>
      <c r="G1505" s="15" t="s">
        <v>27</v>
      </c>
      <c r="H1505" s="15" t="n">
        <v>2</v>
      </c>
      <c r="I1505" s="17" t="n">
        <v>0.2</v>
      </c>
      <c r="J1505" s="18" t="n">
        <v>96</v>
      </c>
      <c r="K1505" s="19" t="n">
        <v>6.67</v>
      </c>
      <c r="L1505" s="15" t="n">
        <f aca="false">YEAR(B1505)</f>
        <v>2025</v>
      </c>
      <c r="M1505" s="20" t="n">
        <f aca="false">IF(J1505&gt;0,K1505/J1505,0)</f>
        <v>0.0694791666666667</v>
      </c>
    </row>
    <row r="1506" customFormat="false" ht="15" hidden="false" customHeight="false" outlineLevel="0" collapsed="false">
      <c r="A1506" s="15" t="s">
        <v>1563</v>
      </c>
      <c r="B1506" s="16" t="n">
        <v>45507</v>
      </c>
      <c r="C1506" s="15" t="s">
        <v>71</v>
      </c>
      <c r="D1506" s="15" t="s">
        <v>42</v>
      </c>
      <c r="E1506" s="15" t="s">
        <v>36</v>
      </c>
      <c r="F1506" s="15" t="s">
        <v>17</v>
      </c>
      <c r="G1506" s="15" t="s">
        <v>31</v>
      </c>
      <c r="H1506" s="15" t="n">
        <v>1</v>
      </c>
      <c r="I1506" s="17" t="n">
        <v>0.05</v>
      </c>
      <c r="J1506" s="18" t="n">
        <v>131.27</v>
      </c>
      <c r="K1506" s="19" t="n">
        <v>19.41</v>
      </c>
      <c r="L1506" s="15" t="n">
        <f aca="false">YEAR(B1506)</f>
        <v>2024</v>
      </c>
      <c r="M1506" s="20" t="n">
        <f aca="false">IF(J1506&gt;0,K1506/J1506,0)</f>
        <v>0.147863182753104</v>
      </c>
    </row>
    <row r="1507" customFormat="false" ht="15" hidden="false" customHeight="false" outlineLevel="0" collapsed="false">
      <c r="A1507" s="15" t="s">
        <v>1564</v>
      </c>
      <c r="B1507" s="16" t="n">
        <v>45036</v>
      </c>
      <c r="C1507" s="15" t="s">
        <v>68</v>
      </c>
      <c r="D1507" s="15" t="s">
        <v>42</v>
      </c>
      <c r="E1507" s="15" t="s">
        <v>39</v>
      </c>
      <c r="F1507" s="15" t="s">
        <v>16</v>
      </c>
      <c r="G1507" s="15" t="s">
        <v>27</v>
      </c>
      <c r="H1507" s="15" t="n">
        <v>4</v>
      </c>
      <c r="I1507" s="17" t="n">
        <v>0.2</v>
      </c>
      <c r="J1507" s="18" t="n">
        <v>167.4</v>
      </c>
      <c r="K1507" s="19" t="n">
        <v>8.46</v>
      </c>
      <c r="L1507" s="15" t="n">
        <f aca="false">YEAR(B1507)</f>
        <v>2023</v>
      </c>
      <c r="M1507" s="20" t="n">
        <f aca="false">IF(J1507&gt;0,K1507/J1507,0)</f>
        <v>0.0505376344086022</v>
      </c>
    </row>
    <row r="1508" customFormat="false" ht="15" hidden="false" customHeight="false" outlineLevel="0" collapsed="false">
      <c r="A1508" s="15" t="s">
        <v>1565</v>
      </c>
      <c r="B1508" s="16" t="n">
        <v>45991</v>
      </c>
      <c r="C1508" s="15" t="s">
        <v>56</v>
      </c>
      <c r="D1508" s="15" t="s">
        <v>42</v>
      </c>
      <c r="E1508" s="15" t="s">
        <v>37</v>
      </c>
      <c r="F1508" s="15" t="s">
        <v>17</v>
      </c>
      <c r="G1508" s="15" t="s">
        <v>28</v>
      </c>
      <c r="H1508" s="15" t="n">
        <v>2</v>
      </c>
      <c r="I1508" s="17" t="n">
        <v>0</v>
      </c>
      <c r="J1508" s="18" t="n">
        <v>50.64</v>
      </c>
      <c r="K1508" s="19" t="n">
        <v>16.35</v>
      </c>
      <c r="L1508" s="15" t="n">
        <f aca="false">YEAR(B1508)</f>
        <v>2025</v>
      </c>
      <c r="M1508" s="20" t="n">
        <f aca="false">IF(J1508&gt;0,K1508/J1508,0)</f>
        <v>0.322867298578199</v>
      </c>
    </row>
    <row r="1509" customFormat="false" ht="15" hidden="false" customHeight="false" outlineLevel="0" collapsed="false">
      <c r="A1509" s="15" t="s">
        <v>1566</v>
      </c>
      <c r="B1509" s="16" t="n">
        <v>45080</v>
      </c>
      <c r="C1509" s="15" t="s">
        <v>56</v>
      </c>
      <c r="D1509" s="15" t="s">
        <v>43</v>
      </c>
      <c r="E1509" s="15" t="s">
        <v>37</v>
      </c>
      <c r="F1509" s="15" t="s">
        <v>16</v>
      </c>
      <c r="G1509" s="15" t="s">
        <v>25</v>
      </c>
      <c r="H1509" s="15" t="n">
        <v>3</v>
      </c>
      <c r="I1509" s="17" t="n">
        <v>0.15</v>
      </c>
      <c r="J1509" s="18" t="n">
        <v>720.33</v>
      </c>
      <c r="K1509" s="19" t="n">
        <v>-43.45</v>
      </c>
      <c r="L1509" s="15" t="n">
        <f aca="false">YEAR(B1509)</f>
        <v>2023</v>
      </c>
      <c r="M1509" s="20" t="n">
        <f aca="false">IF(J1509&gt;0,K1509/J1509,0)</f>
        <v>-0.0603195757500035</v>
      </c>
    </row>
    <row r="1510" customFormat="false" ht="15" hidden="false" customHeight="false" outlineLevel="0" collapsed="false">
      <c r="A1510" s="15" t="s">
        <v>1567</v>
      </c>
      <c r="B1510" s="16" t="n">
        <v>44888</v>
      </c>
      <c r="C1510" s="15" t="s">
        <v>71</v>
      </c>
      <c r="D1510" s="15" t="s">
        <v>42</v>
      </c>
      <c r="E1510" s="15" t="s">
        <v>38</v>
      </c>
      <c r="F1510" s="15" t="s">
        <v>18</v>
      </c>
      <c r="G1510" s="15" t="s">
        <v>30</v>
      </c>
      <c r="H1510" s="15" t="n">
        <v>7</v>
      </c>
      <c r="I1510" s="17" t="n">
        <v>0.05</v>
      </c>
      <c r="J1510" s="18" t="n">
        <v>286.93</v>
      </c>
      <c r="K1510" s="19" t="n">
        <v>65.42</v>
      </c>
      <c r="L1510" s="15" t="n">
        <f aca="false">YEAR(B1510)</f>
        <v>2022</v>
      </c>
      <c r="M1510" s="20" t="n">
        <f aca="false">IF(J1510&gt;0,K1510/J1510,0)</f>
        <v>0.227999860593176</v>
      </c>
    </row>
    <row r="1511" customFormat="false" ht="15" hidden="false" customHeight="false" outlineLevel="0" collapsed="false">
      <c r="A1511" s="15" t="s">
        <v>1568</v>
      </c>
      <c r="B1511" s="16" t="n">
        <v>45961</v>
      </c>
      <c r="C1511" s="15" t="s">
        <v>56</v>
      </c>
      <c r="D1511" s="15" t="s">
        <v>43</v>
      </c>
      <c r="E1511" s="15" t="s">
        <v>37</v>
      </c>
      <c r="F1511" s="15" t="s">
        <v>18</v>
      </c>
      <c r="G1511" s="15" t="s">
        <v>32</v>
      </c>
      <c r="H1511" s="15" t="n">
        <v>3</v>
      </c>
      <c r="I1511" s="17" t="n">
        <v>0.05</v>
      </c>
      <c r="J1511" s="18" t="n">
        <v>1184.42</v>
      </c>
      <c r="K1511" s="19" t="n">
        <v>205.91</v>
      </c>
      <c r="L1511" s="15" t="n">
        <f aca="false">YEAR(B1511)</f>
        <v>2025</v>
      </c>
      <c r="M1511" s="20" t="n">
        <f aca="false">IF(J1511&gt;0,K1511/J1511,0)</f>
        <v>0.173848803633846</v>
      </c>
    </row>
    <row r="1512" customFormat="false" ht="15" hidden="false" customHeight="false" outlineLevel="0" collapsed="false">
      <c r="A1512" s="15" t="s">
        <v>1569</v>
      </c>
      <c r="B1512" s="16" t="n">
        <v>45143</v>
      </c>
      <c r="C1512" s="15" t="s">
        <v>68</v>
      </c>
      <c r="D1512" s="15" t="s">
        <v>42</v>
      </c>
      <c r="E1512" s="15" t="s">
        <v>39</v>
      </c>
      <c r="F1512" s="15" t="s">
        <v>17</v>
      </c>
      <c r="G1512" s="15" t="s">
        <v>29</v>
      </c>
      <c r="H1512" s="15" t="n">
        <v>7</v>
      </c>
      <c r="I1512" s="17" t="n">
        <v>0.05</v>
      </c>
      <c r="J1512" s="18" t="n">
        <v>112.76</v>
      </c>
      <c r="K1512" s="19" t="n">
        <v>43.47</v>
      </c>
      <c r="L1512" s="15" t="n">
        <f aca="false">YEAR(B1512)</f>
        <v>2023</v>
      </c>
      <c r="M1512" s="20" t="n">
        <f aca="false">IF(J1512&gt;0,K1512/J1512,0)</f>
        <v>0.385509045760908</v>
      </c>
    </row>
    <row r="1513" customFormat="false" ht="15" hidden="false" customHeight="false" outlineLevel="0" collapsed="false">
      <c r="A1513" s="15" t="s">
        <v>1570</v>
      </c>
      <c r="B1513" s="16" t="n">
        <v>45635</v>
      </c>
      <c r="C1513" s="15" t="s">
        <v>56</v>
      </c>
      <c r="D1513" s="15" t="s">
        <v>43</v>
      </c>
      <c r="E1513" s="15" t="s">
        <v>39</v>
      </c>
      <c r="F1513" s="15" t="s">
        <v>16</v>
      </c>
      <c r="G1513" s="15" t="s">
        <v>25</v>
      </c>
      <c r="H1513" s="15" t="n">
        <v>3</v>
      </c>
      <c r="I1513" s="17" t="n">
        <v>0.05</v>
      </c>
      <c r="J1513" s="18" t="n">
        <v>949.44</v>
      </c>
      <c r="K1513" s="19" t="n">
        <v>42.24</v>
      </c>
      <c r="L1513" s="15" t="n">
        <f aca="false">YEAR(B1513)</f>
        <v>2024</v>
      </c>
      <c r="M1513" s="20" t="n">
        <f aca="false">IF(J1513&gt;0,K1513/J1513,0)</f>
        <v>0.0444893832153691</v>
      </c>
    </row>
    <row r="1514" customFormat="false" ht="15" hidden="false" customHeight="false" outlineLevel="0" collapsed="false">
      <c r="A1514" s="15" t="s">
        <v>1571</v>
      </c>
      <c r="B1514" s="16" t="n">
        <v>45621</v>
      </c>
      <c r="C1514" s="15" t="s">
        <v>58</v>
      </c>
      <c r="D1514" s="15" t="s">
        <v>43</v>
      </c>
      <c r="E1514" s="15" t="s">
        <v>38</v>
      </c>
      <c r="F1514" s="15" t="s">
        <v>17</v>
      </c>
      <c r="G1514" s="15" t="s">
        <v>26</v>
      </c>
      <c r="H1514" s="15" t="n">
        <v>2</v>
      </c>
      <c r="I1514" s="17" t="n">
        <v>0.2</v>
      </c>
      <c r="J1514" s="18" t="n">
        <v>127.22</v>
      </c>
      <c r="K1514" s="19" t="n">
        <v>-5.18</v>
      </c>
      <c r="L1514" s="15" t="n">
        <f aca="false">YEAR(B1514)</f>
        <v>2024</v>
      </c>
      <c r="M1514" s="20" t="n">
        <f aca="false">IF(J1514&gt;0,K1514/J1514,0)</f>
        <v>-0.0407168684169156</v>
      </c>
    </row>
    <row r="1515" customFormat="false" ht="15" hidden="false" customHeight="false" outlineLevel="0" collapsed="false">
      <c r="A1515" s="15" t="s">
        <v>1572</v>
      </c>
      <c r="B1515" s="16" t="n">
        <v>45526</v>
      </c>
      <c r="C1515" s="15" t="s">
        <v>71</v>
      </c>
      <c r="D1515" s="15" t="s">
        <v>44</v>
      </c>
      <c r="E1515" s="15" t="s">
        <v>37</v>
      </c>
      <c r="F1515" s="15" t="s">
        <v>16</v>
      </c>
      <c r="G1515" s="15" t="s">
        <v>25</v>
      </c>
      <c r="H1515" s="15" t="n">
        <v>4</v>
      </c>
      <c r="I1515" s="17" t="n">
        <v>0</v>
      </c>
      <c r="J1515" s="18" t="n">
        <v>1223.97</v>
      </c>
      <c r="K1515" s="19" t="n">
        <v>104.79</v>
      </c>
      <c r="L1515" s="15" t="n">
        <f aca="false">YEAR(B1515)</f>
        <v>2024</v>
      </c>
      <c r="M1515" s="20" t="n">
        <f aca="false">IF(J1515&gt;0,K1515/J1515,0)</f>
        <v>0.0856148435010662</v>
      </c>
    </row>
    <row r="1516" customFormat="false" ht="15" hidden="false" customHeight="false" outlineLevel="0" collapsed="false">
      <c r="A1516" s="15" t="s">
        <v>1573</v>
      </c>
      <c r="B1516" s="16" t="n">
        <v>44943</v>
      </c>
      <c r="C1516" s="15" t="s">
        <v>68</v>
      </c>
      <c r="D1516" s="15" t="s">
        <v>42</v>
      </c>
      <c r="E1516" s="15" t="s">
        <v>36</v>
      </c>
      <c r="F1516" s="15" t="s">
        <v>17</v>
      </c>
      <c r="G1516" s="15" t="s">
        <v>31</v>
      </c>
      <c r="H1516" s="15" t="n">
        <v>4</v>
      </c>
      <c r="I1516" s="17" t="n">
        <v>0.2</v>
      </c>
      <c r="J1516" s="18" t="n">
        <v>355.15</v>
      </c>
      <c r="K1516" s="19" t="n">
        <v>-17.12</v>
      </c>
      <c r="L1516" s="15" t="n">
        <f aca="false">YEAR(B1516)</f>
        <v>2023</v>
      </c>
      <c r="M1516" s="20" t="n">
        <f aca="false">IF(J1516&gt;0,K1516/J1516,0)</f>
        <v>-0.0482049838096579</v>
      </c>
    </row>
    <row r="1517" customFormat="false" ht="15" hidden="false" customHeight="false" outlineLevel="0" collapsed="false">
      <c r="A1517" s="15" t="s">
        <v>1574</v>
      </c>
      <c r="B1517" s="16" t="n">
        <v>44730</v>
      </c>
      <c r="C1517" s="15" t="s">
        <v>58</v>
      </c>
      <c r="D1517" s="15" t="s">
        <v>44</v>
      </c>
      <c r="E1517" s="15" t="s">
        <v>37</v>
      </c>
      <c r="F1517" s="15" t="s">
        <v>18</v>
      </c>
      <c r="G1517" s="15" t="s">
        <v>32</v>
      </c>
      <c r="H1517" s="15" t="n">
        <v>4</v>
      </c>
      <c r="I1517" s="17" t="n">
        <v>0</v>
      </c>
      <c r="J1517" s="18" t="n">
        <v>1466.73</v>
      </c>
      <c r="K1517" s="19" t="n">
        <v>268.02</v>
      </c>
      <c r="L1517" s="15" t="n">
        <f aca="false">YEAR(B1517)</f>
        <v>2022</v>
      </c>
      <c r="M1517" s="20" t="n">
        <f aca="false">IF(J1517&gt;0,K1517/J1517,0)</f>
        <v>0.182733018346935</v>
      </c>
    </row>
    <row r="1518" customFormat="false" ht="15" hidden="false" customHeight="false" outlineLevel="0" collapsed="false">
      <c r="A1518" s="15" t="s">
        <v>1575</v>
      </c>
      <c r="B1518" s="16" t="n">
        <v>44683</v>
      </c>
      <c r="C1518" s="15" t="s">
        <v>58</v>
      </c>
      <c r="D1518" s="15" t="s">
        <v>44</v>
      </c>
      <c r="E1518" s="15" t="s">
        <v>37</v>
      </c>
      <c r="F1518" s="15" t="s">
        <v>16</v>
      </c>
      <c r="G1518" s="15" t="s">
        <v>25</v>
      </c>
      <c r="H1518" s="15" t="n">
        <v>4</v>
      </c>
      <c r="I1518" s="17" t="n">
        <v>0</v>
      </c>
      <c r="J1518" s="18" t="n">
        <v>1112.45</v>
      </c>
      <c r="K1518" s="19" t="n">
        <v>120.96</v>
      </c>
      <c r="L1518" s="15" t="n">
        <f aca="false">YEAR(B1518)</f>
        <v>2022</v>
      </c>
      <c r="M1518" s="20" t="n">
        <f aca="false">IF(J1518&gt;0,K1518/J1518,0)</f>
        <v>0.108732976763001</v>
      </c>
    </row>
    <row r="1519" customFormat="false" ht="15" hidden="false" customHeight="false" outlineLevel="0" collapsed="false">
      <c r="A1519" s="15" t="s">
        <v>1576</v>
      </c>
      <c r="B1519" s="16" t="n">
        <v>45874</v>
      </c>
      <c r="C1519" s="15" t="s">
        <v>56</v>
      </c>
      <c r="D1519" s="15" t="s">
        <v>44</v>
      </c>
      <c r="E1519" s="15" t="s">
        <v>39</v>
      </c>
      <c r="F1519" s="15" t="s">
        <v>17</v>
      </c>
      <c r="G1519" s="15" t="s">
        <v>28</v>
      </c>
      <c r="H1519" s="15" t="n">
        <v>1</v>
      </c>
      <c r="I1519" s="17" t="n">
        <v>0</v>
      </c>
      <c r="J1519" s="18" t="n">
        <v>25.71</v>
      </c>
      <c r="K1519" s="19" t="n">
        <v>7.94</v>
      </c>
      <c r="L1519" s="15" t="n">
        <f aca="false">YEAR(B1519)</f>
        <v>2025</v>
      </c>
      <c r="M1519" s="20" t="n">
        <f aca="false">IF(J1519&gt;0,K1519/J1519,0)</f>
        <v>0.308829249319331</v>
      </c>
    </row>
    <row r="1520" customFormat="false" ht="15" hidden="false" customHeight="false" outlineLevel="0" collapsed="false">
      <c r="A1520" s="15" t="s">
        <v>1577</v>
      </c>
      <c r="B1520" s="16" t="n">
        <v>45838</v>
      </c>
      <c r="C1520" s="15" t="s">
        <v>56</v>
      </c>
      <c r="D1520" s="15" t="s">
        <v>44</v>
      </c>
      <c r="E1520" s="15" t="s">
        <v>39</v>
      </c>
      <c r="F1520" s="15" t="s">
        <v>16</v>
      </c>
      <c r="G1520" s="15" t="s">
        <v>23</v>
      </c>
      <c r="H1520" s="15" t="n">
        <v>3</v>
      </c>
      <c r="I1520" s="17" t="n">
        <v>0</v>
      </c>
      <c r="J1520" s="18" t="n">
        <v>915.07</v>
      </c>
      <c r="K1520" s="19" t="n">
        <v>2.53</v>
      </c>
      <c r="L1520" s="15" t="n">
        <f aca="false">YEAR(B1520)</f>
        <v>2025</v>
      </c>
      <c r="M1520" s="20" t="n">
        <f aca="false">IF(J1520&gt;0,K1520/J1520,0)</f>
        <v>0.00276481580644104</v>
      </c>
    </row>
    <row r="1521" customFormat="false" ht="15" hidden="false" customHeight="false" outlineLevel="0" collapsed="false">
      <c r="A1521" s="15" t="s">
        <v>1578</v>
      </c>
      <c r="B1521" s="16" t="n">
        <v>44795</v>
      </c>
      <c r="C1521" s="15" t="s">
        <v>56</v>
      </c>
      <c r="D1521" s="15" t="s">
        <v>43</v>
      </c>
      <c r="E1521" s="15" t="s">
        <v>39</v>
      </c>
      <c r="F1521" s="15" t="s">
        <v>17</v>
      </c>
      <c r="G1521" s="15" t="s">
        <v>31</v>
      </c>
      <c r="H1521" s="15" t="n">
        <v>3</v>
      </c>
      <c r="I1521" s="17" t="n">
        <v>0.1</v>
      </c>
      <c r="J1521" s="18" t="n">
        <v>474.79</v>
      </c>
      <c r="K1521" s="19" t="n">
        <v>40.27</v>
      </c>
      <c r="L1521" s="15" t="n">
        <f aca="false">YEAR(B1521)</f>
        <v>2022</v>
      </c>
      <c r="M1521" s="20" t="n">
        <f aca="false">IF(J1521&gt;0,K1521/J1521,0)</f>
        <v>0.0848164451652309</v>
      </c>
    </row>
    <row r="1522" customFormat="false" ht="15" hidden="false" customHeight="false" outlineLevel="0" collapsed="false">
      <c r="A1522" s="15" t="s">
        <v>1579</v>
      </c>
      <c r="B1522" s="16" t="n">
        <v>45654</v>
      </c>
      <c r="C1522" s="15" t="s">
        <v>56</v>
      </c>
      <c r="D1522" s="15" t="s">
        <v>42</v>
      </c>
      <c r="E1522" s="15" t="s">
        <v>36</v>
      </c>
      <c r="F1522" s="15" t="s">
        <v>16</v>
      </c>
      <c r="G1522" s="15" t="s">
        <v>27</v>
      </c>
      <c r="H1522" s="15" t="n">
        <v>2</v>
      </c>
      <c r="I1522" s="17" t="n">
        <v>0.3</v>
      </c>
      <c r="J1522" s="18" t="n">
        <v>70.47</v>
      </c>
      <c r="K1522" s="19" t="n">
        <v>-6.08</v>
      </c>
      <c r="L1522" s="15" t="n">
        <f aca="false">YEAR(B1522)</f>
        <v>2024</v>
      </c>
      <c r="M1522" s="20" t="n">
        <f aca="false">IF(J1522&gt;0,K1522/J1522,0)</f>
        <v>-0.086277848729956</v>
      </c>
    </row>
    <row r="1523" customFormat="false" ht="15" hidden="false" customHeight="false" outlineLevel="0" collapsed="false">
      <c r="A1523" s="15" t="s">
        <v>1580</v>
      </c>
      <c r="B1523" s="16" t="n">
        <v>44581</v>
      </c>
      <c r="C1523" s="15" t="s">
        <v>56</v>
      </c>
      <c r="D1523" s="15" t="s">
        <v>42</v>
      </c>
      <c r="E1523" s="15" t="s">
        <v>38</v>
      </c>
      <c r="F1523" s="15" t="s">
        <v>16</v>
      </c>
      <c r="G1523" s="15" t="s">
        <v>22</v>
      </c>
      <c r="H1523" s="15" t="n">
        <v>4</v>
      </c>
      <c r="I1523" s="17" t="n">
        <v>0</v>
      </c>
      <c r="J1523" s="18" t="n">
        <v>1775.67</v>
      </c>
      <c r="K1523" s="19" t="n">
        <v>-54.14</v>
      </c>
      <c r="L1523" s="15" t="n">
        <f aca="false">YEAR(B1523)</f>
        <v>2022</v>
      </c>
      <c r="M1523" s="20" t="n">
        <f aca="false">IF(J1523&gt;0,K1523/J1523,0)</f>
        <v>-0.0304898995871981</v>
      </c>
    </row>
    <row r="1524" customFormat="false" ht="15" hidden="false" customHeight="false" outlineLevel="0" collapsed="false">
      <c r="A1524" s="15" t="s">
        <v>1581</v>
      </c>
      <c r="B1524" s="16" t="n">
        <v>45095</v>
      </c>
      <c r="C1524" s="15" t="s">
        <v>56</v>
      </c>
      <c r="D1524" s="15" t="s">
        <v>43</v>
      </c>
      <c r="E1524" s="15" t="s">
        <v>38</v>
      </c>
      <c r="F1524" s="15" t="s">
        <v>16</v>
      </c>
      <c r="G1524" s="15" t="s">
        <v>25</v>
      </c>
      <c r="H1524" s="15" t="n">
        <v>2</v>
      </c>
      <c r="I1524" s="17" t="n">
        <v>0.3</v>
      </c>
      <c r="J1524" s="18" t="n">
        <v>474.28</v>
      </c>
      <c r="K1524" s="19" t="n">
        <v>-85.03</v>
      </c>
      <c r="L1524" s="15" t="n">
        <f aca="false">YEAR(B1524)</f>
        <v>2023</v>
      </c>
      <c r="M1524" s="20" t="n">
        <f aca="false">IF(J1524&gt;0,K1524/J1524,0)</f>
        <v>-0.179282280509404</v>
      </c>
    </row>
    <row r="1525" customFormat="false" ht="15" hidden="false" customHeight="false" outlineLevel="0" collapsed="false">
      <c r="A1525" s="15" t="s">
        <v>1582</v>
      </c>
      <c r="B1525" s="16" t="n">
        <v>46006</v>
      </c>
      <c r="C1525" s="15" t="s">
        <v>71</v>
      </c>
      <c r="D1525" s="15" t="s">
        <v>43</v>
      </c>
      <c r="E1525" s="15" t="s">
        <v>38</v>
      </c>
      <c r="F1525" s="15" t="s">
        <v>16</v>
      </c>
      <c r="G1525" s="15" t="s">
        <v>27</v>
      </c>
      <c r="H1525" s="15" t="n">
        <v>6</v>
      </c>
      <c r="I1525" s="17" t="n">
        <v>0</v>
      </c>
      <c r="J1525" s="18" t="n">
        <v>378.66</v>
      </c>
      <c r="K1525" s="19" t="n">
        <v>72.89</v>
      </c>
      <c r="L1525" s="15" t="n">
        <f aca="false">YEAR(B1525)</f>
        <v>2025</v>
      </c>
      <c r="M1525" s="20" t="n">
        <f aca="false">IF(J1525&gt;0,K1525/J1525,0)</f>
        <v>0.192494586172292</v>
      </c>
    </row>
    <row r="1526" customFormat="false" ht="15" hidden="false" customHeight="false" outlineLevel="0" collapsed="false">
      <c r="A1526" s="15" t="s">
        <v>1583</v>
      </c>
      <c r="B1526" s="16" t="n">
        <v>44918</v>
      </c>
      <c r="C1526" s="15" t="s">
        <v>58</v>
      </c>
      <c r="D1526" s="15" t="s">
        <v>42</v>
      </c>
      <c r="E1526" s="15" t="s">
        <v>39</v>
      </c>
      <c r="F1526" s="15" t="s">
        <v>18</v>
      </c>
      <c r="G1526" s="15" t="s">
        <v>32</v>
      </c>
      <c r="H1526" s="15" t="n">
        <v>5</v>
      </c>
      <c r="I1526" s="17" t="n">
        <v>0.4</v>
      </c>
      <c r="J1526" s="18" t="n">
        <v>1177.86</v>
      </c>
      <c r="K1526" s="19" t="n">
        <v>-88.91</v>
      </c>
      <c r="L1526" s="15" t="n">
        <f aca="false">YEAR(B1526)</f>
        <v>2022</v>
      </c>
      <c r="M1526" s="20" t="n">
        <f aca="false">IF(J1526&gt;0,K1526/J1526,0)</f>
        <v>-0.0754843529791317</v>
      </c>
    </row>
    <row r="1527" customFormat="false" ht="15" hidden="false" customHeight="false" outlineLevel="0" collapsed="false">
      <c r="A1527" s="15" t="s">
        <v>1584</v>
      </c>
      <c r="B1527" s="16" t="n">
        <v>44979</v>
      </c>
      <c r="C1527" s="15" t="s">
        <v>71</v>
      </c>
      <c r="D1527" s="15" t="s">
        <v>43</v>
      </c>
      <c r="E1527" s="15" t="s">
        <v>36</v>
      </c>
      <c r="F1527" s="15" t="s">
        <v>16</v>
      </c>
      <c r="G1527" s="15" t="s">
        <v>27</v>
      </c>
      <c r="H1527" s="15" t="n">
        <v>5</v>
      </c>
      <c r="I1527" s="17" t="n">
        <v>0.1</v>
      </c>
      <c r="J1527" s="18" t="n">
        <v>312.87</v>
      </c>
      <c r="K1527" s="19" t="n">
        <v>81.25</v>
      </c>
      <c r="L1527" s="15" t="n">
        <f aca="false">YEAR(B1527)</f>
        <v>2023</v>
      </c>
      <c r="M1527" s="20" t="n">
        <f aca="false">IF(J1527&gt;0,K1527/J1527,0)</f>
        <v>0.259692524051523</v>
      </c>
    </row>
    <row r="1528" customFormat="false" ht="15" hidden="false" customHeight="false" outlineLevel="0" collapsed="false">
      <c r="A1528" s="15" t="s">
        <v>1585</v>
      </c>
      <c r="B1528" s="16" t="n">
        <v>45161</v>
      </c>
      <c r="C1528" s="15" t="s">
        <v>71</v>
      </c>
      <c r="D1528" s="15" t="s">
        <v>43</v>
      </c>
      <c r="E1528" s="15" t="s">
        <v>37</v>
      </c>
      <c r="F1528" s="15" t="s">
        <v>17</v>
      </c>
      <c r="G1528" s="15" t="s">
        <v>28</v>
      </c>
      <c r="H1528" s="15" t="n">
        <v>5</v>
      </c>
      <c r="I1528" s="17" t="n">
        <v>0</v>
      </c>
      <c r="J1528" s="18" t="n">
        <v>137.15</v>
      </c>
      <c r="K1528" s="19" t="n">
        <v>29.41</v>
      </c>
      <c r="L1528" s="15" t="n">
        <f aca="false">YEAR(B1528)</f>
        <v>2023</v>
      </c>
      <c r="M1528" s="20" t="n">
        <f aca="false">IF(J1528&gt;0,K1528/J1528,0)</f>
        <v>0.214436748086037</v>
      </c>
    </row>
    <row r="1529" customFormat="false" ht="15" hidden="false" customHeight="false" outlineLevel="0" collapsed="false">
      <c r="A1529" s="15" t="s">
        <v>1586</v>
      </c>
      <c r="B1529" s="16" t="n">
        <v>45695</v>
      </c>
      <c r="C1529" s="15" t="s">
        <v>71</v>
      </c>
      <c r="D1529" s="15" t="s">
        <v>42</v>
      </c>
      <c r="E1529" s="15" t="s">
        <v>39</v>
      </c>
      <c r="F1529" s="15" t="s">
        <v>18</v>
      </c>
      <c r="G1529" s="15" t="s">
        <v>33</v>
      </c>
      <c r="H1529" s="15" t="n">
        <v>1</v>
      </c>
      <c r="I1529" s="17" t="n">
        <v>0.05</v>
      </c>
      <c r="J1529" s="18" t="n">
        <v>899.76</v>
      </c>
      <c r="K1529" s="19" t="n">
        <v>199.85</v>
      </c>
      <c r="L1529" s="15" t="n">
        <f aca="false">YEAR(B1529)</f>
        <v>2025</v>
      </c>
      <c r="M1529" s="20" t="n">
        <f aca="false">IF(J1529&gt;0,K1529/J1529,0)</f>
        <v>0.2221147861652</v>
      </c>
    </row>
    <row r="1530" customFormat="false" ht="15" hidden="false" customHeight="false" outlineLevel="0" collapsed="false">
      <c r="A1530" s="15" t="s">
        <v>1587</v>
      </c>
      <c r="B1530" s="16" t="n">
        <v>45826</v>
      </c>
      <c r="C1530" s="15" t="s">
        <v>58</v>
      </c>
      <c r="D1530" s="15" t="s">
        <v>42</v>
      </c>
      <c r="E1530" s="15" t="s">
        <v>39</v>
      </c>
      <c r="F1530" s="15" t="s">
        <v>17</v>
      </c>
      <c r="G1530" s="15" t="s">
        <v>26</v>
      </c>
      <c r="H1530" s="15" t="n">
        <v>5</v>
      </c>
      <c r="I1530" s="17" t="n">
        <v>0</v>
      </c>
      <c r="J1530" s="18" t="n">
        <v>441.79</v>
      </c>
      <c r="K1530" s="19" t="n">
        <v>20.72</v>
      </c>
      <c r="L1530" s="15" t="n">
        <f aca="false">YEAR(B1530)</f>
        <v>2025</v>
      </c>
      <c r="M1530" s="20" t="n">
        <f aca="false">IF(J1530&gt;0,K1530/J1530,0)</f>
        <v>0.0469001109124245</v>
      </c>
    </row>
    <row r="1531" customFormat="false" ht="15" hidden="false" customHeight="false" outlineLevel="0" collapsed="false">
      <c r="A1531" s="15" t="s">
        <v>1588</v>
      </c>
      <c r="B1531" s="16" t="n">
        <v>45319</v>
      </c>
      <c r="C1531" s="15" t="s">
        <v>68</v>
      </c>
      <c r="D1531" s="15" t="s">
        <v>42</v>
      </c>
      <c r="E1531" s="15" t="s">
        <v>37</v>
      </c>
      <c r="F1531" s="15" t="s">
        <v>16</v>
      </c>
      <c r="G1531" s="15" t="s">
        <v>23</v>
      </c>
      <c r="H1531" s="15" t="n">
        <v>5</v>
      </c>
      <c r="I1531" s="17" t="n">
        <v>0.2</v>
      </c>
      <c r="J1531" s="18" t="n">
        <v>1493.37</v>
      </c>
      <c r="K1531" s="19" t="n">
        <v>-335.21</v>
      </c>
      <c r="L1531" s="15" t="n">
        <f aca="false">YEAR(B1531)</f>
        <v>2024</v>
      </c>
      <c r="M1531" s="20" t="n">
        <f aca="false">IF(J1531&gt;0,K1531/J1531,0)</f>
        <v>-0.224465470713889</v>
      </c>
    </row>
    <row r="1532" customFormat="false" ht="15" hidden="false" customHeight="false" outlineLevel="0" collapsed="false">
      <c r="A1532" s="15" t="s">
        <v>1589</v>
      </c>
      <c r="B1532" s="16" t="n">
        <v>45960</v>
      </c>
      <c r="C1532" s="15" t="s">
        <v>68</v>
      </c>
      <c r="D1532" s="15" t="s">
        <v>43</v>
      </c>
      <c r="E1532" s="15" t="s">
        <v>37</v>
      </c>
      <c r="F1532" s="15" t="s">
        <v>17</v>
      </c>
      <c r="G1532" s="15" t="s">
        <v>29</v>
      </c>
      <c r="H1532" s="15" t="n">
        <v>3</v>
      </c>
      <c r="I1532" s="17" t="n">
        <v>0.1</v>
      </c>
      <c r="J1532" s="18" t="n">
        <v>44.34</v>
      </c>
      <c r="K1532" s="19" t="n">
        <v>10.47</v>
      </c>
      <c r="L1532" s="15" t="n">
        <f aca="false">YEAR(B1532)</f>
        <v>2025</v>
      </c>
      <c r="M1532" s="20" t="n">
        <f aca="false">IF(J1532&gt;0,K1532/J1532,0)</f>
        <v>0.236129905277402</v>
      </c>
    </row>
    <row r="1533" customFormat="false" ht="15" hidden="false" customHeight="false" outlineLevel="0" collapsed="false">
      <c r="A1533" s="15" t="s">
        <v>1590</v>
      </c>
      <c r="B1533" s="16" t="n">
        <v>46002</v>
      </c>
      <c r="C1533" s="15" t="s">
        <v>56</v>
      </c>
      <c r="D1533" s="15" t="s">
        <v>42</v>
      </c>
      <c r="E1533" s="15" t="s">
        <v>36</v>
      </c>
      <c r="F1533" s="15" t="s">
        <v>17</v>
      </c>
      <c r="G1533" s="15" t="s">
        <v>31</v>
      </c>
      <c r="H1533" s="15" t="n">
        <v>4</v>
      </c>
      <c r="I1533" s="17" t="n">
        <v>0</v>
      </c>
      <c r="J1533" s="18" t="n">
        <v>472.88</v>
      </c>
      <c r="K1533" s="19" t="n">
        <v>95.33</v>
      </c>
      <c r="L1533" s="15" t="n">
        <f aca="false">YEAR(B1533)</f>
        <v>2025</v>
      </c>
      <c r="M1533" s="20" t="n">
        <f aca="false">IF(J1533&gt;0,K1533/J1533,0)</f>
        <v>0.201594484858738</v>
      </c>
    </row>
    <row r="1534" customFormat="false" ht="15" hidden="false" customHeight="false" outlineLevel="0" collapsed="false">
      <c r="A1534" s="15" t="s">
        <v>1591</v>
      </c>
      <c r="B1534" s="16" t="n">
        <v>44674</v>
      </c>
      <c r="C1534" s="15" t="s">
        <v>56</v>
      </c>
      <c r="D1534" s="15" t="s">
        <v>44</v>
      </c>
      <c r="E1534" s="15" t="s">
        <v>39</v>
      </c>
      <c r="F1534" s="15" t="s">
        <v>16</v>
      </c>
      <c r="G1534" s="15" t="s">
        <v>25</v>
      </c>
      <c r="H1534" s="15" t="n">
        <v>6</v>
      </c>
      <c r="I1534" s="17" t="n">
        <v>0</v>
      </c>
      <c r="J1534" s="18" t="n">
        <v>1790.86</v>
      </c>
      <c r="K1534" s="19" t="n">
        <v>176.19</v>
      </c>
      <c r="L1534" s="15" t="n">
        <f aca="false">YEAR(B1534)</f>
        <v>2022</v>
      </c>
      <c r="M1534" s="20" t="n">
        <f aca="false">IF(J1534&gt;0,K1534/J1534,0)</f>
        <v>0.0983828998358331</v>
      </c>
    </row>
    <row r="1535" customFormat="false" ht="15" hidden="false" customHeight="false" outlineLevel="0" collapsed="false">
      <c r="A1535" s="15" t="s">
        <v>1592</v>
      </c>
      <c r="B1535" s="16" t="n">
        <v>45628</v>
      </c>
      <c r="C1535" s="15" t="s">
        <v>71</v>
      </c>
      <c r="D1535" s="15" t="s">
        <v>44</v>
      </c>
      <c r="E1535" s="15" t="s">
        <v>39</v>
      </c>
      <c r="F1535" s="15" t="s">
        <v>16</v>
      </c>
      <c r="G1535" s="15" t="s">
        <v>23</v>
      </c>
      <c r="H1535" s="15" t="n">
        <v>5</v>
      </c>
      <c r="I1535" s="17" t="n">
        <v>0</v>
      </c>
      <c r="J1535" s="18" t="n">
        <v>1717.7</v>
      </c>
      <c r="K1535" s="19" t="n">
        <v>-47.61</v>
      </c>
      <c r="L1535" s="15" t="n">
        <f aca="false">YEAR(B1535)</f>
        <v>2024</v>
      </c>
      <c r="M1535" s="20" t="n">
        <f aca="false">IF(J1535&gt;0,K1535/J1535,0)</f>
        <v>-0.0277172963847005</v>
      </c>
    </row>
    <row r="1536" customFormat="false" ht="15" hidden="false" customHeight="false" outlineLevel="0" collapsed="false">
      <c r="A1536" s="15" t="s">
        <v>1593</v>
      </c>
      <c r="B1536" s="16" t="n">
        <v>45186</v>
      </c>
      <c r="C1536" s="15" t="s">
        <v>56</v>
      </c>
      <c r="D1536" s="15" t="s">
        <v>43</v>
      </c>
      <c r="E1536" s="15" t="s">
        <v>39</v>
      </c>
      <c r="F1536" s="15" t="s">
        <v>16</v>
      </c>
      <c r="G1536" s="15" t="s">
        <v>27</v>
      </c>
      <c r="H1536" s="15" t="n">
        <v>8</v>
      </c>
      <c r="I1536" s="17" t="n">
        <v>0.1</v>
      </c>
      <c r="J1536" s="18" t="n">
        <v>429.15</v>
      </c>
      <c r="K1536" s="19" t="n">
        <v>69.74</v>
      </c>
      <c r="L1536" s="15" t="n">
        <f aca="false">YEAR(B1536)</f>
        <v>2023</v>
      </c>
      <c r="M1536" s="20" t="n">
        <f aca="false">IF(J1536&gt;0,K1536/J1536,0)</f>
        <v>0.162507281836188</v>
      </c>
    </row>
    <row r="1537" customFormat="false" ht="15" hidden="false" customHeight="false" outlineLevel="0" collapsed="false">
      <c r="A1537" s="15" t="s">
        <v>1594</v>
      </c>
      <c r="B1537" s="16" t="n">
        <v>45633</v>
      </c>
      <c r="C1537" s="15" t="s">
        <v>68</v>
      </c>
      <c r="D1537" s="15" t="s">
        <v>42</v>
      </c>
      <c r="E1537" s="15" t="s">
        <v>39</v>
      </c>
      <c r="F1537" s="15" t="s">
        <v>17</v>
      </c>
      <c r="G1537" s="15" t="s">
        <v>29</v>
      </c>
      <c r="H1537" s="15" t="n">
        <v>5</v>
      </c>
      <c r="I1537" s="17" t="n">
        <v>0.05</v>
      </c>
      <c r="J1537" s="18" t="n">
        <v>89.12</v>
      </c>
      <c r="K1537" s="19" t="n">
        <v>32.61</v>
      </c>
      <c r="L1537" s="15" t="n">
        <f aca="false">YEAR(B1537)</f>
        <v>2024</v>
      </c>
      <c r="M1537" s="20" t="n">
        <f aca="false">IF(J1537&gt;0,K1537/J1537,0)</f>
        <v>0.365911131059246</v>
      </c>
    </row>
    <row r="1538" customFormat="false" ht="15" hidden="false" customHeight="false" outlineLevel="0" collapsed="false">
      <c r="A1538" s="15" t="s">
        <v>1595</v>
      </c>
      <c r="B1538" s="16" t="n">
        <v>45234</v>
      </c>
      <c r="C1538" s="15" t="s">
        <v>56</v>
      </c>
      <c r="D1538" s="15" t="s">
        <v>43</v>
      </c>
      <c r="E1538" s="15" t="s">
        <v>37</v>
      </c>
      <c r="F1538" s="15" t="s">
        <v>16</v>
      </c>
      <c r="G1538" s="15" t="s">
        <v>27</v>
      </c>
      <c r="H1538" s="15" t="n">
        <v>5</v>
      </c>
      <c r="I1538" s="17" t="n">
        <v>0</v>
      </c>
      <c r="J1538" s="18" t="n">
        <v>349.98</v>
      </c>
      <c r="K1538" s="19" t="n">
        <v>71.16</v>
      </c>
      <c r="L1538" s="15" t="n">
        <f aca="false">YEAR(B1538)</f>
        <v>2023</v>
      </c>
      <c r="M1538" s="20" t="n">
        <f aca="false">IF(J1538&gt;0,K1538/J1538,0)</f>
        <v>0.203325904337391</v>
      </c>
    </row>
    <row r="1539" customFormat="false" ht="15" hidden="false" customHeight="false" outlineLevel="0" collapsed="false">
      <c r="A1539" s="15" t="s">
        <v>1596</v>
      </c>
      <c r="B1539" s="16" t="n">
        <v>45390</v>
      </c>
      <c r="C1539" s="15" t="s">
        <v>56</v>
      </c>
      <c r="D1539" s="15" t="s">
        <v>42</v>
      </c>
      <c r="E1539" s="15" t="s">
        <v>37</v>
      </c>
      <c r="F1539" s="15" t="s">
        <v>17</v>
      </c>
      <c r="G1539" s="15" t="s">
        <v>28</v>
      </c>
      <c r="H1539" s="15" t="n">
        <v>5</v>
      </c>
      <c r="I1539" s="17" t="n">
        <v>0.5</v>
      </c>
      <c r="J1539" s="18" t="n">
        <v>70.71</v>
      </c>
      <c r="K1539" s="19" t="n">
        <v>-11.48</v>
      </c>
      <c r="L1539" s="15" t="n">
        <f aca="false">YEAR(B1539)</f>
        <v>2024</v>
      </c>
      <c r="M1539" s="20" t="n">
        <f aca="false">IF(J1539&gt;0,K1539/J1539,0)</f>
        <v>-0.162353273935794</v>
      </c>
    </row>
    <row r="1540" customFormat="false" ht="15" hidden="false" customHeight="false" outlineLevel="0" collapsed="false">
      <c r="A1540" s="15" t="s">
        <v>1597</v>
      </c>
      <c r="B1540" s="16" t="n">
        <v>45494</v>
      </c>
      <c r="C1540" s="15" t="s">
        <v>56</v>
      </c>
      <c r="D1540" s="15" t="s">
        <v>44</v>
      </c>
      <c r="E1540" s="15" t="s">
        <v>37</v>
      </c>
      <c r="F1540" s="15" t="s">
        <v>17</v>
      </c>
      <c r="G1540" s="15" t="s">
        <v>29</v>
      </c>
      <c r="H1540" s="15" t="n">
        <v>4</v>
      </c>
      <c r="I1540" s="17" t="n">
        <v>0.3</v>
      </c>
      <c r="J1540" s="18" t="n">
        <v>50.8</v>
      </c>
      <c r="K1540" s="19" t="n">
        <v>1.75</v>
      </c>
      <c r="L1540" s="15" t="n">
        <f aca="false">YEAR(B1540)</f>
        <v>2024</v>
      </c>
      <c r="M1540" s="20" t="n">
        <f aca="false">IF(J1540&gt;0,K1540/J1540,0)</f>
        <v>0.0344488188976378</v>
      </c>
    </row>
    <row r="1541" customFormat="false" ht="15" hidden="false" customHeight="false" outlineLevel="0" collapsed="false">
      <c r="A1541" s="15" t="s">
        <v>1598</v>
      </c>
      <c r="B1541" s="16" t="n">
        <v>45027</v>
      </c>
      <c r="C1541" s="15" t="s">
        <v>56</v>
      </c>
      <c r="D1541" s="15" t="s">
        <v>42</v>
      </c>
      <c r="E1541" s="15" t="s">
        <v>36</v>
      </c>
      <c r="F1541" s="15" t="s">
        <v>17</v>
      </c>
      <c r="G1541" s="15" t="s">
        <v>31</v>
      </c>
      <c r="H1541" s="15" t="n">
        <v>3</v>
      </c>
      <c r="I1541" s="17" t="n">
        <v>0.2</v>
      </c>
      <c r="J1541" s="18" t="n">
        <v>299.04</v>
      </c>
      <c r="K1541" s="19" t="n">
        <v>0.88</v>
      </c>
      <c r="L1541" s="15" t="n">
        <f aca="false">YEAR(B1541)</f>
        <v>2023</v>
      </c>
      <c r="M1541" s="20" t="n">
        <f aca="false">IF(J1541&gt;0,K1541/J1541,0)</f>
        <v>0.00294275013376137</v>
      </c>
    </row>
    <row r="1542" customFormat="false" ht="15" hidden="false" customHeight="false" outlineLevel="0" collapsed="false">
      <c r="A1542" s="15" t="s">
        <v>1599</v>
      </c>
      <c r="B1542" s="16" t="n">
        <v>45877</v>
      </c>
      <c r="C1542" s="15" t="s">
        <v>68</v>
      </c>
      <c r="D1542" s="15" t="s">
        <v>42</v>
      </c>
      <c r="E1542" s="15" t="s">
        <v>38</v>
      </c>
      <c r="F1542" s="15" t="s">
        <v>17</v>
      </c>
      <c r="G1542" s="15" t="s">
        <v>31</v>
      </c>
      <c r="H1542" s="15" t="n">
        <v>5</v>
      </c>
      <c r="I1542" s="17" t="n">
        <v>0.1</v>
      </c>
      <c r="J1542" s="18" t="n">
        <v>559.25</v>
      </c>
      <c r="K1542" s="19" t="n">
        <v>83.65</v>
      </c>
      <c r="L1542" s="15" t="n">
        <f aca="false">YEAR(B1542)</f>
        <v>2025</v>
      </c>
      <c r="M1542" s="20" t="n">
        <f aca="false">IF(J1542&gt;0,K1542/J1542,0)</f>
        <v>0.14957532409477</v>
      </c>
    </row>
    <row r="1543" customFormat="false" ht="15" hidden="false" customHeight="false" outlineLevel="0" collapsed="false">
      <c r="A1543" s="15" t="s">
        <v>1600</v>
      </c>
      <c r="B1543" s="16" t="n">
        <v>45564</v>
      </c>
      <c r="C1543" s="15" t="s">
        <v>56</v>
      </c>
      <c r="D1543" s="15" t="s">
        <v>42</v>
      </c>
      <c r="E1543" s="15" t="s">
        <v>36</v>
      </c>
      <c r="F1543" s="15" t="s">
        <v>17</v>
      </c>
      <c r="G1543" s="15" t="s">
        <v>26</v>
      </c>
      <c r="H1543" s="15" t="n">
        <v>6</v>
      </c>
      <c r="I1543" s="17" t="n">
        <v>0</v>
      </c>
      <c r="J1543" s="18" t="n">
        <v>444</v>
      </c>
      <c r="K1543" s="19" t="n">
        <v>62.01</v>
      </c>
      <c r="L1543" s="15" t="n">
        <f aca="false">YEAR(B1543)</f>
        <v>2024</v>
      </c>
      <c r="M1543" s="20" t="n">
        <f aca="false">IF(J1543&gt;0,K1543/J1543,0)</f>
        <v>0.139662162162162</v>
      </c>
    </row>
    <row r="1544" customFormat="false" ht="15" hidden="false" customHeight="false" outlineLevel="0" collapsed="false">
      <c r="A1544" s="15" t="s">
        <v>1601</v>
      </c>
      <c r="B1544" s="16" t="n">
        <v>45951</v>
      </c>
      <c r="C1544" s="15" t="s">
        <v>56</v>
      </c>
      <c r="D1544" s="15" t="s">
        <v>42</v>
      </c>
      <c r="E1544" s="15" t="s">
        <v>36</v>
      </c>
      <c r="F1544" s="15" t="s">
        <v>17</v>
      </c>
      <c r="G1544" s="15" t="s">
        <v>31</v>
      </c>
      <c r="H1544" s="15" t="n">
        <v>3</v>
      </c>
      <c r="I1544" s="17" t="n">
        <v>0.1</v>
      </c>
      <c r="J1544" s="18" t="n">
        <v>347.99</v>
      </c>
      <c r="K1544" s="19" t="n">
        <v>39.83</v>
      </c>
      <c r="L1544" s="15" t="n">
        <f aca="false">YEAR(B1544)</f>
        <v>2025</v>
      </c>
      <c r="M1544" s="20" t="n">
        <f aca="false">IF(J1544&gt;0,K1544/J1544,0)</f>
        <v>0.114457311991724</v>
      </c>
    </row>
    <row r="1545" customFormat="false" ht="15" hidden="false" customHeight="false" outlineLevel="0" collapsed="false">
      <c r="A1545" s="15" t="s">
        <v>1602</v>
      </c>
      <c r="B1545" s="16" t="n">
        <v>44898</v>
      </c>
      <c r="C1545" s="15" t="s">
        <v>71</v>
      </c>
      <c r="D1545" s="15" t="s">
        <v>43</v>
      </c>
      <c r="E1545" s="15" t="s">
        <v>38</v>
      </c>
      <c r="F1545" s="15" t="s">
        <v>16</v>
      </c>
      <c r="G1545" s="15" t="s">
        <v>25</v>
      </c>
      <c r="H1545" s="15" t="n">
        <v>5</v>
      </c>
      <c r="I1545" s="17" t="n">
        <v>0</v>
      </c>
      <c r="J1545" s="18" t="n">
        <v>1136.91</v>
      </c>
      <c r="K1545" s="19" t="n">
        <v>94.79</v>
      </c>
      <c r="L1545" s="15" t="n">
        <f aca="false">YEAR(B1545)</f>
        <v>2022</v>
      </c>
      <c r="M1545" s="20" t="n">
        <f aca="false">IF(J1545&gt;0,K1545/J1545,0)</f>
        <v>0.0833751132455515</v>
      </c>
    </row>
    <row r="1546" customFormat="false" ht="15" hidden="false" customHeight="false" outlineLevel="0" collapsed="false">
      <c r="A1546" s="15" t="s">
        <v>1603</v>
      </c>
      <c r="B1546" s="16" t="n">
        <v>45992</v>
      </c>
      <c r="C1546" s="15" t="s">
        <v>56</v>
      </c>
      <c r="D1546" s="15" t="s">
        <v>43</v>
      </c>
      <c r="E1546" s="15" t="s">
        <v>36</v>
      </c>
      <c r="F1546" s="15" t="s">
        <v>17</v>
      </c>
      <c r="G1546" s="15" t="s">
        <v>28</v>
      </c>
      <c r="H1546" s="15" t="n">
        <v>8</v>
      </c>
      <c r="I1546" s="17" t="n">
        <v>0</v>
      </c>
      <c r="J1546" s="18" t="n">
        <v>194.59</v>
      </c>
      <c r="K1546" s="19" t="n">
        <v>72.64</v>
      </c>
      <c r="L1546" s="15" t="n">
        <f aca="false">YEAR(B1546)</f>
        <v>2025</v>
      </c>
      <c r="M1546" s="20" t="n">
        <f aca="false">IF(J1546&gt;0,K1546/J1546,0)</f>
        <v>0.373297702862429</v>
      </c>
    </row>
    <row r="1547" customFormat="false" ht="15" hidden="false" customHeight="false" outlineLevel="0" collapsed="false">
      <c r="A1547" s="15" t="s">
        <v>1604</v>
      </c>
      <c r="B1547" s="16" t="n">
        <v>44579</v>
      </c>
      <c r="C1547" s="15" t="s">
        <v>58</v>
      </c>
      <c r="D1547" s="15" t="s">
        <v>42</v>
      </c>
      <c r="E1547" s="15" t="s">
        <v>38</v>
      </c>
      <c r="F1547" s="15" t="s">
        <v>17</v>
      </c>
      <c r="G1547" s="15" t="s">
        <v>29</v>
      </c>
      <c r="H1547" s="15" t="n">
        <v>4</v>
      </c>
      <c r="I1547" s="17" t="n">
        <v>0</v>
      </c>
      <c r="J1547" s="18" t="n">
        <v>66.47</v>
      </c>
      <c r="K1547" s="19" t="n">
        <v>25.01</v>
      </c>
      <c r="L1547" s="15" t="n">
        <f aca="false">YEAR(B1547)</f>
        <v>2022</v>
      </c>
      <c r="M1547" s="20" t="n">
        <f aca="false">IF(J1547&gt;0,K1547/J1547,0)</f>
        <v>0.376259966902362</v>
      </c>
    </row>
    <row r="1548" customFormat="false" ht="15" hidden="false" customHeight="false" outlineLevel="0" collapsed="false">
      <c r="A1548" s="15" t="s">
        <v>1605</v>
      </c>
      <c r="B1548" s="16" t="n">
        <v>45359</v>
      </c>
      <c r="C1548" s="15" t="s">
        <v>71</v>
      </c>
      <c r="D1548" s="15" t="s">
        <v>42</v>
      </c>
      <c r="E1548" s="15" t="s">
        <v>36</v>
      </c>
      <c r="F1548" s="15" t="s">
        <v>16</v>
      </c>
      <c r="G1548" s="15" t="s">
        <v>22</v>
      </c>
      <c r="H1548" s="15" t="n">
        <v>3</v>
      </c>
      <c r="I1548" s="17" t="n">
        <v>0</v>
      </c>
      <c r="J1548" s="18" t="n">
        <v>1476.52</v>
      </c>
      <c r="K1548" s="19" t="n">
        <v>-44.88</v>
      </c>
      <c r="L1548" s="15" t="n">
        <f aca="false">YEAR(B1548)</f>
        <v>2024</v>
      </c>
      <c r="M1548" s="20" t="n">
        <f aca="false">IF(J1548&gt;0,K1548/J1548,0)</f>
        <v>-0.0303957955191938</v>
      </c>
    </row>
    <row r="1549" customFormat="false" ht="15" hidden="false" customHeight="false" outlineLevel="0" collapsed="false">
      <c r="A1549" s="15" t="s">
        <v>1606</v>
      </c>
      <c r="B1549" s="16" t="n">
        <v>44573</v>
      </c>
      <c r="C1549" s="15" t="s">
        <v>56</v>
      </c>
      <c r="D1549" s="15" t="s">
        <v>44</v>
      </c>
      <c r="E1549" s="15" t="s">
        <v>36</v>
      </c>
      <c r="F1549" s="15" t="s">
        <v>17</v>
      </c>
      <c r="G1549" s="15" t="s">
        <v>31</v>
      </c>
      <c r="H1549" s="15" t="n">
        <v>3</v>
      </c>
      <c r="I1549" s="17" t="n">
        <v>0.2</v>
      </c>
      <c r="J1549" s="18" t="n">
        <v>362.78</v>
      </c>
      <c r="K1549" s="19" t="n">
        <v>1.95</v>
      </c>
      <c r="L1549" s="15" t="n">
        <f aca="false">YEAR(B1549)</f>
        <v>2022</v>
      </c>
      <c r="M1549" s="20" t="n">
        <f aca="false">IF(J1549&gt;0,K1549/J1549,0)</f>
        <v>0.00537515849826341</v>
      </c>
    </row>
    <row r="1550" customFormat="false" ht="15" hidden="false" customHeight="false" outlineLevel="0" collapsed="false">
      <c r="A1550" s="15" t="s">
        <v>1607</v>
      </c>
      <c r="B1550" s="16" t="n">
        <v>44809</v>
      </c>
      <c r="C1550" s="15" t="s">
        <v>68</v>
      </c>
      <c r="D1550" s="15" t="s">
        <v>43</v>
      </c>
      <c r="E1550" s="15" t="s">
        <v>36</v>
      </c>
      <c r="F1550" s="15" t="s">
        <v>16</v>
      </c>
      <c r="G1550" s="15" t="s">
        <v>27</v>
      </c>
      <c r="H1550" s="15" t="n">
        <v>3</v>
      </c>
      <c r="I1550" s="17" t="n">
        <v>0.1</v>
      </c>
      <c r="J1550" s="18" t="n">
        <v>142.31</v>
      </c>
      <c r="K1550" s="19" t="n">
        <v>30.81</v>
      </c>
      <c r="L1550" s="15" t="n">
        <f aca="false">YEAR(B1550)</f>
        <v>2022</v>
      </c>
      <c r="M1550" s="20" t="n">
        <f aca="false">IF(J1550&gt;0,K1550/J1550,0)</f>
        <v>0.216499191904996</v>
      </c>
    </row>
    <row r="1551" customFormat="false" ht="15" hidden="false" customHeight="false" outlineLevel="0" collapsed="false">
      <c r="A1551" s="15" t="s">
        <v>1608</v>
      </c>
      <c r="B1551" s="16" t="n">
        <v>45305</v>
      </c>
      <c r="C1551" s="15" t="s">
        <v>71</v>
      </c>
      <c r="D1551" s="15" t="s">
        <v>42</v>
      </c>
      <c r="E1551" s="15" t="s">
        <v>36</v>
      </c>
      <c r="F1551" s="15" t="s">
        <v>16</v>
      </c>
      <c r="G1551" s="15" t="s">
        <v>27</v>
      </c>
      <c r="H1551" s="15" t="n">
        <v>2</v>
      </c>
      <c r="I1551" s="17" t="n">
        <v>0</v>
      </c>
      <c r="J1551" s="18" t="n">
        <v>139.16</v>
      </c>
      <c r="K1551" s="19" t="n">
        <v>23.76</v>
      </c>
      <c r="L1551" s="15" t="n">
        <f aca="false">YEAR(B1551)</f>
        <v>2024</v>
      </c>
      <c r="M1551" s="20" t="n">
        <f aca="false">IF(J1551&gt;0,K1551/J1551,0)</f>
        <v>0.17073871802242</v>
      </c>
    </row>
    <row r="1552" customFormat="false" ht="15" hidden="false" customHeight="false" outlineLevel="0" collapsed="false">
      <c r="A1552" s="15" t="s">
        <v>1609</v>
      </c>
      <c r="B1552" s="16" t="n">
        <v>45622</v>
      </c>
      <c r="C1552" s="15" t="s">
        <v>68</v>
      </c>
      <c r="D1552" s="15" t="s">
        <v>42</v>
      </c>
      <c r="E1552" s="15" t="s">
        <v>39</v>
      </c>
      <c r="F1552" s="15" t="s">
        <v>16</v>
      </c>
      <c r="G1552" s="15" t="s">
        <v>25</v>
      </c>
      <c r="H1552" s="15" t="n">
        <v>5</v>
      </c>
      <c r="I1552" s="17" t="n">
        <v>0</v>
      </c>
      <c r="J1552" s="18" t="n">
        <v>1372.88</v>
      </c>
      <c r="K1552" s="19" t="n">
        <v>123.07</v>
      </c>
      <c r="L1552" s="15" t="n">
        <f aca="false">YEAR(B1552)</f>
        <v>2024</v>
      </c>
      <c r="M1552" s="20" t="n">
        <f aca="false">IF(J1552&gt;0,K1552/J1552,0)</f>
        <v>0.0896436687838704</v>
      </c>
    </row>
    <row r="1553" customFormat="false" ht="15" hidden="false" customHeight="false" outlineLevel="0" collapsed="false">
      <c r="A1553" s="15" t="s">
        <v>1610</v>
      </c>
      <c r="B1553" s="16" t="n">
        <v>45124</v>
      </c>
      <c r="C1553" s="15" t="s">
        <v>56</v>
      </c>
      <c r="D1553" s="15" t="s">
        <v>42</v>
      </c>
      <c r="E1553" s="15" t="s">
        <v>36</v>
      </c>
      <c r="F1553" s="15" t="s">
        <v>17</v>
      </c>
      <c r="G1553" s="15" t="s">
        <v>28</v>
      </c>
      <c r="H1553" s="15" t="n">
        <v>3</v>
      </c>
      <c r="I1553" s="17" t="n">
        <v>0</v>
      </c>
      <c r="J1553" s="18" t="n">
        <v>79.92</v>
      </c>
      <c r="K1553" s="19" t="n">
        <v>17.29</v>
      </c>
      <c r="L1553" s="15" t="n">
        <f aca="false">YEAR(B1553)</f>
        <v>2023</v>
      </c>
      <c r="M1553" s="20" t="n">
        <f aca="false">IF(J1553&gt;0,K1553/J1553,0)</f>
        <v>0.216341341341341</v>
      </c>
    </row>
    <row r="1554" customFormat="false" ht="15" hidden="false" customHeight="false" outlineLevel="0" collapsed="false">
      <c r="A1554" s="15" t="s">
        <v>1611</v>
      </c>
      <c r="B1554" s="16" t="n">
        <v>45928</v>
      </c>
      <c r="C1554" s="15" t="s">
        <v>56</v>
      </c>
      <c r="D1554" s="15" t="s">
        <v>42</v>
      </c>
      <c r="E1554" s="15" t="s">
        <v>39</v>
      </c>
      <c r="F1554" s="15" t="s">
        <v>18</v>
      </c>
      <c r="G1554" s="15" t="s">
        <v>32</v>
      </c>
      <c r="H1554" s="15" t="n">
        <v>3</v>
      </c>
      <c r="I1554" s="17" t="n">
        <v>0</v>
      </c>
      <c r="J1554" s="18" t="n">
        <v>1474.96</v>
      </c>
      <c r="K1554" s="19" t="n">
        <v>211.51</v>
      </c>
      <c r="L1554" s="15" t="n">
        <f aca="false">YEAR(B1554)</f>
        <v>2025</v>
      </c>
      <c r="M1554" s="20" t="n">
        <f aca="false">IF(J1554&gt;0,K1554/J1554,0)</f>
        <v>0.143400498996583</v>
      </c>
    </row>
    <row r="1555" customFormat="false" ht="15" hidden="false" customHeight="false" outlineLevel="0" collapsed="false">
      <c r="A1555" s="15" t="s">
        <v>1612</v>
      </c>
      <c r="B1555" s="16" t="n">
        <v>45232</v>
      </c>
      <c r="C1555" s="15" t="s">
        <v>58</v>
      </c>
      <c r="D1555" s="15" t="s">
        <v>42</v>
      </c>
      <c r="E1555" s="15" t="s">
        <v>36</v>
      </c>
      <c r="F1555" s="15" t="s">
        <v>17</v>
      </c>
      <c r="G1555" s="15" t="s">
        <v>26</v>
      </c>
      <c r="H1555" s="15" t="n">
        <v>2</v>
      </c>
      <c r="I1555" s="17" t="n">
        <v>0</v>
      </c>
      <c r="J1555" s="18" t="n">
        <v>130.06</v>
      </c>
      <c r="K1555" s="19" t="n">
        <v>20.62</v>
      </c>
      <c r="L1555" s="15" t="n">
        <f aca="false">YEAR(B1555)</f>
        <v>2023</v>
      </c>
      <c r="M1555" s="20" t="n">
        <f aca="false">IF(J1555&gt;0,K1555/J1555,0)</f>
        <v>0.158542211287098</v>
      </c>
    </row>
    <row r="1556" customFormat="false" ht="15" hidden="false" customHeight="false" outlineLevel="0" collapsed="false">
      <c r="A1556" s="15" t="s">
        <v>1613</v>
      </c>
      <c r="B1556" s="16" t="n">
        <v>45904</v>
      </c>
      <c r="C1556" s="15" t="s">
        <v>56</v>
      </c>
      <c r="D1556" s="15" t="s">
        <v>42</v>
      </c>
      <c r="E1556" s="15" t="s">
        <v>37</v>
      </c>
      <c r="F1556" s="15" t="s">
        <v>18</v>
      </c>
      <c r="G1556" s="15" t="s">
        <v>30</v>
      </c>
      <c r="H1556" s="15" t="n">
        <v>3</v>
      </c>
      <c r="I1556" s="17" t="n">
        <v>0</v>
      </c>
      <c r="J1556" s="18" t="n">
        <v>162.28</v>
      </c>
      <c r="K1556" s="19" t="n">
        <v>57.76</v>
      </c>
      <c r="L1556" s="15" t="n">
        <f aca="false">YEAR(B1556)</f>
        <v>2025</v>
      </c>
      <c r="M1556" s="20" t="n">
        <f aca="false">IF(J1556&gt;0,K1556/J1556,0)</f>
        <v>0.355928025634705</v>
      </c>
    </row>
    <row r="1557" customFormat="false" ht="15" hidden="false" customHeight="false" outlineLevel="0" collapsed="false">
      <c r="A1557" s="15" t="s">
        <v>1614</v>
      </c>
      <c r="B1557" s="16" t="n">
        <v>45640</v>
      </c>
      <c r="C1557" s="15" t="s">
        <v>71</v>
      </c>
      <c r="D1557" s="15" t="s">
        <v>44</v>
      </c>
      <c r="E1557" s="15" t="s">
        <v>39</v>
      </c>
      <c r="F1557" s="15" t="s">
        <v>18</v>
      </c>
      <c r="G1557" s="15" t="s">
        <v>30</v>
      </c>
      <c r="H1557" s="15" t="n">
        <v>5</v>
      </c>
      <c r="I1557" s="17" t="n">
        <v>0</v>
      </c>
      <c r="J1557" s="18" t="n">
        <v>209.08</v>
      </c>
      <c r="K1557" s="19" t="n">
        <v>59.61</v>
      </c>
      <c r="L1557" s="15" t="n">
        <f aca="false">YEAR(B1557)</f>
        <v>2024</v>
      </c>
      <c r="M1557" s="20" t="n">
        <f aca="false">IF(J1557&gt;0,K1557/J1557,0)</f>
        <v>0.285106179452841</v>
      </c>
    </row>
    <row r="1558" customFormat="false" ht="15" hidden="false" customHeight="false" outlineLevel="0" collapsed="false">
      <c r="A1558" s="15" t="s">
        <v>1615</v>
      </c>
      <c r="B1558" s="16" t="n">
        <v>45580</v>
      </c>
      <c r="C1558" s="15" t="s">
        <v>56</v>
      </c>
      <c r="D1558" s="15" t="s">
        <v>42</v>
      </c>
      <c r="E1558" s="15" t="s">
        <v>36</v>
      </c>
      <c r="F1558" s="15" t="s">
        <v>18</v>
      </c>
      <c r="G1558" s="15" t="s">
        <v>30</v>
      </c>
      <c r="H1558" s="15" t="n">
        <v>1</v>
      </c>
      <c r="I1558" s="17" t="n">
        <v>0.4</v>
      </c>
      <c r="J1558" s="18" t="n">
        <v>23.28</v>
      </c>
      <c r="K1558" s="19" t="n">
        <v>-0.84</v>
      </c>
      <c r="L1558" s="15" t="n">
        <f aca="false">YEAR(B1558)</f>
        <v>2024</v>
      </c>
      <c r="M1558" s="20" t="n">
        <f aca="false">IF(J1558&gt;0,K1558/J1558,0)</f>
        <v>-0.0360824742268041</v>
      </c>
    </row>
    <row r="1559" customFormat="false" ht="15" hidden="false" customHeight="false" outlineLevel="0" collapsed="false">
      <c r="A1559" s="15" t="s">
        <v>1616</v>
      </c>
      <c r="B1559" s="16" t="n">
        <v>45401</v>
      </c>
      <c r="C1559" s="15" t="s">
        <v>68</v>
      </c>
      <c r="D1559" s="15" t="s">
        <v>43</v>
      </c>
      <c r="E1559" s="15" t="s">
        <v>39</v>
      </c>
      <c r="F1559" s="15" t="s">
        <v>17</v>
      </c>
      <c r="G1559" s="15" t="s">
        <v>26</v>
      </c>
      <c r="H1559" s="15" t="n">
        <v>4</v>
      </c>
      <c r="I1559" s="17" t="n">
        <v>0</v>
      </c>
      <c r="J1559" s="18" t="n">
        <v>371</v>
      </c>
      <c r="K1559" s="19" t="n">
        <v>77.45</v>
      </c>
      <c r="L1559" s="15" t="n">
        <f aca="false">YEAR(B1559)</f>
        <v>2024</v>
      </c>
      <c r="M1559" s="20" t="n">
        <f aca="false">IF(J1559&gt;0,K1559/J1559,0)</f>
        <v>0.208760107816712</v>
      </c>
    </row>
    <row r="1560" customFormat="false" ht="15" hidden="false" customHeight="false" outlineLevel="0" collapsed="false">
      <c r="A1560" s="15" t="s">
        <v>1617</v>
      </c>
      <c r="B1560" s="16" t="n">
        <v>44876</v>
      </c>
      <c r="C1560" s="15" t="s">
        <v>56</v>
      </c>
      <c r="D1560" s="15" t="s">
        <v>43</v>
      </c>
      <c r="E1560" s="15" t="s">
        <v>38</v>
      </c>
      <c r="F1560" s="15" t="s">
        <v>18</v>
      </c>
      <c r="G1560" s="15" t="s">
        <v>33</v>
      </c>
      <c r="H1560" s="15" t="n">
        <v>2</v>
      </c>
      <c r="I1560" s="17" t="n">
        <v>0.2</v>
      </c>
      <c r="J1560" s="18" t="n">
        <v>1168.69</v>
      </c>
      <c r="K1560" s="19" t="n">
        <v>163.28</v>
      </c>
      <c r="L1560" s="15" t="n">
        <f aca="false">YEAR(B1560)</f>
        <v>2022</v>
      </c>
      <c r="M1560" s="20" t="n">
        <f aca="false">IF(J1560&gt;0,K1560/J1560,0)</f>
        <v>0.139711985214214</v>
      </c>
    </row>
    <row r="1561" customFormat="false" ht="15" hidden="false" customHeight="false" outlineLevel="0" collapsed="false">
      <c r="A1561" s="15" t="s">
        <v>1618</v>
      </c>
      <c r="B1561" s="16" t="n">
        <v>46002</v>
      </c>
      <c r="C1561" s="15" t="s">
        <v>68</v>
      </c>
      <c r="D1561" s="15" t="s">
        <v>43</v>
      </c>
      <c r="E1561" s="15" t="s">
        <v>37</v>
      </c>
      <c r="F1561" s="15" t="s">
        <v>17</v>
      </c>
      <c r="G1561" s="15" t="s">
        <v>26</v>
      </c>
      <c r="H1561" s="15" t="n">
        <v>2</v>
      </c>
      <c r="I1561" s="17" t="n">
        <v>0.15</v>
      </c>
      <c r="J1561" s="18" t="n">
        <v>156.06</v>
      </c>
      <c r="K1561" s="19" t="n">
        <v>0.14</v>
      </c>
      <c r="L1561" s="15" t="n">
        <f aca="false">YEAR(B1561)</f>
        <v>2025</v>
      </c>
      <c r="M1561" s="20" t="n">
        <f aca="false">IF(J1561&gt;0,K1561/J1561,0)</f>
        <v>0.000897090862488787</v>
      </c>
    </row>
    <row r="1562" customFormat="false" ht="15" hidden="false" customHeight="false" outlineLevel="0" collapsed="false">
      <c r="A1562" s="15" t="s">
        <v>1619</v>
      </c>
      <c r="B1562" s="16" t="n">
        <v>44663</v>
      </c>
      <c r="C1562" s="15" t="s">
        <v>56</v>
      </c>
      <c r="D1562" s="15" t="s">
        <v>44</v>
      </c>
      <c r="E1562" s="15" t="s">
        <v>38</v>
      </c>
      <c r="F1562" s="15" t="s">
        <v>18</v>
      </c>
      <c r="G1562" s="15" t="s">
        <v>33</v>
      </c>
      <c r="H1562" s="15" t="n">
        <v>4</v>
      </c>
      <c r="I1562" s="17" t="n">
        <v>0.1</v>
      </c>
      <c r="J1562" s="18" t="n">
        <v>3343.24</v>
      </c>
      <c r="K1562" s="19" t="n">
        <v>650.15</v>
      </c>
      <c r="L1562" s="15" t="n">
        <f aca="false">YEAR(B1562)</f>
        <v>2022</v>
      </c>
      <c r="M1562" s="20" t="n">
        <f aca="false">IF(J1562&gt;0,K1562/J1562,0)</f>
        <v>0.194467043945394</v>
      </c>
    </row>
    <row r="1563" customFormat="false" ht="15" hidden="false" customHeight="false" outlineLevel="0" collapsed="false">
      <c r="A1563" s="15" t="s">
        <v>1620</v>
      </c>
      <c r="B1563" s="16" t="n">
        <v>45237</v>
      </c>
      <c r="C1563" s="15" t="s">
        <v>71</v>
      </c>
      <c r="D1563" s="15" t="s">
        <v>42</v>
      </c>
      <c r="E1563" s="15" t="s">
        <v>38</v>
      </c>
      <c r="F1563" s="15" t="s">
        <v>18</v>
      </c>
      <c r="G1563" s="15" t="s">
        <v>33</v>
      </c>
      <c r="H1563" s="15" t="n">
        <v>3</v>
      </c>
      <c r="I1563" s="17" t="n">
        <v>0.2</v>
      </c>
      <c r="J1563" s="18" t="n">
        <v>1988.08</v>
      </c>
      <c r="K1563" s="19" t="n">
        <v>311.17</v>
      </c>
      <c r="L1563" s="15" t="n">
        <f aca="false">YEAR(B1563)</f>
        <v>2023</v>
      </c>
      <c r="M1563" s="20" t="n">
        <f aca="false">IF(J1563&gt;0,K1563/J1563,0)</f>
        <v>0.156517846364331</v>
      </c>
    </row>
    <row r="1564" customFormat="false" ht="15" hidden="false" customHeight="false" outlineLevel="0" collapsed="false">
      <c r="A1564" s="15" t="s">
        <v>1621</v>
      </c>
      <c r="B1564" s="16" t="n">
        <v>44626</v>
      </c>
      <c r="C1564" s="15" t="s">
        <v>68</v>
      </c>
      <c r="D1564" s="15" t="s">
        <v>42</v>
      </c>
      <c r="E1564" s="15" t="s">
        <v>39</v>
      </c>
      <c r="F1564" s="15" t="s">
        <v>18</v>
      </c>
      <c r="G1564" s="15" t="s">
        <v>32</v>
      </c>
      <c r="H1564" s="15" t="n">
        <v>3</v>
      </c>
      <c r="I1564" s="17" t="n">
        <v>0.05</v>
      </c>
      <c r="J1564" s="18" t="n">
        <v>938.71</v>
      </c>
      <c r="K1564" s="19" t="n">
        <v>85.55</v>
      </c>
      <c r="L1564" s="15" t="n">
        <f aca="false">YEAR(B1564)</f>
        <v>2022</v>
      </c>
      <c r="M1564" s="20" t="n">
        <f aca="false">IF(J1564&gt;0,K1564/J1564,0)</f>
        <v>0.0911357075135026</v>
      </c>
    </row>
    <row r="1565" customFormat="false" ht="15" hidden="false" customHeight="false" outlineLevel="0" collapsed="false">
      <c r="A1565" s="15" t="s">
        <v>1622</v>
      </c>
      <c r="B1565" s="16" t="n">
        <v>44856</v>
      </c>
      <c r="C1565" s="15" t="s">
        <v>68</v>
      </c>
      <c r="D1565" s="15" t="s">
        <v>43</v>
      </c>
      <c r="E1565" s="15" t="s">
        <v>39</v>
      </c>
      <c r="F1565" s="15" t="s">
        <v>17</v>
      </c>
      <c r="G1565" s="15" t="s">
        <v>26</v>
      </c>
      <c r="H1565" s="15" t="n">
        <v>2</v>
      </c>
      <c r="I1565" s="17" t="n">
        <v>0.05</v>
      </c>
      <c r="J1565" s="18" t="n">
        <v>165.3</v>
      </c>
      <c r="K1565" s="19" t="n">
        <v>22.15</v>
      </c>
      <c r="L1565" s="15" t="n">
        <f aca="false">YEAR(B1565)</f>
        <v>2022</v>
      </c>
      <c r="M1565" s="20" t="n">
        <f aca="false">IF(J1565&gt;0,K1565/J1565,0)</f>
        <v>0.133998790078645</v>
      </c>
    </row>
    <row r="1566" customFormat="false" ht="15" hidden="false" customHeight="false" outlineLevel="0" collapsed="false">
      <c r="A1566" s="15" t="s">
        <v>1623</v>
      </c>
      <c r="B1566" s="16" t="n">
        <v>44572</v>
      </c>
      <c r="C1566" s="15" t="s">
        <v>56</v>
      </c>
      <c r="D1566" s="15" t="s">
        <v>42</v>
      </c>
      <c r="E1566" s="15" t="s">
        <v>38</v>
      </c>
      <c r="F1566" s="15" t="s">
        <v>18</v>
      </c>
      <c r="G1566" s="15" t="s">
        <v>30</v>
      </c>
      <c r="H1566" s="15" t="n">
        <v>3</v>
      </c>
      <c r="I1566" s="17" t="n">
        <v>0</v>
      </c>
      <c r="J1566" s="18" t="n">
        <v>115.62</v>
      </c>
      <c r="K1566" s="19" t="n">
        <v>29.82</v>
      </c>
      <c r="L1566" s="15" t="n">
        <f aca="false">YEAR(B1566)</f>
        <v>2022</v>
      </c>
      <c r="M1566" s="20" t="n">
        <f aca="false">IF(J1566&gt;0,K1566/J1566,0)</f>
        <v>0.257913855734302</v>
      </c>
    </row>
    <row r="1567" customFormat="false" ht="15" hidden="false" customHeight="false" outlineLevel="0" collapsed="false">
      <c r="A1567" s="15" t="s">
        <v>1624</v>
      </c>
      <c r="B1567" s="16" t="n">
        <v>45690</v>
      </c>
      <c r="C1567" s="15" t="s">
        <v>56</v>
      </c>
      <c r="D1567" s="15" t="s">
        <v>44</v>
      </c>
      <c r="E1567" s="15" t="s">
        <v>36</v>
      </c>
      <c r="F1567" s="15" t="s">
        <v>18</v>
      </c>
      <c r="G1567" s="15" t="s">
        <v>33</v>
      </c>
      <c r="H1567" s="15" t="n">
        <v>4</v>
      </c>
      <c r="I1567" s="17" t="n">
        <v>0</v>
      </c>
      <c r="J1567" s="18" t="n">
        <v>2969.01</v>
      </c>
      <c r="K1567" s="19" t="n">
        <v>902.37</v>
      </c>
      <c r="L1567" s="15" t="n">
        <f aca="false">YEAR(B1567)</f>
        <v>2025</v>
      </c>
      <c r="M1567" s="20" t="n">
        <f aca="false">IF(J1567&gt;0,K1567/J1567,0)</f>
        <v>0.303929592692514</v>
      </c>
    </row>
    <row r="1568" customFormat="false" ht="15" hidden="false" customHeight="false" outlineLevel="0" collapsed="false">
      <c r="A1568" s="15" t="s">
        <v>1625</v>
      </c>
      <c r="B1568" s="16" t="n">
        <v>45635</v>
      </c>
      <c r="C1568" s="15" t="s">
        <v>56</v>
      </c>
      <c r="D1568" s="15" t="s">
        <v>42</v>
      </c>
      <c r="E1568" s="15" t="s">
        <v>37</v>
      </c>
      <c r="F1568" s="15" t="s">
        <v>17</v>
      </c>
      <c r="G1568" s="15" t="s">
        <v>29</v>
      </c>
      <c r="H1568" s="15" t="n">
        <v>4</v>
      </c>
      <c r="I1568" s="17" t="n">
        <v>0.15</v>
      </c>
      <c r="J1568" s="18" t="n">
        <v>61.45</v>
      </c>
      <c r="K1568" s="19" t="n">
        <v>14.1</v>
      </c>
      <c r="L1568" s="15" t="n">
        <f aca="false">YEAR(B1568)</f>
        <v>2024</v>
      </c>
      <c r="M1568" s="20" t="n">
        <f aca="false">IF(J1568&gt;0,K1568/J1568,0)</f>
        <v>0.229454841334418</v>
      </c>
    </row>
    <row r="1569" customFormat="false" ht="15" hidden="false" customHeight="false" outlineLevel="0" collapsed="false">
      <c r="A1569" s="15" t="s">
        <v>1626</v>
      </c>
      <c r="B1569" s="16" t="n">
        <v>45910</v>
      </c>
      <c r="C1569" s="15" t="s">
        <v>58</v>
      </c>
      <c r="D1569" s="15" t="s">
        <v>42</v>
      </c>
      <c r="E1569" s="15" t="s">
        <v>37</v>
      </c>
      <c r="F1569" s="15" t="s">
        <v>17</v>
      </c>
      <c r="G1569" s="15" t="s">
        <v>29</v>
      </c>
      <c r="H1569" s="15" t="n">
        <v>2</v>
      </c>
      <c r="I1569" s="17" t="n">
        <v>0.15</v>
      </c>
      <c r="J1569" s="18" t="n">
        <v>30.75</v>
      </c>
      <c r="K1569" s="19" t="n">
        <v>6.76</v>
      </c>
      <c r="L1569" s="15" t="n">
        <f aca="false">YEAR(B1569)</f>
        <v>2025</v>
      </c>
      <c r="M1569" s="20" t="n">
        <f aca="false">IF(J1569&gt;0,K1569/J1569,0)</f>
        <v>0.219837398373984</v>
      </c>
    </row>
    <row r="1570" customFormat="false" ht="15" hidden="false" customHeight="false" outlineLevel="0" collapsed="false">
      <c r="A1570" s="15" t="s">
        <v>1627</v>
      </c>
      <c r="B1570" s="16" t="n">
        <v>45064</v>
      </c>
      <c r="C1570" s="15" t="s">
        <v>68</v>
      </c>
      <c r="D1570" s="15" t="s">
        <v>43</v>
      </c>
      <c r="E1570" s="15" t="s">
        <v>39</v>
      </c>
      <c r="F1570" s="15" t="s">
        <v>16</v>
      </c>
      <c r="G1570" s="15" t="s">
        <v>27</v>
      </c>
      <c r="H1570" s="15" t="n">
        <v>4</v>
      </c>
      <c r="I1570" s="17" t="n">
        <v>0.2</v>
      </c>
      <c r="J1570" s="18" t="n">
        <v>222.85</v>
      </c>
      <c r="K1570" s="19" t="n">
        <v>12.45</v>
      </c>
      <c r="L1570" s="15" t="n">
        <f aca="false">YEAR(B1570)</f>
        <v>2023</v>
      </c>
      <c r="M1570" s="20" t="n">
        <f aca="false">IF(J1570&gt;0,K1570/J1570,0)</f>
        <v>0.0558671752299753</v>
      </c>
    </row>
    <row r="1571" customFormat="false" ht="15" hidden="false" customHeight="false" outlineLevel="0" collapsed="false">
      <c r="A1571" s="15" t="s">
        <v>1628</v>
      </c>
      <c r="B1571" s="16" t="n">
        <v>44928</v>
      </c>
      <c r="C1571" s="15" t="s">
        <v>56</v>
      </c>
      <c r="D1571" s="15" t="s">
        <v>44</v>
      </c>
      <c r="E1571" s="15" t="s">
        <v>38</v>
      </c>
      <c r="F1571" s="15" t="s">
        <v>16</v>
      </c>
      <c r="G1571" s="15" t="s">
        <v>27</v>
      </c>
      <c r="H1571" s="15" t="n">
        <v>4</v>
      </c>
      <c r="I1571" s="17" t="n">
        <v>0.3</v>
      </c>
      <c r="J1571" s="18" t="n">
        <v>137.78</v>
      </c>
      <c r="K1571" s="19" t="n">
        <v>-8.1</v>
      </c>
      <c r="L1571" s="15" t="n">
        <f aca="false">YEAR(B1571)</f>
        <v>2023</v>
      </c>
      <c r="M1571" s="20" t="n">
        <f aca="false">IF(J1571&gt;0,K1571/J1571,0)</f>
        <v>-0.0587893743649296</v>
      </c>
    </row>
    <row r="1572" customFormat="false" ht="15" hidden="false" customHeight="false" outlineLevel="0" collapsed="false">
      <c r="A1572" s="15" t="s">
        <v>1629</v>
      </c>
      <c r="B1572" s="16" t="n">
        <v>44884</v>
      </c>
      <c r="C1572" s="15" t="s">
        <v>56</v>
      </c>
      <c r="D1572" s="15" t="s">
        <v>44</v>
      </c>
      <c r="E1572" s="15" t="s">
        <v>39</v>
      </c>
      <c r="F1572" s="15" t="s">
        <v>17</v>
      </c>
      <c r="G1572" s="15" t="s">
        <v>29</v>
      </c>
      <c r="H1572" s="15" t="n">
        <v>4</v>
      </c>
      <c r="I1572" s="17" t="n">
        <v>0.1</v>
      </c>
      <c r="J1572" s="18" t="n">
        <v>58.92</v>
      </c>
      <c r="K1572" s="19" t="n">
        <v>13.38</v>
      </c>
      <c r="L1572" s="15" t="n">
        <f aca="false">YEAR(B1572)</f>
        <v>2022</v>
      </c>
      <c r="M1572" s="20" t="n">
        <f aca="false">IF(J1572&gt;0,K1572/J1572,0)</f>
        <v>0.227087576374745</v>
      </c>
    </row>
    <row r="1573" customFormat="false" ht="15" hidden="false" customHeight="false" outlineLevel="0" collapsed="false">
      <c r="A1573" s="15" t="s">
        <v>1630</v>
      </c>
      <c r="B1573" s="16" t="n">
        <v>45146</v>
      </c>
      <c r="C1573" s="15" t="s">
        <v>56</v>
      </c>
      <c r="D1573" s="15" t="s">
        <v>43</v>
      </c>
      <c r="E1573" s="15" t="s">
        <v>38</v>
      </c>
      <c r="F1573" s="15" t="s">
        <v>17</v>
      </c>
      <c r="G1573" s="15" t="s">
        <v>29</v>
      </c>
      <c r="H1573" s="15" t="n">
        <v>2</v>
      </c>
      <c r="I1573" s="17" t="n">
        <v>0.3</v>
      </c>
      <c r="J1573" s="18" t="n">
        <v>23.33</v>
      </c>
      <c r="K1573" s="19" t="n">
        <v>2.83</v>
      </c>
      <c r="L1573" s="15" t="n">
        <f aca="false">YEAR(B1573)</f>
        <v>2023</v>
      </c>
      <c r="M1573" s="20" t="n">
        <f aca="false">IF(J1573&gt;0,K1573/J1573,0)</f>
        <v>0.121303043291899</v>
      </c>
    </row>
    <row r="1574" customFormat="false" ht="15" hidden="false" customHeight="false" outlineLevel="0" collapsed="false">
      <c r="A1574" s="15" t="s">
        <v>1631</v>
      </c>
      <c r="B1574" s="16" t="n">
        <v>45764</v>
      </c>
      <c r="C1574" s="15" t="s">
        <v>71</v>
      </c>
      <c r="D1574" s="15" t="s">
        <v>44</v>
      </c>
      <c r="E1574" s="15" t="s">
        <v>37</v>
      </c>
      <c r="F1574" s="15" t="s">
        <v>17</v>
      </c>
      <c r="G1574" s="15" t="s">
        <v>28</v>
      </c>
      <c r="H1574" s="15" t="n">
        <v>8</v>
      </c>
      <c r="I1574" s="17" t="n">
        <v>0.2</v>
      </c>
      <c r="J1574" s="18" t="n">
        <v>160.63</v>
      </c>
      <c r="K1574" s="19" t="n">
        <v>24.49</v>
      </c>
      <c r="L1574" s="15" t="n">
        <f aca="false">YEAR(B1574)</f>
        <v>2025</v>
      </c>
      <c r="M1574" s="20" t="n">
        <f aca="false">IF(J1574&gt;0,K1574/J1574,0)</f>
        <v>0.152462180165598</v>
      </c>
    </row>
    <row r="1575" customFormat="false" ht="15" hidden="false" customHeight="false" outlineLevel="0" collapsed="false">
      <c r="A1575" s="15" t="s">
        <v>1632</v>
      </c>
      <c r="B1575" s="16" t="n">
        <v>45981</v>
      </c>
      <c r="C1575" s="15" t="s">
        <v>58</v>
      </c>
      <c r="D1575" s="15" t="s">
        <v>44</v>
      </c>
      <c r="E1575" s="15" t="s">
        <v>39</v>
      </c>
      <c r="F1575" s="15" t="s">
        <v>17</v>
      </c>
      <c r="G1575" s="15" t="s">
        <v>28</v>
      </c>
      <c r="H1575" s="15" t="n">
        <v>4</v>
      </c>
      <c r="I1575" s="17" t="n">
        <v>0.1</v>
      </c>
      <c r="J1575" s="18" t="n">
        <v>79.19</v>
      </c>
      <c r="K1575" s="19" t="n">
        <v>13.93</v>
      </c>
      <c r="L1575" s="15" t="n">
        <f aca="false">YEAR(B1575)</f>
        <v>2025</v>
      </c>
      <c r="M1575" s="20" t="n">
        <f aca="false">IF(J1575&gt;0,K1575/J1575,0)</f>
        <v>0.175906048743528</v>
      </c>
    </row>
    <row r="1576" customFormat="false" ht="15" hidden="false" customHeight="false" outlineLevel="0" collapsed="false">
      <c r="A1576" s="15" t="s">
        <v>1633</v>
      </c>
      <c r="B1576" s="16" t="n">
        <v>45059</v>
      </c>
      <c r="C1576" s="15" t="s">
        <v>56</v>
      </c>
      <c r="D1576" s="15" t="s">
        <v>42</v>
      </c>
      <c r="E1576" s="15" t="s">
        <v>38</v>
      </c>
      <c r="F1576" s="15" t="s">
        <v>16</v>
      </c>
      <c r="G1576" s="15" t="s">
        <v>23</v>
      </c>
      <c r="H1576" s="15" t="n">
        <v>3</v>
      </c>
      <c r="I1576" s="17" t="n">
        <v>0</v>
      </c>
      <c r="J1576" s="18" t="n">
        <v>703.1</v>
      </c>
      <c r="K1576" s="19" t="n">
        <v>-18.74</v>
      </c>
      <c r="L1576" s="15" t="n">
        <f aca="false">YEAR(B1576)</f>
        <v>2023</v>
      </c>
      <c r="M1576" s="20" t="n">
        <f aca="false">IF(J1576&gt;0,K1576/J1576,0)</f>
        <v>-0.0266533921206087</v>
      </c>
    </row>
    <row r="1577" customFormat="false" ht="15" hidden="false" customHeight="false" outlineLevel="0" collapsed="false">
      <c r="A1577" s="15" t="s">
        <v>1634</v>
      </c>
      <c r="B1577" s="16" t="n">
        <v>44856</v>
      </c>
      <c r="C1577" s="15" t="s">
        <v>71</v>
      </c>
      <c r="D1577" s="15" t="s">
        <v>43</v>
      </c>
      <c r="E1577" s="15" t="s">
        <v>37</v>
      </c>
      <c r="F1577" s="15" t="s">
        <v>17</v>
      </c>
      <c r="G1577" s="15" t="s">
        <v>28</v>
      </c>
      <c r="H1577" s="15" t="n">
        <v>3</v>
      </c>
      <c r="I1577" s="17" t="n">
        <v>0.2</v>
      </c>
      <c r="J1577" s="18" t="n">
        <v>52.14</v>
      </c>
      <c r="K1577" s="19" t="n">
        <v>6.85</v>
      </c>
      <c r="L1577" s="15" t="n">
        <f aca="false">YEAR(B1577)</f>
        <v>2022</v>
      </c>
      <c r="M1577" s="20" t="n">
        <f aca="false">IF(J1577&gt;0,K1577/J1577,0)</f>
        <v>0.131377061756809</v>
      </c>
    </row>
    <row r="1578" customFormat="false" ht="15" hidden="false" customHeight="false" outlineLevel="0" collapsed="false">
      <c r="A1578" s="15" t="s">
        <v>1635</v>
      </c>
      <c r="B1578" s="16" t="n">
        <v>45535</v>
      </c>
      <c r="C1578" s="15" t="s">
        <v>56</v>
      </c>
      <c r="D1578" s="15" t="s">
        <v>44</v>
      </c>
      <c r="E1578" s="15" t="s">
        <v>38</v>
      </c>
      <c r="F1578" s="15" t="s">
        <v>17</v>
      </c>
      <c r="G1578" s="15" t="s">
        <v>28</v>
      </c>
      <c r="H1578" s="15" t="n">
        <v>5</v>
      </c>
      <c r="I1578" s="17" t="n">
        <v>0</v>
      </c>
      <c r="J1578" s="18" t="n">
        <v>114.28</v>
      </c>
      <c r="K1578" s="19" t="n">
        <v>33.56</v>
      </c>
      <c r="L1578" s="15" t="n">
        <f aca="false">YEAR(B1578)</f>
        <v>2024</v>
      </c>
      <c r="M1578" s="20" t="n">
        <f aca="false">IF(J1578&gt;0,K1578/J1578,0)</f>
        <v>0.293664683234162</v>
      </c>
    </row>
    <row r="1579" customFormat="false" ht="15" hidden="false" customHeight="false" outlineLevel="0" collapsed="false">
      <c r="A1579" s="15" t="s">
        <v>1636</v>
      </c>
      <c r="B1579" s="16" t="n">
        <v>45159</v>
      </c>
      <c r="C1579" s="15" t="s">
        <v>56</v>
      </c>
      <c r="D1579" s="15" t="s">
        <v>42</v>
      </c>
      <c r="E1579" s="15" t="s">
        <v>36</v>
      </c>
      <c r="F1579" s="15" t="s">
        <v>18</v>
      </c>
      <c r="G1579" s="15" t="s">
        <v>30</v>
      </c>
      <c r="H1579" s="15" t="n">
        <v>2</v>
      </c>
      <c r="I1579" s="17" t="n">
        <v>0</v>
      </c>
      <c r="J1579" s="18" t="n">
        <v>101.55</v>
      </c>
      <c r="K1579" s="19" t="n">
        <v>29.04</v>
      </c>
      <c r="L1579" s="15" t="n">
        <f aca="false">YEAR(B1579)</f>
        <v>2023</v>
      </c>
      <c r="M1579" s="20" t="n">
        <f aca="false">IF(J1579&gt;0,K1579/J1579,0)</f>
        <v>0.285967503692762</v>
      </c>
    </row>
    <row r="1580" customFormat="false" ht="15" hidden="false" customHeight="false" outlineLevel="0" collapsed="false">
      <c r="A1580" s="15" t="s">
        <v>1637</v>
      </c>
      <c r="B1580" s="16" t="n">
        <v>45456</v>
      </c>
      <c r="C1580" s="15" t="s">
        <v>71</v>
      </c>
      <c r="D1580" s="15" t="s">
        <v>43</v>
      </c>
      <c r="E1580" s="15" t="s">
        <v>37</v>
      </c>
      <c r="F1580" s="15" t="s">
        <v>17</v>
      </c>
      <c r="G1580" s="15" t="s">
        <v>29</v>
      </c>
      <c r="H1580" s="15" t="n">
        <v>4</v>
      </c>
      <c r="I1580" s="17" t="n">
        <v>0</v>
      </c>
      <c r="J1580" s="18" t="n">
        <v>86.22</v>
      </c>
      <c r="K1580" s="19" t="n">
        <v>30.44</v>
      </c>
      <c r="L1580" s="15" t="n">
        <f aca="false">YEAR(B1580)</f>
        <v>2024</v>
      </c>
      <c r="M1580" s="20" t="n">
        <f aca="false">IF(J1580&gt;0,K1580/J1580,0)</f>
        <v>0.353050336348875</v>
      </c>
    </row>
    <row r="1581" customFormat="false" ht="15" hidden="false" customHeight="false" outlineLevel="0" collapsed="false">
      <c r="A1581" s="15" t="s">
        <v>1638</v>
      </c>
      <c r="B1581" s="16" t="n">
        <v>44879</v>
      </c>
      <c r="C1581" s="15" t="s">
        <v>56</v>
      </c>
      <c r="D1581" s="15" t="s">
        <v>42</v>
      </c>
      <c r="E1581" s="15" t="s">
        <v>36</v>
      </c>
      <c r="F1581" s="15" t="s">
        <v>16</v>
      </c>
      <c r="G1581" s="15" t="s">
        <v>27</v>
      </c>
      <c r="H1581" s="15" t="n">
        <v>1</v>
      </c>
      <c r="I1581" s="17" t="n">
        <v>0.2</v>
      </c>
      <c r="J1581" s="18" t="n">
        <v>46.49</v>
      </c>
      <c r="K1581" s="19" t="n">
        <v>1.73</v>
      </c>
      <c r="L1581" s="15" t="n">
        <f aca="false">YEAR(B1581)</f>
        <v>2022</v>
      </c>
      <c r="M1581" s="20" t="n">
        <f aca="false">IF(J1581&gt;0,K1581/J1581,0)</f>
        <v>0.0372123037212304</v>
      </c>
    </row>
    <row r="1582" customFormat="false" ht="15" hidden="false" customHeight="false" outlineLevel="0" collapsed="false">
      <c r="A1582" s="15" t="s">
        <v>1639</v>
      </c>
      <c r="B1582" s="16" t="n">
        <v>45632</v>
      </c>
      <c r="C1582" s="15" t="s">
        <v>56</v>
      </c>
      <c r="D1582" s="15" t="s">
        <v>43</v>
      </c>
      <c r="E1582" s="15" t="s">
        <v>39</v>
      </c>
      <c r="F1582" s="15" t="s">
        <v>16</v>
      </c>
      <c r="G1582" s="15" t="s">
        <v>27</v>
      </c>
      <c r="H1582" s="15" t="n">
        <v>2</v>
      </c>
      <c r="I1582" s="17" t="n">
        <v>0</v>
      </c>
      <c r="J1582" s="18" t="n">
        <v>118.14</v>
      </c>
      <c r="K1582" s="19" t="n">
        <v>27.41</v>
      </c>
      <c r="L1582" s="15" t="n">
        <f aca="false">YEAR(B1582)</f>
        <v>2024</v>
      </c>
      <c r="M1582" s="20" t="n">
        <f aca="false">IF(J1582&gt;0,K1582/J1582,0)</f>
        <v>0.232012866091078</v>
      </c>
    </row>
    <row r="1583" customFormat="false" ht="15" hidden="false" customHeight="false" outlineLevel="0" collapsed="false">
      <c r="A1583" s="15" t="s">
        <v>1640</v>
      </c>
      <c r="B1583" s="16" t="n">
        <v>45276</v>
      </c>
      <c r="C1583" s="15" t="s">
        <v>56</v>
      </c>
      <c r="D1583" s="15" t="s">
        <v>44</v>
      </c>
      <c r="E1583" s="15" t="s">
        <v>39</v>
      </c>
      <c r="F1583" s="15" t="s">
        <v>18</v>
      </c>
      <c r="G1583" s="15" t="s">
        <v>30</v>
      </c>
      <c r="H1583" s="15" t="n">
        <v>3</v>
      </c>
      <c r="I1583" s="17" t="n">
        <v>0</v>
      </c>
      <c r="J1583" s="18" t="n">
        <v>126.84</v>
      </c>
      <c r="K1583" s="19" t="n">
        <v>47.29</v>
      </c>
      <c r="L1583" s="15" t="n">
        <f aca="false">YEAR(B1583)</f>
        <v>2023</v>
      </c>
      <c r="M1583" s="20" t="n">
        <f aca="false">IF(J1583&gt;0,K1583/J1583,0)</f>
        <v>0.372831914222643</v>
      </c>
    </row>
    <row r="1584" customFormat="false" ht="15" hidden="false" customHeight="false" outlineLevel="0" collapsed="false">
      <c r="A1584" s="15" t="s">
        <v>1641</v>
      </c>
      <c r="B1584" s="16" t="n">
        <v>44576</v>
      </c>
      <c r="C1584" s="15" t="s">
        <v>58</v>
      </c>
      <c r="D1584" s="15" t="s">
        <v>43</v>
      </c>
      <c r="E1584" s="15" t="s">
        <v>39</v>
      </c>
      <c r="F1584" s="15" t="s">
        <v>17</v>
      </c>
      <c r="G1584" s="15" t="s">
        <v>26</v>
      </c>
      <c r="H1584" s="15" t="n">
        <v>4</v>
      </c>
      <c r="I1584" s="17" t="n">
        <v>0</v>
      </c>
      <c r="J1584" s="18" t="n">
        <v>317.59</v>
      </c>
      <c r="K1584" s="19" t="n">
        <v>33.43</v>
      </c>
      <c r="L1584" s="15" t="n">
        <f aca="false">YEAR(B1584)</f>
        <v>2022</v>
      </c>
      <c r="M1584" s="20" t="n">
        <f aca="false">IF(J1584&gt;0,K1584/J1584,0)</f>
        <v>0.105261500676973</v>
      </c>
    </row>
    <row r="1585" customFormat="false" ht="15" hidden="false" customHeight="false" outlineLevel="0" collapsed="false">
      <c r="A1585" s="15" t="s">
        <v>1642</v>
      </c>
      <c r="B1585" s="16" t="n">
        <v>45835</v>
      </c>
      <c r="C1585" s="15" t="s">
        <v>58</v>
      </c>
      <c r="D1585" s="15" t="s">
        <v>42</v>
      </c>
      <c r="E1585" s="15" t="s">
        <v>39</v>
      </c>
      <c r="F1585" s="15" t="s">
        <v>17</v>
      </c>
      <c r="G1585" s="15" t="s">
        <v>29</v>
      </c>
      <c r="H1585" s="15" t="n">
        <v>2</v>
      </c>
      <c r="I1585" s="17" t="n">
        <v>0</v>
      </c>
      <c r="J1585" s="18" t="n">
        <v>38.77</v>
      </c>
      <c r="K1585" s="19" t="n">
        <v>13.64</v>
      </c>
      <c r="L1585" s="15" t="n">
        <f aca="false">YEAR(B1585)</f>
        <v>2025</v>
      </c>
      <c r="M1585" s="20" t="n">
        <f aca="false">IF(J1585&gt;0,K1585/J1585,0)</f>
        <v>0.351818416301264</v>
      </c>
    </row>
    <row r="1586" customFormat="false" ht="15" hidden="false" customHeight="false" outlineLevel="0" collapsed="false">
      <c r="A1586" s="15" t="s">
        <v>1643</v>
      </c>
      <c r="B1586" s="16" t="n">
        <v>45076</v>
      </c>
      <c r="C1586" s="15" t="s">
        <v>68</v>
      </c>
      <c r="D1586" s="15" t="s">
        <v>44</v>
      </c>
      <c r="E1586" s="15" t="s">
        <v>37</v>
      </c>
      <c r="F1586" s="15" t="s">
        <v>17</v>
      </c>
      <c r="G1586" s="15" t="s">
        <v>26</v>
      </c>
      <c r="H1586" s="15" t="n">
        <v>4</v>
      </c>
      <c r="I1586" s="17" t="n">
        <v>0.2</v>
      </c>
      <c r="J1586" s="18" t="n">
        <v>271.13</v>
      </c>
      <c r="K1586" s="19" t="n">
        <v>-17.62</v>
      </c>
      <c r="L1586" s="15" t="n">
        <f aca="false">YEAR(B1586)</f>
        <v>2023</v>
      </c>
      <c r="M1586" s="20" t="n">
        <f aca="false">IF(J1586&gt;0,K1586/J1586,0)</f>
        <v>-0.0649872754767086</v>
      </c>
    </row>
    <row r="1587" customFormat="false" ht="15" hidden="false" customHeight="false" outlineLevel="0" collapsed="false">
      <c r="A1587" s="15" t="s">
        <v>1644</v>
      </c>
      <c r="B1587" s="16" t="n">
        <v>45075</v>
      </c>
      <c r="C1587" s="15" t="s">
        <v>68</v>
      </c>
      <c r="D1587" s="15" t="s">
        <v>42</v>
      </c>
      <c r="E1587" s="15" t="s">
        <v>37</v>
      </c>
      <c r="F1587" s="15" t="s">
        <v>16</v>
      </c>
      <c r="G1587" s="15" t="s">
        <v>22</v>
      </c>
      <c r="H1587" s="15" t="n">
        <v>5</v>
      </c>
      <c r="I1587" s="17" t="n">
        <v>0</v>
      </c>
      <c r="J1587" s="18" t="n">
        <v>2498.67</v>
      </c>
      <c r="K1587" s="19" t="n">
        <v>-94.4</v>
      </c>
      <c r="L1587" s="15" t="n">
        <f aca="false">YEAR(B1587)</f>
        <v>2023</v>
      </c>
      <c r="M1587" s="20" t="n">
        <f aca="false">IF(J1587&gt;0,K1587/J1587,0)</f>
        <v>-0.0377800990126747</v>
      </c>
    </row>
    <row r="1588" customFormat="false" ht="15" hidden="false" customHeight="false" outlineLevel="0" collapsed="false">
      <c r="A1588" s="15" t="s">
        <v>1645</v>
      </c>
      <c r="B1588" s="16" t="n">
        <v>45696</v>
      </c>
      <c r="C1588" s="15" t="s">
        <v>56</v>
      </c>
      <c r="D1588" s="15" t="s">
        <v>44</v>
      </c>
      <c r="E1588" s="15" t="s">
        <v>39</v>
      </c>
      <c r="F1588" s="15" t="s">
        <v>18</v>
      </c>
      <c r="G1588" s="15" t="s">
        <v>30</v>
      </c>
      <c r="H1588" s="15" t="n">
        <v>4</v>
      </c>
      <c r="I1588" s="17" t="n">
        <v>0.2</v>
      </c>
      <c r="J1588" s="18" t="n">
        <v>130.55</v>
      </c>
      <c r="K1588" s="19" t="n">
        <v>8.46</v>
      </c>
      <c r="L1588" s="15" t="n">
        <f aca="false">YEAR(B1588)</f>
        <v>2025</v>
      </c>
      <c r="M1588" s="20" t="n">
        <f aca="false">IF(J1588&gt;0,K1588/J1588,0)</f>
        <v>0.0648027575641517</v>
      </c>
    </row>
    <row r="1589" customFormat="false" ht="15" hidden="false" customHeight="false" outlineLevel="0" collapsed="false">
      <c r="A1589" s="15" t="s">
        <v>1646</v>
      </c>
      <c r="B1589" s="16" t="n">
        <v>44665</v>
      </c>
      <c r="C1589" s="15" t="s">
        <v>56</v>
      </c>
      <c r="D1589" s="15" t="s">
        <v>43</v>
      </c>
      <c r="E1589" s="15" t="s">
        <v>39</v>
      </c>
      <c r="F1589" s="15" t="s">
        <v>17</v>
      </c>
      <c r="G1589" s="15" t="s">
        <v>28</v>
      </c>
      <c r="H1589" s="15" t="n">
        <v>1</v>
      </c>
      <c r="I1589" s="17" t="n">
        <v>0</v>
      </c>
      <c r="J1589" s="18" t="n">
        <v>25.21</v>
      </c>
      <c r="K1589" s="19" t="n">
        <v>7.4</v>
      </c>
      <c r="L1589" s="15" t="n">
        <f aca="false">YEAR(B1589)</f>
        <v>2022</v>
      </c>
      <c r="M1589" s="20" t="n">
        <f aca="false">IF(J1589&gt;0,K1589/J1589,0)</f>
        <v>0.293534311781039</v>
      </c>
    </row>
    <row r="1590" customFormat="false" ht="15" hidden="false" customHeight="false" outlineLevel="0" collapsed="false">
      <c r="A1590" s="15" t="s">
        <v>1647</v>
      </c>
      <c r="B1590" s="16" t="n">
        <v>44649</v>
      </c>
      <c r="C1590" s="15" t="s">
        <v>56</v>
      </c>
      <c r="D1590" s="15" t="s">
        <v>43</v>
      </c>
      <c r="E1590" s="15" t="s">
        <v>37</v>
      </c>
      <c r="F1590" s="15" t="s">
        <v>16</v>
      </c>
      <c r="G1590" s="15" t="s">
        <v>23</v>
      </c>
      <c r="H1590" s="15" t="n">
        <v>4</v>
      </c>
      <c r="I1590" s="17" t="n">
        <v>0</v>
      </c>
      <c r="J1590" s="18" t="n">
        <v>1399.04</v>
      </c>
      <c r="K1590" s="19" t="n">
        <v>149.08</v>
      </c>
      <c r="L1590" s="15" t="n">
        <f aca="false">YEAR(B1590)</f>
        <v>2022</v>
      </c>
      <c r="M1590" s="20" t="n">
        <f aca="false">IF(J1590&gt;0,K1590/J1590,0)</f>
        <v>0.106558783165599</v>
      </c>
    </row>
    <row r="1591" customFormat="false" ht="15" hidden="false" customHeight="false" outlineLevel="0" collapsed="false">
      <c r="A1591" s="15" t="s">
        <v>1648</v>
      </c>
      <c r="B1591" s="16" t="n">
        <v>45840</v>
      </c>
      <c r="C1591" s="15" t="s">
        <v>56</v>
      </c>
      <c r="D1591" s="15" t="s">
        <v>42</v>
      </c>
      <c r="E1591" s="15" t="s">
        <v>36</v>
      </c>
      <c r="F1591" s="15" t="s">
        <v>18</v>
      </c>
      <c r="G1591" s="15" t="s">
        <v>32</v>
      </c>
      <c r="H1591" s="15" t="n">
        <v>2</v>
      </c>
      <c r="I1591" s="17" t="n">
        <v>0.3</v>
      </c>
      <c r="J1591" s="18" t="n">
        <v>567.99</v>
      </c>
      <c r="K1591" s="19" t="n">
        <v>-75.74</v>
      </c>
      <c r="L1591" s="15" t="n">
        <f aca="false">YEAR(B1591)</f>
        <v>2025</v>
      </c>
      <c r="M1591" s="20" t="n">
        <f aca="false">IF(J1591&gt;0,K1591/J1591,0)</f>
        <v>-0.133347418088347</v>
      </c>
    </row>
    <row r="1592" customFormat="false" ht="15" hidden="false" customHeight="false" outlineLevel="0" collapsed="false">
      <c r="A1592" s="15" t="s">
        <v>1649</v>
      </c>
      <c r="B1592" s="16" t="n">
        <v>44801</v>
      </c>
      <c r="C1592" s="15" t="s">
        <v>71</v>
      </c>
      <c r="D1592" s="15" t="s">
        <v>42</v>
      </c>
      <c r="E1592" s="15" t="s">
        <v>36</v>
      </c>
      <c r="F1592" s="15" t="s">
        <v>16</v>
      </c>
      <c r="G1592" s="15" t="s">
        <v>22</v>
      </c>
      <c r="H1592" s="15" t="n">
        <v>2</v>
      </c>
      <c r="I1592" s="17" t="n">
        <v>0</v>
      </c>
      <c r="J1592" s="18" t="n">
        <v>894.05</v>
      </c>
      <c r="K1592" s="19" t="n">
        <v>-29.11</v>
      </c>
      <c r="L1592" s="15" t="n">
        <f aca="false">YEAR(B1592)</f>
        <v>2022</v>
      </c>
      <c r="M1592" s="20" t="n">
        <f aca="false">IF(J1592&gt;0,K1592/J1592,0)</f>
        <v>-0.0325597002404787</v>
      </c>
    </row>
    <row r="1593" customFormat="false" ht="15" hidden="false" customHeight="false" outlineLevel="0" collapsed="false">
      <c r="A1593" s="15" t="s">
        <v>1650</v>
      </c>
      <c r="B1593" s="16" t="n">
        <v>44828</v>
      </c>
      <c r="C1593" s="15" t="s">
        <v>56</v>
      </c>
      <c r="D1593" s="15" t="s">
        <v>42</v>
      </c>
      <c r="E1593" s="15" t="s">
        <v>38</v>
      </c>
      <c r="F1593" s="15" t="s">
        <v>17</v>
      </c>
      <c r="G1593" s="15" t="s">
        <v>26</v>
      </c>
      <c r="H1593" s="15" t="n">
        <v>6</v>
      </c>
      <c r="I1593" s="17" t="n">
        <v>0.15</v>
      </c>
      <c r="J1593" s="18" t="n">
        <v>427.96</v>
      </c>
      <c r="K1593" s="19" t="n">
        <v>11.34</v>
      </c>
      <c r="L1593" s="15" t="n">
        <f aca="false">YEAR(B1593)</f>
        <v>2022</v>
      </c>
      <c r="M1593" s="20" t="n">
        <f aca="false">IF(J1593&gt;0,K1593/J1593,0)</f>
        <v>0.0264978035330405</v>
      </c>
    </row>
    <row r="1594" customFormat="false" ht="15" hidden="false" customHeight="false" outlineLevel="0" collapsed="false">
      <c r="A1594" s="15" t="s">
        <v>1651</v>
      </c>
      <c r="B1594" s="16" t="n">
        <v>46005</v>
      </c>
      <c r="C1594" s="15" t="s">
        <v>68</v>
      </c>
      <c r="D1594" s="15" t="s">
        <v>42</v>
      </c>
      <c r="E1594" s="15" t="s">
        <v>36</v>
      </c>
      <c r="F1594" s="15" t="s">
        <v>17</v>
      </c>
      <c r="G1594" s="15" t="s">
        <v>26</v>
      </c>
      <c r="H1594" s="15" t="n">
        <v>5</v>
      </c>
      <c r="I1594" s="17" t="n">
        <v>0.1</v>
      </c>
      <c r="J1594" s="18" t="n">
        <v>318.79</v>
      </c>
      <c r="K1594" s="19" t="n">
        <v>7.51</v>
      </c>
      <c r="L1594" s="15" t="n">
        <f aca="false">YEAR(B1594)</f>
        <v>2025</v>
      </c>
      <c r="M1594" s="20" t="n">
        <f aca="false">IF(J1594&gt;0,K1594/J1594,0)</f>
        <v>0.0235578280372659</v>
      </c>
    </row>
    <row r="1595" customFormat="false" ht="15" hidden="false" customHeight="false" outlineLevel="0" collapsed="false">
      <c r="A1595" s="15" t="s">
        <v>1652</v>
      </c>
      <c r="B1595" s="16" t="n">
        <v>45905</v>
      </c>
      <c r="C1595" s="15" t="s">
        <v>71</v>
      </c>
      <c r="D1595" s="15" t="s">
        <v>43</v>
      </c>
      <c r="E1595" s="15" t="s">
        <v>36</v>
      </c>
      <c r="F1595" s="15" t="s">
        <v>17</v>
      </c>
      <c r="G1595" s="15" t="s">
        <v>26</v>
      </c>
      <c r="H1595" s="15" t="n">
        <v>3</v>
      </c>
      <c r="I1595" s="17" t="n">
        <v>0.1</v>
      </c>
      <c r="J1595" s="18" t="n">
        <v>264.49</v>
      </c>
      <c r="K1595" s="19" t="n">
        <v>13.93</v>
      </c>
      <c r="L1595" s="15" t="n">
        <f aca="false">YEAR(B1595)</f>
        <v>2025</v>
      </c>
      <c r="M1595" s="20" t="n">
        <f aca="false">IF(J1595&gt;0,K1595/J1595,0)</f>
        <v>0.0526673976331808</v>
      </c>
    </row>
    <row r="1596" customFormat="false" ht="15" hidden="false" customHeight="false" outlineLevel="0" collapsed="false">
      <c r="A1596" s="15" t="s">
        <v>1653</v>
      </c>
      <c r="B1596" s="16" t="n">
        <v>45085</v>
      </c>
      <c r="C1596" s="15" t="s">
        <v>56</v>
      </c>
      <c r="D1596" s="15" t="s">
        <v>43</v>
      </c>
      <c r="E1596" s="15" t="s">
        <v>39</v>
      </c>
      <c r="F1596" s="15" t="s">
        <v>18</v>
      </c>
      <c r="G1596" s="15" t="s">
        <v>33</v>
      </c>
      <c r="H1596" s="15" t="n">
        <v>3</v>
      </c>
      <c r="I1596" s="17" t="n">
        <v>0</v>
      </c>
      <c r="J1596" s="18" t="n">
        <v>3816.96</v>
      </c>
      <c r="K1596" s="19" t="n">
        <v>992.29</v>
      </c>
      <c r="L1596" s="15" t="n">
        <f aca="false">YEAR(B1596)</f>
        <v>2023</v>
      </c>
      <c r="M1596" s="20" t="n">
        <f aca="false">IF(J1596&gt;0,K1596/J1596,0)</f>
        <v>0.259968666163649</v>
      </c>
    </row>
    <row r="1597" customFormat="false" ht="15" hidden="false" customHeight="false" outlineLevel="0" collapsed="false">
      <c r="A1597" s="15" t="s">
        <v>1654</v>
      </c>
      <c r="B1597" s="16" t="n">
        <v>45135</v>
      </c>
      <c r="C1597" s="15" t="s">
        <v>56</v>
      </c>
      <c r="D1597" s="15" t="s">
        <v>42</v>
      </c>
      <c r="E1597" s="15" t="s">
        <v>39</v>
      </c>
      <c r="F1597" s="15" t="s">
        <v>17</v>
      </c>
      <c r="G1597" s="15" t="s">
        <v>29</v>
      </c>
      <c r="H1597" s="15" t="n">
        <v>3</v>
      </c>
      <c r="I1597" s="17" t="n">
        <v>0.15</v>
      </c>
      <c r="J1597" s="18" t="n">
        <v>50.97</v>
      </c>
      <c r="K1597" s="19" t="n">
        <v>11.68</v>
      </c>
      <c r="L1597" s="15" t="n">
        <f aca="false">YEAR(B1597)</f>
        <v>2023</v>
      </c>
      <c r="M1597" s="20" t="n">
        <f aca="false">IF(J1597&gt;0,K1597/J1597,0)</f>
        <v>0.229154404551697</v>
      </c>
    </row>
    <row r="1598" customFormat="false" ht="15" hidden="false" customHeight="false" outlineLevel="0" collapsed="false">
      <c r="A1598" s="15" t="s">
        <v>1655</v>
      </c>
      <c r="B1598" s="16" t="n">
        <v>45411</v>
      </c>
      <c r="C1598" s="15" t="s">
        <v>68</v>
      </c>
      <c r="D1598" s="15" t="s">
        <v>42</v>
      </c>
      <c r="E1598" s="15" t="s">
        <v>37</v>
      </c>
      <c r="F1598" s="15" t="s">
        <v>16</v>
      </c>
      <c r="G1598" s="15" t="s">
        <v>27</v>
      </c>
      <c r="H1598" s="15" t="n">
        <v>3</v>
      </c>
      <c r="I1598" s="17" t="n">
        <v>0.05</v>
      </c>
      <c r="J1598" s="18" t="n">
        <v>168.95</v>
      </c>
      <c r="K1598" s="19" t="n">
        <v>27.52</v>
      </c>
      <c r="L1598" s="15" t="n">
        <f aca="false">YEAR(B1598)</f>
        <v>2024</v>
      </c>
      <c r="M1598" s="20" t="n">
        <f aca="false">IF(J1598&gt;0,K1598/J1598,0)</f>
        <v>0.162888428529151</v>
      </c>
    </row>
    <row r="1599" customFormat="false" ht="15" hidden="false" customHeight="false" outlineLevel="0" collapsed="false">
      <c r="A1599" s="15" t="s">
        <v>1656</v>
      </c>
      <c r="B1599" s="16" t="n">
        <v>45337</v>
      </c>
      <c r="C1599" s="15" t="s">
        <v>56</v>
      </c>
      <c r="D1599" s="15" t="s">
        <v>44</v>
      </c>
      <c r="E1599" s="15" t="s">
        <v>39</v>
      </c>
      <c r="F1599" s="15" t="s">
        <v>17</v>
      </c>
      <c r="G1599" s="15" t="s">
        <v>29</v>
      </c>
      <c r="H1599" s="15" t="n">
        <v>3</v>
      </c>
      <c r="I1599" s="17" t="n">
        <v>0</v>
      </c>
      <c r="J1599" s="18" t="n">
        <v>49.19</v>
      </c>
      <c r="K1599" s="19" t="n">
        <v>21.52</v>
      </c>
      <c r="L1599" s="15" t="n">
        <f aca="false">YEAR(B1599)</f>
        <v>2024</v>
      </c>
      <c r="M1599" s="20" t="n">
        <f aca="false">IF(J1599&gt;0,K1599/J1599,0)</f>
        <v>0.437487294165481</v>
      </c>
    </row>
    <row r="1600" customFormat="false" ht="15" hidden="false" customHeight="false" outlineLevel="0" collapsed="false">
      <c r="A1600" s="15" t="s">
        <v>1657</v>
      </c>
      <c r="B1600" s="16" t="n">
        <v>45794</v>
      </c>
      <c r="C1600" s="15" t="s">
        <v>56</v>
      </c>
      <c r="D1600" s="15" t="s">
        <v>42</v>
      </c>
      <c r="E1600" s="15" t="s">
        <v>37</v>
      </c>
      <c r="F1600" s="15" t="s">
        <v>16</v>
      </c>
      <c r="G1600" s="15" t="s">
        <v>27</v>
      </c>
      <c r="H1600" s="15" t="n">
        <v>4</v>
      </c>
      <c r="I1600" s="17" t="n">
        <v>0</v>
      </c>
      <c r="J1600" s="18" t="n">
        <v>268.99</v>
      </c>
      <c r="K1600" s="19" t="n">
        <v>69.19</v>
      </c>
      <c r="L1600" s="15" t="n">
        <f aca="false">YEAR(B1600)</f>
        <v>2025</v>
      </c>
      <c r="M1600" s="20" t="n">
        <f aca="false">IF(J1600&gt;0,K1600/J1600,0)</f>
        <v>0.257221458046768</v>
      </c>
    </row>
    <row r="1601" customFormat="false" ht="15" hidden="false" customHeight="false" outlineLevel="0" collapsed="false">
      <c r="A1601" s="15" t="s">
        <v>1658</v>
      </c>
      <c r="B1601" s="16" t="n">
        <v>44954</v>
      </c>
      <c r="C1601" s="15" t="s">
        <v>68</v>
      </c>
      <c r="D1601" s="15" t="s">
        <v>42</v>
      </c>
      <c r="E1601" s="15" t="s">
        <v>39</v>
      </c>
      <c r="F1601" s="15" t="s">
        <v>17</v>
      </c>
      <c r="G1601" s="15" t="s">
        <v>28</v>
      </c>
      <c r="H1601" s="15" t="n">
        <v>3</v>
      </c>
      <c r="I1601" s="17" t="n">
        <v>0</v>
      </c>
      <c r="J1601" s="18" t="n">
        <v>74.3</v>
      </c>
      <c r="K1601" s="19" t="n">
        <v>25.46</v>
      </c>
      <c r="L1601" s="15" t="n">
        <f aca="false">YEAR(B1601)</f>
        <v>2023</v>
      </c>
      <c r="M1601" s="20" t="n">
        <f aca="false">IF(J1601&gt;0,K1601/J1601,0)</f>
        <v>0.342664872139973</v>
      </c>
    </row>
    <row r="1602" customFormat="false" ht="15" hidden="false" customHeight="false" outlineLevel="0" collapsed="false">
      <c r="A1602" s="15" t="s">
        <v>1659</v>
      </c>
      <c r="B1602" s="16" t="n">
        <v>44872</v>
      </c>
      <c r="C1602" s="15" t="s">
        <v>56</v>
      </c>
      <c r="D1602" s="15" t="s">
        <v>44</v>
      </c>
      <c r="E1602" s="15" t="s">
        <v>39</v>
      </c>
      <c r="F1602" s="15" t="s">
        <v>17</v>
      </c>
      <c r="G1602" s="15" t="s">
        <v>26</v>
      </c>
      <c r="H1602" s="15" t="n">
        <v>5</v>
      </c>
      <c r="I1602" s="17" t="n">
        <v>0</v>
      </c>
      <c r="J1602" s="18" t="n">
        <v>554.94</v>
      </c>
      <c r="K1602" s="19" t="n">
        <v>51.92</v>
      </c>
      <c r="L1602" s="15" t="n">
        <f aca="false">YEAR(B1602)</f>
        <v>2022</v>
      </c>
      <c r="M1602" s="20" t="n">
        <f aca="false">IF(J1602&gt;0,K1602/J1602,0)</f>
        <v>0.0935596641078315</v>
      </c>
    </row>
    <row r="1603" customFormat="false" ht="15" hidden="false" customHeight="false" outlineLevel="0" collapsed="false">
      <c r="A1603" s="15" t="s">
        <v>1660</v>
      </c>
      <c r="B1603" s="16" t="n">
        <v>45013</v>
      </c>
      <c r="C1603" s="15" t="s">
        <v>56</v>
      </c>
      <c r="D1603" s="15" t="s">
        <v>44</v>
      </c>
      <c r="E1603" s="15" t="s">
        <v>38</v>
      </c>
      <c r="F1603" s="15" t="s">
        <v>16</v>
      </c>
      <c r="G1603" s="15" t="s">
        <v>25</v>
      </c>
      <c r="H1603" s="15" t="n">
        <v>6</v>
      </c>
      <c r="I1603" s="17" t="n">
        <v>0.1</v>
      </c>
      <c r="J1603" s="18" t="n">
        <v>1275.04</v>
      </c>
      <c r="K1603" s="19" t="n">
        <v>20.46</v>
      </c>
      <c r="L1603" s="15" t="n">
        <f aca="false">YEAR(B1603)</f>
        <v>2023</v>
      </c>
      <c r="M1603" s="20" t="n">
        <f aca="false">IF(J1603&gt;0,K1603/J1603,0)</f>
        <v>0.0160465554021835</v>
      </c>
    </row>
    <row r="1604" customFormat="false" ht="15" hidden="false" customHeight="false" outlineLevel="0" collapsed="false">
      <c r="A1604" s="15" t="s">
        <v>1661</v>
      </c>
      <c r="B1604" s="16" t="n">
        <v>45315</v>
      </c>
      <c r="C1604" s="15" t="s">
        <v>71</v>
      </c>
      <c r="D1604" s="15" t="s">
        <v>43</v>
      </c>
      <c r="E1604" s="15" t="s">
        <v>37</v>
      </c>
      <c r="F1604" s="15" t="s">
        <v>16</v>
      </c>
      <c r="G1604" s="15" t="s">
        <v>27</v>
      </c>
      <c r="H1604" s="15" t="n">
        <v>2</v>
      </c>
      <c r="I1604" s="17" t="n">
        <v>0.05</v>
      </c>
      <c r="J1604" s="18" t="n">
        <v>114.21</v>
      </c>
      <c r="K1604" s="19" t="n">
        <v>20.82</v>
      </c>
      <c r="L1604" s="15" t="n">
        <f aca="false">YEAR(B1604)</f>
        <v>2024</v>
      </c>
      <c r="M1604" s="20" t="n">
        <f aca="false">IF(J1604&gt;0,K1604/J1604,0)</f>
        <v>0.182295770948253</v>
      </c>
    </row>
    <row r="1605" customFormat="false" ht="15" hidden="false" customHeight="false" outlineLevel="0" collapsed="false">
      <c r="A1605" s="15" t="s">
        <v>1662</v>
      </c>
      <c r="B1605" s="16" t="n">
        <v>45983</v>
      </c>
      <c r="C1605" s="15" t="s">
        <v>68</v>
      </c>
      <c r="D1605" s="15" t="s">
        <v>43</v>
      </c>
      <c r="E1605" s="15" t="s">
        <v>36</v>
      </c>
      <c r="F1605" s="15" t="s">
        <v>18</v>
      </c>
      <c r="G1605" s="15" t="s">
        <v>32</v>
      </c>
      <c r="H1605" s="15" t="n">
        <v>3</v>
      </c>
      <c r="I1605" s="17" t="n">
        <v>0.1</v>
      </c>
      <c r="J1605" s="18" t="n">
        <v>1064.83</v>
      </c>
      <c r="K1605" s="19" t="n">
        <v>147.9</v>
      </c>
      <c r="L1605" s="15" t="n">
        <f aca="false">YEAR(B1605)</f>
        <v>2025</v>
      </c>
      <c r="M1605" s="20" t="n">
        <f aca="false">IF(J1605&gt;0,K1605/J1605,0)</f>
        <v>0.138895410535015</v>
      </c>
    </row>
    <row r="1606" customFormat="false" ht="15" hidden="false" customHeight="false" outlineLevel="0" collapsed="false">
      <c r="A1606" s="15" t="s">
        <v>1663</v>
      </c>
      <c r="B1606" s="16" t="n">
        <v>44859</v>
      </c>
      <c r="C1606" s="15" t="s">
        <v>56</v>
      </c>
      <c r="D1606" s="15" t="s">
        <v>43</v>
      </c>
      <c r="E1606" s="15" t="s">
        <v>36</v>
      </c>
      <c r="F1606" s="15" t="s">
        <v>18</v>
      </c>
      <c r="G1606" s="15" t="s">
        <v>30</v>
      </c>
      <c r="H1606" s="15" t="n">
        <v>2</v>
      </c>
      <c r="I1606" s="17" t="n">
        <v>0.15</v>
      </c>
      <c r="J1606" s="18" t="n">
        <v>76.57</v>
      </c>
      <c r="K1606" s="19" t="n">
        <v>16.1</v>
      </c>
      <c r="L1606" s="15" t="n">
        <f aca="false">YEAR(B1606)</f>
        <v>2022</v>
      </c>
      <c r="M1606" s="20" t="n">
        <f aca="false">IF(J1606&gt;0,K1606/J1606,0)</f>
        <v>0.210265116886509</v>
      </c>
    </row>
    <row r="1607" customFormat="false" ht="15" hidden="false" customHeight="false" outlineLevel="0" collapsed="false">
      <c r="A1607" s="15" t="s">
        <v>1664</v>
      </c>
      <c r="B1607" s="16" t="n">
        <v>45654</v>
      </c>
      <c r="C1607" s="15" t="s">
        <v>56</v>
      </c>
      <c r="D1607" s="15" t="s">
        <v>43</v>
      </c>
      <c r="E1607" s="15" t="s">
        <v>38</v>
      </c>
      <c r="F1607" s="15" t="s">
        <v>16</v>
      </c>
      <c r="G1607" s="15" t="s">
        <v>27</v>
      </c>
      <c r="H1607" s="15" t="n">
        <v>2</v>
      </c>
      <c r="I1607" s="17" t="n">
        <v>0.1</v>
      </c>
      <c r="J1607" s="18" t="n">
        <v>109.16</v>
      </c>
      <c r="K1607" s="19" t="n">
        <v>15.89</v>
      </c>
      <c r="L1607" s="15" t="n">
        <f aca="false">YEAR(B1607)</f>
        <v>2024</v>
      </c>
      <c r="M1607" s="20" t="n">
        <f aca="false">IF(J1607&gt;0,K1607/J1607,0)</f>
        <v>0.145566141443752</v>
      </c>
    </row>
    <row r="1608" customFormat="false" ht="15" hidden="false" customHeight="false" outlineLevel="0" collapsed="false">
      <c r="A1608" s="15" t="s">
        <v>1665</v>
      </c>
      <c r="B1608" s="16" t="n">
        <v>45280</v>
      </c>
      <c r="C1608" s="15" t="s">
        <v>56</v>
      </c>
      <c r="D1608" s="15" t="s">
        <v>42</v>
      </c>
      <c r="E1608" s="15" t="s">
        <v>36</v>
      </c>
      <c r="F1608" s="15" t="s">
        <v>18</v>
      </c>
      <c r="G1608" s="15" t="s">
        <v>24</v>
      </c>
      <c r="H1608" s="15" t="n">
        <v>3</v>
      </c>
      <c r="I1608" s="17" t="n">
        <v>0.15</v>
      </c>
      <c r="J1608" s="18" t="n">
        <v>1628.13</v>
      </c>
      <c r="K1608" s="19" t="n">
        <v>-110.72</v>
      </c>
      <c r="L1608" s="15" t="n">
        <f aca="false">YEAR(B1608)</f>
        <v>2023</v>
      </c>
      <c r="M1608" s="20" t="n">
        <f aca="false">IF(J1608&gt;0,K1608/J1608,0)</f>
        <v>-0.0680043976832317</v>
      </c>
    </row>
    <row r="1609" customFormat="false" ht="15" hidden="false" customHeight="false" outlineLevel="0" collapsed="false">
      <c r="A1609" s="15" t="s">
        <v>1666</v>
      </c>
      <c r="B1609" s="16" t="n">
        <v>46017</v>
      </c>
      <c r="C1609" s="15" t="s">
        <v>71</v>
      </c>
      <c r="D1609" s="15" t="s">
        <v>43</v>
      </c>
      <c r="E1609" s="15" t="s">
        <v>39</v>
      </c>
      <c r="F1609" s="15" t="s">
        <v>17</v>
      </c>
      <c r="G1609" s="15" t="s">
        <v>28</v>
      </c>
      <c r="H1609" s="15" t="n">
        <v>8</v>
      </c>
      <c r="I1609" s="17" t="n">
        <v>0</v>
      </c>
      <c r="J1609" s="18" t="n">
        <v>238.55</v>
      </c>
      <c r="K1609" s="19" t="n">
        <v>67.48</v>
      </c>
      <c r="L1609" s="15" t="n">
        <f aca="false">YEAR(B1609)</f>
        <v>2025</v>
      </c>
      <c r="M1609" s="20" t="n">
        <f aca="false">IF(J1609&gt;0,K1609/J1609,0)</f>
        <v>0.282875707398868</v>
      </c>
    </row>
    <row r="1610" customFormat="false" ht="15" hidden="false" customHeight="false" outlineLevel="0" collapsed="false">
      <c r="A1610" s="15" t="s">
        <v>1667</v>
      </c>
      <c r="B1610" s="16" t="n">
        <v>45324</v>
      </c>
      <c r="C1610" s="15" t="s">
        <v>71</v>
      </c>
      <c r="D1610" s="15" t="s">
        <v>42</v>
      </c>
      <c r="E1610" s="15" t="s">
        <v>38</v>
      </c>
      <c r="F1610" s="15" t="s">
        <v>17</v>
      </c>
      <c r="G1610" s="15" t="s">
        <v>29</v>
      </c>
      <c r="H1610" s="15" t="n">
        <v>5</v>
      </c>
      <c r="I1610" s="17" t="n">
        <v>0.05</v>
      </c>
      <c r="J1610" s="18" t="n">
        <v>88.96</v>
      </c>
      <c r="K1610" s="19" t="n">
        <v>32.21</v>
      </c>
      <c r="L1610" s="15" t="n">
        <f aca="false">YEAR(B1610)</f>
        <v>2024</v>
      </c>
      <c r="M1610" s="20" t="n">
        <f aca="false">IF(J1610&gt;0,K1610/J1610,0)</f>
        <v>0.362072841726619</v>
      </c>
    </row>
    <row r="1611" customFormat="false" ht="15" hidden="false" customHeight="false" outlineLevel="0" collapsed="false">
      <c r="A1611" s="15" t="s">
        <v>1668</v>
      </c>
      <c r="B1611" s="16" t="n">
        <v>45903</v>
      </c>
      <c r="C1611" s="15" t="s">
        <v>56</v>
      </c>
      <c r="D1611" s="15" t="s">
        <v>42</v>
      </c>
      <c r="E1611" s="15" t="s">
        <v>36</v>
      </c>
      <c r="F1611" s="15" t="s">
        <v>16</v>
      </c>
      <c r="G1611" s="15" t="s">
        <v>27</v>
      </c>
      <c r="H1611" s="15" t="n">
        <v>3</v>
      </c>
      <c r="I1611" s="17" t="n">
        <v>0.2</v>
      </c>
      <c r="J1611" s="18" t="n">
        <v>125.28</v>
      </c>
      <c r="K1611" s="19" t="n">
        <v>3</v>
      </c>
      <c r="L1611" s="15" t="n">
        <f aca="false">YEAR(B1611)</f>
        <v>2025</v>
      </c>
      <c r="M1611" s="20" t="n">
        <f aca="false">IF(J1611&gt;0,K1611/J1611,0)</f>
        <v>0.0239463601532567</v>
      </c>
    </row>
    <row r="1612" customFormat="false" ht="15" hidden="false" customHeight="false" outlineLevel="0" collapsed="false">
      <c r="A1612" s="15" t="s">
        <v>1669</v>
      </c>
      <c r="B1612" s="16" t="n">
        <v>45987</v>
      </c>
      <c r="C1612" s="15" t="s">
        <v>56</v>
      </c>
      <c r="D1612" s="15" t="s">
        <v>43</v>
      </c>
      <c r="E1612" s="15" t="s">
        <v>39</v>
      </c>
      <c r="F1612" s="15" t="s">
        <v>17</v>
      </c>
      <c r="G1612" s="15" t="s">
        <v>29</v>
      </c>
      <c r="H1612" s="15" t="n">
        <v>5</v>
      </c>
      <c r="I1612" s="17" t="n">
        <v>0.2</v>
      </c>
      <c r="J1612" s="18" t="n">
        <v>79.19</v>
      </c>
      <c r="K1612" s="19" t="n">
        <v>18.28</v>
      </c>
      <c r="L1612" s="15" t="n">
        <f aca="false">YEAR(B1612)</f>
        <v>2025</v>
      </c>
      <c r="M1612" s="20" t="n">
        <f aca="false">IF(J1612&gt;0,K1612/J1612,0)</f>
        <v>0.230837226922591</v>
      </c>
    </row>
    <row r="1613" customFormat="false" ht="15" hidden="false" customHeight="false" outlineLevel="0" collapsed="false">
      <c r="A1613" s="15" t="s">
        <v>1670</v>
      </c>
      <c r="B1613" s="16" t="n">
        <v>45158</v>
      </c>
      <c r="C1613" s="15" t="s">
        <v>56</v>
      </c>
      <c r="D1613" s="15" t="s">
        <v>43</v>
      </c>
      <c r="E1613" s="15" t="s">
        <v>36</v>
      </c>
      <c r="F1613" s="15" t="s">
        <v>17</v>
      </c>
      <c r="G1613" s="15" t="s">
        <v>29</v>
      </c>
      <c r="H1613" s="15" t="n">
        <v>5</v>
      </c>
      <c r="I1613" s="17" t="n">
        <v>0</v>
      </c>
      <c r="J1613" s="18" t="n">
        <v>85.33</v>
      </c>
      <c r="K1613" s="19" t="n">
        <v>28.37</v>
      </c>
      <c r="L1613" s="15" t="n">
        <f aca="false">YEAR(B1613)</f>
        <v>2023</v>
      </c>
      <c r="M1613" s="20" t="n">
        <f aca="false">IF(J1613&gt;0,K1613/J1613,0)</f>
        <v>0.332473924762686</v>
      </c>
    </row>
    <row r="1614" customFormat="false" ht="15" hidden="false" customHeight="false" outlineLevel="0" collapsed="false">
      <c r="A1614" s="15" t="s">
        <v>1671</v>
      </c>
      <c r="B1614" s="16" t="n">
        <v>45153</v>
      </c>
      <c r="C1614" s="15" t="s">
        <v>56</v>
      </c>
      <c r="D1614" s="15" t="s">
        <v>44</v>
      </c>
      <c r="E1614" s="15" t="s">
        <v>36</v>
      </c>
      <c r="F1614" s="15" t="s">
        <v>18</v>
      </c>
      <c r="G1614" s="15" t="s">
        <v>30</v>
      </c>
      <c r="H1614" s="15" t="n">
        <v>4</v>
      </c>
      <c r="I1614" s="17" t="n">
        <v>0</v>
      </c>
      <c r="J1614" s="18" t="n">
        <v>140.11</v>
      </c>
      <c r="K1614" s="19" t="n">
        <v>40.86</v>
      </c>
      <c r="L1614" s="15" t="n">
        <f aca="false">YEAR(B1614)</f>
        <v>2023</v>
      </c>
      <c r="M1614" s="20" t="n">
        <f aca="false">IF(J1614&gt;0,K1614/J1614,0)</f>
        <v>0.291628006566269</v>
      </c>
    </row>
    <row r="1615" customFormat="false" ht="15" hidden="false" customHeight="false" outlineLevel="0" collapsed="false">
      <c r="A1615" s="15" t="s">
        <v>1672</v>
      </c>
      <c r="B1615" s="16" t="n">
        <v>45929</v>
      </c>
      <c r="C1615" s="15" t="s">
        <v>68</v>
      </c>
      <c r="D1615" s="15" t="s">
        <v>42</v>
      </c>
      <c r="E1615" s="15" t="s">
        <v>39</v>
      </c>
      <c r="F1615" s="15" t="s">
        <v>16</v>
      </c>
      <c r="G1615" s="15" t="s">
        <v>27</v>
      </c>
      <c r="H1615" s="15" t="n">
        <v>2</v>
      </c>
      <c r="I1615" s="17" t="n">
        <v>0.1</v>
      </c>
      <c r="J1615" s="18" t="n">
        <v>117.32</v>
      </c>
      <c r="K1615" s="19" t="n">
        <v>16.56</v>
      </c>
      <c r="L1615" s="15" t="n">
        <f aca="false">YEAR(B1615)</f>
        <v>2025</v>
      </c>
      <c r="M1615" s="20" t="n">
        <f aca="false">IF(J1615&gt;0,K1615/J1615,0)</f>
        <v>0.141152403682237</v>
      </c>
    </row>
    <row r="1616" customFormat="false" ht="15" hidden="false" customHeight="false" outlineLevel="0" collapsed="false">
      <c r="A1616" s="15" t="s">
        <v>1673</v>
      </c>
      <c r="B1616" s="16" t="n">
        <v>44733</v>
      </c>
      <c r="C1616" s="15" t="s">
        <v>56</v>
      </c>
      <c r="D1616" s="15" t="s">
        <v>43</v>
      </c>
      <c r="E1616" s="15" t="s">
        <v>37</v>
      </c>
      <c r="F1616" s="15" t="s">
        <v>17</v>
      </c>
      <c r="G1616" s="15" t="s">
        <v>29</v>
      </c>
      <c r="H1616" s="15" t="n">
        <v>3</v>
      </c>
      <c r="I1616" s="17" t="n">
        <v>0.15</v>
      </c>
      <c r="J1616" s="18" t="n">
        <v>48.28</v>
      </c>
      <c r="K1616" s="19" t="n">
        <v>12.86</v>
      </c>
      <c r="L1616" s="15" t="n">
        <f aca="false">YEAR(B1616)</f>
        <v>2022</v>
      </c>
      <c r="M1616" s="20" t="n">
        <f aca="false">IF(J1616&gt;0,K1616/J1616,0)</f>
        <v>0.266362883181442</v>
      </c>
    </row>
    <row r="1617" customFormat="false" ht="15" hidden="false" customHeight="false" outlineLevel="0" collapsed="false">
      <c r="A1617" s="15" t="s">
        <v>1674</v>
      </c>
      <c r="B1617" s="16" t="n">
        <v>45525</v>
      </c>
      <c r="C1617" s="15" t="s">
        <v>56</v>
      </c>
      <c r="D1617" s="15" t="s">
        <v>42</v>
      </c>
      <c r="E1617" s="15" t="s">
        <v>37</v>
      </c>
      <c r="F1617" s="15" t="s">
        <v>17</v>
      </c>
      <c r="G1617" s="15" t="s">
        <v>31</v>
      </c>
      <c r="H1617" s="15" t="n">
        <v>6</v>
      </c>
      <c r="I1617" s="17" t="n">
        <v>0</v>
      </c>
      <c r="J1617" s="18" t="n">
        <v>770.28</v>
      </c>
      <c r="K1617" s="19" t="n">
        <v>177.22</v>
      </c>
      <c r="L1617" s="15" t="n">
        <f aca="false">YEAR(B1617)</f>
        <v>2024</v>
      </c>
      <c r="M1617" s="20" t="n">
        <f aca="false">IF(J1617&gt;0,K1617/J1617,0)</f>
        <v>0.230072181544373</v>
      </c>
    </row>
    <row r="1618" customFormat="false" ht="15" hidden="false" customHeight="false" outlineLevel="0" collapsed="false">
      <c r="A1618" s="15" t="s">
        <v>1675</v>
      </c>
      <c r="B1618" s="16" t="n">
        <v>45269</v>
      </c>
      <c r="C1618" s="15" t="s">
        <v>56</v>
      </c>
      <c r="D1618" s="15" t="s">
        <v>44</v>
      </c>
      <c r="E1618" s="15" t="s">
        <v>37</v>
      </c>
      <c r="F1618" s="15" t="s">
        <v>17</v>
      </c>
      <c r="G1618" s="15" t="s">
        <v>29</v>
      </c>
      <c r="H1618" s="15" t="n">
        <v>2</v>
      </c>
      <c r="I1618" s="17" t="n">
        <v>0</v>
      </c>
      <c r="J1618" s="18" t="n">
        <v>45.17</v>
      </c>
      <c r="K1618" s="19" t="n">
        <v>16.94</v>
      </c>
      <c r="L1618" s="15" t="n">
        <f aca="false">YEAR(B1618)</f>
        <v>2023</v>
      </c>
      <c r="M1618" s="20" t="n">
        <f aca="false">IF(J1618&gt;0,K1618/J1618,0)</f>
        <v>0.375027673234448</v>
      </c>
    </row>
    <row r="1619" customFormat="false" ht="15" hidden="false" customHeight="false" outlineLevel="0" collapsed="false">
      <c r="A1619" s="15" t="s">
        <v>1676</v>
      </c>
      <c r="B1619" s="16" t="n">
        <v>45903</v>
      </c>
      <c r="C1619" s="15" t="s">
        <v>56</v>
      </c>
      <c r="D1619" s="15" t="s">
        <v>43</v>
      </c>
      <c r="E1619" s="15" t="s">
        <v>36</v>
      </c>
      <c r="F1619" s="15" t="s">
        <v>17</v>
      </c>
      <c r="G1619" s="15" t="s">
        <v>29</v>
      </c>
      <c r="H1619" s="15" t="n">
        <v>1</v>
      </c>
      <c r="I1619" s="17" t="n">
        <v>0.2</v>
      </c>
      <c r="J1619" s="18" t="n">
        <v>14.53</v>
      </c>
      <c r="K1619" s="19" t="n">
        <v>3.32</v>
      </c>
      <c r="L1619" s="15" t="n">
        <f aca="false">YEAR(B1619)</f>
        <v>2025</v>
      </c>
      <c r="M1619" s="20" t="n">
        <f aca="false">IF(J1619&gt;0,K1619/J1619,0)</f>
        <v>0.22849277357192</v>
      </c>
    </row>
    <row r="1620" customFormat="false" ht="15" hidden="false" customHeight="false" outlineLevel="0" collapsed="false">
      <c r="A1620" s="15" t="s">
        <v>1677</v>
      </c>
      <c r="B1620" s="16" t="n">
        <v>45281</v>
      </c>
      <c r="C1620" s="15" t="s">
        <v>56</v>
      </c>
      <c r="D1620" s="15" t="s">
        <v>42</v>
      </c>
      <c r="E1620" s="15" t="s">
        <v>37</v>
      </c>
      <c r="F1620" s="15" t="s">
        <v>16</v>
      </c>
      <c r="G1620" s="15" t="s">
        <v>25</v>
      </c>
      <c r="H1620" s="15" t="n">
        <v>4</v>
      </c>
      <c r="I1620" s="17" t="n">
        <v>0.2</v>
      </c>
      <c r="J1620" s="18" t="n">
        <v>896.84</v>
      </c>
      <c r="K1620" s="19" t="n">
        <v>-20.75</v>
      </c>
      <c r="L1620" s="15" t="n">
        <f aca="false">YEAR(B1620)</f>
        <v>2023</v>
      </c>
      <c r="M1620" s="20" t="n">
        <f aca="false">IF(J1620&gt;0,K1620/J1620,0)</f>
        <v>-0.0231367914009188</v>
      </c>
    </row>
    <row r="1621" customFormat="false" ht="15" hidden="false" customHeight="false" outlineLevel="0" collapsed="false">
      <c r="A1621" s="15" t="s">
        <v>1678</v>
      </c>
      <c r="B1621" s="16" t="n">
        <v>45258</v>
      </c>
      <c r="C1621" s="15" t="s">
        <v>56</v>
      </c>
      <c r="D1621" s="15" t="s">
        <v>42</v>
      </c>
      <c r="E1621" s="15" t="s">
        <v>36</v>
      </c>
      <c r="F1621" s="15" t="s">
        <v>17</v>
      </c>
      <c r="G1621" s="15" t="s">
        <v>31</v>
      </c>
      <c r="H1621" s="15" t="n">
        <v>5</v>
      </c>
      <c r="I1621" s="17" t="n">
        <v>0.4</v>
      </c>
      <c r="J1621" s="18" t="n">
        <v>315.84</v>
      </c>
      <c r="K1621" s="19" t="n">
        <v>-45.83</v>
      </c>
      <c r="L1621" s="15" t="n">
        <f aca="false">YEAR(B1621)</f>
        <v>2023</v>
      </c>
      <c r="M1621" s="20" t="n">
        <f aca="false">IF(J1621&gt;0,K1621/J1621,0)</f>
        <v>-0.145105116514691</v>
      </c>
    </row>
    <row r="1622" customFormat="false" ht="15" hidden="false" customHeight="false" outlineLevel="0" collapsed="false">
      <c r="A1622" s="15" t="s">
        <v>1679</v>
      </c>
      <c r="B1622" s="16" t="n">
        <v>46001</v>
      </c>
      <c r="C1622" s="15" t="s">
        <v>71</v>
      </c>
      <c r="D1622" s="15" t="s">
        <v>43</v>
      </c>
      <c r="E1622" s="15" t="s">
        <v>37</v>
      </c>
      <c r="F1622" s="15" t="s">
        <v>17</v>
      </c>
      <c r="G1622" s="15" t="s">
        <v>26</v>
      </c>
      <c r="H1622" s="15" t="n">
        <v>5</v>
      </c>
      <c r="I1622" s="17" t="n">
        <v>0.4</v>
      </c>
      <c r="J1622" s="18" t="n">
        <v>239.24</v>
      </c>
      <c r="K1622" s="19" t="n">
        <v>-47.63</v>
      </c>
      <c r="L1622" s="15" t="n">
        <f aca="false">YEAR(B1622)</f>
        <v>2025</v>
      </c>
      <c r="M1622" s="20" t="n">
        <f aca="false">IF(J1622&gt;0,K1622/J1622,0)</f>
        <v>-0.199088781140278</v>
      </c>
    </row>
    <row r="1623" customFormat="false" ht="15" hidden="false" customHeight="false" outlineLevel="0" collapsed="false">
      <c r="A1623" s="15" t="s">
        <v>1680</v>
      </c>
      <c r="B1623" s="16" t="n">
        <v>45655</v>
      </c>
      <c r="C1623" s="15" t="s">
        <v>56</v>
      </c>
      <c r="D1623" s="15" t="s">
        <v>44</v>
      </c>
      <c r="E1623" s="15" t="s">
        <v>39</v>
      </c>
      <c r="F1623" s="15" t="s">
        <v>16</v>
      </c>
      <c r="G1623" s="15" t="s">
        <v>27</v>
      </c>
      <c r="H1623" s="15" t="n">
        <v>4</v>
      </c>
      <c r="I1623" s="17" t="n">
        <v>0</v>
      </c>
      <c r="J1623" s="18" t="n">
        <v>270.26</v>
      </c>
      <c r="K1623" s="19" t="n">
        <v>80.29</v>
      </c>
      <c r="L1623" s="15" t="n">
        <f aca="false">YEAR(B1623)</f>
        <v>2024</v>
      </c>
      <c r="M1623" s="20" t="n">
        <f aca="false">IF(J1623&gt;0,K1623/J1623,0)</f>
        <v>0.29708428920299</v>
      </c>
    </row>
    <row r="1624" customFormat="false" ht="15" hidden="false" customHeight="false" outlineLevel="0" collapsed="false">
      <c r="A1624" s="15" t="s">
        <v>1681</v>
      </c>
      <c r="B1624" s="16" t="n">
        <v>44889</v>
      </c>
      <c r="C1624" s="15" t="s">
        <v>56</v>
      </c>
      <c r="D1624" s="15" t="s">
        <v>43</v>
      </c>
      <c r="E1624" s="15" t="s">
        <v>39</v>
      </c>
      <c r="F1624" s="15" t="s">
        <v>17</v>
      </c>
      <c r="G1624" s="15" t="s">
        <v>26</v>
      </c>
      <c r="H1624" s="15" t="n">
        <v>5</v>
      </c>
      <c r="I1624" s="17" t="n">
        <v>0</v>
      </c>
      <c r="J1624" s="18" t="n">
        <v>501.91</v>
      </c>
      <c r="K1624" s="19" t="n">
        <v>99.46</v>
      </c>
      <c r="L1624" s="15" t="n">
        <f aca="false">YEAR(B1624)</f>
        <v>2022</v>
      </c>
      <c r="M1624" s="20" t="n">
        <f aca="false">IF(J1624&gt;0,K1624/J1624,0)</f>
        <v>0.198163017274013</v>
      </c>
    </row>
    <row r="1625" customFormat="false" ht="15" hidden="false" customHeight="false" outlineLevel="0" collapsed="false">
      <c r="A1625" s="15" t="s">
        <v>1682</v>
      </c>
      <c r="B1625" s="16" t="n">
        <v>45379</v>
      </c>
      <c r="C1625" s="15" t="s">
        <v>71</v>
      </c>
      <c r="D1625" s="15" t="s">
        <v>44</v>
      </c>
      <c r="E1625" s="15" t="s">
        <v>37</v>
      </c>
      <c r="F1625" s="15" t="s">
        <v>17</v>
      </c>
      <c r="G1625" s="15" t="s">
        <v>29</v>
      </c>
      <c r="H1625" s="15" t="n">
        <v>3</v>
      </c>
      <c r="I1625" s="17" t="n">
        <v>0</v>
      </c>
      <c r="J1625" s="18" t="n">
        <v>46.76</v>
      </c>
      <c r="K1625" s="19" t="n">
        <v>17.8</v>
      </c>
      <c r="L1625" s="15" t="n">
        <f aca="false">YEAR(B1625)</f>
        <v>2024</v>
      </c>
      <c r="M1625" s="20" t="n">
        <f aca="false">IF(J1625&gt;0,K1625/J1625,0)</f>
        <v>0.380667236954662</v>
      </c>
    </row>
    <row r="1626" customFormat="false" ht="15" hidden="false" customHeight="false" outlineLevel="0" collapsed="false">
      <c r="A1626" s="15" t="s">
        <v>1683</v>
      </c>
      <c r="B1626" s="16" t="n">
        <v>46016</v>
      </c>
      <c r="C1626" s="15" t="s">
        <v>56</v>
      </c>
      <c r="D1626" s="15" t="s">
        <v>43</v>
      </c>
      <c r="E1626" s="15" t="s">
        <v>36</v>
      </c>
      <c r="F1626" s="15" t="s">
        <v>16</v>
      </c>
      <c r="G1626" s="15" t="s">
        <v>27</v>
      </c>
      <c r="H1626" s="15" t="n">
        <v>5</v>
      </c>
      <c r="I1626" s="17" t="n">
        <v>0</v>
      </c>
      <c r="J1626" s="18" t="n">
        <v>270.09</v>
      </c>
      <c r="K1626" s="19" t="n">
        <v>61.21</v>
      </c>
      <c r="L1626" s="15" t="n">
        <f aca="false">YEAR(B1626)</f>
        <v>2025</v>
      </c>
      <c r="M1626" s="20" t="n">
        <f aca="false">IF(J1626&gt;0,K1626/J1626,0)</f>
        <v>0.226628160983376</v>
      </c>
    </row>
    <row r="1627" customFormat="false" ht="15" hidden="false" customHeight="false" outlineLevel="0" collapsed="false">
      <c r="A1627" s="15" t="s">
        <v>1684</v>
      </c>
      <c r="B1627" s="16" t="n">
        <v>45218</v>
      </c>
      <c r="C1627" s="15" t="s">
        <v>56</v>
      </c>
      <c r="D1627" s="15" t="s">
        <v>42</v>
      </c>
      <c r="E1627" s="15" t="s">
        <v>39</v>
      </c>
      <c r="F1627" s="15" t="s">
        <v>17</v>
      </c>
      <c r="G1627" s="15" t="s">
        <v>29</v>
      </c>
      <c r="H1627" s="15" t="n">
        <v>3</v>
      </c>
      <c r="I1627" s="17" t="n">
        <v>0.1</v>
      </c>
      <c r="J1627" s="18" t="n">
        <v>40.57</v>
      </c>
      <c r="K1627" s="19" t="n">
        <v>10.54</v>
      </c>
      <c r="L1627" s="15" t="n">
        <f aca="false">YEAR(B1627)</f>
        <v>2023</v>
      </c>
      <c r="M1627" s="20" t="n">
        <f aca="false">IF(J1627&gt;0,K1627/J1627,0)</f>
        <v>0.25979788020705</v>
      </c>
    </row>
    <row r="1628" customFormat="false" ht="15" hidden="false" customHeight="false" outlineLevel="0" collapsed="false">
      <c r="A1628" s="15" t="s">
        <v>1685</v>
      </c>
      <c r="B1628" s="16" t="n">
        <v>44731</v>
      </c>
      <c r="C1628" s="15" t="s">
        <v>56</v>
      </c>
      <c r="D1628" s="15" t="s">
        <v>42</v>
      </c>
      <c r="E1628" s="15" t="s">
        <v>39</v>
      </c>
      <c r="F1628" s="15" t="s">
        <v>17</v>
      </c>
      <c r="G1628" s="15" t="s">
        <v>28</v>
      </c>
      <c r="H1628" s="15" t="n">
        <v>9</v>
      </c>
      <c r="I1628" s="17" t="n">
        <v>0</v>
      </c>
      <c r="J1628" s="18" t="n">
        <v>215.59</v>
      </c>
      <c r="K1628" s="19" t="n">
        <v>71.9</v>
      </c>
      <c r="L1628" s="15" t="n">
        <f aca="false">YEAR(B1628)</f>
        <v>2022</v>
      </c>
      <c r="M1628" s="20" t="n">
        <f aca="false">IF(J1628&gt;0,K1628/J1628,0)</f>
        <v>0.333503409249038</v>
      </c>
    </row>
    <row r="1629" customFormat="false" ht="15" hidden="false" customHeight="false" outlineLevel="0" collapsed="false">
      <c r="A1629" s="15" t="s">
        <v>1686</v>
      </c>
      <c r="B1629" s="16" t="n">
        <v>44818</v>
      </c>
      <c r="C1629" s="15" t="s">
        <v>71</v>
      </c>
      <c r="D1629" s="15" t="s">
        <v>42</v>
      </c>
      <c r="E1629" s="15" t="s">
        <v>36</v>
      </c>
      <c r="F1629" s="15" t="s">
        <v>17</v>
      </c>
      <c r="G1629" s="15" t="s">
        <v>26</v>
      </c>
      <c r="H1629" s="15" t="n">
        <v>1</v>
      </c>
      <c r="I1629" s="17" t="n">
        <v>0</v>
      </c>
      <c r="J1629" s="18" t="n">
        <v>92.14</v>
      </c>
      <c r="K1629" s="19" t="n">
        <v>10.38</v>
      </c>
      <c r="L1629" s="15" t="n">
        <f aca="false">YEAR(B1629)</f>
        <v>2022</v>
      </c>
      <c r="M1629" s="20" t="n">
        <f aca="false">IF(J1629&gt;0,K1629/J1629,0)</f>
        <v>0.112654655958324</v>
      </c>
    </row>
    <row r="1630" customFormat="false" ht="15" hidden="false" customHeight="false" outlineLevel="0" collapsed="false">
      <c r="A1630" s="15" t="s">
        <v>1687</v>
      </c>
      <c r="B1630" s="16" t="n">
        <v>44680</v>
      </c>
      <c r="C1630" s="15" t="s">
        <v>68</v>
      </c>
      <c r="D1630" s="15" t="s">
        <v>42</v>
      </c>
      <c r="E1630" s="15" t="s">
        <v>37</v>
      </c>
      <c r="F1630" s="15" t="s">
        <v>18</v>
      </c>
      <c r="G1630" s="15" t="s">
        <v>30</v>
      </c>
      <c r="H1630" s="15" t="n">
        <v>4</v>
      </c>
      <c r="I1630" s="17" t="n">
        <v>0.05</v>
      </c>
      <c r="J1630" s="18" t="n">
        <v>173.65</v>
      </c>
      <c r="K1630" s="19" t="n">
        <v>58.7</v>
      </c>
      <c r="L1630" s="15" t="n">
        <f aca="false">YEAR(B1630)</f>
        <v>2022</v>
      </c>
      <c r="M1630" s="20" t="n">
        <f aca="false">IF(J1630&gt;0,K1630/J1630,0)</f>
        <v>0.338036279873308</v>
      </c>
    </row>
    <row r="1631" customFormat="false" ht="15" hidden="false" customHeight="false" outlineLevel="0" collapsed="false">
      <c r="A1631" s="15" t="s">
        <v>1688</v>
      </c>
      <c r="B1631" s="16" t="n">
        <v>44660</v>
      </c>
      <c r="C1631" s="15" t="s">
        <v>68</v>
      </c>
      <c r="D1631" s="15" t="s">
        <v>43</v>
      </c>
      <c r="E1631" s="15" t="s">
        <v>38</v>
      </c>
      <c r="F1631" s="15" t="s">
        <v>18</v>
      </c>
      <c r="G1631" s="15" t="s">
        <v>30</v>
      </c>
      <c r="H1631" s="15" t="n">
        <v>5</v>
      </c>
      <c r="I1631" s="17" t="n">
        <v>0.5</v>
      </c>
      <c r="J1631" s="18" t="n">
        <v>102</v>
      </c>
      <c r="K1631" s="19" t="n">
        <v>-13.7</v>
      </c>
      <c r="L1631" s="15" t="n">
        <f aca="false">YEAR(B1631)</f>
        <v>2022</v>
      </c>
      <c r="M1631" s="20" t="n">
        <f aca="false">IF(J1631&gt;0,K1631/J1631,0)</f>
        <v>-0.134313725490196</v>
      </c>
    </row>
    <row r="1632" customFormat="false" ht="15" hidden="false" customHeight="false" outlineLevel="0" collapsed="false">
      <c r="A1632" s="15" t="s">
        <v>1689</v>
      </c>
      <c r="B1632" s="16" t="n">
        <v>45916</v>
      </c>
      <c r="C1632" s="15" t="s">
        <v>56</v>
      </c>
      <c r="D1632" s="15" t="s">
        <v>42</v>
      </c>
      <c r="E1632" s="15" t="s">
        <v>39</v>
      </c>
      <c r="F1632" s="15" t="s">
        <v>17</v>
      </c>
      <c r="G1632" s="15" t="s">
        <v>29</v>
      </c>
      <c r="H1632" s="15" t="n">
        <v>5</v>
      </c>
      <c r="I1632" s="17" t="n">
        <v>0.05</v>
      </c>
      <c r="J1632" s="18" t="n">
        <v>81.37</v>
      </c>
      <c r="K1632" s="19" t="n">
        <v>28.82</v>
      </c>
      <c r="L1632" s="15" t="n">
        <f aca="false">YEAR(B1632)</f>
        <v>2025</v>
      </c>
      <c r="M1632" s="20" t="n">
        <f aca="false">IF(J1632&gt;0,K1632/J1632,0)</f>
        <v>0.354184588914833</v>
      </c>
    </row>
    <row r="1633" customFormat="false" ht="15" hidden="false" customHeight="false" outlineLevel="0" collapsed="false">
      <c r="A1633" s="15" t="s">
        <v>1690</v>
      </c>
      <c r="B1633" s="16" t="n">
        <v>45493</v>
      </c>
      <c r="C1633" s="15" t="s">
        <v>56</v>
      </c>
      <c r="D1633" s="15" t="s">
        <v>43</v>
      </c>
      <c r="E1633" s="15" t="s">
        <v>39</v>
      </c>
      <c r="F1633" s="15" t="s">
        <v>18</v>
      </c>
      <c r="G1633" s="15" t="s">
        <v>24</v>
      </c>
      <c r="H1633" s="15" t="n">
        <v>1</v>
      </c>
      <c r="I1633" s="17" t="n">
        <v>0</v>
      </c>
      <c r="J1633" s="18" t="n">
        <v>877.14</v>
      </c>
      <c r="K1633" s="19" t="n">
        <v>24.71</v>
      </c>
      <c r="L1633" s="15" t="n">
        <f aca="false">YEAR(B1633)</f>
        <v>2024</v>
      </c>
      <c r="M1633" s="20" t="n">
        <f aca="false">IF(J1633&gt;0,K1633/J1633,0)</f>
        <v>0.0281711015345327</v>
      </c>
    </row>
    <row r="1634" customFormat="false" ht="15" hidden="false" customHeight="false" outlineLevel="0" collapsed="false">
      <c r="A1634" s="15" t="s">
        <v>1691</v>
      </c>
      <c r="B1634" s="16" t="n">
        <v>45920</v>
      </c>
      <c r="C1634" s="15" t="s">
        <v>56</v>
      </c>
      <c r="D1634" s="15" t="s">
        <v>42</v>
      </c>
      <c r="E1634" s="15" t="s">
        <v>37</v>
      </c>
      <c r="F1634" s="15" t="s">
        <v>17</v>
      </c>
      <c r="G1634" s="15" t="s">
        <v>26</v>
      </c>
      <c r="H1634" s="15" t="n">
        <v>3</v>
      </c>
      <c r="I1634" s="17" t="n">
        <v>0.1</v>
      </c>
      <c r="J1634" s="18" t="n">
        <v>287.04</v>
      </c>
      <c r="K1634" s="19" t="n">
        <v>10.38</v>
      </c>
      <c r="L1634" s="15" t="n">
        <f aca="false">YEAR(B1634)</f>
        <v>2025</v>
      </c>
      <c r="M1634" s="20" t="n">
        <f aca="false">IF(J1634&gt;0,K1634/J1634,0)</f>
        <v>0.0361622073578595</v>
      </c>
    </row>
    <row r="1635" customFormat="false" ht="15" hidden="false" customHeight="false" outlineLevel="0" collapsed="false">
      <c r="A1635" s="15" t="s">
        <v>1692</v>
      </c>
      <c r="B1635" s="16" t="n">
        <v>45547</v>
      </c>
      <c r="C1635" s="15" t="s">
        <v>68</v>
      </c>
      <c r="D1635" s="15" t="s">
        <v>42</v>
      </c>
      <c r="E1635" s="15" t="s">
        <v>39</v>
      </c>
      <c r="F1635" s="15" t="s">
        <v>18</v>
      </c>
      <c r="G1635" s="15" t="s">
        <v>32</v>
      </c>
      <c r="H1635" s="15" t="n">
        <v>5</v>
      </c>
      <c r="I1635" s="17" t="n">
        <v>0.4</v>
      </c>
      <c r="J1635" s="18" t="n">
        <v>1438.41</v>
      </c>
      <c r="K1635" s="19" t="n">
        <v>-222.7</v>
      </c>
      <c r="L1635" s="15" t="n">
        <f aca="false">YEAR(B1635)</f>
        <v>2024</v>
      </c>
      <c r="M1635" s="20" t="n">
        <f aca="false">IF(J1635&gt;0,K1635/J1635,0)</f>
        <v>-0.154823728978525</v>
      </c>
    </row>
    <row r="1636" customFormat="false" ht="15" hidden="false" customHeight="false" outlineLevel="0" collapsed="false">
      <c r="A1636" s="15" t="s">
        <v>1693</v>
      </c>
      <c r="B1636" s="16" t="n">
        <v>45701</v>
      </c>
      <c r="C1636" s="15" t="s">
        <v>56</v>
      </c>
      <c r="D1636" s="15" t="s">
        <v>43</v>
      </c>
      <c r="E1636" s="15" t="s">
        <v>39</v>
      </c>
      <c r="F1636" s="15" t="s">
        <v>18</v>
      </c>
      <c r="G1636" s="15" t="s">
        <v>30</v>
      </c>
      <c r="H1636" s="15" t="n">
        <v>1</v>
      </c>
      <c r="I1636" s="17" t="n">
        <v>0.2</v>
      </c>
      <c r="J1636" s="18" t="n">
        <v>39.34</v>
      </c>
      <c r="K1636" s="19" t="n">
        <v>5.72</v>
      </c>
      <c r="L1636" s="15" t="n">
        <f aca="false">YEAR(B1636)</f>
        <v>2025</v>
      </c>
      <c r="M1636" s="20" t="n">
        <f aca="false">IF(J1636&gt;0,K1636/J1636,0)</f>
        <v>0.145399084900864</v>
      </c>
    </row>
    <row r="1637" customFormat="false" ht="15" hidden="false" customHeight="false" outlineLevel="0" collapsed="false">
      <c r="A1637" s="15" t="s">
        <v>1694</v>
      </c>
      <c r="B1637" s="16" t="n">
        <v>45428</v>
      </c>
      <c r="C1637" s="15" t="s">
        <v>56</v>
      </c>
      <c r="D1637" s="15" t="s">
        <v>42</v>
      </c>
      <c r="E1637" s="15" t="s">
        <v>39</v>
      </c>
      <c r="F1637" s="15" t="s">
        <v>17</v>
      </c>
      <c r="G1637" s="15" t="s">
        <v>26</v>
      </c>
      <c r="H1637" s="15" t="n">
        <v>4</v>
      </c>
      <c r="I1637" s="17" t="n">
        <v>0</v>
      </c>
      <c r="J1637" s="18" t="n">
        <v>336.98</v>
      </c>
      <c r="K1637" s="19" t="n">
        <v>47.87</v>
      </c>
      <c r="L1637" s="15" t="n">
        <f aca="false">YEAR(B1637)</f>
        <v>2024</v>
      </c>
      <c r="M1637" s="20" t="n">
        <f aca="false">IF(J1637&gt;0,K1637/J1637,0)</f>
        <v>0.142055908362514</v>
      </c>
    </row>
    <row r="1638" customFormat="false" ht="15" hidden="false" customHeight="false" outlineLevel="0" collapsed="false">
      <c r="A1638" s="15" t="s">
        <v>1695</v>
      </c>
      <c r="B1638" s="16" t="n">
        <v>45609</v>
      </c>
      <c r="C1638" s="15" t="s">
        <v>56</v>
      </c>
      <c r="D1638" s="15" t="s">
        <v>43</v>
      </c>
      <c r="E1638" s="15" t="s">
        <v>37</v>
      </c>
      <c r="F1638" s="15" t="s">
        <v>18</v>
      </c>
      <c r="G1638" s="15" t="s">
        <v>33</v>
      </c>
      <c r="H1638" s="15" t="n">
        <v>5</v>
      </c>
      <c r="I1638" s="17" t="n">
        <v>0.05</v>
      </c>
      <c r="J1638" s="18" t="n">
        <v>5122.63</v>
      </c>
      <c r="K1638" s="19" t="n">
        <v>1395.43</v>
      </c>
      <c r="L1638" s="15" t="n">
        <f aca="false">YEAR(B1638)</f>
        <v>2024</v>
      </c>
      <c r="M1638" s="20" t="n">
        <f aca="false">IF(J1638&gt;0,K1638/J1638,0)</f>
        <v>0.272404995090413</v>
      </c>
    </row>
    <row r="1639" customFormat="false" ht="15" hidden="false" customHeight="false" outlineLevel="0" collapsed="false">
      <c r="A1639" s="15" t="s">
        <v>1696</v>
      </c>
      <c r="B1639" s="16" t="n">
        <v>45728</v>
      </c>
      <c r="C1639" s="15" t="s">
        <v>56</v>
      </c>
      <c r="D1639" s="15" t="s">
        <v>43</v>
      </c>
      <c r="E1639" s="15" t="s">
        <v>39</v>
      </c>
      <c r="F1639" s="15" t="s">
        <v>17</v>
      </c>
      <c r="G1639" s="15" t="s">
        <v>28</v>
      </c>
      <c r="H1639" s="15" t="n">
        <v>3</v>
      </c>
      <c r="I1639" s="17" t="n">
        <v>0</v>
      </c>
      <c r="J1639" s="18" t="n">
        <v>65.82</v>
      </c>
      <c r="K1639" s="19" t="n">
        <v>19.88</v>
      </c>
      <c r="L1639" s="15" t="n">
        <f aca="false">YEAR(B1639)</f>
        <v>2025</v>
      </c>
      <c r="M1639" s="20" t="n">
        <f aca="false">IF(J1639&gt;0,K1639/J1639,0)</f>
        <v>0.302035855363112</v>
      </c>
    </row>
    <row r="1640" customFormat="false" ht="15" hidden="false" customHeight="false" outlineLevel="0" collapsed="false">
      <c r="A1640" s="15" t="s">
        <v>1697</v>
      </c>
      <c r="B1640" s="16" t="n">
        <v>45317</v>
      </c>
      <c r="C1640" s="15" t="s">
        <v>56</v>
      </c>
      <c r="D1640" s="15" t="s">
        <v>42</v>
      </c>
      <c r="E1640" s="15" t="s">
        <v>39</v>
      </c>
      <c r="F1640" s="15" t="s">
        <v>17</v>
      </c>
      <c r="G1640" s="15" t="s">
        <v>31</v>
      </c>
      <c r="H1640" s="15" t="n">
        <v>4</v>
      </c>
      <c r="I1640" s="17" t="n">
        <v>0.1</v>
      </c>
      <c r="J1640" s="18" t="n">
        <v>567.3</v>
      </c>
      <c r="K1640" s="19" t="n">
        <v>49.54</v>
      </c>
      <c r="L1640" s="15" t="n">
        <f aca="false">YEAR(B1640)</f>
        <v>2024</v>
      </c>
      <c r="M1640" s="20" t="n">
        <f aca="false">IF(J1640&gt;0,K1640/J1640,0)</f>
        <v>0.0873259298431165</v>
      </c>
    </row>
    <row r="1641" customFormat="false" ht="15" hidden="false" customHeight="false" outlineLevel="0" collapsed="false">
      <c r="A1641" s="15" t="s">
        <v>1698</v>
      </c>
      <c r="B1641" s="16" t="n">
        <v>44661</v>
      </c>
      <c r="C1641" s="15" t="s">
        <v>56</v>
      </c>
      <c r="D1641" s="15" t="s">
        <v>44</v>
      </c>
      <c r="E1641" s="15" t="s">
        <v>39</v>
      </c>
      <c r="F1641" s="15" t="s">
        <v>16</v>
      </c>
      <c r="G1641" s="15" t="s">
        <v>27</v>
      </c>
      <c r="H1641" s="15" t="n">
        <v>4</v>
      </c>
      <c r="I1641" s="17" t="n">
        <v>0.15</v>
      </c>
      <c r="J1641" s="18" t="n">
        <v>215.81</v>
      </c>
      <c r="K1641" s="19" t="n">
        <v>5.75</v>
      </c>
      <c r="L1641" s="15" t="n">
        <f aca="false">YEAR(B1641)</f>
        <v>2022</v>
      </c>
      <c r="M1641" s="20" t="n">
        <f aca="false">IF(J1641&gt;0,K1641/J1641,0)</f>
        <v>0.0266438070524999</v>
      </c>
    </row>
    <row r="1642" customFormat="false" ht="15" hidden="false" customHeight="false" outlineLevel="0" collapsed="false">
      <c r="A1642" s="15" t="s">
        <v>1699</v>
      </c>
      <c r="B1642" s="16" t="n">
        <v>45605</v>
      </c>
      <c r="C1642" s="15" t="s">
        <v>58</v>
      </c>
      <c r="D1642" s="15" t="s">
        <v>42</v>
      </c>
      <c r="E1642" s="15" t="s">
        <v>37</v>
      </c>
      <c r="F1642" s="15" t="s">
        <v>18</v>
      </c>
      <c r="G1642" s="15" t="s">
        <v>32</v>
      </c>
      <c r="H1642" s="15" t="n">
        <v>4</v>
      </c>
      <c r="I1642" s="17" t="n">
        <v>0.05</v>
      </c>
      <c r="J1642" s="18" t="n">
        <v>1596.19</v>
      </c>
      <c r="K1642" s="19" t="n">
        <v>100.95</v>
      </c>
      <c r="L1642" s="15" t="n">
        <f aca="false">YEAR(B1642)</f>
        <v>2024</v>
      </c>
      <c r="M1642" s="20" t="n">
        <f aca="false">IF(J1642&gt;0,K1642/J1642,0)</f>
        <v>0.0632443506098898</v>
      </c>
    </row>
    <row r="1643" customFormat="false" ht="15" hidden="false" customHeight="false" outlineLevel="0" collapsed="false">
      <c r="A1643" s="15" t="s">
        <v>1700</v>
      </c>
      <c r="B1643" s="16" t="n">
        <v>45677</v>
      </c>
      <c r="C1643" s="15" t="s">
        <v>56</v>
      </c>
      <c r="D1643" s="15" t="s">
        <v>42</v>
      </c>
      <c r="E1643" s="15" t="s">
        <v>37</v>
      </c>
      <c r="F1643" s="15" t="s">
        <v>16</v>
      </c>
      <c r="G1643" s="15" t="s">
        <v>22</v>
      </c>
      <c r="H1643" s="15" t="n">
        <v>1</v>
      </c>
      <c r="I1643" s="17" t="n">
        <v>0</v>
      </c>
      <c r="J1643" s="18" t="n">
        <v>477.1</v>
      </c>
      <c r="K1643" s="19" t="n">
        <v>-12.57</v>
      </c>
      <c r="L1643" s="15" t="n">
        <f aca="false">YEAR(B1643)</f>
        <v>2025</v>
      </c>
      <c r="M1643" s="20" t="n">
        <f aca="false">IF(J1643&gt;0,K1643/J1643,0)</f>
        <v>-0.0263466778453155</v>
      </c>
    </row>
    <row r="1644" customFormat="false" ht="15" hidden="false" customHeight="false" outlineLevel="0" collapsed="false">
      <c r="A1644" s="15" t="s">
        <v>1701</v>
      </c>
      <c r="B1644" s="16" t="n">
        <v>45516</v>
      </c>
      <c r="C1644" s="15" t="s">
        <v>71</v>
      </c>
      <c r="D1644" s="15" t="s">
        <v>42</v>
      </c>
      <c r="E1644" s="15" t="s">
        <v>38</v>
      </c>
      <c r="F1644" s="15" t="s">
        <v>16</v>
      </c>
      <c r="G1644" s="15" t="s">
        <v>27</v>
      </c>
      <c r="H1644" s="15" t="n">
        <v>5</v>
      </c>
      <c r="I1644" s="17" t="n">
        <v>0.2</v>
      </c>
      <c r="J1644" s="18" t="n">
        <v>227.49</v>
      </c>
      <c r="K1644" s="19" t="n">
        <v>14.28</v>
      </c>
      <c r="L1644" s="15" t="n">
        <f aca="false">YEAR(B1644)</f>
        <v>2024</v>
      </c>
      <c r="M1644" s="20" t="n">
        <f aca="false">IF(J1644&gt;0,K1644/J1644,0)</f>
        <v>0.0627719899775814</v>
      </c>
    </row>
    <row r="1645" customFormat="false" ht="15" hidden="false" customHeight="false" outlineLevel="0" collapsed="false">
      <c r="A1645" s="15" t="s">
        <v>1702</v>
      </c>
      <c r="B1645" s="16" t="n">
        <v>45313</v>
      </c>
      <c r="C1645" s="15" t="s">
        <v>56</v>
      </c>
      <c r="D1645" s="15" t="s">
        <v>42</v>
      </c>
      <c r="E1645" s="15" t="s">
        <v>39</v>
      </c>
      <c r="F1645" s="15" t="s">
        <v>18</v>
      </c>
      <c r="G1645" s="15" t="s">
        <v>30</v>
      </c>
      <c r="H1645" s="15" t="n">
        <v>4</v>
      </c>
      <c r="I1645" s="17" t="n">
        <v>0</v>
      </c>
      <c r="J1645" s="18" t="n">
        <v>173.2</v>
      </c>
      <c r="K1645" s="19" t="n">
        <v>53.42</v>
      </c>
      <c r="L1645" s="15" t="n">
        <f aca="false">YEAR(B1645)</f>
        <v>2024</v>
      </c>
      <c r="M1645" s="20" t="n">
        <f aca="false">IF(J1645&gt;0,K1645/J1645,0)</f>
        <v>0.308429561200924</v>
      </c>
    </row>
    <row r="1646" customFormat="false" ht="15" hidden="false" customHeight="false" outlineLevel="0" collapsed="false">
      <c r="A1646" s="15" t="s">
        <v>1703</v>
      </c>
      <c r="B1646" s="16" t="n">
        <v>44908</v>
      </c>
      <c r="C1646" s="15" t="s">
        <v>56</v>
      </c>
      <c r="D1646" s="15" t="s">
        <v>42</v>
      </c>
      <c r="E1646" s="15" t="s">
        <v>36</v>
      </c>
      <c r="F1646" s="15" t="s">
        <v>17</v>
      </c>
      <c r="G1646" s="15" t="s">
        <v>26</v>
      </c>
      <c r="H1646" s="15" t="n">
        <v>1</v>
      </c>
      <c r="I1646" s="17" t="n">
        <v>0</v>
      </c>
      <c r="J1646" s="18" t="n">
        <v>94.53</v>
      </c>
      <c r="K1646" s="19" t="n">
        <v>14.27</v>
      </c>
      <c r="L1646" s="15" t="n">
        <f aca="false">YEAR(B1646)</f>
        <v>2022</v>
      </c>
      <c r="M1646" s="20" t="n">
        <f aca="false">IF(J1646&gt;0,K1646/J1646,0)</f>
        <v>0.150957368031313</v>
      </c>
    </row>
    <row r="1647" customFormat="false" ht="15" hidden="false" customHeight="false" outlineLevel="0" collapsed="false">
      <c r="A1647" s="15" t="s">
        <v>1704</v>
      </c>
      <c r="B1647" s="16" t="n">
        <v>45333</v>
      </c>
      <c r="C1647" s="15" t="s">
        <v>71</v>
      </c>
      <c r="D1647" s="15" t="s">
        <v>42</v>
      </c>
      <c r="E1647" s="15" t="s">
        <v>39</v>
      </c>
      <c r="F1647" s="15" t="s">
        <v>17</v>
      </c>
      <c r="G1647" s="15" t="s">
        <v>31</v>
      </c>
      <c r="H1647" s="15" t="n">
        <v>3</v>
      </c>
      <c r="I1647" s="17" t="n">
        <v>0</v>
      </c>
      <c r="J1647" s="18" t="n">
        <v>466.3</v>
      </c>
      <c r="K1647" s="19" t="n">
        <v>122.21</v>
      </c>
      <c r="L1647" s="15" t="n">
        <f aca="false">YEAR(B1647)</f>
        <v>2024</v>
      </c>
      <c r="M1647" s="20" t="n">
        <f aca="false">IF(J1647&gt;0,K1647/J1647,0)</f>
        <v>0.262084494960326</v>
      </c>
    </row>
    <row r="1648" customFormat="false" ht="15" hidden="false" customHeight="false" outlineLevel="0" collapsed="false">
      <c r="A1648" s="15" t="s">
        <v>1705</v>
      </c>
      <c r="B1648" s="16" t="n">
        <v>45411</v>
      </c>
      <c r="C1648" s="15" t="s">
        <v>56</v>
      </c>
      <c r="D1648" s="15" t="s">
        <v>42</v>
      </c>
      <c r="E1648" s="15" t="s">
        <v>36</v>
      </c>
      <c r="F1648" s="15" t="s">
        <v>18</v>
      </c>
      <c r="G1648" s="15" t="s">
        <v>24</v>
      </c>
      <c r="H1648" s="15" t="n">
        <v>6</v>
      </c>
      <c r="I1648" s="17" t="n">
        <v>0.4</v>
      </c>
      <c r="J1648" s="18" t="n">
        <v>2069.67</v>
      </c>
      <c r="K1648" s="19" t="n">
        <v>-622.42</v>
      </c>
      <c r="L1648" s="15" t="n">
        <f aca="false">YEAR(B1648)</f>
        <v>2024</v>
      </c>
      <c r="M1648" s="20" t="n">
        <f aca="false">IF(J1648&gt;0,K1648/J1648,0)</f>
        <v>-0.300733933429001</v>
      </c>
    </row>
    <row r="1649" customFormat="false" ht="15" hidden="false" customHeight="false" outlineLevel="0" collapsed="false">
      <c r="A1649" s="15" t="s">
        <v>1706</v>
      </c>
      <c r="B1649" s="16" t="n">
        <v>45722</v>
      </c>
      <c r="C1649" s="15" t="s">
        <v>71</v>
      </c>
      <c r="D1649" s="15" t="s">
        <v>44</v>
      </c>
      <c r="E1649" s="15" t="s">
        <v>38</v>
      </c>
      <c r="F1649" s="15" t="s">
        <v>16</v>
      </c>
      <c r="G1649" s="15" t="s">
        <v>27</v>
      </c>
      <c r="H1649" s="15" t="n">
        <v>5</v>
      </c>
      <c r="I1649" s="17" t="n">
        <v>0.5</v>
      </c>
      <c r="J1649" s="18" t="n">
        <v>111.97</v>
      </c>
      <c r="K1649" s="19" t="n">
        <v>-22.53</v>
      </c>
      <c r="L1649" s="15" t="n">
        <f aca="false">YEAR(B1649)</f>
        <v>2025</v>
      </c>
      <c r="M1649" s="20" t="n">
        <f aca="false">IF(J1649&gt;0,K1649/J1649,0)</f>
        <v>-0.201214611056533</v>
      </c>
    </row>
    <row r="1650" customFormat="false" ht="15" hidden="false" customHeight="false" outlineLevel="0" collapsed="false">
      <c r="A1650" s="15" t="s">
        <v>1707</v>
      </c>
      <c r="B1650" s="16" t="n">
        <v>44576</v>
      </c>
      <c r="C1650" s="15" t="s">
        <v>71</v>
      </c>
      <c r="D1650" s="15" t="s">
        <v>43</v>
      </c>
      <c r="E1650" s="15" t="s">
        <v>38</v>
      </c>
      <c r="F1650" s="15" t="s">
        <v>18</v>
      </c>
      <c r="G1650" s="15" t="s">
        <v>32</v>
      </c>
      <c r="H1650" s="15" t="n">
        <v>2</v>
      </c>
      <c r="I1650" s="17" t="n">
        <v>0.2</v>
      </c>
      <c r="J1650" s="18" t="n">
        <v>631.74</v>
      </c>
      <c r="K1650" s="19" t="n">
        <v>-36.57</v>
      </c>
      <c r="L1650" s="15" t="n">
        <f aca="false">YEAR(B1650)</f>
        <v>2022</v>
      </c>
      <c r="M1650" s="20" t="n">
        <f aca="false">IF(J1650&gt;0,K1650/J1650,0)</f>
        <v>-0.0578877386266502</v>
      </c>
    </row>
    <row r="1651" customFormat="false" ht="15" hidden="false" customHeight="false" outlineLevel="0" collapsed="false">
      <c r="A1651" s="15" t="s">
        <v>1708</v>
      </c>
      <c r="B1651" s="16" t="n">
        <v>45297</v>
      </c>
      <c r="C1651" s="15" t="s">
        <v>56</v>
      </c>
      <c r="D1651" s="15" t="s">
        <v>42</v>
      </c>
      <c r="E1651" s="15" t="s">
        <v>36</v>
      </c>
      <c r="F1651" s="15" t="s">
        <v>18</v>
      </c>
      <c r="G1651" s="15" t="s">
        <v>30</v>
      </c>
      <c r="H1651" s="15" t="n">
        <v>4</v>
      </c>
      <c r="I1651" s="17" t="n">
        <v>0</v>
      </c>
      <c r="J1651" s="18" t="n">
        <v>160.12</v>
      </c>
      <c r="K1651" s="19" t="n">
        <v>54.28</v>
      </c>
      <c r="L1651" s="15" t="n">
        <f aca="false">YEAR(B1651)</f>
        <v>2024</v>
      </c>
      <c r="M1651" s="20" t="n">
        <f aca="false">IF(J1651&gt;0,K1651/J1651,0)</f>
        <v>0.338995753185111</v>
      </c>
    </row>
    <row r="1652" customFormat="false" ht="15" hidden="false" customHeight="false" outlineLevel="0" collapsed="false">
      <c r="A1652" s="15" t="s">
        <v>1709</v>
      </c>
      <c r="B1652" s="16" t="n">
        <v>45804</v>
      </c>
      <c r="C1652" s="15" t="s">
        <v>56</v>
      </c>
      <c r="D1652" s="15" t="s">
        <v>42</v>
      </c>
      <c r="E1652" s="15" t="s">
        <v>38</v>
      </c>
      <c r="F1652" s="15" t="s">
        <v>18</v>
      </c>
      <c r="G1652" s="15" t="s">
        <v>30</v>
      </c>
      <c r="H1652" s="15" t="n">
        <v>2</v>
      </c>
      <c r="I1652" s="17" t="n">
        <v>0</v>
      </c>
      <c r="J1652" s="18" t="n">
        <v>71.6</v>
      </c>
      <c r="K1652" s="19" t="n">
        <v>21.42</v>
      </c>
      <c r="L1652" s="15" t="n">
        <f aca="false">YEAR(B1652)</f>
        <v>2025</v>
      </c>
      <c r="M1652" s="20" t="n">
        <f aca="false">IF(J1652&gt;0,K1652/J1652,0)</f>
        <v>0.299162011173184</v>
      </c>
    </row>
    <row r="1653" customFormat="false" ht="15" hidden="false" customHeight="false" outlineLevel="0" collapsed="false">
      <c r="A1653" s="15" t="s">
        <v>1710</v>
      </c>
      <c r="B1653" s="16" t="n">
        <v>45567</v>
      </c>
      <c r="C1653" s="15" t="s">
        <v>56</v>
      </c>
      <c r="D1653" s="15" t="s">
        <v>42</v>
      </c>
      <c r="E1653" s="15" t="s">
        <v>38</v>
      </c>
      <c r="F1653" s="15" t="s">
        <v>17</v>
      </c>
      <c r="G1653" s="15" t="s">
        <v>29</v>
      </c>
      <c r="H1653" s="15" t="n">
        <v>3</v>
      </c>
      <c r="I1653" s="17" t="n">
        <v>0</v>
      </c>
      <c r="J1653" s="18" t="n">
        <v>39.23</v>
      </c>
      <c r="K1653" s="19" t="n">
        <v>14.15</v>
      </c>
      <c r="L1653" s="15" t="n">
        <f aca="false">YEAR(B1653)</f>
        <v>2024</v>
      </c>
      <c r="M1653" s="20" t="n">
        <f aca="false">IF(J1653&gt;0,K1653/J1653,0)</f>
        <v>0.360693346928371</v>
      </c>
    </row>
    <row r="1654" customFormat="false" ht="15" hidden="false" customHeight="false" outlineLevel="0" collapsed="false">
      <c r="A1654" s="15" t="s">
        <v>1711</v>
      </c>
      <c r="B1654" s="16" t="n">
        <v>45530</v>
      </c>
      <c r="C1654" s="15" t="s">
        <v>56</v>
      </c>
      <c r="D1654" s="15" t="s">
        <v>42</v>
      </c>
      <c r="E1654" s="15" t="s">
        <v>39</v>
      </c>
      <c r="F1654" s="15" t="s">
        <v>18</v>
      </c>
      <c r="G1654" s="15" t="s">
        <v>30</v>
      </c>
      <c r="H1654" s="15" t="n">
        <v>4</v>
      </c>
      <c r="I1654" s="17" t="n">
        <v>0.15</v>
      </c>
      <c r="J1654" s="18" t="n">
        <v>139.63</v>
      </c>
      <c r="K1654" s="19" t="n">
        <v>22.4</v>
      </c>
      <c r="L1654" s="15" t="n">
        <f aca="false">YEAR(B1654)</f>
        <v>2024</v>
      </c>
      <c r="M1654" s="20" t="n">
        <f aca="false">IF(J1654&gt;0,K1654/J1654,0)</f>
        <v>0.160423977655232</v>
      </c>
    </row>
    <row r="1655" customFormat="false" ht="15" hidden="false" customHeight="false" outlineLevel="0" collapsed="false">
      <c r="A1655" s="15" t="s">
        <v>1712</v>
      </c>
      <c r="B1655" s="16" t="n">
        <v>45277</v>
      </c>
      <c r="C1655" s="15" t="s">
        <v>56</v>
      </c>
      <c r="D1655" s="15" t="s">
        <v>42</v>
      </c>
      <c r="E1655" s="15" t="s">
        <v>37</v>
      </c>
      <c r="F1655" s="15" t="s">
        <v>16</v>
      </c>
      <c r="G1655" s="15" t="s">
        <v>25</v>
      </c>
      <c r="H1655" s="15" t="n">
        <v>5</v>
      </c>
      <c r="I1655" s="17" t="n">
        <v>0.2</v>
      </c>
      <c r="J1655" s="18" t="n">
        <v>1340.43</v>
      </c>
      <c r="K1655" s="19" t="n">
        <v>-181.1</v>
      </c>
      <c r="L1655" s="15" t="n">
        <f aca="false">YEAR(B1655)</f>
        <v>2023</v>
      </c>
      <c r="M1655" s="20" t="n">
        <f aca="false">IF(J1655&gt;0,K1655/J1655,0)</f>
        <v>-0.135105898853353</v>
      </c>
    </row>
    <row r="1656" customFormat="false" ht="15" hidden="false" customHeight="false" outlineLevel="0" collapsed="false">
      <c r="A1656" s="15" t="s">
        <v>1713</v>
      </c>
      <c r="B1656" s="16" t="n">
        <v>45657</v>
      </c>
      <c r="C1656" s="15" t="s">
        <v>68</v>
      </c>
      <c r="D1656" s="15" t="s">
        <v>43</v>
      </c>
      <c r="E1656" s="15" t="s">
        <v>39</v>
      </c>
      <c r="F1656" s="15" t="s">
        <v>17</v>
      </c>
      <c r="G1656" s="15" t="s">
        <v>26</v>
      </c>
      <c r="H1656" s="15" t="n">
        <v>6</v>
      </c>
      <c r="I1656" s="17" t="n">
        <v>0</v>
      </c>
      <c r="J1656" s="18" t="n">
        <v>715.26</v>
      </c>
      <c r="K1656" s="19" t="n">
        <v>76.47</v>
      </c>
      <c r="L1656" s="15" t="n">
        <f aca="false">YEAR(B1656)</f>
        <v>2024</v>
      </c>
      <c r="M1656" s="20" t="n">
        <f aca="false">IF(J1656&gt;0,K1656/J1656,0)</f>
        <v>0.106912171797668</v>
      </c>
    </row>
    <row r="1657" customFormat="false" ht="15" hidden="false" customHeight="false" outlineLevel="0" collapsed="false">
      <c r="A1657" s="15" t="s">
        <v>1714</v>
      </c>
      <c r="B1657" s="16" t="n">
        <v>45640</v>
      </c>
      <c r="C1657" s="15" t="s">
        <v>56</v>
      </c>
      <c r="D1657" s="15" t="s">
        <v>44</v>
      </c>
      <c r="E1657" s="15" t="s">
        <v>39</v>
      </c>
      <c r="F1657" s="15" t="s">
        <v>16</v>
      </c>
      <c r="G1657" s="15" t="s">
        <v>22</v>
      </c>
      <c r="H1657" s="15" t="n">
        <v>6</v>
      </c>
      <c r="I1657" s="17" t="n">
        <v>0.1</v>
      </c>
      <c r="J1657" s="18" t="n">
        <v>3200.9</v>
      </c>
      <c r="K1657" s="19" t="n">
        <v>-539.05</v>
      </c>
      <c r="L1657" s="15" t="n">
        <f aca="false">YEAR(B1657)</f>
        <v>2024</v>
      </c>
      <c r="M1657" s="20" t="n">
        <f aca="false">IF(J1657&gt;0,K1657/J1657,0)</f>
        <v>-0.168405760879753</v>
      </c>
    </row>
    <row r="1658" customFormat="false" ht="15" hidden="false" customHeight="false" outlineLevel="0" collapsed="false">
      <c r="A1658" s="15" t="s">
        <v>1715</v>
      </c>
      <c r="B1658" s="16" t="n">
        <v>45133</v>
      </c>
      <c r="C1658" s="15" t="s">
        <v>56</v>
      </c>
      <c r="D1658" s="15" t="s">
        <v>44</v>
      </c>
      <c r="E1658" s="15" t="s">
        <v>39</v>
      </c>
      <c r="F1658" s="15" t="s">
        <v>18</v>
      </c>
      <c r="G1658" s="15" t="s">
        <v>30</v>
      </c>
      <c r="H1658" s="15" t="n">
        <v>3</v>
      </c>
      <c r="I1658" s="17" t="n">
        <v>0.05</v>
      </c>
      <c r="J1658" s="18" t="n">
        <v>149.13</v>
      </c>
      <c r="K1658" s="19" t="n">
        <v>39.09</v>
      </c>
      <c r="L1658" s="15" t="n">
        <f aca="false">YEAR(B1658)</f>
        <v>2023</v>
      </c>
      <c r="M1658" s="20" t="n">
        <f aca="false">IF(J1658&gt;0,K1658/J1658,0)</f>
        <v>0.262120297726816</v>
      </c>
    </row>
    <row r="1659" customFormat="false" ht="15" hidden="false" customHeight="false" outlineLevel="0" collapsed="false">
      <c r="A1659" s="15" t="s">
        <v>1716</v>
      </c>
      <c r="B1659" s="16" t="n">
        <v>44833</v>
      </c>
      <c r="C1659" s="15" t="s">
        <v>56</v>
      </c>
      <c r="D1659" s="15" t="s">
        <v>42</v>
      </c>
      <c r="E1659" s="15" t="s">
        <v>38</v>
      </c>
      <c r="F1659" s="15" t="s">
        <v>17</v>
      </c>
      <c r="G1659" s="15" t="s">
        <v>28</v>
      </c>
      <c r="H1659" s="15" t="n">
        <v>3</v>
      </c>
      <c r="I1659" s="17" t="n">
        <v>0.1</v>
      </c>
      <c r="J1659" s="18" t="n">
        <v>69.49</v>
      </c>
      <c r="K1659" s="19" t="n">
        <v>16.04</v>
      </c>
      <c r="L1659" s="15" t="n">
        <f aca="false">YEAR(B1659)</f>
        <v>2022</v>
      </c>
      <c r="M1659" s="20" t="n">
        <f aca="false">IF(J1659&gt;0,K1659/J1659,0)</f>
        <v>0.230824579076126</v>
      </c>
    </row>
    <row r="1660" customFormat="false" ht="15" hidden="false" customHeight="false" outlineLevel="0" collapsed="false">
      <c r="A1660" s="15" t="s">
        <v>1717</v>
      </c>
      <c r="B1660" s="16" t="n">
        <v>45858</v>
      </c>
      <c r="C1660" s="15" t="s">
        <v>56</v>
      </c>
      <c r="D1660" s="15" t="s">
        <v>42</v>
      </c>
      <c r="E1660" s="15" t="s">
        <v>36</v>
      </c>
      <c r="F1660" s="15" t="s">
        <v>17</v>
      </c>
      <c r="G1660" s="15" t="s">
        <v>26</v>
      </c>
      <c r="H1660" s="15" t="n">
        <v>1</v>
      </c>
      <c r="I1660" s="17" t="n">
        <v>0.3</v>
      </c>
      <c r="J1660" s="18" t="n">
        <v>62.43</v>
      </c>
      <c r="K1660" s="19" t="n">
        <v>-7.75</v>
      </c>
      <c r="L1660" s="15" t="n">
        <f aca="false">YEAR(B1660)</f>
        <v>2025</v>
      </c>
      <c r="M1660" s="20" t="n">
        <f aca="false">IF(J1660&gt;0,K1660/J1660,0)</f>
        <v>-0.124139035720006</v>
      </c>
    </row>
    <row r="1661" customFormat="false" ht="15" hidden="false" customHeight="false" outlineLevel="0" collapsed="false">
      <c r="A1661" s="15" t="s">
        <v>1718</v>
      </c>
      <c r="B1661" s="16" t="n">
        <v>44769</v>
      </c>
      <c r="C1661" s="15" t="s">
        <v>56</v>
      </c>
      <c r="D1661" s="15" t="s">
        <v>42</v>
      </c>
      <c r="E1661" s="15" t="s">
        <v>39</v>
      </c>
      <c r="F1661" s="15" t="s">
        <v>17</v>
      </c>
      <c r="G1661" s="15" t="s">
        <v>28</v>
      </c>
      <c r="H1661" s="15" t="n">
        <v>3</v>
      </c>
      <c r="I1661" s="17" t="n">
        <v>0</v>
      </c>
      <c r="J1661" s="18" t="n">
        <v>86.69</v>
      </c>
      <c r="K1661" s="19" t="n">
        <v>26.02</v>
      </c>
      <c r="L1661" s="15" t="n">
        <f aca="false">YEAR(B1661)</f>
        <v>2022</v>
      </c>
      <c r="M1661" s="20" t="n">
        <f aca="false">IF(J1661&gt;0,K1661/J1661,0)</f>
        <v>0.300149959626254</v>
      </c>
    </row>
    <row r="1662" customFormat="false" ht="15" hidden="false" customHeight="false" outlineLevel="0" collapsed="false">
      <c r="A1662" s="15" t="s">
        <v>1719</v>
      </c>
      <c r="B1662" s="16" t="n">
        <v>45384</v>
      </c>
      <c r="C1662" s="15" t="s">
        <v>56</v>
      </c>
      <c r="D1662" s="15" t="s">
        <v>44</v>
      </c>
      <c r="E1662" s="15" t="s">
        <v>38</v>
      </c>
      <c r="F1662" s="15" t="s">
        <v>18</v>
      </c>
      <c r="G1662" s="15" t="s">
        <v>30</v>
      </c>
      <c r="H1662" s="15" t="n">
        <v>3</v>
      </c>
      <c r="I1662" s="17" t="n">
        <v>0.5</v>
      </c>
      <c r="J1662" s="18" t="n">
        <v>59.45</v>
      </c>
      <c r="K1662" s="19" t="n">
        <v>-4.4</v>
      </c>
      <c r="L1662" s="15" t="n">
        <f aca="false">YEAR(B1662)</f>
        <v>2024</v>
      </c>
      <c r="M1662" s="20" t="n">
        <f aca="false">IF(J1662&gt;0,K1662/J1662,0)</f>
        <v>-0.0740117746005046</v>
      </c>
    </row>
    <row r="1663" customFormat="false" ht="15" hidden="false" customHeight="false" outlineLevel="0" collapsed="false">
      <c r="A1663" s="15" t="s">
        <v>1720</v>
      </c>
      <c r="B1663" s="16" t="n">
        <v>45628</v>
      </c>
      <c r="C1663" s="15" t="s">
        <v>71</v>
      </c>
      <c r="D1663" s="15" t="s">
        <v>42</v>
      </c>
      <c r="E1663" s="15" t="s">
        <v>39</v>
      </c>
      <c r="F1663" s="15" t="s">
        <v>18</v>
      </c>
      <c r="G1663" s="15" t="s">
        <v>32</v>
      </c>
      <c r="H1663" s="15" t="n">
        <v>4</v>
      </c>
      <c r="I1663" s="17" t="n">
        <v>0.2</v>
      </c>
      <c r="J1663" s="18" t="n">
        <v>1706.14</v>
      </c>
      <c r="K1663" s="19" t="n">
        <v>-171.47</v>
      </c>
      <c r="L1663" s="15" t="n">
        <f aca="false">YEAR(B1663)</f>
        <v>2024</v>
      </c>
      <c r="M1663" s="20" t="n">
        <f aca="false">IF(J1663&gt;0,K1663/J1663,0)</f>
        <v>-0.100501717326831</v>
      </c>
    </row>
    <row r="1664" customFormat="false" ht="15" hidden="false" customHeight="false" outlineLevel="0" collapsed="false">
      <c r="A1664" s="15" t="s">
        <v>1721</v>
      </c>
      <c r="B1664" s="16" t="n">
        <v>46016</v>
      </c>
      <c r="C1664" s="15" t="s">
        <v>56</v>
      </c>
      <c r="D1664" s="15" t="s">
        <v>44</v>
      </c>
      <c r="E1664" s="15" t="s">
        <v>38</v>
      </c>
      <c r="F1664" s="15" t="s">
        <v>17</v>
      </c>
      <c r="G1664" s="15" t="s">
        <v>29</v>
      </c>
      <c r="H1664" s="15" t="n">
        <v>5</v>
      </c>
      <c r="I1664" s="17" t="n">
        <v>0.4</v>
      </c>
      <c r="J1664" s="18" t="n">
        <v>57.75</v>
      </c>
      <c r="K1664" s="19" t="n">
        <v>1.87</v>
      </c>
      <c r="L1664" s="15" t="n">
        <f aca="false">YEAR(B1664)</f>
        <v>2025</v>
      </c>
      <c r="M1664" s="20" t="n">
        <f aca="false">IF(J1664&gt;0,K1664/J1664,0)</f>
        <v>0.0323809523809524</v>
      </c>
    </row>
    <row r="1665" customFormat="false" ht="15" hidden="false" customHeight="false" outlineLevel="0" collapsed="false">
      <c r="A1665" s="15" t="s">
        <v>1722</v>
      </c>
      <c r="B1665" s="16" t="n">
        <v>45718</v>
      </c>
      <c r="C1665" s="15" t="s">
        <v>58</v>
      </c>
      <c r="D1665" s="15" t="s">
        <v>43</v>
      </c>
      <c r="E1665" s="15" t="s">
        <v>36</v>
      </c>
      <c r="F1665" s="15" t="s">
        <v>17</v>
      </c>
      <c r="G1665" s="15" t="s">
        <v>31</v>
      </c>
      <c r="H1665" s="15" t="n">
        <v>6</v>
      </c>
      <c r="I1665" s="17" t="n">
        <v>0.2</v>
      </c>
      <c r="J1665" s="18" t="n">
        <v>634.74</v>
      </c>
      <c r="K1665" s="19" t="n">
        <v>-5.77</v>
      </c>
      <c r="L1665" s="15" t="n">
        <f aca="false">YEAR(B1665)</f>
        <v>2025</v>
      </c>
      <c r="M1665" s="20" t="n">
        <f aca="false">IF(J1665&gt;0,K1665/J1665,0)</f>
        <v>-0.00909033620064908</v>
      </c>
    </row>
    <row r="1666" customFormat="false" ht="15" hidden="false" customHeight="false" outlineLevel="0" collapsed="false">
      <c r="A1666" s="15" t="s">
        <v>1723</v>
      </c>
      <c r="B1666" s="16" t="n">
        <v>44886</v>
      </c>
      <c r="C1666" s="15" t="s">
        <v>56</v>
      </c>
      <c r="D1666" s="15" t="s">
        <v>42</v>
      </c>
      <c r="E1666" s="15" t="s">
        <v>36</v>
      </c>
      <c r="F1666" s="15" t="s">
        <v>17</v>
      </c>
      <c r="G1666" s="15" t="s">
        <v>29</v>
      </c>
      <c r="H1666" s="15" t="n">
        <v>2</v>
      </c>
      <c r="I1666" s="17" t="n">
        <v>0.05</v>
      </c>
      <c r="J1666" s="18" t="n">
        <v>29.57</v>
      </c>
      <c r="K1666" s="19" t="n">
        <v>8.91</v>
      </c>
      <c r="L1666" s="15" t="n">
        <f aca="false">YEAR(B1666)</f>
        <v>2022</v>
      </c>
      <c r="M1666" s="20" t="n">
        <f aca="false">IF(J1666&gt;0,K1666/J1666,0)</f>
        <v>0.301318904294894</v>
      </c>
    </row>
    <row r="1667" customFormat="false" ht="15" hidden="false" customHeight="false" outlineLevel="0" collapsed="false">
      <c r="A1667" s="15" t="s">
        <v>1724</v>
      </c>
      <c r="B1667" s="16" t="n">
        <v>44744</v>
      </c>
      <c r="C1667" s="15" t="s">
        <v>56</v>
      </c>
      <c r="D1667" s="15" t="s">
        <v>42</v>
      </c>
      <c r="E1667" s="15" t="s">
        <v>38</v>
      </c>
      <c r="F1667" s="15" t="s">
        <v>17</v>
      </c>
      <c r="G1667" s="15" t="s">
        <v>29</v>
      </c>
      <c r="H1667" s="15" t="n">
        <v>2</v>
      </c>
      <c r="I1667" s="17" t="n">
        <v>0.05</v>
      </c>
      <c r="J1667" s="18" t="n">
        <v>30.18</v>
      </c>
      <c r="K1667" s="19" t="n">
        <v>12.06</v>
      </c>
      <c r="L1667" s="15" t="n">
        <f aca="false">YEAR(B1667)</f>
        <v>2022</v>
      </c>
      <c r="M1667" s="20" t="n">
        <f aca="false">IF(J1667&gt;0,K1667/J1667,0)</f>
        <v>0.399602385685885</v>
      </c>
    </row>
    <row r="1668" customFormat="false" ht="15" hidden="false" customHeight="false" outlineLevel="0" collapsed="false">
      <c r="A1668" s="15" t="s">
        <v>1725</v>
      </c>
      <c r="B1668" s="16" t="n">
        <v>45497</v>
      </c>
      <c r="C1668" s="15" t="s">
        <v>56</v>
      </c>
      <c r="D1668" s="15" t="s">
        <v>43</v>
      </c>
      <c r="E1668" s="15" t="s">
        <v>39</v>
      </c>
      <c r="F1668" s="15" t="s">
        <v>17</v>
      </c>
      <c r="G1668" s="15" t="s">
        <v>31</v>
      </c>
      <c r="H1668" s="15" t="n">
        <v>3</v>
      </c>
      <c r="I1668" s="17" t="n">
        <v>0</v>
      </c>
      <c r="J1668" s="18" t="n">
        <v>471.51</v>
      </c>
      <c r="K1668" s="19" t="n">
        <v>120.77</v>
      </c>
      <c r="L1668" s="15" t="n">
        <f aca="false">YEAR(B1668)</f>
        <v>2024</v>
      </c>
      <c r="M1668" s="20" t="n">
        <f aca="false">IF(J1668&gt;0,K1668/J1668,0)</f>
        <v>0.256134546457127</v>
      </c>
    </row>
    <row r="1669" customFormat="false" ht="15" hidden="false" customHeight="false" outlineLevel="0" collapsed="false">
      <c r="A1669" s="15" t="s">
        <v>1726</v>
      </c>
      <c r="B1669" s="16" t="n">
        <v>45382</v>
      </c>
      <c r="C1669" s="15" t="s">
        <v>56</v>
      </c>
      <c r="D1669" s="15" t="s">
        <v>44</v>
      </c>
      <c r="E1669" s="15" t="s">
        <v>36</v>
      </c>
      <c r="F1669" s="15" t="s">
        <v>18</v>
      </c>
      <c r="G1669" s="15" t="s">
        <v>30</v>
      </c>
      <c r="H1669" s="15" t="n">
        <v>2</v>
      </c>
      <c r="I1669" s="17" t="n">
        <v>0.1</v>
      </c>
      <c r="J1669" s="18" t="n">
        <v>93.53</v>
      </c>
      <c r="K1669" s="19" t="n">
        <v>25</v>
      </c>
      <c r="L1669" s="15" t="n">
        <f aca="false">YEAR(B1669)</f>
        <v>2024</v>
      </c>
      <c r="M1669" s="20" t="n">
        <f aca="false">IF(J1669&gt;0,K1669/J1669,0)</f>
        <v>0.267293916390463</v>
      </c>
    </row>
    <row r="1670" customFormat="false" ht="15" hidden="false" customHeight="false" outlineLevel="0" collapsed="false">
      <c r="A1670" s="15" t="s">
        <v>1727</v>
      </c>
      <c r="B1670" s="16" t="n">
        <v>45631</v>
      </c>
      <c r="C1670" s="15" t="s">
        <v>56</v>
      </c>
      <c r="D1670" s="15" t="s">
        <v>44</v>
      </c>
      <c r="E1670" s="15" t="s">
        <v>39</v>
      </c>
      <c r="F1670" s="15" t="s">
        <v>17</v>
      </c>
      <c r="G1670" s="15" t="s">
        <v>28</v>
      </c>
      <c r="H1670" s="15" t="n">
        <v>6</v>
      </c>
      <c r="I1670" s="17" t="n">
        <v>0.1</v>
      </c>
      <c r="J1670" s="18" t="n">
        <v>147.82</v>
      </c>
      <c r="K1670" s="19" t="n">
        <v>15.73</v>
      </c>
      <c r="L1670" s="15" t="n">
        <f aca="false">YEAR(B1670)</f>
        <v>2024</v>
      </c>
      <c r="M1670" s="20" t="n">
        <f aca="false">IF(J1670&gt;0,K1670/J1670,0)</f>
        <v>0.106413205249628</v>
      </c>
    </row>
    <row r="1671" customFormat="false" ht="15" hidden="false" customHeight="false" outlineLevel="0" collapsed="false">
      <c r="A1671" s="15" t="s">
        <v>1728</v>
      </c>
      <c r="B1671" s="16" t="n">
        <v>45100</v>
      </c>
      <c r="C1671" s="15" t="s">
        <v>56</v>
      </c>
      <c r="D1671" s="15" t="s">
        <v>42</v>
      </c>
      <c r="E1671" s="15" t="s">
        <v>39</v>
      </c>
      <c r="F1671" s="15" t="s">
        <v>18</v>
      </c>
      <c r="G1671" s="15" t="s">
        <v>30</v>
      </c>
      <c r="H1671" s="15" t="n">
        <v>2</v>
      </c>
      <c r="I1671" s="17" t="n">
        <v>0</v>
      </c>
      <c r="J1671" s="18" t="n">
        <v>83.36</v>
      </c>
      <c r="K1671" s="19" t="n">
        <v>25.23</v>
      </c>
      <c r="L1671" s="15" t="n">
        <f aca="false">YEAR(B1671)</f>
        <v>2023</v>
      </c>
      <c r="M1671" s="20" t="n">
        <f aca="false">IF(J1671&gt;0,K1671/J1671,0)</f>
        <v>0.302663147792706</v>
      </c>
    </row>
    <row r="1672" customFormat="false" ht="15" hidden="false" customHeight="false" outlineLevel="0" collapsed="false">
      <c r="A1672" s="15" t="s">
        <v>1729</v>
      </c>
      <c r="B1672" s="16" t="n">
        <v>44990</v>
      </c>
      <c r="C1672" s="15" t="s">
        <v>56</v>
      </c>
      <c r="D1672" s="15" t="s">
        <v>44</v>
      </c>
      <c r="E1672" s="15" t="s">
        <v>38</v>
      </c>
      <c r="F1672" s="15" t="s">
        <v>16</v>
      </c>
      <c r="G1672" s="15" t="s">
        <v>27</v>
      </c>
      <c r="H1672" s="15" t="n">
        <v>4</v>
      </c>
      <c r="I1672" s="17" t="n">
        <v>0</v>
      </c>
      <c r="J1672" s="18" t="n">
        <v>209.37</v>
      </c>
      <c r="K1672" s="19" t="n">
        <v>42.36</v>
      </c>
      <c r="L1672" s="15" t="n">
        <f aca="false">YEAR(B1672)</f>
        <v>2023</v>
      </c>
      <c r="M1672" s="20" t="n">
        <f aca="false">IF(J1672&gt;0,K1672/J1672,0)</f>
        <v>0.202321249462674</v>
      </c>
    </row>
    <row r="1673" customFormat="false" ht="15" hidden="false" customHeight="false" outlineLevel="0" collapsed="false">
      <c r="A1673" s="15" t="s">
        <v>1730</v>
      </c>
      <c r="B1673" s="16" t="n">
        <v>45223</v>
      </c>
      <c r="C1673" s="15" t="s">
        <v>68</v>
      </c>
      <c r="D1673" s="15" t="s">
        <v>43</v>
      </c>
      <c r="E1673" s="15" t="s">
        <v>39</v>
      </c>
      <c r="F1673" s="15" t="s">
        <v>17</v>
      </c>
      <c r="G1673" s="15" t="s">
        <v>28</v>
      </c>
      <c r="H1673" s="15" t="n">
        <v>4</v>
      </c>
      <c r="I1673" s="17" t="n">
        <v>0.5</v>
      </c>
      <c r="J1673" s="18" t="n">
        <v>61.52</v>
      </c>
      <c r="K1673" s="19" t="n">
        <v>-8.91</v>
      </c>
      <c r="L1673" s="15" t="n">
        <f aca="false">YEAR(B1673)</f>
        <v>2023</v>
      </c>
      <c r="M1673" s="20" t="n">
        <f aca="false">IF(J1673&gt;0,K1673/J1673,0)</f>
        <v>-0.144830949284785</v>
      </c>
    </row>
    <row r="1674" customFormat="false" ht="15" hidden="false" customHeight="false" outlineLevel="0" collapsed="false">
      <c r="A1674" s="15" t="s">
        <v>1731</v>
      </c>
      <c r="B1674" s="16" t="n">
        <v>45754</v>
      </c>
      <c r="C1674" s="15" t="s">
        <v>56</v>
      </c>
      <c r="D1674" s="15" t="s">
        <v>42</v>
      </c>
      <c r="E1674" s="15" t="s">
        <v>39</v>
      </c>
      <c r="F1674" s="15" t="s">
        <v>16</v>
      </c>
      <c r="G1674" s="15" t="s">
        <v>27</v>
      </c>
      <c r="H1674" s="15" t="n">
        <v>5</v>
      </c>
      <c r="I1674" s="17" t="n">
        <v>0.05</v>
      </c>
      <c r="J1674" s="18" t="n">
        <v>287.88</v>
      </c>
      <c r="K1674" s="19" t="n">
        <v>79.1</v>
      </c>
      <c r="L1674" s="15" t="n">
        <f aca="false">YEAR(B1674)</f>
        <v>2025</v>
      </c>
      <c r="M1674" s="20" t="n">
        <f aca="false">IF(J1674&gt;0,K1674/J1674,0)</f>
        <v>0.274767264137835</v>
      </c>
    </row>
    <row r="1675" customFormat="false" ht="15" hidden="false" customHeight="false" outlineLevel="0" collapsed="false">
      <c r="A1675" s="15" t="s">
        <v>1732</v>
      </c>
      <c r="B1675" s="16" t="n">
        <v>45540</v>
      </c>
      <c r="C1675" s="15" t="s">
        <v>68</v>
      </c>
      <c r="D1675" s="15" t="s">
        <v>42</v>
      </c>
      <c r="E1675" s="15" t="s">
        <v>38</v>
      </c>
      <c r="F1675" s="15" t="s">
        <v>17</v>
      </c>
      <c r="G1675" s="15" t="s">
        <v>29</v>
      </c>
      <c r="H1675" s="15" t="n">
        <v>2</v>
      </c>
      <c r="I1675" s="17" t="n">
        <v>0.2</v>
      </c>
      <c r="J1675" s="18" t="n">
        <v>26.92</v>
      </c>
      <c r="K1675" s="19" t="n">
        <v>6.43</v>
      </c>
      <c r="L1675" s="15" t="n">
        <f aca="false">YEAR(B1675)</f>
        <v>2024</v>
      </c>
      <c r="M1675" s="20" t="n">
        <f aca="false">IF(J1675&gt;0,K1675/J1675,0)</f>
        <v>0.238855869242199</v>
      </c>
    </row>
    <row r="1676" customFormat="false" ht="15" hidden="false" customHeight="false" outlineLevel="0" collapsed="false">
      <c r="A1676" s="15" t="s">
        <v>1733</v>
      </c>
      <c r="B1676" s="16" t="n">
        <v>45465</v>
      </c>
      <c r="C1676" s="15" t="s">
        <v>71</v>
      </c>
      <c r="D1676" s="15" t="s">
        <v>44</v>
      </c>
      <c r="E1676" s="15" t="s">
        <v>36</v>
      </c>
      <c r="F1676" s="15" t="s">
        <v>16</v>
      </c>
      <c r="G1676" s="15" t="s">
        <v>27</v>
      </c>
      <c r="H1676" s="15" t="n">
        <v>3</v>
      </c>
      <c r="I1676" s="17" t="n">
        <v>0.1</v>
      </c>
      <c r="J1676" s="18" t="n">
        <v>160.39</v>
      </c>
      <c r="K1676" s="19" t="n">
        <v>24.88</v>
      </c>
      <c r="L1676" s="15" t="n">
        <f aca="false">YEAR(B1676)</f>
        <v>2024</v>
      </c>
      <c r="M1676" s="20" t="n">
        <f aca="false">IF(J1676&gt;0,K1676/J1676,0)</f>
        <v>0.155121890392169</v>
      </c>
    </row>
    <row r="1677" customFormat="false" ht="15" hidden="false" customHeight="false" outlineLevel="0" collapsed="false">
      <c r="A1677" s="15" t="s">
        <v>1734</v>
      </c>
      <c r="B1677" s="16" t="n">
        <v>45567</v>
      </c>
      <c r="C1677" s="15" t="s">
        <v>56</v>
      </c>
      <c r="D1677" s="15" t="s">
        <v>42</v>
      </c>
      <c r="E1677" s="15" t="s">
        <v>39</v>
      </c>
      <c r="F1677" s="15" t="s">
        <v>17</v>
      </c>
      <c r="G1677" s="15" t="s">
        <v>28</v>
      </c>
      <c r="H1677" s="15" t="n">
        <v>2</v>
      </c>
      <c r="I1677" s="17" t="n">
        <v>0.1</v>
      </c>
      <c r="J1677" s="18" t="n">
        <v>39.62</v>
      </c>
      <c r="K1677" s="19" t="n">
        <v>9.42</v>
      </c>
      <c r="L1677" s="15" t="n">
        <f aca="false">YEAR(B1677)</f>
        <v>2024</v>
      </c>
      <c r="M1677" s="20" t="n">
        <f aca="false">IF(J1677&gt;0,K1677/J1677,0)</f>
        <v>0.237758707723372</v>
      </c>
    </row>
    <row r="1678" customFormat="false" ht="15" hidden="false" customHeight="false" outlineLevel="0" collapsed="false">
      <c r="A1678" s="15" t="s">
        <v>1735</v>
      </c>
      <c r="B1678" s="16" t="n">
        <v>44925</v>
      </c>
      <c r="C1678" s="15" t="s">
        <v>56</v>
      </c>
      <c r="D1678" s="15" t="s">
        <v>42</v>
      </c>
      <c r="E1678" s="15" t="s">
        <v>36</v>
      </c>
      <c r="F1678" s="15" t="s">
        <v>16</v>
      </c>
      <c r="G1678" s="15" t="s">
        <v>22</v>
      </c>
      <c r="H1678" s="15" t="n">
        <v>4</v>
      </c>
      <c r="I1678" s="17" t="n">
        <v>0.05</v>
      </c>
      <c r="J1678" s="18" t="n">
        <v>2002.06</v>
      </c>
      <c r="K1678" s="19" t="n">
        <v>-252.38</v>
      </c>
      <c r="L1678" s="15" t="n">
        <f aca="false">YEAR(B1678)</f>
        <v>2022</v>
      </c>
      <c r="M1678" s="20" t="n">
        <f aca="false">IF(J1678&gt;0,K1678/J1678,0)</f>
        <v>-0.126060158037222</v>
      </c>
    </row>
    <row r="1679" customFormat="false" ht="15" hidden="false" customHeight="false" outlineLevel="0" collapsed="false">
      <c r="A1679" s="15" t="s">
        <v>1736</v>
      </c>
      <c r="B1679" s="16" t="n">
        <v>45994</v>
      </c>
      <c r="C1679" s="15" t="s">
        <v>68</v>
      </c>
      <c r="D1679" s="15" t="s">
        <v>44</v>
      </c>
      <c r="E1679" s="15" t="s">
        <v>36</v>
      </c>
      <c r="F1679" s="15" t="s">
        <v>17</v>
      </c>
      <c r="G1679" s="15" t="s">
        <v>26</v>
      </c>
      <c r="H1679" s="15" t="n">
        <v>5</v>
      </c>
      <c r="I1679" s="17" t="n">
        <v>0.2</v>
      </c>
      <c r="J1679" s="18" t="n">
        <v>300.4</v>
      </c>
      <c r="K1679" s="19" t="n">
        <v>-9.21</v>
      </c>
      <c r="L1679" s="15" t="n">
        <f aca="false">YEAR(B1679)</f>
        <v>2025</v>
      </c>
      <c r="M1679" s="20" t="n">
        <f aca="false">IF(J1679&gt;0,K1679/J1679,0)</f>
        <v>-0.030659121171771</v>
      </c>
    </row>
    <row r="1680" customFormat="false" ht="15" hidden="false" customHeight="false" outlineLevel="0" collapsed="false">
      <c r="A1680" s="15" t="s">
        <v>1737</v>
      </c>
      <c r="B1680" s="16" t="n">
        <v>45577</v>
      </c>
      <c r="C1680" s="15" t="s">
        <v>56</v>
      </c>
      <c r="D1680" s="15" t="s">
        <v>44</v>
      </c>
      <c r="E1680" s="15" t="s">
        <v>37</v>
      </c>
      <c r="F1680" s="15" t="s">
        <v>17</v>
      </c>
      <c r="G1680" s="15" t="s">
        <v>28</v>
      </c>
      <c r="H1680" s="15" t="n">
        <v>7</v>
      </c>
      <c r="I1680" s="17" t="n">
        <v>0</v>
      </c>
      <c r="J1680" s="18" t="n">
        <v>175.78</v>
      </c>
      <c r="K1680" s="19" t="n">
        <v>59.85</v>
      </c>
      <c r="L1680" s="15" t="n">
        <f aca="false">YEAR(B1680)</f>
        <v>2024</v>
      </c>
      <c r="M1680" s="20" t="n">
        <f aca="false">IF(J1680&gt;0,K1680/J1680,0)</f>
        <v>0.340482421208329</v>
      </c>
    </row>
    <row r="1681" customFormat="false" ht="15" hidden="false" customHeight="false" outlineLevel="0" collapsed="false">
      <c r="A1681" s="15" t="s">
        <v>1738</v>
      </c>
      <c r="B1681" s="16" t="n">
        <v>45677</v>
      </c>
      <c r="C1681" s="15" t="s">
        <v>71</v>
      </c>
      <c r="D1681" s="15" t="s">
        <v>42</v>
      </c>
      <c r="E1681" s="15" t="s">
        <v>38</v>
      </c>
      <c r="F1681" s="15" t="s">
        <v>18</v>
      </c>
      <c r="G1681" s="15" t="s">
        <v>30</v>
      </c>
      <c r="H1681" s="15" t="n">
        <v>3</v>
      </c>
      <c r="I1681" s="17" t="n">
        <v>0.05</v>
      </c>
      <c r="J1681" s="18" t="n">
        <v>130.43</v>
      </c>
      <c r="K1681" s="19" t="n">
        <v>39.54</v>
      </c>
      <c r="L1681" s="15" t="n">
        <f aca="false">YEAR(B1681)</f>
        <v>2025</v>
      </c>
      <c r="M1681" s="20" t="n">
        <f aca="false">IF(J1681&gt;0,K1681/J1681,0)</f>
        <v>0.303151115540903</v>
      </c>
    </row>
    <row r="1682" customFormat="false" ht="15" hidden="false" customHeight="false" outlineLevel="0" collapsed="false">
      <c r="A1682" s="15" t="s">
        <v>1739</v>
      </c>
      <c r="B1682" s="16" t="n">
        <v>45766</v>
      </c>
      <c r="C1682" s="15" t="s">
        <v>71</v>
      </c>
      <c r="D1682" s="15" t="s">
        <v>43</v>
      </c>
      <c r="E1682" s="15" t="s">
        <v>39</v>
      </c>
      <c r="F1682" s="15" t="s">
        <v>17</v>
      </c>
      <c r="G1682" s="15" t="s">
        <v>28</v>
      </c>
      <c r="H1682" s="15" t="n">
        <v>1</v>
      </c>
      <c r="I1682" s="17" t="n">
        <v>0.15</v>
      </c>
      <c r="J1682" s="18" t="n">
        <v>27.03</v>
      </c>
      <c r="K1682" s="19" t="n">
        <v>4.1</v>
      </c>
      <c r="L1682" s="15" t="n">
        <f aca="false">YEAR(B1682)</f>
        <v>2025</v>
      </c>
      <c r="M1682" s="20" t="n">
        <f aca="false">IF(J1682&gt;0,K1682/J1682,0)</f>
        <v>0.151683314835368</v>
      </c>
    </row>
    <row r="1683" customFormat="false" ht="15" hidden="false" customHeight="false" outlineLevel="0" collapsed="false">
      <c r="A1683" s="15" t="s">
        <v>1740</v>
      </c>
      <c r="B1683" s="16" t="n">
        <v>44902</v>
      </c>
      <c r="C1683" s="15" t="s">
        <v>56</v>
      </c>
      <c r="D1683" s="15" t="s">
        <v>44</v>
      </c>
      <c r="E1683" s="15" t="s">
        <v>36</v>
      </c>
      <c r="F1683" s="15" t="s">
        <v>17</v>
      </c>
      <c r="G1683" s="15" t="s">
        <v>29</v>
      </c>
      <c r="H1683" s="15" t="n">
        <v>2</v>
      </c>
      <c r="I1683" s="17" t="n">
        <v>0</v>
      </c>
      <c r="J1683" s="18" t="n">
        <v>32.65</v>
      </c>
      <c r="K1683" s="19" t="n">
        <v>11.85</v>
      </c>
      <c r="L1683" s="15" t="n">
        <f aca="false">YEAR(B1683)</f>
        <v>2022</v>
      </c>
      <c r="M1683" s="20" t="n">
        <f aca="false">IF(J1683&gt;0,K1683/J1683,0)</f>
        <v>0.362940275650842</v>
      </c>
    </row>
    <row r="1684" customFormat="false" ht="15" hidden="false" customHeight="false" outlineLevel="0" collapsed="false">
      <c r="A1684" s="15" t="s">
        <v>1741</v>
      </c>
      <c r="B1684" s="16" t="n">
        <v>45778</v>
      </c>
      <c r="C1684" s="15" t="s">
        <v>56</v>
      </c>
      <c r="D1684" s="15" t="s">
        <v>42</v>
      </c>
      <c r="E1684" s="15" t="s">
        <v>37</v>
      </c>
      <c r="F1684" s="15" t="s">
        <v>17</v>
      </c>
      <c r="G1684" s="15" t="s">
        <v>31</v>
      </c>
      <c r="H1684" s="15" t="n">
        <v>4</v>
      </c>
      <c r="I1684" s="17" t="n">
        <v>0</v>
      </c>
      <c r="J1684" s="18" t="n">
        <v>522.69</v>
      </c>
      <c r="K1684" s="19" t="n">
        <v>97.05</v>
      </c>
      <c r="L1684" s="15" t="n">
        <f aca="false">YEAR(B1684)</f>
        <v>2025</v>
      </c>
      <c r="M1684" s="20" t="n">
        <f aca="false">IF(J1684&gt;0,K1684/J1684,0)</f>
        <v>0.185674108936463</v>
      </c>
    </row>
    <row r="1685" customFormat="false" ht="15" hidden="false" customHeight="false" outlineLevel="0" collapsed="false">
      <c r="A1685" s="15" t="s">
        <v>1742</v>
      </c>
      <c r="B1685" s="16" t="n">
        <v>44885</v>
      </c>
      <c r="C1685" s="15" t="s">
        <v>56</v>
      </c>
      <c r="D1685" s="15" t="s">
        <v>43</v>
      </c>
      <c r="E1685" s="15" t="s">
        <v>36</v>
      </c>
      <c r="F1685" s="15" t="s">
        <v>17</v>
      </c>
      <c r="G1685" s="15" t="s">
        <v>29</v>
      </c>
      <c r="H1685" s="15" t="n">
        <v>5</v>
      </c>
      <c r="I1685" s="17" t="n">
        <v>0</v>
      </c>
      <c r="J1685" s="18" t="n">
        <v>88.91</v>
      </c>
      <c r="K1685" s="19" t="n">
        <v>38.4</v>
      </c>
      <c r="L1685" s="15" t="n">
        <f aca="false">YEAR(B1685)</f>
        <v>2022</v>
      </c>
      <c r="M1685" s="20" t="n">
        <f aca="false">IF(J1685&gt;0,K1685/J1685,0)</f>
        <v>0.431897424361714</v>
      </c>
    </row>
    <row r="1686" customFormat="false" ht="15" hidden="false" customHeight="false" outlineLevel="0" collapsed="false">
      <c r="A1686" s="15" t="s">
        <v>1743</v>
      </c>
      <c r="B1686" s="16" t="n">
        <v>45178</v>
      </c>
      <c r="C1686" s="15" t="s">
        <v>56</v>
      </c>
      <c r="D1686" s="15" t="s">
        <v>42</v>
      </c>
      <c r="E1686" s="15" t="s">
        <v>37</v>
      </c>
      <c r="F1686" s="15" t="s">
        <v>17</v>
      </c>
      <c r="G1686" s="15" t="s">
        <v>29</v>
      </c>
      <c r="H1686" s="15" t="n">
        <v>3</v>
      </c>
      <c r="I1686" s="17" t="n">
        <v>0.5</v>
      </c>
      <c r="J1686" s="18" t="n">
        <v>30.49</v>
      </c>
      <c r="K1686" s="19" t="n">
        <v>-2.08</v>
      </c>
      <c r="L1686" s="15" t="n">
        <f aca="false">YEAR(B1686)</f>
        <v>2023</v>
      </c>
      <c r="M1686" s="20" t="n">
        <f aca="false">IF(J1686&gt;0,K1686/J1686,0)</f>
        <v>-0.0682190882256478</v>
      </c>
    </row>
    <row r="1687" customFormat="false" ht="15" hidden="false" customHeight="false" outlineLevel="0" collapsed="false">
      <c r="A1687" s="15" t="s">
        <v>1744</v>
      </c>
      <c r="B1687" s="16" t="n">
        <v>45239</v>
      </c>
      <c r="C1687" s="15" t="s">
        <v>56</v>
      </c>
      <c r="D1687" s="15" t="s">
        <v>42</v>
      </c>
      <c r="E1687" s="15" t="s">
        <v>37</v>
      </c>
      <c r="F1687" s="15" t="s">
        <v>18</v>
      </c>
      <c r="G1687" s="15" t="s">
        <v>30</v>
      </c>
      <c r="H1687" s="15" t="n">
        <v>2</v>
      </c>
      <c r="I1687" s="17" t="n">
        <v>0</v>
      </c>
      <c r="J1687" s="18" t="n">
        <v>84.7</v>
      </c>
      <c r="K1687" s="19" t="n">
        <v>28.19</v>
      </c>
      <c r="L1687" s="15" t="n">
        <f aca="false">YEAR(B1687)</f>
        <v>2023</v>
      </c>
      <c r="M1687" s="20" t="n">
        <f aca="false">IF(J1687&gt;0,K1687/J1687,0)</f>
        <v>0.332821723730815</v>
      </c>
    </row>
    <row r="1688" customFormat="false" ht="15" hidden="false" customHeight="false" outlineLevel="0" collapsed="false">
      <c r="A1688" s="15" t="s">
        <v>1745</v>
      </c>
      <c r="B1688" s="16" t="n">
        <v>45227</v>
      </c>
      <c r="C1688" s="15" t="s">
        <v>71</v>
      </c>
      <c r="D1688" s="15" t="s">
        <v>42</v>
      </c>
      <c r="E1688" s="15" t="s">
        <v>36</v>
      </c>
      <c r="F1688" s="15" t="s">
        <v>17</v>
      </c>
      <c r="G1688" s="15" t="s">
        <v>26</v>
      </c>
      <c r="H1688" s="15" t="n">
        <v>6</v>
      </c>
      <c r="I1688" s="17" t="n">
        <v>0</v>
      </c>
      <c r="J1688" s="18" t="n">
        <v>494.61</v>
      </c>
      <c r="K1688" s="19" t="n">
        <v>51.84</v>
      </c>
      <c r="L1688" s="15" t="n">
        <f aca="false">YEAR(B1688)</f>
        <v>2023</v>
      </c>
      <c r="M1688" s="20" t="n">
        <f aca="false">IF(J1688&gt;0,K1688/J1688,0)</f>
        <v>0.104809850184994</v>
      </c>
    </row>
    <row r="1689" customFormat="false" ht="15" hidden="false" customHeight="false" outlineLevel="0" collapsed="false">
      <c r="A1689" s="15" t="s">
        <v>1746</v>
      </c>
      <c r="B1689" s="16" t="n">
        <v>45262</v>
      </c>
      <c r="C1689" s="15" t="s">
        <v>71</v>
      </c>
      <c r="D1689" s="15" t="s">
        <v>43</v>
      </c>
      <c r="E1689" s="15" t="s">
        <v>38</v>
      </c>
      <c r="F1689" s="15" t="s">
        <v>17</v>
      </c>
      <c r="G1689" s="15" t="s">
        <v>31</v>
      </c>
      <c r="H1689" s="15" t="n">
        <v>2</v>
      </c>
      <c r="I1689" s="17" t="n">
        <v>0.2</v>
      </c>
      <c r="J1689" s="18" t="n">
        <v>206.39</v>
      </c>
      <c r="K1689" s="19" t="n">
        <v>-2.98</v>
      </c>
      <c r="L1689" s="15" t="n">
        <f aca="false">YEAR(B1689)</f>
        <v>2023</v>
      </c>
      <c r="M1689" s="20" t="n">
        <f aca="false">IF(J1689&gt;0,K1689/J1689,0)</f>
        <v>-0.0144386840447696</v>
      </c>
    </row>
    <row r="1690" customFormat="false" ht="15" hidden="false" customHeight="false" outlineLevel="0" collapsed="false">
      <c r="A1690" s="15" t="s">
        <v>1747</v>
      </c>
      <c r="B1690" s="16" t="n">
        <v>45455</v>
      </c>
      <c r="C1690" s="15" t="s">
        <v>71</v>
      </c>
      <c r="D1690" s="15" t="s">
        <v>42</v>
      </c>
      <c r="E1690" s="15" t="s">
        <v>38</v>
      </c>
      <c r="F1690" s="15" t="s">
        <v>17</v>
      </c>
      <c r="G1690" s="15" t="s">
        <v>26</v>
      </c>
      <c r="H1690" s="15" t="n">
        <v>5</v>
      </c>
      <c r="I1690" s="17" t="n">
        <v>0.4</v>
      </c>
      <c r="J1690" s="18" t="n">
        <v>211.81</v>
      </c>
      <c r="K1690" s="19" t="n">
        <v>-50.72</v>
      </c>
      <c r="L1690" s="15" t="n">
        <f aca="false">YEAR(B1690)</f>
        <v>2024</v>
      </c>
      <c r="M1690" s="20" t="n">
        <f aca="false">IF(J1690&gt;0,K1690/J1690,0)</f>
        <v>-0.2394598933006</v>
      </c>
    </row>
    <row r="1691" customFormat="false" ht="15" hidden="false" customHeight="false" outlineLevel="0" collapsed="false">
      <c r="A1691" s="15" t="s">
        <v>1748</v>
      </c>
      <c r="B1691" s="16" t="n">
        <v>45601</v>
      </c>
      <c r="C1691" s="15" t="s">
        <v>68</v>
      </c>
      <c r="D1691" s="15" t="s">
        <v>42</v>
      </c>
      <c r="E1691" s="15" t="s">
        <v>39</v>
      </c>
      <c r="F1691" s="15" t="s">
        <v>18</v>
      </c>
      <c r="G1691" s="15" t="s">
        <v>30</v>
      </c>
      <c r="H1691" s="15" t="n">
        <v>6</v>
      </c>
      <c r="I1691" s="17" t="n">
        <v>0</v>
      </c>
      <c r="J1691" s="18" t="n">
        <v>231.13</v>
      </c>
      <c r="K1691" s="19" t="n">
        <v>66.19</v>
      </c>
      <c r="L1691" s="15" t="n">
        <f aca="false">YEAR(B1691)</f>
        <v>2024</v>
      </c>
      <c r="M1691" s="20" t="n">
        <f aca="false">IF(J1691&gt;0,K1691/J1691,0)</f>
        <v>0.286375632760784</v>
      </c>
    </row>
    <row r="1692" customFormat="false" ht="15" hidden="false" customHeight="false" outlineLevel="0" collapsed="false">
      <c r="A1692" s="15" t="s">
        <v>1749</v>
      </c>
      <c r="B1692" s="16" t="n">
        <v>45005</v>
      </c>
      <c r="C1692" s="15" t="s">
        <v>56</v>
      </c>
      <c r="D1692" s="15" t="s">
        <v>42</v>
      </c>
      <c r="E1692" s="15" t="s">
        <v>36</v>
      </c>
      <c r="F1692" s="15" t="s">
        <v>17</v>
      </c>
      <c r="G1692" s="15" t="s">
        <v>29</v>
      </c>
      <c r="H1692" s="15" t="n">
        <v>1</v>
      </c>
      <c r="I1692" s="17" t="n">
        <v>0</v>
      </c>
      <c r="J1692" s="18" t="n">
        <v>18.72</v>
      </c>
      <c r="K1692" s="19" t="n">
        <v>6.36</v>
      </c>
      <c r="L1692" s="15" t="n">
        <f aca="false">YEAR(B1692)</f>
        <v>2023</v>
      </c>
      <c r="M1692" s="20" t="n">
        <f aca="false">IF(J1692&gt;0,K1692/J1692,0)</f>
        <v>0.33974358974359</v>
      </c>
    </row>
    <row r="1693" customFormat="false" ht="15" hidden="false" customHeight="false" outlineLevel="0" collapsed="false">
      <c r="A1693" s="15" t="s">
        <v>1750</v>
      </c>
      <c r="B1693" s="16" t="n">
        <v>45301</v>
      </c>
      <c r="C1693" s="15" t="s">
        <v>56</v>
      </c>
      <c r="D1693" s="15" t="s">
        <v>43</v>
      </c>
      <c r="E1693" s="15" t="s">
        <v>39</v>
      </c>
      <c r="F1693" s="15" t="s">
        <v>17</v>
      </c>
      <c r="G1693" s="15" t="s">
        <v>29</v>
      </c>
      <c r="H1693" s="15" t="n">
        <v>3</v>
      </c>
      <c r="I1693" s="17" t="n">
        <v>0</v>
      </c>
      <c r="J1693" s="18" t="n">
        <v>56.22</v>
      </c>
      <c r="K1693" s="19" t="n">
        <v>21.3</v>
      </c>
      <c r="L1693" s="15" t="n">
        <f aca="false">YEAR(B1693)</f>
        <v>2024</v>
      </c>
      <c r="M1693" s="20" t="n">
        <f aca="false">IF(J1693&gt;0,K1693/J1693,0)</f>
        <v>0.378868729989328</v>
      </c>
    </row>
    <row r="1694" customFormat="false" ht="15" hidden="false" customHeight="false" outlineLevel="0" collapsed="false">
      <c r="A1694" s="15" t="s">
        <v>1751</v>
      </c>
      <c r="B1694" s="16" t="n">
        <v>45962</v>
      </c>
      <c r="C1694" s="15" t="s">
        <v>56</v>
      </c>
      <c r="D1694" s="15" t="s">
        <v>42</v>
      </c>
      <c r="E1694" s="15" t="s">
        <v>36</v>
      </c>
      <c r="F1694" s="15" t="s">
        <v>17</v>
      </c>
      <c r="G1694" s="15" t="s">
        <v>29</v>
      </c>
      <c r="H1694" s="15" t="n">
        <v>5</v>
      </c>
      <c r="I1694" s="17" t="n">
        <v>0</v>
      </c>
      <c r="J1694" s="18" t="n">
        <v>85.34</v>
      </c>
      <c r="K1694" s="19" t="n">
        <v>28.44</v>
      </c>
      <c r="L1694" s="15" t="n">
        <f aca="false">YEAR(B1694)</f>
        <v>2025</v>
      </c>
      <c r="M1694" s="20" t="n">
        <f aca="false">IF(J1694&gt;0,K1694/J1694,0)</f>
        <v>0.333255214436372</v>
      </c>
    </row>
    <row r="1695" customFormat="false" ht="15" hidden="false" customHeight="false" outlineLevel="0" collapsed="false">
      <c r="A1695" s="15" t="s">
        <v>1752</v>
      </c>
      <c r="B1695" s="16" t="n">
        <v>44623</v>
      </c>
      <c r="C1695" s="15" t="s">
        <v>71</v>
      </c>
      <c r="D1695" s="15" t="s">
        <v>44</v>
      </c>
      <c r="E1695" s="15" t="s">
        <v>38</v>
      </c>
      <c r="F1695" s="15" t="s">
        <v>18</v>
      </c>
      <c r="G1695" s="15" t="s">
        <v>32</v>
      </c>
      <c r="H1695" s="15" t="n">
        <v>3</v>
      </c>
      <c r="I1695" s="17" t="n">
        <v>0.4</v>
      </c>
      <c r="J1695" s="18" t="n">
        <v>694.07</v>
      </c>
      <c r="K1695" s="19" t="n">
        <v>-142.48</v>
      </c>
      <c r="L1695" s="15" t="n">
        <f aca="false">YEAR(B1695)</f>
        <v>2022</v>
      </c>
      <c r="M1695" s="20" t="n">
        <f aca="false">IF(J1695&gt;0,K1695/J1695,0)</f>
        <v>-0.205281887994006</v>
      </c>
    </row>
    <row r="1696" customFormat="false" ht="15" hidden="false" customHeight="false" outlineLevel="0" collapsed="false">
      <c r="A1696" s="15" t="s">
        <v>1753</v>
      </c>
      <c r="B1696" s="16" t="n">
        <v>46019</v>
      </c>
      <c r="C1696" s="15" t="s">
        <v>56</v>
      </c>
      <c r="D1696" s="15" t="s">
        <v>42</v>
      </c>
      <c r="E1696" s="15" t="s">
        <v>36</v>
      </c>
      <c r="F1696" s="15" t="s">
        <v>17</v>
      </c>
      <c r="G1696" s="15" t="s">
        <v>28</v>
      </c>
      <c r="H1696" s="15" t="n">
        <v>3</v>
      </c>
      <c r="I1696" s="17" t="n">
        <v>0</v>
      </c>
      <c r="J1696" s="18" t="n">
        <v>64.08</v>
      </c>
      <c r="K1696" s="19" t="n">
        <v>20.72</v>
      </c>
      <c r="L1696" s="15" t="n">
        <f aca="false">YEAR(B1696)</f>
        <v>2025</v>
      </c>
      <c r="M1696" s="20" t="n">
        <f aca="false">IF(J1696&gt;0,K1696/J1696,0)</f>
        <v>0.32334581772784</v>
      </c>
    </row>
    <row r="1697" customFormat="false" ht="15" hidden="false" customHeight="false" outlineLevel="0" collapsed="false">
      <c r="A1697" s="15" t="s">
        <v>1754</v>
      </c>
      <c r="B1697" s="16" t="n">
        <v>45258</v>
      </c>
      <c r="C1697" s="15" t="s">
        <v>58</v>
      </c>
      <c r="D1697" s="15" t="s">
        <v>42</v>
      </c>
      <c r="E1697" s="15" t="s">
        <v>38</v>
      </c>
      <c r="F1697" s="15" t="s">
        <v>16</v>
      </c>
      <c r="G1697" s="15" t="s">
        <v>25</v>
      </c>
      <c r="H1697" s="15" t="n">
        <v>4</v>
      </c>
      <c r="I1697" s="17" t="n">
        <v>0</v>
      </c>
      <c r="J1697" s="18" t="n">
        <v>903.51</v>
      </c>
      <c r="K1697" s="19" t="n">
        <v>85.72</v>
      </c>
      <c r="L1697" s="15" t="n">
        <f aca="false">YEAR(B1697)</f>
        <v>2023</v>
      </c>
      <c r="M1697" s="20" t="n">
        <f aca="false">IF(J1697&gt;0,K1697/J1697,0)</f>
        <v>0.0948744341512546</v>
      </c>
    </row>
    <row r="1698" customFormat="false" ht="15" hidden="false" customHeight="false" outlineLevel="0" collapsed="false">
      <c r="A1698" s="15" t="s">
        <v>1755</v>
      </c>
      <c r="B1698" s="16" t="n">
        <v>45869</v>
      </c>
      <c r="C1698" s="15" t="s">
        <v>58</v>
      </c>
      <c r="D1698" s="15" t="s">
        <v>42</v>
      </c>
      <c r="E1698" s="15" t="s">
        <v>39</v>
      </c>
      <c r="F1698" s="15" t="s">
        <v>18</v>
      </c>
      <c r="G1698" s="15" t="s">
        <v>30</v>
      </c>
      <c r="H1698" s="15" t="n">
        <v>3</v>
      </c>
      <c r="I1698" s="17" t="n">
        <v>0</v>
      </c>
      <c r="J1698" s="18" t="n">
        <v>141.32</v>
      </c>
      <c r="K1698" s="19" t="n">
        <v>34.12</v>
      </c>
      <c r="L1698" s="15" t="n">
        <f aca="false">YEAR(B1698)</f>
        <v>2025</v>
      </c>
      <c r="M1698" s="20" t="n">
        <f aca="false">IF(J1698&gt;0,K1698/J1698,0)</f>
        <v>0.241437871497311</v>
      </c>
    </row>
    <row r="1699" customFormat="false" ht="15" hidden="false" customHeight="false" outlineLevel="0" collapsed="false">
      <c r="A1699" s="15" t="s">
        <v>1756</v>
      </c>
      <c r="B1699" s="16" t="n">
        <v>44770</v>
      </c>
      <c r="C1699" s="15" t="s">
        <v>56</v>
      </c>
      <c r="D1699" s="15" t="s">
        <v>43</v>
      </c>
      <c r="E1699" s="15" t="s">
        <v>38</v>
      </c>
      <c r="F1699" s="15" t="s">
        <v>18</v>
      </c>
      <c r="G1699" s="15" t="s">
        <v>32</v>
      </c>
      <c r="H1699" s="15" t="n">
        <v>4</v>
      </c>
      <c r="I1699" s="17" t="n">
        <v>0.2</v>
      </c>
      <c r="J1699" s="18" t="n">
        <v>1206.69</v>
      </c>
      <c r="K1699" s="19" t="n">
        <v>-27.22</v>
      </c>
      <c r="L1699" s="15" t="n">
        <f aca="false">YEAR(B1699)</f>
        <v>2022</v>
      </c>
      <c r="M1699" s="20" t="n">
        <f aca="false">IF(J1699&gt;0,K1699/J1699,0)</f>
        <v>-0.0225575748535249</v>
      </c>
    </row>
    <row r="1700" customFormat="false" ht="15" hidden="false" customHeight="false" outlineLevel="0" collapsed="false">
      <c r="A1700" s="15" t="s">
        <v>1757</v>
      </c>
      <c r="B1700" s="16" t="n">
        <v>44563</v>
      </c>
      <c r="C1700" s="15" t="s">
        <v>56</v>
      </c>
      <c r="D1700" s="15" t="s">
        <v>42</v>
      </c>
      <c r="E1700" s="15" t="s">
        <v>37</v>
      </c>
      <c r="F1700" s="15" t="s">
        <v>18</v>
      </c>
      <c r="G1700" s="15" t="s">
        <v>32</v>
      </c>
      <c r="H1700" s="15" t="n">
        <v>3</v>
      </c>
      <c r="I1700" s="17" t="n">
        <v>0</v>
      </c>
      <c r="J1700" s="18" t="n">
        <v>1224.26</v>
      </c>
      <c r="K1700" s="19" t="n">
        <v>172.74</v>
      </c>
      <c r="L1700" s="15" t="n">
        <f aca="false">YEAR(B1700)</f>
        <v>2022</v>
      </c>
      <c r="M1700" s="20" t="n">
        <f aca="false">IF(J1700&gt;0,K1700/J1700,0)</f>
        <v>0.141097479293614</v>
      </c>
    </row>
    <row r="1701" customFormat="false" ht="15" hidden="false" customHeight="false" outlineLevel="0" collapsed="false">
      <c r="A1701" s="15" t="s">
        <v>1758</v>
      </c>
      <c r="B1701" s="16" t="n">
        <v>45584</v>
      </c>
      <c r="C1701" s="15" t="s">
        <v>56</v>
      </c>
      <c r="D1701" s="15" t="s">
        <v>44</v>
      </c>
      <c r="E1701" s="15" t="s">
        <v>39</v>
      </c>
      <c r="F1701" s="15" t="s">
        <v>17</v>
      </c>
      <c r="G1701" s="15" t="s">
        <v>28</v>
      </c>
      <c r="H1701" s="15" t="n">
        <v>2</v>
      </c>
      <c r="I1701" s="17" t="n">
        <v>0.1</v>
      </c>
      <c r="J1701" s="18" t="n">
        <v>52.24</v>
      </c>
      <c r="K1701" s="19" t="n">
        <v>9.51</v>
      </c>
      <c r="L1701" s="15" t="n">
        <f aca="false">YEAR(B1701)</f>
        <v>2024</v>
      </c>
      <c r="M1701" s="20" t="n">
        <f aca="false">IF(J1701&gt;0,K1701/J1701,0)</f>
        <v>0.182044410413476</v>
      </c>
    </row>
    <row r="1702" customFormat="false" ht="15" hidden="false" customHeight="false" outlineLevel="0" collapsed="false">
      <c r="A1702" s="15" t="s">
        <v>1759</v>
      </c>
      <c r="B1702" s="16" t="n">
        <v>45285</v>
      </c>
      <c r="C1702" s="15" t="s">
        <v>56</v>
      </c>
      <c r="D1702" s="15" t="s">
        <v>42</v>
      </c>
      <c r="E1702" s="15" t="s">
        <v>37</v>
      </c>
      <c r="F1702" s="15" t="s">
        <v>16</v>
      </c>
      <c r="G1702" s="15" t="s">
        <v>23</v>
      </c>
      <c r="H1702" s="15" t="n">
        <v>2</v>
      </c>
      <c r="I1702" s="17" t="n">
        <v>0</v>
      </c>
      <c r="J1702" s="18" t="n">
        <v>617.68</v>
      </c>
      <c r="K1702" s="19" t="n">
        <v>4.05</v>
      </c>
      <c r="L1702" s="15" t="n">
        <f aca="false">YEAR(B1702)</f>
        <v>2023</v>
      </c>
      <c r="M1702" s="20" t="n">
        <f aca="false">IF(J1702&gt;0,K1702/J1702,0)</f>
        <v>0.00655679316150758</v>
      </c>
    </row>
    <row r="1703" customFormat="false" ht="15" hidden="false" customHeight="false" outlineLevel="0" collapsed="false">
      <c r="A1703" s="15" t="s">
        <v>1760</v>
      </c>
      <c r="B1703" s="16" t="n">
        <v>45558</v>
      </c>
      <c r="C1703" s="15" t="s">
        <v>56</v>
      </c>
      <c r="D1703" s="15" t="s">
        <v>42</v>
      </c>
      <c r="E1703" s="15" t="s">
        <v>36</v>
      </c>
      <c r="F1703" s="15" t="s">
        <v>17</v>
      </c>
      <c r="G1703" s="15" t="s">
        <v>28</v>
      </c>
      <c r="H1703" s="15" t="n">
        <v>5</v>
      </c>
      <c r="I1703" s="17" t="n">
        <v>0</v>
      </c>
      <c r="J1703" s="18" t="n">
        <v>136.86</v>
      </c>
      <c r="K1703" s="19" t="n">
        <v>42.47</v>
      </c>
      <c r="L1703" s="15" t="n">
        <f aca="false">YEAR(B1703)</f>
        <v>2024</v>
      </c>
      <c r="M1703" s="20" t="n">
        <f aca="false">IF(J1703&gt;0,K1703/J1703,0)</f>
        <v>0.310317112377612</v>
      </c>
    </row>
    <row r="1704" customFormat="false" ht="15" hidden="false" customHeight="false" outlineLevel="0" collapsed="false">
      <c r="A1704" s="15" t="s">
        <v>1761</v>
      </c>
      <c r="B1704" s="16" t="n">
        <v>44911</v>
      </c>
      <c r="C1704" s="15" t="s">
        <v>56</v>
      </c>
      <c r="D1704" s="15" t="s">
        <v>43</v>
      </c>
      <c r="E1704" s="15" t="s">
        <v>38</v>
      </c>
      <c r="F1704" s="15" t="s">
        <v>18</v>
      </c>
      <c r="G1704" s="15" t="s">
        <v>32</v>
      </c>
      <c r="H1704" s="15" t="n">
        <v>1</v>
      </c>
      <c r="I1704" s="17" t="n">
        <v>0.4</v>
      </c>
      <c r="J1704" s="18" t="n">
        <v>220.47</v>
      </c>
      <c r="K1704" s="19" t="n">
        <v>-31.03</v>
      </c>
      <c r="L1704" s="15" t="n">
        <f aca="false">YEAR(B1704)</f>
        <v>2022</v>
      </c>
      <c r="M1704" s="20" t="n">
        <f aca="false">IF(J1704&gt;0,K1704/J1704,0)</f>
        <v>-0.14074477253141</v>
      </c>
    </row>
    <row r="1705" customFormat="false" ht="15" hidden="false" customHeight="false" outlineLevel="0" collapsed="false">
      <c r="A1705" s="15" t="s">
        <v>1762</v>
      </c>
      <c r="B1705" s="16" t="n">
        <v>44616</v>
      </c>
      <c r="C1705" s="15" t="s">
        <v>68</v>
      </c>
      <c r="D1705" s="15" t="s">
        <v>43</v>
      </c>
      <c r="E1705" s="15" t="s">
        <v>39</v>
      </c>
      <c r="F1705" s="15" t="s">
        <v>18</v>
      </c>
      <c r="G1705" s="15" t="s">
        <v>30</v>
      </c>
      <c r="H1705" s="15" t="n">
        <v>2</v>
      </c>
      <c r="I1705" s="17" t="n">
        <v>0.2</v>
      </c>
      <c r="J1705" s="18" t="n">
        <v>81.65</v>
      </c>
      <c r="K1705" s="19" t="n">
        <v>7.72</v>
      </c>
      <c r="L1705" s="15" t="n">
        <f aca="false">YEAR(B1705)</f>
        <v>2022</v>
      </c>
      <c r="M1705" s="20" t="n">
        <f aca="false">IF(J1705&gt;0,K1705/J1705,0)</f>
        <v>0.0945499081445193</v>
      </c>
    </row>
    <row r="1706" customFormat="false" ht="15" hidden="false" customHeight="false" outlineLevel="0" collapsed="false">
      <c r="A1706" s="15" t="s">
        <v>1763</v>
      </c>
      <c r="B1706" s="16" t="n">
        <v>44896</v>
      </c>
      <c r="C1706" s="15" t="s">
        <v>71</v>
      </c>
      <c r="D1706" s="15" t="s">
        <v>44</v>
      </c>
      <c r="E1706" s="15" t="s">
        <v>39</v>
      </c>
      <c r="F1706" s="15" t="s">
        <v>17</v>
      </c>
      <c r="G1706" s="15" t="s">
        <v>31</v>
      </c>
      <c r="H1706" s="15" t="n">
        <v>6</v>
      </c>
      <c r="I1706" s="17" t="n">
        <v>0.1</v>
      </c>
      <c r="J1706" s="18" t="n">
        <v>897.9</v>
      </c>
      <c r="K1706" s="19" t="n">
        <v>112.51</v>
      </c>
      <c r="L1706" s="15" t="n">
        <f aca="false">YEAR(B1706)</f>
        <v>2022</v>
      </c>
      <c r="M1706" s="20" t="n">
        <f aca="false">IF(J1706&gt;0,K1706/J1706,0)</f>
        <v>0.125303485911571</v>
      </c>
    </row>
    <row r="1707" customFormat="false" ht="15" hidden="false" customHeight="false" outlineLevel="0" collapsed="false">
      <c r="A1707" s="15" t="s">
        <v>1764</v>
      </c>
      <c r="B1707" s="16" t="n">
        <v>45346</v>
      </c>
      <c r="C1707" s="15" t="s">
        <v>68</v>
      </c>
      <c r="D1707" s="15" t="s">
        <v>43</v>
      </c>
      <c r="E1707" s="15" t="s">
        <v>36</v>
      </c>
      <c r="F1707" s="15" t="s">
        <v>16</v>
      </c>
      <c r="G1707" s="15" t="s">
        <v>25</v>
      </c>
      <c r="H1707" s="15" t="n">
        <v>3</v>
      </c>
      <c r="I1707" s="17" t="n">
        <v>0</v>
      </c>
      <c r="J1707" s="18" t="n">
        <v>741.33</v>
      </c>
      <c r="K1707" s="19" t="n">
        <v>40.1</v>
      </c>
      <c r="L1707" s="15" t="n">
        <f aca="false">YEAR(B1707)</f>
        <v>2024</v>
      </c>
      <c r="M1707" s="20" t="n">
        <f aca="false">IF(J1707&gt;0,K1707/J1707,0)</f>
        <v>0.0540919698379939</v>
      </c>
    </row>
    <row r="1708" customFormat="false" ht="15" hidden="false" customHeight="false" outlineLevel="0" collapsed="false">
      <c r="A1708" s="15" t="s">
        <v>1765</v>
      </c>
      <c r="B1708" s="16" t="n">
        <v>45628</v>
      </c>
      <c r="C1708" s="15" t="s">
        <v>56</v>
      </c>
      <c r="D1708" s="15" t="s">
        <v>43</v>
      </c>
      <c r="E1708" s="15" t="s">
        <v>36</v>
      </c>
      <c r="F1708" s="15" t="s">
        <v>17</v>
      </c>
      <c r="G1708" s="15" t="s">
        <v>28</v>
      </c>
      <c r="H1708" s="15" t="n">
        <v>2</v>
      </c>
      <c r="I1708" s="17" t="n">
        <v>0</v>
      </c>
      <c r="J1708" s="18" t="n">
        <v>52.02</v>
      </c>
      <c r="K1708" s="19" t="n">
        <v>17.92</v>
      </c>
      <c r="L1708" s="15" t="n">
        <f aca="false">YEAR(B1708)</f>
        <v>2024</v>
      </c>
      <c r="M1708" s="20" t="n">
        <f aca="false">IF(J1708&gt;0,K1708/J1708,0)</f>
        <v>0.344482891195694</v>
      </c>
    </row>
    <row r="1709" customFormat="false" ht="15" hidden="false" customHeight="false" outlineLevel="0" collapsed="false">
      <c r="A1709" s="15" t="s">
        <v>1766</v>
      </c>
      <c r="B1709" s="16" t="n">
        <v>45253</v>
      </c>
      <c r="C1709" s="15" t="s">
        <v>68</v>
      </c>
      <c r="D1709" s="15" t="s">
        <v>42</v>
      </c>
      <c r="E1709" s="15" t="s">
        <v>36</v>
      </c>
      <c r="F1709" s="15" t="s">
        <v>17</v>
      </c>
      <c r="G1709" s="15" t="s">
        <v>31</v>
      </c>
      <c r="H1709" s="15" t="n">
        <v>3</v>
      </c>
      <c r="I1709" s="17" t="n">
        <v>0</v>
      </c>
      <c r="J1709" s="18" t="n">
        <v>413.89</v>
      </c>
      <c r="K1709" s="19" t="n">
        <v>61.43</v>
      </c>
      <c r="L1709" s="15" t="n">
        <f aca="false">YEAR(B1709)</f>
        <v>2023</v>
      </c>
      <c r="M1709" s="20" t="n">
        <f aca="false">IF(J1709&gt;0,K1709/J1709,0)</f>
        <v>0.14842107806422</v>
      </c>
    </row>
    <row r="1710" customFormat="false" ht="15" hidden="false" customHeight="false" outlineLevel="0" collapsed="false">
      <c r="A1710" s="15" t="s">
        <v>1767</v>
      </c>
      <c r="B1710" s="16" t="n">
        <v>45851</v>
      </c>
      <c r="C1710" s="15" t="s">
        <v>71</v>
      </c>
      <c r="D1710" s="15" t="s">
        <v>43</v>
      </c>
      <c r="E1710" s="15" t="s">
        <v>36</v>
      </c>
      <c r="F1710" s="15" t="s">
        <v>17</v>
      </c>
      <c r="G1710" s="15" t="s">
        <v>29</v>
      </c>
      <c r="H1710" s="15" t="n">
        <v>2</v>
      </c>
      <c r="I1710" s="17" t="n">
        <v>0</v>
      </c>
      <c r="J1710" s="18" t="n">
        <v>33.82</v>
      </c>
      <c r="K1710" s="19" t="n">
        <v>14.97</v>
      </c>
      <c r="L1710" s="15" t="n">
        <f aca="false">YEAR(B1710)</f>
        <v>2025</v>
      </c>
      <c r="M1710" s="20" t="n">
        <f aca="false">IF(J1710&gt;0,K1710/J1710,0)</f>
        <v>0.442637492607924</v>
      </c>
    </row>
    <row r="1711" customFormat="false" ht="15" hidden="false" customHeight="false" outlineLevel="0" collapsed="false">
      <c r="A1711" s="15" t="s">
        <v>1768</v>
      </c>
      <c r="B1711" s="16" t="n">
        <v>45233</v>
      </c>
      <c r="C1711" s="15" t="s">
        <v>71</v>
      </c>
      <c r="D1711" s="15" t="s">
        <v>44</v>
      </c>
      <c r="E1711" s="15" t="s">
        <v>37</v>
      </c>
      <c r="F1711" s="15" t="s">
        <v>16</v>
      </c>
      <c r="G1711" s="15" t="s">
        <v>27</v>
      </c>
      <c r="H1711" s="15" t="n">
        <v>2</v>
      </c>
      <c r="I1711" s="17" t="n">
        <v>0</v>
      </c>
      <c r="J1711" s="18" t="n">
        <v>153.7</v>
      </c>
      <c r="K1711" s="19" t="n">
        <v>29.73</v>
      </c>
      <c r="L1711" s="15" t="n">
        <f aca="false">YEAR(B1711)</f>
        <v>2023</v>
      </c>
      <c r="M1711" s="20" t="n">
        <f aca="false">IF(J1711&gt;0,K1711/J1711,0)</f>
        <v>0.193428757319454</v>
      </c>
    </row>
    <row r="1712" customFormat="false" ht="15" hidden="false" customHeight="false" outlineLevel="0" collapsed="false">
      <c r="A1712" s="15" t="s">
        <v>1769</v>
      </c>
      <c r="B1712" s="16" t="n">
        <v>45789</v>
      </c>
      <c r="C1712" s="15" t="s">
        <v>68</v>
      </c>
      <c r="D1712" s="15" t="s">
        <v>43</v>
      </c>
      <c r="E1712" s="15" t="s">
        <v>37</v>
      </c>
      <c r="F1712" s="15" t="s">
        <v>17</v>
      </c>
      <c r="G1712" s="15" t="s">
        <v>29</v>
      </c>
      <c r="H1712" s="15" t="n">
        <v>5</v>
      </c>
      <c r="I1712" s="17" t="n">
        <v>0</v>
      </c>
      <c r="J1712" s="18" t="n">
        <v>97.52</v>
      </c>
      <c r="K1712" s="19" t="n">
        <v>36</v>
      </c>
      <c r="L1712" s="15" t="n">
        <f aca="false">YEAR(B1712)</f>
        <v>2025</v>
      </c>
      <c r="M1712" s="20" t="n">
        <f aca="false">IF(J1712&gt;0,K1712/J1712,0)</f>
        <v>0.36915504511895</v>
      </c>
    </row>
    <row r="1713" customFormat="false" ht="15" hidden="false" customHeight="false" outlineLevel="0" collapsed="false">
      <c r="A1713" s="15" t="s">
        <v>1770</v>
      </c>
      <c r="B1713" s="16" t="n">
        <v>44945</v>
      </c>
      <c r="C1713" s="15" t="s">
        <v>71</v>
      </c>
      <c r="D1713" s="15" t="s">
        <v>42</v>
      </c>
      <c r="E1713" s="15" t="s">
        <v>38</v>
      </c>
      <c r="F1713" s="15" t="s">
        <v>17</v>
      </c>
      <c r="G1713" s="15" t="s">
        <v>29</v>
      </c>
      <c r="H1713" s="15" t="n">
        <v>6</v>
      </c>
      <c r="I1713" s="17" t="n">
        <v>0</v>
      </c>
      <c r="J1713" s="18" t="n">
        <v>100.92</v>
      </c>
      <c r="K1713" s="19" t="n">
        <v>41.28</v>
      </c>
      <c r="L1713" s="15" t="n">
        <f aca="false">YEAR(B1713)</f>
        <v>2023</v>
      </c>
      <c r="M1713" s="20" t="n">
        <f aca="false">IF(J1713&gt;0,K1713/J1713,0)</f>
        <v>0.409036860879905</v>
      </c>
    </row>
    <row r="1714" customFormat="false" ht="15" hidden="false" customHeight="false" outlineLevel="0" collapsed="false">
      <c r="A1714" s="15" t="s">
        <v>1771</v>
      </c>
      <c r="B1714" s="16" t="n">
        <v>45960</v>
      </c>
      <c r="C1714" s="15" t="s">
        <v>58</v>
      </c>
      <c r="D1714" s="15" t="s">
        <v>42</v>
      </c>
      <c r="E1714" s="15" t="s">
        <v>37</v>
      </c>
      <c r="F1714" s="15" t="s">
        <v>18</v>
      </c>
      <c r="G1714" s="15" t="s">
        <v>32</v>
      </c>
      <c r="H1714" s="15" t="n">
        <v>5</v>
      </c>
      <c r="I1714" s="17" t="n">
        <v>0.4</v>
      </c>
      <c r="J1714" s="18" t="n">
        <v>1468.75</v>
      </c>
      <c r="K1714" s="19" t="n">
        <v>-364</v>
      </c>
      <c r="L1714" s="15" t="n">
        <f aca="false">YEAR(B1714)</f>
        <v>2025</v>
      </c>
      <c r="M1714" s="20" t="n">
        <f aca="false">IF(J1714&gt;0,K1714/J1714,0)</f>
        <v>-0.247829787234043</v>
      </c>
    </row>
    <row r="1715" customFormat="false" ht="15" hidden="false" customHeight="false" outlineLevel="0" collapsed="false">
      <c r="A1715" s="15" t="s">
        <v>1772</v>
      </c>
      <c r="B1715" s="16" t="n">
        <v>45859</v>
      </c>
      <c r="C1715" s="15" t="s">
        <v>56</v>
      </c>
      <c r="D1715" s="15" t="s">
        <v>42</v>
      </c>
      <c r="E1715" s="15" t="s">
        <v>37</v>
      </c>
      <c r="F1715" s="15" t="s">
        <v>17</v>
      </c>
      <c r="G1715" s="15" t="s">
        <v>29</v>
      </c>
      <c r="H1715" s="15" t="n">
        <v>4</v>
      </c>
      <c r="I1715" s="17" t="n">
        <v>0.05</v>
      </c>
      <c r="J1715" s="18" t="n">
        <v>74.02</v>
      </c>
      <c r="K1715" s="19" t="n">
        <v>24.68</v>
      </c>
      <c r="L1715" s="15" t="n">
        <f aca="false">YEAR(B1715)</f>
        <v>2025</v>
      </c>
      <c r="M1715" s="20" t="n">
        <f aca="false">IF(J1715&gt;0,K1715/J1715,0)</f>
        <v>0.333423399081329</v>
      </c>
    </row>
    <row r="1716" customFormat="false" ht="15" hidden="false" customHeight="false" outlineLevel="0" collapsed="false">
      <c r="A1716" s="15" t="s">
        <v>1773</v>
      </c>
      <c r="B1716" s="16" t="n">
        <v>45131</v>
      </c>
      <c r="C1716" s="15" t="s">
        <v>71</v>
      </c>
      <c r="D1716" s="15" t="s">
        <v>43</v>
      </c>
      <c r="E1716" s="15" t="s">
        <v>39</v>
      </c>
      <c r="F1716" s="15" t="s">
        <v>17</v>
      </c>
      <c r="G1716" s="15" t="s">
        <v>26</v>
      </c>
      <c r="H1716" s="15" t="n">
        <v>3</v>
      </c>
      <c r="I1716" s="17" t="n">
        <v>0</v>
      </c>
      <c r="J1716" s="18" t="n">
        <v>275.36</v>
      </c>
      <c r="K1716" s="19" t="n">
        <v>32.47</v>
      </c>
      <c r="L1716" s="15" t="n">
        <f aca="false">YEAR(B1716)</f>
        <v>2023</v>
      </c>
      <c r="M1716" s="20" t="n">
        <f aca="false">IF(J1716&gt;0,K1716/J1716,0)</f>
        <v>0.11791836141778</v>
      </c>
    </row>
    <row r="1717" customFormat="false" ht="15" hidden="false" customHeight="false" outlineLevel="0" collapsed="false">
      <c r="A1717" s="15" t="s">
        <v>1774</v>
      </c>
      <c r="B1717" s="16" t="n">
        <v>45668</v>
      </c>
      <c r="C1717" s="15" t="s">
        <v>71</v>
      </c>
      <c r="D1717" s="15" t="s">
        <v>42</v>
      </c>
      <c r="E1717" s="15" t="s">
        <v>39</v>
      </c>
      <c r="F1717" s="15" t="s">
        <v>17</v>
      </c>
      <c r="G1717" s="15" t="s">
        <v>26</v>
      </c>
      <c r="H1717" s="15" t="n">
        <v>3</v>
      </c>
      <c r="I1717" s="17" t="n">
        <v>0</v>
      </c>
      <c r="J1717" s="18" t="n">
        <v>274.66</v>
      </c>
      <c r="K1717" s="19" t="n">
        <v>36.75</v>
      </c>
      <c r="L1717" s="15" t="n">
        <f aca="false">YEAR(B1717)</f>
        <v>2025</v>
      </c>
      <c r="M1717" s="20" t="n">
        <f aca="false">IF(J1717&gt;0,K1717/J1717,0)</f>
        <v>0.133801791305614</v>
      </c>
    </row>
    <row r="1718" customFormat="false" ht="15" hidden="false" customHeight="false" outlineLevel="0" collapsed="false">
      <c r="A1718" s="15" t="s">
        <v>1775</v>
      </c>
      <c r="B1718" s="16" t="n">
        <v>45462</v>
      </c>
      <c r="C1718" s="15" t="s">
        <v>56</v>
      </c>
      <c r="D1718" s="15" t="s">
        <v>42</v>
      </c>
      <c r="E1718" s="15" t="s">
        <v>39</v>
      </c>
      <c r="F1718" s="15" t="s">
        <v>16</v>
      </c>
      <c r="G1718" s="15" t="s">
        <v>27</v>
      </c>
      <c r="H1718" s="15" t="n">
        <v>4</v>
      </c>
      <c r="I1718" s="17" t="n">
        <v>0.5</v>
      </c>
      <c r="J1718" s="18" t="n">
        <v>141.54</v>
      </c>
      <c r="K1718" s="19" t="n">
        <v>-44.52</v>
      </c>
      <c r="L1718" s="15" t="n">
        <f aca="false">YEAR(B1718)</f>
        <v>2024</v>
      </c>
      <c r="M1718" s="20" t="n">
        <f aca="false">IF(J1718&gt;0,K1718/J1718,0)</f>
        <v>-0.314540059347181</v>
      </c>
    </row>
    <row r="1719" customFormat="false" ht="15" hidden="false" customHeight="false" outlineLevel="0" collapsed="false">
      <c r="A1719" s="15" t="s">
        <v>1776</v>
      </c>
      <c r="B1719" s="16" t="n">
        <v>45281</v>
      </c>
      <c r="C1719" s="15" t="s">
        <v>71</v>
      </c>
      <c r="D1719" s="15" t="s">
        <v>43</v>
      </c>
      <c r="E1719" s="15" t="s">
        <v>38</v>
      </c>
      <c r="F1719" s="15" t="s">
        <v>17</v>
      </c>
      <c r="G1719" s="15" t="s">
        <v>31</v>
      </c>
      <c r="H1719" s="15" t="n">
        <v>6</v>
      </c>
      <c r="I1719" s="17" t="n">
        <v>0</v>
      </c>
      <c r="J1719" s="18" t="n">
        <v>709.14</v>
      </c>
      <c r="K1719" s="19" t="n">
        <v>122.04</v>
      </c>
      <c r="L1719" s="15" t="n">
        <f aca="false">YEAR(B1719)</f>
        <v>2023</v>
      </c>
      <c r="M1719" s="20" t="n">
        <f aca="false">IF(J1719&gt;0,K1719/J1719,0)</f>
        <v>0.172095777984601</v>
      </c>
    </row>
    <row r="1720" customFormat="false" ht="15" hidden="false" customHeight="false" outlineLevel="0" collapsed="false">
      <c r="A1720" s="15" t="s">
        <v>1777</v>
      </c>
      <c r="B1720" s="16" t="n">
        <v>44579</v>
      </c>
      <c r="C1720" s="15" t="s">
        <v>56</v>
      </c>
      <c r="D1720" s="15" t="s">
        <v>42</v>
      </c>
      <c r="E1720" s="15" t="s">
        <v>36</v>
      </c>
      <c r="F1720" s="15" t="s">
        <v>18</v>
      </c>
      <c r="G1720" s="15" t="s">
        <v>33</v>
      </c>
      <c r="H1720" s="15" t="n">
        <v>3</v>
      </c>
      <c r="I1720" s="17" t="n">
        <v>0</v>
      </c>
      <c r="J1720" s="18" t="n">
        <v>2454.34</v>
      </c>
      <c r="K1720" s="19" t="n">
        <v>824.04</v>
      </c>
      <c r="L1720" s="15" t="n">
        <f aca="false">YEAR(B1720)</f>
        <v>2022</v>
      </c>
      <c r="M1720" s="20" t="n">
        <f aca="false">IF(J1720&gt;0,K1720/J1720,0)</f>
        <v>0.335748103359763</v>
      </c>
    </row>
    <row r="1721" customFormat="false" ht="15" hidden="false" customHeight="false" outlineLevel="0" collapsed="false">
      <c r="A1721" s="15" t="s">
        <v>1778</v>
      </c>
      <c r="B1721" s="16" t="n">
        <v>44696</v>
      </c>
      <c r="C1721" s="15" t="s">
        <v>56</v>
      </c>
      <c r="D1721" s="15" t="s">
        <v>42</v>
      </c>
      <c r="E1721" s="15" t="s">
        <v>36</v>
      </c>
      <c r="F1721" s="15" t="s">
        <v>17</v>
      </c>
      <c r="G1721" s="15" t="s">
        <v>28</v>
      </c>
      <c r="H1721" s="15" t="n">
        <v>3</v>
      </c>
      <c r="I1721" s="17" t="n">
        <v>0.2</v>
      </c>
      <c r="J1721" s="18" t="n">
        <v>51.05</v>
      </c>
      <c r="K1721" s="19" t="n">
        <v>6.29</v>
      </c>
      <c r="L1721" s="15" t="n">
        <f aca="false">YEAR(B1721)</f>
        <v>2022</v>
      </c>
      <c r="M1721" s="20" t="n">
        <f aca="false">IF(J1721&gt;0,K1721/J1721,0)</f>
        <v>0.123212536728697</v>
      </c>
    </row>
    <row r="1722" customFormat="false" ht="15" hidden="false" customHeight="false" outlineLevel="0" collapsed="false">
      <c r="A1722" s="15" t="s">
        <v>1779</v>
      </c>
      <c r="B1722" s="16" t="n">
        <v>45545</v>
      </c>
      <c r="C1722" s="15" t="s">
        <v>68</v>
      </c>
      <c r="D1722" s="15" t="s">
        <v>42</v>
      </c>
      <c r="E1722" s="15" t="s">
        <v>39</v>
      </c>
      <c r="F1722" s="15" t="s">
        <v>18</v>
      </c>
      <c r="G1722" s="15" t="s">
        <v>30</v>
      </c>
      <c r="H1722" s="15" t="n">
        <v>6</v>
      </c>
      <c r="I1722" s="17" t="n">
        <v>0.3</v>
      </c>
      <c r="J1722" s="18" t="n">
        <v>208.49</v>
      </c>
      <c r="K1722" s="19" t="n">
        <v>19.96</v>
      </c>
      <c r="L1722" s="15" t="n">
        <f aca="false">YEAR(B1722)</f>
        <v>2024</v>
      </c>
      <c r="M1722" s="20" t="n">
        <f aca="false">IF(J1722&gt;0,K1722/J1722,0)</f>
        <v>0.0957360065230946</v>
      </c>
    </row>
    <row r="1723" customFormat="false" ht="15" hidden="false" customHeight="false" outlineLevel="0" collapsed="false">
      <c r="A1723" s="15" t="s">
        <v>1780</v>
      </c>
      <c r="B1723" s="16" t="n">
        <v>44764</v>
      </c>
      <c r="C1723" s="15" t="s">
        <v>71</v>
      </c>
      <c r="D1723" s="15" t="s">
        <v>42</v>
      </c>
      <c r="E1723" s="15" t="s">
        <v>36</v>
      </c>
      <c r="F1723" s="15" t="s">
        <v>18</v>
      </c>
      <c r="G1723" s="15" t="s">
        <v>32</v>
      </c>
      <c r="H1723" s="15" t="n">
        <v>6</v>
      </c>
      <c r="I1723" s="17" t="n">
        <v>0.5</v>
      </c>
      <c r="J1723" s="18" t="n">
        <v>1152.21</v>
      </c>
      <c r="K1723" s="19" t="n">
        <v>-175.29</v>
      </c>
      <c r="L1723" s="15" t="n">
        <f aca="false">YEAR(B1723)</f>
        <v>2022</v>
      </c>
      <c r="M1723" s="20" t="n">
        <f aca="false">IF(J1723&gt;0,K1723/J1723,0)</f>
        <v>-0.152133725622933</v>
      </c>
    </row>
    <row r="1724" customFormat="false" ht="15" hidden="false" customHeight="false" outlineLevel="0" collapsed="false">
      <c r="A1724" s="15" t="s">
        <v>1781</v>
      </c>
      <c r="B1724" s="16" t="n">
        <v>46006</v>
      </c>
      <c r="C1724" s="15" t="s">
        <v>56</v>
      </c>
      <c r="D1724" s="15" t="s">
        <v>42</v>
      </c>
      <c r="E1724" s="15" t="s">
        <v>36</v>
      </c>
      <c r="F1724" s="15" t="s">
        <v>16</v>
      </c>
      <c r="G1724" s="15" t="s">
        <v>27</v>
      </c>
      <c r="H1724" s="15" t="n">
        <v>3</v>
      </c>
      <c r="I1724" s="17" t="n">
        <v>0</v>
      </c>
      <c r="J1724" s="18" t="n">
        <v>165.93</v>
      </c>
      <c r="K1724" s="19" t="n">
        <v>42.29</v>
      </c>
      <c r="L1724" s="15" t="n">
        <f aca="false">YEAR(B1724)</f>
        <v>2025</v>
      </c>
      <c r="M1724" s="20" t="n">
        <f aca="false">IF(J1724&gt;0,K1724/J1724,0)</f>
        <v>0.254866509974085</v>
      </c>
    </row>
    <row r="1725" customFormat="false" ht="15" hidden="false" customHeight="false" outlineLevel="0" collapsed="false">
      <c r="A1725" s="15" t="s">
        <v>1782</v>
      </c>
      <c r="B1725" s="16" t="n">
        <v>45280</v>
      </c>
      <c r="C1725" s="15" t="s">
        <v>56</v>
      </c>
      <c r="D1725" s="15" t="s">
        <v>44</v>
      </c>
      <c r="E1725" s="15" t="s">
        <v>38</v>
      </c>
      <c r="F1725" s="15" t="s">
        <v>16</v>
      </c>
      <c r="G1725" s="15" t="s">
        <v>22</v>
      </c>
      <c r="H1725" s="15" t="n">
        <v>2</v>
      </c>
      <c r="I1725" s="17" t="n">
        <v>0.05</v>
      </c>
      <c r="J1725" s="18" t="n">
        <v>904.13</v>
      </c>
      <c r="K1725" s="19" t="n">
        <v>-73.93</v>
      </c>
      <c r="L1725" s="15" t="n">
        <f aca="false">YEAR(B1725)</f>
        <v>2023</v>
      </c>
      <c r="M1725" s="20" t="n">
        <f aca="false">IF(J1725&gt;0,K1725/J1725,0)</f>
        <v>-0.0817692146040946</v>
      </c>
    </row>
    <row r="1726" customFormat="false" ht="15" hidden="false" customHeight="false" outlineLevel="0" collapsed="false">
      <c r="A1726" s="15" t="s">
        <v>1783</v>
      </c>
      <c r="B1726" s="16" t="n">
        <v>45562</v>
      </c>
      <c r="C1726" s="15" t="s">
        <v>56</v>
      </c>
      <c r="D1726" s="15" t="s">
        <v>42</v>
      </c>
      <c r="E1726" s="15" t="s">
        <v>37</v>
      </c>
      <c r="F1726" s="15" t="s">
        <v>16</v>
      </c>
      <c r="G1726" s="15" t="s">
        <v>25</v>
      </c>
      <c r="H1726" s="15" t="n">
        <v>4</v>
      </c>
      <c r="I1726" s="17" t="n">
        <v>0</v>
      </c>
      <c r="J1726" s="18" t="n">
        <v>1005.61</v>
      </c>
      <c r="K1726" s="19" t="n">
        <v>151.62</v>
      </c>
      <c r="L1726" s="15" t="n">
        <f aca="false">YEAR(B1726)</f>
        <v>2024</v>
      </c>
      <c r="M1726" s="20" t="n">
        <f aca="false">IF(J1726&gt;0,K1726/J1726,0)</f>
        <v>0.150774156979346</v>
      </c>
    </row>
    <row r="1727" customFormat="false" ht="15" hidden="false" customHeight="false" outlineLevel="0" collapsed="false">
      <c r="A1727" s="15" t="s">
        <v>1784</v>
      </c>
      <c r="B1727" s="16" t="n">
        <v>45251</v>
      </c>
      <c r="C1727" s="15" t="s">
        <v>68</v>
      </c>
      <c r="D1727" s="15" t="s">
        <v>43</v>
      </c>
      <c r="E1727" s="15" t="s">
        <v>37</v>
      </c>
      <c r="F1727" s="15" t="s">
        <v>16</v>
      </c>
      <c r="G1727" s="15" t="s">
        <v>25</v>
      </c>
      <c r="H1727" s="15" t="n">
        <v>3</v>
      </c>
      <c r="I1727" s="17" t="n">
        <v>0</v>
      </c>
      <c r="J1727" s="18" t="n">
        <v>980.16</v>
      </c>
      <c r="K1727" s="19" t="n">
        <v>206.28</v>
      </c>
      <c r="L1727" s="15" t="n">
        <f aca="false">YEAR(B1727)</f>
        <v>2023</v>
      </c>
      <c r="M1727" s="20" t="n">
        <f aca="false">IF(J1727&gt;0,K1727/J1727,0)</f>
        <v>0.210455435847209</v>
      </c>
    </row>
    <row r="1728" customFormat="false" ht="15" hidden="false" customHeight="false" outlineLevel="0" collapsed="false">
      <c r="A1728" s="15" t="s">
        <v>1785</v>
      </c>
      <c r="B1728" s="16" t="n">
        <v>45999</v>
      </c>
      <c r="C1728" s="15" t="s">
        <v>56</v>
      </c>
      <c r="D1728" s="15" t="s">
        <v>44</v>
      </c>
      <c r="E1728" s="15" t="s">
        <v>37</v>
      </c>
      <c r="F1728" s="15" t="s">
        <v>17</v>
      </c>
      <c r="G1728" s="15" t="s">
        <v>31</v>
      </c>
      <c r="H1728" s="15" t="n">
        <v>5</v>
      </c>
      <c r="I1728" s="17" t="n">
        <v>0</v>
      </c>
      <c r="J1728" s="18" t="n">
        <v>740.57</v>
      </c>
      <c r="K1728" s="19" t="n">
        <v>127.77</v>
      </c>
      <c r="L1728" s="15" t="n">
        <f aca="false">YEAR(B1728)</f>
        <v>2025</v>
      </c>
      <c r="M1728" s="20" t="n">
        <f aca="false">IF(J1728&gt;0,K1728/J1728,0)</f>
        <v>0.172529267996273</v>
      </c>
    </row>
    <row r="1729" customFormat="false" ht="15" hidden="false" customHeight="false" outlineLevel="0" collapsed="false">
      <c r="A1729" s="15" t="s">
        <v>1786</v>
      </c>
      <c r="B1729" s="16" t="n">
        <v>44657</v>
      </c>
      <c r="C1729" s="15" t="s">
        <v>71</v>
      </c>
      <c r="D1729" s="15" t="s">
        <v>44</v>
      </c>
      <c r="E1729" s="15" t="s">
        <v>37</v>
      </c>
      <c r="F1729" s="15" t="s">
        <v>17</v>
      </c>
      <c r="G1729" s="15" t="s">
        <v>26</v>
      </c>
      <c r="H1729" s="15" t="n">
        <v>3</v>
      </c>
      <c r="I1729" s="17" t="n">
        <v>0.1</v>
      </c>
      <c r="J1729" s="18" t="n">
        <v>233.77</v>
      </c>
      <c r="K1729" s="19" t="n">
        <v>6.05</v>
      </c>
      <c r="L1729" s="15" t="n">
        <f aca="false">YEAR(B1729)</f>
        <v>2022</v>
      </c>
      <c r="M1729" s="20" t="n">
        <f aca="false">IF(J1729&gt;0,K1729/J1729,0)</f>
        <v>0.025880138597767</v>
      </c>
    </row>
    <row r="1730" customFormat="false" ht="15" hidden="false" customHeight="false" outlineLevel="0" collapsed="false">
      <c r="A1730" s="15" t="s">
        <v>1787</v>
      </c>
      <c r="B1730" s="16" t="n">
        <v>45746</v>
      </c>
      <c r="C1730" s="15" t="s">
        <v>68</v>
      </c>
      <c r="D1730" s="15" t="s">
        <v>42</v>
      </c>
      <c r="E1730" s="15" t="s">
        <v>39</v>
      </c>
      <c r="F1730" s="15" t="s">
        <v>17</v>
      </c>
      <c r="G1730" s="15" t="s">
        <v>26</v>
      </c>
      <c r="H1730" s="15" t="n">
        <v>3</v>
      </c>
      <c r="I1730" s="17" t="n">
        <v>0.05</v>
      </c>
      <c r="J1730" s="18" t="n">
        <v>213.01</v>
      </c>
      <c r="K1730" s="19" t="n">
        <v>17.23</v>
      </c>
      <c r="L1730" s="15" t="n">
        <f aca="false">YEAR(B1730)</f>
        <v>2025</v>
      </c>
      <c r="M1730" s="20" t="n">
        <f aca="false">IF(J1730&gt;0,K1730/J1730,0)</f>
        <v>0.0808882212102718</v>
      </c>
    </row>
    <row r="1731" customFormat="false" ht="15" hidden="false" customHeight="false" outlineLevel="0" collapsed="false">
      <c r="A1731" s="15" t="s">
        <v>1788</v>
      </c>
      <c r="B1731" s="16" t="n">
        <v>45372</v>
      </c>
      <c r="C1731" s="15" t="s">
        <v>56</v>
      </c>
      <c r="D1731" s="15" t="s">
        <v>42</v>
      </c>
      <c r="E1731" s="15" t="s">
        <v>39</v>
      </c>
      <c r="F1731" s="15" t="s">
        <v>18</v>
      </c>
      <c r="G1731" s="15" t="s">
        <v>30</v>
      </c>
      <c r="H1731" s="15" t="n">
        <v>7</v>
      </c>
      <c r="I1731" s="17" t="n">
        <v>0.2</v>
      </c>
      <c r="J1731" s="18" t="n">
        <v>257.16</v>
      </c>
      <c r="K1731" s="19" t="n">
        <v>25.97</v>
      </c>
      <c r="L1731" s="15" t="n">
        <f aca="false">YEAR(B1731)</f>
        <v>2024</v>
      </c>
      <c r="M1731" s="20" t="n">
        <f aca="false">IF(J1731&gt;0,K1731/J1731,0)</f>
        <v>0.100987711930316</v>
      </c>
    </row>
    <row r="1732" customFormat="false" ht="15" hidden="false" customHeight="false" outlineLevel="0" collapsed="false">
      <c r="A1732" s="15" t="s">
        <v>1789</v>
      </c>
      <c r="B1732" s="16" t="n">
        <v>45257</v>
      </c>
      <c r="C1732" s="15" t="s">
        <v>71</v>
      </c>
      <c r="D1732" s="15" t="s">
        <v>42</v>
      </c>
      <c r="E1732" s="15" t="s">
        <v>38</v>
      </c>
      <c r="F1732" s="15" t="s">
        <v>17</v>
      </c>
      <c r="G1732" s="15" t="s">
        <v>28</v>
      </c>
      <c r="H1732" s="15" t="n">
        <v>3</v>
      </c>
      <c r="I1732" s="17" t="n">
        <v>0</v>
      </c>
      <c r="J1732" s="18" t="n">
        <v>53.6</v>
      </c>
      <c r="K1732" s="19" t="n">
        <v>14.64</v>
      </c>
      <c r="L1732" s="15" t="n">
        <f aca="false">YEAR(B1732)</f>
        <v>2023</v>
      </c>
      <c r="M1732" s="20" t="n">
        <f aca="false">IF(J1732&gt;0,K1732/J1732,0)</f>
        <v>0.273134328358209</v>
      </c>
    </row>
    <row r="1733" customFormat="false" ht="15" hidden="false" customHeight="false" outlineLevel="0" collapsed="false">
      <c r="A1733" s="15" t="s">
        <v>1790</v>
      </c>
      <c r="B1733" s="16" t="n">
        <v>45920</v>
      </c>
      <c r="C1733" s="15" t="s">
        <v>56</v>
      </c>
      <c r="D1733" s="15" t="s">
        <v>43</v>
      </c>
      <c r="E1733" s="15" t="s">
        <v>37</v>
      </c>
      <c r="F1733" s="15" t="s">
        <v>17</v>
      </c>
      <c r="G1733" s="15" t="s">
        <v>31</v>
      </c>
      <c r="H1733" s="15" t="n">
        <v>4</v>
      </c>
      <c r="I1733" s="17" t="n">
        <v>0</v>
      </c>
      <c r="J1733" s="18" t="n">
        <v>424.05</v>
      </c>
      <c r="K1733" s="19" t="n">
        <v>90.93</v>
      </c>
      <c r="L1733" s="15" t="n">
        <f aca="false">YEAR(B1733)</f>
        <v>2025</v>
      </c>
      <c r="M1733" s="20" t="n">
        <f aca="false">IF(J1733&gt;0,K1733/J1733,0)</f>
        <v>0.214432260346657</v>
      </c>
    </row>
    <row r="1734" customFormat="false" ht="15" hidden="false" customHeight="false" outlineLevel="0" collapsed="false">
      <c r="A1734" s="15" t="s">
        <v>1791</v>
      </c>
      <c r="B1734" s="16" t="n">
        <v>44774</v>
      </c>
      <c r="C1734" s="15" t="s">
        <v>56</v>
      </c>
      <c r="D1734" s="15" t="s">
        <v>44</v>
      </c>
      <c r="E1734" s="15" t="s">
        <v>39</v>
      </c>
      <c r="F1734" s="15" t="s">
        <v>17</v>
      </c>
      <c r="G1734" s="15" t="s">
        <v>26</v>
      </c>
      <c r="H1734" s="15" t="n">
        <v>5</v>
      </c>
      <c r="I1734" s="17" t="n">
        <v>0</v>
      </c>
      <c r="J1734" s="18" t="n">
        <v>434.33</v>
      </c>
      <c r="K1734" s="19" t="n">
        <v>57.58</v>
      </c>
      <c r="L1734" s="15" t="n">
        <f aca="false">YEAR(B1734)</f>
        <v>2022</v>
      </c>
      <c r="M1734" s="20" t="n">
        <f aca="false">IF(J1734&gt;0,K1734/J1734,0)</f>
        <v>0.132572007459766</v>
      </c>
    </row>
    <row r="1735" customFormat="false" ht="15" hidden="false" customHeight="false" outlineLevel="0" collapsed="false">
      <c r="A1735" s="15" t="s">
        <v>1792</v>
      </c>
      <c r="B1735" s="16" t="n">
        <v>45882</v>
      </c>
      <c r="C1735" s="15" t="s">
        <v>71</v>
      </c>
      <c r="D1735" s="15" t="s">
        <v>42</v>
      </c>
      <c r="E1735" s="15" t="s">
        <v>39</v>
      </c>
      <c r="F1735" s="15" t="s">
        <v>17</v>
      </c>
      <c r="G1735" s="15" t="s">
        <v>31</v>
      </c>
      <c r="H1735" s="15" t="n">
        <v>2</v>
      </c>
      <c r="I1735" s="17" t="n">
        <v>0.1</v>
      </c>
      <c r="J1735" s="18" t="n">
        <v>204.23</v>
      </c>
      <c r="K1735" s="19" t="n">
        <v>15.49</v>
      </c>
      <c r="L1735" s="15" t="n">
        <f aca="false">YEAR(B1735)</f>
        <v>2025</v>
      </c>
      <c r="M1735" s="20" t="n">
        <f aca="false">IF(J1735&gt;0,K1735/J1735,0)</f>
        <v>0.0758458600597366</v>
      </c>
    </row>
    <row r="1736" customFormat="false" ht="15" hidden="false" customHeight="false" outlineLevel="0" collapsed="false">
      <c r="A1736" s="15" t="s">
        <v>1793</v>
      </c>
      <c r="B1736" s="16" t="n">
        <v>45383</v>
      </c>
      <c r="C1736" s="15" t="s">
        <v>56</v>
      </c>
      <c r="D1736" s="15" t="s">
        <v>44</v>
      </c>
      <c r="E1736" s="15" t="s">
        <v>37</v>
      </c>
      <c r="F1736" s="15" t="s">
        <v>18</v>
      </c>
      <c r="G1736" s="15" t="s">
        <v>30</v>
      </c>
      <c r="H1736" s="15" t="n">
        <v>5</v>
      </c>
      <c r="I1736" s="17" t="n">
        <v>0</v>
      </c>
      <c r="J1736" s="18" t="n">
        <v>213.76</v>
      </c>
      <c r="K1736" s="19" t="n">
        <v>65.99</v>
      </c>
      <c r="L1736" s="15" t="n">
        <f aca="false">YEAR(B1736)</f>
        <v>2024</v>
      </c>
      <c r="M1736" s="20" t="n">
        <f aca="false">IF(J1736&gt;0,K1736/J1736,0)</f>
        <v>0.308710703592814</v>
      </c>
    </row>
    <row r="1737" customFormat="false" ht="15" hidden="false" customHeight="false" outlineLevel="0" collapsed="false">
      <c r="A1737" s="15" t="s">
        <v>1794</v>
      </c>
      <c r="B1737" s="16" t="n">
        <v>46005</v>
      </c>
      <c r="C1737" s="15" t="s">
        <v>71</v>
      </c>
      <c r="D1737" s="15" t="s">
        <v>44</v>
      </c>
      <c r="E1737" s="15" t="s">
        <v>37</v>
      </c>
      <c r="F1737" s="15" t="s">
        <v>17</v>
      </c>
      <c r="G1737" s="15" t="s">
        <v>26</v>
      </c>
      <c r="H1737" s="15" t="n">
        <v>3</v>
      </c>
      <c r="I1737" s="17" t="n">
        <v>0.15</v>
      </c>
      <c r="J1737" s="18" t="n">
        <v>192.42</v>
      </c>
      <c r="K1737" s="19" t="n">
        <v>-7.46</v>
      </c>
      <c r="L1737" s="15" t="n">
        <f aca="false">YEAR(B1737)</f>
        <v>2025</v>
      </c>
      <c r="M1737" s="20" t="n">
        <f aca="false">IF(J1737&gt;0,K1737/J1737,0)</f>
        <v>-0.0387693586945224</v>
      </c>
    </row>
    <row r="1738" customFormat="false" ht="15" hidden="false" customHeight="false" outlineLevel="0" collapsed="false">
      <c r="A1738" s="15" t="s">
        <v>1795</v>
      </c>
      <c r="B1738" s="16" t="n">
        <v>45053</v>
      </c>
      <c r="C1738" s="15" t="s">
        <v>56</v>
      </c>
      <c r="D1738" s="15" t="s">
        <v>42</v>
      </c>
      <c r="E1738" s="15" t="s">
        <v>36</v>
      </c>
      <c r="F1738" s="15" t="s">
        <v>16</v>
      </c>
      <c r="G1738" s="15" t="s">
        <v>25</v>
      </c>
      <c r="H1738" s="15" t="n">
        <v>3</v>
      </c>
      <c r="I1738" s="17" t="n">
        <v>0</v>
      </c>
      <c r="J1738" s="18" t="n">
        <v>890.89</v>
      </c>
      <c r="K1738" s="19" t="n">
        <v>58.71</v>
      </c>
      <c r="L1738" s="15" t="n">
        <f aca="false">YEAR(B1738)</f>
        <v>2023</v>
      </c>
      <c r="M1738" s="20" t="n">
        <f aca="false">IF(J1738&gt;0,K1738/J1738,0)</f>
        <v>0.0659003917430884</v>
      </c>
    </row>
    <row r="1739" customFormat="false" ht="15" hidden="false" customHeight="false" outlineLevel="0" collapsed="false">
      <c r="A1739" s="15" t="s">
        <v>1796</v>
      </c>
      <c r="B1739" s="16" t="n">
        <v>45511</v>
      </c>
      <c r="C1739" s="15" t="s">
        <v>71</v>
      </c>
      <c r="D1739" s="15" t="s">
        <v>44</v>
      </c>
      <c r="E1739" s="15" t="s">
        <v>39</v>
      </c>
      <c r="F1739" s="15" t="s">
        <v>16</v>
      </c>
      <c r="G1739" s="15" t="s">
        <v>27</v>
      </c>
      <c r="H1739" s="15" t="n">
        <v>2</v>
      </c>
      <c r="I1739" s="17" t="n">
        <v>0</v>
      </c>
      <c r="J1739" s="18" t="n">
        <v>109.02</v>
      </c>
      <c r="K1739" s="19" t="n">
        <v>27.74</v>
      </c>
      <c r="L1739" s="15" t="n">
        <f aca="false">YEAR(B1739)</f>
        <v>2024</v>
      </c>
      <c r="M1739" s="20" t="n">
        <f aca="false">IF(J1739&gt;0,K1739/J1739,0)</f>
        <v>0.254448725004586</v>
      </c>
    </row>
    <row r="1740" customFormat="false" ht="15" hidden="false" customHeight="false" outlineLevel="0" collapsed="false">
      <c r="A1740" s="15" t="s">
        <v>1797</v>
      </c>
      <c r="B1740" s="16" t="n">
        <v>45990</v>
      </c>
      <c r="C1740" s="15" t="s">
        <v>58</v>
      </c>
      <c r="D1740" s="15" t="s">
        <v>42</v>
      </c>
      <c r="E1740" s="15" t="s">
        <v>38</v>
      </c>
      <c r="F1740" s="15" t="s">
        <v>16</v>
      </c>
      <c r="G1740" s="15" t="s">
        <v>27</v>
      </c>
      <c r="H1740" s="15" t="n">
        <v>3</v>
      </c>
      <c r="I1740" s="17" t="n">
        <v>0.1</v>
      </c>
      <c r="J1740" s="18" t="n">
        <v>159.11</v>
      </c>
      <c r="K1740" s="19" t="n">
        <v>27.92</v>
      </c>
      <c r="L1740" s="15" t="n">
        <f aca="false">YEAR(B1740)</f>
        <v>2025</v>
      </c>
      <c r="M1740" s="20" t="n">
        <f aca="false">IF(J1740&gt;0,K1740/J1740,0)</f>
        <v>0.175476085726856</v>
      </c>
    </row>
    <row r="1741" customFormat="false" ht="15" hidden="false" customHeight="false" outlineLevel="0" collapsed="false">
      <c r="A1741" s="15" t="s">
        <v>1798</v>
      </c>
      <c r="B1741" s="16" t="n">
        <v>45968</v>
      </c>
      <c r="C1741" s="15" t="s">
        <v>71</v>
      </c>
      <c r="D1741" s="15" t="s">
        <v>42</v>
      </c>
      <c r="E1741" s="15" t="s">
        <v>36</v>
      </c>
      <c r="F1741" s="15" t="s">
        <v>18</v>
      </c>
      <c r="G1741" s="15" t="s">
        <v>24</v>
      </c>
      <c r="H1741" s="15" t="n">
        <v>6</v>
      </c>
      <c r="I1741" s="17" t="n">
        <v>0.1</v>
      </c>
      <c r="J1741" s="18" t="n">
        <v>2670.69</v>
      </c>
      <c r="K1741" s="19" t="n">
        <v>-220.79</v>
      </c>
      <c r="L1741" s="15" t="n">
        <f aca="false">YEAR(B1741)</f>
        <v>2025</v>
      </c>
      <c r="M1741" s="20" t="n">
        <f aca="false">IF(J1741&gt;0,K1741/J1741,0)</f>
        <v>-0.082671519345188</v>
      </c>
    </row>
    <row r="1742" customFormat="false" ht="15" hidden="false" customHeight="false" outlineLevel="0" collapsed="false">
      <c r="A1742" s="15" t="s">
        <v>1799</v>
      </c>
      <c r="B1742" s="16" t="n">
        <v>45207</v>
      </c>
      <c r="C1742" s="15" t="s">
        <v>56</v>
      </c>
      <c r="D1742" s="15" t="s">
        <v>42</v>
      </c>
      <c r="E1742" s="15" t="s">
        <v>36</v>
      </c>
      <c r="F1742" s="15" t="s">
        <v>18</v>
      </c>
      <c r="G1742" s="15" t="s">
        <v>30</v>
      </c>
      <c r="H1742" s="15" t="n">
        <v>6</v>
      </c>
      <c r="I1742" s="17" t="n">
        <v>0.2</v>
      </c>
      <c r="J1742" s="18" t="n">
        <v>174.83</v>
      </c>
      <c r="K1742" s="19" t="n">
        <v>33.58</v>
      </c>
      <c r="L1742" s="15" t="n">
        <f aca="false">YEAR(B1742)</f>
        <v>2023</v>
      </c>
      <c r="M1742" s="20" t="n">
        <f aca="false">IF(J1742&gt;0,K1742/J1742,0)</f>
        <v>0.192072298804553</v>
      </c>
    </row>
    <row r="1743" customFormat="false" ht="15" hidden="false" customHeight="false" outlineLevel="0" collapsed="false">
      <c r="A1743" s="15" t="s">
        <v>1800</v>
      </c>
      <c r="B1743" s="16" t="n">
        <v>44980</v>
      </c>
      <c r="C1743" s="15" t="s">
        <v>56</v>
      </c>
      <c r="D1743" s="15" t="s">
        <v>44</v>
      </c>
      <c r="E1743" s="15" t="s">
        <v>37</v>
      </c>
      <c r="F1743" s="15" t="s">
        <v>17</v>
      </c>
      <c r="G1743" s="15" t="s">
        <v>26</v>
      </c>
      <c r="H1743" s="15" t="n">
        <v>3</v>
      </c>
      <c r="I1743" s="17" t="n">
        <v>0.3</v>
      </c>
      <c r="J1743" s="18" t="n">
        <v>207.66</v>
      </c>
      <c r="K1743" s="19" t="n">
        <v>-27.78</v>
      </c>
      <c r="L1743" s="15" t="n">
        <f aca="false">YEAR(B1743)</f>
        <v>2023</v>
      </c>
      <c r="M1743" s="20" t="n">
        <f aca="false">IF(J1743&gt;0,K1743/J1743,0)</f>
        <v>-0.133776365212366</v>
      </c>
    </row>
    <row r="1744" customFormat="false" ht="15" hidden="false" customHeight="false" outlineLevel="0" collapsed="false">
      <c r="A1744" s="15" t="s">
        <v>1801</v>
      </c>
      <c r="B1744" s="16" t="n">
        <v>44887</v>
      </c>
      <c r="C1744" s="15" t="s">
        <v>56</v>
      </c>
      <c r="D1744" s="15" t="s">
        <v>42</v>
      </c>
      <c r="E1744" s="15" t="s">
        <v>39</v>
      </c>
      <c r="F1744" s="15" t="s">
        <v>16</v>
      </c>
      <c r="G1744" s="15" t="s">
        <v>25</v>
      </c>
      <c r="H1744" s="15" t="n">
        <v>4</v>
      </c>
      <c r="I1744" s="17" t="n">
        <v>0.4</v>
      </c>
      <c r="J1744" s="18" t="n">
        <v>780.75</v>
      </c>
      <c r="K1744" s="19" t="n">
        <v>-193.35</v>
      </c>
      <c r="L1744" s="15" t="n">
        <f aca="false">YEAR(B1744)</f>
        <v>2022</v>
      </c>
      <c r="M1744" s="20" t="n">
        <f aca="false">IF(J1744&gt;0,K1744/J1744,0)</f>
        <v>-0.247646493756004</v>
      </c>
    </row>
    <row r="1745" customFormat="false" ht="15" hidden="false" customHeight="false" outlineLevel="0" collapsed="false">
      <c r="A1745" s="15" t="s">
        <v>1802</v>
      </c>
      <c r="B1745" s="16" t="n">
        <v>45785</v>
      </c>
      <c r="C1745" s="15" t="s">
        <v>56</v>
      </c>
      <c r="D1745" s="15" t="s">
        <v>42</v>
      </c>
      <c r="E1745" s="15" t="s">
        <v>37</v>
      </c>
      <c r="F1745" s="15" t="s">
        <v>17</v>
      </c>
      <c r="G1745" s="15" t="s">
        <v>31</v>
      </c>
      <c r="H1745" s="15" t="n">
        <v>6</v>
      </c>
      <c r="I1745" s="17" t="n">
        <v>0</v>
      </c>
      <c r="J1745" s="18" t="n">
        <v>864.65</v>
      </c>
      <c r="K1745" s="19" t="n">
        <v>158.24</v>
      </c>
      <c r="L1745" s="15" t="n">
        <f aca="false">YEAR(B1745)</f>
        <v>2025</v>
      </c>
      <c r="M1745" s="20" t="n">
        <f aca="false">IF(J1745&gt;0,K1745/J1745,0)</f>
        <v>0.183010466662812</v>
      </c>
    </row>
    <row r="1746" customFormat="false" ht="15" hidden="false" customHeight="false" outlineLevel="0" collapsed="false">
      <c r="A1746" s="15" t="s">
        <v>1803</v>
      </c>
      <c r="B1746" s="16" t="n">
        <v>45970</v>
      </c>
      <c r="C1746" s="15" t="s">
        <v>71</v>
      </c>
      <c r="D1746" s="15" t="s">
        <v>43</v>
      </c>
      <c r="E1746" s="15" t="s">
        <v>38</v>
      </c>
      <c r="F1746" s="15" t="s">
        <v>18</v>
      </c>
      <c r="G1746" s="15" t="s">
        <v>24</v>
      </c>
      <c r="H1746" s="15" t="n">
        <v>4</v>
      </c>
      <c r="I1746" s="17" t="n">
        <v>0.2</v>
      </c>
      <c r="J1746" s="18" t="n">
        <v>2050.77</v>
      </c>
      <c r="K1746" s="19" t="n">
        <v>-415.73</v>
      </c>
      <c r="L1746" s="15" t="n">
        <f aca="false">YEAR(B1746)</f>
        <v>2025</v>
      </c>
      <c r="M1746" s="20" t="n">
        <f aca="false">IF(J1746&gt;0,K1746/J1746,0)</f>
        <v>-0.202718978725064</v>
      </c>
    </row>
    <row r="1747" customFormat="false" ht="15" hidden="false" customHeight="false" outlineLevel="0" collapsed="false">
      <c r="A1747" s="15" t="s">
        <v>1804</v>
      </c>
      <c r="B1747" s="16" t="n">
        <v>45971</v>
      </c>
      <c r="C1747" s="15" t="s">
        <v>56</v>
      </c>
      <c r="D1747" s="15" t="s">
        <v>42</v>
      </c>
      <c r="E1747" s="15" t="s">
        <v>39</v>
      </c>
      <c r="F1747" s="15" t="s">
        <v>17</v>
      </c>
      <c r="G1747" s="15" t="s">
        <v>29</v>
      </c>
      <c r="H1747" s="15" t="n">
        <v>5</v>
      </c>
      <c r="I1747" s="17" t="n">
        <v>0.1</v>
      </c>
      <c r="J1747" s="18" t="n">
        <v>78.67</v>
      </c>
      <c r="K1747" s="19" t="n">
        <v>26.27</v>
      </c>
      <c r="L1747" s="15" t="n">
        <f aca="false">YEAR(B1747)</f>
        <v>2025</v>
      </c>
      <c r="M1747" s="20" t="n">
        <f aca="false">IF(J1747&gt;0,K1747/J1747,0)</f>
        <v>0.333926528536926</v>
      </c>
    </row>
    <row r="1748" customFormat="false" ht="15" hidden="false" customHeight="false" outlineLevel="0" collapsed="false">
      <c r="A1748" s="15" t="s">
        <v>1805</v>
      </c>
      <c r="B1748" s="16" t="n">
        <v>45542</v>
      </c>
      <c r="C1748" s="15" t="s">
        <v>56</v>
      </c>
      <c r="D1748" s="15" t="s">
        <v>42</v>
      </c>
      <c r="E1748" s="15" t="s">
        <v>39</v>
      </c>
      <c r="F1748" s="15" t="s">
        <v>18</v>
      </c>
      <c r="G1748" s="15" t="s">
        <v>30</v>
      </c>
      <c r="H1748" s="15" t="n">
        <v>5</v>
      </c>
      <c r="I1748" s="17" t="n">
        <v>0.1</v>
      </c>
      <c r="J1748" s="18" t="n">
        <v>181.73</v>
      </c>
      <c r="K1748" s="19" t="n">
        <v>24.92</v>
      </c>
      <c r="L1748" s="15" t="n">
        <f aca="false">YEAR(B1748)</f>
        <v>2024</v>
      </c>
      <c r="M1748" s="20" t="n">
        <f aca="false">IF(J1748&gt;0,K1748/J1748,0)</f>
        <v>0.137126506355582</v>
      </c>
    </row>
    <row r="1749" customFormat="false" ht="15" hidden="false" customHeight="false" outlineLevel="0" collapsed="false">
      <c r="A1749" s="15" t="s">
        <v>1806</v>
      </c>
      <c r="B1749" s="16" t="n">
        <v>45940</v>
      </c>
      <c r="C1749" s="15" t="s">
        <v>68</v>
      </c>
      <c r="D1749" s="15" t="s">
        <v>42</v>
      </c>
      <c r="E1749" s="15" t="s">
        <v>36</v>
      </c>
      <c r="F1749" s="15" t="s">
        <v>17</v>
      </c>
      <c r="G1749" s="15" t="s">
        <v>29</v>
      </c>
      <c r="H1749" s="15" t="n">
        <v>3</v>
      </c>
      <c r="I1749" s="17" t="n">
        <v>0</v>
      </c>
      <c r="J1749" s="18" t="n">
        <v>51.76</v>
      </c>
      <c r="K1749" s="19" t="n">
        <v>22.2</v>
      </c>
      <c r="L1749" s="15" t="n">
        <f aca="false">YEAR(B1749)</f>
        <v>2025</v>
      </c>
      <c r="M1749" s="20" t="n">
        <f aca="false">IF(J1749&gt;0,K1749/J1749,0)</f>
        <v>0.428902627511592</v>
      </c>
    </row>
    <row r="1750" customFormat="false" ht="15" hidden="false" customHeight="false" outlineLevel="0" collapsed="false">
      <c r="A1750" s="15" t="s">
        <v>1807</v>
      </c>
      <c r="B1750" s="16" t="n">
        <v>45695</v>
      </c>
      <c r="C1750" s="15" t="s">
        <v>56</v>
      </c>
      <c r="D1750" s="15" t="s">
        <v>42</v>
      </c>
      <c r="E1750" s="15" t="s">
        <v>37</v>
      </c>
      <c r="F1750" s="15" t="s">
        <v>17</v>
      </c>
      <c r="G1750" s="15" t="s">
        <v>31</v>
      </c>
      <c r="H1750" s="15" t="n">
        <v>1</v>
      </c>
      <c r="I1750" s="17" t="n">
        <v>0.2</v>
      </c>
      <c r="J1750" s="18" t="n">
        <v>110.66</v>
      </c>
      <c r="K1750" s="19" t="n">
        <v>-0.46</v>
      </c>
      <c r="L1750" s="15" t="n">
        <f aca="false">YEAR(B1750)</f>
        <v>2025</v>
      </c>
      <c r="M1750" s="20" t="n">
        <f aca="false">IF(J1750&gt;0,K1750/J1750,0)</f>
        <v>-0.0041568769202964</v>
      </c>
    </row>
    <row r="1751" customFormat="false" ht="15" hidden="false" customHeight="false" outlineLevel="0" collapsed="false">
      <c r="A1751" s="15" t="s">
        <v>1808</v>
      </c>
      <c r="B1751" s="16" t="n">
        <v>44871</v>
      </c>
      <c r="C1751" s="15" t="s">
        <v>56</v>
      </c>
      <c r="D1751" s="15" t="s">
        <v>43</v>
      </c>
      <c r="E1751" s="15" t="s">
        <v>37</v>
      </c>
      <c r="F1751" s="15" t="s">
        <v>16</v>
      </c>
      <c r="G1751" s="15" t="s">
        <v>25</v>
      </c>
      <c r="H1751" s="15" t="n">
        <v>5</v>
      </c>
      <c r="I1751" s="17" t="n">
        <v>0.1</v>
      </c>
      <c r="J1751" s="18" t="n">
        <v>1468.83</v>
      </c>
      <c r="K1751" s="19" t="n">
        <v>79.68</v>
      </c>
      <c r="L1751" s="15" t="n">
        <f aca="false">YEAR(B1751)</f>
        <v>2022</v>
      </c>
      <c r="M1751" s="20" t="n">
        <f aca="false">IF(J1751&gt;0,K1751/J1751,0)</f>
        <v>0.0542472580216907</v>
      </c>
    </row>
    <row r="1752" customFormat="false" ht="15" hidden="false" customHeight="false" outlineLevel="0" collapsed="false">
      <c r="A1752" s="15" t="s">
        <v>1809</v>
      </c>
      <c r="B1752" s="16" t="n">
        <v>45814</v>
      </c>
      <c r="C1752" s="15" t="s">
        <v>56</v>
      </c>
      <c r="D1752" s="15" t="s">
        <v>42</v>
      </c>
      <c r="E1752" s="15" t="s">
        <v>38</v>
      </c>
      <c r="F1752" s="15" t="s">
        <v>17</v>
      </c>
      <c r="G1752" s="15" t="s">
        <v>31</v>
      </c>
      <c r="H1752" s="15" t="n">
        <v>4</v>
      </c>
      <c r="I1752" s="17" t="n">
        <v>0.05</v>
      </c>
      <c r="J1752" s="18" t="n">
        <v>532.13</v>
      </c>
      <c r="K1752" s="19" t="n">
        <v>78.7</v>
      </c>
      <c r="L1752" s="15" t="n">
        <f aca="false">YEAR(B1752)</f>
        <v>2025</v>
      </c>
      <c r="M1752" s="20" t="n">
        <f aca="false">IF(J1752&gt;0,K1752/J1752,0)</f>
        <v>0.147896190780448</v>
      </c>
    </row>
    <row r="1753" customFormat="false" ht="15" hidden="false" customHeight="false" outlineLevel="0" collapsed="false">
      <c r="A1753" s="15" t="s">
        <v>1810</v>
      </c>
      <c r="B1753" s="16" t="n">
        <v>45731</v>
      </c>
      <c r="C1753" s="15" t="s">
        <v>71</v>
      </c>
      <c r="D1753" s="15" t="s">
        <v>43</v>
      </c>
      <c r="E1753" s="15" t="s">
        <v>36</v>
      </c>
      <c r="F1753" s="15" t="s">
        <v>17</v>
      </c>
      <c r="G1753" s="15" t="s">
        <v>28</v>
      </c>
      <c r="H1753" s="15" t="n">
        <v>4</v>
      </c>
      <c r="I1753" s="17" t="n">
        <v>0.15</v>
      </c>
      <c r="J1753" s="18" t="n">
        <v>88.34</v>
      </c>
      <c r="K1753" s="19" t="n">
        <v>14.62</v>
      </c>
      <c r="L1753" s="15" t="n">
        <f aca="false">YEAR(B1753)</f>
        <v>2025</v>
      </c>
      <c r="M1753" s="20" t="n">
        <f aca="false">IF(J1753&gt;0,K1753/J1753,0)</f>
        <v>0.165496943626896</v>
      </c>
    </row>
    <row r="1754" customFormat="false" ht="15" hidden="false" customHeight="false" outlineLevel="0" collapsed="false">
      <c r="A1754" s="15" t="s">
        <v>1811</v>
      </c>
      <c r="B1754" s="16" t="n">
        <v>45918</v>
      </c>
      <c r="C1754" s="15" t="s">
        <v>71</v>
      </c>
      <c r="D1754" s="15" t="s">
        <v>43</v>
      </c>
      <c r="E1754" s="15" t="s">
        <v>36</v>
      </c>
      <c r="F1754" s="15" t="s">
        <v>17</v>
      </c>
      <c r="G1754" s="15" t="s">
        <v>26</v>
      </c>
      <c r="H1754" s="15" t="n">
        <v>2</v>
      </c>
      <c r="I1754" s="17" t="n">
        <v>0.05</v>
      </c>
      <c r="J1754" s="18" t="n">
        <v>196.25</v>
      </c>
      <c r="K1754" s="19" t="n">
        <v>13.23</v>
      </c>
      <c r="L1754" s="15" t="n">
        <f aca="false">YEAR(B1754)</f>
        <v>2025</v>
      </c>
      <c r="M1754" s="20" t="n">
        <f aca="false">IF(J1754&gt;0,K1754/J1754,0)</f>
        <v>0.0674140127388535</v>
      </c>
    </row>
    <row r="1755" customFormat="false" ht="15" hidden="false" customHeight="false" outlineLevel="0" collapsed="false">
      <c r="A1755" s="15" t="s">
        <v>1812</v>
      </c>
      <c r="B1755" s="16" t="n">
        <v>45990</v>
      </c>
      <c r="C1755" s="15" t="s">
        <v>71</v>
      </c>
      <c r="D1755" s="15" t="s">
        <v>43</v>
      </c>
      <c r="E1755" s="15" t="s">
        <v>36</v>
      </c>
      <c r="F1755" s="15" t="s">
        <v>17</v>
      </c>
      <c r="G1755" s="15" t="s">
        <v>28</v>
      </c>
      <c r="H1755" s="15" t="n">
        <v>4</v>
      </c>
      <c r="I1755" s="17" t="n">
        <v>0.1</v>
      </c>
      <c r="J1755" s="18" t="n">
        <v>86.1</v>
      </c>
      <c r="K1755" s="19" t="n">
        <v>16.65</v>
      </c>
      <c r="L1755" s="15" t="n">
        <f aca="false">YEAR(B1755)</f>
        <v>2025</v>
      </c>
      <c r="M1755" s="20" t="n">
        <f aca="false">IF(J1755&gt;0,K1755/J1755,0)</f>
        <v>0.193379790940767</v>
      </c>
    </row>
    <row r="1756" customFormat="false" ht="15" hidden="false" customHeight="false" outlineLevel="0" collapsed="false">
      <c r="A1756" s="15" t="s">
        <v>1813</v>
      </c>
      <c r="B1756" s="16" t="n">
        <v>45630</v>
      </c>
      <c r="C1756" s="15" t="s">
        <v>56</v>
      </c>
      <c r="D1756" s="15" t="s">
        <v>42</v>
      </c>
      <c r="E1756" s="15" t="s">
        <v>38</v>
      </c>
      <c r="F1756" s="15" t="s">
        <v>17</v>
      </c>
      <c r="G1756" s="15" t="s">
        <v>28</v>
      </c>
      <c r="H1756" s="15" t="n">
        <v>3</v>
      </c>
      <c r="I1756" s="17" t="n">
        <v>0.15</v>
      </c>
      <c r="J1756" s="18" t="n">
        <v>51.25</v>
      </c>
      <c r="K1756" s="19" t="n">
        <v>7.49</v>
      </c>
      <c r="L1756" s="15" t="n">
        <f aca="false">YEAR(B1756)</f>
        <v>2024</v>
      </c>
      <c r="M1756" s="20" t="n">
        <f aca="false">IF(J1756&gt;0,K1756/J1756,0)</f>
        <v>0.146146341463415</v>
      </c>
    </row>
    <row r="1757" customFormat="false" ht="15" hidden="false" customHeight="false" outlineLevel="0" collapsed="false">
      <c r="A1757" s="15" t="s">
        <v>1814</v>
      </c>
      <c r="B1757" s="16" t="n">
        <v>45499</v>
      </c>
      <c r="C1757" s="15" t="s">
        <v>71</v>
      </c>
      <c r="D1757" s="15" t="s">
        <v>42</v>
      </c>
      <c r="E1757" s="15" t="s">
        <v>39</v>
      </c>
      <c r="F1757" s="15" t="s">
        <v>17</v>
      </c>
      <c r="G1757" s="15" t="s">
        <v>26</v>
      </c>
      <c r="H1757" s="15" t="n">
        <v>3</v>
      </c>
      <c r="I1757" s="17" t="n">
        <v>0.2</v>
      </c>
      <c r="J1757" s="18" t="n">
        <v>254.43</v>
      </c>
      <c r="K1757" s="19" t="n">
        <v>-24.17</v>
      </c>
      <c r="L1757" s="15" t="n">
        <f aca="false">YEAR(B1757)</f>
        <v>2024</v>
      </c>
      <c r="M1757" s="20" t="n">
        <f aca="false">IF(J1757&gt;0,K1757/J1757,0)</f>
        <v>-0.0949966591989938</v>
      </c>
    </row>
    <row r="1758" customFormat="false" ht="15" hidden="false" customHeight="false" outlineLevel="0" collapsed="false">
      <c r="A1758" s="15" t="s">
        <v>1815</v>
      </c>
      <c r="B1758" s="16" t="n">
        <v>45564</v>
      </c>
      <c r="C1758" s="15" t="s">
        <v>56</v>
      </c>
      <c r="D1758" s="15" t="s">
        <v>43</v>
      </c>
      <c r="E1758" s="15" t="s">
        <v>37</v>
      </c>
      <c r="F1758" s="15" t="s">
        <v>16</v>
      </c>
      <c r="G1758" s="15" t="s">
        <v>25</v>
      </c>
      <c r="H1758" s="15" t="n">
        <v>5</v>
      </c>
      <c r="I1758" s="17" t="n">
        <v>0</v>
      </c>
      <c r="J1758" s="18" t="n">
        <v>1734.01</v>
      </c>
      <c r="K1758" s="19" t="n">
        <v>21.44</v>
      </c>
      <c r="L1758" s="15" t="n">
        <f aca="false">YEAR(B1758)</f>
        <v>2024</v>
      </c>
      <c r="M1758" s="20" t="n">
        <f aca="false">IF(J1758&gt;0,K1758/J1758,0)</f>
        <v>0.0123644038961713</v>
      </c>
    </row>
    <row r="1759" customFormat="false" ht="15" hidden="false" customHeight="false" outlineLevel="0" collapsed="false">
      <c r="A1759" s="15" t="s">
        <v>1816</v>
      </c>
      <c r="B1759" s="16" t="n">
        <v>45136</v>
      </c>
      <c r="C1759" s="15" t="s">
        <v>58</v>
      </c>
      <c r="D1759" s="15" t="s">
        <v>42</v>
      </c>
      <c r="E1759" s="15" t="s">
        <v>39</v>
      </c>
      <c r="F1759" s="15" t="s">
        <v>17</v>
      </c>
      <c r="G1759" s="15" t="s">
        <v>26</v>
      </c>
      <c r="H1759" s="15" t="n">
        <v>7</v>
      </c>
      <c r="I1759" s="17" t="n">
        <v>0</v>
      </c>
      <c r="J1759" s="18" t="n">
        <v>674.44</v>
      </c>
      <c r="K1759" s="19" t="n">
        <v>48.62</v>
      </c>
      <c r="L1759" s="15" t="n">
        <f aca="false">YEAR(B1759)</f>
        <v>2023</v>
      </c>
      <c r="M1759" s="20" t="n">
        <f aca="false">IF(J1759&gt;0,K1759/J1759,0)</f>
        <v>0.0720894371626831</v>
      </c>
    </row>
    <row r="1760" customFormat="false" ht="15" hidden="false" customHeight="false" outlineLevel="0" collapsed="false">
      <c r="A1760" s="15" t="s">
        <v>1817</v>
      </c>
      <c r="B1760" s="16" t="n">
        <v>45309</v>
      </c>
      <c r="C1760" s="15" t="s">
        <v>56</v>
      </c>
      <c r="D1760" s="15" t="s">
        <v>42</v>
      </c>
      <c r="E1760" s="15" t="s">
        <v>36</v>
      </c>
      <c r="F1760" s="15" t="s">
        <v>18</v>
      </c>
      <c r="G1760" s="15" t="s">
        <v>32</v>
      </c>
      <c r="H1760" s="15" t="n">
        <v>2</v>
      </c>
      <c r="I1760" s="17" t="n">
        <v>0</v>
      </c>
      <c r="J1760" s="18" t="n">
        <v>666.89</v>
      </c>
      <c r="K1760" s="19" t="n">
        <v>66.96</v>
      </c>
      <c r="L1760" s="15" t="n">
        <f aca="false">YEAR(B1760)</f>
        <v>2024</v>
      </c>
      <c r="M1760" s="20" t="n">
        <f aca="false">IF(J1760&gt;0,K1760/J1760,0)</f>
        <v>0.100406363868104</v>
      </c>
    </row>
    <row r="1761" customFormat="false" ht="15" hidden="false" customHeight="false" outlineLevel="0" collapsed="false">
      <c r="A1761" s="15" t="s">
        <v>1818</v>
      </c>
      <c r="B1761" s="16" t="n">
        <v>45061</v>
      </c>
      <c r="C1761" s="15" t="s">
        <v>68</v>
      </c>
      <c r="D1761" s="15" t="s">
        <v>44</v>
      </c>
      <c r="E1761" s="15" t="s">
        <v>37</v>
      </c>
      <c r="F1761" s="15" t="s">
        <v>17</v>
      </c>
      <c r="G1761" s="15" t="s">
        <v>29</v>
      </c>
      <c r="H1761" s="15" t="n">
        <v>2</v>
      </c>
      <c r="I1761" s="17" t="n">
        <v>0.4</v>
      </c>
      <c r="J1761" s="18" t="n">
        <v>22.65</v>
      </c>
      <c r="K1761" s="19" t="n">
        <v>1.21</v>
      </c>
      <c r="L1761" s="15" t="n">
        <f aca="false">YEAR(B1761)</f>
        <v>2023</v>
      </c>
      <c r="M1761" s="20" t="n">
        <f aca="false">IF(J1761&gt;0,K1761/J1761,0)</f>
        <v>0.0534216335540839</v>
      </c>
    </row>
    <row r="1762" customFormat="false" ht="15" hidden="false" customHeight="false" outlineLevel="0" collapsed="false">
      <c r="A1762" s="15" t="s">
        <v>1819</v>
      </c>
      <c r="B1762" s="16" t="n">
        <v>45373</v>
      </c>
      <c r="C1762" s="15" t="s">
        <v>56</v>
      </c>
      <c r="D1762" s="15" t="s">
        <v>42</v>
      </c>
      <c r="E1762" s="15" t="s">
        <v>39</v>
      </c>
      <c r="F1762" s="15" t="s">
        <v>17</v>
      </c>
      <c r="G1762" s="15" t="s">
        <v>26</v>
      </c>
      <c r="H1762" s="15" t="n">
        <v>1</v>
      </c>
      <c r="I1762" s="17" t="n">
        <v>0</v>
      </c>
      <c r="J1762" s="18" t="n">
        <v>97.28</v>
      </c>
      <c r="K1762" s="19" t="n">
        <v>17.52</v>
      </c>
      <c r="L1762" s="15" t="n">
        <f aca="false">YEAR(B1762)</f>
        <v>2024</v>
      </c>
      <c r="M1762" s="20" t="n">
        <f aca="false">IF(J1762&gt;0,K1762/J1762,0)</f>
        <v>0.180098684210526</v>
      </c>
    </row>
    <row r="1763" customFormat="false" ht="15" hidden="false" customHeight="false" outlineLevel="0" collapsed="false">
      <c r="A1763" s="15" t="s">
        <v>1820</v>
      </c>
      <c r="B1763" s="16" t="n">
        <v>45925</v>
      </c>
      <c r="C1763" s="15" t="s">
        <v>71</v>
      </c>
      <c r="D1763" s="15" t="s">
        <v>44</v>
      </c>
      <c r="E1763" s="15" t="s">
        <v>37</v>
      </c>
      <c r="F1763" s="15" t="s">
        <v>17</v>
      </c>
      <c r="G1763" s="15" t="s">
        <v>31</v>
      </c>
      <c r="H1763" s="15" t="n">
        <v>4</v>
      </c>
      <c r="I1763" s="17" t="n">
        <v>0.4</v>
      </c>
      <c r="J1763" s="18" t="n">
        <v>336.33</v>
      </c>
      <c r="K1763" s="19" t="n">
        <v>-40.44</v>
      </c>
      <c r="L1763" s="15" t="n">
        <f aca="false">YEAR(B1763)</f>
        <v>2025</v>
      </c>
      <c r="M1763" s="20" t="n">
        <f aca="false">IF(J1763&gt;0,K1763/J1763,0)</f>
        <v>-0.12023905093212</v>
      </c>
    </row>
    <row r="1764" customFormat="false" ht="15" hidden="false" customHeight="false" outlineLevel="0" collapsed="false">
      <c r="A1764" s="15" t="s">
        <v>1821</v>
      </c>
      <c r="B1764" s="16" t="n">
        <v>45364</v>
      </c>
      <c r="C1764" s="15" t="s">
        <v>56</v>
      </c>
      <c r="D1764" s="15" t="s">
        <v>42</v>
      </c>
      <c r="E1764" s="15" t="s">
        <v>39</v>
      </c>
      <c r="F1764" s="15" t="s">
        <v>18</v>
      </c>
      <c r="G1764" s="15" t="s">
        <v>32</v>
      </c>
      <c r="H1764" s="15" t="n">
        <v>2</v>
      </c>
      <c r="I1764" s="17" t="n">
        <v>0.05</v>
      </c>
      <c r="J1764" s="18" t="n">
        <v>854.28</v>
      </c>
      <c r="K1764" s="19" t="n">
        <v>87.82</v>
      </c>
      <c r="L1764" s="15" t="n">
        <f aca="false">YEAR(B1764)</f>
        <v>2024</v>
      </c>
      <c r="M1764" s="20" t="n">
        <f aca="false">IF(J1764&gt;0,K1764/J1764,0)</f>
        <v>0.102800018729222</v>
      </c>
    </row>
    <row r="1765" customFormat="false" ht="15" hidden="false" customHeight="false" outlineLevel="0" collapsed="false">
      <c r="A1765" s="15" t="s">
        <v>1822</v>
      </c>
      <c r="B1765" s="16" t="n">
        <v>45066</v>
      </c>
      <c r="C1765" s="15" t="s">
        <v>71</v>
      </c>
      <c r="D1765" s="15" t="s">
        <v>44</v>
      </c>
      <c r="E1765" s="15" t="s">
        <v>39</v>
      </c>
      <c r="F1765" s="15" t="s">
        <v>16</v>
      </c>
      <c r="G1765" s="15" t="s">
        <v>23</v>
      </c>
      <c r="H1765" s="15" t="n">
        <v>5</v>
      </c>
      <c r="I1765" s="17" t="n">
        <v>0.1</v>
      </c>
      <c r="J1765" s="18" t="n">
        <v>2063.73</v>
      </c>
      <c r="K1765" s="19" t="n">
        <v>-221.15</v>
      </c>
      <c r="L1765" s="15" t="n">
        <f aca="false">YEAR(B1765)</f>
        <v>2023</v>
      </c>
      <c r="M1765" s="20" t="n">
        <f aca="false">IF(J1765&gt;0,K1765/J1765,0)</f>
        <v>-0.107160335896653</v>
      </c>
    </row>
    <row r="1766" customFormat="false" ht="15" hidden="false" customHeight="false" outlineLevel="0" collapsed="false">
      <c r="A1766" s="15" t="s">
        <v>1823</v>
      </c>
      <c r="B1766" s="16" t="n">
        <v>44624</v>
      </c>
      <c r="C1766" s="15" t="s">
        <v>71</v>
      </c>
      <c r="D1766" s="15" t="s">
        <v>43</v>
      </c>
      <c r="E1766" s="15" t="s">
        <v>37</v>
      </c>
      <c r="F1766" s="15" t="s">
        <v>17</v>
      </c>
      <c r="G1766" s="15" t="s">
        <v>29</v>
      </c>
      <c r="H1766" s="15" t="n">
        <v>4</v>
      </c>
      <c r="I1766" s="17" t="n">
        <v>0.2</v>
      </c>
      <c r="J1766" s="18" t="n">
        <v>63.94</v>
      </c>
      <c r="K1766" s="19" t="n">
        <v>12.77</v>
      </c>
      <c r="L1766" s="15" t="n">
        <f aca="false">YEAR(B1766)</f>
        <v>2022</v>
      </c>
      <c r="M1766" s="20" t="n">
        <f aca="false">IF(J1766&gt;0,K1766/J1766,0)</f>
        <v>0.199718486080701</v>
      </c>
    </row>
    <row r="1767" customFormat="false" ht="15" hidden="false" customHeight="false" outlineLevel="0" collapsed="false">
      <c r="A1767" s="15" t="s">
        <v>1824</v>
      </c>
      <c r="B1767" s="16" t="n">
        <v>45774</v>
      </c>
      <c r="C1767" s="15" t="s">
        <v>56</v>
      </c>
      <c r="D1767" s="15" t="s">
        <v>42</v>
      </c>
      <c r="E1767" s="15" t="s">
        <v>39</v>
      </c>
      <c r="F1767" s="15" t="s">
        <v>17</v>
      </c>
      <c r="G1767" s="15" t="s">
        <v>28</v>
      </c>
      <c r="H1767" s="15" t="n">
        <v>5</v>
      </c>
      <c r="I1767" s="17" t="n">
        <v>0.2</v>
      </c>
      <c r="J1767" s="18" t="n">
        <v>103.05</v>
      </c>
      <c r="K1767" s="19" t="n">
        <v>15.3</v>
      </c>
      <c r="L1767" s="15" t="n">
        <f aca="false">YEAR(B1767)</f>
        <v>2025</v>
      </c>
      <c r="M1767" s="20" t="n">
        <f aca="false">IF(J1767&gt;0,K1767/J1767,0)</f>
        <v>0.148471615720524</v>
      </c>
    </row>
    <row r="1768" customFormat="false" ht="15" hidden="false" customHeight="false" outlineLevel="0" collapsed="false">
      <c r="A1768" s="15" t="s">
        <v>1825</v>
      </c>
      <c r="B1768" s="16" t="n">
        <v>45704</v>
      </c>
      <c r="C1768" s="15" t="s">
        <v>71</v>
      </c>
      <c r="D1768" s="15" t="s">
        <v>43</v>
      </c>
      <c r="E1768" s="15" t="s">
        <v>39</v>
      </c>
      <c r="F1768" s="15" t="s">
        <v>16</v>
      </c>
      <c r="G1768" s="15" t="s">
        <v>22</v>
      </c>
      <c r="H1768" s="15" t="n">
        <v>1</v>
      </c>
      <c r="I1768" s="17" t="n">
        <v>0.2</v>
      </c>
      <c r="J1768" s="18" t="n">
        <v>389.19</v>
      </c>
      <c r="K1768" s="19" t="n">
        <v>-98.26</v>
      </c>
      <c r="L1768" s="15" t="n">
        <f aca="false">YEAR(B1768)</f>
        <v>2025</v>
      </c>
      <c r="M1768" s="20" t="n">
        <f aca="false">IF(J1768&gt;0,K1768/J1768,0)</f>
        <v>-0.252473085125517</v>
      </c>
    </row>
    <row r="1769" customFormat="false" ht="15" hidden="false" customHeight="false" outlineLevel="0" collapsed="false">
      <c r="A1769" s="15" t="s">
        <v>1826</v>
      </c>
      <c r="B1769" s="16" t="n">
        <v>45786</v>
      </c>
      <c r="C1769" s="15" t="s">
        <v>56</v>
      </c>
      <c r="D1769" s="15" t="s">
        <v>42</v>
      </c>
      <c r="E1769" s="15" t="s">
        <v>38</v>
      </c>
      <c r="F1769" s="15" t="s">
        <v>18</v>
      </c>
      <c r="G1769" s="15" t="s">
        <v>32</v>
      </c>
      <c r="H1769" s="15" t="n">
        <v>1</v>
      </c>
      <c r="I1769" s="17" t="n">
        <v>0.15</v>
      </c>
      <c r="J1769" s="18" t="n">
        <v>315.4</v>
      </c>
      <c r="K1769" s="19" t="n">
        <v>5.83</v>
      </c>
      <c r="L1769" s="15" t="n">
        <f aca="false">YEAR(B1769)</f>
        <v>2025</v>
      </c>
      <c r="M1769" s="20" t="n">
        <f aca="false">IF(J1769&gt;0,K1769/J1769,0)</f>
        <v>0.0184844641724794</v>
      </c>
    </row>
    <row r="1770" customFormat="false" ht="15" hidden="false" customHeight="false" outlineLevel="0" collapsed="false">
      <c r="A1770" s="15" t="s">
        <v>1827</v>
      </c>
      <c r="B1770" s="16" t="n">
        <v>44999</v>
      </c>
      <c r="C1770" s="15" t="s">
        <v>71</v>
      </c>
      <c r="D1770" s="15" t="s">
        <v>42</v>
      </c>
      <c r="E1770" s="15" t="s">
        <v>38</v>
      </c>
      <c r="F1770" s="15" t="s">
        <v>18</v>
      </c>
      <c r="G1770" s="15" t="s">
        <v>24</v>
      </c>
      <c r="H1770" s="15" t="n">
        <v>3</v>
      </c>
      <c r="I1770" s="17" t="n">
        <v>0</v>
      </c>
      <c r="J1770" s="18" t="n">
        <v>1787.88</v>
      </c>
      <c r="K1770" s="19" t="n">
        <v>151.36</v>
      </c>
      <c r="L1770" s="15" t="n">
        <f aca="false">YEAR(B1770)</f>
        <v>2023</v>
      </c>
      <c r="M1770" s="20" t="n">
        <f aca="false">IF(J1770&gt;0,K1770/J1770,0)</f>
        <v>0.0846589256549657</v>
      </c>
    </row>
    <row r="1771" customFormat="false" ht="15" hidden="false" customHeight="false" outlineLevel="0" collapsed="false">
      <c r="A1771" s="15" t="s">
        <v>1828</v>
      </c>
      <c r="B1771" s="16" t="n">
        <v>44841</v>
      </c>
      <c r="C1771" s="15" t="s">
        <v>56</v>
      </c>
      <c r="D1771" s="15" t="s">
        <v>42</v>
      </c>
      <c r="E1771" s="15" t="s">
        <v>37</v>
      </c>
      <c r="F1771" s="15" t="s">
        <v>16</v>
      </c>
      <c r="G1771" s="15" t="s">
        <v>22</v>
      </c>
      <c r="H1771" s="15" t="n">
        <v>1</v>
      </c>
      <c r="I1771" s="17" t="n">
        <v>0.2</v>
      </c>
      <c r="J1771" s="18" t="n">
        <v>409.84</v>
      </c>
      <c r="K1771" s="19" t="n">
        <v>-59.58</v>
      </c>
      <c r="L1771" s="15" t="n">
        <f aca="false">YEAR(B1771)</f>
        <v>2022</v>
      </c>
      <c r="M1771" s="20" t="n">
        <f aca="false">IF(J1771&gt;0,K1771/J1771,0)</f>
        <v>-0.145373804411478</v>
      </c>
    </row>
    <row r="1772" customFormat="false" ht="15" hidden="false" customHeight="false" outlineLevel="0" collapsed="false">
      <c r="A1772" s="15" t="s">
        <v>1829</v>
      </c>
      <c r="B1772" s="16" t="n">
        <v>45264</v>
      </c>
      <c r="C1772" s="15" t="s">
        <v>56</v>
      </c>
      <c r="D1772" s="15" t="s">
        <v>42</v>
      </c>
      <c r="E1772" s="15" t="s">
        <v>38</v>
      </c>
      <c r="F1772" s="15" t="s">
        <v>17</v>
      </c>
      <c r="G1772" s="15" t="s">
        <v>29</v>
      </c>
      <c r="H1772" s="15" t="n">
        <v>6</v>
      </c>
      <c r="I1772" s="17" t="n">
        <v>0.2</v>
      </c>
      <c r="J1772" s="18" t="n">
        <v>64.59</v>
      </c>
      <c r="K1772" s="19" t="n">
        <v>10.79</v>
      </c>
      <c r="L1772" s="15" t="n">
        <f aca="false">YEAR(B1772)</f>
        <v>2023</v>
      </c>
      <c r="M1772" s="20" t="n">
        <f aca="false">IF(J1772&gt;0,K1772/J1772,0)</f>
        <v>0.167053723486608</v>
      </c>
    </row>
    <row r="1773" customFormat="false" ht="15" hidden="false" customHeight="false" outlineLevel="0" collapsed="false">
      <c r="A1773" s="15" t="s">
        <v>1830</v>
      </c>
      <c r="B1773" s="16" t="n">
        <v>45742</v>
      </c>
      <c r="C1773" s="15" t="s">
        <v>71</v>
      </c>
      <c r="D1773" s="15" t="s">
        <v>42</v>
      </c>
      <c r="E1773" s="15" t="s">
        <v>38</v>
      </c>
      <c r="F1773" s="15" t="s">
        <v>17</v>
      </c>
      <c r="G1773" s="15" t="s">
        <v>31</v>
      </c>
      <c r="H1773" s="15" t="n">
        <v>6</v>
      </c>
      <c r="I1773" s="17" t="n">
        <v>0.1</v>
      </c>
      <c r="J1773" s="18" t="n">
        <v>573.28</v>
      </c>
      <c r="K1773" s="19" t="n">
        <v>40.23</v>
      </c>
      <c r="L1773" s="15" t="n">
        <f aca="false">YEAR(B1773)</f>
        <v>2025</v>
      </c>
      <c r="M1773" s="20" t="n">
        <f aca="false">IF(J1773&gt;0,K1773/J1773,0)</f>
        <v>0.0701751325704717</v>
      </c>
    </row>
    <row r="1774" customFormat="false" ht="15" hidden="false" customHeight="false" outlineLevel="0" collapsed="false">
      <c r="A1774" s="15" t="s">
        <v>1831</v>
      </c>
      <c r="B1774" s="16" t="n">
        <v>45631</v>
      </c>
      <c r="C1774" s="15" t="s">
        <v>68</v>
      </c>
      <c r="D1774" s="15" t="s">
        <v>43</v>
      </c>
      <c r="E1774" s="15" t="s">
        <v>39</v>
      </c>
      <c r="F1774" s="15" t="s">
        <v>17</v>
      </c>
      <c r="G1774" s="15" t="s">
        <v>29</v>
      </c>
      <c r="H1774" s="15" t="n">
        <v>4</v>
      </c>
      <c r="I1774" s="17" t="n">
        <v>0</v>
      </c>
      <c r="J1774" s="18" t="n">
        <v>81.77</v>
      </c>
      <c r="K1774" s="19" t="n">
        <v>21.39</v>
      </c>
      <c r="L1774" s="15" t="n">
        <f aca="false">YEAR(B1774)</f>
        <v>2024</v>
      </c>
      <c r="M1774" s="20" t="n">
        <f aca="false">IF(J1774&gt;0,K1774/J1774,0)</f>
        <v>0.261587379234438</v>
      </c>
    </row>
    <row r="1775" customFormat="false" ht="15" hidden="false" customHeight="false" outlineLevel="0" collapsed="false">
      <c r="A1775" s="15" t="s">
        <v>1832</v>
      </c>
      <c r="B1775" s="16" t="n">
        <v>45484</v>
      </c>
      <c r="C1775" s="15" t="s">
        <v>56</v>
      </c>
      <c r="D1775" s="15" t="s">
        <v>42</v>
      </c>
      <c r="E1775" s="15" t="s">
        <v>37</v>
      </c>
      <c r="F1775" s="15" t="s">
        <v>16</v>
      </c>
      <c r="G1775" s="15" t="s">
        <v>23</v>
      </c>
      <c r="H1775" s="15" t="n">
        <v>3</v>
      </c>
      <c r="I1775" s="17" t="n">
        <v>0</v>
      </c>
      <c r="J1775" s="18" t="n">
        <v>737.4</v>
      </c>
      <c r="K1775" s="19" t="n">
        <v>-12.03</v>
      </c>
      <c r="L1775" s="15" t="n">
        <f aca="false">YEAR(B1775)</f>
        <v>2024</v>
      </c>
      <c r="M1775" s="20" t="n">
        <f aca="false">IF(J1775&gt;0,K1775/J1775,0)</f>
        <v>-0.0163140764849471</v>
      </c>
    </row>
    <row r="1776" customFormat="false" ht="15" hidden="false" customHeight="false" outlineLevel="0" collapsed="false">
      <c r="A1776" s="15" t="s">
        <v>1833</v>
      </c>
      <c r="B1776" s="16" t="n">
        <v>44900</v>
      </c>
      <c r="C1776" s="15" t="s">
        <v>56</v>
      </c>
      <c r="D1776" s="15" t="s">
        <v>44</v>
      </c>
      <c r="E1776" s="15" t="s">
        <v>39</v>
      </c>
      <c r="F1776" s="15" t="s">
        <v>17</v>
      </c>
      <c r="G1776" s="15" t="s">
        <v>31</v>
      </c>
      <c r="H1776" s="15" t="n">
        <v>4</v>
      </c>
      <c r="I1776" s="17" t="n">
        <v>0</v>
      </c>
      <c r="J1776" s="18" t="n">
        <v>599.18</v>
      </c>
      <c r="K1776" s="19" t="n">
        <v>86.99</v>
      </c>
      <c r="L1776" s="15" t="n">
        <f aca="false">YEAR(B1776)</f>
        <v>2022</v>
      </c>
      <c r="M1776" s="20" t="n">
        <f aca="false">IF(J1776&gt;0,K1776/J1776,0)</f>
        <v>0.145181748389466</v>
      </c>
    </row>
    <row r="1777" customFormat="false" ht="15" hidden="false" customHeight="false" outlineLevel="0" collapsed="false">
      <c r="A1777" s="15" t="s">
        <v>1834</v>
      </c>
      <c r="B1777" s="16" t="n">
        <v>45942</v>
      </c>
      <c r="C1777" s="15" t="s">
        <v>56</v>
      </c>
      <c r="D1777" s="15" t="s">
        <v>42</v>
      </c>
      <c r="E1777" s="15" t="s">
        <v>39</v>
      </c>
      <c r="F1777" s="15" t="s">
        <v>17</v>
      </c>
      <c r="G1777" s="15" t="s">
        <v>28</v>
      </c>
      <c r="H1777" s="15" t="n">
        <v>4</v>
      </c>
      <c r="I1777" s="17" t="n">
        <v>0</v>
      </c>
      <c r="J1777" s="18" t="n">
        <v>108.55</v>
      </c>
      <c r="K1777" s="19" t="n">
        <v>36.36</v>
      </c>
      <c r="L1777" s="15" t="n">
        <f aca="false">YEAR(B1777)</f>
        <v>2025</v>
      </c>
      <c r="M1777" s="20" t="n">
        <f aca="false">IF(J1777&gt;0,K1777/J1777,0)</f>
        <v>0.334960847535698</v>
      </c>
    </row>
    <row r="1778" customFormat="false" ht="15" hidden="false" customHeight="false" outlineLevel="0" collapsed="false">
      <c r="A1778" s="15" t="s">
        <v>1835</v>
      </c>
      <c r="B1778" s="16" t="n">
        <v>45792</v>
      </c>
      <c r="C1778" s="15" t="s">
        <v>56</v>
      </c>
      <c r="D1778" s="15" t="s">
        <v>42</v>
      </c>
      <c r="E1778" s="15" t="s">
        <v>39</v>
      </c>
      <c r="F1778" s="15" t="s">
        <v>18</v>
      </c>
      <c r="G1778" s="15" t="s">
        <v>30</v>
      </c>
      <c r="H1778" s="15" t="n">
        <v>2</v>
      </c>
      <c r="I1778" s="17" t="n">
        <v>0.15</v>
      </c>
      <c r="J1778" s="18" t="n">
        <v>90.98</v>
      </c>
      <c r="K1778" s="19" t="n">
        <v>6.61</v>
      </c>
      <c r="L1778" s="15" t="n">
        <f aca="false">YEAR(B1778)</f>
        <v>2025</v>
      </c>
      <c r="M1778" s="20" t="n">
        <f aca="false">IF(J1778&gt;0,K1778/J1778,0)</f>
        <v>0.0726533304022862</v>
      </c>
    </row>
    <row r="1779" customFormat="false" ht="15" hidden="false" customHeight="false" outlineLevel="0" collapsed="false">
      <c r="A1779" s="15" t="s">
        <v>1836</v>
      </c>
      <c r="B1779" s="16" t="n">
        <v>44703</v>
      </c>
      <c r="C1779" s="15" t="s">
        <v>56</v>
      </c>
      <c r="D1779" s="15" t="s">
        <v>42</v>
      </c>
      <c r="E1779" s="15" t="s">
        <v>36</v>
      </c>
      <c r="F1779" s="15" t="s">
        <v>18</v>
      </c>
      <c r="G1779" s="15" t="s">
        <v>30</v>
      </c>
      <c r="H1779" s="15" t="n">
        <v>4</v>
      </c>
      <c r="I1779" s="17" t="n">
        <v>0</v>
      </c>
      <c r="J1779" s="18" t="n">
        <v>185.48</v>
      </c>
      <c r="K1779" s="19" t="n">
        <v>41.4</v>
      </c>
      <c r="L1779" s="15" t="n">
        <f aca="false">YEAR(B1779)</f>
        <v>2022</v>
      </c>
      <c r="M1779" s="20" t="n">
        <f aca="false">IF(J1779&gt;0,K1779/J1779,0)</f>
        <v>0.223204658184171</v>
      </c>
    </row>
    <row r="1780" customFormat="false" ht="15" hidden="false" customHeight="false" outlineLevel="0" collapsed="false">
      <c r="A1780" s="15" t="s">
        <v>1837</v>
      </c>
      <c r="B1780" s="16" t="n">
        <v>45175</v>
      </c>
      <c r="C1780" s="15" t="s">
        <v>56</v>
      </c>
      <c r="D1780" s="15" t="s">
        <v>44</v>
      </c>
      <c r="E1780" s="15" t="s">
        <v>37</v>
      </c>
      <c r="F1780" s="15" t="s">
        <v>17</v>
      </c>
      <c r="G1780" s="15" t="s">
        <v>31</v>
      </c>
      <c r="H1780" s="15" t="n">
        <v>6</v>
      </c>
      <c r="I1780" s="17" t="n">
        <v>0.2</v>
      </c>
      <c r="J1780" s="18" t="n">
        <v>647.02</v>
      </c>
      <c r="K1780" s="19" t="n">
        <v>42.74</v>
      </c>
      <c r="L1780" s="15" t="n">
        <f aca="false">YEAR(B1780)</f>
        <v>2023</v>
      </c>
      <c r="M1780" s="20" t="n">
        <f aca="false">IF(J1780&gt;0,K1780/J1780,0)</f>
        <v>0.0660566906741677</v>
      </c>
    </row>
    <row r="1781" customFormat="false" ht="15" hidden="false" customHeight="false" outlineLevel="0" collapsed="false">
      <c r="A1781" s="15" t="s">
        <v>1838</v>
      </c>
      <c r="B1781" s="16" t="n">
        <v>45448</v>
      </c>
      <c r="C1781" s="15" t="s">
        <v>58</v>
      </c>
      <c r="D1781" s="15" t="s">
        <v>43</v>
      </c>
      <c r="E1781" s="15" t="s">
        <v>36</v>
      </c>
      <c r="F1781" s="15" t="s">
        <v>18</v>
      </c>
      <c r="G1781" s="15" t="s">
        <v>24</v>
      </c>
      <c r="H1781" s="15" t="n">
        <v>10</v>
      </c>
      <c r="I1781" s="17" t="n">
        <v>0</v>
      </c>
      <c r="J1781" s="18" t="n">
        <v>6578.38</v>
      </c>
      <c r="K1781" s="19" t="n">
        <v>391.82</v>
      </c>
      <c r="L1781" s="15" t="n">
        <f aca="false">YEAR(B1781)</f>
        <v>2024</v>
      </c>
      <c r="M1781" s="20" t="n">
        <f aca="false">IF(J1781&gt;0,K1781/J1781,0)</f>
        <v>0.0595617766076146</v>
      </c>
    </row>
    <row r="1782" customFormat="false" ht="15" hidden="false" customHeight="false" outlineLevel="0" collapsed="false">
      <c r="A1782" s="15" t="s">
        <v>1839</v>
      </c>
      <c r="B1782" s="16" t="n">
        <v>44918</v>
      </c>
      <c r="C1782" s="15" t="s">
        <v>56</v>
      </c>
      <c r="D1782" s="15" t="s">
        <v>42</v>
      </c>
      <c r="E1782" s="15" t="s">
        <v>39</v>
      </c>
      <c r="F1782" s="15" t="s">
        <v>16</v>
      </c>
      <c r="G1782" s="15" t="s">
        <v>22</v>
      </c>
      <c r="H1782" s="15" t="n">
        <v>3</v>
      </c>
      <c r="I1782" s="17" t="n">
        <v>0.05</v>
      </c>
      <c r="J1782" s="18" t="n">
        <v>1325.47</v>
      </c>
      <c r="K1782" s="19" t="n">
        <v>-85.65</v>
      </c>
      <c r="L1782" s="15" t="n">
        <f aca="false">YEAR(B1782)</f>
        <v>2022</v>
      </c>
      <c r="M1782" s="20" t="n">
        <f aca="false">IF(J1782&gt;0,K1782/J1782,0)</f>
        <v>-0.0646185881234581</v>
      </c>
    </row>
    <row r="1783" customFormat="false" ht="15" hidden="false" customHeight="false" outlineLevel="0" collapsed="false">
      <c r="A1783" s="15" t="s">
        <v>1840</v>
      </c>
      <c r="B1783" s="16" t="n">
        <v>44828</v>
      </c>
      <c r="C1783" s="15" t="s">
        <v>71</v>
      </c>
      <c r="D1783" s="15" t="s">
        <v>42</v>
      </c>
      <c r="E1783" s="15" t="s">
        <v>38</v>
      </c>
      <c r="F1783" s="15" t="s">
        <v>17</v>
      </c>
      <c r="G1783" s="15" t="s">
        <v>26</v>
      </c>
      <c r="H1783" s="15" t="n">
        <v>2</v>
      </c>
      <c r="I1783" s="17" t="n">
        <v>0.5</v>
      </c>
      <c r="J1783" s="18" t="n">
        <v>76.66</v>
      </c>
      <c r="K1783" s="19" t="n">
        <v>-26.25</v>
      </c>
      <c r="L1783" s="15" t="n">
        <f aca="false">YEAR(B1783)</f>
        <v>2022</v>
      </c>
      <c r="M1783" s="20" t="n">
        <f aca="false">IF(J1783&gt;0,K1783/J1783,0)</f>
        <v>-0.342421080093921</v>
      </c>
    </row>
    <row r="1784" customFormat="false" ht="15" hidden="false" customHeight="false" outlineLevel="0" collapsed="false">
      <c r="A1784" s="15" t="s">
        <v>1841</v>
      </c>
      <c r="B1784" s="16" t="n">
        <v>45134</v>
      </c>
      <c r="C1784" s="15" t="s">
        <v>71</v>
      </c>
      <c r="D1784" s="15" t="s">
        <v>43</v>
      </c>
      <c r="E1784" s="15" t="s">
        <v>38</v>
      </c>
      <c r="F1784" s="15" t="s">
        <v>17</v>
      </c>
      <c r="G1784" s="15" t="s">
        <v>29</v>
      </c>
      <c r="H1784" s="15" t="n">
        <v>5</v>
      </c>
      <c r="I1784" s="17" t="n">
        <v>0.15</v>
      </c>
      <c r="J1784" s="18" t="n">
        <v>65.33</v>
      </c>
      <c r="K1784" s="19" t="n">
        <v>14.91</v>
      </c>
      <c r="L1784" s="15" t="n">
        <f aca="false">YEAR(B1784)</f>
        <v>2023</v>
      </c>
      <c r="M1784" s="20" t="n">
        <f aca="false">IF(J1784&gt;0,K1784/J1784,0)</f>
        <v>0.228225929894382</v>
      </c>
    </row>
    <row r="1785" customFormat="false" ht="15" hidden="false" customHeight="false" outlineLevel="0" collapsed="false">
      <c r="A1785" s="15" t="s">
        <v>1842</v>
      </c>
      <c r="B1785" s="16" t="n">
        <v>45081</v>
      </c>
      <c r="C1785" s="15" t="s">
        <v>56</v>
      </c>
      <c r="D1785" s="15" t="s">
        <v>43</v>
      </c>
      <c r="E1785" s="15" t="s">
        <v>38</v>
      </c>
      <c r="F1785" s="15" t="s">
        <v>17</v>
      </c>
      <c r="G1785" s="15" t="s">
        <v>31</v>
      </c>
      <c r="H1785" s="15" t="n">
        <v>2</v>
      </c>
      <c r="I1785" s="17" t="n">
        <v>0.1</v>
      </c>
      <c r="J1785" s="18" t="n">
        <v>202.91</v>
      </c>
      <c r="K1785" s="19" t="n">
        <v>27.84</v>
      </c>
      <c r="L1785" s="15" t="n">
        <f aca="false">YEAR(B1785)</f>
        <v>2023</v>
      </c>
      <c r="M1785" s="20" t="n">
        <f aca="false">IF(J1785&gt;0,K1785/J1785,0)</f>
        <v>0.137203686363412</v>
      </c>
    </row>
    <row r="1786" customFormat="false" ht="15" hidden="false" customHeight="false" outlineLevel="0" collapsed="false">
      <c r="A1786" s="15" t="s">
        <v>1843</v>
      </c>
      <c r="B1786" s="16" t="n">
        <v>44667</v>
      </c>
      <c r="C1786" s="15" t="s">
        <v>71</v>
      </c>
      <c r="D1786" s="15" t="s">
        <v>44</v>
      </c>
      <c r="E1786" s="15" t="s">
        <v>37</v>
      </c>
      <c r="F1786" s="15" t="s">
        <v>17</v>
      </c>
      <c r="G1786" s="15" t="s">
        <v>28</v>
      </c>
      <c r="H1786" s="15" t="n">
        <v>1</v>
      </c>
      <c r="I1786" s="17" t="n">
        <v>0.1</v>
      </c>
      <c r="J1786" s="18" t="n">
        <v>22.61</v>
      </c>
      <c r="K1786" s="19" t="n">
        <v>4.12</v>
      </c>
      <c r="L1786" s="15" t="n">
        <f aca="false">YEAR(B1786)</f>
        <v>2022</v>
      </c>
      <c r="M1786" s="20" t="n">
        <f aca="false">IF(J1786&gt;0,K1786/J1786,0)</f>
        <v>0.182220256523662</v>
      </c>
    </row>
    <row r="1787" customFormat="false" ht="15" hidden="false" customHeight="false" outlineLevel="0" collapsed="false">
      <c r="A1787" s="15" t="s">
        <v>1844</v>
      </c>
      <c r="B1787" s="16" t="n">
        <v>45158</v>
      </c>
      <c r="C1787" s="15" t="s">
        <v>71</v>
      </c>
      <c r="D1787" s="15" t="s">
        <v>44</v>
      </c>
      <c r="E1787" s="15" t="s">
        <v>37</v>
      </c>
      <c r="F1787" s="15" t="s">
        <v>17</v>
      </c>
      <c r="G1787" s="15" t="s">
        <v>28</v>
      </c>
      <c r="H1787" s="15" t="n">
        <v>6</v>
      </c>
      <c r="I1787" s="17" t="n">
        <v>0.4</v>
      </c>
      <c r="J1787" s="18" t="n">
        <v>91.36</v>
      </c>
      <c r="K1787" s="19" t="n">
        <v>-5.82</v>
      </c>
      <c r="L1787" s="15" t="n">
        <f aca="false">YEAR(B1787)</f>
        <v>2023</v>
      </c>
      <c r="M1787" s="20" t="n">
        <f aca="false">IF(J1787&gt;0,K1787/J1787,0)</f>
        <v>-0.0637040280210158</v>
      </c>
    </row>
    <row r="1788" customFormat="false" ht="15" hidden="false" customHeight="false" outlineLevel="0" collapsed="false">
      <c r="A1788" s="15" t="s">
        <v>1845</v>
      </c>
      <c r="B1788" s="16" t="n">
        <v>45949</v>
      </c>
      <c r="C1788" s="15" t="s">
        <v>56</v>
      </c>
      <c r="D1788" s="15" t="s">
        <v>42</v>
      </c>
      <c r="E1788" s="15" t="s">
        <v>39</v>
      </c>
      <c r="F1788" s="15" t="s">
        <v>18</v>
      </c>
      <c r="G1788" s="15" t="s">
        <v>30</v>
      </c>
      <c r="H1788" s="15" t="n">
        <v>4</v>
      </c>
      <c r="I1788" s="17" t="n">
        <v>0</v>
      </c>
      <c r="J1788" s="18" t="n">
        <v>154.08</v>
      </c>
      <c r="K1788" s="19" t="n">
        <v>43.95</v>
      </c>
      <c r="L1788" s="15" t="n">
        <f aca="false">YEAR(B1788)</f>
        <v>2025</v>
      </c>
      <c r="M1788" s="20" t="n">
        <f aca="false">IF(J1788&gt;0,K1788/J1788,0)</f>
        <v>0.285241433021807</v>
      </c>
    </row>
    <row r="1789" customFormat="false" ht="15" hidden="false" customHeight="false" outlineLevel="0" collapsed="false">
      <c r="A1789" s="15" t="s">
        <v>1846</v>
      </c>
      <c r="B1789" s="16" t="n">
        <v>45367</v>
      </c>
      <c r="C1789" s="15" t="s">
        <v>56</v>
      </c>
      <c r="D1789" s="15" t="s">
        <v>42</v>
      </c>
      <c r="E1789" s="15" t="s">
        <v>36</v>
      </c>
      <c r="F1789" s="15" t="s">
        <v>18</v>
      </c>
      <c r="G1789" s="15" t="s">
        <v>30</v>
      </c>
      <c r="H1789" s="15" t="n">
        <v>3</v>
      </c>
      <c r="I1789" s="17" t="n">
        <v>0</v>
      </c>
      <c r="J1789" s="18" t="n">
        <v>107.45</v>
      </c>
      <c r="K1789" s="19" t="n">
        <v>31.03</v>
      </c>
      <c r="L1789" s="15" t="n">
        <f aca="false">YEAR(B1789)</f>
        <v>2024</v>
      </c>
      <c r="M1789" s="20" t="n">
        <f aca="false">IF(J1789&gt;0,K1789/J1789,0)</f>
        <v>0.288785481619358</v>
      </c>
    </row>
    <row r="1790" customFormat="false" ht="15" hidden="false" customHeight="false" outlineLevel="0" collapsed="false">
      <c r="A1790" s="15" t="s">
        <v>1847</v>
      </c>
      <c r="B1790" s="16" t="n">
        <v>44747</v>
      </c>
      <c r="C1790" s="15" t="s">
        <v>56</v>
      </c>
      <c r="D1790" s="15" t="s">
        <v>43</v>
      </c>
      <c r="E1790" s="15" t="s">
        <v>39</v>
      </c>
      <c r="F1790" s="15" t="s">
        <v>16</v>
      </c>
      <c r="G1790" s="15" t="s">
        <v>25</v>
      </c>
      <c r="H1790" s="15" t="n">
        <v>1</v>
      </c>
      <c r="I1790" s="17" t="n">
        <v>0.05</v>
      </c>
      <c r="J1790" s="18" t="n">
        <v>287.31</v>
      </c>
      <c r="K1790" s="19" t="n">
        <v>21.55</v>
      </c>
      <c r="L1790" s="15" t="n">
        <f aca="false">YEAR(B1790)</f>
        <v>2022</v>
      </c>
      <c r="M1790" s="20" t="n">
        <f aca="false">IF(J1790&gt;0,K1790/J1790,0)</f>
        <v>0.0750060909818663</v>
      </c>
    </row>
    <row r="1791" customFormat="false" ht="15" hidden="false" customHeight="false" outlineLevel="0" collapsed="false">
      <c r="A1791" s="15" t="s">
        <v>1848</v>
      </c>
      <c r="B1791" s="16" t="n">
        <v>44866</v>
      </c>
      <c r="C1791" s="15" t="s">
        <v>56</v>
      </c>
      <c r="D1791" s="15" t="s">
        <v>43</v>
      </c>
      <c r="E1791" s="15" t="s">
        <v>38</v>
      </c>
      <c r="F1791" s="15" t="s">
        <v>16</v>
      </c>
      <c r="G1791" s="15" t="s">
        <v>22</v>
      </c>
      <c r="H1791" s="15" t="n">
        <v>1</v>
      </c>
      <c r="I1791" s="17" t="n">
        <v>0</v>
      </c>
      <c r="J1791" s="18" t="n">
        <v>546.04</v>
      </c>
      <c r="K1791" s="19" t="n">
        <v>-32.87</v>
      </c>
      <c r="L1791" s="15" t="n">
        <f aca="false">YEAR(B1791)</f>
        <v>2022</v>
      </c>
      <c r="M1791" s="20" t="n">
        <f aca="false">IF(J1791&gt;0,K1791/J1791,0)</f>
        <v>-0.0601970551607941</v>
      </c>
    </row>
    <row r="1792" customFormat="false" ht="15" hidden="false" customHeight="false" outlineLevel="0" collapsed="false">
      <c r="A1792" s="15" t="s">
        <v>1849</v>
      </c>
      <c r="B1792" s="16" t="n">
        <v>45343</v>
      </c>
      <c r="C1792" s="15" t="s">
        <v>68</v>
      </c>
      <c r="D1792" s="15" t="s">
        <v>44</v>
      </c>
      <c r="E1792" s="15" t="s">
        <v>37</v>
      </c>
      <c r="F1792" s="15" t="s">
        <v>18</v>
      </c>
      <c r="G1792" s="15" t="s">
        <v>30</v>
      </c>
      <c r="H1792" s="15" t="n">
        <v>1</v>
      </c>
      <c r="I1792" s="17" t="n">
        <v>0</v>
      </c>
      <c r="J1792" s="18" t="n">
        <v>46.57</v>
      </c>
      <c r="K1792" s="19" t="n">
        <v>13.26</v>
      </c>
      <c r="L1792" s="15" t="n">
        <f aca="false">YEAR(B1792)</f>
        <v>2024</v>
      </c>
      <c r="M1792" s="20" t="n">
        <f aca="false">IF(J1792&gt;0,K1792/J1792,0)</f>
        <v>0.284732660511059</v>
      </c>
    </row>
    <row r="1793" customFormat="false" ht="15" hidden="false" customHeight="false" outlineLevel="0" collapsed="false">
      <c r="A1793" s="15" t="s">
        <v>1850</v>
      </c>
      <c r="B1793" s="16" t="n">
        <v>44834</v>
      </c>
      <c r="C1793" s="15" t="s">
        <v>56</v>
      </c>
      <c r="D1793" s="15" t="s">
        <v>42</v>
      </c>
      <c r="E1793" s="15" t="s">
        <v>37</v>
      </c>
      <c r="F1793" s="15" t="s">
        <v>17</v>
      </c>
      <c r="G1793" s="15" t="s">
        <v>29</v>
      </c>
      <c r="H1793" s="15" t="n">
        <v>4</v>
      </c>
      <c r="I1793" s="17" t="n">
        <v>0.2</v>
      </c>
      <c r="J1793" s="18" t="n">
        <v>54.56</v>
      </c>
      <c r="K1793" s="19" t="n">
        <v>10.3</v>
      </c>
      <c r="L1793" s="15" t="n">
        <f aca="false">YEAR(B1793)</f>
        <v>2022</v>
      </c>
      <c r="M1793" s="20" t="n">
        <f aca="false">IF(J1793&gt;0,K1793/J1793,0)</f>
        <v>0.188782991202346</v>
      </c>
    </row>
    <row r="1794" customFormat="false" ht="15" hidden="false" customHeight="false" outlineLevel="0" collapsed="false">
      <c r="A1794" s="15" t="s">
        <v>1851</v>
      </c>
      <c r="B1794" s="16" t="n">
        <v>45615</v>
      </c>
      <c r="C1794" s="15" t="s">
        <v>56</v>
      </c>
      <c r="D1794" s="15" t="s">
        <v>42</v>
      </c>
      <c r="E1794" s="15" t="s">
        <v>36</v>
      </c>
      <c r="F1794" s="15" t="s">
        <v>16</v>
      </c>
      <c r="G1794" s="15" t="s">
        <v>23</v>
      </c>
      <c r="H1794" s="15" t="n">
        <v>5</v>
      </c>
      <c r="I1794" s="17" t="n">
        <v>0.2</v>
      </c>
      <c r="J1794" s="18" t="n">
        <v>1230.82</v>
      </c>
      <c r="K1794" s="19" t="n">
        <v>-227.42</v>
      </c>
      <c r="L1794" s="15" t="n">
        <f aca="false">YEAR(B1794)</f>
        <v>2024</v>
      </c>
      <c r="M1794" s="20" t="n">
        <f aca="false">IF(J1794&gt;0,K1794/J1794,0)</f>
        <v>-0.184771128190962</v>
      </c>
    </row>
    <row r="1795" customFormat="false" ht="15" hidden="false" customHeight="false" outlineLevel="0" collapsed="false">
      <c r="A1795" s="15" t="s">
        <v>1852</v>
      </c>
      <c r="B1795" s="16" t="n">
        <v>44977</v>
      </c>
      <c r="C1795" s="15" t="s">
        <v>56</v>
      </c>
      <c r="D1795" s="15" t="s">
        <v>42</v>
      </c>
      <c r="E1795" s="15" t="s">
        <v>38</v>
      </c>
      <c r="F1795" s="15" t="s">
        <v>16</v>
      </c>
      <c r="G1795" s="15" t="s">
        <v>25</v>
      </c>
      <c r="H1795" s="15" t="n">
        <v>5</v>
      </c>
      <c r="I1795" s="17" t="n">
        <v>0</v>
      </c>
      <c r="J1795" s="18" t="n">
        <v>1321.62</v>
      </c>
      <c r="K1795" s="19" t="n">
        <v>118.34</v>
      </c>
      <c r="L1795" s="15" t="n">
        <f aca="false">YEAR(B1795)</f>
        <v>2023</v>
      </c>
      <c r="M1795" s="20" t="n">
        <f aca="false">IF(J1795&gt;0,K1795/J1795,0)</f>
        <v>0.0895416231594558</v>
      </c>
    </row>
    <row r="1796" customFormat="false" ht="15" hidden="false" customHeight="false" outlineLevel="0" collapsed="false">
      <c r="A1796" s="15" t="s">
        <v>1853</v>
      </c>
      <c r="B1796" s="16" t="n">
        <v>45293</v>
      </c>
      <c r="C1796" s="15" t="s">
        <v>56</v>
      </c>
      <c r="D1796" s="15" t="s">
        <v>44</v>
      </c>
      <c r="E1796" s="15" t="s">
        <v>37</v>
      </c>
      <c r="F1796" s="15" t="s">
        <v>17</v>
      </c>
      <c r="G1796" s="15" t="s">
        <v>29</v>
      </c>
      <c r="H1796" s="15" t="n">
        <v>4</v>
      </c>
      <c r="I1796" s="17" t="n">
        <v>0.5</v>
      </c>
      <c r="J1796" s="18" t="n">
        <v>34.96</v>
      </c>
      <c r="K1796" s="19" t="n">
        <v>-1.45</v>
      </c>
      <c r="L1796" s="15" t="n">
        <f aca="false">YEAR(B1796)</f>
        <v>2024</v>
      </c>
      <c r="M1796" s="20" t="n">
        <f aca="false">IF(J1796&gt;0,K1796/J1796,0)</f>
        <v>-0.0414759725400458</v>
      </c>
    </row>
    <row r="1797" customFormat="false" ht="15" hidden="false" customHeight="false" outlineLevel="0" collapsed="false">
      <c r="A1797" s="15" t="s">
        <v>1854</v>
      </c>
      <c r="B1797" s="16" t="n">
        <v>45187</v>
      </c>
      <c r="C1797" s="15" t="s">
        <v>56</v>
      </c>
      <c r="D1797" s="15" t="s">
        <v>42</v>
      </c>
      <c r="E1797" s="15" t="s">
        <v>36</v>
      </c>
      <c r="F1797" s="15" t="s">
        <v>16</v>
      </c>
      <c r="G1797" s="15" t="s">
        <v>22</v>
      </c>
      <c r="H1797" s="15" t="n">
        <v>4</v>
      </c>
      <c r="I1797" s="17" t="n">
        <v>0</v>
      </c>
      <c r="J1797" s="18" t="n">
        <v>1887.8</v>
      </c>
      <c r="K1797" s="19" t="n">
        <v>-136</v>
      </c>
      <c r="L1797" s="15" t="n">
        <f aca="false">YEAR(B1797)</f>
        <v>2023</v>
      </c>
      <c r="M1797" s="20" t="n">
        <f aca="false">IF(J1797&gt;0,K1797/J1797,0)</f>
        <v>-0.0720415298230745</v>
      </c>
    </row>
    <row r="1798" customFormat="false" ht="15" hidden="false" customHeight="false" outlineLevel="0" collapsed="false">
      <c r="A1798" s="15" t="s">
        <v>1855</v>
      </c>
      <c r="B1798" s="16" t="n">
        <v>45956</v>
      </c>
      <c r="C1798" s="15" t="s">
        <v>56</v>
      </c>
      <c r="D1798" s="15" t="s">
        <v>44</v>
      </c>
      <c r="E1798" s="15" t="s">
        <v>38</v>
      </c>
      <c r="F1798" s="15" t="s">
        <v>16</v>
      </c>
      <c r="G1798" s="15" t="s">
        <v>22</v>
      </c>
      <c r="H1798" s="15" t="n">
        <v>3</v>
      </c>
      <c r="I1798" s="17" t="n">
        <v>0</v>
      </c>
      <c r="J1798" s="18" t="n">
        <v>1338.69</v>
      </c>
      <c r="K1798" s="19" t="n">
        <v>-54.92</v>
      </c>
      <c r="L1798" s="15" t="n">
        <f aca="false">YEAR(B1798)</f>
        <v>2025</v>
      </c>
      <c r="M1798" s="20" t="n">
        <f aca="false">IF(J1798&gt;0,K1798/J1798,0)</f>
        <v>-0.0410251813339907</v>
      </c>
    </row>
    <row r="1799" customFormat="false" ht="15" hidden="false" customHeight="false" outlineLevel="0" collapsed="false">
      <c r="A1799" s="15" t="s">
        <v>1856</v>
      </c>
      <c r="B1799" s="16" t="n">
        <v>45271</v>
      </c>
      <c r="C1799" s="15" t="s">
        <v>56</v>
      </c>
      <c r="D1799" s="15" t="s">
        <v>43</v>
      </c>
      <c r="E1799" s="15" t="s">
        <v>39</v>
      </c>
      <c r="F1799" s="15" t="s">
        <v>17</v>
      </c>
      <c r="G1799" s="15" t="s">
        <v>31</v>
      </c>
      <c r="H1799" s="15" t="n">
        <v>5</v>
      </c>
      <c r="I1799" s="17" t="n">
        <v>0.2</v>
      </c>
      <c r="J1799" s="18" t="n">
        <v>705.27</v>
      </c>
      <c r="K1799" s="19" t="n">
        <v>53.28</v>
      </c>
      <c r="L1799" s="15" t="n">
        <f aca="false">YEAR(B1799)</f>
        <v>2023</v>
      </c>
      <c r="M1799" s="20" t="n">
        <f aca="false">IF(J1799&gt;0,K1799/J1799,0)</f>
        <v>0.0755455357522651</v>
      </c>
    </row>
    <row r="1800" customFormat="false" ht="15" hidden="false" customHeight="false" outlineLevel="0" collapsed="false">
      <c r="A1800" s="15" t="s">
        <v>1857</v>
      </c>
      <c r="B1800" s="16" t="n">
        <v>46022</v>
      </c>
      <c r="C1800" s="15" t="s">
        <v>56</v>
      </c>
      <c r="D1800" s="15" t="s">
        <v>42</v>
      </c>
      <c r="E1800" s="15" t="s">
        <v>39</v>
      </c>
      <c r="F1800" s="15" t="s">
        <v>16</v>
      </c>
      <c r="G1800" s="15" t="s">
        <v>22</v>
      </c>
      <c r="H1800" s="15" t="n">
        <v>2</v>
      </c>
      <c r="I1800" s="17" t="n">
        <v>0</v>
      </c>
      <c r="J1800" s="18" t="n">
        <v>977.13</v>
      </c>
      <c r="K1800" s="19" t="n">
        <v>-16.86</v>
      </c>
      <c r="L1800" s="15" t="n">
        <f aca="false">YEAR(B1800)</f>
        <v>2025</v>
      </c>
      <c r="M1800" s="20" t="n">
        <f aca="false">IF(J1800&gt;0,K1800/J1800,0)</f>
        <v>-0.0172546129992939</v>
      </c>
    </row>
    <row r="1801" customFormat="false" ht="15" hidden="false" customHeight="false" outlineLevel="0" collapsed="false">
      <c r="A1801" s="15" t="s">
        <v>1858</v>
      </c>
      <c r="B1801" s="16" t="n">
        <v>45080</v>
      </c>
      <c r="C1801" s="15" t="s">
        <v>56</v>
      </c>
      <c r="D1801" s="15" t="s">
        <v>43</v>
      </c>
      <c r="E1801" s="15" t="s">
        <v>37</v>
      </c>
      <c r="F1801" s="15" t="s">
        <v>17</v>
      </c>
      <c r="G1801" s="15" t="s">
        <v>26</v>
      </c>
      <c r="H1801" s="15" t="n">
        <v>4</v>
      </c>
      <c r="I1801" s="17" t="n">
        <v>0.3</v>
      </c>
      <c r="J1801" s="18" t="n">
        <v>275.9</v>
      </c>
      <c r="K1801" s="19" t="n">
        <v>-34.86</v>
      </c>
      <c r="L1801" s="15" t="n">
        <f aca="false">YEAR(B1801)</f>
        <v>2023</v>
      </c>
      <c r="M1801" s="20" t="n">
        <f aca="false">IF(J1801&gt;0,K1801/J1801,0)</f>
        <v>-0.126350126857557</v>
      </c>
    </row>
    <row r="1802" customFormat="false" ht="15" hidden="false" customHeight="false" outlineLevel="0" collapsed="false">
      <c r="A1802" s="15" t="s">
        <v>1859</v>
      </c>
      <c r="B1802" s="16" t="n">
        <v>45951</v>
      </c>
      <c r="C1802" s="15" t="s">
        <v>56</v>
      </c>
      <c r="D1802" s="15" t="s">
        <v>44</v>
      </c>
      <c r="E1802" s="15" t="s">
        <v>39</v>
      </c>
      <c r="F1802" s="15" t="s">
        <v>18</v>
      </c>
      <c r="G1802" s="15" t="s">
        <v>32</v>
      </c>
      <c r="H1802" s="15" t="n">
        <v>4</v>
      </c>
      <c r="I1802" s="17" t="n">
        <v>0</v>
      </c>
      <c r="J1802" s="18" t="n">
        <v>1682.04</v>
      </c>
      <c r="K1802" s="19" t="n">
        <v>414.85</v>
      </c>
      <c r="L1802" s="15" t="n">
        <f aca="false">YEAR(B1802)</f>
        <v>2025</v>
      </c>
      <c r="M1802" s="20" t="n">
        <f aca="false">IF(J1802&gt;0,K1802/J1802,0)</f>
        <v>0.246635038405745</v>
      </c>
    </row>
    <row r="1803" customFormat="false" ht="15" hidden="false" customHeight="false" outlineLevel="0" collapsed="false">
      <c r="A1803" s="15" t="s">
        <v>1860</v>
      </c>
      <c r="B1803" s="16" t="n">
        <v>44753</v>
      </c>
      <c r="C1803" s="15" t="s">
        <v>56</v>
      </c>
      <c r="D1803" s="15" t="s">
        <v>42</v>
      </c>
      <c r="E1803" s="15" t="s">
        <v>39</v>
      </c>
      <c r="F1803" s="15" t="s">
        <v>17</v>
      </c>
      <c r="G1803" s="15" t="s">
        <v>29</v>
      </c>
      <c r="H1803" s="15" t="n">
        <v>8</v>
      </c>
      <c r="I1803" s="17" t="n">
        <v>0.05</v>
      </c>
      <c r="J1803" s="18" t="n">
        <v>140.6</v>
      </c>
      <c r="K1803" s="19" t="n">
        <v>50.54</v>
      </c>
      <c r="L1803" s="15" t="n">
        <f aca="false">YEAR(B1803)</f>
        <v>2022</v>
      </c>
      <c r="M1803" s="20" t="n">
        <f aca="false">IF(J1803&gt;0,K1803/J1803,0)</f>
        <v>0.359459459459459</v>
      </c>
    </row>
    <row r="1804" customFormat="false" ht="15" hidden="false" customHeight="false" outlineLevel="0" collapsed="false">
      <c r="A1804" s="15" t="s">
        <v>1861</v>
      </c>
      <c r="B1804" s="16" t="n">
        <v>44944</v>
      </c>
      <c r="C1804" s="15" t="s">
        <v>58</v>
      </c>
      <c r="D1804" s="15" t="s">
        <v>44</v>
      </c>
      <c r="E1804" s="15" t="s">
        <v>39</v>
      </c>
      <c r="F1804" s="15" t="s">
        <v>17</v>
      </c>
      <c r="G1804" s="15" t="s">
        <v>26</v>
      </c>
      <c r="H1804" s="15" t="n">
        <v>4</v>
      </c>
      <c r="I1804" s="17" t="n">
        <v>0.4</v>
      </c>
      <c r="J1804" s="18" t="n">
        <v>257.05</v>
      </c>
      <c r="K1804" s="19" t="n">
        <v>-55.18</v>
      </c>
      <c r="L1804" s="15" t="n">
        <f aca="false">YEAR(B1804)</f>
        <v>2023</v>
      </c>
      <c r="M1804" s="20" t="n">
        <f aca="false">IF(J1804&gt;0,K1804/J1804,0)</f>
        <v>-0.214666407313752</v>
      </c>
    </row>
    <row r="1805" customFormat="false" ht="15" hidden="false" customHeight="false" outlineLevel="0" collapsed="false">
      <c r="A1805" s="15" t="s">
        <v>1862</v>
      </c>
      <c r="B1805" s="16" t="n">
        <v>44649</v>
      </c>
      <c r="C1805" s="15" t="s">
        <v>71</v>
      </c>
      <c r="D1805" s="15" t="s">
        <v>43</v>
      </c>
      <c r="E1805" s="15" t="s">
        <v>39</v>
      </c>
      <c r="F1805" s="15" t="s">
        <v>18</v>
      </c>
      <c r="G1805" s="15" t="s">
        <v>32</v>
      </c>
      <c r="H1805" s="15" t="n">
        <v>2</v>
      </c>
      <c r="I1805" s="17" t="n">
        <v>0.2</v>
      </c>
      <c r="J1805" s="18" t="n">
        <v>849.95</v>
      </c>
      <c r="K1805" s="19" t="n">
        <v>2.18</v>
      </c>
      <c r="L1805" s="15" t="n">
        <f aca="false">YEAR(B1805)</f>
        <v>2022</v>
      </c>
      <c r="M1805" s="20" t="n">
        <f aca="false">IF(J1805&gt;0,K1805/J1805,0)</f>
        <v>0.00256485675627978</v>
      </c>
    </row>
    <row r="1806" customFormat="false" ht="15" hidden="false" customHeight="false" outlineLevel="0" collapsed="false">
      <c r="A1806" s="15" t="s">
        <v>1863</v>
      </c>
      <c r="B1806" s="16" t="n">
        <v>45957</v>
      </c>
      <c r="C1806" s="15" t="s">
        <v>71</v>
      </c>
      <c r="D1806" s="15" t="s">
        <v>43</v>
      </c>
      <c r="E1806" s="15" t="s">
        <v>36</v>
      </c>
      <c r="F1806" s="15" t="s">
        <v>17</v>
      </c>
      <c r="G1806" s="15" t="s">
        <v>28</v>
      </c>
      <c r="H1806" s="15" t="n">
        <v>2</v>
      </c>
      <c r="I1806" s="17" t="n">
        <v>0.3</v>
      </c>
      <c r="J1806" s="18" t="n">
        <v>31.87</v>
      </c>
      <c r="K1806" s="19" t="n">
        <v>1.96</v>
      </c>
      <c r="L1806" s="15" t="n">
        <f aca="false">YEAR(B1806)</f>
        <v>2025</v>
      </c>
      <c r="M1806" s="20" t="n">
        <f aca="false">IF(J1806&gt;0,K1806/J1806,0)</f>
        <v>0.0614998431126451</v>
      </c>
    </row>
    <row r="1807" customFormat="false" ht="15" hidden="false" customHeight="false" outlineLevel="0" collapsed="false">
      <c r="A1807" s="15" t="s">
        <v>1864</v>
      </c>
      <c r="B1807" s="16" t="n">
        <v>45764</v>
      </c>
      <c r="C1807" s="15" t="s">
        <v>56</v>
      </c>
      <c r="D1807" s="15" t="s">
        <v>43</v>
      </c>
      <c r="E1807" s="15" t="s">
        <v>39</v>
      </c>
      <c r="F1807" s="15" t="s">
        <v>17</v>
      </c>
      <c r="G1807" s="15" t="s">
        <v>26</v>
      </c>
      <c r="H1807" s="15" t="n">
        <v>6</v>
      </c>
      <c r="I1807" s="17" t="n">
        <v>0.4</v>
      </c>
      <c r="J1807" s="18" t="n">
        <v>305.95</v>
      </c>
      <c r="K1807" s="19" t="n">
        <v>-76.31</v>
      </c>
      <c r="L1807" s="15" t="n">
        <f aca="false">YEAR(B1807)</f>
        <v>2025</v>
      </c>
      <c r="M1807" s="20" t="n">
        <f aca="false">IF(J1807&gt;0,K1807/J1807,0)</f>
        <v>-0.249419839843112</v>
      </c>
    </row>
    <row r="1808" customFormat="false" ht="15" hidden="false" customHeight="false" outlineLevel="0" collapsed="false">
      <c r="A1808" s="15" t="s">
        <v>1865</v>
      </c>
      <c r="B1808" s="16" t="n">
        <v>45170</v>
      </c>
      <c r="C1808" s="15" t="s">
        <v>71</v>
      </c>
      <c r="D1808" s="15" t="s">
        <v>43</v>
      </c>
      <c r="E1808" s="15" t="s">
        <v>38</v>
      </c>
      <c r="F1808" s="15" t="s">
        <v>18</v>
      </c>
      <c r="G1808" s="15" t="s">
        <v>24</v>
      </c>
      <c r="H1808" s="15" t="n">
        <v>1</v>
      </c>
      <c r="I1808" s="17" t="n">
        <v>0.1</v>
      </c>
      <c r="J1808" s="18" t="n">
        <v>553.32</v>
      </c>
      <c r="K1808" s="19" t="n">
        <v>-8.19</v>
      </c>
      <c r="L1808" s="15" t="n">
        <f aca="false">YEAR(B1808)</f>
        <v>2023</v>
      </c>
      <c r="M1808" s="20" t="n">
        <f aca="false">IF(J1808&gt;0,K1808/J1808,0)</f>
        <v>-0.0148015614834092</v>
      </c>
    </row>
    <row r="1809" customFormat="false" ht="15" hidden="false" customHeight="false" outlineLevel="0" collapsed="false">
      <c r="A1809" s="15" t="s">
        <v>1866</v>
      </c>
      <c r="B1809" s="16" t="n">
        <v>45829</v>
      </c>
      <c r="C1809" s="15" t="s">
        <v>56</v>
      </c>
      <c r="D1809" s="15" t="s">
        <v>43</v>
      </c>
      <c r="E1809" s="15" t="s">
        <v>38</v>
      </c>
      <c r="F1809" s="15" t="s">
        <v>16</v>
      </c>
      <c r="G1809" s="15" t="s">
        <v>27</v>
      </c>
      <c r="H1809" s="15" t="n">
        <v>6</v>
      </c>
      <c r="I1809" s="17" t="n">
        <v>0.3</v>
      </c>
      <c r="J1809" s="18" t="n">
        <v>227.98</v>
      </c>
      <c r="K1809" s="19" t="n">
        <v>-10.73</v>
      </c>
      <c r="L1809" s="15" t="n">
        <f aca="false">YEAR(B1809)</f>
        <v>2025</v>
      </c>
      <c r="M1809" s="20" t="n">
        <f aca="false">IF(J1809&gt;0,K1809/J1809,0)</f>
        <v>-0.0470655320642162</v>
      </c>
    </row>
    <row r="1810" customFormat="false" ht="15" hidden="false" customHeight="false" outlineLevel="0" collapsed="false">
      <c r="A1810" s="15" t="s">
        <v>1867</v>
      </c>
      <c r="B1810" s="16" t="n">
        <v>45793</v>
      </c>
      <c r="C1810" s="15" t="s">
        <v>56</v>
      </c>
      <c r="D1810" s="15" t="s">
        <v>42</v>
      </c>
      <c r="E1810" s="15" t="s">
        <v>39</v>
      </c>
      <c r="F1810" s="15" t="s">
        <v>17</v>
      </c>
      <c r="G1810" s="15" t="s">
        <v>29</v>
      </c>
      <c r="H1810" s="15" t="n">
        <v>2</v>
      </c>
      <c r="I1810" s="17" t="n">
        <v>0.05</v>
      </c>
      <c r="J1810" s="18" t="n">
        <v>33.22</v>
      </c>
      <c r="K1810" s="19" t="n">
        <v>10.23</v>
      </c>
      <c r="L1810" s="15" t="n">
        <f aca="false">YEAR(B1810)</f>
        <v>2025</v>
      </c>
      <c r="M1810" s="20" t="n">
        <f aca="false">IF(J1810&gt;0,K1810/J1810,0)</f>
        <v>0.30794701986755</v>
      </c>
    </row>
    <row r="1811" customFormat="false" ht="15" hidden="false" customHeight="false" outlineLevel="0" collapsed="false">
      <c r="A1811" s="15" t="s">
        <v>1868</v>
      </c>
      <c r="B1811" s="16" t="n">
        <v>45537</v>
      </c>
      <c r="C1811" s="15" t="s">
        <v>56</v>
      </c>
      <c r="D1811" s="15" t="s">
        <v>42</v>
      </c>
      <c r="E1811" s="15" t="s">
        <v>36</v>
      </c>
      <c r="F1811" s="15" t="s">
        <v>17</v>
      </c>
      <c r="G1811" s="15" t="s">
        <v>28</v>
      </c>
      <c r="H1811" s="15" t="n">
        <v>2</v>
      </c>
      <c r="I1811" s="17" t="n">
        <v>0.15</v>
      </c>
      <c r="J1811" s="18" t="n">
        <v>40.27</v>
      </c>
      <c r="K1811" s="19" t="n">
        <v>4.83</v>
      </c>
      <c r="L1811" s="15" t="n">
        <f aca="false">YEAR(B1811)</f>
        <v>2024</v>
      </c>
      <c r="M1811" s="20" t="n">
        <f aca="false">IF(J1811&gt;0,K1811/J1811,0)</f>
        <v>0.119940402284579</v>
      </c>
    </row>
    <row r="1812" customFormat="false" ht="15" hidden="false" customHeight="false" outlineLevel="0" collapsed="false">
      <c r="A1812" s="15" t="s">
        <v>1869</v>
      </c>
      <c r="B1812" s="16" t="n">
        <v>44819</v>
      </c>
      <c r="C1812" s="15" t="s">
        <v>56</v>
      </c>
      <c r="D1812" s="15" t="s">
        <v>42</v>
      </c>
      <c r="E1812" s="15" t="s">
        <v>37</v>
      </c>
      <c r="F1812" s="15" t="s">
        <v>16</v>
      </c>
      <c r="G1812" s="15" t="s">
        <v>25</v>
      </c>
      <c r="H1812" s="15" t="n">
        <v>6</v>
      </c>
      <c r="I1812" s="17" t="n">
        <v>0.1</v>
      </c>
      <c r="J1812" s="18" t="n">
        <v>1428.41</v>
      </c>
      <c r="K1812" s="19" t="n">
        <v>87.91</v>
      </c>
      <c r="L1812" s="15" t="n">
        <f aca="false">YEAR(B1812)</f>
        <v>2022</v>
      </c>
      <c r="M1812" s="20" t="n">
        <f aca="false">IF(J1812&gt;0,K1812/J1812,0)</f>
        <v>0.0615439544668548</v>
      </c>
    </row>
    <row r="1813" customFormat="false" ht="15" hidden="false" customHeight="false" outlineLevel="0" collapsed="false">
      <c r="A1813" s="15" t="s">
        <v>1870</v>
      </c>
      <c r="B1813" s="16" t="n">
        <v>45963</v>
      </c>
      <c r="C1813" s="15" t="s">
        <v>56</v>
      </c>
      <c r="D1813" s="15" t="s">
        <v>42</v>
      </c>
      <c r="E1813" s="15" t="s">
        <v>36</v>
      </c>
      <c r="F1813" s="15" t="s">
        <v>17</v>
      </c>
      <c r="G1813" s="15" t="s">
        <v>26</v>
      </c>
      <c r="H1813" s="15" t="n">
        <v>4</v>
      </c>
      <c r="I1813" s="17" t="n">
        <v>0</v>
      </c>
      <c r="J1813" s="18" t="n">
        <v>320.04</v>
      </c>
      <c r="K1813" s="19" t="n">
        <v>60.23</v>
      </c>
      <c r="L1813" s="15" t="n">
        <f aca="false">YEAR(B1813)</f>
        <v>2025</v>
      </c>
      <c r="M1813" s="20" t="n">
        <f aca="false">IF(J1813&gt;0,K1813/J1813,0)</f>
        <v>0.1881952255968</v>
      </c>
    </row>
    <row r="1814" customFormat="false" ht="15" hidden="false" customHeight="false" outlineLevel="0" collapsed="false">
      <c r="A1814" s="15" t="s">
        <v>1871</v>
      </c>
      <c r="B1814" s="16" t="n">
        <v>45764</v>
      </c>
      <c r="C1814" s="15" t="s">
        <v>71</v>
      </c>
      <c r="D1814" s="15" t="s">
        <v>43</v>
      </c>
      <c r="E1814" s="15" t="s">
        <v>36</v>
      </c>
      <c r="F1814" s="15" t="s">
        <v>17</v>
      </c>
      <c r="G1814" s="15" t="s">
        <v>31</v>
      </c>
      <c r="H1814" s="15" t="n">
        <v>6</v>
      </c>
      <c r="I1814" s="17" t="n">
        <v>0.3</v>
      </c>
      <c r="J1814" s="18" t="n">
        <v>534.38</v>
      </c>
      <c r="K1814" s="19" t="n">
        <v>-42.32</v>
      </c>
      <c r="L1814" s="15" t="n">
        <f aca="false">YEAR(B1814)</f>
        <v>2025</v>
      </c>
      <c r="M1814" s="20" t="n">
        <f aca="false">IF(J1814&gt;0,K1814/J1814,0)</f>
        <v>-0.0791945806355028</v>
      </c>
    </row>
    <row r="1815" customFormat="false" ht="15" hidden="false" customHeight="false" outlineLevel="0" collapsed="false">
      <c r="A1815" s="15" t="s">
        <v>1872</v>
      </c>
      <c r="B1815" s="16" t="n">
        <v>45990</v>
      </c>
      <c r="C1815" s="15" t="s">
        <v>56</v>
      </c>
      <c r="D1815" s="15" t="s">
        <v>44</v>
      </c>
      <c r="E1815" s="15" t="s">
        <v>38</v>
      </c>
      <c r="F1815" s="15" t="s">
        <v>16</v>
      </c>
      <c r="G1815" s="15" t="s">
        <v>25</v>
      </c>
      <c r="H1815" s="15" t="n">
        <v>2</v>
      </c>
      <c r="I1815" s="17" t="n">
        <v>0</v>
      </c>
      <c r="J1815" s="18" t="n">
        <v>518.01</v>
      </c>
      <c r="K1815" s="19" t="n">
        <v>41.83</v>
      </c>
      <c r="L1815" s="15" t="n">
        <f aca="false">YEAR(B1815)</f>
        <v>2025</v>
      </c>
      <c r="M1815" s="20" t="n">
        <f aca="false">IF(J1815&gt;0,K1815/J1815,0)</f>
        <v>0.080751336846779</v>
      </c>
    </row>
    <row r="1816" customFormat="false" ht="15" hidden="false" customHeight="false" outlineLevel="0" collapsed="false">
      <c r="A1816" s="15" t="s">
        <v>1873</v>
      </c>
      <c r="B1816" s="16" t="n">
        <v>45006</v>
      </c>
      <c r="C1816" s="15" t="s">
        <v>56</v>
      </c>
      <c r="D1816" s="15" t="s">
        <v>43</v>
      </c>
      <c r="E1816" s="15" t="s">
        <v>38</v>
      </c>
      <c r="F1816" s="15" t="s">
        <v>17</v>
      </c>
      <c r="G1816" s="15" t="s">
        <v>26</v>
      </c>
      <c r="H1816" s="15" t="n">
        <v>2</v>
      </c>
      <c r="I1816" s="17" t="n">
        <v>0.3</v>
      </c>
      <c r="J1816" s="18" t="n">
        <v>112.61</v>
      </c>
      <c r="K1816" s="19" t="n">
        <v>-16.9</v>
      </c>
      <c r="L1816" s="15" t="n">
        <f aca="false">YEAR(B1816)</f>
        <v>2023</v>
      </c>
      <c r="M1816" s="20" t="n">
        <f aca="false">IF(J1816&gt;0,K1816/J1816,0)</f>
        <v>-0.150075481751177</v>
      </c>
    </row>
    <row r="1817" customFormat="false" ht="15" hidden="false" customHeight="false" outlineLevel="0" collapsed="false">
      <c r="A1817" s="15" t="s">
        <v>1874</v>
      </c>
      <c r="B1817" s="16" t="n">
        <v>44848</v>
      </c>
      <c r="C1817" s="15" t="s">
        <v>58</v>
      </c>
      <c r="D1817" s="15" t="s">
        <v>42</v>
      </c>
      <c r="E1817" s="15" t="s">
        <v>37</v>
      </c>
      <c r="F1817" s="15" t="s">
        <v>17</v>
      </c>
      <c r="G1817" s="15" t="s">
        <v>26</v>
      </c>
      <c r="H1817" s="15" t="n">
        <v>1</v>
      </c>
      <c r="I1817" s="17" t="n">
        <v>0</v>
      </c>
      <c r="J1817" s="18" t="n">
        <v>86.08</v>
      </c>
      <c r="K1817" s="19" t="n">
        <v>14.94</v>
      </c>
      <c r="L1817" s="15" t="n">
        <f aca="false">YEAR(B1817)</f>
        <v>2022</v>
      </c>
      <c r="M1817" s="20" t="n">
        <f aca="false">IF(J1817&gt;0,K1817/J1817,0)</f>
        <v>0.173559479553903</v>
      </c>
    </row>
    <row r="1818" customFormat="false" ht="15" hidden="false" customHeight="false" outlineLevel="0" collapsed="false">
      <c r="A1818" s="15" t="s">
        <v>1875</v>
      </c>
      <c r="B1818" s="16" t="n">
        <v>44794</v>
      </c>
      <c r="C1818" s="15" t="s">
        <v>71</v>
      </c>
      <c r="D1818" s="15" t="s">
        <v>42</v>
      </c>
      <c r="E1818" s="15" t="s">
        <v>39</v>
      </c>
      <c r="F1818" s="15" t="s">
        <v>18</v>
      </c>
      <c r="G1818" s="15" t="s">
        <v>30</v>
      </c>
      <c r="H1818" s="15" t="n">
        <v>2</v>
      </c>
      <c r="I1818" s="17" t="n">
        <v>0.3</v>
      </c>
      <c r="J1818" s="18" t="n">
        <v>65.73</v>
      </c>
      <c r="K1818" s="19" t="n">
        <v>-2.07</v>
      </c>
      <c r="L1818" s="15" t="n">
        <f aca="false">YEAR(B1818)</f>
        <v>2022</v>
      </c>
      <c r="M1818" s="20" t="n">
        <f aca="false">IF(J1818&gt;0,K1818/J1818,0)</f>
        <v>-0.0314924691921497</v>
      </c>
    </row>
    <row r="1819" customFormat="false" ht="15" hidden="false" customHeight="false" outlineLevel="0" collapsed="false">
      <c r="A1819" s="15" t="s">
        <v>1876</v>
      </c>
      <c r="B1819" s="16" t="n">
        <v>45132</v>
      </c>
      <c r="C1819" s="15" t="s">
        <v>56</v>
      </c>
      <c r="D1819" s="15" t="s">
        <v>42</v>
      </c>
      <c r="E1819" s="15" t="s">
        <v>39</v>
      </c>
      <c r="F1819" s="15" t="s">
        <v>17</v>
      </c>
      <c r="G1819" s="15" t="s">
        <v>29</v>
      </c>
      <c r="H1819" s="15" t="n">
        <v>4</v>
      </c>
      <c r="I1819" s="17" t="n">
        <v>0.2</v>
      </c>
      <c r="J1819" s="18" t="n">
        <v>55.48</v>
      </c>
      <c r="K1819" s="19" t="n">
        <v>11.72</v>
      </c>
      <c r="L1819" s="15" t="n">
        <f aca="false">YEAR(B1819)</f>
        <v>2023</v>
      </c>
      <c r="M1819" s="20" t="n">
        <f aca="false">IF(J1819&gt;0,K1819/J1819,0)</f>
        <v>0.211247296322999</v>
      </c>
    </row>
    <row r="1820" customFormat="false" ht="15" hidden="false" customHeight="false" outlineLevel="0" collapsed="false">
      <c r="A1820" s="15" t="s">
        <v>1877</v>
      </c>
      <c r="B1820" s="16" t="n">
        <v>45393</v>
      </c>
      <c r="C1820" s="15" t="s">
        <v>56</v>
      </c>
      <c r="D1820" s="15" t="s">
        <v>43</v>
      </c>
      <c r="E1820" s="15" t="s">
        <v>36</v>
      </c>
      <c r="F1820" s="15" t="s">
        <v>18</v>
      </c>
      <c r="G1820" s="15" t="s">
        <v>30</v>
      </c>
      <c r="H1820" s="15" t="n">
        <v>6</v>
      </c>
      <c r="I1820" s="17" t="n">
        <v>0</v>
      </c>
      <c r="J1820" s="18" t="n">
        <v>246.84</v>
      </c>
      <c r="K1820" s="19" t="n">
        <v>62.35</v>
      </c>
      <c r="L1820" s="15" t="n">
        <f aca="false">YEAR(B1820)</f>
        <v>2024</v>
      </c>
      <c r="M1820" s="20" t="n">
        <f aca="false">IF(J1820&gt;0,K1820/J1820,0)</f>
        <v>0.252592772646249</v>
      </c>
    </row>
    <row r="1821" customFormat="false" ht="15" hidden="false" customHeight="false" outlineLevel="0" collapsed="false">
      <c r="A1821" s="15" t="s">
        <v>1878</v>
      </c>
      <c r="B1821" s="16" t="n">
        <v>45411</v>
      </c>
      <c r="C1821" s="15" t="s">
        <v>71</v>
      </c>
      <c r="D1821" s="15" t="s">
        <v>42</v>
      </c>
      <c r="E1821" s="15" t="s">
        <v>39</v>
      </c>
      <c r="F1821" s="15" t="s">
        <v>18</v>
      </c>
      <c r="G1821" s="15" t="s">
        <v>32</v>
      </c>
      <c r="H1821" s="15" t="n">
        <v>2</v>
      </c>
      <c r="I1821" s="17" t="n">
        <v>0.3</v>
      </c>
      <c r="J1821" s="18" t="n">
        <v>573.18</v>
      </c>
      <c r="K1821" s="19" t="n">
        <v>-70.79</v>
      </c>
      <c r="L1821" s="15" t="n">
        <f aca="false">YEAR(B1821)</f>
        <v>2024</v>
      </c>
      <c r="M1821" s="20" t="n">
        <f aca="false">IF(J1821&gt;0,K1821/J1821,0)</f>
        <v>-0.123503960361492</v>
      </c>
    </row>
    <row r="1822" customFormat="false" ht="15" hidden="false" customHeight="false" outlineLevel="0" collapsed="false">
      <c r="A1822" s="15" t="s">
        <v>1879</v>
      </c>
      <c r="B1822" s="16" t="n">
        <v>45232</v>
      </c>
      <c r="C1822" s="15" t="s">
        <v>68</v>
      </c>
      <c r="D1822" s="15" t="s">
        <v>42</v>
      </c>
      <c r="E1822" s="15" t="s">
        <v>39</v>
      </c>
      <c r="F1822" s="15" t="s">
        <v>18</v>
      </c>
      <c r="G1822" s="15" t="s">
        <v>30</v>
      </c>
      <c r="H1822" s="15" t="n">
        <v>3</v>
      </c>
      <c r="I1822" s="17" t="n">
        <v>0.1</v>
      </c>
      <c r="J1822" s="18" t="n">
        <v>158.41</v>
      </c>
      <c r="K1822" s="19" t="n">
        <v>40.12</v>
      </c>
      <c r="L1822" s="15" t="n">
        <f aca="false">YEAR(B1822)</f>
        <v>2023</v>
      </c>
      <c r="M1822" s="20" t="n">
        <f aca="false">IF(J1822&gt;0,K1822/J1822,0)</f>
        <v>0.253266839214696</v>
      </c>
    </row>
    <row r="1823" customFormat="false" ht="15" hidden="false" customHeight="false" outlineLevel="0" collapsed="false">
      <c r="A1823" s="15" t="s">
        <v>1880</v>
      </c>
      <c r="B1823" s="16" t="n">
        <v>45279</v>
      </c>
      <c r="C1823" s="15" t="s">
        <v>71</v>
      </c>
      <c r="D1823" s="15" t="s">
        <v>42</v>
      </c>
      <c r="E1823" s="15" t="s">
        <v>36</v>
      </c>
      <c r="F1823" s="15" t="s">
        <v>16</v>
      </c>
      <c r="G1823" s="15" t="s">
        <v>22</v>
      </c>
      <c r="H1823" s="15" t="n">
        <v>1</v>
      </c>
      <c r="I1823" s="17" t="n">
        <v>0</v>
      </c>
      <c r="J1823" s="18" t="n">
        <v>573.94</v>
      </c>
      <c r="K1823" s="19" t="n">
        <v>-24.37</v>
      </c>
      <c r="L1823" s="15" t="n">
        <f aca="false">YEAR(B1823)</f>
        <v>2023</v>
      </c>
      <c r="M1823" s="20" t="n">
        <f aca="false">IF(J1823&gt;0,K1823/J1823,0)</f>
        <v>-0.0424608844130048</v>
      </c>
    </row>
    <row r="1824" customFormat="false" ht="15" hidden="false" customHeight="false" outlineLevel="0" collapsed="false">
      <c r="A1824" s="15" t="s">
        <v>1881</v>
      </c>
      <c r="B1824" s="16" t="n">
        <v>45191</v>
      </c>
      <c r="C1824" s="15" t="s">
        <v>68</v>
      </c>
      <c r="D1824" s="15" t="s">
        <v>43</v>
      </c>
      <c r="E1824" s="15" t="s">
        <v>39</v>
      </c>
      <c r="F1824" s="15" t="s">
        <v>17</v>
      </c>
      <c r="G1824" s="15" t="s">
        <v>31</v>
      </c>
      <c r="H1824" s="15" t="n">
        <v>7</v>
      </c>
      <c r="I1824" s="17" t="n">
        <v>0.1</v>
      </c>
      <c r="J1824" s="18" t="n">
        <v>985.74</v>
      </c>
      <c r="K1824" s="19" t="n">
        <v>83.89</v>
      </c>
      <c r="L1824" s="15" t="n">
        <f aca="false">YEAR(B1824)</f>
        <v>2023</v>
      </c>
      <c r="M1824" s="20" t="n">
        <f aca="false">IF(J1824&gt;0,K1824/J1824,0)</f>
        <v>0.085103577008136</v>
      </c>
    </row>
    <row r="1825" customFormat="false" ht="15" hidden="false" customHeight="false" outlineLevel="0" collapsed="false">
      <c r="A1825" s="15" t="s">
        <v>1882</v>
      </c>
      <c r="B1825" s="16" t="n">
        <v>44794</v>
      </c>
      <c r="C1825" s="15" t="s">
        <v>56</v>
      </c>
      <c r="D1825" s="15" t="s">
        <v>42</v>
      </c>
      <c r="E1825" s="15" t="s">
        <v>37</v>
      </c>
      <c r="F1825" s="15" t="s">
        <v>17</v>
      </c>
      <c r="G1825" s="15" t="s">
        <v>29</v>
      </c>
      <c r="H1825" s="15" t="n">
        <v>3</v>
      </c>
      <c r="I1825" s="17" t="n">
        <v>0</v>
      </c>
      <c r="J1825" s="18" t="n">
        <v>59.49</v>
      </c>
      <c r="K1825" s="19" t="n">
        <v>23.83</v>
      </c>
      <c r="L1825" s="15" t="n">
        <f aca="false">YEAR(B1825)</f>
        <v>2022</v>
      </c>
      <c r="M1825" s="20" t="n">
        <f aca="false">IF(J1825&gt;0,K1825/J1825,0)</f>
        <v>0.400571524625988</v>
      </c>
    </row>
    <row r="1826" customFormat="false" ht="15" hidden="false" customHeight="false" outlineLevel="0" collapsed="false">
      <c r="A1826" s="15" t="s">
        <v>1883</v>
      </c>
      <c r="B1826" s="16" t="n">
        <v>45370</v>
      </c>
      <c r="C1826" s="15" t="s">
        <v>68</v>
      </c>
      <c r="D1826" s="15" t="s">
        <v>43</v>
      </c>
      <c r="E1826" s="15" t="s">
        <v>36</v>
      </c>
      <c r="F1826" s="15" t="s">
        <v>18</v>
      </c>
      <c r="G1826" s="15" t="s">
        <v>32</v>
      </c>
      <c r="H1826" s="15" t="n">
        <v>4</v>
      </c>
      <c r="I1826" s="17" t="n">
        <v>0.05</v>
      </c>
      <c r="J1826" s="18" t="n">
        <v>1394.3</v>
      </c>
      <c r="K1826" s="19" t="n">
        <v>317.53</v>
      </c>
      <c r="L1826" s="15" t="n">
        <f aca="false">YEAR(B1826)</f>
        <v>2024</v>
      </c>
      <c r="M1826" s="20" t="n">
        <f aca="false">IF(J1826&gt;0,K1826/J1826,0)</f>
        <v>0.22773434698415</v>
      </c>
    </row>
    <row r="1827" customFormat="false" ht="15" hidden="false" customHeight="false" outlineLevel="0" collapsed="false">
      <c r="A1827" s="15" t="s">
        <v>1884</v>
      </c>
      <c r="B1827" s="16" t="n">
        <v>45813</v>
      </c>
      <c r="C1827" s="15" t="s">
        <v>56</v>
      </c>
      <c r="D1827" s="15" t="s">
        <v>42</v>
      </c>
      <c r="E1827" s="15" t="s">
        <v>39</v>
      </c>
      <c r="F1827" s="15" t="s">
        <v>16</v>
      </c>
      <c r="G1827" s="15" t="s">
        <v>27</v>
      </c>
      <c r="H1827" s="15" t="n">
        <v>1</v>
      </c>
      <c r="I1827" s="17" t="n">
        <v>0</v>
      </c>
      <c r="J1827" s="18" t="n">
        <v>60.62</v>
      </c>
      <c r="K1827" s="19" t="n">
        <v>13.7</v>
      </c>
      <c r="L1827" s="15" t="n">
        <f aca="false">YEAR(B1827)</f>
        <v>2025</v>
      </c>
      <c r="M1827" s="20" t="n">
        <f aca="false">IF(J1827&gt;0,K1827/J1827,0)</f>
        <v>0.225998020455295</v>
      </c>
    </row>
    <row r="1828" customFormat="false" ht="15" hidden="false" customHeight="false" outlineLevel="0" collapsed="false">
      <c r="A1828" s="15" t="s">
        <v>1885</v>
      </c>
      <c r="B1828" s="16" t="n">
        <v>45300</v>
      </c>
      <c r="C1828" s="15" t="s">
        <v>56</v>
      </c>
      <c r="D1828" s="15" t="s">
        <v>42</v>
      </c>
      <c r="E1828" s="15" t="s">
        <v>37</v>
      </c>
      <c r="F1828" s="15" t="s">
        <v>18</v>
      </c>
      <c r="G1828" s="15" t="s">
        <v>30</v>
      </c>
      <c r="H1828" s="15" t="n">
        <v>3</v>
      </c>
      <c r="I1828" s="17" t="n">
        <v>0.15</v>
      </c>
      <c r="J1828" s="18" t="n">
        <v>116.51</v>
      </c>
      <c r="K1828" s="19" t="n">
        <v>11.71</v>
      </c>
      <c r="L1828" s="15" t="n">
        <f aca="false">YEAR(B1828)</f>
        <v>2024</v>
      </c>
      <c r="M1828" s="20" t="n">
        <f aca="false">IF(J1828&gt;0,K1828/J1828,0)</f>
        <v>0.100506394300918</v>
      </c>
    </row>
    <row r="1829" customFormat="false" ht="15" hidden="false" customHeight="false" outlineLevel="0" collapsed="false">
      <c r="A1829" s="15" t="s">
        <v>1886</v>
      </c>
      <c r="B1829" s="16" t="n">
        <v>45963</v>
      </c>
      <c r="C1829" s="15" t="s">
        <v>56</v>
      </c>
      <c r="D1829" s="15" t="s">
        <v>42</v>
      </c>
      <c r="E1829" s="15" t="s">
        <v>37</v>
      </c>
      <c r="F1829" s="15" t="s">
        <v>17</v>
      </c>
      <c r="G1829" s="15" t="s">
        <v>26</v>
      </c>
      <c r="H1829" s="15" t="n">
        <v>5</v>
      </c>
      <c r="I1829" s="17" t="n">
        <v>0</v>
      </c>
      <c r="J1829" s="18" t="n">
        <v>475.68</v>
      </c>
      <c r="K1829" s="19" t="n">
        <v>68.36</v>
      </c>
      <c r="L1829" s="15" t="n">
        <f aca="false">YEAR(B1829)</f>
        <v>2025</v>
      </c>
      <c r="M1829" s="20" t="n">
        <f aca="false">IF(J1829&gt;0,K1829/J1829,0)</f>
        <v>0.143710057181298</v>
      </c>
    </row>
    <row r="1830" customFormat="false" ht="15" hidden="false" customHeight="false" outlineLevel="0" collapsed="false">
      <c r="A1830" s="15" t="s">
        <v>1887</v>
      </c>
      <c r="B1830" s="16" t="n">
        <v>45637</v>
      </c>
      <c r="C1830" s="15" t="s">
        <v>71</v>
      </c>
      <c r="D1830" s="15" t="s">
        <v>42</v>
      </c>
      <c r="E1830" s="15" t="s">
        <v>38</v>
      </c>
      <c r="F1830" s="15" t="s">
        <v>16</v>
      </c>
      <c r="G1830" s="15" t="s">
        <v>22</v>
      </c>
      <c r="H1830" s="15" t="n">
        <v>3</v>
      </c>
      <c r="I1830" s="17" t="n">
        <v>0.1</v>
      </c>
      <c r="J1830" s="18" t="n">
        <v>1098.67</v>
      </c>
      <c r="K1830" s="19" t="n">
        <v>-153.45</v>
      </c>
      <c r="L1830" s="15" t="n">
        <f aca="false">YEAR(B1830)</f>
        <v>2024</v>
      </c>
      <c r="M1830" s="20" t="n">
        <f aca="false">IF(J1830&gt;0,K1830/J1830,0)</f>
        <v>-0.139668872363858</v>
      </c>
    </row>
    <row r="1831" customFormat="false" ht="15" hidden="false" customHeight="false" outlineLevel="0" collapsed="false">
      <c r="A1831" s="15" t="s">
        <v>1888</v>
      </c>
      <c r="B1831" s="16" t="n">
        <v>45289</v>
      </c>
      <c r="C1831" s="15" t="s">
        <v>56</v>
      </c>
      <c r="D1831" s="15" t="s">
        <v>42</v>
      </c>
      <c r="E1831" s="15" t="s">
        <v>39</v>
      </c>
      <c r="F1831" s="15" t="s">
        <v>16</v>
      </c>
      <c r="G1831" s="15" t="s">
        <v>23</v>
      </c>
      <c r="H1831" s="15" t="n">
        <v>3</v>
      </c>
      <c r="I1831" s="17" t="n">
        <v>0.1</v>
      </c>
      <c r="J1831" s="18" t="n">
        <v>1044.72</v>
      </c>
      <c r="K1831" s="19" t="n">
        <v>-81.03</v>
      </c>
      <c r="L1831" s="15" t="n">
        <f aca="false">YEAR(B1831)</f>
        <v>2023</v>
      </c>
      <c r="M1831" s="20" t="n">
        <f aca="false">IF(J1831&gt;0,K1831/J1831,0)</f>
        <v>-0.077561451872272</v>
      </c>
    </row>
    <row r="1832" customFormat="false" ht="15" hidden="false" customHeight="false" outlineLevel="0" collapsed="false">
      <c r="A1832" s="15" t="s">
        <v>1889</v>
      </c>
      <c r="B1832" s="16" t="n">
        <v>45053</v>
      </c>
      <c r="C1832" s="15" t="s">
        <v>56</v>
      </c>
      <c r="D1832" s="15" t="s">
        <v>42</v>
      </c>
      <c r="E1832" s="15" t="s">
        <v>38</v>
      </c>
      <c r="F1832" s="15" t="s">
        <v>16</v>
      </c>
      <c r="G1832" s="15" t="s">
        <v>22</v>
      </c>
      <c r="H1832" s="15" t="n">
        <v>6</v>
      </c>
      <c r="I1832" s="17" t="n">
        <v>0</v>
      </c>
      <c r="J1832" s="18" t="n">
        <v>2915.49</v>
      </c>
      <c r="K1832" s="19" t="n">
        <v>-259.04</v>
      </c>
      <c r="L1832" s="15" t="n">
        <f aca="false">YEAR(B1832)</f>
        <v>2023</v>
      </c>
      <c r="M1832" s="20" t="n">
        <f aca="false">IF(J1832&gt;0,K1832/J1832,0)</f>
        <v>-0.0888495587362673</v>
      </c>
    </row>
    <row r="1833" customFormat="false" ht="15" hidden="false" customHeight="false" outlineLevel="0" collapsed="false">
      <c r="A1833" s="15" t="s">
        <v>1890</v>
      </c>
      <c r="B1833" s="16" t="n">
        <v>45985</v>
      </c>
      <c r="C1833" s="15" t="s">
        <v>56</v>
      </c>
      <c r="D1833" s="15" t="s">
        <v>42</v>
      </c>
      <c r="E1833" s="15" t="s">
        <v>39</v>
      </c>
      <c r="F1833" s="15" t="s">
        <v>16</v>
      </c>
      <c r="G1833" s="15" t="s">
        <v>25</v>
      </c>
      <c r="H1833" s="15" t="n">
        <v>3</v>
      </c>
      <c r="I1833" s="17" t="n">
        <v>0.05</v>
      </c>
      <c r="J1833" s="18" t="n">
        <v>882.1</v>
      </c>
      <c r="K1833" s="19" t="n">
        <v>13.66</v>
      </c>
      <c r="L1833" s="15" t="n">
        <f aca="false">YEAR(B1833)</f>
        <v>2025</v>
      </c>
      <c r="M1833" s="20" t="n">
        <f aca="false">IF(J1833&gt;0,K1833/J1833,0)</f>
        <v>0.0154857725881419</v>
      </c>
    </row>
    <row r="1834" customFormat="false" ht="15" hidden="false" customHeight="false" outlineLevel="0" collapsed="false">
      <c r="A1834" s="15" t="s">
        <v>1891</v>
      </c>
      <c r="B1834" s="16" t="n">
        <v>44848</v>
      </c>
      <c r="C1834" s="15" t="s">
        <v>56</v>
      </c>
      <c r="D1834" s="15" t="s">
        <v>42</v>
      </c>
      <c r="E1834" s="15" t="s">
        <v>36</v>
      </c>
      <c r="F1834" s="15" t="s">
        <v>16</v>
      </c>
      <c r="G1834" s="15" t="s">
        <v>27</v>
      </c>
      <c r="H1834" s="15" t="n">
        <v>7</v>
      </c>
      <c r="I1834" s="17" t="n">
        <v>0.2</v>
      </c>
      <c r="J1834" s="18" t="n">
        <v>331.11</v>
      </c>
      <c r="K1834" s="19" t="n">
        <v>26.75</v>
      </c>
      <c r="L1834" s="15" t="n">
        <f aca="false">YEAR(B1834)</f>
        <v>2022</v>
      </c>
      <c r="M1834" s="20" t="n">
        <f aca="false">IF(J1834&gt;0,K1834/J1834,0)</f>
        <v>0.0807888617075896</v>
      </c>
    </row>
    <row r="1835" customFormat="false" ht="15" hidden="false" customHeight="false" outlineLevel="0" collapsed="false">
      <c r="A1835" s="15" t="s">
        <v>1892</v>
      </c>
      <c r="B1835" s="16" t="n">
        <v>45311</v>
      </c>
      <c r="C1835" s="15" t="s">
        <v>56</v>
      </c>
      <c r="D1835" s="15" t="s">
        <v>43</v>
      </c>
      <c r="E1835" s="15" t="s">
        <v>39</v>
      </c>
      <c r="F1835" s="15" t="s">
        <v>16</v>
      </c>
      <c r="G1835" s="15" t="s">
        <v>27</v>
      </c>
      <c r="H1835" s="15" t="n">
        <v>6</v>
      </c>
      <c r="I1835" s="17" t="n">
        <v>0.1</v>
      </c>
      <c r="J1835" s="18" t="n">
        <v>356.79</v>
      </c>
      <c r="K1835" s="19" t="n">
        <v>42.63</v>
      </c>
      <c r="L1835" s="15" t="n">
        <f aca="false">YEAR(B1835)</f>
        <v>2024</v>
      </c>
      <c r="M1835" s="20" t="n">
        <f aca="false">IF(J1835&gt;0,K1835/J1835,0)</f>
        <v>0.119482048263685</v>
      </c>
    </row>
    <row r="1836" customFormat="false" ht="15" hidden="false" customHeight="false" outlineLevel="0" collapsed="false">
      <c r="A1836" s="15" t="s">
        <v>1893</v>
      </c>
      <c r="B1836" s="16" t="n">
        <v>45611</v>
      </c>
      <c r="C1836" s="15" t="s">
        <v>56</v>
      </c>
      <c r="D1836" s="15" t="s">
        <v>42</v>
      </c>
      <c r="E1836" s="15" t="s">
        <v>37</v>
      </c>
      <c r="F1836" s="15" t="s">
        <v>16</v>
      </c>
      <c r="G1836" s="15" t="s">
        <v>22</v>
      </c>
      <c r="H1836" s="15" t="n">
        <v>3</v>
      </c>
      <c r="I1836" s="17" t="n">
        <v>0.2</v>
      </c>
      <c r="J1836" s="18" t="n">
        <v>1309.38</v>
      </c>
      <c r="K1836" s="19" t="n">
        <v>-320.41</v>
      </c>
      <c r="L1836" s="15" t="n">
        <f aca="false">YEAR(B1836)</f>
        <v>2024</v>
      </c>
      <c r="M1836" s="20" t="n">
        <f aca="false">IF(J1836&gt;0,K1836/J1836,0)</f>
        <v>-0.244703600177183</v>
      </c>
    </row>
    <row r="1837" customFormat="false" ht="15" hidden="false" customHeight="false" outlineLevel="0" collapsed="false">
      <c r="A1837" s="15" t="s">
        <v>1894</v>
      </c>
      <c r="B1837" s="16" t="n">
        <v>45323</v>
      </c>
      <c r="C1837" s="15" t="s">
        <v>56</v>
      </c>
      <c r="D1837" s="15" t="s">
        <v>42</v>
      </c>
      <c r="E1837" s="15" t="s">
        <v>36</v>
      </c>
      <c r="F1837" s="15" t="s">
        <v>16</v>
      </c>
      <c r="G1837" s="15" t="s">
        <v>25</v>
      </c>
      <c r="H1837" s="15" t="n">
        <v>5</v>
      </c>
      <c r="I1837" s="17" t="n">
        <v>0.2</v>
      </c>
      <c r="J1837" s="18" t="n">
        <v>899.31</v>
      </c>
      <c r="K1837" s="19" t="n">
        <v>-9.88</v>
      </c>
      <c r="L1837" s="15" t="n">
        <f aca="false">YEAR(B1837)</f>
        <v>2024</v>
      </c>
      <c r="M1837" s="20" t="n">
        <f aca="false">IF(J1837&gt;0,K1837/J1837,0)</f>
        <v>-0.0109862005315186</v>
      </c>
    </row>
    <row r="1838" customFormat="false" ht="15" hidden="false" customHeight="false" outlineLevel="0" collapsed="false">
      <c r="A1838" s="15" t="s">
        <v>1895</v>
      </c>
      <c r="B1838" s="16" t="n">
        <v>45354</v>
      </c>
      <c r="C1838" s="15" t="s">
        <v>56</v>
      </c>
      <c r="D1838" s="15" t="s">
        <v>44</v>
      </c>
      <c r="E1838" s="15" t="s">
        <v>37</v>
      </c>
      <c r="F1838" s="15" t="s">
        <v>17</v>
      </c>
      <c r="G1838" s="15" t="s">
        <v>31</v>
      </c>
      <c r="H1838" s="15" t="n">
        <v>3</v>
      </c>
      <c r="I1838" s="17" t="n">
        <v>0</v>
      </c>
      <c r="J1838" s="18" t="n">
        <v>407.64</v>
      </c>
      <c r="K1838" s="19" t="n">
        <v>91.63</v>
      </c>
      <c r="L1838" s="15" t="n">
        <f aca="false">YEAR(B1838)</f>
        <v>2024</v>
      </c>
      <c r="M1838" s="20" t="n">
        <f aca="false">IF(J1838&gt;0,K1838/J1838,0)</f>
        <v>0.22478167010107</v>
      </c>
    </row>
    <row r="1839" customFormat="false" ht="15" hidden="false" customHeight="false" outlineLevel="0" collapsed="false">
      <c r="A1839" s="15" t="s">
        <v>1896</v>
      </c>
      <c r="B1839" s="16" t="n">
        <v>44872</v>
      </c>
      <c r="C1839" s="15" t="s">
        <v>56</v>
      </c>
      <c r="D1839" s="15" t="s">
        <v>42</v>
      </c>
      <c r="E1839" s="15" t="s">
        <v>36</v>
      </c>
      <c r="F1839" s="15" t="s">
        <v>17</v>
      </c>
      <c r="G1839" s="15" t="s">
        <v>26</v>
      </c>
      <c r="H1839" s="15" t="n">
        <v>4</v>
      </c>
      <c r="I1839" s="17" t="n">
        <v>0</v>
      </c>
      <c r="J1839" s="18" t="n">
        <v>315.42</v>
      </c>
      <c r="K1839" s="19" t="n">
        <v>28.96</v>
      </c>
      <c r="L1839" s="15" t="n">
        <f aca="false">YEAR(B1839)</f>
        <v>2022</v>
      </c>
      <c r="M1839" s="20" t="n">
        <f aca="false">IF(J1839&gt;0,K1839/J1839,0)</f>
        <v>0.0918140891509733</v>
      </c>
    </row>
    <row r="1840" customFormat="false" ht="15" hidden="false" customHeight="false" outlineLevel="0" collapsed="false">
      <c r="A1840" s="15" t="s">
        <v>1897</v>
      </c>
      <c r="B1840" s="16" t="n">
        <v>45013</v>
      </c>
      <c r="C1840" s="15" t="s">
        <v>56</v>
      </c>
      <c r="D1840" s="15" t="s">
        <v>42</v>
      </c>
      <c r="E1840" s="15" t="s">
        <v>36</v>
      </c>
      <c r="F1840" s="15" t="s">
        <v>17</v>
      </c>
      <c r="G1840" s="15" t="s">
        <v>29</v>
      </c>
      <c r="H1840" s="15" t="n">
        <v>6</v>
      </c>
      <c r="I1840" s="17" t="n">
        <v>0</v>
      </c>
      <c r="J1840" s="18" t="n">
        <v>100.14</v>
      </c>
      <c r="K1840" s="19" t="n">
        <v>40.19</v>
      </c>
      <c r="L1840" s="15" t="n">
        <f aca="false">YEAR(B1840)</f>
        <v>2023</v>
      </c>
      <c r="M1840" s="20" t="n">
        <f aca="false">IF(J1840&gt;0,K1840/J1840,0)</f>
        <v>0.401338126622728</v>
      </c>
    </row>
    <row r="1841" customFormat="false" ht="15" hidden="false" customHeight="false" outlineLevel="0" collapsed="false">
      <c r="A1841" s="15" t="s">
        <v>1898</v>
      </c>
      <c r="B1841" s="16" t="n">
        <v>45994</v>
      </c>
      <c r="C1841" s="15" t="s">
        <v>56</v>
      </c>
      <c r="D1841" s="15" t="s">
        <v>42</v>
      </c>
      <c r="E1841" s="15" t="s">
        <v>36</v>
      </c>
      <c r="F1841" s="15" t="s">
        <v>18</v>
      </c>
      <c r="G1841" s="15" t="s">
        <v>33</v>
      </c>
      <c r="H1841" s="15" t="n">
        <v>6</v>
      </c>
      <c r="I1841" s="17" t="n">
        <v>0</v>
      </c>
      <c r="J1841" s="18" t="n">
        <v>5262.6</v>
      </c>
      <c r="K1841" s="19" t="n">
        <v>1488.21</v>
      </c>
      <c r="L1841" s="15" t="n">
        <f aca="false">YEAR(B1841)</f>
        <v>2025</v>
      </c>
      <c r="M1841" s="20" t="n">
        <f aca="false">IF(J1841&gt;0,K1841/J1841,0)</f>
        <v>0.282789875726827</v>
      </c>
    </row>
    <row r="1842" customFormat="false" ht="15" hidden="false" customHeight="false" outlineLevel="0" collapsed="false">
      <c r="A1842" s="15" t="s">
        <v>1899</v>
      </c>
      <c r="B1842" s="16" t="n">
        <v>44593</v>
      </c>
      <c r="C1842" s="15" t="s">
        <v>68</v>
      </c>
      <c r="D1842" s="15" t="s">
        <v>43</v>
      </c>
      <c r="E1842" s="15" t="s">
        <v>38</v>
      </c>
      <c r="F1842" s="15" t="s">
        <v>16</v>
      </c>
      <c r="G1842" s="15" t="s">
        <v>23</v>
      </c>
      <c r="H1842" s="15" t="n">
        <v>4</v>
      </c>
      <c r="I1842" s="17" t="n">
        <v>0</v>
      </c>
      <c r="J1842" s="18" t="n">
        <v>1438.68</v>
      </c>
      <c r="K1842" s="19" t="n">
        <v>25.29</v>
      </c>
      <c r="L1842" s="15" t="n">
        <f aca="false">YEAR(B1842)</f>
        <v>2022</v>
      </c>
      <c r="M1842" s="20" t="n">
        <f aca="false">IF(J1842&gt;0,K1842/J1842,0)</f>
        <v>0.0175786137292518</v>
      </c>
    </row>
    <row r="1843" customFormat="false" ht="15" hidden="false" customHeight="false" outlineLevel="0" collapsed="false">
      <c r="A1843" s="15" t="s">
        <v>1900</v>
      </c>
      <c r="B1843" s="16" t="n">
        <v>45408</v>
      </c>
      <c r="C1843" s="15" t="s">
        <v>68</v>
      </c>
      <c r="D1843" s="15" t="s">
        <v>42</v>
      </c>
      <c r="E1843" s="15" t="s">
        <v>39</v>
      </c>
      <c r="F1843" s="15" t="s">
        <v>16</v>
      </c>
      <c r="G1843" s="15" t="s">
        <v>23</v>
      </c>
      <c r="H1843" s="15" t="n">
        <v>2</v>
      </c>
      <c r="I1843" s="17" t="n">
        <v>0</v>
      </c>
      <c r="J1843" s="18" t="n">
        <v>588</v>
      </c>
      <c r="K1843" s="19" t="n">
        <v>50.57</v>
      </c>
      <c r="L1843" s="15" t="n">
        <f aca="false">YEAR(B1843)</f>
        <v>2024</v>
      </c>
      <c r="M1843" s="20" t="n">
        <f aca="false">IF(J1843&gt;0,K1843/J1843,0)</f>
        <v>0.0860034013605442</v>
      </c>
    </row>
    <row r="1844" customFormat="false" ht="15" hidden="false" customHeight="false" outlineLevel="0" collapsed="false">
      <c r="A1844" s="15" t="s">
        <v>1901</v>
      </c>
      <c r="B1844" s="16" t="n">
        <v>45107</v>
      </c>
      <c r="C1844" s="15" t="s">
        <v>58</v>
      </c>
      <c r="D1844" s="15" t="s">
        <v>43</v>
      </c>
      <c r="E1844" s="15" t="s">
        <v>39</v>
      </c>
      <c r="F1844" s="15" t="s">
        <v>17</v>
      </c>
      <c r="G1844" s="15" t="s">
        <v>31</v>
      </c>
      <c r="H1844" s="15" t="n">
        <v>4</v>
      </c>
      <c r="I1844" s="17" t="n">
        <v>0.05</v>
      </c>
      <c r="J1844" s="18" t="n">
        <v>613.18</v>
      </c>
      <c r="K1844" s="19" t="n">
        <v>120.48</v>
      </c>
      <c r="L1844" s="15" t="n">
        <f aca="false">YEAR(B1844)</f>
        <v>2023</v>
      </c>
      <c r="M1844" s="20" t="n">
        <f aca="false">IF(J1844&gt;0,K1844/J1844,0)</f>
        <v>0.196483903584592</v>
      </c>
    </row>
    <row r="1845" customFormat="false" ht="15" hidden="false" customHeight="false" outlineLevel="0" collapsed="false">
      <c r="A1845" s="15" t="s">
        <v>1902</v>
      </c>
      <c r="B1845" s="16" t="n">
        <v>45388</v>
      </c>
      <c r="C1845" s="15" t="s">
        <v>56</v>
      </c>
      <c r="D1845" s="15" t="s">
        <v>42</v>
      </c>
      <c r="E1845" s="15" t="s">
        <v>36</v>
      </c>
      <c r="F1845" s="15" t="s">
        <v>17</v>
      </c>
      <c r="G1845" s="15" t="s">
        <v>28</v>
      </c>
      <c r="H1845" s="15" t="n">
        <v>2</v>
      </c>
      <c r="I1845" s="17" t="n">
        <v>0</v>
      </c>
      <c r="J1845" s="18" t="n">
        <v>43.28</v>
      </c>
      <c r="K1845" s="19" t="n">
        <v>13.51</v>
      </c>
      <c r="L1845" s="15" t="n">
        <f aca="false">YEAR(B1845)</f>
        <v>2024</v>
      </c>
      <c r="M1845" s="20" t="n">
        <f aca="false">IF(J1845&gt;0,K1845/J1845,0)</f>
        <v>0.312153419593346</v>
      </c>
    </row>
    <row r="1846" customFormat="false" ht="15" hidden="false" customHeight="false" outlineLevel="0" collapsed="false">
      <c r="A1846" s="15" t="s">
        <v>1903</v>
      </c>
      <c r="B1846" s="16" t="n">
        <v>44927</v>
      </c>
      <c r="C1846" s="15" t="s">
        <v>56</v>
      </c>
      <c r="D1846" s="15" t="s">
        <v>42</v>
      </c>
      <c r="E1846" s="15" t="s">
        <v>38</v>
      </c>
      <c r="F1846" s="15" t="s">
        <v>18</v>
      </c>
      <c r="G1846" s="15" t="s">
        <v>33</v>
      </c>
      <c r="H1846" s="15" t="n">
        <v>1</v>
      </c>
      <c r="I1846" s="17" t="n">
        <v>0.05</v>
      </c>
      <c r="J1846" s="18" t="n">
        <v>771.91</v>
      </c>
      <c r="K1846" s="19" t="n">
        <v>170.71</v>
      </c>
      <c r="L1846" s="15" t="n">
        <f aca="false">YEAR(B1846)</f>
        <v>2023</v>
      </c>
      <c r="M1846" s="20" t="n">
        <f aca="false">IF(J1846&gt;0,K1846/J1846,0)</f>
        <v>0.221152725058621</v>
      </c>
    </row>
    <row r="1847" customFormat="false" ht="15" hidden="false" customHeight="false" outlineLevel="0" collapsed="false">
      <c r="A1847" s="15" t="s">
        <v>1904</v>
      </c>
      <c r="B1847" s="16" t="n">
        <v>44971</v>
      </c>
      <c r="C1847" s="15" t="s">
        <v>68</v>
      </c>
      <c r="D1847" s="15" t="s">
        <v>43</v>
      </c>
      <c r="E1847" s="15" t="s">
        <v>36</v>
      </c>
      <c r="F1847" s="15" t="s">
        <v>17</v>
      </c>
      <c r="G1847" s="15" t="s">
        <v>26</v>
      </c>
      <c r="H1847" s="15" t="n">
        <v>5</v>
      </c>
      <c r="I1847" s="17" t="n">
        <v>0</v>
      </c>
      <c r="J1847" s="18" t="n">
        <v>452.4</v>
      </c>
      <c r="K1847" s="19" t="n">
        <v>88.84</v>
      </c>
      <c r="L1847" s="15" t="n">
        <f aca="false">YEAR(B1847)</f>
        <v>2023</v>
      </c>
      <c r="M1847" s="20" t="n">
        <f aca="false">IF(J1847&gt;0,K1847/J1847,0)</f>
        <v>0.196374889478338</v>
      </c>
    </row>
    <row r="1848" customFormat="false" ht="15" hidden="false" customHeight="false" outlineLevel="0" collapsed="false">
      <c r="A1848" s="15" t="s">
        <v>1905</v>
      </c>
      <c r="B1848" s="16" t="n">
        <v>45893</v>
      </c>
      <c r="C1848" s="15" t="s">
        <v>56</v>
      </c>
      <c r="D1848" s="15" t="s">
        <v>43</v>
      </c>
      <c r="E1848" s="15" t="s">
        <v>38</v>
      </c>
      <c r="F1848" s="15" t="s">
        <v>17</v>
      </c>
      <c r="G1848" s="15" t="s">
        <v>26</v>
      </c>
      <c r="H1848" s="15" t="n">
        <v>3</v>
      </c>
      <c r="I1848" s="17" t="n">
        <v>0</v>
      </c>
      <c r="J1848" s="18" t="n">
        <v>241.57</v>
      </c>
      <c r="K1848" s="19" t="n">
        <v>43.4</v>
      </c>
      <c r="L1848" s="15" t="n">
        <f aca="false">YEAR(B1848)</f>
        <v>2025</v>
      </c>
      <c r="M1848" s="20" t="n">
        <f aca="false">IF(J1848&gt;0,K1848/J1848,0)</f>
        <v>0.179658070124602</v>
      </c>
    </row>
    <row r="1849" customFormat="false" ht="15" hidden="false" customHeight="false" outlineLevel="0" collapsed="false">
      <c r="A1849" s="15" t="s">
        <v>1906</v>
      </c>
      <c r="B1849" s="16" t="n">
        <v>45269</v>
      </c>
      <c r="C1849" s="15" t="s">
        <v>58</v>
      </c>
      <c r="D1849" s="15" t="s">
        <v>42</v>
      </c>
      <c r="E1849" s="15" t="s">
        <v>36</v>
      </c>
      <c r="F1849" s="15" t="s">
        <v>17</v>
      </c>
      <c r="G1849" s="15" t="s">
        <v>28</v>
      </c>
      <c r="H1849" s="15" t="n">
        <v>3</v>
      </c>
      <c r="I1849" s="17" t="n">
        <v>0</v>
      </c>
      <c r="J1849" s="18" t="n">
        <v>64.91</v>
      </c>
      <c r="K1849" s="19" t="n">
        <v>20.94</v>
      </c>
      <c r="L1849" s="15" t="n">
        <f aca="false">YEAR(B1849)</f>
        <v>2023</v>
      </c>
      <c r="M1849" s="20" t="n">
        <f aca="false">IF(J1849&gt;0,K1849/J1849,0)</f>
        <v>0.322600523802188</v>
      </c>
    </row>
    <row r="1850" customFormat="false" ht="15" hidden="false" customHeight="false" outlineLevel="0" collapsed="false">
      <c r="A1850" s="15" t="s">
        <v>1907</v>
      </c>
      <c r="B1850" s="16" t="n">
        <v>45922</v>
      </c>
      <c r="C1850" s="15" t="s">
        <v>68</v>
      </c>
      <c r="D1850" s="15" t="s">
        <v>42</v>
      </c>
      <c r="E1850" s="15" t="s">
        <v>39</v>
      </c>
      <c r="F1850" s="15" t="s">
        <v>18</v>
      </c>
      <c r="G1850" s="15" t="s">
        <v>32</v>
      </c>
      <c r="H1850" s="15" t="n">
        <v>4</v>
      </c>
      <c r="I1850" s="17" t="n">
        <v>0</v>
      </c>
      <c r="J1850" s="18" t="n">
        <v>1388.74</v>
      </c>
      <c r="K1850" s="19" t="n">
        <v>305.6</v>
      </c>
      <c r="L1850" s="15" t="n">
        <f aca="false">YEAR(B1850)</f>
        <v>2025</v>
      </c>
      <c r="M1850" s="20" t="n">
        <f aca="false">IF(J1850&gt;0,K1850/J1850,0)</f>
        <v>0.220055589959244</v>
      </c>
    </row>
    <row r="1851" customFormat="false" ht="15" hidden="false" customHeight="false" outlineLevel="0" collapsed="false">
      <c r="A1851" s="15" t="s">
        <v>1908</v>
      </c>
      <c r="B1851" s="16" t="n">
        <v>45429</v>
      </c>
      <c r="C1851" s="15" t="s">
        <v>56</v>
      </c>
      <c r="D1851" s="15" t="s">
        <v>42</v>
      </c>
      <c r="E1851" s="15" t="s">
        <v>37</v>
      </c>
      <c r="F1851" s="15" t="s">
        <v>18</v>
      </c>
      <c r="G1851" s="15" t="s">
        <v>32</v>
      </c>
      <c r="H1851" s="15" t="n">
        <v>5</v>
      </c>
      <c r="I1851" s="17" t="n">
        <v>0.05</v>
      </c>
      <c r="J1851" s="18" t="n">
        <v>2064.19</v>
      </c>
      <c r="K1851" s="19" t="n">
        <v>194.67</v>
      </c>
      <c r="L1851" s="15" t="n">
        <f aca="false">YEAR(B1851)</f>
        <v>2024</v>
      </c>
      <c r="M1851" s="20" t="n">
        <f aca="false">IF(J1851&gt;0,K1851/J1851,0)</f>
        <v>0.0943081789951506</v>
      </c>
    </row>
    <row r="1852" customFormat="false" ht="15" hidden="false" customHeight="false" outlineLevel="0" collapsed="false">
      <c r="A1852" s="15" t="s">
        <v>1909</v>
      </c>
      <c r="B1852" s="16" t="n">
        <v>45283</v>
      </c>
      <c r="C1852" s="15" t="s">
        <v>71</v>
      </c>
      <c r="D1852" s="15" t="s">
        <v>44</v>
      </c>
      <c r="E1852" s="15" t="s">
        <v>39</v>
      </c>
      <c r="F1852" s="15" t="s">
        <v>16</v>
      </c>
      <c r="G1852" s="15" t="s">
        <v>25</v>
      </c>
      <c r="H1852" s="15" t="n">
        <v>2</v>
      </c>
      <c r="I1852" s="17" t="n">
        <v>0.2</v>
      </c>
      <c r="J1852" s="18" t="n">
        <v>433.4</v>
      </c>
      <c r="K1852" s="19" t="n">
        <v>-9.26</v>
      </c>
      <c r="L1852" s="15" t="n">
        <f aca="false">YEAR(B1852)</f>
        <v>2023</v>
      </c>
      <c r="M1852" s="20" t="n">
        <f aca="false">IF(J1852&gt;0,K1852/J1852,0)</f>
        <v>-0.0213659437009691</v>
      </c>
    </row>
    <row r="1853" customFormat="false" ht="15" hidden="false" customHeight="false" outlineLevel="0" collapsed="false">
      <c r="A1853" s="15" t="s">
        <v>1910</v>
      </c>
      <c r="B1853" s="16" t="n">
        <v>45946</v>
      </c>
      <c r="C1853" s="15" t="s">
        <v>71</v>
      </c>
      <c r="D1853" s="15" t="s">
        <v>42</v>
      </c>
      <c r="E1853" s="15" t="s">
        <v>37</v>
      </c>
      <c r="F1853" s="15" t="s">
        <v>17</v>
      </c>
      <c r="G1853" s="15" t="s">
        <v>28</v>
      </c>
      <c r="H1853" s="15" t="n">
        <v>3</v>
      </c>
      <c r="I1853" s="17" t="n">
        <v>0.15</v>
      </c>
      <c r="J1853" s="18" t="n">
        <v>64.45</v>
      </c>
      <c r="K1853" s="19" t="n">
        <v>14.71</v>
      </c>
      <c r="L1853" s="15" t="n">
        <f aca="false">YEAR(B1853)</f>
        <v>2025</v>
      </c>
      <c r="M1853" s="20" t="n">
        <f aca="false">IF(J1853&gt;0,K1853/J1853,0)</f>
        <v>0.228238944918542</v>
      </c>
    </row>
    <row r="1854" customFormat="false" ht="15" hidden="false" customHeight="false" outlineLevel="0" collapsed="false">
      <c r="A1854" s="15" t="s">
        <v>1911</v>
      </c>
      <c r="B1854" s="16" t="n">
        <v>45014</v>
      </c>
      <c r="C1854" s="15" t="s">
        <v>68</v>
      </c>
      <c r="D1854" s="15" t="s">
        <v>44</v>
      </c>
      <c r="E1854" s="15" t="s">
        <v>39</v>
      </c>
      <c r="F1854" s="15" t="s">
        <v>17</v>
      </c>
      <c r="G1854" s="15" t="s">
        <v>29</v>
      </c>
      <c r="H1854" s="15" t="n">
        <v>1</v>
      </c>
      <c r="I1854" s="17" t="n">
        <v>0.05</v>
      </c>
      <c r="J1854" s="18" t="n">
        <v>19.56</v>
      </c>
      <c r="K1854" s="19" t="n">
        <v>6.17</v>
      </c>
      <c r="L1854" s="15" t="n">
        <f aca="false">YEAR(B1854)</f>
        <v>2023</v>
      </c>
      <c r="M1854" s="20" t="n">
        <f aca="false">IF(J1854&gt;0,K1854/J1854,0)</f>
        <v>0.315439672801636</v>
      </c>
    </row>
    <row r="1855" customFormat="false" ht="15" hidden="false" customHeight="false" outlineLevel="0" collapsed="false">
      <c r="A1855" s="15" t="s">
        <v>1912</v>
      </c>
      <c r="B1855" s="16" t="n">
        <v>45411</v>
      </c>
      <c r="C1855" s="15" t="s">
        <v>56</v>
      </c>
      <c r="D1855" s="15" t="s">
        <v>42</v>
      </c>
      <c r="E1855" s="15" t="s">
        <v>39</v>
      </c>
      <c r="F1855" s="15" t="s">
        <v>16</v>
      </c>
      <c r="G1855" s="15" t="s">
        <v>25</v>
      </c>
      <c r="H1855" s="15" t="n">
        <v>2</v>
      </c>
      <c r="I1855" s="17" t="n">
        <v>0</v>
      </c>
      <c r="J1855" s="18" t="n">
        <v>610.79</v>
      </c>
      <c r="K1855" s="19" t="n">
        <v>69.57</v>
      </c>
      <c r="L1855" s="15" t="n">
        <f aca="false">YEAR(B1855)</f>
        <v>2024</v>
      </c>
      <c r="M1855" s="20" t="n">
        <f aca="false">IF(J1855&gt;0,K1855/J1855,0)</f>
        <v>0.113901668331178</v>
      </c>
    </row>
    <row r="1856" customFormat="false" ht="15" hidden="false" customHeight="false" outlineLevel="0" collapsed="false">
      <c r="A1856" s="15" t="s">
        <v>1913</v>
      </c>
      <c r="B1856" s="16" t="n">
        <v>44851</v>
      </c>
      <c r="C1856" s="15" t="s">
        <v>68</v>
      </c>
      <c r="D1856" s="15" t="s">
        <v>44</v>
      </c>
      <c r="E1856" s="15" t="s">
        <v>37</v>
      </c>
      <c r="F1856" s="15" t="s">
        <v>17</v>
      </c>
      <c r="G1856" s="15" t="s">
        <v>28</v>
      </c>
      <c r="H1856" s="15" t="n">
        <v>1</v>
      </c>
      <c r="I1856" s="17" t="n">
        <v>0</v>
      </c>
      <c r="J1856" s="18" t="n">
        <v>28.53</v>
      </c>
      <c r="K1856" s="19" t="n">
        <v>7.69</v>
      </c>
      <c r="L1856" s="15" t="n">
        <f aca="false">YEAR(B1856)</f>
        <v>2022</v>
      </c>
      <c r="M1856" s="20" t="n">
        <f aca="false">IF(J1856&gt;0,K1856/J1856,0)</f>
        <v>0.269540834209604</v>
      </c>
    </row>
    <row r="1857" customFormat="false" ht="15" hidden="false" customHeight="false" outlineLevel="0" collapsed="false">
      <c r="A1857" s="15" t="s">
        <v>1914</v>
      </c>
      <c r="B1857" s="16" t="n">
        <v>45036</v>
      </c>
      <c r="C1857" s="15" t="s">
        <v>68</v>
      </c>
      <c r="D1857" s="15" t="s">
        <v>42</v>
      </c>
      <c r="E1857" s="15" t="s">
        <v>39</v>
      </c>
      <c r="F1857" s="15" t="s">
        <v>17</v>
      </c>
      <c r="G1857" s="15" t="s">
        <v>28</v>
      </c>
      <c r="H1857" s="15" t="n">
        <v>4</v>
      </c>
      <c r="I1857" s="17" t="n">
        <v>0</v>
      </c>
      <c r="J1857" s="18" t="n">
        <v>112.03</v>
      </c>
      <c r="K1857" s="19" t="n">
        <v>27.94</v>
      </c>
      <c r="L1857" s="15" t="n">
        <f aca="false">YEAR(B1857)</f>
        <v>2023</v>
      </c>
      <c r="M1857" s="20" t="n">
        <f aca="false">IF(J1857&gt;0,K1857/J1857,0)</f>
        <v>0.249397482817103</v>
      </c>
    </row>
    <row r="1858" customFormat="false" ht="15" hidden="false" customHeight="false" outlineLevel="0" collapsed="false">
      <c r="A1858" s="15" t="s">
        <v>1915</v>
      </c>
      <c r="B1858" s="16" t="n">
        <v>44743</v>
      </c>
      <c r="C1858" s="15" t="s">
        <v>71</v>
      </c>
      <c r="D1858" s="15" t="s">
        <v>42</v>
      </c>
      <c r="E1858" s="15" t="s">
        <v>36</v>
      </c>
      <c r="F1858" s="15" t="s">
        <v>17</v>
      </c>
      <c r="G1858" s="15" t="s">
        <v>28</v>
      </c>
      <c r="H1858" s="15" t="n">
        <v>5</v>
      </c>
      <c r="I1858" s="17" t="n">
        <v>0</v>
      </c>
      <c r="J1858" s="18" t="n">
        <v>112.47</v>
      </c>
      <c r="K1858" s="19" t="n">
        <v>28.34</v>
      </c>
      <c r="L1858" s="15" t="n">
        <f aca="false">YEAR(B1858)</f>
        <v>2022</v>
      </c>
      <c r="M1858" s="20" t="n">
        <f aca="false">IF(J1858&gt;0,K1858/J1858,0)</f>
        <v>0.251978305325865</v>
      </c>
    </row>
    <row r="1859" customFormat="false" ht="15" hidden="false" customHeight="false" outlineLevel="0" collapsed="false">
      <c r="A1859" s="15" t="s">
        <v>1916</v>
      </c>
      <c r="B1859" s="16" t="n">
        <v>46018</v>
      </c>
      <c r="C1859" s="15" t="s">
        <v>56</v>
      </c>
      <c r="D1859" s="15" t="s">
        <v>43</v>
      </c>
      <c r="E1859" s="15" t="s">
        <v>37</v>
      </c>
      <c r="F1859" s="15" t="s">
        <v>18</v>
      </c>
      <c r="G1859" s="15" t="s">
        <v>33</v>
      </c>
      <c r="H1859" s="15" t="n">
        <v>1</v>
      </c>
      <c r="I1859" s="17" t="n">
        <v>0.2</v>
      </c>
      <c r="J1859" s="18" t="n">
        <v>854.53</v>
      </c>
      <c r="K1859" s="19" t="n">
        <v>90.57</v>
      </c>
      <c r="L1859" s="15" t="n">
        <f aca="false">YEAR(B1859)</f>
        <v>2025</v>
      </c>
      <c r="M1859" s="20" t="n">
        <f aca="false">IF(J1859&gt;0,K1859/J1859,0)</f>
        <v>0.105988087018595</v>
      </c>
    </row>
    <row r="1860" customFormat="false" ht="15" hidden="false" customHeight="false" outlineLevel="0" collapsed="false">
      <c r="A1860" s="15" t="s">
        <v>1917</v>
      </c>
      <c r="B1860" s="16" t="n">
        <v>45904</v>
      </c>
      <c r="C1860" s="15" t="s">
        <v>56</v>
      </c>
      <c r="D1860" s="15" t="s">
        <v>42</v>
      </c>
      <c r="E1860" s="15" t="s">
        <v>38</v>
      </c>
      <c r="F1860" s="15" t="s">
        <v>17</v>
      </c>
      <c r="G1860" s="15" t="s">
        <v>29</v>
      </c>
      <c r="H1860" s="15" t="n">
        <v>4</v>
      </c>
      <c r="I1860" s="17" t="n">
        <v>0.2</v>
      </c>
      <c r="J1860" s="18" t="n">
        <v>63.69</v>
      </c>
      <c r="K1860" s="19" t="n">
        <v>10.91</v>
      </c>
      <c r="L1860" s="15" t="n">
        <f aca="false">YEAR(B1860)</f>
        <v>2025</v>
      </c>
      <c r="M1860" s="20" t="n">
        <f aca="false">IF(J1860&gt;0,K1860/J1860,0)</f>
        <v>0.171298476997959</v>
      </c>
    </row>
    <row r="1861" customFormat="false" ht="15" hidden="false" customHeight="false" outlineLevel="0" collapsed="false">
      <c r="A1861" s="15" t="s">
        <v>1918</v>
      </c>
      <c r="B1861" s="16" t="n">
        <v>45500</v>
      </c>
      <c r="C1861" s="15" t="s">
        <v>56</v>
      </c>
      <c r="D1861" s="15" t="s">
        <v>43</v>
      </c>
      <c r="E1861" s="15" t="s">
        <v>37</v>
      </c>
      <c r="F1861" s="15" t="s">
        <v>17</v>
      </c>
      <c r="G1861" s="15" t="s">
        <v>26</v>
      </c>
      <c r="H1861" s="15" t="n">
        <v>4</v>
      </c>
      <c r="I1861" s="17" t="n">
        <v>0.2</v>
      </c>
      <c r="J1861" s="18" t="n">
        <v>287.02</v>
      </c>
      <c r="K1861" s="19" t="n">
        <v>-20.42</v>
      </c>
      <c r="L1861" s="15" t="n">
        <f aca="false">YEAR(B1861)</f>
        <v>2024</v>
      </c>
      <c r="M1861" s="20" t="n">
        <f aca="false">IF(J1861&gt;0,K1861/J1861,0)</f>
        <v>-0.0711448679534527</v>
      </c>
    </row>
    <row r="1862" customFormat="false" ht="15" hidden="false" customHeight="false" outlineLevel="0" collapsed="false">
      <c r="A1862" s="15" t="s">
        <v>1919</v>
      </c>
      <c r="B1862" s="16" t="n">
        <v>45248</v>
      </c>
      <c r="C1862" s="15" t="s">
        <v>58</v>
      </c>
      <c r="D1862" s="15" t="s">
        <v>42</v>
      </c>
      <c r="E1862" s="15" t="s">
        <v>39</v>
      </c>
      <c r="F1862" s="15" t="s">
        <v>17</v>
      </c>
      <c r="G1862" s="15" t="s">
        <v>29</v>
      </c>
      <c r="H1862" s="15" t="n">
        <v>9</v>
      </c>
      <c r="I1862" s="17" t="n">
        <v>0.2</v>
      </c>
      <c r="J1862" s="18" t="n">
        <v>137.03</v>
      </c>
      <c r="K1862" s="19" t="n">
        <v>30.85</v>
      </c>
      <c r="L1862" s="15" t="n">
        <f aca="false">YEAR(B1862)</f>
        <v>2023</v>
      </c>
      <c r="M1862" s="20" t="n">
        <f aca="false">IF(J1862&gt;0,K1862/J1862,0)</f>
        <v>0.225133182514778</v>
      </c>
    </row>
    <row r="1863" customFormat="false" ht="15" hidden="false" customHeight="false" outlineLevel="0" collapsed="false">
      <c r="A1863" s="15" t="s">
        <v>1920</v>
      </c>
      <c r="B1863" s="16" t="n">
        <v>45745</v>
      </c>
      <c r="C1863" s="15" t="s">
        <v>56</v>
      </c>
      <c r="D1863" s="15" t="s">
        <v>42</v>
      </c>
      <c r="E1863" s="15" t="s">
        <v>39</v>
      </c>
      <c r="F1863" s="15" t="s">
        <v>18</v>
      </c>
      <c r="G1863" s="15" t="s">
        <v>24</v>
      </c>
      <c r="H1863" s="15" t="n">
        <v>3</v>
      </c>
      <c r="I1863" s="17" t="n">
        <v>0.1</v>
      </c>
      <c r="J1863" s="18" t="n">
        <v>2032.95</v>
      </c>
      <c r="K1863" s="19" t="n">
        <v>-116.12</v>
      </c>
      <c r="L1863" s="15" t="n">
        <f aca="false">YEAR(B1863)</f>
        <v>2025</v>
      </c>
      <c r="M1863" s="20" t="n">
        <f aca="false">IF(J1863&gt;0,K1863/J1863,0)</f>
        <v>-0.0571189650507883</v>
      </c>
    </row>
    <row r="1864" customFormat="false" ht="15" hidden="false" customHeight="false" outlineLevel="0" collapsed="false">
      <c r="A1864" s="15" t="s">
        <v>1921</v>
      </c>
      <c r="B1864" s="16" t="n">
        <v>45066</v>
      </c>
      <c r="C1864" s="15" t="s">
        <v>56</v>
      </c>
      <c r="D1864" s="15" t="s">
        <v>42</v>
      </c>
      <c r="E1864" s="15" t="s">
        <v>38</v>
      </c>
      <c r="F1864" s="15" t="s">
        <v>16</v>
      </c>
      <c r="G1864" s="15" t="s">
        <v>27</v>
      </c>
      <c r="H1864" s="15" t="n">
        <v>5</v>
      </c>
      <c r="I1864" s="17" t="n">
        <v>0</v>
      </c>
      <c r="J1864" s="18" t="n">
        <v>219.57</v>
      </c>
      <c r="K1864" s="19" t="n">
        <v>51.14</v>
      </c>
      <c r="L1864" s="15" t="n">
        <f aca="false">YEAR(B1864)</f>
        <v>2023</v>
      </c>
      <c r="M1864" s="20" t="n">
        <f aca="false">IF(J1864&gt;0,K1864/J1864,0)</f>
        <v>0.232909778202851</v>
      </c>
    </row>
    <row r="1865" customFormat="false" ht="15" hidden="false" customHeight="false" outlineLevel="0" collapsed="false">
      <c r="A1865" s="15" t="s">
        <v>1922</v>
      </c>
      <c r="B1865" s="16" t="n">
        <v>45297</v>
      </c>
      <c r="C1865" s="15" t="s">
        <v>56</v>
      </c>
      <c r="D1865" s="15" t="s">
        <v>43</v>
      </c>
      <c r="E1865" s="15" t="s">
        <v>38</v>
      </c>
      <c r="F1865" s="15" t="s">
        <v>17</v>
      </c>
      <c r="G1865" s="15" t="s">
        <v>28</v>
      </c>
      <c r="H1865" s="15" t="n">
        <v>7</v>
      </c>
      <c r="I1865" s="17" t="n">
        <v>0.2</v>
      </c>
      <c r="J1865" s="18" t="n">
        <v>128.58</v>
      </c>
      <c r="K1865" s="19" t="n">
        <v>15.59</v>
      </c>
      <c r="L1865" s="15" t="n">
        <f aca="false">YEAR(B1865)</f>
        <v>2024</v>
      </c>
      <c r="M1865" s="20" t="n">
        <f aca="false">IF(J1865&gt;0,K1865/J1865,0)</f>
        <v>0.12124747239073</v>
      </c>
    </row>
    <row r="1866" customFormat="false" ht="15" hidden="false" customHeight="false" outlineLevel="0" collapsed="false">
      <c r="A1866" s="15" t="s">
        <v>1923</v>
      </c>
      <c r="B1866" s="16" t="n">
        <v>45533</v>
      </c>
      <c r="C1866" s="15" t="s">
        <v>68</v>
      </c>
      <c r="D1866" s="15" t="s">
        <v>42</v>
      </c>
      <c r="E1866" s="15" t="s">
        <v>39</v>
      </c>
      <c r="F1866" s="15" t="s">
        <v>17</v>
      </c>
      <c r="G1866" s="15" t="s">
        <v>29</v>
      </c>
      <c r="H1866" s="15" t="n">
        <v>4</v>
      </c>
      <c r="I1866" s="17" t="n">
        <v>0.15</v>
      </c>
      <c r="J1866" s="18" t="n">
        <v>71.66</v>
      </c>
      <c r="K1866" s="19" t="n">
        <v>15.76</v>
      </c>
      <c r="L1866" s="15" t="n">
        <f aca="false">YEAR(B1866)</f>
        <v>2024</v>
      </c>
      <c r="M1866" s="20" t="n">
        <f aca="false">IF(J1866&gt;0,K1866/J1866,0)</f>
        <v>0.219927435110243</v>
      </c>
    </row>
    <row r="1867" customFormat="false" ht="15" hidden="false" customHeight="false" outlineLevel="0" collapsed="false">
      <c r="A1867" s="15" t="s">
        <v>1924</v>
      </c>
      <c r="B1867" s="16" t="n">
        <v>45128</v>
      </c>
      <c r="C1867" s="15" t="s">
        <v>56</v>
      </c>
      <c r="D1867" s="15" t="s">
        <v>42</v>
      </c>
      <c r="E1867" s="15" t="s">
        <v>36</v>
      </c>
      <c r="F1867" s="15" t="s">
        <v>17</v>
      </c>
      <c r="G1867" s="15" t="s">
        <v>28</v>
      </c>
      <c r="H1867" s="15" t="n">
        <v>5</v>
      </c>
      <c r="I1867" s="17" t="n">
        <v>0.1</v>
      </c>
      <c r="J1867" s="18" t="n">
        <v>96.55</v>
      </c>
      <c r="K1867" s="19" t="n">
        <v>14.57</v>
      </c>
      <c r="L1867" s="15" t="n">
        <f aca="false">YEAR(B1867)</f>
        <v>2023</v>
      </c>
      <c r="M1867" s="20" t="n">
        <f aca="false">IF(J1867&gt;0,K1867/J1867,0)</f>
        <v>0.150906266183325</v>
      </c>
    </row>
    <row r="1868" customFormat="false" ht="15" hidden="false" customHeight="false" outlineLevel="0" collapsed="false">
      <c r="A1868" s="15" t="s">
        <v>1925</v>
      </c>
      <c r="B1868" s="16" t="n">
        <v>45687</v>
      </c>
      <c r="C1868" s="15" t="s">
        <v>68</v>
      </c>
      <c r="D1868" s="15" t="s">
        <v>42</v>
      </c>
      <c r="E1868" s="15" t="s">
        <v>37</v>
      </c>
      <c r="F1868" s="15" t="s">
        <v>18</v>
      </c>
      <c r="G1868" s="15" t="s">
        <v>30</v>
      </c>
      <c r="H1868" s="15" t="n">
        <v>3</v>
      </c>
      <c r="I1868" s="17" t="n">
        <v>0</v>
      </c>
      <c r="J1868" s="18" t="n">
        <v>130.86</v>
      </c>
      <c r="K1868" s="19" t="n">
        <v>38.84</v>
      </c>
      <c r="L1868" s="15" t="n">
        <f aca="false">YEAR(B1868)</f>
        <v>2025</v>
      </c>
      <c r="M1868" s="20" t="n">
        <f aca="false">IF(J1868&gt;0,K1868/J1868,0)</f>
        <v>0.296805746599419</v>
      </c>
    </row>
    <row r="1869" customFormat="false" ht="15" hidden="false" customHeight="false" outlineLevel="0" collapsed="false">
      <c r="A1869" s="15" t="s">
        <v>1926</v>
      </c>
      <c r="B1869" s="16" t="n">
        <v>45487</v>
      </c>
      <c r="C1869" s="15" t="s">
        <v>71</v>
      </c>
      <c r="D1869" s="15" t="s">
        <v>42</v>
      </c>
      <c r="E1869" s="15" t="s">
        <v>39</v>
      </c>
      <c r="F1869" s="15" t="s">
        <v>17</v>
      </c>
      <c r="G1869" s="15" t="s">
        <v>28</v>
      </c>
      <c r="H1869" s="15" t="n">
        <v>2</v>
      </c>
      <c r="I1869" s="17" t="n">
        <v>0</v>
      </c>
      <c r="J1869" s="18" t="n">
        <v>42.26</v>
      </c>
      <c r="K1869" s="19" t="n">
        <v>12.36</v>
      </c>
      <c r="L1869" s="15" t="n">
        <f aca="false">YEAR(B1869)</f>
        <v>2024</v>
      </c>
      <c r="M1869" s="20" t="n">
        <f aca="false">IF(J1869&gt;0,K1869/J1869,0)</f>
        <v>0.292475153809749</v>
      </c>
    </row>
    <row r="1870" customFormat="false" ht="15" hidden="false" customHeight="false" outlineLevel="0" collapsed="false">
      <c r="A1870" s="15" t="s">
        <v>1927</v>
      </c>
      <c r="B1870" s="16" t="n">
        <v>45246</v>
      </c>
      <c r="C1870" s="15" t="s">
        <v>56</v>
      </c>
      <c r="D1870" s="15" t="s">
        <v>42</v>
      </c>
      <c r="E1870" s="15" t="s">
        <v>37</v>
      </c>
      <c r="F1870" s="15" t="s">
        <v>16</v>
      </c>
      <c r="G1870" s="15" t="s">
        <v>22</v>
      </c>
      <c r="H1870" s="15" t="n">
        <v>5</v>
      </c>
      <c r="I1870" s="17" t="n">
        <v>0</v>
      </c>
      <c r="J1870" s="18" t="n">
        <v>2116.06</v>
      </c>
      <c r="K1870" s="19" t="n">
        <v>-70.05</v>
      </c>
      <c r="L1870" s="15" t="n">
        <f aca="false">YEAR(B1870)</f>
        <v>2023</v>
      </c>
      <c r="M1870" s="20" t="n">
        <f aca="false">IF(J1870&gt;0,K1870/J1870,0)</f>
        <v>-0.0331039762577621</v>
      </c>
    </row>
    <row r="1871" customFormat="false" ht="15" hidden="false" customHeight="false" outlineLevel="0" collapsed="false">
      <c r="A1871" s="15" t="s">
        <v>1928</v>
      </c>
      <c r="B1871" s="16" t="n">
        <v>45378</v>
      </c>
      <c r="C1871" s="15" t="s">
        <v>68</v>
      </c>
      <c r="D1871" s="15" t="s">
        <v>42</v>
      </c>
      <c r="E1871" s="15" t="s">
        <v>36</v>
      </c>
      <c r="F1871" s="15" t="s">
        <v>17</v>
      </c>
      <c r="G1871" s="15" t="s">
        <v>29</v>
      </c>
      <c r="H1871" s="15" t="n">
        <v>3</v>
      </c>
      <c r="I1871" s="17" t="n">
        <v>0</v>
      </c>
      <c r="J1871" s="18" t="n">
        <v>44.3</v>
      </c>
      <c r="K1871" s="19" t="n">
        <v>14.86</v>
      </c>
      <c r="L1871" s="15" t="n">
        <f aca="false">YEAR(B1871)</f>
        <v>2024</v>
      </c>
      <c r="M1871" s="20" t="n">
        <f aca="false">IF(J1871&gt;0,K1871/J1871,0)</f>
        <v>0.335440180586907</v>
      </c>
    </row>
    <row r="1872" customFormat="false" ht="15" hidden="false" customHeight="false" outlineLevel="0" collapsed="false">
      <c r="A1872" s="15" t="s">
        <v>1929</v>
      </c>
      <c r="B1872" s="16" t="n">
        <v>45694</v>
      </c>
      <c r="C1872" s="15" t="s">
        <v>71</v>
      </c>
      <c r="D1872" s="15" t="s">
        <v>43</v>
      </c>
      <c r="E1872" s="15" t="s">
        <v>39</v>
      </c>
      <c r="F1872" s="15" t="s">
        <v>17</v>
      </c>
      <c r="G1872" s="15" t="s">
        <v>31</v>
      </c>
      <c r="H1872" s="15" t="n">
        <v>1</v>
      </c>
      <c r="I1872" s="17" t="n">
        <v>0.05</v>
      </c>
      <c r="J1872" s="18" t="n">
        <v>129</v>
      </c>
      <c r="K1872" s="19" t="n">
        <v>14.42</v>
      </c>
      <c r="L1872" s="15" t="n">
        <f aca="false">YEAR(B1872)</f>
        <v>2025</v>
      </c>
      <c r="M1872" s="20" t="n">
        <f aca="false">IF(J1872&gt;0,K1872/J1872,0)</f>
        <v>0.111782945736434</v>
      </c>
    </row>
    <row r="1873" customFormat="false" ht="15" hidden="false" customHeight="false" outlineLevel="0" collapsed="false">
      <c r="A1873" s="15" t="s">
        <v>1930</v>
      </c>
      <c r="B1873" s="16" t="n">
        <v>44995</v>
      </c>
      <c r="C1873" s="15" t="s">
        <v>56</v>
      </c>
      <c r="D1873" s="15" t="s">
        <v>44</v>
      </c>
      <c r="E1873" s="15" t="s">
        <v>39</v>
      </c>
      <c r="F1873" s="15" t="s">
        <v>18</v>
      </c>
      <c r="G1873" s="15" t="s">
        <v>30</v>
      </c>
      <c r="H1873" s="15" t="n">
        <v>4</v>
      </c>
      <c r="I1873" s="17" t="n">
        <v>0.15</v>
      </c>
      <c r="J1873" s="18" t="n">
        <v>176.1</v>
      </c>
      <c r="K1873" s="19" t="n">
        <v>12.89</v>
      </c>
      <c r="L1873" s="15" t="n">
        <f aca="false">YEAR(B1873)</f>
        <v>2023</v>
      </c>
      <c r="M1873" s="20" t="n">
        <f aca="false">IF(J1873&gt;0,K1873/J1873,0)</f>
        <v>0.0731970471323112</v>
      </c>
    </row>
    <row r="1874" customFormat="false" ht="15" hidden="false" customHeight="false" outlineLevel="0" collapsed="false">
      <c r="A1874" s="15" t="s">
        <v>1931</v>
      </c>
      <c r="B1874" s="16" t="n">
        <v>44673</v>
      </c>
      <c r="C1874" s="15" t="s">
        <v>56</v>
      </c>
      <c r="D1874" s="15" t="s">
        <v>43</v>
      </c>
      <c r="E1874" s="15" t="s">
        <v>36</v>
      </c>
      <c r="F1874" s="15" t="s">
        <v>17</v>
      </c>
      <c r="G1874" s="15" t="s">
        <v>28</v>
      </c>
      <c r="H1874" s="15" t="n">
        <v>4</v>
      </c>
      <c r="I1874" s="17" t="n">
        <v>0</v>
      </c>
      <c r="J1874" s="18" t="n">
        <v>94.35</v>
      </c>
      <c r="K1874" s="19" t="n">
        <v>24.97</v>
      </c>
      <c r="L1874" s="15" t="n">
        <f aca="false">YEAR(B1874)</f>
        <v>2022</v>
      </c>
      <c r="M1874" s="20" t="n">
        <f aca="false">IF(J1874&gt;0,K1874/J1874,0)</f>
        <v>0.2646528881823</v>
      </c>
    </row>
    <row r="1875" customFormat="false" ht="15" hidden="false" customHeight="false" outlineLevel="0" collapsed="false">
      <c r="A1875" s="15" t="s">
        <v>1932</v>
      </c>
      <c r="B1875" s="16" t="n">
        <v>45739</v>
      </c>
      <c r="C1875" s="15" t="s">
        <v>71</v>
      </c>
      <c r="D1875" s="15" t="s">
        <v>43</v>
      </c>
      <c r="E1875" s="15" t="s">
        <v>39</v>
      </c>
      <c r="F1875" s="15" t="s">
        <v>16</v>
      </c>
      <c r="G1875" s="15" t="s">
        <v>27</v>
      </c>
      <c r="H1875" s="15" t="n">
        <v>6</v>
      </c>
      <c r="I1875" s="17" t="n">
        <v>0</v>
      </c>
      <c r="J1875" s="18" t="n">
        <v>474.73</v>
      </c>
      <c r="K1875" s="19" t="n">
        <v>114.85</v>
      </c>
      <c r="L1875" s="15" t="n">
        <f aca="false">YEAR(B1875)</f>
        <v>2025</v>
      </c>
      <c r="M1875" s="20" t="n">
        <f aca="false">IF(J1875&gt;0,K1875/J1875,0)</f>
        <v>0.241926990078571</v>
      </c>
    </row>
    <row r="1876" customFormat="false" ht="15" hidden="false" customHeight="false" outlineLevel="0" collapsed="false">
      <c r="A1876" s="15" t="s">
        <v>1933</v>
      </c>
      <c r="B1876" s="16" t="n">
        <v>45621</v>
      </c>
      <c r="C1876" s="15" t="s">
        <v>58</v>
      </c>
      <c r="D1876" s="15" t="s">
        <v>42</v>
      </c>
      <c r="E1876" s="15" t="s">
        <v>39</v>
      </c>
      <c r="F1876" s="15" t="s">
        <v>17</v>
      </c>
      <c r="G1876" s="15" t="s">
        <v>26</v>
      </c>
      <c r="H1876" s="15" t="n">
        <v>3</v>
      </c>
      <c r="I1876" s="17" t="n">
        <v>0.15</v>
      </c>
      <c r="J1876" s="18" t="n">
        <v>222.25</v>
      </c>
      <c r="K1876" s="19" t="n">
        <v>-5.94</v>
      </c>
      <c r="L1876" s="15" t="n">
        <f aca="false">YEAR(B1876)</f>
        <v>2024</v>
      </c>
      <c r="M1876" s="20" t="n">
        <f aca="false">IF(J1876&gt;0,K1876/J1876,0)</f>
        <v>-0.0267266591676041</v>
      </c>
    </row>
    <row r="1877" customFormat="false" ht="15" hidden="false" customHeight="false" outlineLevel="0" collapsed="false">
      <c r="A1877" s="15" t="s">
        <v>1934</v>
      </c>
      <c r="B1877" s="16" t="n">
        <v>44646</v>
      </c>
      <c r="C1877" s="15" t="s">
        <v>56</v>
      </c>
      <c r="D1877" s="15" t="s">
        <v>42</v>
      </c>
      <c r="E1877" s="15" t="s">
        <v>37</v>
      </c>
      <c r="F1877" s="15" t="s">
        <v>16</v>
      </c>
      <c r="G1877" s="15" t="s">
        <v>23</v>
      </c>
      <c r="H1877" s="15" t="n">
        <v>4</v>
      </c>
      <c r="I1877" s="17" t="n">
        <v>0</v>
      </c>
      <c r="J1877" s="18" t="n">
        <v>1313.88</v>
      </c>
      <c r="K1877" s="19" t="n">
        <v>49.04</v>
      </c>
      <c r="L1877" s="15" t="n">
        <f aca="false">YEAR(B1877)</f>
        <v>2022</v>
      </c>
      <c r="M1877" s="20" t="n">
        <f aca="false">IF(J1877&gt;0,K1877/J1877,0)</f>
        <v>0.037324565409322</v>
      </c>
    </row>
    <row r="1878" customFormat="false" ht="15" hidden="false" customHeight="false" outlineLevel="0" collapsed="false">
      <c r="A1878" s="15" t="s">
        <v>1935</v>
      </c>
      <c r="B1878" s="16" t="n">
        <v>46011</v>
      </c>
      <c r="C1878" s="15" t="s">
        <v>56</v>
      </c>
      <c r="D1878" s="15" t="s">
        <v>42</v>
      </c>
      <c r="E1878" s="15" t="s">
        <v>37</v>
      </c>
      <c r="F1878" s="15" t="s">
        <v>17</v>
      </c>
      <c r="G1878" s="15" t="s">
        <v>28</v>
      </c>
      <c r="H1878" s="15" t="n">
        <v>2</v>
      </c>
      <c r="I1878" s="17" t="n">
        <v>0.5</v>
      </c>
      <c r="J1878" s="18" t="n">
        <v>23.16</v>
      </c>
      <c r="K1878" s="19" t="n">
        <v>-4.55</v>
      </c>
      <c r="L1878" s="15" t="n">
        <f aca="false">YEAR(B1878)</f>
        <v>2025</v>
      </c>
      <c r="M1878" s="20" t="n">
        <f aca="false">IF(J1878&gt;0,K1878/J1878,0)</f>
        <v>-0.196459412780656</v>
      </c>
    </row>
    <row r="1879" customFormat="false" ht="15" hidden="false" customHeight="false" outlineLevel="0" collapsed="false">
      <c r="A1879" s="15" t="s">
        <v>1936</v>
      </c>
      <c r="B1879" s="16" t="n">
        <v>45131</v>
      </c>
      <c r="C1879" s="15" t="s">
        <v>56</v>
      </c>
      <c r="D1879" s="15" t="s">
        <v>42</v>
      </c>
      <c r="E1879" s="15" t="s">
        <v>39</v>
      </c>
      <c r="F1879" s="15" t="s">
        <v>17</v>
      </c>
      <c r="G1879" s="15" t="s">
        <v>28</v>
      </c>
      <c r="H1879" s="15" t="n">
        <v>4</v>
      </c>
      <c r="I1879" s="17" t="n">
        <v>0</v>
      </c>
      <c r="J1879" s="18" t="n">
        <v>116.31</v>
      </c>
      <c r="K1879" s="19" t="n">
        <v>30.68</v>
      </c>
      <c r="L1879" s="15" t="n">
        <f aca="false">YEAR(B1879)</f>
        <v>2023</v>
      </c>
      <c r="M1879" s="20" t="n">
        <f aca="false">IF(J1879&gt;0,K1879/J1879,0)</f>
        <v>0.263777835095865</v>
      </c>
    </row>
    <row r="1880" customFormat="false" ht="15" hidden="false" customHeight="false" outlineLevel="0" collapsed="false">
      <c r="A1880" s="15" t="s">
        <v>1937</v>
      </c>
      <c r="B1880" s="16" t="n">
        <v>45325</v>
      </c>
      <c r="C1880" s="15" t="s">
        <v>58</v>
      </c>
      <c r="D1880" s="15" t="s">
        <v>42</v>
      </c>
      <c r="E1880" s="15" t="s">
        <v>37</v>
      </c>
      <c r="F1880" s="15" t="s">
        <v>18</v>
      </c>
      <c r="G1880" s="15" t="s">
        <v>33</v>
      </c>
      <c r="H1880" s="15" t="n">
        <v>5</v>
      </c>
      <c r="I1880" s="17" t="n">
        <v>0.2</v>
      </c>
      <c r="J1880" s="18" t="n">
        <v>3555.02</v>
      </c>
      <c r="K1880" s="19" t="n">
        <v>421.28</v>
      </c>
      <c r="L1880" s="15" t="n">
        <f aca="false">YEAR(B1880)</f>
        <v>2024</v>
      </c>
      <c r="M1880" s="20" t="n">
        <f aca="false">IF(J1880&gt;0,K1880/J1880,0)</f>
        <v>0.118502849491705</v>
      </c>
    </row>
    <row r="1881" customFormat="false" ht="15" hidden="false" customHeight="false" outlineLevel="0" collapsed="false">
      <c r="A1881" s="15" t="s">
        <v>1938</v>
      </c>
      <c r="B1881" s="16" t="n">
        <v>44585</v>
      </c>
      <c r="C1881" s="15" t="s">
        <v>56</v>
      </c>
      <c r="D1881" s="15" t="s">
        <v>42</v>
      </c>
      <c r="E1881" s="15" t="s">
        <v>38</v>
      </c>
      <c r="F1881" s="15" t="s">
        <v>17</v>
      </c>
      <c r="G1881" s="15" t="s">
        <v>26</v>
      </c>
      <c r="H1881" s="15" t="n">
        <v>3</v>
      </c>
      <c r="I1881" s="17" t="n">
        <v>0.2</v>
      </c>
      <c r="J1881" s="18" t="n">
        <v>218.59</v>
      </c>
      <c r="K1881" s="19" t="n">
        <v>-2.27</v>
      </c>
      <c r="L1881" s="15" t="n">
        <f aca="false">YEAR(B1881)</f>
        <v>2022</v>
      </c>
      <c r="M1881" s="20" t="n">
        <f aca="false">IF(J1881&gt;0,K1881/J1881,0)</f>
        <v>-0.0103847385516263</v>
      </c>
    </row>
    <row r="1882" customFormat="false" ht="15" hidden="false" customHeight="false" outlineLevel="0" collapsed="false">
      <c r="A1882" s="15" t="s">
        <v>1939</v>
      </c>
      <c r="B1882" s="16" t="n">
        <v>45739</v>
      </c>
      <c r="C1882" s="15" t="s">
        <v>56</v>
      </c>
      <c r="D1882" s="15" t="s">
        <v>43</v>
      </c>
      <c r="E1882" s="15" t="s">
        <v>39</v>
      </c>
      <c r="F1882" s="15" t="s">
        <v>17</v>
      </c>
      <c r="G1882" s="15" t="s">
        <v>29</v>
      </c>
      <c r="H1882" s="15" t="n">
        <v>1</v>
      </c>
      <c r="I1882" s="17" t="n">
        <v>0</v>
      </c>
      <c r="J1882" s="18" t="n">
        <v>19.5</v>
      </c>
      <c r="K1882" s="19" t="n">
        <v>6.74</v>
      </c>
      <c r="L1882" s="15" t="n">
        <f aca="false">YEAR(B1882)</f>
        <v>2025</v>
      </c>
      <c r="M1882" s="20" t="n">
        <f aca="false">IF(J1882&gt;0,K1882/J1882,0)</f>
        <v>0.345641025641026</v>
      </c>
    </row>
    <row r="1883" customFormat="false" ht="15" hidden="false" customHeight="false" outlineLevel="0" collapsed="false">
      <c r="A1883" s="15" t="s">
        <v>1940</v>
      </c>
      <c r="B1883" s="16" t="n">
        <v>45144</v>
      </c>
      <c r="C1883" s="15" t="s">
        <v>56</v>
      </c>
      <c r="D1883" s="15" t="s">
        <v>43</v>
      </c>
      <c r="E1883" s="15" t="s">
        <v>37</v>
      </c>
      <c r="F1883" s="15" t="s">
        <v>17</v>
      </c>
      <c r="G1883" s="15" t="s">
        <v>29</v>
      </c>
      <c r="H1883" s="15" t="n">
        <v>4</v>
      </c>
      <c r="I1883" s="17" t="n">
        <v>0</v>
      </c>
      <c r="J1883" s="18" t="n">
        <v>78.18</v>
      </c>
      <c r="K1883" s="19" t="n">
        <v>31.28</v>
      </c>
      <c r="L1883" s="15" t="n">
        <f aca="false">YEAR(B1883)</f>
        <v>2023</v>
      </c>
      <c r="M1883" s="20" t="n">
        <f aca="false">IF(J1883&gt;0,K1883/J1883,0)</f>
        <v>0.400102327961115</v>
      </c>
    </row>
    <row r="1884" customFormat="false" ht="15" hidden="false" customHeight="false" outlineLevel="0" collapsed="false">
      <c r="A1884" s="15" t="s">
        <v>1941</v>
      </c>
      <c r="B1884" s="16" t="n">
        <v>44665</v>
      </c>
      <c r="C1884" s="15" t="s">
        <v>71</v>
      </c>
      <c r="D1884" s="15" t="s">
        <v>42</v>
      </c>
      <c r="E1884" s="15" t="s">
        <v>37</v>
      </c>
      <c r="F1884" s="15" t="s">
        <v>17</v>
      </c>
      <c r="G1884" s="15" t="s">
        <v>29</v>
      </c>
      <c r="H1884" s="15" t="n">
        <v>3</v>
      </c>
      <c r="I1884" s="17" t="n">
        <v>0.1</v>
      </c>
      <c r="J1884" s="18" t="n">
        <v>52.66</v>
      </c>
      <c r="K1884" s="19" t="n">
        <v>13.4</v>
      </c>
      <c r="L1884" s="15" t="n">
        <f aca="false">YEAR(B1884)</f>
        <v>2022</v>
      </c>
      <c r="M1884" s="20" t="n">
        <f aca="false">IF(J1884&gt;0,K1884/J1884,0)</f>
        <v>0.254462590201291</v>
      </c>
    </row>
    <row r="1885" customFormat="false" ht="15" hidden="false" customHeight="false" outlineLevel="0" collapsed="false">
      <c r="A1885" s="15" t="s">
        <v>1942</v>
      </c>
      <c r="B1885" s="16" t="n">
        <v>45066</v>
      </c>
      <c r="C1885" s="15" t="s">
        <v>58</v>
      </c>
      <c r="D1885" s="15" t="s">
        <v>43</v>
      </c>
      <c r="E1885" s="15" t="s">
        <v>39</v>
      </c>
      <c r="F1885" s="15" t="s">
        <v>18</v>
      </c>
      <c r="G1885" s="15" t="s">
        <v>32</v>
      </c>
      <c r="H1885" s="15" t="n">
        <v>5</v>
      </c>
      <c r="I1885" s="17" t="n">
        <v>0.15</v>
      </c>
      <c r="J1885" s="18" t="n">
        <v>1768.96</v>
      </c>
      <c r="K1885" s="19" t="n">
        <v>76.43</v>
      </c>
      <c r="L1885" s="15" t="n">
        <f aca="false">YEAR(B1885)</f>
        <v>2023</v>
      </c>
      <c r="M1885" s="20" t="n">
        <f aca="false">IF(J1885&gt;0,K1885/J1885,0)</f>
        <v>0.0432061776410999</v>
      </c>
    </row>
    <row r="1886" customFormat="false" ht="15" hidden="false" customHeight="false" outlineLevel="0" collapsed="false">
      <c r="A1886" s="15" t="s">
        <v>1943</v>
      </c>
      <c r="B1886" s="16" t="n">
        <v>44803</v>
      </c>
      <c r="C1886" s="15" t="s">
        <v>56</v>
      </c>
      <c r="D1886" s="15" t="s">
        <v>43</v>
      </c>
      <c r="E1886" s="15" t="s">
        <v>38</v>
      </c>
      <c r="F1886" s="15" t="s">
        <v>18</v>
      </c>
      <c r="G1886" s="15" t="s">
        <v>30</v>
      </c>
      <c r="H1886" s="15" t="n">
        <v>3</v>
      </c>
      <c r="I1886" s="17" t="n">
        <v>0.2</v>
      </c>
      <c r="J1886" s="18" t="n">
        <v>85.07</v>
      </c>
      <c r="K1886" s="19" t="n">
        <v>5.53</v>
      </c>
      <c r="L1886" s="15" t="n">
        <f aca="false">YEAR(B1886)</f>
        <v>2022</v>
      </c>
      <c r="M1886" s="20" t="n">
        <f aca="false">IF(J1886&gt;0,K1886/J1886,0)</f>
        <v>0.065005289761373</v>
      </c>
    </row>
    <row r="1887" customFormat="false" ht="15" hidden="false" customHeight="false" outlineLevel="0" collapsed="false">
      <c r="A1887" s="15" t="s">
        <v>1944</v>
      </c>
      <c r="B1887" s="16" t="n">
        <v>44775</v>
      </c>
      <c r="C1887" s="15" t="s">
        <v>58</v>
      </c>
      <c r="D1887" s="15" t="s">
        <v>42</v>
      </c>
      <c r="E1887" s="15" t="s">
        <v>36</v>
      </c>
      <c r="F1887" s="15" t="s">
        <v>18</v>
      </c>
      <c r="G1887" s="15" t="s">
        <v>30</v>
      </c>
      <c r="H1887" s="15" t="n">
        <v>4</v>
      </c>
      <c r="I1887" s="17" t="n">
        <v>0.2</v>
      </c>
      <c r="J1887" s="18" t="n">
        <v>143.9</v>
      </c>
      <c r="K1887" s="19" t="n">
        <v>13.25</v>
      </c>
      <c r="L1887" s="15" t="n">
        <f aca="false">YEAR(B1887)</f>
        <v>2022</v>
      </c>
      <c r="M1887" s="20" t="n">
        <f aca="false">IF(J1887&gt;0,K1887/J1887,0)</f>
        <v>0.0920778318276581</v>
      </c>
    </row>
    <row r="1888" customFormat="false" ht="15" hidden="false" customHeight="false" outlineLevel="0" collapsed="false">
      <c r="A1888" s="15" t="s">
        <v>1945</v>
      </c>
      <c r="B1888" s="16" t="n">
        <v>45722</v>
      </c>
      <c r="C1888" s="15" t="s">
        <v>56</v>
      </c>
      <c r="D1888" s="15" t="s">
        <v>42</v>
      </c>
      <c r="E1888" s="15" t="s">
        <v>38</v>
      </c>
      <c r="F1888" s="15" t="s">
        <v>17</v>
      </c>
      <c r="G1888" s="15" t="s">
        <v>31</v>
      </c>
      <c r="H1888" s="15" t="n">
        <v>1</v>
      </c>
      <c r="I1888" s="17" t="n">
        <v>0.2</v>
      </c>
      <c r="J1888" s="18" t="n">
        <v>89.91</v>
      </c>
      <c r="K1888" s="19" t="n">
        <v>-0.44</v>
      </c>
      <c r="L1888" s="15" t="n">
        <f aca="false">YEAR(B1888)</f>
        <v>2025</v>
      </c>
      <c r="M1888" s="20" t="n">
        <f aca="false">IF(J1888&gt;0,K1888/J1888,0)</f>
        <v>-0.00489378267156045</v>
      </c>
    </row>
    <row r="1889" customFormat="false" ht="15" hidden="false" customHeight="false" outlineLevel="0" collapsed="false">
      <c r="A1889" s="15" t="s">
        <v>1946</v>
      </c>
      <c r="B1889" s="16" t="n">
        <v>45692</v>
      </c>
      <c r="C1889" s="15" t="s">
        <v>56</v>
      </c>
      <c r="D1889" s="15" t="s">
        <v>42</v>
      </c>
      <c r="E1889" s="15" t="s">
        <v>36</v>
      </c>
      <c r="F1889" s="15" t="s">
        <v>17</v>
      </c>
      <c r="G1889" s="15" t="s">
        <v>28</v>
      </c>
      <c r="H1889" s="15" t="n">
        <v>5</v>
      </c>
      <c r="I1889" s="17" t="n">
        <v>0</v>
      </c>
      <c r="J1889" s="18" t="n">
        <v>130.91</v>
      </c>
      <c r="K1889" s="19" t="n">
        <v>42.66</v>
      </c>
      <c r="L1889" s="15" t="n">
        <f aca="false">YEAR(B1889)</f>
        <v>2025</v>
      </c>
      <c r="M1889" s="20" t="n">
        <f aca="false">IF(J1889&gt;0,K1889/J1889,0)</f>
        <v>0.325872736994882</v>
      </c>
    </row>
    <row r="1890" customFormat="false" ht="15" hidden="false" customHeight="false" outlineLevel="0" collapsed="false">
      <c r="A1890" s="15" t="s">
        <v>1947</v>
      </c>
      <c r="B1890" s="16" t="n">
        <v>45593</v>
      </c>
      <c r="C1890" s="15" t="s">
        <v>56</v>
      </c>
      <c r="D1890" s="15" t="s">
        <v>43</v>
      </c>
      <c r="E1890" s="15" t="s">
        <v>36</v>
      </c>
      <c r="F1890" s="15" t="s">
        <v>17</v>
      </c>
      <c r="G1890" s="15" t="s">
        <v>28</v>
      </c>
      <c r="H1890" s="15" t="n">
        <v>4</v>
      </c>
      <c r="I1890" s="17" t="n">
        <v>0</v>
      </c>
      <c r="J1890" s="18" t="n">
        <v>111.8</v>
      </c>
      <c r="K1890" s="19" t="n">
        <v>35.56</v>
      </c>
      <c r="L1890" s="15" t="n">
        <f aca="false">YEAR(B1890)</f>
        <v>2024</v>
      </c>
      <c r="M1890" s="20" t="n">
        <f aca="false">IF(J1890&gt;0,K1890/J1890,0)</f>
        <v>0.318067978533095</v>
      </c>
    </row>
    <row r="1891" customFormat="false" ht="15" hidden="false" customHeight="false" outlineLevel="0" collapsed="false">
      <c r="A1891" s="15" t="s">
        <v>1948</v>
      </c>
      <c r="B1891" s="16" t="n">
        <v>45724</v>
      </c>
      <c r="C1891" s="15" t="s">
        <v>56</v>
      </c>
      <c r="D1891" s="15" t="s">
        <v>42</v>
      </c>
      <c r="E1891" s="15" t="s">
        <v>39</v>
      </c>
      <c r="F1891" s="15" t="s">
        <v>18</v>
      </c>
      <c r="G1891" s="15" t="s">
        <v>32</v>
      </c>
      <c r="H1891" s="15" t="n">
        <v>1</v>
      </c>
      <c r="I1891" s="17" t="n">
        <v>0.1</v>
      </c>
      <c r="J1891" s="18" t="n">
        <v>436.51</v>
      </c>
      <c r="K1891" s="19" t="n">
        <v>29.71</v>
      </c>
      <c r="L1891" s="15" t="n">
        <f aca="false">YEAR(B1891)</f>
        <v>2025</v>
      </c>
      <c r="M1891" s="20" t="n">
        <f aca="false">IF(J1891&gt;0,K1891/J1891,0)</f>
        <v>0.0680625873404962</v>
      </c>
    </row>
    <row r="1892" customFormat="false" ht="15" hidden="false" customHeight="false" outlineLevel="0" collapsed="false">
      <c r="A1892" s="15" t="s">
        <v>1949</v>
      </c>
      <c r="B1892" s="16" t="n">
        <v>45237</v>
      </c>
      <c r="C1892" s="15" t="s">
        <v>56</v>
      </c>
      <c r="D1892" s="15" t="s">
        <v>42</v>
      </c>
      <c r="E1892" s="15" t="s">
        <v>39</v>
      </c>
      <c r="F1892" s="15" t="s">
        <v>18</v>
      </c>
      <c r="G1892" s="15" t="s">
        <v>30</v>
      </c>
      <c r="H1892" s="15" t="n">
        <v>9</v>
      </c>
      <c r="I1892" s="17" t="n">
        <v>0.1</v>
      </c>
      <c r="J1892" s="18" t="n">
        <v>469.11</v>
      </c>
      <c r="K1892" s="19" t="n">
        <v>80.69</v>
      </c>
      <c r="L1892" s="15" t="n">
        <f aca="false">YEAR(B1892)</f>
        <v>2023</v>
      </c>
      <c r="M1892" s="20" t="n">
        <f aca="false">IF(J1892&gt;0,K1892/J1892,0)</f>
        <v>0.172006565624267</v>
      </c>
    </row>
    <row r="1893" customFormat="false" ht="15" hidden="false" customHeight="false" outlineLevel="0" collapsed="false">
      <c r="A1893" s="15" t="s">
        <v>1950</v>
      </c>
      <c r="B1893" s="16" t="n">
        <v>45508</v>
      </c>
      <c r="C1893" s="15" t="s">
        <v>56</v>
      </c>
      <c r="D1893" s="15" t="s">
        <v>42</v>
      </c>
      <c r="E1893" s="15" t="s">
        <v>39</v>
      </c>
      <c r="F1893" s="15" t="s">
        <v>17</v>
      </c>
      <c r="G1893" s="15" t="s">
        <v>26</v>
      </c>
      <c r="H1893" s="15" t="n">
        <v>4</v>
      </c>
      <c r="I1893" s="17" t="n">
        <v>0</v>
      </c>
      <c r="J1893" s="18" t="n">
        <v>445.89</v>
      </c>
      <c r="K1893" s="19" t="n">
        <v>56.61</v>
      </c>
      <c r="L1893" s="15" t="n">
        <f aca="false">YEAR(B1893)</f>
        <v>2024</v>
      </c>
      <c r="M1893" s="20" t="n">
        <f aca="false">IF(J1893&gt;0,K1893/J1893,0)</f>
        <v>0.126959564018031</v>
      </c>
    </row>
    <row r="1894" customFormat="false" ht="15" hidden="false" customHeight="false" outlineLevel="0" collapsed="false">
      <c r="A1894" s="15" t="s">
        <v>1951</v>
      </c>
      <c r="B1894" s="16" t="n">
        <v>45824</v>
      </c>
      <c r="C1894" s="15" t="s">
        <v>71</v>
      </c>
      <c r="D1894" s="15" t="s">
        <v>44</v>
      </c>
      <c r="E1894" s="15" t="s">
        <v>39</v>
      </c>
      <c r="F1894" s="15" t="s">
        <v>17</v>
      </c>
      <c r="G1894" s="15" t="s">
        <v>29</v>
      </c>
      <c r="H1894" s="15" t="n">
        <v>5</v>
      </c>
      <c r="I1894" s="17" t="n">
        <v>0</v>
      </c>
      <c r="J1894" s="18" t="n">
        <v>93.07</v>
      </c>
      <c r="K1894" s="19" t="n">
        <v>33.39</v>
      </c>
      <c r="L1894" s="15" t="n">
        <f aca="false">YEAR(B1894)</f>
        <v>2025</v>
      </c>
      <c r="M1894" s="20" t="n">
        <f aca="false">IF(J1894&gt;0,K1894/J1894,0)</f>
        <v>0.358762221983453</v>
      </c>
    </row>
    <row r="1895" customFormat="false" ht="15" hidden="false" customHeight="false" outlineLevel="0" collapsed="false">
      <c r="A1895" s="15" t="s">
        <v>1952</v>
      </c>
      <c r="B1895" s="16" t="n">
        <v>45264</v>
      </c>
      <c r="C1895" s="15" t="s">
        <v>71</v>
      </c>
      <c r="D1895" s="15" t="s">
        <v>42</v>
      </c>
      <c r="E1895" s="15" t="s">
        <v>38</v>
      </c>
      <c r="F1895" s="15" t="s">
        <v>17</v>
      </c>
      <c r="G1895" s="15" t="s">
        <v>29</v>
      </c>
      <c r="H1895" s="15" t="n">
        <v>2</v>
      </c>
      <c r="I1895" s="17" t="n">
        <v>0</v>
      </c>
      <c r="J1895" s="18" t="n">
        <v>31.22</v>
      </c>
      <c r="K1895" s="19" t="n">
        <v>11.9</v>
      </c>
      <c r="L1895" s="15" t="n">
        <f aca="false">YEAR(B1895)</f>
        <v>2023</v>
      </c>
      <c r="M1895" s="20" t="n">
        <f aca="false">IF(J1895&gt;0,K1895/J1895,0)</f>
        <v>0.381165919282511</v>
      </c>
    </row>
    <row r="1896" customFormat="false" ht="15" hidden="false" customHeight="false" outlineLevel="0" collapsed="false">
      <c r="A1896" s="15" t="s">
        <v>1953</v>
      </c>
      <c r="B1896" s="16" t="n">
        <v>44634</v>
      </c>
      <c r="C1896" s="15" t="s">
        <v>58</v>
      </c>
      <c r="D1896" s="15" t="s">
        <v>42</v>
      </c>
      <c r="E1896" s="15" t="s">
        <v>37</v>
      </c>
      <c r="F1896" s="15" t="s">
        <v>17</v>
      </c>
      <c r="G1896" s="15" t="s">
        <v>26</v>
      </c>
      <c r="H1896" s="15" t="n">
        <v>3</v>
      </c>
      <c r="I1896" s="17" t="n">
        <v>0.2</v>
      </c>
      <c r="J1896" s="18" t="n">
        <v>167.47</v>
      </c>
      <c r="K1896" s="19" t="n">
        <v>-21.82</v>
      </c>
      <c r="L1896" s="15" t="n">
        <f aca="false">YEAR(B1896)</f>
        <v>2022</v>
      </c>
      <c r="M1896" s="20" t="n">
        <f aca="false">IF(J1896&gt;0,K1896/J1896,0)</f>
        <v>-0.130291992595689</v>
      </c>
    </row>
    <row r="1897" customFormat="false" ht="15" hidden="false" customHeight="false" outlineLevel="0" collapsed="false">
      <c r="A1897" s="15" t="s">
        <v>1954</v>
      </c>
      <c r="B1897" s="16" t="n">
        <v>45397</v>
      </c>
      <c r="C1897" s="15" t="s">
        <v>56</v>
      </c>
      <c r="D1897" s="15" t="s">
        <v>42</v>
      </c>
      <c r="E1897" s="15" t="s">
        <v>36</v>
      </c>
      <c r="F1897" s="15" t="s">
        <v>17</v>
      </c>
      <c r="G1897" s="15" t="s">
        <v>28</v>
      </c>
      <c r="H1897" s="15" t="n">
        <v>4</v>
      </c>
      <c r="I1897" s="17" t="n">
        <v>0</v>
      </c>
      <c r="J1897" s="18" t="n">
        <v>99.6</v>
      </c>
      <c r="K1897" s="19" t="n">
        <v>27.92</v>
      </c>
      <c r="L1897" s="15" t="n">
        <f aca="false">YEAR(B1897)</f>
        <v>2024</v>
      </c>
      <c r="M1897" s="20" t="n">
        <f aca="false">IF(J1897&gt;0,K1897/J1897,0)</f>
        <v>0.280321285140562</v>
      </c>
    </row>
    <row r="1898" customFormat="false" ht="15" hidden="false" customHeight="false" outlineLevel="0" collapsed="false">
      <c r="A1898" s="15" t="s">
        <v>1955</v>
      </c>
      <c r="B1898" s="16" t="n">
        <v>44640</v>
      </c>
      <c r="C1898" s="15" t="s">
        <v>56</v>
      </c>
      <c r="D1898" s="15" t="s">
        <v>43</v>
      </c>
      <c r="E1898" s="15" t="s">
        <v>39</v>
      </c>
      <c r="F1898" s="15" t="s">
        <v>16</v>
      </c>
      <c r="G1898" s="15" t="s">
        <v>27</v>
      </c>
      <c r="H1898" s="15" t="n">
        <v>4</v>
      </c>
      <c r="I1898" s="17" t="n">
        <v>0.15</v>
      </c>
      <c r="J1898" s="18" t="n">
        <v>283.6</v>
      </c>
      <c r="K1898" s="19" t="n">
        <v>-6.48</v>
      </c>
      <c r="L1898" s="15" t="n">
        <f aca="false">YEAR(B1898)</f>
        <v>2022</v>
      </c>
      <c r="M1898" s="20" t="n">
        <f aca="false">IF(J1898&gt;0,K1898/J1898,0)</f>
        <v>-0.0228490832157969</v>
      </c>
    </row>
    <row r="1899" customFormat="false" ht="15" hidden="false" customHeight="false" outlineLevel="0" collapsed="false">
      <c r="A1899" s="15" t="s">
        <v>1956</v>
      </c>
      <c r="B1899" s="16" t="n">
        <v>45153</v>
      </c>
      <c r="C1899" s="15" t="s">
        <v>56</v>
      </c>
      <c r="D1899" s="15" t="s">
        <v>42</v>
      </c>
      <c r="E1899" s="15" t="s">
        <v>39</v>
      </c>
      <c r="F1899" s="15" t="s">
        <v>17</v>
      </c>
      <c r="G1899" s="15" t="s">
        <v>28</v>
      </c>
      <c r="H1899" s="15" t="n">
        <v>1</v>
      </c>
      <c r="I1899" s="17" t="n">
        <v>0.5</v>
      </c>
      <c r="J1899" s="18" t="n">
        <v>13.53</v>
      </c>
      <c r="K1899" s="19" t="n">
        <v>-1.14</v>
      </c>
      <c r="L1899" s="15" t="n">
        <f aca="false">YEAR(B1899)</f>
        <v>2023</v>
      </c>
      <c r="M1899" s="20" t="n">
        <f aca="false">IF(J1899&gt;0,K1899/J1899,0)</f>
        <v>-0.0842572062084257</v>
      </c>
    </row>
    <row r="1900" customFormat="false" ht="15" hidden="false" customHeight="false" outlineLevel="0" collapsed="false">
      <c r="A1900" s="15" t="s">
        <v>1957</v>
      </c>
      <c r="B1900" s="16" t="n">
        <v>45745</v>
      </c>
      <c r="C1900" s="15" t="s">
        <v>68</v>
      </c>
      <c r="D1900" s="15" t="s">
        <v>43</v>
      </c>
      <c r="E1900" s="15" t="s">
        <v>36</v>
      </c>
      <c r="F1900" s="15" t="s">
        <v>17</v>
      </c>
      <c r="G1900" s="15" t="s">
        <v>31</v>
      </c>
      <c r="H1900" s="15" t="n">
        <v>4</v>
      </c>
      <c r="I1900" s="17" t="n">
        <v>0.05</v>
      </c>
      <c r="J1900" s="18" t="n">
        <v>556.76</v>
      </c>
      <c r="K1900" s="19" t="n">
        <v>93.43</v>
      </c>
      <c r="L1900" s="15" t="n">
        <f aca="false">YEAR(B1900)</f>
        <v>2025</v>
      </c>
      <c r="M1900" s="20" t="n">
        <f aca="false">IF(J1900&gt;0,K1900/J1900,0)</f>
        <v>0.167810187513471</v>
      </c>
    </row>
    <row r="1901" customFormat="false" ht="15" hidden="false" customHeight="false" outlineLevel="0" collapsed="false">
      <c r="A1901" s="15" t="s">
        <v>1958</v>
      </c>
      <c r="B1901" s="16" t="n">
        <v>45549</v>
      </c>
      <c r="C1901" s="15" t="s">
        <v>58</v>
      </c>
      <c r="D1901" s="15" t="s">
        <v>43</v>
      </c>
      <c r="E1901" s="15" t="s">
        <v>39</v>
      </c>
      <c r="F1901" s="15" t="s">
        <v>17</v>
      </c>
      <c r="G1901" s="15" t="s">
        <v>26</v>
      </c>
      <c r="H1901" s="15" t="n">
        <v>2</v>
      </c>
      <c r="I1901" s="17" t="n">
        <v>0.2</v>
      </c>
      <c r="J1901" s="18" t="n">
        <v>149.91</v>
      </c>
      <c r="K1901" s="19" t="n">
        <v>-7.14</v>
      </c>
      <c r="L1901" s="15" t="n">
        <f aca="false">YEAR(B1901)</f>
        <v>2024</v>
      </c>
      <c r="M1901" s="20" t="n">
        <f aca="false">IF(J1901&gt;0,K1901/J1901,0)</f>
        <v>-0.0476285771462878</v>
      </c>
    </row>
    <row r="1902" customFormat="false" ht="15" hidden="false" customHeight="false" outlineLevel="0" collapsed="false">
      <c r="A1902" s="15" t="s">
        <v>1959</v>
      </c>
      <c r="B1902" s="16" t="n">
        <v>45649</v>
      </c>
      <c r="C1902" s="15" t="s">
        <v>56</v>
      </c>
      <c r="D1902" s="15" t="s">
        <v>42</v>
      </c>
      <c r="E1902" s="15" t="s">
        <v>39</v>
      </c>
      <c r="F1902" s="15" t="s">
        <v>18</v>
      </c>
      <c r="G1902" s="15" t="s">
        <v>24</v>
      </c>
      <c r="H1902" s="15" t="n">
        <v>5</v>
      </c>
      <c r="I1902" s="17" t="n">
        <v>0.1</v>
      </c>
      <c r="J1902" s="18" t="n">
        <v>2903.43</v>
      </c>
      <c r="K1902" s="19" t="n">
        <v>-139.37</v>
      </c>
      <c r="L1902" s="15" t="n">
        <f aca="false">YEAR(B1902)</f>
        <v>2024</v>
      </c>
      <c r="M1902" s="20" t="n">
        <f aca="false">IF(J1902&gt;0,K1902/J1902,0)</f>
        <v>-0.0480018460923804</v>
      </c>
    </row>
    <row r="1903" customFormat="false" ht="15" hidden="false" customHeight="false" outlineLevel="0" collapsed="false">
      <c r="A1903" s="15" t="s">
        <v>1960</v>
      </c>
      <c r="B1903" s="16" t="n">
        <v>44959</v>
      </c>
      <c r="C1903" s="15" t="s">
        <v>56</v>
      </c>
      <c r="D1903" s="15" t="s">
        <v>43</v>
      </c>
      <c r="E1903" s="15" t="s">
        <v>37</v>
      </c>
      <c r="F1903" s="15" t="s">
        <v>16</v>
      </c>
      <c r="G1903" s="15" t="s">
        <v>25</v>
      </c>
      <c r="H1903" s="15" t="n">
        <v>4</v>
      </c>
      <c r="I1903" s="17" t="n">
        <v>0</v>
      </c>
      <c r="J1903" s="18" t="n">
        <v>1214.87</v>
      </c>
      <c r="K1903" s="19" t="n">
        <v>93.5</v>
      </c>
      <c r="L1903" s="15" t="n">
        <f aca="false">YEAR(B1903)</f>
        <v>2023</v>
      </c>
      <c r="M1903" s="20" t="n">
        <f aca="false">IF(J1903&gt;0,K1903/J1903,0)</f>
        <v>0.0769629672310618</v>
      </c>
    </row>
    <row r="1904" customFormat="false" ht="15" hidden="false" customHeight="false" outlineLevel="0" collapsed="false">
      <c r="A1904" s="15" t="s">
        <v>1961</v>
      </c>
      <c r="B1904" s="16" t="n">
        <v>45579</v>
      </c>
      <c r="C1904" s="15" t="s">
        <v>56</v>
      </c>
      <c r="D1904" s="15" t="s">
        <v>43</v>
      </c>
      <c r="E1904" s="15" t="s">
        <v>36</v>
      </c>
      <c r="F1904" s="15" t="s">
        <v>18</v>
      </c>
      <c r="G1904" s="15" t="s">
        <v>32</v>
      </c>
      <c r="H1904" s="15" t="n">
        <v>4</v>
      </c>
      <c r="I1904" s="17" t="n">
        <v>0</v>
      </c>
      <c r="J1904" s="18" t="n">
        <v>1788.69</v>
      </c>
      <c r="K1904" s="19" t="n">
        <v>226.74</v>
      </c>
      <c r="L1904" s="15" t="n">
        <f aca="false">YEAR(B1904)</f>
        <v>2024</v>
      </c>
      <c r="M1904" s="20" t="n">
        <f aca="false">IF(J1904&gt;0,K1904/J1904,0)</f>
        <v>0.126763161867065</v>
      </c>
    </row>
    <row r="1905" customFormat="false" ht="15" hidden="false" customHeight="false" outlineLevel="0" collapsed="false">
      <c r="A1905" s="15" t="s">
        <v>1962</v>
      </c>
      <c r="B1905" s="16" t="n">
        <v>45060</v>
      </c>
      <c r="C1905" s="15" t="s">
        <v>58</v>
      </c>
      <c r="D1905" s="15" t="s">
        <v>42</v>
      </c>
      <c r="E1905" s="15" t="s">
        <v>37</v>
      </c>
      <c r="F1905" s="15" t="s">
        <v>17</v>
      </c>
      <c r="G1905" s="15" t="s">
        <v>29</v>
      </c>
      <c r="H1905" s="15" t="n">
        <v>3</v>
      </c>
      <c r="I1905" s="17" t="n">
        <v>0.05</v>
      </c>
      <c r="J1905" s="18" t="n">
        <v>45.79</v>
      </c>
      <c r="K1905" s="19" t="n">
        <v>14.06</v>
      </c>
      <c r="L1905" s="15" t="n">
        <f aca="false">YEAR(B1905)</f>
        <v>2023</v>
      </c>
      <c r="M1905" s="20" t="n">
        <f aca="false">IF(J1905&gt;0,K1905/J1905,0)</f>
        <v>0.307053941908714</v>
      </c>
    </row>
    <row r="1906" customFormat="false" ht="15" hidden="false" customHeight="false" outlineLevel="0" collapsed="false">
      <c r="A1906" s="15" t="s">
        <v>1963</v>
      </c>
      <c r="B1906" s="16" t="n">
        <v>45785</v>
      </c>
      <c r="C1906" s="15" t="s">
        <v>56</v>
      </c>
      <c r="D1906" s="15" t="s">
        <v>42</v>
      </c>
      <c r="E1906" s="15" t="s">
        <v>37</v>
      </c>
      <c r="F1906" s="15" t="s">
        <v>17</v>
      </c>
      <c r="G1906" s="15" t="s">
        <v>26</v>
      </c>
      <c r="H1906" s="15" t="n">
        <v>4</v>
      </c>
      <c r="I1906" s="17" t="n">
        <v>0</v>
      </c>
      <c r="J1906" s="18" t="n">
        <v>323.19</v>
      </c>
      <c r="K1906" s="19" t="n">
        <v>26.35</v>
      </c>
      <c r="L1906" s="15" t="n">
        <f aca="false">YEAR(B1906)</f>
        <v>2025</v>
      </c>
      <c r="M1906" s="20" t="n">
        <f aca="false">IF(J1906&gt;0,K1906/J1906,0)</f>
        <v>0.0815309879637365</v>
      </c>
    </row>
    <row r="1907" customFormat="false" ht="15" hidden="false" customHeight="false" outlineLevel="0" collapsed="false">
      <c r="A1907" s="15" t="s">
        <v>1964</v>
      </c>
      <c r="B1907" s="16" t="n">
        <v>45275</v>
      </c>
      <c r="C1907" s="15" t="s">
        <v>71</v>
      </c>
      <c r="D1907" s="15" t="s">
        <v>42</v>
      </c>
      <c r="E1907" s="15" t="s">
        <v>37</v>
      </c>
      <c r="F1907" s="15" t="s">
        <v>17</v>
      </c>
      <c r="G1907" s="15" t="s">
        <v>28</v>
      </c>
      <c r="H1907" s="15" t="n">
        <v>2</v>
      </c>
      <c r="I1907" s="17" t="n">
        <v>0</v>
      </c>
      <c r="J1907" s="18" t="n">
        <v>51.61</v>
      </c>
      <c r="K1907" s="19" t="n">
        <v>16.66</v>
      </c>
      <c r="L1907" s="15" t="n">
        <f aca="false">YEAR(B1907)</f>
        <v>2023</v>
      </c>
      <c r="M1907" s="20" t="n">
        <f aca="false">IF(J1907&gt;0,K1907/J1907,0)</f>
        <v>0.322805657818252</v>
      </c>
    </row>
    <row r="1908" customFormat="false" ht="15" hidden="false" customHeight="false" outlineLevel="0" collapsed="false">
      <c r="A1908" s="15" t="s">
        <v>1965</v>
      </c>
      <c r="B1908" s="16" t="n">
        <v>44743</v>
      </c>
      <c r="C1908" s="15" t="s">
        <v>56</v>
      </c>
      <c r="D1908" s="15" t="s">
        <v>42</v>
      </c>
      <c r="E1908" s="15" t="s">
        <v>36</v>
      </c>
      <c r="F1908" s="15" t="s">
        <v>18</v>
      </c>
      <c r="G1908" s="15" t="s">
        <v>30</v>
      </c>
      <c r="H1908" s="15" t="n">
        <v>4</v>
      </c>
      <c r="I1908" s="17" t="n">
        <v>0</v>
      </c>
      <c r="J1908" s="18" t="n">
        <v>189.3</v>
      </c>
      <c r="K1908" s="19" t="n">
        <v>72.37</v>
      </c>
      <c r="L1908" s="15" t="n">
        <f aca="false">YEAR(B1908)</f>
        <v>2022</v>
      </c>
      <c r="M1908" s="20" t="n">
        <f aca="false">IF(J1908&gt;0,K1908/J1908,0)</f>
        <v>0.38230322239831</v>
      </c>
    </row>
    <row r="1909" customFormat="false" ht="15" hidden="false" customHeight="false" outlineLevel="0" collapsed="false">
      <c r="A1909" s="15" t="s">
        <v>1966</v>
      </c>
      <c r="B1909" s="16" t="n">
        <v>45536</v>
      </c>
      <c r="C1909" s="15" t="s">
        <v>71</v>
      </c>
      <c r="D1909" s="15" t="s">
        <v>44</v>
      </c>
      <c r="E1909" s="15" t="s">
        <v>38</v>
      </c>
      <c r="F1909" s="15" t="s">
        <v>17</v>
      </c>
      <c r="G1909" s="15" t="s">
        <v>26</v>
      </c>
      <c r="H1909" s="15" t="n">
        <v>2</v>
      </c>
      <c r="I1909" s="17" t="n">
        <v>0.1</v>
      </c>
      <c r="J1909" s="18" t="n">
        <v>124.81</v>
      </c>
      <c r="K1909" s="19" t="n">
        <v>4.54</v>
      </c>
      <c r="L1909" s="15" t="n">
        <f aca="false">YEAR(B1909)</f>
        <v>2024</v>
      </c>
      <c r="M1909" s="20" t="n">
        <f aca="false">IF(J1909&gt;0,K1909/J1909,0)</f>
        <v>0.036375290441471</v>
      </c>
    </row>
    <row r="1910" customFormat="false" ht="15" hidden="false" customHeight="false" outlineLevel="0" collapsed="false">
      <c r="A1910" s="15" t="s">
        <v>1967</v>
      </c>
      <c r="B1910" s="16" t="n">
        <v>45988</v>
      </c>
      <c r="C1910" s="15" t="s">
        <v>71</v>
      </c>
      <c r="D1910" s="15" t="s">
        <v>42</v>
      </c>
      <c r="E1910" s="15" t="s">
        <v>36</v>
      </c>
      <c r="F1910" s="15" t="s">
        <v>17</v>
      </c>
      <c r="G1910" s="15" t="s">
        <v>31</v>
      </c>
      <c r="H1910" s="15" t="n">
        <v>3</v>
      </c>
      <c r="I1910" s="17" t="n">
        <v>0.2</v>
      </c>
      <c r="J1910" s="18" t="n">
        <v>264.22</v>
      </c>
      <c r="K1910" s="19" t="n">
        <v>21.36</v>
      </c>
      <c r="L1910" s="15" t="n">
        <f aca="false">YEAR(B1910)</f>
        <v>2025</v>
      </c>
      <c r="M1910" s="20" t="n">
        <f aca="false">IF(J1910&gt;0,K1910/J1910,0)</f>
        <v>0.0808417228067519</v>
      </c>
    </row>
    <row r="1911" customFormat="false" ht="15" hidden="false" customHeight="false" outlineLevel="0" collapsed="false">
      <c r="A1911" s="15" t="s">
        <v>1968</v>
      </c>
      <c r="B1911" s="16" t="n">
        <v>45528</v>
      </c>
      <c r="C1911" s="15" t="s">
        <v>56</v>
      </c>
      <c r="D1911" s="15" t="s">
        <v>42</v>
      </c>
      <c r="E1911" s="15" t="s">
        <v>37</v>
      </c>
      <c r="F1911" s="15" t="s">
        <v>17</v>
      </c>
      <c r="G1911" s="15" t="s">
        <v>29</v>
      </c>
      <c r="H1911" s="15" t="n">
        <v>4</v>
      </c>
      <c r="I1911" s="17" t="n">
        <v>0.3</v>
      </c>
      <c r="J1911" s="18" t="n">
        <v>45.75</v>
      </c>
      <c r="K1911" s="19" t="n">
        <v>4.67</v>
      </c>
      <c r="L1911" s="15" t="n">
        <f aca="false">YEAR(B1911)</f>
        <v>2024</v>
      </c>
      <c r="M1911" s="20" t="n">
        <f aca="false">IF(J1911&gt;0,K1911/J1911,0)</f>
        <v>0.10207650273224</v>
      </c>
    </row>
    <row r="1912" customFormat="false" ht="15" hidden="false" customHeight="false" outlineLevel="0" collapsed="false">
      <c r="A1912" s="15" t="s">
        <v>1969</v>
      </c>
      <c r="B1912" s="16" t="n">
        <v>44923</v>
      </c>
      <c r="C1912" s="15" t="s">
        <v>56</v>
      </c>
      <c r="D1912" s="15" t="s">
        <v>43</v>
      </c>
      <c r="E1912" s="15" t="s">
        <v>37</v>
      </c>
      <c r="F1912" s="15" t="s">
        <v>17</v>
      </c>
      <c r="G1912" s="15" t="s">
        <v>29</v>
      </c>
      <c r="H1912" s="15" t="n">
        <v>5</v>
      </c>
      <c r="I1912" s="17" t="n">
        <v>0</v>
      </c>
      <c r="J1912" s="18" t="n">
        <v>112.6</v>
      </c>
      <c r="K1912" s="19" t="n">
        <v>45.47</v>
      </c>
      <c r="L1912" s="15" t="n">
        <f aca="false">YEAR(B1912)</f>
        <v>2022</v>
      </c>
      <c r="M1912" s="20" t="n">
        <f aca="false">IF(J1912&gt;0,K1912/J1912,0)</f>
        <v>0.403818827708703</v>
      </c>
    </row>
    <row r="1913" customFormat="false" ht="15" hidden="false" customHeight="false" outlineLevel="0" collapsed="false">
      <c r="A1913" s="15" t="s">
        <v>1970</v>
      </c>
      <c r="B1913" s="16" t="n">
        <v>45373</v>
      </c>
      <c r="C1913" s="15" t="s">
        <v>56</v>
      </c>
      <c r="D1913" s="15" t="s">
        <v>43</v>
      </c>
      <c r="E1913" s="15" t="s">
        <v>36</v>
      </c>
      <c r="F1913" s="15" t="s">
        <v>18</v>
      </c>
      <c r="G1913" s="15" t="s">
        <v>32</v>
      </c>
      <c r="H1913" s="15" t="n">
        <v>3</v>
      </c>
      <c r="I1913" s="17" t="n">
        <v>0</v>
      </c>
      <c r="J1913" s="18" t="n">
        <v>1059.98</v>
      </c>
      <c r="K1913" s="19" t="n">
        <v>169.5</v>
      </c>
      <c r="L1913" s="15" t="n">
        <f aca="false">YEAR(B1913)</f>
        <v>2024</v>
      </c>
      <c r="M1913" s="20" t="n">
        <f aca="false">IF(J1913&gt;0,K1913/J1913,0)</f>
        <v>0.159908677522217</v>
      </c>
    </row>
    <row r="1914" customFormat="false" ht="15" hidden="false" customHeight="false" outlineLevel="0" collapsed="false">
      <c r="A1914" s="15" t="s">
        <v>1971</v>
      </c>
      <c r="B1914" s="16" t="n">
        <v>44695</v>
      </c>
      <c r="C1914" s="15" t="s">
        <v>56</v>
      </c>
      <c r="D1914" s="15" t="s">
        <v>43</v>
      </c>
      <c r="E1914" s="15" t="s">
        <v>37</v>
      </c>
      <c r="F1914" s="15" t="s">
        <v>17</v>
      </c>
      <c r="G1914" s="15" t="s">
        <v>28</v>
      </c>
      <c r="H1914" s="15" t="n">
        <v>1</v>
      </c>
      <c r="I1914" s="17" t="n">
        <v>0.2</v>
      </c>
      <c r="J1914" s="18" t="n">
        <v>26.29</v>
      </c>
      <c r="K1914" s="19" t="n">
        <v>3.51</v>
      </c>
      <c r="L1914" s="15" t="n">
        <f aca="false">YEAR(B1914)</f>
        <v>2022</v>
      </c>
      <c r="M1914" s="20" t="n">
        <f aca="false">IF(J1914&gt;0,K1914/J1914,0)</f>
        <v>0.133510840623811</v>
      </c>
    </row>
    <row r="1915" customFormat="false" ht="15" hidden="false" customHeight="false" outlineLevel="0" collapsed="false">
      <c r="A1915" s="15" t="s">
        <v>1972</v>
      </c>
      <c r="B1915" s="16" t="n">
        <v>46002</v>
      </c>
      <c r="C1915" s="15" t="s">
        <v>68</v>
      </c>
      <c r="D1915" s="15" t="s">
        <v>42</v>
      </c>
      <c r="E1915" s="15" t="s">
        <v>37</v>
      </c>
      <c r="F1915" s="15" t="s">
        <v>17</v>
      </c>
      <c r="G1915" s="15" t="s">
        <v>26</v>
      </c>
      <c r="H1915" s="15" t="n">
        <v>3</v>
      </c>
      <c r="I1915" s="17" t="n">
        <v>0.2</v>
      </c>
      <c r="J1915" s="18" t="n">
        <v>183.25</v>
      </c>
      <c r="K1915" s="19" t="n">
        <v>-4.93</v>
      </c>
      <c r="L1915" s="15" t="n">
        <f aca="false">YEAR(B1915)</f>
        <v>2025</v>
      </c>
      <c r="M1915" s="20" t="n">
        <f aca="false">IF(J1915&gt;0,K1915/J1915,0)</f>
        <v>-0.0269031377899045</v>
      </c>
    </row>
    <row r="1916" customFormat="false" ht="15" hidden="false" customHeight="false" outlineLevel="0" collapsed="false">
      <c r="A1916" s="15" t="s">
        <v>1973</v>
      </c>
      <c r="B1916" s="16" t="n">
        <v>45867</v>
      </c>
      <c r="C1916" s="15" t="s">
        <v>71</v>
      </c>
      <c r="D1916" s="15" t="s">
        <v>42</v>
      </c>
      <c r="E1916" s="15" t="s">
        <v>36</v>
      </c>
      <c r="F1916" s="15" t="s">
        <v>18</v>
      </c>
      <c r="G1916" s="15" t="s">
        <v>30</v>
      </c>
      <c r="H1916" s="15" t="n">
        <v>4</v>
      </c>
      <c r="I1916" s="17" t="n">
        <v>0</v>
      </c>
      <c r="J1916" s="18" t="n">
        <v>203.28</v>
      </c>
      <c r="K1916" s="19" t="n">
        <v>69.1</v>
      </c>
      <c r="L1916" s="15" t="n">
        <f aca="false">YEAR(B1916)</f>
        <v>2025</v>
      </c>
      <c r="M1916" s="20" t="n">
        <f aca="false">IF(J1916&gt;0,K1916/J1916,0)</f>
        <v>0.339925226288863</v>
      </c>
    </row>
    <row r="1917" customFormat="false" ht="15" hidden="false" customHeight="false" outlineLevel="0" collapsed="false">
      <c r="A1917" s="15" t="s">
        <v>1974</v>
      </c>
      <c r="B1917" s="16" t="n">
        <v>45918</v>
      </c>
      <c r="C1917" s="15" t="s">
        <v>56</v>
      </c>
      <c r="D1917" s="15" t="s">
        <v>42</v>
      </c>
      <c r="E1917" s="15" t="s">
        <v>39</v>
      </c>
      <c r="F1917" s="15" t="s">
        <v>18</v>
      </c>
      <c r="G1917" s="15" t="s">
        <v>30</v>
      </c>
      <c r="H1917" s="15" t="n">
        <v>3</v>
      </c>
      <c r="I1917" s="17" t="n">
        <v>0.1</v>
      </c>
      <c r="J1917" s="18" t="n">
        <v>129.74</v>
      </c>
      <c r="K1917" s="19" t="n">
        <v>27.1</v>
      </c>
      <c r="L1917" s="15" t="n">
        <f aca="false">YEAR(B1917)</f>
        <v>2025</v>
      </c>
      <c r="M1917" s="20" t="n">
        <f aca="false">IF(J1917&gt;0,K1917/J1917,0)</f>
        <v>0.20887929705565</v>
      </c>
    </row>
    <row r="1918" customFormat="false" ht="15" hidden="false" customHeight="false" outlineLevel="0" collapsed="false">
      <c r="A1918" s="15" t="s">
        <v>1975</v>
      </c>
      <c r="B1918" s="16" t="n">
        <v>45226</v>
      </c>
      <c r="C1918" s="15" t="s">
        <v>71</v>
      </c>
      <c r="D1918" s="15" t="s">
        <v>42</v>
      </c>
      <c r="E1918" s="15" t="s">
        <v>36</v>
      </c>
      <c r="F1918" s="15" t="s">
        <v>17</v>
      </c>
      <c r="G1918" s="15" t="s">
        <v>29</v>
      </c>
      <c r="H1918" s="15" t="n">
        <v>2</v>
      </c>
      <c r="I1918" s="17" t="n">
        <v>0</v>
      </c>
      <c r="J1918" s="18" t="n">
        <v>30.17</v>
      </c>
      <c r="K1918" s="19" t="n">
        <v>9.97</v>
      </c>
      <c r="L1918" s="15" t="n">
        <f aca="false">YEAR(B1918)</f>
        <v>2023</v>
      </c>
      <c r="M1918" s="20" t="n">
        <f aca="false">IF(J1918&gt;0,K1918/J1918,0)</f>
        <v>0.330460722572091</v>
      </c>
    </row>
    <row r="1919" customFormat="false" ht="15" hidden="false" customHeight="false" outlineLevel="0" collapsed="false">
      <c r="A1919" s="15" t="s">
        <v>1976</v>
      </c>
      <c r="B1919" s="16" t="n">
        <v>45607</v>
      </c>
      <c r="C1919" s="15" t="s">
        <v>56</v>
      </c>
      <c r="D1919" s="15" t="s">
        <v>44</v>
      </c>
      <c r="E1919" s="15" t="s">
        <v>36</v>
      </c>
      <c r="F1919" s="15" t="s">
        <v>17</v>
      </c>
      <c r="G1919" s="15" t="s">
        <v>28</v>
      </c>
      <c r="H1919" s="15" t="n">
        <v>4</v>
      </c>
      <c r="I1919" s="17" t="n">
        <v>0.05</v>
      </c>
      <c r="J1919" s="18" t="n">
        <v>89.11</v>
      </c>
      <c r="K1919" s="19" t="n">
        <v>27.61</v>
      </c>
      <c r="L1919" s="15" t="n">
        <f aca="false">YEAR(B1919)</f>
        <v>2024</v>
      </c>
      <c r="M1919" s="20" t="n">
        <f aca="false">IF(J1919&gt;0,K1919/J1919,0)</f>
        <v>0.309841768600606</v>
      </c>
    </row>
    <row r="1920" customFormat="false" ht="15" hidden="false" customHeight="false" outlineLevel="0" collapsed="false">
      <c r="A1920" s="15" t="s">
        <v>1977</v>
      </c>
      <c r="B1920" s="16" t="n">
        <v>45414</v>
      </c>
      <c r="C1920" s="15" t="s">
        <v>56</v>
      </c>
      <c r="D1920" s="15" t="s">
        <v>42</v>
      </c>
      <c r="E1920" s="15" t="s">
        <v>39</v>
      </c>
      <c r="F1920" s="15" t="s">
        <v>17</v>
      </c>
      <c r="G1920" s="15" t="s">
        <v>31</v>
      </c>
      <c r="H1920" s="15" t="n">
        <v>4</v>
      </c>
      <c r="I1920" s="17" t="n">
        <v>0.1</v>
      </c>
      <c r="J1920" s="18" t="n">
        <v>408.93</v>
      </c>
      <c r="K1920" s="19" t="n">
        <v>54.64</v>
      </c>
      <c r="L1920" s="15" t="n">
        <f aca="false">YEAR(B1920)</f>
        <v>2024</v>
      </c>
      <c r="M1920" s="20" t="n">
        <f aca="false">IF(J1920&gt;0,K1920/J1920,0)</f>
        <v>0.133617000464627</v>
      </c>
    </row>
    <row r="1921" customFormat="false" ht="15" hidden="false" customHeight="false" outlineLevel="0" collapsed="false">
      <c r="A1921" s="15" t="s">
        <v>1978</v>
      </c>
      <c r="B1921" s="16" t="n">
        <v>44926</v>
      </c>
      <c r="C1921" s="15" t="s">
        <v>56</v>
      </c>
      <c r="D1921" s="15" t="s">
        <v>43</v>
      </c>
      <c r="E1921" s="15" t="s">
        <v>37</v>
      </c>
      <c r="F1921" s="15" t="s">
        <v>17</v>
      </c>
      <c r="G1921" s="15" t="s">
        <v>29</v>
      </c>
      <c r="H1921" s="15" t="n">
        <v>6</v>
      </c>
      <c r="I1921" s="17" t="n">
        <v>0.15</v>
      </c>
      <c r="J1921" s="18" t="n">
        <v>99.86</v>
      </c>
      <c r="K1921" s="19" t="n">
        <v>20.73</v>
      </c>
      <c r="L1921" s="15" t="n">
        <f aca="false">YEAR(B1921)</f>
        <v>2022</v>
      </c>
      <c r="M1921" s="20" t="n">
        <f aca="false">IF(J1921&gt;0,K1921/J1921,0)</f>
        <v>0.207590626877629</v>
      </c>
    </row>
    <row r="1922" customFormat="false" ht="15" hidden="false" customHeight="false" outlineLevel="0" collapsed="false">
      <c r="A1922" s="15" t="s">
        <v>1979</v>
      </c>
      <c r="B1922" s="16" t="n">
        <v>45043</v>
      </c>
      <c r="C1922" s="15" t="s">
        <v>56</v>
      </c>
      <c r="D1922" s="15" t="s">
        <v>43</v>
      </c>
      <c r="E1922" s="15" t="s">
        <v>37</v>
      </c>
      <c r="F1922" s="15" t="s">
        <v>18</v>
      </c>
      <c r="G1922" s="15" t="s">
        <v>30</v>
      </c>
      <c r="H1922" s="15" t="n">
        <v>5</v>
      </c>
      <c r="I1922" s="17" t="n">
        <v>0.2</v>
      </c>
      <c r="J1922" s="18" t="n">
        <v>195.84</v>
      </c>
      <c r="K1922" s="19" t="n">
        <v>25.68</v>
      </c>
      <c r="L1922" s="15" t="n">
        <f aca="false">YEAR(B1922)</f>
        <v>2023</v>
      </c>
      <c r="M1922" s="20" t="n">
        <f aca="false">IF(J1922&gt;0,K1922/J1922,0)</f>
        <v>0.131127450980392</v>
      </c>
    </row>
    <row r="1923" customFormat="false" ht="15" hidden="false" customHeight="false" outlineLevel="0" collapsed="false">
      <c r="A1923" s="15" t="s">
        <v>1980</v>
      </c>
      <c r="B1923" s="16" t="n">
        <v>45172</v>
      </c>
      <c r="C1923" s="15" t="s">
        <v>56</v>
      </c>
      <c r="D1923" s="15" t="s">
        <v>44</v>
      </c>
      <c r="E1923" s="15" t="s">
        <v>37</v>
      </c>
      <c r="F1923" s="15" t="s">
        <v>18</v>
      </c>
      <c r="G1923" s="15" t="s">
        <v>30</v>
      </c>
      <c r="H1923" s="15" t="n">
        <v>6</v>
      </c>
      <c r="I1923" s="17" t="n">
        <v>0.5</v>
      </c>
      <c r="J1923" s="18" t="n">
        <v>131.46</v>
      </c>
      <c r="K1923" s="19" t="n">
        <v>-18.68</v>
      </c>
      <c r="L1923" s="15" t="n">
        <f aca="false">YEAR(B1923)</f>
        <v>2023</v>
      </c>
      <c r="M1923" s="20" t="n">
        <f aca="false">IF(J1923&gt;0,K1923/J1923,0)</f>
        <v>-0.142096455195497</v>
      </c>
    </row>
    <row r="1924" customFormat="false" ht="15" hidden="false" customHeight="false" outlineLevel="0" collapsed="false">
      <c r="A1924" s="15" t="s">
        <v>1981</v>
      </c>
      <c r="B1924" s="16" t="n">
        <v>45362</v>
      </c>
      <c r="C1924" s="15" t="s">
        <v>71</v>
      </c>
      <c r="D1924" s="15" t="s">
        <v>43</v>
      </c>
      <c r="E1924" s="15" t="s">
        <v>37</v>
      </c>
      <c r="F1924" s="15" t="s">
        <v>17</v>
      </c>
      <c r="G1924" s="15" t="s">
        <v>28</v>
      </c>
      <c r="H1924" s="15" t="n">
        <v>1</v>
      </c>
      <c r="I1924" s="17" t="n">
        <v>0</v>
      </c>
      <c r="J1924" s="18" t="n">
        <v>29.44</v>
      </c>
      <c r="K1924" s="19" t="n">
        <v>8.13</v>
      </c>
      <c r="L1924" s="15" t="n">
        <f aca="false">YEAR(B1924)</f>
        <v>2024</v>
      </c>
      <c r="M1924" s="20" t="n">
        <f aca="false">IF(J1924&gt;0,K1924/J1924,0)</f>
        <v>0.276154891304348</v>
      </c>
    </row>
    <row r="1925" customFormat="false" ht="15" hidden="false" customHeight="false" outlineLevel="0" collapsed="false">
      <c r="A1925" s="15" t="s">
        <v>1982</v>
      </c>
      <c r="B1925" s="16" t="n">
        <v>45257</v>
      </c>
      <c r="C1925" s="15" t="s">
        <v>68</v>
      </c>
      <c r="D1925" s="15" t="s">
        <v>42</v>
      </c>
      <c r="E1925" s="15" t="s">
        <v>36</v>
      </c>
      <c r="F1925" s="15" t="s">
        <v>17</v>
      </c>
      <c r="G1925" s="15" t="s">
        <v>29</v>
      </c>
      <c r="H1925" s="15" t="n">
        <v>6</v>
      </c>
      <c r="I1925" s="17" t="n">
        <v>0.3</v>
      </c>
      <c r="J1925" s="18" t="n">
        <v>71.53</v>
      </c>
      <c r="K1925" s="19" t="n">
        <v>4.36</v>
      </c>
      <c r="L1925" s="15" t="n">
        <f aca="false">YEAR(B1925)</f>
        <v>2023</v>
      </c>
      <c r="M1925" s="20" t="n">
        <f aca="false">IF(J1925&gt;0,K1925/J1925,0)</f>
        <v>0.0609534461065287</v>
      </c>
    </row>
    <row r="1926" customFormat="false" ht="15" hidden="false" customHeight="false" outlineLevel="0" collapsed="false">
      <c r="A1926" s="15" t="s">
        <v>1983</v>
      </c>
      <c r="B1926" s="16" t="n">
        <v>45794</v>
      </c>
      <c r="C1926" s="15" t="s">
        <v>56</v>
      </c>
      <c r="D1926" s="15" t="s">
        <v>42</v>
      </c>
      <c r="E1926" s="15" t="s">
        <v>37</v>
      </c>
      <c r="F1926" s="15" t="s">
        <v>17</v>
      </c>
      <c r="G1926" s="15" t="s">
        <v>29</v>
      </c>
      <c r="H1926" s="15" t="n">
        <v>2</v>
      </c>
      <c r="I1926" s="17" t="n">
        <v>0.1</v>
      </c>
      <c r="J1926" s="18" t="n">
        <v>30.94</v>
      </c>
      <c r="K1926" s="19" t="n">
        <v>9.81</v>
      </c>
      <c r="L1926" s="15" t="n">
        <f aca="false">YEAR(B1926)</f>
        <v>2025</v>
      </c>
      <c r="M1926" s="20" t="n">
        <f aca="false">IF(J1926&gt;0,K1926/J1926,0)</f>
        <v>0.317065287653523</v>
      </c>
    </row>
    <row r="1927" customFormat="false" ht="15" hidden="false" customHeight="false" outlineLevel="0" collapsed="false">
      <c r="A1927" s="15" t="s">
        <v>1984</v>
      </c>
      <c r="B1927" s="16" t="n">
        <v>45153</v>
      </c>
      <c r="C1927" s="15" t="s">
        <v>71</v>
      </c>
      <c r="D1927" s="15" t="s">
        <v>43</v>
      </c>
      <c r="E1927" s="15" t="s">
        <v>36</v>
      </c>
      <c r="F1927" s="15" t="s">
        <v>16</v>
      </c>
      <c r="G1927" s="15" t="s">
        <v>27</v>
      </c>
      <c r="H1927" s="15" t="n">
        <v>4</v>
      </c>
      <c r="I1927" s="17" t="n">
        <v>0</v>
      </c>
      <c r="J1927" s="18" t="n">
        <v>243.42</v>
      </c>
      <c r="K1927" s="19" t="n">
        <v>19.72</v>
      </c>
      <c r="L1927" s="15" t="n">
        <f aca="false">YEAR(B1927)</f>
        <v>2023</v>
      </c>
      <c r="M1927" s="20" t="n">
        <f aca="false">IF(J1927&gt;0,K1927/J1927,0)</f>
        <v>0.0810122422151015</v>
      </c>
    </row>
    <row r="1928" customFormat="false" ht="15" hidden="false" customHeight="false" outlineLevel="0" collapsed="false">
      <c r="A1928" s="15" t="s">
        <v>1985</v>
      </c>
      <c r="B1928" s="16" t="n">
        <v>44757</v>
      </c>
      <c r="C1928" s="15" t="s">
        <v>68</v>
      </c>
      <c r="D1928" s="15" t="s">
        <v>42</v>
      </c>
      <c r="E1928" s="15" t="s">
        <v>39</v>
      </c>
      <c r="F1928" s="15" t="s">
        <v>18</v>
      </c>
      <c r="G1928" s="15" t="s">
        <v>32</v>
      </c>
      <c r="H1928" s="15" t="n">
        <v>5</v>
      </c>
      <c r="I1928" s="17" t="n">
        <v>0</v>
      </c>
      <c r="J1928" s="18" t="n">
        <v>2135.62</v>
      </c>
      <c r="K1928" s="19" t="n">
        <v>398.9</v>
      </c>
      <c r="L1928" s="15" t="n">
        <f aca="false">YEAR(B1928)</f>
        <v>2022</v>
      </c>
      <c r="M1928" s="20" t="n">
        <f aca="false">IF(J1928&gt;0,K1928/J1928,0)</f>
        <v>0.186784165722366</v>
      </c>
    </row>
    <row r="1929" customFormat="false" ht="15" hidden="false" customHeight="false" outlineLevel="0" collapsed="false">
      <c r="A1929" s="15" t="s">
        <v>1986</v>
      </c>
      <c r="B1929" s="16" t="n">
        <v>45948</v>
      </c>
      <c r="C1929" s="15" t="s">
        <v>71</v>
      </c>
      <c r="D1929" s="15" t="s">
        <v>42</v>
      </c>
      <c r="E1929" s="15" t="s">
        <v>39</v>
      </c>
      <c r="F1929" s="15" t="s">
        <v>17</v>
      </c>
      <c r="G1929" s="15" t="s">
        <v>29</v>
      </c>
      <c r="H1929" s="15" t="n">
        <v>4</v>
      </c>
      <c r="I1929" s="17" t="n">
        <v>0.2</v>
      </c>
      <c r="J1929" s="18" t="n">
        <v>66.64</v>
      </c>
      <c r="K1929" s="19" t="n">
        <v>14.38</v>
      </c>
      <c r="L1929" s="15" t="n">
        <f aca="false">YEAR(B1929)</f>
        <v>2025</v>
      </c>
      <c r="M1929" s="20" t="n">
        <f aca="false">IF(J1929&gt;0,K1929/J1929,0)</f>
        <v>0.21578631452581</v>
      </c>
    </row>
    <row r="1930" customFormat="false" ht="15" hidden="false" customHeight="false" outlineLevel="0" collapsed="false">
      <c r="A1930" s="15" t="s">
        <v>1987</v>
      </c>
      <c r="B1930" s="16" t="n">
        <v>44868</v>
      </c>
      <c r="C1930" s="15" t="s">
        <v>56</v>
      </c>
      <c r="D1930" s="15" t="s">
        <v>42</v>
      </c>
      <c r="E1930" s="15" t="s">
        <v>38</v>
      </c>
      <c r="F1930" s="15" t="s">
        <v>18</v>
      </c>
      <c r="G1930" s="15" t="s">
        <v>33</v>
      </c>
      <c r="H1930" s="15" t="n">
        <v>3</v>
      </c>
      <c r="I1930" s="17" t="n">
        <v>0</v>
      </c>
      <c r="J1930" s="18" t="n">
        <v>2580.81</v>
      </c>
      <c r="K1930" s="19" t="n">
        <v>858.95</v>
      </c>
      <c r="L1930" s="15" t="n">
        <f aca="false">YEAR(B1930)</f>
        <v>2022</v>
      </c>
      <c r="M1930" s="20" t="n">
        <f aca="false">IF(J1930&gt;0,K1930/J1930,0)</f>
        <v>0.332821866003309</v>
      </c>
    </row>
    <row r="1931" customFormat="false" ht="15" hidden="false" customHeight="false" outlineLevel="0" collapsed="false">
      <c r="A1931" s="15" t="s">
        <v>1988</v>
      </c>
      <c r="B1931" s="16" t="n">
        <v>44575</v>
      </c>
      <c r="C1931" s="15" t="s">
        <v>56</v>
      </c>
      <c r="D1931" s="15" t="s">
        <v>42</v>
      </c>
      <c r="E1931" s="15" t="s">
        <v>39</v>
      </c>
      <c r="F1931" s="15" t="s">
        <v>17</v>
      </c>
      <c r="G1931" s="15" t="s">
        <v>29</v>
      </c>
      <c r="H1931" s="15" t="n">
        <v>3</v>
      </c>
      <c r="I1931" s="17" t="n">
        <v>0.15</v>
      </c>
      <c r="J1931" s="18" t="n">
        <v>45.17</v>
      </c>
      <c r="K1931" s="19" t="n">
        <v>10.5</v>
      </c>
      <c r="L1931" s="15" t="n">
        <f aca="false">YEAR(B1931)</f>
        <v>2022</v>
      </c>
      <c r="M1931" s="20" t="n">
        <f aca="false">IF(J1931&gt;0,K1931/J1931,0)</f>
        <v>0.232455169360195</v>
      </c>
    </row>
    <row r="1932" customFormat="false" ht="15" hidden="false" customHeight="false" outlineLevel="0" collapsed="false">
      <c r="A1932" s="15" t="s">
        <v>1989</v>
      </c>
      <c r="B1932" s="16" t="n">
        <v>45659</v>
      </c>
      <c r="C1932" s="15" t="s">
        <v>56</v>
      </c>
      <c r="D1932" s="15" t="s">
        <v>42</v>
      </c>
      <c r="E1932" s="15" t="s">
        <v>37</v>
      </c>
      <c r="F1932" s="15" t="s">
        <v>17</v>
      </c>
      <c r="G1932" s="15" t="s">
        <v>26</v>
      </c>
      <c r="H1932" s="15" t="n">
        <v>2</v>
      </c>
      <c r="I1932" s="17" t="n">
        <v>0.05</v>
      </c>
      <c r="J1932" s="18" t="n">
        <v>164.51</v>
      </c>
      <c r="K1932" s="19" t="n">
        <v>17.01</v>
      </c>
      <c r="L1932" s="15" t="n">
        <f aca="false">YEAR(B1932)</f>
        <v>2025</v>
      </c>
      <c r="M1932" s="20" t="n">
        <f aca="false">IF(J1932&gt;0,K1932/J1932,0)</f>
        <v>0.103397969728284</v>
      </c>
    </row>
    <row r="1933" customFormat="false" ht="15" hidden="false" customHeight="false" outlineLevel="0" collapsed="false">
      <c r="A1933" s="15" t="s">
        <v>1990</v>
      </c>
      <c r="B1933" s="16" t="n">
        <v>44579</v>
      </c>
      <c r="C1933" s="15" t="s">
        <v>56</v>
      </c>
      <c r="D1933" s="15" t="s">
        <v>42</v>
      </c>
      <c r="E1933" s="15" t="s">
        <v>39</v>
      </c>
      <c r="F1933" s="15" t="s">
        <v>16</v>
      </c>
      <c r="G1933" s="15" t="s">
        <v>23</v>
      </c>
      <c r="H1933" s="15" t="n">
        <v>5</v>
      </c>
      <c r="I1933" s="17" t="n">
        <v>0.1</v>
      </c>
      <c r="J1933" s="18" t="n">
        <v>1472.96</v>
      </c>
      <c r="K1933" s="19" t="n">
        <v>-58.52</v>
      </c>
      <c r="L1933" s="15" t="n">
        <f aca="false">YEAR(B1933)</f>
        <v>2022</v>
      </c>
      <c r="M1933" s="20" t="n">
        <f aca="false">IF(J1933&gt;0,K1933/J1933,0)</f>
        <v>-0.0397295242233326</v>
      </c>
    </row>
    <row r="1934" customFormat="false" ht="15" hidden="false" customHeight="false" outlineLevel="0" collapsed="false">
      <c r="A1934" s="15" t="s">
        <v>1991</v>
      </c>
      <c r="B1934" s="16" t="n">
        <v>45571</v>
      </c>
      <c r="C1934" s="15" t="s">
        <v>56</v>
      </c>
      <c r="D1934" s="15" t="s">
        <v>42</v>
      </c>
      <c r="E1934" s="15" t="s">
        <v>39</v>
      </c>
      <c r="F1934" s="15" t="s">
        <v>16</v>
      </c>
      <c r="G1934" s="15" t="s">
        <v>25</v>
      </c>
      <c r="H1934" s="15" t="n">
        <v>5</v>
      </c>
      <c r="I1934" s="17" t="n">
        <v>0.1</v>
      </c>
      <c r="J1934" s="18" t="n">
        <v>1351.76</v>
      </c>
      <c r="K1934" s="19" t="n">
        <v>22.3</v>
      </c>
      <c r="L1934" s="15" t="n">
        <f aca="false">YEAR(B1934)</f>
        <v>2024</v>
      </c>
      <c r="M1934" s="20" t="n">
        <f aca="false">IF(J1934&gt;0,K1934/J1934,0)</f>
        <v>0.0164970113037817</v>
      </c>
    </row>
    <row r="1935" customFormat="false" ht="15" hidden="false" customHeight="false" outlineLevel="0" collapsed="false">
      <c r="A1935" s="15" t="s">
        <v>1992</v>
      </c>
      <c r="B1935" s="16" t="n">
        <v>44735</v>
      </c>
      <c r="C1935" s="15" t="s">
        <v>56</v>
      </c>
      <c r="D1935" s="15" t="s">
        <v>42</v>
      </c>
      <c r="E1935" s="15" t="s">
        <v>37</v>
      </c>
      <c r="F1935" s="15" t="s">
        <v>16</v>
      </c>
      <c r="G1935" s="15" t="s">
        <v>27</v>
      </c>
      <c r="H1935" s="15" t="n">
        <v>3</v>
      </c>
      <c r="I1935" s="17" t="n">
        <v>0.2</v>
      </c>
      <c r="J1935" s="18" t="n">
        <v>145.24</v>
      </c>
      <c r="K1935" s="19" t="n">
        <v>-3.45</v>
      </c>
      <c r="L1935" s="15" t="n">
        <f aca="false">YEAR(B1935)</f>
        <v>2022</v>
      </c>
      <c r="M1935" s="20" t="n">
        <f aca="false">IF(J1935&gt;0,K1935/J1935,0)</f>
        <v>-0.0237537868355825</v>
      </c>
    </row>
    <row r="1936" customFormat="false" ht="15" hidden="false" customHeight="false" outlineLevel="0" collapsed="false">
      <c r="A1936" s="15" t="s">
        <v>1993</v>
      </c>
      <c r="B1936" s="16" t="n">
        <v>45937</v>
      </c>
      <c r="C1936" s="15" t="s">
        <v>71</v>
      </c>
      <c r="D1936" s="15" t="s">
        <v>42</v>
      </c>
      <c r="E1936" s="15" t="s">
        <v>39</v>
      </c>
      <c r="F1936" s="15" t="s">
        <v>17</v>
      </c>
      <c r="G1936" s="15" t="s">
        <v>31</v>
      </c>
      <c r="H1936" s="15" t="n">
        <v>5</v>
      </c>
      <c r="I1936" s="17" t="n">
        <v>0.5</v>
      </c>
      <c r="J1936" s="18" t="n">
        <v>278.98</v>
      </c>
      <c r="K1936" s="19" t="n">
        <v>-63.97</v>
      </c>
      <c r="L1936" s="15" t="n">
        <f aca="false">YEAR(B1936)</f>
        <v>2025</v>
      </c>
      <c r="M1936" s="20" t="n">
        <f aca="false">IF(J1936&gt;0,K1936/J1936,0)</f>
        <v>-0.229299591368557</v>
      </c>
    </row>
    <row r="1937" customFormat="false" ht="15" hidden="false" customHeight="false" outlineLevel="0" collapsed="false">
      <c r="A1937" s="15" t="s">
        <v>1994</v>
      </c>
      <c r="B1937" s="16" t="n">
        <v>44636</v>
      </c>
      <c r="C1937" s="15" t="s">
        <v>56</v>
      </c>
      <c r="D1937" s="15" t="s">
        <v>42</v>
      </c>
      <c r="E1937" s="15" t="s">
        <v>36</v>
      </c>
      <c r="F1937" s="15" t="s">
        <v>17</v>
      </c>
      <c r="G1937" s="15" t="s">
        <v>29</v>
      </c>
      <c r="H1937" s="15" t="n">
        <v>2</v>
      </c>
      <c r="I1937" s="17" t="n">
        <v>0.2</v>
      </c>
      <c r="J1937" s="18" t="n">
        <v>26.34</v>
      </c>
      <c r="K1937" s="19" t="n">
        <v>4.7</v>
      </c>
      <c r="L1937" s="15" t="n">
        <f aca="false">YEAR(B1937)</f>
        <v>2022</v>
      </c>
      <c r="M1937" s="20" t="n">
        <f aca="false">IF(J1937&gt;0,K1937/J1937,0)</f>
        <v>0.178435839028094</v>
      </c>
    </row>
    <row r="1938" customFormat="false" ht="15" hidden="false" customHeight="false" outlineLevel="0" collapsed="false">
      <c r="A1938" s="15" t="s">
        <v>1995</v>
      </c>
      <c r="B1938" s="16" t="n">
        <v>44892</v>
      </c>
      <c r="C1938" s="15" t="s">
        <v>56</v>
      </c>
      <c r="D1938" s="15" t="s">
        <v>43</v>
      </c>
      <c r="E1938" s="15" t="s">
        <v>39</v>
      </c>
      <c r="F1938" s="15" t="s">
        <v>17</v>
      </c>
      <c r="G1938" s="15" t="s">
        <v>28</v>
      </c>
      <c r="H1938" s="15" t="n">
        <v>4</v>
      </c>
      <c r="I1938" s="17" t="n">
        <v>0</v>
      </c>
      <c r="J1938" s="18" t="n">
        <v>105.48</v>
      </c>
      <c r="K1938" s="19" t="n">
        <v>39.44</v>
      </c>
      <c r="L1938" s="15" t="n">
        <f aca="false">YEAR(B1938)</f>
        <v>2022</v>
      </c>
      <c r="M1938" s="20" t="n">
        <f aca="false">IF(J1938&gt;0,K1938/J1938,0)</f>
        <v>0.373909745923398</v>
      </c>
    </row>
    <row r="1939" customFormat="false" ht="15" hidden="false" customHeight="false" outlineLevel="0" collapsed="false">
      <c r="A1939" s="15" t="s">
        <v>1996</v>
      </c>
      <c r="B1939" s="16" t="n">
        <v>45609</v>
      </c>
      <c r="C1939" s="15" t="s">
        <v>71</v>
      </c>
      <c r="D1939" s="15" t="s">
        <v>44</v>
      </c>
      <c r="E1939" s="15" t="s">
        <v>37</v>
      </c>
      <c r="F1939" s="15" t="s">
        <v>18</v>
      </c>
      <c r="G1939" s="15" t="s">
        <v>32</v>
      </c>
      <c r="H1939" s="15" t="n">
        <v>3</v>
      </c>
      <c r="I1939" s="17" t="n">
        <v>0.2</v>
      </c>
      <c r="J1939" s="18" t="n">
        <v>982.81</v>
      </c>
      <c r="K1939" s="19" t="n">
        <v>-31.02</v>
      </c>
      <c r="L1939" s="15" t="n">
        <f aca="false">YEAR(B1939)</f>
        <v>2024</v>
      </c>
      <c r="M1939" s="20" t="n">
        <f aca="false">IF(J1939&gt;0,K1939/J1939,0)</f>
        <v>-0.0315625604135082</v>
      </c>
    </row>
    <row r="1940" customFormat="false" ht="15" hidden="false" customHeight="false" outlineLevel="0" collapsed="false">
      <c r="A1940" s="15" t="s">
        <v>1997</v>
      </c>
      <c r="B1940" s="16" t="n">
        <v>45789</v>
      </c>
      <c r="C1940" s="15" t="s">
        <v>56</v>
      </c>
      <c r="D1940" s="15" t="s">
        <v>42</v>
      </c>
      <c r="E1940" s="15" t="s">
        <v>36</v>
      </c>
      <c r="F1940" s="15" t="s">
        <v>18</v>
      </c>
      <c r="G1940" s="15" t="s">
        <v>33</v>
      </c>
      <c r="H1940" s="15" t="n">
        <v>7</v>
      </c>
      <c r="I1940" s="17" t="n">
        <v>0</v>
      </c>
      <c r="J1940" s="18" t="n">
        <v>7437.3</v>
      </c>
      <c r="K1940" s="19" t="n">
        <v>2249.22</v>
      </c>
      <c r="L1940" s="15" t="n">
        <f aca="false">YEAR(B1940)</f>
        <v>2025</v>
      </c>
      <c r="M1940" s="20" t="n">
        <f aca="false">IF(J1940&gt;0,K1940/J1940,0)</f>
        <v>0.302424266871042</v>
      </c>
    </row>
    <row r="1941" customFormat="false" ht="15" hidden="false" customHeight="false" outlineLevel="0" collapsed="false">
      <c r="A1941" s="15" t="s">
        <v>1998</v>
      </c>
      <c r="B1941" s="16" t="n">
        <v>45573</v>
      </c>
      <c r="C1941" s="15" t="s">
        <v>68</v>
      </c>
      <c r="D1941" s="15" t="s">
        <v>44</v>
      </c>
      <c r="E1941" s="15" t="s">
        <v>36</v>
      </c>
      <c r="F1941" s="15" t="s">
        <v>17</v>
      </c>
      <c r="G1941" s="15" t="s">
        <v>29</v>
      </c>
      <c r="H1941" s="15" t="n">
        <v>2</v>
      </c>
      <c r="I1941" s="17" t="n">
        <v>0</v>
      </c>
      <c r="J1941" s="18" t="n">
        <v>36.2</v>
      </c>
      <c r="K1941" s="19" t="n">
        <v>14.38</v>
      </c>
      <c r="L1941" s="15" t="n">
        <f aca="false">YEAR(B1941)</f>
        <v>2024</v>
      </c>
      <c r="M1941" s="20" t="n">
        <f aca="false">IF(J1941&gt;0,K1941/J1941,0)</f>
        <v>0.397237569060773</v>
      </c>
    </row>
    <row r="1942" customFormat="false" ht="15" hidden="false" customHeight="false" outlineLevel="0" collapsed="false">
      <c r="A1942" s="15" t="s">
        <v>1999</v>
      </c>
      <c r="B1942" s="16" t="n">
        <v>44813</v>
      </c>
      <c r="C1942" s="15" t="s">
        <v>71</v>
      </c>
      <c r="D1942" s="15" t="s">
        <v>43</v>
      </c>
      <c r="E1942" s="15" t="s">
        <v>39</v>
      </c>
      <c r="F1942" s="15" t="s">
        <v>18</v>
      </c>
      <c r="G1942" s="15" t="s">
        <v>30</v>
      </c>
      <c r="H1942" s="15" t="n">
        <v>3</v>
      </c>
      <c r="I1942" s="17" t="n">
        <v>0.2</v>
      </c>
      <c r="J1942" s="18" t="n">
        <v>137.48</v>
      </c>
      <c r="K1942" s="19" t="n">
        <v>19.09</v>
      </c>
      <c r="L1942" s="15" t="n">
        <f aca="false">YEAR(B1942)</f>
        <v>2022</v>
      </c>
      <c r="M1942" s="20" t="n">
        <f aca="false">IF(J1942&gt;0,K1942/J1942,0)</f>
        <v>0.138856560954321</v>
      </c>
    </row>
    <row r="1943" customFormat="false" ht="15" hidden="false" customHeight="false" outlineLevel="0" collapsed="false">
      <c r="A1943" s="15" t="s">
        <v>2000</v>
      </c>
      <c r="B1943" s="16" t="n">
        <v>44971</v>
      </c>
      <c r="C1943" s="15" t="s">
        <v>68</v>
      </c>
      <c r="D1943" s="15" t="s">
        <v>42</v>
      </c>
      <c r="E1943" s="15" t="s">
        <v>39</v>
      </c>
      <c r="F1943" s="15" t="s">
        <v>17</v>
      </c>
      <c r="G1943" s="15" t="s">
        <v>31</v>
      </c>
      <c r="H1943" s="15" t="n">
        <v>5</v>
      </c>
      <c r="I1943" s="17" t="n">
        <v>0</v>
      </c>
      <c r="J1943" s="18" t="n">
        <v>995.06</v>
      </c>
      <c r="K1943" s="19" t="n">
        <v>162.75</v>
      </c>
      <c r="L1943" s="15" t="n">
        <f aca="false">YEAR(B1943)</f>
        <v>2023</v>
      </c>
      <c r="M1943" s="20" t="n">
        <f aca="false">IF(J1943&gt;0,K1943/J1943,0)</f>
        <v>0.163557976403433</v>
      </c>
    </row>
    <row r="1944" customFormat="false" ht="15" hidden="false" customHeight="false" outlineLevel="0" collapsed="false">
      <c r="A1944" s="15" t="s">
        <v>2001</v>
      </c>
      <c r="B1944" s="16" t="n">
        <v>45312</v>
      </c>
      <c r="C1944" s="15" t="s">
        <v>56</v>
      </c>
      <c r="D1944" s="15" t="s">
        <v>43</v>
      </c>
      <c r="E1944" s="15" t="s">
        <v>38</v>
      </c>
      <c r="F1944" s="15" t="s">
        <v>17</v>
      </c>
      <c r="G1944" s="15" t="s">
        <v>29</v>
      </c>
      <c r="H1944" s="15" t="n">
        <v>2</v>
      </c>
      <c r="I1944" s="17" t="n">
        <v>0.1</v>
      </c>
      <c r="J1944" s="18" t="n">
        <v>41.45</v>
      </c>
      <c r="K1944" s="19" t="n">
        <v>10.82</v>
      </c>
      <c r="L1944" s="15" t="n">
        <f aca="false">YEAR(B1944)</f>
        <v>2024</v>
      </c>
      <c r="M1944" s="20" t="n">
        <f aca="false">IF(J1944&gt;0,K1944/J1944,0)</f>
        <v>0.261037394451146</v>
      </c>
    </row>
    <row r="1945" customFormat="false" ht="15" hidden="false" customHeight="false" outlineLevel="0" collapsed="false">
      <c r="A1945" s="15" t="s">
        <v>2002</v>
      </c>
      <c r="B1945" s="16" t="n">
        <v>45826</v>
      </c>
      <c r="C1945" s="15" t="s">
        <v>56</v>
      </c>
      <c r="D1945" s="15" t="s">
        <v>42</v>
      </c>
      <c r="E1945" s="15" t="s">
        <v>38</v>
      </c>
      <c r="F1945" s="15" t="s">
        <v>17</v>
      </c>
      <c r="G1945" s="15" t="s">
        <v>31</v>
      </c>
      <c r="H1945" s="15" t="n">
        <v>3</v>
      </c>
      <c r="I1945" s="17" t="n">
        <v>0</v>
      </c>
      <c r="J1945" s="18" t="n">
        <v>307.98</v>
      </c>
      <c r="K1945" s="19" t="n">
        <v>63.38</v>
      </c>
      <c r="L1945" s="15" t="n">
        <f aca="false">YEAR(B1945)</f>
        <v>2025</v>
      </c>
      <c r="M1945" s="20" t="n">
        <f aca="false">IF(J1945&gt;0,K1945/J1945,0)</f>
        <v>0.205792583934022</v>
      </c>
    </row>
    <row r="1946" customFormat="false" ht="15" hidden="false" customHeight="false" outlineLevel="0" collapsed="false">
      <c r="A1946" s="15" t="s">
        <v>2003</v>
      </c>
      <c r="B1946" s="16" t="n">
        <v>45479</v>
      </c>
      <c r="C1946" s="15" t="s">
        <v>56</v>
      </c>
      <c r="D1946" s="15" t="s">
        <v>43</v>
      </c>
      <c r="E1946" s="15" t="s">
        <v>37</v>
      </c>
      <c r="F1946" s="15" t="s">
        <v>16</v>
      </c>
      <c r="G1946" s="15" t="s">
        <v>27</v>
      </c>
      <c r="H1946" s="15" t="n">
        <v>6</v>
      </c>
      <c r="I1946" s="17" t="n">
        <v>0.5</v>
      </c>
      <c r="J1946" s="18" t="n">
        <v>183.78</v>
      </c>
      <c r="K1946" s="19" t="n">
        <v>-42.27</v>
      </c>
      <c r="L1946" s="15" t="n">
        <f aca="false">YEAR(B1946)</f>
        <v>2024</v>
      </c>
      <c r="M1946" s="20" t="n">
        <f aca="false">IF(J1946&gt;0,K1946/J1946,0)</f>
        <v>-0.230003264773098</v>
      </c>
    </row>
    <row r="1947" customFormat="false" ht="15" hidden="false" customHeight="false" outlineLevel="0" collapsed="false">
      <c r="A1947" s="15" t="s">
        <v>2004</v>
      </c>
      <c r="B1947" s="16" t="n">
        <v>45598</v>
      </c>
      <c r="C1947" s="15" t="s">
        <v>56</v>
      </c>
      <c r="D1947" s="15" t="s">
        <v>43</v>
      </c>
      <c r="E1947" s="15" t="s">
        <v>37</v>
      </c>
      <c r="F1947" s="15" t="s">
        <v>17</v>
      </c>
      <c r="G1947" s="15" t="s">
        <v>29</v>
      </c>
      <c r="H1947" s="15" t="n">
        <v>4</v>
      </c>
      <c r="I1947" s="17" t="n">
        <v>0</v>
      </c>
      <c r="J1947" s="18" t="n">
        <v>93.21</v>
      </c>
      <c r="K1947" s="19" t="n">
        <v>36.37</v>
      </c>
      <c r="L1947" s="15" t="n">
        <f aca="false">YEAR(B1947)</f>
        <v>2024</v>
      </c>
      <c r="M1947" s="20" t="n">
        <f aca="false">IF(J1947&gt;0,K1947/J1947,0)</f>
        <v>0.390194185173265</v>
      </c>
    </row>
    <row r="1948" customFormat="false" ht="15" hidden="false" customHeight="false" outlineLevel="0" collapsed="false">
      <c r="A1948" s="15" t="s">
        <v>2005</v>
      </c>
      <c r="B1948" s="16" t="n">
        <v>45937</v>
      </c>
      <c r="C1948" s="15" t="s">
        <v>56</v>
      </c>
      <c r="D1948" s="15" t="s">
        <v>43</v>
      </c>
      <c r="E1948" s="15" t="s">
        <v>36</v>
      </c>
      <c r="F1948" s="15" t="s">
        <v>16</v>
      </c>
      <c r="G1948" s="15" t="s">
        <v>22</v>
      </c>
      <c r="H1948" s="15" t="n">
        <v>2</v>
      </c>
      <c r="I1948" s="17" t="n">
        <v>0.1</v>
      </c>
      <c r="J1948" s="18" t="n">
        <v>1004.92</v>
      </c>
      <c r="K1948" s="19" t="n">
        <v>-146.45</v>
      </c>
      <c r="L1948" s="15" t="n">
        <f aca="false">YEAR(B1948)</f>
        <v>2025</v>
      </c>
      <c r="M1948" s="20" t="n">
        <f aca="false">IF(J1948&gt;0,K1948/J1948,0)</f>
        <v>-0.145732993671138</v>
      </c>
    </row>
    <row r="1949" customFormat="false" ht="15" hidden="false" customHeight="false" outlineLevel="0" collapsed="false">
      <c r="A1949" s="15" t="s">
        <v>2006</v>
      </c>
      <c r="B1949" s="16" t="n">
        <v>45415</v>
      </c>
      <c r="C1949" s="15" t="s">
        <v>71</v>
      </c>
      <c r="D1949" s="15" t="s">
        <v>43</v>
      </c>
      <c r="E1949" s="15" t="s">
        <v>39</v>
      </c>
      <c r="F1949" s="15" t="s">
        <v>18</v>
      </c>
      <c r="G1949" s="15" t="s">
        <v>33</v>
      </c>
      <c r="H1949" s="15" t="n">
        <v>1</v>
      </c>
      <c r="I1949" s="17" t="n">
        <v>0.1</v>
      </c>
      <c r="J1949" s="18" t="n">
        <v>921.54</v>
      </c>
      <c r="K1949" s="19" t="n">
        <v>222.18</v>
      </c>
      <c r="L1949" s="15" t="n">
        <f aca="false">YEAR(B1949)</f>
        <v>2024</v>
      </c>
      <c r="M1949" s="20" t="n">
        <f aca="false">IF(J1949&gt;0,K1949/J1949,0)</f>
        <v>0.241096425548538</v>
      </c>
    </row>
    <row r="1950" customFormat="false" ht="15" hidden="false" customHeight="false" outlineLevel="0" collapsed="false">
      <c r="A1950" s="15" t="s">
        <v>2007</v>
      </c>
      <c r="B1950" s="16" t="n">
        <v>45473</v>
      </c>
      <c r="C1950" s="15" t="s">
        <v>68</v>
      </c>
      <c r="D1950" s="15" t="s">
        <v>44</v>
      </c>
      <c r="E1950" s="15" t="s">
        <v>37</v>
      </c>
      <c r="F1950" s="15" t="s">
        <v>17</v>
      </c>
      <c r="G1950" s="15" t="s">
        <v>31</v>
      </c>
      <c r="H1950" s="15" t="n">
        <v>2</v>
      </c>
      <c r="I1950" s="17" t="n">
        <v>0.3</v>
      </c>
      <c r="J1950" s="18" t="n">
        <v>186.67</v>
      </c>
      <c r="K1950" s="19" t="n">
        <v>-8.48</v>
      </c>
      <c r="L1950" s="15" t="n">
        <f aca="false">YEAR(B1950)</f>
        <v>2024</v>
      </c>
      <c r="M1950" s="20" t="n">
        <f aca="false">IF(J1950&gt;0,K1950/J1950,0)</f>
        <v>-0.0454277602185675</v>
      </c>
    </row>
    <row r="1951" customFormat="false" ht="15" hidden="false" customHeight="false" outlineLevel="0" collapsed="false">
      <c r="A1951" s="15" t="s">
        <v>2008</v>
      </c>
      <c r="B1951" s="16" t="n">
        <v>45534</v>
      </c>
      <c r="C1951" s="15" t="s">
        <v>68</v>
      </c>
      <c r="D1951" s="15" t="s">
        <v>42</v>
      </c>
      <c r="E1951" s="15" t="s">
        <v>36</v>
      </c>
      <c r="F1951" s="15" t="s">
        <v>18</v>
      </c>
      <c r="G1951" s="15" t="s">
        <v>30</v>
      </c>
      <c r="H1951" s="15" t="n">
        <v>1</v>
      </c>
      <c r="I1951" s="17" t="n">
        <v>0.1</v>
      </c>
      <c r="J1951" s="18" t="n">
        <v>38.56</v>
      </c>
      <c r="K1951" s="19" t="n">
        <v>7.1</v>
      </c>
      <c r="L1951" s="15" t="n">
        <f aca="false">YEAR(B1951)</f>
        <v>2024</v>
      </c>
      <c r="M1951" s="20" t="n">
        <f aca="false">IF(J1951&gt;0,K1951/J1951,0)</f>
        <v>0.184128630705394</v>
      </c>
    </row>
    <row r="1952" customFormat="false" ht="15" hidden="false" customHeight="false" outlineLevel="0" collapsed="false">
      <c r="A1952" s="15" t="s">
        <v>2009</v>
      </c>
      <c r="B1952" s="16" t="n">
        <v>46015</v>
      </c>
      <c r="C1952" s="15" t="s">
        <v>68</v>
      </c>
      <c r="D1952" s="15" t="s">
        <v>44</v>
      </c>
      <c r="E1952" s="15" t="s">
        <v>37</v>
      </c>
      <c r="F1952" s="15" t="s">
        <v>18</v>
      </c>
      <c r="G1952" s="15" t="s">
        <v>24</v>
      </c>
      <c r="H1952" s="15" t="n">
        <v>4</v>
      </c>
      <c r="I1952" s="17" t="n">
        <v>0</v>
      </c>
      <c r="J1952" s="18" t="n">
        <v>2957.59</v>
      </c>
      <c r="K1952" s="19" t="n">
        <v>29.43</v>
      </c>
      <c r="L1952" s="15" t="n">
        <f aca="false">YEAR(B1952)</f>
        <v>2025</v>
      </c>
      <c r="M1952" s="20" t="n">
        <f aca="false">IF(J1952&gt;0,K1952/J1952,0)</f>
        <v>0.0099506692949327</v>
      </c>
    </row>
    <row r="1953" customFormat="false" ht="15" hidden="false" customHeight="false" outlineLevel="0" collapsed="false">
      <c r="A1953" s="15" t="s">
        <v>2010</v>
      </c>
      <c r="B1953" s="16" t="n">
        <v>45608</v>
      </c>
      <c r="C1953" s="15" t="s">
        <v>56</v>
      </c>
      <c r="D1953" s="15" t="s">
        <v>44</v>
      </c>
      <c r="E1953" s="15" t="s">
        <v>39</v>
      </c>
      <c r="F1953" s="15" t="s">
        <v>17</v>
      </c>
      <c r="G1953" s="15" t="s">
        <v>29</v>
      </c>
      <c r="H1953" s="15" t="n">
        <v>2</v>
      </c>
      <c r="I1953" s="17" t="n">
        <v>0</v>
      </c>
      <c r="J1953" s="18" t="n">
        <v>41.47</v>
      </c>
      <c r="K1953" s="19" t="n">
        <v>19.52</v>
      </c>
      <c r="L1953" s="15" t="n">
        <f aca="false">YEAR(B1953)</f>
        <v>2024</v>
      </c>
      <c r="M1953" s="20" t="n">
        <f aca="false">IF(J1953&gt;0,K1953/J1953,0)</f>
        <v>0.470701712081022</v>
      </c>
    </row>
    <row r="1954" customFormat="false" ht="15" hidden="false" customHeight="false" outlineLevel="0" collapsed="false">
      <c r="A1954" s="15" t="s">
        <v>2011</v>
      </c>
      <c r="B1954" s="16" t="n">
        <v>46001</v>
      </c>
      <c r="C1954" s="15" t="s">
        <v>56</v>
      </c>
      <c r="D1954" s="15" t="s">
        <v>42</v>
      </c>
      <c r="E1954" s="15" t="s">
        <v>39</v>
      </c>
      <c r="F1954" s="15" t="s">
        <v>17</v>
      </c>
      <c r="G1954" s="15" t="s">
        <v>29</v>
      </c>
      <c r="H1954" s="15" t="n">
        <v>5</v>
      </c>
      <c r="I1954" s="17" t="n">
        <v>0</v>
      </c>
      <c r="J1954" s="18" t="n">
        <v>96.55</v>
      </c>
      <c r="K1954" s="19" t="n">
        <v>30.54</v>
      </c>
      <c r="L1954" s="15" t="n">
        <f aca="false">YEAR(B1954)</f>
        <v>2025</v>
      </c>
      <c r="M1954" s="20" t="n">
        <f aca="false">IF(J1954&gt;0,K1954/J1954,0)</f>
        <v>0.316312791299845</v>
      </c>
    </row>
    <row r="1955" customFormat="false" ht="15" hidden="false" customHeight="false" outlineLevel="0" collapsed="false">
      <c r="A1955" s="15" t="s">
        <v>2012</v>
      </c>
      <c r="B1955" s="16" t="n">
        <v>45881</v>
      </c>
      <c r="C1955" s="15" t="s">
        <v>71</v>
      </c>
      <c r="D1955" s="15" t="s">
        <v>43</v>
      </c>
      <c r="E1955" s="15" t="s">
        <v>39</v>
      </c>
      <c r="F1955" s="15" t="s">
        <v>17</v>
      </c>
      <c r="G1955" s="15" t="s">
        <v>31</v>
      </c>
      <c r="H1955" s="15" t="n">
        <v>2</v>
      </c>
      <c r="I1955" s="17" t="n">
        <v>0.2</v>
      </c>
      <c r="J1955" s="18" t="n">
        <v>231.89</v>
      </c>
      <c r="K1955" s="19" t="n">
        <v>2.26</v>
      </c>
      <c r="L1955" s="15" t="n">
        <f aca="false">YEAR(B1955)</f>
        <v>2025</v>
      </c>
      <c r="M1955" s="20" t="n">
        <f aca="false">IF(J1955&gt;0,K1955/J1955,0)</f>
        <v>0.00974600025874337</v>
      </c>
    </row>
    <row r="1956" customFormat="false" ht="15" hidden="false" customHeight="false" outlineLevel="0" collapsed="false">
      <c r="A1956" s="15" t="s">
        <v>2013</v>
      </c>
      <c r="B1956" s="16" t="n">
        <v>45792</v>
      </c>
      <c r="C1956" s="15" t="s">
        <v>56</v>
      </c>
      <c r="D1956" s="15" t="s">
        <v>42</v>
      </c>
      <c r="E1956" s="15" t="s">
        <v>36</v>
      </c>
      <c r="F1956" s="15" t="s">
        <v>17</v>
      </c>
      <c r="G1956" s="15" t="s">
        <v>31</v>
      </c>
      <c r="H1956" s="15" t="n">
        <v>6</v>
      </c>
      <c r="I1956" s="17" t="n">
        <v>0.05</v>
      </c>
      <c r="J1956" s="18" t="n">
        <v>676.82</v>
      </c>
      <c r="K1956" s="19" t="n">
        <v>128.42</v>
      </c>
      <c r="L1956" s="15" t="n">
        <f aca="false">YEAR(B1956)</f>
        <v>2025</v>
      </c>
      <c r="M1956" s="20" t="n">
        <f aca="false">IF(J1956&gt;0,K1956/J1956,0)</f>
        <v>0.189740255902603</v>
      </c>
    </row>
    <row r="1957" customFormat="false" ht="15" hidden="false" customHeight="false" outlineLevel="0" collapsed="false">
      <c r="A1957" s="15" t="s">
        <v>2014</v>
      </c>
      <c r="B1957" s="16" t="n">
        <v>45356</v>
      </c>
      <c r="C1957" s="15" t="s">
        <v>68</v>
      </c>
      <c r="D1957" s="15" t="s">
        <v>42</v>
      </c>
      <c r="E1957" s="15" t="s">
        <v>39</v>
      </c>
      <c r="F1957" s="15" t="s">
        <v>17</v>
      </c>
      <c r="G1957" s="15" t="s">
        <v>26</v>
      </c>
      <c r="H1957" s="15" t="n">
        <v>5</v>
      </c>
      <c r="I1957" s="17" t="n">
        <v>0</v>
      </c>
      <c r="J1957" s="18" t="n">
        <v>425.82</v>
      </c>
      <c r="K1957" s="19" t="n">
        <v>40.82</v>
      </c>
      <c r="L1957" s="15" t="n">
        <f aca="false">YEAR(B1957)</f>
        <v>2024</v>
      </c>
      <c r="M1957" s="20" t="n">
        <f aca="false">IF(J1957&gt;0,K1957/J1957,0)</f>
        <v>0.0958621013573811</v>
      </c>
    </row>
    <row r="1958" customFormat="false" ht="15" hidden="false" customHeight="false" outlineLevel="0" collapsed="false">
      <c r="A1958" s="15" t="s">
        <v>2015</v>
      </c>
      <c r="B1958" s="16" t="n">
        <v>45410</v>
      </c>
      <c r="C1958" s="15" t="s">
        <v>56</v>
      </c>
      <c r="D1958" s="15" t="s">
        <v>42</v>
      </c>
      <c r="E1958" s="15" t="s">
        <v>36</v>
      </c>
      <c r="F1958" s="15" t="s">
        <v>18</v>
      </c>
      <c r="G1958" s="15" t="s">
        <v>32</v>
      </c>
      <c r="H1958" s="15" t="n">
        <v>5</v>
      </c>
      <c r="I1958" s="17" t="n">
        <v>0</v>
      </c>
      <c r="J1958" s="18" t="n">
        <v>1831.14</v>
      </c>
      <c r="K1958" s="19" t="n">
        <v>280.55</v>
      </c>
      <c r="L1958" s="15" t="n">
        <f aca="false">YEAR(B1958)</f>
        <v>2024</v>
      </c>
      <c r="M1958" s="20" t="n">
        <f aca="false">IF(J1958&gt;0,K1958/J1958,0)</f>
        <v>0.153210568279869</v>
      </c>
    </row>
    <row r="1959" customFormat="false" ht="15" hidden="false" customHeight="false" outlineLevel="0" collapsed="false">
      <c r="A1959" s="15" t="s">
        <v>2016</v>
      </c>
      <c r="B1959" s="16" t="n">
        <v>45404</v>
      </c>
      <c r="C1959" s="15" t="s">
        <v>71</v>
      </c>
      <c r="D1959" s="15" t="s">
        <v>43</v>
      </c>
      <c r="E1959" s="15" t="s">
        <v>36</v>
      </c>
      <c r="F1959" s="15" t="s">
        <v>18</v>
      </c>
      <c r="G1959" s="15" t="s">
        <v>30</v>
      </c>
      <c r="H1959" s="15" t="n">
        <v>3</v>
      </c>
      <c r="I1959" s="17" t="n">
        <v>0.2</v>
      </c>
      <c r="J1959" s="18" t="n">
        <v>111.45</v>
      </c>
      <c r="K1959" s="19" t="n">
        <v>13.46</v>
      </c>
      <c r="L1959" s="15" t="n">
        <f aca="false">YEAR(B1959)</f>
        <v>2024</v>
      </c>
      <c r="M1959" s="20" t="n">
        <f aca="false">IF(J1959&gt;0,K1959/J1959,0)</f>
        <v>0.120771646478241</v>
      </c>
    </row>
    <row r="1960" customFormat="false" ht="15" hidden="false" customHeight="false" outlineLevel="0" collapsed="false">
      <c r="A1960" s="15" t="s">
        <v>2017</v>
      </c>
      <c r="B1960" s="16" t="n">
        <v>45597</v>
      </c>
      <c r="C1960" s="15" t="s">
        <v>56</v>
      </c>
      <c r="D1960" s="15" t="s">
        <v>42</v>
      </c>
      <c r="E1960" s="15" t="s">
        <v>37</v>
      </c>
      <c r="F1960" s="15" t="s">
        <v>18</v>
      </c>
      <c r="G1960" s="15" t="s">
        <v>30</v>
      </c>
      <c r="H1960" s="15" t="n">
        <v>6</v>
      </c>
      <c r="I1960" s="17" t="n">
        <v>0.15</v>
      </c>
      <c r="J1960" s="18" t="n">
        <v>216.63</v>
      </c>
      <c r="K1960" s="19" t="n">
        <v>46.81</v>
      </c>
      <c r="L1960" s="15" t="n">
        <f aca="false">YEAR(B1960)</f>
        <v>2024</v>
      </c>
      <c r="M1960" s="20" t="n">
        <f aca="false">IF(J1960&gt;0,K1960/J1960,0)</f>
        <v>0.216082721691363</v>
      </c>
    </row>
    <row r="1961" customFormat="false" ht="15" hidden="false" customHeight="false" outlineLevel="0" collapsed="false">
      <c r="A1961" s="15" t="s">
        <v>2018</v>
      </c>
      <c r="B1961" s="16" t="n">
        <v>45035</v>
      </c>
      <c r="C1961" s="15" t="s">
        <v>71</v>
      </c>
      <c r="D1961" s="15" t="s">
        <v>42</v>
      </c>
      <c r="E1961" s="15" t="s">
        <v>39</v>
      </c>
      <c r="F1961" s="15" t="s">
        <v>17</v>
      </c>
      <c r="G1961" s="15" t="s">
        <v>28</v>
      </c>
      <c r="H1961" s="15" t="n">
        <v>2</v>
      </c>
      <c r="I1961" s="17" t="n">
        <v>0.1</v>
      </c>
      <c r="J1961" s="18" t="n">
        <v>45.5</v>
      </c>
      <c r="K1961" s="19" t="n">
        <v>7.12</v>
      </c>
      <c r="L1961" s="15" t="n">
        <f aca="false">YEAR(B1961)</f>
        <v>2023</v>
      </c>
      <c r="M1961" s="20" t="n">
        <f aca="false">IF(J1961&gt;0,K1961/J1961,0)</f>
        <v>0.156483516483517</v>
      </c>
    </row>
    <row r="1962" customFormat="false" ht="15" hidden="false" customHeight="false" outlineLevel="0" collapsed="false">
      <c r="A1962" s="15" t="s">
        <v>2019</v>
      </c>
      <c r="B1962" s="16" t="n">
        <v>46018</v>
      </c>
      <c r="C1962" s="15" t="s">
        <v>56</v>
      </c>
      <c r="D1962" s="15" t="s">
        <v>44</v>
      </c>
      <c r="E1962" s="15" t="s">
        <v>36</v>
      </c>
      <c r="F1962" s="15" t="s">
        <v>17</v>
      </c>
      <c r="G1962" s="15" t="s">
        <v>29</v>
      </c>
      <c r="H1962" s="15" t="n">
        <v>4</v>
      </c>
      <c r="I1962" s="17" t="n">
        <v>0</v>
      </c>
      <c r="J1962" s="18" t="n">
        <v>70.71</v>
      </c>
      <c r="K1962" s="19" t="n">
        <v>28.99</v>
      </c>
      <c r="L1962" s="15" t="n">
        <f aca="false">YEAR(B1962)</f>
        <v>2025</v>
      </c>
      <c r="M1962" s="20" t="n">
        <f aca="false">IF(J1962&gt;0,K1962/J1962,0)</f>
        <v>0.409984443501626</v>
      </c>
    </row>
    <row r="1963" customFormat="false" ht="15" hidden="false" customHeight="false" outlineLevel="0" collapsed="false">
      <c r="A1963" s="15" t="s">
        <v>2020</v>
      </c>
      <c r="B1963" s="16" t="n">
        <v>44725</v>
      </c>
      <c r="C1963" s="15" t="s">
        <v>71</v>
      </c>
      <c r="D1963" s="15" t="s">
        <v>42</v>
      </c>
      <c r="E1963" s="15" t="s">
        <v>36</v>
      </c>
      <c r="F1963" s="15" t="s">
        <v>16</v>
      </c>
      <c r="G1963" s="15" t="s">
        <v>27</v>
      </c>
      <c r="H1963" s="15" t="n">
        <v>4</v>
      </c>
      <c r="I1963" s="17" t="n">
        <v>0.2</v>
      </c>
      <c r="J1963" s="18" t="n">
        <v>147.03</v>
      </c>
      <c r="K1963" s="19" t="n">
        <v>9.2</v>
      </c>
      <c r="L1963" s="15" t="n">
        <f aca="false">YEAR(B1963)</f>
        <v>2022</v>
      </c>
      <c r="M1963" s="20" t="n">
        <f aca="false">IF(J1963&gt;0,K1963/J1963,0)</f>
        <v>0.0625722641637761</v>
      </c>
    </row>
    <row r="1964" customFormat="false" ht="15" hidden="false" customHeight="false" outlineLevel="0" collapsed="false">
      <c r="A1964" s="15" t="s">
        <v>2021</v>
      </c>
      <c r="B1964" s="16" t="n">
        <v>44681</v>
      </c>
      <c r="C1964" s="15" t="s">
        <v>56</v>
      </c>
      <c r="D1964" s="15" t="s">
        <v>42</v>
      </c>
      <c r="E1964" s="15" t="s">
        <v>37</v>
      </c>
      <c r="F1964" s="15" t="s">
        <v>17</v>
      </c>
      <c r="G1964" s="15" t="s">
        <v>29</v>
      </c>
      <c r="H1964" s="15" t="n">
        <v>7</v>
      </c>
      <c r="I1964" s="17" t="n">
        <v>0.05</v>
      </c>
      <c r="J1964" s="18" t="n">
        <v>96.13</v>
      </c>
      <c r="K1964" s="19" t="n">
        <v>35.42</v>
      </c>
      <c r="L1964" s="15" t="n">
        <f aca="false">YEAR(B1964)</f>
        <v>2022</v>
      </c>
      <c r="M1964" s="20" t="n">
        <f aca="false">IF(J1964&gt;0,K1964/J1964,0)</f>
        <v>0.368459377925726</v>
      </c>
    </row>
    <row r="1965" customFormat="false" ht="15" hidden="false" customHeight="false" outlineLevel="0" collapsed="false">
      <c r="A1965" s="15" t="s">
        <v>2022</v>
      </c>
      <c r="B1965" s="16" t="n">
        <v>44858</v>
      </c>
      <c r="C1965" s="15" t="s">
        <v>56</v>
      </c>
      <c r="D1965" s="15" t="s">
        <v>42</v>
      </c>
      <c r="E1965" s="15" t="s">
        <v>38</v>
      </c>
      <c r="F1965" s="15" t="s">
        <v>17</v>
      </c>
      <c r="G1965" s="15" t="s">
        <v>26</v>
      </c>
      <c r="H1965" s="15" t="n">
        <v>4</v>
      </c>
      <c r="I1965" s="17" t="n">
        <v>0</v>
      </c>
      <c r="J1965" s="18" t="n">
        <v>274.53</v>
      </c>
      <c r="K1965" s="19" t="n">
        <v>30.16</v>
      </c>
      <c r="L1965" s="15" t="n">
        <f aca="false">YEAR(B1965)</f>
        <v>2022</v>
      </c>
      <c r="M1965" s="20" t="n">
        <f aca="false">IF(J1965&gt;0,K1965/J1965,0)</f>
        <v>0.109860488835464</v>
      </c>
    </row>
    <row r="1966" customFormat="false" ht="15" hidden="false" customHeight="false" outlineLevel="0" collapsed="false">
      <c r="A1966" s="15" t="s">
        <v>2023</v>
      </c>
      <c r="B1966" s="16" t="n">
        <v>45945</v>
      </c>
      <c r="C1966" s="15" t="s">
        <v>56</v>
      </c>
      <c r="D1966" s="15" t="s">
        <v>42</v>
      </c>
      <c r="E1966" s="15" t="s">
        <v>39</v>
      </c>
      <c r="F1966" s="15" t="s">
        <v>16</v>
      </c>
      <c r="G1966" s="15" t="s">
        <v>22</v>
      </c>
      <c r="H1966" s="15" t="n">
        <v>3</v>
      </c>
      <c r="I1966" s="17" t="n">
        <v>0</v>
      </c>
      <c r="J1966" s="18" t="n">
        <v>1700.33</v>
      </c>
      <c r="K1966" s="19" t="n">
        <v>-72.17</v>
      </c>
      <c r="L1966" s="15" t="n">
        <f aca="false">YEAR(B1966)</f>
        <v>2025</v>
      </c>
      <c r="M1966" s="20" t="n">
        <f aca="false">IF(J1966&gt;0,K1966/J1966,0)</f>
        <v>-0.0424447019108056</v>
      </c>
    </row>
    <row r="1967" customFormat="false" ht="15" hidden="false" customHeight="false" outlineLevel="0" collapsed="false">
      <c r="A1967" s="15" t="s">
        <v>2024</v>
      </c>
      <c r="B1967" s="16" t="n">
        <v>44906</v>
      </c>
      <c r="C1967" s="15" t="s">
        <v>56</v>
      </c>
      <c r="D1967" s="15" t="s">
        <v>43</v>
      </c>
      <c r="E1967" s="15" t="s">
        <v>37</v>
      </c>
      <c r="F1967" s="15" t="s">
        <v>17</v>
      </c>
      <c r="G1967" s="15" t="s">
        <v>29</v>
      </c>
      <c r="H1967" s="15" t="n">
        <v>4</v>
      </c>
      <c r="I1967" s="17" t="n">
        <v>0</v>
      </c>
      <c r="J1967" s="18" t="n">
        <v>71.76</v>
      </c>
      <c r="K1967" s="19" t="n">
        <v>27.74</v>
      </c>
      <c r="L1967" s="15" t="n">
        <f aca="false">YEAR(B1967)</f>
        <v>2022</v>
      </c>
      <c r="M1967" s="20" t="n">
        <f aca="false">IF(J1967&gt;0,K1967/J1967,0)</f>
        <v>0.386566332218506</v>
      </c>
    </row>
    <row r="1968" customFormat="false" ht="15" hidden="false" customHeight="false" outlineLevel="0" collapsed="false">
      <c r="A1968" s="15" t="s">
        <v>2025</v>
      </c>
      <c r="B1968" s="16" t="n">
        <v>45997</v>
      </c>
      <c r="C1968" s="15" t="s">
        <v>56</v>
      </c>
      <c r="D1968" s="15" t="s">
        <v>43</v>
      </c>
      <c r="E1968" s="15" t="s">
        <v>39</v>
      </c>
      <c r="F1968" s="15" t="s">
        <v>16</v>
      </c>
      <c r="G1968" s="15" t="s">
        <v>27</v>
      </c>
      <c r="H1968" s="15" t="n">
        <v>4</v>
      </c>
      <c r="I1968" s="17" t="n">
        <v>0.2</v>
      </c>
      <c r="J1968" s="18" t="n">
        <v>194.51</v>
      </c>
      <c r="K1968" s="19" t="n">
        <v>-1.13</v>
      </c>
      <c r="L1968" s="15" t="n">
        <f aca="false">YEAR(B1968)</f>
        <v>2025</v>
      </c>
      <c r="M1968" s="20" t="n">
        <f aca="false">IF(J1968&gt;0,K1968/J1968,0)</f>
        <v>-0.0058094699501311</v>
      </c>
    </row>
    <row r="1969" customFormat="false" ht="15" hidden="false" customHeight="false" outlineLevel="0" collapsed="false">
      <c r="A1969" s="15" t="s">
        <v>2026</v>
      </c>
      <c r="B1969" s="16" t="n">
        <v>45995</v>
      </c>
      <c r="C1969" s="15" t="s">
        <v>58</v>
      </c>
      <c r="D1969" s="15" t="s">
        <v>42</v>
      </c>
      <c r="E1969" s="15" t="s">
        <v>36</v>
      </c>
      <c r="F1969" s="15" t="s">
        <v>17</v>
      </c>
      <c r="G1969" s="15" t="s">
        <v>28</v>
      </c>
      <c r="H1969" s="15" t="n">
        <v>2</v>
      </c>
      <c r="I1969" s="17" t="n">
        <v>0</v>
      </c>
      <c r="J1969" s="18" t="n">
        <v>58.53</v>
      </c>
      <c r="K1969" s="19" t="n">
        <v>14.81</v>
      </c>
      <c r="L1969" s="15" t="n">
        <f aca="false">YEAR(B1969)</f>
        <v>2025</v>
      </c>
      <c r="M1969" s="20" t="n">
        <f aca="false">IF(J1969&gt;0,K1969/J1969,0)</f>
        <v>0.253032632837861</v>
      </c>
    </row>
    <row r="1970" customFormat="false" ht="15" hidden="false" customHeight="false" outlineLevel="0" collapsed="false">
      <c r="A1970" s="15" t="s">
        <v>2027</v>
      </c>
      <c r="B1970" s="16" t="n">
        <v>44919</v>
      </c>
      <c r="C1970" s="15" t="s">
        <v>56</v>
      </c>
      <c r="D1970" s="15" t="s">
        <v>42</v>
      </c>
      <c r="E1970" s="15" t="s">
        <v>39</v>
      </c>
      <c r="F1970" s="15" t="s">
        <v>17</v>
      </c>
      <c r="G1970" s="15" t="s">
        <v>28</v>
      </c>
      <c r="H1970" s="15" t="n">
        <v>3</v>
      </c>
      <c r="I1970" s="17" t="n">
        <v>0.1</v>
      </c>
      <c r="J1970" s="18" t="n">
        <v>79.88</v>
      </c>
      <c r="K1970" s="19" t="n">
        <v>15.92</v>
      </c>
      <c r="L1970" s="15" t="n">
        <f aca="false">YEAR(B1970)</f>
        <v>2022</v>
      </c>
      <c r="M1970" s="20" t="n">
        <f aca="false">IF(J1970&gt;0,K1970/J1970,0)</f>
        <v>0.199298948422634</v>
      </c>
    </row>
    <row r="1971" customFormat="false" ht="15" hidden="false" customHeight="false" outlineLevel="0" collapsed="false">
      <c r="A1971" s="15" t="s">
        <v>2028</v>
      </c>
      <c r="B1971" s="16" t="n">
        <v>45271</v>
      </c>
      <c r="C1971" s="15" t="s">
        <v>56</v>
      </c>
      <c r="D1971" s="15" t="s">
        <v>42</v>
      </c>
      <c r="E1971" s="15" t="s">
        <v>36</v>
      </c>
      <c r="F1971" s="15" t="s">
        <v>16</v>
      </c>
      <c r="G1971" s="15" t="s">
        <v>25</v>
      </c>
      <c r="H1971" s="15" t="n">
        <v>4</v>
      </c>
      <c r="I1971" s="17" t="n">
        <v>0.1</v>
      </c>
      <c r="J1971" s="18" t="n">
        <v>877.47</v>
      </c>
      <c r="K1971" s="19" t="n">
        <v>-26.85</v>
      </c>
      <c r="L1971" s="15" t="n">
        <f aca="false">YEAR(B1971)</f>
        <v>2023</v>
      </c>
      <c r="M1971" s="20" t="n">
        <f aca="false">IF(J1971&gt;0,K1971/J1971,0)</f>
        <v>-0.0305993367294608</v>
      </c>
    </row>
    <row r="1972" customFormat="false" ht="15" hidden="false" customHeight="false" outlineLevel="0" collapsed="false">
      <c r="A1972" s="15" t="s">
        <v>2029</v>
      </c>
      <c r="B1972" s="16" t="n">
        <v>44746</v>
      </c>
      <c r="C1972" s="15" t="s">
        <v>56</v>
      </c>
      <c r="D1972" s="15" t="s">
        <v>42</v>
      </c>
      <c r="E1972" s="15" t="s">
        <v>38</v>
      </c>
      <c r="F1972" s="15" t="s">
        <v>17</v>
      </c>
      <c r="G1972" s="15" t="s">
        <v>26</v>
      </c>
      <c r="H1972" s="15" t="n">
        <v>2</v>
      </c>
      <c r="I1972" s="17" t="n">
        <v>0</v>
      </c>
      <c r="J1972" s="18" t="n">
        <v>155.83</v>
      </c>
      <c r="K1972" s="19" t="n">
        <v>17.47</v>
      </c>
      <c r="L1972" s="15" t="n">
        <f aca="false">YEAR(B1972)</f>
        <v>2022</v>
      </c>
      <c r="M1972" s="20" t="n">
        <f aca="false">IF(J1972&gt;0,K1972/J1972,0)</f>
        <v>0.112109349932619</v>
      </c>
    </row>
    <row r="1973" customFormat="false" ht="15" hidden="false" customHeight="false" outlineLevel="0" collapsed="false">
      <c r="A1973" s="15" t="s">
        <v>2030</v>
      </c>
      <c r="B1973" s="16" t="n">
        <v>45002</v>
      </c>
      <c r="C1973" s="15" t="s">
        <v>56</v>
      </c>
      <c r="D1973" s="15" t="s">
        <v>42</v>
      </c>
      <c r="E1973" s="15" t="s">
        <v>39</v>
      </c>
      <c r="F1973" s="15" t="s">
        <v>18</v>
      </c>
      <c r="G1973" s="15" t="s">
        <v>32</v>
      </c>
      <c r="H1973" s="15" t="n">
        <v>5</v>
      </c>
      <c r="I1973" s="17" t="n">
        <v>0</v>
      </c>
      <c r="J1973" s="18" t="n">
        <v>1887.41</v>
      </c>
      <c r="K1973" s="19" t="n">
        <v>531.05</v>
      </c>
      <c r="L1973" s="15" t="n">
        <f aca="false">YEAR(B1973)</f>
        <v>2023</v>
      </c>
      <c r="M1973" s="20" t="n">
        <f aca="false">IF(J1973&gt;0,K1973/J1973,0)</f>
        <v>0.281364409428794</v>
      </c>
    </row>
    <row r="1974" customFormat="false" ht="15" hidden="false" customHeight="false" outlineLevel="0" collapsed="false">
      <c r="A1974" s="15" t="s">
        <v>2031</v>
      </c>
      <c r="B1974" s="16" t="n">
        <v>45926</v>
      </c>
      <c r="C1974" s="15" t="s">
        <v>56</v>
      </c>
      <c r="D1974" s="15" t="s">
        <v>43</v>
      </c>
      <c r="E1974" s="15" t="s">
        <v>36</v>
      </c>
      <c r="F1974" s="15" t="s">
        <v>16</v>
      </c>
      <c r="G1974" s="15" t="s">
        <v>27</v>
      </c>
      <c r="H1974" s="15" t="n">
        <v>2</v>
      </c>
      <c r="I1974" s="17" t="n">
        <v>0.1</v>
      </c>
      <c r="J1974" s="18" t="n">
        <v>128.65</v>
      </c>
      <c r="K1974" s="19" t="n">
        <v>23.5</v>
      </c>
      <c r="L1974" s="15" t="n">
        <f aca="false">YEAR(B1974)</f>
        <v>2025</v>
      </c>
      <c r="M1974" s="20" t="n">
        <f aca="false">IF(J1974&gt;0,K1974/J1974,0)</f>
        <v>0.182666148464827</v>
      </c>
    </row>
    <row r="1975" customFormat="false" ht="15" hidden="false" customHeight="false" outlineLevel="0" collapsed="false">
      <c r="A1975" s="15" t="s">
        <v>2032</v>
      </c>
      <c r="B1975" s="16" t="n">
        <v>45269</v>
      </c>
      <c r="C1975" s="15" t="s">
        <v>68</v>
      </c>
      <c r="D1975" s="15" t="s">
        <v>42</v>
      </c>
      <c r="E1975" s="15" t="s">
        <v>37</v>
      </c>
      <c r="F1975" s="15" t="s">
        <v>18</v>
      </c>
      <c r="G1975" s="15" t="s">
        <v>33</v>
      </c>
      <c r="H1975" s="15" t="n">
        <v>1</v>
      </c>
      <c r="I1975" s="17" t="n">
        <v>0.2</v>
      </c>
      <c r="J1975" s="18" t="n">
        <v>766.62</v>
      </c>
      <c r="K1975" s="19" t="n">
        <v>87.41</v>
      </c>
      <c r="L1975" s="15" t="n">
        <f aca="false">YEAR(B1975)</f>
        <v>2023</v>
      </c>
      <c r="M1975" s="20" t="n">
        <f aca="false">IF(J1975&gt;0,K1975/J1975,0)</f>
        <v>0.114019983825102</v>
      </c>
    </row>
    <row r="1976" customFormat="false" ht="15" hidden="false" customHeight="false" outlineLevel="0" collapsed="false">
      <c r="A1976" s="15" t="s">
        <v>2033</v>
      </c>
      <c r="B1976" s="16" t="n">
        <v>45623</v>
      </c>
      <c r="C1976" s="15" t="s">
        <v>56</v>
      </c>
      <c r="D1976" s="15" t="s">
        <v>42</v>
      </c>
      <c r="E1976" s="15" t="s">
        <v>37</v>
      </c>
      <c r="F1976" s="15" t="s">
        <v>18</v>
      </c>
      <c r="G1976" s="15" t="s">
        <v>32</v>
      </c>
      <c r="H1976" s="15" t="n">
        <v>1</v>
      </c>
      <c r="I1976" s="17" t="n">
        <v>0</v>
      </c>
      <c r="J1976" s="18" t="n">
        <v>383.46</v>
      </c>
      <c r="K1976" s="19" t="n">
        <v>69.38</v>
      </c>
      <c r="L1976" s="15" t="n">
        <f aca="false">YEAR(B1976)</f>
        <v>2024</v>
      </c>
      <c r="M1976" s="20" t="n">
        <f aca="false">IF(J1976&gt;0,K1976/J1976,0)</f>
        <v>0.180931518280916</v>
      </c>
    </row>
    <row r="1977" customFormat="false" ht="15" hidden="false" customHeight="false" outlineLevel="0" collapsed="false">
      <c r="A1977" s="15" t="s">
        <v>2034</v>
      </c>
      <c r="B1977" s="16" t="n">
        <v>44681</v>
      </c>
      <c r="C1977" s="15" t="s">
        <v>71</v>
      </c>
      <c r="D1977" s="15" t="s">
        <v>42</v>
      </c>
      <c r="E1977" s="15" t="s">
        <v>38</v>
      </c>
      <c r="F1977" s="15" t="s">
        <v>17</v>
      </c>
      <c r="G1977" s="15" t="s">
        <v>28</v>
      </c>
      <c r="H1977" s="15" t="n">
        <v>3</v>
      </c>
      <c r="I1977" s="17" t="n">
        <v>0.3</v>
      </c>
      <c r="J1977" s="18" t="n">
        <v>52.53</v>
      </c>
      <c r="K1977" s="19" t="n">
        <v>3.6</v>
      </c>
      <c r="L1977" s="15" t="n">
        <f aca="false">YEAR(B1977)</f>
        <v>2022</v>
      </c>
      <c r="M1977" s="20" t="n">
        <f aca="false">IF(J1977&gt;0,K1977/J1977,0)</f>
        <v>0.0685322672758424</v>
      </c>
    </row>
    <row r="1978" customFormat="false" ht="15" hidden="false" customHeight="false" outlineLevel="0" collapsed="false">
      <c r="A1978" s="15" t="s">
        <v>2035</v>
      </c>
      <c r="B1978" s="16" t="n">
        <v>45365</v>
      </c>
      <c r="C1978" s="15" t="s">
        <v>71</v>
      </c>
      <c r="D1978" s="15" t="s">
        <v>43</v>
      </c>
      <c r="E1978" s="15" t="s">
        <v>39</v>
      </c>
      <c r="F1978" s="15" t="s">
        <v>17</v>
      </c>
      <c r="G1978" s="15" t="s">
        <v>29</v>
      </c>
      <c r="H1978" s="15" t="n">
        <v>4</v>
      </c>
      <c r="I1978" s="17" t="n">
        <v>0.2</v>
      </c>
      <c r="J1978" s="18" t="n">
        <v>78.51</v>
      </c>
      <c r="K1978" s="19" t="n">
        <v>13.05</v>
      </c>
      <c r="L1978" s="15" t="n">
        <f aca="false">YEAR(B1978)</f>
        <v>2024</v>
      </c>
      <c r="M1978" s="20" t="n">
        <f aca="false">IF(J1978&gt;0,K1978/J1978,0)</f>
        <v>0.166220863584257</v>
      </c>
    </row>
    <row r="1979" customFormat="false" ht="15" hidden="false" customHeight="false" outlineLevel="0" collapsed="false">
      <c r="A1979" s="15" t="s">
        <v>2036</v>
      </c>
      <c r="B1979" s="16" t="n">
        <v>45869</v>
      </c>
      <c r="C1979" s="15" t="s">
        <v>56</v>
      </c>
      <c r="D1979" s="15" t="s">
        <v>43</v>
      </c>
      <c r="E1979" s="15" t="s">
        <v>37</v>
      </c>
      <c r="F1979" s="15" t="s">
        <v>17</v>
      </c>
      <c r="G1979" s="15" t="s">
        <v>26</v>
      </c>
      <c r="H1979" s="15" t="n">
        <v>3</v>
      </c>
      <c r="I1979" s="17" t="n">
        <v>0.15</v>
      </c>
      <c r="J1979" s="18" t="n">
        <v>200.87</v>
      </c>
      <c r="K1979" s="19" t="n">
        <v>-4.75</v>
      </c>
      <c r="L1979" s="15" t="n">
        <f aca="false">YEAR(B1979)</f>
        <v>2025</v>
      </c>
      <c r="M1979" s="20" t="n">
        <f aca="false">IF(J1979&gt;0,K1979/J1979,0)</f>
        <v>-0.0236471349629113</v>
      </c>
    </row>
    <row r="1980" customFormat="false" ht="15" hidden="false" customHeight="false" outlineLevel="0" collapsed="false">
      <c r="A1980" s="15" t="s">
        <v>2037</v>
      </c>
      <c r="B1980" s="16" t="n">
        <v>45912</v>
      </c>
      <c r="C1980" s="15" t="s">
        <v>68</v>
      </c>
      <c r="D1980" s="15" t="s">
        <v>42</v>
      </c>
      <c r="E1980" s="15" t="s">
        <v>38</v>
      </c>
      <c r="F1980" s="15" t="s">
        <v>18</v>
      </c>
      <c r="G1980" s="15" t="s">
        <v>30</v>
      </c>
      <c r="H1980" s="15" t="n">
        <v>6</v>
      </c>
      <c r="I1980" s="17" t="n">
        <v>0</v>
      </c>
      <c r="J1980" s="18" t="n">
        <v>251.25</v>
      </c>
      <c r="K1980" s="19" t="n">
        <v>78.67</v>
      </c>
      <c r="L1980" s="15" t="n">
        <f aca="false">YEAR(B1980)</f>
        <v>2025</v>
      </c>
      <c r="M1980" s="20" t="n">
        <f aca="false">IF(J1980&gt;0,K1980/J1980,0)</f>
        <v>0.313114427860697</v>
      </c>
    </row>
    <row r="1981" customFormat="false" ht="15" hidden="false" customHeight="false" outlineLevel="0" collapsed="false">
      <c r="A1981" s="15" t="s">
        <v>2038</v>
      </c>
      <c r="B1981" s="16" t="n">
        <v>44623</v>
      </c>
      <c r="C1981" s="15" t="s">
        <v>68</v>
      </c>
      <c r="D1981" s="15" t="s">
        <v>42</v>
      </c>
      <c r="E1981" s="15" t="s">
        <v>36</v>
      </c>
      <c r="F1981" s="15" t="s">
        <v>16</v>
      </c>
      <c r="G1981" s="15" t="s">
        <v>27</v>
      </c>
      <c r="H1981" s="15" t="n">
        <v>5</v>
      </c>
      <c r="I1981" s="17" t="n">
        <v>0.1</v>
      </c>
      <c r="J1981" s="18" t="n">
        <v>271.47</v>
      </c>
      <c r="K1981" s="19" t="n">
        <v>36.43</v>
      </c>
      <c r="L1981" s="15" t="n">
        <f aca="false">YEAR(B1981)</f>
        <v>2022</v>
      </c>
      <c r="M1981" s="20" t="n">
        <f aca="false">IF(J1981&gt;0,K1981/J1981,0)</f>
        <v>0.134195307032085</v>
      </c>
    </row>
    <row r="1982" customFormat="false" ht="15" hidden="false" customHeight="false" outlineLevel="0" collapsed="false">
      <c r="A1982" s="15" t="s">
        <v>2039</v>
      </c>
      <c r="B1982" s="16" t="n">
        <v>44680</v>
      </c>
      <c r="C1982" s="15" t="s">
        <v>56</v>
      </c>
      <c r="D1982" s="15" t="s">
        <v>42</v>
      </c>
      <c r="E1982" s="15" t="s">
        <v>38</v>
      </c>
      <c r="F1982" s="15" t="s">
        <v>17</v>
      </c>
      <c r="G1982" s="15" t="s">
        <v>28</v>
      </c>
      <c r="H1982" s="15" t="n">
        <v>2</v>
      </c>
      <c r="I1982" s="17" t="n">
        <v>0</v>
      </c>
      <c r="J1982" s="18" t="n">
        <v>49.51</v>
      </c>
      <c r="K1982" s="19" t="n">
        <v>14.8</v>
      </c>
      <c r="L1982" s="15" t="n">
        <f aca="false">YEAR(B1982)</f>
        <v>2022</v>
      </c>
      <c r="M1982" s="20" t="n">
        <f aca="false">IF(J1982&gt;0,K1982/J1982,0)</f>
        <v>0.298929509190063</v>
      </c>
    </row>
    <row r="1983" customFormat="false" ht="15" hidden="false" customHeight="false" outlineLevel="0" collapsed="false">
      <c r="A1983" s="15" t="s">
        <v>2040</v>
      </c>
      <c r="B1983" s="16" t="n">
        <v>44887</v>
      </c>
      <c r="C1983" s="15" t="s">
        <v>68</v>
      </c>
      <c r="D1983" s="15" t="s">
        <v>43</v>
      </c>
      <c r="E1983" s="15" t="s">
        <v>38</v>
      </c>
      <c r="F1983" s="15" t="s">
        <v>17</v>
      </c>
      <c r="G1983" s="15" t="s">
        <v>26</v>
      </c>
      <c r="H1983" s="15" t="n">
        <v>2</v>
      </c>
      <c r="I1983" s="17" t="n">
        <v>0.3</v>
      </c>
      <c r="J1983" s="18" t="n">
        <v>94.82</v>
      </c>
      <c r="K1983" s="19" t="n">
        <v>-12.56</v>
      </c>
      <c r="L1983" s="15" t="n">
        <f aca="false">YEAR(B1983)</f>
        <v>2022</v>
      </c>
      <c r="M1983" s="20" t="n">
        <f aca="false">IF(J1983&gt;0,K1983/J1983,0)</f>
        <v>-0.13246150601139</v>
      </c>
    </row>
    <row r="1984" customFormat="false" ht="15" hidden="false" customHeight="false" outlineLevel="0" collapsed="false">
      <c r="A1984" s="15" t="s">
        <v>2041</v>
      </c>
      <c r="B1984" s="16" t="n">
        <v>45496</v>
      </c>
      <c r="C1984" s="15" t="s">
        <v>56</v>
      </c>
      <c r="D1984" s="15" t="s">
        <v>44</v>
      </c>
      <c r="E1984" s="15" t="s">
        <v>39</v>
      </c>
      <c r="F1984" s="15" t="s">
        <v>17</v>
      </c>
      <c r="G1984" s="15" t="s">
        <v>31</v>
      </c>
      <c r="H1984" s="15" t="n">
        <v>3</v>
      </c>
      <c r="I1984" s="17" t="n">
        <v>0.15</v>
      </c>
      <c r="J1984" s="18" t="n">
        <v>303.02</v>
      </c>
      <c r="K1984" s="19" t="n">
        <v>38.37</v>
      </c>
      <c r="L1984" s="15" t="n">
        <f aca="false">YEAR(B1984)</f>
        <v>2024</v>
      </c>
      <c r="M1984" s="20" t="n">
        <f aca="false">IF(J1984&gt;0,K1984/J1984,0)</f>
        <v>0.126625305260379</v>
      </c>
    </row>
    <row r="1985" customFormat="false" ht="15" hidden="false" customHeight="false" outlineLevel="0" collapsed="false">
      <c r="A1985" s="15" t="s">
        <v>2042</v>
      </c>
      <c r="B1985" s="16" t="n">
        <v>45206</v>
      </c>
      <c r="C1985" s="15" t="s">
        <v>71</v>
      </c>
      <c r="D1985" s="15" t="s">
        <v>42</v>
      </c>
      <c r="E1985" s="15" t="s">
        <v>37</v>
      </c>
      <c r="F1985" s="15" t="s">
        <v>17</v>
      </c>
      <c r="G1985" s="15" t="s">
        <v>26</v>
      </c>
      <c r="H1985" s="15" t="n">
        <v>3</v>
      </c>
      <c r="I1985" s="17" t="n">
        <v>0.2</v>
      </c>
      <c r="J1985" s="18" t="n">
        <v>206.26</v>
      </c>
      <c r="K1985" s="19" t="n">
        <v>-12.39</v>
      </c>
      <c r="L1985" s="15" t="n">
        <f aca="false">YEAR(B1985)</f>
        <v>2023</v>
      </c>
      <c r="M1985" s="20" t="n">
        <f aca="false">IF(J1985&gt;0,K1985/J1985,0)</f>
        <v>-0.0600698147968583</v>
      </c>
    </row>
    <row r="1986" customFormat="false" ht="15" hidden="false" customHeight="false" outlineLevel="0" collapsed="false">
      <c r="A1986" s="15" t="s">
        <v>2043</v>
      </c>
      <c r="B1986" s="16" t="n">
        <v>45993</v>
      </c>
      <c r="C1986" s="15" t="s">
        <v>71</v>
      </c>
      <c r="D1986" s="15" t="s">
        <v>43</v>
      </c>
      <c r="E1986" s="15" t="s">
        <v>37</v>
      </c>
      <c r="F1986" s="15" t="s">
        <v>18</v>
      </c>
      <c r="G1986" s="15" t="s">
        <v>32</v>
      </c>
      <c r="H1986" s="15" t="n">
        <v>2</v>
      </c>
      <c r="I1986" s="17" t="n">
        <v>0.1</v>
      </c>
      <c r="J1986" s="18" t="n">
        <v>863</v>
      </c>
      <c r="K1986" s="19" t="n">
        <v>66.16</v>
      </c>
      <c r="L1986" s="15" t="n">
        <f aca="false">YEAR(B1986)</f>
        <v>2025</v>
      </c>
      <c r="M1986" s="20" t="n">
        <f aca="false">IF(J1986&gt;0,K1986/J1986,0)</f>
        <v>0.0766628041714948</v>
      </c>
    </row>
    <row r="1987" customFormat="false" ht="15" hidden="false" customHeight="false" outlineLevel="0" collapsed="false">
      <c r="A1987" s="15" t="s">
        <v>2044</v>
      </c>
      <c r="B1987" s="16" t="n">
        <v>45599</v>
      </c>
      <c r="C1987" s="15" t="s">
        <v>71</v>
      </c>
      <c r="D1987" s="15" t="s">
        <v>42</v>
      </c>
      <c r="E1987" s="15" t="s">
        <v>39</v>
      </c>
      <c r="F1987" s="15" t="s">
        <v>17</v>
      </c>
      <c r="G1987" s="15" t="s">
        <v>26</v>
      </c>
      <c r="H1987" s="15" t="n">
        <v>1</v>
      </c>
      <c r="I1987" s="17" t="n">
        <v>0.05</v>
      </c>
      <c r="J1987" s="18" t="n">
        <v>84.64</v>
      </c>
      <c r="K1987" s="19" t="n">
        <v>3.26</v>
      </c>
      <c r="L1987" s="15" t="n">
        <f aca="false">YEAR(B1987)</f>
        <v>2024</v>
      </c>
      <c r="M1987" s="20" t="n">
        <f aca="false">IF(J1987&gt;0,K1987/J1987,0)</f>
        <v>0.0385160680529301</v>
      </c>
    </row>
    <row r="1988" customFormat="false" ht="15" hidden="false" customHeight="false" outlineLevel="0" collapsed="false">
      <c r="A1988" s="15" t="s">
        <v>2045</v>
      </c>
      <c r="B1988" s="16" t="n">
        <v>45885</v>
      </c>
      <c r="C1988" s="15" t="s">
        <v>56</v>
      </c>
      <c r="D1988" s="15" t="s">
        <v>43</v>
      </c>
      <c r="E1988" s="15" t="s">
        <v>36</v>
      </c>
      <c r="F1988" s="15" t="s">
        <v>17</v>
      </c>
      <c r="G1988" s="15" t="s">
        <v>28</v>
      </c>
      <c r="H1988" s="15" t="n">
        <v>2</v>
      </c>
      <c r="I1988" s="17" t="n">
        <v>0</v>
      </c>
      <c r="J1988" s="18" t="n">
        <v>53.3</v>
      </c>
      <c r="K1988" s="19" t="n">
        <v>15.69</v>
      </c>
      <c r="L1988" s="15" t="n">
        <f aca="false">YEAR(B1988)</f>
        <v>2025</v>
      </c>
      <c r="M1988" s="20" t="n">
        <f aca="false">IF(J1988&gt;0,K1988/J1988,0)</f>
        <v>0.29437148217636</v>
      </c>
    </row>
    <row r="1989" customFormat="false" ht="15" hidden="false" customHeight="false" outlineLevel="0" collapsed="false">
      <c r="A1989" s="15" t="s">
        <v>2046</v>
      </c>
      <c r="B1989" s="16" t="n">
        <v>45528</v>
      </c>
      <c r="C1989" s="15" t="s">
        <v>68</v>
      </c>
      <c r="D1989" s="15" t="s">
        <v>44</v>
      </c>
      <c r="E1989" s="15" t="s">
        <v>39</v>
      </c>
      <c r="F1989" s="15" t="s">
        <v>17</v>
      </c>
      <c r="G1989" s="15" t="s">
        <v>29</v>
      </c>
      <c r="H1989" s="15" t="n">
        <v>7</v>
      </c>
      <c r="I1989" s="17" t="n">
        <v>0</v>
      </c>
      <c r="J1989" s="18" t="n">
        <v>181.78</v>
      </c>
      <c r="K1989" s="19" t="n">
        <v>76.44</v>
      </c>
      <c r="L1989" s="15" t="n">
        <f aca="false">YEAR(B1989)</f>
        <v>2024</v>
      </c>
      <c r="M1989" s="20" t="n">
        <f aca="false">IF(J1989&gt;0,K1989/J1989,0)</f>
        <v>0.420508306744416</v>
      </c>
    </row>
    <row r="1990" customFormat="false" ht="15" hidden="false" customHeight="false" outlineLevel="0" collapsed="false">
      <c r="A1990" s="15" t="s">
        <v>2047</v>
      </c>
      <c r="B1990" s="16" t="n">
        <v>44805</v>
      </c>
      <c r="C1990" s="15" t="s">
        <v>68</v>
      </c>
      <c r="D1990" s="15" t="s">
        <v>43</v>
      </c>
      <c r="E1990" s="15" t="s">
        <v>37</v>
      </c>
      <c r="F1990" s="15" t="s">
        <v>18</v>
      </c>
      <c r="G1990" s="15" t="s">
        <v>30</v>
      </c>
      <c r="H1990" s="15" t="n">
        <v>4</v>
      </c>
      <c r="I1990" s="17" t="n">
        <v>0.2</v>
      </c>
      <c r="J1990" s="18" t="n">
        <v>188.52</v>
      </c>
      <c r="K1990" s="19" t="n">
        <v>24.46</v>
      </c>
      <c r="L1990" s="15" t="n">
        <f aca="false">YEAR(B1990)</f>
        <v>2022</v>
      </c>
      <c r="M1990" s="20" t="n">
        <f aca="false">IF(J1990&gt;0,K1990/J1990,0)</f>
        <v>0.12974750689582</v>
      </c>
    </row>
    <row r="1991" customFormat="false" ht="15" hidden="false" customHeight="false" outlineLevel="0" collapsed="false">
      <c r="A1991" s="15" t="s">
        <v>2048</v>
      </c>
      <c r="B1991" s="16" t="n">
        <v>45205</v>
      </c>
      <c r="C1991" s="15" t="s">
        <v>56</v>
      </c>
      <c r="D1991" s="15" t="s">
        <v>43</v>
      </c>
      <c r="E1991" s="15" t="s">
        <v>39</v>
      </c>
      <c r="F1991" s="15" t="s">
        <v>17</v>
      </c>
      <c r="G1991" s="15" t="s">
        <v>26</v>
      </c>
      <c r="H1991" s="15" t="n">
        <v>3</v>
      </c>
      <c r="I1991" s="17" t="n">
        <v>0.05</v>
      </c>
      <c r="J1991" s="18" t="n">
        <v>254.19</v>
      </c>
      <c r="K1991" s="19" t="n">
        <v>-3.92</v>
      </c>
      <c r="L1991" s="15" t="n">
        <f aca="false">YEAR(B1991)</f>
        <v>2023</v>
      </c>
      <c r="M1991" s="20" t="n">
        <f aca="false">IF(J1991&gt;0,K1991/J1991,0)</f>
        <v>-0.0154215350721901</v>
      </c>
    </row>
    <row r="1992" customFormat="false" ht="15" hidden="false" customHeight="false" outlineLevel="0" collapsed="false">
      <c r="A1992" s="15" t="s">
        <v>2049</v>
      </c>
      <c r="B1992" s="16" t="n">
        <v>45651</v>
      </c>
      <c r="C1992" s="15" t="s">
        <v>68</v>
      </c>
      <c r="D1992" s="15" t="s">
        <v>42</v>
      </c>
      <c r="E1992" s="15" t="s">
        <v>36</v>
      </c>
      <c r="F1992" s="15" t="s">
        <v>16</v>
      </c>
      <c r="G1992" s="15" t="s">
        <v>22</v>
      </c>
      <c r="H1992" s="15" t="n">
        <v>3</v>
      </c>
      <c r="I1992" s="17" t="n">
        <v>0</v>
      </c>
      <c r="J1992" s="18" t="n">
        <v>1506.41</v>
      </c>
      <c r="K1992" s="19" t="n">
        <v>-93.29</v>
      </c>
      <c r="L1992" s="15" t="n">
        <f aca="false">YEAR(B1992)</f>
        <v>2024</v>
      </c>
      <c r="M1992" s="20" t="n">
        <f aca="false">IF(J1992&gt;0,K1992/J1992,0)</f>
        <v>-0.0619286913921177</v>
      </c>
    </row>
    <row r="1993" customFormat="false" ht="15" hidden="false" customHeight="false" outlineLevel="0" collapsed="false">
      <c r="A1993" s="15" t="s">
        <v>2050</v>
      </c>
      <c r="B1993" s="16" t="n">
        <v>45808</v>
      </c>
      <c r="C1993" s="15" t="s">
        <v>56</v>
      </c>
      <c r="D1993" s="15" t="s">
        <v>43</v>
      </c>
      <c r="E1993" s="15" t="s">
        <v>38</v>
      </c>
      <c r="F1993" s="15" t="s">
        <v>18</v>
      </c>
      <c r="G1993" s="15" t="s">
        <v>30</v>
      </c>
      <c r="H1993" s="15" t="n">
        <v>4</v>
      </c>
      <c r="I1993" s="17" t="n">
        <v>0</v>
      </c>
      <c r="J1993" s="18" t="n">
        <v>168.25</v>
      </c>
      <c r="K1993" s="19" t="n">
        <v>51.02</v>
      </c>
      <c r="L1993" s="15" t="n">
        <f aca="false">YEAR(B1993)</f>
        <v>2025</v>
      </c>
      <c r="M1993" s="20" t="n">
        <f aca="false">IF(J1993&gt;0,K1993/J1993,0)</f>
        <v>0.303239227340268</v>
      </c>
    </row>
    <row r="1994" customFormat="false" ht="15" hidden="false" customHeight="false" outlineLevel="0" collapsed="false">
      <c r="A1994" s="15" t="s">
        <v>2051</v>
      </c>
      <c r="B1994" s="16" t="n">
        <v>45850</v>
      </c>
      <c r="C1994" s="15" t="s">
        <v>71</v>
      </c>
      <c r="D1994" s="15" t="s">
        <v>44</v>
      </c>
      <c r="E1994" s="15" t="s">
        <v>39</v>
      </c>
      <c r="F1994" s="15" t="s">
        <v>18</v>
      </c>
      <c r="G1994" s="15" t="s">
        <v>33</v>
      </c>
      <c r="H1994" s="15" t="n">
        <v>5</v>
      </c>
      <c r="I1994" s="17" t="n">
        <v>0.05</v>
      </c>
      <c r="J1994" s="18" t="n">
        <v>3815.73</v>
      </c>
      <c r="K1994" s="19" t="n">
        <v>913.87</v>
      </c>
      <c r="L1994" s="15" t="n">
        <f aca="false">YEAR(B1994)</f>
        <v>2025</v>
      </c>
      <c r="M1994" s="20" t="n">
        <f aca="false">IF(J1994&gt;0,K1994/J1994,0)</f>
        <v>0.239500698424679</v>
      </c>
    </row>
    <row r="1995" customFormat="false" ht="15" hidden="false" customHeight="false" outlineLevel="0" collapsed="false">
      <c r="A1995" s="15" t="s">
        <v>2052</v>
      </c>
      <c r="B1995" s="16" t="n">
        <v>44876</v>
      </c>
      <c r="C1995" s="15" t="s">
        <v>56</v>
      </c>
      <c r="D1995" s="15" t="s">
        <v>42</v>
      </c>
      <c r="E1995" s="15" t="s">
        <v>37</v>
      </c>
      <c r="F1995" s="15" t="s">
        <v>18</v>
      </c>
      <c r="G1995" s="15" t="s">
        <v>24</v>
      </c>
      <c r="H1995" s="15" t="n">
        <v>3</v>
      </c>
      <c r="I1995" s="17" t="n">
        <v>0.3</v>
      </c>
      <c r="J1995" s="18" t="n">
        <v>1342.24</v>
      </c>
      <c r="K1995" s="19" t="n">
        <v>-297.66</v>
      </c>
      <c r="L1995" s="15" t="n">
        <f aca="false">YEAR(B1995)</f>
        <v>2022</v>
      </c>
      <c r="M1995" s="20" t="n">
        <f aca="false">IF(J1995&gt;0,K1995/J1995,0)</f>
        <v>-0.221763619024914</v>
      </c>
    </row>
    <row r="1996" customFormat="false" ht="15" hidden="false" customHeight="false" outlineLevel="0" collapsed="false">
      <c r="A1996" s="15" t="s">
        <v>2053</v>
      </c>
      <c r="B1996" s="16" t="n">
        <v>45846</v>
      </c>
      <c r="C1996" s="15" t="s">
        <v>56</v>
      </c>
      <c r="D1996" s="15" t="s">
        <v>44</v>
      </c>
      <c r="E1996" s="15" t="s">
        <v>36</v>
      </c>
      <c r="F1996" s="15" t="s">
        <v>18</v>
      </c>
      <c r="G1996" s="15" t="s">
        <v>30</v>
      </c>
      <c r="H1996" s="15" t="n">
        <v>3</v>
      </c>
      <c r="I1996" s="17" t="n">
        <v>0</v>
      </c>
      <c r="J1996" s="18" t="n">
        <v>119.36</v>
      </c>
      <c r="K1996" s="19" t="n">
        <v>34.14</v>
      </c>
      <c r="L1996" s="15" t="n">
        <f aca="false">YEAR(B1996)</f>
        <v>2025</v>
      </c>
      <c r="M1996" s="20" t="n">
        <f aca="false">IF(J1996&gt;0,K1996/J1996,0)</f>
        <v>0.286025469168901</v>
      </c>
    </row>
    <row r="1997" customFormat="false" ht="15" hidden="false" customHeight="false" outlineLevel="0" collapsed="false">
      <c r="A1997" s="15" t="s">
        <v>2054</v>
      </c>
      <c r="B1997" s="16" t="n">
        <v>45789</v>
      </c>
      <c r="C1997" s="15" t="s">
        <v>71</v>
      </c>
      <c r="D1997" s="15" t="s">
        <v>43</v>
      </c>
      <c r="E1997" s="15" t="s">
        <v>38</v>
      </c>
      <c r="F1997" s="15" t="s">
        <v>16</v>
      </c>
      <c r="G1997" s="15" t="s">
        <v>27</v>
      </c>
      <c r="H1997" s="15" t="n">
        <v>4</v>
      </c>
      <c r="I1997" s="17" t="n">
        <v>0.2</v>
      </c>
      <c r="J1997" s="18" t="n">
        <v>210.03</v>
      </c>
      <c r="K1997" s="19" t="n">
        <v>-5.67</v>
      </c>
      <c r="L1997" s="15" t="n">
        <f aca="false">YEAR(B1997)</f>
        <v>2025</v>
      </c>
      <c r="M1997" s="20" t="n">
        <f aca="false">IF(J1997&gt;0,K1997/J1997,0)</f>
        <v>-0.0269961434080846</v>
      </c>
    </row>
    <row r="1998" customFormat="false" ht="15" hidden="false" customHeight="false" outlineLevel="0" collapsed="false">
      <c r="A1998" s="15" t="s">
        <v>2055</v>
      </c>
      <c r="B1998" s="16" t="n">
        <v>45886</v>
      </c>
      <c r="C1998" s="15" t="s">
        <v>71</v>
      </c>
      <c r="D1998" s="15" t="s">
        <v>43</v>
      </c>
      <c r="E1998" s="15" t="s">
        <v>39</v>
      </c>
      <c r="F1998" s="15" t="s">
        <v>17</v>
      </c>
      <c r="G1998" s="15" t="s">
        <v>28</v>
      </c>
      <c r="H1998" s="15" t="n">
        <v>5</v>
      </c>
      <c r="I1998" s="17" t="n">
        <v>0</v>
      </c>
      <c r="J1998" s="18" t="n">
        <v>141.51</v>
      </c>
      <c r="K1998" s="19" t="n">
        <v>52.32</v>
      </c>
      <c r="L1998" s="15" t="n">
        <f aca="false">YEAR(B1998)</f>
        <v>2025</v>
      </c>
      <c r="M1998" s="20" t="n">
        <f aca="false">IF(J1998&gt;0,K1998/J1998,0)</f>
        <v>0.369726521093916</v>
      </c>
    </row>
    <row r="1999" customFormat="false" ht="15" hidden="false" customHeight="false" outlineLevel="0" collapsed="false">
      <c r="A1999" s="15" t="s">
        <v>2056</v>
      </c>
      <c r="B1999" s="16" t="n">
        <v>45372</v>
      </c>
      <c r="C1999" s="15" t="s">
        <v>56</v>
      </c>
      <c r="D1999" s="15" t="s">
        <v>42</v>
      </c>
      <c r="E1999" s="15" t="s">
        <v>37</v>
      </c>
      <c r="F1999" s="15" t="s">
        <v>17</v>
      </c>
      <c r="G1999" s="15" t="s">
        <v>29</v>
      </c>
      <c r="H1999" s="15" t="n">
        <v>1</v>
      </c>
      <c r="I1999" s="17" t="n">
        <v>0</v>
      </c>
      <c r="J1999" s="18" t="n">
        <v>19.59</v>
      </c>
      <c r="K1999" s="19" t="n">
        <v>8.36</v>
      </c>
      <c r="L1999" s="15" t="n">
        <f aca="false">YEAR(B1999)</f>
        <v>2024</v>
      </c>
      <c r="M1999" s="20" t="n">
        <f aca="false">IF(J1999&gt;0,K1999/J1999,0)</f>
        <v>0.426748340990301</v>
      </c>
    </row>
    <row r="2000" customFormat="false" ht="15" hidden="false" customHeight="false" outlineLevel="0" collapsed="false">
      <c r="A2000" s="15" t="s">
        <v>2057</v>
      </c>
      <c r="B2000" s="16" t="n">
        <v>44751</v>
      </c>
      <c r="C2000" s="15" t="s">
        <v>56</v>
      </c>
      <c r="D2000" s="15" t="s">
        <v>42</v>
      </c>
      <c r="E2000" s="15" t="s">
        <v>37</v>
      </c>
      <c r="F2000" s="15" t="s">
        <v>17</v>
      </c>
      <c r="G2000" s="15" t="s">
        <v>28</v>
      </c>
      <c r="H2000" s="15" t="n">
        <v>1</v>
      </c>
      <c r="I2000" s="17" t="n">
        <v>0.05</v>
      </c>
      <c r="J2000" s="18" t="n">
        <v>24.25</v>
      </c>
      <c r="K2000" s="19" t="n">
        <v>6.46</v>
      </c>
      <c r="L2000" s="15" t="n">
        <f aca="false">YEAR(B2000)</f>
        <v>2022</v>
      </c>
      <c r="M2000" s="20" t="n">
        <f aca="false">IF(J2000&gt;0,K2000/J2000,0)</f>
        <v>0.26639175257732</v>
      </c>
    </row>
    <row r="2001" customFormat="false" ht="15" hidden="false" customHeight="false" outlineLevel="0" collapsed="false">
      <c r="A2001" s="15" t="s">
        <v>2058</v>
      </c>
      <c r="B2001" s="16" t="n">
        <v>44969</v>
      </c>
      <c r="C2001" s="15" t="s">
        <v>56</v>
      </c>
      <c r="D2001" s="15" t="s">
        <v>42</v>
      </c>
      <c r="E2001" s="15" t="s">
        <v>36</v>
      </c>
      <c r="F2001" s="15" t="s">
        <v>18</v>
      </c>
      <c r="G2001" s="15" t="s">
        <v>30</v>
      </c>
      <c r="H2001" s="15" t="n">
        <v>4</v>
      </c>
      <c r="I2001" s="17" t="n">
        <v>0.05</v>
      </c>
      <c r="J2001" s="18" t="n">
        <v>147.01</v>
      </c>
      <c r="K2001" s="19" t="n">
        <v>32.22</v>
      </c>
      <c r="L2001" s="15" t="n">
        <f aca="false">YEAR(B2001)</f>
        <v>2023</v>
      </c>
      <c r="M2001" s="20" t="n">
        <f aca="false">IF(J2001&gt;0,K2001/J2001,0)</f>
        <v>0.219168764029658</v>
      </c>
    </row>
    <row r="2002" customFormat="false" ht="15" hidden="false" customHeight="false" outlineLevel="0" collapsed="false">
      <c r="A2002" s="15" t="s">
        <v>2059</v>
      </c>
      <c r="B2002" s="16" t="n">
        <v>45237</v>
      </c>
      <c r="C2002" s="15" t="s">
        <v>71</v>
      </c>
      <c r="D2002" s="15" t="s">
        <v>42</v>
      </c>
      <c r="E2002" s="15" t="s">
        <v>37</v>
      </c>
      <c r="F2002" s="15" t="s">
        <v>17</v>
      </c>
      <c r="G2002" s="15" t="s">
        <v>31</v>
      </c>
      <c r="H2002" s="15" t="n">
        <v>2</v>
      </c>
      <c r="I2002" s="17" t="n">
        <v>0</v>
      </c>
      <c r="J2002" s="18" t="n">
        <v>296.38</v>
      </c>
      <c r="K2002" s="19" t="n">
        <v>43.92</v>
      </c>
      <c r="L2002" s="15" t="n">
        <f aca="false">YEAR(B2002)</f>
        <v>2023</v>
      </c>
      <c r="M2002" s="20" t="n">
        <f aca="false">IF(J2002&gt;0,K2002/J2002,0)</f>
        <v>0.14818813685134</v>
      </c>
    </row>
    <row r="2003" customFormat="false" ht="15" hidden="false" customHeight="false" outlineLevel="0" collapsed="false">
      <c r="A2003" s="15" t="s">
        <v>2060</v>
      </c>
      <c r="B2003" s="16" t="n">
        <v>45177</v>
      </c>
      <c r="C2003" s="15" t="s">
        <v>56</v>
      </c>
      <c r="D2003" s="15" t="s">
        <v>43</v>
      </c>
      <c r="E2003" s="15" t="s">
        <v>39</v>
      </c>
      <c r="F2003" s="15" t="s">
        <v>16</v>
      </c>
      <c r="G2003" s="15" t="s">
        <v>27</v>
      </c>
      <c r="H2003" s="15" t="n">
        <v>3</v>
      </c>
      <c r="I2003" s="17" t="n">
        <v>0.15</v>
      </c>
      <c r="J2003" s="18" t="n">
        <v>204.98</v>
      </c>
      <c r="K2003" s="19" t="n">
        <v>20.67</v>
      </c>
      <c r="L2003" s="15" t="n">
        <f aca="false">YEAR(B2003)</f>
        <v>2023</v>
      </c>
      <c r="M2003" s="20" t="n">
        <f aca="false">IF(J2003&gt;0,K2003/J2003,0)</f>
        <v>0.100839106254269</v>
      </c>
    </row>
    <row r="2004" customFormat="false" ht="15" hidden="false" customHeight="false" outlineLevel="0" collapsed="false">
      <c r="A2004" s="15" t="s">
        <v>2061</v>
      </c>
      <c r="B2004" s="16" t="n">
        <v>45516</v>
      </c>
      <c r="C2004" s="15" t="s">
        <v>56</v>
      </c>
      <c r="D2004" s="15" t="s">
        <v>43</v>
      </c>
      <c r="E2004" s="15" t="s">
        <v>39</v>
      </c>
      <c r="F2004" s="15" t="s">
        <v>16</v>
      </c>
      <c r="G2004" s="15" t="s">
        <v>22</v>
      </c>
      <c r="H2004" s="15" t="n">
        <v>2</v>
      </c>
      <c r="I2004" s="17" t="n">
        <v>0.15</v>
      </c>
      <c r="J2004" s="18" t="n">
        <v>1166.59</v>
      </c>
      <c r="K2004" s="19" t="n">
        <v>-134.11</v>
      </c>
      <c r="L2004" s="15" t="n">
        <f aca="false">YEAR(B2004)</f>
        <v>2024</v>
      </c>
      <c r="M2004" s="20" t="n">
        <f aca="false">IF(J2004&gt;0,K2004/J2004,0)</f>
        <v>-0.114958983018884</v>
      </c>
    </row>
    <row r="2005" customFormat="false" ht="15" hidden="false" customHeight="false" outlineLevel="0" collapsed="false">
      <c r="A2005" s="15" t="s">
        <v>2062</v>
      </c>
      <c r="B2005" s="16" t="n">
        <v>44717</v>
      </c>
      <c r="C2005" s="15" t="s">
        <v>71</v>
      </c>
      <c r="D2005" s="15" t="s">
        <v>43</v>
      </c>
      <c r="E2005" s="15" t="s">
        <v>39</v>
      </c>
      <c r="F2005" s="15" t="s">
        <v>18</v>
      </c>
      <c r="G2005" s="15" t="s">
        <v>30</v>
      </c>
      <c r="H2005" s="15" t="n">
        <v>4</v>
      </c>
      <c r="I2005" s="17" t="n">
        <v>0.1</v>
      </c>
      <c r="J2005" s="18" t="n">
        <v>180.16</v>
      </c>
      <c r="K2005" s="19" t="n">
        <v>28.2</v>
      </c>
      <c r="L2005" s="15" t="n">
        <f aca="false">YEAR(B2005)</f>
        <v>2022</v>
      </c>
      <c r="M2005" s="20" t="n">
        <f aca="false">IF(J2005&gt;0,K2005/J2005,0)</f>
        <v>0.156527531083481</v>
      </c>
    </row>
    <row r="2006" customFormat="false" ht="15" hidden="false" customHeight="false" outlineLevel="0" collapsed="false">
      <c r="A2006" s="15" t="s">
        <v>2063</v>
      </c>
      <c r="B2006" s="16" t="n">
        <v>45535</v>
      </c>
      <c r="C2006" s="15" t="s">
        <v>71</v>
      </c>
      <c r="D2006" s="15" t="s">
        <v>43</v>
      </c>
      <c r="E2006" s="15" t="s">
        <v>36</v>
      </c>
      <c r="F2006" s="15" t="s">
        <v>17</v>
      </c>
      <c r="G2006" s="15" t="s">
        <v>31</v>
      </c>
      <c r="H2006" s="15" t="n">
        <v>2</v>
      </c>
      <c r="I2006" s="17" t="n">
        <v>0</v>
      </c>
      <c r="J2006" s="18" t="n">
        <v>264.53</v>
      </c>
      <c r="K2006" s="19" t="n">
        <v>53</v>
      </c>
      <c r="L2006" s="15" t="n">
        <f aca="false">YEAR(B2006)</f>
        <v>2024</v>
      </c>
      <c r="M2006" s="20" t="n">
        <f aca="false">IF(J2006&gt;0,K2006/J2006,0)</f>
        <v>0.200355347219597</v>
      </c>
    </row>
    <row r="2007" customFormat="false" ht="15" hidden="false" customHeight="false" outlineLevel="0" collapsed="false">
      <c r="A2007" s="15" t="s">
        <v>2064</v>
      </c>
      <c r="B2007" s="16" t="n">
        <v>44620</v>
      </c>
      <c r="C2007" s="15" t="s">
        <v>58</v>
      </c>
      <c r="D2007" s="15" t="s">
        <v>42</v>
      </c>
      <c r="E2007" s="15" t="s">
        <v>39</v>
      </c>
      <c r="F2007" s="15" t="s">
        <v>17</v>
      </c>
      <c r="G2007" s="15" t="s">
        <v>28</v>
      </c>
      <c r="H2007" s="15" t="n">
        <v>6</v>
      </c>
      <c r="I2007" s="17" t="n">
        <v>0</v>
      </c>
      <c r="J2007" s="18" t="n">
        <v>169.23</v>
      </c>
      <c r="K2007" s="19" t="n">
        <v>41.85</v>
      </c>
      <c r="L2007" s="15" t="n">
        <f aca="false">YEAR(B2007)</f>
        <v>2022</v>
      </c>
      <c r="M2007" s="20" t="n">
        <f aca="false">IF(J2007&gt;0,K2007/J2007,0)</f>
        <v>0.247296578620812</v>
      </c>
    </row>
    <row r="2008" customFormat="false" ht="15" hidden="false" customHeight="false" outlineLevel="0" collapsed="false">
      <c r="A2008" s="15" t="s">
        <v>2065</v>
      </c>
      <c r="B2008" s="16" t="n">
        <v>45606</v>
      </c>
      <c r="C2008" s="15" t="s">
        <v>71</v>
      </c>
      <c r="D2008" s="15" t="s">
        <v>42</v>
      </c>
      <c r="E2008" s="15" t="s">
        <v>39</v>
      </c>
      <c r="F2008" s="15" t="s">
        <v>17</v>
      </c>
      <c r="G2008" s="15" t="s">
        <v>28</v>
      </c>
      <c r="H2008" s="15" t="n">
        <v>2</v>
      </c>
      <c r="I2008" s="17" t="n">
        <v>0.1</v>
      </c>
      <c r="J2008" s="18" t="n">
        <v>49.7</v>
      </c>
      <c r="K2008" s="19" t="n">
        <v>5.02</v>
      </c>
      <c r="L2008" s="15" t="n">
        <f aca="false">YEAR(B2008)</f>
        <v>2024</v>
      </c>
      <c r="M2008" s="20" t="n">
        <f aca="false">IF(J2008&gt;0,K2008/J2008,0)</f>
        <v>0.101006036217304</v>
      </c>
    </row>
    <row r="2009" customFormat="false" ht="15" hidden="false" customHeight="false" outlineLevel="0" collapsed="false">
      <c r="A2009" s="15" t="s">
        <v>2066</v>
      </c>
      <c r="B2009" s="16" t="n">
        <v>44826</v>
      </c>
      <c r="C2009" s="15" t="s">
        <v>71</v>
      </c>
      <c r="D2009" s="15" t="s">
        <v>44</v>
      </c>
      <c r="E2009" s="15" t="s">
        <v>38</v>
      </c>
      <c r="F2009" s="15" t="s">
        <v>16</v>
      </c>
      <c r="G2009" s="15" t="s">
        <v>23</v>
      </c>
      <c r="H2009" s="15" t="n">
        <v>4</v>
      </c>
      <c r="I2009" s="17" t="n">
        <v>0.2</v>
      </c>
      <c r="J2009" s="18" t="n">
        <v>1039.89</v>
      </c>
      <c r="K2009" s="19" t="n">
        <v>-82.02</v>
      </c>
      <c r="L2009" s="15" t="n">
        <f aca="false">YEAR(B2009)</f>
        <v>2022</v>
      </c>
      <c r="M2009" s="20" t="n">
        <f aca="false">IF(J2009&gt;0,K2009/J2009,0)</f>
        <v>-0.0788737270288203</v>
      </c>
    </row>
    <row r="2010" customFormat="false" ht="15" hidden="false" customHeight="false" outlineLevel="0" collapsed="false">
      <c r="A2010" s="15" t="s">
        <v>2067</v>
      </c>
      <c r="B2010" s="16" t="n">
        <v>44824</v>
      </c>
      <c r="C2010" s="15" t="s">
        <v>71</v>
      </c>
      <c r="D2010" s="15" t="s">
        <v>42</v>
      </c>
      <c r="E2010" s="15" t="s">
        <v>36</v>
      </c>
      <c r="F2010" s="15" t="s">
        <v>17</v>
      </c>
      <c r="G2010" s="15" t="s">
        <v>28</v>
      </c>
      <c r="H2010" s="15" t="n">
        <v>3</v>
      </c>
      <c r="I2010" s="17" t="n">
        <v>0</v>
      </c>
      <c r="J2010" s="18" t="n">
        <v>70.29</v>
      </c>
      <c r="K2010" s="19" t="n">
        <v>21.01</v>
      </c>
      <c r="L2010" s="15" t="n">
        <f aca="false">YEAR(B2010)</f>
        <v>2022</v>
      </c>
      <c r="M2010" s="20" t="n">
        <f aca="false">IF(J2010&gt;0,K2010/J2010,0)</f>
        <v>0.298904538341158</v>
      </c>
    </row>
    <row r="2011" customFormat="false" ht="15" hidden="false" customHeight="false" outlineLevel="0" collapsed="false">
      <c r="A2011" s="15" t="s">
        <v>2068</v>
      </c>
      <c r="B2011" s="16" t="n">
        <v>45802</v>
      </c>
      <c r="C2011" s="15" t="s">
        <v>56</v>
      </c>
      <c r="D2011" s="15" t="s">
        <v>42</v>
      </c>
      <c r="E2011" s="15" t="s">
        <v>38</v>
      </c>
      <c r="F2011" s="15" t="s">
        <v>18</v>
      </c>
      <c r="G2011" s="15" t="s">
        <v>30</v>
      </c>
      <c r="H2011" s="15" t="n">
        <v>6</v>
      </c>
      <c r="I2011" s="17" t="n">
        <v>0</v>
      </c>
      <c r="J2011" s="18" t="n">
        <v>218.39</v>
      </c>
      <c r="K2011" s="19" t="n">
        <v>75.62</v>
      </c>
      <c r="L2011" s="15" t="n">
        <f aca="false">YEAR(B2011)</f>
        <v>2025</v>
      </c>
      <c r="M2011" s="20" t="n">
        <f aca="false">IF(J2011&gt;0,K2011/J2011,0)</f>
        <v>0.346261275699437</v>
      </c>
    </row>
    <row r="2012" customFormat="false" ht="15" hidden="false" customHeight="false" outlineLevel="0" collapsed="false">
      <c r="A2012" s="15" t="s">
        <v>2069</v>
      </c>
      <c r="B2012" s="16" t="n">
        <v>44819</v>
      </c>
      <c r="C2012" s="15" t="s">
        <v>71</v>
      </c>
      <c r="D2012" s="15" t="s">
        <v>43</v>
      </c>
      <c r="E2012" s="15" t="s">
        <v>38</v>
      </c>
      <c r="F2012" s="15" t="s">
        <v>17</v>
      </c>
      <c r="G2012" s="15" t="s">
        <v>26</v>
      </c>
      <c r="H2012" s="15" t="n">
        <v>4</v>
      </c>
      <c r="I2012" s="17" t="n">
        <v>0.05</v>
      </c>
      <c r="J2012" s="18" t="n">
        <v>343.78</v>
      </c>
      <c r="K2012" s="19" t="n">
        <v>17.1</v>
      </c>
      <c r="L2012" s="15" t="n">
        <f aca="false">YEAR(B2012)</f>
        <v>2022</v>
      </c>
      <c r="M2012" s="20" t="n">
        <f aca="false">IF(J2012&gt;0,K2012/J2012,0)</f>
        <v>0.0497411135028216</v>
      </c>
    </row>
    <row r="2013" customFormat="false" ht="15" hidden="false" customHeight="false" outlineLevel="0" collapsed="false">
      <c r="A2013" s="15" t="s">
        <v>2070</v>
      </c>
      <c r="B2013" s="16" t="n">
        <v>45732</v>
      </c>
      <c r="C2013" s="15" t="s">
        <v>56</v>
      </c>
      <c r="D2013" s="15" t="s">
        <v>43</v>
      </c>
      <c r="E2013" s="15" t="s">
        <v>37</v>
      </c>
      <c r="F2013" s="15" t="s">
        <v>17</v>
      </c>
      <c r="G2013" s="15" t="s">
        <v>31</v>
      </c>
      <c r="H2013" s="15" t="n">
        <v>6</v>
      </c>
      <c r="I2013" s="17" t="n">
        <v>0.4</v>
      </c>
      <c r="J2013" s="18" t="n">
        <v>499.5</v>
      </c>
      <c r="K2013" s="19" t="n">
        <v>-93.57</v>
      </c>
      <c r="L2013" s="15" t="n">
        <f aca="false">YEAR(B2013)</f>
        <v>2025</v>
      </c>
      <c r="M2013" s="20" t="n">
        <f aca="false">IF(J2013&gt;0,K2013/J2013,0)</f>
        <v>-0.187327327327327</v>
      </c>
    </row>
    <row r="2014" customFormat="false" ht="15" hidden="false" customHeight="false" outlineLevel="0" collapsed="false">
      <c r="A2014" s="15" t="s">
        <v>2071</v>
      </c>
      <c r="B2014" s="16" t="n">
        <v>45395</v>
      </c>
      <c r="C2014" s="15" t="s">
        <v>68</v>
      </c>
      <c r="D2014" s="15" t="s">
        <v>43</v>
      </c>
      <c r="E2014" s="15" t="s">
        <v>36</v>
      </c>
      <c r="F2014" s="15" t="s">
        <v>17</v>
      </c>
      <c r="G2014" s="15" t="s">
        <v>29</v>
      </c>
      <c r="H2014" s="15" t="n">
        <v>5</v>
      </c>
      <c r="I2014" s="17" t="n">
        <v>0.05</v>
      </c>
      <c r="J2014" s="18" t="n">
        <v>84.18</v>
      </c>
      <c r="K2014" s="19" t="n">
        <v>24.45</v>
      </c>
      <c r="L2014" s="15" t="n">
        <f aca="false">YEAR(B2014)</f>
        <v>2024</v>
      </c>
      <c r="M2014" s="20" t="n">
        <f aca="false">IF(J2014&gt;0,K2014/J2014,0)</f>
        <v>0.290449037776194</v>
      </c>
    </row>
    <row r="2015" customFormat="false" ht="15" hidden="false" customHeight="false" outlineLevel="0" collapsed="false">
      <c r="A2015" s="15" t="s">
        <v>2072</v>
      </c>
      <c r="B2015" s="16" t="n">
        <v>44870</v>
      </c>
      <c r="C2015" s="15" t="s">
        <v>56</v>
      </c>
      <c r="D2015" s="15" t="s">
        <v>44</v>
      </c>
      <c r="E2015" s="15" t="s">
        <v>38</v>
      </c>
      <c r="F2015" s="15" t="s">
        <v>18</v>
      </c>
      <c r="G2015" s="15" t="s">
        <v>30</v>
      </c>
      <c r="H2015" s="15" t="n">
        <v>3</v>
      </c>
      <c r="I2015" s="17" t="n">
        <v>0.1</v>
      </c>
      <c r="J2015" s="18" t="n">
        <v>100.85</v>
      </c>
      <c r="K2015" s="19" t="n">
        <v>23.57</v>
      </c>
      <c r="L2015" s="15" t="n">
        <f aca="false">YEAR(B2015)</f>
        <v>2022</v>
      </c>
      <c r="M2015" s="20" t="n">
        <f aca="false">IF(J2015&gt;0,K2015/J2015,0)</f>
        <v>0.233713435795736</v>
      </c>
    </row>
    <row r="2016" customFormat="false" ht="15" hidden="false" customHeight="false" outlineLevel="0" collapsed="false">
      <c r="A2016" s="15" t="s">
        <v>2073</v>
      </c>
      <c r="B2016" s="16" t="n">
        <v>45342</v>
      </c>
      <c r="C2016" s="15" t="s">
        <v>56</v>
      </c>
      <c r="D2016" s="15" t="s">
        <v>44</v>
      </c>
      <c r="E2016" s="15" t="s">
        <v>36</v>
      </c>
      <c r="F2016" s="15" t="s">
        <v>17</v>
      </c>
      <c r="G2016" s="15" t="s">
        <v>29</v>
      </c>
      <c r="H2016" s="15" t="n">
        <v>3</v>
      </c>
      <c r="I2016" s="17" t="n">
        <v>0</v>
      </c>
      <c r="J2016" s="18" t="n">
        <v>47.61</v>
      </c>
      <c r="K2016" s="19" t="n">
        <v>20.93</v>
      </c>
      <c r="L2016" s="15" t="n">
        <f aca="false">YEAR(B2016)</f>
        <v>2024</v>
      </c>
      <c r="M2016" s="20" t="n">
        <f aca="false">IF(J2016&gt;0,K2016/J2016,0)</f>
        <v>0.439613526570048</v>
      </c>
    </row>
    <row r="2017" customFormat="false" ht="15" hidden="false" customHeight="false" outlineLevel="0" collapsed="false">
      <c r="A2017" s="15" t="s">
        <v>2074</v>
      </c>
      <c r="B2017" s="16" t="n">
        <v>45419</v>
      </c>
      <c r="C2017" s="15" t="s">
        <v>56</v>
      </c>
      <c r="D2017" s="15" t="s">
        <v>42</v>
      </c>
      <c r="E2017" s="15" t="s">
        <v>36</v>
      </c>
      <c r="F2017" s="15" t="s">
        <v>18</v>
      </c>
      <c r="G2017" s="15" t="s">
        <v>30</v>
      </c>
      <c r="H2017" s="15" t="n">
        <v>3</v>
      </c>
      <c r="I2017" s="17" t="n">
        <v>0.2</v>
      </c>
      <c r="J2017" s="18" t="n">
        <v>79.28</v>
      </c>
      <c r="K2017" s="19" t="n">
        <v>5.89</v>
      </c>
      <c r="L2017" s="15" t="n">
        <f aca="false">YEAR(B2017)</f>
        <v>2024</v>
      </c>
      <c r="M2017" s="20" t="n">
        <f aca="false">IF(J2017&gt;0,K2017/J2017,0)</f>
        <v>0.0742936427850656</v>
      </c>
    </row>
    <row r="2018" customFormat="false" ht="15" hidden="false" customHeight="false" outlineLevel="0" collapsed="false">
      <c r="A2018" s="15" t="s">
        <v>2075</v>
      </c>
      <c r="B2018" s="16" t="n">
        <v>45604</v>
      </c>
      <c r="C2018" s="15" t="s">
        <v>68</v>
      </c>
      <c r="D2018" s="15" t="s">
        <v>42</v>
      </c>
      <c r="E2018" s="15" t="s">
        <v>36</v>
      </c>
      <c r="F2018" s="15" t="s">
        <v>16</v>
      </c>
      <c r="G2018" s="15" t="s">
        <v>27</v>
      </c>
      <c r="H2018" s="15" t="n">
        <v>5</v>
      </c>
      <c r="I2018" s="17" t="n">
        <v>0</v>
      </c>
      <c r="J2018" s="18" t="n">
        <v>307.17</v>
      </c>
      <c r="K2018" s="19" t="n">
        <v>74.11</v>
      </c>
      <c r="L2018" s="15" t="n">
        <f aca="false">YEAR(B2018)</f>
        <v>2024</v>
      </c>
      <c r="M2018" s="20" t="n">
        <f aca="false">IF(J2018&gt;0,K2018/J2018,0)</f>
        <v>0.241267050818765</v>
      </c>
    </row>
    <row r="2019" customFormat="false" ht="15" hidden="false" customHeight="false" outlineLevel="0" collapsed="false">
      <c r="A2019" s="15" t="s">
        <v>2076</v>
      </c>
      <c r="B2019" s="16" t="n">
        <v>45156</v>
      </c>
      <c r="C2019" s="15" t="s">
        <v>56</v>
      </c>
      <c r="D2019" s="15" t="s">
        <v>42</v>
      </c>
      <c r="E2019" s="15" t="s">
        <v>38</v>
      </c>
      <c r="F2019" s="15" t="s">
        <v>17</v>
      </c>
      <c r="G2019" s="15" t="s">
        <v>26</v>
      </c>
      <c r="H2019" s="15" t="n">
        <v>2</v>
      </c>
      <c r="I2019" s="17" t="n">
        <v>0</v>
      </c>
      <c r="J2019" s="18" t="n">
        <v>159.41</v>
      </c>
      <c r="K2019" s="19" t="n">
        <v>25.74</v>
      </c>
      <c r="L2019" s="15" t="n">
        <f aca="false">YEAR(B2019)</f>
        <v>2023</v>
      </c>
      <c r="M2019" s="20" t="n">
        <f aca="false">IF(J2019&gt;0,K2019/J2019,0)</f>
        <v>0.161470422181795</v>
      </c>
    </row>
    <row r="2020" customFormat="false" ht="15" hidden="false" customHeight="false" outlineLevel="0" collapsed="false">
      <c r="A2020" s="15" t="s">
        <v>2077</v>
      </c>
      <c r="B2020" s="16" t="n">
        <v>45575</v>
      </c>
      <c r="C2020" s="15" t="s">
        <v>58</v>
      </c>
      <c r="D2020" s="15" t="s">
        <v>42</v>
      </c>
      <c r="E2020" s="15" t="s">
        <v>36</v>
      </c>
      <c r="F2020" s="15" t="s">
        <v>17</v>
      </c>
      <c r="G2020" s="15" t="s">
        <v>28</v>
      </c>
      <c r="H2020" s="15" t="n">
        <v>7</v>
      </c>
      <c r="I2020" s="17" t="n">
        <v>0</v>
      </c>
      <c r="J2020" s="18" t="n">
        <v>162.14</v>
      </c>
      <c r="K2020" s="19" t="n">
        <v>56.56</v>
      </c>
      <c r="L2020" s="15" t="n">
        <f aca="false">YEAR(B2020)</f>
        <v>2024</v>
      </c>
      <c r="M2020" s="20" t="n">
        <f aca="false">IF(J2020&gt;0,K2020/J2020,0)</f>
        <v>0.348834340693228</v>
      </c>
    </row>
    <row r="2021" customFormat="false" ht="15" hidden="false" customHeight="false" outlineLevel="0" collapsed="false">
      <c r="A2021" s="15" t="s">
        <v>2078</v>
      </c>
      <c r="B2021" s="16" t="n">
        <v>45283</v>
      </c>
      <c r="C2021" s="15" t="s">
        <v>58</v>
      </c>
      <c r="D2021" s="15" t="s">
        <v>42</v>
      </c>
      <c r="E2021" s="15" t="s">
        <v>37</v>
      </c>
      <c r="F2021" s="15" t="s">
        <v>17</v>
      </c>
      <c r="G2021" s="15" t="s">
        <v>28</v>
      </c>
      <c r="H2021" s="15" t="n">
        <v>5</v>
      </c>
      <c r="I2021" s="17" t="n">
        <v>0.2</v>
      </c>
      <c r="J2021" s="18" t="n">
        <v>103.77</v>
      </c>
      <c r="K2021" s="19" t="n">
        <v>15.55</v>
      </c>
      <c r="L2021" s="15" t="n">
        <f aca="false">YEAR(B2021)</f>
        <v>2023</v>
      </c>
      <c r="M2021" s="20" t="n">
        <f aca="false">IF(J2021&gt;0,K2021/J2021,0)</f>
        <v>0.149850631203623</v>
      </c>
    </row>
    <row r="2022" customFormat="false" ht="15" hidden="false" customHeight="false" outlineLevel="0" collapsed="false">
      <c r="A2022" s="15" t="s">
        <v>2079</v>
      </c>
      <c r="B2022" s="16" t="n">
        <v>44916</v>
      </c>
      <c r="C2022" s="15" t="s">
        <v>56</v>
      </c>
      <c r="D2022" s="15" t="s">
        <v>43</v>
      </c>
      <c r="E2022" s="15" t="s">
        <v>36</v>
      </c>
      <c r="F2022" s="15" t="s">
        <v>17</v>
      </c>
      <c r="G2022" s="15" t="s">
        <v>31</v>
      </c>
      <c r="H2022" s="15" t="n">
        <v>4</v>
      </c>
      <c r="I2022" s="17" t="n">
        <v>0</v>
      </c>
      <c r="J2022" s="18" t="n">
        <v>466.88</v>
      </c>
      <c r="K2022" s="19" t="n">
        <v>103.83</v>
      </c>
      <c r="L2022" s="15" t="n">
        <f aca="false">YEAR(B2022)</f>
        <v>2022</v>
      </c>
      <c r="M2022" s="20" t="n">
        <f aca="false">IF(J2022&gt;0,K2022/J2022,0)</f>
        <v>0.22239119259767</v>
      </c>
    </row>
    <row r="2023" customFormat="false" ht="15" hidden="false" customHeight="false" outlineLevel="0" collapsed="false">
      <c r="A2023" s="15" t="s">
        <v>2080</v>
      </c>
      <c r="B2023" s="16" t="n">
        <v>44791</v>
      </c>
      <c r="C2023" s="15" t="s">
        <v>71</v>
      </c>
      <c r="D2023" s="15" t="s">
        <v>42</v>
      </c>
      <c r="E2023" s="15" t="s">
        <v>39</v>
      </c>
      <c r="F2023" s="15" t="s">
        <v>18</v>
      </c>
      <c r="G2023" s="15" t="s">
        <v>30</v>
      </c>
      <c r="H2023" s="15" t="n">
        <v>4</v>
      </c>
      <c r="I2023" s="17" t="n">
        <v>0</v>
      </c>
      <c r="J2023" s="18" t="n">
        <v>250.3</v>
      </c>
      <c r="K2023" s="19" t="n">
        <v>63.38</v>
      </c>
      <c r="L2023" s="15" t="n">
        <f aca="false">YEAR(B2023)</f>
        <v>2022</v>
      </c>
      <c r="M2023" s="20" t="n">
        <f aca="false">IF(J2023&gt;0,K2023/J2023,0)</f>
        <v>0.253216140631243</v>
      </c>
    </row>
    <row r="2024" customFormat="false" ht="15" hidden="false" customHeight="false" outlineLevel="0" collapsed="false">
      <c r="A2024" s="15" t="s">
        <v>2081</v>
      </c>
      <c r="B2024" s="16" t="n">
        <v>45652</v>
      </c>
      <c r="C2024" s="15" t="s">
        <v>58</v>
      </c>
      <c r="D2024" s="15" t="s">
        <v>44</v>
      </c>
      <c r="E2024" s="15" t="s">
        <v>39</v>
      </c>
      <c r="F2024" s="15" t="s">
        <v>17</v>
      </c>
      <c r="G2024" s="15" t="s">
        <v>28</v>
      </c>
      <c r="H2024" s="15" t="n">
        <v>2</v>
      </c>
      <c r="I2024" s="17" t="n">
        <v>0</v>
      </c>
      <c r="J2024" s="18" t="n">
        <v>55.43</v>
      </c>
      <c r="K2024" s="19" t="n">
        <v>18.12</v>
      </c>
      <c r="L2024" s="15" t="n">
        <f aca="false">YEAR(B2024)</f>
        <v>2024</v>
      </c>
      <c r="M2024" s="20" t="n">
        <f aca="false">IF(J2024&gt;0,K2024/J2024,0)</f>
        <v>0.326898791268266</v>
      </c>
    </row>
    <row r="2025" customFormat="false" ht="15" hidden="false" customHeight="false" outlineLevel="0" collapsed="false">
      <c r="A2025" s="15" t="s">
        <v>2082</v>
      </c>
      <c r="B2025" s="16" t="n">
        <v>44905</v>
      </c>
      <c r="C2025" s="15" t="s">
        <v>56</v>
      </c>
      <c r="D2025" s="15" t="s">
        <v>44</v>
      </c>
      <c r="E2025" s="15" t="s">
        <v>39</v>
      </c>
      <c r="F2025" s="15" t="s">
        <v>17</v>
      </c>
      <c r="G2025" s="15" t="s">
        <v>28</v>
      </c>
      <c r="H2025" s="15" t="n">
        <v>5</v>
      </c>
      <c r="I2025" s="17" t="n">
        <v>0</v>
      </c>
      <c r="J2025" s="18" t="n">
        <v>131.7</v>
      </c>
      <c r="K2025" s="19" t="n">
        <v>34.98</v>
      </c>
      <c r="L2025" s="15" t="n">
        <f aca="false">YEAR(B2025)</f>
        <v>2022</v>
      </c>
      <c r="M2025" s="20" t="n">
        <f aca="false">IF(J2025&gt;0,K2025/J2025,0)</f>
        <v>0.265603644646925</v>
      </c>
    </row>
    <row r="2026" customFormat="false" ht="15" hidden="false" customHeight="false" outlineLevel="0" collapsed="false">
      <c r="A2026" s="15" t="s">
        <v>2083</v>
      </c>
      <c r="B2026" s="16" t="n">
        <v>45545</v>
      </c>
      <c r="C2026" s="15" t="s">
        <v>56</v>
      </c>
      <c r="D2026" s="15" t="s">
        <v>43</v>
      </c>
      <c r="E2026" s="15" t="s">
        <v>39</v>
      </c>
      <c r="F2026" s="15" t="s">
        <v>17</v>
      </c>
      <c r="G2026" s="15" t="s">
        <v>28</v>
      </c>
      <c r="H2026" s="15" t="n">
        <v>7</v>
      </c>
      <c r="I2026" s="17" t="n">
        <v>0.2</v>
      </c>
      <c r="J2026" s="18" t="n">
        <v>196.21</v>
      </c>
      <c r="K2026" s="19" t="n">
        <v>20.63</v>
      </c>
      <c r="L2026" s="15" t="n">
        <f aca="false">YEAR(B2026)</f>
        <v>2024</v>
      </c>
      <c r="M2026" s="20" t="n">
        <f aca="false">IF(J2026&gt;0,K2026/J2026,0)</f>
        <v>0.105142449416442</v>
      </c>
    </row>
    <row r="2027" customFormat="false" ht="15" hidden="false" customHeight="false" outlineLevel="0" collapsed="false">
      <c r="A2027" s="15" t="s">
        <v>2084</v>
      </c>
      <c r="B2027" s="16" t="n">
        <v>44715</v>
      </c>
      <c r="C2027" s="15" t="s">
        <v>56</v>
      </c>
      <c r="D2027" s="15" t="s">
        <v>44</v>
      </c>
      <c r="E2027" s="15" t="s">
        <v>39</v>
      </c>
      <c r="F2027" s="15" t="s">
        <v>16</v>
      </c>
      <c r="G2027" s="15" t="s">
        <v>22</v>
      </c>
      <c r="H2027" s="15" t="n">
        <v>3</v>
      </c>
      <c r="I2027" s="17" t="n">
        <v>0</v>
      </c>
      <c r="J2027" s="18" t="n">
        <v>1626.7</v>
      </c>
      <c r="K2027" s="19" t="n">
        <v>-117.67</v>
      </c>
      <c r="L2027" s="15" t="n">
        <f aca="false">YEAR(B2027)</f>
        <v>2022</v>
      </c>
      <c r="M2027" s="20" t="n">
        <f aca="false">IF(J2027&gt;0,K2027/J2027,0)</f>
        <v>-0.0723366324460564</v>
      </c>
    </row>
    <row r="2028" customFormat="false" ht="15" hidden="false" customHeight="false" outlineLevel="0" collapsed="false">
      <c r="A2028" s="15" t="s">
        <v>2085</v>
      </c>
      <c r="B2028" s="16" t="n">
        <v>45265</v>
      </c>
      <c r="C2028" s="15" t="s">
        <v>56</v>
      </c>
      <c r="D2028" s="15" t="s">
        <v>42</v>
      </c>
      <c r="E2028" s="15" t="s">
        <v>38</v>
      </c>
      <c r="F2028" s="15" t="s">
        <v>18</v>
      </c>
      <c r="G2028" s="15" t="s">
        <v>30</v>
      </c>
      <c r="H2028" s="15" t="n">
        <v>3</v>
      </c>
      <c r="I2028" s="17" t="n">
        <v>0</v>
      </c>
      <c r="J2028" s="18" t="n">
        <v>99.19</v>
      </c>
      <c r="K2028" s="19" t="n">
        <v>23.3</v>
      </c>
      <c r="L2028" s="15" t="n">
        <f aca="false">YEAR(B2028)</f>
        <v>2023</v>
      </c>
      <c r="M2028" s="20" t="n">
        <f aca="false">IF(J2028&gt;0,K2028/J2028,0)</f>
        <v>0.234902711966932</v>
      </c>
    </row>
    <row r="2029" customFormat="false" ht="15" hidden="false" customHeight="false" outlineLevel="0" collapsed="false">
      <c r="A2029" s="15" t="s">
        <v>2086</v>
      </c>
      <c r="B2029" s="16" t="n">
        <v>45143</v>
      </c>
      <c r="C2029" s="15" t="s">
        <v>71</v>
      </c>
      <c r="D2029" s="15" t="s">
        <v>43</v>
      </c>
      <c r="E2029" s="15" t="s">
        <v>36</v>
      </c>
      <c r="F2029" s="15" t="s">
        <v>18</v>
      </c>
      <c r="G2029" s="15" t="s">
        <v>30</v>
      </c>
      <c r="H2029" s="15" t="n">
        <v>2</v>
      </c>
      <c r="I2029" s="17" t="n">
        <v>0</v>
      </c>
      <c r="J2029" s="18" t="n">
        <v>92.24</v>
      </c>
      <c r="K2029" s="19" t="n">
        <v>28.71</v>
      </c>
      <c r="L2029" s="15" t="n">
        <f aca="false">YEAR(B2029)</f>
        <v>2023</v>
      </c>
      <c r="M2029" s="20" t="n">
        <f aca="false">IF(J2029&gt;0,K2029/J2029,0)</f>
        <v>0.311253252385082</v>
      </c>
    </row>
    <row r="2030" customFormat="false" ht="15" hidden="false" customHeight="false" outlineLevel="0" collapsed="false">
      <c r="A2030" s="15" t="s">
        <v>2087</v>
      </c>
      <c r="B2030" s="16" t="n">
        <v>45010</v>
      </c>
      <c r="C2030" s="15" t="s">
        <v>56</v>
      </c>
      <c r="D2030" s="15" t="s">
        <v>42</v>
      </c>
      <c r="E2030" s="15" t="s">
        <v>38</v>
      </c>
      <c r="F2030" s="15" t="s">
        <v>17</v>
      </c>
      <c r="G2030" s="15" t="s">
        <v>28</v>
      </c>
      <c r="H2030" s="15" t="n">
        <v>3</v>
      </c>
      <c r="I2030" s="17" t="n">
        <v>0</v>
      </c>
      <c r="J2030" s="18" t="n">
        <v>61.77</v>
      </c>
      <c r="K2030" s="19" t="n">
        <v>19.66</v>
      </c>
      <c r="L2030" s="15" t="n">
        <f aca="false">YEAR(B2030)</f>
        <v>2023</v>
      </c>
      <c r="M2030" s="20" t="n">
        <f aca="false">IF(J2030&gt;0,K2030/J2030,0)</f>
        <v>0.318277480977821</v>
      </c>
    </row>
    <row r="2031" customFormat="false" ht="15" hidden="false" customHeight="false" outlineLevel="0" collapsed="false">
      <c r="A2031" s="15" t="s">
        <v>2088</v>
      </c>
      <c r="B2031" s="16" t="n">
        <v>44844</v>
      </c>
      <c r="C2031" s="15" t="s">
        <v>56</v>
      </c>
      <c r="D2031" s="15" t="s">
        <v>44</v>
      </c>
      <c r="E2031" s="15" t="s">
        <v>37</v>
      </c>
      <c r="F2031" s="15" t="s">
        <v>17</v>
      </c>
      <c r="G2031" s="15" t="s">
        <v>31</v>
      </c>
      <c r="H2031" s="15" t="n">
        <v>2</v>
      </c>
      <c r="I2031" s="17" t="n">
        <v>0</v>
      </c>
      <c r="J2031" s="18" t="n">
        <v>279.03</v>
      </c>
      <c r="K2031" s="19" t="n">
        <v>44.27</v>
      </c>
      <c r="L2031" s="15" t="n">
        <f aca="false">YEAR(B2031)</f>
        <v>2022</v>
      </c>
      <c r="M2031" s="20" t="n">
        <f aca="false">IF(J2031&gt;0,K2031/J2031,0)</f>
        <v>0.158656775257141</v>
      </c>
    </row>
    <row r="2032" customFormat="false" ht="15" hidden="false" customHeight="false" outlineLevel="0" collapsed="false">
      <c r="A2032" s="15" t="s">
        <v>2089</v>
      </c>
      <c r="B2032" s="16" t="n">
        <v>44596</v>
      </c>
      <c r="C2032" s="15" t="s">
        <v>56</v>
      </c>
      <c r="D2032" s="15" t="s">
        <v>43</v>
      </c>
      <c r="E2032" s="15" t="s">
        <v>37</v>
      </c>
      <c r="F2032" s="15" t="s">
        <v>17</v>
      </c>
      <c r="G2032" s="15" t="s">
        <v>28</v>
      </c>
      <c r="H2032" s="15" t="n">
        <v>7</v>
      </c>
      <c r="I2032" s="17" t="n">
        <v>0.4</v>
      </c>
      <c r="J2032" s="18" t="n">
        <v>148.2</v>
      </c>
      <c r="K2032" s="19" t="n">
        <v>-2.38</v>
      </c>
      <c r="L2032" s="15" t="n">
        <f aca="false">YEAR(B2032)</f>
        <v>2022</v>
      </c>
      <c r="M2032" s="20" t="n">
        <f aca="false">IF(J2032&gt;0,K2032/J2032,0)</f>
        <v>-0.016059379217274</v>
      </c>
    </row>
    <row r="2033" customFormat="false" ht="15" hidden="false" customHeight="false" outlineLevel="0" collapsed="false">
      <c r="A2033" s="15" t="s">
        <v>2090</v>
      </c>
      <c r="B2033" s="16" t="n">
        <v>45702</v>
      </c>
      <c r="C2033" s="15" t="s">
        <v>68</v>
      </c>
      <c r="D2033" s="15" t="s">
        <v>43</v>
      </c>
      <c r="E2033" s="15" t="s">
        <v>37</v>
      </c>
      <c r="F2033" s="15" t="s">
        <v>17</v>
      </c>
      <c r="G2033" s="15" t="s">
        <v>29</v>
      </c>
      <c r="H2033" s="15" t="n">
        <v>7</v>
      </c>
      <c r="I2033" s="17" t="n">
        <v>0.4</v>
      </c>
      <c r="J2033" s="18" t="n">
        <v>110.93</v>
      </c>
      <c r="K2033" s="19" t="n">
        <v>3.55</v>
      </c>
      <c r="L2033" s="15" t="n">
        <f aca="false">YEAR(B2033)</f>
        <v>2025</v>
      </c>
      <c r="M2033" s="20" t="n">
        <f aca="false">IF(J2033&gt;0,K2033/J2033,0)</f>
        <v>0.0320021635265483</v>
      </c>
    </row>
    <row r="2034" customFormat="false" ht="15" hidden="false" customHeight="false" outlineLevel="0" collapsed="false">
      <c r="A2034" s="15" t="s">
        <v>2091</v>
      </c>
      <c r="B2034" s="16" t="n">
        <v>45549</v>
      </c>
      <c r="C2034" s="15" t="s">
        <v>56</v>
      </c>
      <c r="D2034" s="15" t="s">
        <v>42</v>
      </c>
      <c r="E2034" s="15" t="s">
        <v>38</v>
      </c>
      <c r="F2034" s="15" t="s">
        <v>17</v>
      </c>
      <c r="G2034" s="15" t="s">
        <v>26</v>
      </c>
      <c r="H2034" s="15" t="n">
        <v>3</v>
      </c>
      <c r="I2034" s="17" t="n">
        <v>0</v>
      </c>
      <c r="J2034" s="18" t="n">
        <v>262.29</v>
      </c>
      <c r="K2034" s="19" t="n">
        <v>29.71</v>
      </c>
      <c r="L2034" s="15" t="n">
        <f aca="false">YEAR(B2034)</f>
        <v>2024</v>
      </c>
      <c r="M2034" s="20" t="n">
        <f aca="false">IF(J2034&gt;0,K2034/J2034,0)</f>
        <v>0.113271569636662</v>
      </c>
    </row>
    <row r="2035" customFormat="false" ht="15" hidden="false" customHeight="false" outlineLevel="0" collapsed="false">
      <c r="A2035" s="15" t="s">
        <v>2092</v>
      </c>
      <c r="B2035" s="16" t="n">
        <v>45352</v>
      </c>
      <c r="C2035" s="15" t="s">
        <v>56</v>
      </c>
      <c r="D2035" s="15" t="s">
        <v>43</v>
      </c>
      <c r="E2035" s="15" t="s">
        <v>36</v>
      </c>
      <c r="F2035" s="15" t="s">
        <v>16</v>
      </c>
      <c r="G2035" s="15" t="s">
        <v>22</v>
      </c>
      <c r="H2035" s="15" t="n">
        <v>2</v>
      </c>
      <c r="I2035" s="17" t="n">
        <v>0</v>
      </c>
      <c r="J2035" s="18" t="n">
        <v>1099.85</v>
      </c>
      <c r="K2035" s="19" t="n">
        <v>61.31</v>
      </c>
      <c r="L2035" s="15" t="n">
        <f aca="false">YEAR(B2035)</f>
        <v>2024</v>
      </c>
      <c r="M2035" s="20" t="n">
        <f aca="false">IF(J2035&gt;0,K2035/J2035,0)</f>
        <v>0.0557439650861481</v>
      </c>
    </row>
    <row r="2036" customFormat="false" ht="15" hidden="false" customHeight="false" outlineLevel="0" collapsed="false">
      <c r="A2036" s="15" t="s">
        <v>2093</v>
      </c>
      <c r="B2036" s="16" t="n">
        <v>46016</v>
      </c>
      <c r="C2036" s="15" t="s">
        <v>56</v>
      </c>
      <c r="D2036" s="15" t="s">
        <v>42</v>
      </c>
      <c r="E2036" s="15" t="s">
        <v>38</v>
      </c>
      <c r="F2036" s="15" t="s">
        <v>17</v>
      </c>
      <c r="G2036" s="15" t="s">
        <v>29</v>
      </c>
      <c r="H2036" s="15" t="n">
        <v>4</v>
      </c>
      <c r="I2036" s="17" t="n">
        <v>0</v>
      </c>
      <c r="J2036" s="18" t="n">
        <v>72.22</v>
      </c>
      <c r="K2036" s="19" t="n">
        <v>24.89</v>
      </c>
      <c r="L2036" s="15" t="n">
        <f aca="false">YEAR(B2036)</f>
        <v>2025</v>
      </c>
      <c r="M2036" s="20" t="n">
        <f aca="false">IF(J2036&gt;0,K2036/J2036,0)</f>
        <v>0.344641373580726</v>
      </c>
    </row>
    <row r="2037" customFormat="false" ht="15" hidden="false" customHeight="false" outlineLevel="0" collapsed="false">
      <c r="A2037" s="15" t="s">
        <v>2094</v>
      </c>
      <c r="B2037" s="16" t="n">
        <v>45099</v>
      </c>
      <c r="C2037" s="15" t="s">
        <v>56</v>
      </c>
      <c r="D2037" s="15" t="s">
        <v>42</v>
      </c>
      <c r="E2037" s="15" t="s">
        <v>38</v>
      </c>
      <c r="F2037" s="15" t="s">
        <v>17</v>
      </c>
      <c r="G2037" s="15" t="s">
        <v>26</v>
      </c>
      <c r="H2037" s="15" t="n">
        <v>3</v>
      </c>
      <c r="I2037" s="17" t="n">
        <v>0.15</v>
      </c>
      <c r="J2037" s="18" t="n">
        <v>195.63</v>
      </c>
      <c r="K2037" s="19" t="n">
        <v>0.62</v>
      </c>
      <c r="L2037" s="15" t="n">
        <f aca="false">YEAR(B2037)</f>
        <v>2023</v>
      </c>
      <c r="M2037" s="20" t="n">
        <f aca="false">IF(J2037&gt;0,K2037/J2037,0)</f>
        <v>0.00316924807033686</v>
      </c>
    </row>
    <row r="2038" customFormat="false" ht="15" hidden="false" customHeight="false" outlineLevel="0" collapsed="false">
      <c r="A2038" s="15" t="s">
        <v>2095</v>
      </c>
      <c r="B2038" s="16" t="n">
        <v>45200</v>
      </c>
      <c r="C2038" s="15" t="s">
        <v>71</v>
      </c>
      <c r="D2038" s="15" t="s">
        <v>42</v>
      </c>
      <c r="E2038" s="15" t="s">
        <v>39</v>
      </c>
      <c r="F2038" s="15" t="s">
        <v>16</v>
      </c>
      <c r="G2038" s="15" t="s">
        <v>25</v>
      </c>
      <c r="H2038" s="15" t="n">
        <v>5</v>
      </c>
      <c r="I2038" s="17" t="n">
        <v>0.05</v>
      </c>
      <c r="J2038" s="18" t="n">
        <v>1403.68</v>
      </c>
      <c r="K2038" s="19" t="n">
        <v>69.91</v>
      </c>
      <c r="L2038" s="15" t="n">
        <f aca="false">YEAR(B2038)</f>
        <v>2023</v>
      </c>
      <c r="M2038" s="20" t="n">
        <f aca="false">IF(J2038&gt;0,K2038/J2038,0)</f>
        <v>0.0498047988145446</v>
      </c>
    </row>
    <row r="2039" customFormat="false" ht="15" hidden="false" customHeight="false" outlineLevel="0" collapsed="false">
      <c r="A2039" s="15" t="s">
        <v>2096</v>
      </c>
      <c r="B2039" s="16" t="n">
        <v>45769</v>
      </c>
      <c r="C2039" s="15" t="s">
        <v>71</v>
      </c>
      <c r="D2039" s="15" t="s">
        <v>42</v>
      </c>
      <c r="E2039" s="15" t="s">
        <v>39</v>
      </c>
      <c r="F2039" s="15" t="s">
        <v>16</v>
      </c>
      <c r="G2039" s="15" t="s">
        <v>27</v>
      </c>
      <c r="H2039" s="15" t="n">
        <v>9</v>
      </c>
      <c r="I2039" s="17" t="n">
        <v>0.1</v>
      </c>
      <c r="J2039" s="18" t="n">
        <v>519.6</v>
      </c>
      <c r="K2039" s="19" t="n">
        <v>67.71</v>
      </c>
      <c r="L2039" s="15" t="n">
        <f aca="false">YEAR(B2039)</f>
        <v>2025</v>
      </c>
      <c r="M2039" s="20" t="n">
        <f aca="false">IF(J2039&gt;0,K2039/J2039,0)</f>
        <v>0.130311778290993</v>
      </c>
    </row>
    <row r="2040" customFormat="false" ht="15" hidden="false" customHeight="false" outlineLevel="0" collapsed="false">
      <c r="A2040" s="15" t="s">
        <v>2097</v>
      </c>
      <c r="B2040" s="16" t="n">
        <v>45486</v>
      </c>
      <c r="C2040" s="15" t="s">
        <v>56</v>
      </c>
      <c r="D2040" s="15" t="s">
        <v>44</v>
      </c>
      <c r="E2040" s="15" t="s">
        <v>38</v>
      </c>
      <c r="F2040" s="15" t="s">
        <v>17</v>
      </c>
      <c r="G2040" s="15" t="s">
        <v>29</v>
      </c>
      <c r="H2040" s="15" t="n">
        <v>4</v>
      </c>
      <c r="I2040" s="17" t="n">
        <v>0.1</v>
      </c>
      <c r="J2040" s="18" t="n">
        <v>63.11</v>
      </c>
      <c r="K2040" s="19" t="n">
        <v>14.25</v>
      </c>
      <c r="L2040" s="15" t="n">
        <f aca="false">YEAR(B2040)</f>
        <v>2024</v>
      </c>
      <c r="M2040" s="20" t="n">
        <f aca="false">IF(J2040&gt;0,K2040/J2040,0)</f>
        <v>0.225796228806845</v>
      </c>
    </row>
    <row r="2041" customFormat="false" ht="15" hidden="false" customHeight="false" outlineLevel="0" collapsed="false">
      <c r="A2041" s="15" t="s">
        <v>2098</v>
      </c>
      <c r="B2041" s="16" t="n">
        <v>45797</v>
      </c>
      <c r="C2041" s="15" t="s">
        <v>71</v>
      </c>
      <c r="D2041" s="15" t="s">
        <v>43</v>
      </c>
      <c r="E2041" s="15" t="s">
        <v>39</v>
      </c>
      <c r="F2041" s="15" t="s">
        <v>18</v>
      </c>
      <c r="G2041" s="15" t="s">
        <v>30</v>
      </c>
      <c r="H2041" s="15" t="n">
        <v>1</v>
      </c>
      <c r="I2041" s="17" t="n">
        <v>0</v>
      </c>
      <c r="J2041" s="18" t="n">
        <v>46.53</v>
      </c>
      <c r="K2041" s="19" t="n">
        <v>12.87</v>
      </c>
      <c r="L2041" s="15" t="n">
        <f aca="false">YEAR(B2041)</f>
        <v>2025</v>
      </c>
      <c r="M2041" s="20" t="n">
        <f aca="false">IF(J2041&gt;0,K2041/J2041,0)</f>
        <v>0.276595744680851</v>
      </c>
    </row>
    <row r="2042" customFormat="false" ht="15" hidden="false" customHeight="false" outlineLevel="0" collapsed="false">
      <c r="A2042" s="15" t="s">
        <v>2099</v>
      </c>
      <c r="B2042" s="16" t="n">
        <v>45848</v>
      </c>
      <c r="C2042" s="15" t="s">
        <v>71</v>
      </c>
      <c r="D2042" s="15" t="s">
        <v>42</v>
      </c>
      <c r="E2042" s="15" t="s">
        <v>39</v>
      </c>
      <c r="F2042" s="15" t="s">
        <v>18</v>
      </c>
      <c r="G2042" s="15" t="s">
        <v>32</v>
      </c>
      <c r="H2042" s="15" t="n">
        <v>3</v>
      </c>
      <c r="I2042" s="17" t="n">
        <v>0.1</v>
      </c>
      <c r="J2042" s="18" t="n">
        <v>1260.13</v>
      </c>
      <c r="K2042" s="19" t="n">
        <v>41.94</v>
      </c>
      <c r="L2042" s="15" t="n">
        <f aca="false">YEAR(B2042)</f>
        <v>2025</v>
      </c>
      <c r="M2042" s="20" t="n">
        <f aca="false">IF(J2042&gt;0,K2042/J2042,0)</f>
        <v>0.0332822803996413</v>
      </c>
    </row>
    <row r="2043" customFormat="false" ht="15" hidden="false" customHeight="false" outlineLevel="0" collapsed="false">
      <c r="A2043" s="15" t="s">
        <v>2100</v>
      </c>
      <c r="B2043" s="16" t="n">
        <v>45804</v>
      </c>
      <c r="C2043" s="15" t="s">
        <v>56</v>
      </c>
      <c r="D2043" s="15" t="s">
        <v>42</v>
      </c>
      <c r="E2043" s="15" t="s">
        <v>38</v>
      </c>
      <c r="F2043" s="15" t="s">
        <v>18</v>
      </c>
      <c r="G2043" s="15" t="s">
        <v>30</v>
      </c>
      <c r="H2043" s="15" t="n">
        <v>2</v>
      </c>
      <c r="I2043" s="17" t="n">
        <v>0.2</v>
      </c>
      <c r="J2043" s="18" t="n">
        <v>60.22</v>
      </c>
      <c r="K2043" s="19" t="n">
        <v>1.46</v>
      </c>
      <c r="L2043" s="15" t="n">
        <f aca="false">YEAR(B2043)</f>
        <v>2025</v>
      </c>
      <c r="M2043" s="20" t="n">
        <f aca="false">IF(J2043&gt;0,K2043/J2043,0)</f>
        <v>0.0242444370640983</v>
      </c>
    </row>
    <row r="2044" customFormat="false" ht="15" hidden="false" customHeight="false" outlineLevel="0" collapsed="false">
      <c r="A2044" s="15" t="s">
        <v>2101</v>
      </c>
      <c r="B2044" s="16" t="n">
        <v>45027</v>
      </c>
      <c r="C2044" s="15" t="s">
        <v>56</v>
      </c>
      <c r="D2044" s="15" t="s">
        <v>43</v>
      </c>
      <c r="E2044" s="15" t="s">
        <v>37</v>
      </c>
      <c r="F2044" s="15" t="s">
        <v>17</v>
      </c>
      <c r="G2044" s="15" t="s">
        <v>31</v>
      </c>
      <c r="H2044" s="15" t="n">
        <v>4</v>
      </c>
      <c r="I2044" s="17" t="n">
        <v>0.1</v>
      </c>
      <c r="J2044" s="18" t="n">
        <v>504.22</v>
      </c>
      <c r="K2044" s="19" t="n">
        <v>59.82</v>
      </c>
      <c r="L2044" s="15" t="n">
        <f aca="false">YEAR(B2044)</f>
        <v>2023</v>
      </c>
      <c r="M2044" s="20" t="n">
        <f aca="false">IF(J2044&gt;0,K2044/J2044,0)</f>
        <v>0.11863868946095</v>
      </c>
    </row>
    <row r="2045" customFormat="false" ht="15" hidden="false" customHeight="false" outlineLevel="0" collapsed="false">
      <c r="A2045" s="15" t="s">
        <v>2102</v>
      </c>
      <c r="B2045" s="16" t="n">
        <v>45541</v>
      </c>
      <c r="C2045" s="15" t="s">
        <v>71</v>
      </c>
      <c r="D2045" s="15" t="s">
        <v>44</v>
      </c>
      <c r="E2045" s="15" t="s">
        <v>39</v>
      </c>
      <c r="F2045" s="15" t="s">
        <v>16</v>
      </c>
      <c r="G2045" s="15" t="s">
        <v>27</v>
      </c>
      <c r="H2045" s="15" t="n">
        <v>3</v>
      </c>
      <c r="I2045" s="17" t="n">
        <v>0.15</v>
      </c>
      <c r="J2045" s="18" t="n">
        <v>163</v>
      </c>
      <c r="K2045" s="19" t="n">
        <v>14.98</v>
      </c>
      <c r="L2045" s="15" t="n">
        <f aca="false">YEAR(B2045)</f>
        <v>2024</v>
      </c>
      <c r="M2045" s="20" t="n">
        <f aca="false">IF(J2045&gt;0,K2045/J2045,0)</f>
        <v>0.0919018404907976</v>
      </c>
    </row>
    <row r="2046" customFormat="false" ht="15" hidden="false" customHeight="false" outlineLevel="0" collapsed="false">
      <c r="A2046" s="15" t="s">
        <v>2103</v>
      </c>
      <c r="B2046" s="16" t="n">
        <v>44829</v>
      </c>
      <c r="C2046" s="15" t="s">
        <v>68</v>
      </c>
      <c r="D2046" s="15" t="s">
        <v>43</v>
      </c>
      <c r="E2046" s="15" t="s">
        <v>39</v>
      </c>
      <c r="F2046" s="15" t="s">
        <v>17</v>
      </c>
      <c r="G2046" s="15" t="s">
        <v>26</v>
      </c>
      <c r="H2046" s="15" t="n">
        <v>1</v>
      </c>
      <c r="I2046" s="17" t="n">
        <v>0</v>
      </c>
      <c r="J2046" s="18" t="n">
        <v>105.58</v>
      </c>
      <c r="K2046" s="19" t="n">
        <v>11.82</v>
      </c>
      <c r="L2046" s="15" t="n">
        <f aca="false">YEAR(B2046)</f>
        <v>2022</v>
      </c>
      <c r="M2046" s="20" t="n">
        <f aca="false">IF(J2046&gt;0,K2046/J2046,0)</f>
        <v>0.111953021405569</v>
      </c>
    </row>
    <row r="2047" customFormat="false" ht="15" hidden="false" customHeight="false" outlineLevel="0" collapsed="false">
      <c r="A2047" s="15" t="s">
        <v>2104</v>
      </c>
      <c r="B2047" s="16" t="n">
        <v>45277</v>
      </c>
      <c r="C2047" s="15" t="s">
        <v>71</v>
      </c>
      <c r="D2047" s="15" t="s">
        <v>43</v>
      </c>
      <c r="E2047" s="15" t="s">
        <v>39</v>
      </c>
      <c r="F2047" s="15" t="s">
        <v>18</v>
      </c>
      <c r="G2047" s="15" t="s">
        <v>30</v>
      </c>
      <c r="H2047" s="15" t="n">
        <v>3</v>
      </c>
      <c r="I2047" s="17" t="n">
        <v>0.15</v>
      </c>
      <c r="J2047" s="18" t="n">
        <v>121.15</v>
      </c>
      <c r="K2047" s="19" t="n">
        <v>18.15</v>
      </c>
      <c r="L2047" s="15" t="n">
        <f aca="false">YEAR(B2047)</f>
        <v>2023</v>
      </c>
      <c r="M2047" s="20" t="n">
        <f aca="false">IF(J2047&gt;0,K2047/J2047,0)</f>
        <v>0.149814279818407</v>
      </c>
    </row>
    <row r="2048" customFormat="false" ht="15" hidden="false" customHeight="false" outlineLevel="0" collapsed="false">
      <c r="A2048" s="15" t="s">
        <v>2105</v>
      </c>
      <c r="B2048" s="16" t="n">
        <v>45732</v>
      </c>
      <c r="C2048" s="15" t="s">
        <v>68</v>
      </c>
      <c r="D2048" s="15" t="s">
        <v>42</v>
      </c>
      <c r="E2048" s="15" t="s">
        <v>37</v>
      </c>
      <c r="F2048" s="15" t="s">
        <v>18</v>
      </c>
      <c r="G2048" s="15" t="s">
        <v>32</v>
      </c>
      <c r="H2048" s="15" t="n">
        <v>5</v>
      </c>
      <c r="I2048" s="17" t="n">
        <v>0.1</v>
      </c>
      <c r="J2048" s="18" t="n">
        <v>1842.02</v>
      </c>
      <c r="K2048" s="19" t="n">
        <v>263.87</v>
      </c>
      <c r="L2048" s="15" t="n">
        <f aca="false">YEAR(B2048)</f>
        <v>2025</v>
      </c>
      <c r="M2048" s="20" t="n">
        <f aca="false">IF(J2048&gt;0,K2048/J2048,0)</f>
        <v>0.143250344730242</v>
      </c>
    </row>
    <row r="2049" customFormat="false" ht="15" hidden="false" customHeight="false" outlineLevel="0" collapsed="false">
      <c r="A2049" s="15" t="s">
        <v>2106</v>
      </c>
      <c r="B2049" s="16" t="n">
        <v>45788</v>
      </c>
      <c r="C2049" s="15" t="s">
        <v>56</v>
      </c>
      <c r="D2049" s="15" t="s">
        <v>42</v>
      </c>
      <c r="E2049" s="15" t="s">
        <v>39</v>
      </c>
      <c r="F2049" s="15" t="s">
        <v>16</v>
      </c>
      <c r="G2049" s="15" t="s">
        <v>22</v>
      </c>
      <c r="H2049" s="15" t="n">
        <v>6</v>
      </c>
      <c r="I2049" s="17" t="n">
        <v>0.3</v>
      </c>
      <c r="J2049" s="18" t="n">
        <v>2415.6</v>
      </c>
      <c r="K2049" s="19" t="n">
        <v>-498.08</v>
      </c>
      <c r="L2049" s="15" t="n">
        <f aca="false">YEAR(B2049)</f>
        <v>2025</v>
      </c>
      <c r="M2049" s="20" t="n">
        <f aca="false">IF(J2049&gt;0,K2049/J2049,0)</f>
        <v>-0.206193078324226</v>
      </c>
    </row>
    <row r="2050" customFormat="false" ht="15" hidden="false" customHeight="false" outlineLevel="0" collapsed="false">
      <c r="A2050" s="15" t="s">
        <v>2107</v>
      </c>
      <c r="B2050" s="16" t="n">
        <v>45459</v>
      </c>
      <c r="C2050" s="15" t="s">
        <v>68</v>
      </c>
      <c r="D2050" s="15" t="s">
        <v>42</v>
      </c>
      <c r="E2050" s="15" t="s">
        <v>39</v>
      </c>
      <c r="F2050" s="15" t="s">
        <v>16</v>
      </c>
      <c r="G2050" s="15" t="s">
        <v>22</v>
      </c>
      <c r="H2050" s="15" t="n">
        <v>2</v>
      </c>
      <c r="I2050" s="17" t="n">
        <v>0.1</v>
      </c>
      <c r="J2050" s="18" t="n">
        <v>953.41</v>
      </c>
      <c r="K2050" s="19" t="n">
        <v>-113.7</v>
      </c>
      <c r="L2050" s="15" t="n">
        <f aca="false">YEAR(B2050)</f>
        <v>2024</v>
      </c>
      <c r="M2050" s="20" t="n">
        <f aca="false">IF(J2050&gt;0,K2050/J2050,0)</f>
        <v>-0.119256143736693</v>
      </c>
    </row>
    <row r="2051" customFormat="false" ht="15" hidden="false" customHeight="false" outlineLevel="0" collapsed="false">
      <c r="A2051" s="15" t="s">
        <v>2108</v>
      </c>
      <c r="B2051" s="16" t="n">
        <v>45202</v>
      </c>
      <c r="C2051" s="15" t="s">
        <v>58</v>
      </c>
      <c r="D2051" s="15" t="s">
        <v>43</v>
      </c>
      <c r="E2051" s="15" t="s">
        <v>36</v>
      </c>
      <c r="F2051" s="15" t="s">
        <v>18</v>
      </c>
      <c r="G2051" s="15" t="s">
        <v>33</v>
      </c>
      <c r="H2051" s="15" t="n">
        <v>4</v>
      </c>
      <c r="I2051" s="17" t="n">
        <v>0</v>
      </c>
      <c r="J2051" s="18" t="n">
        <v>4458.25</v>
      </c>
      <c r="K2051" s="19" t="n">
        <v>1265.37</v>
      </c>
      <c r="L2051" s="15" t="n">
        <f aca="false">YEAR(B2051)</f>
        <v>2023</v>
      </c>
      <c r="M2051" s="20" t="n">
        <f aca="false">IF(J2051&gt;0,K2051/J2051,0)</f>
        <v>0.283826613581562</v>
      </c>
    </row>
    <row r="2052" customFormat="false" ht="15" hidden="false" customHeight="false" outlineLevel="0" collapsed="false">
      <c r="A2052" s="15" t="s">
        <v>2109</v>
      </c>
      <c r="B2052" s="16" t="n">
        <v>44996</v>
      </c>
      <c r="C2052" s="15" t="s">
        <v>71</v>
      </c>
      <c r="D2052" s="15" t="s">
        <v>43</v>
      </c>
      <c r="E2052" s="15" t="s">
        <v>39</v>
      </c>
      <c r="F2052" s="15" t="s">
        <v>17</v>
      </c>
      <c r="G2052" s="15" t="s">
        <v>31</v>
      </c>
      <c r="H2052" s="15" t="n">
        <v>1</v>
      </c>
      <c r="I2052" s="17" t="n">
        <v>0.1</v>
      </c>
      <c r="J2052" s="18" t="n">
        <v>124.51</v>
      </c>
      <c r="K2052" s="19" t="n">
        <v>10.04</v>
      </c>
      <c r="L2052" s="15" t="n">
        <f aca="false">YEAR(B2052)</f>
        <v>2023</v>
      </c>
      <c r="M2052" s="20" t="n">
        <f aca="false">IF(J2052&gt;0,K2052/J2052,0)</f>
        <v>0.0806360934864669</v>
      </c>
    </row>
    <row r="2053" customFormat="false" ht="15" hidden="false" customHeight="false" outlineLevel="0" collapsed="false">
      <c r="A2053" s="15" t="s">
        <v>2110</v>
      </c>
      <c r="B2053" s="16" t="n">
        <v>45241</v>
      </c>
      <c r="C2053" s="15" t="s">
        <v>68</v>
      </c>
      <c r="D2053" s="15" t="s">
        <v>43</v>
      </c>
      <c r="E2053" s="15" t="s">
        <v>39</v>
      </c>
      <c r="F2053" s="15" t="s">
        <v>17</v>
      </c>
      <c r="G2053" s="15" t="s">
        <v>28</v>
      </c>
      <c r="H2053" s="15" t="n">
        <v>4</v>
      </c>
      <c r="I2053" s="17" t="n">
        <v>0</v>
      </c>
      <c r="J2053" s="18" t="n">
        <v>121.09</v>
      </c>
      <c r="K2053" s="19" t="n">
        <v>43.55</v>
      </c>
      <c r="L2053" s="15" t="n">
        <f aca="false">YEAR(B2053)</f>
        <v>2023</v>
      </c>
      <c r="M2053" s="20" t="n">
        <f aca="false">IF(J2053&gt;0,K2053/J2053,0)</f>
        <v>0.359649847221075</v>
      </c>
    </row>
    <row r="2054" customFormat="false" ht="15" hidden="false" customHeight="false" outlineLevel="0" collapsed="false">
      <c r="A2054" s="15" t="s">
        <v>2111</v>
      </c>
      <c r="B2054" s="16" t="n">
        <v>45652</v>
      </c>
      <c r="C2054" s="15" t="s">
        <v>71</v>
      </c>
      <c r="D2054" s="15" t="s">
        <v>44</v>
      </c>
      <c r="E2054" s="15" t="s">
        <v>37</v>
      </c>
      <c r="F2054" s="15" t="s">
        <v>16</v>
      </c>
      <c r="G2054" s="15" t="s">
        <v>25</v>
      </c>
      <c r="H2054" s="15" t="n">
        <v>4</v>
      </c>
      <c r="I2054" s="17" t="n">
        <v>0.05</v>
      </c>
      <c r="J2054" s="18" t="n">
        <v>1149.44</v>
      </c>
      <c r="K2054" s="19" t="n">
        <v>80.72</v>
      </c>
      <c r="L2054" s="15" t="n">
        <f aca="false">YEAR(B2054)</f>
        <v>2024</v>
      </c>
      <c r="M2054" s="20" t="n">
        <f aca="false">IF(J2054&gt;0,K2054/J2054,0)</f>
        <v>0.0702255011135858</v>
      </c>
    </row>
    <row r="2055" customFormat="false" ht="15" hidden="false" customHeight="false" outlineLevel="0" collapsed="false">
      <c r="A2055" s="15" t="s">
        <v>2112</v>
      </c>
      <c r="B2055" s="16" t="n">
        <v>45627</v>
      </c>
      <c r="C2055" s="15" t="s">
        <v>68</v>
      </c>
      <c r="D2055" s="15" t="s">
        <v>44</v>
      </c>
      <c r="E2055" s="15" t="s">
        <v>37</v>
      </c>
      <c r="F2055" s="15" t="s">
        <v>16</v>
      </c>
      <c r="G2055" s="15" t="s">
        <v>27</v>
      </c>
      <c r="H2055" s="15" t="n">
        <v>5</v>
      </c>
      <c r="I2055" s="17" t="n">
        <v>0</v>
      </c>
      <c r="J2055" s="18" t="n">
        <v>319.9</v>
      </c>
      <c r="K2055" s="19" t="n">
        <v>78.85</v>
      </c>
      <c r="L2055" s="15" t="n">
        <f aca="false">YEAR(B2055)</f>
        <v>2024</v>
      </c>
      <c r="M2055" s="20" t="n">
        <f aca="false">IF(J2055&gt;0,K2055/J2055,0)</f>
        <v>0.246483276023757</v>
      </c>
    </row>
    <row r="2056" customFormat="false" ht="15" hidden="false" customHeight="false" outlineLevel="0" collapsed="false">
      <c r="A2056" s="15" t="s">
        <v>2113</v>
      </c>
      <c r="B2056" s="16" t="n">
        <v>45447</v>
      </c>
      <c r="C2056" s="15" t="s">
        <v>56</v>
      </c>
      <c r="D2056" s="15" t="s">
        <v>42</v>
      </c>
      <c r="E2056" s="15" t="s">
        <v>39</v>
      </c>
      <c r="F2056" s="15" t="s">
        <v>17</v>
      </c>
      <c r="G2056" s="15" t="s">
        <v>28</v>
      </c>
      <c r="H2056" s="15" t="n">
        <v>4</v>
      </c>
      <c r="I2056" s="17" t="n">
        <v>0</v>
      </c>
      <c r="J2056" s="18" t="n">
        <v>119.8</v>
      </c>
      <c r="K2056" s="19" t="n">
        <v>26.54</v>
      </c>
      <c r="L2056" s="15" t="n">
        <f aca="false">YEAR(B2056)</f>
        <v>2024</v>
      </c>
      <c r="M2056" s="20" t="n">
        <f aca="false">IF(J2056&gt;0,K2056/J2056,0)</f>
        <v>0.221535893155259</v>
      </c>
    </row>
    <row r="2057" customFormat="false" ht="15" hidden="false" customHeight="false" outlineLevel="0" collapsed="false">
      <c r="A2057" s="15" t="s">
        <v>2114</v>
      </c>
      <c r="B2057" s="16" t="n">
        <v>45071</v>
      </c>
      <c r="C2057" s="15" t="s">
        <v>56</v>
      </c>
      <c r="D2057" s="15" t="s">
        <v>42</v>
      </c>
      <c r="E2057" s="15" t="s">
        <v>36</v>
      </c>
      <c r="F2057" s="15" t="s">
        <v>16</v>
      </c>
      <c r="G2057" s="15" t="s">
        <v>25</v>
      </c>
      <c r="H2057" s="15" t="n">
        <v>5</v>
      </c>
      <c r="I2057" s="17" t="n">
        <v>0</v>
      </c>
      <c r="J2057" s="18" t="n">
        <v>1218.39</v>
      </c>
      <c r="K2057" s="19" t="n">
        <v>147.72</v>
      </c>
      <c r="L2057" s="15" t="n">
        <f aca="false">YEAR(B2057)</f>
        <v>2023</v>
      </c>
      <c r="M2057" s="20" t="n">
        <f aca="false">IF(J2057&gt;0,K2057/J2057,0)</f>
        <v>0.121241966857903</v>
      </c>
    </row>
    <row r="2058" customFormat="false" ht="15" hidden="false" customHeight="false" outlineLevel="0" collapsed="false">
      <c r="A2058" s="15" t="s">
        <v>2115</v>
      </c>
      <c r="B2058" s="16" t="n">
        <v>45893</v>
      </c>
      <c r="C2058" s="15" t="s">
        <v>56</v>
      </c>
      <c r="D2058" s="15" t="s">
        <v>42</v>
      </c>
      <c r="E2058" s="15" t="s">
        <v>39</v>
      </c>
      <c r="F2058" s="15" t="s">
        <v>17</v>
      </c>
      <c r="G2058" s="15" t="s">
        <v>29</v>
      </c>
      <c r="H2058" s="15" t="n">
        <v>3</v>
      </c>
      <c r="I2058" s="17" t="n">
        <v>0</v>
      </c>
      <c r="J2058" s="18" t="n">
        <v>63.1</v>
      </c>
      <c r="K2058" s="19" t="n">
        <v>22.66</v>
      </c>
      <c r="L2058" s="15" t="n">
        <f aca="false">YEAR(B2058)</f>
        <v>2025</v>
      </c>
      <c r="M2058" s="20" t="n">
        <f aca="false">IF(J2058&gt;0,K2058/J2058,0)</f>
        <v>0.359112519809826</v>
      </c>
    </row>
    <row r="2059" customFormat="false" ht="15" hidden="false" customHeight="false" outlineLevel="0" collapsed="false">
      <c r="A2059" s="15" t="s">
        <v>2116</v>
      </c>
      <c r="B2059" s="16" t="n">
        <v>44761</v>
      </c>
      <c r="C2059" s="15" t="s">
        <v>56</v>
      </c>
      <c r="D2059" s="15" t="s">
        <v>42</v>
      </c>
      <c r="E2059" s="15" t="s">
        <v>38</v>
      </c>
      <c r="F2059" s="15" t="s">
        <v>18</v>
      </c>
      <c r="G2059" s="15" t="s">
        <v>30</v>
      </c>
      <c r="H2059" s="15" t="n">
        <v>2</v>
      </c>
      <c r="I2059" s="17" t="n">
        <v>0</v>
      </c>
      <c r="J2059" s="18" t="n">
        <v>85.77</v>
      </c>
      <c r="K2059" s="19" t="n">
        <v>26.42</v>
      </c>
      <c r="L2059" s="15" t="n">
        <f aca="false">YEAR(B2059)</f>
        <v>2022</v>
      </c>
      <c r="M2059" s="20" t="n">
        <f aca="false">IF(J2059&gt;0,K2059/J2059,0)</f>
        <v>0.308033111810656</v>
      </c>
    </row>
    <row r="2060" customFormat="false" ht="15" hidden="false" customHeight="false" outlineLevel="0" collapsed="false">
      <c r="A2060" s="15" t="s">
        <v>2117</v>
      </c>
      <c r="B2060" s="16" t="n">
        <v>45781</v>
      </c>
      <c r="C2060" s="15" t="s">
        <v>71</v>
      </c>
      <c r="D2060" s="15" t="s">
        <v>43</v>
      </c>
      <c r="E2060" s="15" t="s">
        <v>39</v>
      </c>
      <c r="F2060" s="15" t="s">
        <v>16</v>
      </c>
      <c r="G2060" s="15" t="s">
        <v>22</v>
      </c>
      <c r="H2060" s="15" t="n">
        <v>3</v>
      </c>
      <c r="I2060" s="17" t="n">
        <v>0.05</v>
      </c>
      <c r="J2060" s="18" t="n">
        <v>1326.19</v>
      </c>
      <c r="K2060" s="19" t="n">
        <v>-74.37</v>
      </c>
      <c r="L2060" s="15" t="n">
        <f aca="false">YEAR(B2060)</f>
        <v>2025</v>
      </c>
      <c r="M2060" s="20" t="n">
        <f aca="false">IF(J2060&gt;0,K2060/J2060,0)</f>
        <v>-0.0560779375504264</v>
      </c>
    </row>
    <row r="2061" customFormat="false" ht="15" hidden="false" customHeight="false" outlineLevel="0" collapsed="false">
      <c r="A2061" s="15" t="s">
        <v>2118</v>
      </c>
      <c r="B2061" s="16" t="n">
        <v>45791</v>
      </c>
      <c r="C2061" s="15" t="s">
        <v>68</v>
      </c>
      <c r="D2061" s="15" t="s">
        <v>42</v>
      </c>
      <c r="E2061" s="15" t="s">
        <v>39</v>
      </c>
      <c r="F2061" s="15" t="s">
        <v>18</v>
      </c>
      <c r="G2061" s="15" t="s">
        <v>24</v>
      </c>
      <c r="H2061" s="15" t="n">
        <v>6</v>
      </c>
      <c r="I2061" s="17" t="n">
        <v>0.3</v>
      </c>
      <c r="J2061" s="18" t="n">
        <v>3796.43</v>
      </c>
      <c r="K2061" s="19" t="n">
        <v>-688.73</v>
      </c>
      <c r="L2061" s="15" t="n">
        <f aca="false">YEAR(B2061)</f>
        <v>2025</v>
      </c>
      <c r="M2061" s="20" t="n">
        <f aca="false">IF(J2061&gt;0,K2061/J2061,0)</f>
        <v>-0.18141517162176</v>
      </c>
    </row>
    <row r="2062" customFormat="false" ht="15" hidden="false" customHeight="false" outlineLevel="0" collapsed="false">
      <c r="A2062" s="15" t="s">
        <v>2119</v>
      </c>
      <c r="B2062" s="16" t="n">
        <v>45211</v>
      </c>
      <c r="C2062" s="15" t="s">
        <v>56</v>
      </c>
      <c r="D2062" s="15" t="s">
        <v>42</v>
      </c>
      <c r="E2062" s="15" t="s">
        <v>39</v>
      </c>
      <c r="F2062" s="15" t="s">
        <v>18</v>
      </c>
      <c r="G2062" s="15" t="s">
        <v>24</v>
      </c>
      <c r="H2062" s="15" t="n">
        <v>4</v>
      </c>
      <c r="I2062" s="17" t="n">
        <v>0.15</v>
      </c>
      <c r="J2062" s="18" t="n">
        <v>2818.04</v>
      </c>
      <c r="K2062" s="19" t="n">
        <v>-190.23</v>
      </c>
      <c r="L2062" s="15" t="n">
        <f aca="false">YEAR(B2062)</f>
        <v>2023</v>
      </c>
      <c r="M2062" s="20" t="n">
        <f aca="false">IF(J2062&gt;0,K2062/J2062,0)</f>
        <v>-0.0675043647357738</v>
      </c>
    </row>
    <row r="2063" customFormat="false" ht="15" hidden="false" customHeight="false" outlineLevel="0" collapsed="false">
      <c r="A2063" s="15" t="s">
        <v>2120</v>
      </c>
      <c r="B2063" s="16" t="n">
        <v>45433</v>
      </c>
      <c r="C2063" s="15" t="s">
        <v>56</v>
      </c>
      <c r="D2063" s="15" t="s">
        <v>44</v>
      </c>
      <c r="E2063" s="15" t="s">
        <v>38</v>
      </c>
      <c r="F2063" s="15" t="s">
        <v>16</v>
      </c>
      <c r="G2063" s="15" t="s">
        <v>27</v>
      </c>
      <c r="H2063" s="15" t="n">
        <v>3</v>
      </c>
      <c r="I2063" s="17" t="n">
        <v>0</v>
      </c>
      <c r="J2063" s="18" t="n">
        <v>192.2</v>
      </c>
      <c r="K2063" s="19" t="n">
        <v>46.86</v>
      </c>
      <c r="L2063" s="15" t="n">
        <f aca="false">YEAR(B2063)</f>
        <v>2024</v>
      </c>
      <c r="M2063" s="20" t="n">
        <f aca="false">IF(J2063&gt;0,K2063/J2063,0)</f>
        <v>0.243808532778356</v>
      </c>
    </row>
    <row r="2064" customFormat="false" ht="15" hidden="false" customHeight="false" outlineLevel="0" collapsed="false">
      <c r="A2064" s="15" t="s">
        <v>2121</v>
      </c>
      <c r="B2064" s="16" t="n">
        <v>45724</v>
      </c>
      <c r="C2064" s="15" t="s">
        <v>71</v>
      </c>
      <c r="D2064" s="15" t="s">
        <v>44</v>
      </c>
      <c r="E2064" s="15" t="s">
        <v>36</v>
      </c>
      <c r="F2064" s="15" t="s">
        <v>18</v>
      </c>
      <c r="G2064" s="15" t="s">
        <v>30</v>
      </c>
      <c r="H2064" s="15" t="n">
        <v>3</v>
      </c>
      <c r="I2064" s="17" t="n">
        <v>0</v>
      </c>
      <c r="J2064" s="18" t="n">
        <v>147.61</v>
      </c>
      <c r="K2064" s="19" t="n">
        <v>49.15</v>
      </c>
      <c r="L2064" s="15" t="n">
        <f aca="false">YEAR(B2064)</f>
        <v>2025</v>
      </c>
      <c r="M2064" s="20" t="n">
        <f aca="false">IF(J2064&gt;0,K2064/J2064,0)</f>
        <v>0.332972020865795</v>
      </c>
    </row>
    <row r="2065" customFormat="false" ht="15" hidden="false" customHeight="false" outlineLevel="0" collapsed="false">
      <c r="A2065" s="15" t="s">
        <v>2122</v>
      </c>
      <c r="B2065" s="16" t="n">
        <v>45176</v>
      </c>
      <c r="C2065" s="15" t="s">
        <v>56</v>
      </c>
      <c r="D2065" s="15" t="s">
        <v>42</v>
      </c>
      <c r="E2065" s="15" t="s">
        <v>37</v>
      </c>
      <c r="F2065" s="15" t="s">
        <v>18</v>
      </c>
      <c r="G2065" s="15" t="s">
        <v>30</v>
      </c>
      <c r="H2065" s="15" t="n">
        <v>4</v>
      </c>
      <c r="I2065" s="17" t="n">
        <v>0.3</v>
      </c>
      <c r="J2065" s="18" t="n">
        <v>105.29</v>
      </c>
      <c r="K2065" s="19" t="n">
        <v>4.57</v>
      </c>
      <c r="L2065" s="15" t="n">
        <f aca="false">YEAR(B2065)</f>
        <v>2023</v>
      </c>
      <c r="M2065" s="20" t="n">
        <f aca="false">IF(J2065&gt;0,K2065/J2065,0)</f>
        <v>0.0434039319973407</v>
      </c>
    </row>
    <row r="2066" customFormat="false" ht="15" hidden="false" customHeight="false" outlineLevel="0" collapsed="false">
      <c r="A2066" s="15" t="s">
        <v>2123</v>
      </c>
      <c r="B2066" s="16" t="n">
        <v>44616</v>
      </c>
      <c r="C2066" s="15" t="s">
        <v>56</v>
      </c>
      <c r="D2066" s="15" t="s">
        <v>42</v>
      </c>
      <c r="E2066" s="15" t="s">
        <v>38</v>
      </c>
      <c r="F2066" s="15" t="s">
        <v>18</v>
      </c>
      <c r="G2066" s="15" t="s">
        <v>32</v>
      </c>
      <c r="H2066" s="15" t="n">
        <v>5</v>
      </c>
      <c r="I2066" s="17" t="n">
        <v>0.05</v>
      </c>
      <c r="J2066" s="18" t="n">
        <v>1755.24</v>
      </c>
      <c r="K2066" s="19" t="n">
        <v>281.55</v>
      </c>
      <c r="L2066" s="15" t="n">
        <f aca="false">YEAR(B2066)</f>
        <v>2022</v>
      </c>
      <c r="M2066" s="20" t="n">
        <f aca="false">IF(J2066&gt;0,K2066/J2066,0)</f>
        <v>0.160405414644151</v>
      </c>
    </row>
    <row r="2067" customFormat="false" ht="15" hidden="false" customHeight="false" outlineLevel="0" collapsed="false">
      <c r="A2067" s="15" t="s">
        <v>2124</v>
      </c>
      <c r="B2067" s="16" t="n">
        <v>45959</v>
      </c>
      <c r="C2067" s="15" t="s">
        <v>58</v>
      </c>
      <c r="D2067" s="15" t="s">
        <v>44</v>
      </c>
      <c r="E2067" s="15" t="s">
        <v>39</v>
      </c>
      <c r="F2067" s="15" t="s">
        <v>17</v>
      </c>
      <c r="G2067" s="15" t="s">
        <v>28</v>
      </c>
      <c r="H2067" s="15" t="n">
        <v>3</v>
      </c>
      <c r="I2067" s="17" t="n">
        <v>0</v>
      </c>
      <c r="J2067" s="18" t="n">
        <v>96.09</v>
      </c>
      <c r="K2067" s="19" t="n">
        <v>30.32</v>
      </c>
      <c r="L2067" s="15" t="n">
        <f aca="false">YEAR(B2067)</f>
        <v>2025</v>
      </c>
      <c r="M2067" s="20" t="n">
        <f aca="false">IF(J2067&gt;0,K2067/J2067,0)</f>
        <v>0.315537516911229</v>
      </c>
    </row>
    <row r="2068" customFormat="false" ht="15" hidden="false" customHeight="false" outlineLevel="0" collapsed="false">
      <c r="A2068" s="15" t="s">
        <v>2125</v>
      </c>
      <c r="B2068" s="16" t="n">
        <v>45201</v>
      </c>
      <c r="C2068" s="15" t="s">
        <v>68</v>
      </c>
      <c r="D2068" s="15" t="s">
        <v>42</v>
      </c>
      <c r="E2068" s="15" t="s">
        <v>38</v>
      </c>
      <c r="F2068" s="15" t="s">
        <v>17</v>
      </c>
      <c r="G2068" s="15" t="s">
        <v>29</v>
      </c>
      <c r="H2068" s="15" t="n">
        <v>3</v>
      </c>
      <c r="I2068" s="17" t="n">
        <v>0.1</v>
      </c>
      <c r="J2068" s="18" t="n">
        <v>43.38</v>
      </c>
      <c r="K2068" s="19" t="n">
        <v>12.98</v>
      </c>
      <c r="L2068" s="15" t="n">
        <f aca="false">YEAR(B2068)</f>
        <v>2023</v>
      </c>
      <c r="M2068" s="20" t="n">
        <f aca="false">IF(J2068&gt;0,K2068/J2068,0)</f>
        <v>0.29921622867681</v>
      </c>
    </row>
    <row r="2069" customFormat="false" ht="15" hidden="false" customHeight="false" outlineLevel="0" collapsed="false">
      <c r="A2069" s="15" t="s">
        <v>2126</v>
      </c>
      <c r="B2069" s="16" t="n">
        <v>45841</v>
      </c>
      <c r="C2069" s="15" t="s">
        <v>71</v>
      </c>
      <c r="D2069" s="15" t="s">
        <v>42</v>
      </c>
      <c r="E2069" s="15" t="s">
        <v>36</v>
      </c>
      <c r="F2069" s="15" t="s">
        <v>16</v>
      </c>
      <c r="G2069" s="15" t="s">
        <v>25</v>
      </c>
      <c r="H2069" s="15" t="n">
        <v>2</v>
      </c>
      <c r="I2069" s="17" t="n">
        <v>0</v>
      </c>
      <c r="J2069" s="18" t="n">
        <v>654.18</v>
      </c>
      <c r="K2069" s="19" t="n">
        <v>110.41</v>
      </c>
      <c r="L2069" s="15" t="n">
        <f aca="false">YEAR(B2069)</f>
        <v>2025</v>
      </c>
      <c r="M2069" s="20" t="n">
        <f aca="false">IF(J2069&gt;0,K2069/J2069,0)</f>
        <v>0.168776177810389</v>
      </c>
    </row>
    <row r="2070" customFormat="false" ht="15" hidden="false" customHeight="false" outlineLevel="0" collapsed="false">
      <c r="A2070" s="15" t="s">
        <v>2127</v>
      </c>
      <c r="B2070" s="16" t="n">
        <v>45294</v>
      </c>
      <c r="C2070" s="15" t="s">
        <v>56</v>
      </c>
      <c r="D2070" s="15" t="s">
        <v>43</v>
      </c>
      <c r="E2070" s="15" t="s">
        <v>38</v>
      </c>
      <c r="F2070" s="15" t="s">
        <v>16</v>
      </c>
      <c r="G2070" s="15" t="s">
        <v>27</v>
      </c>
      <c r="H2070" s="15" t="n">
        <v>5</v>
      </c>
      <c r="I2070" s="17" t="n">
        <v>0.15</v>
      </c>
      <c r="J2070" s="18" t="n">
        <v>296.47</v>
      </c>
      <c r="K2070" s="19" t="n">
        <v>19.87</v>
      </c>
      <c r="L2070" s="15" t="n">
        <f aca="false">YEAR(B2070)</f>
        <v>2024</v>
      </c>
      <c r="M2070" s="20" t="n">
        <f aca="false">IF(J2070&gt;0,K2070/J2070,0)</f>
        <v>0.0670219583769015</v>
      </c>
    </row>
    <row r="2071" customFormat="false" ht="15" hidden="false" customHeight="false" outlineLevel="0" collapsed="false">
      <c r="A2071" s="15" t="s">
        <v>2128</v>
      </c>
      <c r="B2071" s="16" t="n">
        <v>44826</v>
      </c>
      <c r="C2071" s="15" t="s">
        <v>56</v>
      </c>
      <c r="D2071" s="15" t="s">
        <v>44</v>
      </c>
      <c r="E2071" s="15" t="s">
        <v>36</v>
      </c>
      <c r="F2071" s="15" t="s">
        <v>17</v>
      </c>
      <c r="G2071" s="15" t="s">
        <v>29</v>
      </c>
      <c r="H2071" s="15" t="n">
        <v>4</v>
      </c>
      <c r="I2071" s="17" t="n">
        <v>0.05</v>
      </c>
      <c r="J2071" s="18" t="n">
        <v>75.28</v>
      </c>
      <c r="K2071" s="19" t="n">
        <v>24.25</v>
      </c>
      <c r="L2071" s="15" t="n">
        <f aca="false">YEAR(B2071)</f>
        <v>2022</v>
      </c>
      <c r="M2071" s="20" t="n">
        <f aca="false">IF(J2071&gt;0,K2071/J2071,0)</f>
        <v>0.322130712008502</v>
      </c>
    </row>
    <row r="2072" customFormat="false" ht="15" hidden="false" customHeight="false" outlineLevel="0" collapsed="false">
      <c r="A2072" s="15" t="s">
        <v>2129</v>
      </c>
      <c r="B2072" s="16" t="n">
        <v>45688</v>
      </c>
      <c r="C2072" s="15" t="s">
        <v>56</v>
      </c>
      <c r="D2072" s="15" t="s">
        <v>42</v>
      </c>
      <c r="E2072" s="15" t="s">
        <v>36</v>
      </c>
      <c r="F2072" s="15" t="s">
        <v>17</v>
      </c>
      <c r="G2072" s="15" t="s">
        <v>31</v>
      </c>
      <c r="H2072" s="15" t="n">
        <v>1</v>
      </c>
      <c r="I2072" s="17" t="n">
        <v>0.2</v>
      </c>
      <c r="J2072" s="18" t="n">
        <v>94.9</v>
      </c>
      <c r="K2072" s="19" t="n">
        <v>6.13</v>
      </c>
      <c r="L2072" s="15" t="n">
        <f aca="false">YEAR(B2072)</f>
        <v>2025</v>
      </c>
      <c r="M2072" s="20" t="n">
        <f aca="false">IF(J2072&gt;0,K2072/J2072,0)</f>
        <v>0.0645943097997893</v>
      </c>
    </row>
    <row r="2073" customFormat="false" ht="15" hidden="false" customHeight="false" outlineLevel="0" collapsed="false">
      <c r="A2073" s="15" t="s">
        <v>2130</v>
      </c>
      <c r="B2073" s="16" t="n">
        <v>44885</v>
      </c>
      <c r="C2073" s="15" t="s">
        <v>56</v>
      </c>
      <c r="D2073" s="15" t="s">
        <v>42</v>
      </c>
      <c r="E2073" s="15" t="s">
        <v>37</v>
      </c>
      <c r="F2073" s="15" t="s">
        <v>16</v>
      </c>
      <c r="G2073" s="15" t="s">
        <v>23</v>
      </c>
      <c r="H2073" s="15" t="n">
        <v>3</v>
      </c>
      <c r="I2073" s="17" t="n">
        <v>0.2</v>
      </c>
      <c r="J2073" s="18" t="n">
        <v>704.97</v>
      </c>
      <c r="K2073" s="19" t="n">
        <v>-159.17</v>
      </c>
      <c r="L2073" s="15" t="n">
        <f aca="false">YEAR(B2073)</f>
        <v>2022</v>
      </c>
      <c r="M2073" s="20" t="n">
        <f aca="false">IF(J2073&gt;0,K2073/J2073,0)</f>
        <v>-0.225782657418046</v>
      </c>
    </row>
    <row r="2074" customFormat="false" ht="15" hidden="false" customHeight="false" outlineLevel="0" collapsed="false">
      <c r="A2074" s="15" t="s">
        <v>2131</v>
      </c>
      <c r="B2074" s="16" t="n">
        <v>45942</v>
      </c>
      <c r="C2074" s="15" t="s">
        <v>56</v>
      </c>
      <c r="D2074" s="15" t="s">
        <v>44</v>
      </c>
      <c r="E2074" s="15" t="s">
        <v>39</v>
      </c>
      <c r="F2074" s="15" t="s">
        <v>17</v>
      </c>
      <c r="G2074" s="15" t="s">
        <v>31</v>
      </c>
      <c r="H2074" s="15" t="n">
        <v>2</v>
      </c>
      <c r="I2074" s="17" t="n">
        <v>0.05</v>
      </c>
      <c r="J2074" s="18" t="n">
        <v>236.54</v>
      </c>
      <c r="K2074" s="19" t="n">
        <v>44.08</v>
      </c>
      <c r="L2074" s="15" t="n">
        <f aca="false">YEAR(B2074)</f>
        <v>2025</v>
      </c>
      <c r="M2074" s="20" t="n">
        <f aca="false">IF(J2074&gt;0,K2074/J2074,0)</f>
        <v>0.186353259490995</v>
      </c>
    </row>
    <row r="2075" customFormat="false" ht="15" hidden="false" customHeight="false" outlineLevel="0" collapsed="false">
      <c r="A2075" s="15" t="s">
        <v>2132</v>
      </c>
      <c r="B2075" s="16" t="n">
        <v>44885</v>
      </c>
      <c r="C2075" s="15" t="s">
        <v>68</v>
      </c>
      <c r="D2075" s="15" t="s">
        <v>42</v>
      </c>
      <c r="E2075" s="15" t="s">
        <v>38</v>
      </c>
      <c r="F2075" s="15" t="s">
        <v>16</v>
      </c>
      <c r="G2075" s="15" t="s">
        <v>23</v>
      </c>
      <c r="H2075" s="15" t="n">
        <v>6</v>
      </c>
      <c r="I2075" s="17" t="n">
        <v>0.2</v>
      </c>
      <c r="J2075" s="18" t="n">
        <v>1300.84</v>
      </c>
      <c r="K2075" s="19" t="n">
        <v>-155.69</v>
      </c>
      <c r="L2075" s="15" t="n">
        <f aca="false">YEAR(B2075)</f>
        <v>2022</v>
      </c>
      <c r="M2075" s="20" t="n">
        <f aca="false">IF(J2075&gt;0,K2075/J2075,0)</f>
        <v>-0.119684204052766</v>
      </c>
    </row>
    <row r="2076" customFormat="false" ht="15" hidden="false" customHeight="false" outlineLevel="0" collapsed="false">
      <c r="A2076" s="15" t="s">
        <v>2133</v>
      </c>
      <c r="B2076" s="16" t="n">
        <v>45631</v>
      </c>
      <c r="C2076" s="15" t="s">
        <v>56</v>
      </c>
      <c r="D2076" s="15" t="s">
        <v>42</v>
      </c>
      <c r="E2076" s="15" t="s">
        <v>36</v>
      </c>
      <c r="F2076" s="15" t="s">
        <v>16</v>
      </c>
      <c r="G2076" s="15" t="s">
        <v>25</v>
      </c>
      <c r="H2076" s="15" t="n">
        <v>3</v>
      </c>
      <c r="I2076" s="17" t="n">
        <v>0.05</v>
      </c>
      <c r="J2076" s="18" t="n">
        <v>813</v>
      </c>
      <c r="K2076" s="19" t="n">
        <v>60.93</v>
      </c>
      <c r="L2076" s="15" t="n">
        <f aca="false">YEAR(B2076)</f>
        <v>2024</v>
      </c>
      <c r="M2076" s="20" t="n">
        <f aca="false">IF(J2076&gt;0,K2076/J2076,0)</f>
        <v>0.0749446494464945</v>
      </c>
    </row>
    <row r="2077" customFormat="false" ht="15" hidden="false" customHeight="false" outlineLevel="0" collapsed="false">
      <c r="A2077" s="15" t="s">
        <v>2134</v>
      </c>
      <c r="B2077" s="16" t="n">
        <v>45642</v>
      </c>
      <c r="C2077" s="15" t="s">
        <v>68</v>
      </c>
      <c r="D2077" s="15" t="s">
        <v>43</v>
      </c>
      <c r="E2077" s="15" t="s">
        <v>38</v>
      </c>
      <c r="F2077" s="15" t="s">
        <v>17</v>
      </c>
      <c r="G2077" s="15" t="s">
        <v>28</v>
      </c>
      <c r="H2077" s="15" t="n">
        <v>2</v>
      </c>
      <c r="I2077" s="17" t="n">
        <v>0.1</v>
      </c>
      <c r="J2077" s="18" t="n">
        <v>58.66</v>
      </c>
      <c r="K2077" s="19" t="n">
        <v>11.23</v>
      </c>
      <c r="L2077" s="15" t="n">
        <f aca="false">YEAR(B2077)</f>
        <v>2024</v>
      </c>
      <c r="M2077" s="20" t="n">
        <f aca="false">IF(J2077&gt;0,K2077/J2077,0)</f>
        <v>0.191442209341971</v>
      </c>
    </row>
    <row r="2078" customFormat="false" ht="15" hidden="false" customHeight="false" outlineLevel="0" collapsed="false">
      <c r="A2078" s="15" t="s">
        <v>2135</v>
      </c>
      <c r="B2078" s="16" t="n">
        <v>45049</v>
      </c>
      <c r="C2078" s="15" t="s">
        <v>56</v>
      </c>
      <c r="D2078" s="15" t="s">
        <v>42</v>
      </c>
      <c r="E2078" s="15" t="s">
        <v>36</v>
      </c>
      <c r="F2078" s="15" t="s">
        <v>17</v>
      </c>
      <c r="G2078" s="15" t="s">
        <v>29</v>
      </c>
      <c r="H2078" s="15" t="n">
        <v>3</v>
      </c>
      <c r="I2078" s="17" t="n">
        <v>0.15</v>
      </c>
      <c r="J2078" s="18" t="n">
        <v>52.43</v>
      </c>
      <c r="K2078" s="19" t="n">
        <v>12.44</v>
      </c>
      <c r="L2078" s="15" t="n">
        <f aca="false">YEAR(B2078)</f>
        <v>2023</v>
      </c>
      <c r="M2078" s="20" t="n">
        <f aca="false">IF(J2078&gt;0,K2078/J2078,0)</f>
        <v>0.237268739271409</v>
      </c>
    </row>
    <row r="2079" customFormat="false" ht="15" hidden="false" customHeight="false" outlineLevel="0" collapsed="false">
      <c r="A2079" s="15" t="s">
        <v>2136</v>
      </c>
      <c r="B2079" s="16" t="n">
        <v>45778</v>
      </c>
      <c r="C2079" s="15" t="s">
        <v>56</v>
      </c>
      <c r="D2079" s="15" t="s">
        <v>42</v>
      </c>
      <c r="E2079" s="15" t="s">
        <v>37</v>
      </c>
      <c r="F2079" s="15" t="s">
        <v>18</v>
      </c>
      <c r="G2079" s="15" t="s">
        <v>30</v>
      </c>
      <c r="H2079" s="15" t="n">
        <v>2</v>
      </c>
      <c r="I2079" s="17" t="n">
        <v>0</v>
      </c>
      <c r="J2079" s="18" t="n">
        <v>87.72</v>
      </c>
      <c r="K2079" s="19" t="n">
        <v>28.48</v>
      </c>
      <c r="L2079" s="15" t="n">
        <f aca="false">YEAR(B2079)</f>
        <v>2025</v>
      </c>
      <c r="M2079" s="20" t="n">
        <f aca="false">IF(J2079&gt;0,K2079/J2079,0)</f>
        <v>0.324669402644779</v>
      </c>
    </row>
    <row r="2080" customFormat="false" ht="15" hidden="false" customHeight="false" outlineLevel="0" collapsed="false">
      <c r="A2080" s="15" t="s">
        <v>2137</v>
      </c>
      <c r="B2080" s="16" t="n">
        <v>45777</v>
      </c>
      <c r="C2080" s="15" t="s">
        <v>56</v>
      </c>
      <c r="D2080" s="15" t="s">
        <v>44</v>
      </c>
      <c r="E2080" s="15" t="s">
        <v>39</v>
      </c>
      <c r="F2080" s="15" t="s">
        <v>17</v>
      </c>
      <c r="G2080" s="15" t="s">
        <v>28</v>
      </c>
      <c r="H2080" s="15" t="n">
        <v>7</v>
      </c>
      <c r="I2080" s="17" t="n">
        <v>0</v>
      </c>
      <c r="J2080" s="18" t="n">
        <v>217.19</v>
      </c>
      <c r="K2080" s="19" t="n">
        <v>51.83</v>
      </c>
      <c r="L2080" s="15" t="n">
        <f aca="false">YEAR(B2080)</f>
        <v>2025</v>
      </c>
      <c r="M2080" s="20" t="n">
        <f aca="false">IF(J2080&gt;0,K2080/J2080,0)</f>
        <v>0.238638979695198</v>
      </c>
    </row>
    <row r="2081" customFormat="false" ht="15" hidden="false" customHeight="false" outlineLevel="0" collapsed="false">
      <c r="A2081" s="15" t="s">
        <v>2138</v>
      </c>
      <c r="B2081" s="16" t="n">
        <v>45030</v>
      </c>
      <c r="C2081" s="15" t="s">
        <v>71</v>
      </c>
      <c r="D2081" s="15" t="s">
        <v>42</v>
      </c>
      <c r="E2081" s="15" t="s">
        <v>37</v>
      </c>
      <c r="F2081" s="15" t="s">
        <v>17</v>
      </c>
      <c r="G2081" s="15" t="s">
        <v>28</v>
      </c>
      <c r="H2081" s="15" t="n">
        <v>2</v>
      </c>
      <c r="I2081" s="17" t="n">
        <v>0</v>
      </c>
      <c r="J2081" s="18" t="n">
        <v>51.7</v>
      </c>
      <c r="K2081" s="19" t="n">
        <v>16.12</v>
      </c>
      <c r="L2081" s="15" t="n">
        <f aca="false">YEAR(B2081)</f>
        <v>2023</v>
      </c>
      <c r="M2081" s="20" t="n">
        <f aca="false">IF(J2081&gt;0,K2081/J2081,0)</f>
        <v>0.311798839458414</v>
      </c>
    </row>
    <row r="2082" customFormat="false" ht="15" hidden="false" customHeight="false" outlineLevel="0" collapsed="false">
      <c r="A2082" s="15" t="s">
        <v>2139</v>
      </c>
      <c r="B2082" s="16" t="n">
        <v>44877</v>
      </c>
      <c r="C2082" s="15" t="s">
        <v>56</v>
      </c>
      <c r="D2082" s="15" t="s">
        <v>42</v>
      </c>
      <c r="E2082" s="15" t="s">
        <v>36</v>
      </c>
      <c r="F2082" s="15" t="s">
        <v>17</v>
      </c>
      <c r="G2082" s="15" t="s">
        <v>31</v>
      </c>
      <c r="H2082" s="15" t="n">
        <v>7</v>
      </c>
      <c r="I2082" s="17" t="n">
        <v>0.2</v>
      </c>
      <c r="J2082" s="18" t="n">
        <v>678.58</v>
      </c>
      <c r="K2082" s="19" t="n">
        <v>-14.28</v>
      </c>
      <c r="L2082" s="15" t="n">
        <f aca="false">YEAR(B2082)</f>
        <v>2022</v>
      </c>
      <c r="M2082" s="20" t="n">
        <f aca="false">IF(J2082&gt;0,K2082/J2082,0)</f>
        <v>-0.0210439447080668</v>
      </c>
    </row>
    <row r="2083" customFormat="false" ht="15" hidden="false" customHeight="false" outlineLevel="0" collapsed="false">
      <c r="A2083" s="15" t="s">
        <v>2140</v>
      </c>
      <c r="B2083" s="16" t="n">
        <v>45267</v>
      </c>
      <c r="C2083" s="15" t="s">
        <v>58</v>
      </c>
      <c r="D2083" s="15" t="s">
        <v>42</v>
      </c>
      <c r="E2083" s="15" t="s">
        <v>37</v>
      </c>
      <c r="F2083" s="15" t="s">
        <v>17</v>
      </c>
      <c r="G2083" s="15" t="s">
        <v>28</v>
      </c>
      <c r="H2083" s="15" t="n">
        <v>4</v>
      </c>
      <c r="I2083" s="17" t="n">
        <v>0</v>
      </c>
      <c r="J2083" s="18" t="n">
        <v>97.85</v>
      </c>
      <c r="K2083" s="19" t="n">
        <v>32.97</v>
      </c>
      <c r="L2083" s="15" t="n">
        <f aca="false">YEAR(B2083)</f>
        <v>2023</v>
      </c>
      <c r="M2083" s="20" t="n">
        <f aca="false">IF(J2083&gt;0,K2083/J2083,0)</f>
        <v>0.336944302503832</v>
      </c>
    </row>
    <row r="2084" customFormat="false" ht="15" hidden="false" customHeight="false" outlineLevel="0" collapsed="false">
      <c r="A2084" s="15" t="s">
        <v>2141</v>
      </c>
      <c r="B2084" s="16" t="n">
        <v>46008</v>
      </c>
      <c r="C2084" s="15" t="s">
        <v>56</v>
      </c>
      <c r="D2084" s="15" t="s">
        <v>42</v>
      </c>
      <c r="E2084" s="15" t="s">
        <v>38</v>
      </c>
      <c r="F2084" s="15" t="s">
        <v>17</v>
      </c>
      <c r="G2084" s="15" t="s">
        <v>28</v>
      </c>
      <c r="H2084" s="15" t="n">
        <v>5</v>
      </c>
      <c r="I2084" s="17" t="n">
        <v>0.4</v>
      </c>
      <c r="J2084" s="18" t="n">
        <v>75.06</v>
      </c>
      <c r="K2084" s="19" t="n">
        <v>-5.72</v>
      </c>
      <c r="L2084" s="15" t="n">
        <f aca="false">YEAR(B2084)</f>
        <v>2025</v>
      </c>
      <c r="M2084" s="20" t="n">
        <f aca="false">IF(J2084&gt;0,K2084/J2084,0)</f>
        <v>-0.0762057021049827</v>
      </c>
    </row>
    <row r="2085" customFormat="false" ht="15" hidden="false" customHeight="false" outlineLevel="0" collapsed="false">
      <c r="A2085" s="15" t="s">
        <v>2142</v>
      </c>
      <c r="B2085" s="16" t="n">
        <v>46021</v>
      </c>
      <c r="C2085" s="15" t="s">
        <v>71</v>
      </c>
      <c r="D2085" s="15" t="s">
        <v>44</v>
      </c>
      <c r="E2085" s="15" t="s">
        <v>38</v>
      </c>
      <c r="F2085" s="15" t="s">
        <v>17</v>
      </c>
      <c r="G2085" s="15" t="s">
        <v>29</v>
      </c>
      <c r="H2085" s="15" t="n">
        <v>3</v>
      </c>
      <c r="I2085" s="17" t="n">
        <v>0.1</v>
      </c>
      <c r="J2085" s="18" t="n">
        <v>52.04</v>
      </c>
      <c r="K2085" s="19" t="n">
        <v>15.91</v>
      </c>
      <c r="L2085" s="15" t="n">
        <f aca="false">YEAR(B2085)</f>
        <v>2025</v>
      </c>
      <c r="M2085" s="20" t="n">
        <f aca="false">IF(J2085&gt;0,K2085/J2085,0)</f>
        <v>0.305726364335127</v>
      </c>
    </row>
    <row r="2086" customFormat="false" ht="15" hidden="false" customHeight="false" outlineLevel="0" collapsed="false">
      <c r="A2086" s="15" t="s">
        <v>2143</v>
      </c>
      <c r="B2086" s="16" t="n">
        <v>45529</v>
      </c>
      <c r="C2086" s="15" t="s">
        <v>71</v>
      </c>
      <c r="D2086" s="15" t="s">
        <v>42</v>
      </c>
      <c r="E2086" s="15" t="s">
        <v>39</v>
      </c>
      <c r="F2086" s="15" t="s">
        <v>17</v>
      </c>
      <c r="G2086" s="15" t="s">
        <v>29</v>
      </c>
      <c r="H2086" s="15" t="n">
        <v>3</v>
      </c>
      <c r="I2086" s="17" t="n">
        <v>0.1</v>
      </c>
      <c r="J2086" s="18" t="n">
        <v>56.46</v>
      </c>
      <c r="K2086" s="19" t="n">
        <v>17.09</v>
      </c>
      <c r="L2086" s="15" t="n">
        <f aca="false">YEAR(B2086)</f>
        <v>2024</v>
      </c>
      <c r="M2086" s="20" t="n">
        <f aca="false">IF(J2086&gt;0,K2086/J2086,0)</f>
        <v>0.302692171448813</v>
      </c>
    </row>
    <row r="2087" customFormat="false" ht="15" hidden="false" customHeight="false" outlineLevel="0" collapsed="false">
      <c r="A2087" s="15" t="s">
        <v>2144</v>
      </c>
      <c r="B2087" s="16" t="n">
        <v>44953</v>
      </c>
      <c r="C2087" s="15" t="s">
        <v>58</v>
      </c>
      <c r="D2087" s="15" t="s">
        <v>42</v>
      </c>
      <c r="E2087" s="15" t="s">
        <v>37</v>
      </c>
      <c r="F2087" s="15" t="s">
        <v>16</v>
      </c>
      <c r="G2087" s="15" t="s">
        <v>23</v>
      </c>
      <c r="H2087" s="15" t="n">
        <v>3</v>
      </c>
      <c r="I2087" s="17" t="n">
        <v>0.2</v>
      </c>
      <c r="J2087" s="18" t="n">
        <v>866.55</v>
      </c>
      <c r="K2087" s="19" t="n">
        <v>-145.73</v>
      </c>
      <c r="L2087" s="15" t="n">
        <f aca="false">YEAR(B2087)</f>
        <v>2023</v>
      </c>
      <c r="M2087" s="20" t="n">
        <f aca="false">IF(J2087&gt;0,K2087/J2087,0)</f>
        <v>-0.16817263862443</v>
      </c>
    </row>
    <row r="2088" customFormat="false" ht="15" hidden="false" customHeight="false" outlineLevel="0" collapsed="false">
      <c r="A2088" s="15" t="s">
        <v>2145</v>
      </c>
      <c r="B2088" s="16" t="n">
        <v>45838</v>
      </c>
      <c r="C2088" s="15" t="s">
        <v>56</v>
      </c>
      <c r="D2088" s="15" t="s">
        <v>43</v>
      </c>
      <c r="E2088" s="15" t="s">
        <v>39</v>
      </c>
      <c r="F2088" s="15" t="s">
        <v>17</v>
      </c>
      <c r="G2088" s="15" t="s">
        <v>31</v>
      </c>
      <c r="H2088" s="15" t="n">
        <v>5</v>
      </c>
      <c r="I2088" s="17" t="n">
        <v>0</v>
      </c>
      <c r="J2088" s="18" t="n">
        <v>665.49</v>
      </c>
      <c r="K2088" s="19" t="n">
        <v>145.98</v>
      </c>
      <c r="L2088" s="15" t="n">
        <f aca="false">YEAR(B2088)</f>
        <v>2025</v>
      </c>
      <c r="M2088" s="20" t="n">
        <f aca="false">IF(J2088&gt;0,K2088/J2088,0)</f>
        <v>0.219357165396926</v>
      </c>
    </row>
    <row r="2089" customFormat="false" ht="15" hidden="false" customHeight="false" outlineLevel="0" collapsed="false">
      <c r="A2089" s="15" t="s">
        <v>2146</v>
      </c>
      <c r="B2089" s="16" t="n">
        <v>45790</v>
      </c>
      <c r="C2089" s="15" t="s">
        <v>68</v>
      </c>
      <c r="D2089" s="15" t="s">
        <v>43</v>
      </c>
      <c r="E2089" s="15" t="s">
        <v>39</v>
      </c>
      <c r="F2089" s="15" t="s">
        <v>18</v>
      </c>
      <c r="G2089" s="15" t="s">
        <v>30</v>
      </c>
      <c r="H2089" s="15" t="n">
        <v>1</v>
      </c>
      <c r="I2089" s="17" t="n">
        <v>0.2</v>
      </c>
      <c r="J2089" s="18" t="n">
        <v>46.64</v>
      </c>
      <c r="K2089" s="19" t="n">
        <v>3.54</v>
      </c>
      <c r="L2089" s="15" t="n">
        <f aca="false">YEAR(B2089)</f>
        <v>2025</v>
      </c>
      <c r="M2089" s="20" t="n">
        <f aca="false">IF(J2089&gt;0,K2089/J2089,0)</f>
        <v>0.0759005145797599</v>
      </c>
    </row>
    <row r="2090" customFormat="false" ht="15" hidden="false" customHeight="false" outlineLevel="0" collapsed="false">
      <c r="A2090" s="15" t="s">
        <v>2147</v>
      </c>
      <c r="B2090" s="16" t="n">
        <v>44827</v>
      </c>
      <c r="C2090" s="15" t="s">
        <v>71</v>
      </c>
      <c r="D2090" s="15" t="s">
        <v>44</v>
      </c>
      <c r="E2090" s="15" t="s">
        <v>39</v>
      </c>
      <c r="F2090" s="15" t="s">
        <v>17</v>
      </c>
      <c r="G2090" s="15" t="s">
        <v>28</v>
      </c>
      <c r="H2090" s="15" t="n">
        <v>3</v>
      </c>
      <c r="I2090" s="17" t="n">
        <v>0</v>
      </c>
      <c r="J2090" s="18" t="n">
        <v>85.46</v>
      </c>
      <c r="K2090" s="19" t="n">
        <v>26.7</v>
      </c>
      <c r="L2090" s="15" t="n">
        <f aca="false">YEAR(B2090)</f>
        <v>2022</v>
      </c>
      <c r="M2090" s="20" t="n">
        <f aca="false">IF(J2090&gt;0,K2090/J2090,0)</f>
        <v>0.312426866370232</v>
      </c>
    </row>
    <row r="2091" customFormat="false" ht="15" hidden="false" customHeight="false" outlineLevel="0" collapsed="false">
      <c r="A2091" s="15" t="s">
        <v>2148</v>
      </c>
      <c r="B2091" s="16" t="n">
        <v>45725</v>
      </c>
      <c r="C2091" s="15" t="s">
        <v>56</v>
      </c>
      <c r="D2091" s="15" t="s">
        <v>43</v>
      </c>
      <c r="E2091" s="15" t="s">
        <v>37</v>
      </c>
      <c r="F2091" s="15" t="s">
        <v>17</v>
      </c>
      <c r="G2091" s="15" t="s">
        <v>31</v>
      </c>
      <c r="H2091" s="15" t="n">
        <v>3</v>
      </c>
      <c r="I2091" s="17" t="n">
        <v>0.5</v>
      </c>
      <c r="J2091" s="18" t="n">
        <v>188.92</v>
      </c>
      <c r="K2091" s="19" t="n">
        <v>-46.4</v>
      </c>
      <c r="L2091" s="15" t="n">
        <f aca="false">YEAR(B2091)</f>
        <v>2025</v>
      </c>
      <c r="M2091" s="20" t="n">
        <f aca="false">IF(J2091&gt;0,K2091/J2091,0)</f>
        <v>-0.245606605970781</v>
      </c>
    </row>
    <row r="2092" customFormat="false" ht="15" hidden="false" customHeight="false" outlineLevel="0" collapsed="false">
      <c r="A2092" s="15" t="s">
        <v>2149</v>
      </c>
      <c r="B2092" s="16" t="n">
        <v>45477</v>
      </c>
      <c r="C2092" s="15" t="s">
        <v>68</v>
      </c>
      <c r="D2092" s="15" t="s">
        <v>43</v>
      </c>
      <c r="E2092" s="15" t="s">
        <v>36</v>
      </c>
      <c r="F2092" s="15" t="s">
        <v>17</v>
      </c>
      <c r="G2092" s="15" t="s">
        <v>28</v>
      </c>
      <c r="H2092" s="15" t="n">
        <v>3</v>
      </c>
      <c r="I2092" s="17" t="n">
        <v>0.3</v>
      </c>
      <c r="J2092" s="18" t="n">
        <v>49.73</v>
      </c>
      <c r="K2092" s="19" t="n">
        <v>1.6</v>
      </c>
      <c r="L2092" s="15" t="n">
        <f aca="false">YEAR(B2092)</f>
        <v>2024</v>
      </c>
      <c r="M2092" s="20" t="n">
        <f aca="false">IF(J2092&gt;0,K2092/J2092,0)</f>
        <v>0.0321737381862055</v>
      </c>
    </row>
    <row r="2093" customFormat="false" ht="15" hidden="false" customHeight="false" outlineLevel="0" collapsed="false">
      <c r="A2093" s="15" t="s">
        <v>2150</v>
      </c>
      <c r="B2093" s="16" t="n">
        <v>45796</v>
      </c>
      <c r="C2093" s="15" t="s">
        <v>56</v>
      </c>
      <c r="D2093" s="15" t="s">
        <v>42</v>
      </c>
      <c r="E2093" s="15" t="s">
        <v>39</v>
      </c>
      <c r="F2093" s="15" t="s">
        <v>17</v>
      </c>
      <c r="G2093" s="15" t="s">
        <v>29</v>
      </c>
      <c r="H2093" s="15" t="n">
        <v>4</v>
      </c>
      <c r="I2093" s="17" t="n">
        <v>0.1</v>
      </c>
      <c r="J2093" s="18" t="n">
        <v>75.6</v>
      </c>
      <c r="K2093" s="19" t="n">
        <v>22.42</v>
      </c>
      <c r="L2093" s="15" t="n">
        <f aca="false">YEAR(B2093)</f>
        <v>2025</v>
      </c>
      <c r="M2093" s="20" t="n">
        <f aca="false">IF(J2093&gt;0,K2093/J2093,0)</f>
        <v>0.296560846560847</v>
      </c>
    </row>
    <row r="2094" customFormat="false" ht="15" hidden="false" customHeight="false" outlineLevel="0" collapsed="false">
      <c r="A2094" s="15" t="s">
        <v>2151</v>
      </c>
      <c r="B2094" s="16" t="n">
        <v>45260</v>
      </c>
      <c r="C2094" s="15" t="s">
        <v>56</v>
      </c>
      <c r="D2094" s="15" t="s">
        <v>43</v>
      </c>
      <c r="E2094" s="15" t="s">
        <v>38</v>
      </c>
      <c r="F2094" s="15" t="s">
        <v>18</v>
      </c>
      <c r="G2094" s="15" t="s">
        <v>30</v>
      </c>
      <c r="H2094" s="15" t="n">
        <v>4</v>
      </c>
      <c r="I2094" s="17" t="n">
        <v>0</v>
      </c>
      <c r="J2094" s="18" t="n">
        <v>167.55</v>
      </c>
      <c r="K2094" s="19" t="n">
        <v>55.6</v>
      </c>
      <c r="L2094" s="15" t="n">
        <f aca="false">YEAR(B2094)</f>
        <v>2023</v>
      </c>
      <c r="M2094" s="20" t="n">
        <f aca="false">IF(J2094&gt;0,K2094/J2094,0)</f>
        <v>0.331841241420472</v>
      </c>
    </row>
    <row r="2095" customFormat="false" ht="15" hidden="false" customHeight="false" outlineLevel="0" collapsed="false">
      <c r="A2095" s="15" t="s">
        <v>2152</v>
      </c>
      <c r="B2095" s="16" t="n">
        <v>45346</v>
      </c>
      <c r="C2095" s="15" t="s">
        <v>68</v>
      </c>
      <c r="D2095" s="15" t="s">
        <v>42</v>
      </c>
      <c r="E2095" s="15" t="s">
        <v>36</v>
      </c>
      <c r="F2095" s="15" t="s">
        <v>16</v>
      </c>
      <c r="G2095" s="15" t="s">
        <v>27</v>
      </c>
      <c r="H2095" s="15" t="n">
        <v>4</v>
      </c>
      <c r="I2095" s="17" t="n">
        <v>0.15</v>
      </c>
      <c r="J2095" s="18" t="n">
        <v>213.44</v>
      </c>
      <c r="K2095" s="19" t="n">
        <v>13.86</v>
      </c>
      <c r="L2095" s="15" t="n">
        <f aca="false">YEAR(B2095)</f>
        <v>2024</v>
      </c>
      <c r="M2095" s="20" t="n">
        <f aca="false">IF(J2095&gt;0,K2095/J2095,0)</f>
        <v>0.0649362818590705</v>
      </c>
    </row>
    <row r="2096" customFormat="false" ht="15" hidden="false" customHeight="false" outlineLevel="0" collapsed="false">
      <c r="A2096" s="15" t="s">
        <v>2153</v>
      </c>
      <c r="B2096" s="16" t="n">
        <v>45230</v>
      </c>
      <c r="C2096" s="15" t="s">
        <v>56</v>
      </c>
      <c r="D2096" s="15" t="s">
        <v>44</v>
      </c>
      <c r="E2096" s="15" t="s">
        <v>38</v>
      </c>
      <c r="F2096" s="15" t="s">
        <v>18</v>
      </c>
      <c r="G2096" s="15" t="s">
        <v>30</v>
      </c>
      <c r="H2096" s="15" t="n">
        <v>2</v>
      </c>
      <c r="I2096" s="17" t="n">
        <v>0.4</v>
      </c>
      <c r="J2096" s="18" t="n">
        <v>58.66</v>
      </c>
      <c r="K2096" s="19" t="n">
        <v>-5.47</v>
      </c>
      <c r="L2096" s="15" t="n">
        <f aca="false">YEAR(B2096)</f>
        <v>2023</v>
      </c>
      <c r="M2096" s="20" t="n">
        <f aca="false">IF(J2096&gt;0,K2096/J2096,0)</f>
        <v>-0.0932492328673713</v>
      </c>
    </row>
    <row r="2097" customFormat="false" ht="15" hidden="false" customHeight="false" outlineLevel="0" collapsed="false">
      <c r="A2097" s="15" t="s">
        <v>2154</v>
      </c>
      <c r="B2097" s="16" t="n">
        <v>44893</v>
      </c>
      <c r="C2097" s="15" t="s">
        <v>56</v>
      </c>
      <c r="D2097" s="15" t="s">
        <v>42</v>
      </c>
      <c r="E2097" s="15" t="s">
        <v>37</v>
      </c>
      <c r="F2097" s="15" t="s">
        <v>18</v>
      </c>
      <c r="G2097" s="15" t="s">
        <v>30</v>
      </c>
      <c r="H2097" s="15" t="n">
        <v>1</v>
      </c>
      <c r="I2097" s="17" t="n">
        <v>0</v>
      </c>
      <c r="J2097" s="18" t="n">
        <v>53.11</v>
      </c>
      <c r="K2097" s="19" t="n">
        <v>15.33</v>
      </c>
      <c r="L2097" s="15" t="n">
        <f aca="false">YEAR(B2097)</f>
        <v>2022</v>
      </c>
      <c r="M2097" s="20" t="n">
        <f aca="false">IF(J2097&gt;0,K2097/J2097,0)</f>
        <v>0.288646205987573</v>
      </c>
    </row>
    <row r="2098" customFormat="false" ht="15" hidden="false" customHeight="false" outlineLevel="0" collapsed="false">
      <c r="A2098" s="15" t="s">
        <v>2155</v>
      </c>
      <c r="B2098" s="16" t="n">
        <v>45598</v>
      </c>
      <c r="C2098" s="15" t="s">
        <v>56</v>
      </c>
      <c r="D2098" s="15" t="s">
        <v>42</v>
      </c>
      <c r="E2098" s="15" t="s">
        <v>37</v>
      </c>
      <c r="F2098" s="15" t="s">
        <v>16</v>
      </c>
      <c r="G2098" s="15" t="s">
        <v>27</v>
      </c>
      <c r="H2098" s="15" t="n">
        <v>1</v>
      </c>
      <c r="I2098" s="17" t="n">
        <v>0.05</v>
      </c>
      <c r="J2098" s="18" t="n">
        <v>66.5</v>
      </c>
      <c r="K2098" s="19" t="n">
        <v>18</v>
      </c>
      <c r="L2098" s="15" t="n">
        <f aca="false">YEAR(B2098)</f>
        <v>2024</v>
      </c>
      <c r="M2098" s="20" t="n">
        <f aca="false">IF(J2098&gt;0,K2098/J2098,0)</f>
        <v>0.270676691729323</v>
      </c>
    </row>
    <row r="2099" customFormat="false" ht="15" hidden="false" customHeight="false" outlineLevel="0" collapsed="false">
      <c r="A2099" s="15" t="s">
        <v>2156</v>
      </c>
      <c r="B2099" s="16" t="n">
        <v>44644</v>
      </c>
      <c r="C2099" s="15" t="s">
        <v>56</v>
      </c>
      <c r="D2099" s="15" t="s">
        <v>42</v>
      </c>
      <c r="E2099" s="15" t="s">
        <v>36</v>
      </c>
      <c r="F2099" s="15" t="s">
        <v>17</v>
      </c>
      <c r="G2099" s="15" t="s">
        <v>29</v>
      </c>
      <c r="H2099" s="15" t="n">
        <v>5</v>
      </c>
      <c r="I2099" s="17" t="n">
        <v>0</v>
      </c>
      <c r="J2099" s="18" t="n">
        <v>94.08</v>
      </c>
      <c r="K2099" s="19" t="n">
        <v>29.43</v>
      </c>
      <c r="L2099" s="15" t="n">
        <f aca="false">YEAR(B2099)</f>
        <v>2022</v>
      </c>
      <c r="M2099" s="20" t="n">
        <f aca="false">IF(J2099&gt;0,K2099/J2099,0)</f>
        <v>0.31281887755102</v>
      </c>
    </row>
    <row r="2100" customFormat="false" ht="15" hidden="false" customHeight="false" outlineLevel="0" collapsed="false">
      <c r="A2100" s="15" t="s">
        <v>2157</v>
      </c>
      <c r="B2100" s="16" t="n">
        <v>45147</v>
      </c>
      <c r="C2100" s="15" t="s">
        <v>56</v>
      </c>
      <c r="D2100" s="15" t="s">
        <v>42</v>
      </c>
      <c r="E2100" s="15" t="s">
        <v>37</v>
      </c>
      <c r="F2100" s="15" t="s">
        <v>17</v>
      </c>
      <c r="G2100" s="15" t="s">
        <v>28</v>
      </c>
      <c r="H2100" s="15" t="n">
        <v>5</v>
      </c>
      <c r="I2100" s="17" t="n">
        <v>0</v>
      </c>
      <c r="J2100" s="18" t="n">
        <v>125.55</v>
      </c>
      <c r="K2100" s="19" t="n">
        <v>45.62</v>
      </c>
      <c r="L2100" s="15" t="n">
        <f aca="false">YEAR(B2100)</f>
        <v>2023</v>
      </c>
      <c r="M2100" s="20" t="n">
        <f aca="false">IF(J2100&gt;0,K2100/J2100,0)</f>
        <v>0.363361210673039</v>
      </c>
    </row>
    <row r="2101" customFormat="false" ht="15" hidden="false" customHeight="false" outlineLevel="0" collapsed="false">
      <c r="A2101" s="15" t="s">
        <v>2158</v>
      </c>
      <c r="B2101" s="16" t="n">
        <v>45066</v>
      </c>
      <c r="C2101" s="15" t="s">
        <v>56</v>
      </c>
      <c r="D2101" s="15" t="s">
        <v>44</v>
      </c>
      <c r="E2101" s="15" t="s">
        <v>37</v>
      </c>
      <c r="F2101" s="15" t="s">
        <v>17</v>
      </c>
      <c r="G2101" s="15" t="s">
        <v>26</v>
      </c>
      <c r="H2101" s="15" t="n">
        <v>3</v>
      </c>
      <c r="I2101" s="17" t="n">
        <v>0.3</v>
      </c>
      <c r="J2101" s="18" t="n">
        <v>194.3</v>
      </c>
      <c r="K2101" s="19" t="n">
        <v>-24.04</v>
      </c>
      <c r="L2101" s="15" t="n">
        <f aca="false">YEAR(B2101)</f>
        <v>2023</v>
      </c>
      <c r="M2101" s="20" t="n">
        <f aca="false">IF(J2101&gt;0,K2101/J2101,0)</f>
        <v>-0.123726196603191</v>
      </c>
    </row>
    <row r="2102" customFormat="false" ht="15" hidden="false" customHeight="false" outlineLevel="0" collapsed="false">
      <c r="A2102" s="15" t="s">
        <v>2159</v>
      </c>
      <c r="B2102" s="16" t="n">
        <v>45849</v>
      </c>
      <c r="C2102" s="15" t="s">
        <v>56</v>
      </c>
      <c r="D2102" s="15" t="s">
        <v>44</v>
      </c>
      <c r="E2102" s="15" t="s">
        <v>37</v>
      </c>
      <c r="F2102" s="15" t="s">
        <v>17</v>
      </c>
      <c r="G2102" s="15" t="s">
        <v>26</v>
      </c>
      <c r="H2102" s="15" t="n">
        <v>6</v>
      </c>
      <c r="I2102" s="17" t="n">
        <v>0.15</v>
      </c>
      <c r="J2102" s="18" t="n">
        <v>454.91</v>
      </c>
      <c r="K2102" s="19" t="n">
        <v>0.86</v>
      </c>
      <c r="L2102" s="15" t="n">
        <f aca="false">YEAR(B2102)</f>
        <v>2025</v>
      </c>
      <c r="M2102" s="20" t="n">
        <f aca="false">IF(J2102&gt;0,K2102/J2102,0)</f>
        <v>0.00189048383196676</v>
      </c>
    </row>
    <row r="2103" customFormat="false" ht="15" hidden="false" customHeight="false" outlineLevel="0" collapsed="false">
      <c r="A2103" s="15" t="s">
        <v>2160</v>
      </c>
      <c r="B2103" s="16" t="n">
        <v>45802</v>
      </c>
      <c r="C2103" s="15" t="s">
        <v>71</v>
      </c>
      <c r="D2103" s="15" t="s">
        <v>43</v>
      </c>
      <c r="E2103" s="15" t="s">
        <v>37</v>
      </c>
      <c r="F2103" s="15" t="s">
        <v>18</v>
      </c>
      <c r="G2103" s="15" t="s">
        <v>30</v>
      </c>
      <c r="H2103" s="15" t="n">
        <v>5</v>
      </c>
      <c r="I2103" s="17" t="n">
        <v>0</v>
      </c>
      <c r="J2103" s="18" t="n">
        <v>223.21</v>
      </c>
      <c r="K2103" s="19" t="n">
        <v>63.84</v>
      </c>
      <c r="L2103" s="15" t="n">
        <f aca="false">YEAR(B2103)</f>
        <v>2025</v>
      </c>
      <c r="M2103" s="20" t="n">
        <f aca="false">IF(J2103&gt;0,K2103/J2103,0)</f>
        <v>0.286008691366874</v>
      </c>
    </row>
    <row r="2104" customFormat="false" ht="15" hidden="false" customHeight="false" outlineLevel="0" collapsed="false">
      <c r="A2104" s="15" t="s">
        <v>2161</v>
      </c>
      <c r="B2104" s="16" t="n">
        <v>45011</v>
      </c>
      <c r="C2104" s="15" t="s">
        <v>71</v>
      </c>
      <c r="D2104" s="15" t="s">
        <v>42</v>
      </c>
      <c r="E2104" s="15" t="s">
        <v>38</v>
      </c>
      <c r="F2104" s="15" t="s">
        <v>18</v>
      </c>
      <c r="G2104" s="15" t="s">
        <v>30</v>
      </c>
      <c r="H2104" s="15" t="n">
        <v>4</v>
      </c>
      <c r="I2104" s="17" t="n">
        <v>0.1</v>
      </c>
      <c r="J2104" s="18" t="n">
        <v>131.3</v>
      </c>
      <c r="K2104" s="19" t="n">
        <v>28.76</v>
      </c>
      <c r="L2104" s="15" t="n">
        <f aca="false">YEAR(B2104)</f>
        <v>2023</v>
      </c>
      <c r="M2104" s="20" t="n">
        <f aca="false">IF(J2104&gt;0,K2104/J2104,0)</f>
        <v>0.219040365575019</v>
      </c>
    </row>
    <row r="2105" customFormat="false" ht="15" hidden="false" customHeight="false" outlineLevel="0" collapsed="false">
      <c r="A2105" s="15" t="s">
        <v>2162</v>
      </c>
      <c r="B2105" s="16" t="n">
        <v>44863</v>
      </c>
      <c r="C2105" s="15" t="s">
        <v>71</v>
      </c>
      <c r="D2105" s="15" t="s">
        <v>44</v>
      </c>
      <c r="E2105" s="15" t="s">
        <v>37</v>
      </c>
      <c r="F2105" s="15" t="s">
        <v>17</v>
      </c>
      <c r="G2105" s="15" t="s">
        <v>29</v>
      </c>
      <c r="H2105" s="15" t="n">
        <v>6</v>
      </c>
      <c r="I2105" s="17" t="n">
        <v>0.2</v>
      </c>
      <c r="J2105" s="18" t="n">
        <v>97.39</v>
      </c>
      <c r="K2105" s="19" t="n">
        <v>18.56</v>
      </c>
      <c r="L2105" s="15" t="n">
        <f aca="false">YEAR(B2105)</f>
        <v>2022</v>
      </c>
      <c r="M2105" s="20" t="n">
        <f aca="false">IF(J2105&gt;0,K2105/J2105,0)</f>
        <v>0.19057398090153</v>
      </c>
    </row>
    <row r="2106" customFormat="false" ht="15" hidden="false" customHeight="false" outlineLevel="0" collapsed="false">
      <c r="A2106" s="15" t="s">
        <v>2163</v>
      </c>
      <c r="B2106" s="16" t="n">
        <v>45101</v>
      </c>
      <c r="C2106" s="15" t="s">
        <v>56</v>
      </c>
      <c r="D2106" s="15" t="s">
        <v>42</v>
      </c>
      <c r="E2106" s="15" t="s">
        <v>39</v>
      </c>
      <c r="F2106" s="15" t="s">
        <v>17</v>
      </c>
      <c r="G2106" s="15" t="s">
        <v>26</v>
      </c>
      <c r="H2106" s="15" t="n">
        <v>3</v>
      </c>
      <c r="I2106" s="17" t="n">
        <v>0.1</v>
      </c>
      <c r="J2106" s="18" t="n">
        <v>250.87</v>
      </c>
      <c r="K2106" s="19" t="n">
        <v>1.21</v>
      </c>
      <c r="L2106" s="15" t="n">
        <f aca="false">YEAR(B2106)</f>
        <v>2023</v>
      </c>
      <c r="M2106" s="20" t="n">
        <f aca="false">IF(J2106&gt;0,K2106/J2106,0)</f>
        <v>0.00482321521106549</v>
      </c>
    </row>
    <row r="2107" customFormat="false" ht="15" hidden="false" customHeight="false" outlineLevel="0" collapsed="false">
      <c r="A2107" s="15" t="s">
        <v>2164</v>
      </c>
      <c r="B2107" s="16" t="n">
        <v>45078</v>
      </c>
      <c r="C2107" s="15" t="s">
        <v>56</v>
      </c>
      <c r="D2107" s="15" t="s">
        <v>42</v>
      </c>
      <c r="E2107" s="15" t="s">
        <v>39</v>
      </c>
      <c r="F2107" s="15" t="s">
        <v>17</v>
      </c>
      <c r="G2107" s="15" t="s">
        <v>29</v>
      </c>
      <c r="H2107" s="15" t="n">
        <v>5</v>
      </c>
      <c r="I2107" s="17" t="n">
        <v>0</v>
      </c>
      <c r="J2107" s="18" t="n">
        <v>97.94</v>
      </c>
      <c r="K2107" s="19" t="n">
        <v>35.57</v>
      </c>
      <c r="L2107" s="15" t="n">
        <f aca="false">YEAR(B2107)</f>
        <v>2023</v>
      </c>
      <c r="M2107" s="20" t="n">
        <f aca="false">IF(J2107&gt;0,K2107/J2107,0)</f>
        <v>0.363181539718195</v>
      </c>
    </row>
    <row r="2108" customFormat="false" ht="15" hidden="false" customHeight="false" outlineLevel="0" collapsed="false">
      <c r="A2108" s="15" t="s">
        <v>2165</v>
      </c>
      <c r="B2108" s="16" t="n">
        <v>45434</v>
      </c>
      <c r="C2108" s="15" t="s">
        <v>56</v>
      </c>
      <c r="D2108" s="15" t="s">
        <v>44</v>
      </c>
      <c r="E2108" s="15" t="s">
        <v>37</v>
      </c>
      <c r="F2108" s="15" t="s">
        <v>17</v>
      </c>
      <c r="G2108" s="15" t="s">
        <v>26</v>
      </c>
      <c r="H2108" s="15" t="n">
        <v>5</v>
      </c>
      <c r="I2108" s="17" t="n">
        <v>0.1</v>
      </c>
      <c r="J2108" s="18" t="n">
        <v>368.22</v>
      </c>
      <c r="K2108" s="19" t="n">
        <v>12.97</v>
      </c>
      <c r="L2108" s="15" t="n">
        <f aca="false">YEAR(B2108)</f>
        <v>2024</v>
      </c>
      <c r="M2108" s="20" t="n">
        <f aca="false">IF(J2108&gt;0,K2108/J2108,0)</f>
        <v>0.0352235076856227</v>
      </c>
    </row>
    <row r="2109" customFormat="false" ht="15" hidden="false" customHeight="false" outlineLevel="0" collapsed="false">
      <c r="A2109" s="15" t="s">
        <v>2166</v>
      </c>
      <c r="B2109" s="16" t="n">
        <v>44684</v>
      </c>
      <c r="C2109" s="15" t="s">
        <v>56</v>
      </c>
      <c r="D2109" s="15" t="s">
        <v>43</v>
      </c>
      <c r="E2109" s="15" t="s">
        <v>38</v>
      </c>
      <c r="F2109" s="15" t="s">
        <v>17</v>
      </c>
      <c r="G2109" s="15" t="s">
        <v>29</v>
      </c>
      <c r="H2109" s="15" t="n">
        <v>4</v>
      </c>
      <c r="I2109" s="17" t="n">
        <v>0.15</v>
      </c>
      <c r="J2109" s="18" t="n">
        <v>59.99</v>
      </c>
      <c r="K2109" s="19" t="n">
        <v>12.53</v>
      </c>
      <c r="L2109" s="15" t="n">
        <f aca="false">YEAR(B2109)</f>
        <v>2022</v>
      </c>
      <c r="M2109" s="20" t="n">
        <f aca="false">IF(J2109&gt;0,K2109/J2109,0)</f>
        <v>0.208868144690782</v>
      </c>
    </row>
    <row r="2110" customFormat="false" ht="15" hidden="false" customHeight="false" outlineLevel="0" collapsed="false">
      <c r="A2110" s="15" t="s">
        <v>2167</v>
      </c>
      <c r="B2110" s="16" t="n">
        <v>45063</v>
      </c>
      <c r="C2110" s="15" t="s">
        <v>68</v>
      </c>
      <c r="D2110" s="15" t="s">
        <v>43</v>
      </c>
      <c r="E2110" s="15" t="s">
        <v>37</v>
      </c>
      <c r="F2110" s="15" t="s">
        <v>18</v>
      </c>
      <c r="G2110" s="15" t="s">
        <v>32</v>
      </c>
      <c r="H2110" s="15" t="n">
        <v>4</v>
      </c>
      <c r="I2110" s="17" t="n">
        <v>0</v>
      </c>
      <c r="J2110" s="18" t="n">
        <v>1718.91</v>
      </c>
      <c r="K2110" s="19" t="n">
        <v>323.73</v>
      </c>
      <c r="L2110" s="15" t="n">
        <f aca="false">YEAR(B2110)</f>
        <v>2023</v>
      </c>
      <c r="M2110" s="20" t="n">
        <f aca="false">IF(J2110&gt;0,K2110/J2110,0)</f>
        <v>0.188334467773182</v>
      </c>
    </row>
    <row r="2111" customFormat="false" ht="15" hidden="false" customHeight="false" outlineLevel="0" collapsed="false">
      <c r="A2111" s="15" t="s">
        <v>2168</v>
      </c>
      <c r="B2111" s="16" t="n">
        <v>45559</v>
      </c>
      <c r="C2111" s="15" t="s">
        <v>68</v>
      </c>
      <c r="D2111" s="15" t="s">
        <v>44</v>
      </c>
      <c r="E2111" s="15" t="s">
        <v>37</v>
      </c>
      <c r="F2111" s="15" t="s">
        <v>17</v>
      </c>
      <c r="G2111" s="15" t="s">
        <v>31</v>
      </c>
      <c r="H2111" s="15" t="n">
        <v>4</v>
      </c>
      <c r="I2111" s="17" t="n">
        <v>0.15</v>
      </c>
      <c r="J2111" s="18" t="n">
        <v>384.83</v>
      </c>
      <c r="K2111" s="19" t="n">
        <v>13.01</v>
      </c>
      <c r="L2111" s="15" t="n">
        <f aca="false">YEAR(B2111)</f>
        <v>2024</v>
      </c>
      <c r="M2111" s="20" t="n">
        <f aca="false">IF(J2111&gt;0,K2111/J2111,0)</f>
        <v>0.033807135618325</v>
      </c>
    </row>
    <row r="2112" customFormat="false" ht="15" hidden="false" customHeight="false" outlineLevel="0" collapsed="false">
      <c r="A2112" s="15" t="s">
        <v>2169</v>
      </c>
      <c r="B2112" s="16" t="n">
        <v>44825</v>
      </c>
      <c r="C2112" s="15" t="s">
        <v>68</v>
      </c>
      <c r="D2112" s="15" t="s">
        <v>44</v>
      </c>
      <c r="E2112" s="15" t="s">
        <v>39</v>
      </c>
      <c r="F2112" s="15" t="s">
        <v>18</v>
      </c>
      <c r="G2112" s="15" t="s">
        <v>32</v>
      </c>
      <c r="H2112" s="15" t="n">
        <v>5</v>
      </c>
      <c r="I2112" s="17" t="n">
        <v>0.3</v>
      </c>
      <c r="J2112" s="18" t="n">
        <v>1356.92</v>
      </c>
      <c r="K2112" s="19" t="n">
        <v>-29.13</v>
      </c>
      <c r="L2112" s="15" t="n">
        <f aca="false">YEAR(B2112)</f>
        <v>2022</v>
      </c>
      <c r="M2112" s="20" t="n">
        <f aca="false">IF(J2112&gt;0,K2112/J2112,0)</f>
        <v>-0.0214677357545028</v>
      </c>
    </row>
    <row r="2113" customFormat="false" ht="15" hidden="false" customHeight="false" outlineLevel="0" collapsed="false">
      <c r="A2113" s="15" t="s">
        <v>2170</v>
      </c>
      <c r="B2113" s="16" t="n">
        <v>45304</v>
      </c>
      <c r="C2113" s="15" t="s">
        <v>68</v>
      </c>
      <c r="D2113" s="15" t="s">
        <v>42</v>
      </c>
      <c r="E2113" s="15" t="s">
        <v>39</v>
      </c>
      <c r="F2113" s="15" t="s">
        <v>16</v>
      </c>
      <c r="G2113" s="15" t="s">
        <v>27</v>
      </c>
      <c r="H2113" s="15" t="n">
        <v>2</v>
      </c>
      <c r="I2113" s="17" t="n">
        <v>0</v>
      </c>
      <c r="J2113" s="18" t="n">
        <v>109.92</v>
      </c>
      <c r="K2113" s="19" t="n">
        <v>21.18</v>
      </c>
      <c r="L2113" s="15" t="n">
        <f aca="false">YEAR(B2113)</f>
        <v>2024</v>
      </c>
      <c r="M2113" s="20" t="n">
        <f aca="false">IF(J2113&gt;0,K2113/J2113,0)</f>
        <v>0.192685589519651</v>
      </c>
    </row>
    <row r="2114" customFormat="false" ht="15" hidden="false" customHeight="false" outlineLevel="0" collapsed="false">
      <c r="A2114" s="15" t="s">
        <v>2171</v>
      </c>
      <c r="B2114" s="16" t="n">
        <v>45383</v>
      </c>
      <c r="C2114" s="15" t="s">
        <v>56</v>
      </c>
      <c r="D2114" s="15" t="s">
        <v>42</v>
      </c>
      <c r="E2114" s="15" t="s">
        <v>37</v>
      </c>
      <c r="F2114" s="15" t="s">
        <v>17</v>
      </c>
      <c r="G2114" s="15" t="s">
        <v>26</v>
      </c>
      <c r="H2114" s="15" t="n">
        <v>1</v>
      </c>
      <c r="I2114" s="17" t="n">
        <v>0</v>
      </c>
      <c r="J2114" s="18" t="n">
        <v>85.73</v>
      </c>
      <c r="K2114" s="19" t="n">
        <v>10.61</v>
      </c>
      <c r="L2114" s="15" t="n">
        <f aca="false">YEAR(B2114)</f>
        <v>2024</v>
      </c>
      <c r="M2114" s="20" t="n">
        <f aca="false">IF(J2114&gt;0,K2114/J2114,0)</f>
        <v>0.123760643881955</v>
      </c>
    </row>
    <row r="2115" customFormat="false" ht="15" hidden="false" customHeight="false" outlineLevel="0" collapsed="false">
      <c r="A2115" s="15" t="s">
        <v>2172</v>
      </c>
      <c r="B2115" s="16" t="n">
        <v>45657</v>
      </c>
      <c r="C2115" s="15" t="s">
        <v>56</v>
      </c>
      <c r="D2115" s="15" t="s">
        <v>42</v>
      </c>
      <c r="E2115" s="15" t="s">
        <v>39</v>
      </c>
      <c r="F2115" s="15" t="s">
        <v>16</v>
      </c>
      <c r="G2115" s="15" t="s">
        <v>22</v>
      </c>
      <c r="H2115" s="15" t="n">
        <v>4</v>
      </c>
      <c r="I2115" s="17" t="n">
        <v>0</v>
      </c>
      <c r="J2115" s="18" t="n">
        <v>2140.43</v>
      </c>
      <c r="K2115" s="19" t="n">
        <v>-44.23</v>
      </c>
      <c r="L2115" s="15" t="n">
        <f aca="false">YEAR(B2115)</f>
        <v>2024</v>
      </c>
      <c r="M2115" s="20" t="n">
        <f aca="false">IF(J2115&gt;0,K2115/J2115,0)</f>
        <v>-0.020664072172414</v>
      </c>
    </row>
    <row r="2116" customFormat="false" ht="15" hidden="false" customHeight="false" outlineLevel="0" collapsed="false">
      <c r="A2116" s="15" t="s">
        <v>2173</v>
      </c>
      <c r="B2116" s="16" t="n">
        <v>46002</v>
      </c>
      <c r="C2116" s="15" t="s">
        <v>56</v>
      </c>
      <c r="D2116" s="15" t="s">
        <v>44</v>
      </c>
      <c r="E2116" s="15" t="s">
        <v>39</v>
      </c>
      <c r="F2116" s="15" t="s">
        <v>18</v>
      </c>
      <c r="G2116" s="15" t="s">
        <v>24</v>
      </c>
      <c r="H2116" s="15" t="n">
        <v>5</v>
      </c>
      <c r="I2116" s="17" t="n">
        <v>0</v>
      </c>
      <c r="J2116" s="18" t="n">
        <v>3090.85</v>
      </c>
      <c r="K2116" s="19" t="n">
        <v>85.1</v>
      </c>
      <c r="L2116" s="15" t="n">
        <f aca="false">YEAR(B2116)</f>
        <v>2025</v>
      </c>
      <c r="M2116" s="20" t="n">
        <f aca="false">IF(J2116&gt;0,K2116/J2116,0)</f>
        <v>0.0275328793050455</v>
      </c>
    </row>
    <row r="2117" customFormat="false" ht="15" hidden="false" customHeight="false" outlineLevel="0" collapsed="false">
      <c r="A2117" s="15" t="s">
        <v>2174</v>
      </c>
      <c r="B2117" s="16" t="n">
        <v>45729</v>
      </c>
      <c r="C2117" s="15" t="s">
        <v>71</v>
      </c>
      <c r="D2117" s="15" t="s">
        <v>43</v>
      </c>
      <c r="E2117" s="15" t="s">
        <v>38</v>
      </c>
      <c r="F2117" s="15" t="s">
        <v>17</v>
      </c>
      <c r="G2117" s="15" t="s">
        <v>28</v>
      </c>
      <c r="H2117" s="15" t="n">
        <v>7</v>
      </c>
      <c r="I2117" s="17" t="n">
        <v>0</v>
      </c>
      <c r="J2117" s="18" t="n">
        <v>165.92</v>
      </c>
      <c r="K2117" s="19" t="n">
        <v>47.19</v>
      </c>
      <c r="L2117" s="15" t="n">
        <f aca="false">YEAR(B2117)</f>
        <v>2025</v>
      </c>
      <c r="M2117" s="20" t="n">
        <f aca="false">IF(J2117&gt;0,K2117/J2117,0)</f>
        <v>0.284414175506268</v>
      </c>
    </row>
    <row r="2118" customFormat="false" ht="15" hidden="false" customHeight="false" outlineLevel="0" collapsed="false">
      <c r="A2118" s="15" t="s">
        <v>2175</v>
      </c>
      <c r="B2118" s="16" t="n">
        <v>45442</v>
      </c>
      <c r="C2118" s="15" t="s">
        <v>56</v>
      </c>
      <c r="D2118" s="15" t="s">
        <v>42</v>
      </c>
      <c r="E2118" s="15" t="s">
        <v>38</v>
      </c>
      <c r="F2118" s="15" t="s">
        <v>17</v>
      </c>
      <c r="G2118" s="15" t="s">
        <v>29</v>
      </c>
      <c r="H2118" s="15" t="n">
        <v>5</v>
      </c>
      <c r="I2118" s="17" t="n">
        <v>0</v>
      </c>
      <c r="J2118" s="18" t="n">
        <v>71.98</v>
      </c>
      <c r="K2118" s="19" t="n">
        <v>31.25</v>
      </c>
      <c r="L2118" s="15" t="n">
        <f aca="false">YEAR(B2118)</f>
        <v>2024</v>
      </c>
      <c r="M2118" s="20" t="n">
        <f aca="false">IF(J2118&gt;0,K2118/J2118,0)</f>
        <v>0.434148374548486</v>
      </c>
    </row>
    <row r="2119" customFormat="false" ht="15" hidden="false" customHeight="false" outlineLevel="0" collapsed="false">
      <c r="A2119" s="15" t="s">
        <v>2176</v>
      </c>
      <c r="B2119" s="16" t="n">
        <v>44722</v>
      </c>
      <c r="C2119" s="15" t="s">
        <v>56</v>
      </c>
      <c r="D2119" s="15" t="s">
        <v>44</v>
      </c>
      <c r="E2119" s="15" t="s">
        <v>37</v>
      </c>
      <c r="F2119" s="15" t="s">
        <v>17</v>
      </c>
      <c r="G2119" s="15" t="s">
        <v>29</v>
      </c>
      <c r="H2119" s="15" t="n">
        <v>2</v>
      </c>
      <c r="I2119" s="17" t="n">
        <v>0.2</v>
      </c>
      <c r="J2119" s="18" t="n">
        <v>36.61</v>
      </c>
      <c r="K2119" s="19" t="n">
        <v>9.16</v>
      </c>
      <c r="L2119" s="15" t="n">
        <f aca="false">YEAR(B2119)</f>
        <v>2022</v>
      </c>
      <c r="M2119" s="20" t="n">
        <f aca="false">IF(J2119&gt;0,K2119/J2119,0)</f>
        <v>0.250204862059547</v>
      </c>
    </row>
    <row r="2120" customFormat="false" ht="15" hidden="false" customHeight="false" outlineLevel="0" collapsed="false">
      <c r="A2120" s="15" t="s">
        <v>2177</v>
      </c>
      <c r="B2120" s="16" t="n">
        <v>45805</v>
      </c>
      <c r="C2120" s="15" t="s">
        <v>58</v>
      </c>
      <c r="D2120" s="15" t="s">
        <v>44</v>
      </c>
      <c r="E2120" s="15" t="s">
        <v>39</v>
      </c>
      <c r="F2120" s="15" t="s">
        <v>18</v>
      </c>
      <c r="G2120" s="15" t="s">
        <v>30</v>
      </c>
      <c r="H2120" s="15" t="n">
        <v>8</v>
      </c>
      <c r="I2120" s="17" t="n">
        <v>0</v>
      </c>
      <c r="J2120" s="18" t="n">
        <v>529.17</v>
      </c>
      <c r="K2120" s="19" t="n">
        <v>152.63</v>
      </c>
      <c r="L2120" s="15" t="n">
        <f aca="false">YEAR(B2120)</f>
        <v>2025</v>
      </c>
      <c r="M2120" s="20" t="n">
        <f aca="false">IF(J2120&gt;0,K2120/J2120,0)</f>
        <v>0.288432828769583</v>
      </c>
    </row>
    <row r="2121" customFormat="false" ht="15" hidden="false" customHeight="false" outlineLevel="0" collapsed="false">
      <c r="A2121" s="15" t="s">
        <v>2178</v>
      </c>
      <c r="B2121" s="16" t="n">
        <v>45607</v>
      </c>
      <c r="C2121" s="15" t="s">
        <v>56</v>
      </c>
      <c r="D2121" s="15" t="s">
        <v>43</v>
      </c>
      <c r="E2121" s="15" t="s">
        <v>38</v>
      </c>
      <c r="F2121" s="15" t="s">
        <v>16</v>
      </c>
      <c r="G2121" s="15" t="s">
        <v>25</v>
      </c>
      <c r="H2121" s="15" t="n">
        <v>4</v>
      </c>
      <c r="I2121" s="17" t="n">
        <v>0</v>
      </c>
      <c r="J2121" s="18" t="n">
        <v>1146.49</v>
      </c>
      <c r="K2121" s="19" t="n">
        <v>174.18</v>
      </c>
      <c r="L2121" s="15" t="n">
        <f aca="false">YEAR(B2121)</f>
        <v>2024</v>
      </c>
      <c r="M2121" s="20" t="n">
        <f aca="false">IF(J2121&gt;0,K2121/J2121,0)</f>
        <v>0.151924569773831</v>
      </c>
    </row>
    <row r="2122" customFormat="false" ht="15" hidden="false" customHeight="false" outlineLevel="0" collapsed="false">
      <c r="A2122" s="15" t="s">
        <v>2179</v>
      </c>
      <c r="B2122" s="16" t="n">
        <v>44717</v>
      </c>
      <c r="C2122" s="15" t="s">
        <v>56</v>
      </c>
      <c r="D2122" s="15" t="s">
        <v>42</v>
      </c>
      <c r="E2122" s="15" t="s">
        <v>36</v>
      </c>
      <c r="F2122" s="15" t="s">
        <v>17</v>
      </c>
      <c r="G2122" s="15" t="s">
        <v>26</v>
      </c>
      <c r="H2122" s="15" t="n">
        <v>3</v>
      </c>
      <c r="I2122" s="17" t="n">
        <v>0.1</v>
      </c>
      <c r="J2122" s="18" t="n">
        <v>167.97</v>
      </c>
      <c r="K2122" s="19" t="n">
        <v>5.52</v>
      </c>
      <c r="L2122" s="15" t="n">
        <f aca="false">YEAR(B2122)</f>
        <v>2022</v>
      </c>
      <c r="M2122" s="20" t="n">
        <f aca="false">IF(J2122&gt;0,K2122/J2122,0)</f>
        <v>0.0328630112520093</v>
      </c>
    </row>
    <row r="2123" customFormat="false" ht="15" hidden="false" customHeight="false" outlineLevel="0" collapsed="false">
      <c r="A2123" s="15" t="s">
        <v>2180</v>
      </c>
      <c r="B2123" s="16" t="n">
        <v>44614</v>
      </c>
      <c r="C2123" s="15" t="s">
        <v>56</v>
      </c>
      <c r="D2123" s="15" t="s">
        <v>42</v>
      </c>
      <c r="E2123" s="15" t="s">
        <v>39</v>
      </c>
      <c r="F2123" s="15" t="s">
        <v>17</v>
      </c>
      <c r="G2123" s="15" t="s">
        <v>28</v>
      </c>
      <c r="H2123" s="15" t="n">
        <v>5</v>
      </c>
      <c r="I2123" s="17" t="n">
        <v>0.2</v>
      </c>
      <c r="J2123" s="18" t="n">
        <v>95.61</v>
      </c>
      <c r="K2123" s="19" t="n">
        <v>9.55</v>
      </c>
      <c r="L2123" s="15" t="n">
        <f aca="false">YEAR(B2123)</f>
        <v>2022</v>
      </c>
      <c r="M2123" s="20" t="n">
        <f aca="false">IF(J2123&gt;0,K2123/J2123,0)</f>
        <v>0.0998849492730886</v>
      </c>
    </row>
    <row r="2124" customFormat="false" ht="15" hidden="false" customHeight="false" outlineLevel="0" collapsed="false">
      <c r="A2124" s="15" t="s">
        <v>2181</v>
      </c>
      <c r="B2124" s="16" t="n">
        <v>46020</v>
      </c>
      <c r="C2124" s="15" t="s">
        <v>56</v>
      </c>
      <c r="D2124" s="15" t="s">
        <v>42</v>
      </c>
      <c r="E2124" s="15" t="s">
        <v>37</v>
      </c>
      <c r="F2124" s="15" t="s">
        <v>16</v>
      </c>
      <c r="G2124" s="15" t="s">
        <v>27</v>
      </c>
      <c r="H2124" s="15" t="n">
        <v>3</v>
      </c>
      <c r="I2124" s="17" t="n">
        <v>0.4</v>
      </c>
      <c r="J2124" s="18" t="n">
        <v>86.61</v>
      </c>
      <c r="K2124" s="19" t="n">
        <v>-13.27</v>
      </c>
      <c r="L2124" s="15" t="n">
        <f aca="false">YEAR(B2124)</f>
        <v>2025</v>
      </c>
      <c r="M2124" s="20" t="n">
        <f aca="false">IF(J2124&gt;0,K2124/J2124,0)</f>
        <v>-0.15321556402263</v>
      </c>
    </row>
    <row r="2125" customFormat="false" ht="15" hidden="false" customHeight="false" outlineLevel="0" collapsed="false">
      <c r="A2125" s="15" t="s">
        <v>2182</v>
      </c>
      <c r="B2125" s="16" t="n">
        <v>45021</v>
      </c>
      <c r="C2125" s="15" t="s">
        <v>56</v>
      </c>
      <c r="D2125" s="15" t="s">
        <v>42</v>
      </c>
      <c r="E2125" s="15" t="s">
        <v>39</v>
      </c>
      <c r="F2125" s="15" t="s">
        <v>17</v>
      </c>
      <c r="G2125" s="15" t="s">
        <v>31</v>
      </c>
      <c r="H2125" s="15" t="n">
        <v>3</v>
      </c>
      <c r="I2125" s="17" t="n">
        <v>0.1</v>
      </c>
      <c r="J2125" s="18" t="n">
        <v>405.86</v>
      </c>
      <c r="K2125" s="19" t="n">
        <v>62.41</v>
      </c>
      <c r="L2125" s="15" t="n">
        <f aca="false">YEAR(B2125)</f>
        <v>2023</v>
      </c>
      <c r="M2125" s="20" t="n">
        <f aca="false">IF(J2125&gt;0,K2125/J2125,0)</f>
        <v>0.153772236731878</v>
      </c>
    </row>
    <row r="2126" customFormat="false" ht="15" hidden="false" customHeight="false" outlineLevel="0" collapsed="false">
      <c r="A2126" s="15" t="s">
        <v>2183</v>
      </c>
      <c r="B2126" s="16" t="n">
        <v>44754</v>
      </c>
      <c r="C2126" s="15" t="s">
        <v>68</v>
      </c>
      <c r="D2126" s="15" t="s">
        <v>42</v>
      </c>
      <c r="E2126" s="15" t="s">
        <v>36</v>
      </c>
      <c r="F2126" s="15" t="s">
        <v>18</v>
      </c>
      <c r="G2126" s="15" t="s">
        <v>33</v>
      </c>
      <c r="H2126" s="15" t="n">
        <v>2</v>
      </c>
      <c r="I2126" s="17" t="n">
        <v>0</v>
      </c>
      <c r="J2126" s="18" t="n">
        <v>1635.34</v>
      </c>
      <c r="K2126" s="19" t="n">
        <v>518.43</v>
      </c>
      <c r="L2126" s="15" t="n">
        <f aca="false">YEAR(B2126)</f>
        <v>2022</v>
      </c>
      <c r="M2126" s="20" t="n">
        <f aca="false">IF(J2126&gt;0,K2126/J2126,0)</f>
        <v>0.317016644856727</v>
      </c>
    </row>
    <row r="2127" customFormat="false" ht="15" hidden="false" customHeight="false" outlineLevel="0" collapsed="false">
      <c r="A2127" s="15" t="s">
        <v>2184</v>
      </c>
      <c r="B2127" s="16" t="n">
        <v>45502</v>
      </c>
      <c r="C2127" s="15" t="s">
        <v>71</v>
      </c>
      <c r="D2127" s="15" t="s">
        <v>43</v>
      </c>
      <c r="E2127" s="15" t="s">
        <v>37</v>
      </c>
      <c r="F2127" s="15" t="s">
        <v>17</v>
      </c>
      <c r="G2127" s="15" t="s">
        <v>26</v>
      </c>
      <c r="H2127" s="15" t="n">
        <v>3</v>
      </c>
      <c r="I2127" s="17" t="n">
        <v>0</v>
      </c>
      <c r="J2127" s="18" t="n">
        <v>235.99</v>
      </c>
      <c r="K2127" s="19" t="n">
        <v>32.26</v>
      </c>
      <c r="L2127" s="15" t="n">
        <f aca="false">YEAR(B2127)</f>
        <v>2024</v>
      </c>
      <c r="M2127" s="20" t="n">
        <f aca="false">IF(J2127&gt;0,K2127/J2127,0)</f>
        <v>0.136700707657104</v>
      </c>
    </row>
    <row r="2128" customFormat="false" ht="15" hidden="false" customHeight="false" outlineLevel="0" collapsed="false">
      <c r="A2128" s="15" t="s">
        <v>2185</v>
      </c>
      <c r="B2128" s="16" t="n">
        <v>45572</v>
      </c>
      <c r="C2128" s="15" t="s">
        <v>71</v>
      </c>
      <c r="D2128" s="15" t="s">
        <v>42</v>
      </c>
      <c r="E2128" s="15" t="s">
        <v>38</v>
      </c>
      <c r="F2128" s="15" t="s">
        <v>16</v>
      </c>
      <c r="G2128" s="15" t="s">
        <v>27</v>
      </c>
      <c r="H2128" s="15" t="n">
        <v>3</v>
      </c>
      <c r="I2128" s="17" t="n">
        <v>0.4</v>
      </c>
      <c r="J2128" s="18" t="n">
        <v>112.27</v>
      </c>
      <c r="K2128" s="19" t="n">
        <v>-8.11</v>
      </c>
      <c r="L2128" s="15" t="n">
        <f aca="false">YEAR(B2128)</f>
        <v>2024</v>
      </c>
      <c r="M2128" s="20" t="n">
        <f aca="false">IF(J2128&gt;0,K2128/J2128,0)</f>
        <v>-0.072236572548321</v>
      </c>
    </row>
    <row r="2129" customFormat="false" ht="15" hidden="false" customHeight="false" outlineLevel="0" collapsed="false">
      <c r="A2129" s="15" t="s">
        <v>2186</v>
      </c>
      <c r="B2129" s="16" t="n">
        <v>45287</v>
      </c>
      <c r="C2129" s="15" t="s">
        <v>56</v>
      </c>
      <c r="D2129" s="15" t="s">
        <v>44</v>
      </c>
      <c r="E2129" s="15" t="s">
        <v>37</v>
      </c>
      <c r="F2129" s="15" t="s">
        <v>16</v>
      </c>
      <c r="G2129" s="15" t="s">
        <v>25</v>
      </c>
      <c r="H2129" s="15" t="n">
        <v>2</v>
      </c>
      <c r="I2129" s="17" t="n">
        <v>0.15</v>
      </c>
      <c r="J2129" s="18" t="n">
        <v>528.95</v>
      </c>
      <c r="K2129" s="19" t="n">
        <v>-35.16</v>
      </c>
      <c r="L2129" s="15" t="n">
        <f aca="false">YEAR(B2129)</f>
        <v>2023</v>
      </c>
      <c r="M2129" s="20" t="n">
        <f aca="false">IF(J2129&gt;0,K2129/J2129,0)</f>
        <v>-0.0664713110880045</v>
      </c>
    </row>
    <row r="2130" customFormat="false" ht="15" hidden="false" customHeight="false" outlineLevel="0" collapsed="false">
      <c r="A2130" s="15" t="s">
        <v>2187</v>
      </c>
      <c r="B2130" s="16" t="n">
        <v>44587</v>
      </c>
      <c r="C2130" s="15" t="s">
        <v>56</v>
      </c>
      <c r="D2130" s="15" t="s">
        <v>43</v>
      </c>
      <c r="E2130" s="15" t="s">
        <v>36</v>
      </c>
      <c r="F2130" s="15" t="s">
        <v>17</v>
      </c>
      <c r="G2130" s="15" t="s">
        <v>28</v>
      </c>
      <c r="H2130" s="15" t="n">
        <v>1</v>
      </c>
      <c r="I2130" s="17" t="n">
        <v>0.3</v>
      </c>
      <c r="J2130" s="18" t="n">
        <v>13.36</v>
      </c>
      <c r="K2130" s="19" t="n">
        <v>0.56</v>
      </c>
      <c r="L2130" s="15" t="n">
        <f aca="false">YEAR(B2130)</f>
        <v>2022</v>
      </c>
      <c r="M2130" s="20" t="n">
        <f aca="false">IF(J2130&gt;0,K2130/J2130,0)</f>
        <v>0.0419161676646707</v>
      </c>
    </row>
    <row r="2131" customFormat="false" ht="15" hidden="false" customHeight="false" outlineLevel="0" collapsed="false">
      <c r="A2131" s="15" t="s">
        <v>2188</v>
      </c>
      <c r="B2131" s="16" t="n">
        <v>45625</v>
      </c>
      <c r="C2131" s="15" t="s">
        <v>71</v>
      </c>
      <c r="D2131" s="15" t="s">
        <v>42</v>
      </c>
      <c r="E2131" s="15" t="s">
        <v>39</v>
      </c>
      <c r="F2131" s="15" t="s">
        <v>18</v>
      </c>
      <c r="G2131" s="15" t="s">
        <v>30</v>
      </c>
      <c r="H2131" s="15" t="n">
        <v>1</v>
      </c>
      <c r="I2131" s="17" t="n">
        <v>0.15</v>
      </c>
      <c r="J2131" s="18" t="n">
        <v>38.17</v>
      </c>
      <c r="K2131" s="19" t="n">
        <v>5.3</v>
      </c>
      <c r="L2131" s="15" t="n">
        <f aca="false">YEAR(B2131)</f>
        <v>2024</v>
      </c>
      <c r="M2131" s="20" t="n">
        <f aca="false">IF(J2131&gt;0,K2131/J2131,0)</f>
        <v>0.138852501964894</v>
      </c>
    </row>
    <row r="2132" customFormat="false" ht="15" hidden="false" customHeight="false" outlineLevel="0" collapsed="false">
      <c r="A2132" s="15" t="s">
        <v>2189</v>
      </c>
      <c r="B2132" s="16" t="n">
        <v>45736</v>
      </c>
      <c r="C2132" s="15" t="s">
        <v>68</v>
      </c>
      <c r="D2132" s="15" t="s">
        <v>43</v>
      </c>
      <c r="E2132" s="15" t="s">
        <v>39</v>
      </c>
      <c r="F2132" s="15" t="s">
        <v>18</v>
      </c>
      <c r="G2132" s="15" t="s">
        <v>32</v>
      </c>
      <c r="H2132" s="15" t="n">
        <v>4</v>
      </c>
      <c r="I2132" s="17" t="n">
        <v>0</v>
      </c>
      <c r="J2132" s="18" t="n">
        <v>1952.12</v>
      </c>
      <c r="K2132" s="19" t="n">
        <v>390.99</v>
      </c>
      <c r="L2132" s="15" t="n">
        <f aca="false">YEAR(B2132)</f>
        <v>2025</v>
      </c>
      <c r="M2132" s="20" t="n">
        <f aca="false">IF(J2132&gt;0,K2132/J2132,0)</f>
        <v>0.20028994119214</v>
      </c>
    </row>
    <row r="2133" customFormat="false" ht="15" hidden="false" customHeight="false" outlineLevel="0" collapsed="false">
      <c r="A2133" s="15" t="s">
        <v>2190</v>
      </c>
      <c r="B2133" s="16" t="n">
        <v>45802</v>
      </c>
      <c r="C2133" s="15" t="s">
        <v>58</v>
      </c>
      <c r="D2133" s="15" t="s">
        <v>42</v>
      </c>
      <c r="E2133" s="15" t="s">
        <v>39</v>
      </c>
      <c r="F2133" s="15" t="s">
        <v>17</v>
      </c>
      <c r="G2133" s="15" t="s">
        <v>28</v>
      </c>
      <c r="H2133" s="15" t="n">
        <v>3</v>
      </c>
      <c r="I2133" s="17" t="n">
        <v>0</v>
      </c>
      <c r="J2133" s="18" t="n">
        <v>75.89</v>
      </c>
      <c r="K2133" s="19" t="n">
        <v>21.89</v>
      </c>
      <c r="L2133" s="15" t="n">
        <f aca="false">YEAR(B2133)</f>
        <v>2025</v>
      </c>
      <c r="M2133" s="20" t="n">
        <f aca="false">IF(J2133&gt;0,K2133/J2133,0)</f>
        <v>0.288443800237185</v>
      </c>
    </row>
    <row r="2134" customFormat="false" ht="15" hidden="false" customHeight="false" outlineLevel="0" collapsed="false">
      <c r="A2134" s="15" t="s">
        <v>2191</v>
      </c>
      <c r="B2134" s="16" t="n">
        <v>44956</v>
      </c>
      <c r="C2134" s="15" t="s">
        <v>56</v>
      </c>
      <c r="D2134" s="15" t="s">
        <v>44</v>
      </c>
      <c r="E2134" s="15" t="s">
        <v>38</v>
      </c>
      <c r="F2134" s="15" t="s">
        <v>17</v>
      </c>
      <c r="G2134" s="15" t="s">
        <v>26</v>
      </c>
      <c r="H2134" s="15" t="n">
        <v>3</v>
      </c>
      <c r="I2134" s="17" t="n">
        <v>0.1</v>
      </c>
      <c r="J2134" s="18" t="n">
        <v>253.23</v>
      </c>
      <c r="K2134" s="19" t="n">
        <v>13.49</v>
      </c>
      <c r="L2134" s="15" t="n">
        <f aca="false">YEAR(B2134)</f>
        <v>2023</v>
      </c>
      <c r="M2134" s="20" t="n">
        <f aca="false">IF(J2134&gt;0,K2134/J2134,0)</f>
        <v>0.0532717292579868</v>
      </c>
    </row>
    <row r="2135" customFormat="false" ht="15" hidden="false" customHeight="false" outlineLevel="0" collapsed="false">
      <c r="A2135" s="15" t="s">
        <v>2192</v>
      </c>
      <c r="B2135" s="16" t="n">
        <v>44693</v>
      </c>
      <c r="C2135" s="15" t="s">
        <v>56</v>
      </c>
      <c r="D2135" s="15" t="s">
        <v>43</v>
      </c>
      <c r="E2135" s="15" t="s">
        <v>38</v>
      </c>
      <c r="F2135" s="15" t="s">
        <v>17</v>
      </c>
      <c r="G2135" s="15" t="s">
        <v>28</v>
      </c>
      <c r="H2135" s="15" t="n">
        <v>4</v>
      </c>
      <c r="I2135" s="17" t="n">
        <v>0</v>
      </c>
      <c r="J2135" s="18" t="n">
        <v>90.02</v>
      </c>
      <c r="K2135" s="19" t="n">
        <v>25.81</v>
      </c>
      <c r="L2135" s="15" t="n">
        <f aca="false">YEAR(B2135)</f>
        <v>2022</v>
      </c>
      <c r="M2135" s="20" t="n">
        <f aca="false">IF(J2135&gt;0,K2135/J2135,0)</f>
        <v>0.286714063541435</v>
      </c>
    </row>
    <row r="2136" customFormat="false" ht="15" hidden="false" customHeight="false" outlineLevel="0" collapsed="false">
      <c r="A2136" s="15" t="s">
        <v>2193</v>
      </c>
      <c r="B2136" s="16" t="n">
        <v>44799</v>
      </c>
      <c r="C2136" s="15" t="s">
        <v>58</v>
      </c>
      <c r="D2136" s="15" t="s">
        <v>42</v>
      </c>
      <c r="E2136" s="15" t="s">
        <v>37</v>
      </c>
      <c r="F2136" s="15" t="s">
        <v>16</v>
      </c>
      <c r="G2136" s="15" t="s">
        <v>22</v>
      </c>
      <c r="H2136" s="15" t="n">
        <v>4</v>
      </c>
      <c r="I2136" s="17" t="n">
        <v>0</v>
      </c>
      <c r="J2136" s="18" t="n">
        <v>2022.82</v>
      </c>
      <c r="K2136" s="19" t="n">
        <v>-44.1</v>
      </c>
      <c r="L2136" s="15" t="n">
        <f aca="false">YEAR(B2136)</f>
        <v>2022</v>
      </c>
      <c r="M2136" s="20" t="n">
        <f aca="false">IF(J2136&gt;0,K2136/J2136,0)</f>
        <v>-0.0218012477630239</v>
      </c>
    </row>
    <row r="2137" customFormat="false" ht="15" hidden="false" customHeight="false" outlineLevel="0" collapsed="false">
      <c r="A2137" s="15" t="s">
        <v>2194</v>
      </c>
      <c r="B2137" s="16" t="n">
        <v>45369</v>
      </c>
      <c r="C2137" s="15" t="s">
        <v>68</v>
      </c>
      <c r="D2137" s="15" t="s">
        <v>43</v>
      </c>
      <c r="E2137" s="15" t="s">
        <v>37</v>
      </c>
      <c r="F2137" s="15" t="s">
        <v>18</v>
      </c>
      <c r="G2137" s="15" t="s">
        <v>32</v>
      </c>
      <c r="H2137" s="15" t="n">
        <v>2</v>
      </c>
      <c r="I2137" s="17" t="n">
        <v>0.15</v>
      </c>
      <c r="J2137" s="18" t="n">
        <v>760.91</v>
      </c>
      <c r="K2137" s="19" t="n">
        <v>75.52</v>
      </c>
      <c r="L2137" s="15" t="n">
        <f aca="false">YEAR(B2137)</f>
        <v>2024</v>
      </c>
      <c r="M2137" s="20" t="n">
        <f aca="false">IF(J2137&gt;0,K2137/J2137,0)</f>
        <v>0.0992495827364603</v>
      </c>
    </row>
    <row r="2138" customFormat="false" ht="15" hidden="false" customHeight="false" outlineLevel="0" collapsed="false">
      <c r="A2138" s="15" t="s">
        <v>2195</v>
      </c>
      <c r="B2138" s="16" t="n">
        <v>45341</v>
      </c>
      <c r="C2138" s="15" t="s">
        <v>56</v>
      </c>
      <c r="D2138" s="15" t="s">
        <v>42</v>
      </c>
      <c r="E2138" s="15" t="s">
        <v>39</v>
      </c>
      <c r="F2138" s="15" t="s">
        <v>18</v>
      </c>
      <c r="G2138" s="15" t="s">
        <v>30</v>
      </c>
      <c r="H2138" s="15" t="n">
        <v>5</v>
      </c>
      <c r="I2138" s="17" t="n">
        <v>0.15</v>
      </c>
      <c r="J2138" s="18" t="n">
        <v>216.64</v>
      </c>
      <c r="K2138" s="19" t="n">
        <v>29.82</v>
      </c>
      <c r="L2138" s="15" t="n">
        <f aca="false">YEAR(B2138)</f>
        <v>2024</v>
      </c>
      <c r="M2138" s="20" t="n">
        <f aca="false">IF(J2138&gt;0,K2138/J2138,0)</f>
        <v>0.137647710487445</v>
      </c>
    </row>
    <row r="2139" customFormat="false" ht="15" hidden="false" customHeight="false" outlineLevel="0" collapsed="false">
      <c r="A2139" s="15" t="s">
        <v>2196</v>
      </c>
      <c r="B2139" s="16" t="n">
        <v>44871</v>
      </c>
      <c r="C2139" s="15" t="s">
        <v>68</v>
      </c>
      <c r="D2139" s="15" t="s">
        <v>44</v>
      </c>
      <c r="E2139" s="15" t="s">
        <v>36</v>
      </c>
      <c r="F2139" s="15" t="s">
        <v>17</v>
      </c>
      <c r="G2139" s="15" t="s">
        <v>29</v>
      </c>
      <c r="H2139" s="15" t="n">
        <v>4</v>
      </c>
      <c r="I2139" s="17" t="n">
        <v>0</v>
      </c>
      <c r="J2139" s="18" t="n">
        <v>100.61</v>
      </c>
      <c r="K2139" s="19" t="n">
        <v>34.33</v>
      </c>
      <c r="L2139" s="15" t="n">
        <f aca="false">YEAR(B2139)</f>
        <v>2022</v>
      </c>
      <c r="M2139" s="20" t="n">
        <f aca="false">IF(J2139&gt;0,K2139/J2139,0)</f>
        <v>0.341218566742869</v>
      </c>
    </row>
    <row r="2140" customFormat="false" ht="15" hidden="false" customHeight="false" outlineLevel="0" collapsed="false">
      <c r="A2140" s="15" t="s">
        <v>2197</v>
      </c>
      <c r="B2140" s="16" t="n">
        <v>45981</v>
      </c>
      <c r="C2140" s="15" t="s">
        <v>58</v>
      </c>
      <c r="D2140" s="15" t="s">
        <v>42</v>
      </c>
      <c r="E2140" s="15" t="s">
        <v>39</v>
      </c>
      <c r="F2140" s="15" t="s">
        <v>16</v>
      </c>
      <c r="G2140" s="15" t="s">
        <v>23</v>
      </c>
      <c r="H2140" s="15" t="n">
        <v>2</v>
      </c>
      <c r="I2140" s="17" t="n">
        <v>0.4</v>
      </c>
      <c r="J2140" s="18" t="n">
        <v>461.32</v>
      </c>
      <c r="K2140" s="19" t="n">
        <v>-145.03</v>
      </c>
      <c r="L2140" s="15" t="n">
        <f aca="false">YEAR(B2140)</f>
        <v>2025</v>
      </c>
      <c r="M2140" s="20" t="n">
        <f aca="false">IF(J2140&gt;0,K2140/J2140,0)</f>
        <v>-0.314380473424087</v>
      </c>
    </row>
    <row r="2141" customFormat="false" ht="15" hidden="false" customHeight="false" outlineLevel="0" collapsed="false">
      <c r="A2141" s="15" t="s">
        <v>2198</v>
      </c>
      <c r="B2141" s="16" t="n">
        <v>45036</v>
      </c>
      <c r="C2141" s="15" t="s">
        <v>58</v>
      </c>
      <c r="D2141" s="15" t="s">
        <v>43</v>
      </c>
      <c r="E2141" s="15" t="s">
        <v>38</v>
      </c>
      <c r="F2141" s="15" t="s">
        <v>17</v>
      </c>
      <c r="G2141" s="15" t="s">
        <v>29</v>
      </c>
      <c r="H2141" s="15" t="n">
        <v>2</v>
      </c>
      <c r="I2141" s="17" t="n">
        <v>0.2</v>
      </c>
      <c r="J2141" s="18" t="n">
        <v>28.73</v>
      </c>
      <c r="K2141" s="19" t="n">
        <v>7.67</v>
      </c>
      <c r="L2141" s="15" t="n">
        <f aca="false">YEAR(B2141)</f>
        <v>2023</v>
      </c>
      <c r="M2141" s="20" t="n">
        <f aca="false">IF(J2141&gt;0,K2141/J2141,0)</f>
        <v>0.266968325791855</v>
      </c>
    </row>
    <row r="2142" customFormat="false" ht="15" hidden="false" customHeight="false" outlineLevel="0" collapsed="false">
      <c r="A2142" s="15" t="s">
        <v>2199</v>
      </c>
      <c r="B2142" s="16" t="n">
        <v>45443</v>
      </c>
      <c r="C2142" s="15" t="s">
        <v>68</v>
      </c>
      <c r="D2142" s="15" t="s">
        <v>43</v>
      </c>
      <c r="E2142" s="15" t="s">
        <v>37</v>
      </c>
      <c r="F2142" s="15" t="s">
        <v>17</v>
      </c>
      <c r="G2142" s="15" t="s">
        <v>28</v>
      </c>
      <c r="H2142" s="15" t="n">
        <v>5</v>
      </c>
      <c r="I2142" s="17" t="n">
        <v>0.15</v>
      </c>
      <c r="J2142" s="18" t="n">
        <v>124.97</v>
      </c>
      <c r="K2142" s="19" t="n">
        <v>14.12</v>
      </c>
      <c r="L2142" s="15" t="n">
        <f aca="false">YEAR(B2142)</f>
        <v>2024</v>
      </c>
      <c r="M2142" s="20" t="n">
        <f aca="false">IF(J2142&gt;0,K2142/J2142,0)</f>
        <v>0.112987116908058</v>
      </c>
    </row>
    <row r="2143" customFormat="false" ht="15" hidden="false" customHeight="false" outlineLevel="0" collapsed="false">
      <c r="A2143" s="15" t="s">
        <v>2200</v>
      </c>
      <c r="B2143" s="16" t="n">
        <v>45136</v>
      </c>
      <c r="C2143" s="15" t="s">
        <v>71</v>
      </c>
      <c r="D2143" s="15" t="s">
        <v>43</v>
      </c>
      <c r="E2143" s="15" t="s">
        <v>37</v>
      </c>
      <c r="F2143" s="15" t="s">
        <v>17</v>
      </c>
      <c r="G2143" s="15" t="s">
        <v>29</v>
      </c>
      <c r="H2143" s="15" t="n">
        <v>4</v>
      </c>
      <c r="I2143" s="17" t="n">
        <v>0</v>
      </c>
      <c r="J2143" s="18" t="n">
        <v>92.83</v>
      </c>
      <c r="K2143" s="19" t="n">
        <v>37.85</v>
      </c>
      <c r="L2143" s="15" t="n">
        <f aca="false">YEAR(B2143)</f>
        <v>2023</v>
      </c>
      <c r="M2143" s="20" t="n">
        <f aca="false">IF(J2143&gt;0,K2143/J2143,0)</f>
        <v>0.407734568566196</v>
      </c>
    </row>
    <row r="2144" customFormat="false" ht="15" hidden="false" customHeight="false" outlineLevel="0" collapsed="false">
      <c r="A2144" s="15" t="s">
        <v>2201</v>
      </c>
      <c r="B2144" s="16" t="n">
        <v>45653</v>
      </c>
      <c r="C2144" s="15" t="s">
        <v>68</v>
      </c>
      <c r="D2144" s="15" t="s">
        <v>44</v>
      </c>
      <c r="E2144" s="15" t="s">
        <v>37</v>
      </c>
      <c r="F2144" s="15" t="s">
        <v>17</v>
      </c>
      <c r="G2144" s="15" t="s">
        <v>28</v>
      </c>
      <c r="H2144" s="15" t="n">
        <v>5</v>
      </c>
      <c r="I2144" s="17" t="n">
        <v>0.2</v>
      </c>
      <c r="J2144" s="18" t="n">
        <v>102.91</v>
      </c>
      <c r="K2144" s="19" t="n">
        <v>15.66</v>
      </c>
      <c r="L2144" s="15" t="n">
        <f aca="false">YEAR(B2144)</f>
        <v>2024</v>
      </c>
      <c r="M2144" s="20" t="n">
        <f aca="false">IF(J2144&gt;0,K2144/J2144,0)</f>
        <v>0.152171800602468</v>
      </c>
    </row>
    <row r="2145" customFormat="false" ht="15" hidden="false" customHeight="false" outlineLevel="0" collapsed="false">
      <c r="A2145" s="15" t="s">
        <v>2202</v>
      </c>
      <c r="B2145" s="16" t="n">
        <v>45347</v>
      </c>
      <c r="C2145" s="15" t="s">
        <v>56</v>
      </c>
      <c r="D2145" s="15" t="s">
        <v>43</v>
      </c>
      <c r="E2145" s="15" t="s">
        <v>36</v>
      </c>
      <c r="F2145" s="15" t="s">
        <v>17</v>
      </c>
      <c r="G2145" s="15" t="s">
        <v>29</v>
      </c>
      <c r="H2145" s="15" t="n">
        <v>8</v>
      </c>
      <c r="I2145" s="17" t="n">
        <v>0</v>
      </c>
      <c r="J2145" s="18" t="n">
        <v>161.01</v>
      </c>
      <c r="K2145" s="19" t="n">
        <v>68.68</v>
      </c>
      <c r="L2145" s="15" t="n">
        <f aca="false">YEAR(B2145)</f>
        <v>2024</v>
      </c>
      <c r="M2145" s="20" t="n">
        <f aca="false">IF(J2145&gt;0,K2145/J2145,0)</f>
        <v>0.42655735668592</v>
      </c>
    </row>
    <row r="2146" customFormat="false" ht="15" hidden="false" customHeight="false" outlineLevel="0" collapsed="false">
      <c r="A2146" s="15" t="s">
        <v>2203</v>
      </c>
      <c r="B2146" s="16" t="n">
        <v>45858</v>
      </c>
      <c r="C2146" s="15" t="s">
        <v>56</v>
      </c>
      <c r="D2146" s="15" t="s">
        <v>44</v>
      </c>
      <c r="E2146" s="15" t="s">
        <v>39</v>
      </c>
      <c r="F2146" s="15" t="s">
        <v>18</v>
      </c>
      <c r="G2146" s="15" t="s">
        <v>24</v>
      </c>
      <c r="H2146" s="15" t="n">
        <v>7</v>
      </c>
      <c r="I2146" s="17" t="n">
        <v>0</v>
      </c>
      <c r="J2146" s="18" t="n">
        <v>5085.18</v>
      </c>
      <c r="K2146" s="19" t="n">
        <v>393.21</v>
      </c>
      <c r="L2146" s="15" t="n">
        <f aca="false">YEAR(B2146)</f>
        <v>2025</v>
      </c>
      <c r="M2146" s="20" t="n">
        <f aca="false">IF(J2146&gt;0,K2146/J2146,0)</f>
        <v>0.0773246964709214</v>
      </c>
    </row>
    <row r="2147" customFormat="false" ht="15" hidden="false" customHeight="false" outlineLevel="0" collapsed="false">
      <c r="A2147" s="15" t="s">
        <v>2204</v>
      </c>
      <c r="B2147" s="16" t="n">
        <v>45840</v>
      </c>
      <c r="C2147" s="15" t="s">
        <v>68</v>
      </c>
      <c r="D2147" s="15" t="s">
        <v>43</v>
      </c>
      <c r="E2147" s="15" t="s">
        <v>38</v>
      </c>
      <c r="F2147" s="15" t="s">
        <v>17</v>
      </c>
      <c r="G2147" s="15" t="s">
        <v>28</v>
      </c>
      <c r="H2147" s="15" t="n">
        <v>5</v>
      </c>
      <c r="I2147" s="17" t="n">
        <v>0</v>
      </c>
      <c r="J2147" s="18" t="n">
        <v>121.5</v>
      </c>
      <c r="K2147" s="19" t="n">
        <v>44.33</v>
      </c>
      <c r="L2147" s="15" t="n">
        <f aca="false">YEAR(B2147)</f>
        <v>2025</v>
      </c>
      <c r="M2147" s="20" t="n">
        <f aca="false">IF(J2147&gt;0,K2147/J2147,0)</f>
        <v>0.364855967078189</v>
      </c>
    </row>
    <row r="2148" customFormat="false" ht="15" hidden="false" customHeight="false" outlineLevel="0" collapsed="false">
      <c r="A2148" s="15" t="s">
        <v>2205</v>
      </c>
      <c r="B2148" s="16" t="n">
        <v>45681</v>
      </c>
      <c r="C2148" s="15" t="s">
        <v>56</v>
      </c>
      <c r="D2148" s="15" t="s">
        <v>43</v>
      </c>
      <c r="E2148" s="15" t="s">
        <v>38</v>
      </c>
      <c r="F2148" s="15" t="s">
        <v>17</v>
      </c>
      <c r="G2148" s="15" t="s">
        <v>31</v>
      </c>
      <c r="H2148" s="15" t="n">
        <v>4</v>
      </c>
      <c r="I2148" s="17" t="n">
        <v>0.4</v>
      </c>
      <c r="J2148" s="18" t="n">
        <v>301.12</v>
      </c>
      <c r="K2148" s="19" t="n">
        <v>-62.01</v>
      </c>
      <c r="L2148" s="15" t="n">
        <f aca="false">YEAR(B2148)</f>
        <v>2025</v>
      </c>
      <c r="M2148" s="20" t="n">
        <f aca="false">IF(J2148&gt;0,K2148/J2148,0)</f>
        <v>-0.205931190223167</v>
      </c>
    </row>
    <row r="2149" customFormat="false" ht="15" hidden="false" customHeight="false" outlineLevel="0" collapsed="false">
      <c r="A2149" s="15" t="s">
        <v>2206</v>
      </c>
      <c r="B2149" s="16" t="n">
        <v>45931</v>
      </c>
      <c r="C2149" s="15" t="s">
        <v>56</v>
      </c>
      <c r="D2149" s="15" t="s">
        <v>43</v>
      </c>
      <c r="E2149" s="15" t="s">
        <v>39</v>
      </c>
      <c r="F2149" s="15" t="s">
        <v>16</v>
      </c>
      <c r="G2149" s="15" t="s">
        <v>23</v>
      </c>
      <c r="H2149" s="15" t="n">
        <v>2</v>
      </c>
      <c r="I2149" s="17" t="n">
        <v>0.2</v>
      </c>
      <c r="J2149" s="18" t="n">
        <v>567.56</v>
      </c>
      <c r="K2149" s="19" t="n">
        <v>-88.18</v>
      </c>
      <c r="L2149" s="15" t="n">
        <f aca="false">YEAR(B2149)</f>
        <v>2025</v>
      </c>
      <c r="M2149" s="20" t="n">
        <f aca="false">IF(J2149&gt;0,K2149/J2149,0)</f>
        <v>-0.155366833462541</v>
      </c>
    </row>
    <row r="2150" customFormat="false" ht="15" hidden="false" customHeight="false" outlineLevel="0" collapsed="false">
      <c r="A2150" s="15" t="s">
        <v>2207</v>
      </c>
      <c r="B2150" s="16" t="n">
        <v>45017</v>
      </c>
      <c r="C2150" s="15" t="s">
        <v>56</v>
      </c>
      <c r="D2150" s="15" t="s">
        <v>42</v>
      </c>
      <c r="E2150" s="15" t="s">
        <v>38</v>
      </c>
      <c r="F2150" s="15" t="s">
        <v>17</v>
      </c>
      <c r="G2150" s="15" t="s">
        <v>29</v>
      </c>
      <c r="H2150" s="15" t="n">
        <v>5</v>
      </c>
      <c r="I2150" s="17" t="n">
        <v>0.1</v>
      </c>
      <c r="J2150" s="18" t="n">
        <v>79.99</v>
      </c>
      <c r="K2150" s="19" t="n">
        <v>17.89</v>
      </c>
      <c r="L2150" s="15" t="n">
        <f aca="false">YEAR(B2150)</f>
        <v>2023</v>
      </c>
      <c r="M2150" s="20" t="n">
        <f aca="false">IF(J2150&gt;0,K2150/J2150,0)</f>
        <v>0.223652956619577</v>
      </c>
    </row>
    <row r="2151" customFormat="false" ht="15" hidden="false" customHeight="false" outlineLevel="0" collapsed="false">
      <c r="A2151" s="15" t="s">
        <v>2208</v>
      </c>
      <c r="B2151" s="16" t="n">
        <v>45271</v>
      </c>
      <c r="C2151" s="15" t="s">
        <v>56</v>
      </c>
      <c r="D2151" s="15" t="s">
        <v>42</v>
      </c>
      <c r="E2151" s="15" t="s">
        <v>39</v>
      </c>
      <c r="F2151" s="15" t="s">
        <v>18</v>
      </c>
      <c r="G2151" s="15" t="s">
        <v>30</v>
      </c>
      <c r="H2151" s="15" t="n">
        <v>7</v>
      </c>
      <c r="I2151" s="17" t="n">
        <v>0.2</v>
      </c>
      <c r="J2151" s="18" t="n">
        <v>268.17</v>
      </c>
      <c r="K2151" s="19" t="n">
        <v>22.99</v>
      </c>
      <c r="L2151" s="15" t="n">
        <f aca="false">YEAR(B2151)</f>
        <v>2023</v>
      </c>
      <c r="M2151" s="20" t="n">
        <f aca="false">IF(J2151&gt;0,K2151/J2151,0)</f>
        <v>0.0857292016258344</v>
      </c>
    </row>
    <row r="2152" customFormat="false" ht="15" hidden="false" customHeight="false" outlineLevel="0" collapsed="false">
      <c r="A2152" s="15" t="s">
        <v>2209</v>
      </c>
      <c r="B2152" s="16" t="n">
        <v>45117</v>
      </c>
      <c r="C2152" s="15" t="s">
        <v>56</v>
      </c>
      <c r="D2152" s="15" t="s">
        <v>44</v>
      </c>
      <c r="E2152" s="15" t="s">
        <v>37</v>
      </c>
      <c r="F2152" s="15" t="s">
        <v>17</v>
      </c>
      <c r="G2152" s="15" t="s">
        <v>29</v>
      </c>
      <c r="H2152" s="15" t="n">
        <v>6</v>
      </c>
      <c r="I2152" s="17" t="n">
        <v>0.4</v>
      </c>
      <c r="J2152" s="18" t="n">
        <v>85.25</v>
      </c>
      <c r="K2152" s="19" t="n">
        <v>0.13</v>
      </c>
      <c r="L2152" s="15" t="n">
        <f aca="false">YEAR(B2152)</f>
        <v>2023</v>
      </c>
      <c r="M2152" s="20" t="n">
        <f aca="false">IF(J2152&gt;0,K2152/J2152,0)</f>
        <v>0.00152492668621701</v>
      </c>
    </row>
    <row r="2153" customFormat="false" ht="15" hidden="false" customHeight="false" outlineLevel="0" collapsed="false">
      <c r="A2153" s="15" t="s">
        <v>2210</v>
      </c>
      <c r="B2153" s="16" t="n">
        <v>44730</v>
      </c>
      <c r="C2153" s="15" t="s">
        <v>56</v>
      </c>
      <c r="D2153" s="15" t="s">
        <v>43</v>
      </c>
      <c r="E2153" s="15" t="s">
        <v>37</v>
      </c>
      <c r="F2153" s="15" t="s">
        <v>17</v>
      </c>
      <c r="G2153" s="15" t="s">
        <v>28</v>
      </c>
      <c r="H2153" s="15" t="n">
        <v>2</v>
      </c>
      <c r="I2153" s="17" t="n">
        <v>0</v>
      </c>
      <c r="J2153" s="18" t="n">
        <v>58.15</v>
      </c>
      <c r="K2153" s="19" t="n">
        <v>13.7</v>
      </c>
      <c r="L2153" s="15" t="n">
        <f aca="false">YEAR(B2153)</f>
        <v>2022</v>
      </c>
      <c r="M2153" s="20" t="n">
        <f aca="false">IF(J2153&gt;0,K2153/J2153,0)</f>
        <v>0.235597592433362</v>
      </c>
    </row>
    <row r="2154" customFormat="false" ht="15" hidden="false" customHeight="false" outlineLevel="0" collapsed="false">
      <c r="A2154" s="15" t="s">
        <v>2211</v>
      </c>
      <c r="B2154" s="16" t="n">
        <v>45978</v>
      </c>
      <c r="C2154" s="15" t="s">
        <v>71</v>
      </c>
      <c r="D2154" s="15" t="s">
        <v>44</v>
      </c>
      <c r="E2154" s="15" t="s">
        <v>37</v>
      </c>
      <c r="F2154" s="15" t="s">
        <v>18</v>
      </c>
      <c r="G2154" s="15" t="s">
        <v>30</v>
      </c>
      <c r="H2154" s="15" t="n">
        <v>2</v>
      </c>
      <c r="I2154" s="17" t="n">
        <v>0.15</v>
      </c>
      <c r="J2154" s="18" t="n">
        <v>83.36</v>
      </c>
      <c r="K2154" s="19" t="n">
        <v>6.86</v>
      </c>
      <c r="L2154" s="15" t="n">
        <f aca="false">YEAR(B2154)</f>
        <v>2025</v>
      </c>
      <c r="M2154" s="20" t="n">
        <f aca="false">IF(J2154&gt;0,K2154/J2154,0)</f>
        <v>0.0822936660268714</v>
      </c>
    </row>
    <row r="2155" customFormat="false" ht="15" hidden="false" customHeight="false" outlineLevel="0" collapsed="false">
      <c r="A2155" s="15" t="s">
        <v>2212</v>
      </c>
      <c r="B2155" s="16" t="n">
        <v>44913</v>
      </c>
      <c r="C2155" s="15" t="s">
        <v>68</v>
      </c>
      <c r="D2155" s="15" t="s">
        <v>44</v>
      </c>
      <c r="E2155" s="15" t="s">
        <v>37</v>
      </c>
      <c r="F2155" s="15" t="s">
        <v>17</v>
      </c>
      <c r="G2155" s="15" t="s">
        <v>29</v>
      </c>
      <c r="H2155" s="15" t="n">
        <v>3</v>
      </c>
      <c r="I2155" s="17" t="n">
        <v>0.1</v>
      </c>
      <c r="J2155" s="18" t="n">
        <v>50.87</v>
      </c>
      <c r="K2155" s="19" t="n">
        <v>15.39</v>
      </c>
      <c r="L2155" s="15" t="n">
        <f aca="false">YEAR(B2155)</f>
        <v>2022</v>
      </c>
      <c r="M2155" s="20" t="n">
        <f aca="false">IF(J2155&gt;0,K2155/J2155,0)</f>
        <v>0.302535875761746</v>
      </c>
    </row>
    <row r="2156" customFormat="false" ht="15" hidden="false" customHeight="false" outlineLevel="0" collapsed="false">
      <c r="A2156" s="15" t="s">
        <v>2213</v>
      </c>
      <c r="B2156" s="16" t="n">
        <v>44612</v>
      </c>
      <c r="C2156" s="15" t="s">
        <v>56</v>
      </c>
      <c r="D2156" s="15" t="s">
        <v>44</v>
      </c>
      <c r="E2156" s="15" t="s">
        <v>36</v>
      </c>
      <c r="F2156" s="15" t="s">
        <v>18</v>
      </c>
      <c r="G2156" s="15" t="s">
        <v>30</v>
      </c>
      <c r="H2156" s="15" t="n">
        <v>6</v>
      </c>
      <c r="I2156" s="17" t="n">
        <v>0</v>
      </c>
      <c r="J2156" s="18" t="n">
        <v>252.94</v>
      </c>
      <c r="K2156" s="19" t="n">
        <v>62.17</v>
      </c>
      <c r="L2156" s="15" t="n">
        <f aca="false">YEAR(B2156)</f>
        <v>2022</v>
      </c>
      <c r="M2156" s="20" t="n">
        <f aca="false">IF(J2156&gt;0,K2156/J2156,0)</f>
        <v>0.245789515300071</v>
      </c>
    </row>
    <row r="2157" customFormat="false" ht="15" hidden="false" customHeight="false" outlineLevel="0" collapsed="false">
      <c r="A2157" s="15" t="s">
        <v>2214</v>
      </c>
      <c r="B2157" s="16" t="n">
        <v>45290</v>
      </c>
      <c r="C2157" s="15" t="s">
        <v>58</v>
      </c>
      <c r="D2157" s="15" t="s">
        <v>43</v>
      </c>
      <c r="E2157" s="15" t="s">
        <v>39</v>
      </c>
      <c r="F2157" s="15" t="s">
        <v>16</v>
      </c>
      <c r="G2157" s="15" t="s">
        <v>27</v>
      </c>
      <c r="H2157" s="15" t="n">
        <v>3</v>
      </c>
      <c r="I2157" s="17" t="n">
        <v>0</v>
      </c>
      <c r="J2157" s="18" t="n">
        <v>203.51</v>
      </c>
      <c r="K2157" s="19" t="n">
        <v>39.49</v>
      </c>
      <c r="L2157" s="15" t="n">
        <f aca="false">YEAR(B2157)</f>
        <v>2023</v>
      </c>
      <c r="M2157" s="20" t="n">
        <f aca="false">IF(J2157&gt;0,K2157/J2157,0)</f>
        <v>0.19404451869687</v>
      </c>
    </row>
    <row r="2158" customFormat="false" ht="15" hidden="false" customHeight="false" outlineLevel="0" collapsed="false">
      <c r="A2158" s="15" t="s">
        <v>2215</v>
      </c>
      <c r="B2158" s="16" t="n">
        <v>45805</v>
      </c>
      <c r="C2158" s="15" t="s">
        <v>56</v>
      </c>
      <c r="D2158" s="15" t="s">
        <v>44</v>
      </c>
      <c r="E2158" s="15" t="s">
        <v>36</v>
      </c>
      <c r="F2158" s="15" t="s">
        <v>17</v>
      </c>
      <c r="G2158" s="15" t="s">
        <v>26</v>
      </c>
      <c r="H2158" s="15" t="n">
        <v>6</v>
      </c>
      <c r="I2158" s="17" t="n">
        <v>0.2</v>
      </c>
      <c r="J2158" s="18" t="n">
        <v>354.83</v>
      </c>
      <c r="K2158" s="19" t="n">
        <v>-35.57</v>
      </c>
      <c r="L2158" s="15" t="n">
        <f aca="false">YEAR(B2158)</f>
        <v>2025</v>
      </c>
      <c r="M2158" s="20" t="n">
        <f aca="false">IF(J2158&gt;0,K2158/J2158,0)</f>
        <v>-0.100245187836429</v>
      </c>
    </row>
    <row r="2159" customFormat="false" ht="15" hidden="false" customHeight="false" outlineLevel="0" collapsed="false">
      <c r="A2159" s="15" t="s">
        <v>2216</v>
      </c>
      <c r="B2159" s="16" t="n">
        <v>45754</v>
      </c>
      <c r="C2159" s="15" t="s">
        <v>56</v>
      </c>
      <c r="D2159" s="15" t="s">
        <v>42</v>
      </c>
      <c r="E2159" s="15" t="s">
        <v>36</v>
      </c>
      <c r="F2159" s="15" t="s">
        <v>17</v>
      </c>
      <c r="G2159" s="15" t="s">
        <v>26</v>
      </c>
      <c r="H2159" s="15" t="n">
        <v>6</v>
      </c>
      <c r="I2159" s="17" t="n">
        <v>0.1</v>
      </c>
      <c r="J2159" s="18" t="n">
        <v>528.83</v>
      </c>
      <c r="K2159" s="19" t="n">
        <v>-2.09</v>
      </c>
      <c r="L2159" s="15" t="n">
        <f aca="false">YEAR(B2159)</f>
        <v>2025</v>
      </c>
      <c r="M2159" s="20" t="n">
        <f aca="false">IF(J2159&gt;0,K2159/J2159,0)</f>
        <v>-0.00395212071932379</v>
      </c>
    </row>
    <row r="2160" customFormat="false" ht="15" hidden="false" customHeight="false" outlineLevel="0" collapsed="false">
      <c r="A2160" s="15" t="s">
        <v>2217</v>
      </c>
      <c r="B2160" s="16" t="n">
        <v>45425</v>
      </c>
      <c r="C2160" s="15" t="s">
        <v>56</v>
      </c>
      <c r="D2160" s="15" t="s">
        <v>44</v>
      </c>
      <c r="E2160" s="15" t="s">
        <v>38</v>
      </c>
      <c r="F2160" s="15" t="s">
        <v>16</v>
      </c>
      <c r="G2160" s="15" t="s">
        <v>22</v>
      </c>
      <c r="H2160" s="15" t="n">
        <v>5</v>
      </c>
      <c r="I2160" s="17" t="n">
        <v>0.05</v>
      </c>
      <c r="J2160" s="18" t="n">
        <v>2616.76</v>
      </c>
      <c r="K2160" s="19" t="n">
        <v>-235.38</v>
      </c>
      <c r="L2160" s="15" t="n">
        <f aca="false">YEAR(B2160)</f>
        <v>2024</v>
      </c>
      <c r="M2160" s="20" t="n">
        <f aca="false">IF(J2160&gt;0,K2160/J2160,0)</f>
        <v>-0.0899509316865131</v>
      </c>
    </row>
    <row r="2161" customFormat="false" ht="15" hidden="false" customHeight="false" outlineLevel="0" collapsed="false">
      <c r="A2161" s="15" t="s">
        <v>2218</v>
      </c>
      <c r="B2161" s="16" t="n">
        <v>45041</v>
      </c>
      <c r="C2161" s="15" t="s">
        <v>56</v>
      </c>
      <c r="D2161" s="15" t="s">
        <v>43</v>
      </c>
      <c r="E2161" s="15" t="s">
        <v>36</v>
      </c>
      <c r="F2161" s="15" t="s">
        <v>16</v>
      </c>
      <c r="G2161" s="15" t="s">
        <v>22</v>
      </c>
      <c r="H2161" s="15" t="n">
        <v>2</v>
      </c>
      <c r="I2161" s="17" t="n">
        <v>0</v>
      </c>
      <c r="J2161" s="18" t="n">
        <v>1001.33</v>
      </c>
      <c r="K2161" s="19" t="n">
        <v>-59.26</v>
      </c>
      <c r="L2161" s="15" t="n">
        <f aca="false">YEAR(B2161)</f>
        <v>2023</v>
      </c>
      <c r="M2161" s="20" t="n">
        <f aca="false">IF(J2161&gt;0,K2161/J2161,0)</f>
        <v>-0.0591812888857819</v>
      </c>
    </row>
    <row r="2162" customFormat="false" ht="15" hidden="false" customHeight="false" outlineLevel="0" collapsed="false">
      <c r="A2162" s="15" t="s">
        <v>2219</v>
      </c>
      <c r="B2162" s="16" t="n">
        <v>45088</v>
      </c>
      <c r="C2162" s="15" t="s">
        <v>56</v>
      </c>
      <c r="D2162" s="15" t="s">
        <v>42</v>
      </c>
      <c r="E2162" s="15" t="s">
        <v>39</v>
      </c>
      <c r="F2162" s="15" t="s">
        <v>16</v>
      </c>
      <c r="G2162" s="15" t="s">
        <v>27</v>
      </c>
      <c r="H2162" s="15" t="n">
        <v>7</v>
      </c>
      <c r="I2162" s="17" t="n">
        <v>0</v>
      </c>
      <c r="J2162" s="18" t="n">
        <v>425.57</v>
      </c>
      <c r="K2162" s="19" t="n">
        <v>103.61</v>
      </c>
      <c r="L2162" s="15" t="n">
        <f aca="false">YEAR(B2162)</f>
        <v>2023</v>
      </c>
      <c r="M2162" s="20" t="n">
        <f aca="false">IF(J2162&gt;0,K2162/J2162,0)</f>
        <v>0.243461710176939</v>
      </c>
    </row>
    <row r="2163" customFormat="false" ht="15" hidden="false" customHeight="false" outlineLevel="0" collapsed="false">
      <c r="A2163" s="15" t="s">
        <v>2220</v>
      </c>
      <c r="B2163" s="16" t="n">
        <v>45453</v>
      </c>
      <c r="C2163" s="15" t="s">
        <v>68</v>
      </c>
      <c r="D2163" s="15" t="s">
        <v>42</v>
      </c>
      <c r="E2163" s="15" t="s">
        <v>38</v>
      </c>
      <c r="F2163" s="15" t="s">
        <v>16</v>
      </c>
      <c r="G2163" s="15" t="s">
        <v>27</v>
      </c>
      <c r="H2163" s="15" t="n">
        <v>2</v>
      </c>
      <c r="I2163" s="17" t="n">
        <v>0</v>
      </c>
      <c r="J2163" s="18" t="n">
        <v>104.25</v>
      </c>
      <c r="K2163" s="19" t="n">
        <v>27.33</v>
      </c>
      <c r="L2163" s="15" t="n">
        <f aca="false">YEAR(B2163)</f>
        <v>2024</v>
      </c>
      <c r="M2163" s="20" t="n">
        <f aca="false">IF(J2163&gt;0,K2163/J2163,0)</f>
        <v>0.262158273381295</v>
      </c>
    </row>
    <row r="2164" customFormat="false" ht="15" hidden="false" customHeight="false" outlineLevel="0" collapsed="false">
      <c r="A2164" s="15" t="s">
        <v>2221</v>
      </c>
      <c r="B2164" s="16" t="n">
        <v>45580</v>
      </c>
      <c r="C2164" s="15" t="s">
        <v>56</v>
      </c>
      <c r="D2164" s="15" t="s">
        <v>42</v>
      </c>
      <c r="E2164" s="15" t="s">
        <v>36</v>
      </c>
      <c r="F2164" s="15" t="s">
        <v>17</v>
      </c>
      <c r="G2164" s="15" t="s">
        <v>29</v>
      </c>
      <c r="H2164" s="15" t="n">
        <v>3</v>
      </c>
      <c r="I2164" s="17" t="n">
        <v>0.05</v>
      </c>
      <c r="J2164" s="18" t="n">
        <v>42.25</v>
      </c>
      <c r="K2164" s="19" t="n">
        <v>11.99</v>
      </c>
      <c r="L2164" s="15" t="n">
        <f aca="false">YEAR(B2164)</f>
        <v>2024</v>
      </c>
      <c r="M2164" s="20" t="n">
        <f aca="false">IF(J2164&gt;0,K2164/J2164,0)</f>
        <v>0.283786982248521</v>
      </c>
    </row>
    <row r="2165" customFormat="false" ht="15" hidden="false" customHeight="false" outlineLevel="0" collapsed="false">
      <c r="A2165" s="15" t="s">
        <v>2222</v>
      </c>
      <c r="B2165" s="16" t="n">
        <v>45677</v>
      </c>
      <c r="C2165" s="15" t="s">
        <v>56</v>
      </c>
      <c r="D2165" s="15" t="s">
        <v>44</v>
      </c>
      <c r="E2165" s="15" t="s">
        <v>39</v>
      </c>
      <c r="F2165" s="15" t="s">
        <v>18</v>
      </c>
      <c r="G2165" s="15" t="s">
        <v>30</v>
      </c>
      <c r="H2165" s="15" t="n">
        <v>1</v>
      </c>
      <c r="I2165" s="17" t="n">
        <v>0.1</v>
      </c>
      <c r="J2165" s="18" t="n">
        <v>41.96</v>
      </c>
      <c r="K2165" s="19" t="n">
        <v>8.87</v>
      </c>
      <c r="L2165" s="15" t="n">
        <f aca="false">YEAR(B2165)</f>
        <v>2025</v>
      </c>
      <c r="M2165" s="20" t="n">
        <f aca="false">IF(J2165&gt;0,K2165/J2165,0)</f>
        <v>0.21139180171592</v>
      </c>
    </row>
    <row r="2166" customFormat="false" ht="15" hidden="false" customHeight="false" outlineLevel="0" collapsed="false">
      <c r="A2166" s="15" t="s">
        <v>2223</v>
      </c>
      <c r="B2166" s="16" t="n">
        <v>45148</v>
      </c>
      <c r="C2166" s="15" t="s">
        <v>71</v>
      </c>
      <c r="D2166" s="15" t="s">
        <v>42</v>
      </c>
      <c r="E2166" s="15" t="s">
        <v>38</v>
      </c>
      <c r="F2166" s="15" t="s">
        <v>17</v>
      </c>
      <c r="G2166" s="15" t="s">
        <v>29</v>
      </c>
      <c r="H2166" s="15" t="n">
        <v>3</v>
      </c>
      <c r="I2166" s="17" t="n">
        <v>0.1</v>
      </c>
      <c r="J2166" s="18" t="n">
        <v>36.13</v>
      </c>
      <c r="K2166" s="19" t="n">
        <v>15.16</v>
      </c>
      <c r="L2166" s="15" t="n">
        <f aca="false">YEAR(B2166)</f>
        <v>2023</v>
      </c>
      <c r="M2166" s="20" t="n">
        <f aca="false">IF(J2166&gt;0,K2166/J2166,0)</f>
        <v>0.419595903681151</v>
      </c>
    </row>
    <row r="2167" customFormat="false" ht="15" hidden="false" customHeight="false" outlineLevel="0" collapsed="false">
      <c r="A2167" s="15" t="s">
        <v>2224</v>
      </c>
      <c r="B2167" s="16" t="n">
        <v>45613</v>
      </c>
      <c r="C2167" s="15" t="s">
        <v>56</v>
      </c>
      <c r="D2167" s="15" t="s">
        <v>42</v>
      </c>
      <c r="E2167" s="15" t="s">
        <v>37</v>
      </c>
      <c r="F2167" s="15" t="s">
        <v>17</v>
      </c>
      <c r="G2167" s="15" t="s">
        <v>26</v>
      </c>
      <c r="H2167" s="15" t="n">
        <v>4</v>
      </c>
      <c r="I2167" s="17" t="n">
        <v>0.2</v>
      </c>
      <c r="J2167" s="18" t="n">
        <v>322.55</v>
      </c>
      <c r="K2167" s="19" t="n">
        <v>-24.4</v>
      </c>
      <c r="L2167" s="15" t="n">
        <f aca="false">YEAR(B2167)</f>
        <v>2024</v>
      </c>
      <c r="M2167" s="20" t="n">
        <f aca="false">IF(J2167&gt;0,K2167/J2167,0)</f>
        <v>-0.0756471864827158</v>
      </c>
    </row>
    <row r="2168" customFormat="false" ht="15" hidden="false" customHeight="false" outlineLevel="0" collapsed="false">
      <c r="A2168" s="15" t="s">
        <v>2225</v>
      </c>
      <c r="B2168" s="16" t="n">
        <v>45794</v>
      </c>
      <c r="C2168" s="15" t="s">
        <v>56</v>
      </c>
      <c r="D2168" s="15" t="s">
        <v>43</v>
      </c>
      <c r="E2168" s="15" t="s">
        <v>37</v>
      </c>
      <c r="F2168" s="15" t="s">
        <v>18</v>
      </c>
      <c r="G2168" s="15" t="s">
        <v>30</v>
      </c>
      <c r="H2168" s="15" t="n">
        <v>6</v>
      </c>
      <c r="I2168" s="17" t="n">
        <v>0</v>
      </c>
      <c r="J2168" s="18" t="n">
        <v>265.59</v>
      </c>
      <c r="K2168" s="19" t="n">
        <v>69.12</v>
      </c>
      <c r="L2168" s="15" t="n">
        <f aca="false">YEAR(B2168)</f>
        <v>2025</v>
      </c>
      <c r="M2168" s="20" t="n">
        <f aca="false">IF(J2168&gt;0,K2168/J2168,0)</f>
        <v>0.260250762453406</v>
      </c>
    </row>
    <row r="2169" customFormat="false" ht="15" hidden="false" customHeight="false" outlineLevel="0" collapsed="false">
      <c r="A2169" s="15" t="s">
        <v>2226</v>
      </c>
      <c r="B2169" s="16" t="n">
        <v>45586</v>
      </c>
      <c r="C2169" s="15" t="s">
        <v>68</v>
      </c>
      <c r="D2169" s="15" t="s">
        <v>44</v>
      </c>
      <c r="E2169" s="15" t="s">
        <v>39</v>
      </c>
      <c r="F2169" s="15" t="s">
        <v>17</v>
      </c>
      <c r="G2169" s="15" t="s">
        <v>29</v>
      </c>
      <c r="H2169" s="15" t="n">
        <v>4</v>
      </c>
      <c r="I2169" s="17" t="n">
        <v>0.2</v>
      </c>
      <c r="J2169" s="18" t="n">
        <v>63.46</v>
      </c>
      <c r="K2169" s="19" t="n">
        <v>10.63</v>
      </c>
      <c r="L2169" s="15" t="n">
        <f aca="false">YEAR(B2169)</f>
        <v>2024</v>
      </c>
      <c r="M2169" s="20" t="n">
        <f aca="false">IF(J2169&gt;0,K2169/J2169,0)</f>
        <v>0.167507091080996</v>
      </c>
    </row>
    <row r="2170" customFormat="false" ht="15" hidden="false" customHeight="false" outlineLevel="0" collapsed="false">
      <c r="A2170" s="15" t="s">
        <v>2227</v>
      </c>
      <c r="B2170" s="16" t="n">
        <v>45779</v>
      </c>
      <c r="C2170" s="15" t="s">
        <v>56</v>
      </c>
      <c r="D2170" s="15" t="s">
        <v>42</v>
      </c>
      <c r="E2170" s="15" t="s">
        <v>39</v>
      </c>
      <c r="F2170" s="15" t="s">
        <v>16</v>
      </c>
      <c r="G2170" s="15" t="s">
        <v>27</v>
      </c>
      <c r="H2170" s="15" t="n">
        <v>7</v>
      </c>
      <c r="I2170" s="17" t="n">
        <v>0.1</v>
      </c>
      <c r="J2170" s="18" t="n">
        <v>331.37</v>
      </c>
      <c r="K2170" s="19" t="n">
        <v>74.87</v>
      </c>
      <c r="L2170" s="15" t="n">
        <f aca="false">YEAR(B2170)</f>
        <v>2025</v>
      </c>
      <c r="M2170" s="20" t="n">
        <f aca="false">IF(J2170&gt;0,K2170/J2170,0)</f>
        <v>0.225940791260525</v>
      </c>
    </row>
    <row r="2171" customFormat="false" ht="15" hidden="false" customHeight="false" outlineLevel="0" collapsed="false">
      <c r="A2171" s="15" t="s">
        <v>2228</v>
      </c>
      <c r="B2171" s="16" t="n">
        <v>44590</v>
      </c>
      <c r="C2171" s="15" t="s">
        <v>71</v>
      </c>
      <c r="D2171" s="15" t="s">
        <v>42</v>
      </c>
      <c r="E2171" s="15" t="s">
        <v>37</v>
      </c>
      <c r="F2171" s="15" t="s">
        <v>16</v>
      </c>
      <c r="G2171" s="15" t="s">
        <v>22</v>
      </c>
      <c r="H2171" s="15" t="n">
        <v>2</v>
      </c>
      <c r="I2171" s="17" t="n">
        <v>0</v>
      </c>
      <c r="J2171" s="18" t="n">
        <v>1423.15</v>
      </c>
      <c r="K2171" s="19" t="n">
        <v>-31.11</v>
      </c>
      <c r="L2171" s="15" t="n">
        <f aca="false">YEAR(B2171)</f>
        <v>2022</v>
      </c>
      <c r="M2171" s="20" t="n">
        <f aca="false">IF(J2171&gt;0,K2171/J2171,0)</f>
        <v>-0.0218599585426694</v>
      </c>
    </row>
    <row r="2172" customFormat="false" ht="15" hidden="false" customHeight="false" outlineLevel="0" collapsed="false">
      <c r="A2172" s="15" t="s">
        <v>2229</v>
      </c>
      <c r="B2172" s="16" t="n">
        <v>45904</v>
      </c>
      <c r="C2172" s="15" t="s">
        <v>71</v>
      </c>
      <c r="D2172" s="15" t="s">
        <v>42</v>
      </c>
      <c r="E2172" s="15" t="s">
        <v>39</v>
      </c>
      <c r="F2172" s="15" t="s">
        <v>18</v>
      </c>
      <c r="G2172" s="15" t="s">
        <v>30</v>
      </c>
      <c r="H2172" s="15" t="n">
        <v>2</v>
      </c>
      <c r="I2172" s="17" t="n">
        <v>0.3</v>
      </c>
      <c r="J2172" s="18" t="n">
        <v>79.05</v>
      </c>
      <c r="K2172" s="19" t="n">
        <v>3.26</v>
      </c>
      <c r="L2172" s="15" t="n">
        <f aca="false">YEAR(B2172)</f>
        <v>2025</v>
      </c>
      <c r="M2172" s="20" t="n">
        <f aca="false">IF(J2172&gt;0,K2172/J2172,0)</f>
        <v>0.0412397216951297</v>
      </c>
    </row>
    <row r="2173" customFormat="false" ht="15" hidden="false" customHeight="false" outlineLevel="0" collapsed="false">
      <c r="A2173" s="15" t="s">
        <v>2230</v>
      </c>
      <c r="B2173" s="16" t="n">
        <v>45704</v>
      </c>
      <c r="C2173" s="15" t="s">
        <v>71</v>
      </c>
      <c r="D2173" s="15" t="s">
        <v>42</v>
      </c>
      <c r="E2173" s="15" t="s">
        <v>36</v>
      </c>
      <c r="F2173" s="15" t="s">
        <v>17</v>
      </c>
      <c r="G2173" s="15" t="s">
        <v>29</v>
      </c>
      <c r="H2173" s="15" t="n">
        <v>3</v>
      </c>
      <c r="I2173" s="17" t="n">
        <v>0.05</v>
      </c>
      <c r="J2173" s="18" t="n">
        <v>40.31</v>
      </c>
      <c r="K2173" s="19" t="n">
        <v>18.24</v>
      </c>
      <c r="L2173" s="15" t="n">
        <f aca="false">YEAR(B2173)</f>
        <v>2025</v>
      </c>
      <c r="M2173" s="20" t="n">
        <f aca="false">IF(J2173&gt;0,K2173/J2173,0)</f>
        <v>0.452493177871496</v>
      </c>
    </row>
    <row r="2174" customFormat="false" ht="15" hidden="false" customHeight="false" outlineLevel="0" collapsed="false">
      <c r="A2174" s="15" t="s">
        <v>2231</v>
      </c>
      <c r="B2174" s="16" t="n">
        <v>45247</v>
      </c>
      <c r="C2174" s="15" t="s">
        <v>58</v>
      </c>
      <c r="D2174" s="15" t="s">
        <v>42</v>
      </c>
      <c r="E2174" s="15" t="s">
        <v>37</v>
      </c>
      <c r="F2174" s="15" t="s">
        <v>17</v>
      </c>
      <c r="G2174" s="15" t="s">
        <v>28</v>
      </c>
      <c r="H2174" s="15" t="n">
        <v>4</v>
      </c>
      <c r="I2174" s="17" t="n">
        <v>0.1</v>
      </c>
      <c r="J2174" s="18" t="n">
        <v>85.32</v>
      </c>
      <c r="K2174" s="19" t="n">
        <v>23.47</v>
      </c>
      <c r="L2174" s="15" t="n">
        <f aca="false">YEAR(B2174)</f>
        <v>2023</v>
      </c>
      <c r="M2174" s="20" t="n">
        <f aca="false">IF(J2174&gt;0,K2174/J2174,0)</f>
        <v>0.275082044069386</v>
      </c>
    </row>
    <row r="2175" customFormat="false" ht="15" hidden="false" customHeight="false" outlineLevel="0" collapsed="false">
      <c r="A2175" s="15" t="s">
        <v>2232</v>
      </c>
      <c r="B2175" s="16" t="n">
        <v>45031</v>
      </c>
      <c r="C2175" s="15" t="s">
        <v>71</v>
      </c>
      <c r="D2175" s="15" t="s">
        <v>44</v>
      </c>
      <c r="E2175" s="15" t="s">
        <v>38</v>
      </c>
      <c r="F2175" s="15" t="s">
        <v>16</v>
      </c>
      <c r="G2175" s="15" t="s">
        <v>22</v>
      </c>
      <c r="H2175" s="15" t="n">
        <v>6</v>
      </c>
      <c r="I2175" s="17" t="n">
        <v>0</v>
      </c>
      <c r="J2175" s="18" t="n">
        <v>3863.36</v>
      </c>
      <c r="K2175" s="19" t="n">
        <v>-246.91</v>
      </c>
      <c r="L2175" s="15" t="n">
        <f aca="false">YEAR(B2175)</f>
        <v>2023</v>
      </c>
      <c r="M2175" s="20" t="n">
        <f aca="false">IF(J2175&gt;0,K2175/J2175,0)</f>
        <v>-0.0639106891410586</v>
      </c>
    </row>
    <row r="2176" customFormat="false" ht="15" hidden="false" customHeight="false" outlineLevel="0" collapsed="false">
      <c r="A2176" s="15" t="s">
        <v>2233</v>
      </c>
      <c r="B2176" s="16" t="n">
        <v>45997</v>
      </c>
      <c r="C2176" s="15" t="s">
        <v>68</v>
      </c>
      <c r="D2176" s="15" t="s">
        <v>42</v>
      </c>
      <c r="E2176" s="15" t="s">
        <v>37</v>
      </c>
      <c r="F2176" s="15" t="s">
        <v>17</v>
      </c>
      <c r="G2176" s="15" t="s">
        <v>29</v>
      </c>
      <c r="H2176" s="15" t="n">
        <v>4</v>
      </c>
      <c r="I2176" s="17" t="n">
        <v>0.2</v>
      </c>
      <c r="J2176" s="18" t="n">
        <v>53.41</v>
      </c>
      <c r="K2176" s="19" t="n">
        <v>10.26</v>
      </c>
      <c r="L2176" s="15" t="n">
        <f aca="false">YEAR(B2176)</f>
        <v>2025</v>
      </c>
      <c r="M2176" s="20" t="n">
        <f aca="false">IF(J2176&gt;0,K2176/J2176,0)</f>
        <v>0.192098857891781</v>
      </c>
    </row>
    <row r="2177" customFormat="false" ht="15" hidden="false" customHeight="false" outlineLevel="0" collapsed="false">
      <c r="A2177" s="15" t="s">
        <v>2234</v>
      </c>
      <c r="B2177" s="16" t="n">
        <v>45957</v>
      </c>
      <c r="C2177" s="15" t="s">
        <v>56</v>
      </c>
      <c r="D2177" s="15" t="s">
        <v>43</v>
      </c>
      <c r="E2177" s="15" t="s">
        <v>39</v>
      </c>
      <c r="F2177" s="15" t="s">
        <v>18</v>
      </c>
      <c r="G2177" s="15" t="s">
        <v>24</v>
      </c>
      <c r="H2177" s="15" t="n">
        <v>2</v>
      </c>
      <c r="I2177" s="17" t="n">
        <v>0.2</v>
      </c>
      <c r="J2177" s="18" t="n">
        <v>1113.71</v>
      </c>
      <c r="K2177" s="19" t="n">
        <v>-110.6</v>
      </c>
      <c r="L2177" s="15" t="n">
        <f aca="false">YEAR(B2177)</f>
        <v>2025</v>
      </c>
      <c r="M2177" s="20" t="n">
        <f aca="false">IF(J2177&gt;0,K2177/J2177,0)</f>
        <v>-0.0993077192446867</v>
      </c>
    </row>
    <row r="2178" customFormat="false" ht="15" hidden="false" customHeight="false" outlineLevel="0" collapsed="false">
      <c r="A2178" s="15" t="s">
        <v>2235</v>
      </c>
      <c r="B2178" s="16" t="n">
        <v>45037</v>
      </c>
      <c r="C2178" s="15" t="s">
        <v>56</v>
      </c>
      <c r="D2178" s="15" t="s">
        <v>43</v>
      </c>
      <c r="E2178" s="15" t="s">
        <v>39</v>
      </c>
      <c r="F2178" s="15" t="s">
        <v>18</v>
      </c>
      <c r="G2178" s="15" t="s">
        <v>33</v>
      </c>
      <c r="H2178" s="15" t="n">
        <v>3</v>
      </c>
      <c r="I2178" s="17" t="n">
        <v>0.05</v>
      </c>
      <c r="J2178" s="18" t="n">
        <v>2846.06</v>
      </c>
      <c r="K2178" s="19" t="n">
        <v>718.69</v>
      </c>
      <c r="L2178" s="15" t="n">
        <f aca="false">YEAR(B2178)</f>
        <v>2023</v>
      </c>
      <c r="M2178" s="20" t="n">
        <f aca="false">IF(J2178&gt;0,K2178/J2178,0)</f>
        <v>0.252521029071769</v>
      </c>
    </row>
    <row r="2179" customFormat="false" ht="15" hidden="false" customHeight="false" outlineLevel="0" collapsed="false">
      <c r="A2179" s="15" t="s">
        <v>2236</v>
      </c>
      <c r="B2179" s="16" t="n">
        <v>44875</v>
      </c>
      <c r="C2179" s="15" t="s">
        <v>56</v>
      </c>
      <c r="D2179" s="15" t="s">
        <v>42</v>
      </c>
      <c r="E2179" s="15" t="s">
        <v>38</v>
      </c>
      <c r="F2179" s="15" t="s">
        <v>17</v>
      </c>
      <c r="G2179" s="15" t="s">
        <v>26</v>
      </c>
      <c r="H2179" s="15" t="n">
        <v>4</v>
      </c>
      <c r="I2179" s="17" t="n">
        <v>0.05</v>
      </c>
      <c r="J2179" s="18" t="n">
        <v>238.75</v>
      </c>
      <c r="K2179" s="19" t="n">
        <v>10.07</v>
      </c>
      <c r="L2179" s="15" t="n">
        <f aca="false">YEAR(B2179)</f>
        <v>2022</v>
      </c>
      <c r="M2179" s="20" t="n">
        <f aca="false">IF(J2179&gt;0,K2179/J2179,0)</f>
        <v>0.0421780104712042</v>
      </c>
    </row>
    <row r="2180" customFormat="false" ht="15" hidden="false" customHeight="false" outlineLevel="0" collapsed="false">
      <c r="A2180" s="15" t="s">
        <v>2237</v>
      </c>
      <c r="B2180" s="16" t="n">
        <v>45986</v>
      </c>
      <c r="C2180" s="15" t="s">
        <v>56</v>
      </c>
      <c r="D2180" s="15" t="s">
        <v>42</v>
      </c>
      <c r="E2180" s="15" t="s">
        <v>36</v>
      </c>
      <c r="F2180" s="15" t="s">
        <v>18</v>
      </c>
      <c r="G2180" s="15" t="s">
        <v>33</v>
      </c>
      <c r="H2180" s="15" t="n">
        <v>3</v>
      </c>
      <c r="I2180" s="17" t="n">
        <v>0</v>
      </c>
      <c r="J2180" s="18" t="n">
        <v>1997.82</v>
      </c>
      <c r="K2180" s="19" t="n">
        <v>527.5</v>
      </c>
      <c r="L2180" s="15" t="n">
        <f aca="false">YEAR(B2180)</f>
        <v>2025</v>
      </c>
      <c r="M2180" s="20" t="n">
        <f aca="false">IF(J2180&gt;0,K2180/J2180,0)</f>
        <v>0.264037801203312</v>
      </c>
    </row>
    <row r="2181" customFormat="false" ht="15" hidden="false" customHeight="false" outlineLevel="0" collapsed="false">
      <c r="A2181" s="15" t="s">
        <v>2238</v>
      </c>
      <c r="B2181" s="16" t="n">
        <v>44914</v>
      </c>
      <c r="C2181" s="15" t="s">
        <v>56</v>
      </c>
      <c r="D2181" s="15" t="s">
        <v>43</v>
      </c>
      <c r="E2181" s="15" t="s">
        <v>39</v>
      </c>
      <c r="F2181" s="15" t="s">
        <v>17</v>
      </c>
      <c r="G2181" s="15" t="s">
        <v>29</v>
      </c>
      <c r="H2181" s="15" t="n">
        <v>5</v>
      </c>
      <c r="I2181" s="17" t="n">
        <v>0</v>
      </c>
      <c r="J2181" s="18" t="n">
        <v>110.47</v>
      </c>
      <c r="K2181" s="19" t="n">
        <v>41.56</v>
      </c>
      <c r="L2181" s="15" t="n">
        <f aca="false">YEAR(B2181)</f>
        <v>2022</v>
      </c>
      <c r="M2181" s="20" t="n">
        <f aca="false">IF(J2181&gt;0,K2181/J2181,0)</f>
        <v>0.376210735946411</v>
      </c>
    </row>
    <row r="2182" customFormat="false" ht="15" hidden="false" customHeight="false" outlineLevel="0" collapsed="false">
      <c r="A2182" s="15" t="s">
        <v>2239</v>
      </c>
      <c r="B2182" s="16" t="n">
        <v>45868</v>
      </c>
      <c r="C2182" s="15" t="s">
        <v>71</v>
      </c>
      <c r="D2182" s="15" t="s">
        <v>42</v>
      </c>
      <c r="E2182" s="15" t="s">
        <v>36</v>
      </c>
      <c r="F2182" s="15" t="s">
        <v>17</v>
      </c>
      <c r="G2182" s="15" t="s">
        <v>29</v>
      </c>
      <c r="H2182" s="15" t="n">
        <v>6</v>
      </c>
      <c r="I2182" s="17" t="n">
        <v>0.15</v>
      </c>
      <c r="J2182" s="18" t="n">
        <v>93.99</v>
      </c>
      <c r="K2182" s="19" t="n">
        <v>29.63</v>
      </c>
      <c r="L2182" s="15" t="n">
        <f aca="false">YEAR(B2182)</f>
        <v>2025</v>
      </c>
      <c r="M2182" s="20" t="n">
        <f aca="false">IF(J2182&gt;0,K2182/J2182,0)</f>
        <v>0.31524630279817</v>
      </c>
    </row>
    <row r="2183" customFormat="false" ht="15" hidden="false" customHeight="false" outlineLevel="0" collapsed="false">
      <c r="A2183" s="15" t="s">
        <v>2240</v>
      </c>
      <c r="B2183" s="16" t="n">
        <v>45470</v>
      </c>
      <c r="C2183" s="15" t="s">
        <v>58</v>
      </c>
      <c r="D2183" s="15" t="s">
        <v>42</v>
      </c>
      <c r="E2183" s="15" t="s">
        <v>38</v>
      </c>
      <c r="F2183" s="15" t="s">
        <v>17</v>
      </c>
      <c r="G2183" s="15" t="s">
        <v>29</v>
      </c>
      <c r="H2183" s="15" t="n">
        <v>4</v>
      </c>
      <c r="I2183" s="17" t="n">
        <v>0</v>
      </c>
      <c r="J2183" s="18" t="n">
        <v>64.58</v>
      </c>
      <c r="K2183" s="19" t="n">
        <v>23.05</v>
      </c>
      <c r="L2183" s="15" t="n">
        <f aca="false">YEAR(B2183)</f>
        <v>2024</v>
      </c>
      <c r="M2183" s="20" t="n">
        <f aca="false">IF(J2183&gt;0,K2183/J2183,0)</f>
        <v>0.356921647568907</v>
      </c>
    </row>
    <row r="2184" customFormat="false" ht="15" hidden="false" customHeight="false" outlineLevel="0" collapsed="false">
      <c r="A2184" s="15" t="s">
        <v>2241</v>
      </c>
      <c r="B2184" s="16" t="n">
        <v>45639</v>
      </c>
      <c r="C2184" s="15" t="s">
        <v>71</v>
      </c>
      <c r="D2184" s="15" t="s">
        <v>42</v>
      </c>
      <c r="E2184" s="15" t="s">
        <v>37</v>
      </c>
      <c r="F2184" s="15" t="s">
        <v>17</v>
      </c>
      <c r="G2184" s="15" t="s">
        <v>29</v>
      </c>
      <c r="H2184" s="15" t="n">
        <v>2</v>
      </c>
      <c r="I2184" s="17" t="n">
        <v>0</v>
      </c>
      <c r="J2184" s="18" t="n">
        <v>40.54</v>
      </c>
      <c r="K2184" s="19" t="n">
        <v>16.28</v>
      </c>
      <c r="L2184" s="15" t="n">
        <f aca="false">YEAR(B2184)</f>
        <v>2024</v>
      </c>
      <c r="M2184" s="20" t="n">
        <f aca="false">IF(J2184&gt;0,K2184/J2184,0)</f>
        <v>0.401578687715836</v>
      </c>
    </row>
    <row r="2185" customFormat="false" ht="15" hidden="false" customHeight="false" outlineLevel="0" collapsed="false">
      <c r="A2185" s="15" t="s">
        <v>2242</v>
      </c>
      <c r="B2185" s="16" t="n">
        <v>45364</v>
      </c>
      <c r="C2185" s="15" t="s">
        <v>56</v>
      </c>
      <c r="D2185" s="15" t="s">
        <v>43</v>
      </c>
      <c r="E2185" s="15" t="s">
        <v>37</v>
      </c>
      <c r="F2185" s="15" t="s">
        <v>18</v>
      </c>
      <c r="G2185" s="15" t="s">
        <v>32</v>
      </c>
      <c r="H2185" s="15" t="n">
        <v>4</v>
      </c>
      <c r="I2185" s="17" t="n">
        <v>0</v>
      </c>
      <c r="J2185" s="18" t="n">
        <v>1994.98</v>
      </c>
      <c r="K2185" s="19" t="n">
        <v>497.56</v>
      </c>
      <c r="L2185" s="15" t="n">
        <f aca="false">YEAR(B2185)</f>
        <v>2024</v>
      </c>
      <c r="M2185" s="20" t="n">
        <f aca="false">IF(J2185&gt;0,K2185/J2185,0)</f>
        <v>0.249406009082798</v>
      </c>
    </row>
    <row r="2186" customFormat="false" ht="15" hidden="false" customHeight="false" outlineLevel="0" collapsed="false">
      <c r="A2186" s="15" t="s">
        <v>2243</v>
      </c>
      <c r="B2186" s="16" t="n">
        <v>45532</v>
      </c>
      <c r="C2186" s="15" t="s">
        <v>56</v>
      </c>
      <c r="D2186" s="15" t="s">
        <v>42</v>
      </c>
      <c r="E2186" s="15" t="s">
        <v>39</v>
      </c>
      <c r="F2186" s="15" t="s">
        <v>16</v>
      </c>
      <c r="G2186" s="15" t="s">
        <v>23</v>
      </c>
      <c r="H2186" s="15" t="n">
        <v>5</v>
      </c>
      <c r="I2186" s="17" t="n">
        <v>0.1</v>
      </c>
      <c r="J2186" s="18" t="n">
        <v>1807.6</v>
      </c>
      <c r="K2186" s="19" t="n">
        <v>-137.56</v>
      </c>
      <c r="L2186" s="15" t="n">
        <f aca="false">YEAR(B2186)</f>
        <v>2024</v>
      </c>
      <c r="M2186" s="20" t="n">
        <f aca="false">IF(J2186&gt;0,K2186/J2186,0)</f>
        <v>-0.0761009072803718</v>
      </c>
    </row>
    <row r="2187" customFormat="false" ht="15" hidden="false" customHeight="false" outlineLevel="0" collapsed="false">
      <c r="A2187" s="15" t="s">
        <v>2244</v>
      </c>
      <c r="B2187" s="16" t="n">
        <v>45957</v>
      </c>
      <c r="C2187" s="15" t="s">
        <v>56</v>
      </c>
      <c r="D2187" s="15" t="s">
        <v>42</v>
      </c>
      <c r="E2187" s="15" t="s">
        <v>38</v>
      </c>
      <c r="F2187" s="15" t="s">
        <v>16</v>
      </c>
      <c r="G2187" s="15" t="s">
        <v>23</v>
      </c>
      <c r="H2187" s="15" t="n">
        <v>4</v>
      </c>
      <c r="I2187" s="17" t="n">
        <v>0</v>
      </c>
      <c r="J2187" s="18" t="n">
        <v>996.43</v>
      </c>
      <c r="K2187" s="19" t="n">
        <v>12.78</v>
      </c>
      <c r="L2187" s="15" t="n">
        <f aca="false">YEAR(B2187)</f>
        <v>2025</v>
      </c>
      <c r="M2187" s="20" t="n">
        <f aca="false">IF(J2187&gt;0,K2187/J2187,0)</f>
        <v>0.0128257880633863</v>
      </c>
    </row>
    <row r="2188" customFormat="false" ht="15" hidden="false" customHeight="false" outlineLevel="0" collapsed="false">
      <c r="A2188" s="15" t="s">
        <v>2245</v>
      </c>
      <c r="B2188" s="16" t="n">
        <v>45899</v>
      </c>
      <c r="C2188" s="15" t="s">
        <v>68</v>
      </c>
      <c r="D2188" s="15" t="s">
        <v>42</v>
      </c>
      <c r="E2188" s="15" t="s">
        <v>38</v>
      </c>
      <c r="F2188" s="15" t="s">
        <v>17</v>
      </c>
      <c r="G2188" s="15" t="s">
        <v>29</v>
      </c>
      <c r="H2188" s="15" t="n">
        <v>4</v>
      </c>
      <c r="I2188" s="17" t="n">
        <v>0.1</v>
      </c>
      <c r="J2188" s="18" t="n">
        <v>57.5</v>
      </c>
      <c r="K2188" s="19" t="n">
        <v>17.95</v>
      </c>
      <c r="L2188" s="15" t="n">
        <f aca="false">YEAR(B2188)</f>
        <v>2025</v>
      </c>
      <c r="M2188" s="20" t="n">
        <f aca="false">IF(J2188&gt;0,K2188/J2188,0)</f>
        <v>0.312173913043478</v>
      </c>
    </row>
    <row r="2189" customFormat="false" ht="15" hidden="false" customHeight="false" outlineLevel="0" collapsed="false">
      <c r="A2189" s="15" t="s">
        <v>2246</v>
      </c>
      <c r="B2189" s="16" t="n">
        <v>45561</v>
      </c>
      <c r="C2189" s="15" t="s">
        <v>68</v>
      </c>
      <c r="D2189" s="15" t="s">
        <v>44</v>
      </c>
      <c r="E2189" s="15" t="s">
        <v>36</v>
      </c>
      <c r="F2189" s="15" t="s">
        <v>18</v>
      </c>
      <c r="G2189" s="15" t="s">
        <v>24</v>
      </c>
      <c r="H2189" s="15" t="n">
        <v>4</v>
      </c>
      <c r="I2189" s="17" t="n">
        <v>0</v>
      </c>
      <c r="J2189" s="18" t="n">
        <v>2413.59</v>
      </c>
      <c r="K2189" s="19" t="n">
        <v>228.04</v>
      </c>
      <c r="L2189" s="15" t="n">
        <f aca="false">YEAR(B2189)</f>
        <v>2024</v>
      </c>
      <c r="M2189" s="20" t="n">
        <f aca="false">IF(J2189&gt;0,K2189/J2189,0)</f>
        <v>0.0944816642428913</v>
      </c>
    </row>
    <row r="2190" customFormat="false" ht="15" hidden="false" customHeight="false" outlineLevel="0" collapsed="false">
      <c r="A2190" s="15" t="s">
        <v>2247</v>
      </c>
      <c r="B2190" s="16" t="n">
        <v>45364</v>
      </c>
      <c r="C2190" s="15" t="s">
        <v>56</v>
      </c>
      <c r="D2190" s="15" t="s">
        <v>42</v>
      </c>
      <c r="E2190" s="15" t="s">
        <v>39</v>
      </c>
      <c r="F2190" s="15" t="s">
        <v>18</v>
      </c>
      <c r="G2190" s="15" t="s">
        <v>30</v>
      </c>
      <c r="H2190" s="15" t="n">
        <v>3</v>
      </c>
      <c r="I2190" s="17" t="n">
        <v>0</v>
      </c>
      <c r="J2190" s="18" t="n">
        <v>122.99</v>
      </c>
      <c r="K2190" s="19" t="n">
        <v>37.14</v>
      </c>
      <c r="L2190" s="15" t="n">
        <f aca="false">YEAR(B2190)</f>
        <v>2024</v>
      </c>
      <c r="M2190" s="20" t="n">
        <f aca="false">IF(J2190&gt;0,K2190/J2190,0)</f>
        <v>0.301975770387836</v>
      </c>
    </row>
    <row r="2191" customFormat="false" ht="15" hidden="false" customHeight="false" outlineLevel="0" collapsed="false">
      <c r="A2191" s="15" t="s">
        <v>2248</v>
      </c>
      <c r="B2191" s="16" t="n">
        <v>45977</v>
      </c>
      <c r="C2191" s="15" t="s">
        <v>71</v>
      </c>
      <c r="D2191" s="15" t="s">
        <v>42</v>
      </c>
      <c r="E2191" s="15" t="s">
        <v>37</v>
      </c>
      <c r="F2191" s="15" t="s">
        <v>17</v>
      </c>
      <c r="G2191" s="15" t="s">
        <v>26</v>
      </c>
      <c r="H2191" s="15" t="n">
        <v>2</v>
      </c>
      <c r="I2191" s="17" t="n">
        <v>0</v>
      </c>
      <c r="J2191" s="18" t="n">
        <v>218.81</v>
      </c>
      <c r="K2191" s="19" t="n">
        <v>33.42</v>
      </c>
      <c r="L2191" s="15" t="n">
        <f aca="false">YEAR(B2191)</f>
        <v>2025</v>
      </c>
      <c r="M2191" s="20" t="n">
        <f aca="false">IF(J2191&gt;0,K2191/J2191,0)</f>
        <v>0.152735249760066</v>
      </c>
    </row>
    <row r="2192" customFormat="false" ht="15" hidden="false" customHeight="false" outlineLevel="0" collapsed="false">
      <c r="A2192" s="15" t="s">
        <v>2249</v>
      </c>
      <c r="B2192" s="16" t="n">
        <v>44992</v>
      </c>
      <c r="C2192" s="15" t="s">
        <v>56</v>
      </c>
      <c r="D2192" s="15" t="s">
        <v>44</v>
      </c>
      <c r="E2192" s="15" t="s">
        <v>37</v>
      </c>
      <c r="F2192" s="15" t="s">
        <v>17</v>
      </c>
      <c r="G2192" s="15" t="s">
        <v>28</v>
      </c>
      <c r="H2192" s="15" t="n">
        <v>3</v>
      </c>
      <c r="I2192" s="17" t="n">
        <v>0</v>
      </c>
      <c r="J2192" s="18" t="n">
        <v>68.19</v>
      </c>
      <c r="K2192" s="19" t="n">
        <v>23.51</v>
      </c>
      <c r="L2192" s="15" t="n">
        <f aca="false">YEAR(B2192)</f>
        <v>2023</v>
      </c>
      <c r="M2192" s="20" t="n">
        <f aca="false">IF(J2192&gt;0,K2192/J2192,0)</f>
        <v>0.34477196069805</v>
      </c>
    </row>
    <row r="2193" customFormat="false" ht="15" hidden="false" customHeight="false" outlineLevel="0" collapsed="false">
      <c r="A2193" s="15" t="s">
        <v>2250</v>
      </c>
      <c r="B2193" s="16" t="n">
        <v>45774</v>
      </c>
      <c r="C2193" s="15" t="s">
        <v>68</v>
      </c>
      <c r="D2193" s="15" t="s">
        <v>43</v>
      </c>
      <c r="E2193" s="15" t="s">
        <v>37</v>
      </c>
      <c r="F2193" s="15" t="s">
        <v>16</v>
      </c>
      <c r="G2193" s="15" t="s">
        <v>22</v>
      </c>
      <c r="H2193" s="15" t="n">
        <v>7</v>
      </c>
      <c r="I2193" s="17" t="n">
        <v>0.05</v>
      </c>
      <c r="J2193" s="18" t="n">
        <v>4042.29</v>
      </c>
      <c r="K2193" s="19" t="n">
        <v>-470.86</v>
      </c>
      <c r="L2193" s="15" t="n">
        <f aca="false">YEAR(B2193)</f>
        <v>2025</v>
      </c>
      <c r="M2193" s="20" t="n">
        <f aca="false">IF(J2193&gt;0,K2193/J2193,0)</f>
        <v>-0.116483478424358</v>
      </c>
    </row>
    <row r="2194" customFormat="false" ht="15" hidden="false" customHeight="false" outlineLevel="0" collapsed="false">
      <c r="A2194" s="15" t="s">
        <v>2251</v>
      </c>
      <c r="B2194" s="16" t="n">
        <v>46021</v>
      </c>
      <c r="C2194" s="15" t="s">
        <v>68</v>
      </c>
      <c r="D2194" s="15" t="s">
        <v>42</v>
      </c>
      <c r="E2194" s="15" t="s">
        <v>37</v>
      </c>
      <c r="F2194" s="15" t="s">
        <v>17</v>
      </c>
      <c r="G2194" s="15" t="s">
        <v>26</v>
      </c>
      <c r="H2194" s="15" t="n">
        <v>4</v>
      </c>
      <c r="I2194" s="17" t="n">
        <v>0</v>
      </c>
      <c r="J2194" s="18" t="n">
        <v>355.29</v>
      </c>
      <c r="K2194" s="19" t="n">
        <v>32.93</v>
      </c>
      <c r="L2194" s="15" t="n">
        <f aca="false">YEAR(B2194)</f>
        <v>2025</v>
      </c>
      <c r="M2194" s="20" t="n">
        <f aca="false">IF(J2194&gt;0,K2194/J2194,0)</f>
        <v>0.0926848489965943</v>
      </c>
    </row>
    <row r="2195" customFormat="false" ht="15" hidden="false" customHeight="false" outlineLevel="0" collapsed="false">
      <c r="A2195" s="15" t="s">
        <v>2252</v>
      </c>
      <c r="B2195" s="16" t="n">
        <v>45820</v>
      </c>
      <c r="C2195" s="15" t="s">
        <v>56</v>
      </c>
      <c r="D2195" s="15" t="s">
        <v>43</v>
      </c>
      <c r="E2195" s="15" t="s">
        <v>39</v>
      </c>
      <c r="F2195" s="15" t="s">
        <v>16</v>
      </c>
      <c r="G2195" s="15" t="s">
        <v>27</v>
      </c>
      <c r="H2195" s="15" t="n">
        <v>4</v>
      </c>
      <c r="I2195" s="17" t="n">
        <v>0.3</v>
      </c>
      <c r="J2195" s="18" t="n">
        <v>197.26</v>
      </c>
      <c r="K2195" s="19" t="n">
        <v>-14.49</v>
      </c>
      <c r="L2195" s="15" t="n">
        <f aca="false">YEAR(B2195)</f>
        <v>2025</v>
      </c>
      <c r="M2195" s="20" t="n">
        <f aca="false">IF(J2195&gt;0,K2195/J2195,0)</f>
        <v>-0.0734563520227111</v>
      </c>
    </row>
    <row r="2196" customFormat="false" ht="15" hidden="false" customHeight="false" outlineLevel="0" collapsed="false">
      <c r="A2196" s="15" t="s">
        <v>2253</v>
      </c>
      <c r="B2196" s="16" t="n">
        <v>45708</v>
      </c>
      <c r="C2196" s="15" t="s">
        <v>56</v>
      </c>
      <c r="D2196" s="15" t="s">
        <v>43</v>
      </c>
      <c r="E2196" s="15" t="s">
        <v>38</v>
      </c>
      <c r="F2196" s="15" t="s">
        <v>16</v>
      </c>
      <c r="G2196" s="15" t="s">
        <v>27</v>
      </c>
      <c r="H2196" s="15" t="n">
        <v>3</v>
      </c>
      <c r="I2196" s="17" t="n">
        <v>0</v>
      </c>
      <c r="J2196" s="18" t="n">
        <v>205.98</v>
      </c>
      <c r="K2196" s="19" t="n">
        <v>41.51</v>
      </c>
      <c r="L2196" s="15" t="n">
        <f aca="false">YEAR(B2196)</f>
        <v>2025</v>
      </c>
      <c r="M2196" s="20" t="n">
        <f aca="false">IF(J2196&gt;0,K2196/J2196,0)</f>
        <v>0.201524419846587</v>
      </c>
    </row>
    <row r="2197" customFormat="false" ht="15" hidden="false" customHeight="false" outlineLevel="0" collapsed="false">
      <c r="A2197" s="15" t="s">
        <v>2254</v>
      </c>
      <c r="B2197" s="16" t="n">
        <v>45468</v>
      </c>
      <c r="C2197" s="15" t="s">
        <v>56</v>
      </c>
      <c r="D2197" s="15" t="s">
        <v>44</v>
      </c>
      <c r="E2197" s="15" t="s">
        <v>39</v>
      </c>
      <c r="F2197" s="15" t="s">
        <v>17</v>
      </c>
      <c r="G2197" s="15" t="s">
        <v>26</v>
      </c>
      <c r="H2197" s="15" t="n">
        <v>5</v>
      </c>
      <c r="I2197" s="17" t="n">
        <v>0</v>
      </c>
      <c r="J2197" s="18" t="n">
        <v>407.79</v>
      </c>
      <c r="K2197" s="19" t="n">
        <v>56.8</v>
      </c>
      <c r="L2197" s="15" t="n">
        <f aca="false">YEAR(B2197)</f>
        <v>2024</v>
      </c>
      <c r="M2197" s="20" t="n">
        <f aca="false">IF(J2197&gt;0,K2197/J2197,0)</f>
        <v>0.139287378307462</v>
      </c>
    </row>
    <row r="2198" customFormat="false" ht="15" hidden="false" customHeight="false" outlineLevel="0" collapsed="false">
      <c r="A2198" s="15" t="s">
        <v>2255</v>
      </c>
      <c r="B2198" s="16" t="n">
        <v>45646</v>
      </c>
      <c r="C2198" s="15" t="s">
        <v>56</v>
      </c>
      <c r="D2198" s="15" t="s">
        <v>43</v>
      </c>
      <c r="E2198" s="15" t="s">
        <v>39</v>
      </c>
      <c r="F2198" s="15" t="s">
        <v>17</v>
      </c>
      <c r="G2198" s="15" t="s">
        <v>29</v>
      </c>
      <c r="H2198" s="15" t="n">
        <v>3</v>
      </c>
      <c r="I2198" s="17" t="n">
        <v>0</v>
      </c>
      <c r="J2198" s="18" t="n">
        <v>72.83</v>
      </c>
      <c r="K2198" s="19" t="n">
        <v>29.77</v>
      </c>
      <c r="L2198" s="15" t="n">
        <f aca="false">YEAR(B2198)</f>
        <v>2024</v>
      </c>
      <c r="M2198" s="20" t="n">
        <f aca="false">IF(J2198&gt;0,K2198/J2198,0)</f>
        <v>0.408760126321571</v>
      </c>
    </row>
    <row r="2199" customFormat="false" ht="15" hidden="false" customHeight="false" outlineLevel="0" collapsed="false">
      <c r="A2199" s="15" t="s">
        <v>2256</v>
      </c>
      <c r="B2199" s="16" t="n">
        <v>44834</v>
      </c>
      <c r="C2199" s="15" t="s">
        <v>56</v>
      </c>
      <c r="D2199" s="15" t="s">
        <v>42</v>
      </c>
      <c r="E2199" s="15" t="s">
        <v>36</v>
      </c>
      <c r="F2199" s="15" t="s">
        <v>17</v>
      </c>
      <c r="G2199" s="15" t="s">
        <v>28</v>
      </c>
      <c r="H2199" s="15" t="n">
        <v>2</v>
      </c>
      <c r="I2199" s="17" t="n">
        <v>0.4</v>
      </c>
      <c r="J2199" s="18" t="n">
        <v>26.06</v>
      </c>
      <c r="K2199" s="19" t="n">
        <v>-1.69</v>
      </c>
      <c r="L2199" s="15" t="n">
        <f aca="false">YEAR(B2199)</f>
        <v>2022</v>
      </c>
      <c r="M2199" s="20" t="n">
        <f aca="false">IF(J2199&gt;0,K2199/J2199,0)</f>
        <v>-0.0648503453568688</v>
      </c>
    </row>
    <row r="2200" customFormat="false" ht="15" hidden="false" customHeight="false" outlineLevel="0" collapsed="false">
      <c r="A2200" s="15" t="s">
        <v>2257</v>
      </c>
      <c r="B2200" s="16" t="n">
        <v>45905</v>
      </c>
      <c r="C2200" s="15" t="s">
        <v>71</v>
      </c>
      <c r="D2200" s="15" t="s">
        <v>44</v>
      </c>
      <c r="E2200" s="15" t="s">
        <v>36</v>
      </c>
      <c r="F2200" s="15" t="s">
        <v>17</v>
      </c>
      <c r="G2200" s="15" t="s">
        <v>31</v>
      </c>
      <c r="H2200" s="15" t="n">
        <v>6</v>
      </c>
      <c r="I2200" s="17" t="n">
        <v>0.05</v>
      </c>
      <c r="J2200" s="18" t="n">
        <v>714.89</v>
      </c>
      <c r="K2200" s="19" t="n">
        <v>138.09</v>
      </c>
      <c r="L2200" s="15" t="n">
        <f aca="false">YEAR(B2200)</f>
        <v>2025</v>
      </c>
      <c r="M2200" s="20" t="n">
        <f aca="false">IF(J2200&gt;0,K2200/J2200,0)</f>
        <v>0.193162584453552</v>
      </c>
    </row>
    <row r="2201" customFormat="false" ht="15" hidden="false" customHeight="false" outlineLevel="0" collapsed="false">
      <c r="A2201" s="15" t="s">
        <v>2258</v>
      </c>
      <c r="B2201" s="16" t="n">
        <v>44945</v>
      </c>
      <c r="C2201" s="15" t="s">
        <v>56</v>
      </c>
      <c r="D2201" s="15" t="s">
        <v>42</v>
      </c>
      <c r="E2201" s="15" t="s">
        <v>36</v>
      </c>
      <c r="F2201" s="15" t="s">
        <v>17</v>
      </c>
      <c r="G2201" s="15" t="s">
        <v>28</v>
      </c>
      <c r="H2201" s="15" t="n">
        <v>2</v>
      </c>
      <c r="I2201" s="17" t="n">
        <v>0.05</v>
      </c>
      <c r="J2201" s="18" t="n">
        <v>36.76</v>
      </c>
      <c r="K2201" s="19" t="n">
        <v>10.24</v>
      </c>
      <c r="L2201" s="15" t="n">
        <f aca="false">YEAR(B2201)</f>
        <v>2023</v>
      </c>
      <c r="M2201" s="20" t="n">
        <f aca="false">IF(J2201&gt;0,K2201/J2201,0)</f>
        <v>0.278563656147987</v>
      </c>
    </row>
    <row r="2202" customFormat="false" ht="15" hidden="false" customHeight="false" outlineLevel="0" collapsed="false">
      <c r="A2202" s="15" t="s">
        <v>2259</v>
      </c>
      <c r="B2202" s="16" t="n">
        <v>45611</v>
      </c>
      <c r="C2202" s="15" t="s">
        <v>71</v>
      </c>
      <c r="D2202" s="15" t="s">
        <v>42</v>
      </c>
      <c r="E2202" s="15" t="s">
        <v>37</v>
      </c>
      <c r="F2202" s="15" t="s">
        <v>17</v>
      </c>
      <c r="G2202" s="15" t="s">
        <v>28</v>
      </c>
      <c r="H2202" s="15" t="n">
        <v>3</v>
      </c>
      <c r="I2202" s="17" t="n">
        <v>0</v>
      </c>
      <c r="J2202" s="18" t="n">
        <v>86.4</v>
      </c>
      <c r="K2202" s="19" t="n">
        <v>22.68</v>
      </c>
      <c r="L2202" s="15" t="n">
        <f aca="false">YEAR(B2202)</f>
        <v>2024</v>
      </c>
      <c r="M2202" s="20" t="n">
        <f aca="false">IF(J2202&gt;0,K2202/J2202,0)</f>
        <v>0.2625</v>
      </c>
    </row>
    <row r="2203" customFormat="false" ht="15" hidden="false" customHeight="false" outlineLevel="0" collapsed="false">
      <c r="A2203" s="15" t="s">
        <v>2260</v>
      </c>
      <c r="B2203" s="16" t="n">
        <v>45329</v>
      </c>
      <c r="C2203" s="15" t="s">
        <v>56</v>
      </c>
      <c r="D2203" s="15" t="s">
        <v>43</v>
      </c>
      <c r="E2203" s="15" t="s">
        <v>39</v>
      </c>
      <c r="F2203" s="15" t="s">
        <v>18</v>
      </c>
      <c r="G2203" s="15" t="s">
        <v>30</v>
      </c>
      <c r="H2203" s="15" t="n">
        <v>1</v>
      </c>
      <c r="I2203" s="17" t="n">
        <v>0.1</v>
      </c>
      <c r="J2203" s="18" t="n">
        <v>51.17</v>
      </c>
      <c r="K2203" s="19" t="n">
        <v>9.37</v>
      </c>
      <c r="L2203" s="15" t="n">
        <f aca="false">YEAR(B2203)</f>
        <v>2024</v>
      </c>
      <c r="M2203" s="20" t="n">
        <f aca="false">IF(J2203&gt;0,K2203/J2203,0)</f>
        <v>0.183115106507719</v>
      </c>
    </row>
    <row r="2204" customFormat="false" ht="15" hidden="false" customHeight="false" outlineLevel="0" collapsed="false">
      <c r="A2204" s="15" t="s">
        <v>2261</v>
      </c>
      <c r="B2204" s="16" t="n">
        <v>45112</v>
      </c>
      <c r="C2204" s="15" t="s">
        <v>56</v>
      </c>
      <c r="D2204" s="15" t="s">
        <v>43</v>
      </c>
      <c r="E2204" s="15" t="s">
        <v>39</v>
      </c>
      <c r="F2204" s="15" t="s">
        <v>16</v>
      </c>
      <c r="G2204" s="15" t="s">
        <v>23</v>
      </c>
      <c r="H2204" s="15" t="n">
        <v>3</v>
      </c>
      <c r="I2204" s="17" t="n">
        <v>0.05</v>
      </c>
      <c r="J2204" s="18" t="n">
        <v>1070.18</v>
      </c>
      <c r="K2204" s="19" t="n">
        <v>-22.3</v>
      </c>
      <c r="L2204" s="15" t="n">
        <f aca="false">YEAR(B2204)</f>
        <v>2023</v>
      </c>
      <c r="M2204" s="20" t="n">
        <f aca="false">IF(J2204&gt;0,K2204/J2204,0)</f>
        <v>-0.0208376161019642</v>
      </c>
    </row>
    <row r="2205" customFormat="false" ht="15" hidden="false" customHeight="false" outlineLevel="0" collapsed="false">
      <c r="A2205" s="15" t="s">
        <v>2262</v>
      </c>
      <c r="B2205" s="16" t="n">
        <v>46005</v>
      </c>
      <c r="C2205" s="15" t="s">
        <v>56</v>
      </c>
      <c r="D2205" s="15" t="s">
        <v>42</v>
      </c>
      <c r="E2205" s="15" t="s">
        <v>37</v>
      </c>
      <c r="F2205" s="15" t="s">
        <v>18</v>
      </c>
      <c r="G2205" s="15" t="s">
        <v>30</v>
      </c>
      <c r="H2205" s="15" t="n">
        <v>4</v>
      </c>
      <c r="I2205" s="17" t="n">
        <v>0.1</v>
      </c>
      <c r="J2205" s="18" t="n">
        <v>163.67</v>
      </c>
      <c r="K2205" s="19" t="n">
        <v>32.07</v>
      </c>
      <c r="L2205" s="15" t="n">
        <f aca="false">YEAR(B2205)</f>
        <v>2025</v>
      </c>
      <c r="M2205" s="20" t="n">
        <f aca="false">IF(J2205&gt;0,K2205/J2205,0)</f>
        <v>0.195943056149569</v>
      </c>
    </row>
    <row r="2206" customFormat="false" ht="15" hidden="false" customHeight="false" outlineLevel="0" collapsed="false">
      <c r="A2206" s="15" t="s">
        <v>2263</v>
      </c>
      <c r="B2206" s="16" t="n">
        <v>45071</v>
      </c>
      <c r="C2206" s="15" t="s">
        <v>71</v>
      </c>
      <c r="D2206" s="15" t="s">
        <v>43</v>
      </c>
      <c r="E2206" s="15" t="s">
        <v>36</v>
      </c>
      <c r="F2206" s="15" t="s">
        <v>17</v>
      </c>
      <c r="G2206" s="15" t="s">
        <v>26</v>
      </c>
      <c r="H2206" s="15" t="n">
        <v>6</v>
      </c>
      <c r="I2206" s="17" t="n">
        <v>0.1</v>
      </c>
      <c r="J2206" s="18" t="n">
        <v>436.51</v>
      </c>
      <c r="K2206" s="19" t="n">
        <v>16.05</v>
      </c>
      <c r="L2206" s="15" t="n">
        <f aca="false">YEAR(B2206)</f>
        <v>2023</v>
      </c>
      <c r="M2206" s="20" t="n">
        <f aca="false">IF(J2206&gt;0,K2206/J2206,0)</f>
        <v>0.0367689170923919</v>
      </c>
    </row>
    <row r="2207" customFormat="false" ht="15" hidden="false" customHeight="false" outlineLevel="0" collapsed="false">
      <c r="A2207" s="15" t="s">
        <v>2264</v>
      </c>
      <c r="B2207" s="16" t="n">
        <v>45798</v>
      </c>
      <c r="C2207" s="15" t="s">
        <v>71</v>
      </c>
      <c r="D2207" s="15" t="s">
        <v>42</v>
      </c>
      <c r="E2207" s="15" t="s">
        <v>39</v>
      </c>
      <c r="F2207" s="15" t="s">
        <v>16</v>
      </c>
      <c r="G2207" s="15" t="s">
        <v>25</v>
      </c>
      <c r="H2207" s="15" t="n">
        <v>3</v>
      </c>
      <c r="I2207" s="17" t="n">
        <v>0</v>
      </c>
      <c r="J2207" s="18" t="n">
        <v>932.64</v>
      </c>
      <c r="K2207" s="19" t="n">
        <v>26.86</v>
      </c>
      <c r="L2207" s="15" t="n">
        <f aca="false">YEAR(B2207)</f>
        <v>2025</v>
      </c>
      <c r="M2207" s="20" t="n">
        <f aca="false">IF(J2207&gt;0,K2207/J2207,0)</f>
        <v>0.0287999656887974</v>
      </c>
    </row>
    <row r="2208" customFormat="false" ht="15" hidden="false" customHeight="false" outlineLevel="0" collapsed="false">
      <c r="A2208" s="15" t="s">
        <v>2265</v>
      </c>
      <c r="B2208" s="16" t="n">
        <v>44758</v>
      </c>
      <c r="C2208" s="15" t="s">
        <v>56</v>
      </c>
      <c r="D2208" s="15" t="s">
        <v>43</v>
      </c>
      <c r="E2208" s="15" t="s">
        <v>37</v>
      </c>
      <c r="F2208" s="15" t="s">
        <v>17</v>
      </c>
      <c r="G2208" s="15" t="s">
        <v>26</v>
      </c>
      <c r="H2208" s="15" t="n">
        <v>2</v>
      </c>
      <c r="I2208" s="17" t="n">
        <v>0.1</v>
      </c>
      <c r="J2208" s="18" t="n">
        <v>195.11</v>
      </c>
      <c r="K2208" s="19" t="n">
        <v>4</v>
      </c>
      <c r="L2208" s="15" t="n">
        <f aca="false">YEAR(B2208)</f>
        <v>2022</v>
      </c>
      <c r="M2208" s="20" t="n">
        <f aca="false">IF(J2208&gt;0,K2208/J2208,0)</f>
        <v>0.0205012557019117</v>
      </c>
    </row>
    <row r="2209" customFormat="false" ht="15" hidden="false" customHeight="false" outlineLevel="0" collapsed="false">
      <c r="A2209" s="15" t="s">
        <v>2266</v>
      </c>
      <c r="B2209" s="16" t="n">
        <v>45646</v>
      </c>
      <c r="C2209" s="15" t="s">
        <v>56</v>
      </c>
      <c r="D2209" s="15" t="s">
        <v>44</v>
      </c>
      <c r="E2209" s="15" t="s">
        <v>36</v>
      </c>
      <c r="F2209" s="15" t="s">
        <v>17</v>
      </c>
      <c r="G2209" s="15" t="s">
        <v>29</v>
      </c>
      <c r="H2209" s="15" t="n">
        <v>6</v>
      </c>
      <c r="I2209" s="17" t="n">
        <v>0</v>
      </c>
      <c r="J2209" s="18" t="n">
        <v>123.56</v>
      </c>
      <c r="K2209" s="19" t="n">
        <v>42.42</v>
      </c>
      <c r="L2209" s="15" t="n">
        <f aca="false">YEAR(B2209)</f>
        <v>2024</v>
      </c>
      <c r="M2209" s="20" t="n">
        <f aca="false">IF(J2209&gt;0,K2209/J2209,0)</f>
        <v>0.343314988669472</v>
      </c>
    </row>
    <row r="2210" customFormat="false" ht="15" hidden="false" customHeight="false" outlineLevel="0" collapsed="false">
      <c r="A2210" s="15" t="s">
        <v>2267</v>
      </c>
      <c r="B2210" s="16" t="n">
        <v>45768</v>
      </c>
      <c r="C2210" s="15" t="s">
        <v>56</v>
      </c>
      <c r="D2210" s="15" t="s">
        <v>42</v>
      </c>
      <c r="E2210" s="15" t="s">
        <v>36</v>
      </c>
      <c r="F2210" s="15" t="s">
        <v>17</v>
      </c>
      <c r="G2210" s="15" t="s">
        <v>28</v>
      </c>
      <c r="H2210" s="15" t="n">
        <v>4</v>
      </c>
      <c r="I2210" s="17" t="n">
        <v>0.3</v>
      </c>
      <c r="J2210" s="18" t="n">
        <v>71.87</v>
      </c>
      <c r="K2210" s="19" t="n">
        <v>-0.05</v>
      </c>
      <c r="L2210" s="15" t="n">
        <f aca="false">YEAR(B2210)</f>
        <v>2025</v>
      </c>
      <c r="M2210" s="20" t="n">
        <f aca="false">IF(J2210&gt;0,K2210/J2210,0)</f>
        <v>-0.000695700570474468</v>
      </c>
    </row>
    <row r="2211" customFormat="false" ht="15" hidden="false" customHeight="false" outlineLevel="0" collapsed="false">
      <c r="A2211" s="15" t="s">
        <v>2268</v>
      </c>
      <c r="B2211" s="16" t="n">
        <v>45338</v>
      </c>
      <c r="C2211" s="15" t="s">
        <v>56</v>
      </c>
      <c r="D2211" s="15" t="s">
        <v>44</v>
      </c>
      <c r="E2211" s="15" t="s">
        <v>36</v>
      </c>
      <c r="F2211" s="15" t="s">
        <v>18</v>
      </c>
      <c r="G2211" s="15" t="s">
        <v>30</v>
      </c>
      <c r="H2211" s="15" t="n">
        <v>6</v>
      </c>
      <c r="I2211" s="17" t="n">
        <v>0.2</v>
      </c>
      <c r="J2211" s="18" t="n">
        <v>222.93</v>
      </c>
      <c r="K2211" s="19" t="n">
        <v>32.89</v>
      </c>
      <c r="L2211" s="15" t="n">
        <f aca="false">YEAR(B2211)</f>
        <v>2024</v>
      </c>
      <c r="M2211" s="20" t="n">
        <f aca="false">IF(J2211&gt;0,K2211/J2211,0)</f>
        <v>0.147535100704257</v>
      </c>
    </row>
    <row r="2212" customFormat="false" ht="15" hidden="false" customHeight="false" outlineLevel="0" collapsed="false">
      <c r="A2212" s="15" t="s">
        <v>2269</v>
      </c>
      <c r="B2212" s="16" t="n">
        <v>45122</v>
      </c>
      <c r="C2212" s="15" t="s">
        <v>71</v>
      </c>
      <c r="D2212" s="15" t="s">
        <v>43</v>
      </c>
      <c r="E2212" s="15" t="s">
        <v>36</v>
      </c>
      <c r="F2212" s="15" t="s">
        <v>17</v>
      </c>
      <c r="G2212" s="15" t="s">
        <v>29</v>
      </c>
      <c r="H2212" s="15" t="n">
        <v>5</v>
      </c>
      <c r="I2212" s="17" t="n">
        <v>0</v>
      </c>
      <c r="J2212" s="18" t="n">
        <v>102.7</v>
      </c>
      <c r="K2212" s="19" t="n">
        <v>39.69</v>
      </c>
      <c r="L2212" s="15" t="n">
        <f aca="false">YEAR(B2212)</f>
        <v>2023</v>
      </c>
      <c r="M2212" s="20" t="n">
        <f aca="false">IF(J2212&gt;0,K2212/J2212,0)</f>
        <v>0.386465433300876</v>
      </c>
    </row>
    <row r="2213" customFormat="false" ht="15" hidden="false" customHeight="false" outlineLevel="0" collapsed="false">
      <c r="A2213" s="15" t="s">
        <v>2270</v>
      </c>
      <c r="B2213" s="16" t="n">
        <v>45526</v>
      </c>
      <c r="C2213" s="15" t="s">
        <v>56</v>
      </c>
      <c r="D2213" s="15" t="s">
        <v>43</v>
      </c>
      <c r="E2213" s="15" t="s">
        <v>37</v>
      </c>
      <c r="F2213" s="15" t="s">
        <v>16</v>
      </c>
      <c r="G2213" s="15" t="s">
        <v>23</v>
      </c>
      <c r="H2213" s="15" t="n">
        <v>6</v>
      </c>
      <c r="I2213" s="17" t="n">
        <v>0.2</v>
      </c>
      <c r="J2213" s="18" t="n">
        <v>2000.81</v>
      </c>
      <c r="K2213" s="19" t="n">
        <v>-365.55</v>
      </c>
      <c r="L2213" s="15" t="n">
        <f aca="false">YEAR(B2213)</f>
        <v>2024</v>
      </c>
      <c r="M2213" s="20" t="n">
        <f aca="false">IF(J2213&gt;0,K2213/J2213,0)</f>
        <v>-0.182701006092533</v>
      </c>
    </row>
    <row r="2214" customFormat="false" ht="15" hidden="false" customHeight="false" outlineLevel="0" collapsed="false">
      <c r="A2214" s="15" t="s">
        <v>2271</v>
      </c>
      <c r="B2214" s="16" t="n">
        <v>44840</v>
      </c>
      <c r="C2214" s="15" t="s">
        <v>71</v>
      </c>
      <c r="D2214" s="15" t="s">
        <v>42</v>
      </c>
      <c r="E2214" s="15" t="s">
        <v>36</v>
      </c>
      <c r="F2214" s="15" t="s">
        <v>18</v>
      </c>
      <c r="G2214" s="15" t="s">
        <v>24</v>
      </c>
      <c r="H2214" s="15" t="n">
        <v>4</v>
      </c>
      <c r="I2214" s="17" t="n">
        <v>0.1</v>
      </c>
      <c r="J2214" s="18" t="n">
        <v>2365.61</v>
      </c>
      <c r="K2214" s="19" t="n">
        <v>-96.68</v>
      </c>
      <c r="L2214" s="15" t="n">
        <f aca="false">YEAR(B2214)</f>
        <v>2022</v>
      </c>
      <c r="M2214" s="20" t="n">
        <f aca="false">IF(J2214&gt;0,K2214/J2214,0)</f>
        <v>-0.0408689513487008</v>
      </c>
    </row>
    <row r="2215" customFormat="false" ht="15" hidden="false" customHeight="false" outlineLevel="0" collapsed="false">
      <c r="A2215" s="15" t="s">
        <v>2272</v>
      </c>
      <c r="B2215" s="16" t="n">
        <v>45569</v>
      </c>
      <c r="C2215" s="15" t="s">
        <v>68</v>
      </c>
      <c r="D2215" s="15" t="s">
        <v>44</v>
      </c>
      <c r="E2215" s="15" t="s">
        <v>38</v>
      </c>
      <c r="F2215" s="15" t="s">
        <v>17</v>
      </c>
      <c r="G2215" s="15" t="s">
        <v>26</v>
      </c>
      <c r="H2215" s="15" t="n">
        <v>4</v>
      </c>
      <c r="I2215" s="17" t="n">
        <v>0</v>
      </c>
      <c r="J2215" s="18" t="n">
        <v>372.87</v>
      </c>
      <c r="K2215" s="19" t="n">
        <v>55.05</v>
      </c>
      <c r="L2215" s="15" t="n">
        <f aca="false">YEAR(B2215)</f>
        <v>2024</v>
      </c>
      <c r="M2215" s="20" t="n">
        <f aca="false">IF(J2215&gt;0,K2215/J2215,0)</f>
        <v>0.147638587175155</v>
      </c>
    </row>
    <row r="2216" customFormat="false" ht="15" hidden="false" customHeight="false" outlineLevel="0" collapsed="false">
      <c r="A2216" s="15" t="s">
        <v>2273</v>
      </c>
      <c r="B2216" s="16" t="n">
        <v>45424</v>
      </c>
      <c r="C2216" s="15" t="s">
        <v>71</v>
      </c>
      <c r="D2216" s="15" t="s">
        <v>42</v>
      </c>
      <c r="E2216" s="15" t="s">
        <v>37</v>
      </c>
      <c r="F2216" s="15" t="s">
        <v>16</v>
      </c>
      <c r="G2216" s="15" t="s">
        <v>22</v>
      </c>
      <c r="H2216" s="15" t="n">
        <v>3</v>
      </c>
      <c r="I2216" s="17" t="n">
        <v>0</v>
      </c>
      <c r="J2216" s="18" t="n">
        <v>1421.29</v>
      </c>
      <c r="K2216" s="19" t="n">
        <v>-50</v>
      </c>
      <c r="L2216" s="15" t="n">
        <f aca="false">YEAR(B2216)</f>
        <v>2024</v>
      </c>
      <c r="M2216" s="20" t="n">
        <f aca="false">IF(J2216&gt;0,K2216/J2216,0)</f>
        <v>-0.0351793089376552</v>
      </c>
    </row>
    <row r="2217" customFormat="false" ht="15" hidden="false" customHeight="false" outlineLevel="0" collapsed="false">
      <c r="A2217" s="15" t="s">
        <v>2274</v>
      </c>
      <c r="B2217" s="16" t="n">
        <v>44697</v>
      </c>
      <c r="C2217" s="15" t="s">
        <v>56</v>
      </c>
      <c r="D2217" s="15" t="s">
        <v>42</v>
      </c>
      <c r="E2217" s="15" t="s">
        <v>36</v>
      </c>
      <c r="F2217" s="15" t="s">
        <v>17</v>
      </c>
      <c r="G2217" s="15" t="s">
        <v>29</v>
      </c>
      <c r="H2217" s="15" t="n">
        <v>4</v>
      </c>
      <c r="I2217" s="17" t="n">
        <v>0.4</v>
      </c>
      <c r="J2217" s="18" t="n">
        <v>38.61</v>
      </c>
      <c r="K2217" s="19" t="n">
        <v>1.3</v>
      </c>
      <c r="L2217" s="15" t="n">
        <f aca="false">YEAR(B2217)</f>
        <v>2022</v>
      </c>
      <c r="M2217" s="20" t="n">
        <f aca="false">IF(J2217&gt;0,K2217/J2217,0)</f>
        <v>0.0336700336700337</v>
      </c>
    </row>
    <row r="2218" customFormat="false" ht="15" hidden="false" customHeight="false" outlineLevel="0" collapsed="false">
      <c r="A2218" s="15" t="s">
        <v>2275</v>
      </c>
      <c r="B2218" s="16" t="n">
        <v>44568</v>
      </c>
      <c r="C2218" s="15" t="s">
        <v>56</v>
      </c>
      <c r="D2218" s="15" t="s">
        <v>43</v>
      </c>
      <c r="E2218" s="15" t="s">
        <v>37</v>
      </c>
      <c r="F2218" s="15" t="s">
        <v>17</v>
      </c>
      <c r="G2218" s="15" t="s">
        <v>29</v>
      </c>
      <c r="H2218" s="15" t="n">
        <v>2</v>
      </c>
      <c r="I2218" s="17" t="n">
        <v>0.05</v>
      </c>
      <c r="J2218" s="18" t="n">
        <v>35.97</v>
      </c>
      <c r="K2218" s="19" t="n">
        <v>11.95</v>
      </c>
      <c r="L2218" s="15" t="n">
        <f aca="false">YEAR(B2218)</f>
        <v>2022</v>
      </c>
      <c r="M2218" s="20" t="n">
        <f aca="false">IF(J2218&gt;0,K2218/J2218,0)</f>
        <v>0.332221295524048</v>
      </c>
    </row>
    <row r="2219" customFormat="false" ht="15" hidden="false" customHeight="false" outlineLevel="0" collapsed="false">
      <c r="A2219" s="15" t="s">
        <v>2276</v>
      </c>
      <c r="B2219" s="16" t="n">
        <v>45772</v>
      </c>
      <c r="C2219" s="15" t="s">
        <v>58</v>
      </c>
      <c r="D2219" s="15" t="s">
        <v>42</v>
      </c>
      <c r="E2219" s="15" t="s">
        <v>36</v>
      </c>
      <c r="F2219" s="15" t="s">
        <v>18</v>
      </c>
      <c r="G2219" s="15" t="s">
        <v>30</v>
      </c>
      <c r="H2219" s="15" t="n">
        <v>6</v>
      </c>
      <c r="I2219" s="17" t="n">
        <v>0.1</v>
      </c>
      <c r="J2219" s="18" t="n">
        <v>215.15</v>
      </c>
      <c r="K2219" s="19" t="n">
        <v>66.51</v>
      </c>
      <c r="L2219" s="15" t="n">
        <f aca="false">YEAR(B2219)</f>
        <v>2025</v>
      </c>
      <c r="M2219" s="20" t="n">
        <f aca="false">IF(J2219&gt;0,K2219/J2219,0)</f>
        <v>0.309133162909598</v>
      </c>
    </row>
    <row r="2220" customFormat="false" ht="15" hidden="false" customHeight="false" outlineLevel="0" collapsed="false">
      <c r="A2220" s="15" t="s">
        <v>2277</v>
      </c>
      <c r="B2220" s="16" t="n">
        <v>45334</v>
      </c>
      <c r="C2220" s="15" t="s">
        <v>56</v>
      </c>
      <c r="D2220" s="15" t="s">
        <v>42</v>
      </c>
      <c r="E2220" s="15" t="s">
        <v>39</v>
      </c>
      <c r="F2220" s="15" t="s">
        <v>16</v>
      </c>
      <c r="G2220" s="15" t="s">
        <v>23</v>
      </c>
      <c r="H2220" s="15" t="n">
        <v>4</v>
      </c>
      <c r="I2220" s="17" t="n">
        <v>0.05</v>
      </c>
      <c r="J2220" s="18" t="n">
        <v>1070.36</v>
      </c>
      <c r="K2220" s="19" t="n">
        <v>-36.15</v>
      </c>
      <c r="L2220" s="15" t="n">
        <f aca="false">YEAR(B2220)</f>
        <v>2024</v>
      </c>
      <c r="M2220" s="20" t="n">
        <f aca="false">IF(J2220&gt;0,K2220/J2220,0)</f>
        <v>-0.0337736836204641</v>
      </c>
    </row>
    <row r="2221" customFormat="false" ht="15" hidden="false" customHeight="false" outlineLevel="0" collapsed="false">
      <c r="A2221" s="15" t="s">
        <v>2278</v>
      </c>
      <c r="B2221" s="16" t="n">
        <v>45193</v>
      </c>
      <c r="C2221" s="15" t="s">
        <v>71</v>
      </c>
      <c r="D2221" s="15" t="s">
        <v>44</v>
      </c>
      <c r="E2221" s="15" t="s">
        <v>37</v>
      </c>
      <c r="F2221" s="15" t="s">
        <v>17</v>
      </c>
      <c r="G2221" s="15" t="s">
        <v>26</v>
      </c>
      <c r="H2221" s="15" t="n">
        <v>4</v>
      </c>
      <c r="I2221" s="17" t="n">
        <v>0</v>
      </c>
      <c r="J2221" s="18" t="n">
        <v>363.68</v>
      </c>
      <c r="K2221" s="19" t="n">
        <v>26.51</v>
      </c>
      <c r="L2221" s="15" t="n">
        <f aca="false">YEAR(B2221)</f>
        <v>2023</v>
      </c>
      <c r="M2221" s="20" t="n">
        <f aca="false">IF(J2221&gt;0,K2221/J2221,0)</f>
        <v>0.07289375274967</v>
      </c>
    </row>
    <row r="2222" customFormat="false" ht="15" hidden="false" customHeight="false" outlineLevel="0" collapsed="false">
      <c r="A2222" s="15" t="s">
        <v>2279</v>
      </c>
      <c r="B2222" s="16" t="n">
        <v>44852</v>
      </c>
      <c r="C2222" s="15" t="s">
        <v>68</v>
      </c>
      <c r="D2222" s="15" t="s">
        <v>42</v>
      </c>
      <c r="E2222" s="15" t="s">
        <v>38</v>
      </c>
      <c r="F2222" s="15" t="s">
        <v>17</v>
      </c>
      <c r="G2222" s="15" t="s">
        <v>28</v>
      </c>
      <c r="H2222" s="15" t="n">
        <v>2</v>
      </c>
      <c r="I2222" s="17" t="n">
        <v>0</v>
      </c>
      <c r="J2222" s="18" t="n">
        <v>51.21</v>
      </c>
      <c r="K2222" s="19" t="n">
        <v>17.17</v>
      </c>
      <c r="L2222" s="15" t="n">
        <f aca="false">YEAR(B2222)</f>
        <v>2022</v>
      </c>
      <c r="M2222" s="20" t="n">
        <f aca="false">IF(J2222&gt;0,K2222/J2222,0)</f>
        <v>0.335286076938098</v>
      </c>
    </row>
    <row r="2223" customFormat="false" ht="15" hidden="false" customHeight="false" outlineLevel="0" collapsed="false">
      <c r="A2223" s="15" t="s">
        <v>2280</v>
      </c>
      <c r="B2223" s="16" t="n">
        <v>45524</v>
      </c>
      <c r="C2223" s="15" t="s">
        <v>68</v>
      </c>
      <c r="D2223" s="15" t="s">
        <v>42</v>
      </c>
      <c r="E2223" s="15" t="s">
        <v>39</v>
      </c>
      <c r="F2223" s="15" t="s">
        <v>16</v>
      </c>
      <c r="G2223" s="15" t="s">
        <v>22</v>
      </c>
      <c r="H2223" s="15" t="n">
        <v>2</v>
      </c>
      <c r="I2223" s="17" t="n">
        <v>0</v>
      </c>
      <c r="J2223" s="18" t="n">
        <v>1030.15</v>
      </c>
      <c r="K2223" s="19" t="n">
        <v>-58.21</v>
      </c>
      <c r="L2223" s="15" t="n">
        <f aca="false">YEAR(B2223)</f>
        <v>2024</v>
      </c>
      <c r="M2223" s="20" t="n">
        <f aca="false">IF(J2223&gt;0,K2223/J2223,0)</f>
        <v>-0.0565063340290249</v>
      </c>
    </row>
    <row r="2224" customFormat="false" ht="15" hidden="false" customHeight="false" outlineLevel="0" collapsed="false">
      <c r="A2224" s="15" t="s">
        <v>2281</v>
      </c>
      <c r="B2224" s="16" t="n">
        <v>45463</v>
      </c>
      <c r="C2224" s="15" t="s">
        <v>56</v>
      </c>
      <c r="D2224" s="15" t="s">
        <v>43</v>
      </c>
      <c r="E2224" s="15" t="s">
        <v>38</v>
      </c>
      <c r="F2224" s="15" t="s">
        <v>18</v>
      </c>
      <c r="G2224" s="15" t="s">
        <v>30</v>
      </c>
      <c r="H2224" s="15" t="n">
        <v>5</v>
      </c>
      <c r="I2224" s="17" t="n">
        <v>0.1</v>
      </c>
      <c r="J2224" s="18" t="n">
        <v>238.11</v>
      </c>
      <c r="K2224" s="19" t="n">
        <v>38.33</v>
      </c>
      <c r="L2224" s="15" t="n">
        <f aca="false">YEAR(B2224)</f>
        <v>2024</v>
      </c>
      <c r="M2224" s="20" t="n">
        <f aca="false">IF(J2224&gt;0,K2224/J2224,0)</f>
        <v>0.160976019486792</v>
      </c>
    </row>
    <row r="2225" customFormat="false" ht="15" hidden="false" customHeight="false" outlineLevel="0" collapsed="false">
      <c r="A2225" s="15" t="s">
        <v>2282</v>
      </c>
      <c r="B2225" s="16" t="n">
        <v>44838</v>
      </c>
      <c r="C2225" s="15" t="s">
        <v>56</v>
      </c>
      <c r="D2225" s="15" t="s">
        <v>42</v>
      </c>
      <c r="E2225" s="15" t="s">
        <v>39</v>
      </c>
      <c r="F2225" s="15" t="s">
        <v>17</v>
      </c>
      <c r="G2225" s="15" t="s">
        <v>29</v>
      </c>
      <c r="H2225" s="15" t="n">
        <v>4</v>
      </c>
      <c r="I2225" s="17" t="n">
        <v>0</v>
      </c>
      <c r="J2225" s="18" t="n">
        <v>85.96</v>
      </c>
      <c r="K2225" s="19" t="n">
        <v>33.99</v>
      </c>
      <c r="L2225" s="15" t="n">
        <f aca="false">YEAR(B2225)</f>
        <v>2022</v>
      </c>
      <c r="M2225" s="20" t="n">
        <f aca="false">IF(J2225&gt;0,K2225/J2225,0)</f>
        <v>0.395416472778036</v>
      </c>
    </row>
    <row r="2226" customFormat="false" ht="15" hidden="false" customHeight="false" outlineLevel="0" collapsed="false">
      <c r="A2226" s="15" t="s">
        <v>2283</v>
      </c>
      <c r="B2226" s="16" t="n">
        <v>45930</v>
      </c>
      <c r="C2226" s="15" t="s">
        <v>68</v>
      </c>
      <c r="D2226" s="15" t="s">
        <v>44</v>
      </c>
      <c r="E2226" s="15" t="s">
        <v>37</v>
      </c>
      <c r="F2226" s="15" t="s">
        <v>17</v>
      </c>
      <c r="G2226" s="15" t="s">
        <v>28</v>
      </c>
      <c r="H2226" s="15" t="n">
        <v>2</v>
      </c>
      <c r="I2226" s="17" t="n">
        <v>0.15</v>
      </c>
      <c r="J2226" s="18" t="n">
        <v>33.93</v>
      </c>
      <c r="K2226" s="19" t="n">
        <v>7.23</v>
      </c>
      <c r="L2226" s="15" t="n">
        <f aca="false">YEAR(B2226)</f>
        <v>2025</v>
      </c>
      <c r="M2226" s="20" t="n">
        <f aca="false">IF(J2226&gt;0,K2226/J2226,0)</f>
        <v>0.213085764809903</v>
      </c>
    </row>
    <row r="2227" customFormat="false" ht="15" hidden="false" customHeight="false" outlineLevel="0" collapsed="false">
      <c r="A2227" s="15" t="s">
        <v>2284</v>
      </c>
      <c r="B2227" s="16" t="n">
        <v>44673</v>
      </c>
      <c r="C2227" s="15" t="s">
        <v>56</v>
      </c>
      <c r="D2227" s="15" t="s">
        <v>42</v>
      </c>
      <c r="E2227" s="15" t="s">
        <v>38</v>
      </c>
      <c r="F2227" s="15" t="s">
        <v>17</v>
      </c>
      <c r="G2227" s="15" t="s">
        <v>29</v>
      </c>
      <c r="H2227" s="15" t="n">
        <v>3</v>
      </c>
      <c r="I2227" s="17" t="n">
        <v>0</v>
      </c>
      <c r="J2227" s="18" t="n">
        <v>51.12</v>
      </c>
      <c r="K2227" s="19" t="n">
        <v>18.89</v>
      </c>
      <c r="L2227" s="15" t="n">
        <f aca="false">YEAR(B2227)</f>
        <v>2022</v>
      </c>
      <c r="M2227" s="20" t="n">
        <f aca="false">IF(J2227&gt;0,K2227/J2227,0)</f>
        <v>0.36952269170579</v>
      </c>
    </row>
    <row r="2228" customFormat="false" ht="15" hidden="false" customHeight="false" outlineLevel="0" collapsed="false">
      <c r="A2228" s="15" t="s">
        <v>2285</v>
      </c>
      <c r="B2228" s="16" t="n">
        <v>45163</v>
      </c>
      <c r="C2228" s="15" t="s">
        <v>56</v>
      </c>
      <c r="D2228" s="15" t="s">
        <v>42</v>
      </c>
      <c r="E2228" s="15" t="s">
        <v>37</v>
      </c>
      <c r="F2228" s="15" t="s">
        <v>17</v>
      </c>
      <c r="G2228" s="15" t="s">
        <v>29</v>
      </c>
      <c r="H2228" s="15" t="n">
        <v>2</v>
      </c>
      <c r="I2228" s="17" t="n">
        <v>0</v>
      </c>
      <c r="J2228" s="18" t="n">
        <v>31.17</v>
      </c>
      <c r="K2228" s="19" t="n">
        <v>11.91</v>
      </c>
      <c r="L2228" s="15" t="n">
        <f aca="false">YEAR(B2228)</f>
        <v>2023</v>
      </c>
      <c r="M2228" s="20" t="n">
        <f aca="false">IF(J2228&gt;0,K2228/J2228,0)</f>
        <v>0.382098171318576</v>
      </c>
    </row>
    <row r="2229" customFormat="false" ht="15" hidden="false" customHeight="false" outlineLevel="0" collapsed="false">
      <c r="A2229" s="15" t="s">
        <v>2286</v>
      </c>
      <c r="B2229" s="16" t="n">
        <v>45876</v>
      </c>
      <c r="C2229" s="15" t="s">
        <v>56</v>
      </c>
      <c r="D2229" s="15" t="s">
        <v>42</v>
      </c>
      <c r="E2229" s="15" t="s">
        <v>39</v>
      </c>
      <c r="F2229" s="15" t="s">
        <v>17</v>
      </c>
      <c r="G2229" s="15" t="s">
        <v>26</v>
      </c>
      <c r="H2229" s="15" t="n">
        <v>5</v>
      </c>
      <c r="I2229" s="17" t="n">
        <v>0.1</v>
      </c>
      <c r="J2229" s="18" t="n">
        <v>435.31</v>
      </c>
      <c r="K2229" s="19" t="n">
        <v>19.13</v>
      </c>
      <c r="L2229" s="15" t="n">
        <f aca="false">YEAR(B2229)</f>
        <v>2025</v>
      </c>
      <c r="M2229" s="20" t="n">
        <f aca="false">IF(J2229&gt;0,K2229/J2229,0)</f>
        <v>0.0439456938733316</v>
      </c>
    </row>
    <row r="2230" customFormat="false" ht="15" hidden="false" customHeight="false" outlineLevel="0" collapsed="false">
      <c r="A2230" s="15" t="s">
        <v>2287</v>
      </c>
      <c r="B2230" s="16" t="n">
        <v>45816</v>
      </c>
      <c r="C2230" s="15" t="s">
        <v>56</v>
      </c>
      <c r="D2230" s="15" t="s">
        <v>42</v>
      </c>
      <c r="E2230" s="15" t="s">
        <v>39</v>
      </c>
      <c r="F2230" s="15" t="s">
        <v>17</v>
      </c>
      <c r="G2230" s="15" t="s">
        <v>28</v>
      </c>
      <c r="H2230" s="15" t="n">
        <v>3</v>
      </c>
      <c r="I2230" s="17" t="n">
        <v>0</v>
      </c>
      <c r="J2230" s="18" t="n">
        <v>83.09</v>
      </c>
      <c r="K2230" s="19" t="n">
        <v>22.65</v>
      </c>
      <c r="L2230" s="15" t="n">
        <f aca="false">YEAR(B2230)</f>
        <v>2025</v>
      </c>
      <c r="M2230" s="20" t="n">
        <f aca="false">IF(J2230&gt;0,K2230/J2230,0)</f>
        <v>0.272595980262366</v>
      </c>
    </row>
    <row r="2231" customFormat="false" ht="15" hidden="false" customHeight="false" outlineLevel="0" collapsed="false">
      <c r="A2231" s="15" t="s">
        <v>2288</v>
      </c>
      <c r="B2231" s="16" t="n">
        <v>45902</v>
      </c>
      <c r="C2231" s="15" t="s">
        <v>56</v>
      </c>
      <c r="D2231" s="15" t="s">
        <v>42</v>
      </c>
      <c r="E2231" s="15" t="s">
        <v>38</v>
      </c>
      <c r="F2231" s="15" t="s">
        <v>17</v>
      </c>
      <c r="G2231" s="15" t="s">
        <v>29</v>
      </c>
      <c r="H2231" s="15" t="n">
        <v>2</v>
      </c>
      <c r="I2231" s="17" t="n">
        <v>0.3</v>
      </c>
      <c r="J2231" s="18" t="n">
        <v>20.45</v>
      </c>
      <c r="K2231" s="19" t="n">
        <v>2.2</v>
      </c>
      <c r="L2231" s="15" t="n">
        <f aca="false">YEAR(B2231)</f>
        <v>2025</v>
      </c>
      <c r="M2231" s="20" t="n">
        <f aca="false">IF(J2231&gt;0,K2231/J2231,0)</f>
        <v>0.10757946210269</v>
      </c>
    </row>
    <row r="2232" customFormat="false" ht="15" hidden="false" customHeight="false" outlineLevel="0" collapsed="false">
      <c r="A2232" s="15" t="s">
        <v>2289</v>
      </c>
      <c r="B2232" s="16" t="n">
        <v>45229</v>
      </c>
      <c r="C2232" s="15" t="s">
        <v>56</v>
      </c>
      <c r="D2232" s="15" t="s">
        <v>42</v>
      </c>
      <c r="E2232" s="15" t="s">
        <v>38</v>
      </c>
      <c r="F2232" s="15" t="s">
        <v>16</v>
      </c>
      <c r="G2232" s="15" t="s">
        <v>27</v>
      </c>
      <c r="H2232" s="15" t="n">
        <v>5</v>
      </c>
      <c r="I2232" s="17" t="n">
        <v>0</v>
      </c>
      <c r="J2232" s="18" t="n">
        <v>232.72</v>
      </c>
      <c r="K2232" s="19" t="n">
        <v>32.82</v>
      </c>
      <c r="L2232" s="15" t="n">
        <f aca="false">YEAR(B2232)</f>
        <v>2023</v>
      </c>
      <c r="M2232" s="20" t="n">
        <f aca="false">IF(J2232&gt;0,K2232/J2232,0)</f>
        <v>0.141027844620144</v>
      </c>
    </row>
    <row r="2233" customFormat="false" ht="15" hidden="false" customHeight="false" outlineLevel="0" collapsed="false">
      <c r="A2233" s="15" t="s">
        <v>2290</v>
      </c>
      <c r="B2233" s="16" t="n">
        <v>45714</v>
      </c>
      <c r="C2233" s="15" t="s">
        <v>68</v>
      </c>
      <c r="D2233" s="15" t="s">
        <v>43</v>
      </c>
      <c r="E2233" s="15" t="s">
        <v>39</v>
      </c>
      <c r="F2233" s="15" t="s">
        <v>16</v>
      </c>
      <c r="G2233" s="15" t="s">
        <v>22</v>
      </c>
      <c r="H2233" s="15" t="n">
        <v>5</v>
      </c>
      <c r="I2233" s="17" t="n">
        <v>0.2</v>
      </c>
      <c r="J2233" s="18" t="n">
        <v>2566.26</v>
      </c>
      <c r="K2233" s="19" t="n">
        <v>-547.67</v>
      </c>
      <c r="L2233" s="15" t="n">
        <f aca="false">YEAR(B2233)</f>
        <v>2025</v>
      </c>
      <c r="M2233" s="20" t="n">
        <f aca="false">IF(J2233&gt;0,K2233/J2233,0)</f>
        <v>-0.213411735365863</v>
      </c>
    </row>
    <row r="2234" customFormat="false" ht="15" hidden="false" customHeight="false" outlineLevel="0" collapsed="false">
      <c r="A2234" s="15" t="s">
        <v>2291</v>
      </c>
      <c r="B2234" s="16" t="n">
        <v>45777</v>
      </c>
      <c r="C2234" s="15" t="s">
        <v>68</v>
      </c>
      <c r="D2234" s="15" t="s">
        <v>42</v>
      </c>
      <c r="E2234" s="15" t="s">
        <v>38</v>
      </c>
      <c r="F2234" s="15" t="s">
        <v>18</v>
      </c>
      <c r="G2234" s="15" t="s">
        <v>33</v>
      </c>
      <c r="H2234" s="15" t="n">
        <v>7</v>
      </c>
      <c r="I2234" s="17" t="n">
        <v>0.2</v>
      </c>
      <c r="J2234" s="18" t="n">
        <v>4094.07</v>
      </c>
      <c r="K2234" s="19" t="n">
        <v>446.08</v>
      </c>
      <c r="L2234" s="15" t="n">
        <f aca="false">YEAR(B2234)</f>
        <v>2025</v>
      </c>
      <c r="M2234" s="20" t="n">
        <f aca="false">IF(J2234&gt;0,K2234/J2234,0)</f>
        <v>0.108957589879997</v>
      </c>
    </row>
    <row r="2235" customFormat="false" ht="15" hidden="false" customHeight="false" outlineLevel="0" collapsed="false">
      <c r="A2235" s="15" t="s">
        <v>2292</v>
      </c>
      <c r="B2235" s="16" t="n">
        <v>45968</v>
      </c>
      <c r="C2235" s="15" t="s">
        <v>56</v>
      </c>
      <c r="D2235" s="15" t="s">
        <v>42</v>
      </c>
      <c r="E2235" s="15" t="s">
        <v>39</v>
      </c>
      <c r="F2235" s="15" t="s">
        <v>17</v>
      </c>
      <c r="G2235" s="15" t="s">
        <v>31</v>
      </c>
      <c r="H2235" s="15" t="n">
        <v>6</v>
      </c>
      <c r="I2235" s="17" t="n">
        <v>0.15</v>
      </c>
      <c r="J2235" s="18" t="n">
        <v>649.74</v>
      </c>
      <c r="K2235" s="19" t="n">
        <v>-2.06</v>
      </c>
      <c r="L2235" s="15" t="n">
        <f aca="false">YEAR(B2235)</f>
        <v>2025</v>
      </c>
      <c r="M2235" s="20" t="n">
        <f aca="false">IF(J2235&gt;0,K2235/J2235,0)</f>
        <v>-0.0031704989688183</v>
      </c>
    </row>
    <row r="2236" customFormat="false" ht="15" hidden="false" customHeight="false" outlineLevel="0" collapsed="false">
      <c r="A2236" s="15" t="s">
        <v>2293</v>
      </c>
      <c r="B2236" s="16" t="n">
        <v>44648</v>
      </c>
      <c r="C2236" s="15" t="s">
        <v>71</v>
      </c>
      <c r="D2236" s="15" t="s">
        <v>42</v>
      </c>
      <c r="E2236" s="15" t="s">
        <v>37</v>
      </c>
      <c r="F2236" s="15" t="s">
        <v>17</v>
      </c>
      <c r="G2236" s="15" t="s">
        <v>28</v>
      </c>
      <c r="H2236" s="15" t="n">
        <v>2</v>
      </c>
      <c r="I2236" s="17" t="n">
        <v>0</v>
      </c>
      <c r="J2236" s="18" t="n">
        <v>53.31</v>
      </c>
      <c r="K2236" s="19" t="n">
        <v>15.51</v>
      </c>
      <c r="L2236" s="15" t="n">
        <f aca="false">YEAR(B2236)</f>
        <v>2022</v>
      </c>
      <c r="M2236" s="20" t="n">
        <f aca="false">IF(J2236&gt;0,K2236/J2236,0)</f>
        <v>0.290939786156443</v>
      </c>
    </row>
    <row r="2237" customFormat="false" ht="15" hidden="false" customHeight="false" outlineLevel="0" collapsed="false">
      <c r="A2237" s="15" t="s">
        <v>2294</v>
      </c>
      <c r="B2237" s="16" t="n">
        <v>44807</v>
      </c>
      <c r="C2237" s="15" t="s">
        <v>68</v>
      </c>
      <c r="D2237" s="15" t="s">
        <v>43</v>
      </c>
      <c r="E2237" s="15" t="s">
        <v>36</v>
      </c>
      <c r="F2237" s="15" t="s">
        <v>17</v>
      </c>
      <c r="G2237" s="15" t="s">
        <v>28</v>
      </c>
      <c r="H2237" s="15" t="n">
        <v>2</v>
      </c>
      <c r="I2237" s="17" t="n">
        <v>0.4</v>
      </c>
      <c r="J2237" s="18" t="n">
        <v>28.81</v>
      </c>
      <c r="K2237" s="19" t="n">
        <v>-1.41</v>
      </c>
      <c r="L2237" s="15" t="n">
        <f aca="false">YEAR(B2237)</f>
        <v>2022</v>
      </c>
      <c r="M2237" s="20" t="n">
        <f aca="false">IF(J2237&gt;0,K2237/J2237,0)</f>
        <v>-0.0489413398125651</v>
      </c>
    </row>
    <row r="2238" customFormat="false" ht="15" hidden="false" customHeight="false" outlineLevel="0" collapsed="false">
      <c r="A2238" s="15" t="s">
        <v>2295</v>
      </c>
      <c r="B2238" s="16" t="n">
        <v>45303</v>
      </c>
      <c r="C2238" s="15" t="s">
        <v>56</v>
      </c>
      <c r="D2238" s="15" t="s">
        <v>42</v>
      </c>
      <c r="E2238" s="15" t="s">
        <v>36</v>
      </c>
      <c r="F2238" s="15" t="s">
        <v>18</v>
      </c>
      <c r="G2238" s="15" t="s">
        <v>30</v>
      </c>
      <c r="H2238" s="15" t="n">
        <v>3</v>
      </c>
      <c r="I2238" s="17" t="n">
        <v>0.5</v>
      </c>
      <c r="J2238" s="18" t="n">
        <v>74.63</v>
      </c>
      <c r="K2238" s="19" t="n">
        <v>-10.68</v>
      </c>
      <c r="L2238" s="15" t="n">
        <f aca="false">YEAR(B2238)</f>
        <v>2024</v>
      </c>
      <c r="M2238" s="20" t="n">
        <f aca="false">IF(J2238&gt;0,K2238/J2238,0)</f>
        <v>-0.143105989548439</v>
      </c>
    </row>
    <row r="2239" customFormat="false" ht="15" hidden="false" customHeight="false" outlineLevel="0" collapsed="false">
      <c r="A2239" s="15" t="s">
        <v>2296</v>
      </c>
      <c r="B2239" s="16" t="n">
        <v>45737</v>
      </c>
      <c r="C2239" s="15" t="s">
        <v>56</v>
      </c>
      <c r="D2239" s="15" t="s">
        <v>43</v>
      </c>
      <c r="E2239" s="15" t="s">
        <v>37</v>
      </c>
      <c r="F2239" s="15" t="s">
        <v>16</v>
      </c>
      <c r="G2239" s="15" t="s">
        <v>27</v>
      </c>
      <c r="H2239" s="15" t="n">
        <v>3</v>
      </c>
      <c r="I2239" s="17" t="n">
        <v>0.15</v>
      </c>
      <c r="J2239" s="18" t="n">
        <v>172.84</v>
      </c>
      <c r="K2239" s="19" t="n">
        <v>18.31</v>
      </c>
      <c r="L2239" s="15" t="n">
        <f aca="false">YEAR(B2239)</f>
        <v>2025</v>
      </c>
      <c r="M2239" s="20" t="n">
        <f aca="false">IF(J2239&gt;0,K2239/J2239,0)</f>
        <v>0.105936125896783</v>
      </c>
    </row>
    <row r="2240" customFormat="false" ht="15" hidden="false" customHeight="false" outlineLevel="0" collapsed="false">
      <c r="A2240" s="15" t="s">
        <v>2297</v>
      </c>
      <c r="B2240" s="16" t="n">
        <v>44930</v>
      </c>
      <c r="C2240" s="15" t="s">
        <v>58</v>
      </c>
      <c r="D2240" s="15" t="s">
        <v>44</v>
      </c>
      <c r="E2240" s="15" t="s">
        <v>37</v>
      </c>
      <c r="F2240" s="15" t="s">
        <v>16</v>
      </c>
      <c r="G2240" s="15" t="s">
        <v>27</v>
      </c>
      <c r="H2240" s="15" t="n">
        <v>4</v>
      </c>
      <c r="I2240" s="17" t="n">
        <v>0.15</v>
      </c>
      <c r="J2240" s="18" t="n">
        <v>255.87</v>
      </c>
      <c r="K2240" s="19" t="n">
        <v>35.44</v>
      </c>
      <c r="L2240" s="15" t="n">
        <f aca="false">YEAR(B2240)</f>
        <v>2023</v>
      </c>
      <c r="M2240" s="20" t="n">
        <f aca="false">IF(J2240&gt;0,K2240/J2240,0)</f>
        <v>0.138507836010474</v>
      </c>
    </row>
    <row r="2241" customFormat="false" ht="15" hidden="false" customHeight="false" outlineLevel="0" collapsed="false">
      <c r="A2241" s="15" t="s">
        <v>2298</v>
      </c>
      <c r="B2241" s="16" t="n">
        <v>45136</v>
      </c>
      <c r="C2241" s="15" t="s">
        <v>56</v>
      </c>
      <c r="D2241" s="15" t="s">
        <v>42</v>
      </c>
      <c r="E2241" s="15" t="s">
        <v>36</v>
      </c>
      <c r="F2241" s="15" t="s">
        <v>17</v>
      </c>
      <c r="G2241" s="15" t="s">
        <v>28</v>
      </c>
      <c r="H2241" s="15" t="n">
        <v>3</v>
      </c>
      <c r="I2241" s="17" t="n">
        <v>0</v>
      </c>
      <c r="J2241" s="18" t="n">
        <v>74.28</v>
      </c>
      <c r="K2241" s="19" t="n">
        <v>20.28</v>
      </c>
      <c r="L2241" s="15" t="n">
        <f aca="false">YEAR(B2241)</f>
        <v>2023</v>
      </c>
      <c r="M2241" s="20" t="n">
        <f aca="false">IF(J2241&gt;0,K2241/J2241,0)</f>
        <v>0.273021001615509</v>
      </c>
    </row>
    <row r="2242" customFormat="false" ht="15" hidden="false" customHeight="false" outlineLevel="0" collapsed="false">
      <c r="A2242" s="15" t="s">
        <v>2299</v>
      </c>
      <c r="B2242" s="16" t="n">
        <v>44694</v>
      </c>
      <c r="C2242" s="15" t="s">
        <v>71</v>
      </c>
      <c r="D2242" s="15" t="s">
        <v>43</v>
      </c>
      <c r="E2242" s="15" t="s">
        <v>37</v>
      </c>
      <c r="F2242" s="15" t="s">
        <v>17</v>
      </c>
      <c r="G2242" s="15" t="s">
        <v>26</v>
      </c>
      <c r="H2242" s="15" t="n">
        <v>2</v>
      </c>
      <c r="I2242" s="17" t="n">
        <v>0.1</v>
      </c>
      <c r="J2242" s="18" t="n">
        <v>169.17</v>
      </c>
      <c r="K2242" s="19" t="n">
        <v>7.24</v>
      </c>
      <c r="L2242" s="15" t="n">
        <f aca="false">YEAR(B2242)</f>
        <v>2022</v>
      </c>
      <c r="M2242" s="20" t="n">
        <f aca="false">IF(J2242&gt;0,K2242/J2242,0)</f>
        <v>0.0427971862623397</v>
      </c>
    </row>
    <row r="2243" customFormat="false" ht="15" hidden="false" customHeight="false" outlineLevel="0" collapsed="false">
      <c r="A2243" s="15" t="s">
        <v>2300</v>
      </c>
      <c r="B2243" s="16" t="n">
        <v>45293</v>
      </c>
      <c r="C2243" s="15" t="s">
        <v>58</v>
      </c>
      <c r="D2243" s="15" t="s">
        <v>43</v>
      </c>
      <c r="E2243" s="15" t="s">
        <v>36</v>
      </c>
      <c r="F2243" s="15" t="s">
        <v>16</v>
      </c>
      <c r="G2243" s="15" t="s">
        <v>27</v>
      </c>
      <c r="H2243" s="15" t="n">
        <v>3</v>
      </c>
      <c r="I2243" s="17" t="n">
        <v>0</v>
      </c>
      <c r="J2243" s="18" t="n">
        <v>179.7</v>
      </c>
      <c r="K2243" s="19" t="n">
        <v>42.04</v>
      </c>
      <c r="L2243" s="15" t="n">
        <f aca="false">YEAR(B2243)</f>
        <v>2024</v>
      </c>
      <c r="M2243" s="20" t="n">
        <f aca="false">IF(J2243&gt;0,K2243/J2243,0)</f>
        <v>0.233945464663328</v>
      </c>
    </row>
    <row r="2244" customFormat="false" ht="15" hidden="false" customHeight="false" outlineLevel="0" collapsed="false">
      <c r="A2244" s="15" t="s">
        <v>2301</v>
      </c>
      <c r="B2244" s="16" t="n">
        <v>45612</v>
      </c>
      <c r="C2244" s="15" t="s">
        <v>56</v>
      </c>
      <c r="D2244" s="15" t="s">
        <v>43</v>
      </c>
      <c r="E2244" s="15" t="s">
        <v>39</v>
      </c>
      <c r="F2244" s="15" t="s">
        <v>17</v>
      </c>
      <c r="G2244" s="15" t="s">
        <v>31</v>
      </c>
      <c r="H2244" s="15" t="n">
        <v>3</v>
      </c>
      <c r="I2244" s="17" t="n">
        <v>0</v>
      </c>
      <c r="J2244" s="18" t="n">
        <v>429.77</v>
      </c>
      <c r="K2244" s="19" t="n">
        <v>121.89</v>
      </c>
      <c r="L2244" s="15" t="n">
        <f aca="false">YEAR(B2244)</f>
        <v>2024</v>
      </c>
      <c r="M2244" s="20" t="n">
        <f aca="false">IF(J2244&gt;0,K2244/J2244,0)</f>
        <v>0.28361681829816</v>
      </c>
    </row>
    <row r="2245" customFormat="false" ht="15" hidden="false" customHeight="false" outlineLevel="0" collapsed="false">
      <c r="A2245" s="15" t="s">
        <v>2302</v>
      </c>
      <c r="B2245" s="16" t="n">
        <v>44704</v>
      </c>
      <c r="C2245" s="15" t="s">
        <v>56</v>
      </c>
      <c r="D2245" s="15" t="s">
        <v>43</v>
      </c>
      <c r="E2245" s="15" t="s">
        <v>39</v>
      </c>
      <c r="F2245" s="15" t="s">
        <v>17</v>
      </c>
      <c r="G2245" s="15" t="s">
        <v>26</v>
      </c>
      <c r="H2245" s="15" t="n">
        <v>3</v>
      </c>
      <c r="I2245" s="17" t="n">
        <v>0.1</v>
      </c>
      <c r="J2245" s="18" t="n">
        <v>305.38</v>
      </c>
      <c r="K2245" s="19" t="n">
        <v>18.23</v>
      </c>
      <c r="L2245" s="15" t="n">
        <f aca="false">YEAR(B2245)</f>
        <v>2022</v>
      </c>
      <c r="M2245" s="20" t="n">
        <f aca="false">IF(J2245&gt;0,K2245/J2245,0)</f>
        <v>0.0596961163141005</v>
      </c>
    </row>
    <row r="2246" customFormat="false" ht="15" hidden="false" customHeight="false" outlineLevel="0" collapsed="false">
      <c r="A2246" s="15" t="s">
        <v>2303</v>
      </c>
      <c r="B2246" s="16" t="n">
        <v>46020</v>
      </c>
      <c r="C2246" s="15" t="s">
        <v>56</v>
      </c>
      <c r="D2246" s="15" t="s">
        <v>43</v>
      </c>
      <c r="E2246" s="15" t="s">
        <v>37</v>
      </c>
      <c r="F2246" s="15" t="s">
        <v>17</v>
      </c>
      <c r="G2246" s="15" t="s">
        <v>26</v>
      </c>
      <c r="H2246" s="15" t="n">
        <v>4</v>
      </c>
      <c r="I2246" s="17" t="n">
        <v>0.15</v>
      </c>
      <c r="J2246" s="18" t="n">
        <v>289.45</v>
      </c>
      <c r="K2246" s="19" t="n">
        <v>11.64</v>
      </c>
      <c r="L2246" s="15" t="n">
        <f aca="false">YEAR(B2246)</f>
        <v>2025</v>
      </c>
      <c r="M2246" s="20" t="n">
        <f aca="false">IF(J2246&gt;0,K2246/J2246,0)</f>
        <v>0.0402141993435827</v>
      </c>
    </row>
    <row r="2247" customFormat="false" ht="15" hidden="false" customHeight="false" outlineLevel="0" collapsed="false">
      <c r="A2247" s="15" t="s">
        <v>2304</v>
      </c>
      <c r="B2247" s="16" t="n">
        <v>44909</v>
      </c>
      <c r="C2247" s="15" t="s">
        <v>68</v>
      </c>
      <c r="D2247" s="15" t="s">
        <v>43</v>
      </c>
      <c r="E2247" s="15" t="s">
        <v>39</v>
      </c>
      <c r="F2247" s="15" t="s">
        <v>17</v>
      </c>
      <c r="G2247" s="15" t="s">
        <v>29</v>
      </c>
      <c r="H2247" s="15" t="n">
        <v>2</v>
      </c>
      <c r="I2247" s="17" t="n">
        <v>0.2</v>
      </c>
      <c r="J2247" s="18" t="n">
        <v>34.27</v>
      </c>
      <c r="K2247" s="19" t="n">
        <v>6.57</v>
      </c>
      <c r="L2247" s="15" t="n">
        <f aca="false">YEAR(B2247)</f>
        <v>2022</v>
      </c>
      <c r="M2247" s="20" t="n">
        <f aca="false">IF(J2247&gt;0,K2247/J2247,0)</f>
        <v>0.191712868398016</v>
      </c>
    </row>
    <row r="2248" customFormat="false" ht="15" hidden="false" customHeight="false" outlineLevel="0" collapsed="false">
      <c r="A2248" s="15" t="s">
        <v>2305</v>
      </c>
      <c r="B2248" s="16" t="n">
        <v>46011</v>
      </c>
      <c r="C2248" s="15" t="s">
        <v>56</v>
      </c>
      <c r="D2248" s="15" t="s">
        <v>42</v>
      </c>
      <c r="E2248" s="15" t="s">
        <v>37</v>
      </c>
      <c r="F2248" s="15" t="s">
        <v>17</v>
      </c>
      <c r="G2248" s="15" t="s">
        <v>31</v>
      </c>
      <c r="H2248" s="15" t="n">
        <v>3</v>
      </c>
      <c r="I2248" s="17" t="n">
        <v>0</v>
      </c>
      <c r="J2248" s="18" t="n">
        <v>346.39</v>
      </c>
      <c r="K2248" s="19" t="n">
        <v>68.34</v>
      </c>
      <c r="L2248" s="15" t="n">
        <f aca="false">YEAR(B2248)</f>
        <v>2025</v>
      </c>
      <c r="M2248" s="20" t="n">
        <f aca="false">IF(J2248&gt;0,K2248/J2248,0)</f>
        <v>0.197292069632495</v>
      </c>
    </row>
    <row r="2249" customFormat="false" ht="15" hidden="false" customHeight="false" outlineLevel="0" collapsed="false">
      <c r="A2249" s="15" t="s">
        <v>2306</v>
      </c>
      <c r="B2249" s="16" t="n">
        <v>45400</v>
      </c>
      <c r="C2249" s="15" t="s">
        <v>56</v>
      </c>
      <c r="D2249" s="15" t="s">
        <v>43</v>
      </c>
      <c r="E2249" s="15" t="s">
        <v>36</v>
      </c>
      <c r="F2249" s="15" t="s">
        <v>18</v>
      </c>
      <c r="G2249" s="15" t="s">
        <v>30</v>
      </c>
      <c r="H2249" s="15" t="n">
        <v>5</v>
      </c>
      <c r="I2249" s="17" t="n">
        <v>0.1</v>
      </c>
      <c r="J2249" s="18" t="n">
        <v>213.38</v>
      </c>
      <c r="K2249" s="19" t="n">
        <v>42.89</v>
      </c>
      <c r="L2249" s="15" t="n">
        <f aca="false">YEAR(B2249)</f>
        <v>2024</v>
      </c>
      <c r="M2249" s="20" t="n">
        <f aca="false">IF(J2249&gt;0,K2249/J2249,0)</f>
        <v>0.201002905614397</v>
      </c>
    </row>
    <row r="2250" customFormat="false" ht="15" hidden="false" customHeight="false" outlineLevel="0" collapsed="false">
      <c r="A2250" s="15" t="s">
        <v>2307</v>
      </c>
      <c r="B2250" s="16" t="n">
        <v>44685</v>
      </c>
      <c r="C2250" s="15" t="s">
        <v>56</v>
      </c>
      <c r="D2250" s="15" t="s">
        <v>42</v>
      </c>
      <c r="E2250" s="15" t="s">
        <v>38</v>
      </c>
      <c r="F2250" s="15" t="s">
        <v>17</v>
      </c>
      <c r="G2250" s="15" t="s">
        <v>31</v>
      </c>
      <c r="H2250" s="15" t="n">
        <v>2</v>
      </c>
      <c r="I2250" s="17" t="n">
        <v>0.2</v>
      </c>
      <c r="J2250" s="18" t="n">
        <v>166.37</v>
      </c>
      <c r="K2250" s="19" t="n">
        <v>8.32</v>
      </c>
      <c r="L2250" s="15" t="n">
        <f aca="false">YEAR(B2250)</f>
        <v>2022</v>
      </c>
      <c r="M2250" s="20" t="n">
        <f aca="false">IF(J2250&gt;0,K2250/J2250,0)</f>
        <v>0.0500090160485664</v>
      </c>
    </row>
    <row r="2251" customFormat="false" ht="15" hidden="false" customHeight="false" outlineLevel="0" collapsed="false">
      <c r="A2251" s="15" t="s">
        <v>2308</v>
      </c>
      <c r="B2251" s="16" t="n">
        <v>45156</v>
      </c>
      <c r="C2251" s="15" t="s">
        <v>56</v>
      </c>
      <c r="D2251" s="15" t="s">
        <v>43</v>
      </c>
      <c r="E2251" s="15" t="s">
        <v>37</v>
      </c>
      <c r="F2251" s="15" t="s">
        <v>17</v>
      </c>
      <c r="G2251" s="15" t="s">
        <v>28</v>
      </c>
      <c r="H2251" s="15" t="n">
        <v>5</v>
      </c>
      <c r="I2251" s="17" t="n">
        <v>0.3</v>
      </c>
      <c r="J2251" s="18" t="n">
        <v>84.16</v>
      </c>
      <c r="K2251" s="19" t="n">
        <v>6.13</v>
      </c>
      <c r="L2251" s="15" t="n">
        <f aca="false">YEAR(B2251)</f>
        <v>2023</v>
      </c>
      <c r="M2251" s="20" t="n">
        <f aca="false">IF(J2251&gt;0,K2251/J2251,0)</f>
        <v>0.0728374524714829</v>
      </c>
    </row>
    <row r="2252" customFormat="false" ht="15" hidden="false" customHeight="false" outlineLevel="0" collapsed="false">
      <c r="A2252" s="15" t="s">
        <v>2309</v>
      </c>
      <c r="B2252" s="16" t="n">
        <v>45160</v>
      </c>
      <c r="C2252" s="15" t="s">
        <v>71</v>
      </c>
      <c r="D2252" s="15" t="s">
        <v>42</v>
      </c>
      <c r="E2252" s="15" t="s">
        <v>36</v>
      </c>
      <c r="F2252" s="15" t="s">
        <v>18</v>
      </c>
      <c r="G2252" s="15" t="s">
        <v>30</v>
      </c>
      <c r="H2252" s="15" t="n">
        <v>4</v>
      </c>
      <c r="I2252" s="17" t="n">
        <v>0.05</v>
      </c>
      <c r="J2252" s="18" t="n">
        <v>136.31</v>
      </c>
      <c r="K2252" s="19" t="n">
        <v>40.18</v>
      </c>
      <c r="L2252" s="15" t="n">
        <f aca="false">YEAR(B2252)</f>
        <v>2023</v>
      </c>
      <c r="M2252" s="20" t="n">
        <f aca="false">IF(J2252&gt;0,K2252/J2252,0)</f>
        <v>0.294769275915193</v>
      </c>
    </row>
    <row r="2253" customFormat="false" ht="15" hidden="false" customHeight="false" outlineLevel="0" collapsed="false">
      <c r="A2253" s="15" t="s">
        <v>2310</v>
      </c>
      <c r="B2253" s="16" t="n">
        <v>45468</v>
      </c>
      <c r="C2253" s="15" t="s">
        <v>56</v>
      </c>
      <c r="D2253" s="15" t="s">
        <v>43</v>
      </c>
      <c r="E2253" s="15" t="s">
        <v>39</v>
      </c>
      <c r="F2253" s="15" t="s">
        <v>16</v>
      </c>
      <c r="G2253" s="15" t="s">
        <v>22</v>
      </c>
      <c r="H2253" s="15" t="n">
        <v>5</v>
      </c>
      <c r="I2253" s="17" t="n">
        <v>0</v>
      </c>
      <c r="J2253" s="18" t="n">
        <v>2677.45</v>
      </c>
      <c r="K2253" s="19" t="n">
        <v>-32.77</v>
      </c>
      <c r="L2253" s="15" t="n">
        <f aca="false">YEAR(B2253)</f>
        <v>2024</v>
      </c>
      <c r="M2253" s="20" t="n">
        <f aca="false">IF(J2253&gt;0,K2253/J2253,0)</f>
        <v>-0.0122392575024744</v>
      </c>
    </row>
    <row r="2254" customFormat="false" ht="15" hidden="false" customHeight="false" outlineLevel="0" collapsed="false">
      <c r="A2254" s="15" t="s">
        <v>2311</v>
      </c>
      <c r="B2254" s="16" t="n">
        <v>45065</v>
      </c>
      <c r="C2254" s="15" t="s">
        <v>56</v>
      </c>
      <c r="D2254" s="15" t="s">
        <v>43</v>
      </c>
      <c r="E2254" s="15" t="s">
        <v>39</v>
      </c>
      <c r="F2254" s="15" t="s">
        <v>18</v>
      </c>
      <c r="G2254" s="15" t="s">
        <v>30</v>
      </c>
      <c r="H2254" s="15" t="n">
        <v>3</v>
      </c>
      <c r="I2254" s="17" t="n">
        <v>0</v>
      </c>
      <c r="J2254" s="18" t="n">
        <v>199.56</v>
      </c>
      <c r="K2254" s="19" t="n">
        <v>69.43</v>
      </c>
      <c r="L2254" s="15" t="n">
        <f aca="false">YEAR(B2254)</f>
        <v>2023</v>
      </c>
      <c r="M2254" s="20" t="n">
        <f aca="false">IF(J2254&gt;0,K2254/J2254,0)</f>
        <v>0.347915413910603</v>
      </c>
    </row>
    <row r="2255" customFormat="false" ht="15" hidden="false" customHeight="false" outlineLevel="0" collapsed="false">
      <c r="A2255" s="15" t="s">
        <v>2312</v>
      </c>
      <c r="B2255" s="16" t="n">
        <v>45243</v>
      </c>
      <c r="C2255" s="15" t="s">
        <v>68</v>
      </c>
      <c r="D2255" s="15" t="s">
        <v>44</v>
      </c>
      <c r="E2255" s="15" t="s">
        <v>36</v>
      </c>
      <c r="F2255" s="15" t="s">
        <v>16</v>
      </c>
      <c r="G2255" s="15" t="s">
        <v>23</v>
      </c>
      <c r="H2255" s="15" t="n">
        <v>3</v>
      </c>
      <c r="I2255" s="17" t="n">
        <v>0.2</v>
      </c>
      <c r="J2255" s="18" t="n">
        <v>726.14</v>
      </c>
      <c r="K2255" s="19" t="n">
        <v>-75.99</v>
      </c>
      <c r="L2255" s="15" t="n">
        <f aca="false">YEAR(B2255)</f>
        <v>2023</v>
      </c>
      <c r="M2255" s="20" t="n">
        <f aca="false">IF(J2255&gt;0,K2255/J2255,0)</f>
        <v>-0.104649241193158</v>
      </c>
    </row>
    <row r="2256" customFormat="false" ht="15" hidden="false" customHeight="false" outlineLevel="0" collapsed="false">
      <c r="A2256" s="15" t="s">
        <v>2313</v>
      </c>
      <c r="B2256" s="16" t="n">
        <v>45334</v>
      </c>
      <c r="C2256" s="15" t="s">
        <v>56</v>
      </c>
      <c r="D2256" s="15" t="s">
        <v>43</v>
      </c>
      <c r="E2256" s="15" t="s">
        <v>36</v>
      </c>
      <c r="F2256" s="15" t="s">
        <v>17</v>
      </c>
      <c r="G2256" s="15" t="s">
        <v>26</v>
      </c>
      <c r="H2256" s="15" t="n">
        <v>6</v>
      </c>
      <c r="I2256" s="17" t="n">
        <v>0</v>
      </c>
      <c r="J2256" s="18" t="n">
        <v>659.89</v>
      </c>
      <c r="K2256" s="19" t="n">
        <v>79.32</v>
      </c>
      <c r="L2256" s="15" t="n">
        <f aca="false">YEAR(B2256)</f>
        <v>2024</v>
      </c>
      <c r="M2256" s="20" t="n">
        <f aca="false">IF(J2256&gt;0,K2256/J2256,0)</f>
        <v>0.120201851823789</v>
      </c>
    </row>
    <row r="2257" customFormat="false" ht="15" hidden="false" customHeight="false" outlineLevel="0" collapsed="false">
      <c r="A2257" s="15" t="s">
        <v>2314</v>
      </c>
      <c r="B2257" s="16" t="n">
        <v>44943</v>
      </c>
      <c r="C2257" s="15" t="s">
        <v>58</v>
      </c>
      <c r="D2257" s="15" t="s">
        <v>42</v>
      </c>
      <c r="E2257" s="15" t="s">
        <v>39</v>
      </c>
      <c r="F2257" s="15" t="s">
        <v>16</v>
      </c>
      <c r="G2257" s="15" t="s">
        <v>27</v>
      </c>
      <c r="H2257" s="15" t="n">
        <v>4</v>
      </c>
      <c r="I2257" s="17" t="n">
        <v>0</v>
      </c>
      <c r="J2257" s="18" t="n">
        <v>235.1</v>
      </c>
      <c r="K2257" s="19" t="n">
        <v>60</v>
      </c>
      <c r="L2257" s="15" t="n">
        <f aca="false">YEAR(B2257)</f>
        <v>2023</v>
      </c>
      <c r="M2257" s="20" t="n">
        <f aca="false">IF(J2257&gt;0,K2257/J2257,0)</f>
        <v>0.25521054870268</v>
      </c>
    </row>
    <row r="2258" customFormat="false" ht="15" hidden="false" customHeight="false" outlineLevel="0" collapsed="false">
      <c r="A2258" s="15" t="s">
        <v>2315</v>
      </c>
      <c r="B2258" s="16" t="n">
        <v>45067</v>
      </c>
      <c r="C2258" s="15" t="s">
        <v>56</v>
      </c>
      <c r="D2258" s="15" t="s">
        <v>42</v>
      </c>
      <c r="E2258" s="15" t="s">
        <v>39</v>
      </c>
      <c r="F2258" s="15" t="s">
        <v>18</v>
      </c>
      <c r="G2258" s="15" t="s">
        <v>32</v>
      </c>
      <c r="H2258" s="15" t="n">
        <v>4</v>
      </c>
      <c r="I2258" s="17" t="n">
        <v>0.4</v>
      </c>
      <c r="J2258" s="18" t="n">
        <v>1067.93</v>
      </c>
      <c r="K2258" s="19" t="n">
        <v>-191.23</v>
      </c>
      <c r="L2258" s="15" t="n">
        <f aca="false">YEAR(B2258)</f>
        <v>2023</v>
      </c>
      <c r="M2258" s="20" t="n">
        <f aca="false">IF(J2258&gt;0,K2258/J2258,0)</f>
        <v>-0.179066043654547</v>
      </c>
    </row>
    <row r="2259" customFormat="false" ht="15" hidden="false" customHeight="false" outlineLevel="0" collapsed="false">
      <c r="A2259" s="15" t="s">
        <v>2316</v>
      </c>
      <c r="B2259" s="16" t="n">
        <v>45215</v>
      </c>
      <c r="C2259" s="15" t="s">
        <v>68</v>
      </c>
      <c r="D2259" s="15" t="s">
        <v>44</v>
      </c>
      <c r="E2259" s="15" t="s">
        <v>39</v>
      </c>
      <c r="F2259" s="15" t="s">
        <v>17</v>
      </c>
      <c r="G2259" s="15" t="s">
        <v>26</v>
      </c>
      <c r="H2259" s="15" t="n">
        <v>4</v>
      </c>
      <c r="I2259" s="17" t="n">
        <v>0.05</v>
      </c>
      <c r="J2259" s="18" t="n">
        <v>304.82</v>
      </c>
      <c r="K2259" s="19" t="n">
        <v>23.13</v>
      </c>
      <c r="L2259" s="15" t="n">
        <f aca="false">YEAR(B2259)</f>
        <v>2023</v>
      </c>
      <c r="M2259" s="20" t="n">
        <f aca="false">IF(J2259&gt;0,K2259/J2259,0)</f>
        <v>0.0758808477134046</v>
      </c>
    </row>
    <row r="2260" customFormat="false" ht="15" hidden="false" customHeight="false" outlineLevel="0" collapsed="false">
      <c r="A2260" s="15" t="s">
        <v>2317</v>
      </c>
      <c r="B2260" s="16" t="n">
        <v>45136</v>
      </c>
      <c r="C2260" s="15" t="s">
        <v>58</v>
      </c>
      <c r="D2260" s="15" t="s">
        <v>42</v>
      </c>
      <c r="E2260" s="15" t="s">
        <v>36</v>
      </c>
      <c r="F2260" s="15" t="s">
        <v>16</v>
      </c>
      <c r="G2260" s="15" t="s">
        <v>22</v>
      </c>
      <c r="H2260" s="15" t="n">
        <v>3</v>
      </c>
      <c r="I2260" s="17" t="n">
        <v>0</v>
      </c>
      <c r="J2260" s="18" t="n">
        <v>1446.72</v>
      </c>
      <c r="K2260" s="19" t="n">
        <v>-22</v>
      </c>
      <c r="L2260" s="15" t="n">
        <f aca="false">YEAR(B2260)</f>
        <v>2023</v>
      </c>
      <c r="M2260" s="20" t="n">
        <f aca="false">IF(J2260&gt;0,K2260/J2260,0)</f>
        <v>-0.0152068126520681</v>
      </c>
    </row>
    <row r="2261" customFormat="false" ht="15" hidden="false" customHeight="false" outlineLevel="0" collapsed="false">
      <c r="A2261" s="15" t="s">
        <v>2318</v>
      </c>
      <c r="B2261" s="16" t="n">
        <v>45171</v>
      </c>
      <c r="C2261" s="15" t="s">
        <v>56</v>
      </c>
      <c r="D2261" s="15" t="s">
        <v>42</v>
      </c>
      <c r="E2261" s="15" t="s">
        <v>37</v>
      </c>
      <c r="F2261" s="15" t="s">
        <v>17</v>
      </c>
      <c r="G2261" s="15" t="s">
        <v>28</v>
      </c>
      <c r="H2261" s="15" t="n">
        <v>3</v>
      </c>
      <c r="I2261" s="17" t="n">
        <v>0.2</v>
      </c>
      <c r="J2261" s="18" t="n">
        <v>62.09</v>
      </c>
      <c r="K2261" s="19" t="n">
        <v>10.21</v>
      </c>
      <c r="L2261" s="15" t="n">
        <f aca="false">YEAR(B2261)</f>
        <v>2023</v>
      </c>
      <c r="M2261" s="20" t="n">
        <f aca="false">IF(J2261&gt;0,K2261/J2261,0)</f>
        <v>0.164438717990015</v>
      </c>
    </row>
    <row r="2262" customFormat="false" ht="15" hidden="false" customHeight="false" outlineLevel="0" collapsed="false">
      <c r="A2262" s="15" t="s">
        <v>2319</v>
      </c>
      <c r="B2262" s="16" t="n">
        <v>45156</v>
      </c>
      <c r="C2262" s="15" t="s">
        <v>56</v>
      </c>
      <c r="D2262" s="15" t="s">
        <v>42</v>
      </c>
      <c r="E2262" s="15" t="s">
        <v>37</v>
      </c>
      <c r="F2262" s="15" t="s">
        <v>17</v>
      </c>
      <c r="G2262" s="15" t="s">
        <v>31</v>
      </c>
      <c r="H2262" s="15" t="n">
        <v>3</v>
      </c>
      <c r="I2262" s="17" t="n">
        <v>0.05</v>
      </c>
      <c r="J2262" s="18" t="n">
        <v>376.58</v>
      </c>
      <c r="K2262" s="19" t="n">
        <v>56.61</v>
      </c>
      <c r="L2262" s="15" t="n">
        <f aca="false">YEAR(B2262)</f>
        <v>2023</v>
      </c>
      <c r="M2262" s="20" t="n">
        <f aca="false">IF(J2262&gt;0,K2262/J2262,0)</f>
        <v>0.150326623824951</v>
      </c>
    </row>
    <row r="2263" customFormat="false" ht="15" hidden="false" customHeight="false" outlineLevel="0" collapsed="false">
      <c r="A2263" s="15" t="s">
        <v>2320</v>
      </c>
      <c r="B2263" s="16" t="n">
        <v>45350</v>
      </c>
      <c r="C2263" s="15" t="s">
        <v>68</v>
      </c>
      <c r="D2263" s="15" t="s">
        <v>42</v>
      </c>
      <c r="E2263" s="15" t="s">
        <v>37</v>
      </c>
      <c r="F2263" s="15" t="s">
        <v>17</v>
      </c>
      <c r="G2263" s="15" t="s">
        <v>29</v>
      </c>
      <c r="H2263" s="15" t="n">
        <v>4</v>
      </c>
      <c r="I2263" s="17" t="n">
        <v>0</v>
      </c>
      <c r="J2263" s="18" t="n">
        <v>70.37</v>
      </c>
      <c r="K2263" s="19" t="n">
        <v>28.16</v>
      </c>
      <c r="L2263" s="15" t="n">
        <f aca="false">YEAR(B2263)</f>
        <v>2024</v>
      </c>
      <c r="M2263" s="20" t="n">
        <f aca="false">IF(J2263&gt;0,K2263/J2263,0)</f>
        <v>0.400170527213301</v>
      </c>
    </row>
    <row r="2264" customFormat="false" ht="15" hidden="false" customHeight="false" outlineLevel="0" collapsed="false">
      <c r="A2264" s="15" t="s">
        <v>2321</v>
      </c>
      <c r="B2264" s="16" t="n">
        <v>44664</v>
      </c>
      <c r="C2264" s="15" t="s">
        <v>56</v>
      </c>
      <c r="D2264" s="15" t="s">
        <v>42</v>
      </c>
      <c r="E2264" s="15" t="s">
        <v>37</v>
      </c>
      <c r="F2264" s="15" t="s">
        <v>17</v>
      </c>
      <c r="G2264" s="15" t="s">
        <v>26</v>
      </c>
      <c r="H2264" s="15" t="n">
        <v>1</v>
      </c>
      <c r="I2264" s="17" t="n">
        <v>0</v>
      </c>
      <c r="J2264" s="18" t="n">
        <v>80.46</v>
      </c>
      <c r="K2264" s="19" t="n">
        <v>10.22</v>
      </c>
      <c r="L2264" s="15" t="n">
        <f aca="false">YEAR(B2264)</f>
        <v>2022</v>
      </c>
      <c r="M2264" s="20" t="n">
        <f aca="false">IF(J2264&gt;0,K2264/J2264,0)</f>
        <v>0.127019637086751</v>
      </c>
    </row>
    <row r="2265" customFormat="false" ht="15" hidden="false" customHeight="false" outlineLevel="0" collapsed="false">
      <c r="A2265" s="15" t="s">
        <v>2322</v>
      </c>
      <c r="B2265" s="16" t="n">
        <v>44855</v>
      </c>
      <c r="C2265" s="15" t="s">
        <v>56</v>
      </c>
      <c r="D2265" s="15" t="s">
        <v>43</v>
      </c>
      <c r="E2265" s="15" t="s">
        <v>39</v>
      </c>
      <c r="F2265" s="15" t="s">
        <v>17</v>
      </c>
      <c r="G2265" s="15" t="s">
        <v>28</v>
      </c>
      <c r="H2265" s="15" t="n">
        <v>7</v>
      </c>
      <c r="I2265" s="17" t="n">
        <v>0.1</v>
      </c>
      <c r="J2265" s="18" t="n">
        <v>181.33</v>
      </c>
      <c r="K2265" s="19" t="n">
        <v>24.69</v>
      </c>
      <c r="L2265" s="15" t="n">
        <f aca="false">YEAR(B2265)</f>
        <v>2022</v>
      </c>
      <c r="M2265" s="20" t="n">
        <f aca="false">IF(J2265&gt;0,K2265/J2265,0)</f>
        <v>0.136160591187338</v>
      </c>
    </row>
    <row r="2266" customFormat="false" ht="15" hidden="false" customHeight="false" outlineLevel="0" collapsed="false">
      <c r="A2266" s="15" t="s">
        <v>2323</v>
      </c>
      <c r="B2266" s="16" t="n">
        <v>45660</v>
      </c>
      <c r="C2266" s="15" t="s">
        <v>56</v>
      </c>
      <c r="D2266" s="15" t="s">
        <v>42</v>
      </c>
      <c r="E2266" s="15" t="s">
        <v>37</v>
      </c>
      <c r="F2266" s="15" t="s">
        <v>18</v>
      </c>
      <c r="G2266" s="15" t="s">
        <v>24</v>
      </c>
      <c r="H2266" s="15" t="n">
        <v>3</v>
      </c>
      <c r="I2266" s="17" t="n">
        <v>0</v>
      </c>
      <c r="J2266" s="18" t="n">
        <v>1941.53</v>
      </c>
      <c r="K2266" s="19" t="n">
        <v>77.12</v>
      </c>
      <c r="L2266" s="15" t="n">
        <f aca="false">YEAR(B2266)</f>
        <v>2025</v>
      </c>
      <c r="M2266" s="20" t="n">
        <f aca="false">IF(J2266&gt;0,K2266/J2266,0)</f>
        <v>0.0397212507661484</v>
      </c>
    </row>
    <row r="2267" customFormat="false" ht="15" hidden="false" customHeight="false" outlineLevel="0" collapsed="false">
      <c r="A2267" s="15" t="s">
        <v>2324</v>
      </c>
      <c r="B2267" s="16" t="n">
        <v>44597</v>
      </c>
      <c r="C2267" s="15" t="s">
        <v>68</v>
      </c>
      <c r="D2267" s="15" t="s">
        <v>43</v>
      </c>
      <c r="E2267" s="15" t="s">
        <v>39</v>
      </c>
      <c r="F2267" s="15" t="s">
        <v>17</v>
      </c>
      <c r="G2267" s="15" t="s">
        <v>31</v>
      </c>
      <c r="H2267" s="15" t="n">
        <v>2</v>
      </c>
      <c r="I2267" s="17" t="n">
        <v>0.3</v>
      </c>
      <c r="J2267" s="18" t="n">
        <v>197.49</v>
      </c>
      <c r="K2267" s="19" t="n">
        <v>-1.11</v>
      </c>
      <c r="L2267" s="15" t="n">
        <f aca="false">YEAR(B2267)</f>
        <v>2022</v>
      </c>
      <c r="M2267" s="20" t="n">
        <f aca="false">IF(J2267&gt;0,K2267/J2267,0)</f>
        <v>-0.00562053774874677</v>
      </c>
    </row>
    <row r="2268" customFormat="false" ht="15" hidden="false" customHeight="false" outlineLevel="0" collapsed="false">
      <c r="A2268" s="15" t="s">
        <v>2325</v>
      </c>
      <c r="B2268" s="16" t="n">
        <v>45511</v>
      </c>
      <c r="C2268" s="15" t="s">
        <v>56</v>
      </c>
      <c r="D2268" s="15" t="s">
        <v>42</v>
      </c>
      <c r="E2268" s="15" t="s">
        <v>39</v>
      </c>
      <c r="F2268" s="15" t="s">
        <v>16</v>
      </c>
      <c r="G2268" s="15" t="s">
        <v>27</v>
      </c>
      <c r="H2268" s="15" t="n">
        <v>8</v>
      </c>
      <c r="I2268" s="17" t="n">
        <v>0</v>
      </c>
      <c r="J2268" s="18" t="n">
        <v>505.92</v>
      </c>
      <c r="K2268" s="19" t="n">
        <v>94.6</v>
      </c>
      <c r="L2268" s="15" t="n">
        <f aca="false">YEAR(B2268)</f>
        <v>2024</v>
      </c>
      <c r="M2268" s="20" t="n">
        <f aca="false">IF(J2268&gt;0,K2268/J2268,0)</f>
        <v>0.186986084756483</v>
      </c>
    </row>
    <row r="2269" customFormat="false" ht="15" hidden="false" customHeight="false" outlineLevel="0" collapsed="false">
      <c r="A2269" s="15" t="s">
        <v>2326</v>
      </c>
      <c r="B2269" s="16" t="n">
        <v>44890</v>
      </c>
      <c r="C2269" s="15" t="s">
        <v>68</v>
      </c>
      <c r="D2269" s="15" t="s">
        <v>44</v>
      </c>
      <c r="E2269" s="15" t="s">
        <v>38</v>
      </c>
      <c r="F2269" s="15" t="s">
        <v>18</v>
      </c>
      <c r="G2269" s="15" t="s">
        <v>30</v>
      </c>
      <c r="H2269" s="15" t="n">
        <v>3</v>
      </c>
      <c r="I2269" s="17" t="n">
        <v>0</v>
      </c>
      <c r="J2269" s="18" t="n">
        <v>114.99</v>
      </c>
      <c r="K2269" s="19" t="n">
        <v>39.37</v>
      </c>
      <c r="L2269" s="15" t="n">
        <f aca="false">YEAR(B2269)</f>
        <v>2022</v>
      </c>
      <c r="M2269" s="20" t="n">
        <f aca="false">IF(J2269&gt;0,K2269/J2269,0)</f>
        <v>0.342377598052005</v>
      </c>
    </row>
    <row r="2270" customFormat="false" ht="15" hidden="false" customHeight="false" outlineLevel="0" collapsed="false">
      <c r="A2270" s="15" t="s">
        <v>2327</v>
      </c>
      <c r="B2270" s="16" t="n">
        <v>44959</v>
      </c>
      <c r="C2270" s="15" t="s">
        <v>56</v>
      </c>
      <c r="D2270" s="15" t="s">
        <v>43</v>
      </c>
      <c r="E2270" s="15" t="s">
        <v>36</v>
      </c>
      <c r="F2270" s="15" t="s">
        <v>17</v>
      </c>
      <c r="G2270" s="15" t="s">
        <v>29</v>
      </c>
      <c r="H2270" s="15" t="n">
        <v>4</v>
      </c>
      <c r="I2270" s="17" t="n">
        <v>0</v>
      </c>
      <c r="J2270" s="18" t="n">
        <v>92.5</v>
      </c>
      <c r="K2270" s="19" t="n">
        <v>35</v>
      </c>
      <c r="L2270" s="15" t="n">
        <f aca="false">YEAR(B2270)</f>
        <v>2023</v>
      </c>
      <c r="M2270" s="20" t="n">
        <f aca="false">IF(J2270&gt;0,K2270/J2270,0)</f>
        <v>0.378378378378378</v>
      </c>
    </row>
    <row r="2271" customFormat="false" ht="15" hidden="false" customHeight="false" outlineLevel="0" collapsed="false">
      <c r="A2271" s="15" t="s">
        <v>2328</v>
      </c>
      <c r="B2271" s="16" t="n">
        <v>45076</v>
      </c>
      <c r="C2271" s="15" t="s">
        <v>71</v>
      </c>
      <c r="D2271" s="15" t="s">
        <v>42</v>
      </c>
      <c r="E2271" s="15" t="s">
        <v>37</v>
      </c>
      <c r="F2271" s="15" t="s">
        <v>17</v>
      </c>
      <c r="G2271" s="15" t="s">
        <v>28</v>
      </c>
      <c r="H2271" s="15" t="n">
        <v>5</v>
      </c>
      <c r="I2271" s="17" t="n">
        <v>0</v>
      </c>
      <c r="J2271" s="18" t="n">
        <v>137.64</v>
      </c>
      <c r="K2271" s="19" t="n">
        <v>32.71</v>
      </c>
      <c r="L2271" s="15" t="n">
        <f aca="false">YEAR(B2271)</f>
        <v>2023</v>
      </c>
      <c r="M2271" s="20" t="n">
        <f aca="false">IF(J2271&gt;0,K2271/J2271,0)</f>
        <v>0.237648939261843</v>
      </c>
    </row>
    <row r="2272" customFormat="false" ht="15" hidden="false" customHeight="false" outlineLevel="0" collapsed="false">
      <c r="A2272" s="15" t="s">
        <v>2329</v>
      </c>
      <c r="B2272" s="16" t="n">
        <v>45003</v>
      </c>
      <c r="C2272" s="15" t="s">
        <v>68</v>
      </c>
      <c r="D2272" s="15" t="s">
        <v>42</v>
      </c>
      <c r="E2272" s="15" t="s">
        <v>37</v>
      </c>
      <c r="F2272" s="15" t="s">
        <v>17</v>
      </c>
      <c r="G2272" s="15" t="s">
        <v>31</v>
      </c>
      <c r="H2272" s="15" t="n">
        <v>4</v>
      </c>
      <c r="I2272" s="17" t="n">
        <v>0</v>
      </c>
      <c r="J2272" s="18" t="n">
        <v>559.82</v>
      </c>
      <c r="K2272" s="19" t="n">
        <v>133.4</v>
      </c>
      <c r="L2272" s="15" t="n">
        <f aca="false">YEAR(B2272)</f>
        <v>2023</v>
      </c>
      <c r="M2272" s="20" t="n">
        <f aca="false">IF(J2272&gt;0,K2272/J2272,0)</f>
        <v>0.238290879211175</v>
      </c>
    </row>
    <row r="2273" customFormat="false" ht="15" hidden="false" customHeight="false" outlineLevel="0" collapsed="false">
      <c r="A2273" s="15" t="s">
        <v>2330</v>
      </c>
      <c r="B2273" s="16" t="n">
        <v>45902</v>
      </c>
      <c r="C2273" s="15" t="s">
        <v>56</v>
      </c>
      <c r="D2273" s="15" t="s">
        <v>42</v>
      </c>
      <c r="E2273" s="15" t="s">
        <v>37</v>
      </c>
      <c r="F2273" s="15" t="s">
        <v>16</v>
      </c>
      <c r="G2273" s="15" t="s">
        <v>23</v>
      </c>
      <c r="H2273" s="15" t="n">
        <v>4</v>
      </c>
      <c r="I2273" s="17" t="n">
        <v>0</v>
      </c>
      <c r="J2273" s="18" t="n">
        <v>1031.56</v>
      </c>
      <c r="K2273" s="19" t="n">
        <v>-1.85</v>
      </c>
      <c r="L2273" s="15" t="n">
        <f aca="false">YEAR(B2273)</f>
        <v>2025</v>
      </c>
      <c r="M2273" s="20" t="n">
        <f aca="false">IF(J2273&gt;0,K2273/J2273,0)</f>
        <v>-0.00179340028694405</v>
      </c>
    </row>
    <row r="2274" customFormat="false" ht="15" hidden="false" customHeight="false" outlineLevel="0" collapsed="false">
      <c r="A2274" s="15" t="s">
        <v>2331</v>
      </c>
      <c r="B2274" s="16" t="n">
        <v>45817</v>
      </c>
      <c r="C2274" s="15" t="s">
        <v>71</v>
      </c>
      <c r="D2274" s="15" t="s">
        <v>43</v>
      </c>
      <c r="E2274" s="15" t="s">
        <v>38</v>
      </c>
      <c r="F2274" s="15" t="s">
        <v>18</v>
      </c>
      <c r="G2274" s="15" t="s">
        <v>30</v>
      </c>
      <c r="H2274" s="15" t="n">
        <v>3</v>
      </c>
      <c r="I2274" s="17" t="n">
        <v>0</v>
      </c>
      <c r="J2274" s="18" t="n">
        <v>139.85</v>
      </c>
      <c r="K2274" s="19" t="n">
        <v>43.16</v>
      </c>
      <c r="L2274" s="15" t="n">
        <f aca="false">YEAR(B2274)</f>
        <v>2025</v>
      </c>
      <c r="M2274" s="20" t="n">
        <f aca="false">IF(J2274&gt;0,K2274/J2274,0)</f>
        <v>0.308616374687165</v>
      </c>
    </row>
    <row r="2275" customFormat="false" ht="15" hidden="false" customHeight="false" outlineLevel="0" collapsed="false">
      <c r="A2275" s="15" t="s">
        <v>2332</v>
      </c>
      <c r="B2275" s="16" t="n">
        <v>44702</v>
      </c>
      <c r="C2275" s="15" t="s">
        <v>56</v>
      </c>
      <c r="D2275" s="15" t="s">
        <v>43</v>
      </c>
      <c r="E2275" s="15" t="s">
        <v>36</v>
      </c>
      <c r="F2275" s="15" t="s">
        <v>17</v>
      </c>
      <c r="G2275" s="15" t="s">
        <v>29</v>
      </c>
      <c r="H2275" s="15" t="n">
        <v>2</v>
      </c>
      <c r="I2275" s="17" t="n">
        <v>0</v>
      </c>
      <c r="J2275" s="18" t="n">
        <v>42.47</v>
      </c>
      <c r="K2275" s="19" t="n">
        <v>18.04</v>
      </c>
      <c r="L2275" s="15" t="n">
        <f aca="false">YEAR(B2275)</f>
        <v>2022</v>
      </c>
      <c r="M2275" s="20" t="n">
        <f aca="false">IF(J2275&gt;0,K2275/J2275,0)</f>
        <v>0.424770426183188</v>
      </c>
    </row>
    <row r="2276" customFormat="false" ht="15" hidden="false" customHeight="false" outlineLevel="0" collapsed="false">
      <c r="A2276" s="15" t="s">
        <v>2333</v>
      </c>
      <c r="B2276" s="16" t="n">
        <v>45211</v>
      </c>
      <c r="C2276" s="15" t="s">
        <v>71</v>
      </c>
      <c r="D2276" s="15" t="s">
        <v>43</v>
      </c>
      <c r="E2276" s="15" t="s">
        <v>36</v>
      </c>
      <c r="F2276" s="15" t="s">
        <v>18</v>
      </c>
      <c r="G2276" s="15" t="s">
        <v>30</v>
      </c>
      <c r="H2276" s="15" t="n">
        <v>4</v>
      </c>
      <c r="I2276" s="17" t="n">
        <v>0</v>
      </c>
      <c r="J2276" s="18" t="n">
        <v>216.37</v>
      </c>
      <c r="K2276" s="19" t="n">
        <v>65.64</v>
      </c>
      <c r="L2276" s="15" t="n">
        <f aca="false">YEAR(B2276)</f>
        <v>2023</v>
      </c>
      <c r="M2276" s="20" t="n">
        <f aca="false">IF(J2276&gt;0,K2276/J2276,0)</f>
        <v>0.303369228636133</v>
      </c>
    </row>
    <row r="2277" customFormat="false" ht="15" hidden="false" customHeight="false" outlineLevel="0" collapsed="false">
      <c r="A2277" s="15" t="s">
        <v>2334</v>
      </c>
      <c r="B2277" s="16" t="n">
        <v>45949</v>
      </c>
      <c r="C2277" s="15" t="s">
        <v>56</v>
      </c>
      <c r="D2277" s="15" t="s">
        <v>42</v>
      </c>
      <c r="E2277" s="15" t="s">
        <v>38</v>
      </c>
      <c r="F2277" s="15" t="s">
        <v>18</v>
      </c>
      <c r="G2277" s="15" t="s">
        <v>32</v>
      </c>
      <c r="H2277" s="15" t="n">
        <v>5</v>
      </c>
      <c r="I2277" s="17" t="n">
        <v>0</v>
      </c>
      <c r="J2277" s="18" t="n">
        <v>1970.04</v>
      </c>
      <c r="K2277" s="19" t="n">
        <v>334.45</v>
      </c>
      <c r="L2277" s="15" t="n">
        <f aca="false">YEAR(B2277)</f>
        <v>2025</v>
      </c>
      <c r="M2277" s="20" t="n">
        <f aca="false">IF(J2277&gt;0,K2277/J2277,0)</f>
        <v>0.169768126535502</v>
      </c>
    </row>
    <row r="2278" customFormat="false" ht="15" hidden="false" customHeight="false" outlineLevel="0" collapsed="false">
      <c r="A2278" s="15" t="s">
        <v>2335</v>
      </c>
      <c r="B2278" s="16" t="n">
        <v>45248</v>
      </c>
      <c r="C2278" s="15" t="s">
        <v>68</v>
      </c>
      <c r="D2278" s="15" t="s">
        <v>44</v>
      </c>
      <c r="E2278" s="15" t="s">
        <v>38</v>
      </c>
      <c r="F2278" s="15" t="s">
        <v>17</v>
      </c>
      <c r="G2278" s="15" t="s">
        <v>31</v>
      </c>
      <c r="H2278" s="15" t="n">
        <v>4</v>
      </c>
      <c r="I2278" s="17" t="n">
        <v>0.1</v>
      </c>
      <c r="J2278" s="18" t="n">
        <v>422.5</v>
      </c>
      <c r="K2278" s="19" t="n">
        <v>41.04</v>
      </c>
      <c r="L2278" s="15" t="n">
        <f aca="false">YEAR(B2278)</f>
        <v>2023</v>
      </c>
      <c r="M2278" s="20" t="n">
        <f aca="false">IF(J2278&gt;0,K2278/J2278,0)</f>
        <v>0.0971360946745562</v>
      </c>
    </row>
    <row r="2279" customFormat="false" ht="15" hidden="false" customHeight="false" outlineLevel="0" collapsed="false">
      <c r="A2279" s="15" t="s">
        <v>2336</v>
      </c>
      <c r="B2279" s="16" t="n">
        <v>45171</v>
      </c>
      <c r="C2279" s="15" t="s">
        <v>56</v>
      </c>
      <c r="D2279" s="15" t="s">
        <v>44</v>
      </c>
      <c r="E2279" s="15" t="s">
        <v>39</v>
      </c>
      <c r="F2279" s="15" t="s">
        <v>16</v>
      </c>
      <c r="G2279" s="15" t="s">
        <v>27</v>
      </c>
      <c r="H2279" s="15" t="n">
        <v>2</v>
      </c>
      <c r="I2279" s="17" t="n">
        <v>0.4</v>
      </c>
      <c r="J2279" s="18" t="n">
        <v>75.24</v>
      </c>
      <c r="K2279" s="19" t="n">
        <v>-9.41</v>
      </c>
      <c r="L2279" s="15" t="n">
        <f aca="false">YEAR(B2279)</f>
        <v>2023</v>
      </c>
      <c r="M2279" s="20" t="n">
        <f aca="false">IF(J2279&gt;0,K2279/J2279,0)</f>
        <v>-0.125066454013822</v>
      </c>
    </row>
    <row r="2280" customFormat="false" ht="15" hidden="false" customHeight="false" outlineLevel="0" collapsed="false">
      <c r="A2280" s="15" t="s">
        <v>2337</v>
      </c>
      <c r="B2280" s="16" t="n">
        <v>44868</v>
      </c>
      <c r="C2280" s="15" t="s">
        <v>71</v>
      </c>
      <c r="D2280" s="15" t="s">
        <v>44</v>
      </c>
      <c r="E2280" s="15" t="s">
        <v>39</v>
      </c>
      <c r="F2280" s="15" t="s">
        <v>17</v>
      </c>
      <c r="G2280" s="15" t="s">
        <v>29</v>
      </c>
      <c r="H2280" s="15" t="n">
        <v>3</v>
      </c>
      <c r="I2280" s="17" t="n">
        <v>0.1</v>
      </c>
      <c r="J2280" s="18" t="n">
        <v>45.59</v>
      </c>
      <c r="K2280" s="19" t="n">
        <v>12.11</v>
      </c>
      <c r="L2280" s="15" t="n">
        <f aca="false">YEAR(B2280)</f>
        <v>2022</v>
      </c>
      <c r="M2280" s="20" t="n">
        <f aca="false">IF(J2280&gt;0,K2280/J2280,0)</f>
        <v>0.265628427286686</v>
      </c>
    </row>
    <row r="2281" customFormat="false" ht="15" hidden="false" customHeight="false" outlineLevel="0" collapsed="false">
      <c r="A2281" s="15" t="s">
        <v>2338</v>
      </c>
      <c r="B2281" s="16" t="n">
        <v>44694</v>
      </c>
      <c r="C2281" s="15" t="s">
        <v>56</v>
      </c>
      <c r="D2281" s="15" t="s">
        <v>42</v>
      </c>
      <c r="E2281" s="15" t="s">
        <v>39</v>
      </c>
      <c r="F2281" s="15" t="s">
        <v>16</v>
      </c>
      <c r="G2281" s="15" t="s">
        <v>23</v>
      </c>
      <c r="H2281" s="15" t="n">
        <v>4</v>
      </c>
      <c r="I2281" s="17" t="n">
        <v>0.2</v>
      </c>
      <c r="J2281" s="18" t="n">
        <v>1033.67</v>
      </c>
      <c r="K2281" s="19" t="n">
        <v>-96.03</v>
      </c>
      <c r="L2281" s="15" t="n">
        <f aca="false">YEAR(B2281)</f>
        <v>2022</v>
      </c>
      <c r="M2281" s="20" t="n">
        <f aca="false">IF(J2281&gt;0,K2281/J2281,0)</f>
        <v>-0.0929019899968075</v>
      </c>
    </row>
    <row r="2282" customFormat="false" ht="15" hidden="false" customHeight="false" outlineLevel="0" collapsed="false">
      <c r="A2282" s="15" t="s">
        <v>2339</v>
      </c>
      <c r="B2282" s="16" t="n">
        <v>45375</v>
      </c>
      <c r="C2282" s="15" t="s">
        <v>56</v>
      </c>
      <c r="D2282" s="15" t="s">
        <v>44</v>
      </c>
      <c r="E2282" s="15" t="s">
        <v>37</v>
      </c>
      <c r="F2282" s="15" t="s">
        <v>18</v>
      </c>
      <c r="G2282" s="15" t="s">
        <v>30</v>
      </c>
      <c r="H2282" s="15" t="n">
        <v>6</v>
      </c>
      <c r="I2282" s="17" t="n">
        <v>0.3</v>
      </c>
      <c r="J2282" s="18" t="n">
        <v>252.47</v>
      </c>
      <c r="K2282" s="19" t="n">
        <v>-5.84</v>
      </c>
      <c r="L2282" s="15" t="n">
        <f aca="false">YEAR(B2282)</f>
        <v>2024</v>
      </c>
      <c r="M2282" s="20" t="n">
        <f aca="false">IF(J2282&gt;0,K2282/J2282,0)</f>
        <v>-0.0231314611637026</v>
      </c>
    </row>
    <row r="2283" customFormat="false" ht="15" hidden="false" customHeight="false" outlineLevel="0" collapsed="false">
      <c r="A2283" s="15" t="s">
        <v>2340</v>
      </c>
      <c r="B2283" s="16" t="n">
        <v>45593</v>
      </c>
      <c r="C2283" s="15" t="s">
        <v>68</v>
      </c>
      <c r="D2283" s="15" t="s">
        <v>42</v>
      </c>
      <c r="E2283" s="15" t="s">
        <v>37</v>
      </c>
      <c r="F2283" s="15" t="s">
        <v>17</v>
      </c>
      <c r="G2283" s="15" t="s">
        <v>26</v>
      </c>
      <c r="H2283" s="15" t="n">
        <v>1</v>
      </c>
      <c r="I2283" s="17" t="n">
        <v>0</v>
      </c>
      <c r="J2283" s="18" t="n">
        <v>81.54</v>
      </c>
      <c r="K2283" s="19" t="n">
        <v>10.24</v>
      </c>
      <c r="L2283" s="15" t="n">
        <f aca="false">YEAR(B2283)</f>
        <v>2024</v>
      </c>
      <c r="M2283" s="20" t="n">
        <f aca="false">IF(J2283&gt;0,K2283/J2283,0)</f>
        <v>0.125582536178563</v>
      </c>
    </row>
    <row r="2284" customFormat="false" ht="15" hidden="false" customHeight="false" outlineLevel="0" collapsed="false">
      <c r="A2284" s="15" t="s">
        <v>2341</v>
      </c>
      <c r="B2284" s="16" t="n">
        <v>44871</v>
      </c>
      <c r="C2284" s="15" t="s">
        <v>56</v>
      </c>
      <c r="D2284" s="15" t="s">
        <v>42</v>
      </c>
      <c r="E2284" s="15" t="s">
        <v>38</v>
      </c>
      <c r="F2284" s="15" t="s">
        <v>16</v>
      </c>
      <c r="G2284" s="15" t="s">
        <v>25</v>
      </c>
      <c r="H2284" s="15" t="n">
        <v>6</v>
      </c>
      <c r="I2284" s="17" t="n">
        <v>0.15</v>
      </c>
      <c r="J2284" s="18" t="n">
        <v>1240.73</v>
      </c>
      <c r="K2284" s="19" t="n">
        <v>-83.82</v>
      </c>
      <c r="L2284" s="15" t="n">
        <f aca="false">YEAR(B2284)</f>
        <v>2022</v>
      </c>
      <c r="M2284" s="20" t="n">
        <f aca="false">IF(J2284&gt;0,K2284/J2284,0)</f>
        <v>-0.0675570027322625</v>
      </c>
    </row>
    <row r="2285" customFormat="false" ht="15" hidden="false" customHeight="false" outlineLevel="0" collapsed="false">
      <c r="A2285" s="15" t="s">
        <v>2342</v>
      </c>
      <c r="B2285" s="16" t="n">
        <v>45713</v>
      </c>
      <c r="C2285" s="15" t="s">
        <v>68</v>
      </c>
      <c r="D2285" s="15" t="s">
        <v>42</v>
      </c>
      <c r="E2285" s="15" t="s">
        <v>36</v>
      </c>
      <c r="F2285" s="15" t="s">
        <v>18</v>
      </c>
      <c r="G2285" s="15" t="s">
        <v>30</v>
      </c>
      <c r="H2285" s="15" t="n">
        <v>4</v>
      </c>
      <c r="I2285" s="17" t="n">
        <v>0</v>
      </c>
      <c r="J2285" s="18" t="n">
        <v>153.03</v>
      </c>
      <c r="K2285" s="19" t="n">
        <v>40.37</v>
      </c>
      <c r="L2285" s="15" t="n">
        <f aca="false">YEAR(B2285)</f>
        <v>2025</v>
      </c>
      <c r="M2285" s="20" t="n">
        <f aca="false">IF(J2285&gt;0,K2285/J2285,0)</f>
        <v>0.263804482781154</v>
      </c>
    </row>
    <row r="2286" customFormat="false" ht="15" hidden="false" customHeight="false" outlineLevel="0" collapsed="false">
      <c r="A2286" s="15" t="s">
        <v>2343</v>
      </c>
      <c r="B2286" s="16" t="n">
        <v>44930</v>
      </c>
      <c r="C2286" s="15" t="s">
        <v>71</v>
      </c>
      <c r="D2286" s="15" t="s">
        <v>42</v>
      </c>
      <c r="E2286" s="15" t="s">
        <v>39</v>
      </c>
      <c r="F2286" s="15" t="s">
        <v>18</v>
      </c>
      <c r="G2286" s="15" t="s">
        <v>32</v>
      </c>
      <c r="H2286" s="15" t="n">
        <v>2</v>
      </c>
      <c r="I2286" s="17" t="n">
        <v>0</v>
      </c>
      <c r="J2286" s="18" t="n">
        <v>741.01</v>
      </c>
      <c r="K2286" s="19" t="n">
        <v>115.82</v>
      </c>
      <c r="L2286" s="15" t="n">
        <f aca="false">YEAR(B2286)</f>
        <v>2023</v>
      </c>
      <c r="M2286" s="20" t="n">
        <f aca="false">IF(J2286&gt;0,K2286/J2286,0)</f>
        <v>0.156300184882795</v>
      </c>
    </row>
    <row r="2287" customFormat="false" ht="15" hidden="false" customHeight="false" outlineLevel="0" collapsed="false">
      <c r="A2287" s="15" t="s">
        <v>2344</v>
      </c>
      <c r="B2287" s="16" t="n">
        <v>44875</v>
      </c>
      <c r="C2287" s="15" t="s">
        <v>71</v>
      </c>
      <c r="D2287" s="15" t="s">
        <v>42</v>
      </c>
      <c r="E2287" s="15" t="s">
        <v>37</v>
      </c>
      <c r="F2287" s="15" t="s">
        <v>16</v>
      </c>
      <c r="G2287" s="15" t="s">
        <v>23</v>
      </c>
      <c r="H2287" s="15" t="n">
        <v>2</v>
      </c>
      <c r="I2287" s="17" t="n">
        <v>0</v>
      </c>
      <c r="J2287" s="18" t="n">
        <v>759.28</v>
      </c>
      <c r="K2287" s="19" t="n">
        <v>13.44</v>
      </c>
      <c r="L2287" s="15" t="n">
        <f aca="false">YEAR(B2287)</f>
        <v>2022</v>
      </c>
      <c r="M2287" s="20" t="n">
        <f aca="false">IF(J2287&gt;0,K2287/J2287,0)</f>
        <v>0.0177009798756717</v>
      </c>
    </row>
    <row r="2288" customFormat="false" ht="15" hidden="false" customHeight="false" outlineLevel="0" collapsed="false">
      <c r="A2288" s="15" t="s">
        <v>2345</v>
      </c>
      <c r="B2288" s="16" t="n">
        <v>45172</v>
      </c>
      <c r="C2288" s="15" t="s">
        <v>56</v>
      </c>
      <c r="D2288" s="15" t="s">
        <v>42</v>
      </c>
      <c r="E2288" s="15" t="s">
        <v>39</v>
      </c>
      <c r="F2288" s="15" t="s">
        <v>17</v>
      </c>
      <c r="G2288" s="15" t="s">
        <v>29</v>
      </c>
      <c r="H2288" s="15" t="n">
        <v>1</v>
      </c>
      <c r="I2288" s="17" t="n">
        <v>0.05</v>
      </c>
      <c r="J2288" s="18" t="n">
        <v>22.79</v>
      </c>
      <c r="K2288" s="19" t="n">
        <v>6.93</v>
      </c>
      <c r="L2288" s="15" t="n">
        <f aca="false">YEAR(B2288)</f>
        <v>2023</v>
      </c>
      <c r="M2288" s="20" t="n">
        <f aca="false">IF(J2288&gt;0,K2288/J2288,0)</f>
        <v>0.304080737165423</v>
      </c>
    </row>
    <row r="2289" customFormat="false" ht="15" hidden="false" customHeight="false" outlineLevel="0" collapsed="false">
      <c r="A2289" s="15" t="s">
        <v>2346</v>
      </c>
      <c r="B2289" s="16" t="n">
        <v>45891</v>
      </c>
      <c r="C2289" s="15" t="s">
        <v>56</v>
      </c>
      <c r="D2289" s="15" t="s">
        <v>42</v>
      </c>
      <c r="E2289" s="15" t="s">
        <v>36</v>
      </c>
      <c r="F2289" s="15" t="s">
        <v>17</v>
      </c>
      <c r="G2289" s="15" t="s">
        <v>29</v>
      </c>
      <c r="H2289" s="15" t="n">
        <v>2</v>
      </c>
      <c r="I2289" s="17" t="n">
        <v>0</v>
      </c>
      <c r="J2289" s="18" t="n">
        <v>35.51</v>
      </c>
      <c r="K2289" s="19" t="n">
        <v>14.6</v>
      </c>
      <c r="L2289" s="15" t="n">
        <f aca="false">YEAR(B2289)</f>
        <v>2025</v>
      </c>
      <c r="M2289" s="20" t="n">
        <f aca="false">IF(J2289&gt;0,K2289/J2289,0)</f>
        <v>0.411151788228668</v>
      </c>
    </row>
    <row r="2290" customFormat="false" ht="15" hidden="false" customHeight="false" outlineLevel="0" collapsed="false">
      <c r="A2290" s="15" t="s">
        <v>2347</v>
      </c>
      <c r="B2290" s="16" t="n">
        <v>44923</v>
      </c>
      <c r="C2290" s="15" t="s">
        <v>68</v>
      </c>
      <c r="D2290" s="15" t="s">
        <v>42</v>
      </c>
      <c r="E2290" s="15" t="s">
        <v>38</v>
      </c>
      <c r="F2290" s="15" t="s">
        <v>17</v>
      </c>
      <c r="G2290" s="15" t="s">
        <v>31</v>
      </c>
      <c r="H2290" s="15" t="n">
        <v>3</v>
      </c>
      <c r="I2290" s="17" t="n">
        <v>0</v>
      </c>
      <c r="J2290" s="18" t="n">
        <v>327.29</v>
      </c>
      <c r="K2290" s="19" t="n">
        <v>60.96</v>
      </c>
      <c r="L2290" s="15" t="n">
        <f aca="false">YEAR(B2290)</f>
        <v>2022</v>
      </c>
      <c r="M2290" s="20" t="n">
        <f aca="false">IF(J2290&gt;0,K2290/J2290,0)</f>
        <v>0.186256836444743</v>
      </c>
    </row>
    <row r="2291" customFormat="false" ht="15" hidden="false" customHeight="false" outlineLevel="0" collapsed="false">
      <c r="A2291" s="15" t="s">
        <v>2348</v>
      </c>
      <c r="B2291" s="16" t="n">
        <v>44574</v>
      </c>
      <c r="C2291" s="15" t="s">
        <v>56</v>
      </c>
      <c r="D2291" s="15" t="s">
        <v>43</v>
      </c>
      <c r="E2291" s="15" t="s">
        <v>39</v>
      </c>
      <c r="F2291" s="15" t="s">
        <v>17</v>
      </c>
      <c r="G2291" s="15" t="s">
        <v>28</v>
      </c>
      <c r="H2291" s="15" t="n">
        <v>2</v>
      </c>
      <c r="I2291" s="17" t="n">
        <v>0.05</v>
      </c>
      <c r="J2291" s="18" t="n">
        <v>51.23</v>
      </c>
      <c r="K2291" s="19" t="n">
        <v>12.57</v>
      </c>
      <c r="L2291" s="15" t="n">
        <f aca="false">YEAR(B2291)</f>
        <v>2022</v>
      </c>
      <c r="M2291" s="20" t="n">
        <f aca="false">IF(J2291&gt;0,K2291/J2291,0)</f>
        <v>0.245364044505173</v>
      </c>
    </row>
    <row r="2292" customFormat="false" ht="15" hidden="false" customHeight="false" outlineLevel="0" collapsed="false">
      <c r="A2292" s="15" t="s">
        <v>2349</v>
      </c>
      <c r="B2292" s="16" t="n">
        <v>45416</v>
      </c>
      <c r="C2292" s="15" t="s">
        <v>56</v>
      </c>
      <c r="D2292" s="15" t="s">
        <v>43</v>
      </c>
      <c r="E2292" s="15" t="s">
        <v>37</v>
      </c>
      <c r="F2292" s="15" t="s">
        <v>17</v>
      </c>
      <c r="G2292" s="15" t="s">
        <v>29</v>
      </c>
      <c r="H2292" s="15" t="n">
        <v>5</v>
      </c>
      <c r="I2292" s="17" t="n">
        <v>0.15</v>
      </c>
      <c r="J2292" s="18" t="n">
        <v>73.72</v>
      </c>
      <c r="K2292" s="19" t="n">
        <v>16.63</v>
      </c>
      <c r="L2292" s="15" t="n">
        <f aca="false">YEAR(B2292)</f>
        <v>2024</v>
      </c>
      <c r="M2292" s="20" t="n">
        <f aca="false">IF(J2292&gt;0,K2292/J2292,0)</f>
        <v>0.2255832881172</v>
      </c>
    </row>
    <row r="2293" customFormat="false" ht="15" hidden="false" customHeight="false" outlineLevel="0" collapsed="false">
      <c r="A2293" s="15" t="s">
        <v>2350</v>
      </c>
      <c r="B2293" s="16" t="n">
        <v>45560</v>
      </c>
      <c r="C2293" s="15" t="s">
        <v>56</v>
      </c>
      <c r="D2293" s="15" t="s">
        <v>42</v>
      </c>
      <c r="E2293" s="15" t="s">
        <v>38</v>
      </c>
      <c r="F2293" s="15" t="s">
        <v>17</v>
      </c>
      <c r="G2293" s="15" t="s">
        <v>31</v>
      </c>
      <c r="H2293" s="15" t="n">
        <v>5</v>
      </c>
      <c r="I2293" s="17" t="n">
        <v>0</v>
      </c>
      <c r="J2293" s="18" t="n">
        <v>614.54</v>
      </c>
      <c r="K2293" s="19" t="n">
        <v>97.28</v>
      </c>
      <c r="L2293" s="15" t="n">
        <f aca="false">YEAR(B2293)</f>
        <v>2024</v>
      </c>
      <c r="M2293" s="20" t="n">
        <f aca="false">IF(J2293&gt;0,K2293/J2293,0)</f>
        <v>0.158297262993459</v>
      </c>
    </row>
    <row r="2294" customFormat="false" ht="15" hidden="false" customHeight="false" outlineLevel="0" collapsed="false">
      <c r="A2294" s="15" t="s">
        <v>2351</v>
      </c>
      <c r="B2294" s="16" t="n">
        <v>44680</v>
      </c>
      <c r="C2294" s="15" t="s">
        <v>58</v>
      </c>
      <c r="D2294" s="15" t="s">
        <v>43</v>
      </c>
      <c r="E2294" s="15" t="s">
        <v>37</v>
      </c>
      <c r="F2294" s="15" t="s">
        <v>18</v>
      </c>
      <c r="G2294" s="15" t="s">
        <v>24</v>
      </c>
      <c r="H2294" s="15" t="n">
        <v>1</v>
      </c>
      <c r="I2294" s="17" t="n">
        <v>0.3</v>
      </c>
      <c r="J2294" s="18" t="n">
        <v>497.66</v>
      </c>
      <c r="K2294" s="19" t="n">
        <v>-95.92</v>
      </c>
      <c r="L2294" s="15" t="n">
        <f aca="false">YEAR(B2294)</f>
        <v>2022</v>
      </c>
      <c r="M2294" s="20" t="n">
        <f aca="false">IF(J2294&gt;0,K2294/J2294,0)</f>
        <v>-0.192742032713097</v>
      </c>
    </row>
    <row r="2295" customFormat="false" ht="15" hidden="false" customHeight="false" outlineLevel="0" collapsed="false">
      <c r="A2295" s="15" t="s">
        <v>2352</v>
      </c>
      <c r="B2295" s="16" t="n">
        <v>45337</v>
      </c>
      <c r="C2295" s="15" t="s">
        <v>56</v>
      </c>
      <c r="D2295" s="15" t="s">
        <v>42</v>
      </c>
      <c r="E2295" s="15" t="s">
        <v>36</v>
      </c>
      <c r="F2295" s="15" t="s">
        <v>17</v>
      </c>
      <c r="G2295" s="15" t="s">
        <v>26</v>
      </c>
      <c r="H2295" s="15" t="n">
        <v>1</v>
      </c>
      <c r="I2295" s="17" t="n">
        <v>0</v>
      </c>
      <c r="J2295" s="18" t="n">
        <v>73.37</v>
      </c>
      <c r="K2295" s="19" t="n">
        <v>9.21</v>
      </c>
      <c r="L2295" s="15" t="n">
        <f aca="false">YEAR(B2295)</f>
        <v>2024</v>
      </c>
      <c r="M2295" s="20" t="n">
        <f aca="false">IF(J2295&gt;0,K2295/J2295,0)</f>
        <v>0.1255281450184</v>
      </c>
    </row>
    <row r="2296" customFormat="false" ht="15" hidden="false" customHeight="false" outlineLevel="0" collapsed="false">
      <c r="A2296" s="15" t="s">
        <v>2353</v>
      </c>
      <c r="B2296" s="16" t="n">
        <v>45837</v>
      </c>
      <c r="C2296" s="15" t="s">
        <v>56</v>
      </c>
      <c r="D2296" s="15" t="s">
        <v>42</v>
      </c>
      <c r="E2296" s="15" t="s">
        <v>36</v>
      </c>
      <c r="F2296" s="15" t="s">
        <v>17</v>
      </c>
      <c r="G2296" s="15" t="s">
        <v>29</v>
      </c>
      <c r="H2296" s="15" t="n">
        <v>1</v>
      </c>
      <c r="I2296" s="17" t="n">
        <v>0.05</v>
      </c>
      <c r="J2296" s="18" t="n">
        <v>16.43</v>
      </c>
      <c r="K2296" s="19" t="n">
        <v>5.78</v>
      </c>
      <c r="L2296" s="15" t="n">
        <f aca="false">YEAR(B2296)</f>
        <v>2025</v>
      </c>
      <c r="M2296" s="20" t="n">
        <f aca="false">IF(J2296&gt;0,K2296/J2296,0)</f>
        <v>0.351795496043822</v>
      </c>
    </row>
    <row r="2297" customFormat="false" ht="15" hidden="false" customHeight="false" outlineLevel="0" collapsed="false">
      <c r="A2297" s="15" t="s">
        <v>2354</v>
      </c>
      <c r="B2297" s="16" t="n">
        <v>45422</v>
      </c>
      <c r="C2297" s="15" t="s">
        <v>68</v>
      </c>
      <c r="D2297" s="15" t="s">
        <v>42</v>
      </c>
      <c r="E2297" s="15" t="s">
        <v>39</v>
      </c>
      <c r="F2297" s="15" t="s">
        <v>18</v>
      </c>
      <c r="G2297" s="15" t="s">
        <v>33</v>
      </c>
      <c r="H2297" s="15" t="n">
        <v>2</v>
      </c>
      <c r="I2297" s="17" t="n">
        <v>0</v>
      </c>
      <c r="J2297" s="18" t="n">
        <v>2447.98</v>
      </c>
      <c r="K2297" s="19" t="n">
        <v>866.49</v>
      </c>
      <c r="L2297" s="15" t="n">
        <f aca="false">YEAR(B2297)</f>
        <v>2024</v>
      </c>
      <c r="M2297" s="20" t="n">
        <f aca="false">IF(J2297&gt;0,K2297/J2297,0)</f>
        <v>0.353961225173408</v>
      </c>
    </row>
    <row r="2298" customFormat="false" ht="15" hidden="false" customHeight="false" outlineLevel="0" collapsed="false">
      <c r="A2298" s="15" t="s">
        <v>2355</v>
      </c>
      <c r="B2298" s="16" t="n">
        <v>45600</v>
      </c>
      <c r="C2298" s="15" t="s">
        <v>56</v>
      </c>
      <c r="D2298" s="15" t="s">
        <v>43</v>
      </c>
      <c r="E2298" s="15" t="s">
        <v>39</v>
      </c>
      <c r="F2298" s="15" t="s">
        <v>18</v>
      </c>
      <c r="G2298" s="15" t="s">
        <v>32</v>
      </c>
      <c r="H2298" s="15" t="n">
        <v>5</v>
      </c>
      <c r="I2298" s="17" t="n">
        <v>0.1</v>
      </c>
      <c r="J2298" s="18" t="n">
        <v>2124.65</v>
      </c>
      <c r="K2298" s="19" t="n">
        <v>153.44</v>
      </c>
      <c r="L2298" s="15" t="n">
        <f aca="false">YEAR(B2298)</f>
        <v>2024</v>
      </c>
      <c r="M2298" s="20" t="n">
        <f aca="false">IF(J2298&gt;0,K2298/J2298,0)</f>
        <v>0.0722189537100228</v>
      </c>
    </row>
    <row r="2299" customFormat="false" ht="15" hidden="false" customHeight="false" outlineLevel="0" collapsed="false">
      <c r="A2299" s="15" t="s">
        <v>2356</v>
      </c>
      <c r="B2299" s="16" t="n">
        <v>45282</v>
      </c>
      <c r="C2299" s="15" t="s">
        <v>56</v>
      </c>
      <c r="D2299" s="15" t="s">
        <v>43</v>
      </c>
      <c r="E2299" s="15" t="s">
        <v>37</v>
      </c>
      <c r="F2299" s="15" t="s">
        <v>16</v>
      </c>
      <c r="G2299" s="15" t="s">
        <v>25</v>
      </c>
      <c r="H2299" s="15" t="n">
        <v>2</v>
      </c>
      <c r="I2299" s="17" t="n">
        <v>0</v>
      </c>
      <c r="J2299" s="18" t="n">
        <v>534.05</v>
      </c>
      <c r="K2299" s="19" t="n">
        <v>23.3</v>
      </c>
      <c r="L2299" s="15" t="n">
        <f aca="false">YEAR(B2299)</f>
        <v>2023</v>
      </c>
      <c r="M2299" s="20" t="n">
        <f aca="false">IF(J2299&gt;0,K2299/J2299,0)</f>
        <v>0.0436288737009643</v>
      </c>
    </row>
    <row r="2300" customFormat="false" ht="15" hidden="false" customHeight="false" outlineLevel="0" collapsed="false">
      <c r="A2300" s="15" t="s">
        <v>2357</v>
      </c>
      <c r="B2300" s="16" t="n">
        <v>44929</v>
      </c>
      <c r="C2300" s="15" t="s">
        <v>68</v>
      </c>
      <c r="D2300" s="15" t="s">
        <v>43</v>
      </c>
      <c r="E2300" s="15" t="s">
        <v>38</v>
      </c>
      <c r="F2300" s="15" t="s">
        <v>17</v>
      </c>
      <c r="G2300" s="15" t="s">
        <v>29</v>
      </c>
      <c r="H2300" s="15" t="n">
        <v>2</v>
      </c>
      <c r="I2300" s="17" t="n">
        <v>0</v>
      </c>
      <c r="J2300" s="18" t="n">
        <v>33.54</v>
      </c>
      <c r="K2300" s="19" t="n">
        <v>13.22</v>
      </c>
      <c r="L2300" s="15" t="n">
        <f aca="false">YEAR(B2300)</f>
        <v>2023</v>
      </c>
      <c r="M2300" s="20" t="n">
        <f aca="false">IF(J2300&gt;0,K2300/J2300,0)</f>
        <v>0.394156231365534</v>
      </c>
    </row>
    <row r="2301" customFormat="false" ht="15" hidden="false" customHeight="false" outlineLevel="0" collapsed="false">
      <c r="A2301" s="15" t="s">
        <v>2358</v>
      </c>
      <c r="B2301" s="16" t="n">
        <v>45834</v>
      </c>
      <c r="C2301" s="15" t="s">
        <v>56</v>
      </c>
      <c r="D2301" s="15" t="s">
        <v>43</v>
      </c>
      <c r="E2301" s="15" t="s">
        <v>37</v>
      </c>
      <c r="F2301" s="15" t="s">
        <v>17</v>
      </c>
      <c r="G2301" s="15" t="s">
        <v>26</v>
      </c>
      <c r="H2301" s="15" t="n">
        <v>4</v>
      </c>
      <c r="I2301" s="17" t="n">
        <v>0</v>
      </c>
      <c r="J2301" s="18" t="n">
        <v>405.35</v>
      </c>
      <c r="K2301" s="19" t="n">
        <v>87.72</v>
      </c>
      <c r="L2301" s="15" t="n">
        <f aca="false">YEAR(B2301)</f>
        <v>2025</v>
      </c>
      <c r="M2301" s="20" t="n">
        <f aca="false">IF(J2301&gt;0,K2301/J2301,0)</f>
        <v>0.216405575428642</v>
      </c>
    </row>
    <row r="2302" customFormat="false" ht="15" hidden="false" customHeight="false" outlineLevel="0" collapsed="false">
      <c r="A2302" s="15" t="s">
        <v>2359</v>
      </c>
      <c r="B2302" s="16" t="n">
        <v>44771</v>
      </c>
      <c r="C2302" s="15" t="s">
        <v>71</v>
      </c>
      <c r="D2302" s="15" t="s">
        <v>42</v>
      </c>
      <c r="E2302" s="15" t="s">
        <v>39</v>
      </c>
      <c r="F2302" s="15" t="s">
        <v>16</v>
      </c>
      <c r="G2302" s="15" t="s">
        <v>27</v>
      </c>
      <c r="H2302" s="15" t="n">
        <v>2</v>
      </c>
      <c r="I2302" s="17" t="n">
        <v>0</v>
      </c>
      <c r="J2302" s="18" t="n">
        <v>107.52</v>
      </c>
      <c r="K2302" s="19" t="n">
        <v>23.14</v>
      </c>
      <c r="L2302" s="15" t="n">
        <f aca="false">YEAR(B2302)</f>
        <v>2022</v>
      </c>
      <c r="M2302" s="20" t="n">
        <f aca="false">IF(J2302&gt;0,K2302/J2302,0)</f>
        <v>0.215215773809524</v>
      </c>
    </row>
    <row r="2303" customFormat="false" ht="15" hidden="false" customHeight="false" outlineLevel="0" collapsed="false">
      <c r="A2303" s="15" t="s">
        <v>2360</v>
      </c>
      <c r="B2303" s="16" t="n">
        <v>45602</v>
      </c>
      <c r="C2303" s="15" t="s">
        <v>56</v>
      </c>
      <c r="D2303" s="15" t="s">
        <v>43</v>
      </c>
      <c r="E2303" s="15" t="s">
        <v>39</v>
      </c>
      <c r="F2303" s="15" t="s">
        <v>17</v>
      </c>
      <c r="G2303" s="15" t="s">
        <v>29</v>
      </c>
      <c r="H2303" s="15" t="n">
        <v>1</v>
      </c>
      <c r="I2303" s="17" t="n">
        <v>0</v>
      </c>
      <c r="J2303" s="18" t="n">
        <v>21.83</v>
      </c>
      <c r="K2303" s="19" t="n">
        <v>8.24</v>
      </c>
      <c r="L2303" s="15" t="n">
        <f aca="false">YEAR(B2303)</f>
        <v>2024</v>
      </c>
      <c r="M2303" s="20" t="n">
        <f aca="false">IF(J2303&gt;0,K2303/J2303,0)</f>
        <v>0.377462207970683</v>
      </c>
    </row>
    <row r="2304" customFormat="false" ht="15" hidden="false" customHeight="false" outlineLevel="0" collapsed="false">
      <c r="A2304" s="15" t="s">
        <v>2361</v>
      </c>
      <c r="B2304" s="16" t="n">
        <v>45920</v>
      </c>
      <c r="C2304" s="15" t="s">
        <v>56</v>
      </c>
      <c r="D2304" s="15" t="s">
        <v>42</v>
      </c>
      <c r="E2304" s="15" t="s">
        <v>37</v>
      </c>
      <c r="F2304" s="15" t="s">
        <v>16</v>
      </c>
      <c r="G2304" s="15" t="s">
        <v>27</v>
      </c>
      <c r="H2304" s="15" t="n">
        <v>5</v>
      </c>
      <c r="I2304" s="17" t="n">
        <v>0.3</v>
      </c>
      <c r="J2304" s="18" t="n">
        <v>215.16</v>
      </c>
      <c r="K2304" s="19" t="n">
        <v>-7.44</v>
      </c>
      <c r="L2304" s="15" t="n">
        <f aca="false">YEAR(B2304)</f>
        <v>2025</v>
      </c>
      <c r="M2304" s="20" t="n">
        <f aca="false">IF(J2304&gt;0,K2304/J2304,0)</f>
        <v>-0.0345789180145008</v>
      </c>
    </row>
    <row r="2305" customFormat="false" ht="15" hidden="false" customHeight="false" outlineLevel="0" collapsed="false">
      <c r="A2305" s="15" t="s">
        <v>2362</v>
      </c>
      <c r="B2305" s="16" t="n">
        <v>45619</v>
      </c>
      <c r="C2305" s="15" t="s">
        <v>68</v>
      </c>
      <c r="D2305" s="15" t="s">
        <v>42</v>
      </c>
      <c r="E2305" s="15" t="s">
        <v>36</v>
      </c>
      <c r="F2305" s="15" t="s">
        <v>18</v>
      </c>
      <c r="G2305" s="15" t="s">
        <v>32</v>
      </c>
      <c r="H2305" s="15" t="n">
        <v>3</v>
      </c>
      <c r="I2305" s="17" t="n">
        <v>0.05</v>
      </c>
      <c r="J2305" s="18" t="n">
        <v>1107.82</v>
      </c>
      <c r="K2305" s="19" t="n">
        <v>130.5</v>
      </c>
      <c r="L2305" s="15" t="n">
        <f aca="false">YEAR(B2305)</f>
        <v>2024</v>
      </c>
      <c r="M2305" s="20" t="n">
        <f aca="false">IF(J2305&gt;0,K2305/J2305,0)</f>
        <v>0.117798920402231</v>
      </c>
    </row>
    <row r="2306" customFormat="false" ht="15" hidden="false" customHeight="false" outlineLevel="0" collapsed="false">
      <c r="A2306" s="15" t="s">
        <v>2363</v>
      </c>
      <c r="B2306" s="16" t="n">
        <v>45939</v>
      </c>
      <c r="C2306" s="15" t="s">
        <v>56</v>
      </c>
      <c r="D2306" s="15" t="s">
        <v>42</v>
      </c>
      <c r="E2306" s="15" t="s">
        <v>36</v>
      </c>
      <c r="F2306" s="15" t="s">
        <v>18</v>
      </c>
      <c r="G2306" s="15" t="s">
        <v>30</v>
      </c>
      <c r="H2306" s="15" t="n">
        <v>3</v>
      </c>
      <c r="I2306" s="17" t="n">
        <v>0.1</v>
      </c>
      <c r="J2306" s="18" t="n">
        <v>114.01</v>
      </c>
      <c r="K2306" s="19" t="n">
        <v>26.07</v>
      </c>
      <c r="L2306" s="15" t="n">
        <f aca="false">YEAR(B2306)</f>
        <v>2025</v>
      </c>
      <c r="M2306" s="20" t="n">
        <f aca="false">IF(J2306&gt;0,K2306/J2306,0)</f>
        <v>0.228664152267345</v>
      </c>
    </row>
    <row r="2307" customFormat="false" ht="15" hidden="false" customHeight="false" outlineLevel="0" collapsed="false">
      <c r="A2307" s="15" t="s">
        <v>2364</v>
      </c>
      <c r="B2307" s="16" t="n">
        <v>45975</v>
      </c>
      <c r="C2307" s="15" t="s">
        <v>56</v>
      </c>
      <c r="D2307" s="15" t="s">
        <v>42</v>
      </c>
      <c r="E2307" s="15" t="s">
        <v>37</v>
      </c>
      <c r="F2307" s="15" t="s">
        <v>16</v>
      </c>
      <c r="G2307" s="15" t="s">
        <v>25</v>
      </c>
      <c r="H2307" s="15" t="n">
        <v>6</v>
      </c>
      <c r="I2307" s="17" t="n">
        <v>0.1</v>
      </c>
      <c r="J2307" s="18" t="n">
        <v>1565.3</v>
      </c>
      <c r="K2307" s="19" t="n">
        <v>42.6</v>
      </c>
      <c r="L2307" s="15" t="n">
        <f aca="false">YEAR(B2307)</f>
        <v>2025</v>
      </c>
      <c r="M2307" s="20" t="n">
        <f aca="false">IF(J2307&gt;0,K2307/J2307,0)</f>
        <v>0.0272152303072893</v>
      </c>
    </row>
    <row r="2308" customFormat="false" ht="15" hidden="false" customHeight="false" outlineLevel="0" collapsed="false">
      <c r="A2308" s="15" t="s">
        <v>2365</v>
      </c>
      <c r="B2308" s="16" t="n">
        <v>44670</v>
      </c>
      <c r="C2308" s="15" t="s">
        <v>56</v>
      </c>
      <c r="D2308" s="15" t="s">
        <v>42</v>
      </c>
      <c r="E2308" s="15" t="s">
        <v>39</v>
      </c>
      <c r="F2308" s="15" t="s">
        <v>17</v>
      </c>
      <c r="G2308" s="15" t="s">
        <v>29</v>
      </c>
      <c r="H2308" s="15" t="n">
        <v>2</v>
      </c>
      <c r="I2308" s="17" t="n">
        <v>0.1</v>
      </c>
      <c r="J2308" s="18" t="n">
        <v>33.72</v>
      </c>
      <c r="K2308" s="19" t="n">
        <v>10.64</v>
      </c>
      <c r="L2308" s="15" t="n">
        <f aca="false">YEAR(B2308)</f>
        <v>2022</v>
      </c>
      <c r="M2308" s="20" t="n">
        <f aca="false">IF(J2308&gt;0,K2308/J2308,0)</f>
        <v>0.315539739027284</v>
      </c>
    </row>
    <row r="2309" customFormat="false" ht="15" hidden="false" customHeight="false" outlineLevel="0" collapsed="false">
      <c r="A2309" s="15" t="s">
        <v>2366</v>
      </c>
      <c r="B2309" s="16" t="n">
        <v>44618</v>
      </c>
      <c r="C2309" s="15" t="s">
        <v>68</v>
      </c>
      <c r="D2309" s="15" t="s">
        <v>42</v>
      </c>
      <c r="E2309" s="15" t="s">
        <v>37</v>
      </c>
      <c r="F2309" s="15" t="s">
        <v>17</v>
      </c>
      <c r="G2309" s="15" t="s">
        <v>29</v>
      </c>
      <c r="H2309" s="15" t="n">
        <v>3</v>
      </c>
      <c r="I2309" s="17" t="n">
        <v>0.05</v>
      </c>
      <c r="J2309" s="18" t="n">
        <v>52.67</v>
      </c>
      <c r="K2309" s="19" t="n">
        <v>13.75</v>
      </c>
      <c r="L2309" s="15" t="n">
        <f aca="false">YEAR(B2309)</f>
        <v>2022</v>
      </c>
      <c r="M2309" s="20" t="n">
        <f aca="false">IF(J2309&gt;0,K2309/J2309,0)</f>
        <v>0.261059426618568</v>
      </c>
    </row>
    <row r="2310" customFormat="false" ht="15" hidden="false" customHeight="false" outlineLevel="0" collapsed="false">
      <c r="A2310" s="15" t="s">
        <v>2367</v>
      </c>
      <c r="B2310" s="16" t="n">
        <v>45863</v>
      </c>
      <c r="C2310" s="15" t="s">
        <v>58</v>
      </c>
      <c r="D2310" s="15" t="s">
        <v>43</v>
      </c>
      <c r="E2310" s="15" t="s">
        <v>36</v>
      </c>
      <c r="F2310" s="15" t="s">
        <v>17</v>
      </c>
      <c r="G2310" s="15" t="s">
        <v>28</v>
      </c>
      <c r="H2310" s="15" t="n">
        <v>3</v>
      </c>
      <c r="I2310" s="17" t="n">
        <v>0.15</v>
      </c>
      <c r="J2310" s="18" t="n">
        <v>61.83</v>
      </c>
      <c r="K2310" s="19" t="n">
        <v>9.01</v>
      </c>
      <c r="L2310" s="15" t="n">
        <f aca="false">YEAR(B2310)</f>
        <v>2025</v>
      </c>
      <c r="M2310" s="20" t="n">
        <f aca="false">IF(J2310&gt;0,K2310/J2310,0)</f>
        <v>0.145722141355329</v>
      </c>
    </row>
    <row r="2311" customFormat="false" ht="15" hidden="false" customHeight="false" outlineLevel="0" collapsed="false">
      <c r="A2311" s="15" t="s">
        <v>2368</v>
      </c>
      <c r="B2311" s="16" t="n">
        <v>45668</v>
      </c>
      <c r="C2311" s="15" t="s">
        <v>56</v>
      </c>
      <c r="D2311" s="15" t="s">
        <v>44</v>
      </c>
      <c r="E2311" s="15" t="s">
        <v>37</v>
      </c>
      <c r="F2311" s="15" t="s">
        <v>16</v>
      </c>
      <c r="G2311" s="15" t="s">
        <v>23</v>
      </c>
      <c r="H2311" s="15" t="n">
        <v>2</v>
      </c>
      <c r="I2311" s="17" t="n">
        <v>0.3</v>
      </c>
      <c r="J2311" s="18" t="n">
        <v>431.68</v>
      </c>
      <c r="K2311" s="19" t="n">
        <v>-99.22</v>
      </c>
      <c r="L2311" s="15" t="n">
        <f aca="false">YEAR(B2311)</f>
        <v>2025</v>
      </c>
      <c r="M2311" s="20" t="n">
        <f aca="false">IF(J2311&gt;0,K2311/J2311,0)</f>
        <v>-0.229846182357302</v>
      </c>
    </row>
    <row r="2312" customFormat="false" ht="15" hidden="false" customHeight="false" outlineLevel="0" collapsed="false">
      <c r="A2312" s="15" t="s">
        <v>2369</v>
      </c>
      <c r="B2312" s="16" t="n">
        <v>44626</v>
      </c>
      <c r="C2312" s="15" t="s">
        <v>56</v>
      </c>
      <c r="D2312" s="15" t="s">
        <v>42</v>
      </c>
      <c r="E2312" s="15" t="s">
        <v>39</v>
      </c>
      <c r="F2312" s="15" t="s">
        <v>17</v>
      </c>
      <c r="G2312" s="15" t="s">
        <v>29</v>
      </c>
      <c r="H2312" s="15" t="n">
        <v>2</v>
      </c>
      <c r="I2312" s="17" t="n">
        <v>0</v>
      </c>
      <c r="J2312" s="18" t="n">
        <v>35.22</v>
      </c>
      <c r="K2312" s="19" t="n">
        <v>12.14</v>
      </c>
      <c r="L2312" s="15" t="n">
        <f aca="false">YEAR(B2312)</f>
        <v>2022</v>
      </c>
      <c r="M2312" s="20" t="n">
        <f aca="false">IF(J2312&gt;0,K2312/J2312,0)</f>
        <v>0.344690516751846</v>
      </c>
    </row>
    <row r="2313" customFormat="false" ht="15" hidden="false" customHeight="false" outlineLevel="0" collapsed="false">
      <c r="A2313" s="15" t="s">
        <v>2370</v>
      </c>
      <c r="B2313" s="16" t="n">
        <v>45111</v>
      </c>
      <c r="C2313" s="15" t="s">
        <v>56</v>
      </c>
      <c r="D2313" s="15" t="s">
        <v>43</v>
      </c>
      <c r="E2313" s="15" t="s">
        <v>39</v>
      </c>
      <c r="F2313" s="15" t="s">
        <v>18</v>
      </c>
      <c r="G2313" s="15" t="s">
        <v>32</v>
      </c>
      <c r="H2313" s="15" t="n">
        <v>3</v>
      </c>
      <c r="I2313" s="17" t="n">
        <v>0.1</v>
      </c>
      <c r="J2313" s="18" t="n">
        <v>1109.01</v>
      </c>
      <c r="K2313" s="19" t="n">
        <v>88.16</v>
      </c>
      <c r="L2313" s="15" t="n">
        <f aca="false">YEAR(B2313)</f>
        <v>2023</v>
      </c>
      <c r="M2313" s="20" t="n">
        <f aca="false">IF(J2313&gt;0,K2313/J2313,0)</f>
        <v>0.079494323766242</v>
      </c>
    </row>
    <row r="2314" customFormat="false" ht="15" hidden="false" customHeight="false" outlineLevel="0" collapsed="false">
      <c r="A2314" s="15" t="s">
        <v>2371</v>
      </c>
      <c r="B2314" s="16" t="n">
        <v>44807</v>
      </c>
      <c r="C2314" s="15" t="s">
        <v>56</v>
      </c>
      <c r="D2314" s="15" t="s">
        <v>44</v>
      </c>
      <c r="E2314" s="15" t="s">
        <v>39</v>
      </c>
      <c r="F2314" s="15" t="s">
        <v>17</v>
      </c>
      <c r="G2314" s="15" t="s">
        <v>28</v>
      </c>
      <c r="H2314" s="15" t="n">
        <v>2</v>
      </c>
      <c r="I2314" s="17" t="n">
        <v>0.2</v>
      </c>
      <c r="J2314" s="18" t="n">
        <v>47.27</v>
      </c>
      <c r="K2314" s="19" t="n">
        <v>9.39</v>
      </c>
      <c r="L2314" s="15" t="n">
        <f aca="false">YEAR(B2314)</f>
        <v>2022</v>
      </c>
      <c r="M2314" s="20" t="n">
        <f aca="false">IF(J2314&gt;0,K2314/J2314,0)</f>
        <v>0.198646075735139</v>
      </c>
    </row>
    <row r="2315" customFormat="false" ht="15" hidden="false" customHeight="false" outlineLevel="0" collapsed="false">
      <c r="A2315" s="15" t="s">
        <v>2372</v>
      </c>
      <c r="B2315" s="16" t="n">
        <v>45500</v>
      </c>
      <c r="C2315" s="15" t="s">
        <v>56</v>
      </c>
      <c r="D2315" s="15" t="s">
        <v>42</v>
      </c>
      <c r="E2315" s="15" t="s">
        <v>38</v>
      </c>
      <c r="F2315" s="15" t="s">
        <v>18</v>
      </c>
      <c r="G2315" s="15" t="s">
        <v>32</v>
      </c>
      <c r="H2315" s="15" t="n">
        <v>3</v>
      </c>
      <c r="I2315" s="17" t="n">
        <v>0.15</v>
      </c>
      <c r="J2315" s="18" t="n">
        <v>1177.56</v>
      </c>
      <c r="K2315" s="19" t="n">
        <v>89.45</v>
      </c>
      <c r="L2315" s="15" t="n">
        <f aca="false">YEAR(B2315)</f>
        <v>2024</v>
      </c>
      <c r="M2315" s="20" t="n">
        <f aca="false">IF(J2315&gt;0,K2315/J2315,0)</f>
        <v>0.0759621590407283</v>
      </c>
    </row>
    <row r="2316" customFormat="false" ht="15" hidden="false" customHeight="false" outlineLevel="0" collapsed="false">
      <c r="A2316" s="15" t="s">
        <v>2373</v>
      </c>
      <c r="B2316" s="16" t="n">
        <v>45767</v>
      </c>
      <c r="C2316" s="15" t="s">
        <v>58</v>
      </c>
      <c r="D2316" s="15" t="s">
        <v>43</v>
      </c>
      <c r="E2316" s="15" t="s">
        <v>38</v>
      </c>
      <c r="F2316" s="15" t="s">
        <v>16</v>
      </c>
      <c r="G2316" s="15" t="s">
        <v>23</v>
      </c>
      <c r="H2316" s="15" t="n">
        <v>2</v>
      </c>
      <c r="I2316" s="17" t="n">
        <v>0.2</v>
      </c>
      <c r="J2316" s="18" t="n">
        <v>449.32</v>
      </c>
      <c r="K2316" s="19" t="n">
        <v>-71.66</v>
      </c>
      <c r="L2316" s="15" t="n">
        <f aca="false">YEAR(B2316)</f>
        <v>2025</v>
      </c>
      <c r="M2316" s="20" t="n">
        <f aca="false">IF(J2316&gt;0,K2316/J2316,0)</f>
        <v>-0.159485444671949</v>
      </c>
    </row>
    <row r="2317" customFormat="false" ht="15" hidden="false" customHeight="false" outlineLevel="0" collapsed="false">
      <c r="A2317" s="15" t="s">
        <v>2374</v>
      </c>
      <c r="B2317" s="16" t="n">
        <v>45274</v>
      </c>
      <c r="C2317" s="15" t="s">
        <v>56</v>
      </c>
      <c r="D2317" s="15" t="s">
        <v>43</v>
      </c>
      <c r="E2317" s="15" t="s">
        <v>37</v>
      </c>
      <c r="F2317" s="15" t="s">
        <v>16</v>
      </c>
      <c r="G2317" s="15" t="s">
        <v>25</v>
      </c>
      <c r="H2317" s="15" t="n">
        <v>1</v>
      </c>
      <c r="I2317" s="17" t="n">
        <v>0</v>
      </c>
      <c r="J2317" s="18" t="n">
        <v>308.59</v>
      </c>
      <c r="K2317" s="19" t="n">
        <v>10.55</v>
      </c>
      <c r="L2317" s="15" t="n">
        <f aca="false">YEAR(B2317)</f>
        <v>2023</v>
      </c>
      <c r="M2317" s="20" t="n">
        <f aca="false">IF(J2317&gt;0,K2317/J2317,0)</f>
        <v>0.0341877572183156</v>
      </c>
    </row>
    <row r="2318" customFormat="false" ht="15" hidden="false" customHeight="false" outlineLevel="0" collapsed="false">
      <c r="A2318" s="15" t="s">
        <v>2375</v>
      </c>
      <c r="B2318" s="16" t="n">
        <v>44940</v>
      </c>
      <c r="C2318" s="15" t="s">
        <v>56</v>
      </c>
      <c r="D2318" s="15" t="s">
        <v>43</v>
      </c>
      <c r="E2318" s="15" t="s">
        <v>38</v>
      </c>
      <c r="F2318" s="15" t="s">
        <v>18</v>
      </c>
      <c r="G2318" s="15" t="s">
        <v>32</v>
      </c>
      <c r="H2318" s="15" t="n">
        <v>4</v>
      </c>
      <c r="I2318" s="17" t="n">
        <v>0</v>
      </c>
      <c r="J2318" s="18" t="n">
        <v>1754.41</v>
      </c>
      <c r="K2318" s="19" t="n">
        <v>230.66</v>
      </c>
      <c r="L2318" s="15" t="n">
        <f aca="false">YEAR(B2318)</f>
        <v>2023</v>
      </c>
      <c r="M2318" s="20" t="n">
        <f aca="false">IF(J2318&gt;0,K2318/J2318,0)</f>
        <v>0.131474398800736</v>
      </c>
    </row>
    <row r="2319" customFormat="false" ht="15" hidden="false" customHeight="false" outlineLevel="0" collapsed="false">
      <c r="A2319" s="15" t="s">
        <v>2376</v>
      </c>
      <c r="B2319" s="16" t="n">
        <v>45893</v>
      </c>
      <c r="C2319" s="15" t="s">
        <v>71</v>
      </c>
      <c r="D2319" s="15" t="s">
        <v>43</v>
      </c>
      <c r="E2319" s="15" t="s">
        <v>36</v>
      </c>
      <c r="F2319" s="15" t="s">
        <v>16</v>
      </c>
      <c r="G2319" s="15" t="s">
        <v>25</v>
      </c>
      <c r="H2319" s="15" t="n">
        <v>4</v>
      </c>
      <c r="I2319" s="17" t="n">
        <v>0</v>
      </c>
      <c r="J2319" s="18" t="n">
        <v>1051.31</v>
      </c>
      <c r="K2319" s="19" t="n">
        <v>110.27</v>
      </c>
      <c r="L2319" s="15" t="n">
        <f aca="false">YEAR(B2319)</f>
        <v>2025</v>
      </c>
      <c r="M2319" s="20" t="n">
        <f aca="false">IF(J2319&gt;0,K2319/J2319,0)</f>
        <v>0.104888187118928</v>
      </c>
    </row>
    <row r="2320" customFormat="false" ht="15" hidden="false" customHeight="false" outlineLevel="0" collapsed="false">
      <c r="A2320" s="15" t="s">
        <v>2377</v>
      </c>
      <c r="B2320" s="16" t="n">
        <v>44757</v>
      </c>
      <c r="C2320" s="15" t="s">
        <v>56</v>
      </c>
      <c r="D2320" s="15" t="s">
        <v>43</v>
      </c>
      <c r="E2320" s="15" t="s">
        <v>39</v>
      </c>
      <c r="F2320" s="15" t="s">
        <v>17</v>
      </c>
      <c r="G2320" s="15" t="s">
        <v>28</v>
      </c>
      <c r="H2320" s="15" t="n">
        <v>2</v>
      </c>
      <c r="I2320" s="17" t="n">
        <v>0.3</v>
      </c>
      <c r="J2320" s="18" t="n">
        <v>33.34</v>
      </c>
      <c r="K2320" s="19" t="n">
        <v>0.86</v>
      </c>
      <c r="L2320" s="15" t="n">
        <f aca="false">YEAR(B2320)</f>
        <v>2022</v>
      </c>
      <c r="M2320" s="20" t="n">
        <f aca="false">IF(J2320&gt;0,K2320/J2320,0)</f>
        <v>0.0257948410317936</v>
      </c>
    </row>
    <row r="2321" customFormat="false" ht="15" hidden="false" customHeight="false" outlineLevel="0" collapsed="false">
      <c r="A2321" s="15" t="s">
        <v>2378</v>
      </c>
      <c r="B2321" s="16" t="n">
        <v>44878</v>
      </c>
      <c r="C2321" s="15" t="s">
        <v>68</v>
      </c>
      <c r="D2321" s="15" t="s">
        <v>43</v>
      </c>
      <c r="E2321" s="15" t="s">
        <v>36</v>
      </c>
      <c r="F2321" s="15" t="s">
        <v>18</v>
      </c>
      <c r="G2321" s="15" t="s">
        <v>32</v>
      </c>
      <c r="H2321" s="15" t="n">
        <v>2</v>
      </c>
      <c r="I2321" s="17" t="n">
        <v>0</v>
      </c>
      <c r="J2321" s="18" t="n">
        <v>762.29</v>
      </c>
      <c r="K2321" s="19" t="n">
        <v>151.23</v>
      </c>
      <c r="L2321" s="15" t="n">
        <f aca="false">YEAR(B2321)</f>
        <v>2022</v>
      </c>
      <c r="M2321" s="20" t="n">
        <f aca="false">IF(J2321&gt;0,K2321/J2321,0)</f>
        <v>0.198389064529247</v>
      </c>
    </row>
    <row r="2322" customFormat="false" ht="15" hidden="false" customHeight="false" outlineLevel="0" collapsed="false">
      <c r="A2322" s="15" t="s">
        <v>2379</v>
      </c>
      <c r="B2322" s="16" t="n">
        <v>45414</v>
      </c>
      <c r="C2322" s="15" t="s">
        <v>56</v>
      </c>
      <c r="D2322" s="15" t="s">
        <v>43</v>
      </c>
      <c r="E2322" s="15" t="s">
        <v>39</v>
      </c>
      <c r="F2322" s="15" t="s">
        <v>17</v>
      </c>
      <c r="G2322" s="15" t="s">
        <v>28</v>
      </c>
      <c r="H2322" s="15" t="n">
        <v>5</v>
      </c>
      <c r="I2322" s="17" t="n">
        <v>0</v>
      </c>
      <c r="J2322" s="18" t="n">
        <v>147.2</v>
      </c>
      <c r="K2322" s="19" t="n">
        <v>44.07</v>
      </c>
      <c r="L2322" s="15" t="n">
        <f aca="false">YEAR(B2322)</f>
        <v>2024</v>
      </c>
      <c r="M2322" s="20" t="n">
        <f aca="false">IF(J2322&gt;0,K2322/J2322,0)</f>
        <v>0.299388586956522</v>
      </c>
    </row>
    <row r="2323" customFormat="false" ht="15" hidden="false" customHeight="false" outlineLevel="0" collapsed="false">
      <c r="A2323" s="15" t="s">
        <v>2380</v>
      </c>
      <c r="B2323" s="16" t="n">
        <v>44822</v>
      </c>
      <c r="C2323" s="15" t="s">
        <v>68</v>
      </c>
      <c r="D2323" s="15" t="s">
        <v>42</v>
      </c>
      <c r="E2323" s="15" t="s">
        <v>39</v>
      </c>
      <c r="F2323" s="15" t="s">
        <v>18</v>
      </c>
      <c r="G2323" s="15" t="s">
        <v>30</v>
      </c>
      <c r="H2323" s="15" t="n">
        <v>3</v>
      </c>
      <c r="I2323" s="17" t="n">
        <v>0.05</v>
      </c>
      <c r="J2323" s="18" t="n">
        <v>129.71</v>
      </c>
      <c r="K2323" s="19" t="n">
        <v>35.45</v>
      </c>
      <c r="L2323" s="15" t="n">
        <f aca="false">YEAR(B2323)</f>
        <v>2022</v>
      </c>
      <c r="M2323" s="20" t="n">
        <f aca="false">IF(J2323&gt;0,K2323/J2323,0)</f>
        <v>0.273301981342996</v>
      </c>
    </row>
    <row r="2324" customFormat="false" ht="15" hidden="false" customHeight="false" outlineLevel="0" collapsed="false">
      <c r="A2324" s="15" t="s">
        <v>2381</v>
      </c>
      <c r="B2324" s="16" t="n">
        <v>45316</v>
      </c>
      <c r="C2324" s="15" t="s">
        <v>68</v>
      </c>
      <c r="D2324" s="15" t="s">
        <v>42</v>
      </c>
      <c r="E2324" s="15" t="s">
        <v>39</v>
      </c>
      <c r="F2324" s="15" t="s">
        <v>17</v>
      </c>
      <c r="G2324" s="15" t="s">
        <v>26</v>
      </c>
      <c r="H2324" s="15" t="n">
        <v>1</v>
      </c>
      <c r="I2324" s="17" t="n">
        <v>0.5</v>
      </c>
      <c r="J2324" s="18" t="n">
        <v>45.39</v>
      </c>
      <c r="K2324" s="19" t="n">
        <v>-17.32</v>
      </c>
      <c r="L2324" s="15" t="n">
        <f aca="false">YEAR(B2324)</f>
        <v>2024</v>
      </c>
      <c r="M2324" s="20" t="n">
        <f aca="false">IF(J2324&gt;0,K2324/J2324,0)</f>
        <v>-0.381581846221635</v>
      </c>
    </row>
    <row r="2325" customFormat="false" ht="15" hidden="false" customHeight="false" outlineLevel="0" collapsed="false">
      <c r="A2325" s="15" t="s">
        <v>2382</v>
      </c>
      <c r="B2325" s="16" t="n">
        <v>45590</v>
      </c>
      <c r="C2325" s="15" t="s">
        <v>71</v>
      </c>
      <c r="D2325" s="15" t="s">
        <v>42</v>
      </c>
      <c r="E2325" s="15" t="s">
        <v>37</v>
      </c>
      <c r="F2325" s="15" t="s">
        <v>18</v>
      </c>
      <c r="G2325" s="15" t="s">
        <v>30</v>
      </c>
      <c r="H2325" s="15" t="n">
        <v>3</v>
      </c>
      <c r="I2325" s="17" t="n">
        <v>0.15</v>
      </c>
      <c r="J2325" s="18" t="n">
        <v>131.39</v>
      </c>
      <c r="K2325" s="19" t="n">
        <v>24.4</v>
      </c>
      <c r="L2325" s="15" t="n">
        <f aca="false">YEAR(B2325)</f>
        <v>2024</v>
      </c>
      <c r="M2325" s="20" t="n">
        <f aca="false">IF(J2325&gt;0,K2325/J2325,0)</f>
        <v>0.185706674784991</v>
      </c>
    </row>
    <row r="2326" customFormat="false" ht="15" hidden="false" customHeight="false" outlineLevel="0" collapsed="false">
      <c r="A2326" s="15" t="s">
        <v>2383</v>
      </c>
      <c r="B2326" s="16" t="n">
        <v>45010</v>
      </c>
      <c r="C2326" s="15" t="s">
        <v>56</v>
      </c>
      <c r="D2326" s="15" t="s">
        <v>43</v>
      </c>
      <c r="E2326" s="15" t="s">
        <v>39</v>
      </c>
      <c r="F2326" s="15" t="s">
        <v>17</v>
      </c>
      <c r="G2326" s="15" t="s">
        <v>26</v>
      </c>
      <c r="H2326" s="15" t="n">
        <v>4</v>
      </c>
      <c r="I2326" s="17" t="n">
        <v>0</v>
      </c>
      <c r="J2326" s="18" t="n">
        <v>469.84</v>
      </c>
      <c r="K2326" s="19" t="n">
        <v>35.32</v>
      </c>
      <c r="L2326" s="15" t="n">
        <f aca="false">YEAR(B2326)</f>
        <v>2023</v>
      </c>
      <c r="M2326" s="20" t="n">
        <f aca="false">IF(J2326&gt;0,K2326/J2326,0)</f>
        <v>0.075174527498723</v>
      </c>
    </row>
    <row r="2327" customFormat="false" ht="15" hidden="false" customHeight="false" outlineLevel="0" collapsed="false">
      <c r="A2327" s="15" t="s">
        <v>2384</v>
      </c>
      <c r="B2327" s="16" t="n">
        <v>45942</v>
      </c>
      <c r="C2327" s="15" t="s">
        <v>58</v>
      </c>
      <c r="D2327" s="15" t="s">
        <v>42</v>
      </c>
      <c r="E2327" s="15" t="s">
        <v>39</v>
      </c>
      <c r="F2327" s="15" t="s">
        <v>18</v>
      </c>
      <c r="G2327" s="15" t="s">
        <v>30</v>
      </c>
      <c r="H2327" s="15" t="n">
        <v>6</v>
      </c>
      <c r="I2327" s="17" t="n">
        <v>0.4</v>
      </c>
      <c r="J2327" s="18" t="n">
        <v>194.65</v>
      </c>
      <c r="K2327" s="19" t="n">
        <v>3.62</v>
      </c>
      <c r="L2327" s="15" t="n">
        <f aca="false">YEAR(B2327)</f>
        <v>2025</v>
      </c>
      <c r="M2327" s="20" t="n">
        <f aca="false">IF(J2327&gt;0,K2327/J2327,0)</f>
        <v>0.0185974826611867</v>
      </c>
    </row>
    <row r="2328" customFormat="false" ht="15" hidden="false" customHeight="false" outlineLevel="0" collapsed="false">
      <c r="A2328" s="15" t="s">
        <v>2385</v>
      </c>
      <c r="B2328" s="16" t="n">
        <v>45900</v>
      </c>
      <c r="C2328" s="15" t="s">
        <v>56</v>
      </c>
      <c r="D2328" s="15" t="s">
        <v>43</v>
      </c>
      <c r="E2328" s="15" t="s">
        <v>39</v>
      </c>
      <c r="F2328" s="15" t="s">
        <v>16</v>
      </c>
      <c r="G2328" s="15" t="s">
        <v>25</v>
      </c>
      <c r="H2328" s="15" t="n">
        <v>7</v>
      </c>
      <c r="I2328" s="17" t="n">
        <v>0</v>
      </c>
      <c r="J2328" s="18" t="n">
        <v>2121.88</v>
      </c>
      <c r="K2328" s="19" t="n">
        <v>85.69</v>
      </c>
      <c r="L2328" s="15" t="n">
        <f aca="false">YEAR(B2328)</f>
        <v>2025</v>
      </c>
      <c r="M2328" s="20" t="n">
        <f aca="false">IF(J2328&gt;0,K2328/J2328,0)</f>
        <v>0.040383999095142</v>
      </c>
    </row>
    <row r="2329" customFormat="false" ht="15" hidden="false" customHeight="false" outlineLevel="0" collapsed="false">
      <c r="A2329" s="15" t="s">
        <v>2386</v>
      </c>
      <c r="B2329" s="16" t="n">
        <v>45725</v>
      </c>
      <c r="C2329" s="15" t="s">
        <v>56</v>
      </c>
      <c r="D2329" s="15" t="s">
        <v>44</v>
      </c>
      <c r="E2329" s="15" t="s">
        <v>37</v>
      </c>
      <c r="F2329" s="15" t="s">
        <v>17</v>
      </c>
      <c r="G2329" s="15" t="s">
        <v>31</v>
      </c>
      <c r="H2329" s="15" t="n">
        <v>4</v>
      </c>
      <c r="I2329" s="17" t="n">
        <v>0.3</v>
      </c>
      <c r="J2329" s="18" t="n">
        <v>470.28</v>
      </c>
      <c r="K2329" s="19" t="n">
        <v>-55.38</v>
      </c>
      <c r="L2329" s="15" t="n">
        <f aca="false">YEAR(B2329)</f>
        <v>2025</v>
      </c>
      <c r="M2329" s="20" t="n">
        <f aca="false">IF(J2329&gt;0,K2329/J2329,0)</f>
        <v>-0.117759632559326</v>
      </c>
    </row>
    <row r="2330" customFormat="false" ht="15" hidden="false" customHeight="false" outlineLevel="0" collapsed="false">
      <c r="A2330" s="15" t="s">
        <v>2387</v>
      </c>
      <c r="B2330" s="16" t="n">
        <v>45484</v>
      </c>
      <c r="C2330" s="15" t="s">
        <v>56</v>
      </c>
      <c r="D2330" s="15" t="s">
        <v>42</v>
      </c>
      <c r="E2330" s="15" t="s">
        <v>39</v>
      </c>
      <c r="F2330" s="15" t="s">
        <v>18</v>
      </c>
      <c r="G2330" s="15" t="s">
        <v>30</v>
      </c>
      <c r="H2330" s="15" t="n">
        <v>5</v>
      </c>
      <c r="I2330" s="17" t="n">
        <v>0.2</v>
      </c>
      <c r="J2330" s="18" t="n">
        <v>172.66</v>
      </c>
      <c r="K2330" s="19" t="n">
        <v>13.03</v>
      </c>
      <c r="L2330" s="15" t="n">
        <f aca="false">YEAR(B2330)</f>
        <v>2024</v>
      </c>
      <c r="M2330" s="20" t="n">
        <f aca="false">IF(J2330&gt;0,K2330/J2330,0)</f>
        <v>0.0754662342175374</v>
      </c>
    </row>
    <row r="2331" customFormat="false" ht="15" hidden="false" customHeight="false" outlineLevel="0" collapsed="false">
      <c r="A2331" s="15" t="s">
        <v>2388</v>
      </c>
      <c r="B2331" s="16" t="n">
        <v>45482</v>
      </c>
      <c r="C2331" s="15" t="s">
        <v>71</v>
      </c>
      <c r="D2331" s="15" t="s">
        <v>42</v>
      </c>
      <c r="E2331" s="15" t="s">
        <v>36</v>
      </c>
      <c r="F2331" s="15" t="s">
        <v>16</v>
      </c>
      <c r="G2331" s="15" t="s">
        <v>27</v>
      </c>
      <c r="H2331" s="15" t="n">
        <v>6</v>
      </c>
      <c r="I2331" s="17" t="n">
        <v>0.1</v>
      </c>
      <c r="J2331" s="18" t="n">
        <v>297.15</v>
      </c>
      <c r="K2331" s="19" t="n">
        <v>47.24</v>
      </c>
      <c r="L2331" s="15" t="n">
        <f aca="false">YEAR(B2331)</f>
        <v>2024</v>
      </c>
      <c r="M2331" s="20" t="n">
        <f aca="false">IF(J2331&gt;0,K2331/J2331,0)</f>
        <v>0.158976947669527</v>
      </c>
    </row>
    <row r="2332" customFormat="false" ht="15" hidden="false" customHeight="false" outlineLevel="0" collapsed="false">
      <c r="A2332" s="15" t="s">
        <v>2389</v>
      </c>
      <c r="B2332" s="16" t="n">
        <v>45991</v>
      </c>
      <c r="C2332" s="15" t="s">
        <v>56</v>
      </c>
      <c r="D2332" s="15" t="s">
        <v>42</v>
      </c>
      <c r="E2332" s="15" t="s">
        <v>39</v>
      </c>
      <c r="F2332" s="15" t="s">
        <v>17</v>
      </c>
      <c r="G2332" s="15" t="s">
        <v>26</v>
      </c>
      <c r="H2332" s="15" t="n">
        <v>3</v>
      </c>
      <c r="I2332" s="17" t="n">
        <v>0</v>
      </c>
      <c r="J2332" s="18" t="n">
        <v>236.31</v>
      </c>
      <c r="K2332" s="19" t="n">
        <v>19.53</v>
      </c>
      <c r="L2332" s="15" t="n">
        <f aca="false">YEAR(B2332)</f>
        <v>2025</v>
      </c>
      <c r="M2332" s="20" t="n">
        <f aca="false">IF(J2332&gt;0,K2332/J2332,0)</f>
        <v>0.0826456772883077</v>
      </c>
    </row>
    <row r="2333" customFormat="false" ht="15" hidden="false" customHeight="false" outlineLevel="0" collapsed="false">
      <c r="A2333" s="15" t="s">
        <v>2390</v>
      </c>
      <c r="B2333" s="16" t="n">
        <v>44998</v>
      </c>
      <c r="C2333" s="15" t="s">
        <v>56</v>
      </c>
      <c r="D2333" s="15" t="s">
        <v>43</v>
      </c>
      <c r="E2333" s="15" t="s">
        <v>39</v>
      </c>
      <c r="F2333" s="15" t="s">
        <v>18</v>
      </c>
      <c r="G2333" s="15" t="s">
        <v>30</v>
      </c>
      <c r="H2333" s="15" t="n">
        <v>4</v>
      </c>
      <c r="I2333" s="17" t="n">
        <v>0</v>
      </c>
      <c r="J2333" s="18" t="n">
        <v>211.96</v>
      </c>
      <c r="K2333" s="19" t="n">
        <v>65.7</v>
      </c>
      <c r="L2333" s="15" t="n">
        <f aca="false">YEAR(B2333)</f>
        <v>2023</v>
      </c>
      <c r="M2333" s="20" t="n">
        <f aca="false">IF(J2333&gt;0,K2333/J2333,0)</f>
        <v>0.309964144178147</v>
      </c>
    </row>
    <row r="2334" customFormat="false" ht="15" hidden="false" customHeight="false" outlineLevel="0" collapsed="false">
      <c r="A2334" s="15" t="s">
        <v>2391</v>
      </c>
      <c r="B2334" s="16" t="n">
        <v>45615</v>
      </c>
      <c r="C2334" s="15" t="s">
        <v>71</v>
      </c>
      <c r="D2334" s="15" t="s">
        <v>42</v>
      </c>
      <c r="E2334" s="15" t="s">
        <v>39</v>
      </c>
      <c r="F2334" s="15" t="s">
        <v>17</v>
      </c>
      <c r="G2334" s="15" t="s">
        <v>26</v>
      </c>
      <c r="H2334" s="15" t="n">
        <v>5</v>
      </c>
      <c r="I2334" s="17" t="n">
        <v>0.2</v>
      </c>
      <c r="J2334" s="18" t="n">
        <v>417.78</v>
      </c>
      <c r="K2334" s="19" t="n">
        <v>-64.01</v>
      </c>
      <c r="L2334" s="15" t="n">
        <f aca="false">YEAR(B2334)</f>
        <v>2024</v>
      </c>
      <c r="M2334" s="20" t="n">
        <f aca="false">IF(J2334&gt;0,K2334/J2334,0)</f>
        <v>-0.153214610560582</v>
      </c>
    </row>
    <row r="2335" customFormat="false" ht="15" hidden="false" customHeight="false" outlineLevel="0" collapsed="false">
      <c r="A2335" s="15" t="s">
        <v>2392</v>
      </c>
      <c r="B2335" s="16" t="n">
        <v>44898</v>
      </c>
      <c r="C2335" s="15" t="s">
        <v>71</v>
      </c>
      <c r="D2335" s="15" t="s">
        <v>42</v>
      </c>
      <c r="E2335" s="15" t="s">
        <v>37</v>
      </c>
      <c r="F2335" s="15" t="s">
        <v>17</v>
      </c>
      <c r="G2335" s="15" t="s">
        <v>31</v>
      </c>
      <c r="H2335" s="15" t="n">
        <v>5</v>
      </c>
      <c r="I2335" s="17" t="n">
        <v>0.2</v>
      </c>
      <c r="J2335" s="18" t="n">
        <v>565.14</v>
      </c>
      <c r="K2335" s="19" t="n">
        <v>31.94</v>
      </c>
      <c r="L2335" s="15" t="n">
        <f aca="false">YEAR(B2335)</f>
        <v>2022</v>
      </c>
      <c r="M2335" s="20" t="n">
        <f aca="false">IF(J2335&gt;0,K2335/J2335,0)</f>
        <v>0.0565169692465584</v>
      </c>
    </row>
    <row r="2336" customFormat="false" ht="15" hidden="false" customHeight="false" outlineLevel="0" collapsed="false">
      <c r="A2336" s="15" t="s">
        <v>2393</v>
      </c>
      <c r="B2336" s="16" t="n">
        <v>45170</v>
      </c>
      <c r="C2336" s="15" t="s">
        <v>56</v>
      </c>
      <c r="D2336" s="15" t="s">
        <v>43</v>
      </c>
      <c r="E2336" s="15" t="s">
        <v>38</v>
      </c>
      <c r="F2336" s="15" t="s">
        <v>17</v>
      </c>
      <c r="G2336" s="15" t="s">
        <v>28</v>
      </c>
      <c r="H2336" s="15" t="n">
        <v>7</v>
      </c>
      <c r="I2336" s="17" t="n">
        <v>0.3</v>
      </c>
      <c r="J2336" s="18" t="n">
        <v>111.91</v>
      </c>
      <c r="K2336" s="19" t="n">
        <v>4.57</v>
      </c>
      <c r="L2336" s="15" t="n">
        <f aca="false">YEAR(B2336)</f>
        <v>2023</v>
      </c>
      <c r="M2336" s="20" t="n">
        <f aca="false">IF(J2336&gt;0,K2336/J2336,0)</f>
        <v>0.040836386381914</v>
      </c>
    </row>
    <row r="2337" customFormat="false" ht="15" hidden="false" customHeight="false" outlineLevel="0" collapsed="false">
      <c r="A2337" s="15" t="s">
        <v>2394</v>
      </c>
      <c r="B2337" s="16" t="n">
        <v>45915</v>
      </c>
      <c r="C2337" s="15" t="s">
        <v>56</v>
      </c>
      <c r="D2337" s="15" t="s">
        <v>42</v>
      </c>
      <c r="E2337" s="15" t="s">
        <v>37</v>
      </c>
      <c r="F2337" s="15" t="s">
        <v>17</v>
      </c>
      <c r="G2337" s="15" t="s">
        <v>29</v>
      </c>
      <c r="H2337" s="15" t="n">
        <v>4</v>
      </c>
      <c r="I2337" s="17" t="n">
        <v>0.1</v>
      </c>
      <c r="J2337" s="18" t="n">
        <v>78.11</v>
      </c>
      <c r="K2337" s="19" t="n">
        <v>22.14</v>
      </c>
      <c r="L2337" s="15" t="n">
        <f aca="false">YEAR(B2337)</f>
        <v>2025</v>
      </c>
      <c r="M2337" s="20" t="n">
        <f aca="false">IF(J2337&gt;0,K2337/J2337,0)</f>
        <v>0.283446421712969</v>
      </c>
    </row>
    <row r="2338" customFormat="false" ht="15" hidden="false" customHeight="false" outlineLevel="0" collapsed="false">
      <c r="A2338" s="15" t="s">
        <v>2395</v>
      </c>
      <c r="B2338" s="16" t="n">
        <v>44608</v>
      </c>
      <c r="C2338" s="15" t="s">
        <v>56</v>
      </c>
      <c r="D2338" s="15" t="s">
        <v>43</v>
      </c>
      <c r="E2338" s="15" t="s">
        <v>36</v>
      </c>
      <c r="F2338" s="15" t="s">
        <v>17</v>
      </c>
      <c r="G2338" s="15" t="s">
        <v>28</v>
      </c>
      <c r="H2338" s="15" t="n">
        <v>2</v>
      </c>
      <c r="I2338" s="17" t="n">
        <v>0</v>
      </c>
      <c r="J2338" s="18" t="n">
        <v>59.89</v>
      </c>
      <c r="K2338" s="19" t="n">
        <v>16.17</v>
      </c>
      <c r="L2338" s="15" t="n">
        <f aca="false">YEAR(B2338)</f>
        <v>2022</v>
      </c>
      <c r="M2338" s="20" t="n">
        <f aca="false">IF(J2338&gt;0,K2338/J2338,0)</f>
        <v>0.269994990816497</v>
      </c>
    </row>
    <row r="2339" customFormat="false" ht="15" hidden="false" customHeight="false" outlineLevel="0" collapsed="false">
      <c r="A2339" s="15" t="s">
        <v>2396</v>
      </c>
      <c r="B2339" s="16" t="n">
        <v>45059</v>
      </c>
      <c r="C2339" s="15" t="s">
        <v>56</v>
      </c>
      <c r="D2339" s="15" t="s">
        <v>43</v>
      </c>
      <c r="E2339" s="15" t="s">
        <v>39</v>
      </c>
      <c r="F2339" s="15" t="s">
        <v>17</v>
      </c>
      <c r="G2339" s="15" t="s">
        <v>26</v>
      </c>
      <c r="H2339" s="15" t="n">
        <v>1</v>
      </c>
      <c r="I2339" s="17" t="n">
        <v>0</v>
      </c>
      <c r="J2339" s="18" t="n">
        <v>118.93</v>
      </c>
      <c r="K2339" s="19" t="n">
        <v>11.71</v>
      </c>
      <c r="L2339" s="15" t="n">
        <f aca="false">YEAR(B2339)</f>
        <v>2023</v>
      </c>
      <c r="M2339" s="20" t="n">
        <f aca="false">IF(J2339&gt;0,K2339/J2339,0)</f>
        <v>0.0984612797443875</v>
      </c>
    </row>
    <row r="2340" customFormat="false" ht="15" hidden="false" customHeight="false" outlineLevel="0" collapsed="false">
      <c r="A2340" s="15" t="s">
        <v>2397</v>
      </c>
      <c r="B2340" s="16" t="n">
        <v>45390</v>
      </c>
      <c r="C2340" s="15" t="s">
        <v>56</v>
      </c>
      <c r="D2340" s="15" t="s">
        <v>42</v>
      </c>
      <c r="E2340" s="15" t="s">
        <v>36</v>
      </c>
      <c r="F2340" s="15" t="s">
        <v>16</v>
      </c>
      <c r="G2340" s="15" t="s">
        <v>27</v>
      </c>
      <c r="H2340" s="15" t="n">
        <v>2</v>
      </c>
      <c r="I2340" s="17" t="n">
        <v>0.05</v>
      </c>
      <c r="J2340" s="18" t="n">
        <v>99.27</v>
      </c>
      <c r="K2340" s="19" t="n">
        <v>10.48</v>
      </c>
      <c r="L2340" s="15" t="n">
        <f aca="false">YEAR(B2340)</f>
        <v>2024</v>
      </c>
      <c r="M2340" s="20" t="n">
        <f aca="false">IF(J2340&gt;0,K2340/J2340,0)</f>
        <v>0.105570665860784</v>
      </c>
    </row>
    <row r="2341" customFormat="false" ht="15" hidden="false" customHeight="false" outlineLevel="0" collapsed="false">
      <c r="A2341" s="15" t="s">
        <v>2398</v>
      </c>
      <c r="B2341" s="16" t="n">
        <v>45551</v>
      </c>
      <c r="C2341" s="15" t="s">
        <v>56</v>
      </c>
      <c r="D2341" s="15" t="s">
        <v>43</v>
      </c>
      <c r="E2341" s="15" t="s">
        <v>36</v>
      </c>
      <c r="F2341" s="15" t="s">
        <v>17</v>
      </c>
      <c r="G2341" s="15" t="s">
        <v>29</v>
      </c>
      <c r="H2341" s="15" t="n">
        <v>1</v>
      </c>
      <c r="I2341" s="17" t="n">
        <v>0</v>
      </c>
      <c r="J2341" s="18" t="n">
        <v>16.15</v>
      </c>
      <c r="K2341" s="19" t="n">
        <v>4.95</v>
      </c>
      <c r="L2341" s="15" t="n">
        <f aca="false">YEAR(B2341)</f>
        <v>2024</v>
      </c>
      <c r="M2341" s="20" t="n">
        <f aca="false">IF(J2341&gt;0,K2341/J2341,0)</f>
        <v>0.306501547987616</v>
      </c>
    </row>
    <row r="2342" customFormat="false" ht="15" hidden="false" customHeight="false" outlineLevel="0" collapsed="false">
      <c r="A2342" s="15" t="s">
        <v>2399</v>
      </c>
      <c r="B2342" s="16" t="n">
        <v>45122</v>
      </c>
      <c r="C2342" s="15" t="s">
        <v>58</v>
      </c>
      <c r="D2342" s="15" t="s">
        <v>42</v>
      </c>
      <c r="E2342" s="15" t="s">
        <v>36</v>
      </c>
      <c r="F2342" s="15" t="s">
        <v>18</v>
      </c>
      <c r="G2342" s="15" t="s">
        <v>32</v>
      </c>
      <c r="H2342" s="15" t="n">
        <v>5</v>
      </c>
      <c r="I2342" s="17" t="n">
        <v>0</v>
      </c>
      <c r="J2342" s="18" t="n">
        <v>2008.21</v>
      </c>
      <c r="K2342" s="19" t="n">
        <v>113.36</v>
      </c>
      <c r="L2342" s="15" t="n">
        <f aca="false">YEAR(B2342)</f>
        <v>2023</v>
      </c>
      <c r="M2342" s="20" t="n">
        <f aca="false">IF(J2342&gt;0,K2342/J2342,0)</f>
        <v>0.0564482798113743</v>
      </c>
    </row>
    <row r="2343" customFormat="false" ht="15" hidden="false" customHeight="false" outlineLevel="0" collapsed="false">
      <c r="A2343" s="15" t="s">
        <v>2400</v>
      </c>
      <c r="B2343" s="16" t="n">
        <v>45390</v>
      </c>
      <c r="C2343" s="15" t="s">
        <v>56</v>
      </c>
      <c r="D2343" s="15" t="s">
        <v>43</v>
      </c>
      <c r="E2343" s="15" t="s">
        <v>38</v>
      </c>
      <c r="F2343" s="15" t="s">
        <v>16</v>
      </c>
      <c r="G2343" s="15" t="s">
        <v>23</v>
      </c>
      <c r="H2343" s="15" t="n">
        <v>2</v>
      </c>
      <c r="I2343" s="17" t="n">
        <v>0</v>
      </c>
      <c r="J2343" s="18" t="n">
        <v>621.94</v>
      </c>
      <c r="K2343" s="19" t="n">
        <v>-1.05</v>
      </c>
      <c r="L2343" s="15" t="n">
        <f aca="false">YEAR(B2343)</f>
        <v>2024</v>
      </c>
      <c r="M2343" s="20" t="n">
        <f aca="false">IF(J2343&gt;0,K2343/J2343,0)</f>
        <v>-0.00168826574910763</v>
      </c>
    </row>
    <row r="2344" customFormat="false" ht="15" hidden="false" customHeight="false" outlineLevel="0" collapsed="false">
      <c r="A2344" s="15" t="s">
        <v>2401</v>
      </c>
      <c r="B2344" s="16" t="n">
        <v>45043</v>
      </c>
      <c r="C2344" s="15" t="s">
        <v>56</v>
      </c>
      <c r="D2344" s="15" t="s">
        <v>42</v>
      </c>
      <c r="E2344" s="15" t="s">
        <v>37</v>
      </c>
      <c r="F2344" s="15" t="s">
        <v>16</v>
      </c>
      <c r="G2344" s="15" t="s">
        <v>25</v>
      </c>
      <c r="H2344" s="15" t="n">
        <v>4</v>
      </c>
      <c r="I2344" s="17" t="n">
        <v>0</v>
      </c>
      <c r="J2344" s="18" t="n">
        <v>975.2</v>
      </c>
      <c r="K2344" s="19" t="n">
        <v>149.26</v>
      </c>
      <c r="L2344" s="15" t="n">
        <f aca="false">YEAR(B2344)</f>
        <v>2023</v>
      </c>
      <c r="M2344" s="20" t="n">
        <f aca="false">IF(J2344&gt;0,K2344/J2344,0)</f>
        <v>0.15305578342904</v>
      </c>
    </row>
    <row r="2345" customFormat="false" ht="15" hidden="false" customHeight="false" outlineLevel="0" collapsed="false">
      <c r="A2345" s="15" t="s">
        <v>2402</v>
      </c>
      <c r="B2345" s="16" t="n">
        <v>45652</v>
      </c>
      <c r="C2345" s="15" t="s">
        <v>56</v>
      </c>
      <c r="D2345" s="15" t="s">
        <v>42</v>
      </c>
      <c r="E2345" s="15" t="s">
        <v>38</v>
      </c>
      <c r="F2345" s="15" t="s">
        <v>18</v>
      </c>
      <c r="G2345" s="15" t="s">
        <v>32</v>
      </c>
      <c r="H2345" s="15" t="n">
        <v>4</v>
      </c>
      <c r="I2345" s="17" t="n">
        <v>0.2</v>
      </c>
      <c r="J2345" s="18" t="n">
        <v>979.25</v>
      </c>
      <c r="K2345" s="19" t="n">
        <v>-48.81</v>
      </c>
      <c r="L2345" s="15" t="n">
        <f aca="false">YEAR(B2345)</f>
        <v>2024</v>
      </c>
      <c r="M2345" s="20" t="n">
        <f aca="false">IF(J2345&gt;0,K2345/J2345,0)</f>
        <v>-0.0498442685728874</v>
      </c>
    </row>
    <row r="2346" customFormat="false" ht="15" hidden="false" customHeight="false" outlineLevel="0" collapsed="false">
      <c r="A2346" s="15" t="s">
        <v>2403</v>
      </c>
      <c r="B2346" s="16" t="n">
        <v>45593</v>
      </c>
      <c r="C2346" s="15" t="s">
        <v>56</v>
      </c>
      <c r="D2346" s="15" t="s">
        <v>42</v>
      </c>
      <c r="E2346" s="15" t="s">
        <v>38</v>
      </c>
      <c r="F2346" s="15" t="s">
        <v>17</v>
      </c>
      <c r="G2346" s="15" t="s">
        <v>26</v>
      </c>
      <c r="H2346" s="15" t="n">
        <v>3</v>
      </c>
      <c r="I2346" s="17" t="n">
        <v>0</v>
      </c>
      <c r="J2346" s="18" t="n">
        <v>209.4</v>
      </c>
      <c r="K2346" s="19" t="n">
        <v>25.76</v>
      </c>
      <c r="L2346" s="15" t="n">
        <f aca="false">YEAR(B2346)</f>
        <v>2024</v>
      </c>
      <c r="M2346" s="20" t="n">
        <f aca="false">IF(J2346&gt;0,K2346/J2346,0)</f>
        <v>0.123018147086915</v>
      </c>
    </row>
    <row r="2347" customFormat="false" ht="15" hidden="false" customHeight="false" outlineLevel="0" collapsed="false">
      <c r="A2347" s="15" t="s">
        <v>2404</v>
      </c>
      <c r="B2347" s="16" t="n">
        <v>45272</v>
      </c>
      <c r="C2347" s="15" t="s">
        <v>56</v>
      </c>
      <c r="D2347" s="15" t="s">
        <v>44</v>
      </c>
      <c r="E2347" s="15" t="s">
        <v>39</v>
      </c>
      <c r="F2347" s="15" t="s">
        <v>18</v>
      </c>
      <c r="G2347" s="15" t="s">
        <v>33</v>
      </c>
      <c r="H2347" s="15" t="n">
        <v>3</v>
      </c>
      <c r="I2347" s="17" t="n">
        <v>0</v>
      </c>
      <c r="J2347" s="18" t="n">
        <v>2851.29</v>
      </c>
      <c r="K2347" s="19" t="n">
        <v>943.94</v>
      </c>
      <c r="L2347" s="15" t="n">
        <f aca="false">YEAR(B2347)</f>
        <v>2023</v>
      </c>
      <c r="M2347" s="20" t="n">
        <f aca="false">IF(J2347&gt;0,K2347/J2347,0)</f>
        <v>0.331057170614003</v>
      </c>
    </row>
    <row r="2348" customFormat="false" ht="15" hidden="false" customHeight="false" outlineLevel="0" collapsed="false">
      <c r="A2348" s="15" t="s">
        <v>2405</v>
      </c>
      <c r="B2348" s="16" t="n">
        <v>45131</v>
      </c>
      <c r="C2348" s="15" t="s">
        <v>68</v>
      </c>
      <c r="D2348" s="15" t="s">
        <v>43</v>
      </c>
      <c r="E2348" s="15" t="s">
        <v>37</v>
      </c>
      <c r="F2348" s="15" t="s">
        <v>16</v>
      </c>
      <c r="G2348" s="15" t="s">
        <v>22</v>
      </c>
      <c r="H2348" s="15" t="n">
        <v>4</v>
      </c>
      <c r="I2348" s="17" t="n">
        <v>0.15</v>
      </c>
      <c r="J2348" s="18" t="n">
        <v>1700.15</v>
      </c>
      <c r="K2348" s="19" t="n">
        <v>-336.26</v>
      </c>
      <c r="L2348" s="15" t="n">
        <f aca="false">YEAR(B2348)</f>
        <v>2023</v>
      </c>
      <c r="M2348" s="20" t="n">
        <f aca="false">IF(J2348&gt;0,K2348/J2348,0)</f>
        <v>-0.197782548598653</v>
      </c>
    </row>
    <row r="2349" customFormat="false" ht="15" hidden="false" customHeight="false" outlineLevel="0" collapsed="false">
      <c r="A2349" s="15" t="s">
        <v>2406</v>
      </c>
      <c r="B2349" s="16" t="n">
        <v>45370</v>
      </c>
      <c r="C2349" s="15" t="s">
        <v>56</v>
      </c>
      <c r="D2349" s="15" t="s">
        <v>43</v>
      </c>
      <c r="E2349" s="15" t="s">
        <v>36</v>
      </c>
      <c r="F2349" s="15" t="s">
        <v>17</v>
      </c>
      <c r="G2349" s="15" t="s">
        <v>26</v>
      </c>
      <c r="H2349" s="15" t="n">
        <v>3</v>
      </c>
      <c r="I2349" s="17" t="n">
        <v>0</v>
      </c>
      <c r="J2349" s="18" t="n">
        <v>349.25</v>
      </c>
      <c r="K2349" s="19" t="n">
        <v>17.83</v>
      </c>
      <c r="L2349" s="15" t="n">
        <f aca="false">YEAR(B2349)</f>
        <v>2024</v>
      </c>
      <c r="M2349" s="20" t="n">
        <f aca="false">IF(J2349&gt;0,K2349/J2349,0)</f>
        <v>0.0510522548317824</v>
      </c>
    </row>
    <row r="2350" customFormat="false" ht="15" hidden="false" customHeight="false" outlineLevel="0" collapsed="false">
      <c r="A2350" s="15" t="s">
        <v>2407</v>
      </c>
      <c r="B2350" s="16" t="n">
        <v>45700</v>
      </c>
      <c r="C2350" s="15" t="s">
        <v>68</v>
      </c>
      <c r="D2350" s="15" t="s">
        <v>43</v>
      </c>
      <c r="E2350" s="15" t="s">
        <v>39</v>
      </c>
      <c r="F2350" s="15" t="s">
        <v>16</v>
      </c>
      <c r="G2350" s="15" t="s">
        <v>27</v>
      </c>
      <c r="H2350" s="15" t="n">
        <v>5</v>
      </c>
      <c r="I2350" s="17" t="n">
        <v>0.3</v>
      </c>
      <c r="J2350" s="18" t="n">
        <v>258.53</v>
      </c>
      <c r="K2350" s="19" t="n">
        <v>4.72</v>
      </c>
      <c r="L2350" s="15" t="n">
        <f aca="false">YEAR(B2350)</f>
        <v>2025</v>
      </c>
      <c r="M2350" s="20" t="n">
        <f aca="false">IF(J2350&gt;0,K2350/J2350,0)</f>
        <v>0.0182570688121301</v>
      </c>
    </row>
    <row r="2351" customFormat="false" ht="15" hidden="false" customHeight="false" outlineLevel="0" collapsed="false">
      <c r="A2351" s="15" t="s">
        <v>2408</v>
      </c>
      <c r="B2351" s="16" t="n">
        <v>45734</v>
      </c>
      <c r="C2351" s="15" t="s">
        <v>56</v>
      </c>
      <c r="D2351" s="15" t="s">
        <v>44</v>
      </c>
      <c r="E2351" s="15" t="s">
        <v>36</v>
      </c>
      <c r="F2351" s="15" t="s">
        <v>17</v>
      </c>
      <c r="G2351" s="15" t="s">
        <v>29</v>
      </c>
      <c r="H2351" s="15" t="n">
        <v>5</v>
      </c>
      <c r="I2351" s="17" t="n">
        <v>0.2</v>
      </c>
      <c r="J2351" s="18" t="n">
        <v>62.5</v>
      </c>
      <c r="K2351" s="19" t="n">
        <v>18.34</v>
      </c>
      <c r="L2351" s="15" t="n">
        <f aca="false">YEAR(B2351)</f>
        <v>2025</v>
      </c>
      <c r="M2351" s="20" t="n">
        <f aca="false">IF(J2351&gt;0,K2351/J2351,0)</f>
        <v>0.29344</v>
      </c>
    </row>
    <row r="2352" customFormat="false" ht="15" hidden="false" customHeight="false" outlineLevel="0" collapsed="false">
      <c r="A2352" s="15" t="s">
        <v>2409</v>
      </c>
      <c r="B2352" s="16" t="n">
        <v>45196</v>
      </c>
      <c r="C2352" s="15" t="s">
        <v>71</v>
      </c>
      <c r="D2352" s="15" t="s">
        <v>42</v>
      </c>
      <c r="E2352" s="15" t="s">
        <v>37</v>
      </c>
      <c r="F2352" s="15" t="s">
        <v>16</v>
      </c>
      <c r="G2352" s="15" t="s">
        <v>27</v>
      </c>
      <c r="H2352" s="15" t="n">
        <v>5</v>
      </c>
      <c r="I2352" s="17" t="n">
        <v>0</v>
      </c>
      <c r="J2352" s="18" t="n">
        <v>285.47</v>
      </c>
      <c r="K2352" s="19" t="n">
        <v>87.63</v>
      </c>
      <c r="L2352" s="15" t="n">
        <f aca="false">YEAR(B2352)</f>
        <v>2023</v>
      </c>
      <c r="M2352" s="20" t="n">
        <f aca="false">IF(J2352&gt;0,K2352/J2352,0)</f>
        <v>0.306967457175885</v>
      </c>
    </row>
    <row r="2353" customFormat="false" ht="15" hidden="false" customHeight="false" outlineLevel="0" collapsed="false">
      <c r="A2353" s="15" t="s">
        <v>2410</v>
      </c>
      <c r="B2353" s="16" t="n">
        <v>46009</v>
      </c>
      <c r="C2353" s="15" t="s">
        <v>56</v>
      </c>
      <c r="D2353" s="15" t="s">
        <v>43</v>
      </c>
      <c r="E2353" s="15" t="s">
        <v>39</v>
      </c>
      <c r="F2353" s="15" t="s">
        <v>17</v>
      </c>
      <c r="G2353" s="15" t="s">
        <v>29</v>
      </c>
      <c r="H2353" s="15" t="n">
        <v>5</v>
      </c>
      <c r="I2353" s="17" t="n">
        <v>0.05</v>
      </c>
      <c r="J2353" s="18" t="n">
        <v>103.36</v>
      </c>
      <c r="K2353" s="19" t="n">
        <v>32.16</v>
      </c>
      <c r="L2353" s="15" t="n">
        <f aca="false">YEAR(B2353)</f>
        <v>2025</v>
      </c>
      <c r="M2353" s="20" t="n">
        <f aca="false">IF(J2353&gt;0,K2353/J2353,0)</f>
        <v>0.311145510835913</v>
      </c>
    </row>
    <row r="2354" customFormat="false" ht="15" hidden="false" customHeight="false" outlineLevel="0" collapsed="false">
      <c r="A2354" s="15" t="s">
        <v>2411</v>
      </c>
      <c r="B2354" s="16" t="n">
        <v>44767</v>
      </c>
      <c r="C2354" s="15" t="s">
        <v>56</v>
      </c>
      <c r="D2354" s="15" t="s">
        <v>43</v>
      </c>
      <c r="E2354" s="15" t="s">
        <v>38</v>
      </c>
      <c r="F2354" s="15" t="s">
        <v>16</v>
      </c>
      <c r="G2354" s="15" t="s">
        <v>27</v>
      </c>
      <c r="H2354" s="15" t="n">
        <v>3</v>
      </c>
      <c r="I2354" s="17" t="n">
        <v>0</v>
      </c>
      <c r="J2354" s="18" t="n">
        <v>135.87</v>
      </c>
      <c r="K2354" s="19" t="n">
        <v>23.33</v>
      </c>
      <c r="L2354" s="15" t="n">
        <f aca="false">YEAR(B2354)</f>
        <v>2022</v>
      </c>
      <c r="M2354" s="20" t="n">
        <f aca="false">IF(J2354&gt;0,K2354/J2354,0)</f>
        <v>0.171708250533598</v>
      </c>
    </row>
    <row r="2355" customFormat="false" ht="15" hidden="false" customHeight="false" outlineLevel="0" collapsed="false">
      <c r="A2355" s="15" t="s">
        <v>2412</v>
      </c>
      <c r="B2355" s="16" t="n">
        <v>45906</v>
      </c>
      <c r="C2355" s="15" t="s">
        <v>56</v>
      </c>
      <c r="D2355" s="15" t="s">
        <v>44</v>
      </c>
      <c r="E2355" s="15" t="s">
        <v>38</v>
      </c>
      <c r="F2355" s="15" t="s">
        <v>17</v>
      </c>
      <c r="G2355" s="15" t="s">
        <v>26</v>
      </c>
      <c r="H2355" s="15" t="n">
        <v>2</v>
      </c>
      <c r="I2355" s="17" t="n">
        <v>0.1</v>
      </c>
      <c r="J2355" s="18" t="n">
        <v>134.5</v>
      </c>
      <c r="K2355" s="19" t="n">
        <v>3.81</v>
      </c>
      <c r="L2355" s="15" t="n">
        <f aca="false">YEAR(B2355)</f>
        <v>2025</v>
      </c>
      <c r="M2355" s="20" t="n">
        <f aca="false">IF(J2355&gt;0,K2355/J2355,0)</f>
        <v>0.0283271375464684</v>
      </c>
    </row>
    <row r="2356" customFormat="false" ht="15" hidden="false" customHeight="false" outlineLevel="0" collapsed="false">
      <c r="A2356" s="15" t="s">
        <v>2413</v>
      </c>
      <c r="B2356" s="16" t="n">
        <v>45824</v>
      </c>
      <c r="C2356" s="15" t="s">
        <v>68</v>
      </c>
      <c r="D2356" s="15" t="s">
        <v>42</v>
      </c>
      <c r="E2356" s="15" t="s">
        <v>37</v>
      </c>
      <c r="F2356" s="15" t="s">
        <v>17</v>
      </c>
      <c r="G2356" s="15" t="s">
        <v>26</v>
      </c>
      <c r="H2356" s="15" t="n">
        <v>2</v>
      </c>
      <c r="I2356" s="17" t="n">
        <v>0</v>
      </c>
      <c r="J2356" s="18" t="n">
        <v>171.6</v>
      </c>
      <c r="K2356" s="19" t="n">
        <v>12.02</v>
      </c>
      <c r="L2356" s="15" t="n">
        <f aca="false">YEAR(B2356)</f>
        <v>2025</v>
      </c>
      <c r="M2356" s="20" t="n">
        <f aca="false">IF(J2356&gt;0,K2356/J2356,0)</f>
        <v>0.0700466200466201</v>
      </c>
    </row>
    <row r="2357" customFormat="false" ht="15" hidden="false" customHeight="false" outlineLevel="0" collapsed="false">
      <c r="A2357" s="15" t="s">
        <v>2414</v>
      </c>
      <c r="B2357" s="16" t="n">
        <v>46017</v>
      </c>
      <c r="C2357" s="15" t="s">
        <v>56</v>
      </c>
      <c r="D2357" s="15" t="s">
        <v>43</v>
      </c>
      <c r="E2357" s="15" t="s">
        <v>36</v>
      </c>
      <c r="F2357" s="15" t="s">
        <v>17</v>
      </c>
      <c r="G2357" s="15" t="s">
        <v>29</v>
      </c>
      <c r="H2357" s="15" t="n">
        <v>5</v>
      </c>
      <c r="I2357" s="17" t="n">
        <v>0</v>
      </c>
      <c r="J2357" s="18" t="n">
        <v>81.63</v>
      </c>
      <c r="K2357" s="19" t="n">
        <v>28.06</v>
      </c>
      <c r="L2357" s="15" t="n">
        <f aca="false">YEAR(B2357)</f>
        <v>2025</v>
      </c>
      <c r="M2357" s="20" t="n">
        <f aca="false">IF(J2357&gt;0,K2357/J2357,0)</f>
        <v>0.343746171750582</v>
      </c>
    </row>
    <row r="2358" customFormat="false" ht="15" hidden="false" customHeight="false" outlineLevel="0" collapsed="false">
      <c r="A2358" s="15" t="s">
        <v>2415</v>
      </c>
      <c r="B2358" s="16" t="n">
        <v>46003</v>
      </c>
      <c r="C2358" s="15" t="s">
        <v>56</v>
      </c>
      <c r="D2358" s="15" t="s">
        <v>43</v>
      </c>
      <c r="E2358" s="15" t="s">
        <v>36</v>
      </c>
      <c r="F2358" s="15" t="s">
        <v>18</v>
      </c>
      <c r="G2358" s="15" t="s">
        <v>32</v>
      </c>
      <c r="H2358" s="15" t="n">
        <v>4</v>
      </c>
      <c r="I2358" s="17" t="n">
        <v>0</v>
      </c>
      <c r="J2358" s="18" t="n">
        <v>2006.05</v>
      </c>
      <c r="K2358" s="19" t="n">
        <v>312.58</v>
      </c>
      <c r="L2358" s="15" t="n">
        <f aca="false">YEAR(B2358)</f>
        <v>2025</v>
      </c>
      <c r="M2358" s="20" t="n">
        <f aca="false">IF(J2358&gt;0,K2358/J2358,0)</f>
        <v>0.155818648588021</v>
      </c>
    </row>
    <row r="2359" customFormat="false" ht="15" hidden="false" customHeight="false" outlineLevel="0" collapsed="false">
      <c r="A2359" s="15" t="s">
        <v>2416</v>
      </c>
      <c r="B2359" s="16" t="n">
        <v>44747</v>
      </c>
      <c r="C2359" s="15" t="s">
        <v>56</v>
      </c>
      <c r="D2359" s="15" t="s">
        <v>42</v>
      </c>
      <c r="E2359" s="15" t="s">
        <v>37</v>
      </c>
      <c r="F2359" s="15" t="s">
        <v>17</v>
      </c>
      <c r="G2359" s="15" t="s">
        <v>29</v>
      </c>
      <c r="H2359" s="15" t="n">
        <v>3</v>
      </c>
      <c r="I2359" s="17" t="n">
        <v>0.2</v>
      </c>
      <c r="J2359" s="18" t="n">
        <v>41.87</v>
      </c>
      <c r="K2359" s="19" t="n">
        <v>7.55</v>
      </c>
      <c r="L2359" s="15" t="n">
        <f aca="false">YEAR(B2359)</f>
        <v>2022</v>
      </c>
      <c r="M2359" s="20" t="n">
        <f aca="false">IF(J2359&gt;0,K2359/J2359,0)</f>
        <v>0.180320038213518</v>
      </c>
    </row>
    <row r="2360" customFormat="false" ht="15" hidden="false" customHeight="false" outlineLevel="0" collapsed="false">
      <c r="A2360" s="15" t="s">
        <v>2417</v>
      </c>
      <c r="B2360" s="16" t="n">
        <v>45828</v>
      </c>
      <c r="C2360" s="15" t="s">
        <v>56</v>
      </c>
      <c r="D2360" s="15" t="s">
        <v>43</v>
      </c>
      <c r="E2360" s="15" t="s">
        <v>37</v>
      </c>
      <c r="F2360" s="15" t="s">
        <v>16</v>
      </c>
      <c r="G2360" s="15" t="s">
        <v>25</v>
      </c>
      <c r="H2360" s="15" t="n">
        <v>1</v>
      </c>
      <c r="I2360" s="17" t="n">
        <v>0.1</v>
      </c>
      <c r="J2360" s="18" t="n">
        <v>285.29</v>
      </c>
      <c r="K2360" s="19" t="n">
        <v>-17.78</v>
      </c>
      <c r="L2360" s="15" t="n">
        <f aca="false">YEAR(B2360)</f>
        <v>2025</v>
      </c>
      <c r="M2360" s="20" t="n">
        <f aca="false">IF(J2360&gt;0,K2360/J2360,0)</f>
        <v>-0.0623225489852431</v>
      </c>
    </row>
    <row r="2361" customFormat="false" ht="15" hidden="false" customHeight="false" outlineLevel="0" collapsed="false">
      <c r="A2361" s="15" t="s">
        <v>2418</v>
      </c>
      <c r="B2361" s="16" t="n">
        <v>45521</v>
      </c>
      <c r="C2361" s="15" t="s">
        <v>56</v>
      </c>
      <c r="D2361" s="15" t="s">
        <v>44</v>
      </c>
      <c r="E2361" s="15" t="s">
        <v>36</v>
      </c>
      <c r="F2361" s="15" t="s">
        <v>17</v>
      </c>
      <c r="G2361" s="15" t="s">
        <v>26</v>
      </c>
      <c r="H2361" s="15" t="n">
        <v>3</v>
      </c>
      <c r="I2361" s="17" t="n">
        <v>0.3</v>
      </c>
      <c r="J2361" s="18" t="n">
        <v>159.6</v>
      </c>
      <c r="K2361" s="19" t="n">
        <v>-31.4</v>
      </c>
      <c r="L2361" s="15" t="n">
        <f aca="false">YEAR(B2361)</f>
        <v>2024</v>
      </c>
      <c r="M2361" s="20" t="n">
        <f aca="false">IF(J2361&gt;0,K2361/J2361,0)</f>
        <v>-0.196741854636591</v>
      </c>
    </row>
    <row r="2362" customFormat="false" ht="15" hidden="false" customHeight="false" outlineLevel="0" collapsed="false">
      <c r="A2362" s="15" t="s">
        <v>2419</v>
      </c>
      <c r="B2362" s="16" t="n">
        <v>45131</v>
      </c>
      <c r="C2362" s="15" t="s">
        <v>68</v>
      </c>
      <c r="D2362" s="15" t="s">
        <v>42</v>
      </c>
      <c r="E2362" s="15" t="s">
        <v>39</v>
      </c>
      <c r="F2362" s="15" t="s">
        <v>17</v>
      </c>
      <c r="G2362" s="15" t="s">
        <v>31</v>
      </c>
      <c r="H2362" s="15" t="n">
        <v>6</v>
      </c>
      <c r="I2362" s="17" t="n">
        <v>0</v>
      </c>
      <c r="J2362" s="18" t="n">
        <v>826.17</v>
      </c>
      <c r="K2362" s="19" t="n">
        <v>132.01</v>
      </c>
      <c r="L2362" s="15" t="n">
        <f aca="false">YEAR(B2362)</f>
        <v>2023</v>
      </c>
      <c r="M2362" s="20" t="n">
        <f aca="false">IF(J2362&gt;0,K2362/J2362,0)</f>
        <v>0.159785516298098</v>
      </c>
    </row>
    <row r="2363" customFormat="false" ht="15" hidden="false" customHeight="false" outlineLevel="0" collapsed="false">
      <c r="A2363" s="15" t="s">
        <v>2420</v>
      </c>
      <c r="B2363" s="16" t="n">
        <v>45847</v>
      </c>
      <c r="C2363" s="15" t="s">
        <v>68</v>
      </c>
      <c r="D2363" s="15" t="s">
        <v>44</v>
      </c>
      <c r="E2363" s="15" t="s">
        <v>37</v>
      </c>
      <c r="F2363" s="15" t="s">
        <v>18</v>
      </c>
      <c r="G2363" s="15" t="s">
        <v>30</v>
      </c>
      <c r="H2363" s="15" t="n">
        <v>5</v>
      </c>
      <c r="I2363" s="17" t="n">
        <v>0.05</v>
      </c>
      <c r="J2363" s="18" t="n">
        <v>218.31</v>
      </c>
      <c r="K2363" s="19" t="n">
        <v>46.77</v>
      </c>
      <c r="L2363" s="15" t="n">
        <f aca="false">YEAR(B2363)</f>
        <v>2025</v>
      </c>
      <c r="M2363" s="20" t="n">
        <f aca="false">IF(J2363&gt;0,K2363/J2363,0)</f>
        <v>0.214236635976364</v>
      </c>
    </row>
    <row r="2364" customFormat="false" ht="15" hidden="false" customHeight="false" outlineLevel="0" collapsed="false">
      <c r="A2364" s="15" t="s">
        <v>2421</v>
      </c>
      <c r="B2364" s="16" t="n">
        <v>46019</v>
      </c>
      <c r="C2364" s="15" t="s">
        <v>71</v>
      </c>
      <c r="D2364" s="15" t="s">
        <v>43</v>
      </c>
      <c r="E2364" s="15" t="s">
        <v>37</v>
      </c>
      <c r="F2364" s="15" t="s">
        <v>17</v>
      </c>
      <c r="G2364" s="15" t="s">
        <v>31</v>
      </c>
      <c r="H2364" s="15" t="n">
        <v>2</v>
      </c>
      <c r="I2364" s="17" t="n">
        <v>0</v>
      </c>
      <c r="J2364" s="18" t="n">
        <v>269.38</v>
      </c>
      <c r="K2364" s="19" t="n">
        <v>56.88</v>
      </c>
      <c r="L2364" s="15" t="n">
        <f aca="false">YEAR(B2364)</f>
        <v>2025</v>
      </c>
      <c r="M2364" s="20" t="n">
        <f aca="false">IF(J2364&gt;0,K2364/J2364,0)</f>
        <v>0.211151533150197</v>
      </c>
    </row>
    <row r="2365" customFormat="false" ht="15" hidden="false" customHeight="false" outlineLevel="0" collapsed="false">
      <c r="A2365" s="15" t="s">
        <v>2422</v>
      </c>
      <c r="B2365" s="16" t="n">
        <v>44978</v>
      </c>
      <c r="C2365" s="15" t="s">
        <v>71</v>
      </c>
      <c r="D2365" s="15" t="s">
        <v>42</v>
      </c>
      <c r="E2365" s="15" t="s">
        <v>39</v>
      </c>
      <c r="F2365" s="15" t="s">
        <v>17</v>
      </c>
      <c r="G2365" s="15" t="s">
        <v>28</v>
      </c>
      <c r="H2365" s="15" t="n">
        <v>4</v>
      </c>
      <c r="I2365" s="17" t="n">
        <v>0.5</v>
      </c>
      <c r="J2365" s="18" t="n">
        <v>52.32</v>
      </c>
      <c r="K2365" s="19" t="n">
        <v>-4.47</v>
      </c>
      <c r="L2365" s="15" t="n">
        <f aca="false">YEAR(B2365)</f>
        <v>2023</v>
      </c>
      <c r="M2365" s="20" t="n">
        <f aca="false">IF(J2365&gt;0,K2365/J2365,0)</f>
        <v>-0.0854357798165138</v>
      </c>
    </row>
    <row r="2366" customFormat="false" ht="15" hidden="false" customHeight="false" outlineLevel="0" collapsed="false">
      <c r="A2366" s="15" t="s">
        <v>2423</v>
      </c>
      <c r="B2366" s="16" t="n">
        <v>44697</v>
      </c>
      <c r="C2366" s="15" t="s">
        <v>71</v>
      </c>
      <c r="D2366" s="15" t="s">
        <v>43</v>
      </c>
      <c r="E2366" s="15" t="s">
        <v>36</v>
      </c>
      <c r="F2366" s="15" t="s">
        <v>18</v>
      </c>
      <c r="G2366" s="15" t="s">
        <v>30</v>
      </c>
      <c r="H2366" s="15" t="n">
        <v>2</v>
      </c>
      <c r="I2366" s="17" t="n">
        <v>0.1</v>
      </c>
      <c r="J2366" s="18" t="n">
        <v>70.43</v>
      </c>
      <c r="K2366" s="19" t="n">
        <v>17.31</v>
      </c>
      <c r="L2366" s="15" t="n">
        <f aca="false">YEAR(B2366)</f>
        <v>2022</v>
      </c>
      <c r="M2366" s="20" t="n">
        <f aca="false">IF(J2366&gt;0,K2366/J2366,0)</f>
        <v>0.245775947749539</v>
      </c>
    </row>
    <row r="2367" customFormat="false" ht="15" hidden="false" customHeight="false" outlineLevel="0" collapsed="false">
      <c r="A2367" s="15" t="s">
        <v>2424</v>
      </c>
      <c r="B2367" s="16" t="n">
        <v>45273</v>
      </c>
      <c r="C2367" s="15" t="s">
        <v>68</v>
      </c>
      <c r="D2367" s="15" t="s">
        <v>42</v>
      </c>
      <c r="E2367" s="15" t="s">
        <v>39</v>
      </c>
      <c r="F2367" s="15" t="s">
        <v>17</v>
      </c>
      <c r="G2367" s="15" t="s">
        <v>26</v>
      </c>
      <c r="H2367" s="15" t="n">
        <v>3</v>
      </c>
      <c r="I2367" s="17" t="n">
        <v>0</v>
      </c>
      <c r="J2367" s="18" t="n">
        <v>241.14</v>
      </c>
      <c r="K2367" s="19" t="n">
        <v>15.38</v>
      </c>
      <c r="L2367" s="15" t="n">
        <f aca="false">YEAR(B2367)</f>
        <v>2023</v>
      </c>
      <c r="M2367" s="20" t="n">
        <f aca="false">IF(J2367&gt;0,K2367/J2367,0)</f>
        <v>0.0637803765447458</v>
      </c>
    </row>
    <row r="2368" customFormat="false" ht="15" hidden="false" customHeight="false" outlineLevel="0" collapsed="false">
      <c r="A2368" s="15" t="s">
        <v>2425</v>
      </c>
      <c r="B2368" s="16" t="n">
        <v>45871</v>
      </c>
      <c r="C2368" s="15" t="s">
        <v>56</v>
      </c>
      <c r="D2368" s="15" t="s">
        <v>42</v>
      </c>
      <c r="E2368" s="15" t="s">
        <v>37</v>
      </c>
      <c r="F2368" s="15" t="s">
        <v>17</v>
      </c>
      <c r="G2368" s="15" t="s">
        <v>28</v>
      </c>
      <c r="H2368" s="15" t="n">
        <v>4</v>
      </c>
      <c r="I2368" s="17" t="n">
        <v>0</v>
      </c>
      <c r="J2368" s="18" t="n">
        <v>77.59</v>
      </c>
      <c r="K2368" s="19" t="n">
        <v>26.52</v>
      </c>
      <c r="L2368" s="15" t="n">
        <f aca="false">YEAR(B2368)</f>
        <v>2025</v>
      </c>
      <c r="M2368" s="20" t="n">
        <f aca="false">IF(J2368&gt;0,K2368/J2368,0)</f>
        <v>0.341796623276195</v>
      </c>
    </row>
    <row r="2369" customFormat="false" ht="15" hidden="false" customHeight="false" outlineLevel="0" collapsed="false">
      <c r="A2369" s="15" t="s">
        <v>2426</v>
      </c>
      <c r="B2369" s="16" t="n">
        <v>45919</v>
      </c>
      <c r="C2369" s="15" t="s">
        <v>56</v>
      </c>
      <c r="D2369" s="15" t="s">
        <v>42</v>
      </c>
      <c r="E2369" s="15" t="s">
        <v>37</v>
      </c>
      <c r="F2369" s="15" t="s">
        <v>17</v>
      </c>
      <c r="G2369" s="15" t="s">
        <v>28</v>
      </c>
      <c r="H2369" s="15" t="n">
        <v>3</v>
      </c>
      <c r="I2369" s="17" t="n">
        <v>0.2</v>
      </c>
      <c r="J2369" s="18" t="n">
        <v>67.71</v>
      </c>
      <c r="K2369" s="19" t="n">
        <v>6.92</v>
      </c>
      <c r="L2369" s="15" t="n">
        <f aca="false">YEAR(B2369)</f>
        <v>2025</v>
      </c>
      <c r="M2369" s="20" t="n">
        <f aca="false">IF(J2369&gt;0,K2369/J2369,0)</f>
        <v>0.102200561216955</v>
      </c>
    </row>
    <row r="2370" customFormat="false" ht="15" hidden="false" customHeight="false" outlineLevel="0" collapsed="false">
      <c r="A2370" s="15" t="s">
        <v>2427</v>
      </c>
      <c r="B2370" s="16" t="n">
        <v>45982</v>
      </c>
      <c r="C2370" s="15" t="s">
        <v>71</v>
      </c>
      <c r="D2370" s="15" t="s">
        <v>42</v>
      </c>
      <c r="E2370" s="15" t="s">
        <v>36</v>
      </c>
      <c r="F2370" s="15" t="s">
        <v>18</v>
      </c>
      <c r="G2370" s="15" t="s">
        <v>32</v>
      </c>
      <c r="H2370" s="15" t="n">
        <v>2</v>
      </c>
      <c r="I2370" s="17" t="n">
        <v>0.05</v>
      </c>
      <c r="J2370" s="18" t="n">
        <v>754.81</v>
      </c>
      <c r="K2370" s="19" t="n">
        <v>153.26</v>
      </c>
      <c r="L2370" s="15" t="n">
        <f aca="false">YEAR(B2370)</f>
        <v>2025</v>
      </c>
      <c r="M2370" s="20" t="n">
        <f aca="false">IF(J2370&gt;0,K2370/J2370,0)</f>
        <v>0.203044474768485</v>
      </c>
    </row>
    <row r="2371" customFormat="false" ht="15" hidden="false" customHeight="false" outlineLevel="0" collapsed="false">
      <c r="A2371" s="15" t="s">
        <v>2428</v>
      </c>
      <c r="B2371" s="16" t="n">
        <v>45615</v>
      </c>
      <c r="C2371" s="15" t="s">
        <v>56</v>
      </c>
      <c r="D2371" s="15" t="s">
        <v>43</v>
      </c>
      <c r="E2371" s="15" t="s">
        <v>36</v>
      </c>
      <c r="F2371" s="15" t="s">
        <v>16</v>
      </c>
      <c r="G2371" s="15" t="s">
        <v>27</v>
      </c>
      <c r="H2371" s="15" t="n">
        <v>4</v>
      </c>
      <c r="I2371" s="17" t="n">
        <v>0</v>
      </c>
      <c r="J2371" s="18" t="n">
        <v>243.53</v>
      </c>
      <c r="K2371" s="19" t="n">
        <v>59.42</v>
      </c>
      <c r="L2371" s="15" t="n">
        <f aca="false">YEAR(B2371)</f>
        <v>2024</v>
      </c>
      <c r="M2371" s="20" t="n">
        <f aca="false">IF(J2371&gt;0,K2371/J2371,0)</f>
        <v>0.243994579723237</v>
      </c>
    </row>
    <row r="2372" customFormat="false" ht="15" hidden="false" customHeight="false" outlineLevel="0" collapsed="false">
      <c r="A2372" s="15" t="s">
        <v>2429</v>
      </c>
      <c r="B2372" s="16" t="n">
        <v>44843</v>
      </c>
      <c r="C2372" s="15" t="s">
        <v>56</v>
      </c>
      <c r="D2372" s="15" t="s">
        <v>42</v>
      </c>
      <c r="E2372" s="15" t="s">
        <v>39</v>
      </c>
      <c r="F2372" s="15" t="s">
        <v>17</v>
      </c>
      <c r="G2372" s="15" t="s">
        <v>26</v>
      </c>
      <c r="H2372" s="15" t="n">
        <v>8</v>
      </c>
      <c r="I2372" s="17" t="n">
        <v>0.05</v>
      </c>
      <c r="J2372" s="18" t="n">
        <v>681.13</v>
      </c>
      <c r="K2372" s="19" t="n">
        <v>29.83</v>
      </c>
      <c r="L2372" s="15" t="n">
        <f aca="false">YEAR(B2372)</f>
        <v>2022</v>
      </c>
      <c r="M2372" s="20" t="n">
        <f aca="false">IF(J2372&gt;0,K2372/J2372,0)</f>
        <v>0.0437948702890784</v>
      </c>
    </row>
    <row r="2373" customFormat="false" ht="15" hidden="false" customHeight="false" outlineLevel="0" collapsed="false">
      <c r="A2373" s="15" t="s">
        <v>2430</v>
      </c>
      <c r="B2373" s="16" t="n">
        <v>45922</v>
      </c>
      <c r="C2373" s="15" t="s">
        <v>56</v>
      </c>
      <c r="D2373" s="15" t="s">
        <v>43</v>
      </c>
      <c r="E2373" s="15" t="s">
        <v>38</v>
      </c>
      <c r="F2373" s="15" t="s">
        <v>16</v>
      </c>
      <c r="G2373" s="15" t="s">
        <v>27</v>
      </c>
      <c r="H2373" s="15" t="n">
        <v>5</v>
      </c>
      <c r="I2373" s="17" t="n">
        <v>0</v>
      </c>
      <c r="J2373" s="18" t="n">
        <v>263.84</v>
      </c>
      <c r="K2373" s="19" t="n">
        <v>46.91</v>
      </c>
      <c r="L2373" s="15" t="n">
        <f aca="false">YEAR(B2373)</f>
        <v>2025</v>
      </c>
      <c r="M2373" s="20" t="n">
        <f aca="false">IF(J2373&gt;0,K2373/J2373,0)</f>
        <v>0.17779714978775</v>
      </c>
    </row>
    <row r="2374" customFormat="false" ht="15" hidden="false" customHeight="false" outlineLevel="0" collapsed="false">
      <c r="A2374" s="15" t="s">
        <v>2431</v>
      </c>
      <c r="B2374" s="16" t="n">
        <v>45494</v>
      </c>
      <c r="C2374" s="15" t="s">
        <v>68</v>
      </c>
      <c r="D2374" s="15" t="s">
        <v>44</v>
      </c>
      <c r="E2374" s="15" t="s">
        <v>39</v>
      </c>
      <c r="F2374" s="15" t="s">
        <v>18</v>
      </c>
      <c r="G2374" s="15" t="s">
        <v>32</v>
      </c>
      <c r="H2374" s="15" t="n">
        <v>2</v>
      </c>
      <c r="I2374" s="17" t="n">
        <v>0</v>
      </c>
      <c r="J2374" s="18" t="n">
        <v>942.09</v>
      </c>
      <c r="K2374" s="19" t="n">
        <v>152.6</v>
      </c>
      <c r="L2374" s="15" t="n">
        <f aca="false">YEAR(B2374)</f>
        <v>2024</v>
      </c>
      <c r="M2374" s="20" t="n">
        <f aca="false">IF(J2374&gt;0,K2374/J2374,0)</f>
        <v>0.16198027789277</v>
      </c>
    </row>
    <row r="2375" customFormat="false" ht="15" hidden="false" customHeight="false" outlineLevel="0" collapsed="false">
      <c r="A2375" s="15" t="s">
        <v>2432</v>
      </c>
      <c r="B2375" s="16" t="n">
        <v>45667</v>
      </c>
      <c r="C2375" s="15" t="s">
        <v>71</v>
      </c>
      <c r="D2375" s="15" t="s">
        <v>42</v>
      </c>
      <c r="E2375" s="15" t="s">
        <v>39</v>
      </c>
      <c r="F2375" s="15" t="s">
        <v>17</v>
      </c>
      <c r="G2375" s="15" t="s">
        <v>28</v>
      </c>
      <c r="H2375" s="15" t="n">
        <v>4</v>
      </c>
      <c r="I2375" s="17" t="n">
        <v>0.15</v>
      </c>
      <c r="J2375" s="18" t="n">
        <v>95.47</v>
      </c>
      <c r="K2375" s="19" t="n">
        <v>11.72</v>
      </c>
      <c r="L2375" s="15" t="n">
        <f aca="false">YEAR(B2375)</f>
        <v>2025</v>
      </c>
      <c r="M2375" s="20" t="n">
        <f aca="false">IF(J2375&gt;0,K2375/J2375,0)</f>
        <v>0.122761076778045</v>
      </c>
    </row>
    <row r="2376" customFormat="false" ht="15" hidden="false" customHeight="false" outlineLevel="0" collapsed="false">
      <c r="A2376" s="15" t="s">
        <v>2433</v>
      </c>
      <c r="B2376" s="16" t="n">
        <v>44805</v>
      </c>
      <c r="C2376" s="15" t="s">
        <v>56</v>
      </c>
      <c r="D2376" s="15" t="s">
        <v>42</v>
      </c>
      <c r="E2376" s="15" t="s">
        <v>38</v>
      </c>
      <c r="F2376" s="15" t="s">
        <v>18</v>
      </c>
      <c r="G2376" s="15" t="s">
        <v>33</v>
      </c>
      <c r="H2376" s="15" t="n">
        <v>4</v>
      </c>
      <c r="I2376" s="17" t="n">
        <v>0.2</v>
      </c>
      <c r="J2376" s="18" t="n">
        <v>2547.3</v>
      </c>
      <c r="K2376" s="19" t="n">
        <v>265.69</v>
      </c>
      <c r="L2376" s="15" t="n">
        <f aca="false">YEAR(B2376)</f>
        <v>2022</v>
      </c>
      <c r="M2376" s="20" t="n">
        <f aca="false">IF(J2376&gt;0,K2376/J2376,0)</f>
        <v>0.104302594904409</v>
      </c>
    </row>
    <row r="2377" customFormat="false" ht="15" hidden="false" customHeight="false" outlineLevel="0" collapsed="false">
      <c r="A2377" s="15" t="s">
        <v>2434</v>
      </c>
      <c r="B2377" s="16" t="n">
        <v>44746</v>
      </c>
      <c r="C2377" s="15" t="s">
        <v>71</v>
      </c>
      <c r="D2377" s="15" t="s">
        <v>42</v>
      </c>
      <c r="E2377" s="15" t="s">
        <v>38</v>
      </c>
      <c r="F2377" s="15" t="s">
        <v>16</v>
      </c>
      <c r="G2377" s="15" t="s">
        <v>22</v>
      </c>
      <c r="H2377" s="15" t="n">
        <v>3</v>
      </c>
      <c r="I2377" s="17" t="n">
        <v>0</v>
      </c>
      <c r="J2377" s="18" t="n">
        <v>1351.99</v>
      </c>
      <c r="K2377" s="19" t="n">
        <v>-128.02</v>
      </c>
      <c r="L2377" s="15" t="n">
        <f aca="false">YEAR(B2377)</f>
        <v>2022</v>
      </c>
      <c r="M2377" s="20" t="n">
        <f aca="false">IF(J2377&gt;0,K2377/J2377,0)</f>
        <v>-0.0946900494826145</v>
      </c>
    </row>
    <row r="2378" customFormat="false" ht="15" hidden="false" customHeight="false" outlineLevel="0" collapsed="false">
      <c r="A2378" s="15" t="s">
        <v>2435</v>
      </c>
      <c r="B2378" s="16" t="n">
        <v>45082</v>
      </c>
      <c r="C2378" s="15" t="s">
        <v>71</v>
      </c>
      <c r="D2378" s="15" t="s">
        <v>42</v>
      </c>
      <c r="E2378" s="15" t="s">
        <v>38</v>
      </c>
      <c r="F2378" s="15" t="s">
        <v>17</v>
      </c>
      <c r="G2378" s="15" t="s">
        <v>28</v>
      </c>
      <c r="H2378" s="15" t="n">
        <v>1</v>
      </c>
      <c r="I2378" s="17" t="n">
        <v>0.3</v>
      </c>
      <c r="J2378" s="18" t="n">
        <v>14.3</v>
      </c>
      <c r="K2378" s="19" t="n">
        <v>1.68</v>
      </c>
      <c r="L2378" s="15" t="n">
        <f aca="false">YEAR(B2378)</f>
        <v>2023</v>
      </c>
      <c r="M2378" s="20" t="n">
        <f aca="false">IF(J2378&gt;0,K2378/J2378,0)</f>
        <v>0.117482517482517</v>
      </c>
    </row>
    <row r="2379" customFormat="false" ht="15" hidden="false" customHeight="false" outlineLevel="0" collapsed="false">
      <c r="A2379" s="15" t="s">
        <v>2436</v>
      </c>
      <c r="B2379" s="16" t="n">
        <v>45904</v>
      </c>
      <c r="C2379" s="15" t="s">
        <v>58</v>
      </c>
      <c r="D2379" s="15" t="s">
        <v>43</v>
      </c>
      <c r="E2379" s="15" t="s">
        <v>37</v>
      </c>
      <c r="F2379" s="15" t="s">
        <v>17</v>
      </c>
      <c r="G2379" s="15" t="s">
        <v>29</v>
      </c>
      <c r="H2379" s="15" t="n">
        <v>6</v>
      </c>
      <c r="I2379" s="17" t="n">
        <v>0</v>
      </c>
      <c r="J2379" s="18" t="n">
        <v>108.84</v>
      </c>
      <c r="K2379" s="19" t="n">
        <v>44.58</v>
      </c>
      <c r="L2379" s="15" t="n">
        <f aca="false">YEAR(B2379)</f>
        <v>2025</v>
      </c>
      <c r="M2379" s="20" t="n">
        <f aca="false">IF(J2379&gt;0,K2379/J2379,0)</f>
        <v>0.409592061742007</v>
      </c>
    </row>
    <row r="2380" customFormat="false" ht="15" hidden="false" customHeight="false" outlineLevel="0" collapsed="false">
      <c r="A2380" s="15" t="s">
        <v>2437</v>
      </c>
      <c r="B2380" s="16" t="n">
        <v>44953</v>
      </c>
      <c r="C2380" s="15" t="s">
        <v>56</v>
      </c>
      <c r="D2380" s="15" t="s">
        <v>42</v>
      </c>
      <c r="E2380" s="15" t="s">
        <v>37</v>
      </c>
      <c r="F2380" s="15" t="s">
        <v>17</v>
      </c>
      <c r="G2380" s="15" t="s">
        <v>31</v>
      </c>
      <c r="H2380" s="15" t="n">
        <v>4</v>
      </c>
      <c r="I2380" s="17" t="n">
        <v>0</v>
      </c>
      <c r="J2380" s="18" t="n">
        <v>582.1</v>
      </c>
      <c r="K2380" s="19" t="n">
        <v>113.16</v>
      </c>
      <c r="L2380" s="15" t="n">
        <f aca="false">YEAR(B2380)</f>
        <v>2023</v>
      </c>
      <c r="M2380" s="20" t="n">
        <f aca="false">IF(J2380&gt;0,K2380/J2380,0)</f>
        <v>0.194399587699708</v>
      </c>
    </row>
    <row r="2381" customFormat="false" ht="15" hidden="false" customHeight="false" outlineLevel="0" collapsed="false">
      <c r="A2381" s="15" t="s">
        <v>2438</v>
      </c>
      <c r="B2381" s="16" t="n">
        <v>45625</v>
      </c>
      <c r="C2381" s="15" t="s">
        <v>56</v>
      </c>
      <c r="D2381" s="15" t="s">
        <v>42</v>
      </c>
      <c r="E2381" s="15" t="s">
        <v>36</v>
      </c>
      <c r="F2381" s="15" t="s">
        <v>18</v>
      </c>
      <c r="G2381" s="15" t="s">
        <v>33</v>
      </c>
      <c r="H2381" s="15" t="n">
        <v>3</v>
      </c>
      <c r="I2381" s="17" t="n">
        <v>0.2</v>
      </c>
      <c r="J2381" s="18" t="n">
        <v>2081.9</v>
      </c>
      <c r="K2381" s="19" t="n">
        <v>267.62</v>
      </c>
      <c r="L2381" s="15" t="n">
        <f aca="false">YEAR(B2381)</f>
        <v>2024</v>
      </c>
      <c r="M2381" s="20" t="n">
        <f aca="false">IF(J2381&gt;0,K2381/J2381,0)</f>
        <v>0.128546039675297</v>
      </c>
    </row>
    <row r="2382" customFormat="false" ht="15" hidden="false" customHeight="false" outlineLevel="0" collapsed="false">
      <c r="A2382" s="15" t="s">
        <v>2439</v>
      </c>
      <c r="B2382" s="16" t="n">
        <v>44654</v>
      </c>
      <c r="C2382" s="15" t="s">
        <v>56</v>
      </c>
      <c r="D2382" s="15" t="s">
        <v>42</v>
      </c>
      <c r="E2382" s="15" t="s">
        <v>36</v>
      </c>
      <c r="F2382" s="15" t="s">
        <v>17</v>
      </c>
      <c r="G2382" s="15" t="s">
        <v>28</v>
      </c>
      <c r="H2382" s="15" t="n">
        <v>3</v>
      </c>
      <c r="I2382" s="17" t="n">
        <v>0</v>
      </c>
      <c r="J2382" s="18" t="n">
        <v>76.64</v>
      </c>
      <c r="K2382" s="19" t="n">
        <v>23.12</v>
      </c>
      <c r="L2382" s="15" t="n">
        <f aca="false">YEAR(B2382)</f>
        <v>2022</v>
      </c>
      <c r="M2382" s="20" t="n">
        <f aca="false">IF(J2382&gt;0,K2382/J2382,0)</f>
        <v>0.301670146137787</v>
      </c>
    </row>
    <row r="2383" customFormat="false" ht="15" hidden="false" customHeight="false" outlineLevel="0" collapsed="false">
      <c r="A2383" s="15" t="s">
        <v>2440</v>
      </c>
      <c r="B2383" s="16" t="n">
        <v>44882</v>
      </c>
      <c r="C2383" s="15" t="s">
        <v>56</v>
      </c>
      <c r="D2383" s="15" t="s">
        <v>42</v>
      </c>
      <c r="E2383" s="15" t="s">
        <v>37</v>
      </c>
      <c r="F2383" s="15" t="s">
        <v>17</v>
      </c>
      <c r="G2383" s="15" t="s">
        <v>29</v>
      </c>
      <c r="H2383" s="15" t="n">
        <v>3</v>
      </c>
      <c r="I2383" s="17" t="n">
        <v>0</v>
      </c>
      <c r="J2383" s="18" t="n">
        <v>66.09</v>
      </c>
      <c r="K2383" s="19" t="n">
        <v>24.44</v>
      </c>
      <c r="L2383" s="15" t="n">
        <f aca="false">YEAR(B2383)</f>
        <v>2022</v>
      </c>
      <c r="M2383" s="20" t="n">
        <f aca="false">IF(J2383&gt;0,K2383/J2383,0)</f>
        <v>0.369798759267665</v>
      </c>
    </row>
    <row r="2384" customFormat="false" ht="15" hidden="false" customHeight="false" outlineLevel="0" collapsed="false">
      <c r="A2384" s="15" t="s">
        <v>2441</v>
      </c>
      <c r="B2384" s="16" t="n">
        <v>45754</v>
      </c>
      <c r="C2384" s="15" t="s">
        <v>56</v>
      </c>
      <c r="D2384" s="15" t="s">
        <v>43</v>
      </c>
      <c r="E2384" s="15" t="s">
        <v>39</v>
      </c>
      <c r="F2384" s="15" t="s">
        <v>18</v>
      </c>
      <c r="G2384" s="15" t="s">
        <v>30</v>
      </c>
      <c r="H2384" s="15" t="n">
        <v>1</v>
      </c>
      <c r="I2384" s="17" t="n">
        <v>0.05</v>
      </c>
      <c r="J2384" s="18" t="n">
        <v>45.19</v>
      </c>
      <c r="K2384" s="19" t="n">
        <v>14.36</v>
      </c>
      <c r="L2384" s="15" t="n">
        <f aca="false">YEAR(B2384)</f>
        <v>2025</v>
      </c>
      <c r="M2384" s="20" t="n">
        <f aca="false">IF(J2384&gt;0,K2384/J2384,0)</f>
        <v>0.317769418012835</v>
      </c>
    </row>
    <row r="2385" customFormat="false" ht="15" hidden="false" customHeight="false" outlineLevel="0" collapsed="false">
      <c r="A2385" s="15" t="s">
        <v>2442</v>
      </c>
      <c r="B2385" s="16" t="n">
        <v>45932</v>
      </c>
      <c r="C2385" s="15" t="s">
        <v>56</v>
      </c>
      <c r="D2385" s="15" t="s">
        <v>42</v>
      </c>
      <c r="E2385" s="15" t="s">
        <v>36</v>
      </c>
      <c r="F2385" s="15" t="s">
        <v>18</v>
      </c>
      <c r="G2385" s="15" t="s">
        <v>24</v>
      </c>
      <c r="H2385" s="15" t="n">
        <v>3</v>
      </c>
      <c r="I2385" s="17" t="n">
        <v>0.3</v>
      </c>
      <c r="J2385" s="18" t="n">
        <v>1293.86</v>
      </c>
      <c r="K2385" s="19" t="n">
        <v>-268.37</v>
      </c>
      <c r="L2385" s="15" t="n">
        <f aca="false">YEAR(B2385)</f>
        <v>2025</v>
      </c>
      <c r="M2385" s="20" t="n">
        <f aca="false">IF(J2385&gt;0,K2385/J2385,0)</f>
        <v>-0.207418113242546</v>
      </c>
    </row>
    <row r="2386" customFormat="false" ht="15" hidden="false" customHeight="false" outlineLevel="0" collapsed="false">
      <c r="A2386" s="15" t="s">
        <v>2443</v>
      </c>
      <c r="B2386" s="16" t="n">
        <v>45382</v>
      </c>
      <c r="C2386" s="15" t="s">
        <v>71</v>
      </c>
      <c r="D2386" s="15" t="s">
        <v>43</v>
      </c>
      <c r="E2386" s="15" t="s">
        <v>38</v>
      </c>
      <c r="F2386" s="15" t="s">
        <v>17</v>
      </c>
      <c r="G2386" s="15" t="s">
        <v>31</v>
      </c>
      <c r="H2386" s="15" t="n">
        <v>2</v>
      </c>
      <c r="I2386" s="17" t="n">
        <v>0</v>
      </c>
      <c r="J2386" s="18" t="n">
        <v>288.56</v>
      </c>
      <c r="K2386" s="19" t="n">
        <v>69.17</v>
      </c>
      <c r="L2386" s="15" t="n">
        <f aca="false">YEAR(B2386)</f>
        <v>2024</v>
      </c>
      <c r="M2386" s="20" t="n">
        <f aca="false">IF(J2386&gt;0,K2386/J2386,0)</f>
        <v>0.239707513168838</v>
      </c>
    </row>
    <row r="2387" customFormat="false" ht="15" hidden="false" customHeight="false" outlineLevel="0" collapsed="false">
      <c r="A2387" s="15" t="s">
        <v>2444</v>
      </c>
      <c r="B2387" s="16" t="n">
        <v>44732</v>
      </c>
      <c r="C2387" s="15" t="s">
        <v>56</v>
      </c>
      <c r="D2387" s="15" t="s">
        <v>42</v>
      </c>
      <c r="E2387" s="15" t="s">
        <v>36</v>
      </c>
      <c r="F2387" s="15" t="s">
        <v>18</v>
      </c>
      <c r="G2387" s="15" t="s">
        <v>30</v>
      </c>
      <c r="H2387" s="15" t="n">
        <v>2</v>
      </c>
      <c r="I2387" s="17" t="n">
        <v>0.15</v>
      </c>
      <c r="J2387" s="18" t="n">
        <v>72.14</v>
      </c>
      <c r="K2387" s="19" t="n">
        <v>9.1</v>
      </c>
      <c r="L2387" s="15" t="n">
        <f aca="false">YEAR(B2387)</f>
        <v>2022</v>
      </c>
      <c r="M2387" s="20" t="n">
        <f aca="false">IF(J2387&gt;0,K2387/J2387,0)</f>
        <v>0.126143609647907</v>
      </c>
    </row>
    <row r="2388" customFormat="false" ht="15" hidden="false" customHeight="false" outlineLevel="0" collapsed="false">
      <c r="A2388" s="15" t="s">
        <v>2445</v>
      </c>
      <c r="B2388" s="16" t="n">
        <v>45536</v>
      </c>
      <c r="C2388" s="15" t="s">
        <v>58</v>
      </c>
      <c r="D2388" s="15" t="s">
        <v>43</v>
      </c>
      <c r="E2388" s="15" t="s">
        <v>38</v>
      </c>
      <c r="F2388" s="15" t="s">
        <v>17</v>
      </c>
      <c r="G2388" s="15" t="s">
        <v>31</v>
      </c>
      <c r="H2388" s="15" t="n">
        <v>1</v>
      </c>
      <c r="I2388" s="17" t="n">
        <v>0.05</v>
      </c>
      <c r="J2388" s="18" t="n">
        <v>133.96</v>
      </c>
      <c r="K2388" s="19" t="n">
        <v>27.08</v>
      </c>
      <c r="L2388" s="15" t="n">
        <f aca="false">YEAR(B2388)</f>
        <v>2024</v>
      </c>
      <c r="M2388" s="20" t="n">
        <f aca="false">IF(J2388&gt;0,K2388/J2388,0)</f>
        <v>0.202149895491191</v>
      </c>
    </row>
    <row r="2389" customFormat="false" ht="15" hidden="false" customHeight="false" outlineLevel="0" collapsed="false">
      <c r="A2389" s="15" t="s">
        <v>2446</v>
      </c>
      <c r="B2389" s="16" t="n">
        <v>45738</v>
      </c>
      <c r="C2389" s="15" t="s">
        <v>56</v>
      </c>
      <c r="D2389" s="15" t="s">
        <v>44</v>
      </c>
      <c r="E2389" s="15" t="s">
        <v>39</v>
      </c>
      <c r="F2389" s="15" t="s">
        <v>16</v>
      </c>
      <c r="G2389" s="15" t="s">
        <v>22</v>
      </c>
      <c r="H2389" s="15" t="n">
        <v>4</v>
      </c>
      <c r="I2389" s="17" t="n">
        <v>0</v>
      </c>
      <c r="J2389" s="18" t="n">
        <v>2297.67</v>
      </c>
      <c r="K2389" s="19" t="n">
        <v>6.82</v>
      </c>
      <c r="L2389" s="15" t="n">
        <f aca="false">YEAR(B2389)</f>
        <v>2025</v>
      </c>
      <c r="M2389" s="20" t="n">
        <f aca="false">IF(J2389&gt;0,K2389/J2389,0)</f>
        <v>0.0029682243316055</v>
      </c>
    </row>
    <row r="2390" customFormat="false" ht="15" hidden="false" customHeight="false" outlineLevel="0" collapsed="false">
      <c r="A2390" s="15" t="s">
        <v>2447</v>
      </c>
      <c r="B2390" s="16" t="n">
        <v>44700</v>
      </c>
      <c r="C2390" s="15" t="s">
        <v>56</v>
      </c>
      <c r="D2390" s="15" t="s">
        <v>42</v>
      </c>
      <c r="E2390" s="15" t="s">
        <v>36</v>
      </c>
      <c r="F2390" s="15" t="s">
        <v>18</v>
      </c>
      <c r="G2390" s="15" t="s">
        <v>30</v>
      </c>
      <c r="H2390" s="15" t="n">
        <v>4</v>
      </c>
      <c r="I2390" s="17" t="n">
        <v>0.1</v>
      </c>
      <c r="J2390" s="18" t="n">
        <v>129.02</v>
      </c>
      <c r="K2390" s="19" t="n">
        <v>29.16</v>
      </c>
      <c r="L2390" s="15" t="n">
        <f aca="false">YEAR(B2390)</f>
        <v>2022</v>
      </c>
      <c r="M2390" s="20" t="n">
        <f aca="false">IF(J2390&gt;0,K2390/J2390,0)</f>
        <v>0.226011471089754</v>
      </c>
    </row>
    <row r="2391" customFormat="false" ht="15" hidden="false" customHeight="false" outlineLevel="0" collapsed="false">
      <c r="A2391" s="15" t="s">
        <v>2448</v>
      </c>
      <c r="B2391" s="16" t="n">
        <v>45031</v>
      </c>
      <c r="C2391" s="15" t="s">
        <v>56</v>
      </c>
      <c r="D2391" s="15" t="s">
        <v>43</v>
      </c>
      <c r="E2391" s="15" t="s">
        <v>37</v>
      </c>
      <c r="F2391" s="15" t="s">
        <v>17</v>
      </c>
      <c r="G2391" s="15" t="s">
        <v>29</v>
      </c>
      <c r="H2391" s="15" t="n">
        <v>5</v>
      </c>
      <c r="I2391" s="17" t="n">
        <v>0.05</v>
      </c>
      <c r="J2391" s="18" t="n">
        <v>96.22</v>
      </c>
      <c r="K2391" s="19" t="n">
        <v>39.08</v>
      </c>
      <c r="L2391" s="15" t="n">
        <f aca="false">YEAR(B2391)</f>
        <v>2023</v>
      </c>
      <c r="M2391" s="20" t="n">
        <f aca="false">IF(J2391&gt;0,K2391/J2391,0)</f>
        <v>0.406152567033881</v>
      </c>
    </row>
    <row r="2392" customFormat="false" ht="15" hidden="false" customHeight="false" outlineLevel="0" collapsed="false">
      <c r="A2392" s="15" t="s">
        <v>2449</v>
      </c>
      <c r="B2392" s="16" t="n">
        <v>45982</v>
      </c>
      <c r="C2392" s="15" t="s">
        <v>71</v>
      </c>
      <c r="D2392" s="15" t="s">
        <v>44</v>
      </c>
      <c r="E2392" s="15" t="s">
        <v>37</v>
      </c>
      <c r="F2392" s="15" t="s">
        <v>17</v>
      </c>
      <c r="G2392" s="15" t="s">
        <v>31</v>
      </c>
      <c r="H2392" s="15" t="n">
        <v>8</v>
      </c>
      <c r="I2392" s="17" t="n">
        <v>0.2</v>
      </c>
      <c r="J2392" s="18" t="n">
        <v>896.95</v>
      </c>
      <c r="K2392" s="19" t="n">
        <v>29.66</v>
      </c>
      <c r="L2392" s="15" t="n">
        <f aca="false">YEAR(B2392)</f>
        <v>2025</v>
      </c>
      <c r="M2392" s="20" t="n">
        <f aca="false">IF(J2392&gt;0,K2392/J2392,0)</f>
        <v>0.0330676180389096</v>
      </c>
    </row>
    <row r="2393" customFormat="false" ht="15" hidden="false" customHeight="false" outlineLevel="0" collapsed="false">
      <c r="A2393" s="15" t="s">
        <v>2450</v>
      </c>
      <c r="B2393" s="16" t="n">
        <v>45253</v>
      </c>
      <c r="C2393" s="15" t="s">
        <v>68</v>
      </c>
      <c r="D2393" s="15" t="s">
        <v>42</v>
      </c>
      <c r="E2393" s="15" t="s">
        <v>38</v>
      </c>
      <c r="F2393" s="15" t="s">
        <v>16</v>
      </c>
      <c r="G2393" s="15" t="s">
        <v>22</v>
      </c>
      <c r="H2393" s="15" t="n">
        <v>2</v>
      </c>
      <c r="I2393" s="17" t="n">
        <v>0.4</v>
      </c>
      <c r="J2393" s="18" t="n">
        <v>649.68</v>
      </c>
      <c r="K2393" s="19" t="n">
        <v>-194.25</v>
      </c>
      <c r="L2393" s="15" t="n">
        <f aca="false">YEAR(B2393)</f>
        <v>2023</v>
      </c>
      <c r="M2393" s="20" t="n">
        <f aca="false">IF(J2393&gt;0,K2393/J2393,0)</f>
        <v>-0.29899335057259</v>
      </c>
    </row>
    <row r="2394" customFormat="false" ht="15" hidden="false" customHeight="false" outlineLevel="0" collapsed="false">
      <c r="A2394" s="15" t="s">
        <v>2451</v>
      </c>
      <c r="B2394" s="16" t="n">
        <v>45984</v>
      </c>
      <c r="C2394" s="15" t="s">
        <v>56</v>
      </c>
      <c r="D2394" s="15" t="s">
        <v>44</v>
      </c>
      <c r="E2394" s="15" t="s">
        <v>37</v>
      </c>
      <c r="F2394" s="15" t="s">
        <v>17</v>
      </c>
      <c r="G2394" s="15" t="s">
        <v>31</v>
      </c>
      <c r="H2394" s="15" t="n">
        <v>4</v>
      </c>
      <c r="I2394" s="17" t="n">
        <v>0</v>
      </c>
      <c r="J2394" s="18" t="n">
        <v>479.08</v>
      </c>
      <c r="K2394" s="19" t="n">
        <v>72.97</v>
      </c>
      <c r="L2394" s="15" t="n">
        <f aca="false">YEAR(B2394)</f>
        <v>2025</v>
      </c>
      <c r="M2394" s="20" t="n">
        <f aca="false">IF(J2394&gt;0,K2394/J2394,0)</f>
        <v>0.152312766135092</v>
      </c>
    </row>
    <row r="2395" customFormat="false" ht="15" hidden="false" customHeight="false" outlineLevel="0" collapsed="false">
      <c r="A2395" s="15" t="s">
        <v>2452</v>
      </c>
      <c r="B2395" s="16" t="n">
        <v>45638</v>
      </c>
      <c r="C2395" s="15" t="s">
        <v>56</v>
      </c>
      <c r="D2395" s="15" t="s">
        <v>42</v>
      </c>
      <c r="E2395" s="15" t="s">
        <v>38</v>
      </c>
      <c r="F2395" s="15" t="s">
        <v>18</v>
      </c>
      <c r="G2395" s="15" t="s">
        <v>30</v>
      </c>
      <c r="H2395" s="15" t="n">
        <v>2</v>
      </c>
      <c r="I2395" s="17" t="n">
        <v>0.1</v>
      </c>
      <c r="J2395" s="18" t="n">
        <v>66.44</v>
      </c>
      <c r="K2395" s="19" t="n">
        <v>12.59</v>
      </c>
      <c r="L2395" s="15" t="n">
        <f aca="false">YEAR(B2395)</f>
        <v>2024</v>
      </c>
      <c r="M2395" s="20" t="n">
        <f aca="false">IF(J2395&gt;0,K2395/J2395,0)</f>
        <v>0.189494280553883</v>
      </c>
    </row>
    <row r="2396" customFormat="false" ht="15" hidden="false" customHeight="false" outlineLevel="0" collapsed="false">
      <c r="A2396" s="15" t="s">
        <v>2453</v>
      </c>
      <c r="B2396" s="16" t="n">
        <v>45507</v>
      </c>
      <c r="C2396" s="15" t="s">
        <v>71</v>
      </c>
      <c r="D2396" s="15" t="s">
        <v>43</v>
      </c>
      <c r="E2396" s="15" t="s">
        <v>39</v>
      </c>
      <c r="F2396" s="15" t="s">
        <v>16</v>
      </c>
      <c r="G2396" s="15" t="s">
        <v>22</v>
      </c>
      <c r="H2396" s="15" t="n">
        <v>1</v>
      </c>
      <c r="I2396" s="17" t="n">
        <v>0</v>
      </c>
      <c r="J2396" s="18" t="n">
        <v>579.69</v>
      </c>
      <c r="K2396" s="19" t="n">
        <v>-58.49</v>
      </c>
      <c r="L2396" s="15" t="n">
        <f aca="false">YEAR(B2396)</f>
        <v>2024</v>
      </c>
      <c r="M2396" s="20" t="n">
        <f aca="false">IF(J2396&gt;0,K2396/J2396,0)</f>
        <v>-0.100898756231779</v>
      </c>
    </row>
    <row r="2397" customFormat="false" ht="15" hidden="false" customHeight="false" outlineLevel="0" collapsed="false">
      <c r="A2397" s="15" t="s">
        <v>2454</v>
      </c>
      <c r="B2397" s="16" t="n">
        <v>44808</v>
      </c>
      <c r="C2397" s="15" t="s">
        <v>56</v>
      </c>
      <c r="D2397" s="15" t="s">
        <v>42</v>
      </c>
      <c r="E2397" s="15" t="s">
        <v>39</v>
      </c>
      <c r="F2397" s="15" t="s">
        <v>16</v>
      </c>
      <c r="G2397" s="15" t="s">
        <v>27</v>
      </c>
      <c r="H2397" s="15" t="n">
        <v>2</v>
      </c>
      <c r="I2397" s="17" t="n">
        <v>0.1</v>
      </c>
      <c r="J2397" s="18" t="n">
        <v>111.38</v>
      </c>
      <c r="K2397" s="19" t="n">
        <v>13.65</v>
      </c>
      <c r="L2397" s="15" t="n">
        <f aca="false">YEAR(B2397)</f>
        <v>2022</v>
      </c>
      <c r="M2397" s="20" t="n">
        <f aca="false">IF(J2397&gt;0,K2397/J2397,0)</f>
        <v>0.122553420721853</v>
      </c>
    </row>
    <row r="2398" customFormat="false" ht="15" hidden="false" customHeight="false" outlineLevel="0" collapsed="false">
      <c r="A2398" s="15" t="s">
        <v>2455</v>
      </c>
      <c r="B2398" s="16" t="n">
        <v>46004</v>
      </c>
      <c r="C2398" s="15" t="s">
        <v>56</v>
      </c>
      <c r="D2398" s="15" t="s">
        <v>42</v>
      </c>
      <c r="E2398" s="15" t="s">
        <v>39</v>
      </c>
      <c r="F2398" s="15" t="s">
        <v>18</v>
      </c>
      <c r="G2398" s="15" t="s">
        <v>32</v>
      </c>
      <c r="H2398" s="15" t="n">
        <v>4</v>
      </c>
      <c r="I2398" s="17" t="n">
        <v>0.2</v>
      </c>
      <c r="J2398" s="18" t="n">
        <v>1301.09</v>
      </c>
      <c r="K2398" s="19" t="n">
        <v>-16.81</v>
      </c>
      <c r="L2398" s="15" t="n">
        <f aca="false">YEAR(B2398)</f>
        <v>2025</v>
      </c>
      <c r="M2398" s="20" t="n">
        <f aca="false">IF(J2398&gt;0,K2398/J2398,0)</f>
        <v>-0.0129199363610511</v>
      </c>
    </row>
    <row r="2399" customFormat="false" ht="15" hidden="false" customHeight="false" outlineLevel="0" collapsed="false">
      <c r="A2399" s="15" t="s">
        <v>2456</v>
      </c>
      <c r="B2399" s="16" t="n">
        <v>44667</v>
      </c>
      <c r="C2399" s="15" t="s">
        <v>56</v>
      </c>
      <c r="D2399" s="15" t="s">
        <v>44</v>
      </c>
      <c r="E2399" s="15" t="s">
        <v>39</v>
      </c>
      <c r="F2399" s="15" t="s">
        <v>17</v>
      </c>
      <c r="G2399" s="15" t="s">
        <v>26</v>
      </c>
      <c r="H2399" s="15" t="n">
        <v>4</v>
      </c>
      <c r="I2399" s="17" t="n">
        <v>0.5</v>
      </c>
      <c r="J2399" s="18" t="n">
        <v>162.78</v>
      </c>
      <c r="K2399" s="19" t="n">
        <v>-47.66</v>
      </c>
      <c r="L2399" s="15" t="n">
        <f aca="false">YEAR(B2399)</f>
        <v>2022</v>
      </c>
      <c r="M2399" s="20" t="n">
        <f aca="false">IF(J2399&gt;0,K2399/J2399,0)</f>
        <v>-0.292787811770488</v>
      </c>
    </row>
    <row r="2400" customFormat="false" ht="15" hidden="false" customHeight="false" outlineLevel="0" collapsed="false">
      <c r="A2400" s="15" t="s">
        <v>2457</v>
      </c>
      <c r="B2400" s="16" t="n">
        <v>46013</v>
      </c>
      <c r="C2400" s="15" t="s">
        <v>56</v>
      </c>
      <c r="D2400" s="15" t="s">
        <v>42</v>
      </c>
      <c r="E2400" s="15" t="s">
        <v>36</v>
      </c>
      <c r="F2400" s="15" t="s">
        <v>17</v>
      </c>
      <c r="G2400" s="15" t="s">
        <v>29</v>
      </c>
      <c r="H2400" s="15" t="n">
        <v>6</v>
      </c>
      <c r="I2400" s="17" t="n">
        <v>0.2</v>
      </c>
      <c r="J2400" s="18" t="n">
        <v>84.91</v>
      </c>
      <c r="K2400" s="19" t="n">
        <v>20.99</v>
      </c>
      <c r="L2400" s="15" t="n">
        <f aca="false">YEAR(B2400)</f>
        <v>2025</v>
      </c>
      <c r="M2400" s="20" t="n">
        <f aca="false">IF(J2400&gt;0,K2400/J2400,0)</f>
        <v>0.247202920739607</v>
      </c>
    </row>
    <row r="2401" customFormat="false" ht="15" hidden="false" customHeight="false" outlineLevel="0" collapsed="false">
      <c r="A2401" s="15" t="s">
        <v>2458</v>
      </c>
      <c r="B2401" s="16" t="n">
        <v>45109</v>
      </c>
      <c r="C2401" s="15" t="s">
        <v>68</v>
      </c>
      <c r="D2401" s="15" t="s">
        <v>44</v>
      </c>
      <c r="E2401" s="15" t="s">
        <v>36</v>
      </c>
      <c r="F2401" s="15" t="s">
        <v>16</v>
      </c>
      <c r="G2401" s="15" t="s">
        <v>22</v>
      </c>
      <c r="H2401" s="15" t="n">
        <v>3</v>
      </c>
      <c r="I2401" s="17" t="n">
        <v>0</v>
      </c>
      <c r="J2401" s="18" t="n">
        <v>1434.25</v>
      </c>
      <c r="K2401" s="19" t="n">
        <v>-12.58</v>
      </c>
      <c r="L2401" s="15" t="n">
        <f aca="false">YEAR(B2401)</f>
        <v>2023</v>
      </c>
      <c r="M2401" s="20" t="n">
        <f aca="false">IF(J2401&gt;0,K2401/J2401,0)</f>
        <v>-0.00877113473941084</v>
      </c>
    </row>
    <row r="2402" customFormat="false" ht="15" hidden="false" customHeight="false" outlineLevel="0" collapsed="false">
      <c r="A2402" s="15" t="s">
        <v>2459</v>
      </c>
      <c r="B2402" s="16" t="n">
        <v>45802</v>
      </c>
      <c r="C2402" s="15" t="s">
        <v>56</v>
      </c>
      <c r="D2402" s="15" t="s">
        <v>42</v>
      </c>
      <c r="E2402" s="15" t="s">
        <v>37</v>
      </c>
      <c r="F2402" s="15" t="s">
        <v>16</v>
      </c>
      <c r="G2402" s="15" t="s">
        <v>27</v>
      </c>
      <c r="H2402" s="15" t="n">
        <v>2</v>
      </c>
      <c r="I2402" s="17" t="n">
        <v>0.2</v>
      </c>
      <c r="J2402" s="18" t="n">
        <v>96.97</v>
      </c>
      <c r="K2402" s="19" t="n">
        <v>1.7</v>
      </c>
      <c r="L2402" s="15" t="n">
        <f aca="false">YEAR(B2402)</f>
        <v>2025</v>
      </c>
      <c r="M2402" s="20" t="n">
        <f aca="false">IF(J2402&gt;0,K2402/J2402,0)</f>
        <v>0.017531195215015</v>
      </c>
    </row>
    <row r="2403" customFormat="false" ht="15" hidden="false" customHeight="false" outlineLevel="0" collapsed="false">
      <c r="A2403" s="15" t="s">
        <v>2460</v>
      </c>
      <c r="B2403" s="16" t="n">
        <v>45468</v>
      </c>
      <c r="C2403" s="15" t="s">
        <v>58</v>
      </c>
      <c r="D2403" s="15" t="s">
        <v>44</v>
      </c>
      <c r="E2403" s="15" t="s">
        <v>36</v>
      </c>
      <c r="F2403" s="15" t="s">
        <v>17</v>
      </c>
      <c r="G2403" s="15" t="s">
        <v>29</v>
      </c>
      <c r="H2403" s="15" t="n">
        <v>3</v>
      </c>
      <c r="I2403" s="17" t="n">
        <v>0.1</v>
      </c>
      <c r="J2403" s="18" t="n">
        <v>50.82</v>
      </c>
      <c r="K2403" s="19" t="n">
        <v>14.69</v>
      </c>
      <c r="L2403" s="15" t="n">
        <f aca="false">YEAR(B2403)</f>
        <v>2024</v>
      </c>
      <c r="M2403" s="20" t="n">
        <f aca="false">IF(J2403&gt;0,K2403/J2403,0)</f>
        <v>0.289059425423062</v>
      </c>
    </row>
    <row r="2404" customFormat="false" ht="15" hidden="false" customHeight="false" outlineLevel="0" collapsed="false">
      <c r="A2404" s="15" t="s">
        <v>2461</v>
      </c>
      <c r="B2404" s="16" t="n">
        <v>45612</v>
      </c>
      <c r="C2404" s="15" t="s">
        <v>56</v>
      </c>
      <c r="D2404" s="15" t="s">
        <v>44</v>
      </c>
      <c r="E2404" s="15" t="s">
        <v>38</v>
      </c>
      <c r="F2404" s="15" t="s">
        <v>17</v>
      </c>
      <c r="G2404" s="15" t="s">
        <v>29</v>
      </c>
      <c r="H2404" s="15" t="n">
        <v>3</v>
      </c>
      <c r="I2404" s="17" t="n">
        <v>0</v>
      </c>
      <c r="J2404" s="18" t="n">
        <v>49.32</v>
      </c>
      <c r="K2404" s="19" t="n">
        <v>18.94</v>
      </c>
      <c r="L2404" s="15" t="n">
        <f aca="false">YEAR(B2404)</f>
        <v>2024</v>
      </c>
      <c r="M2404" s="20" t="n">
        <f aca="false">IF(J2404&gt;0,K2404/J2404,0)</f>
        <v>0.384022708840227</v>
      </c>
    </row>
    <row r="2405" customFormat="false" ht="15" hidden="false" customHeight="false" outlineLevel="0" collapsed="false">
      <c r="A2405" s="15" t="s">
        <v>2462</v>
      </c>
      <c r="B2405" s="16" t="n">
        <v>44876</v>
      </c>
      <c r="C2405" s="15" t="s">
        <v>56</v>
      </c>
      <c r="D2405" s="15" t="s">
        <v>42</v>
      </c>
      <c r="E2405" s="15" t="s">
        <v>39</v>
      </c>
      <c r="F2405" s="15" t="s">
        <v>16</v>
      </c>
      <c r="G2405" s="15" t="s">
        <v>25</v>
      </c>
      <c r="H2405" s="15" t="n">
        <v>4</v>
      </c>
      <c r="I2405" s="17" t="n">
        <v>0.4</v>
      </c>
      <c r="J2405" s="18" t="n">
        <v>838.62</v>
      </c>
      <c r="K2405" s="19" t="n">
        <v>-206.03</v>
      </c>
      <c r="L2405" s="15" t="n">
        <f aca="false">YEAR(B2405)</f>
        <v>2022</v>
      </c>
      <c r="M2405" s="20" t="n">
        <f aca="false">IF(J2405&gt;0,K2405/J2405,0)</f>
        <v>-0.245677422432091</v>
      </c>
    </row>
    <row r="2406" customFormat="false" ht="15" hidden="false" customHeight="false" outlineLevel="0" collapsed="false">
      <c r="A2406" s="15" t="s">
        <v>2463</v>
      </c>
      <c r="B2406" s="16" t="n">
        <v>45589</v>
      </c>
      <c r="C2406" s="15" t="s">
        <v>56</v>
      </c>
      <c r="D2406" s="15" t="s">
        <v>42</v>
      </c>
      <c r="E2406" s="15" t="s">
        <v>39</v>
      </c>
      <c r="F2406" s="15" t="s">
        <v>18</v>
      </c>
      <c r="G2406" s="15" t="s">
        <v>24</v>
      </c>
      <c r="H2406" s="15" t="n">
        <v>4</v>
      </c>
      <c r="I2406" s="17" t="n">
        <v>0.1</v>
      </c>
      <c r="J2406" s="18" t="n">
        <v>2305.32</v>
      </c>
      <c r="K2406" s="19" t="n">
        <v>12.54</v>
      </c>
      <c r="L2406" s="15" t="n">
        <f aca="false">YEAR(B2406)</f>
        <v>2024</v>
      </c>
      <c r="M2406" s="20" t="n">
        <f aca="false">IF(J2406&gt;0,K2406/J2406,0)</f>
        <v>0.00543959190047369</v>
      </c>
    </row>
    <row r="2407" customFormat="false" ht="15" hidden="false" customHeight="false" outlineLevel="0" collapsed="false">
      <c r="A2407" s="15" t="s">
        <v>2464</v>
      </c>
      <c r="B2407" s="16" t="n">
        <v>46006</v>
      </c>
      <c r="C2407" s="15" t="s">
        <v>56</v>
      </c>
      <c r="D2407" s="15" t="s">
        <v>44</v>
      </c>
      <c r="E2407" s="15" t="s">
        <v>36</v>
      </c>
      <c r="F2407" s="15" t="s">
        <v>18</v>
      </c>
      <c r="G2407" s="15" t="s">
        <v>24</v>
      </c>
      <c r="H2407" s="15" t="n">
        <v>7</v>
      </c>
      <c r="I2407" s="17" t="n">
        <v>0.3</v>
      </c>
      <c r="J2407" s="18" t="n">
        <v>3067.88</v>
      </c>
      <c r="K2407" s="19" t="n">
        <v>-570.16</v>
      </c>
      <c r="L2407" s="15" t="n">
        <f aca="false">YEAR(B2407)</f>
        <v>2025</v>
      </c>
      <c r="M2407" s="20" t="n">
        <f aca="false">IF(J2407&gt;0,K2407/J2407,0)</f>
        <v>-0.185848207882968</v>
      </c>
    </row>
    <row r="2408" customFormat="false" ht="15" hidden="false" customHeight="false" outlineLevel="0" collapsed="false">
      <c r="A2408" s="15" t="s">
        <v>2465</v>
      </c>
      <c r="B2408" s="16" t="n">
        <v>45859</v>
      </c>
      <c r="C2408" s="15" t="s">
        <v>58</v>
      </c>
      <c r="D2408" s="15" t="s">
        <v>42</v>
      </c>
      <c r="E2408" s="15" t="s">
        <v>37</v>
      </c>
      <c r="F2408" s="15" t="s">
        <v>17</v>
      </c>
      <c r="G2408" s="15" t="s">
        <v>26</v>
      </c>
      <c r="H2408" s="15" t="n">
        <v>5</v>
      </c>
      <c r="I2408" s="17" t="n">
        <v>0</v>
      </c>
      <c r="J2408" s="18" t="n">
        <v>368.13</v>
      </c>
      <c r="K2408" s="19" t="n">
        <v>55.25</v>
      </c>
      <c r="L2408" s="15" t="n">
        <f aca="false">YEAR(B2408)</f>
        <v>2025</v>
      </c>
      <c r="M2408" s="20" t="n">
        <f aca="false">IF(J2408&gt;0,K2408/J2408,0)</f>
        <v>0.150082851166707</v>
      </c>
    </row>
    <row r="2409" customFormat="false" ht="15" hidden="false" customHeight="false" outlineLevel="0" collapsed="false">
      <c r="A2409" s="15" t="s">
        <v>2466</v>
      </c>
      <c r="B2409" s="16" t="n">
        <v>45021</v>
      </c>
      <c r="C2409" s="15" t="s">
        <v>68</v>
      </c>
      <c r="D2409" s="15" t="s">
        <v>44</v>
      </c>
      <c r="E2409" s="15" t="s">
        <v>36</v>
      </c>
      <c r="F2409" s="15" t="s">
        <v>16</v>
      </c>
      <c r="G2409" s="15" t="s">
        <v>22</v>
      </c>
      <c r="H2409" s="15" t="n">
        <v>6</v>
      </c>
      <c r="I2409" s="17" t="n">
        <v>0.5</v>
      </c>
      <c r="J2409" s="18" t="n">
        <v>1559.3</v>
      </c>
      <c r="K2409" s="19" t="n">
        <v>-721.77</v>
      </c>
      <c r="L2409" s="15" t="n">
        <f aca="false">YEAR(B2409)</f>
        <v>2023</v>
      </c>
      <c r="M2409" s="20" t="n">
        <f aca="false">IF(J2409&gt;0,K2409/J2409,0)</f>
        <v>-0.462880779837106</v>
      </c>
    </row>
    <row r="2410" customFormat="false" ht="15" hidden="false" customHeight="false" outlineLevel="0" collapsed="false">
      <c r="A2410" s="15" t="s">
        <v>2467</v>
      </c>
      <c r="B2410" s="16" t="n">
        <v>44892</v>
      </c>
      <c r="C2410" s="15" t="s">
        <v>56</v>
      </c>
      <c r="D2410" s="15" t="s">
        <v>42</v>
      </c>
      <c r="E2410" s="15" t="s">
        <v>39</v>
      </c>
      <c r="F2410" s="15" t="s">
        <v>17</v>
      </c>
      <c r="G2410" s="15" t="s">
        <v>28</v>
      </c>
      <c r="H2410" s="15" t="n">
        <v>5</v>
      </c>
      <c r="I2410" s="17" t="n">
        <v>0</v>
      </c>
      <c r="J2410" s="18" t="n">
        <v>126.94</v>
      </c>
      <c r="K2410" s="19" t="n">
        <v>38.88</v>
      </c>
      <c r="L2410" s="15" t="n">
        <f aca="false">YEAR(B2410)</f>
        <v>2022</v>
      </c>
      <c r="M2410" s="20" t="n">
        <f aca="false">IF(J2410&gt;0,K2410/J2410,0)</f>
        <v>0.306286434536001</v>
      </c>
    </row>
    <row r="2411" customFormat="false" ht="15" hidden="false" customHeight="false" outlineLevel="0" collapsed="false">
      <c r="A2411" s="15" t="s">
        <v>2468</v>
      </c>
      <c r="B2411" s="16" t="n">
        <v>44869</v>
      </c>
      <c r="C2411" s="15" t="s">
        <v>71</v>
      </c>
      <c r="D2411" s="15" t="s">
        <v>42</v>
      </c>
      <c r="E2411" s="15" t="s">
        <v>37</v>
      </c>
      <c r="F2411" s="15" t="s">
        <v>18</v>
      </c>
      <c r="G2411" s="15" t="s">
        <v>30</v>
      </c>
      <c r="H2411" s="15" t="n">
        <v>4</v>
      </c>
      <c r="I2411" s="17" t="n">
        <v>0.2</v>
      </c>
      <c r="J2411" s="18" t="n">
        <v>129.18</v>
      </c>
      <c r="K2411" s="19" t="n">
        <v>12.24</v>
      </c>
      <c r="L2411" s="15" t="n">
        <f aca="false">YEAR(B2411)</f>
        <v>2022</v>
      </c>
      <c r="M2411" s="20" t="n">
        <f aca="false">IF(J2411&gt;0,K2411/J2411,0)</f>
        <v>0.0947515095215978</v>
      </c>
    </row>
    <row r="2412" customFormat="false" ht="15" hidden="false" customHeight="false" outlineLevel="0" collapsed="false">
      <c r="A2412" s="15" t="s">
        <v>2469</v>
      </c>
      <c r="B2412" s="16" t="n">
        <v>45638</v>
      </c>
      <c r="C2412" s="15" t="s">
        <v>71</v>
      </c>
      <c r="D2412" s="15" t="s">
        <v>42</v>
      </c>
      <c r="E2412" s="15" t="s">
        <v>38</v>
      </c>
      <c r="F2412" s="15" t="s">
        <v>17</v>
      </c>
      <c r="G2412" s="15" t="s">
        <v>29</v>
      </c>
      <c r="H2412" s="15" t="n">
        <v>3</v>
      </c>
      <c r="I2412" s="17" t="n">
        <v>0</v>
      </c>
      <c r="J2412" s="18" t="n">
        <v>51.05</v>
      </c>
      <c r="K2412" s="19" t="n">
        <v>20.38</v>
      </c>
      <c r="L2412" s="15" t="n">
        <f aca="false">YEAR(B2412)</f>
        <v>2024</v>
      </c>
      <c r="M2412" s="20" t="n">
        <f aca="false">IF(J2412&gt;0,K2412/J2412,0)</f>
        <v>0.399216454456415</v>
      </c>
    </row>
    <row r="2413" customFormat="false" ht="15" hidden="false" customHeight="false" outlineLevel="0" collapsed="false">
      <c r="A2413" s="15" t="s">
        <v>2470</v>
      </c>
      <c r="B2413" s="16" t="n">
        <v>45123</v>
      </c>
      <c r="C2413" s="15" t="s">
        <v>71</v>
      </c>
      <c r="D2413" s="15" t="s">
        <v>42</v>
      </c>
      <c r="E2413" s="15" t="s">
        <v>37</v>
      </c>
      <c r="F2413" s="15" t="s">
        <v>17</v>
      </c>
      <c r="G2413" s="15" t="s">
        <v>29</v>
      </c>
      <c r="H2413" s="15" t="n">
        <v>2</v>
      </c>
      <c r="I2413" s="17" t="n">
        <v>0</v>
      </c>
      <c r="J2413" s="18" t="n">
        <v>28.95</v>
      </c>
      <c r="K2413" s="19" t="n">
        <v>10.41</v>
      </c>
      <c r="L2413" s="15" t="n">
        <f aca="false">YEAR(B2413)</f>
        <v>2023</v>
      </c>
      <c r="M2413" s="20" t="n">
        <f aca="false">IF(J2413&gt;0,K2413/J2413,0)</f>
        <v>0.359585492227979</v>
      </c>
    </row>
    <row r="2414" customFormat="false" ht="15" hidden="false" customHeight="false" outlineLevel="0" collapsed="false">
      <c r="A2414" s="15" t="s">
        <v>2471</v>
      </c>
      <c r="B2414" s="16" t="n">
        <v>44911</v>
      </c>
      <c r="C2414" s="15" t="s">
        <v>56</v>
      </c>
      <c r="D2414" s="15" t="s">
        <v>42</v>
      </c>
      <c r="E2414" s="15" t="s">
        <v>39</v>
      </c>
      <c r="F2414" s="15" t="s">
        <v>18</v>
      </c>
      <c r="G2414" s="15" t="s">
        <v>32</v>
      </c>
      <c r="H2414" s="15" t="n">
        <v>6</v>
      </c>
      <c r="I2414" s="17" t="n">
        <v>0</v>
      </c>
      <c r="J2414" s="18" t="n">
        <v>3209.34</v>
      </c>
      <c r="K2414" s="19" t="n">
        <v>474.78</v>
      </c>
      <c r="L2414" s="15" t="n">
        <f aca="false">YEAR(B2414)</f>
        <v>2022</v>
      </c>
      <c r="M2414" s="20" t="n">
        <f aca="false">IF(J2414&gt;0,K2414/J2414,0)</f>
        <v>0.147936959000916</v>
      </c>
    </row>
    <row r="2415" customFormat="false" ht="15" hidden="false" customHeight="false" outlineLevel="0" collapsed="false">
      <c r="A2415" s="15" t="s">
        <v>2472</v>
      </c>
      <c r="B2415" s="16" t="n">
        <v>45900</v>
      </c>
      <c r="C2415" s="15" t="s">
        <v>56</v>
      </c>
      <c r="D2415" s="15" t="s">
        <v>44</v>
      </c>
      <c r="E2415" s="15" t="s">
        <v>37</v>
      </c>
      <c r="F2415" s="15" t="s">
        <v>17</v>
      </c>
      <c r="G2415" s="15" t="s">
        <v>26</v>
      </c>
      <c r="H2415" s="15" t="n">
        <v>5</v>
      </c>
      <c r="I2415" s="17" t="n">
        <v>0.15</v>
      </c>
      <c r="J2415" s="18" t="n">
        <v>333.24</v>
      </c>
      <c r="K2415" s="19" t="n">
        <v>-5.16</v>
      </c>
      <c r="L2415" s="15" t="n">
        <f aca="false">YEAR(B2415)</f>
        <v>2025</v>
      </c>
      <c r="M2415" s="20" t="n">
        <f aca="false">IF(J2415&gt;0,K2415/J2415,0)</f>
        <v>-0.0154843356139719</v>
      </c>
    </row>
    <row r="2416" customFormat="false" ht="15" hidden="false" customHeight="false" outlineLevel="0" collapsed="false">
      <c r="A2416" s="15" t="s">
        <v>2473</v>
      </c>
      <c r="B2416" s="16" t="n">
        <v>45923</v>
      </c>
      <c r="C2416" s="15" t="s">
        <v>56</v>
      </c>
      <c r="D2416" s="15" t="s">
        <v>43</v>
      </c>
      <c r="E2416" s="15" t="s">
        <v>39</v>
      </c>
      <c r="F2416" s="15" t="s">
        <v>17</v>
      </c>
      <c r="G2416" s="15" t="s">
        <v>29</v>
      </c>
      <c r="H2416" s="15" t="n">
        <v>2</v>
      </c>
      <c r="I2416" s="17" t="n">
        <v>0</v>
      </c>
      <c r="J2416" s="18" t="n">
        <v>46.52</v>
      </c>
      <c r="K2416" s="19" t="n">
        <v>22.18</v>
      </c>
      <c r="L2416" s="15" t="n">
        <f aca="false">YEAR(B2416)</f>
        <v>2025</v>
      </c>
      <c r="M2416" s="20" t="n">
        <f aca="false">IF(J2416&gt;0,K2416/J2416,0)</f>
        <v>0.476784178847807</v>
      </c>
    </row>
    <row r="2417" customFormat="false" ht="15" hidden="false" customHeight="false" outlineLevel="0" collapsed="false">
      <c r="A2417" s="15" t="s">
        <v>2474</v>
      </c>
      <c r="B2417" s="16" t="n">
        <v>44881</v>
      </c>
      <c r="C2417" s="15" t="s">
        <v>56</v>
      </c>
      <c r="D2417" s="15" t="s">
        <v>42</v>
      </c>
      <c r="E2417" s="15" t="s">
        <v>36</v>
      </c>
      <c r="F2417" s="15" t="s">
        <v>18</v>
      </c>
      <c r="G2417" s="15" t="s">
        <v>30</v>
      </c>
      <c r="H2417" s="15" t="n">
        <v>3</v>
      </c>
      <c r="I2417" s="17" t="n">
        <v>0</v>
      </c>
      <c r="J2417" s="18" t="n">
        <v>117.67</v>
      </c>
      <c r="K2417" s="19" t="n">
        <v>35.45</v>
      </c>
      <c r="L2417" s="15" t="n">
        <f aca="false">YEAR(B2417)</f>
        <v>2022</v>
      </c>
      <c r="M2417" s="20" t="n">
        <f aca="false">IF(J2417&gt;0,K2417/J2417,0)</f>
        <v>0.301266253080649</v>
      </c>
    </row>
    <row r="2418" customFormat="false" ht="15" hidden="false" customHeight="false" outlineLevel="0" collapsed="false">
      <c r="A2418" s="15" t="s">
        <v>2475</v>
      </c>
      <c r="B2418" s="16" t="n">
        <v>45985</v>
      </c>
      <c r="C2418" s="15" t="s">
        <v>56</v>
      </c>
      <c r="D2418" s="15" t="s">
        <v>43</v>
      </c>
      <c r="E2418" s="15" t="s">
        <v>39</v>
      </c>
      <c r="F2418" s="15" t="s">
        <v>16</v>
      </c>
      <c r="G2418" s="15" t="s">
        <v>27</v>
      </c>
      <c r="H2418" s="15" t="n">
        <v>3</v>
      </c>
      <c r="I2418" s="17" t="n">
        <v>0.3</v>
      </c>
      <c r="J2418" s="18" t="n">
        <v>146.45</v>
      </c>
      <c r="K2418" s="19" t="n">
        <v>2.54</v>
      </c>
      <c r="L2418" s="15" t="n">
        <f aca="false">YEAR(B2418)</f>
        <v>2025</v>
      </c>
      <c r="M2418" s="20" t="n">
        <f aca="false">IF(J2418&gt;0,K2418/J2418,0)</f>
        <v>0.0173438033458518</v>
      </c>
    </row>
    <row r="2419" customFormat="false" ht="15" hidden="false" customHeight="false" outlineLevel="0" collapsed="false">
      <c r="A2419" s="15" t="s">
        <v>2476</v>
      </c>
      <c r="B2419" s="16" t="n">
        <v>45945</v>
      </c>
      <c r="C2419" s="15" t="s">
        <v>56</v>
      </c>
      <c r="D2419" s="15" t="s">
        <v>42</v>
      </c>
      <c r="E2419" s="15" t="s">
        <v>37</v>
      </c>
      <c r="F2419" s="15" t="s">
        <v>17</v>
      </c>
      <c r="G2419" s="15" t="s">
        <v>26</v>
      </c>
      <c r="H2419" s="15" t="n">
        <v>5</v>
      </c>
      <c r="I2419" s="17" t="n">
        <v>0.1</v>
      </c>
      <c r="J2419" s="18" t="n">
        <v>375.48</v>
      </c>
      <c r="K2419" s="19" t="n">
        <v>-14.77</v>
      </c>
      <c r="L2419" s="15" t="n">
        <f aca="false">YEAR(B2419)</f>
        <v>2025</v>
      </c>
      <c r="M2419" s="20" t="n">
        <f aca="false">IF(J2419&gt;0,K2419/J2419,0)</f>
        <v>-0.0393363161819538</v>
      </c>
    </row>
    <row r="2420" customFormat="false" ht="15" hidden="false" customHeight="false" outlineLevel="0" collapsed="false">
      <c r="A2420" s="15" t="s">
        <v>2477</v>
      </c>
      <c r="B2420" s="16" t="n">
        <v>44856</v>
      </c>
      <c r="C2420" s="15" t="s">
        <v>56</v>
      </c>
      <c r="D2420" s="15" t="s">
        <v>42</v>
      </c>
      <c r="E2420" s="15" t="s">
        <v>37</v>
      </c>
      <c r="F2420" s="15" t="s">
        <v>17</v>
      </c>
      <c r="G2420" s="15" t="s">
        <v>28</v>
      </c>
      <c r="H2420" s="15" t="n">
        <v>1</v>
      </c>
      <c r="I2420" s="17" t="n">
        <v>0.05</v>
      </c>
      <c r="J2420" s="18" t="n">
        <v>27.21</v>
      </c>
      <c r="K2420" s="19" t="n">
        <v>7.81</v>
      </c>
      <c r="L2420" s="15" t="n">
        <f aca="false">YEAR(B2420)</f>
        <v>2022</v>
      </c>
      <c r="M2420" s="20" t="n">
        <f aca="false">IF(J2420&gt;0,K2420/J2420,0)</f>
        <v>0.287026828371922</v>
      </c>
    </row>
    <row r="2421" customFormat="false" ht="15" hidden="false" customHeight="false" outlineLevel="0" collapsed="false">
      <c r="A2421" s="15" t="s">
        <v>2478</v>
      </c>
      <c r="B2421" s="16" t="n">
        <v>44766</v>
      </c>
      <c r="C2421" s="15" t="s">
        <v>56</v>
      </c>
      <c r="D2421" s="15" t="s">
        <v>43</v>
      </c>
      <c r="E2421" s="15" t="s">
        <v>37</v>
      </c>
      <c r="F2421" s="15" t="s">
        <v>18</v>
      </c>
      <c r="G2421" s="15" t="s">
        <v>30</v>
      </c>
      <c r="H2421" s="15" t="n">
        <v>7</v>
      </c>
      <c r="I2421" s="17" t="n">
        <v>0</v>
      </c>
      <c r="J2421" s="18" t="n">
        <v>376.99</v>
      </c>
      <c r="K2421" s="19" t="n">
        <v>108.95</v>
      </c>
      <c r="L2421" s="15" t="n">
        <f aca="false">YEAR(B2421)</f>
        <v>2022</v>
      </c>
      <c r="M2421" s="20" t="n">
        <f aca="false">IF(J2421&gt;0,K2421/J2421,0)</f>
        <v>0.288999708215072</v>
      </c>
    </row>
    <row r="2422" customFormat="false" ht="15" hidden="false" customHeight="false" outlineLevel="0" collapsed="false">
      <c r="A2422" s="15" t="s">
        <v>2479</v>
      </c>
      <c r="B2422" s="16" t="n">
        <v>44824</v>
      </c>
      <c r="C2422" s="15" t="s">
        <v>58</v>
      </c>
      <c r="D2422" s="15" t="s">
        <v>43</v>
      </c>
      <c r="E2422" s="15" t="s">
        <v>36</v>
      </c>
      <c r="F2422" s="15" t="s">
        <v>18</v>
      </c>
      <c r="G2422" s="15" t="s">
        <v>32</v>
      </c>
      <c r="H2422" s="15" t="n">
        <v>5</v>
      </c>
      <c r="I2422" s="17" t="n">
        <v>0.2</v>
      </c>
      <c r="J2422" s="18" t="n">
        <v>1766.62</v>
      </c>
      <c r="K2422" s="19" t="n">
        <v>-3.28</v>
      </c>
      <c r="L2422" s="15" t="n">
        <f aca="false">YEAR(B2422)</f>
        <v>2022</v>
      </c>
      <c r="M2422" s="20" t="n">
        <f aca="false">IF(J2422&gt;0,K2422/J2422,0)</f>
        <v>-0.00185665281724423</v>
      </c>
    </row>
    <row r="2423" customFormat="false" ht="15" hidden="false" customHeight="false" outlineLevel="0" collapsed="false">
      <c r="A2423" s="15" t="s">
        <v>2480</v>
      </c>
      <c r="B2423" s="16" t="n">
        <v>45127</v>
      </c>
      <c r="C2423" s="15" t="s">
        <v>56</v>
      </c>
      <c r="D2423" s="15" t="s">
        <v>42</v>
      </c>
      <c r="E2423" s="15" t="s">
        <v>37</v>
      </c>
      <c r="F2423" s="15" t="s">
        <v>17</v>
      </c>
      <c r="G2423" s="15" t="s">
        <v>26</v>
      </c>
      <c r="H2423" s="15" t="n">
        <v>2</v>
      </c>
      <c r="I2423" s="17" t="n">
        <v>0</v>
      </c>
      <c r="J2423" s="18" t="n">
        <v>176.11</v>
      </c>
      <c r="K2423" s="19" t="n">
        <v>23.28</v>
      </c>
      <c r="L2423" s="15" t="n">
        <f aca="false">YEAR(B2423)</f>
        <v>2023</v>
      </c>
      <c r="M2423" s="20" t="n">
        <f aca="false">IF(J2423&gt;0,K2423/J2423,0)</f>
        <v>0.132190108454943</v>
      </c>
    </row>
    <row r="2424" customFormat="false" ht="15" hidden="false" customHeight="false" outlineLevel="0" collapsed="false">
      <c r="A2424" s="15" t="s">
        <v>2481</v>
      </c>
      <c r="B2424" s="16" t="n">
        <v>45917</v>
      </c>
      <c r="C2424" s="15" t="s">
        <v>56</v>
      </c>
      <c r="D2424" s="15" t="s">
        <v>42</v>
      </c>
      <c r="E2424" s="15" t="s">
        <v>38</v>
      </c>
      <c r="F2424" s="15" t="s">
        <v>17</v>
      </c>
      <c r="G2424" s="15" t="s">
        <v>29</v>
      </c>
      <c r="H2424" s="15" t="n">
        <v>1</v>
      </c>
      <c r="I2424" s="17" t="n">
        <v>0.15</v>
      </c>
      <c r="J2424" s="18" t="n">
        <v>12.29</v>
      </c>
      <c r="K2424" s="19" t="n">
        <v>2.78</v>
      </c>
      <c r="L2424" s="15" t="n">
        <f aca="false">YEAR(B2424)</f>
        <v>2025</v>
      </c>
      <c r="M2424" s="20" t="n">
        <f aca="false">IF(J2424&gt;0,K2424/J2424,0)</f>
        <v>0.22620016273393</v>
      </c>
    </row>
    <row r="2425" customFormat="false" ht="15" hidden="false" customHeight="false" outlineLevel="0" collapsed="false">
      <c r="A2425" s="15" t="s">
        <v>2482</v>
      </c>
      <c r="B2425" s="16" t="n">
        <v>44678</v>
      </c>
      <c r="C2425" s="15" t="s">
        <v>56</v>
      </c>
      <c r="D2425" s="15" t="s">
        <v>43</v>
      </c>
      <c r="E2425" s="15" t="s">
        <v>37</v>
      </c>
      <c r="F2425" s="15" t="s">
        <v>18</v>
      </c>
      <c r="G2425" s="15" t="s">
        <v>30</v>
      </c>
      <c r="H2425" s="15" t="n">
        <v>3</v>
      </c>
      <c r="I2425" s="17" t="n">
        <v>0.4</v>
      </c>
      <c r="J2425" s="18" t="n">
        <v>100.74</v>
      </c>
      <c r="K2425" s="19" t="n">
        <v>-8.56</v>
      </c>
      <c r="L2425" s="15" t="n">
        <f aca="false">YEAR(B2425)</f>
        <v>2022</v>
      </c>
      <c r="M2425" s="20" t="n">
        <f aca="false">IF(J2425&gt;0,K2425/J2425,0)</f>
        <v>-0.0849712130236252</v>
      </c>
    </row>
    <row r="2426" customFormat="false" ht="15" hidden="false" customHeight="false" outlineLevel="0" collapsed="false">
      <c r="A2426" s="15" t="s">
        <v>2483</v>
      </c>
      <c r="B2426" s="16" t="n">
        <v>45293</v>
      </c>
      <c r="C2426" s="15" t="s">
        <v>56</v>
      </c>
      <c r="D2426" s="15" t="s">
        <v>43</v>
      </c>
      <c r="E2426" s="15" t="s">
        <v>37</v>
      </c>
      <c r="F2426" s="15" t="s">
        <v>17</v>
      </c>
      <c r="G2426" s="15" t="s">
        <v>29</v>
      </c>
      <c r="H2426" s="15" t="n">
        <v>3</v>
      </c>
      <c r="I2426" s="17" t="n">
        <v>0</v>
      </c>
      <c r="J2426" s="18" t="n">
        <v>53.75</v>
      </c>
      <c r="K2426" s="19" t="n">
        <v>23.53</v>
      </c>
      <c r="L2426" s="15" t="n">
        <f aca="false">YEAR(B2426)</f>
        <v>2024</v>
      </c>
      <c r="M2426" s="20" t="n">
        <f aca="false">IF(J2426&gt;0,K2426/J2426,0)</f>
        <v>0.437767441860465</v>
      </c>
    </row>
    <row r="2427" customFormat="false" ht="15" hidden="false" customHeight="false" outlineLevel="0" collapsed="false">
      <c r="A2427" s="15" t="s">
        <v>2484</v>
      </c>
      <c r="B2427" s="16" t="n">
        <v>45600</v>
      </c>
      <c r="C2427" s="15" t="s">
        <v>71</v>
      </c>
      <c r="D2427" s="15" t="s">
        <v>43</v>
      </c>
      <c r="E2427" s="15" t="s">
        <v>37</v>
      </c>
      <c r="F2427" s="15" t="s">
        <v>16</v>
      </c>
      <c r="G2427" s="15" t="s">
        <v>27</v>
      </c>
      <c r="H2427" s="15" t="n">
        <v>7</v>
      </c>
      <c r="I2427" s="17" t="n">
        <v>0.2</v>
      </c>
      <c r="J2427" s="18" t="n">
        <v>334.56</v>
      </c>
      <c r="K2427" s="19" t="n">
        <v>14.64</v>
      </c>
      <c r="L2427" s="15" t="n">
        <f aca="false">YEAR(B2427)</f>
        <v>2024</v>
      </c>
      <c r="M2427" s="20" t="n">
        <f aca="false">IF(J2427&gt;0,K2427/J2427,0)</f>
        <v>0.0437589670014347</v>
      </c>
    </row>
    <row r="2428" customFormat="false" ht="15" hidden="false" customHeight="false" outlineLevel="0" collapsed="false">
      <c r="A2428" s="15" t="s">
        <v>2485</v>
      </c>
      <c r="B2428" s="16" t="n">
        <v>45216</v>
      </c>
      <c r="C2428" s="15" t="s">
        <v>56</v>
      </c>
      <c r="D2428" s="15" t="s">
        <v>43</v>
      </c>
      <c r="E2428" s="15" t="s">
        <v>39</v>
      </c>
      <c r="F2428" s="15" t="s">
        <v>16</v>
      </c>
      <c r="G2428" s="15" t="s">
        <v>22</v>
      </c>
      <c r="H2428" s="15" t="n">
        <v>4</v>
      </c>
      <c r="I2428" s="17" t="n">
        <v>0</v>
      </c>
      <c r="J2428" s="18" t="n">
        <v>2874.64</v>
      </c>
      <c r="K2428" s="19" t="n">
        <v>-363.06</v>
      </c>
      <c r="L2428" s="15" t="n">
        <f aca="false">YEAR(B2428)</f>
        <v>2023</v>
      </c>
      <c r="M2428" s="20" t="n">
        <f aca="false">IF(J2428&gt;0,K2428/J2428,0)</f>
        <v>-0.126297553780647</v>
      </c>
    </row>
    <row r="2429" customFormat="false" ht="15" hidden="false" customHeight="false" outlineLevel="0" collapsed="false">
      <c r="A2429" s="15" t="s">
        <v>2486</v>
      </c>
      <c r="B2429" s="16" t="n">
        <v>45979</v>
      </c>
      <c r="C2429" s="15" t="s">
        <v>68</v>
      </c>
      <c r="D2429" s="15" t="s">
        <v>42</v>
      </c>
      <c r="E2429" s="15" t="s">
        <v>38</v>
      </c>
      <c r="F2429" s="15" t="s">
        <v>18</v>
      </c>
      <c r="G2429" s="15" t="s">
        <v>30</v>
      </c>
      <c r="H2429" s="15" t="n">
        <v>4</v>
      </c>
      <c r="I2429" s="17" t="n">
        <v>0.15</v>
      </c>
      <c r="J2429" s="18" t="n">
        <v>149.78</v>
      </c>
      <c r="K2429" s="19" t="n">
        <v>23.53</v>
      </c>
      <c r="L2429" s="15" t="n">
        <f aca="false">YEAR(B2429)</f>
        <v>2025</v>
      </c>
      <c r="M2429" s="20" t="n">
        <f aca="false">IF(J2429&gt;0,K2429/J2429,0)</f>
        <v>0.157097075711043</v>
      </c>
    </row>
    <row r="2430" customFormat="false" ht="15" hidden="false" customHeight="false" outlineLevel="0" collapsed="false">
      <c r="A2430" s="15" t="s">
        <v>2487</v>
      </c>
      <c r="B2430" s="16" t="n">
        <v>45172</v>
      </c>
      <c r="C2430" s="15" t="s">
        <v>56</v>
      </c>
      <c r="D2430" s="15" t="s">
        <v>42</v>
      </c>
      <c r="E2430" s="15" t="s">
        <v>38</v>
      </c>
      <c r="F2430" s="15" t="s">
        <v>17</v>
      </c>
      <c r="G2430" s="15" t="s">
        <v>29</v>
      </c>
      <c r="H2430" s="15" t="n">
        <v>5</v>
      </c>
      <c r="I2430" s="17" t="n">
        <v>0</v>
      </c>
      <c r="J2430" s="18" t="n">
        <v>84.29</v>
      </c>
      <c r="K2430" s="19" t="n">
        <v>33.44</v>
      </c>
      <c r="L2430" s="15" t="n">
        <f aca="false">YEAR(B2430)</f>
        <v>2023</v>
      </c>
      <c r="M2430" s="20" t="n">
        <f aca="false">IF(J2430&gt;0,K2430/J2430,0)</f>
        <v>0.396725590224226</v>
      </c>
    </row>
    <row r="2431" customFormat="false" ht="15" hidden="false" customHeight="false" outlineLevel="0" collapsed="false">
      <c r="A2431" s="15" t="s">
        <v>2488</v>
      </c>
      <c r="B2431" s="16" t="n">
        <v>46013</v>
      </c>
      <c r="C2431" s="15" t="s">
        <v>68</v>
      </c>
      <c r="D2431" s="15" t="s">
        <v>42</v>
      </c>
      <c r="E2431" s="15" t="s">
        <v>39</v>
      </c>
      <c r="F2431" s="15" t="s">
        <v>17</v>
      </c>
      <c r="G2431" s="15" t="s">
        <v>31</v>
      </c>
      <c r="H2431" s="15" t="n">
        <v>1</v>
      </c>
      <c r="I2431" s="17" t="n">
        <v>0.05</v>
      </c>
      <c r="J2431" s="18" t="n">
        <v>116.5</v>
      </c>
      <c r="K2431" s="19" t="n">
        <v>5.87</v>
      </c>
      <c r="L2431" s="15" t="n">
        <f aca="false">YEAR(B2431)</f>
        <v>2025</v>
      </c>
      <c r="M2431" s="20" t="n">
        <f aca="false">IF(J2431&gt;0,K2431/J2431,0)</f>
        <v>0.0503862660944206</v>
      </c>
    </row>
    <row r="2432" customFormat="false" ht="15" hidden="false" customHeight="false" outlineLevel="0" collapsed="false">
      <c r="A2432" s="15" t="s">
        <v>2489</v>
      </c>
      <c r="B2432" s="16" t="n">
        <v>45302</v>
      </c>
      <c r="C2432" s="15" t="s">
        <v>68</v>
      </c>
      <c r="D2432" s="15" t="s">
        <v>42</v>
      </c>
      <c r="E2432" s="15" t="s">
        <v>37</v>
      </c>
      <c r="F2432" s="15" t="s">
        <v>17</v>
      </c>
      <c r="G2432" s="15" t="s">
        <v>29</v>
      </c>
      <c r="H2432" s="15" t="n">
        <v>6</v>
      </c>
      <c r="I2432" s="17" t="n">
        <v>0.2</v>
      </c>
      <c r="J2432" s="18" t="n">
        <v>78.43</v>
      </c>
      <c r="K2432" s="19" t="n">
        <v>18.82</v>
      </c>
      <c r="L2432" s="15" t="n">
        <f aca="false">YEAR(B2432)</f>
        <v>2024</v>
      </c>
      <c r="M2432" s="20" t="n">
        <f aca="false">IF(J2432&gt;0,K2432/J2432,0)</f>
        <v>0.239959199285988</v>
      </c>
    </row>
    <row r="2433" customFormat="false" ht="15" hidden="false" customHeight="false" outlineLevel="0" collapsed="false">
      <c r="A2433" s="15" t="s">
        <v>2490</v>
      </c>
      <c r="B2433" s="16" t="n">
        <v>44660</v>
      </c>
      <c r="C2433" s="15" t="s">
        <v>71</v>
      </c>
      <c r="D2433" s="15" t="s">
        <v>44</v>
      </c>
      <c r="E2433" s="15" t="s">
        <v>38</v>
      </c>
      <c r="F2433" s="15" t="s">
        <v>16</v>
      </c>
      <c r="G2433" s="15" t="s">
        <v>22</v>
      </c>
      <c r="H2433" s="15" t="n">
        <v>2</v>
      </c>
      <c r="I2433" s="17" t="n">
        <v>0.2</v>
      </c>
      <c r="J2433" s="18" t="n">
        <v>740.27</v>
      </c>
      <c r="K2433" s="19" t="n">
        <v>-144.86</v>
      </c>
      <c r="L2433" s="15" t="n">
        <f aca="false">YEAR(B2433)</f>
        <v>2022</v>
      </c>
      <c r="M2433" s="20" t="n">
        <f aca="false">IF(J2433&gt;0,K2433/J2433,0)</f>
        <v>-0.195685358045038</v>
      </c>
    </row>
    <row r="2434" customFormat="false" ht="15" hidden="false" customHeight="false" outlineLevel="0" collapsed="false">
      <c r="A2434" s="15" t="s">
        <v>2491</v>
      </c>
      <c r="B2434" s="16" t="n">
        <v>45715</v>
      </c>
      <c r="C2434" s="15" t="s">
        <v>56</v>
      </c>
      <c r="D2434" s="15" t="s">
        <v>44</v>
      </c>
      <c r="E2434" s="15" t="s">
        <v>38</v>
      </c>
      <c r="F2434" s="15" t="s">
        <v>17</v>
      </c>
      <c r="G2434" s="15" t="s">
        <v>28</v>
      </c>
      <c r="H2434" s="15" t="n">
        <v>5</v>
      </c>
      <c r="I2434" s="17" t="n">
        <v>0</v>
      </c>
      <c r="J2434" s="18" t="n">
        <v>123.8</v>
      </c>
      <c r="K2434" s="19" t="n">
        <v>34.06</v>
      </c>
      <c r="L2434" s="15" t="n">
        <f aca="false">YEAR(B2434)</f>
        <v>2025</v>
      </c>
      <c r="M2434" s="20" t="n">
        <f aca="false">IF(J2434&gt;0,K2434/J2434,0)</f>
        <v>0.275121163166397</v>
      </c>
    </row>
    <row r="2435" customFormat="false" ht="15" hidden="false" customHeight="false" outlineLevel="0" collapsed="false">
      <c r="A2435" s="15" t="s">
        <v>2492</v>
      </c>
      <c r="B2435" s="16" t="n">
        <v>44859</v>
      </c>
      <c r="C2435" s="15" t="s">
        <v>56</v>
      </c>
      <c r="D2435" s="15" t="s">
        <v>42</v>
      </c>
      <c r="E2435" s="15" t="s">
        <v>39</v>
      </c>
      <c r="F2435" s="15" t="s">
        <v>17</v>
      </c>
      <c r="G2435" s="15" t="s">
        <v>31</v>
      </c>
      <c r="H2435" s="15" t="n">
        <v>4</v>
      </c>
      <c r="I2435" s="17" t="n">
        <v>0.05</v>
      </c>
      <c r="J2435" s="18" t="n">
        <v>412.66</v>
      </c>
      <c r="K2435" s="19" t="n">
        <v>61.82</v>
      </c>
      <c r="L2435" s="15" t="n">
        <f aca="false">YEAR(B2435)</f>
        <v>2022</v>
      </c>
      <c r="M2435" s="20" t="n">
        <f aca="false">IF(J2435&gt;0,K2435/J2435,0)</f>
        <v>0.149808559104347</v>
      </c>
    </row>
    <row r="2436" customFormat="false" ht="15" hidden="false" customHeight="false" outlineLevel="0" collapsed="false">
      <c r="A2436" s="15" t="s">
        <v>2493</v>
      </c>
      <c r="B2436" s="16" t="n">
        <v>44838</v>
      </c>
      <c r="C2436" s="15" t="s">
        <v>56</v>
      </c>
      <c r="D2436" s="15" t="s">
        <v>43</v>
      </c>
      <c r="E2436" s="15" t="s">
        <v>36</v>
      </c>
      <c r="F2436" s="15" t="s">
        <v>17</v>
      </c>
      <c r="G2436" s="15" t="s">
        <v>29</v>
      </c>
      <c r="H2436" s="15" t="n">
        <v>8</v>
      </c>
      <c r="I2436" s="17" t="n">
        <v>0.15</v>
      </c>
      <c r="J2436" s="18" t="n">
        <v>117.47</v>
      </c>
      <c r="K2436" s="19" t="n">
        <v>27.41</v>
      </c>
      <c r="L2436" s="15" t="n">
        <f aca="false">YEAR(B2436)</f>
        <v>2022</v>
      </c>
      <c r="M2436" s="20" t="n">
        <f aca="false">IF(J2436&gt;0,K2436/J2436,0)</f>
        <v>0.233336170937261</v>
      </c>
    </row>
    <row r="2437" customFormat="false" ht="15" hidden="false" customHeight="false" outlineLevel="0" collapsed="false">
      <c r="A2437" s="15" t="s">
        <v>2494</v>
      </c>
      <c r="B2437" s="16" t="n">
        <v>45920</v>
      </c>
      <c r="C2437" s="15" t="s">
        <v>56</v>
      </c>
      <c r="D2437" s="15" t="s">
        <v>44</v>
      </c>
      <c r="E2437" s="15" t="s">
        <v>37</v>
      </c>
      <c r="F2437" s="15" t="s">
        <v>17</v>
      </c>
      <c r="G2437" s="15" t="s">
        <v>28</v>
      </c>
      <c r="H2437" s="15" t="n">
        <v>1</v>
      </c>
      <c r="I2437" s="17" t="n">
        <v>0.2</v>
      </c>
      <c r="J2437" s="18" t="n">
        <v>18.16</v>
      </c>
      <c r="K2437" s="19" t="n">
        <v>2.46</v>
      </c>
      <c r="L2437" s="15" t="n">
        <f aca="false">YEAR(B2437)</f>
        <v>2025</v>
      </c>
      <c r="M2437" s="20" t="n">
        <f aca="false">IF(J2437&gt;0,K2437/J2437,0)</f>
        <v>0.135462555066079</v>
      </c>
    </row>
    <row r="2438" customFormat="false" ht="15" hidden="false" customHeight="false" outlineLevel="0" collapsed="false">
      <c r="A2438" s="15" t="s">
        <v>2495</v>
      </c>
      <c r="B2438" s="16" t="n">
        <v>45231</v>
      </c>
      <c r="C2438" s="15" t="s">
        <v>56</v>
      </c>
      <c r="D2438" s="15" t="s">
        <v>42</v>
      </c>
      <c r="E2438" s="15" t="s">
        <v>39</v>
      </c>
      <c r="F2438" s="15" t="s">
        <v>18</v>
      </c>
      <c r="G2438" s="15" t="s">
        <v>32</v>
      </c>
      <c r="H2438" s="15" t="n">
        <v>5</v>
      </c>
      <c r="I2438" s="17" t="n">
        <v>0.15</v>
      </c>
      <c r="J2438" s="18" t="n">
        <v>1782.23</v>
      </c>
      <c r="K2438" s="19" t="n">
        <v>168.01</v>
      </c>
      <c r="L2438" s="15" t="n">
        <f aca="false">YEAR(B2438)</f>
        <v>2023</v>
      </c>
      <c r="M2438" s="20" t="n">
        <f aca="false">IF(J2438&gt;0,K2438/J2438,0)</f>
        <v>0.0942695387239582</v>
      </c>
    </row>
    <row r="2439" customFormat="false" ht="15" hidden="false" customHeight="false" outlineLevel="0" collapsed="false">
      <c r="A2439" s="15" t="s">
        <v>2496</v>
      </c>
      <c r="B2439" s="16" t="n">
        <v>44861</v>
      </c>
      <c r="C2439" s="15" t="s">
        <v>56</v>
      </c>
      <c r="D2439" s="15" t="s">
        <v>42</v>
      </c>
      <c r="E2439" s="15" t="s">
        <v>39</v>
      </c>
      <c r="F2439" s="15" t="s">
        <v>16</v>
      </c>
      <c r="G2439" s="15" t="s">
        <v>25</v>
      </c>
      <c r="H2439" s="15" t="n">
        <v>2</v>
      </c>
      <c r="I2439" s="17" t="n">
        <v>0</v>
      </c>
      <c r="J2439" s="18" t="n">
        <v>569.2</v>
      </c>
      <c r="K2439" s="19" t="n">
        <v>104.74</v>
      </c>
      <c r="L2439" s="15" t="n">
        <f aca="false">YEAR(B2439)</f>
        <v>2022</v>
      </c>
      <c r="M2439" s="20" t="n">
        <f aca="false">IF(J2439&gt;0,K2439/J2439,0)</f>
        <v>0.184012649332396</v>
      </c>
    </row>
    <row r="2440" customFormat="false" ht="15" hidden="false" customHeight="false" outlineLevel="0" collapsed="false">
      <c r="A2440" s="15" t="s">
        <v>2497</v>
      </c>
      <c r="B2440" s="16" t="n">
        <v>45868</v>
      </c>
      <c r="C2440" s="15" t="s">
        <v>56</v>
      </c>
      <c r="D2440" s="15" t="s">
        <v>42</v>
      </c>
      <c r="E2440" s="15" t="s">
        <v>38</v>
      </c>
      <c r="F2440" s="15" t="s">
        <v>17</v>
      </c>
      <c r="G2440" s="15" t="s">
        <v>29</v>
      </c>
      <c r="H2440" s="15" t="n">
        <v>2</v>
      </c>
      <c r="I2440" s="17" t="n">
        <v>0.05</v>
      </c>
      <c r="J2440" s="18" t="n">
        <v>34.82</v>
      </c>
      <c r="K2440" s="19" t="n">
        <v>12.9</v>
      </c>
      <c r="L2440" s="15" t="n">
        <f aca="false">YEAR(B2440)</f>
        <v>2025</v>
      </c>
      <c r="M2440" s="20" t="n">
        <f aca="false">IF(J2440&gt;0,K2440/J2440,0)</f>
        <v>0.37047673750718</v>
      </c>
    </row>
    <row r="2441" customFormat="false" ht="15" hidden="false" customHeight="false" outlineLevel="0" collapsed="false">
      <c r="A2441" s="15" t="s">
        <v>2498</v>
      </c>
      <c r="B2441" s="16" t="n">
        <v>44922</v>
      </c>
      <c r="C2441" s="15" t="s">
        <v>71</v>
      </c>
      <c r="D2441" s="15" t="s">
        <v>42</v>
      </c>
      <c r="E2441" s="15" t="s">
        <v>38</v>
      </c>
      <c r="F2441" s="15" t="s">
        <v>17</v>
      </c>
      <c r="G2441" s="15" t="s">
        <v>28</v>
      </c>
      <c r="H2441" s="15" t="n">
        <v>4</v>
      </c>
      <c r="I2441" s="17" t="n">
        <v>0.05</v>
      </c>
      <c r="J2441" s="18" t="n">
        <v>81.69</v>
      </c>
      <c r="K2441" s="19" t="n">
        <v>19.34</v>
      </c>
      <c r="L2441" s="15" t="n">
        <f aca="false">YEAR(B2441)</f>
        <v>2022</v>
      </c>
      <c r="M2441" s="20" t="n">
        <f aca="false">IF(J2441&gt;0,K2441/J2441,0)</f>
        <v>0.236748684049455</v>
      </c>
    </row>
    <row r="2442" customFormat="false" ht="15" hidden="false" customHeight="false" outlineLevel="0" collapsed="false">
      <c r="A2442" s="15" t="s">
        <v>2499</v>
      </c>
      <c r="B2442" s="16" t="n">
        <v>45474</v>
      </c>
      <c r="C2442" s="15" t="s">
        <v>56</v>
      </c>
      <c r="D2442" s="15" t="s">
        <v>43</v>
      </c>
      <c r="E2442" s="15" t="s">
        <v>36</v>
      </c>
      <c r="F2442" s="15" t="s">
        <v>16</v>
      </c>
      <c r="G2442" s="15" t="s">
        <v>25</v>
      </c>
      <c r="H2442" s="15" t="n">
        <v>3</v>
      </c>
      <c r="I2442" s="17" t="n">
        <v>0</v>
      </c>
      <c r="J2442" s="18" t="n">
        <v>855.61</v>
      </c>
      <c r="K2442" s="19" t="n">
        <v>79.49</v>
      </c>
      <c r="L2442" s="15" t="n">
        <f aca="false">YEAR(B2442)</f>
        <v>2024</v>
      </c>
      <c r="M2442" s="20" t="n">
        <f aca="false">IF(J2442&gt;0,K2442/J2442,0)</f>
        <v>0.0929044775072755</v>
      </c>
    </row>
    <row r="2443" customFormat="false" ht="15" hidden="false" customHeight="false" outlineLevel="0" collapsed="false">
      <c r="A2443" s="15" t="s">
        <v>2500</v>
      </c>
      <c r="B2443" s="16" t="n">
        <v>45293</v>
      </c>
      <c r="C2443" s="15" t="s">
        <v>56</v>
      </c>
      <c r="D2443" s="15" t="s">
        <v>43</v>
      </c>
      <c r="E2443" s="15" t="s">
        <v>39</v>
      </c>
      <c r="F2443" s="15" t="s">
        <v>17</v>
      </c>
      <c r="G2443" s="15" t="s">
        <v>28</v>
      </c>
      <c r="H2443" s="15" t="n">
        <v>4</v>
      </c>
      <c r="I2443" s="17" t="n">
        <v>0.2</v>
      </c>
      <c r="J2443" s="18" t="n">
        <v>105.36</v>
      </c>
      <c r="K2443" s="19" t="n">
        <v>8.14</v>
      </c>
      <c r="L2443" s="15" t="n">
        <f aca="false">YEAR(B2443)</f>
        <v>2024</v>
      </c>
      <c r="M2443" s="20" t="n">
        <f aca="false">IF(J2443&gt;0,K2443/J2443,0)</f>
        <v>0.0772589217919514</v>
      </c>
    </row>
    <row r="2444" customFormat="false" ht="15" hidden="false" customHeight="false" outlineLevel="0" collapsed="false">
      <c r="A2444" s="15" t="s">
        <v>2501</v>
      </c>
      <c r="B2444" s="16" t="n">
        <v>45240</v>
      </c>
      <c r="C2444" s="15" t="s">
        <v>68</v>
      </c>
      <c r="D2444" s="15" t="s">
        <v>44</v>
      </c>
      <c r="E2444" s="15" t="s">
        <v>37</v>
      </c>
      <c r="F2444" s="15" t="s">
        <v>16</v>
      </c>
      <c r="G2444" s="15" t="s">
        <v>22</v>
      </c>
      <c r="H2444" s="15" t="n">
        <v>4</v>
      </c>
      <c r="I2444" s="17" t="n">
        <v>0</v>
      </c>
      <c r="J2444" s="18" t="n">
        <v>2234.43</v>
      </c>
      <c r="K2444" s="19" t="n">
        <v>-114.65</v>
      </c>
      <c r="L2444" s="15" t="n">
        <f aca="false">YEAR(B2444)</f>
        <v>2023</v>
      </c>
      <c r="M2444" s="20" t="n">
        <f aca="false">IF(J2444&gt;0,K2444/J2444,0)</f>
        <v>-0.0513106250811169</v>
      </c>
    </row>
    <row r="2445" customFormat="false" ht="15" hidden="false" customHeight="false" outlineLevel="0" collapsed="false">
      <c r="A2445" s="15" t="s">
        <v>2502</v>
      </c>
      <c r="B2445" s="16" t="n">
        <v>44938</v>
      </c>
      <c r="C2445" s="15" t="s">
        <v>71</v>
      </c>
      <c r="D2445" s="15" t="s">
        <v>43</v>
      </c>
      <c r="E2445" s="15" t="s">
        <v>36</v>
      </c>
      <c r="F2445" s="15" t="s">
        <v>17</v>
      </c>
      <c r="G2445" s="15" t="s">
        <v>29</v>
      </c>
      <c r="H2445" s="15" t="n">
        <v>3</v>
      </c>
      <c r="I2445" s="17" t="n">
        <v>0.4</v>
      </c>
      <c r="J2445" s="18" t="n">
        <v>34.01</v>
      </c>
      <c r="K2445" s="19" t="n">
        <v>0.84</v>
      </c>
      <c r="L2445" s="15" t="n">
        <f aca="false">YEAR(B2445)</f>
        <v>2023</v>
      </c>
      <c r="M2445" s="20" t="n">
        <f aca="false">IF(J2445&gt;0,K2445/J2445,0)</f>
        <v>0.0246986180535137</v>
      </c>
    </row>
    <row r="2446" customFormat="false" ht="15" hidden="false" customHeight="false" outlineLevel="0" collapsed="false">
      <c r="A2446" s="15" t="s">
        <v>2503</v>
      </c>
      <c r="B2446" s="16" t="n">
        <v>45732</v>
      </c>
      <c r="C2446" s="15" t="s">
        <v>56</v>
      </c>
      <c r="D2446" s="15" t="s">
        <v>42</v>
      </c>
      <c r="E2446" s="15" t="s">
        <v>39</v>
      </c>
      <c r="F2446" s="15" t="s">
        <v>16</v>
      </c>
      <c r="G2446" s="15" t="s">
        <v>22</v>
      </c>
      <c r="H2446" s="15" t="n">
        <v>3</v>
      </c>
      <c r="I2446" s="17" t="n">
        <v>0</v>
      </c>
      <c r="J2446" s="18" t="n">
        <v>1790.55</v>
      </c>
      <c r="K2446" s="19" t="n">
        <v>-23.44</v>
      </c>
      <c r="L2446" s="15" t="n">
        <f aca="false">YEAR(B2446)</f>
        <v>2025</v>
      </c>
      <c r="M2446" s="20" t="n">
        <f aca="false">IF(J2446&gt;0,K2446/J2446,0)</f>
        <v>-0.0130909497081902</v>
      </c>
    </row>
    <row r="2447" customFormat="false" ht="15" hidden="false" customHeight="false" outlineLevel="0" collapsed="false">
      <c r="A2447" s="15" t="s">
        <v>2504</v>
      </c>
      <c r="B2447" s="16" t="n">
        <v>45638</v>
      </c>
      <c r="C2447" s="15" t="s">
        <v>68</v>
      </c>
      <c r="D2447" s="15" t="s">
        <v>42</v>
      </c>
      <c r="E2447" s="15" t="s">
        <v>39</v>
      </c>
      <c r="F2447" s="15" t="s">
        <v>17</v>
      </c>
      <c r="G2447" s="15" t="s">
        <v>28</v>
      </c>
      <c r="H2447" s="15" t="n">
        <v>1</v>
      </c>
      <c r="I2447" s="17" t="n">
        <v>0</v>
      </c>
      <c r="J2447" s="18" t="n">
        <v>25.26</v>
      </c>
      <c r="K2447" s="19" t="n">
        <v>7.62</v>
      </c>
      <c r="L2447" s="15" t="n">
        <f aca="false">YEAR(B2447)</f>
        <v>2024</v>
      </c>
      <c r="M2447" s="20" t="n">
        <f aca="false">IF(J2447&gt;0,K2447/J2447,0)</f>
        <v>0.30166270783848</v>
      </c>
    </row>
    <row r="2448" customFormat="false" ht="15" hidden="false" customHeight="false" outlineLevel="0" collapsed="false">
      <c r="A2448" s="15" t="s">
        <v>2505</v>
      </c>
      <c r="B2448" s="16" t="n">
        <v>45180</v>
      </c>
      <c r="C2448" s="15" t="s">
        <v>56</v>
      </c>
      <c r="D2448" s="15" t="s">
        <v>42</v>
      </c>
      <c r="E2448" s="15" t="s">
        <v>39</v>
      </c>
      <c r="F2448" s="15" t="s">
        <v>17</v>
      </c>
      <c r="G2448" s="15" t="s">
        <v>28</v>
      </c>
      <c r="H2448" s="15" t="n">
        <v>3</v>
      </c>
      <c r="I2448" s="17" t="n">
        <v>0.1</v>
      </c>
      <c r="J2448" s="18" t="n">
        <v>79.93</v>
      </c>
      <c r="K2448" s="19" t="n">
        <v>20.13</v>
      </c>
      <c r="L2448" s="15" t="n">
        <f aca="false">YEAR(B2448)</f>
        <v>2023</v>
      </c>
      <c r="M2448" s="20" t="n">
        <f aca="false">IF(J2448&gt;0,K2448/J2448,0)</f>
        <v>0.251845364694107</v>
      </c>
    </row>
    <row r="2449" customFormat="false" ht="15" hidden="false" customHeight="false" outlineLevel="0" collapsed="false">
      <c r="A2449" s="15" t="s">
        <v>2506</v>
      </c>
      <c r="B2449" s="16" t="n">
        <v>45509</v>
      </c>
      <c r="C2449" s="15" t="s">
        <v>71</v>
      </c>
      <c r="D2449" s="15" t="s">
        <v>42</v>
      </c>
      <c r="E2449" s="15" t="s">
        <v>37</v>
      </c>
      <c r="F2449" s="15" t="s">
        <v>17</v>
      </c>
      <c r="G2449" s="15" t="s">
        <v>29</v>
      </c>
      <c r="H2449" s="15" t="n">
        <v>2</v>
      </c>
      <c r="I2449" s="17" t="n">
        <v>0.15</v>
      </c>
      <c r="J2449" s="18" t="n">
        <v>27.89</v>
      </c>
      <c r="K2449" s="19" t="n">
        <v>7.23</v>
      </c>
      <c r="L2449" s="15" t="n">
        <f aca="false">YEAR(B2449)</f>
        <v>2024</v>
      </c>
      <c r="M2449" s="20" t="n">
        <f aca="false">IF(J2449&gt;0,K2449/J2449,0)</f>
        <v>0.259232699892435</v>
      </c>
    </row>
    <row r="2450" customFormat="false" ht="15" hidden="false" customHeight="false" outlineLevel="0" collapsed="false">
      <c r="A2450" s="15" t="s">
        <v>2507</v>
      </c>
      <c r="B2450" s="16" t="n">
        <v>45628</v>
      </c>
      <c r="C2450" s="15" t="s">
        <v>71</v>
      </c>
      <c r="D2450" s="15" t="s">
        <v>43</v>
      </c>
      <c r="E2450" s="15" t="s">
        <v>38</v>
      </c>
      <c r="F2450" s="15" t="s">
        <v>17</v>
      </c>
      <c r="G2450" s="15" t="s">
        <v>31</v>
      </c>
      <c r="H2450" s="15" t="n">
        <v>1</v>
      </c>
      <c r="I2450" s="17" t="n">
        <v>0.05</v>
      </c>
      <c r="J2450" s="18" t="n">
        <v>96.89</v>
      </c>
      <c r="K2450" s="19" t="n">
        <v>17.8</v>
      </c>
      <c r="L2450" s="15" t="n">
        <f aca="false">YEAR(B2450)</f>
        <v>2024</v>
      </c>
      <c r="M2450" s="20" t="n">
        <f aca="false">IF(J2450&gt;0,K2450/J2450,0)</f>
        <v>0.183713489524203</v>
      </c>
    </row>
    <row r="2451" customFormat="false" ht="15" hidden="false" customHeight="false" outlineLevel="0" collapsed="false">
      <c r="A2451" s="15" t="s">
        <v>2508</v>
      </c>
      <c r="B2451" s="16" t="n">
        <v>45484</v>
      </c>
      <c r="C2451" s="15" t="s">
        <v>56</v>
      </c>
      <c r="D2451" s="15" t="s">
        <v>43</v>
      </c>
      <c r="E2451" s="15" t="s">
        <v>37</v>
      </c>
      <c r="F2451" s="15" t="s">
        <v>18</v>
      </c>
      <c r="G2451" s="15" t="s">
        <v>30</v>
      </c>
      <c r="H2451" s="15" t="n">
        <v>5</v>
      </c>
      <c r="I2451" s="17" t="n">
        <v>0</v>
      </c>
      <c r="J2451" s="18" t="n">
        <v>248.95</v>
      </c>
      <c r="K2451" s="19" t="n">
        <v>82.44</v>
      </c>
      <c r="L2451" s="15" t="n">
        <f aca="false">YEAR(B2451)</f>
        <v>2024</v>
      </c>
      <c r="M2451" s="20" t="n">
        <f aca="false">IF(J2451&gt;0,K2451/J2451,0)</f>
        <v>0.331150833500703</v>
      </c>
    </row>
    <row r="2452" customFormat="false" ht="15" hidden="false" customHeight="false" outlineLevel="0" collapsed="false">
      <c r="A2452" s="15" t="s">
        <v>2509</v>
      </c>
      <c r="B2452" s="16" t="n">
        <v>44832</v>
      </c>
      <c r="C2452" s="15" t="s">
        <v>71</v>
      </c>
      <c r="D2452" s="15" t="s">
        <v>43</v>
      </c>
      <c r="E2452" s="15" t="s">
        <v>37</v>
      </c>
      <c r="F2452" s="15" t="s">
        <v>18</v>
      </c>
      <c r="G2452" s="15" t="s">
        <v>33</v>
      </c>
      <c r="H2452" s="15" t="n">
        <v>1</v>
      </c>
      <c r="I2452" s="17" t="n">
        <v>0</v>
      </c>
      <c r="J2452" s="18" t="n">
        <v>952.72</v>
      </c>
      <c r="K2452" s="19" t="n">
        <v>323.02</v>
      </c>
      <c r="L2452" s="15" t="n">
        <f aca="false">YEAR(B2452)</f>
        <v>2022</v>
      </c>
      <c r="M2452" s="20" t="n">
        <f aca="false">IF(J2452&gt;0,K2452/J2452,0)</f>
        <v>0.339050298093879</v>
      </c>
    </row>
    <row r="2453" customFormat="false" ht="15" hidden="false" customHeight="false" outlineLevel="0" collapsed="false">
      <c r="A2453" s="15" t="s">
        <v>2510</v>
      </c>
      <c r="B2453" s="16" t="n">
        <v>45949</v>
      </c>
      <c r="C2453" s="15" t="s">
        <v>56</v>
      </c>
      <c r="D2453" s="15" t="s">
        <v>43</v>
      </c>
      <c r="E2453" s="15" t="s">
        <v>39</v>
      </c>
      <c r="F2453" s="15" t="s">
        <v>18</v>
      </c>
      <c r="G2453" s="15" t="s">
        <v>32</v>
      </c>
      <c r="H2453" s="15" t="n">
        <v>3</v>
      </c>
      <c r="I2453" s="17" t="n">
        <v>0.2</v>
      </c>
      <c r="J2453" s="18" t="n">
        <v>1040.87</v>
      </c>
      <c r="K2453" s="19" t="n">
        <v>-21.11</v>
      </c>
      <c r="L2453" s="15" t="n">
        <f aca="false">YEAR(B2453)</f>
        <v>2025</v>
      </c>
      <c r="M2453" s="20" t="n">
        <f aca="false">IF(J2453&gt;0,K2453/J2453,0)</f>
        <v>-0.020281110993688</v>
      </c>
    </row>
    <row r="2454" customFormat="false" ht="15" hidden="false" customHeight="false" outlineLevel="0" collapsed="false">
      <c r="A2454" s="15" t="s">
        <v>2511</v>
      </c>
      <c r="B2454" s="16" t="n">
        <v>44779</v>
      </c>
      <c r="C2454" s="15" t="s">
        <v>68</v>
      </c>
      <c r="D2454" s="15" t="s">
        <v>43</v>
      </c>
      <c r="E2454" s="15" t="s">
        <v>38</v>
      </c>
      <c r="F2454" s="15" t="s">
        <v>17</v>
      </c>
      <c r="G2454" s="15" t="s">
        <v>29</v>
      </c>
      <c r="H2454" s="15" t="n">
        <v>5</v>
      </c>
      <c r="I2454" s="17" t="n">
        <v>0.2</v>
      </c>
      <c r="J2454" s="18" t="n">
        <v>67.63</v>
      </c>
      <c r="K2454" s="19" t="n">
        <v>10.15</v>
      </c>
      <c r="L2454" s="15" t="n">
        <f aca="false">YEAR(B2454)</f>
        <v>2022</v>
      </c>
      <c r="M2454" s="20" t="n">
        <f aca="false">IF(J2454&gt;0,K2454/J2454,0)</f>
        <v>0.150081324855833</v>
      </c>
    </row>
    <row r="2455" customFormat="false" ht="15" hidden="false" customHeight="false" outlineLevel="0" collapsed="false">
      <c r="A2455" s="15" t="s">
        <v>2512</v>
      </c>
      <c r="B2455" s="16" t="n">
        <v>45747</v>
      </c>
      <c r="C2455" s="15" t="s">
        <v>56</v>
      </c>
      <c r="D2455" s="15" t="s">
        <v>43</v>
      </c>
      <c r="E2455" s="15" t="s">
        <v>37</v>
      </c>
      <c r="F2455" s="15" t="s">
        <v>18</v>
      </c>
      <c r="G2455" s="15" t="s">
        <v>32</v>
      </c>
      <c r="H2455" s="15" t="n">
        <v>2</v>
      </c>
      <c r="I2455" s="17" t="n">
        <v>0</v>
      </c>
      <c r="J2455" s="18" t="n">
        <v>1047.68</v>
      </c>
      <c r="K2455" s="19" t="n">
        <v>183.37</v>
      </c>
      <c r="L2455" s="15" t="n">
        <f aca="false">YEAR(B2455)</f>
        <v>2025</v>
      </c>
      <c r="M2455" s="20" t="n">
        <f aca="false">IF(J2455&gt;0,K2455/J2455,0)</f>
        <v>0.175024816737935</v>
      </c>
    </row>
    <row r="2456" customFormat="false" ht="15" hidden="false" customHeight="false" outlineLevel="0" collapsed="false">
      <c r="A2456" s="15" t="s">
        <v>2513</v>
      </c>
      <c r="B2456" s="16" t="n">
        <v>45963</v>
      </c>
      <c r="C2456" s="15" t="s">
        <v>56</v>
      </c>
      <c r="D2456" s="15" t="s">
        <v>43</v>
      </c>
      <c r="E2456" s="15" t="s">
        <v>37</v>
      </c>
      <c r="F2456" s="15" t="s">
        <v>18</v>
      </c>
      <c r="G2456" s="15" t="s">
        <v>32</v>
      </c>
      <c r="H2456" s="15" t="n">
        <v>3</v>
      </c>
      <c r="I2456" s="17" t="n">
        <v>0.2</v>
      </c>
      <c r="J2456" s="18" t="n">
        <v>1143.62</v>
      </c>
      <c r="K2456" s="19" t="n">
        <v>21.5</v>
      </c>
      <c r="L2456" s="15" t="n">
        <f aca="false">YEAR(B2456)</f>
        <v>2025</v>
      </c>
      <c r="M2456" s="20" t="n">
        <f aca="false">IF(J2456&gt;0,K2456/J2456,0)</f>
        <v>0.0187999510326857</v>
      </c>
    </row>
    <row r="2457" customFormat="false" ht="15" hidden="false" customHeight="false" outlineLevel="0" collapsed="false">
      <c r="A2457" s="15" t="s">
        <v>2514</v>
      </c>
      <c r="B2457" s="16" t="n">
        <v>45143</v>
      </c>
      <c r="C2457" s="15" t="s">
        <v>56</v>
      </c>
      <c r="D2457" s="15" t="s">
        <v>43</v>
      </c>
      <c r="E2457" s="15" t="s">
        <v>38</v>
      </c>
      <c r="F2457" s="15" t="s">
        <v>17</v>
      </c>
      <c r="G2457" s="15" t="s">
        <v>29</v>
      </c>
      <c r="H2457" s="15" t="n">
        <v>5</v>
      </c>
      <c r="I2457" s="17" t="n">
        <v>0.3</v>
      </c>
      <c r="J2457" s="18" t="n">
        <v>68.18</v>
      </c>
      <c r="K2457" s="19" t="n">
        <v>4.73</v>
      </c>
      <c r="L2457" s="15" t="n">
        <f aca="false">YEAR(B2457)</f>
        <v>2023</v>
      </c>
      <c r="M2457" s="20" t="n">
        <f aca="false">IF(J2457&gt;0,K2457/J2457,0)</f>
        <v>0.0693751833382224</v>
      </c>
    </row>
    <row r="2458" customFormat="false" ht="15" hidden="false" customHeight="false" outlineLevel="0" collapsed="false">
      <c r="A2458" s="15" t="s">
        <v>2515</v>
      </c>
      <c r="B2458" s="16" t="n">
        <v>45401</v>
      </c>
      <c r="C2458" s="15" t="s">
        <v>56</v>
      </c>
      <c r="D2458" s="15" t="s">
        <v>42</v>
      </c>
      <c r="E2458" s="15" t="s">
        <v>37</v>
      </c>
      <c r="F2458" s="15" t="s">
        <v>16</v>
      </c>
      <c r="G2458" s="15" t="s">
        <v>27</v>
      </c>
      <c r="H2458" s="15" t="n">
        <v>2</v>
      </c>
      <c r="I2458" s="17" t="n">
        <v>0</v>
      </c>
      <c r="J2458" s="18" t="n">
        <v>113.53</v>
      </c>
      <c r="K2458" s="19" t="n">
        <v>21.66</v>
      </c>
      <c r="L2458" s="15" t="n">
        <f aca="false">YEAR(B2458)</f>
        <v>2024</v>
      </c>
      <c r="M2458" s="20" t="n">
        <f aca="false">IF(J2458&gt;0,K2458/J2458,0)</f>
        <v>0.190786576235356</v>
      </c>
    </row>
    <row r="2459" customFormat="false" ht="15" hidden="false" customHeight="false" outlineLevel="0" collapsed="false">
      <c r="A2459" s="15" t="s">
        <v>2516</v>
      </c>
      <c r="B2459" s="16" t="n">
        <v>45551</v>
      </c>
      <c r="C2459" s="15" t="s">
        <v>58</v>
      </c>
      <c r="D2459" s="15" t="s">
        <v>43</v>
      </c>
      <c r="E2459" s="15" t="s">
        <v>37</v>
      </c>
      <c r="F2459" s="15" t="s">
        <v>17</v>
      </c>
      <c r="G2459" s="15" t="s">
        <v>26</v>
      </c>
      <c r="H2459" s="15" t="n">
        <v>3</v>
      </c>
      <c r="I2459" s="17" t="n">
        <v>0.3</v>
      </c>
      <c r="J2459" s="18" t="n">
        <v>204.05</v>
      </c>
      <c r="K2459" s="19" t="n">
        <v>-39.29</v>
      </c>
      <c r="L2459" s="15" t="n">
        <f aca="false">YEAR(B2459)</f>
        <v>2024</v>
      </c>
      <c r="M2459" s="20" t="n">
        <f aca="false">IF(J2459&gt;0,K2459/J2459,0)</f>
        <v>-0.192550845381034</v>
      </c>
    </row>
    <row r="2460" customFormat="false" ht="15" hidden="false" customHeight="false" outlineLevel="0" collapsed="false">
      <c r="A2460" s="15" t="s">
        <v>2517</v>
      </c>
      <c r="B2460" s="16" t="n">
        <v>45913</v>
      </c>
      <c r="C2460" s="15" t="s">
        <v>56</v>
      </c>
      <c r="D2460" s="15" t="s">
        <v>43</v>
      </c>
      <c r="E2460" s="15" t="s">
        <v>37</v>
      </c>
      <c r="F2460" s="15" t="s">
        <v>17</v>
      </c>
      <c r="G2460" s="15" t="s">
        <v>26</v>
      </c>
      <c r="H2460" s="15" t="n">
        <v>3</v>
      </c>
      <c r="I2460" s="17" t="n">
        <v>0.2</v>
      </c>
      <c r="J2460" s="18" t="n">
        <v>225.41</v>
      </c>
      <c r="K2460" s="19" t="n">
        <v>-17.14</v>
      </c>
      <c r="L2460" s="15" t="n">
        <f aca="false">YEAR(B2460)</f>
        <v>2025</v>
      </c>
      <c r="M2460" s="20" t="n">
        <f aca="false">IF(J2460&gt;0,K2460/J2460,0)</f>
        <v>-0.0760392174260237</v>
      </c>
    </row>
    <row r="2461" customFormat="false" ht="15" hidden="false" customHeight="false" outlineLevel="0" collapsed="false">
      <c r="A2461" s="15" t="s">
        <v>2518</v>
      </c>
      <c r="B2461" s="16" t="n">
        <v>45639</v>
      </c>
      <c r="C2461" s="15" t="s">
        <v>68</v>
      </c>
      <c r="D2461" s="15" t="s">
        <v>42</v>
      </c>
      <c r="E2461" s="15" t="s">
        <v>36</v>
      </c>
      <c r="F2461" s="15" t="s">
        <v>17</v>
      </c>
      <c r="G2461" s="15" t="s">
        <v>26</v>
      </c>
      <c r="H2461" s="15" t="n">
        <v>1</v>
      </c>
      <c r="I2461" s="17" t="n">
        <v>0</v>
      </c>
      <c r="J2461" s="18" t="n">
        <v>92.62</v>
      </c>
      <c r="K2461" s="19" t="n">
        <v>6.39</v>
      </c>
      <c r="L2461" s="15" t="n">
        <f aca="false">YEAR(B2461)</f>
        <v>2024</v>
      </c>
      <c r="M2461" s="20" t="n">
        <f aca="false">IF(J2461&gt;0,K2461/J2461,0)</f>
        <v>0.0689915784927661</v>
      </c>
    </row>
    <row r="2462" customFormat="false" ht="15" hidden="false" customHeight="false" outlineLevel="0" collapsed="false">
      <c r="A2462" s="15" t="s">
        <v>2519</v>
      </c>
      <c r="B2462" s="16" t="n">
        <v>45914</v>
      </c>
      <c r="C2462" s="15" t="s">
        <v>56</v>
      </c>
      <c r="D2462" s="15" t="s">
        <v>42</v>
      </c>
      <c r="E2462" s="15" t="s">
        <v>39</v>
      </c>
      <c r="F2462" s="15" t="s">
        <v>18</v>
      </c>
      <c r="G2462" s="15" t="s">
        <v>32</v>
      </c>
      <c r="H2462" s="15" t="n">
        <v>1</v>
      </c>
      <c r="I2462" s="17" t="n">
        <v>0</v>
      </c>
      <c r="J2462" s="18" t="n">
        <v>404.44</v>
      </c>
      <c r="K2462" s="19" t="n">
        <v>54.65</v>
      </c>
      <c r="L2462" s="15" t="n">
        <f aca="false">YEAR(B2462)</f>
        <v>2025</v>
      </c>
      <c r="M2462" s="20" t="n">
        <f aca="false">IF(J2462&gt;0,K2462/J2462,0)</f>
        <v>0.135125111264959</v>
      </c>
    </row>
    <row r="2463" customFormat="false" ht="15" hidden="false" customHeight="false" outlineLevel="0" collapsed="false">
      <c r="A2463" s="15" t="s">
        <v>2520</v>
      </c>
      <c r="B2463" s="16" t="n">
        <v>45550</v>
      </c>
      <c r="C2463" s="15" t="s">
        <v>71</v>
      </c>
      <c r="D2463" s="15" t="s">
        <v>44</v>
      </c>
      <c r="E2463" s="15" t="s">
        <v>37</v>
      </c>
      <c r="F2463" s="15" t="s">
        <v>17</v>
      </c>
      <c r="G2463" s="15" t="s">
        <v>31</v>
      </c>
      <c r="H2463" s="15" t="n">
        <v>4</v>
      </c>
      <c r="I2463" s="17" t="n">
        <v>0.15</v>
      </c>
      <c r="J2463" s="18" t="n">
        <v>502.38</v>
      </c>
      <c r="K2463" s="19" t="n">
        <v>9.3</v>
      </c>
      <c r="L2463" s="15" t="n">
        <f aca="false">YEAR(B2463)</f>
        <v>2024</v>
      </c>
      <c r="M2463" s="20" t="n">
        <f aca="false">IF(J2463&gt;0,K2463/J2463,0)</f>
        <v>0.0185118834348501</v>
      </c>
    </row>
    <row r="2464" customFormat="false" ht="15" hidden="false" customHeight="false" outlineLevel="0" collapsed="false">
      <c r="A2464" s="15" t="s">
        <v>2521</v>
      </c>
      <c r="B2464" s="16" t="n">
        <v>45615</v>
      </c>
      <c r="C2464" s="15" t="s">
        <v>56</v>
      </c>
      <c r="D2464" s="15" t="s">
        <v>44</v>
      </c>
      <c r="E2464" s="15" t="s">
        <v>37</v>
      </c>
      <c r="F2464" s="15" t="s">
        <v>17</v>
      </c>
      <c r="G2464" s="15" t="s">
        <v>26</v>
      </c>
      <c r="H2464" s="15" t="n">
        <v>2</v>
      </c>
      <c r="I2464" s="17" t="n">
        <v>0.05</v>
      </c>
      <c r="J2464" s="18" t="n">
        <v>195.92</v>
      </c>
      <c r="K2464" s="19" t="n">
        <v>24.56</v>
      </c>
      <c r="L2464" s="15" t="n">
        <f aca="false">YEAR(B2464)</f>
        <v>2024</v>
      </c>
      <c r="M2464" s="20" t="n">
        <f aca="false">IF(J2464&gt;0,K2464/J2464,0)</f>
        <v>0.125357288689261</v>
      </c>
    </row>
    <row r="2465" customFormat="false" ht="15" hidden="false" customHeight="false" outlineLevel="0" collapsed="false">
      <c r="A2465" s="15" t="s">
        <v>2522</v>
      </c>
      <c r="B2465" s="16" t="n">
        <v>44805</v>
      </c>
      <c r="C2465" s="15" t="s">
        <v>56</v>
      </c>
      <c r="D2465" s="15" t="s">
        <v>42</v>
      </c>
      <c r="E2465" s="15" t="s">
        <v>36</v>
      </c>
      <c r="F2465" s="15" t="s">
        <v>17</v>
      </c>
      <c r="G2465" s="15" t="s">
        <v>28</v>
      </c>
      <c r="H2465" s="15" t="n">
        <v>5</v>
      </c>
      <c r="I2465" s="17" t="n">
        <v>0.05</v>
      </c>
      <c r="J2465" s="18" t="n">
        <v>114.4</v>
      </c>
      <c r="K2465" s="19" t="n">
        <v>34.33</v>
      </c>
      <c r="L2465" s="15" t="n">
        <f aca="false">YEAR(B2465)</f>
        <v>2022</v>
      </c>
      <c r="M2465" s="20" t="n">
        <f aca="false">IF(J2465&gt;0,K2465/J2465,0)</f>
        <v>0.300087412587413</v>
      </c>
    </row>
    <row r="2466" customFormat="false" ht="15" hidden="false" customHeight="false" outlineLevel="0" collapsed="false">
      <c r="A2466" s="15" t="s">
        <v>2523</v>
      </c>
      <c r="B2466" s="16" t="n">
        <v>45495</v>
      </c>
      <c r="C2466" s="15" t="s">
        <v>71</v>
      </c>
      <c r="D2466" s="15" t="s">
        <v>43</v>
      </c>
      <c r="E2466" s="15" t="s">
        <v>39</v>
      </c>
      <c r="F2466" s="15" t="s">
        <v>16</v>
      </c>
      <c r="G2466" s="15" t="s">
        <v>25</v>
      </c>
      <c r="H2466" s="15" t="n">
        <v>2</v>
      </c>
      <c r="I2466" s="17" t="n">
        <v>0</v>
      </c>
      <c r="J2466" s="18" t="n">
        <v>564.07</v>
      </c>
      <c r="K2466" s="19" t="n">
        <v>58.86</v>
      </c>
      <c r="L2466" s="15" t="n">
        <f aca="false">YEAR(B2466)</f>
        <v>2024</v>
      </c>
      <c r="M2466" s="20" t="n">
        <f aca="false">IF(J2466&gt;0,K2466/J2466,0)</f>
        <v>0.104348751041537</v>
      </c>
    </row>
    <row r="2467" customFormat="false" ht="15" hidden="false" customHeight="false" outlineLevel="0" collapsed="false">
      <c r="A2467" s="15" t="s">
        <v>2524</v>
      </c>
      <c r="B2467" s="16" t="n">
        <v>45344</v>
      </c>
      <c r="C2467" s="15" t="s">
        <v>56</v>
      </c>
      <c r="D2467" s="15" t="s">
        <v>43</v>
      </c>
      <c r="E2467" s="15" t="s">
        <v>38</v>
      </c>
      <c r="F2467" s="15" t="s">
        <v>17</v>
      </c>
      <c r="G2467" s="15" t="s">
        <v>26</v>
      </c>
      <c r="H2467" s="15" t="n">
        <v>4</v>
      </c>
      <c r="I2467" s="17" t="n">
        <v>0.1</v>
      </c>
      <c r="J2467" s="18" t="n">
        <v>402.44</v>
      </c>
      <c r="K2467" s="19" t="n">
        <v>-2.55</v>
      </c>
      <c r="L2467" s="15" t="n">
        <f aca="false">YEAR(B2467)</f>
        <v>2024</v>
      </c>
      <c r="M2467" s="20" t="n">
        <f aca="false">IF(J2467&gt;0,K2467/J2467,0)</f>
        <v>-0.00633634827551933</v>
      </c>
    </row>
    <row r="2468" customFormat="false" ht="15" hidden="false" customHeight="false" outlineLevel="0" collapsed="false">
      <c r="A2468" s="15" t="s">
        <v>2525</v>
      </c>
      <c r="B2468" s="16" t="n">
        <v>45476</v>
      </c>
      <c r="C2468" s="15" t="s">
        <v>56</v>
      </c>
      <c r="D2468" s="15" t="s">
        <v>42</v>
      </c>
      <c r="E2468" s="15" t="s">
        <v>36</v>
      </c>
      <c r="F2468" s="15" t="s">
        <v>16</v>
      </c>
      <c r="G2468" s="15" t="s">
        <v>27</v>
      </c>
      <c r="H2468" s="15" t="n">
        <v>3</v>
      </c>
      <c r="I2468" s="17" t="n">
        <v>0</v>
      </c>
      <c r="J2468" s="18" t="n">
        <v>171.94</v>
      </c>
      <c r="K2468" s="19" t="n">
        <v>26.25</v>
      </c>
      <c r="L2468" s="15" t="n">
        <f aca="false">YEAR(B2468)</f>
        <v>2024</v>
      </c>
      <c r="M2468" s="20" t="n">
        <f aca="false">IF(J2468&gt;0,K2468/J2468,0)</f>
        <v>0.152669535884611</v>
      </c>
    </row>
    <row r="2469" customFormat="false" ht="15" hidden="false" customHeight="false" outlineLevel="0" collapsed="false">
      <c r="A2469" s="15" t="s">
        <v>2526</v>
      </c>
      <c r="B2469" s="16" t="n">
        <v>45880</v>
      </c>
      <c r="C2469" s="15" t="s">
        <v>71</v>
      </c>
      <c r="D2469" s="15" t="s">
        <v>42</v>
      </c>
      <c r="E2469" s="15" t="s">
        <v>36</v>
      </c>
      <c r="F2469" s="15" t="s">
        <v>16</v>
      </c>
      <c r="G2469" s="15" t="s">
        <v>23</v>
      </c>
      <c r="H2469" s="15" t="n">
        <v>2</v>
      </c>
      <c r="I2469" s="17" t="n">
        <v>0.05</v>
      </c>
      <c r="J2469" s="18" t="n">
        <v>432.08</v>
      </c>
      <c r="K2469" s="19" t="n">
        <v>-6.1</v>
      </c>
      <c r="L2469" s="15" t="n">
        <f aca="false">YEAR(B2469)</f>
        <v>2025</v>
      </c>
      <c r="M2469" s="20" t="n">
        <f aca="false">IF(J2469&gt;0,K2469/J2469,0)</f>
        <v>-0.0141177559711165</v>
      </c>
    </row>
    <row r="2470" customFormat="false" ht="15" hidden="false" customHeight="false" outlineLevel="0" collapsed="false">
      <c r="A2470" s="15" t="s">
        <v>2527</v>
      </c>
      <c r="B2470" s="16" t="n">
        <v>44916</v>
      </c>
      <c r="C2470" s="15" t="s">
        <v>71</v>
      </c>
      <c r="D2470" s="15" t="s">
        <v>43</v>
      </c>
      <c r="E2470" s="15" t="s">
        <v>36</v>
      </c>
      <c r="F2470" s="15" t="s">
        <v>17</v>
      </c>
      <c r="G2470" s="15" t="s">
        <v>28</v>
      </c>
      <c r="H2470" s="15" t="n">
        <v>2</v>
      </c>
      <c r="I2470" s="17" t="n">
        <v>0.2</v>
      </c>
      <c r="J2470" s="18" t="n">
        <v>40.36</v>
      </c>
      <c r="K2470" s="19" t="n">
        <v>5.08</v>
      </c>
      <c r="L2470" s="15" t="n">
        <f aca="false">YEAR(B2470)</f>
        <v>2022</v>
      </c>
      <c r="M2470" s="20" t="n">
        <f aca="false">IF(J2470&gt;0,K2470/J2470,0)</f>
        <v>0.125867195242815</v>
      </c>
    </row>
    <row r="2471" customFormat="false" ht="15" hidden="false" customHeight="false" outlineLevel="0" collapsed="false">
      <c r="A2471" s="15" t="s">
        <v>2528</v>
      </c>
      <c r="B2471" s="16" t="n">
        <v>45113</v>
      </c>
      <c r="C2471" s="15" t="s">
        <v>58</v>
      </c>
      <c r="D2471" s="15" t="s">
        <v>42</v>
      </c>
      <c r="E2471" s="15" t="s">
        <v>36</v>
      </c>
      <c r="F2471" s="15" t="s">
        <v>16</v>
      </c>
      <c r="G2471" s="15" t="s">
        <v>23</v>
      </c>
      <c r="H2471" s="15" t="n">
        <v>7</v>
      </c>
      <c r="I2471" s="17" t="n">
        <v>0.05</v>
      </c>
      <c r="J2471" s="18" t="n">
        <v>2399.86</v>
      </c>
      <c r="K2471" s="19" t="n">
        <v>-8.29</v>
      </c>
      <c r="L2471" s="15" t="n">
        <f aca="false">YEAR(B2471)</f>
        <v>2023</v>
      </c>
      <c r="M2471" s="20" t="n">
        <f aca="false">IF(J2471&gt;0,K2471/J2471,0)</f>
        <v>-0.00345436817147667</v>
      </c>
    </row>
    <row r="2472" customFormat="false" ht="15" hidden="false" customHeight="false" outlineLevel="0" collapsed="false">
      <c r="A2472" s="15" t="s">
        <v>2529</v>
      </c>
      <c r="B2472" s="16" t="n">
        <v>44627</v>
      </c>
      <c r="C2472" s="15" t="s">
        <v>58</v>
      </c>
      <c r="D2472" s="15" t="s">
        <v>42</v>
      </c>
      <c r="E2472" s="15" t="s">
        <v>37</v>
      </c>
      <c r="F2472" s="15" t="s">
        <v>17</v>
      </c>
      <c r="G2472" s="15" t="s">
        <v>29</v>
      </c>
      <c r="H2472" s="15" t="n">
        <v>3</v>
      </c>
      <c r="I2472" s="17" t="n">
        <v>0.4</v>
      </c>
      <c r="J2472" s="18" t="n">
        <v>29.71</v>
      </c>
      <c r="K2472" s="19" t="n">
        <v>1.24</v>
      </c>
      <c r="L2472" s="15" t="n">
        <f aca="false">YEAR(B2472)</f>
        <v>2022</v>
      </c>
      <c r="M2472" s="20" t="n">
        <f aca="false">IF(J2472&gt;0,K2472/J2472,0)</f>
        <v>0.0417367889599462</v>
      </c>
    </row>
    <row r="2473" customFormat="false" ht="15" hidden="false" customHeight="false" outlineLevel="0" collapsed="false">
      <c r="A2473" s="15" t="s">
        <v>2530</v>
      </c>
      <c r="B2473" s="16" t="n">
        <v>45636</v>
      </c>
      <c r="C2473" s="15" t="s">
        <v>68</v>
      </c>
      <c r="D2473" s="15" t="s">
        <v>44</v>
      </c>
      <c r="E2473" s="15" t="s">
        <v>36</v>
      </c>
      <c r="F2473" s="15" t="s">
        <v>17</v>
      </c>
      <c r="G2473" s="15" t="s">
        <v>26</v>
      </c>
      <c r="H2473" s="15" t="n">
        <v>2</v>
      </c>
      <c r="I2473" s="17" t="n">
        <v>0.2</v>
      </c>
      <c r="J2473" s="18" t="n">
        <v>132.33</v>
      </c>
      <c r="K2473" s="19" t="n">
        <v>-16.53</v>
      </c>
      <c r="L2473" s="15" t="n">
        <f aca="false">YEAR(B2473)</f>
        <v>2024</v>
      </c>
      <c r="M2473" s="20" t="n">
        <f aca="false">IF(J2473&gt;0,K2473/J2473,0)</f>
        <v>-0.124914985264112</v>
      </c>
    </row>
    <row r="2474" customFormat="false" ht="15" hidden="false" customHeight="false" outlineLevel="0" collapsed="false">
      <c r="A2474" s="15" t="s">
        <v>2531</v>
      </c>
      <c r="B2474" s="16" t="n">
        <v>46018</v>
      </c>
      <c r="C2474" s="15" t="s">
        <v>56</v>
      </c>
      <c r="D2474" s="15" t="s">
        <v>42</v>
      </c>
      <c r="E2474" s="15" t="s">
        <v>36</v>
      </c>
      <c r="F2474" s="15" t="s">
        <v>17</v>
      </c>
      <c r="G2474" s="15" t="s">
        <v>28</v>
      </c>
      <c r="H2474" s="15" t="n">
        <v>5</v>
      </c>
      <c r="I2474" s="17" t="n">
        <v>0</v>
      </c>
      <c r="J2474" s="18" t="n">
        <v>106.54</v>
      </c>
      <c r="K2474" s="19" t="n">
        <v>30.42</v>
      </c>
      <c r="L2474" s="15" t="n">
        <f aca="false">YEAR(B2474)</f>
        <v>2025</v>
      </c>
      <c r="M2474" s="20" t="n">
        <f aca="false">IF(J2474&gt;0,K2474/J2474,0)</f>
        <v>0.285526562793317</v>
      </c>
    </row>
    <row r="2475" customFormat="false" ht="15" hidden="false" customHeight="false" outlineLevel="0" collapsed="false">
      <c r="A2475" s="15" t="s">
        <v>2532</v>
      </c>
      <c r="B2475" s="16" t="n">
        <v>45695</v>
      </c>
      <c r="C2475" s="15" t="s">
        <v>56</v>
      </c>
      <c r="D2475" s="15" t="s">
        <v>42</v>
      </c>
      <c r="E2475" s="15" t="s">
        <v>39</v>
      </c>
      <c r="F2475" s="15" t="s">
        <v>18</v>
      </c>
      <c r="G2475" s="15" t="s">
        <v>32</v>
      </c>
      <c r="H2475" s="15" t="n">
        <v>4</v>
      </c>
      <c r="I2475" s="17" t="n">
        <v>0</v>
      </c>
      <c r="J2475" s="18" t="n">
        <v>1536.85</v>
      </c>
      <c r="K2475" s="19" t="n">
        <v>251.27</v>
      </c>
      <c r="L2475" s="15" t="n">
        <f aca="false">YEAR(B2475)</f>
        <v>2025</v>
      </c>
      <c r="M2475" s="20" t="n">
        <f aca="false">IF(J2475&gt;0,K2475/J2475,0)</f>
        <v>0.163496762859095</v>
      </c>
    </row>
    <row r="2476" customFormat="false" ht="15" hidden="false" customHeight="false" outlineLevel="0" collapsed="false">
      <c r="A2476" s="15" t="s">
        <v>2533</v>
      </c>
      <c r="B2476" s="16" t="n">
        <v>45728</v>
      </c>
      <c r="C2476" s="15" t="s">
        <v>68</v>
      </c>
      <c r="D2476" s="15" t="s">
        <v>43</v>
      </c>
      <c r="E2476" s="15" t="s">
        <v>38</v>
      </c>
      <c r="F2476" s="15" t="s">
        <v>16</v>
      </c>
      <c r="G2476" s="15" t="s">
        <v>25</v>
      </c>
      <c r="H2476" s="15" t="n">
        <v>2</v>
      </c>
      <c r="I2476" s="17" t="n">
        <v>0</v>
      </c>
      <c r="J2476" s="18" t="n">
        <v>463.84</v>
      </c>
      <c r="K2476" s="19" t="n">
        <v>25.3</v>
      </c>
      <c r="L2476" s="15" t="n">
        <f aca="false">YEAR(B2476)</f>
        <v>2025</v>
      </c>
      <c r="M2476" s="20" t="n">
        <f aca="false">IF(J2476&gt;0,K2476/J2476,0)</f>
        <v>0.0545446705760607</v>
      </c>
    </row>
    <row r="2477" customFormat="false" ht="15" hidden="false" customHeight="false" outlineLevel="0" collapsed="false">
      <c r="A2477" s="15" t="s">
        <v>2534</v>
      </c>
      <c r="B2477" s="16" t="n">
        <v>45942</v>
      </c>
      <c r="C2477" s="15" t="s">
        <v>71</v>
      </c>
      <c r="D2477" s="15" t="s">
        <v>42</v>
      </c>
      <c r="E2477" s="15" t="s">
        <v>38</v>
      </c>
      <c r="F2477" s="15" t="s">
        <v>16</v>
      </c>
      <c r="G2477" s="15" t="s">
        <v>27</v>
      </c>
      <c r="H2477" s="15" t="n">
        <v>6</v>
      </c>
      <c r="I2477" s="17" t="n">
        <v>0</v>
      </c>
      <c r="J2477" s="18" t="n">
        <v>421.82</v>
      </c>
      <c r="K2477" s="19" t="n">
        <v>102.53</v>
      </c>
      <c r="L2477" s="15" t="n">
        <f aca="false">YEAR(B2477)</f>
        <v>2025</v>
      </c>
      <c r="M2477" s="20" t="n">
        <f aca="false">IF(J2477&gt;0,K2477/J2477,0)</f>
        <v>0.243065762647575</v>
      </c>
    </row>
    <row r="2478" customFormat="false" ht="15" hidden="false" customHeight="false" outlineLevel="0" collapsed="false">
      <c r="A2478" s="15" t="s">
        <v>2535</v>
      </c>
      <c r="B2478" s="16" t="n">
        <v>45063</v>
      </c>
      <c r="C2478" s="15" t="s">
        <v>56</v>
      </c>
      <c r="D2478" s="15" t="s">
        <v>42</v>
      </c>
      <c r="E2478" s="15" t="s">
        <v>38</v>
      </c>
      <c r="F2478" s="15" t="s">
        <v>16</v>
      </c>
      <c r="G2478" s="15" t="s">
        <v>23</v>
      </c>
      <c r="H2478" s="15" t="n">
        <v>5</v>
      </c>
      <c r="I2478" s="17" t="n">
        <v>0</v>
      </c>
      <c r="J2478" s="18" t="n">
        <v>1487.79</v>
      </c>
      <c r="K2478" s="19" t="n">
        <v>23.66</v>
      </c>
      <c r="L2478" s="15" t="n">
        <f aca="false">YEAR(B2478)</f>
        <v>2023</v>
      </c>
      <c r="M2478" s="20" t="n">
        <f aca="false">IF(J2478&gt;0,K2478/J2478,0)</f>
        <v>0.0159027819786395</v>
      </c>
    </row>
    <row r="2479" customFormat="false" ht="15" hidden="false" customHeight="false" outlineLevel="0" collapsed="false">
      <c r="A2479" s="15" t="s">
        <v>2536</v>
      </c>
      <c r="B2479" s="16" t="n">
        <v>45031</v>
      </c>
      <c r="C2479" s="15" t="s">
        <v>56</v>
      </c>
      <c r="D2479" s="15" t="s">
        <v>42</v>
      </c>
      <c r="E2479" s="15" t="s">
        <v>37</v>
      </c>
      <c r="F2479" s="15" t="s">
        <v>18</v>
      </c>
      <c r="G2479" s="15" t="s">
        <v>32</v>
      </c>
      <c r="H2479" s="15" t="n">
        <v>5</v>
      </c>
      <c r="I2479" s="17" t="n">
        <v>0</v>
      </c>
      <c r="J2479" s="18" t="n">
        <v>2069.3</v>
      </c>
      <c r="K2479" s="19" t="n">
        <v>313.56</v>
      </c>
      <c r="L2479" s="15" t="n">
        <f aca="false">YEAR(B2479)</f>
        <v>2023</v>
      </c>
      <c r="M2479" s="20" t="n">
        <f aca="false">IF(J2479&gt;0,K2479/J2479,0)</f>
        <v>0.151529502730392</v>
      </c>
    </row>
    <row r="2480" customFormat="false" ht="15" hidden="false" customHeight="false" outlineLevel="0" collapsed="false">
      <c r="A2480" s="15" t="s">
        <v>2537</v>
      </c>
      <c r="B2480" s="16" t="n">
        <v>45313</v>
      </c>
      <c r="C2480" s="15" t="s">
        <v>68</v>
      </c>
      <c r="D2480" s="15" t="s">
        <v>44</v>
      </c>
      <c r="E2480" s="15" t="s">
        <v>38</v>
      </c>
      <c r="F2480" s="15" t="s">
        <v>18</v>
      </c>
      <c r="G2480" s="15" t="s">
        <v>32</v>
      </c>
      <c r="H2480" s="15" t="n">
        <v>4</v>
      </c>
      <c r="I2480" s="17" t="n">
        <v>0</v>
      </c>
      <c r="J2480" s="18" t="n">
        <v>1602.36</v>
      </c>
      <c r="K2480" s="19" t="n">
        <v>261.36</v>
      </c>
      <c r="L2480" s="15" t="n">
        <f aca="false">YEAR(B2480)</f>
        <v>2024</v>
      </c>
      <c r="M2480" s="20" t="n">
        <f aca="false">IF(J2480&gt;0,K2480/J2480,0)</f>
        <v>0.163109413614918</v>
      </c>
    </row>
    <row r="2481" customFormat="false" ht="15" hidden="false" customHeight="false" outlineLevel="0" collapsed="false">
      <c r="A2481" s="15" t="s">
        <v>2538</v>
      </c>
      <c r="B2481" s="16" t="n">
        <v>44883</v>
      </c>
      <c r="C2481" s="15" t="s">
        <v>71</v>
      </c>
      <c r="D2481" s="15" t="s">
        <v>43</v>
      </c>
      <c r="E2481" s="15" t="s">
        <v>39</v>
      </c>
      <c r="F2481" s="15" t="s">
        <v>18</v>
      </c>
      <c r="G2481" s="15" t="s">
        <v>30</v>
      </c>
      <c r="H2481" s="15" t="n">
        <v>6</v>
      </c>
      <c r="I2481" s="17" t="n">
        <v>0</v>
      </c>
      <c r="J2481" s="18" t="n">
        <v>311.34</v>
      </c>
      <c r="K2481" s="19" t="n">
        <v>100.91</v>
      </c>
      <c r="L2481" s="15" t="n">
        <f aca="false">YEAR(B2481)</f>
        <v>2022</v>
      </c>
      <c r="M2481" s="20" t="n">
        <f aca="false">IF(J2481&gt;0,K2481/J2481,0)</f>
        <v>0.324115115308023</v>
      </c>
    </row>
    <row r="2482" customFormat="false" ht="15" hidden="false" customHeight="false" outlineLevel="0" collapsed="false">
      <c r="A2482" s="15" t="s">
        <v>2539</v>
      </c>
      <c r="B2482" s="16" t="n">
        <v>44624</v>
      </c>
      <c r="C2482" s="15" t="s">
        <v>71</v>
      </c>
      <c r="D2482" s="15" t="s">
        <v>43</v>
      </c>
      <c r="E2482" s="15" t="s">
        <v>36</v>
      </c>
      <c r="F2482" s="15" t="s">
        <v>17</v>
      </c>
      <c r="G2482" s="15" t="s">
        <v>31</v>
      </c>
      <c r="H2482" s="15" t="n">
        <v>3</v>
      </c>
      <c r="I2482" s="17" t="n">
        <v>0.2</v>
      </c>
      <c r="J2482" s="18" t="n">
        <v>323.13</v>
      </c>
      <c r="K2482" s="19" t="n">
        <v>19.94</v>
      </c>
      <c r="L2482" s="15" t="n">
        <f aca="false">YEAR(B2482)</f>
        <v>2022</v>
      </c>
      <c r="M2482" s="20" t="n">
        <f aca="false">IF(J2482&gt;0,K2482/J2482,0)</f>
        <v>0.0617089097267354</v>
      </c>
    </row>
    <row r="2483" customFormat="false" ht="15" hidden="false" customHeight="false" outlineLevel="0" collapsed="false">
      <c r="A2483" s="15" t="s">
        <v>2540</v>
      </c>
      <c r="B2483" s="16" t="n">
        <v>45935</v>
      </c>
      <c r="C2483" s="15" t="s">
        <v>71</v>
      </c>
      <c r="D2483" s="15" t="s">
        <v>42</v>
      </c>
      <c r="E2483" s="15" t="s">
        <v>38</v>
      </c>
      <c r="F2483" s="15" t="s">
        <v>17</v>
      </c>
      <c r="G2483" s="15" t="s">
        <v>29</v>
      </c>
      <c r="H2483" s="15" t="n">
        <v>5</v>
      </c>
      <c r="I2483" s="17" t="n">
        <v>0</v>
      </c>
      <c r="J2483" s="18" t="n">
        <v>97.99</v>
      </c>
      <c r="K2483" s="19" t="n">
        <v>27.34</v>
      </c>
      <c r="L2483" s="15" t="n">
        <f aca="false">YEAR(B2483)</f>
        <v>2025</v>
      </c>
      <c r="M2483" s="20" t="n">
        <f aca="false">IF(J2483&gt;0,K2483/J2483,0)</f>
        <v>0.279008062047148</v>
      </c>
    </row>
    <row r="2484" customFormat="false" ht="15" hidden="false" customHeight="false" outlineLevel="0" collapsed="false">
      <c r="A2484" s="15" t="s">
        <v>2541</v>
      </c>
      <c r="B2484" s="16" t="n">
        <v>45019</v>
      </c>
      <c r="C2484" s="15" t="s">
        <v>56</v>
      </c>
      <c r="D2484" s="15" t="s">
        <v>43</v>
      </c>
      <c r="E2484" s="15" t="s">
        <v>38</v>
      </c>
      <c r="F2484" s="15" t="s">
        <v>16</v>
      </c>
      <c r="G2484" s="15" t="s">
        <v>25</v>
      </c>
      <c r="H2484" s="15" t="n">
        <v>3</v>
      </c>
      <c r="I2484" s="17" t="n">
        <v>0.05</v>
      </c>
      <c r="J2484" s="18" t="n">
        <v>701.03</v>
      </c>
      <c r="K2484" s="19" t="n">
        <v>56.68</v>
      </c>
      <c r="L2484" s="15" t="n">
        <f aca="false">YEAR(B2484)</f>
        <v>2023</v>
      </c>
      <c r="M2484" s="20" t="n">
        <f aca="false">IF(J2484&gt;0,K2484/J2484,0)</f>
        <v>0.0808524599517852</v>
      </c>
    </row>
    <row r="2485" customFormat="false" ht="15" hidden="false" customHeight="false" outlineLevel="0" collapsed="false">
      <c r="A2485" s="15" t="s">
        <v>2542</v>
      </c>
      <c r="B2485" s="16" t="n">
        <v>45198</v>
      </c>
      <c r="C2485" s="15" t="s">
        <v>71</v>
      </c>
      <c r="D2485" s="15" t="s">
        <v>42</v>
      </c>
      <c r="E2485" s="15" t="s">
        <v>37</v>
      </c>
      <c r="F2485" s="15" t="s">
        <v>17</v>
      </c>
      <c r="G2485" s="15" t="s">
        <v>29</v>
      </c>
      <c r="H2485" s="15" t="n">
        <v>5</v>
      </c>
      <c r="I2485" s="17" t="n">
        <v>0</v>
      </c>
      <c r="J2485" s="18" t="n">
        <v>77.58</v>
      </c>
      <c r="K2485" s="19" t="n">
        <v>24.08</v>
      </c>
      <c r="L2485" s="15" t="n">
        <f aca="false">YEAR(B2485)</f>
        <v>2023</v>
      </c>
      <c r="M2485" s="20" t="n">
        <f aca="false">IF(J2485&gt;0,K2485/J2485,0)</f>
        <v>0.310389275586491</v>
      </c>
    </row>
    <row r="2486" customFormat="false" ht="15" hidden="false" customHeight="false" outlineLevel="0" collapsed="false">
      <c r="A2486" s="15" t="s">
        <v>2543</v>
      </c>
      <c r="B2486" s="16" t="n">
        <v>45965</v>
      </c>
      <c r="C2486" s="15" t="s">
        <v>71</v>
      </c>
      <c r="D2486" s="15" t="s">
        <v>42</v>
      </c>
      <c r="E2486" s="15" t="s">
        <v>39</v>
      </c>
      <c r="F2486" s="15" t="s">
        <v>17</v>
      </c>
      <c r="G2486" s="15" t="s">
        <v>29</v>
      </c>
      <c r="H2486" s="15" t="n">
        <v>3</v>
      </c>
      <c r="I2486" s="17" t="n">
        <v>0</v>
      </c>
      <c r="J2486" s="18" t="n">
        <v>58.16</v>
      </c>
      <c r="K2486" s="19" t="n">
        <v>21.65</v>
      </c>
      <c r="L2486" s="15" t="n">
        <f aca="false">YEAR(B2486)</f>
        <v>2025</v>
      </c>
      <c r="M2486" s="20" t="n">
        <f aca="false">IF(J2486&gt;0,K2486/J2486,0)</f>
        <v>0.372248968363136</v>
      </c>
    </row>
    <row r="2487" customFormat="false" ht="15" hidden="false" customHeight="false" outlineLevel="0" collapsed="false">
      <c r="A2487" s="15" t="s">
        <v>2544</v>
      </c>
      <c r="B2487" s="16" t="n">
        <v>45205</v>
      </c>
      <c r="C2487" s="15" t="s">
        <v>56</v>
      </c>
      <c r="D2487" s="15" t="s">
        <v>42</v>
      </c>
      <c r="E2487" s="15" t="s">
        <v>37</v>
      </c>
      <c r="F2487" s="15" t="s">
        <v>16</v>
      </c>
      <c r="G2487" s="15" t="s">
        <v>23</v>
      </c>
      <c r="H2487" s="15" t="n">
        <v>9</v>
      </c>
      <c r="I2487" s="17" t="n">
        <v>0</v>
      </c>
      <c r="J2487" s="18" t="n">
        <v>2672.33</v>
      </c>
      <c r="K2487" s="19" t="n">
        <v>10.32</v>
      </c>
      <c r="L2487" s="15" t="n">
        <f aca="false">YEAR(B2487)</f>
        <v>2023</v>
      </c>
      <c r="M2487" s="20" t="n">
        <f aca="false">IF(J2487&gt;0,K2487/J2487,0)</f>
        <v>0.00386179850542411</v>
      </c>
    </row>
    <row r="2488" customFormat="false" ht="15" hidden="false" customHeight="false" outlineLevel="0" collapsed="false">
      <c r="A2488" s="15" t="s">
        <v>2545</v>
      </c>
      <c r="B2488" s="16" t="n">
        <v>44777</v>
      </c>
      <c r="C2488" s="15" t="s">
        <v>56</v>
      </c>
      <c r="D2488" s="15" t="s">
        <v>43</v>
      </c>
      <c r="E2488" s="15" t="s">
        <v>39</v>
      </c>
      <c r="F2488" s="15" t="s">
        <v>17</v>
      </c>
      <c r="G2488" s="15" t="s">
        <v>26</v>
      </c>
      <c r="H2488" s="15" t="n">
        <v>5</v>
      </c>
      <c r="I2488" s="17" t="n">
        <v>0</v>
      </c>
      <c r="J2488" s="18" t="n">
        <v>409.17</v>
      </c>
      <c r="K2488" s="19" t="n">
        <v>87.07</v>
      </c>
      <c r="L2488" s="15" t="n">
        <f aca="false">YEAR(B2488)</f>
        <v>2022</v>
      </c>
      <c r="M2488" s="20" t="n">
        <f aca="false">IF(J2488&gt;0,K2488/J2488,0)</f>
        <v>0.212796637094606</v>
      </c>
    </row>
    <row r="2489" customFormat="false" ht="15" hidden="false" customHeight="false" outlineLevel="0" collapsed="false">
      <c r="A2489" s="15" t="s">
        <v>2546</v>
      </c>
      <c r="B2489" s="16" t="n">
        <v>45146</v>
      </c>
      <c r="C2489" s="15" t="s">
        <v>68</v>
      </c>
      <c r="D2489" s="15" t="s">
        <v>43</v>
      </c>
      <c r="E2489" s="15" t="s">
        <v>37</v>
      </c>
      <c r="F2489" s="15" t="s">
        <v>18</v>
      </c>
      <c r="G2489" s="15" t="s">
        <v>30</v>
      </c>
      <c r="H2489" s="15" t="n">
        <v>3</v>
      </c>
      <c r="I2489" s="17" t="n">
        <v>0</v>
      </c>
      <c r="J2489" s="18" t="n">
        <v>162.32</v>
      </c>
      <c r="K2489" s="19" t="n">
        <v>52.18</v>
      </c>
      <c r="L2489" s="15" t="n">
        <f aca="false">YEAR(B2489)</f>
        <v>2023</v>
      </c>
      <c r="M2489" s="20" t="n">
        <f aca="false">IF(J2489&gt;0,K2489/J2489,0)</f>
        <v>0.321463775258748</v>
      </c>
    </row>
    <row r="2490" customFormat="false" ht="15" hidden="false" customHeight="false" outlineLevel="0" collapsed="false">
      <c r="A2490" s="15" t="s">
        <v>2547</v>
      </c>
      <c r="B2490" s="16" t="n">
        <v>44928</v>
      </c>
      <c r="C2490" s="15" t="s">
        <v>68</v>
      </c>
      <c r="D2490" s="15" t="s">
        <v>42</v>
      </c>
      <c r="E2490" s="15" t="s">
        <v>36</v>
      </c>
      <c r="F2490" s="15" t="s">
        <v>16</v>
      </c>
      <c r="G2490" s="15" t="s">
        <v>27</v>
      </c>
      <c r="H2490" s="15" t="n">
        <v>4</v>
      </c>
      <c r="I2490" s="17" t="n">
        <v>0</v>
      </c>
      <c r="J2490" s="18" t="n">
        <v>241.45</v>
      </c>
      <c r="K2490" s="19" t="n">
        <v>67.38</v>
      </c>
      <c r="L2490" s="15" t="n">
        <f aca="false">YEAR(B2490)</f>
        <v>2023</v>
      </c>
      <c r="M2490" s="20" t="n">
        <f aca="false">IF(J2490&gt;0,K2490/J2490,0)</f>
        <v>0.279063988403396</v>
      </c>
    </row>
    <row r="2491" customFormat="false" ht="15" hidden="false" customHeight="false" outlineLevel="0" collapsed="false">
      <c r="A2491" s="15" t="s">
        <v>2548</v>
      </c>
      <c r="B2491" s="16" t="n">
        <v>45598</v>
      </c>
      <c r="C2491" s="15" t="s">
        <v>56</v>
      </c>
      <c r="D2491" s="15" t="s">
        <v>42</v>
      </c>
      <c r="E2491" s="15" t="s">
        <v>39</v>
      </c>
      <c r="F2491" s="15" t="s">
        <v>17</v>
      </c>
      <c r="G2491" s="15" t="s">
        <v>31</v>
      </c>
      <c r="H2491" s="15" t="n">
        <v>4</v>
      </c>
      <c r="I2491" s="17" t="n">
        <v>0.05</v>
      </c>
      <c r="J2491" s="18" t="n">
        <v>584.84</v>
      </c>
      <c r="K2491" s="19" t="n">
        <v>106.55</v>
      </c>
      <c r="L2491" s="15" t="n">
        <f aca="false">YEAR(B2491)</f>
        <v>2024</v>
      </c>
      <c r="M2491" s="20" t="n">
        <f aca="false">IF(J2491&gt;0,K2491/J2491,0)</f>
        <v>0.182186580945216</v>
      </c>
    </row>
    <row r="2492" customFormat="false" ht="15" hidden="false" customHeight="false" outlineLevel="0" collapsed="false">
      <c r="A2492" s="15" t="s">
        <v>2549</v>
      </c>
      <c r="B2492" s="16" t="n">
        <v>45754</v>
      </c>
      <c r="C2492" s="15" t="s">
        <v>56</v>
      </c>
      <c r="D2492" s="15" t="s">
        <v>43</v>
      </c>
      <c r="E2492" s="15" t="s">
        <v>39</v>
      </c>
      <c r="F2492" s="15" t="s">
        <v>17</v>
      </c>
      <c r="G2492" s="15" t="s">
        <v>28</v>
      </c>
      <c r="H2492" s="15" t="n">
        <v>3</v>
      </c>
      <c r="I2492" s="17" t="n">
        <v>0.3</v>
      </c>
      <c r="J2492" s="18" t="n">
        <v>45.49</v>
      </c>
      <c r="K2492" s="19" t="n">
        <v>2.82</v>
      </c>
      <c r="L2492" s="15" t="n">
        <f aca="false">YEAR(B2492)</f>
        <v>2025</v>
      </c>
      <c r="M2492" s="20" t="n">
        <f aca="false">IF(J2492&gt;0,K2492/J2492,0)</f>
        <v>0.0619916465157177</v>
      </c>
    </row>
    <row r="2493" customFormat="false" ht="15" hidden="false" customHeight="false" outlineLevel="0" collapsed="false">
      <c r="A2493" s="15" t="s">
        <v>2550</v>
      </c>
      <c r="B2493" s="16" t="n">
        <v>44648</v>
      </c>
      <c r="C2493" s="15" t="s">
        <v>56</v>
      </c>
      <c r="D2493" s="15" t="s">
        <v>44</v>
      </c>
      <c r="E2493" s="15" t="s">
        <v>37</v>
      </c>
      <c r="F2493" s="15" t="s">
        <v>17</v>
      </c>
      <c r="G2493" s="15" t="s">
        <v>28</v>
      </c>
      <c r="H2493" s="15" t="n">
        <v>6</v>
      </c>
      <c r="I2493" s="17" t="n">
        <v>0.3</v>
      </c>
      <c r="J2493" s="18" t="n">
        <v>146.32</v>
      </c>
      <c r="K2493" s="19" t="n">
        <v>7.74</v>
      </c>
      <c r="L2493" s="15" t="n">
        <f aca="false">YEAR(B2493)</f>
        <v>2022</v>
      </c>
      <c r="M2493" s="20" t="n">
        <f aca="false">IF(J2493&gt;0,K2493/J2493,0)</f>
        <v>0.0528977583378896</v>
      </c>
    </row>
    <row r="2494" customFormat="false" ht="15" hidden="false" customHeight="false" outlineLevel="0" collapsed="false">
      <c r="A2494" s="15" t="s">
        <v>2551</v>
      </c>
      <c r="B2494" s="16" t="n">
        <v>44837</v>
      </c>
      <c r="C2494" s="15" t="s">
        <v>71</v>
      </c>
      <c r="D2494" s="15" t="s">
        <v>42</v>
      </c>
      <c r="E2494" s="15" t="s">
        <v>38</v>
      </c>
      <c r="F2494" s="15" t="s">
        <v>17</v>
      </c>
      <c r="G2494" s="15" t="s">
        <v>28</v>
      </c>
      <c r="H2494" s="15" t="n">
        <v>4</v>
      </c>
      <c r="I2494" s="17" t="n">
        <v>0</v>
      </c>
      <c r="J2494" s="18" t="n">
        <v>90.97</v>
      </c>
      <c r="K2494" s="19" t="n">
        <v>25.89</v>
      </c>
      <c r="L2494" s="15" t="n">
        <f aca="false">YEAR(B2494)</f>
        <v>2022</v>
      </c>
      <c r="M2494" s="20" t="n">
        <f aca="false">IF(J2494&gt;0,K2494/J2494,0)</f>
        <v>0.284599318456634</v>
      </c>
    </row>
    <row r="2495" customFormat="false" ht="15" hidden="false" customHeight="false" outlineLevel="0" collapsed="false">
      <c r="A2495" s="15" t="s">
        <v>2552</v>
      </c>
      <c r="B2495" s="16" t="n">
        <v>45563</v>
      </c>
      <c r="C2495" s="15" t="s">
        <v>56</v>
      </c>
      <c r="D2495" s="15" t="s">
        <v>42</v>
      </c>
      <c r="E2495" s="15" t="s">
        <v>37</v>
      </c>
      <c r="F2495" s="15" t="s">
        <v>16</v>
      </c>
      <c r="G2495" s="15" t="s">
        <v>27</v>
      </c>
      <c r="H2495" s="15" t="n">
        <v>5</v>
      </c>
      <c r="I2495" s="17" t="n">
        <v>0.1</v>
      </c>
      <c r="J2495" s="18" t="n">
        <v>242.41</v>
      </c>
      <c r="K2495" s="19" t="n">
        <v>4.06</v>
      </c>
      <c r="L2495" s="15" t="n">
        <f aca="false">YEAR(B2495)</f>
        <v>2024</v>
      </c>
      <c r="M2495" s="20" t="n">
        <f aca="false">IF(J2495&gt;0,K2495/J2495,0)</f>
        <v>0.0167484839734334</v>
      </c>
    </row>
    <row r="2496" customFormat="false" ht="15" hidden="false" customHeight="false" outlineLevel="0" collapsed="false">
      <c r="A2496" s="15" t="s">
        <v>2553</v>
      </c>
      <c r="B2496" s="16" t="n">
        <v>45479</v>
      </c>
      <c r="C2496" s="15" t="s">
        <v>56</v>
      </c>
      <c r="D2496" s="15" t="s">
        <v>42</v>
      </c>
      <c r="E2496" s="15" t="s">
        <v>39</v>
      </c>
      <c r="F2496" s="15" t="s">
        <v>16</v>
      </c>
      <c r="G2496" s="15" t="s">
        <v>27</v>
      </c>
      <c r="H2496" s="15" t="n">
        <v>4</v>
      </c>
      <c r="I2496" s="17" t="n">
        <v>0.4</v>
      </c>
      <c r="J2496" s="18" t="n">
        <v>143.76</v>
      </c>
      <c r="K2496" s="19" t="n">
        <v>-16.32</v>
      </c>
      <c r="L2496" s="15" t="n">
        <f aca="false">YEAR(B2496)</f>
        <v>2024</v>
      </c>
      <c r="M2496" s="20" t="n">
        <f aca="false">IF(J2496&gt;0,K2496/J2496,0)</f>
        <v>-0.113522537562604</v>
      </c>
    </row>
    <row r="2497" customFormat="false" ht="15" hidden="false" customHeight="false" outlineLevel="0" collapsed="false">
      <c r="A2497" s="15" t="s">
        <v>2554</v>
      </c>
      <c r="B2497" s="16" t="n">
        <v>44822</v>
      </c>
      <c r="C2497" s="15" t="s">
        <v>56</v>
      </c>
      <c r="D2497" s="15" t="s">
        <v>43</v>
      </c>
      <c r="E2497" s="15" t="s">
        <v>36</v>
      </c>
      <c r="F2497" s="15" t="s">
        <v>16</v>
      </c>
      <c r="G2497" s="15" t="s">
        <v>27</v>
      </c>
      <c r="H2497" s="15" t="n">
        <v>1</v>
      </c>
      <c r="I2497" s="17" t="n">
        <v>0</v>
      </c>
      <c r="J2497" s="18" t="n">
        <v>52.73</v>
      </c>
      <c r="K2497" s="19" t="n">
        <v>11.13</v>
      </c>
      <c r="L2497" s="15" t="n">
        <f aca="false">YEAR(B2497)</f>
        <v>2022</v>
      </c>
      <c r="M2497" s="20" t="n">
        <f aca="false">IF(J2497&gt;0,K2497/J2497,0)</f>
        <v>0.211075289209179</v>
      </c>
    </row>
    <row r="2498" customFormat="false" ht="15" hidden="false" customHeight="false" outlineLevel="0" collapsed="false">
      <c r="A2498" s="15" t="s">
        <v>2555</v>
      </c>
      <c r="B2498" s="16" t="n">
        <v>45529</v>
      </c>
      <c r="C2498" s="15" t="s">
        <v>56</v>
      </c>
      <c r="D2498" s="15" t="s">
        <v>42</v>
      </c>
      <c r="E2498" s="15" t="s">
        <v>37</v>
      </c>
      <c r="F2498" s="15" t="s">
        <v>16</v>
      </c>
      <c r="G2498" s="15" t="s">
        <v>27</v>
      </c>
      <c r="H2498" s="15" t="n">
        <v>4</v>
      </c>
      <c r="I2498" s="17" t="n">
        <v>0</v>
      </c>
      <c r="J2498" s="18" t="n">
        <v>240.79</v>
      </c>
      <c r="K2498" s="19" t="n">
        <v>44.52</v>
      </c>
      <c r="L2498" s="15" t="n">
        <f aca="false">YEAR(B2498)</f>
        <v>2024</v>
      </c>
      <c r="M2498" s="20" t="n">
        <f aca="false">IF(J2498&gt;0,K2498/J2498,0)</f>
        <v>0.184891399144483</v>
      </c>
    </row>
    <row r="2499" customFormat="false" ht="15" hidden="false" customHeight="false" outlineLevel="0" collapsed="false">
      <c r="A2499" s="15" t="s">
        <v>2556</v>
      </c>
      <c r="B2499" s="16" t="n">
        <v>45148</v>
      </c>
      <c r="C2499" s="15" t="s">
        <v>56</v>
      </c>
      <c r="D2499" s="15" t="s">
        <v>42</v>
      </c>
      <c r="E2499" s="15" t="s">
        <v>39</v>
      </c>
      <c r="F2499" s="15" t="s">
        <v>17</v>
      </c>
      <c r="G2499" s="15" t="s">
        <v>28</v>
      </c>
      <c r="H2499" s="15" t="n">
        <v>6</v>
      </c>
      <c r="I2499" s="17" t="n">
        <v>0</v>
      </c>
      <c r="J2499" s="18" t="n">
        <v>153.57</v>
      </c>
      <c r="K2499" s="19" t="n">
        <v>54.78</v>
      </c>
      <c r="L2499" s="15" t="n">
        <f aca="false">YEAR(B2499)</f>
        <v>2023</v>
      </c>
      <c r="M2499" s="20" t="n">
        <f aca="false">IF(J2499&gt;0,K2499/J2499,0)</f>
        <v>0.356710294979488</v>
      </c>
    </row>
    <row r="2500" customFormat="false" ht="15" hidden="false" customHeight="false" outlineLevel="0" collapsed="false">
      <c r="A2500" s="15" t="s">
        <v>2557</v>
      </c>
      <c r="B2500" s="16" t="n">
        <v>45281</v>
      </c>
      <c r="C2500" s="15" t="s">
        <v>56</v>
      </c>
      <c r="D2500" s="15" t="s">
        <v>44</v>
      </c>
      <c r="E2500" s="15" t="s">
        <v>38</v>
      </c>
      <c r="F2500" s="15" t="s">
        <v>17</v>
      </c>
      <c r="G2500" s="15" t="s">
        <v>29</v>
      </c>
      <c r="H2500" s="15" t="n">
        <v>3</v>
      </c>
      <c r="I2500" s="17" t="n">
        <v>0.2</v>
      </c>
      <c r="J2500" s="18" t="n">
        <v>37.24</v>
      </c>
      <c r="K2500" s="19" t="n">
        <v>7.03</v>
      </c>
      <c r="L2500" s="15" t="n">
        <f aca="false">YEAR(B2500)</f>
        <v>2023</v>
      </c>
      <c r="M2500" s="20" t="n">
        <f aca="false">IF(J2500&gt;0,K2500/J2500,0)</f>
        <v>0.188775510204082</v>
      </c>
    </row>
    <row r="2501" customFormat="false" ht="15" hidden="false" customHeight="false" outlineLevel="0" collapsed="false">
      <c r="A2501" s="15" t="s">
        <v>2558</v>
      </c>
      <c r="B2501" s="16" t="n">
        <v>44622</v>
      </c>
      <c r="C2501" s="15" t="s">
        <v>56</v>
      </c>
      <c r="D2501" s="15" t="s">
        <v>43</v>
      </c>
      <c r="E2501" s="15" t="s">
        <v>39</v>
      </c>
      <c r="F2501" s="15" t="s">
        <v>16</v>
      </c>
      <c r="G2501" s="15" t="s">
        <v>25</v>
      </c>
      <c r="H2501" s="15" t="n">
        <v>3</v>
      </c>
      <c r="I2501" s="17" t="n">
        <v>0</v>
      </c>
      <c r="J2501" s="18" t="n">
        <v>964.82</v>
      </c>
      <c r="K2501" s="19" t="n">
        <v>80.91</v>
      </c>
      <c r="L2501" s="15" t="n">
        <f aca="false">YEAR(B2501)</f>
        <v>2022</v>
      </c>
      <c r="M2501" s="20" t="n">
        <f aca="false">IF(J2501&gt;0,K2501/J2501,0)</f>
        <v>0.0838602019029456</v>
      </c>
    </row>
    <row r="2502" customFormat="false" ht="15" hidden="false" customHeight="false" outlineLevel="0" collapsed="false">
      <c r="A2502" s="15" t="s">
        <v>2559</v>
      </c>
      <c r="B2502" s="16" t="n">
        <v>45647</v>
      </c>
      <c r="C2502" s="15" t="s">
        <v>56</v>
      </c>
      <c r="D2502" s="15" t="s">
        <v>42</v>
      </c>
      <c r="E2502" s="15" t="s">
        <v>36</v>
      </c>
      <c r="F2502" s="15" t="s">
        <v>17</v>
      </c>
      <c r="G2502" s="15" t="s">
        <v>31</v>
      </c>
      <c r="H2502" s="15" t="n">
        <v>3</v>
      </c>
      <c r="I2502" s="17" t="n">
        <v>0.2</v>
      </c>
      <c r="J2502" s="18" t="n">
        <v>309.19</v>
      </c>
      <c r="K2502" s="19" t="n">
        <v>3.56</v>
      </c>
      <c r="L2502" s="15" t="n">
        <f aca="false">YEAR(B2502)</f>
        <v>2024</v>
      </c>
      <c r="M2502" s="20" t="n">
        <f aca="false">IF(J2502&gt;0,K2502/J2502,0)</f>
        <v>0.0115139558200459</v>
      </c>
    </row>
    <row r="2503" customFormat="false" ht="15" hidden="false" customHeight="false" outlineLevel="0" collapsed="false">
      <c r="A2503" s="15" t="s">
        <v>2560</v>
      </c>
      <c r="B2503" s="16" t="n">
        <v>44756</v>
      </c>
      <c r="C2503" s="15" t="s">
        <v>56</v>
      </c>
      <c r="D2503" s="15" t="s">
        <v>43</v>
      </c>
      <c r="E2503" s="15" t="s">
        <v>38</v>
      </c>
      <c r="F2503" s="15" t="s">
        <v>18</v>
      </c>
      <c r="G2503" s="15" t="s">
        <v>32</v>
      </c>
      <c r="H2503" s="15" t="n">
        <v>6</v>
      </c>
      <c r="I2503" s="17" t="n">
        <v>0.2</v>
      </c>
      <c r="J2503" s="18" t="n">
        <v>2034.88</v>
      </c>
      <c r="K2503" s="19" t="n">
        <v>70.38</v>
      </c>
      <c r="L2503" s="15" t="n">
        <f aca="false">YEAR(B2503)</f>
        <v>2022</v>
      </c>
      <c r="M2503" s="20" t="n">
        <f aca="false">IF(J2503&gt;0,K2503/J2503,0)</f>
        <v>0.0345868061015883</v>
      </c>
    </row>
    <row r="2504" customFormat="false" ht="15" hidden="false" customHeight="false" outlineLevel="0" collapsed="false">
      <c r="A2504" s="15" t="s">
        <v>2561</v>
      </c>
      <c r="B2504" s="16" t="n">
        <v>45942</v>
      </c>
      <c r="C2504" s="15" t="s">
        <v>71</v>
      </c>
      <c r="D2504" s="15" t="s">
        <v>42</v>
      </c>
      <c r="E2504" s="15" t="s">
        <v>39</v>
      </c>
      <c r="F2504" s="15" t="s">
        <v>16</v>
      </c>
      <c r="G2504" s="15" t="s">
        <v>25</v>
      </c>
      <c r="H2504" s="15" t="n">
        <v>8</v>
      </c>
      <c r="I2504" s="17" t="n">
        <v>0.15</v>
      </c>
      <c r="J2504" s="18" t="n">
        <v>2088.22</v>
      </c>
      <c r="K2504" s="19" t="n">
        <v>-64.25</v>
      </c>
      <c r="L2504" s="15" t="n">
        <f aca="false">YEAR(B2504)</f>
        <v>2025</v>
      </c>
      <c r="M2504" s="20" t="n">
        <f aca="false">IF(J2504&gt;0,K2504/J2504,0)</f>
        <v>-0.0307678309756635</v>
      </c>
    </row>
    <row r="2505" customFormat="false" ht="15" hidden="false" customHeight="false" outlineLevel="0" collapsed="false">
      <c r="A2505" s="15" t="s">
        <v>2562</v>
      </c>
      <c r="B2505" s="16" t="n">
        <v>44741</v>
      </c>
      <c r="C2505" s="15" t="s">
        <v>71</v>
      </c>
      <c r="D2505" s="15" t="s">
        <v>42</v>
      </c>
      <c r="E2505" s="15" t="s">
        <v>38</v>
      </c>
      <c r="F2505" s="15" t="s">
        <v>18</v>
      </c>
      <c r="G2505" s="15" t="s">
        <v>30</v>
      </c>
      <c r="H2505" s="15" t="n">
        <v>5</v>
      </c>
      <c r="I2505" s="17" t="n">
        <v>0.2</v>
      </c>
      <c r="J2505" s="18" t="n">
        <v>154.56</v>
      </c>
      <c r="K2505" s="19" t="n">
        <v>21.79</v>
      </c>
      <c r="L2505" s="15" t="n">
        <f aca="false">YEAR(B2505)</f>
        <v>2022</v>
      </c>
      <c r="M2505" s="20" t="n">
        <f aca="false">IF(J2505&gt;0,K2505/J2505,0)</f>
        <v>0.140980848861284</v>
      </c>
    </row>
    <row r="2506" customFormat="false" ht="15" hidden="false" customHeight="false" outlineLevel="0" collapsed="false">
      <c r="A2506" s="15" t="s">
        <v>2563</v>
      </c>
      <c r="B2506" s="16" t="n">
        <v>45744</v>
      </c>
      <c r="C2506" s="15" t="s">
        <v>68</v>
      </c>
      <c r="D2506" s="15" t="s">
        <v>42</v>
      </c>
      <c r="E2506" s="15" t="s">
        <v>36</v>
      </c>
      <c r="F2506" s="15" t="s">
        <v>18</v>
      </c>
      <c r="G2506" s="15" t="s">
        <v>30</v>
      </c>
      <c r="H2506" s="15" t="n">
        <v>5</v>
      </c>
      <c r="I2506" s="17" t="n">
        <v>0.2</v>
      </c>
      <c r="J2506" s="18" t="n">
        <v>163.23</v>
      </c>
      <c r="K2506" s="19" t="n">
        <v>21.67</v>
      </c>
      <c r="L2506" s="15" t="n">
        <f aca="false">YEAR(B2506)</f>
        <v>2025</v>
      </c>
      <c r="M2506" s="20" t="n">
        <f aca="false">IF(J2506&gt;0,K2506/J2506,0)</f>
        <v>0.132757458800466</v>
      </c>
    </row>
    <row r="2507" customFormat="false" ht="15" hidden="false" customHeight="false" outlineLevel="0" collapsed="false">
      <c r="A2507" s="15" t="s">
        <v>2564</v>
      </c>
      <c r="B2507" s="16" t="n">
        <v>45648</v>
      </c>
      <c r="C2507" s="15" t="s">
        <v>58</v>
      </c>
      <c r="D2507" s="15" t="s">
        <v>42</v>
      </c>
      <c r="E2507" s="15" t="s">
        <v>39</v>
      </c>
      <c r="F2507" s="15" t="s">
        <v>18</v>
      </c>
      <c r="G2507" s="15" t="s">
        <v>33</v>
      </c>
      <c r="H2507" s="15" t="n">
        <v>9</v>
      </c>
      <c r="I2507" s="17" t="n">
        <v>0.15</v>
      </c>
      <c r="J2507" s="18" t="n">
        <v>7405.97</v>
      </c>
      <c r="K2507" s="19" t="n">
        <v>604.2</v>
      </c>
      <c r="L2507" s="15" t="n">
        <f aca="false">YEAR(B2507)</f>
        <v>2024</v>
      </c>
      <c r="M2507" s="20" t="n">
        <f aca="false">IF(J2507&gt;0,K2507/J2507,0)</f>
        <v>0.0815828311483843</v>
      </c>
    </row>
    <row r="2508" customFormat="false" ht="15" hidden="false" customHeight="false" outlineLevel="0" collapsed="false">
      <c r="A2508" s="15" t="s">
        <v>2565</v>
      </c>
      <c r="B2508" s="16" t="n">
        <v>44829</v>
      </c>
      <c r="C2508" s="15" t="s">
        <v>68</v>
      </c>
      <c r="D2508" s="15" t="s">
        <v>42</v>
      </c>
      <c r="E2508" s="15" t="s">
        <v>38</v>
      </c>
      <c r="F2508" s="15" t="s">
        <v>18</v>
      </c>
      <c r="G2508" s="15" t="s">
        <v>33</v>
      </c>
      <c r="H2508" s="15" t="n">
        <v>1</v>
      </c>
      <c r="I2508" s="17" t="n">
        <v>0</v>
      </c>
      <c r="J2508" s="18" t="n">
        <v>894.71</v>
      </c>
      <c r="K2508" s="19" t="n">
        <v>258.27</v>
      </c>
      <c r="L2508" s="15" t="n">
        <f aca="false">YEAR(B2508)</f>
        <v>2022</v>
      </c>
      <c r="M2508" s="20" t="n">
        <f aca="false">IF(J2508&gt;0,K2508/J2508,0)</f>
        <v>0.288663365783326</v>
      </c>
    </row>
    <row r="2509" customFormat="false" ht="15" hidden="false" customHeight="false" outlineLevel="0" collapsed="false">
      <c r="A2509" s="15" t="s">
        <v>2566</v>
      </c>
      <c r="B2509" s="16" t="n">
        <v>45481</v>
      </c>
      <c r="C2509" s="15" t="s">
        <v>56</v>
      </c>
      <c r="D2509" s="15" t="s">
        <v>43</v>
      </c>
      <c r="E2509" s="15" t="s">
        <v>37</v>
      </c>
      <c r="F2509" s="15" t="s">
        <v>17</v>
      </c>
      <c r="G2509" s="15" t="s">
        <v>26</v>
      </c>
      <c r="H2509" s="15" t="n">
        <v>5</v>
      </c>
      <c r="I2509" s="17" t="n">
        <v>0.3</v>
      </c>
      <c r="J2509" s="18" t="n">
        <v>348.62</v>
      </c>
      <c r="K2509" s="19" t="n">
        <v>-70.03</v>
      </c>
      <c r="L2509" s="15" t="n">
        <f aca="false">YEAR(B2509)</f>
        <v>2024</v>
      </c>
      <c r="M2509" s="20" t="n">
        <f aca="false">IF(J2509&gt;0,K2509/J2509,0)</f>
        <v>-0.200877746543514</v>
      </c>
    </row>
    <row r="2510" customFormat="false" ht="15" hidden="false" customHeight="false" outlineLevel="0" collapsed="false">
      <c r="A2510" s="15" t="s">
        <v>2567</v>
      </c>
      <c r="B2510" s="16" t="n">
        <v>45614</v>
      </c>
      <c r="C2510" s="15" t="s">
        <v>71</v>
      </c>
      <c r="D2510" s="15" t="s">
        <v>42</v>
      </c>
      <c r="E2510" s="15" t="s">
        <v>37</v>
      </c>
      <c r="F2510" s="15" t="s">
        <v>17</v>
      </c>
      <c r="G2510" s="15" t="s">
        <v>31</v>
      </c>
      <c r="H2510" s="15" t="n">
        <v>6</v>
      </c>
      <c r="I2510" s="17" t="n">
        <v>0.05</v>
      </c>
      <c r="J2510" s="18" t="n">
        <v>730.93</v>
      </c>
      <c r="K2510" s="19" t="n">
        <v>100.48</v>
      </c>
      <c r="L2510" s="15" t="n">
        <f aca="false">YEAR(B2510)</f>
        <v>2024</v>
      </c>
      <c r="M2510" s="20" t="n">
        <f aca="false">IF(J2510&gt;0,K2510/J2510,0)</f>
        <v>0.137468704253485</v>
      </c>
    </row>
    <row r="2511" customFormat="false" ht="15" hidden="false" customHeight="false" outlineLevel="0" collapsed="false">
      <c r="A2511" s="15" t="s">
        <v>2568</v>
      </c>
      <c r="B2511" s="16" t="n">
        <v>44925</v>
      </c>
      <c r="C2511" s="15" t="s">
        <v>68</v>
      </c>
      <c r="D2511" s="15" t="s">
        <v>44</v>
      </c>
      <c r="E2511" s="15" t="s">
        <v>38</v>
      </c>
      <c r="F2511" s="15" t="s">
        <v>18</v>
      </c>
      <c r="G2511" s="15" t="s">
        <v>32</v>
      </c>
      <c r="H2511" s="15" t="n">
        <v>1</v>
      </c>
      <c r="I2511" s="17" t="n">
        <v>0.2</v>
      </c>
      <c r="J2511" s="18" t="n">
        <v>300.1</v>
      </c>
      <c r="K2511" s="19" t="n">
        <v>-10.64</v>
      </c>
      <c r="L2511" s="15" t="n">
        <f aca="false">YEAR(B2511)</f>
        <v>2022</v>
      </c>
      <c r="M2511" s="20" t="n">
        <f aca="false">IF(J2511&gt;0,K2511/J2511,0)</f>
        <v>-0.035454848383872</v>
      </c>
    </row>
    <row r="2512" customFormat="false" ht="15" hidden="false" customHeight="false" outlineLevel="0" collapsed="false">
      <c r="A2512" s="15" t="s">
        <v>2569</v>
      </c>
      <c r="B2512" s="16" t="n">
        <v>45677</v>
      </c>
      <c r="C2512" s="15" t="s">
        <v>56</v>
      </c>
      <c r="D2512" s="15" t="s">
        <v>44</v>
      </c>
      <c r="E2512" s="15" t="s">
        <v>37</v>
      </c>
      <c r="F2512" s="15" t="s">
        <v>18</v>
      </c>
      <c r="G2512" s="15" t="s">
        <v>33</v>
      </c>
      <c r="H2512" s="15" t="n">
        <v>4</v>
      </c>
      <c r="I2512" s="17" t="n">
        <v>0</v>
      </c>
      <c r="J2512" s="18" t="n">
        <v>3165.19</v>
      </c>
      <c r="K2512" s="19" t="n">
        <v>663.51</v>
      </c>
      <c r="L2512" s="15" t="n">
        <f aca="false">YEAR(B2512)</f>
        <v>2025</v>
      </c>
      <c r="M2512" s="20" t="n">
        <f aca="false">IF(J2512&gt;0,K2512/J2512,0)</f>
        <v>0.209627226169677</v>
      </c>
    </row>
    <row r="2513" customFormat="false" ht="15" hidden="false" customHeight="false" outlineLevel="0" collapsed="false">
      <c r="A2513" s="15" t="s">
        <v>2570</v>
      </c>
      <c r="B2513" s="16" t="n">
        <v>45179</v>
      </c>
      <c r="C2513" s="15" t="s">
        <v>68</v>
      </c>
      <c r="D2513" s="15" t="s">
        <v>44</v>
      </c>
      <c r="E2513" s="15" t="s">
        <v>37</v>
      </c>
      <c r="F2513" s="15" t="s">
        <v>17</v>
      </c>
      <c r="G2513" s="15" t="s">
        <v>29</v>
      </c>
      <c r="H2513" s="15" t="n">
        <v>5</v>
      </c>
      <c r="I2513" s="17" t="n">
        <v>0</v>
      </c>
      <c r="J2513" s="18" t="n">
        <v>75.92</v>
      </c>
      <c r="K2513" s="19" t="n">
        <v>23.31</v>
      </c>
      <c r="L2513" s="15" t="n">
        <f aca="false">YEAR(B2513)</f>
        <v>2023</v>
      </c>
      <c r="M2513" s="20" t="n">
        <f aca="false">IF(J2513&gt;0,K2513/J2513,0)</f>
        <v>0.307033719704953</v>
      </c>
    </row>
    <row r="2514" customFormat="false" ht="15" hidden="false" customHeight="false" outlineLevel="0" collapsed="false">
      <c r="A2514" s="15" t="s">
        <v>2571</v>
      </c>
      <c r="B2514" s="16" t="n">
        <v>46022</v>
      </c>
      <c r="C2514" s="15" t="s">
        <v>71</v>
      </c>
      <c r="D2514" s="15" t="s">
        <v>42</v>
      </c>
      <c r="E2514" s="15" t="s">
        <v>38</v>
      </c>
      <c r="F2514" s="15" t="s">
        <v>16</v>
      </c>
      <c r="G2514" s="15" t="s">
        <v>25</v>
      </c>
      <c r="H2514" s="15" t="n">
        <v>5</v>
      </c>
      <c r="I2514" s="17" t="n">
        <v>0.3</v>
      </c>
      <c r="J2514" s="18" t="n">
        <v>962.07</v>
      </c>
      <c r="K2514" s="19" t="n">
        <v>-69.52</v>
      </c>
      <c r="L2514" s="15" t="n">
        <f aca="false">YEAR(B2514)</f>
        <v>2025</v>
      </c>
      <c r="M2514" s="20" t="n">
        <f aca="false">IF(J2514&gt;0,K2514/J2514,0)</f>
        <v>-0.0722608541997983</v>
      </c>
    </row>
    <row r="2515" customFormat="false" ht="15" hidden="false" customHeight="false" outlineLevel="0" collapsed="false">
      <c r="A2515" s="15" t="s">
        <v>2572</v>
      </c>
      <c r="B2515" s="16" t="n">
        <v>45437</v>
      </c>
      <c r="C2515" s="15" t="s">
        <v>56</v>
      </c>
      <c r="D2515" s="15" t="s">
        <v>44</v>
      </c>
      <c r="E2515" s="15" t="s">
        <v>37</v>
      </c>
      <c r="F2515" s="15" t="s">
        <v>17</v>
      </c>
      <c r="G2515" s="15" t="s">
        <v>26</v>
      </c>
      <c r="H2515" s="15" t="n">
        <v>4</v>
      </c>
      <c r="I2515" s="17" t="n">
        <v>0</v>
      </c>
      <c r="J2515" s="18" t="n">
        <v>300.32</v>
      </c>
      <c r="K2515" s="19" t="n">
        <v>29.35</v>
      </c>
      <c r="L2515" s="15" t="n">
        <f aca="false">YEAR(B2515)</f>
        <v>2024</v>
      </c>
      <c r="M2515" s="20" t="n">
        <f aca="false">IF(J2515&gt;0,K2515/J2515,0)</f>
        <v>0.0977290889717635</v>
      </c>
    </row>
    <row r="2516" customFormat="false" ht="15" hidden="false" customHeight="false" outlineLevel="0" collapsed="false">
      <c r="A2516" s="15" t="s">
        <v>2573</v>
      </c>
      <c r="B2516" s="16" t="n">
        <v>44620</v>
      </c>
      <c r="C2516" s="15" t="s">
        <v>56</v>
      </c>
      <c r="D2516" s="15" t="s">
        <v>44</v>
      </c>
      <c r="E2516" s="15" t="s">
        <v>38</v>
      </c>
      <c r="F2516" s="15" t="s">
        <v>16</v>
      </c>
      <c r="G2516" s="15" t="s">
        <v>25</v>
      </c>
      <c r="H2516" s="15" t="n">
        <v>6</v>
      </c>
      <c r="I2516" s="17" t="n">
        <v>0.15</v>
      </c>
      <c r="J2516" s="18" t="n">
        <v>992.62</v>
      </c>
      <c r="K2516" s="19" t="n">
        <v>-85.25</v>
      </c>
      <c r="L2516" s="15" t="n">
        <f aca="false">YEAR(B2516)</f>
        <v>2022</v>
      </c>
      <c r="M2516" s="20" t="n">
        <f aca="false">IF(J2516&gt;0,K2516/J2516,0)</f>
        <v>-0.0858838226108682</v>
      </c>
    </row>
    <row r="2517" customFormat="false" ht="15" hidden="false" customHeight="false" outlineLevel="0" collapsed="false">
      <c r="A2517" s="15" t="s">
        <v>2574</v>
      </c>
      <c r="B2517" s="16" t="n">
        <v>45286</v>
      </c>
      <c r="C2517" s="15" t="s">
        <v>56</v>
      </c>
      <c r="D2517" s="15" t="s">
        <v>42</v>
      </c>
      <c r="E2517" s="15" t="s">
        <v>38</v>
      </c>
      <c r="F2517" s="15" t="s">
        <v>17</v>
      </c>
      <c r="G2517" s="15" t="s">
        <v>28</v>
      </c>
      <c r="H2517" s="15" t="n">
        <v>2</v>
      </c>
      <c r="I2517" s="17" t="n">
        <v>0</v>
      </c>
      <c r="J2517" s="18" t="n">
        <v>40.72</v>
      </c>
      <c r="K2517" s="19" t="n">
        <v>13.69</v>
      </c>
      <c r="L2517" s="15" t="n">
        <f aca="false">YEAR(B2517)</f>
        <v>2023</v>
      </c>
      <c r="M2517" s="20" t="n">
        <f aca="false">IF(J2517&gt;0,K2517/J2517,0)</f>
        <v>0.336198428290766</v>
      </c>
    </row>
    <row r="2518" customFormat="false" ht="15" hidden="false" customHeight="false" outlineLevel="0" collapsed="false">
      <c r="A2518" s="15" t="s">
        <v>2575</v>
      </c>
      <c r="B2518" s="16" t="n">
        <v>45414</v>
      </c>
      <c r="C2518" s="15" t="s">
        <v>56</v>
      </c>
      <c r="D2518" s="15" t="s">
        <v>42</v>
      </c>
      <c r="E2518" s="15" t="s">
        <v>39</v>
      </c>
      <c r="F2518" s="15" t="s">
        <v>17</v>
      </c>
      <c r="G2518" s="15" t="s">
        <v>29</v>
      </c>
      <c r="H2518" s="15" t="n">
        <v>3</v>
      </c>
      <c r="I2518" s="17" t="n">
        <v>0.15</v>
      </c>
      <c r="J2518" s="18" t="n">
        <v>38.48</v>
      </c>
      <c r="K2518" s="19" t="n">
        <v>11.13</v>
      </c>
      <c r="L2518" s="15" t="n">
        <f aca="false">YEAR(B2518)</f>
        <v>2024</v>
      </c>
      <c r="M2518" s="20" t="n">
        <f aca="false">IF(J2518&gt;0,K2518/J2518,0)</f>
        <v>0.289241164241164</v>
      </c>
    </row>
    <row r="2519" customFormat="false" ht="15" hidden="false" customHeight="false" outlineLevel="0" collapsed="false">
      <c r="A2519" s="15" t="s">
        <v>2576</v>
      </c>
      <c r="B2519" s="16" t="n">
        <v>44817</v>
      </c>
      <c r="C2519" s="15" t="s">
        <v>71</v>
      </c>
      <c r="D2519" s="15" t="s">
        <v>42</v>
      </c>
      <c r="E2519" s="15" t="s">
        <v>37</v>
      </c>
      <c r="F2519" s="15" t="s">
        <v>17</v>
      </c>
      <c r="G2519" s="15" t="s">
        <v>31</v>
      </c>
      <c r="H2519" s="15" t="n">
        <v>5</v>
      </c>
      <c r="I2519" s="17" t="n">
        <v>0</v>
      </c>
      <c r="J2519" s="18" t="n">
        <v>707.49</v>
      </c>
      <c r="K2519" s="19" t="n">
        <v>137.12</v>
      </c>
      <c r="L2519" s="15" t="n">
        <f aca="false">YEAR(B2519)</f>
        <v>2022</v>
      </c>
      <c r="M2519" s="20" t="n">
        <f aca="false">IF(J2519&gt;0,K2519/J2519,0)</f>
        <v>0.193811926670342</v>
      </c>
    </row>
    <row r="2520" customFormat="false" ht="15" hidden="false" customHeight="false" outlineLevel="0" collapsed="false">
      <c r="A2520" s="15" t="s">
        <v>2577</v>
      </c>
      <c r="B2520" s="16" t="n">
        <v>44697</v>
      </c>
      <c r="C2520" s="15" t="s">
        <v>71</v>
      </c>
      <c r="D2520" s="15" t="s">
        <v>42</v>
      </c>
      <c r="E2520" s="15" t="s">
        <v>37</v>
      </c>
      <c r="F2520" s="15" t="s">
        <v>17</v>
      </c>
      <c r="G2520" s="15" t="s">
        <v>28</v>
      </c>
      <c r="H2520" s="15" t="n">
        <v>4</v>
      </c>
      <c r="I2520" s="17" t="n">
        <v>0.15</v>
      </c>
      <c r="J2520" s="18" t="n">
        <v>83.23</v>
      </c>
      <c r="K2520" s="19" t="n">
        <v>15.01</v>
      </c>
      <c r="L2520" s="15" t="n">
        <f aca="false">YEAR(B2520)</f>
        <v>2022</v>
      </c>
      <c r="M2520" s="20" t="n">
        <f aca="false">IF(J2520&gt;0,K2520/J2520,0)</f>
        <v>0.180343626096359</v>
      </c>
    </row>
    <row r="2521" customFormat="false" ht="15" hidden="false" customHeight="false" outlineLevel="0" collapsed="false">
      <c r="A2521" s="15" t="s">
        <v>2578</v>
      </c>
      <c r="B2521" s="16" t="n">
        <v>45797</v>
      </c>
      <c r="C2521" s="15" t="s">
        <v>56</v>
      </c>
      <c r="D2521" s="15" t="s">
        <v>44</v>
      </c>
      <c r="E2521" s="15" t="s">
        <v>37</v>
      </c>
      <c r="F2521" s="15" t="s">
        <v>17</v>
      </c>
      <c r="G2521" s="15" t="s">
        <v>28</v>
      </c>
      <c r="H2521" s="15" t="n">
        <v>6</v>
      </c>
      <c r="I2521" s="17" t="n">
        <v>0</v>
      </c>
      <c r="J2521" s="18" t="n">
        <v>182.33</v>
      </c>
      <c r="K2521" s="19" t="n">
        <v>64.91</v>
      </c>
      <c r="L2521" s="15" t="n">
        <f aca="false">YEAR(B2521)</f>
        <v>2025</v>
      </c>
      <c r="M2521" s="20" t="n">
        <f aca="false">IF(J2521&gt;0,K2521/J2521,0)</f>
        <v>0.3560028519717</v>
      </c>
    </row>
    <row r="2522" customFormat="false" ht="15" hidden="false" customHeight="false" outlineLevel="0" collapsed="false">
      <c r="A2522" s="15" t="s">
        <v>2579</v>
      </c>
      <c r="B2522" s="16" t="n">
        <v>45856</v>
      </c>
      <c r="C2522" s="15" t="s">
        <v>68</v>
      </c>
      <c r="D2522" s="15" t="s">
        <v>44</v>
      </c>
      <c r="E2522" s="15" t="s">
        <v>37</v>
      </c>
      <c r="F2522" s="15" t="s">
        <v>17</v>
      </c>
      <c r="G2522" s="15" t="s">
        <v>29</v>
      </c>
      <c r="H2522" s="15" t="n">
        <v>5</v>
      </c>
      <c r="I2522" s="17" t="n">
        <v>0.05</v>
      </c>
      <c r="J2522" s="18" t="n">
        <v>94.31</v>
      </c>
      <c r="K2522" s="19" t="n">
        <v>30.73</v>
      </c>
      <c r="L2522" s="15" t="n">
        <f aca="false">YEAR(B2522)</f>
        <v>2025</v>
      </c>
      <c r="M2522" s="20" t="n">
        <f aca="false">IF(J2522&gt;0,K2522/J2522,0)</f>
        <v>0.325840313858552</v>
      </c>
    </row>
    <row r="2523" customFormat="false" ht="15" hidden="false" customHeight="false" outlineLevel="0" collapsed="false">
      <c r="A2523" s="15" t="s">
        <v>2580</v>
      </c>
      <c r="B2523" s="16" t="n">
        <v>45208</v>
      </c>
      <c r="C2523" s="15" t="s">
        <v>56</v>
      </c>
      <c r="D2523" s="15" t="s">
        <v>42</v>
      </c>
      <c r="E2523" s="15" t="s">
        <v>37</v>
      </c>
      <c r="F2523" s="15" t="s">
        <v>18</v>
      </c>
      <c r="G2523" s="15" t="s">
        <v>24</v>
      </c>
      <c r="H2523" s="15" t="n">
        <v>3</v>
      </c>
      <c r="I2523" s="17" t="n">
        <v>0.05</v>
      </c>
      <c r="J2523" s="18" t="n">
        <v>1814.14</v>
      </c>
      <c r="K2523" s="19" t="n">
        <v>38.82</v>
      </c>
      <c r="L2523" s="15" t="n">
        <f aca="false">YEAR(B2523)</f>
        <v>2023</v>
      </c>
      <c r="M2523" s="20" t="n">
        <f aca="false">IF(J2523&gt;0,K2523/J2523,0)</f>
        <v>0.0213985690189291</v>
      </c>
    </row>
    <row r="2524" customFormat="false" ht="15" hidden="false" customHeight="false" outlineLevel="0" collapsed="false">
      <c r="A2524" s="15" t="s">
        <v>2581</v>
      </c>
      <c r="B2524" s="16" t="n">
        <v>45095</v>
      </c>
      <c r="C2524" s="15" t="s">
        <v>56</v>
      </c>
      <c r="D2524" s="15" t="s">
        <v>43</v>
      </c>
      <c r="E2524" s="15" t="s">
        <v>37</v>
      </c>
      <c r="F2524" s="15" t="s">
        <v>17</v>
      </c>
      <c r="G2524" s="15" t="s">
        <v>28</v>
      </c>
      <c r="H2524" s="15" t="n">
        <v>4</v>
      </c>
      <c r="I2524" s="17" t="n">
        <v>0.2</v>
      </c>
      <c r="J2524" s="18" t="n">
        <v>99.64</v>
      </c>
      <c r="K2524" s="19" t="n">
        <v>16.12</v>
      </c>
      <c r="L2524" s="15" t="n">
        <f aca="false">YEAR(B2524)</f>
        <v>2023</v>
      </c>
      <c r="M2524" s="20" t="n">
        <f aca="false">IF(J2524&gt;0,K2524/J2524,0)</f>
        <v>0.16178241670012</v>
      </c>
    </row>
    <row r="2525" customFormat="false" ht="15" hidden="false" customHeight="false" outlineLevel="0" collapsed="false">
      <c r="A2525" s="15" t="s">
        <v>2582</v>
      </c>
      <c r="B2525" s="16" t="n">
        <v>45030</v>
      </c>
      <c r="C2525" s="15" t="s">
        <v>71</v>
      </c>
      <c r="D2525" s="15" t="s">
        <v>44</v>
      </c>
      <c r="E2525" s="15" t="s">
        <v>38</v>
      </c>
      <c r="F2525" s="15" t="s">
        <v>18</v>
      </c>
      <c r="G2525" s="15" t="s">
        <v>30</v>
      </c>
      <c r="H2525" s="15" t="n">
        <v>2</v>
      </c>
      <c r="I2525" s="17" t="n">
        <v>0.05</v>
      </c>
      <c r="J2525" s="18" t="n">
        <v>71.87</v>
      </c>
      <c r="K2525" s="19" t="n">
        <v>18.79</v>
      </c>
      <c r="L2525" s="15" t="n">
        <f aca="false">YEAR(B2525)</f>
        <v>2023</v>
      </c>
      <c r="M2525" s="20" t="n">
        <f aca="false">IF(J2525&gt;0,K2525/J2525,0)</f>
        <v>0.261444274384305</v>
      </c>
    </row>
    <row r="2526" customFormat="false" ht="15" hidden="false" customHeight="false" outlineLevel="0" collapsed="false">
      <c r="A2526" s="15" t="s">
        <v>2583</v>
      </c>
      <c r="B2526" s="16" t="n">
        <v>45752</v>
      </c>
      <c r="C2526" s="15" t="s">
        <v>56</v>
      </c>
      <c r="D2526" s="15" t="s">
        <v>43</v>
      </c>
      <c r="E2526" s="15" t="s">
        <v>39</v>
      </c>
      <c r="F2526" s="15" t="s">
        <v>16</v>
      </c>
      <c r="G2526" s="15" t="s">
        <v>27</v>
      </c>
      <c r="H2526" s="15" t="n">
        <v>3</v>
      </c>
      <c r="I2526" s="17" t="n">
        <v>0.05</v>
      </c>
      <c r="J2526" s="18" t="n">
        <v>167.38</v>
      </c>
      <c r="K2526" s="19" t="n">
        <v>27.85</v>
      </c>
      <c r="L2526" s="15" t="n">
        <f aca="false">YEAR(B2526)</f>
        <v>2025</v>
      </c>
      <c r="M2526" s="20" t="n">
        <f aca="false">IF(J2526&gt;0,K2526/J2526,0)</f>
        <v>0.166387859959374</v>
      </c>
    </row>
    <row r="2527" customFormat="false" ht="15" hidden="false" customHeight="false" outlineLevel="0" collapsed="false">
      <c r="A2527" s="15" t="s">
        <v>2584</v>
      </c>
      <c r="B2527" s="16" t="n">
        <v>45563</v>
      </c>
      <c r="C2527" s="15" t="s">
        <v>56</v>
      </c>
      <c r="D2527" s="15" t="s">
        <v>43</v>
      </c>
      <c r="E2527" s="15" t="s">
        <v>37</v>
      </c>
      <c r="F2527" s="15" t="s">
        <v>17</v>
      </c>
      <c r="G2527" s="15" t="s">
        <v>26</v>
      </c>
      <c r="H2527" s="15" t="n">
        <v>2</v>
      </c>
      <c r="I2527" s="17" t="n">
        <v>0</v>
      </c>
      <c r="J2527" s="18" t="n">
        <v>198.09</v>
      </c>
      <c r="K2527" s="19" t="n">
        <v>14.67</v>
      </c>
      <c r="L2527" s="15" t="n">
        <f aca="false">YEAR(B2527)</f>
        <v>2024</v>
      </c>
      <c r="M2527" s="20" t="n">
        <f aca="false">IF(J2527&gt;0,K2527/J2527,0)</f>
        <v>0.0740572467060427</v>
      </c>
    </row>
    <row r="2528" customFormat="false" ht="15" hidden="false" customHeight="false" outlineLevel="0" collapsed="false">
      <c r="A2528" s="15" t="s">
        <v>2585</v>
      </c>
      <c r="B2528" s="16" t="n">
        <v>45447</v>
      </c>
      <c r="C2528" s="15" t="s">
        <v>56</v>
      </c>
      <c r="D2528" s="15" t="s">
        <v>44</v>
      </c>
      <c r="E2528" s="15" t="s">
        <v>36</v>
      </c>
      <c r="F2528" s="15" t="s">
        <v>16</v>
      </c>
      <c r="G2528" s="15" t="s">
        <v>25</v>
      </c>
      <c r="H2528" s="15" t="n">
        <v>3</v>
      </c>
      <c r="I2528" s="17" t="n">
        <v>0.15</v>
      </c>
      <c r="J2528" s="18" t="n">
        <v>649.46</v>
      </c>
      <c r="K2528" s="19" t="n">
        <v>-8.88</v>
      </c>
      <c r="L2528" s="15" t="n">
        <f aca="false">YEAR(B2528)</f>
        <v>2024</v>
      </c>
      <c r="M2528" s="20" t="n">
        <f aca="false">IF(J2528&gt;0,K2528/J2528,0)</f>
        <v>-0.0136728974840637</v>
      </c>
    </row>
    <row r="2529" customFormat="false" ht="15" hidden="false" customHeight="false" outlineLevel="0" collapsed="false">
      <c r="A2529" s="15" t="s">
        <v>2586</v>
      </c>
      <c r="B2529" s="16" t="n">
        <v>45072</v>
      </c>
      <c r="C2529" s="15" t="s">
        <v>58</v>
      </c>
      <c r="D2529" s="15" t="s">
        <v>44</v>
      </c>
      <c r="E2529" s="15" t="s">
        <v>39</v>
      </c>
      <c r="F2529" s="15" t="s">
        <v>17</v>
      </c>
      <c r="G2529" s="15" t="s">
        <v>29</v>
      </c>
      <c r="H2529" s="15" t="n">
        <v>4</v>
      </c>
      <c r="I2529" s="17" t="n">
        <v>0.05</v>
      </c>
      <c r="J2529" s="18" t="n">
        <v>82.42</v>
      </c>
      <c r="K2529" s="19" t="n">
        <v>32.69</v>
      </c>
      <c r="L2529" s="15" t="n">
        <f aca="false">YEAR(B2529)</f>
        <v>2023</v>
      </c>
      <c r="M2529" s="20" t="n">
        <f aca="false">IF(J2529&gt;0,K2529/J2529,0)</f>
        <v>0.39662703227372</v>
      </c>
    </row>
    <row r="2530" customFormat="false" ht="15" hidden="false" customHeight="false" outlineLevel="0" collapsed="false">
      <c r="A2530" s="15" t="s">
        <v>2587</v>
      </c>
      <c r="B2530" s="16" t="n">
        <v>45711</v>
      </c>
      <c r="C2530" s="15" t="s">
        <v>56</v>
      </c>
      <c r="D2530" s="15" t="s">
        <v>42</v>
      </c>
      <c r="E2530" s="15" t="s">
        <v>36</v>
      </c>
      <c r="F2530" s="15" t="s">
        <v>17</v>
      </c>
      <c r="G2530" s="15" t="s">
        <v>28</v>
      </c>
      <c r="H2530" s="15" t="n">
        <v>3</v>
      </c>
      <c r="I2530" s="17" t="n">
        <v>0</v>
      </c>
      <c r="J2530" s="18" t="n">
        <v>56.6</v>
      </c>
      <c r="K2530" s="19" t="n">
        <v>16.72</v>
      </c>
      <c r="L2530" s="15" t="n">
        <f aca="false">YEAR(B2530)</f>
        <v>2025</v>
      </c>
      <c r="M2530" s="20" t="n">
        <f aca="false">IF(J2530&gt;0,K2530/J2530,0)</f>
        <v>0.295406360424028</v>
      </c>
    </row>
    <row r="2531" customFormat="false" ht="15" hidden="false" customHeight="false" outlineLevel="0" collapsed="false">
      <c r="A2531" s="15" t="s">
        <v>2588</v>
      </c>
      <c r="B2531" s="16" t="n">
        <v>45659</v>
      </c>
      <c r="C2531" s="15" t="s">
        <v>56</v>
      </c>
      <c r="D2531" s="15" t="s">
        <v>43</v>
      </c>
      <c r="E2531" s="15" t="s">
        <v>39</v>
      </c>
      <c r="F2531" s="15" t="s">
        <v>16</v>
      </c>
      <c r="G2531" s="15" t="s">
        <v>25</v>
      </c>
      <c r="H2531" s="15" t="n">
        <v>6</v>
      </c>
      <c r="I2531" s="17" t="n">
        <v>0.05</v>
      </c>
      <c r="J2531" s="18" t="n">
        <v>1963.05</v>
      </c>
      <c r="K2531" s="19" t="n">
        <v>147.9</v>
      </c>
      <c r="L2531" s="15" t="n">
        <f aca="false">YEAR(B2531)</f>
        <v>2025</v>
      </c>
      <c r="M2531" s="20" t="n">
        <f aca="false">IF(J2531&gt;0,K2531/J2531,0)</f>
        <v>0.0753419423855735</v>
      </c>
    </row>
    <row r="2532" customFormat="false" ht="15" hidden="false" customHeight="false" outlineLevel="0" collapsed="false">
      <c r="A2532" s="15" t="s">
        <v>2589</v>
      </c>
      <c r="B2532" s="16" t="n">
        <v>44711</v>
      </c>
      <c r="C2532" s="15" t="s">
        <v>71</v>
      </c>
      <c r="D2532" s="15" t="s">
        <v>43</v>
      </c>
      <c r="E2532" s="15" t="s">
        <v>39</v>
      </c>
      <c r="F2532" s="15" t="s">
        <v>18</v>
      </c>
      <c r="G2532" s="15" t="s">
        <v>32</v>
      </c>
      <c r="H2532" s="15" t="n">
        <v>2</v>
      </c>
      <c r="I2532" s="17" t="n">
        <v>0.5</v>
      </c>
      <c r="J2532" s="18" t="n">
        <v>457.11</v>
      </c>
      <c r="K2532" s="19" t="n">
        <v>-141.15</v>
      </c>
      <c r="L2532" s="15" t="n">
        <f aca="false">YEAR(B2532)</f>
        <v>2022</v>
      </c>
      <c r="M2532" s="20" t="n">
        <f aca="false">IF(J2532&gt;0,K2532/J2532,0)</f>
        <v>-0.3087878191245</v>
      </c>
    </row>
    <row r="2533" customFormat="false" ht="15" hidden="false" customHeight="false" outlineLevel="0" collapsed="false">
      <c r="A2533" s="15" t="s">
        <v>2590</v>
      </c>
      <c r="B2533" s="16" t="n">
        <v>44821</v>
      </c>
      <c r="C2533" s="15" t="s">
        <v>56</v>
      </c>
      <c r="D2533" s="15" t="s">
        <v>42</v>
      </c>
      <c r="E2533" s="15" t="s">
        <v>36</v>
      </c>
      <c r="F2533" s="15" t="s">
        <v>16</v>
      </c>
      <c r="G2533" s="15" t="s">
        <v>27</v>
      </c>
      <c r="H2533" s="15" t="n">
        <v>3</v>
      </c>
      <c r="I2533" s="17" t="n">
        <v>0.2</v>
      </c>
      <c r="J2533" s="18" t="n">
        <v>171.68</v>
      </c>
      <c r="K2533" s="19" t="n">
        <v>2.51</v>
      </c>
      <c r="L2533" s="15" t="n">
        <f aca="false">YEAR(B2533)</f>
        <v>2022</v>
      </c>
      <c r="M2533" s="20" t="n">
        <f aca="false">IF(J2533&gt;0,K2533/J2533,0)</f>
        <v>0.0146202236719478</v>
      </c>
    </row>
    <row r="2534" customFormat="false" ht="15" hidden="false" customHeight="false" outlineLevel="0" collapsed="false">
      <c r="A2534" s="15" t="s">
        <v>2591</v>
      </c>
      <c r="B2534" s="16" t="n">
        <v>44787</v>
      </c>
      <c r="C2534" s="15" t="s">
        <v>58</v>
      </c>
      <c r="D2534" s="15" t="s">
        <v>42</v>
      </c>
      <c r="E2534" s="15" t="s">
        <v>38</v>
      </c>
      <c r="F2534" s="15" t="s">
        <v>16</v>
      </c>
      <c r="G2534" s="15" t="s">
        <v>25</v>
      </c>
      <c r="H2534" s="15" t="n">
        <v>3</v>
      </c>
      <c r="I2534" s="17" t="n">
        <v>0.1</v>
      </c>
      <c r="J2534" s="18" t="n">
        <v>632.47</v>
      </c>
      <c r="K2534" s="19" t="n">
        <v>0.91</v>
      </c>
      <c r="L2534" s="15" t="n">
        <f aca="false">YEAR(B2534)</f>
        <v>2022</v>
      </c>
      <c r="M2534" s="20" t="n">
        <f aca="false">IF(J2534&gt;0,K2534/J2534,0)</f>
        <v>0.00143880342150616</v>
      </c>
    </row>
    <row r="2535" customFormat="false" ht="15" hidden="false" customHeight="false" outlineLevel="0" collapsed="false">
      <c r="A2535" s="15" t="s">
        <v>2592</v>
      </c>
      <c r="B2535" s="16" t="n">
        <v>44713</v>
      </c>
      <c r="C2535" s="15" t="s">
        <v>56</v>
      </c>
      <c r="D2535" s="15" t="s">
        <v>43</v>
      </c>
      <c r="E2535" s="15" t="s">
        <v>39</v>
      </c>
      <c r="F2535" s="15" t="s">
        <v>17</v>
      </c>
      <c r="G2535" s="15" t="s">
        <v>31</v>
      </c>
      <c r="H2535" s="15" t="n">
        <v>5</v>
      </c>
      <c r="I2535" s="17" t="n">
        <v>0.2</v>
      </c>
      <c r="J2535" s="18" t="n">
        <v>547.91</v>
      </c>
      <c r="K2535" s="19" t="n">
        <v>30.32</v>
      </c>
      <c r="L2535" s="15" t="n">
        <f aca="false">YEAR(B2535)</f>
        <v>2022</v>
      </c>
      <c r="M2535" s="20" t="n">
        <f aca="false">IF(J2535&gt;0,K2535/J2535,0)</f>
        <v>0.0553375554379369</v>
      </c>
    </row>
    <row r="2536" customFormat="false" ht="15" hidden="false" customHeight="false" outlineLevel="0" collapsed="false">
      <c r="A2536" s="15" t="s">
        <v>2593</v>
      </c>
      <c r="B2536" s="16" t="n">
        <v>45732</v>
      </c>
      <c r="C2536" s="15" t="s">
        <v>68</v>
      </c>
      <c r="D2536" s="15" t="s">
        <v>42</v>
      </c>
      <c r="E2536" s="15" t="s">
        <v>36</v>
      </c>
      <c r="F2536" s="15" t="s">
        <v>17</v>
      </c>
      <c r="G2536" s="15" t="s">
        <v>28</v>
      </c>
      <c r="H2536" s="15" t="n">
        <v>3</v>
      </c>
      <c r="I2536" s="17" t="n">
        <v>0.1</v>
      </c>
      <c r="J2536" s="18" t="n">
        <v>54.02</v>
      </c>
      <c r="K2536" s="19" t="n">
        <v>12.04</v>
      </c>
      <c r="L2536" s="15" t="n">
        <f aca="false">YEAR(B2536)</f>
        <v>2025</v>
      </c>
      <c r="M2536" s="20" t="n">
        <f aca="false">IF(J2536&gt;0,K2536/J2536,0)</f>
        <v>0.222880414661237</v>
      </c>
    </row>
    <row r="2537" customFormat="false" ht="15" hidden="false" customHeight="false" outlineLevel="0" collapsed="false">
      <c r="A2537" s="15" t="s">
        <v>2594</v>
      </c>
      <c r="B2537" s="16" t="n">
        <v>45366</v>
      </c>
      <c r="C2537" s="15" t="s">
        <v>56</v>
      </c>
      <c r="D2537" s="15" t="s">
        <v>42</v>
      </c>
      <c r="E2537" s="15" t="s">
        <v>37</v>
      </c>
      <c r="F2537" s="15" t="s">
        <v>17</v>
      </c>
      <c r="G2537" s="15" t="s">
        <v>29</v>
      </c>
      <c r="H2537" s="15" t="n">
        <v>7</v>
      </c>
      <c r="I2537" s="17" t="n">
        <v>0</v>
      </c>
      <c r="J2537" s="18" t="n">
        <v>132.88</v>
      </c>
      <c r="K2537" s="19" t="n">
        <v>58.23</v>
      </c>
      <c r="L2537" s="15" t="n">
        <f aca="false">YEAR(B2537)</f>
        <v>2024</v>
      </c>
      <c r="M2537" s="20" t="n">
        <f aca="false">IF(J2537&gt;0,K2537/J2537,0)</f>
        <v>0.4382149307646</v>
      </c>
    </row>
    <row r="2538" customFormat="false" ht="15" hidden="false" customHeight="false" outlineLevel="0" collapsed="false">
      <c r="A2538" s="15" t="s">
        <v>2595</v>
      </c>
      <c r="B2538" s="16" t="n">
        <v>45907</v>
      </c>
      <c r="C2538" s="15" t="s">
        <v>71</v>
      </c>
      <c r="D2538" s="15" t="s">
        <v>42</v>
      </c>
      <c r="E2538" s="15" t="s">
        <v>36</v>
      </c>
      <c r="F2538" s="15" t="s">
        <v>17</v>
      </c>
      <c r="G2538" s="15" t="s">
        <v>28</v>
      </c>
      <c r="H2538" s="15" t="n">
        <v>3</v>
      </c>
      <c r="I2538" s="17" t="n">
        <v>0.3</v>
      </c>
      <c r="J2538" s="18" t="n">
        <v>58.09</v>
      </c>
      <c r="K2538" s="19" t="n">
        <v>2.43</v>
      </c>
      <c r="L2538" s="15" t="n">
        <f aca="false">YEAR(B2538)</f>
        <v>2025</v>
      </c>
      <c r="M2538" s="20" t="n">
        <f aca="false">IF(J2538&gt;0,K2538/J2538,0)</f>
        <v>0.0418316405577552</v>
      </c>
    </row>
    <row r="2539" customFormat="false" ht="15" hidden="false" customHeight="false" outlineLevel="0" collapsed="false">
      <c r="A2539" s="15" t="s">
        <v>2596</v>
      </c>
      <c r="B2539" s="16" t="n">
        <v>45304</v>
      </c>
      <c r="C2539" s="15" t="s">
        <v>56</v>
      </c>
      <c r="D2539" s="15" t="s">
        <v>42</v>
      </c>
      <c r="E2539" s="15" t="s">
        <v>39</v>
      </c>
      <c r="F2539" s="15" t="s">
        <v>16</v>
      </c>
      <c r="G2539" s="15" t="s">
        <v>25</v>
      </c>
      <c r="H2539" s="15" t="n">
        <v>1</v>
      </c>
      <c r="I2539" s="17" t="n">
        <v>0.1</v>
      </c>
      <c r="J2539" s="18" t="n">
        <v>275.54</v>
      </c>
      <c r="K2539" s="19" t="n">
        <v>-2.86</v>
      </c>
      <c r="L2539" s="15" t="n">
        <f aca="false">YEAR(B2539)</f>
        <v>2024</v>
      </c>
      <c r="M2539" s="20" t="n">
        <f aca="false">IF(J2539&gt;0,K2539/J2539,0)</f>
        <v>-0.0103796182042535</v>
      </c>
    </row>
    <row r="2540" customFormat="false" ht="15" hidden="false" customHeight="false" outlineLevel="0" collapsed="false">
      <c r="A2540" s="15" t="s">
        <v>2597</v>
      </c>
      <c r="B2540" s="16" t="n">
        <v>45228</v>
      </c>
      <c r="C2540" s="15" t="s">
        <v>56</v>
      </c>
      <c r="D2540" s="15" t="s">
        <v>42</v>
      </c>
      <c r="E2540" s="15" t="s">
        <v>38</v>
      </c>
      <c r="F2540" s="15" t="s">
        <v>17</v>
      </c>
      <c r="G2540" s="15" t="s">
        <v>26</v>
      </c>
      <c r="H2540" s="15" t="n">
        <v>6</v>
      </c>
      <c r="I2540" s="17" t="n">
        <v>0</v>
      </c>
      <c r="J2540" s="18" t="n">
        <v>485.78</v>
      </c>
      <c r="K2540" s="19" t="n">
        <v>37.85</v>
      </c>
      <c r="L2540" s="15" t="n">
        <f aca="false">YEAR(B2540)</f>
        <v>2023</v>
      </c>
      <c r="M2540" s="20" t="n">
        <f aca="false">IF(J2540&gt;0,K2540/J2540,0)</f>
        <v>0.0779159290213677</v>
      </c>
    </row>
    <row r="2541" customFormat="false" ht="15" hidden="false" customHeight="false" outlineLevel="0" collapsed="false">
      <c r="A2541" s="15" t="s">
        <v>2598</v>
      </c>
      <c r="B2541" s="16" t="n">
        <v>45967</v>
      </c>
      <c r="C2541" s="15" t="s">
        <v>56</v>
      </c>
      <c r="D2541" s="15" t="s">
        <v>44</v>
      </c>
      <c r="E2541" s="15" t="s">
        <v>37</v>
      </c>
      <c r="F2541" s="15" t="s">
        <v>16</v>
      </c>
      <c r="G2541" s="15" t="s">
        <v>22</v>
      </c>
      <c r="H2541" s="15" t="n">
        <v>5</v>
      </c>
      <c r="I2541" s="17" t="n">
        <v>0.15</v>
      </c>
      <c r="J2541" s="18" t="n">
        <v>2375.78</v>
      </c>
      <c r="K2541" s="19" t="n">
        <v>-538.8</v>
      </c>
      <c r="L2541" s="15" t="n">
        <f aca="false">YEAR(B2541)</f>
        <v>2025</v>
      </c>
      <c r="M2541" s="20" t="n">
        <f aca="false">IF(J2541&gt;0,K2541/J2541,0)</f>
        <v>-0.226788675719132</v>
      </c>
    </row>
    <row r="2542" customFormat="false" ht="15" hidden="false" customHeight="false" outlineLevel="0" collapsed="false">
      <c r="A2542" s="15" t="s">
        <v>2599</v>
      </c>
      <c r="B2542" s="16" t="n">
        <v>45606</v>
      </c>
      <c r="C2542" s="15" t="s">
        <v>56</v>
      </c>
      <c r="D2542" s="15" t="s">
        <v>43</v>
      </c>
      <c r="E2542" s="15" t="s">
        <v>36</v>
      </c>
      <c r="F2542" s="15" t="s">
        <v>16</v>
      </c>
      <c r="G2542" s="15" t="s">
        <v>27</v>
      </c>
      <c r="H2542" s="15" t="n">
        <v>5</v>
      </c>
      <c r="I2542" s="17" t="n">
        <v>0.4</v>
      </c>
      <c r="J2542" s="18" t="n">
        <v>166.92</v>
      </c>
      <c r="K2542" s="19" t="n">
        <v>-7.87</v>
      </c>
      <c r="L2542" s="15" t="n">
        <f aca="false">YEAR(B2542)</f>
        <v>2024</v>
      </c>
      <c r="M2542" s="20" t="n">
        <f aca="false">IF(J2542&gt;0,K2542/J2542,0)</f>
        <v>-0.0471483345315121</v>
      </c>
    </row>
    <row r="2543" customFormat="false" ht="15" hidden="false" customHeight="false" outlineLevel="0" collapsed="false">
      <c r="A2543" s="15" t="s">
        <v>2600</v>
      </c>
      <c r="B2543" s="16" t="n">
        <v>45447</v>
      </c>
      <c r="C2543" s="15" t="s">
        <v>71</v>
      </c>
      <c r="D2543" s="15" t="s">
        <v>42</v>
      </c>
      <c r="E2543" s="15" t="s">
        <v>36</v>
      </c>
      <c r="F2543" s="15" t="s">
        <v>17</v>
      </c>
      <c r="G2543" s="15" t="s">
        <v>29</v>
      </c>
      <c r="H2543" s="15" t="n">
        <v>3</v>
      </c>
      <c r="I2543" s="17" t="n">
        <v>0.2</v>
      </c>
      <c r="J2543" s="18" t="n">
        <v>45.82</v>
      </c>
      <c r="K2543" s="19" t="n">
        <v>6.99</v>
      </c>
      <c r="L2543" s="15" t="n">
        <f aca="false">YEAR(B2543)</f>
        <v>2024</v>
      </c>
      <c r="M2543" s="20" t="n">
        <f aca="false">IF(J2543&gt;0,K2543/J2543,0)</f>
        <v>0.152553470100393</v>
      </c>
    </row>
    <row r="2544" customFormat="false" ht="15" hidden="false" customHeight="false" outlineLevel="0" collapsed="false">
      <c r="A2544" s="15" t="s">
        <v>2601</v>
      </c>
      <c r="B2544" s="16" t="n">
        <v>45415</v>
      </c>
      <c r="C2544" s="15" t="s">
        <v>71</v>
      </c>
      <c r="D2544" s="15" t="s">
        <v>44</v>
      </c>
      <c r="E2544" s="15" t="s">
        <v>39</v>
      </c>
      <c r="F2544" s="15" t="s">
        <v>16</v>
      </c>
      <c r="G2544" s="15" t="s">
        <v>27</v>
      </c>
      <c r="H2544" s="15" t="n">
        <v>3</v>
      </c>
      <c r="I2544" s="17" t="n">
        <v>0.2</v>
      </c>
      <c r="J2544" s="18" t="n">
        <v>163.57</v>
      </c>
      <c r="K2544" s="19" t="n">
        <v>15.32</v>
      </c>
      <c r="L2544" s="15" t="n">
        <f aca="false">YEAR(B2544)</f>
        <v>2024</v>
      </c>
      <c r="M2544" s="20" t="n">
        <f aca="false">IF(J2544&gt;0,K2544/J2544,0)</f>
        <v>0.0936602066393593</v>
      </c>
    </row>
    <row r="2545" customFormat="false" ht="15" hidden="false" customHeight="false" outlineLevel="0" collapsed="false">
      <c r="A2545" s="15" t="s">
        <v>2602</v>
      </c>
      <c r="B2545" s="16" t="n">
        <v>45008</v>
      </c>
      <c r="C2545" s="15" t="s">
        <v>68</v>
      </c>
      <c r="D2545" s="15" t="s">
        <v>44</v>
      </c>
      <c r="E2545" s="15" t="s">
        <v>39</v>
      </c>
      <c r="F2545" s="15" t="s">
        <v>18</v>
      </c>
      <c r="G2545" s="15" t="s">
        <v>30</v>
      </c>
      <c r="H2545" s="15" t="n">
        <v>2</v>
      </c>
      <c r="I2545" s="17" t="n">
        <v>0.2</v>
      </c>
      <c r="J2545" s="18" t="n">
        <v>81.95</v>
      </c>
      <c r="K2545" s="19" t="n">
        <v>12.7</v>
      </c>
      <c r="L2545" s="15" t="n">
        <f aca="false">YEAR(B2545)</f>
        <v>2023</v>
      </c>
      <c r="M2545" s="20" t="n">
        <f aca="false">IF(J2545&gt;0,K2545/J2545,0)</f>
        <v>0.154972544234289</v>
      </c>
    </row>
    <row r="2546" customFormat="false" ht="15" hidden="false" customHeight="false" outlineLevel="0" collapsed="false">
      <c r="A2546" s="15" t="s">
        <v>2603</v>
      </c>
      <c r="B2546" s="16" t="n">
        <v>44827</v>
      </c>
      <c r="C2546" s="15" t="s">
        <v>56</v>
      </c>
      <c r="D2546" s="15" t="s">
        <v>42</v>
      </c>
      <c r="E2546" s="15" t="s">
        <v>37</v>
      </c>
      <c r="F2546" s="15" t="s">
        <v>18</v>
      </c>
      <c r="G2546" s="15" t="s">
        <v>30</v>
      </c>
      <c r="H2546" s="15" t="n">
        <v>3</v>
      </c>
      <c r="I2546" s="17" t="n">
        <v>0.3</v>
      </c>
      <c r="J2546" s="18" t="n">
        <v>98.81</v>
      </c>
      <c r="K2546" s="19" t="n">
        <v>7.36</v>
      </c>
      <c r="L2546" s="15" t="n">
        <f aca="false">YEAR(B2546)</f>
        <v>2022</v>
      </c>
      <c r="M2546" s="20" t="n">
        <f aca="false">IF(J2546&gt;0,K2546/J2546,0)</f>
        <v>0.0744863880174072</v>
      </c>
    </row>
    <row r="2547" customFormat="false" ht="15" hidden="false" customHeight="false" outlineLevel="0" collapsed="false">
      <c r="A2547" s="15" t="s">
        <v>2604</v>
      </c>
      <c r="B2547" s="16" t="n">
        <v>45803</v>
      </c>
      <c r="C2547" s="15" t="s">
        <v>56</v>
      </c>
      <c r="D2547" s="15" t="s">
        <v>42</v>
      </c>
      <c r="E2547" s="15" t="s">
        <v>39</v>
      </c>
      <c r="F2547" s="15" t="s">
        <v>17</v>
      </c>
      <c r="G2547" s="15" t="s">
        <v>26</v>
      </c>
      <c r="H2547" s="15" t="n">
        <v>2</v>
      </c>
      <c r="I2547" s="17" t="n">
        <v>0.15</v>
      </c>
      <c r="J2547" s="18" t="n">
        <v>144.91</v>
      </c>
      <c r="K2547" s="19" t="n">
        <v>-5.16</v>
      </c>
      <c r="L2547" s="15" t="n">
        <f aca="false">YEAR(B2547)</f>
        <v>2025</v>
      </c>
      <c r="M2547" s="20" t="n">
        <f aca="false">IF(J2547&gt;0,K2547/J2547,0)</f>
        <v>-0.0356083086053413</v>
      </c>
    </row>
    <row r="2548" customFormat="false" ht="15" hidden="false" customHeight="false" outlineLevel="0" collapsed="false">
      <c r="A2548" s="15" t="s">
        <v>2605</v>
      </c>
      <c r="B2548" s="16" t="n">
        <v>46000</v>
      </c>
      <c r="C2548" s="15" t="s">
        <v>56</v>
      </c>
      <c r="D2548" s="15" t="s">
        <v>42</v>
      </c>
      <c r="E2548" s="15" t="s">
        <v>36</v>
      </c>
      <c r="F2548" s="15" t="s">
        <v>16</v>
      </c>
      <c r="G2548" s="15" t="s">
        <v>27</v>
      </c>
      <c r="H2548" s="15" t="n">
        <v>1</v>
      </c>
      <c r="I2548" s="17" t="n">
        <v>0</v>
      </c>
      <c r="J2548" s="18" t="n">
        <v>56.1</v>
      </c>
      <c r="K2548" s="19" t="n">
        <v>7.05</v>
      </c>
      <c r="L2548" s="15" t="n">
        <f aca="false">YEAR(B2548)</f>
        <v>2025</v>
      </c>
      <c r="M2548" s="20" t="n">
        <f aca="false">IF(J2548&gt;0,K2548/J2548,0)</f>
        <v>0.125668449197861</v>
      </c>
    </row>
    <row r="2549" customFormat="false" ht="15" hidden="false" customHeight="false" outlineLevel="0" collapsed="false">
      <c r="A2549" s="15" t="s">
        <v>2606</v>
      </c>
      <c r="B2549" s="16" t="n">
        <v>45984</v>
      </c>
      <c r="C2549" s="15" t="s">
        <v>71</v>
      </c>
      <c r="D2549" s="15" t="s">
        <v>43</v>
      </c>
      <c r="E2549" s="15" t="s">
        <v>38</v>
      </c>
      <c r="F2549" s="15" t="s">
        <v>18</v>
      </c>
      <c r="G2549" s="15" t="s">
        <v>30</v>
      </c>
      <c r="H2549" s="15" t="n">
        <v>3</v>
      </c>
      <c r="I2549" s="17" t="n">
        <v>0.1</v>
      </c>
      <c r="J2549" s="18" t="n">
        <v>114.38</v>
      </c>
      <c r="K2549" s="19" t="n">
        <v>23.13</v>
      </c>
      <c r="L2549" s="15" t="n">
        <f aca="false">YEAR(B2549)</f>
        <v>2025</v>
      </c>
      <c r="M2549" s="20" t="n">
        <f aca="false">IF(J2549&gt;0,K2549/J2549,0)</f>
        <v>0.202220667948942</v>
      </c>
    </row>
    <row r="2550" customFormat="false" ht="15" hidden="false" customHeight="false" outlineLevel="0" collapsed="false">
      <c r="A2550" s="15" t="s">
        <v>2607</v>
      </c>
      <c r="B2550" s="16" t="n">
        <v>45975</v>
      </c>
      <c r="C2550" s="15" t="s">
        <v>56</v>
      </c>
      <c r="D2550" s="15" t="s">
        <v>42</v>
      </c>
      <c r="E2550" s="15" t="s">
        <v>36</v>
      </c>
      <c r="F2550" s="15" t="s">
        <v>17</v>
      </c>
      <c r="G2550" s="15" t="s">
        <v>29</v>
      </c>
      <c r="H2550" s="15" t="n">
        <v>3</v>
      </c>
      <c r="I2550" s="17" t="n">
        <v>0</v>
      </c>
      <c r="J2550" s="18" t="n">
        <v>49.55</v>
      </c>
      <c r="K2550" s="19" t="n">
        <v>18.25</v>
      </c>
      <c r="L2550" s="15" t="n">
        <f aca="false">YEAR(B2550)</f>
        <v>2025</v>
      </c>
      <c r="M2550" s="20" t="n">
        <f aca="false">IF(J2550&gt;0,K2550/J2550,0)</f>
        <v>0.368314833501514</v>
      </c>
    </row>
    <row r="2551" customFormat="false" ht="15" hidden="false" customHeight="false" outlineLevel="0" collapsed="false">
      <c r="A2551" s="15" t="s">
        <v>2608</v>
      </c>
      <c r="B2551" s="16" t="n">
        <v>44682</v>
      </c>
      <c r="C2551" s="15" t="s">
        <v>56</v>
      </c>
      <c r="D2551" s="15" t="s">
        <v>42</v>
      </c>
      <c r="E2551" s="15" t="s">
        <v>36</v>
      </c>
      <c r="F2551" s="15" t="s">
        <v>16</v>
      </c>
      <c r="G2551" s="15" t="s">
        <v>22</v>
      </c>
      <c r="H2551" s="15" t="n">
        <v>2</v>
      </c>
      <c r="I2551" s="17" t="n">
        <v>0.3</v>
      </c>
      <c r="J2551" s="18" t="n">
        <v>689.09</v>
      </c>
      <c r="K2551" s="19" t="n">
        <v>-227.54</v>
      </c>
      <c r="L2551" s="15" t="n">
        <f aca="false">YEAR(B2551)</f>
        <v>2022</v>
      </c>
      <c r="M2551" s="20" t="n">
        <f aca="false">IF(J2551&gt;0,K2551/J2551,0)</f>
        <v>-0.330203601851717</v>
      </c>
    </row>
    <row r="2552" customFormat="false" ht="15" hidden="false" customHeight="false" outlineLevel="0" collapsed="false">
      <c r="A2552" s="15" t="s">
        <v>2609</v>
      </c>
      <c r="B2552" s="16" t="n">
        <v>44861</v>
      </c>
      <c r="C2552" s="15" t="s">
        <v>56</v>
      </c>
      <c r="D2552" s="15" t="s">
        <v>42</v>
      </c>
      <c r="E2552" s="15" t="s">
        <v>36</v>
      </c>
      <c r="F2552" s="15" t="s">
        <v>17</v>
      </c>
      <c r="G2552" s="15" t="s">
        <v>28</v>
      </c>
      <c r="H2552" s="15" t="n">
        <v>5</v>
      </c>
      <c r="I2552" s="17" t="n">
        <v>0</v>
      </c>
      <c r="J2552" s="18" t="n">
        <v>118.71</v>
      </c>
      <c r="K2552" s="19" t="n">
        <v>38.63</v>
      </c>
      <c r="L2552" s="15" t="n">
        <f aca="false">YEAR(B2552)</f>
        <v>2022</v>
      </c>
      <c r="M2552" s="20" t="n">
        <f aca="false">IF(J2552&gt;0,K2552/J2552,0)</f>
        <v>0.325414876590009</v>
      </c>
    </row>
    <row r="2553" customFormat="false" ht="15" hidden="false" customHeight="false" outlineLevel="0" collapsed="false">
      <c r="A2553" s="15" t="s">
        <v>2610</v>
      </c>
      <c r="B2553" s="16" t="n">
        <v>45142</v>
      </c>
      <c r="C2553" s="15" t="s">
        <v>68</v>
      </c>
      <c r="D2553" s="15" t="s">
        <v>42</v>
      </c>
      <c r="E2553" s="15" t="s">
        <v>37</v>
      </c>
      <c r="F2553" s="15" t="s">
        <v>16</v>
      </c>
      <c r="G2553" s="15" t="s">
        <v>27</v>
      </c>
      <c r="H2553" s="15" t="n">
        <v>2</v>
      </c>
      <c r="I2553" s="17" t="n">
        <v>0.1</v>
      </c>
      <c r="J2553" s="18" t="n">
        <v>98.53</v>
      </c>
      <c r="K2553" s="19" t="n">
        <v>14.33</v>
      </c>
      <c r="L2553" s="15" t="n">
        <f aca="false">YEAR(B2553)</f>
        <v>2023</v>
      </c>
      <c r="M2553" s="20" t="n">
        <f aca="false">IF(J2553&gt;0,K2553/J2553,0)</f>
        <v>0.145437937683954</v>
      </c>
    </row>
    <row r="2554" customFormat="false" ht="15" hidden="false" customHeight="false" outlineLevel="0" collapsed="false">
      <c r="A2554" s="15" t="s">
        <v>2611</v>
      </c>
      <c r="B2554" s="16" t="n">
        <v>45632</v>
      </c>
      <c r="C2554" s="15" t="s">
        <v>56</v>
      </c>
      <c r="D2554" s="15" t="s">
        <v>42</v>
      </c>
      <c r="E2554" s="15" t="s">
        <v>36</v>
      </c>
      <c r="F2554" s="15" t="s">
        <v>17</v>
      </c>
      <c r="G2554" s="15" t="s">
        <v>31</v>
      </c>
      <c r="H2554" s="15" t="n">
        <v>4</v>
      </c>
      <c r="I2554" s="17" t="n">
        <v>0.2</v>
      </c>
      <c r="J2554" s="18" t="n">
        <v>376.84</v>
      </c>
      <c r="K2554" s="19" t="n">
        <v>20.38</v>
      </c>
      <c r="L2554" s="15" t="n">
        <f aca="false">YEAR(B2554)</f>
        <v>2024</v>
      </c>
      <c r="M2554" s="20" t="n">
        <f aca="false">IF(J2554&gt;0,K2554/J2554,0)</f>
        <v>0.0540813077168029</v>
      </c>
    </row>
    <row r="2555" customFormat="false" ht="15" hidden="false" customHeight="false" outlineLevel="0" collapsed="false">
      <c r="A2555" s="15" t="s">
        <v>2612</v>
      </c>
      <c r="B2555" s="16" t="n">
        <v>45783</v>
      </c>
      <c r="C2555" s="15" t="s">
        <v>56</v>
      </c>
      <c r="D2555" s="15" t="s">
        <v>42</v>
      </c>
      <c r="E2555" s="15" t="s">
        <v>37</v>
      </c>
      <c r="F2555" s="15" t="s">
        <v>17</v>
      </c>
      <c r="G2555" s="15" t="s">
        <v>29</v>
      </c>
      <c r="H2555" s="15" t="n">
        <v>1</v>
      </c>
      <c r="I2555" s="17" t="n">
        <v>0.2</v>
      </c>
      <c r="J2555" s="18" t="n">
        <v>14.28</v>
      </c>
      <c r="K2555" s="19" t="n">
        <v>3.01</v>
      </c>
      <c r="L2555" s="15" t="n">
        <f aca="false">YEAR(B2555)</f>
        <v>2025</v>
      </c>
      <c r="M2555" s="20" t="n">
        <f aca="false">IF(J2555&gt;0,K2555/J2555,0)</f>
        <v>0.21078431372549</v>
      </c>
    </row>
    <row r="2556" customFormat="false" ht="15" hidden="false" customHeight="false" outlineLevel="0" collapsed="false">
      <c r="A2556" s="15" t="s">
        <v>2613</v>
      </c>
      <c r="B2556" s="16" t="n">
        <v>45759</v>
      </c>
      <c r="C2556" s="15" t="s">
        <v>56</v>
      </c>
      <c r="D2556" s="15" t="s">
        <v>42</v>
      </c>
      <c r="E2556" s="15" t="s">
        <v>37</v>
      </c>
      <c r="F2556" s="15" t="s">
        <v>16</v>
      </c>
      <c r="G2556" s="15" t="s">
        <v>25</v>
      </c>
      <c r="H2556" s="15" t="n">
        <v>6</v>
      </c>
      <c r="I2556" s="17" t="n">
        <v>0.2</v>
      </c>
      <c r="J2556" s="18" t="n">
        <v>1478.29</v>
      </c>
      <c r="K2556" s="19" t="n">
        <v>-35.47</v>
      </c>
      <c r="L2556" s="15" t="n">
        <f aca="false">YEAR(B2556)</f>
        <v>2025</v>
      </c>
      <c r="M2556" s="20" t="n">
        <f aca="false">IF(J2556&gt;0,K2556/J2556,0)</f>
        <v>-0.0239939389429679</v>
      </c>
    </row>
    <row r="2557" customFormat="false" ht="15" hidden="false" customHeight="false" outlineLevel="0" collapsed="false">
      <c r="A2557" s="15" t="s">
        <v>2614</v>
      </c>
      <c r="B2557" s="16" t="n">
        <v>45325</v>
      </c>
      <c r="C2557" s="15" t="s">
        <v>56</v>
      </c>
      <c r="D2557" s="15" t="s">
        <v>44</v>
      </c>
      <c r="E2557" s="15" t="s">
        <v>39</v>
      </c>
      <c r="F2557" s="15" t="s">
        <v>17</v>
      </c>
      <c r="G2557" s="15" t="s">
        <v>26</v>
      </c>
      <c r="H2557" s="15" t="n">
        <v>8</v>
      </c>
      <c r="I2557" s="17" t="n">
        <v>0.2</v>
      </c>
      <c r="J2557" s="18" t="n">
        <v>523.83</v>
      </c>
      <c r="K2557" s="19" t="n">
        <v>-14.92</v>
      </c>
      <c r="L2557" s="15" t="n">
        <f aca="false">YEAR(B2557)</f>
        <v>2024</v>
      </c>
      <c r="M2557" s="20" t="n">
        <f aca="false">IF(J2557&gt;0,K2557/J2557,0)</f>
        <v>-0.0284825229559208</v>
      </c>
    </row>
    <row r="2558" customFormat="false" ht="15" hidden="false" customHeight="false" outlineLevel="0" collapsed="false">
      <c r="A2558" s="15" t="s">
        <v>2615</v>
      </c>
      <c r="B2558" s="16" t="n">
        <v>44806</v>
      </c>
      <c r="C2558" s="15" t="s">
        <v>56</v>
      </c>
      <c r="D2558" s="15" t="s">
        <v>44</v>
      </c>
      <c r="E2558" s="15" t="s">
        <v>38</v>
      </c>
      <c r="F2558" s="15" t="s">
        <v>18</v>
      </c>
      <c r="G2558" s="15" t="s">
        <v>30</v>
      </c>
      <c r="H2558" s="15" t="n">
        <v>3</v>
      </c>
      <c r="I2558" s="17" t="n">
        <v>0.2</v>
      </c>
      <c r="J2558" s="18" t="n">
        <v>85.95</v>
      </c>
      <c r="K2558" s="19" t="n">
        <v>8.25</v>
      </c>
      <c r="L2558" s="15" t="n">
        <f aca="false">YEAR(B2558)</f>
        <v>2022</v>
      </c>
      <c r="M2558" s="20" t="n">
        <f aca="false">IF(J2558&gt;0,K2558/J2558,0)</f>
        <v>0.0959860383944154</v>
      </c>
    </row>
    <row r="2559" customFormat="false" ht="15" hidden="false" customHeight="false" outlineLevel="0" collapsed="false">
      <c r="A2559" s="15" t="s">
        <v>2616</v>
      </c>
      <c r="B2559" s="16" t="n">
        <v>45536</v>
      </c>
      <c r="C2559" s="15" t="s">
        <v>68</v>
      </c>
      <c r="D2559" s="15" t="s">
        <v>42</v>
      </c>
      <c r="E2559" s="15" t="s">
        <v>37</v>
      </c>
      <c r="F2559" s="15" t="s">
        <v>16</v>
      </c>
      <c r="G2559" s="15" t="s">
        <v>23</v>
      </c>
      <c r="H2559" s="15" t="n">
        <v>4</v>
      </c>
      <c r="I2559" s="17" t="n">
        <v>0</v>
      </c>
      <c r="J2559" s="18" t="n">
        <v>1043.32</v>
      </c>
      <c r="K2559" s="19" t="n">
        <v>50.36</v>
      </c>
      <c r="L2559" s="15" t="n">
        <f aca="false">YEAR(B2559)</f>
        <v>2024</v>
      </c>
      <c r="M2559" s="20" t="n">
        <f aca="false">IF(J2559&gt;0,K2559/J2559,0)</f>
        <v>0.0482689874630986</v>
      </c>
    </row>
    <row r="2560" customFormat="false" ht="15" hidden="false" customHeight="false" outlineLevel="0" collapsed="false">
      <c r="A2560" s="15" t="s">
        <v>2617</v>
      </c>
      <c r="B2560" s="16" t="n">
        <v>45299</v>
      </c>
      <c r="C2560" s="15" t="s">
        <v>56</v>
      </c>
      <c r="D2560" s="15" t="s">
        <v>44</v>
      </c>
      <c r="E2560" s="15" t="s">
        <v>37</v>
      </c>
      <c r="F2560" s="15" t="s">
        <v>16</v>
      </c>
      <c r="G2560" s="15" t="s">
        <v>23</v>
      </c>
      <c r="H2560" s="15" t="n">
        <v>4</v>
      </c>
      <c r="I2560" s="17" t="n">
        <v>0.2</v>
      </c>
      <c r="J2560" s="18" t="n">
        <v>949.62</v>
      </c>
      <c r="K2560" s="19" t="n">
        <v>-104.76</v>
      </c>
      <c r="L2560" s="15" t="n">
        <f aca="false">YEAR(B2560)</f>
        <v>2024</v>
      </c>
      <c r="M2560" s="20" t="n">
        <f aca="false">IF(J2560&gt;0,K2560/J2560,0)</f>
        <v>-0.11031781133506</v>
      </c>
    </row>
    <row r="2561" customFormat="false" ht="15" hidden="false" customHeight="false" outlineLevel="0" collapsed="false">
      <c r="A2561" s="15" t="s">
        <v>2618</v>
      </c>
      <c r="B2561" s="16" t="n">
        <v>45820</v>
      </c>
      <c r="C2561" s="15" t="s">
        <v>68</v>
      </c>
      <c r="D2561" s="15" t="s">
        <v>43</v>
      </c>
      <c r="E2561" s="15" t="s">
        <v>38</v>
      </c>
      <c r="F2561" s="15" t="s">
        <v>17</v>
      </c>
      <c r="G2561" s="15" t="s">
        <v>26</v>
      </c>
      <c r="H2561" s="15" t="n">
        <v>4</v>
      </c>
      <c r="I2561" s="17" t="n">
        <v>0.15</v>
      </c>
      <c r="J2561" s="18" t="n">
        <v>267.3</v>
      </c>
      <c r="K2561" s="19" t="n">
        <v>-8.53</v>
      </c>
      <c r="L2561" s="15" t="n">
        <f aca="false">YEAR(B2561)</f>
        <v>2025</v>
      </c>
      <c r="M2561" s="20" t="n">
        <f aca="false">IF(J2561&gt;0,K2561/J2561,0)</f>
        <v>-0.0319117096894875</v>
      </c>
    </row>
    <row r="2562" customFormat="false" ht="15" hidden="false" customHeight="false" outlineLevel="0" collapsed="false">
      <c r="A2562" s="15" t="s">
        <v>2619</v>
      </c>
      <c r="B2562" s="16" t="n">
        <v>45225</v>
      </c>
      <c r="C2562" s="15" t="s">
        <v>56</v>
      </c>
      <c r="D2562" s="15" t="s">
        <v>42</v>
      </c>
      <c r="E2562" s="15" t="s">
        <v>39</v>
      </c>
      <c r="F2562" s="15" t="s">
        <v>16</v>
      </c>
      <c r="G2562" s="15" t="s">
        <v>27</v>
      </c>
      <c r="H2562" s="15" t="n">
        <v>3</v>
      </c>
      <c r="I2562" s="17" t="n">
        <v>0</v>
      </c>
      <c r="J2562" s="18" t="n">
        <v>249.42</v>
      </c>
      <c r="K2562" s="19" t="n">
        <v>67.78</v>
      </c>
      <c r="L2562" s="15" t="n">
        <f aca="false">YEAR(B2562)</f>
        <v>2023</v>
      </c>
      <c r="M2562" s="20" t="n">
        <f aca="false">IF(J2562&gt;0,K2562/J2562,0)</f>
        <v>0.271750461069682</v>
      </c>
    </row>
    <row r="2563" customFormat="false" ht="15" hidden="false" customHeight="false" outlineLevel="0" collapsed="false">
      <c r="A2563" s="15" t="s">
        <v>2620</v>
      </c>
      <c r="B2563" s="16" t="n">
        <v>45183</v>
      </c>
      <c r="C2563" s="15" t="s">
        <v>68</v>
      </c>
      <c r="D2563" s="15" t="s">
        <v>43</v>
      </c>
      <c r="E2563" s="15" t="s">
        <v>36</v>
      </c>
      <c r="F2563" s="15" t="s">
        <v>17</v>
      </c>
      <c r="G2563" s="15" t="s">
        <v>31</v>
      </c>
      <c r="H2563" s="15" t="n">
        <v>3</v>
      </c>
      <c r="I2563" s="17" t="n">
        <v>0</v>
      </c>
      <c r="J2563" s="18" t="n">
        <v>391.2</v>
      </c>
      <c r="K2563" s="19" t="n">
        <v>55.88</v>
      </c>
      <c r="L2563" s="15" t="n">
        <f aca="false">YEAR(B2563)</f>
        <v>2023</v>
      </c>
      <c r="M2563" s="20" t="n">
        <f aca="false">IF(J2563&gt;0,K2563/J2563,0)</f>
        <v>0.142842535787321</v>
      </c>
    </row>
    <row r="2564" customFormat="false" ht="15" hidden="false" customHeight="false" outlineLevel="0" collapsed="false">
      <c r="A2564" s="15" t="s">
        <v>2621</v>
      </c>
      <c r="B2564" s="16" t="n">
        <v>45890</v>
      </c>
      <c r="C2564" s="15" t="s">
        <v>56</v>
      </c>
      <c r="D2564" s="15" t="s">
        <v>42</v>
      </c>
      <c r="E2564" s="15" t="s">
        <v>39</v>
      </c>
      <c r="F2564" s="15" t="s">
        <v>18</v>
      </c>
      <c r="G2564" s="15" t="s">
        <v>32</v>
      </c>
      <c r="H2564" s="15" t="n">
        <v>6</v>
      </c>
      <c r="I2564" s="17" t="n">
        <v>0</v>
      </c>
      <c r="J2564" s="18" t="n">
        <v>2767.19</v>
      </c>
      <c r="K2564" s="19" t="n">
        <v>442.01</v>
      </c>
      <c r="L2564" s="15" t="n">
        <f aca="false">YEAR(B2564)</f>
        <v>2025</v>
      </c>
      <c r="M2564" s="20" t="n">
        <f aca="false">IF(J2564&gt;0,K2564/J2564,0)</f>
        <v>0.159732436153643</v>
      </c>
    </row>
    <row r="2565" customFormat="false" ht="15" hidden="false" customHeight="false" outlineLevel="0" collapsed="false">
      <c r="A2565" s="15" t="s">
        <v>2622</v>
      </c>
      <c r="B2565" s="16" t="n">
        <v>45401</v>
      </c>
      <c r="C2565" s="15" t="s">
        <v>56</v>
      </c>
      <c r="D2565" s="15" t="s">
        <v>42</v>
      </c>
      <c r="E2565" s="15" t="s">
        <v>39</v>
      </c>
      <c r="F2565" s="15" t="s">
        <v>17</v>
      </c>
      <c r="G2565" s="15" t="s">
        <v>26</v>
      </c>
      <c r="H2565" s="15" t="n">
        <v>6</v>
      </c>
      <c r="I2565" s="17" t="n">
        <v>0.3</v>
      </c>
      <c r="J2565" s="18" t="n">
        <v>464.71</v>
      </c>
      <c r="K2565" s="19" t="n">
        <v>-55.97</v>
      </c>
      <c r="L2565" s="15" t="n">
        <f aca="false">YEAR(B2565)</f>
        <v>2024</v>
      </c>
      <c r="M2565" s="20" t="n">
        <f aca="false">IF(J2565&gt;0,K2565/J2565,0)</f>
        <v>-0.120440704955779</v>
      </c>
    </row>
    <row r="2566" customFormat="false" ht="15" hidden="false" customHeight="false" outlineLevel="0" collapsed="false">
      <c r="A2566" s="15" t="s">
        <v>2623</v>
      </c>
      <c r="B2566" s="16" t="n">
        <v>45206</v>
      </c>
      <c r="C2566" s="15" t="s">
        <v>56</v>
      </c>
      <c r="D2566" s="15" t="s">
        <v>42</v>
      </c>
      <c r="E2566" s="15" t="s">
        <v>36</v>
      </c>
      <c r="F2566" s="15" t="s">
        <v>17</v>
      </c>
      <c r="G2566" s="15" t="s">
        <v>28</v>
      </c>
      <c r="H2566" s="15" t="n">
        <v>4</v>
      </c>
      <c r="I2566" s="17" t="n">
        <v>0.4</v>
      </c>
      <c r="J2566" s="18" t="n">
        <v>57.61</v>
      </c>
      <c r="K2566" s="19" t="n">
        <v>-0.47</v>
      </c>
      <c r="L2566" s="15" t="n">
        <f aca="false">YEAR(B2566)</f>
        <v>2023</v>
      </c>
      <c r="M2566" s="20" t="n">
        <f aca="false">IF(J2566&gt;0,K2566/J2566,0)</f>
        <v>-0.00815830584967888</v>
      </c>
    </row>
    <row r="2567" customFormat="false" ht="15" hidden="false" customHeight="false" outlineLevel="0" collapsed="false">
      <c r="A2567" s="15" t="s">
        <v>2624</v>
      </c>
      <c r="B2567" s="16" t="n">
        <v>45237</v>
      </c>
      <c r="C2567" s="15" t="s">
        <v>56</v>
      </c>
      <c r="D2567" s="15" t="s">
        <v>43</v>
      </c>
      <c r="E2567" s="15" t="s">
        <v>37</v>
      </c>
      <c r="F2567" s="15" t="s">
        <v>17</v>
      </c>
      <c r="G2567" s="15" t="s">
        <v>28</v>
      </c>
      <c r="H2567" s="15" t="n">
        <v>2</v>
      </c>
      <c r="I2567" s="17" t="n">
        <v>0.15</v>
      </c>
      <c r="J2567" s="18" t="n">
        <v>45.04</v>
      </c>
      <c r="K2567" s="19" t="n">
        <v>4.79</v>
      </c>
      <c r="L2567" s="15" t="n">
        <f aca="false">YEAR(B2567)</f>
        <v>2023</v>
      </c>
      <c r="M2567" s="20" t="n">
        <f aca="false">IF(J2567&gt;0,K2567/J2567,0)</f>
        <v>0.106349911190053</v>
      </c>
    </row>
    <row r="2568" customFormat="false" ht="15" hidden="false" customHeight="false" outlineLevel="0" collapsed="false">
      <c r="A2568" s="15" t="s">
        <v>2625</v>
      </c>
      <c r="B2568" s="16" t="n">
        <v>44870</v>
      </c>
      <c r="C2568" s="15" t="s">
        <v>56</v>
      </c>
      <c r="D2568" s="15" t="s">
        <v>42</v>
      </c>
      <c r="E2568" s="15" t="s">
        <v>39</v>
      </c>
      <c r="F2568" s="15" t="s">
        <v>17</v>
      </c>
      <c r="G2568" s="15" t="s">
        <v>28</v>
      </c>
      <c r="H2568" s="15" t="n">
        <v>2</v>
      </c>
      <c r="I2568" s="17" t="n">
        <v>0</v>
      </c>
      <c r="J2568" s="18" t="n">
        <v>53.02</v>
      </c>
      <c r="K2568" s="19" t="n">
        <v>18.21</v>
      </c>
      <c r="L2568" s="15" t="n">
        <f aca="false">YEAR(B2568)</f>
        <v>2022</v>
      </c>
      <c r="M2568" s="20" t="n">
        <f aca="false">IF(J2568&gt;0,K2568/J2568,0)</f>
        <v>0.343455299886835</v>
      </c>
    </row>
    <row r="2569" customFormat="false" ht="15" hidden="false" customHeight="false" outlineLevel="0" collapsed="false">
      <c r="A2569" s="15" t="s">
        <v>2626</v>
      </c>
      <c r="B2569" s="16" t="n">
        <v>45283</v>
      </c>
      <c r="C2569" s="15" t="s">
        <v>56</v>
      </c>
      <c r="D2569" s="15" t="s">
        <v>44</v>
      </c>
      <c r="E2569" s="15" t="s">
        <v>39</v>
      </c>
      <c r="F2569" s="15" t="s">
        <v>18</v>
      </c>
      <c r="G2569" s="15" t="s">
        <v>30</v>
      </c>
      <c r="H2569" s="15" t="n">
        <v>3</v>
      </c>
      <c r="I2569" s="17" t="n">
        <v>0.1</v>
      </c>
      <c r="J2569" s="18" t="n">
        <v>136.79</v>
      </c>
      <c r="K2569" s="19" t="n">
        <v>17.38</v>
      </c>
      <c r="L2569" s="15" t="n">
        <f aca="false">YEAR(B2569)</f>
        <v>2023</v>
      </c>
      <c r="M2569" s="20" t="n">
        <f aca="false">IF(J2569&gt;0,K2569/J2569,0)</f>
        <v>0.127056071350245</v>
      </c>
    </row>
    <row r="2570" customFormat="false" ht="15" hidden="false" customHeight="false" outlineLevel="0" collapsed="false">
      <c r="A2570" s="15" t="s">
        <v>2627</v>
      </c>
      <c r="B2570" s="16" t="n">
        <v>44932</v>
      </c>
      <c r="C2570" s="15" t="s">
        <v>71</v>
      </c>
      <c r="D2570" s="15" t="s">
        <v>42</v>
      </c>
      <c r="E2570" s="15" t="s">
        <v>37</v>
      </c>
      <c r="F2570" s="15" t="s">
        <v>18</v>
      </c>
      <c r="G2570" s="15" t="s">
        <v>30</v>
      </c>
      <c r="H2570" s="15" t="n">
        <v>2</v>
      </c>
      <c r="I2570" s="17" t="n">
        <v>0.4</v>
      </c>
      <c r="J2570" s="18" t="n">
        <v>60.5</v>
      </c>
      <c r="K2570" s="19" t="n">
        <v>-2.21</v>
      </c>
      <c r="L2570" s="15" t="n">
        <f aca="false">YEAR(B2570)</f>
        <v>2023</v>
      </c>
      <c r="M2570" s="20" t="n">
        <f aca="false">IF(J2570&gt;0,K2570/J2570,0)</f>
        <v>-0.0365289256198347</v>
      </c>
    </row>
    <row r="2571" customFormat="false" ht="15" hidden="false" customHeight="false" outlineLevel="0" collapsed="false">
      <c r="A2571" s="15" t="s">
        <v>2628</v>
      </c>
      <c r="B2571" s="16" t="n">
        <v>45294</v>
      </c>
      <c r="C2571" s="15" t="s">
        <v>56</v>
      </c>
      <c r="D2571" s="15" t="s">
        <v>44</v>
      </c>
      <c r="E2571" s="15" t="s">
        <v>37</v>
      </c>
      <c r="F2571" s="15" t="s">
        <v>16</v>
      </c>
      <c r="G2571" s="15" t="s">
        <v>27</v>
      </c>
      <c r="H2571" s="15" t="n">
        <v>3</v>
      </c>
      <c r="I2571" s="17" t="n">
        <v>0</v>
      </c>
      <c r="J2571" s="18" t="n">
        <v>161.44</v>
      </c>
      <c r="K2571" s="19" t="n">
        <v>33.77</v>
      </c>
      <c r="L2571" s="15" t="n">
        <f aca="false">YEAR(B2571)</f>
        <v>2024</v>
      </c>
      <c r="M2571" s="20" t="n">
        <f aca="false">IF(J2571&gt;0,K2571/J2571,0)</f>
        <v>0.209179881070367</v>
      </c>
    </row>
    <row r="2572" customFormat="false" ht="15" hidden="false" customHeight="false" outlineLevel="0" collapsed="false">
      <c r="A2572" s="15" t="s">
        <v>2629</v>
      </c>
      <c r="B2572" s="16" t="n">
        <v>45992</v>
      </c>
      <c r="C2572" s="15" t="s">
        <v>56</v>
      </c>
      <c r="D2572" s="15" t="s">
        <v>43</v>
      </c>
      <c r="E2572" s="15" t="s">
        <v>39</v>
      </c>
      <c r="F2572" s="15" t="s">
        <v>17</v>
      </c>
      <c r="G2572" s="15" t="s">
        <v>29</v>
      </c>
      <c r="H2572" s="15" t="n">
        <v>4</v>
      </c>
      <c r="I2572" s="17" t="n">
        <v>0.15</v>
      </c>
      <c r="J2572" s="18" t="n">
        <v>70.71</v>
      </c>
      <c r="K2572" s="19" t="n">
        <v>18.2</v>
      </c>
      <c r="L2572" s="15" t="n">
        <f aca="false">YEAR(B2572)</f>
        <v>2025</v>
      </c>
      <c r="M2572" s="20" t="n">
        <f aca="false">IF(J2572&gt;0,K2572/J2572,0)</f>
        <v>0.257389336727478</v>
      </c>
    </row>
    <row r="2573" customFormat="false" ht="15" hidden="false" customHeight="false" outlineLevel="0" collapsed="false">
      <c r="A2573" s="15" t="s">
        <v>2630</v>
      </c>
      <c r="B2573" s="16" t="n">
        <v>45543</v>
      </c>
      <c r="C2573" s="15" t="s">
        <v>68</v>
      </c>
      <c r="D2573" s="15" t="s">
        <v>42</v>
      </c>
      <c r="E2573" s="15" t="s">
        <v>39</v>
      </c>
      <c r="F2573" s="15" t="s">
        <v>17</v>
      </c>
      <c r="G2573" s="15" t="s">
        <v>29</v>
      </c>
      <c r="H2573" s="15" t="n">
        <v>3</v>
      </c>
      <c r="I2573" s="17" t="n">
        <v>0</v>
      </c>
      <c r="J2573" s="18" t="n">
        <v>54.34</v>
      </c>
      <c r="K2573" s="19" t="n">
        <v>21.41</v>
      </c>
      <c r="L2573" s="15" t="n">
        <f aca="false">YEAR(B2573)</f>
        <v>2024</v>
      </c>
      <c r="M2573" s="20" t="n">
        <f aca="false">IF(J2573&gt;0,K2573/J2573,0)</f>
        <v>0.394000736105999</v>
      </c>
    </row>
    <row r="2574" customFormat="false" ht="15" hidden="false" customHeight="false" outlineLevel="0" collapsed="false">
      <c r="A2574" s="15" t="s">
        <v>2631</v>
      </c>
      <c r="B2574" s="16" t="n">
        <v>44692</v>
      </c>
      <c r="C2574" s="15" t="s">
        <v>56</v>
      </c>
      <c r="D2574" s="15" t="s">
        <v>44</v>
      </c>
      <c r="E2574" s="15" t="s">
        <v>39</v>
      </c>
      <c r="F2574" s="15" t="s">
        <v>18</v>
      </c>
      <c r="G2574" s="15" t="s">
        <v>30</v>
      </c>
      <c r="H2574" s="15" t="n">
        <v>1</v>
      </c>
      <c r="I2574" s="17" t="n">
        <v>0</v>
      </c>
      <c r="J2574" s="18" t="n">
        <v>63.1</v>
      </c>
      <c r="K2574" s="19" t="n">
        <v>16.62</v>
      </c>
      <c r="L2574" s="15" t="n">
        <f aca="false">YEAR(B2574)</f>
        <v>2022</v>
      </c>
      <c r="M2574" s="20" t="n">
        <f aca="false">IF(J2574&gt;0,K2574/J2574,0)</f>
        <v>0.263391442155309</v>
      </c>
    </row>
    <row r="2575" customFormat="false" ht="15" hidden="false" customHeight="false" outlineLevel="0" collapsed="false">
      <c r="A2575" s="15" t="s">
        <v>2632</v>
      </c>
      <c r="B2575" s="16" t="n">
        <v>45914</v>
      </c>
      <c r="C2575" s="15" t="s">
        <v>56</v>
      </c>
      <c r="D2575" s="15" t="s">
        <v>43</v>
      </c>
      <c r="E2575" s="15" t="s">
        <v>37</v>
      </c>
      <c r="F2575" s="15" t="s">
        <v>17</v>
      </c>
      <c r="G2575" s="15" t="s">
        <v>29</v>
      </c>
      <c r="H2575" s="15" t="n">
        <v>4</v>
      </c>
      <c r="I2575" s="17" t="n">
        <v>0</v>
      </c>
      <c r="J2575" s="18" t="n">
        <v>79.02</v>
      </c>
      <c r="K2575" s="19" t="n">
        <v>28.16</v>
      </c>
      <c r="L2575" s="15" t="n">
        <f aca="false">YEAR(B2575)</f>
        <v>2025</v>
      </c>
      <c r="M2575" s="20" t="n">
        <f aca="false">IF(J2575&gt;0,K2575/J2575,0)</f>
        <v>0.356365477094407</v>
      </c>
    </row>
    <row r="2576" customFormat="false" ht="15" hidden="false" customHeight="false" outlineLevel="0" collapsed="false">
      <c r="A2576" s="15" t="s">
        <v>2633</v>
      </c>
      <c r="B2576" s="16" t="n">
        <v>45325</v>
      </c>
      <c r="C2576" s="15" t="s">
        <v>71</v>
      </c>
      <c r="D2576" s="15" t="s">
        <v>42</v>
      </c>
      <c r="E2576" s="15" t="s">
        <v>36</v>
      </c>
      <c r="F2576" s="15" t="s">
        <v>18</v>
      </c>
      <c r="G2576" s="15" t="s">
        <v>32</v>
      </c>
      <c r="H2576" s="15" t="n">
        <v>9</v>
      </c>
      <c r="I2576" s="17" t="n">
        <v>0.2</v>
      </c>
      <c r="J2576" s="18" t="n">
        <v>3066.8</v>
      </c>
      <c r="K2576" s="19" t="n">
        <v>193.57</v>
      </c>
      <c r="L2576" s="15" t="n">
        <f aca="false">YEAR(B2576)</f>
        <v>2024</v>
      </c>
      <c r="M2576" s="20" t="n">
        <f aca="false">IF(J2576&gt;0,K2576/J2576,0)</f>
        <v>0.0631179079170471</v>
      </c>
    </row>
    <row r="2577" customFormat="false" ht="15" hidden="false" customHeight="false" outlineLevel="0" collapsed="false">
      <c r="A2577" s="15" t="s">
        <v>2634</v>
      </c>
      <c r="B2577" s="16" t="n">
        <v>45204</v>
      </c>
      <c r="C2577" s="15" t="s">
        <v>56</v>
      </c>
      <c r="D2577" s="15" t="s">
        <v>42</v>
      </c>
      <c r="E2577" s="15" t="s">
        <v>39</v>
      </c>
      <c r="F2577" s="15" t="s">
        <v>16</v>
      </c>
      <c r="G2577" s="15" t="s">
        <v>23</v>
      </c>
      <c r="H2577" s="15" t="n">
        <v>3</v>
      </c>
      <c r="I2577" s="17" t="n">
        <v>0.5</v>
      </c>
      <c r="J2577" s="18" t="n">
        <v>374.57</v>
      </c>
      <c r="K2577" s="19" t="n">
        <v>-149.19</v>
      </c>
      <c r="L2577" s="15" t="n">
        <f aca="false">YEAR(B2577)</f>
        <v>2023</v>
      </c>
      <c r="M2577" s="20" t="n">
        <f aca="false">IF(J2577&gt;0,K2577/J2577,0)</f>
        <v>-0.398296713564888</v>
      </c>
    </row>
    <row r="2578" customFormat="false" ht="15" hidden="false" customHeight="false" outlineLevel="0" collapsed="false">
      <c r="A2578" s="15" t="s">
        <v>2635</v>
      </c>
      <c r="B2578" s="16" t="n">
        <v>44625</v>
      </c>
      <c r="C2578" s="15" t="s">
        <v>56</v>
      </c>
      <c r="D2578" s="15" t="s">
        <v>42</v>
      </c>
      <c r="E2578" s="15" t="s">
        <v>36</v>
      </c>
      <c r="F2578" s="15" t="s">
        <v>17</v>
      </c>
      <c r="G2578" s="15" t="s">
        <v>31</v>
      </c>
      <c r="H2578" s="15" t="n">
        <v>5</v>
      </c>
      <c r="I2578" s="17" t="n">
        <v>0</v>
      </c>
      <c r="J2578" s="18" t="n">
        <v>679.94</v>
      </c>
      <c r="K2578" s="19" t="n">
        <v>70.3</v>
      </c>
      <c r="L2578" s="15" t="n">
        <f aca="false">YEAR(B2578)</f>
        <v>2022</v>
      </c>
      <c r="M2578" s="20" t="n">
        <f aca="false">IF(J2578&gt;0,K2578/J2578,0)</f>
        <v>0.103391475718446</v>
      </c>
    </row>
    <row r="2579" customFormat="false" ht="15" hidden="false" customHeight="false" outlineLevel="0" collapsed="false">
      <c r="A2579" s="15" t="s">
        <v>2636</v>
      </c>
      <c r="B2579" s="16" t="n">
        <v>45951</v>
      </c>
      <c r="C2579" s="15" t="s">
        <v>71</v>
      </c>
      <c r="D2579" s="15" t="s">
        <v>42</v>
      </c>
      <c r="E2579" s="15" t="s">
        <v>37</v>
      </c>
      <c r="F2579" s="15" t="s">
        <v>16</v>
      </c>
      <c r="G2579" s="15" t="s">
        <v>27</v>
      </c>
      <c r="H2579" s="15" t="n">
        <v>4</v>
      </c>
      <c r="I2579" s="17" t="n">
        <v>0.1</v>
      </c>
      <c r="J2579" s="18" t="n">
        <v>250.6</v>
      </c>
      <c r="K2579" s="19" t="n">
        <v>41.58</v>
      </c>
      <c r="L2579" s="15" t="n">
        <f aca="false">YEAR(B2579)</f>
        <v>2025</v>
      </c>
      <c r="M2579" s="20" t="n">
        <f aca="false">IF(J2579&gt;0,K2579/J2579,0)</f>
        <v>0.165921787709497</v>
      </c>
    </row>
    <row r="2580" customFormat="false" ht="15" hidden="false" customHeight="false" outlineLevel="0" collapsed="false">
      <c r="A2580" s="15" t="s">
        <v>2637</v>
      </c>
      <c r="B2580" s="16" t="n">
        <v>45660</v>
      </c>
      <c r="C2580" s="15" t="s">
        <v>71</v>
      </c>
      <c r="D2580" s="15" t="s">
        <v>44</v>
      </c>
      <c r="E2580" s="15" t="s">
        <v>39</v>
      </c>
      <c r="F2580" s="15" t="s">
        <v>18</v>
      </c>
      <c r="G2580" s="15" t="s">
        <v>30</v>
      </c>
      <c r="H2580" s="15" t="n">
        <v>4</v>
      </c>
      <c r="I2580" s="17" t="n">
        <v>0</v>
      </c>
      <c r="J2580" s="18" t="n">
        <v>199.45</v>
      </c>
      <c r="K2580" s="19" t="n">
        <v>55.75</v>
      </c>
      <c r="L2580" s="15" t="n">
        <f aca="false">YEAR(B2580)</f>
        <v>2025</v>
      </c>
      <c r="M2580" s="20" t="n">
        <f aca="false">IF(J2580&gt;0,K2580/J2580,0)</f>
        <v>0.27951867635999</v>
      </c>
    </row>
    <row r="2581" customFormat="false" ht="15" hidden="false" customHeight="false" outlineLevel="0" collapsed="false">
      <c r="A2581" s="15" t="s">
        <v>2638</v>
      </c>
      <c r="B2581" s="16" t="n">
        <v>45263</v>
      </c>
      <c r="C2581" s="15" t="s">
        <v>58</v>
      </c>
      <c r="D2581" s="15" t="s">
        <v>42</v>
      </c>
      <c r="E2581" s="15" t="s">
        <v>36</v>
      </c>
      <c r="F2581" s="15" t="s">
        <v>16</v>
      </c>
      <c r="G2581" s="15" t="s">
        <v>27</v>
      </c>
      <c r="H2581" s="15" t="n">
        <v>3</v>
      </c>
      <c r="I2581" s="17" t="n">
        <v>0.3</v>
      </c>
      <c r="J2581" s="18" t="n">
        <v>126.29</v>
      </c>
      <c r="K2581" s="19" t="n">
        <v>-8.16</v>
      </c>
      <c r="L2581" s="15" t="n">
        <f aca="false">YEAR(B2581)</f>
        <v>2023</v>
      </c>
      <c r="M2581" s="20" t="n">
        <f aca="false">IF(J2581&gt;0,K2581/J2581,0)</f>
        <v>-0.0646131918600048</v>
      </c>
    </row>
    <row r="2582" customFormat="false" ht="15" hidden="false" customHeight="false" outlineLevel="0" collapsed="false">
      <c r="A2582" s="15" t="s">
        <v>2639</v>
      </c>
      <c r="B2582" s="16" t="n">
        <v>45088</v>
      </c>
      <c r="C2582" s="15" t="s">
        <v>56</v>
      </c>
      <c r="D2582" s="15" t="s">
        <v>43</v>
      </c>
      <c r="E2582" s="15" t="s">
        <v>36</v>
      </c>
      <c r="F2582" s="15" t="s">
        <v>16</v>
      </c>
      <c r="G2582" s="15" t="s">
        <v>23</v>
      </c>
      <c r="H2582" s="15" t="n">
        <v>3</v>
      </c>
      <c r="I2582" s="17" t="n">
        <v>0</v>
      </c>
      <c r="J2582" s="18" t="n">
        <v>1135.29</v>
      </c>
      <c r="K2582" s="19" t="n">
        <v>-62.47</v>
      </c>
      <c r="L2582" s="15" t="n">
        <f aca="false">YEAR(B2582)</f>
        <v>2023</v>
      </c>
      <c r="M2582" s="20" t="n">
        <f aca="false">IF(J2582&gt;0,K2582/J2582,0)</f>
        <v>-0.0550255881757084</v>
      </c>
    </row>
    <row r="2583" customFormat="false" ht="15" hidden="false" customHeight="false" outlineLevel="0" collapsed="false">
      <c r="A2583" s="15" t="s">
        <v>2640</v>
      </c>
      <c r="B2583" s="16" t="n">
        <v>45137</v>
      </c>
      <c r="C2583" s="15" t="s">
        <v>56</v>
      </c>
      <c r="D2583" s="15" t="s">
        <v>42</v>
      </c>
      <c r="E2583" s="15" t="s">
        <v>37</v>
      </c>
      <c r="F2583" s="15" t="s">
        <v>18</v>
      </c>
      <c r="G2583" s="15" t="s">
        <v>32</v>
      </c>
      <c r="H2583" s="15" t="n">
        <v>6</v>
      </c>
      <c r="I2583" s="17" t="n">
        <v>0.2</v>
      </c>
      <c r="J2583" s="18" t="n">
        <v>2106.44</v>
      </c>
      <c r="K2583" s="19" t="n">
        <v>-40.81</v>
      </c>
      <c r="L2583" s="15" t="n">
        <f aca="false">YEAR(B2583)</f>
        <v>2023</v>
      </c>
      <c r="M2583" s="20" t="n">
        <f aca="false">IF(J2583&gt;0,K2583/J2583,0)</f>
        <v>-0.0193739199787319</v>
      </c>
    </row>
    <row r="2584" customFormat="false" ht="15" hidden="false" customHeight="false" outlineLevel="0" collapsed="false">
      <c r="A2584" s="15" t="s">
        <v>2641</v>
      </c>
      <c r="B2584" s="16" t="n">
        <v>45102</v>
      </c>
      <c r="C2584" s="15" t="s">
        <v>56</v>
      </c>
      <c r="D2584" s="15" t="s">
        <v>42</v>
      </c>
      <c r="E2584" s="15" t="s">
        <v>37</v>
      </c>
      <c r="F2584" s="15" t="s">
        <v>16</v>
      </c>
      <c r="G2584" s="15" t="s">
        <v>22</v>
      </c>
      <c r="H2584" s="15" t="n">
        <v>2</v>
      </c>
      <c r="I2584" s="17" t="n">
        <v>0.1</v>
      </c>
      <c r="J2584" s="18" t="n">
        <v>917.82</v>
      </c>
      <c r="K2584" s="19" t="n">
        <v>-116.49</v>
      </c>
      <c r="L2584" s="15" t="n">
        <f aca="false">YEAR(B2584)</f>
        <v>2023</v>
      </c>
      <c r="M2584" s="20" t="n">
        <f aca="false">IF(J2584&gt;0,K2584/J2584,0)</f>
        <v>-0.126920311172125</v>
      </c>
    </row>
    <row r="2585" customFormat="false" ht="15" hidden="false" customHeight="false" outlineLevel="0" collapsed="false">
      <c r="A2585" s="15" t="s">
        <v>2642</v>
      </c>
      <c r="B2585" s="16" t="n">
        <v>45967</v>
      </c>
      <c r="C2585" s="15" t="s">
        <v>56</v>
      </c>
      <c r="D2585" s="15" t="s">
        <v>43</v>
      </c>
      <c r="E2585" s="15" t="s">
        <v>39</v>
      </c>
      <c r="F2585" s="15" t="s">
        <v>17</v>
      </c>
      <c r="G2585" s="15" t="s">
        <v>26</v>
      </c>
      <c r="H2585" s="15" t="n">
        <v>6</v>
      </c>
      <c r="I2585" s="17" t="n">
        <v>0</v>
      </c>
      <c r="J2585" s="18" t="n">
        <v>646.8</v>
      </c>
      <c r="K2585" s="19" t="n">
        <v>72.23</v>
      </c>
      <c r="L2585" s="15" t="n">
        <f aca="false">YEAR(B2585)</f>
        <v>2025</v>
      </c>
      <c r="M2585" s="20" t="n">
        <f aca="false">IF(J2585&gt;0,K2585/J2585,0)</f>
        <v>0.111672850958565</v>
      </c>
    </row>
    <row r="2586" customFormat="false" ht="15" hidden="false" customHeight="false" outlineLevel="0" collapsed="false">
      <c r="A2586" s="15" t="s">
        <v>2643</v>
      </c>
      <c r="B2586" s="16" t="n">
        <v>45474</v>
      </c>
      <c r="C2586" s="15" t="s">
        <v>71</v>
      </c>
      <c r="D2586" s="15" t="s">
        <v>43</v>
      </c>
      <c r="E2586" s="15" t="s">
        <v>36</v>
      </c>
      <c r="F2586" s="15" t="s">
        <v>17</v>
      </c>
      <c r="G2586" s="15" t="s">
        <v>29</v>
      </c>
      <c r="H2586" s="15" t="n">
        <v>4</v>
      </c>
      <c r="I2586" s="17" t="n">
        <v>0.2</v>
      </c>
      <c r="J2586" s="18" t="n">
        <v>56.39</v>
      </c>
      <c r="K2586" s="19" t="n">
        <v>8.71</v>
      </c>
      <c r="L2586" s="15" t="n">
        <f aca="false">YEAR(B2586)</f>
        <v>2024</v>
      </c>
      <c r="M2586" s="20" t="n">
        <f aca="false">IF(J2586&gt;0,K2586/J2586,0)</f>
        <v>0.154460010640184</v>
      </c>
    </row>
    <row r="2587" customFormat="false" ht="15" hidden="false" customHeight="false" outlineLevel="0" collapsed="false">
      <c r="A2587" s="15" t="s">
        <v>2644</v>
      </c>
      <c r="B2587" s="16" t="n">
        <v>45305</v>
      </c>
      <c r="C2587" s="15" t="s">
        <v>71</v>
      </c>
      <c r="D2587" s="15" t="s">
        <v>42</v>
      </c>
      <c r="E2587" s="15" t="s">
        <v>38</v>
      </c>
      <c r="F2587" s="15" t="s">
        <v>18</v>
      </c>
      <c r="G2587" s="15" t="s">
        <v>32</v>
      </c>
      <c r="H2587" s="15" t="n">
        <v>3</v>
      </c>
      <c r="I2587" s="17" t="n">
        <v>0.05</v>
      </c>
      <c r="J2587" s="18" t="n">
        <v>1246.5</v>
      </c>
      <c r="K2587" s="19" t="n">
        <v>232.68</v>
      </c>
      <c r="L2587" s="15" t="n">
        <f aca="false">YEAR(B2587)</f>
        <v>2024</v>
      </c>
      <c r="M2587" s="20" t="n">
        <f aca="false">IF(J2587&gt;0,K2587/J2587,0)</f>
        <v>0.186666666666667</v>
      </c>
    </row>
    <row r="2588" customFormat="false" ht="15" hidden="false" customHeight="false" outlineLevel="0" collapsed="false">
      <c r="A2588" s="15" t="s">
        <v>2645</v>
      </c>
      <c r="B2588" s="16" t="n">
        <v>45581</v>
      </c>
      <c r="C2588" s="15" t="s">
        <v>71</v>
      </c>
      <c r="D2588" s="15" t="s">
        <v>42</v>
      </c>
      <c r="E2588" s="15" t="s">
        <v>36</v>
      </c>
      <c r="F2588" s="15" t="s">
        <v>17</v>
      </c>
      <c r="G2588" s="15" t="s">
        <v>26</v>
      </c>
      <c r="H2588" s="15" t="n">
        <v>2</v>
      </c>
      <c r="I2588" s="17" t="n">
        <v>0.1</v>
      </c>
      <c r="J2588" s="18" t="n">
        <v>134.28</v>
      </c>
      <c r="K2588" s="19" t="n">
        <v>13.41</v>
      </c>
      <c r="L2588" s="15" t="n">
        <f aca="false">YEAR(B2588)</f>
        <v>2024</v>
      </c>
      <c r="M2588" s="20" t="n">
        <f aca="false">IF(J2588&gt;0,K2588/J2588,0)</f>
        <v>0.0998659517426273</v>
      </c>
    </row>
    <row r="2589" customFormat="false" ht="15" hidden="false" customHeight="false" outlineLevel="0" collapsed="false">
      <c r="A2589" s="15" t="s">
        <v>2646</v>
      </c>
      <c r="B2589" s="16" t="n">
        <v>45545</v>
      </c>
      <c r="C2589" s="15" t="s">
        <v>71</v>
      </c>
      <c r="D2589" s="15" t="s">
        <v>42</v>
      </c>
      <c r="E2589" s="15" t="s">
        <v>37</v>
      </c>
      <c r="F2589" s="15" t="s">
        <v>17</v>
      </c>
      <c r="G2589" s="15" t="s">
        <v>29</v>
      </c>
      <c r="H2589" s="15" t="n">
        <v>1</v>
      </c>
      <c r="I2589" s="17" t="n">
        <v>0</v>
      </c>
      <c r="J2589" s="18" t="n">
        <v>15.81</v>
      </c>
      <c r="K2589" s="19" t="n">
        <v>5</v>
      </c>
      <c r="L2589" s="15" t="n">
        <f aca="false">YEAR(B2589)</f>
        <v>2024</v>
      </c>
      <c r="M2589" s="20" t="n">
        <f aca="false">IF(J2589&gt;0,K2589/J2589,0)</f>
        <v>0.316255534471853</v>
      </c>
    </row>
    <row r="2590" customFormat="false" ht="15" hidden="false" customHeight="false" outlineLevel="0" collapsed="false">
      <c r="A2590" s="15" t="s">
        <v>2647</v>
      </c>
      <c r="B2590" s="16" t="n">
        <v>45043</v>
      </c>
      <c r="C2590" s="15" t="s">
        <v>56</v>
      </c>
      <c r="D2590" s="15" t="s">
        <v>44</v>
      </c>
      <c r="E2590" s="15" t="s">
        <v>38</v>
      </c>
      <c r="F2590" s="15" t="s">
        <v>16</v>
      </c>
      <c r="G2590" s="15" t="s">
        <v>27</v>
      </c>
      <c r="H2590" s="15" t="n">
        <v>1</v>
      </c>
      <c r="I2590" s="17" t="n">
        <v>0.05</v>
      </c>
      <c r="J2590" s="18" t="n">
        <v>43.06</v>
      </c>
      <c r="K2590" s="19" t="n">
        <v>9.26</v>
      </c>
      <c r="L2590" s="15" t="n">
        <f aca="false">YEAR(B2590)</f>
        <v>2023</v>
      </c>
      <c r="M2590" s="20" t="n">
        <f aca="false">IF(J2590&gt;0,K2590/J2590,0)</f>
        <v>0.215048769159313</v>
      </c>
    </row>
    <row r="2591" customFormat="false" ht="15" hidden="false" customHeight="false" outlineLevel="0" collapsed="false">
      <c r="A2591" s="15" t="s">
        <v>2648</v>
      </c>
      <c r="B2591" s="16" t="n">
        <v>45667</v>
      </c>
      <c r="C2591" s="15" t="s">
        <v>56</v>
      </c>
      <c r="D2591" s="15" t="s">
        <v>44</v>
      </c>
      <c r="E2591" s="15" t="s">
        <v>36</v>
      </c>
      <c r="F2591" s="15" t="s">
        <v>18</v>
      </c>
      <c r="G2591" s="15" t="s">
        <v>32</v>
      </c>
      <c r="H2591" s="15" t="n">
        <v>2</v>
      </c>
      <c r="I2591" s="17" t="n">
        <v>0</v>
      </c>
      <c r="J2591" s="18" t="n">
        <v>817.64</v>
      </c>
      <c r="K2591" s="19" t="n">
        <v>209.76</v>
      </c>
      <c r="L2591" s="15" t="n">
        <f aca="false">YEAR(B2591)</f>
        <v>2025</v>
      </c>
      <c r="M2591" s="20" t="n">
        <f aca="false">IF(J2591&gt;0,K2591/J2591,0)</f>
        <v>0.256543221955873</v>
      </c>
    </row>
    <row r="2592" customFormat="false" ht="15" hidden="false" customHeight="false" outlineLevel="0" collapsed="false">
      <c r="A2592" s="15" t="s">
        <v>2649</v>
      </c>
      <c r="B2592" s="16" t="n">
        <v>45630</v>
      </c>
      <c r="C2592" s="15" t="s">
        <v>71</v>
      </c>
      <c r="D2592" s="15" t="s">
        <v>42</v>
      </c>
      <c r="E2592" s="15" t="s">
        <v>39</v>
      </c>
      <c r="F2592" s="15" t="s">
        <v>17</v>
      </c>
      <c r="G2592" s="15" t="s">
        <v>28</v>
      </c>
      <c r="H2592" s="15" t="n">
        <v>3</v>
      </c>
      <c r="I2592" s="17" t="n">
        <v>0</v>
      </c>
      <c r="J2592" s="18" t="n">
        <v>73.82</v>
      </c>
      <c r="K2592" s="19" t="n">
        <v>23.35</v>
      </c>
      <c r="L2592" s="15" t="n">
        <f aca="false">YEAR(B2592)</f>
        <v>2024</v>
      </c>
      <c r="M2592" s="20" t="n">
        <f aca="false">IF(J2592&gt;0,K2592/J2592,0)</f>
        <v>0.31630994310485</v>
      </c>
    </row>
    <row r="2593" customFormat="false" ht="15" hidden="false" customHeight="false" outlineLevel="0" collapsed="false">
      <c r="A2593" s="15" t="s">
        <v>2650</v>
      </c>
      <c r="B2593" s="16" t="n">
        <v>44959</v>
      </c>
      <c r="C2593" s="15" t="s">
        <v>56</v>
      </c>
      <c r="D2593" s="15" t="s">
        <v>42</v>
      </c>
      <c r="E2593" s="15" t="s">
        <v>37</v>
      </c>
      <c r="F2593" s="15" t="s">
        <v>18</v>
      </c>
      <c r="G2593" s="15" t="s">
        <v>30</v>
      </c>
      <c r="H2593" s="15" t="n">
        <v>5</v>
      </c>
      <c r="I2593" s="17" t="n">
        <v>0</v>
      </c>
      <c r="J2593" s="18" t="n">
        <v>194.6</v>
      </c>
      <c r="K2593" s="19" t="n">
        <v>49.27</v>
      </c>
      <c r="L2593" s="15" t="n">
        <f aca="false">YEAR(B2593)</f>
        <v>2023</v>
      </c>
      <c r="M2593" s="20" t="n">
        <f aca="false">IF(J2593&gt;0,K2593/J2593,0)</f>
        <v>0.253186022610483</v>
      </c>
    </row>
    <row r="2594" customFormat="false" ht="15" hidden="false" customHeight="false" outlineLevel="0" collapsed="false">
      <c r="A2594" s="15" t="s">
        <v>2651</v>
      </c>
      <c r="B2594" s="16" t="n">
        <v>45726</v>
      </c>
      <c r="C2594" s="15" t="s">
        <v>68</v>
      </c>
      <c r="D2594" s="15" t="s">
        <v>42</v>
      </c>
      <c r="E2594" s="15" t="s">
        <v>38</v>
      </c>
      <c r="F2594" s="15" t="s">
        <v>16</v>
      </c>
      <c r="G2594" s="15" t="s">
        <v>27</v>
      </c>
      <c r="H2594" s="15" t="n">
        <v>6</v>
      </c>
      <c r="I2594" s="17" t="n">
        <v>0</v>
      </c>
      <c r="J2594" s="18" t="n">
        <v>330.58</v>
      </c>
      <c r="K2594" s="19" t="n">
        <v>59.66</v>
      </c>
      <c r="L2594" s="15" t="n">
        <f aca="false">YEAR(B2594)</f>
        <v>2025</v>
      </c>
      <c r="M2594" s="20" t="n">
        <f aca="false">IF(J2594&gt;0,K2594/J2594,0)</f>
        <v>0.180470687881905</v>
      </c>
    </row>
    <row r="2595" customFormat="false" ht="15" hidden="false" customHeight="false" outlineLevel="0" collapsed="false">
      <c r="A2595" s="15" t="s">
        <v>2652</v>
      </c>
      <c r="B2595" s="16" t="n">
        <v>44888</v>
      </c>
      <c r="C2595" s="15" t="s">
        <v>71</v>
      </c>
      <c r="D2595" s="15" t="s">
        <v>42</v>
      </c>
      <c r="E2595" s="15" t="s">
        <v>39</v>
      </c>
      <c r="F2595" s="15" t="s">
        <v>17</v>
      </c>
      <c r="G2595" s="15" t="s">
        <v>29</v>
      </c>
      <c r="H2595" s="15" t="n">
        <v>5</v>
      </c>
      <c r="I2595" s="17" t="n">
        <v>0</v>
      </c>
      <c r="J2595" s="18" t="n">
        <v>97.91</v>
      </c>
      <c r="K2595" s="19" t="n">
        <v>35.38</v>
      </c>
      <c r="L2595" s="15" t="n">
        <f aca="false">YEAR(B2595)</f>
        <v>2022</v>
      </c>
      <c r="M2595" s="20" t="n">
        <f aca="false">IF(J2595&gt;0,K2595/J2595,0)</f>
        <v>0.361352262281687</v>
      </c>
    </row>
    <row r="2596" customFormat="false" ht="15" hidden="false" customHeight="false" outlineLevel="0" collapsed="false">
      <c r="A2596" s="15" t="s">
        <v>2653</v>
      </c>
      <c r="B2596" s="16" t="n">
        <v>45941</v>
      </c>
      <c r="C2596" s="15" t="s">
        <v>56</v>
      </c>
      <c r="D2596" s="15" t="s">
        <v>42</v>
      </c>
      <c r="E2596" s="15" t="s">
        <v>37</v>
      </c>
      <c r="F2596" s="15" t="s">
        <v>17</v>
      </c>
      <c r="G2596" s="15" t="s">
        <v>31</v>
      </c>
      <c r="H2596" s="15" t="n">
        <v>2</v>
      </c>
      <c r="I2596" s="17" t="n">
        <v>0.1</v>
      </c>
      <c r="J2596" s="18" t="n">
        <v>258.12</v>
      </c>
      <c r="K2596" s="19" t="n">
        <v>43.12</v>
      </c>
      <c r="L2596" s="15" t="n">
        <f aca="false">YEAR(B2596)</f>
        <v>2025</v>
      </c>
      <c r="M2596" s="20" t="n">
        <f aca="false">IF(J2596&gt;0,K2596/J2596,0)</f>
        <v>0.167054083372075</v>
      </c>
    </row>
    <row r="2597" customFormat="false" ht="15" hidden="false" customHeight="false" outlineLevel="0" collapsed="false">
      <c r="A2597" s="15" t="s">
        <v>2654</v>
      </c>
      <c r="B2597" s="16" t="n">
        <v>45171</v>
      </c>
      <c r="C2597" s="15" t="s">
        <v>58</v>
      </c>
      <c r="D2597" s="15" t="s">
        <v>42</v>
      </c>
      <c r="E2597" s="15" t="s">
        <v>38</v>
      </c>
      <c r="F2597" s="15" t="s">
        <v>17</v>
      </c>
      <c r="G2597" s="15" t="s">
        <v>26</v>
      </c>
      <c r="H2597" s="15" t="n">
        <v>4</v>
      </c>
      <c r="I2597" s="17" t="n">
        <v>0.05</v>
      </c>
      <c r="J2597" s="18" t="n">
        <v>306.58</v>
      </c>
      <c r="K2597" s="19" t="n">
        <v>22.87</v>
      </c>
      <c r="L2597" s="15" t="n">
        <f aca="false">YEAR(B2597)</f>
        <v>2023</v>
      </c>
      <c r="M2597" s="20" t="n">
        <f aca="false">IF(J2597&gt;0,K2597/J2597,0)</f>
        <v>0.0745971687650858</v>
      </c>
    </row>
    <row r="2598" customFormat="false" ht="15" hidden="false" customHeight="false" outlineLevel="0" collapsed="false">
      <c r="A2598" s="15" t="s">
        <v>2655</v>
      </c>
      <c r="B2598" s="16" t="n">
        <v>45316</v>
      </c>
      <c r="C2598" s="15" t="s">
        <v>68</v>
      </c>
      <c r="D2598" s="15" t="s">
        <v>43</v>
      </c>
      <c r="E2598" s="15" t="s">
        <v>39</v>
      </c>
      <c r="F2598" s="15" t="s">
        <v>18</v>
      </c>
      <c r="G2598" s="15" t="s">
        <v>32</v>
      </c>
      <c r="H2598" s="15" t="n">
        <v>4</v>
      </c>
      <c r="I2598" s="17" t="n">
        <v>0.3</v>
      </c>
      <c r="J2598" s="18" t="n">
        <v>1396.94</v>
      </c>
      <c r="K2598" s="19" t="n">
        <v>-190.83</v>
      </c>
      <c r="L2598" s="15" t="n">
        <f aca="false">YEAR(B2598)</f>
        <v>2024</v>
      </c>
      <c r="M2598" s="20" t="n">
        <f aca="false">IF(J2598&gt;0,K2598/J2598,0)</f>
        <v>-0.136605723939468</v>
      </c>
    </row>
    <row r="2599" customFormat="false" ht="15" hidden="false" customHeight="false" outlineLevel="0" collapsed="false">
      <c r="A2599" s="15" t="s">
        <v>2656</v>
      </c>
      <c r="B2599" s="16" t="n">
        <v>45879</v>
      </c>
      <c r="C2599" s="15" t="s">
        <v>56</v>
      </c>
      <c r="D2599" s="15" t="s">
        <v>42</v>
      </c>
      <c r="E2599" s="15" t="s">
        <v>37</v>
      </c>
      <c r="F2599" s="15" t="s">
        <v>17</v>
      </c>
      <c r="G2599" s="15" t="s">
        <v>28</v>
      </c>
      <c r="H2599" s="15" t="n">
        <v>2</v>
      </c>
      <c r="I2599" s="17" t="n">
        <v>0</v>
      </c>
      <c r="J2599" s="18" t="n">
        <v>57.07</v>
      </c>
      <c r="K2599" s="19" t="n">
        <v>20.91</v>
      </c>
      <c r="L2599" s="15" t="n">
        <f aca="false">YEAR(B2599)</f>
        <v>2025</v>
      </c>
      <c r="M2599" s="20" t="n">
        <f aca="false">IF(J2599&gt;0,K2599/J2599,0)</f>
        <v>0.366392149991239</v>
      </c>
    </row>
    <row r="2600" customFormat="false" ht="15" hidden="false" customHeight="false" outlineLevel="0" collapsed="false">
      <c r="A2600" s="15" t="s">
        <v>2657</v>
      </c>
      <c r="B2600" s="16" t="n">
        <v>45739</v>
      </c>
      <c r="C2600" s="15" t="s">
        <v>56</v>
      </c>
      <c r="D2600" s="15" t="s">
        <v>44</v>
      </c>
      <c r="E2600" s="15" t="s">
        <v>39</v>
      </c>
      <c r="F2600" s="15" t="s">
        <v>17</v>
      </c>
      <c r="G2600" s="15" t="s">
        <v>29</v>
      </c>
      <c r="H2600" s="15" t="n">
        <v>1</v>
      </c>
      <c r="I2600" s="17" t="n">
        <v>0.2</v>
      </c>
      <c r="J2600" s="18" t="n">
        <v>16.11</v>
      </c>
      <c r="K2600" s="19" t="n">
        <v>2</v>
      </c>
      <c r="L2600" s="15" t="n">
        <f aca="false">YEAR(B2600)</f>
        <v>2025</v>
      </c>
      <c r="M2600" s="20" t="n">
        <f aca="false">IF(J2600&gt;0,K2600/J2600,0)</f>
        <v>0.124146492861577</v>
      </c>
    </row>
    <row r="2601" customFormat="false" ht="15" hidden="false" customHeight="false" outlineLevel="0" collapsed="false">
      <c r="A2601" s="15" t="s">
        <v>2658</v>
      </c>
      <c r="B2601" s="16" t="n">
        <v>44905</v>
      </c>
      <c r="C2601" s="15" t="s">
        <v>71</v>
      </c>
      <c r="D2601" s="15" t="s">
        <v>42</v>
      </c>
      <c r="E2601" s="15" t="s">
        <v>37</v>
      </c>
      <c r="F2601" s="15" t="s">
        <v>17</v>
      </c>
      <c r="G2601" s="15" t="s">
        <v>29</v>
      </c>
      <c r="H2601" s="15" t="n">
        <v>2</v>
      </c>
      <c r="I2601" s="17" t="n">
        <v>0.2</v>
      </c>
      <c r="J2601" s="18" t="n">
        <v>30.97</v>
      </c>
      <c r="K2601" s="19" t="n">
        <v>4.86</v>
      </c>
      <c r="L2601" s="15" t="n">
        <f aca="false">YEAR(B2601)</f>
        <v>2022</v>
      </c>
      <c r="M2601" s="20" t="n">
        <f aca="false">IF(J2601&gt;0,K2601/J2601,0)</f>
        <v>0.156926057474976</v>
      </c>
    </row>
    <row r="2602" customFormat="false" ht="15" hidden="false" customHeight="false" outlineLevel="0" collapsed="false">
      <c r="A2602" s="15" t="s">
        <v>2659</v>
      </c>
      <c r="B2602" s="16" t="n">
        <v>45632</v>
      </c>
      <c r="C2602" s="15" t="s">
        <v>58</v>
      </c>
      <c r="D2602" s="15" t="s">
        <v>44</v>
      </c>
      <c r="E2602" s="15" t="s">
        <v>37</v>
      </c>
      <c r="F2602" s="15" t="s">
        <v>16</v>
      </c>
      <c r="G2602" s="15" t="s">
        <v>23</v>
      </c>
      <c r="H2602" s="15" t="n">
        <v>4</v>
      </c>
      <c r="I2602" s="17" t="n">
        <v>0.2</v>
      </c>
      <c r="J2602" s="18" t="n">
        <v>1146.08</v>
      </c>
      <c r="K2602" s="19" t="n">
        <v>-252.64</v>
      </c>
      <c r="L2602" s="15" t="n">
        <f aca="false">YEAR(B2602)</f>
        <v>2024</v>
      </c>
      <c r="M2602" s="20" t="n">
        <f aca="false">IF(J2602&gt;0,K2602/J2602,0)</f>
        <v>-0.220438363814044</v>
      </c>
    </row>
    <row r="2603" customFormat="false" ht="15" hidden="false" customHeight="false" outlineLevel="0" collapsed="false">
      <c r="A2603" s="15" t="s">
        <v>2660</v>
      </c>
      <c r="B2603" s="16" t="n">
        <v>45817</v>
      </c>
      <c r="C2603" s="15" t="s">
        <v>56</v>
      </c>
      <c r="D2603" s="15" t="s">
        <v>42</v>
      </c>
      <c r="E2603" s="15" t="s">
        <v>36</v>
      </c>
      <c r="F2603" s="15" t="s">
        <v>18</v>
      </c>
      <c r="G2603" s="15" t="s">
        <v>33</v>
      </c>
      <c r="H2603" s="15" t="n">
        <v>4</v>
      </c>
      <c r="I2603" s="17" t="n">
        <v>0.1</v>
      </c>
      <c r="J2603" s="18" t="n">
        <v>3186.43</v>
      </c>
      <c r="K2603" s="19" t="n">
        <v>483.72</v>
      </c>
      <c r="L2603" s="15" t="n">
        <f aca="false">YEAR(B2603)</f>
        <v>2025</v>
      </c>
      <c r="M2603" s="20" t="n">
        <f aca="false">IF(J2603&gt;0,K2603/J2603,0)</f>
        <v>0.151806253393296</v>
      </c>
    </row>
    <row r="2604" customFormat="false" ht="15" hidden="false" customHeight="false" outlineLevel="0" collapsed="false">
      <c r="A2604" s="15" t="s">
        <v>2661</v>
      </c>
      <c r="B2604" s="16" t="n">
        <v>44779</v>
      </c>
      <c r="C2604" s="15" t="s">
        <v>56</v>
      </c>
      <c r="D2604" s="15" t="s">
        <v>42</v>
      </c>
      <c r="E2604" s="15" t="s">
        <v>39</v>
      </c>
      <c r="F2604" s="15" t="s">
        <v>18</v>
      </c>
      <c r="G2604" s="15" t="s">
        <v>33</v>
      </c>
      <c r="H2604" s="15" t="n">
        <v>4</v>
      </c>
      <c r="I2604" s="17" t="n">
        <v>0.2</v>
      </c>
      <c r="J2604" s="18" t="n">
        <v>2910.17</v>
      </c>
      <c r="K2604" s="19" t="n">
        <v>309.05</v>
      </c>
      <c r="L2604" s="15" t="n">
        <f aca="false">YEAR(B2604)</f>
        <v>2022</v>
      </c>
      <c r="M2604" s="20" t="n">
        <f aca="false">IF(J2604&gt;0,K2604/J2604,0)</f>
        <v>0.106196545219008</v>
      </c>
    </row>
    <row r="2605" customFormat="false" ht="15" hidden="false" customHeight="false" outlineLevel="0" collapsed="false">
      <c r="A2605" s="15" t="s">
        <v>2662</v>
      </c>
      <c r="B2605" s="16" t="n">
        <v>45594</v>
      </c>
      <c r="C2605" s="15" t="s">
        <v>68</v>
      </c>
      <c r="D2605" s="15" t="s">
        <v>42</v>
      </c>
      <c r="E2605" s="15" t="s">
        <v>36</v>
      </c>
      <c r="F2605" s="15" t="s">
        <v>17</v>
      </c>
      <c r="G2605" s="15" t="s">
        <v>29</v>
      </c>
      <c r="H2605" s="15" t="n">
        <v>2</v>
      </c>
      <c r="I2605" s="17" t="n">
        <v>0</v>
      </c>
      <c r="J2605" s="18" t="n">
        <v>30.72</v>
      </c>
      <c r="K2605" s="19" t="n">
        <v>10.55</v>
      </c>
      <c r="L2605" s="15" t="n">
        <f aca="false">YEAR(B2605)</f>
        <v>2024</v>
      </c>
      <c r="M2605" s="20" t="n">
        <f aca="false">IF(J2605&gt;0,K2605/J2605,0)</f>
        <v>0.343424479166667</v>
      </c>
    </row>
    <row r="2606" customFormat="false" ht="15" hidden="false" customHeight="false" outlineLevel="0" collapsed="false">
      <c r="A2606" s="15" t="s">
        <v>2663</v>
      </c>
      <c r="B2606" s="16" t="n">
        <v>45025</v>
      </c>
      <c r="C2606" s="15" t="s">
        <v>71</v>
      </c>
      <c r="D2606" s="15" t="s">
        <v>43</v>
      </c>
      <c r="E2606" s="15" t="s">
        <v>39</v>
      </c>
      <c r="F2606" s="15" t="s">
        <v>17</v>
      </c>
      <c r="G2606" s="15" t="s">
        <v>29</v>
      </c>
      <c r="H2606" s="15" t="n">
        <v>3</v>
      </c>
      <c r="I2606" s="17" t="n">
        <v>0.15</v>
      </c>
      <c r="J2606" s="18" t="n">
        <v>47.35</v>
      </c>
      <c r="K2606" s="19" t="n">
        <v>15.56</v>
      </c>
      <c r="L2606" s="15" t="n">
        <f aca="false">YEAR(B2606)</f>
        <v>2023</v>
      </c>
      <c r="M2606" s="20" t="n">
        <f aca="false">IF(J2606&gt;0,K2606/J2606,0)</f>
        <v>0.328616684266103</v>
      </c>
    </row>
    <row r="2607" customFormat="false" ht="15" hidden="false" customHeight="false" outlineLevel="0" collapsed="false">
      <c r="A2607" s="15" t="s">
        <v>2664</v>
      </c>
      <c r="B2607" s="16" t="n">
        <v>45535</v>
      </c>
      <c r="C2607" s="15" t="s">
        <v>56</v>
      </c>
      <c r="D2607" s="15" t="s">
        <v>42</v>
      </c>
      <c r="E2607" s="15" t="s">
        <v>38</v>
      </c>
      <c r="F2607" s="15" t="s">
        <v>17</v>
      </c>
      <c r="G2607" s="15" t="s">
        <v>29</v>
      </c>
      <c r="H2607" s="15" t="n">
        <v>6</v>
      </c>
      <c r="I2607" s="17" t="n">
        <v>0.1</v>
      </c>
      <c r="J2607" s="18" t="n">
        <v>92.67</v>
      </c>
      <c r="K2607" s="19" t="n">
        <v>32.27</v>
      </c>
      <c r="L2607" s="15" t="n">
        <f aca="false">YEAR(B2607)</f>
        <v>2024</v>
      </c>
      <c r="M2607" s="20" t="n">
        <f aca="false">IF(J2607&gt;0,K2607/J2607,0)</f>
        <v>0.348224883996979</v>
      </c>
    </row>
    <row r="2608" customFormat="false" ht="15" hidden="false" customHeight="false" outlineLevel="0" collapsed="false">
      <c r="A2608" s="15" t="s">
        <v>2665</v>
      </c>
      <c r="B2608" s="16" t="n">
        <v>44642</v>
      </c>
      <c r="C2608" s="15" t="s">
        <v>56</v>
      </c>
      <c r="D2608" s="15" t="s">
        <v>43</v>
      </c>
      <c r="E2608" s="15" t="s">
        <v>39</v>
      </c>
      <c r="F2608" s="15" t="s">
        <v>18</v>
      </c>
      <c r="G2608" s="15" t="s">
        <v>30</v>
      </c>
      <c r="H2608" s="15" t="n">
        <v>4</v>
      </c>
      <c r="I2608" s="17" t="n">
        <v>0.1</v>
      </c>
      <c r="J2608" s="18" t="n">
        <v>185.5</v>
      </c>
      <c r="K2608" s="19" t="n">
        <v>39.13</v>
      </c>
      <c r="L2608" s="15" t="n">
        <f aca="false">YEAR(B2608)</f>
        <v>2022</v>
      </c>
      <c r="M2608" s="20" t="n">
        <f aca="false">IF(J2608&gt;0,K2608/J2608,0)</f>
        <v>0.210943396226415</v>
      </c>
    </row>
    <row r="2609" customFormat="false" ht="15" hidden="false" customHeight="false" outlineLevel="0" collapsed="false">
      <c r="A2609" s="15" t="s">
        <v>2666</v>
      </c>
      <c r="B2609" s="16" t="n">
        <v>45871</v>
      </c>
      <c r="C2609" s="15" t="s">
        <v>56</v>
      </c>
      <c r="D2609" s="15" t="s">
        <v>44</v>
      </c>
      <c r="E2609" s="15" t="s">
        <v>37</v>
      </c>
      <c r="F2609" s="15" t="s">
        <v>17</v>
      </c>
      <c r="G2609" s="15" t="s">
        <v>29</v>
      </c>
      <c r="H2609" s="15" t="n">
        <v>4</v>
      </c>
      <c r="I2609" s="17" t="n">
        <v>0.4</v>
      </c>
      <c r="J2609" s="18" t="n">
        <v>49.18</v>
      </c>
      <c r="K2609" s="19" t="n">
        <v>3.23</v>
      </c>
      <c r="L2609" s="15" t="n">
        <f aca="false">YEAR(B2609)</f>
        <v>2025</v>
      </c>
      <c r="M2609" s="20" t="n">
        <f aca="false">IF(J2609&gt;0,K2609/J2609,0)</f>
        <v>0.0656771045140301</v>
      </c>
    </row>
    <row r="2610" customFormat="false" ht="15" hidden="false" customHeight="false" outlineLevel="0" collapsed="false">
      <c r="A2610" s="15" t="s">
        <v>2667</v>
      </c>
      <c r="B2610" s="16" t="n">
        <v>44575</v>
      </c>
      <c r="C2610" s="15" t="s">
        <v>56</v>
      </c>
      <c r="D2610" s="15" t="s">
        <v>42</v>
      </c>
      <c r="E2610" s="15" t="s">
        <v>37</v>
      </c>
      <c r="F2610" s="15" t="s">
        <v>17</v>
      </c>
      <c r="G2610" s="15" t="s">
        <v>31</v>
      </c>
      <c r="H2610" s="15" t="n">
        <v>4</v>
      </c>
      <c r="I2610" s="17" t="n">
        <v>0.1</v>
      </c>
      <c r="J2610" s="18" t="n">
        <v>474.09</v>
      </c>
      <c r="K2610" s="19" t="n">
        <v>55.02</v>
      </c>
      <c r="L2610" s="15" t="n">
        <f aca="false">YEAR(B2610)</f>
        <v>2022</v>
      </c>
      <c r="M2610" s="20" t="n">
        <f aca="false">IF(J2610&gt;0,K2610/J2610,0)</f>
        <v>0.116053913813833</v>
      </c>
    </row>
    <row r="2611" customFormat="false" ht="15" hidden="false" customHeight="false" outlineLevel="0" collapsed="false">
      <c r="A2611" s="15" t="s">
        <v>2668</v>
      </c>
      <c r="B2611" s="16" t="n">
        <v>45988</v>
      </c>
      <c r="C2611" s="15" t="s">
        <v>56</v>
      </c>
      <c r="D2611" s="15" t="s">
        <v>42</v>
      </c>
      <c r="E2611" s="15" t="s">
        <v>37</v>
      </c>
      <c r="F2611" s="15" t="s">
        <v>17</v>
      </c>
      <c r="G2611" s="15" t="s">
        <v>26</v>
      </c>
      <c r="H2611" s="15" t="n">
        <v>2</v>
      </c>
      <c r="I2611" s="17" t="n">
        <v>0</v>
      </c>
      <c r="J2611" s="18" t="n">
        <v>188.29</v>
      </c>
      <c r="K2611" s="19" t="n">
        <v>18.9</v>
      </c>
      <c r="L2611" s="15" t="n">
        <f aca="false">YEAR(B2611)</f>
        <v>2025</v>
      </c>
      <c r="M2611" s="20" t="n">
        <f aca="false">IF(J2611&gt;0,K2611/J2611,0)</f>
        <v>0.100377077911732</v>
      </c>
    </row>
    <row r="2612" customFormat="false" ht="15" hidden="false" customHeight="false" outlineLevel="0" collapsed="false">
      <c r="A2612" s="15" t="s">
        <v>2669</v>
      </c>
      <c r="B2612" s="16" t="n">
        <v>45169</v>
      </c>
      <c r="C2612" s="15" t="s">
        <v>68</v>
      </c>
      <c r="D2612" s="15" t="s">
        <v>42</v>
      </c>
      <c r="E2612" s="15" t="s">
        <v>37</v>
      </c>
      <c r="F2612" s="15" t="s">
        <v>17</v>
      </c>
      <c r="G2612" s="15" t="s">
        <v>29</v>
      </c>
      <c r="H2612" s="15" t="n">
        <v>3</v>
      </c>
      <c r="I2612" s="17" t="n">
        <v>0</v>
      </c>
      <c r="J2612" s="18" t="n">
        <v>48.04</v>
      </c>
      <c r="K2612" s="19" t="n">
        <v>18.9</v>
      </c>
      <c r="L2612" s="15" t="n">
        <f aca="false">YEAR(B2612)</f>
        <v>2023</v>
      </c>
      <c r="M2612" s="20" t="n">
        <f aca="false">IF(J2612&gt;0,K2612/J2612,0)</f>
        <v>0.393422148209825</v>
      </c>
    </row>
    <row r="2613" customFormat="false" ht="15" hidden="false" customHeight="false" outlineLevel="0" collapsed="false">
      <c r="A2613" s="15" t="s">
        <v>2670</v>
      </c>
      <c r="B2613" s="16" t="n">
        <v>45964</v>
      </c>
      <c r="C2613" s="15" t="s">
        <v>56</v>
      </c>
      <c r="D2613" s="15" t="s">
        <v>42</v>
      </c>
      <c r="E2613" s="15" t="s">
        <v>37</v>
      </c>
      <c r="F2613" s="15" t="s">
        <v>16</v>
      </c>
      <c r="G2613" s="15" t="s">
        <v>25</v>
      </c>
      <c r="H2613" s="15" t="n">
        <v>4</v>
      </c>
      <c r="I2613" s="17" t="n">
        <v>0.3</v>
      </c>
      <c r="J2613" s="18" t="n">
        <v>999.82</v>
      </c>
      <c r="K2613" s="19" t="n">
        <v>-153.19</v>
      </c>
      <c r="L2613" s="15" t="n">
        <f aca="false">YEAR(B2613)</f>
        <v>2025</v>
      </c>
      <c r="M2613" s="20" t="n">
        <f aca="false">IF(J2613&gt;0,K2613/J2613,0)</f>
        <v>-0.15321757916425</v>
      </c>
    </row>
    <row r="2614" customFormat="false" ht="15" hidden="false" customHeight="false" outlineLevel="0" collapsed="false">
      <c r="A2614" s="15" t="s">
        <v>2671</v>
      </c>
      <c r="B2614" s="16" t="n">
        <v>45800</v>
      </c>
      <c r="C2614" s="15" t="s">
        <v>56</v>
      </c>
      <c r="D2614" s="15" t="s">
        <v>44</v>
      </c>
      <c r="E2614" s="15" t="s">
        <v>37</v>
      </c>
      <c r="F2614" s="15" t="s">
        <v>18</v>
      </c>
      <c r="G2614" s="15" t="s">
        <v>24</v>
      </c>
      <c r="H2614" s="15" t="n">
        <v>2</v>
      </c>
      <c r="I2614" s="17" t="n">
        <v>0</v>
      </c>
      <c r="J2614" s="18" t="n">
        <v>1228.1</v>
      </c>
      <c r="K2614" s="19" t="n">
        <v>48.9</v>
      </c>
      <c r="L2614" s="15" t="n">
        <f aca="false">YEAR(B2614)</f>
        <v>2025</v>
      </c>
      <c r="M2614" s="20" t="n">
        <f aca="false">IF(J2614&gt;0,K2614/J2614,0)</f>
        <v>0.0398176044296067</v>
      </c>
    </row>
    <row r="2615" customFormat="false" ht="15" hidden="false" customHeight="false" outlineLevel="0" collapsed="false">
      <c r="A2615" s="15" t="s">
        <v>2672</v>
      </c>
      <c r="B2615" s="16" t="n">
        <v>45323</v>
      </c>
      <c r="C2615" s="15" t="s">
        <v>71</v>
      </c>
      <c r="D2615" s="15" t="s">
        <v>42</v>
      </c>
      <c r="E2615" s="15" t="s">
        <v>39</v>
      </c>
      <c r="F2615" s="15" t="s">
        <v>18</v>
      </c>
      <c r="G2615" s="15" t="s">
        <v>30</v>
      </c>
      <c r="H2615" s="15" t="n">
        <v>2</v>
      </c>
      <c r="I2615" s="17" t="n">
        <v>0.4</v>
      </c>
      <c r="J2615" s="18" t="n">
        <v>60.47</v>
      </c>
      <c r="K2615" s="19" t="n">
        <v>-1.71</v>
      </c>
      <c r="L2615" s="15" t="n">
        <f aca="false">YEAR(B2615)</f>
        <v>2024</v>
      </c>
      <c r="M2615" s="20" t="n">
        <f aca="false">IF(J2615&gt;0,K2615/J2615,0)</f>
        <v>-0.0282784851992724</v>
      </c>
    </row>
    <row r="2616" customFormat="false" ht="15" hidden="false" customHeight="false" outlineLevel="0" collapsed="false">
      <c r="A2616" s="15" t="s">
        <v>2673</v>
      </c>
      <c r="B2616" s="16" t="n">
        <v>45544</v>
      </c>
      <c r="C2616" s="15" t="s">
        <v>56</v>
      </c>
      <c r="D2616" s="15" t="s">
        <v>42</v>
      </c>
      <c r="E2616" s="15" t="s">
        <v>39</v>
      </c>
      <c r="F2616" s="15" t="s">
        <v>17</v>
      </c>
      <c r="G2616" s="15" t="s">
        <v>29</v>
      </c>
      <c r="H2616" s="15" t="n">
        <v>4</v>
      </c>
      <c r="I2616" s="17" t="n">
        <v>0.1</v>
      </c>
      <c r="J2616" s="18" t="n">
        <v>85.88</v>
      </c>
      <c r="K2616" s="19" t="n">
        <v>20.42</v>
      </c>
      <c r="L2616" s="15" t="n">
        <f aca="false">YEAR(B2616)</f>
        <v>2024</v>
      </c>
      <c r="M2616" s="20" t="n">
        <f aca="false">IF(J2616&gt;0,K2616/J2616,0)</f>
        <v>0.237773637633908</v>
      </c>
    </row>
    <row r="2617" customFormat="false" ht="15" hidden="false" customHeight="false" outlineLevel="0" collapsed="false">
      <c r="A2617" s="15" t="s">
        <v>2674</v>
      </c>
      <c r="B2617" s="16" t="n">
        <v>45088</v>
      </c>
      <c r="C2617" s="15" t="s">
        <v>56</v>
      </c>
      <c r="D2617" s="15" t="s">
        <v>42</v>
      </c>
      <c r="E2617" s="15" t="s">
        <v>37</v>
      </c>
      <c r="F2617" s="15" t="s">
        <v>16</v>
      </c>
      <c r="G2617" s="15" t="s">
        <v>22</v>
      </c>
      <c r="H2617" s="15" t="n">
        <v>3</v>
      </c>
      <c r="I2617" s="17" t="n">
        <v>0.2</v>
      </c>
      <c r="J2617" s="18" t="n">
        <v>1181.67</v>
      </c>
      <c r="K2617" s="19" t="n">
        <v>-271.02</v>
      </c>
      <c r="L2617" s="15" t="n">
        <f aca="false">YEAR(B2617)</f>
        <v>2023</v>
      </c>
      <c r="M2617" s="20" t="n">
        <f aca="false">IF(J2617&gt;0,K2617/J2617,0)</f>
        <v>-0.229353372769047</v>
      </c>
    </row>
    <row r="2618" customFormat="false" ht="15" hidden="false" customHeight="false" outlineLevel="0" collapsed="false">
      <c r="A2618" s="15" t="s">
        <v>2675</v>
      </c>
      <c r="B2618" s="16" t="n">
        <v>45640</v>
      </c>
      <c r="C2618" s="15" t="s">
        <v>56</v>
      </c>
      <c r="D2618" s="15" t="s">
        <v>43</v>
      </c>
      <c r="E2618" s="15" t="s">
        <v>39</v>
      </c>
      <c r="F2618" s="15" t="s">
        <v>16</v>
      </c>
      <c r="G2618" s="15" t="s">
        <v>27</v>
      </c>
      <c r="H2618" s="15" t="n">
        <v>3</v>
      </c>
      <c r="I2618" s="17" t="n">
        <v>0.05</v>
      </c>
      <c r="J2618" s="18" t="n">
        <v>205.47</v>
      </c>
      <c r="K2618" s="19" t="n">
        <v>45.53</v>
      </c>
      <c r="L2618" s="15" t="n">
        <f aca="false">YEAR(B2618)</f>
        <v>2024</v>
      </c>
      <c r="M2618" s="20" t="n">
        <f aca="false">IF(J2618&gt;0,K2618/J2618,0)</f>
        <v>0.22158952645155</v>
      </c>
    </row>
    <row r="2619" customFormat="false" ht="15" hidden="false" customHeight="false" outlineLevel="0" collapsed="false">
      <c r="A2619" s="15" t="s">
        <v>2676</v>
      </c>
      <c r="B2619" s="16" t="n">
        <v>44642</v>
      </c>
      <c r="C2619" s="15" t="s">
        <v>58</v>
      </c>
      <c r="D2619" s="15" t="s">
        <v>43</v>
      </c>
      <c r="E2619" s="15" t="s">
        <v>38</v>
      </c>
      <c r="F2619" s="15" t="s">
        <v>16</v>
      </c>
      <c r="G2619" s="15" t="s">
        <v>27</v>
      </c>
      <c r="H2619" s="15" t="n">
        <v>3</v>
      </c>
      <c r="I2619" s="17" t="n">
        <v>0.1</v>
      </c>
      <c r="J2619" s="18" t="n">
        <v>141.4</v>
      </c>
      <c r="K2619" s="19" t="n">
        <v>29.06</v>
      </c>
      <c r="L2619" s="15" t="n">
        <f aca="false">YEAR(B2619)</f>
        <v>2022</v>
      </c>
      <c r="M2619" s="20" t="n">
        <f aca="false">IF(J2619&gt;0,K2619/J2619,0)</f>
        <v>0.205516265912306</v>
      </c>
    </row>
    <row r="2620" customFormat="false" ht="15" hidden="false" customHeight="false" outlineLevel="0" collapsed="false">
      <c r="A2620" s="15" t="s">
        <v>2677</v>
      </c>
      <c r="B2620" s="16" t="n">
        <v>45077</v>
      </c>
      <c r="C2620" s="15" t="s">
        <v>58</v>
      </c>
      <c r="D2620" s="15" t="s">
        <v>42</v>
      </c>
      <c r="E2620" s="15" t="s">
        <v>39</v>
      </c>
      <c r="F2620" s="15" t="s">
        <v>17</v>
      </c>
      <c r="G2620" s="15" t="s">
        <v>28</v>
      </c>
      <c r="H2620" s="15" t="n">
        <v>3</v>
      </c>
      <c r="I2620" s="17" t="n">
        <v>0</v>
      </c>
      <c r="J2620" s="18" t="n">
        <v>80.68</v>
      </c>
      <c r="K2620" s="19" t="n">
        <v>26.22</v>
      </c>
      <c r="L2620" s="15" t="n">
        <f aca="false">YEAR(B2620)</f>
        <v>2023</v>
      </c>
      <c r="M2620" s="20" t="n">
        <f aca="false">IF(J2620&gt;0,K2620/J2620,0)</f>
        <v>0.324987605354487</v>
      </c>
    </row>
    <row r="2621" customFormat="false" ht="15" hidden="false" customHeight="false" outlineLevel="0" collapsed="false">
      <c r="A2621" s="15" t="s">
        <v>2678</v>
      </c>
      <c r="B2621" s="16" t="n">
        <v>45446</v>
      </c>
      <c r="C2621" s="15" t="s">
        <v>56</v>
      </c>
      <c r="D2621" s="15" t="s">
        <v>43</v>
      </c>
      <c r="E2621" s="15" t="s">
        <v>38</v>
      </c>
      <c r="F2621" s="15" t="s">
        <v>17</v>
      </c>
      <c r="G2621" s="15" t="s">
        <v>28</v>
      </c>
      <c r="H2621" s="15" t="n">
        <v>5</v>
      </c>
      <c r="I2621" s="17" t="n">
        <v>0.2</v>
      </c>
      <c r="J2621" s="18" t="n">
        <v>123.73</v>
      </c>
      <c r="K2621" s="19" t="n">
        <v>12.37</v>
      </c>
      <c r="L2621" s="15" t="n">
        <f aca="false">YEAR(B2621)</f>
        <v>2024</v>
      </c>
      <c r="M2621" s="20" t="n">
        <f aca="false">IF(J2621&gt;0,K2621/J2621,0)</f>
        <v>0.0999757536571567</v>
      </c>
    </row>
    <row r="2622" customFormat="false" ht="15" hidden="false" customHeight="false" outlineLevel="0" collapsed="false">
      <c r="A2622" s="15" t="s">
        <v>2679</v>
      </c>
      <c r="B2622" s="16" t="n">
        <v>45496</v>
      </c>
      <c r="C2622" s="15" t="s">
        <v>68</v>
      </c>
      <c r="D2622" s="15" t="s">
        <v>42</v>
      </c>
      <c r="E2622" s="15" t="s">
        <v>39</v>
      </c>
      <c r="F2622" s="15" t="s">
        <v>16</v>
      </c>
      <c r="G2622" s="15" t="s">
        <v>25</v>
      </c>
      <c r="H2622" s="15" t="n">
        <v>6</v>
      </c>
      <c r="I2622" s="17" t="n">
        <v>0.4</v>
      </c>
      <c r="J2622" s="18" t="n">
        <v>1214.54</v>
      </c>
      <c r="K2622" s="19" t="n">
        <v>-435.05</v>
      </c>
      <c r="L2622" s="15" t="n">
        <f aca="false">YEAR(B2622)</f>
        <v>2024</v>
      </c>
      <c r="M2622" s="20" t="n">
        <f aca="false">IF(J2622&gt;0,K2622/J2622,0)</f>
        <v>-0.358201458988588</v>
      </c>
    </row>
    <row r="2623" customFormat="false" ht="15" hidden="false" customHeight="false" outlineLevel="0" collapsed="false">
      <c r="A2623" s="15" t="s">
        <v>2680</v>
      </c>
      <c r="B2623" s="16" t="n">
        <v>44718</v>
      </c>
      <c r="C2623" s="15" t="s">
        <v>68</v>
      </c>
      <c r="D2623" s="15" t="s">
        <v>44</v>
      </c>
      <c r="E2623" s="15" t="s">
        <v>39</v>
      </c>
      <c r="F2623" s="15" t="s">
        <v>18</v>
      </c>
      <c r="G2623" s="15" t="s">
        <v>33</v>
      </c>
      <c r="H2623" s="15" t="n">
        <v>2</v>
      </c>
      <c r="I2623" s="17" t="n">
        <v>0</v>
      </c>
      <c r="J2623" s="18" t="n">
        <v>2259.74</v>
      </c>
      <c r="K2623" s="19" t="n">
        <v>598.8</v>
      </c>
      <c r="L2623" s="15" t="n">
        <f aca="false">YEAR(B2623)</f>
        <v>2022</v>
      </c>
      <c r="M2623" s="20" t="n">
        <f aca="false">IF(J2623&gt;0,K2623/J2623,0)</f>
        <v>0.26498623735474</v>
      </c>
    </row>
    <row r="2624" customFormat="false" ht="15" hidden="false" customHeight="false" outlineLevel="0" collapsed="false">
      <c r="A2624" s="15" t="s">
        <v>2681</v>
      </c>
      <c r="B2624" s="16" t="n">
        <v>44865</v>
      </c>
      <c r="C2624" s="15" t="s">
        <v>56</v>
      </c>
      <c r="D2624" s="15" t="s">
        <v>43</v>
      </c>
      <c r="E2624" s="15" t="s">
        <v>36</v>
      </c>
      <c r="F2624" s="15" t="s">
        <v>18</v>
      </c>
      <c r="G2624" s="15" t="s">
        <v>24</v>
      </c>
      <c r="H2624" s="15" t="n">
        <v>8</v>
      </c>
      <c r="I2624" s="17" t="n">
        <v>0.1</v>
      </c>
      <c r="J2624" s="18" t="n">
        <v>4293.47</v>
      </c>
      <c r="K2624" s="19" t="n">
        <v>-125.19</v>
      </c>
      <c r="L2624" s="15" t="n">
        <f aca="false">YEAR(B2624)</f>
        <v>2022</v>
      </c>
      <c r="M2624" s="20" t="n">
        <f aca="false">IF(J2624&gt;0,K2624/J2624,0)</f>
        <v>-0.0291582333171071</v>
      </c>
    </row>
    <row r="2625" customFormat="false" ht="15" hidden="false" customHeight="false" outlineLevel="0" collapsed="false">
      <c r="A2625" s="15" t="s">
        <v>2682</v>
      </c>
      <c r="B2625" s="16" t="n">
        <v>45576</v>
      </c>
      <c r="C2625" s="15" t="s">
        <v>56</v>
      </c>
      <c r="D2625" s="15" t="s">
        <v>42</v>
      </c>
      <c r="E2625" s="15" t="s">
        <v>39</v>
      </c>
      <c r="F2625" s="15" t="s">
        <v>17</v>
      </c>
      <c r="G2625" s="15" t="s">
        <v>29</v>
      </c>
      <c r="H2625" s="15" t="n">
        <v>3</v>
      </c>
      <c r="I2625" s="17" t="n">
        <v>0.1</v>
      </c>
      <c r="J2625" s="18" t="n">
        <v>46.76</v>
      </c>
      <c r="K2625" s="19" t="n">
        <v>13.03</v>
      </c>
      <c r="L2625" s="15" t="n">
        <f aca="false">YEAR(B2625)</f>
        <v>2024</v>
      </c>
      <c r="M2625" s="20" t="n">
        <f aca="false">IF(J2625&gt;0,K2625/J2625,0)</f>
        <v>0.278656971770744</v>
      </c>
    </row>
    <row r="2626" customFormat="false" ht="15" hidden="false" customHeight="false" outlineLevel="0" collapsed="false">
      <c r="A2626" s="15" t="s">
        <v>2683</v>
      </c>
      <c r="B2626" s="16" t="n">
        <v>45886</v>
      </c>
      <c r="C2626" s="15" t="s">
        <v>71</v>
      </c>
      <c r="D2626" s="15" t="s">
        <v>42</v>
      </c>
      <c r="E2626" s="15" t="s">
        <v>38</v>
      </c>
      <c r="F2626" s="15" t="s">
        <v>17</v>
      </c>
      <c r="G2626" s="15" t="s">
        <v>29</v>
      </c>
      <c r="H2626" s="15" t="n">
        <v>3</v>
      </c>
      <c r="I2626" s="17" t="n">
        <v>0</v>
      </c>
      <c r="J2626" s="18" t="n">
        <v>44.74</v>
      </c>
      <c r="K2626" s="19" t="n">
        <v>18.25</v>
      </c>
      <c r="L2626" s="15" t="n">
        <f aca="false">YEAR(B2626)</f>
        <v>2025</v>
      </c>
      <c r="M2626" s="20" t="n">
        <f aca="false">IF(J2626&gt;0,K2626/J2626,0)</f>
        <v>0.407912382655342</v>
      </c>
    </row>
    <row r="2627" customFormat="false" ht="15" hidden="false" customHeight="false" outlineLevel="0" collapsed="false">
      <c r="A2627" s="15" t="s">
        <v>2684</v>
      </c>
      <c r="B2627" s="16" t="n">
        <v>45572</v>
      </c>
      <c r="C2627" s="15" t="s">
        <v>68</v>
      </c>
      <c r="D2627" s="15" t="s">
        <v>42</v>
      </c>
      <c r="E2627" s="15" t="s">
        <v>36</v>
      </c>
      <c r="F2627" s="15" t="s">
        <v>18</v>
      </c>
      <c r="G2627" s="15" t="s">
        <v>30</v>
      </c>
      <c r="H2627" s="15" t="n">
        <v>4</v>
      </c>
      <c r="I2627" s="17" t="n">
        <v>0.05</v>
      </c>
      <c r="J2627" s="18" t="n">
        <v>146.99</v>
      </c>
      <c r="K2627" s="19" t="n">
        <v>35.6</v>
      </c>
      <c r="L2627" s="15" t="n">
        <f aca="false">YEAR(B2627)</f>
        <v>2024</v>
      </c>
      <c r="M2627" s="20" t="n">
        <f aca="false">IF(J2627&gt;0,K2627/J2627,0)</f>
        <v>0.242193346486156</v>
      </c>
    </row>
    <row r="2628" customFormat="false" ht="15" hidden="false" customHeight="false" outlineLevel="0" collapsed="false">
      <c r="A2628" s="15" t="s">
        <v>2685</v>
      </c>
      <c r="B2628" s="16" t="n">
        <v>45735</v>
      </c>
      <c r="C2628" s="15" t="s">
        <v>56</v>
      </c>
      <c r="D2628" s="15" t="s">
        <v>42</v>
      </c>
      <c r="E2628" s="15" t="s">
        <v>36</v>
      </c>
      <c r="F2628" s="15" t="s">
        <v>16</v>
      </c>
      <c r="G2628" s="15" t="s">
        <v>27</v>
      </c>
      <c r="H2628" s="15" t="n">
        <v>3</v>
      </c>
      <c r="I2628" s="17" t="n">
        <v>0.2</v>
      </c>
      <c r="J2628" s="18" t="n">
        <v>124.01</v>
      </c>
      <c r="K2628" s="19" t="n">
        <v>3.32</v>
      </c>
      <c r="L2628" s="15" t="n">
        <f aca="false">YEAR(B2628)</f>
        <v>2025</v>
      </c>
      <c r="M2628" s="20" t="n">
        <f aca="false">IF(J2628&gt;0,K2628/J2628,0)</f>
        <v>0.0267720345133457</v>
      </c>
    </row>
    <row r="2629" customFormat="false" ht="15" hidden="false" customHeight="false" outlineLevel="0" collapsed="false">
      <c r="A2629" s="15" t="s">
        <v>2686</v>
      </c>
      <c r="B2629" s="16" t="n">
        <v>45316</v>
      </c>
      <c r="C2629" s="15" t="s">
        <v>56</v>
      </c>
      <c r="D2629" s="15" t="s">
        <v>43</v>
      </c>
      <c r="E2629" s="15" t="s">
        <v>37</v>
      </c>
      <c r="F2629" s="15" t="s">
        <v>17</v>
      </c>
      <c r="G2629" s="15" t="s">
        <v>29</v>
      </c>
      <c r="H2629" s="15" t="n">
        <v>2</v>
      </c>
      <c r="I2629" s="17" t="n">
        <v>0.2</v>
      </c>
      <c r="J2629" s="18" t="n">
        <v>29.49</v>
      </c>
      <c r="K2629" s="19" t="n">
        <v>3.35</v>
      </c>
      <c r="L2629" s="15" t="n">
        <f aca="false">YEAR(B2629)</f>
        <v>2024</v>
      </c>
      <c r="M2629" s="20" t="n">
        <f aca="false">IF(J2629&gt;0,K2629/J2629,0)</f>
        <v>0.113597829772804</v>
      </c>
    </row>
    <row r="2630" customFormat="false" ht="15" hidden="false" customHeight="false" outlineLevel="0" collapsed="false">
      <c r="A2630" s="15" t="s">
        <v>2687</v>
      </c>
      <c r="B2630" s="16" t="n">
        <v>44726</v>
      </c>
      <c r="C2630" s="15" t="s">
        <v>71</v>
      </c>
      <c r="D2630" s="15" t="s">
        <v>42</v>
      </c>
      <c r="E2630" s="15" t="s">
        <v>36</v>
      </c>
      <c r="F2630" s="15" t="s">
        <v>18</v>
      </c>
      <c r="G2630" s="15" t="s">
        <v>32</v>
      </c>
      <c r="H2630" s="15" t="n">
        <v>3</v>
      </c>
      <c r="I2630" s="17" t="n">
        <v>0.15</v>
      </c>
      <c r="J2630" s="18" t="n">
        <v>863.39</v>
      </c>
      <c r="K2630" s="19" t="n">
        <v>59.28</v>
      </c>
      <c r="L2630" s="15" t="n">
        <f aca="false">YEAR(B2630)</f>
        <v>2022</v>
      </c>
      <c r="M2630" s="20" t="n">
        <f aca="false">IF(J2630&gt;0,K2630/J2630,0)</f>
        <v>0.0686595860503365</v>
      </c>
    </row>
    <row r="2631" customFormat="false" ht="15" hidden="false" customHeight="false" outlineLevel="0" collapsed="false">
      <c r="A2631" s="15" t="s">
        <v>2688</v>
      </c>
      <c r="B2631" s="16" t="n">
        <v>44673</v>
      </c>
      <c r="C2631" s="15" t="s">
        <v>58</v>
      </c>
      <c r="D2631" s="15" t="s">
        <v>42</v>
      </c>
      <c r="E2631" s="15" t="s">
        <v>38</v>
      </c>
      <c r="F2631" s="15" t="s">
        <v>17</v>
      </c>
      <c r="G2631" s="15" t="s">
        <v>29</v>
      </c>
      <c r="H2631" s="15" t="n">
        <v>6</v>
      </c>
      <c r="I2631" s="17" t="n">
        <v>0</v>
      </c>
      <c r="J2631" s="18" t="n">
        <v>135.89</v>
      </c>
      <c r="K2631" s="19" t="n">
        <v>47.47</v>
      </c>
      <c r="L2631" s="15" t="n">
        <f aca="false">YEAR(B2631)</f>
        <v>2022</v>
      </c>
      <c r="M2631" s="20" t="n">
        <f aca="false">IF(J2631&gt;0,K2631/J2631,0)</f>
        <v>0.349326661270145</v>
      </c>
    </row>
    <row r="2632" customFormat="false" ht="15" hidden="false" customHeight="false" outlineLevel="0" collapsed="false">
      <c r="A2632" s="15" t="s">
        <v>2689</v>
      </c>
      <c r="B2632" s="16" t="n">
        <v>45645</v>
      </c>
      <c r="C2632" s="15" t="s">
        <v>56</v>
      </c>
      <c r="D2632" s="15" t="s">
        <v>44</v>
      </c>
      <c r="E2632" s="15" t="s">
        <v>36</v>
      </c>
      <c r="F2632" s="15" t="s">
        <v>16</v>
      </c>
      <c r="G2632" s="15" t="s">
        <v>22</v>
      </c>
      <c r="H2632" s="15" t="n">
        <v>1</v>
      </c>
      <c r="I2632" s="17" t="n">
        <v>0.15</v>
      </c>
      <c r="J2632" s="18" t="n">
        <v>422.68</v>
      </c>
      <c r="K2632" s="19" t="n">
        <v>-44.06</v>
      </c>
      <c r="L2632" s="15" t="n">
        <f aca="false">YEAR(B2632)</f>
        <v>2024</v>
      </c>
      <c r="M2632" s="20" t="n">
        <f aca="false">IF(J2632&gt;0,K2632/J2632,0)</f>
        <v>-0.104239613892306</v>
      </c>
    </row>
    <row r="2633" customFormat="false" ht="15" hidden="false" customHeight="false" outlineLevel="0" collapsed="false">
      <c r="A2633" s="15" t="s">
        <v>2690</v>
      </c>
      <c r="B2633" s="16" t="n">
        <v>45470</v>
      </c>
      <c r="C2633" s="15" t="s">
        <v>68</v>
      </c>
      <c r="D2633" s="15" t="s">
        <v>44</v>
      </c>
      <c r="E2633" s="15" t="s">
        <v>38</v>
      </c>
      <c r="F2633" s="15" t="s">
        <v>16</v>
      </c>
      <c r="G2633" s="15" t="s">
        <v>27</v>
      </c>
      <c r="H2633" s="15" t="n">
        <v>5</v>
      </c>
      <c r="I2633" s="17" t="n">
        <v>0.1</v>
      </c>
      <c r="J2633" s="18" t="n">
        <v>243.22</v>
      </c>
      <c r="K2633" s="19" t="n">
        <v>31.88</v>
      </c>
      <c r="L2633" s="15" t="n">
        <f aca="false">YEAR(B2633)</f>
        <v>2024</v>
      </c>
      <c r="M2633" s="20" t="n">
        <f aca="false">IF(J2633&gt;0,K2633/J2633,0)</f>
        <v>0.131074747142505</v>
      </c>
    </row>
    <row r="2634" customFormat="false" ht="15" hidden="false" customHeight="false" outlineLevel="0" collapsed="false">
      <c r="A2634" s="15" t="s">
        <v>2691</v>
      </c>
      <c r="B2634" s="16" t="n">
        <v>44878</v>
      </c>
      <c r="C2634" s="15" t="s">
        <v>56</v>
      </c>
      <c r="D2634" s="15" t="s">
        <v>43</v>
      </c>
      <c r="E2634" s="15" t="s">
        <v>38</v>
      </c>
      <c r="F2634" s="15" t="s">
        <v>17</v>
      </c>
      <c r="G2634" s="15" t="s">
        <v>29</v>
      </c>
      <c r="H2634" s="15" t="n">
        <v>4</v>
      </c>
      <c r="I2634" s="17" t="n">
        <v>0</v>
      </c>
      <c r="J2634" s="18" t="n">
        <v>57.2</v>
      </c>
      <c r="K2634" s="19" t="n">
        <v>23.15</v>
      </c>
      <c r="L2634" s="15" t="n">
        <f aca="false">YEAR(B2634)</f>
        <v>2022</v>
      </c>
      <c r="M2634" s="20" t="n">
        <f aca="false">IF(J2634&gt;0,K2634/J2634,0)</f>
        <v>0.40472027972028</v>
      </c>
    </row>
    <row r="2635" customFormat="false" ht="15" hidden="false" customHeight="false" outlineLevel="0" collapsed="false">
      <c r="A2635" s="15" t="s">
        <v>2692</v>
      </c>
      <c r="B2635" s="16" t="n">
        <v>44760</v>
      </c>
      <c r="C2635" s="15" t="s">
        <v>56</v>
      </c>
      <c r="D2635" s="15" t="s">
        <v>43</v>
      </c>
      <c r="E2635" s="15" t="s">
        <v>38</v>
      </c>
      <c r="F2635" s="15" t="s">
        <v>17</v>
      </c>
      <c r="G2635" s="15" t="s">
        <v>29</v>
      </c>
      <c r="H2635" s="15" t="n">
        <v>4</v>
      </c>
      <c r="I2635" s="17" t="n">
        <v>0</v>
      </c>
      <c r="J2635" s="18" t="n">
        <v>69.58</v>
      </c>
      <c r="K2635" s="19" t="n">
        <v>30.38</v>
      </c>
      <c r="L2635" s="15" t="n">
        <f aca="false">YEAR(B2635)</f>
        <v>2022</v>
      </c>
      <c r="M2635" s="20" t="n">
        <f aca="false">IF(J2635&gt;0,K2635/J2635,0)</f>
        <v>0.436619718309859</v>
      </c>
    </row>
    <row r="2636" customFormat="false" ht="15" hidden="false" customHeight="false" outlineLevel="0" collapsed="false">
      <c r="A2636" s="15" t="s">
        <v>2693</v>
      </c>
      <c r="B2636" s="16" t="n">
        <v>44934</v>
      </c>
      <c r="C2636" s="15" t="s">
        <v>71</v>
      </c>
      <c r="D2636" s="15" t="s">
        <v>42</v>
      </c>
      <c r="E2636" s="15" t="s">
        <v>39</v>
      </c>
      <c r="F2636" s="15" t="s">
        <v>17</v>
      </c>
      <c r="G2636" s="15" t="s">
        <v>29</v>
      </c>
      <c r="H2636" s="15" t="n">
        <v>5</v>
      </c>
      <c r="I2636" s="17" t="n">
        <v>0.3</v>
      </c>
      <c r="J2636" s="18" t="n">
        <v>75.43</v>
      </c>
      <c r="K2636" s="19" t="n">
        <v>11.75</v>
      </c>
      <c r="L2636" s="15" t="n">
        <f aca="false">YEAR(B2636)</f>
        <v>2023</v>
      </c>
      <c r="M2636" s="20" t="n">
        <f aca="false">IF(J2636&gt;0,K2636/J2636,0)</f>
        <v>0.155773564894604</v>
      </c>
    </row>
    <row r="2637" customFormat="false" ht="15" hidden="false" customHeight="false" outlineLevel="0" collapsed="false">
      <c r="A2637" s="15" t="s">
        <v>2694</v>
      </c>
      <c r="B2637" s="16" t="n">
        <v>45089</v>
      </c>
      <c r="C2637" s="15" t="s">
        <v>68</v>
      </c>
      <c r="D2637" s="15" t="s">
        <v>44</v>
      </c>
      <c r="E2637" s="15" t="s">
        <v>37</v>
      </c>
      <c r="F2637" s="15" t="s">
        <v>17</v>
      </c>
      <c r="G2637" s="15" t="s">
        <v>28</v>
      </c>
      <c r="H2637" s="15" t="n">
        <v>3</v>
      </c>
      <c r="I2637" s="17" t="n">
        <v>0.3</v>
      </c>
      <c r="J2637" s="18" t="n">
        <v>51.96</v>
      </c>
      <c r="K2637" s="19" t="n">
        <v>2.14</v>
      </c>
      <c r="L2637" s="15" t="n">
        <f aca="false">YEAR(B2637)</f>
        <v>2023</v>
      </c>
      <c r="M2637" s="20" t="n">
        <f aca="false">IF(J2637&gt;0,K2637/J2637,0)</f>
        <v>0.0411855273287144</v>
      </c>
    </row>
    <row r="2638" customFormat="false" ht="15" hidden="false" customHeight="false" outlineLevel="0" collapsed="false">
      <c r="A2638" s="15" t="s">
        <v>2695</v>
      </c>
      <c r="B2638" s="16" t="n">
        <v>45379</v>
      </c>
      <c r="C2638" s="15" t="s">
        <v>56</v>
      </c>
      <c r="D2638" s="15" t="s">
        <v>42</v>
      </c>
      <c r="E2638" s="15" t="s">
        <v>36</v>
      </c>
      <c r="F2638" s="15" t="s">
        <v>16</v>
      </c>
      <c r="G2638" s="15" t="s">
        <v>27</v>
      </c>
      <c r="H2638" s="15" t="n">
        <v>3</v>
      </c>
      <c r="I2638" s="17" t="n">
        <v>0.05</v>
      </c>
      <c r="J2638" s="18" t="n">
        <v>151.77</v>
      </c>
      <c r="K2638" s="19" t="n">
        <v>21.54</v>
      </c>
      <c r="L2638" s="15" t="n">
        <f aca="false">YEAR(B2638)</f>
        <v>2024</v>
      </c>
      <c r="M2638" s="20" t="n">
        <f aca="false">IF(J2638&gt;0,K2638/J2638,0)</f>
        <v>0.141925281676221</v>
      </c>
    </row>
    <row r="2639" customFormat="false" ht="15" hidden="false" customHeight="false" outlineLevel="0" collapsed="false">
      <c r="A2639" s="15" t="s">
        <v>2696</v>
      </c>
      <c r="B2639" s="16" t="n">
        <v>44949</v>
      </c>
      <c r="C2639" s="15" t="s">
        <v>56</v>
      </c>
      <c r="D2639" s="15" t="s">
        <v>42</v>
      </c>
      <c r="E2639" s="15" t="s">
        <v>38</v>
      </c>
      <c r="F2639" s="15" t="s">
        <v>17</v>
      </c>
      <c r="G2639" s="15" t="s">
        <v>29</v>
      </c>
      <c r="H2639" s="15" t="n">
        <v>2</v>
      </c>
      <c r="I2639" s="17" t="n">
        <v>0.3</v>
      </c>
      <c r="J2639" s="18" t="n">
        <v>24.22</v>
      </c>
      <c r="K2639" s="19" t="n">
        <v>0.88</v>
      </c>
      <c r="L2639" s="15" t="n">
        <f aca="false">YEAR(B2639)</f>
        <v>2023</v>
      </c>
      <c r="M2639" s="20" t="n">
        <f aca="false">IF(J2639&gt;0,K2639/J2639,0)</f>
        <v>0.0363336085879439</v>
      </c>
    </row>
    <row r="2640" customFormat="false" ht="15" hidden="false" customHeight="false" outlineLevel="0" collapsed="false">
      <c r="A2640" s="15" t="s">
        <v>2697</v>
      </c>
      <c r="B2640" s="16" t="n">
        <v>45593</v>
      </c>
      <c r="C2640" s="15" t="s">
        <v>56</v>
      </c>
      <c r="D2640" s="15" t="s">
        <v>43</v>
      </c>
      <c r="E2640" s="15" t="s">
        <v>36</v>
      </c>
      <c r="F2640" s="15" t="s">
        <v>16</v>
      </c>
      <c r="G2640" s="15" t="s">
        <v>27</v>
      </c>
      <c r="H2640" s="15" t="n">
        <v>4</v>
      </c>
      <c r="I2640" s="17" t="n">
        <v>0.4</v>
      </c>
      <c r="J2640" s="18" t="n">
        <v>135.27</v>
      </c>
      <c r="K2640" s="19" t="n">
        <v>-10.37</v>
      </c>
      <c r="L2640" s="15" t="n">
        <f aca="false">YEAR(B2640)</f>
        <v>2024</v>
      </c>
      <c r="M2640" s="20" t="n">
        <f aca="false">IF(J2640&gt;0,K2640/J2640,0)</f>
        <v>-0.0766614918311525</v>
      </c>
    </row>
    <row r="2641" customFormat="false" ht="15" hidden="false" customHeight="false" outlineLevel="0" collapsed="false">
      <c r="A2641" s="15" t="s">
        <v>2698</v>
      </c>
      <c r="B2641" s="16" t="n">
        <v>45218</v>
      </c>
      <c r="C2641" s="15" t="s">
        <v>68</v>
      </c>
      <c r="D2641" s="15" t="s">
        <v>42</v>
      </c>
      <c r="E2641" s="15" t="s">
        <v>39</v>
      </c>
      <c r="F2641" s="15" t="s">
        <v>16</v>
      </c>
      <c r="G2641" s="15" t="s">
        <v>23</v>
      </c>
      <c r="H2641" s="15" t="n">
        <v>6</v>
      </c>
      <c r="I2641" s="17" t="n">
        <v>0.4</v>
      </c>
      <c r="J2641" s="18" t="n">
        <v>883.87</v>
      </c>
      <c r="K2641" s="19" t="n">
        <v>-297.28</v>
      </c>
      <c r="L2641" s="15" t="n">
        <f aca="false">YEAR(B2641)</f>
        <v>2023</v>
      </c>
      <c r="M2641" s="20" t="n">
        <f aca="false">IF(J2641&gt;0,K2641/J2641,0)</f>
        <v>-0.336339054385826</v>
      </c>
    </row>
    <row r="2642" customFormat="false" ht="15" hidden="false" customHeight="false" outlineLevel="0" collapsed="false">
      <c r="A2642" s="15" t="s">
        <v>2699</v>
      </c>
      <c r="B2642" s="16" t="n">
        <v>45745</v>
      </c>
      <c r="C2642" s="15" t="s">
        <v>58</v>
      </c>
      <c r="D2642" s="15" t="s">
        <v>42</v>
      </c>
      <c r="E2642" s="15" t="s">
        <v>37</v>
      </c>
      <c r="F2642" s="15" t="s">
        <v>17</v>
      </c>
      <c r="G2642" s="15" t="s">
        <v>28</v>
      </c>
      <c r="H2642" s="15" t="n">
        <v>6</v>
      </c>
      <c r="I2642" s="17" t="n">
        <v>0.3</v>
      </c>
      <c r="J2642" s="18" t="n">
        <v>127.9</v>
      </c>
      <c r="K2642" s="19" t="n">
        <v>2.09</v>
      </c>
      <c r="L2642" s="15" t="n">
        <f aca="false">YEAR(B2642)</f>
        <v>2025</v>
      </c>
      <c r="M2642" s="20" t="n">
        <f aca="false">IF(J2642&gt;0,K2642/J2642,0)</f>
        <v>0.0163408913213448</v>
      </c>
    </row>
    <row r="2643" customFormat="false" ht="15" hidden="false" customHeight="false" outlineLevel="0" collapsed="false">
      <c r="A2643" s="15" t="s">
        <v>2700</v>
      </c>
      <c r="B2643" s="16" t="n">
        <v>44831</v>
      </c>
      <c r="C2643" s="15" t="s">
        <v>56</v>
      </c>
      <c r="D2643" s="15" t="s">
        <v>42</v>
      </c>
      <c r="E2643" s="15" t="s">
        <v>37</v>
      </c>
      <c r="F2643" s="15" t="s">
        <v>17</v>
      </c>
      <c r="G2643" s="15" t="s">
        <v>28</v>
      </c>
      <c r="H2643" s="15" t="n">
        <v>2</v>
      </c>
      <c r="I2643" s="17" t="n">
        <v>0</v>
      </c>
      <c r="J2643" s="18" t="n">
        <v>53.42</v>
      </c>
      <c r="K2643" s="19" t="n">
        <v>14.52</v>
      </c>
      <c r="L2643" s="15" t="n">
        <f aca="false">YEAR(B2643)</f>
        <v>2022</v>
      </c>
      <c r="M2643" s="20" t="n">
        <f aca="false">IF(J2643&gt;0,K2643/J2643,0)</f>
        <v>0.271808311493823</v>
      </c>
    </row>
    <row r="2644" customFormat="false" ht="15" hidden="false" customHeight="false" outlineLevel="0" collapsed="false">
      <c r="A2644" s="15" t="s">
        <v>2701</v>
      </c>
      <c r="B2644" s="16" t="n">
        <v>44866</v>
      </c>
      <c r="C2644" s="15" t="s">
        <v>56</v>
      </c>
      <c r="D2644" s="15" t="s">
        <v>42</v>
      </c>
      <c r="E2644" s="15" t="s">
        <v>37</v>
      </c>
      <c r="F2644" s="15" t="s">
        <v>17</v>
      </c>
      <c r="G2644" s="15" t="s">
        <v>29</v>
      </c>
      <c r="H2644" s="15" t="n">
        <v>2</v>
      </c>
      <c r="I2644" s="17" t="n">
        <v>0.2</v>
      </c>
      <c r="J2644" s="18" t="n">
        <v>27.27</v>
      </c>
      <c r="K2644" s="19" t="n">
        <v>5.24</v>
      </c>
      <c r="L2644" s="15" t="n">
        <f aca="false">YEAR(B2644)</f>
        <v>2022</v>
      </c>
      <c r="M2644" s="20" t="n">
        <f aca="false">IF(J2644&gt;0,K2644/J2644,0)</f>
        <v>0.192152548588192</v>
      </c>
    </row>
    <row r="2645" customFormat="false" ht="15" hidden="false" customHeight="false" outlineLevel="0" collapsed="false">
      <c r="A2645" s="15" t="s">
        <v>2702</v>
      </c>
      <c r="B2645" s="16" t="n">
        <v>45759</v>
      </c>
      <c r="C2645" s="15" t="s">
        <v>56</v>
      </c>
      <c r="D2645" s="15" t="s">
        <v>42</v>
      </c>
      <c r="E2645" s="15" t="s">
        <v>38</v>
      </c>
      <c r="F2645" s="15" t="s">
        <v>18</v>
      </c>
      <c r="G2645" s="15" t="s">
        <v>30</v>
      </c>
      <c r="H2645" s="15" t="n">
        <v>5</v>
      </c>
      <c r="I2645" s="17" t="n">
        <v>0</v>
      </c>
      <c r="J2645" s="18" t="n">
        <v>184.27</v>
      </c>
      <c r="K2645" s="19" t="n">
        <v>45.95</v>
      </c>
      <c r="L2645" s="15" t="n">
        <f aca="false">YEAR(B2645)</f>
        <v>2025</v>
      </c>
      <c r="M2645" s="20" t="n">
        <f aca="false">IF(J2645&gt;0,K2645/J2645,0)</f>
        <v>0.249362348727411</v>
      </c>
    </row>
    <row r="2646" customFormat="false" ht="15" hidden="false" customHeight="false" outlineLevel="0" collapsed="false">
      <c r="A2646" s="15" t="s">
        <v>2703</v>
      </c>
      <c r="B2646" s="16" t="n">
        <v>45209</v>
      </c>
      <c r="C2646" s="15" t="s">
        <v>71</v>
      </c>
      <c r="D2646" s="15" t="s">
        <v>42</v>
      </c>
      <c r="E2646" s="15" t="s">
        <v>37</v>
      </c>
      <c r="F2646" s="15" t="s">
        <v>17</v>
      </c>
      <c r="G2646" s="15" t="s">
        <v>28</v>
      </c>
      <c r="H2646" s="15" t="n">
        <v>3</v>
      </c>
      <c r="I2646" s="17" t="n">
        <v>0</v>
      </c>
      <c r="J2646" s="18" t="n">
        <v>97.01</v>
      </c>
      <c r="K2646" s="19" t="n">
        <v>29.63</v>
      </c>
      <c r="L2646" s="15" t="n">
        <f aca="false">YEAR(B2646)</f>
        <v>2023</v>
      </c>
      <c r="M2646" s="20" t="n">
        <f aca="false">IF(J2646&gt;0,K2646/J2646,0)</f>
        <v>0.305432429646428</v>
      </c>
    </row>
    <row r="2647" customFormat="false" ht="15" hidden="false" customHeight="false" outlineLevel="0" collapsed="false">
      <c r="A2647" s="15" t="s">
        <v>2704</v>
      </c>
      <c r="B2647" s="16" t="n">
        <v>44714</v>
      </c>
      <c r="C2647" s="15" t="s">
        <v>56</v>
      </c>
      <c r="D2647" s="15" t="s">
        <v>42</v>
      </c>
      <c r="E2647" s="15" t="s">
        <v>37</v>
      </c>
      <c r="F2647" s="15" t="s">
        <v>18</v>
      </c>
      <c r="G2647" s="15" t="s">
        <v>24</v>
      </c>
      <c r="H2647" s="15" t="n">
        <v>4</v>
      </c>
      <c r="I2647" s="17" t="n">
        <v>0.4</v>
      </c>
      <c r="J2647" s="18" t="n">
        <v>2021.27</v>
      </c>
      <c r="K2647" s="19" t="n">
        <v>-589.21</v>
      </c>
      <c r="L2647" s="15" t="n">
        <f aca="false">YEAR(B2647)</f>
        <v>2022</v>
      </c>
      <c r="M2647" s="20" t="n">
        <f aca="false">IF(J2647&gt;0,K2647/J2647,0)</f>
        <v>-0.291504845963182</v>
      </c>
    </row>
    <row r="2648" customFormat="false" ht="15" hidden="false" customHeight="false" outlineLevel="0" collapsed="false">
      <c r="A2648" s="15" t="s">
        <v>2705</v>
      </c>
      <c r="B2648" s="16" t="n">
        <v>45176</v>
      </c>
      <c r="C2648" s="15" t="s">
        <v>71</v>
      </c>
      <c r="D2648" s="15" t="s">
        <v>43</v>
      </c>
      <c r="E2648" s="15" t="s">
        <v>36</v>
      </c>
      <c r="F2648" s="15" t="s">
        <v>17</v>
      </c>
      <c r="G2648" s="15" t="s">
        <v>26</v>
      </c>
      <c r="H2648" s="15" t="n">
        <v>4</v>
      </c>
      <c r="I2648" s="17" t="n">
        <v>0.05</v>
      </c>
      <c r="J2648" s="18" t="n">
        <v>324.49</v>
      </c>
      <c r="K2648" s="19" t="n">
        <v>21.87</v>
      </c>
      <c r="L2648" s="15" t="n">
        <f aca="false">YEAR(B2648)</f>
        <v>2023</v>
      </c>
      <c r="M2648" s="20" t="n">
        <f aca="false">IF(J2648&gt;0,K2648/J2648,0)</f>
        <v>0.0673980708188234</v>
      </c>
    </row>
    <row r="2649" customFormat="false" ht="15" hidden="false" customHeight="false" outlineLevel="0" collapsed="false">
      <c r="A2649" s="15" t="s">
        <v>2706</v>
      </c>
      <c r="B2649" s="16" t="n">
        <v>44904</v>
      </c>
      <c r="C2649" s="15" t="s">
        <v>71</v>
      </c>
      <c r="D2649" s="15" t="s">
        <v>42</v>
      </c>
      <c r="E2649" s="15" t="s">
        <v>39</v>
      </c>
      <c r="F2649" s="15" t="s">
        <v>18</v>
      </c>
      <c r="G2649" s="15" t="s">
        <v>30</v>
      </c>
      <c r="H2649" s="15" t="n">
        <v>3</v>
      </c>
      <c r="I2649" s="17" t="n">
        <v>0.1</v>
      </c>
      <c r="J2649" s="18" t="n">
        <v>148.59</v>
      </c>
      <c r="K2649" s="19" t="n">
        <v>36.28</v>
      </c>
      <c r="L2649" s="15" t="n">
        <f aca="false">YEAR(B2649)</f>
        <v>2022</v>
      </c>
      <c r="M2649" s="20" t="n">
        <f aca="false">IF(J2649&gt;0,K2649/J2649,0)</f>
        <v>0.244161787468874</v>
      </c>
    </row>
    <row r="2650" customFormat="false" ht="15" hidden="false" customHeight="false" outlineLevel="0" collapsed="false">
      <c r="A2650" s="15" t="s">
        <v>2707</v>
      </c>
      <c r="B2650" s="16" t="n">
        <v>44991</v>
      </c>
      <c r="C2650" s="15" t="s">
        <v>56</v>
      </c>
      <c r="D2650" s="15" t="s">
        <v>44</v>
      </c>
      <c r="E2650" s="15" t="s">
        <v>37</v>
      </c>
      <c r="F2650" s="15" t="s">
        <v>18</v>
      </c>
      <c r="G2650" s="15" t="s">
        <v>30</v>
      </c>
      <c r="H2650" s="15" t="n">
        <v>6</v>
      </c>
      <c r="I2650" s="17" t="n">
        <v>0</v>
      </c>
      <c r="J2650" s="18" t="n">
        <v>398.08</v>
      </c>
      <c r="K2650" s="19" t="n">
        <v>106.4</v>
      </c>
      <c r="L2650" s="15" t="n">
        <f aca="false">YEAR(B2650)</f>
        <v>2023</v>
      </c>
      <c r="M2650" s="20" t="n">
        <f aca="false">IF(J2650&gt;0,K2650/J2650,0)</f>
        <v>0.267282958199357</v>
      </c>
    </row>
    <row r="2651" customFormat="false" ht="15" hidden="false" customHeight="false" outlineLevel="0" collapsed="false">
      <c r="A2651" s="15" t="s">
        <v>2708</v>
      </c>
      <c r="B2651" s="16" t="n">
        <v>45589</v>
      </c>
      <c r="C2651" s="15" t="s">
        <v>71</v>
      </c>
      <c r="D2651" s="15" t="s">
        <v>43</v>
      </c>
      <c r="E2651" s="15" t="s">
        <v>37</v>
      </c>
      <c r="F2651" s="15" t="s">
        <v>16</v>
      </c>
      <c r="G2651" s="15" t="s">
        <v>25</v>
      </c>
      <c r="H2651" s="15" t="n">
        <v>5</v>
      </c>
      <c r="I2651" s="17" t="n">
        <v>0.1</v>
      </c>
      <c r="J2651" s="18" t="n">
        <v>1254.84</v>
      </c>
      <c r="K2651" s="19" t="n">
        <v>-42.1</v>
      </c>
      <c r="L2651" s="15" t="n">
        <f aca="false">YEAR(B2651)</f>
        <v>2024</v>
      </c>
      <c r="M2651" s="20" t="n">
        <f aca="false">IF(J2651&gt;0,K2651/J2651,0)</f>
        <v>-0.033550094035893</v>
      </c>
    </row>
    <row r="2652" customFormat="false" ht="15" hidden="false" customHeight="false" outlineLevel="0" collapsed="false">
      <c r="A2652" s="15" t="s">
        <v>2709</v>
      </c>
      <c r="B2652" s="16" t="n">
        <v>45180</v>
      </c>
      <c r="C2652" s="15" t="s">
        <v>71</v>
      </c>
      <c r="D2652" s="15" t="s">
        <v>42</v>
      </c>
      <c r="E2652" s="15" t="s">
        <v>37</v>
      </c>
      <c r="F2652" s="15" t="s">
        <v>18</v>
      </c>
      <c r="G2652" s="15" t="s">
        <v>30</v>
      </c>
      <c r="H2652" s="15" t="n">
        <v>5</v>
      </c>
      <c r="I2652" s="17" t="n">
        <v>0</v>
      </c>
      <c r="J2652" s="18" t="n">
        <v>223.29</v>
      </c>
      <c r="K2652" s="19" t="n">
        <v>76.38</v>
      </c>
      <c r="L2652" s="15" t="n">
        <f aca="false">YEAR(B2652)</f>
        <v>2023</v>
      </c>
      <c r="M2652" s="20" t="n">
        <f aca="false">IF(J2652&gt;0,K2652/J2652,0)</f>
        <v>0.342066371086927</v>
      </c>
    </row>
    <row r="2653" customFormat="false" ht="15" hidden="false" customHeight="false" outlineLevel="0" collapsed="false">
      <c r="A2653" s="15" t="s">
        <v>2710</v>
      </c>
      <c r="B2653" s="16" t="n">
        <v>45527</v>
      </c>
      <c r="C2653" s="15" t="s">
        <v>58</v>
      </c>
      <c r="D2653" s="15" t="s">
        <v>43</v>
      </c>
      <c r="E2653" s="15" t="s">
        <v>37</v>
      </c>
      <c r="F2653" s="15" t="s">
        <v>17</v>
      </c>
      <c r="G2653" s="15" t="s">
        <v>28</v>
      </c>
      <c r="H2653" s="15" t="n">
        <v>3</v>
      </c>
      <c r="I2653" s="17" t="n">
        <v>0</v>
      </c>
      <c r="J2653" s="18" t="n">
        <v>86.58</v>
      </c>
      <c r="K2653" s="19" t="n">
        <v>21.16</v>
      </c>
      <c r="L2653" s="15" t="n">
        <f aca="false">YEAR(B2653)</f>
        <v>2024</v>
      </c>
      <c r="M2653" s="20" t="n">
        <f aca="false">IF(J2653&gt;0,K2653/J2653,0)</f>
        <v>0.244398244398244</v>
      </c>
    </row>
    <row r="2654" customFormat="false" ht="15" hidden="false" customHeight="false" outlineLevel="0" collapsed="false">
      <c r="A2654" s="15" t="s">
        <v>2711</v>
      </c>
      <c r="B2654" s="16" t="n">
        <v>44583</v>
      </c>
      <c r="C2654" s="15" t="s">
        <v>71</v>
      </c>
      <c r="D2654" s="15" t="s">
        <v>42</v>
      </c>
      <c r="E2654" s="15" t="s">
        <v>38</v>
      </c>
      <c r="F2654" s="15" t="s">
        <v>18</v>
      </c>
      <c r="G2654" s="15" t="s">
        <v>32</v>
      </c>
      <c r="H2654" s="15" t="n">
        <v>4</v>
      </c>
      <c r="I2654" s="17" t="n">
        <v>0.3</v>
      </c>
      <c r="J2654" s="18" t="n">
        <v>1085.24</v>
      </c>
      <c r="K2654" s="19" t="n">
        <v>-109.37</v>
      </c>
      <c r="L2654" s="15" t="n">
        <f aca="false">YEAR(B2654)</f>
        <v>2022</v>
      </c>
      <c r="M2654" s="20" t="n">
        <f aca="false">IF(J2654&gt;0,K2654/J2654,0)</f>
        <v>-0.100779551067045</v>
      </c>
    </row>
    <row r="2655" customFormat="false" ht="15" hidden="false" customHeight="false" outlineLevel="0" collapsed="false">
      <c r="A2655" s="15" t="s">
        <v>2712</v>
      </c>
      <c r="B2655" s="16" t="n">
        <v>45574</v>
      </c>
      <c r="C2655" s="15" t="s">
        <v>71</v>
      </c>
      <c r="D2655" s="15" t="s">
        <v>42</v>
      </c>
      <c r="E2655" s="15" t="s">
        <v>38</v>
      </c>
      <c r="F2655" s="15" t="s">
        <v>17</v>
      </c>
      <c r="G2655" s="15" t="s">
        <v>28</v>
      </c>
      <c r="H2655" s="15" t="n">
        <v>3</v>
      </c>
      <c r="I2655" s="17" t="n">
        <v>0.05</v>
      </c>
      <c r="J2655" s="18" t="n">
        <v>61.7</v>
      </c>
      <c r="K2655" s="19" t="n">
        <v>17.93</v>
      </c>
      <c r="L2655" s="15" t="n">
        <f aca="false">YEAR(B2655)</f>
        <v>2024</v>
      </c>
      <c r="M2655" s="20" t="n">
        <f aca="false">IF(J2655&gt;0,K2655/J2655,0)</f>
        <v>0.290599675850891</v>
      </c>
    </row>
    <row r="2656" customFormat="false" ht="15" hidden="false" customHeight="false" outlineLevel="0" collapsed="false">
      <c r="A2656" s="15" t="s">
        <v>2713</v>
      </c>
      <c r="B2656" s="16" t="n">
        <v>45751</v>
      </c>
      <c r="C2656" s="15" t="s">
        <v>56</v>
      </c>
      <c r="D2656" s="15" t="s">
        <v>43</v>
      </c>
      <c r="E2656" s="15" t="s">
        <v>39</v>
      </c>
      <c r="F2656" s="15" t="s">
        <v>17</v>
      </c>
      <c r="G2656" s="15" t="s">
        <v>26</v>
      </c>
      <c r="H2656" s="15" t="n">
        <v>3</v>
      </c>
      <c r="I2656" s="17" t="n">
        <v>0</v>
      </c>
      <c r="J2656" s="18" t="n">
        <v>336.67</v>
      </c>
      <c r="K2656" s="19" t="n">
        <v>43.96</v>
      </c>
      <c r="L2656" s="15" t="n">
        <f aca="false">YEAR(B2656)</f>
        <v>2025</v>
      </c>
      <c r="M2656" s="20" t="n">
        <f aca="false">IF(J2656&gt;0,K2656/J2656,0)</f>
        <v>0.130572964624113</v>
      </c>
    </row>
    <row r="2657" customFormat="false" ht="15" hidden="false" customHeight="false" outlineLevel="0" collapsed="false">
      <c r="A2657" s="15" t="s">
        <v>2714</v>
      </c>
      <c r="B2657" s="16" t="n">
        <v>45023</v>
      </c>
      <c r="C2657" s="15" t="s">
        <v>56</v>
      </c>
      <c r="D2657" s="15" t="s">
        <v>43</v>
      </c>
      <c r="E2657" s="15" t="s">
        <v>39</v>
      </c>
      <c r="F2657" s="15" t="s">
        <v>18</v>
      </c>
      <c r="G2657" s="15" t="s">
        <v>30</v>
      </c>
      <c r="H2657" s="15" t="n">
        <v>7</v>
      </c>
      <c r="I2657" s="17" t="n">
        <v>0.2</v>
      </c>
      <c r="J2657" s="18" t="n">
        <v>311</v>
      </c>
      <c r="K2657" s="19" t="n">
        <v>14.42</v>
      </c>
      <c r="L2657" s="15" t="n">
        <f aca="false">YEAR(B2657)</f>
        <v>2023</v>
      </c>
      <c r="M2657" s="20" t="n">
        <f aca="false">IF(J2657&gt;0,K2657/J2657,0)</f>
        <v>0.0463665594855306</v>
      </c>
    </row>
    <row r="2658" customFormat="false" ht="15" hidden="false" customHeight="false" outlineLevel="0" collapsed="false">
      <c r="A2658" s="15" t="s">
        <v>2715</v>
      </c>
      <c r="B2658" s="16" t="n">
        <v>45601</v>
      </c>
      <c r="C2658" s="15" t="s">
        <v>56</v>
      </c>
      <c r="D2658" s="15" t="s">
        <v>42</v>
      </c>
      <c r="E2658" s="15" t="s">
        <v>37</v>
      </c>
      <c r="F2658" s="15" t="s">
        <v>16</v>
      </c>
      <c r="G2658" s="15" t="s">
        <v>25</v>
      </c>
      <c r="H2658" s="15" t="n">
        <v>1</v>
      </c>
      <c r="I2658" s="17" t="n">
        <v>0.3</v>
      </c>
      <c r="J2658" s="18" t="n">
        <v>172.36</v>
      </c>
      <c r="K2658" s="19" t="n">
        <v>-28.76</v>
      </c>
      <c r="L2658" s="15" t="n">
        <f aca="false">YEAR(B2658)</f>
        <v>2024</v>
      </c>
      <c r="M2658" s="20" t="n">
        <f aca="false">IF(J2658&gt;0,K2658/J2658,0)</f>
        <v>-0.166860060338826</v>
      </c>
    </row>
    <row r="2659" customFormat="false" ht="15" hidden="false" customHeight="false" outlineLevel="0" collapsed="false">
      <c r="A2659" s="15" t="s">
        <v>2716</v>
      </c>
      <c r="B2659" s="16" t="n">
        <v>45951</v>
      </c>
      <c r="C2659" s="15" t="s">
        <v>71</v>
      </c>
      <c r="D2659" s="15" t="s">
        <v>44</v>
      </c>
      <c r="E2659" s="15" t="s">
        <v>39</v>
      </c>
      <c r="F2659" s="15" t="s">
        <v>16</v>
      </c>
      <c r="G2659" s="15" t="s">
        <v>25</v>
      </c>
      <c r="H2659" s="15" t="n">
        <v>3</v>
      </c>
      <c r="I2659" s="17" t="n">
        <v>0</v>
      </c>
      <c r="J2659" s="18" t="n">
        <v>999.56</v>
      </c>
      <c r="K2659" s="19" t="n">
        <v>73.95</v>
      </c>
      <c r="L2659" s="15" t="n">
        <f aca="false">YEAR(B2659)</f>
        <v>2025</v>
      </c>
      <c r="M2659" s="20" t="n">
        <f aca="false">IF(J2659&gt;0,K2659/J2659,0)</f>
        <v>0.0739825523230221</v>
      </c>
    </row>
    <row r="2660" customFormat="false" ht="15" hidden="false" customHeight="false" outlineLevel="0" collapsed="false">
      <c r="A2660" s="15" t="s">
        <v>2717</v>
      </c>
      <c r="B2660" s="16" t="n">
        <v>44668</v>
      </c>
      <c r="C2660" s="15" t="s">
        <v>68</v>
      </c>
      <c r="D2660" s="15" t="s">
        <v>42</v>
      </c>
      <c r="E2660" s="15" t="s">
        <v>36</v>
      </c>
      <c r="F2660" s="15" t="s">
        <v>17</v>
      </c>
      <c r="G2660" s="15" t="s">
        <v>28</v>
      </c>
      <c r="H2660" s="15" t="n">
        <v>1</v>
      </c>
      <c r="I2660" s="17" t="n">
        <v>0</v>
      </c>
      <c r="J2660" s="18" t="n">
        <v>21.34</v>
      </c>
      <c r="K2660" s="19" t="n">
        <v>5.73</v>
      </c>
      <c r="L2660" s="15" t="n">
        <f aca="false">YEAR(B2660)</f>
        <v>2022</v>
      </c>
      <c r="M2660" s="20" t="n">
        <f aca="false">IF(J2660&gt;0,K2660/J2660,0)</f>
        <v>0.268509840674789</v>
      </c>
    </row>
    <row r="2661" customFormat="false" ht="15" hidden="false" customHeight="false" outlineLevel="0" collapsed="false">
      <c r="A2661" s="15" t="s">
        <v>2718</v>
      </c>
      <c r="B2661" s="16" t="n">
        <v>45916</v>
      </c>
      <c r="C2661" s="15" t="s">
        <v>56</v>
      </c>
      <c r="D2661" s="15" t="s">
        <v>44</v>
      </c>
      <c r="E2661" s="15" t="s">
        <v>37</v>
      </c>
      <c r="F2661" s="15" t="s">
        <v>16</v>
      </c>
      <c r="G2661" s="15" t="s">
        <v>23</v>
      </c>
      <c r="H2661" s="15" t="n">
        <v>6</v>
      </c>
      <c r="I2661" s="17" t="n">
        <v>0</v>
      </c>
      <c r="J2661" s="18" t="n">
        <v>1743.11</v>
      </c>
      <c r="K2661" s="19" t="n">
        <v>34.86</v>
      </c>
      <c r="L2661" s="15" t="n">
        <f aca="false">YEAR(B2661)</f>
        <v>2025</v>
      </c>
      <c r="M2661" s="20" t="n">
        <f aca="false">IF(J2661&gt;0,K2661/J2661,0)</f>
        <v>0.0199987378880277</v>
      </c>
    </row>
    <row r="2662" customFormat="false" ht="15" hidden="false" customHeight="false" outlineLevel="0" collapsed="false">
      <c r="A2662" s="15" t="s">
        <v>2719</v>
      </c>
      <c r="B2662" s="16" t="n">
        <v>45310</v>
      </c>
      <c r="C2662" s="15" t="s">
        <v>56</v>
      </c>
      <c r="D2662" s="15" t="s">
        <v>43</v>
      </c>
      <c r="E2662" s="15" t="s">
        <v>36</v>
      </c>
      <c r="F2662" s="15" t="s">
        <v>17</v>
      </c>
      <c r="G2662" s="15" t="s">
        <v>29</v>
      </c>
      <c r="H2662" s="15" t="n">
        <v>2</v>
      </c>
      <c r="I2662" s="17" t="n">
        <v>0</v>
      </c>
      <c r="J2662" s="18" t="n">
        <v>37.67</v>
      </c>
      <c r="K2662" s="19" t="n">
        <v>15.3</v>
      </c>
      <c r="L2662" s="15" t="n">
        <f aca="false">YEAR(B2662)</f>
        <v>2024</v>
      </c>
      <c r="M2662" s="20" t="n">
        <f aca="false">IF(J2662&gt;0,K2662/J2662,0)</f>
        <v>0.406158747013539</v>
      </c>
    </row>
    <row r="2663" customFormat="false" ht="15" hidden="false" customHeight="false" outlineLevel="0" collapsed="false">
      <c r="A2663" s="15" t="s">
        <v>2720</v>
      </c>
      <c r="B2663" s="16" t="n">
        <v>45037</v>
      </c>
      <c r="C2663" s="15" t="s">
        <v>58</v>
      </c>
      <c r="D2663" s="15" t="s">
        <v>43</v>
      </c>
      <c r="E2663" s="15" t="s">
        <v>38</v>
      </c>
      <c r="F2663" s="15" t="s">
        <v>17</v>
      </c>
      <c r="G2663" s="15" t="s">
        <v>31</v>
      </c>
      <c r="H2663" s="15" t="n">
        <v>4</v>
      </c>
      <c r="I2663" s="17" t="n">
        <v>0</v>
      </c>
      <c r="J2663" s="18" t="n">
        <v>572</v>
      </c>
      <c r="K2663" s="19" t="n">
        <v>129.33</v>
      </c>
      <c r="L2663" s="15" t="n">
        <f aca="false">YEAR(B2663)</f>
        <v>2023</v>
      </c>
      <c r="M2663" s="20" t="n">
        <f aca="false">IF(J2663&gt;0,K2663/J2663,0)</f>
        <v>0.226101398601399</v>
      </c>
    </row>
    <row r="2664" customFormat="false" ht="15" hidden="false" customHeight="false" outlineLevel="0" collapsed="false">
      <c r="A2664" s="15" t="s">
        <v>2721</v>
      </c>
      <c r="B2664" s="16" t="n">
        <v>45630</v>
      </c>
      <c r="C2664" s="15" t="s">
        <v>56</v>
      </c>
      <c r="D2664" s="15" t="s">
        <v>44</v>
      </c>
      <c r="E2664" s="15" t="s">
        <v>39</v>
      </c>
      <c r="F2664" s="15" t="s">
        <v>17</v>
      </c>
      <c r="G2664" s="15" t="s">
        <v>26</v>
      </c>
      <c r="H2664" s="15" t="n">
        <v>1</v>
      </c>
      <c r="I2664" s="17" t="n">
        <v>0.2</v>
      </c>
      <c r="J2664" s="18" t="n">
        <v>61.56</v>
      </c>
      <c r="K2664" s="19" t="n">
        <v>-4.58</v>
      </c>
      <c r="L2664" s="15" t="n">
        <f aca="false">YEAR(B2664)</f>
        <v>2024</v>
      </c>
      <c r="M2664" s="20" t="n">
        <f aca="false">IF(J2664&gt;0,K2664/J2664,0)</f>
        <v>-0.0743989603638726</v>
      </c>
    </row>
    <row r="2665" customFormat="false" ht="15" hidden="false" customHeight="false" outlineLevel="0" collapsed="false">
      <c r="A2665" s="15" t="s">
        <v>2722</v>
      </c>
      <c r="B2665" s="16" t="n">
        <v>44865</v>
      </c>
      <c r="C2665" s="15" t="s">
        <v>71</v>
      </c>
      <c r="D2665" s="15" t="s">
        <v>43</v>
      </c>
      <c r="E2665" s="15" t="s">
        <v>39</v>
      </c>
      <c r="F2665" s="15" t="s">
        <v>17</v>
      </c>
      <c r="G2665" s="15" t="s">
        <v>29</v>
      </c>
      <c r="H2665" s="15" t="n">
        <v>3</v>
      </c>
      <c r="I2665" s="17" t="n">
        <v>0.4</v>
      </c>
      <c r="J2665" s="18" t="n">
        <v>36.13</v>
      </c>
      <c r="K2665" s="19" t="n">
        <v>-1.77</v>
      </c>
      <c r="L2665" s="15" t="n">
        <f aca="false">YEAR(B2665)</f>
        <v>2022</v>
      </c>
      <c r="M2665" s="20" t="n">
        <f aca="false">IF(J2665&gt;0,K2665/J2665,0)</f>
        <v>-0.0489897592028785</v>
      </c>
    </row>
    <row r="2666" customFormat="false" ht="15" hidden="false" customHeight="false" outlineLevel="0" collapsed="false">
      <c r="A2666" s="15" t="s">
        <v>2723</v>
      </c>
      <c r="B2666" s="16" t="n">
        <v>44641</v>
      </c>
      <c r="C2666" s="15" t="s">
        <v>56</v>
      </c>
      <c r="D2666" s="15" t="s">
        <v>42</v>
      </c>
      <c r="E2666" s="15" t="s">
        <v>37</v>
      </c>
      <c r="F2666" s="15" t="s">
        <v>18</v>
      </c>
      <c r="G2666" s="15" t="s">
        <v>30</v>
      </c>
      <c r="H2666" s="15" t="n">
        <v>5</v>
      </c>
      <c r="I2666" s="17" t="n">
        <v>0</v>
      </c>
      <c r="J2666" s="18" t="n">
        <v>240.6</v>
      </c>
      <c r="K2666" s="19" t="n">
        <v>72.11</v>
      </c>
      <c r="L2666" s="15" t="n">
        <f aca="false">YEAR(B2666)</f>
        <v>2022</v>
      </c>
      <c r="M2666" s="20" t="n">
        <f aca="false">IF(J2666&gt;0,K2666/J2666,0)</f>
        <v>0.299709060681629</v>
      </c>
    </row>
    <row r="2667" customFormat="false" ht="15" hidden="false" customHeight="false" outlineLevel="0" collapsed="false">
      <c r="A2667" s="15" t="s">
        <v>2724</v>
      </c>
      <c r="B2667" s="16" t="n">
        <v>45770</v>
      </c>
      <c r="C2667" s="15" t="s">
        <v>56</v>
      </c>
      <c r="D2667" s="15" t="s">
        <v>42</v>
      </c>
      <c r="E2667" s="15" t="s">
        <v>38</v>
      </c>
      <c r="F2667" s="15" t="s">
        <v>18</v>
      </c>
      <c r="G2667" s="15" t="s">
        <v>30</v>
      </c>
      <c r="H2667" s="15" t="n">
        <v>4</v>
      </c>
      <c r="I2667" s="17" t="n">
        <v>0.1</v>
      </c>
      <c r="J2667" s="18" t="n">
        <v>137.43</v>
      </c>
      <c r="K2667" s="19" t="n">
        <v>28.75</v>
      </c>
      <c r="L2667" s="15" t="n">
        <f aca="false">YEAR(B2667)</f>
        <v>2025</v>
      </c>
      <c r="M2667" s="20" t="n">
        <f aca="false">IF(J2667&gt;0,K2667/J2667,0)</f>
        <v>0.209197409590337</v>
      </c>
    </row>
    <row r="2668" customFormat="false" ht="15" hidden="false" customHeight="false" outlineLevel="0" collapsed="false">
      <c r="A2668" s="15" t="s">
        <v>2725</v>
      </c>
      <c r="B2668" s="16" t="n">
        <v>45979</v>
      </c>
      <c r="C2668" s="15" t="s">
        <v>56</v>
      </c>
      <c r="D2668" s="15" t="s">
        <v>43</v>
      </c>
      <c r="E2668" s="15" t="s">
        <v>36</v>
      </c>
      <c r="F2668" s="15" t="s">
        <v>17</v>
      </c>
      <c r="G2668" s="15" t="s">
        <v>29</v>
      </c>
      <c r="H2668" s="15" t="n">
        <v>5</v>
      </c>
      <c r="I2668" s="17" t="n">
        <v>0</v>
      </c>
      <c r="J2668" s="18" t="n">
        <v>87.9</v>
      </c>
      <c r="K2668" s="19" t="n">
        <v>34.4</v>
      </c>
      <c r="L2668" s="15" t="n">
        <f aca="false">YEAR(B2668)</f>
        <v>2025</v>
      </c>
      <c r="M2668" s="20" t="n">
        <f aca="false">IF(J2668&gt;0,K2668/J2668,0)</f>
        <v>0.391353811149033</v>
      </c>
    </row>
    <row r="2669" customFormat="false" ht="15" hidden="false" customHeight="false" outlineLevel="0" collapsed="false">
      <c r="A2669" s="15" t="s">
        <v>2726</v>
      </c>
      <c r="B2669" s="16" t="n">
        <v>44881</v>
      </c>
      <c r="C2669" s="15" t="s">
        <v>56</v>
      </c>
      <c r="D2669" s="15" t="s">
        <v>42</v>
      </c>
      <c r="E2669" s="15" t="s">
        <v>36</v>
      </c>
      <c r="F2669" s="15" t="s">
        <v>17</v>
      </c>
      <c r="G2669" s="15" t="s">
        <v>28</v>
      </c>
      <c r="H2669" s="15" t="n">
        <v>4</v>
      </c>
      <c r="I2669" s="17" t="n">
        <v>0.1</v>
      </c>
      <c r="J2669" s="18" t="n">
        <v>84.81</v>
      </c>
      <c r="K2669" s="19" t="n">
        <v>18.26</v>
      </c>
      <c r="L2669" s="15" t="n">
        <f aca="false">YEAR(B2669)</f>
        <v>2022</v>
      </c>
      <c r="M2669" s="20" t="n">
        <f aca="false">IF(J2669&gt;0,K2669/J2669,0)</f>
        <v>0.215304798962387</v>
      </c>
    </row>
    <row r="2670" customFormat="false" ht="15" hidden="false" customHeight="false" outlineLevel="0" collapsed="false">
      <c r="A2670" s="15" t="s">
        <v>2727</v>
      </c>
      <c r="B2670" s="16" t="n">
        <v>45974</v>
      </c>
      <c r="C2670" s="15" t="s">
        <v>56</v>
      </c>
      <c r="D2670" s="15" t="s">
        <v>42</v>
      </c>
      <c r="E2670" s="15" t="s">
        <v>38</v>
      </c>
      <c r="F2670" s="15" t="s">
        <v>17</v>
      </c>
      <c r="G2670" s="15" t="s">
        <v>31</v>
      </c>
      <c r="H2670" s="15" t="n">
        <v>4</v>
      </c>
      <c r="I2670" s="17" t="n">
        <v>0</v>
      </c>
      <c r="J2670" s="18" t="n">
        <v>453.43</v>
      </c>
      <c r="K2670" s="19" t="n">
        <v>90.25</v>
      </c>
      <c r="L2670" s="15" t="n">
        <f aca="false">YEAR(B2670)</f>
        <v>2025</v>
      </c>
      <c r="M2670" s="20" t="n">
        <f aca="false">IF(J2670&gt;0,K2670/J2670,0)</f>
        <v>0.199038440332576</v>
      </c>
    </row>
    <row r="2671" customFormat="false" ht="15" hidden="false" customHeight="false" outlineLevel="0" collapsed="false">
      <c r="A2671" s="15" t="s">
        <v>2728</v>
      </c>
      <c r="B2671" s="16" t="n">
        <v>45614</v>
      </c>
      <c r="C2671" s="15" t="s">
        <v>71</v>
      </c>
      <c r="D2671" s="15" t="s">
        <v>42</v>
      </c>
      <c r="E2671" s="15" t="s">
        <v>36</v>
      </c>
      <c r="F2671" s="15" t="s">
        <v>18</v>
      </c>
      <c r="G2671" s="15" t="s">
        <v>30</v>
      </c>
      <c r="H2671" s="15" t="n">
        <v>2</v>
      </c>
      <c r="I2671" s="17" t="n">
        <v>0</v>
      </c>
      <c r="J2671" s="18" t="n">
        <v>75.87</v>
      </c>
      <c r="K2671" s="19" t="n">
        <v>24.87</v>
      </c>
      <c r="L2671" s="15" t="n">
        <f aca="false">YEAR(B2671)</f>
        <v>2024</v>
      </c>
      <c r="M2671" s="20" t="n">
        <f aca="false">IF(J2671&gt;0,K2671/J2671,0)</f>
        <v>0.327797548438118</v>
      </c>
    </row>
    <row r="2672" customFormat="false" ht="15" hidden="false" customHeight="false" outlineLevel="0" collapsed="false">
      <c r="A2672" s="15" t="s">
        <v>2729</v>
      </c>
      <c r="B2672" s="16" t="n">
        <v>44898</v>
      </c>
      <c r="C2672" s="15" t="s">
        <v>56</v>
      </c>
      <c r="D2672" s="15" t="s">
        <v>43</v>
      </c>
      <c r="E2672" s="15" t="s">
        <v>36</v>
      </c>
      <c r="F2672" s="15" t="s">
        <v>17</v>
      </c>
      <c r="G2672" s="15" t="s">
        <v>29</v>
      </c>
      <c r="H2672" s="15" t="n">
        <v>4</v>
      </c>
      <c r="I2672" s="17" t="n">
        <v>0</v>
      </c>
      <c r="J2672" s="18" t="n">
        <v>60.13</v>
      </c>
      <c r="K2672" s="19" t="n">
        <v>23.37</v>
      </c>
      <c r="L2672" s="15" t="n">
        <f aca="false">YEAR(B2672)</f>
        <v>2022</v>
      </c>
      <c r="M2672" s="20" t="n">
        <f aca="false">IF(J2672&gt;0,K2672/J2672,0)</f>
        <v>0.38865790786629</v>
      </c>
    </row>
    <row r="2673" customFormat="false" ht="15" hidden="false" customHeight="false" outlineLevel="0" collapsed="false">
      <c r="A2673" s="15" t="s">
        <v>2730</v>
      </c>
      <c r="B2673" s="16" t="n">
        <v>45692</v>
      </c>
      <c r="C2673" s="15" t="s">
        <v>58</v>
      </c>
      <c r="D2673" s="15" t="s">
        <v>42</v>
      </c>
      <c r="E2673" s="15" t="s">
        <v>37</v>
      </c>
      <c r="F2673" s="15" t="s">
        <v>17</v>
      </c>
      <c r="G2673" s="15" t="s">
        <v>29</v>
      </c>
      <c r="H2673" s="15" t="n">
        <v>5</v>
      </c>
      <c r="I2673" s="17" t="n">
        <v>0</v>
      </c>
      <c r="J2673" s="18" t="n">
        <v>98.68</v>
      </c>
      <c r="K2673" s="19" t="n">
        <v>33.6</v>
      </c>
      <c r="L2673" s="15" t="n">
        <f aca="false">YEAR(B2673)</f>
        <v>2025</v>
      </c>
      <c r="M2673" s="20" t="n">
        <f aca="false">IF(J2673&gt;0,K2673/J2673,0)</f>
        <v>0.340494527766518</v>
      </c>
    </row>
    <row r="2674" customFormat="false" ht="15" hidden="false" customHeight="false" outlineLevel="0" collapsed="false">
      <c r="A2674" s="15" t="s">
        <v>2731</v>
      </c>
      <c r="B2674" s="16" t="n">
        <v>45301</v>
      </c>
      <c r="C2674" s="15" t="s">
        <v>56</v>
      </c>
      <c r="D2674" s="15" t="s">
        <v>42</v>
      </c>
      <c r="E2674" s="15" t="s">
        <v>39</v>
      </c>
      <c r="F2674" s="15" t="s">
        <v>18</v>
      </c>
      <c r="G2674" s="15" t="s">
        <v>30</v>
      </c>
      <c r="H2674" s="15" t="n">
        <v>3</v>
      </c>
      <c r="I2674" s="17" t="n">
        <v>0</v>
      </c>
      <c r="J2674" s="18" t="n">
        <v>136.39</v>
      </c>
      <c r="K2674" s="19" t="n">
        <v>46.86</v>
      </c>
      <c r="L2674" s="15" t="n">
        <f aca="false">YEAR(B2674)</f>
        <v>2024</v>
      </c>
      <c r="M2674" s="20" t="n">
        <f aca="false">IF(J2674&gt;0,K2674/J2674,0)</f>
        <v>0.34357357577535</v>
      </c>
    </row>
    <row r="2675" customFormat="false" ht="15" hidden="false" customHeight="false" outlineLevel="0" collapsed="false">
      <c r="A2675" s="15" t="s">
        <v>2732</v>
      </c>
      <c r="B2675" s="16" t="n">
        <v>45134</v>
      </c>
      <c r="C2675" s="15" t="s">
        <v>68</v>
      </c>
      <c r="D2675" s="15" t="s">
        <v>44</v>
      </c>
      <c r="E2675" s="15" t="s">
        <v>37</v>
      </c>
      <c r="F2675" s="15" t="s">
        <v>17</v>
      </c>
      <c r="G2675" s="15" t="s">
        <v>28</v>
      </c>
      <c r="H2675" s="15" t="n">
        <v>4</v>
      </c>
      <c r="I2675" s="17" t="n">
        <v>0</v>
      </c>
      <c r="J2675" s="18" t="n">
        <v>91.87</v>
      </c>
      <c r="K2675" s="19" t="n">
        <v>29.43</v>
      </c>
      <c r="L2675" s="15" t="n">
        <f aca="false">YEAR(B2675)</f>
        <v>2023</v>
      </c>
      <c r="M2675" s="20" t="n">
        <f aca="false">IF(J2675&gt;0,K2675/J2675,0)</f>
        <v>0.320343964297377</v>
      </c>
    </row>
    <row r="2676" customFormat="false" ht="15" hidden="false" customHeight="false" outlineLevel="0" collapsed="false">
      <c r="A2676" s="15" t="s">
        <v>2733</v>
      </c>
      <c r="B2676" s="16" t="n">
        <v>45975</v>
      </c>
      <c r="C2676" s="15" t="s">
        <v>71</v>
      </c>
      <c r="D2676" s="15" t="s">
        <v>42</v>
      </c>
      <c r="E2676" s="15" t="s">
        <v>37</v>
      </c>
      <c r="F2676" s="15" t="s">
        <v>18</v>
      </c>
      <c r="G2676" s="15" t="s">
        <v>30</v>
      </c>
      <c r="H2676" s="15" t="n">
        <v>5</v>
      </c>
      <c r="I2676" s="17" t="n">
        <v>0</v>
      </c>
      <c r="J2676" s="18" t="n">
        <v>263.11</v>
      </c>
      <c r="K2676" s="19" t="n">
        <v>54.11</v>
      </c>
      <c r="L2676" s="15" t="n">
        <f aca="false">YEAR(B2676)</f>
        <v>2025</v>
      </c>
      <c r="M2676" s="20" t="n">
        <f aca="false">IF(J2676&gt;0,K2676/J2676,0)</f>
        <v>0.20565542928813</v>
      </c>
    </row>
    <row r="2677" customFormat="false" ht="15" hidden="false" customHeight="false" outlineLevel="0" collapsed="false">
      <c r="A2677" s="15" t="s">
        <v>2734</v>
      </c>
      <c r="B2677" s="16" t="n">
        <v>44889</v>
      </c>
      <c r="C2677" s="15" t="s">
        <v>58</v>
      </c>
      <c r="D2677" s="15" t="s">
        <v>42</v>
      </c>
      <c r="E2677" s="15" t="s">
        <v>37</v>
      </c>
      <c r="F2677" s="15" t="s">
        <v>18</v>
      </c>
      <c r="G2677" s="15" t="s">
        <v>33</v>
      </c>
      <c r="H2677" s="15" t="n">
        <v>3</v>
      </c>
      <c r="I2677" s="17" t="n">
        <v>0.15</v>
      </c>
      <c r="J2677" s="18" t="n">
        <v>1970.11</v>
      </c>
      <c r="K2677" s="19" t="n">
        <v>349.07</v>
      </c>
      <c r="L2677" s="15" t="n">
        <f aca="false">YEAR(B2677)</f>
        <v>2022</v>
      </c>
      <c r="M2677" s="20" t="n">
        <f aca="false">IF(J2677&gt;0,K2677/J2677,0)</f>
        <v>0.177182999934014</v>
      </c>
    </row>
    <row r="2678" customFormat="false" ht="15" hidden="false" customHeight="false" outlineLevel="0" collapsed="false">
      <c r="A2678" s="15" t="s">
        <v>2735</v>
      </c>
      <c r="B2678" s="16" t="n">
        <v>45837</v>
      </c>
      <c r="C2678" s="15" t="s">
        <v>56</v>
      </c>
      <c r="D2678" s="15" t="s">
        <v>44</v>
      </c>
      <c r="E2678" s="15" t="s">
        <v>36</v>
      </c>
      <c r="F2678" s="15" t="s">
        <v>17</v>
      </c>
      <c r="G2678" s="15" t="s">
        <v>31</v>
      </c>
      <c r="H2678" s="15" t="n">
        <v>1</v>
      </c>
      <c r="I2678" s="17" t="n">
        <v>0</v>
      </c>
      <c r="J2678" s="18" t="n">
        <v>170.63</v>
      </c>
      <c r="K2678" s="19" t="n">
        <v>28.02</v>
      </c>
      <c r="L2678" s="15" t="n">
        <f aca="false">YEAR(B2678)</f>
        <v>2025</v>
      </c>
      <c r="M2678" s="20" t="n">
        <f aca="false">IF(J2678&gt;0,K2678/J2678,0)</f>
        <v>0.164214968059544</v>
      </c>
    </row>
    <row r="2679" customFormat="false" ht="15" hidden="false" customHeight="false" outlineLevel="0" collapsed="false">
      <c r="A2679" s="15" t="s">
        <v>2736</v>
      </c>
      <c r="B2679" s="16" t="n">
        <v>45765</v>
      </c>
      <c r="C2679" s="15" t="s">
        <v>56</v>
      </c>
      <c r="D2679" s="15" t="s">
        <v>44</v>
      </c>
      <c r="E2679" s="15" t="s">
        <v>36</v>
      </c>
      <c r="F2679" s="15" t="s">
        <v>17</v>
      </c>
      <c r="G2679" s="15" t="s">
        <v>29</v>
      </c>
      <c r="H2679" s="15" t="n">
        <v>5</v>
      </c>
      <c r="I2679" s="17" t="n">
        <v>0.3</v>
      </c>
      <c r="J2679" s="18" t="n">
        <v>54.61</v>
      </c>
      <c r="K2679" s="19" t="n">
        <v>6.42</v>
      </c>
      <c r="L2679" s="15" t="n">
        <f aca="false">YEAR(B2679)</f>
        <v>2025</v>
      </c>
      <c r="M2679" s="20" t="n">
        <f aca="false">IF(J2679&gt;0,K2679/J2679,0)</f>
        <v>0.117560886284563</v>
      </c>
    </row>
    <row r="2680" customFormat="false" ht="15" hidden="false" customHeight="false" outlineLevel="0" collapsed="false">
      <c r="A2680" s="15" t="s">
        <v>2737</v>
      </c>
      <c r="B2680" s="16" t="n">
        <v>44959</v>
      </c>
      <c r="C2680" s="15" t="s">
        <v>56</v>
      </c>
      <c r="D2680" s="15" t="s">
        <v>42</v>
      </c>
      <c r="E2680" s="15" t="s">
        <v>37</v>
      </c>
      <c r="F2680" s="15" t="s">
        <v>17</v>
      </c>
      <c r="G2680" s="15" t="s">
        <v>28</v>
      </c>
      <c r="H2680" s="15" t="n">
        <v>3</v>
      </c>
      <c r="I2680" s="17" t="n">
        <v>0.15</v>
      </c>
      <c r="J2680" s="18" t="n">
        <v>64.12</v>
      </c>
      <c r="K2680" s="19" t="n">
        <v>7.48</v>
      </c>
      <c r="L2680" s="15" t="n">
        <f aca="false">YEAR(B2680)</f>
        <v>2023</v>
      </c>
      <c r="M2680" s="20" t="n">
        <f aca="false">IF(J2680&gt;0,K2680/J2680,0)</f>
        <v>0.116656269494697</v>
      </c>
    </row>
    <row r="2681" customFormat="false" ht="15" hidden="false" customHeight="false" outlineLevel="0" collapsed="false">
      <c r="A2681" s="15" t="s">
        <v>2738</v>
      </c>
      <c r="B2681" s="16" t="n">
        <v>44934</v>
      </c>
      <c r="C2681" s="15" t="s">
        <v>56</v>
      </c>
      <c r="D2681" s="15" t="s">
        <v>44</v>
      </c>
      <c r="E2681" s="15" t="s">
        <v>37</v>
      </c>
      <c r="F2681" s="15" t="s">
        <v>17</v>
      </c>
      <c r="G2681" s="15" t="s">
        <v>26</v>
      </c>
      <c r="H2681" s="15" t="n">
        <v>1</v>
      </c>
      <c r="I2681" s="17" t="n">
        <v>0</v>
      </c>
      <c r="J2681" s="18" t="n">
        <v>86.45</v>
      </c>
      <c r="K2681" s="19" t="n">
        <v>7.12</v>
      </c>
      <c r="L2681" s="15" t="n">
        <f aca="false">YEAR(B2681)</f>
        <v>2023</v>
      </c>
      <c r="M2681" s="20" t="n">
        <f aca="false">IF(J2681&gt;0,K2681/J2681,0)</f>
        <v>0.0823597455176403</v>
      </c>
    </row>
    <row r="2682" customFormat="false" ht="15" hidden="false" customHeight="false" outlineLevel="0" collapsed="false">
      <c r="A2682" s="15" t="s">
        <v>2739</v>
      </c>
      <c r="B2682" s="16" t="n">
        <v>44673</v>
      </c>
      <c r="C2682" s="15" t="s">
        <v>56</v>
      </c>
      <c r="D2682" s="15" t="s">
        <v>43</v>
      </c>
      <c r="E2682" s="15" t="s">
        <v>39</v>
      </c>
      <c r="F2682" s="15" t="s">
        <v>17</v>
      </c>
      <c r="G2682" s="15" t="s">
        <v>28</v>
      </c>
      <c r="H2682" s="15" t="n">
        <v>4</v>
      </c>
      <c r="I2682" s="17" t="n">
        <v>0.05</v>
      </c>
      <c r="J2682" s="18" t="n">
        <v>114.91</v>
      </c>
      <c r="K2682" s="19" t="n">
        <v>25.75</v>
      </c>
      <c r="L2682" s="15" t="n">
        <f aca="false">YEAR(B2682)</f>
        <v>2022</v>
      </c>
      <c r="M2682" s="20" t="n">
        <f aca="false">IF(J2682&gt;0,K2682/J2682,0)</f>
        <v>0.224088417022017</v>
      </c>
    </row>
    <row r="2683" customFormat="false" ht="15" hidden="false" customHeight="false" outlineLevel="0" collapsed="false">
      <c r="A2683" s="15" t="s">
        <v>2740</v>
      </c>
      <c r="B2683" s="16" t="n">
        <v>45230</v>
      </c>
      <c r="C2683" s="15" t="s">
        <v>56</v>
      </c>
      <c r="D2683" s="15" t="s">
        <v>42</v>
      </c>
      <c r="E2683" s="15" t="s">
        <v>39</v>
      </c>
      <c r="F2683" s="15" t="s">
        <v>18</v>
      </c>
      <c r="G2683" s="15" t="s">
        <v>33</v>
      </c>
      <c r="H2683" s="15" t="n">
        <v>3</v>
      </c>
      <c r="I2683" s="17" t="n">
        <v>0.1</v>
      </c>
      <c r="J2683" s="18" t="n">
        <v>2677.32</v>
      </c>
      <c r="K2683" s="19" t="n">
        <v>633.27</v>
      </c>
      <c r="L2683" s="15" t="n">
        <f aca="false">YEAR(B2683)</f>
        <v>2023</v>
      </c>
      <c r="M2683" s="20" t="n">
        <f aca="false">IF(J2683&gt;0,K2683/J2683,0)</f>
        <v>0.23653130742683</v>
      </c>
    </row>
    <row r="2684" customFormat="false" ht="15" hidden="false" customHeight="false" outlineLevel="0" collapsed="false">
      <c r="A2684" s="15" t="s">
        <v>2741</v>
      </c>
      <c r="B2684" s="16" t="n">
        <v>45958</v>
      </c>
      <c r="C2684" s="15" t="s">
        <v>58</v>
      </c>
      <c r="D2684" s="15" t="s">
        <v>42</v>
      </c>
      <c r="E2684" s="15" t="s">
        <v>39</v>
      </c>
      <c r="F2684" s="15" t="s">
        <v>18</v>
      </c>
      <c r="G2684" s="15" t="s">
        <v>30</v>
      </c>
      <c r="H2684" s="15" t="n">
        <v>3</v>
      </c>
      <c r="I2684" s="17" t="n">
        <v>0</v>
      </c>
      <c r="J2684" s="18" t="n">
        <v>129.61</v>
      </c>
      <c r="K2684" s="19" t="n">
        <v>46.55</v>
      </c>
      <c r="L2684" s="15" t="n">
        <f aca="false">YEAR(B2684)</f>
        <v>2025</v>
      </c>
      <c r="M2684" s="20" t="n">
        <f aca="false">IF(J2684&gt;0,K2684/J2684,0)</f>
        <v>0.35915438623563</v>
      </c>
    </row>
    <row r="2685" customFormat="false" ht="15" hidden="false" customHeight="false" outlineLevel="0" collapsed="false">
      <c r="A2685" s="15" t="s">
        <v>2742</v>
      </c>
      <c r="B2685" s="16" t="n">
        <v>45656</v>
      </c>
      <c r="C2685" s="15" t="s">
        <v>56</v>
      </c>
      <c r="D2685" s="15" t="s">
        <v>43</v>
      </c>
      <c r="E2685" s="15" t="s">
        <v>38</v>
      </c>
      <c r="F2685" s="15" t="s">
        <v>17</v>
      </c>
      <c r="G2685" s="15" t="s">
        <v>29</v>
      </c>
      <c r="H2685" s="15" t="n">
        <v>4</v>
      </c>
      <c r="I2685" s="17" t="n">
        <v>0</v>
      </c>
      <c r="J2685" s="18" t="n">
        <v>67.69</v>
      </c>
      <c r="K2685" s="19" t="n">
        <v>22.74</v>
      </c>
      <c r="L2685" s="15" t="n">
        <f aca="false">YEAR(B2685)</f>
        <v>2024</v>
      </c>
      <c r="M2685" s="20" t="n">
        <f aca="false">IF(J2685&gt;0,K2685/J2685,0)</f>
        <v>0.335943270793323</v>
      </c>
    </row>
    <row r="2686" customFormat="false" ht="15" hidden="false" customHeight="false" outlineLevel="0" collapsed="false">
      <c r="A2686" s="15" t="s">
        <v>2743</v>
      </c>
      <c r="B2686" s="16" t="n">
        <v>45858</v>
      </c>
      <c r="C2686" s="15" t="s">
        <v>71</v>
      </c>
      <c r="D2686" s="15" t="s">
        <v>42</v>
      </c>
      <c r="E2686" s="15" t="s">
        <v>38</v>
      </c>
      <c r="F2686" s="15" t="s">
        <v>17</v>
      </c>
      <c r="G2686" s="15" t="s">
        <v>29</v>
      </c>
      <c r="H2686" s="15" t="n">
        <v>3</v>
      </c>
      <c r="I2686" s="17" t="n">
        <v>0</v>
      </c>
      <c r="J2686" s="18" t="n">
        <v>42.17</v>
      </c>
      <c r="K2686" s="19" t="n">
        <v>16.85</v>
      </c>
      <c r="L2686" s="15" t="n">
        <f aca="false">YEAR(B2686)</f>
        <v>2025</v>
      </c>
      <c r="M2686" s="20" t="n">
        <f aca="false">IF(J2686&gt;0,K2686/J2686,0)</f>
        <v>0.399573156272231</v>
      </c>
    </row>
    <row r="2687" customFormat="false" ht="15" hidden="false" customHeight="false" outlineLevel="0" collapsed="false">
      <c r="A2687" s="15" t="s">
        <v>2744</v>
      </c>
      <c r="B2687" s="16" t="n">
        <v>45022</v>
      </c>
      <c r="C2687" s="15" t="s">
        <v>71</v>
      </c>
      <c r="D2687" s="15" t="s">
        <v>42</v>
      </c>
      <c r="E2687" s="15" t="s">
        <v>39</v>
      </c>
      <c r="F2687" s="15" t="s">
        <v>18</v>
      </c>
      <c r="G2687" s="15" t="s">
        <v>30</v>
      </c>
      <c r="H2687" s="15" t="n">
        <v>3</v>
      </c>
      <c r="I2687" s="17" t="n">
        <v>0.15</v>
      </c>
      <c r="J2687" s="18" t="n">
        <v>122.53</v>
      </c>
      <c r="K2687" s="19" t="n">
        <v>27.18</v>
      </c>
      <c r="L2687" s="15" t="n">
        <f aca="false">YEAR(B2687)</f>
        <v>2023</v>
      </c>
      <c r="M2687" s="20" t="n">
        <f aca="false">IF(J2687&gt;0,K2687/J2687,0)</f>
        <v>0.221823226964825</v>
      </c>
    </row>
    <row r="2688" customFormat="false" ht="15" hidden="false" customHeight="false" outlineLevel="0" collapsed="false">
      <c r="A2688" s="15" t="s">
        <v>2745</v>
      </c>
      <c r="B2688" s="16" t="n">
        <v>45959</v>
      </c>
      <c r="C2688" s="15" t="s">
        <v>56</v>
      </c>
      <c r="D2688" s="15" t="s">
        <v>42</v>
      </c>
      <c r="E2688" s="15" t="s">
        <v>39</v>
      </c>
      <c r="F2688" s="15" t="s">
        <v>17</v>
      </c>
      <c r="G2688" s="15" t="s">
        <v>28</v>
      </c>
      <c r="H2688" s="15" t="n">
        <v>4</v>
      </c>
      <c r="I2688" s="17" t="n">
        <v>0.1</v>
      </c>
      <c r="J2688" s="18" t="n">
        <v>93.45</v>
      </c>
      <c r="K2688" s="19" t="n">
        <v>18.2</v>
      </c>
      <c r="L2688" s="15" t="n">
        <f aca="false">YEAR(B2688)</f>
        <v>2025</v>
      </c>
      <c r="M2688" s="20" t="n">
        <f aca="false">IF(J2688&gt;0,K2688/J2688,0)</f>
        <v>0.194756554307116</v>
      </c>
    </row>
    <row r="2689" customFormat="false" ht="15" hidden="false" customHeight="false" outlineLevel="0" collapsed="false">
      <c r="A2689" s="15" t="s">
        <v>2746</v>
      </c>
      <c r="B2689" s="16" t="n">
        <v>45110</v>
      </c>
      <c r="C2689" s="15" t="s">
        <v>71</v>
      </c>
      <c r="D2689" s="15" t="s">
        <v>42</v>
      </c>
      <c r="E2689" s="15" t="s">
        <v>39</v>
      </c>
      <c r="F2689" s="15" t="s">
        <v>16</v>
      </c>
      <c r="G2689" s="15" t="s">
        <v>27</v>
      </c>
      <c r="H2689" s="15" t="n">
        <v>5</v>
      </c>
      <c r="I2689" s="17" t="n">
        <v>0</v>
      </c>
      <c r="J2689" s="18" t="n">
        <v>272.38</v>
      </c>
      <c r="K2689" s="19" t="n">
        <v>48.51</v>
      </c>
      <c r="L2689" s="15" t="n">
        <f aca="false">YEAR(B2689)</f>
        <v>2023</v>
      </c>
      <c r="M2689" s="20" t="n">
        <f aca="false">IF(J2689&gt;0,K2689/J2689,0)</f>
        <v>0.178096776562156</v>
      </c>
    </row>
    <row r="2690" customFormat="false" ht="15" hidden="false" customHeight="false" outlineLevel="0" collapsed="false">
      <c r="A2690" s="15" t="s">
        <v>2747</v>
      </c>
      <c r="B2690" s="16" t="n">
        <v>45871</v>
      </c>
      <c r="C2690" s="15" t="s">
        <v>56</v>
      </c>
      <c r="D2690" s="15" t="s">
        <v>42</v>
      </c>
      <c r="E2690" s="15" t="s">
        <v>37</v>
      </c>
      <c r="F2690" s="15" t="s">
        <v>17</v>
      </c>
      <c r="G2690" s="15" t="s">
        <v>28</v>
      </c>
      <c r="H2690" s="15" t="n">
        <v>1</v>
      </c>
      <c r="I2690" s="17" t="n">
        <v>0</v>
      </c>
      <c r="J2690" s="18" t="n">
        <v>21.12</v>
      </c>
      <c r="K2690" s="19" t="n">
        <v>5.97</v>
      </c>
      <c r="L2690" s="15" t="n">
        <f aca="false">YEAR(B2690)</f>
        <v>2025</v>
      </c>
      <c r="M2690" s="20" t="n">
        <f aca="false">IF(J2690&gt;0,K2690/J2690,0)</f>
        <v>0.282670454545455</v>
      </c>
    </row>
    <row r="2691" customFormat="false" ht="15" hidden="false" customHeight="false" outlineLevel="0" collapsed="false">
      <c r="A2691" s="15" t="s">
        <v>2748</v>
      </c>
      <c r="B2691" s="16" t="n">
        <v>44659</v>
      </c>
      <c r="C2691" s="15" t="s">
        <v>56</v>
      </c>
      <c r="D2691" s="15" t="s">
        <v>43</v>
      </c>
      <c r="E2691" s="15" t="s">
        <v>37</v>
      </c>
      <c r="F2691" s="15" t="s">
        <v>17</v>
      </c>
      <c r="G2691" s="15" t="s">
        <v>31</v>
      </c>
      <c r="H2691" s="15" t="n">
        <v>5</v>
      </c>
      <c r="I2691" s="17" t="n">
        <v>0</v>
      </c>
      <c r="J2691" s="18" t="n">
        <v>811.3</v>
      </c>
      <c r="K2691" s="19" t="n">
        <v>217.44</v>
      </c>
      <c r="L2691" s="15" t="n">
        <f aca="false">YEAR(B2691)</f>
        <v>2022</v>
      </c>
      <c r="M2691" s="20" t="n">
        <f aca="false">IF(J2691&gt;0,K2691/J2691,0)</f>
        <v>0.268014298040182</v>
      </c>
    </row>
    <row r="2692" customFormat="false" ht="15" hidden="false" customHeight="false" outlineLevel="0" collapsed="false">
      <c r="A2692" s="15" t="s">
        <v>2749</v>
      </c>
      <c r="B2692" s="16" t="n">
        <v>45414</v>
      </c>
      <c r="C2692" s="15" t="s">
        <v>71</v>
      </c>
      <c r="D2692" s="15" t="s">
        <v>44</v>
      </c>
      <c r="E2692" s="15" t="s">
        <v>37</v>
      </c>
      <c r="F2692" s="15" t="s">
        <v>17</v>
      </c>
      <c r="G2692" s="15" t="s">
        <v>29</v>
      </c>
      <c r="H2692" s="15" t="n">
        <v>2</v>
      </c>
      <c r="I2692" s="17" t="n">
        <v>0</v>
      </c>
      <c r="J2692" s="18" t="n">
        <v>32.26</v>
      </c>
      <c r="K2692" s="19" t="n">
        <v>11.84</v>
      </c>
      <c r="L2692" s="15" t="n">
        <f aca="false">YEAR(B2692)</f>
        <v>2024</v>
      </c>
      <c r="M2692" s="20" t="n">
        <f aca="false">IF(J2692&gt;0,K2692/J2692,0)</f>
        <v>0.367017978921265</v>
      </c>
    </row>
    <row r="2693" customFormat="false" ht="15" hidden="false" customHeight="false" outlineLevel="0" collapsed="false">
      <c r="A2693" s="15" t="s">
        <v>2750</v>
      </c>
      <c r="B2693" s="16" t="n">
        <v>45077</v>
      </c>
      <c r="C2693" s="15" t="s">
        <v>56</v>
      </c>
      <c r="D2693" s="15" t="s">
        <v>42</v>
      </c>
      <c r="E2693" s="15" t="s">
        <v>39</v>
      </c>
      <c r="F2693" s="15" t="s">
        <v>17</v>
      </c>
      <c r="G2693" s="15" t="s">
        <v>31</v>
      </c>
      <c r="H2693" s="15" t="n">
        <v>3</v>
      </c>
      <c r="I2693" s="17" t="n">
        <v>0.4</v>
      </c>
      <c r="J2693" s="18" t="n">
        <v>254.9</v>
      </c>
      <c r="K2693" s="19" t="n">
        <v>-56.93</v>
      </c>
      <c r="L2693" s="15" t="n">
        <f aca="false">YEAR(B2693)</f>
        <v>2023</v>
      </c>
      <c r="M2693" s="20" t="n">
        <f aca="false">IF(J2693&gt;0,K2693/J2693,0)</f>
        <v>-0.223342487249902</v>
      </c>
    </row>
    <row r="2694" customFormat="false" ht="15" hidden="false" customHeight="false" outlineLevel="0" collapsed="false">
      <c r="A2694" s="15" t="s">
        <v>2751</v>
      </c>
      <c r="B2694" s="16" t="n">
        <v>45923</v>
      </c>
      <c r="C2694" s="15" t="s">
        <v>56</v>
      </c>
      <c r="D2694" s="15" t="s">
        <v>42</v>
      </c>
      <c r="E2694" s="15" t="s">
        <v>38</v>
      </c>
      <c r="F2694" s="15" t="s">
        <v>17</v>
      </c>
      <c r="G2694" s="15" t="s">
        <v>26</v>
      </c>
      <c r="H2694" s="15" t="n">
        <v>3</v>
      </c>
      <c r="I2694" s="17" t="n">
        <v>0</v>
      </c>
      <c r="J2694" s="18" t="n">
        <v>268.16</v>
      </c>
      <c r="K2694" s="19" t="n">
        <v>29.49</v>
      </c>
      <c r="L2694" s="15" t="n">
        <f aca="false">YEAR(B2694)</f>
        <v>2025</v>
      </c>
      <c r="M2694" s="20" t="n">
        <f aca="false">IF(J2694&gt;0,K2694/J2694,0)</f>
        <v>0.109971658711217</v>
      </c>
    </row>
    <row r="2695" customFormat="false" ht="15" hidden="false" customHeight="false" outlineLevel="0" collapsed="false">
      <c r="A2695" s="15" t="s">
        <v>2752</v>
      </c>
      <c r="B2695" s="16" t="n">
        <v>45609</v>
      </c>
      <c r="C2695" s="15" t="s">
        <v>71</v>
      </c>
      <c r="D2695" s="15" t="s">
        <v>42</v>
      </c>
      <c r="E2695" s="15" t="s">
        <v>38</v>
      </c>
      <c r="F2695" s="15" t="s">
        <v>17</v>
      </c>
      <c r="G2695" s="15" t="s">
        <v>26</v>
      </c>
      <c r="H2695" s="15" t="n">
        <v>2</v>
      </c>
      <c r="I2695" s="17" t="n">
        <v>0</v>
      </c>
      <c r="J2695" s="18" t="n">
        <v>114.17</v>
      </c>
      <c r="K2695" s="19" t="n">
        <v>7.73</v>
      </c>
      <c r="L2695" s="15" t="n">
        <f aca="false">YEAR(B2695)</f>
        <v>2024</v>
      </c>
      <c r="M2695" s="20" t="n">
        <f aca="false">IF(J2695&gt;0,K2695/J2695,0)</f>
        <v>0.0677060523780328</v>
      </c>
    </row>
    <row r="2696" customFormat="false" ht="15" hidden="false" customHeight="false" outlineLevel="0" collapsed="false">
      <c r="A2696" s="15" t="s">
        <v>2753</v>
      </c>
      <c r="B2696" s="16" t="n">
        <v>45565</v>
      </c>
      <c r="C2696" s="15" t="s">
        <v>56</v>
      </c>
      <c r="D2696" s="15" t="s">
        <v>42</v>
      </c>
      <c r="E2696" s="15" t="s">
        <v>39</v>
      </c>
      <c r="F2696" s="15" t="s">
        <v>17</v>
      </c>
      <c r="G2696" s="15" t="s">
        <v>31</v>
      </c>
      <c r="H2696" s="15" t="n">
        <v>3</v>
      </c>
      <c r="I2696" s="17" t="n">
        <v>0.15</v>
      </c>
      <c r="J2696" s="18" t="n">
        <v>404.93</v>
      </c>
      <c r="K2696" s="19" t="n">
        <v>42.26</v>
      </c>
      <c r="L2696" s="15" t="n">
        <f aca="false">YEAR(B2696)</f>
        <v>2024</v>
      </c>
      <c r="M2696" s="20" t="n">
        <f aca="false">IF(J2696&gt;0,K2696/J2696,0)</f>
        <v>0.104363717185686</v>
      </c>
    </row>
    <row r="2697" customFormat="false" ht="15" hidden="false" customHeight="false" outlineLevel="0" collapsed="false">
      <c r="A2697" s="15" t="s">
        <v>2754</v>
      </c>
      <c r="B2697" s="16" t="n">
        <v>45362</v>
      </c>
      <c r="C2697" s="15" t="s">
        <v>56</v>
      </c>
      <c r="D2697" s="15" t="s">
        <v>44</v>
      </c>
      <c r="E2697" s="15" t="s">
        <v>37</v>
      </c>
      <c r="F2697" s="15" t="s">
        <v>16</v>
      </c>
      <c r="G2697" s="15" t="s">
        <v>27</v>
      </c>
      <c r="H2697" s="15" t="n">
        <v>4</v>
      </c>
      <c r="I2697" s="17" t="n">
        <v>0.05</v>
      </c>
      <c r="J2697" s="18" t="n">
        <v>270.79</v>
      </c>
      <c r="K2697" s="19" t="n">
        <v>45.4</v>
      </c>
      <c r="L2697" s="15" t="n">
        <f aca="false">YEAR(B2697)</f>
        <v>2024</v>
      </c>
      <c r="M2697" s="20" t="n">
        <f aca="false">IF(J2697&gt;0,K2697/J2697,0)</f>
        <v>0.167657594445881</v>
      </c>
    </row>
    <row r="2698" customFormat="false" ht="15" hidden="false" customHeight="false" outlineLevel="0" collapsed="false">
      <c r="A2698" s="15" t="s">
        <v>2755</v>
      </c>
      <c r="B2698" s="16" t="n">
        <v>44919</v>
      </c>
      <c r="C2698" s="15" t="s">
        <v>71</v>
      </c>
      <c r="D2698" s="15" t="s">
        <v>42</v>
      </c>
      <c r="E2698" s="15" t="s">
        <v>39</v>
      </c>
      <c r="F2698" s="15" t="s">
        <v>17</v>
      </c>
      <c r="G2698" s="15" t="s">
        <v>31</v>
      </c>
      <c r="H2698" s="15" t="n">
        <v>4</v>
      </c>
      <c r="I2698" s="17" t="n">
        <v>0</v>
      </c>
      <c r="J2698" s="18" t="n">
        <v>605.69</v>
      </c>
      <c r="K2698" s="19" t="n">
        <v>87.09</v>
      </c>
      <c r="L2698" s="15" t="n">
        <f aca="false">YEAR(B2698)</f>
        <v>2022</v>
      </c>
      <c r="M2698" s="20" t="n">
        <f aca="false">IF(J2698&gt;0,K2698/J2698,0)</f>
        <v>0.143786425399132</v>
      </c>
    </row>
    <row r="2699" customFormat="false" ht="15" hidden="false" customHeight="false" outlineLevel="0" collapsed="false">
      <c r="A2699" s="15" t="s">
        <v>2756</v>
      </c>
      <c r="B2699" s="16" t="n">
        <v>45538</v>
      </c>
      <c r="C2699" s="15" t="s">
        <v>68</v>
      </c>
      <c r="D2699" s="15" t="s">
        <v>42</v>
      </c>
      <c r="E2699" s="15" t="s">
        <v>39</v>
      </c>
      <c r="F2699" s="15" t="s">
        <v>17</v>
      </c>
      <c r="G2699" s="15" t="s">
        <v>29</v>
      </c>
      <c r="H2699" s="15" t="n">
        <v>3</v>
      </c>
      <c r="I2699" s="17" t="n">
        <v>0.2</v>
      </c>
      <c r="J2699" s="18" t="n">
        <v>36.88</v>
      </c>
      <c r="K2699" s="19" t="n">
        <v>6.77</v>
      </c>
      <c r="L2699" s="15" t="n">
        <f aca="false">YEAR(B2699)</f>
        <v>2024</v>
      </c>
      <c r="M2699" s="20" t="n">
        <f aca="false">IF(J2699&gt;0,K2699/J2699,0)</f>
        <v>0.183568329718004</v>
      </c>
    </row>
    <row r="2700" customFormat="false" ht="15" hidden="false" customHeight="false" outlineLevel="0" collapsed="false">
      <c r="A2700" s="15" t="s">
        <v>2757</v>
      </c>
      <c r="B2700" s="16" t="n">
        <v>45226</v>
      </c>
      <c r="C2700" s="15" t="s">
        <v>71</v>
      </c>
      <c r="D2700" s="15" t="s">
        <v>43</v>
      </c>
      <c r="E2700" s="15" t="s">
        <v>36</v>
      </c>
      <c r="F2700" s="15" t="s">
        <v>18</v>
      </c>
      <c r="G2700" s="15" t="s">
        <v>24</v>
      </c>
      <c r="H2700" s="15" t="n">
        <v>3</v>
      </c>
      <c r="I2700" s="17" t="n">
        <v>0</v>
      </c>
      <c r="J2700" s="18" t="n">
        <v>1949.52</v>
      </c>
      <c r="K2700" s="19" t="n">
        <v>196.9</v>
      </c>
      <c r="L2700" s="15" t="n">
        <f aca="false">YEAR(B2700)</f>
        <v>2023</v>
      </c>
      <c r="M2700" s="20" t="n">
        <f aca="false">IF(J2700&gt;0,K2700/J2700,0)</f>
        <v>0.1009992203209</v>
      </c>
    </row>
    <row r="2701" customFormat="false" ht="15" hidden="false" customHeight="false" outlineLevel="0" collapsed="false">
      <c r="A2701" s="15" t="s">
        <v>2758</v>
      </c>
      <c r="B2701" s="16" t="n">
        <v>45280</v>
      </c>
      <c r="C2701" s="15" t="s">
        <v>71</v>
      </c>
      <c r="D2701" s="15" t="s">
        <v>43</v>
      </c>
      <c r="E2701" s="15" t="s">
        <v>39</v>
      </c>
      <c r="F2701" s="15" t="s">
        <v>17</v>
      </c>
      <c r="G2701" s="15" t="s">
        <v>26</v>
      </c>
      <c r="H2701" s="15" t="n">
        <v>4</v>
      </c>
      <c r="I2701" s="17" t="n">
        <v>0.05</v>
      </c>
      <c r="J2701" s="18" t="n">
        <v>458.5</v>
      </c>
      <c r="K2701" s="19" t="n">
        <v>35.79</v>
      </c>
      <c r="L2701" s="15" t="n">
        <f aca="false">YEAR(B2701)</f>
        <v>2023</v>
      </c>
      <c r="M2701" s="20" t="n">
        <f aca="false">IF(J2701&gt;0,K2701/J2701,0)</f>
        <v>0.0780588876772083</v>
      </c>
    </row>
    <row r="2702" customFormat="false" ht="15" hidden="false" customHeight="false" outlineLevel="0" collapsed="false">
      <c r="A2702" s="15" t="s">
        <v>2759</v>
      </c>
      <c r="B2702" s="16" t="n">
        <v>45612</v>
      </c>
      <c r="C2702" s="15" t="s">
        <v>56</v>
      </c>
      <c r="D2702" s="15" t="s">
        <v>43</v>
      </c>
      <c r="E2702" s="15" t="s">
        <v>37</v>
      </c>
      <c r="F2702" s="15" t="s">
        <v>16</v>
      </c>
      <c r="G2702" s="15" t="s">
        <v>23</v>
      </c>
      <c r="H2702" s="15" t="n">
        <v>5</v>
      </c>
      <c r="I2702" s="17" t="n">
        <v>0</v>
      </c>
      <c r="J2702" s="18" t="n">
        <v>1574.47</v>
      </c>
      <c r="K2702" s="19" t="n">
        <v>-8.42</v>
      </c>
      <c r="L2702" s="15" t="n">
        <f aca="false">YEAR(B2702)</f>
        <v>2024</v>
      </c>
      <c r="M2702" s="20" t="n">
        <f aca="false">IF(J2702&gt;0,K2702/J2702,0)</f>
        <v>-0.00534783133371865</v>
      </c>
    </row>
    <row r="2703" customFormat="false" ht="15" hidden="false" customHeight="false" outlineLevel="0" collapsed="false">
      <c r="A2703" s="15" t="s">
        <v>2760</v>
      </c>
      <c r="B2703" s="16" t="n">
        <v>45784</v>
      </c>
      <c r="C2703" s="15" t="s">
        <v>58</v>
      </c>
      <c r="D2703" s="15" t="s">
        <v>42</v>
      </c>
      <c r="E2703" s="15" t="s">
        <v>37</v>
      </c>
      <c r="F2703" s="15" t="s">
        <v>17</v>
      </c>
      <c r="G2703" s="15" t="s">
        <v>28</v>
      </c>
      <c r="H2703" s="15" t="n">
        <v>6</v>
      </c>
      <c r="I2703" s="17" t="n">
        <v>0</v>
      </c>
      <c r="J2703" s="18" t="n">
        <v>129.4</v>
      </c>
      <c r="K2703" s="19" t="n">
        <v>44.1</v>
      </c>
      <c r="L2703" s="15" t="n">
        <f aca="false">YEAR(B2703)</f>
        <v>2025</v>
      </c>
      <c r="M2703" s="20" t="n">
        <f aca="false">IF(J2703&gt;0,K2703/J2703,0)</f>
        <v>0.34080370942813</v>
      </c>
    </row>
    <row r="2704" customFormat="false" ht="15" hidden="false" customHeight="false" outlineLevel="0" collapsed="false">
      <c r="A2704" s="15" t="s">
        <v>2761</v>
      </c>
      <c r="B2704" s="16" t="n">
        <v>45460</v>
      </c>
      <c r="C2704" s="15" t="s">
        <v>56</v>
      </c>
      <c r="D2704" s="15" t="s">
        <v>42</v>
      </c>
      <c r="E2704" s="15" t="s">
        <v>36</v>
      </c>
      <c r="F2704" s="15" t="s">
        <v>17</v>
      </c>
      <c r="G2704" s="15" t="s">
        <v>28</v>
      </c>
      <c r="H2704" s="15" t="n">
        <v>2</v>
      </c>
      <c r="I2704" s="17" t="n">
        <v>0</v>
      </c>
      <c r="J2704" s="18" t="n">
        <v>52.25</v>
      </c>
      <c r="K2704" s="19" t="n">
        <v>15.62</v>
      </c>
      <c r="L2704" s="15" t="n">
        <f aca="false">YEAR(B2704)</f>
        <v>2024</v>
      </c>
      <c r="M2704" s="20" t="n">
        <f aca="false">IF(J2704&gt;0,K2704/J2704,0)</f>
        <v>0.298947368421053</v>
      </c>
    </row>
    <row r="2705" customFormat="false" ht="15" hidden="false" customHeight="false" outlineLevel="0" collapsed="false">
      <c r="A2705" s="15" t="s">
        <v>2762</v>
      </c>
      <c r="B2705" s="16" t="n">
        <v>45136</v>
      </c>
      <c r="C2705" s="15" t="s">
        <v>56</v>
      </c>
      <c r="D2705" s="15" t="s">
        <v>42</v>
      </c>
      <c r="E2705" s="15" t="s">
        <v>39</v>
      </c>
      <c r="F2705" s="15" t="s">
        <v>17</v>
      </c>
      <c r="G2705" s="15" t="s">
        <v>31</v>
      </c>
      <c r="H2705" s="15" t="n">
        <v>2</v>
      </c>
      <c r="I2705" s="17" t="n">
        <v>0.1</v>
      </c>
      <c r="J2705" s="18" t="n">
        <v>272.28</v>
      </c>
      <c r="K2705" s="19" t="n">
        <v>28.97</v>
      </c>
      <c r="L2705" s="15" t="n">
        <f aca="false">YEAR(B2705)</f>
        <v>2023</v>
      </c>
      <c r="M2705" s="20" t="n">
        <f aca="false">IF(J2705&gt;0,K2705/J2705,0)</f>
        <v>0.106397825767592</v>
      </c>
    </row>
    <row r="2706" customFormat="false" ht="15" hidden="false" customHeight="false" outlineLevel="0" collapsed="false">
      <c r="A2706" s="15" t="s">
        <v>2763</v>
      </c>
      <c r="B2706" s="16" t="n">
        <v>45273</v>
      </c>
      <c r="C2706" s="15" t="s">
        <v>56</v>
      </c>
      <c r="D2706" s="15" t="s">
        <v>44</v>
      </c>
      <c r="E2706" s="15" t="s">
        <v>39</v>
      </c>
      <c r="F2706" s="15" t="s">
        <v>18</v>
      </c>
      <c r="G2706" s="15" t="s">
        <v>30</v>
      </c>
      <c r="H2706" s="15" t="n">
        <v>2</v>
      </c>
      <c r="I2706" s="17" t="n">
        <v>0</v>
      </c>
      <c r="J2706" s="18" t="n">
        <v>88.16</v>
      </c>
      <c r="K2706" s="19" t="n">
        <v>25.85</v>
      </c>
      <c r="L2706" s="15" t="n">
        <f aca="false">YEAR(B2706)</f>
        <v>2023</v>
      </c>
      <c r="M2706" s="20" t="n">
        <f aca="false">IF(J2706&gt;0,K2706/J2706,0)</f>
        <v>0.293216878402904</v>
      </c>
    </row>
    <row r="2707" customFormat="false" ht="15" hidden="false" customHeight="false" outlineLevel="0" collapsed="false">
      <c r="A2707" s="15" t="s">
        <v>2764</v>
      </c>
      <c r="B2707" s="16" t="n">
        <v>45849</v>
      </c>
      <c r="C2707" s="15" t="s">
        <v>56</v>
      </c>
      <c r="D2707" s="15" t="s">
        <v>43</v>
      </c>
      <c r="E2707" s="15" t="s">
        <v>37</v>
      </c>
      <c r="F2707" s="15" t="s">
        <v>16</v>
      </c>
      <c r="G2707" s="15" t="s">
        <v>27</v>
      </c>
      <c r="H2707" s="15" t="n">
        <v>4</v>
      </c>
      <c r="I2707" s="17" t="n">
        <v>0.2</v>
      </c>
      <c r="J2707" s="18" t="n">
        <v>232.41</v>
      </c>
      <c r="K2707" s="19" t="n">
        <v>5.11</v>
      </c>
      <c r="L2707" s="15" t="n">
        <f aca="false">YEAR(B2707)</f>
        <v>2025</v>
      </c>
      <c r="M2707" s="20" t="n">
        <f aca="false">IF(J2707&gt;0,K2707/J2707,0)</f>
        <v>0.0219870057226453</v>
      </c>
    </row>
    <row r="2708" customFormat="false" ht="15" hidden="false" customHeight="false" outlineLevel="0" collapsed="false">
      <c r="A2708" s="15" t="s">
        <v>2765</v>
      </c>
      <c r="B2708" s="16" t="n">
        <v>45530</v>
      </c>
      <c r="C2708" s="15" t="s">
        <v>56</v>
      </c>
      <c r="D2708" s="15" t="s">
        <v>44</v>
      </c>
      <c r="E2708" s="15" t="s">
        <v>37</v>
      </c>
      <c r="F2708" s="15" t="s">
        <v>17</v>
      </c>
      <c r="G2708" s="15" t="s">
        <v>29</v>
      </c>
      <c r="H2708" s="15" t="n">
        <v>2</v>
      </c>
      <c r="I2708" s="17" t="n">
        <v>0.15</v>
      </c>
      <c r="J2708" s="18" t="n">
        <v>24.72</v>
      </c>
      <c r="K2708" s="19" t="n">
        <v>5.22</v>
      </c>
      <c r="L2708" s="15" t="n">
        <f aca="false">YEAR(B2708)</f>
        <v>2024</v>
      </c>
      <c r="M2708" s="20" t="n">
        <f aca="false">IF(J2708&gt;0,K2708/J2708,0)</f>
        <v>0.211165048543689</v>
      </c>
    </row>
    <row r="2709" customFormat="false" ht="15" hidden="false" customHeight="false" outlineLevel="0" collapsed="false">
      <c r="A2709" s="15" t="s">
        <v>2766</v>
      </c>
      <c r="B2709" s="16" t="n">
        <v>45413</v>
      </c>
      <c r="C2709" s="15" t="s">
        <v>68</v>
      </c>
      <c r="D2709" s="15" t="s">
        <v>42</v>
      </c>
      <c r="E2709" s="15" t="s">
        <v>39</v>
      </c>
      <c r="F2709" s="15" t="s">
        <v>18</v>
      </c>
      <c r="G2709" s="15" t="s">
        <v>32</v>
      </c>
      <c r="H2709" s="15" t="n">
        <v>2</v>
      </c>
      <c r="I2709" s="17" t="n">
        <v>0.3</v>
      </c>
      <c r="J2709" s="18" t="n">
        <v>561.3</v>
      </c>
      <c r="K2709" s="19" t="n">
        <v>-53.98</v>
      </c>
      <c r="L2709" s="15" t="n">
        <f aca="false">YEAR(B2709)</f>
        <v>2024</v>
      </c>
      <c r="M2709" s="20" t="n">
        <f aca="false">IF(J2709&gt;0,K2709/J2709,0)</f>
        <v>-0.0961696062711562</v>
      </c>
    </row>
    <row r="2710" customFormat="false" ht="15" hidden="false" customHeight="false" outlineLevel="0" collapsed="false">
      <c r="A2710" s="15" t="s">
        <v>2767</v>
      </c>
      <c r="B2710" s="16" t="n">
        <v>45331</v>
      </c>
      <c r="C2710" s="15" t="s">
        <v>56</v>
      </c>
      <c r="D2710" s="15" t="s">
        <v>43</v>
      </c>
      <c r="E2710" s="15" t="s">
        <v>39</v>
      </c>
      <c r="F2710" s="15" t="s">
        <v>16</v>
      </c>
      <c r="G2710" s="15" t="s">
        <v>25</v>
      </c>
      <c r="H2710" s="15" t="n">
        <v>2</v>
      </c>
      <c r="I2710" s="17" t="n">
        <v>0.4</v>
      </c>
      <c r="J2710" s="18" t="n">
        <v>400.54</v>
      </c>
      <c r="K2710" s="19" t="n">
        <v>-91.96</v>
      </c>
      <c r="L2710" s="15" t="n">
        <f aca="false">YEAR(B2710)</f>
        <v>2024</v>
      </c>
      <c r="M2710" s="20" t="n">
        <f aca="false">IF(J2710&gt;0,K2710/J2710,0)</f>
        <v>-0.229590053427872</v>
      </c>
    </row>
    <row r="2711" customFormat="false" ht="15" hidden="false" customHeight="false" outlineLevel="0" collapsed="false">
      <c r="A2711" s="15" t="s">
        <v>2768</v>
      </c>
      <c r="B2711" s="16" t="n">
        <v>45320</v>
      </c>
      <c r="C2711" s="15" t="s">
        <v>56</v>
      </c>
      <c r="D2711" s="15" t="s">
        <v>42</v>
      </c>
      <c r="E2711" s="15" t="s">
        <v>37</v>
      </c>
      <c r="F2711" s="15" t="s">
        <v>17</v>
      </c>
      <c r="G2711" s="15" t="s">
        <v>29</v>
      </c>
      <c r="H2711" s="15" t="n">
        <v>4</v>
      </c>
      <c r="I2711" s="17" t="n">
        <v>0</v>
      </c>
      <c r="J2711" s="18" t="n">
        <v>68.13</v>
      </c>
      <c r="K2711" s="19" t="n">
        <v>28.89</v>
      </c>
      <c r="L2711" s="15" t="n">
        <f aca="false">YEAR(B2711)</f>
        <v>2024</v>
      </c>
      <c r="M2711" s="20" t="n">
        <f aca="false">IF(J2711&gt;0,K2711/J2711,0)</f>
        <v>0.424042272126816</v>
      </c>
    </row>
    <row r="2712" customFormat="false" ht="15" hidden="false" customHeight="false" outlineLevel="0" collapsed="false">
      <c r="A2712" s="15" t="s">
        <v>2769</v>
      </c>
      <c r="B2712" s="16" t="n">
        <v>45864</v>
      </c>
      <c r="C2712" s="15" t="s">
        <v>56</v>
      </c>
      <c r="D2712" s="15" t="s">
        <v>42</v>
      </c>
      <c r="E2712" s="15" t="s">
        <v>37</v>
      </c>
      <c r="F2712" s="15" t="s">
        <v>17</v>
      </c>
      <c r="G2712" s="15" t="s">
        <v>26</v>
      </c>
      <c r="H2712" s="15" t="n">
        <v>5</v>
      </c>
      <c r="I2712" s="17" t="n">
        <v>0.1</v>
      </c>
      <c r="J2712" s="18" t="n">
        <v>353.92</v>
      </c>
      <c r="K2712" s="19" t="n">
        <v>21.46</v>
      </c>
      <c r="L2712" s="15" t="n">
        <f aca="false">YEAR(B2712)</f>
        <v>2025</v>
      </c>
      <c r="M2712" s="20" t="n">
        <f aca="false">IF(J2712&gt;0,K2712/J2712,0)</f>
        <v>0.0606351717902351</v>
      </c>
    </row>
    <row r="2713" customFormat="false" ht="15" hidden="false" customHeight="false" outlineLevel="0" collapsed="false">
      <c r="A2713" s="15" t="s">
        <v>2770</v>
      </c>
      <c r="B2713" s="16" t="n">
        <v>45531</v>
      </c>
      <c r="C2713" s="15" t="s">
        <v>56</v>
      </c>
      <c r="D2713" s="15" t="s">
        <v>43</v>
      </c>
      <c r="E2713" s="15" t="s">
        <v>38</v>
      </c>
      <c r="F2713" s="15" t="s">
        <v>16</v>
      </c>
      <c r="G2713" s="15" t="s">
        <v>27</v>
      </c>
      <c r="H2713" s="15" t="n">
        <v>2</v>
      </c>
      <c r="I2713" s="17" t="n">
        <v>0.05</v>
      </c>
      <c r="J2713" s="18" t="n">
        <v>109.01</v>
      </c>
      <c r="K2713" s="19" t="n">
        <v>16</v>
      </c>
      <c r="L2713" s="15" t="n">
        <f aca="false">YEAR(B2713)</f>
        <v>2024</v>
      </c>
      <c r="M2713" s="20" t="n">
        <f aca="false">IF(J2713&gt;0,K2713/J2713,0)</f>
        <v>0.146775525181176</v>
      </c>
    </row>
    <row r="2714" customFormat="false" ht="15" hidden="false" customHeight="false" outlineLevel="0" collapsed="false">
      <c r="A2714" s="15" t="s">
        <v>2771</v>
      </c>
      <c r="B2714" s="16" t="n">
        <v>44886</v>
      </c>
      <c r="C2714" s="15" t="s">
        <v>68</v>
      </c>
      <c r="D2714" s="15" t="s">
        <v>42</v>
      </c>
      <c r="E2714" s="15" t="s">
        <v>36</v>
      </c>
      <c r="F2714" s="15" t="s">
        <v>17</v>
      </c>
      <c r="G2714" s="15" t="s">
        <v>28</v>
      </c>
      <c r="H2714" s="15" t="n">
        <v>5</v>
      </c>
      <c r="I2714" s="17" t="n">
        <v>0.1</v>
      </c>
      <c r="J2714" s="18" t="n">
        <v>88.59</v>
      </c>
      <c r="K2714" s="19" t="n">
        <v>19.35</v>
      </c>
      <c r="L2714" s="15" t="n">
        <f aca="false">YEAR(B2714)</f>
        <v>2022</v>
      </c>
      <c r="M2714" s="20" t="n">
        <f aca="false">IF(J2714&gt;0,K2714/J2714,0)</f>
        <v>0.21842194378598</v>
      </c>
    </row>
    <row r="2715" customFormat="false" ht="15" hidden="false" customHeight="false" outlineLevel="0" collapsed="false">
      <c r="A2715" s="15" t="s">
        <v>2772</v>
      </c>
      <c r="B2715" s="16" t="n">
        <v>45922</v>
      </c>
      <c r="C2715" s="15" t="s">
        <v>68</v>
      </c>
      <c r="D2715" s="15" t="s">
        <v>42</v>
      </c>
      <c r="E2715" s="15" t="s">
        <v>37</v>
      </c>
      <c r="F2715" s="15" t="s">
        <v>17</v>
      </c>
      <c r="G2715" s="15" t="s">
        <v>29</v>
      </c>
      <c r="H2715" s="15" t="n">
        <v>6</v>
      </c>
      <c r="I2715" s="17" t="n">
        <v>0</v>
      </c>
      <c r="J2715" s="18" t="n">
        <v>107.82</v>
      </c>
      <c r="K2715" s="19" t="n">
        <v>46.7</v>
      </c>
      <c r="L2715" s="15" t="n">
        <f aca="false">YEAR(B2715)</f>
        <v>2025</v>
      </c>
      <c r="M2715" s="20" t="n">
        <f aca="false">IF(J2715&gt;0,K2715/J2715,0)</f>
        <v>0.433129289556669</v>
      </c>
    </row>
    <row r="2716" customFormat="false" ht="15" hidden="false" customHeight="false" outlineLevel="0" collapsed="false">
      <c r="A2716" s="15" t="s">
        <v>2773</v>
      </c>
      <c r="B2716" s="16" t="n">
        <v>44648</v>
      </c>
      <c r="C2716" s="15" t="s">
        <v>56</v>
      </c>
      <c r="D2716" s="15" t="s">
        <v>43</v>
      </c>
      <c r="E2716" s="15" t="s">
        <v>36</v>
      </c>
      <c r="F2716" s="15" t="s">
        <v>18</v>
      </c>
      <c r="G2716" s="15" t="s">
        <v>30</v>
      </c>
      <c r="H2716" s="15" t="n">
        <v>2</v>
      </c>
      <c r="I2716" s="17" t="n">
        <v>0.05</v>
      </c>
      <c r="J2716" s="18" t="n">
        <v>78.15</v>
      </c>
      <c r="K2716" s="19" t="n">
        <v>21.03</v>
      </c>
      <c r="L2716" s="15" t="n">
        <f aca="false">YEAR(B2716)</f>
        <v>2022</v>
      </c>
      <c r="M2716" s="20" t="n">
        <f aca="false">IF(J2716&gt;0,K2716/J2716,0)</f>
        <v>0.269097888675624</v>
      </c>
    </row>
    <row r="2717" customFormat="false" ht="15" hidden="false" customHeight="false" outlineLevel="0" collapsed="false">
      <c r="A2717" s="15" t="s">
        <v>2774</v>
      </c>
      <c r="B2717" s="16" t="n">
        <v>44971</v>
      </c>
      <c r="C2717" s="15" t="s">
        <v>71</v>
      </c>
      <c r="D2717" s="15" t="s">
        <v>42</v>
      </c>
      <c r="E2717" s="15" t="s">
        <v>37</v>
      </c>
      <c r="F2717" s="15" t="s">
        <v>16</v>
      </c>
      <c r="G2717" s="15" t="s">
        <v>25</v>
      </c>
      <c r="H2717" s="15" t="n">
        <v>6</v>
      </c>
      <c r="I2717" s="17" t="n">
        <v>0</v>
      </c>
      <c r="J2717" s="18" t="n">
        <v>2235.7</v>
      </c>
      <c r="K2717" s="19" t="n">
        <v>128.88</v>
      </c>
      <c r="L2717" s="15" t="n">
        <f aca="false">YEAR(B2717)</f>
        <v>2023</v>
      </c>
      <c r="M2717" s="20" t="n">
        <f aca="false">IF(J2717&gt;0,K2717/J2717,0)</f>
        <v>0.0576463747372188</v>
      </c>
    </row>
    <row r="2718" customFormat="false" ht="15" hidden="false" customHeight="false" outlineLevel="0" collapsed="false">
      <c r="A2718" s="15" t="s">
        <v>2775</v>
      </c>
      <c r="B2718" s="16" t="n">
        <v>44797</v>
      </c>
      <c r="C2718" s="15" t="s">
        <v>71</v>
      </c>
      <c r="D2718" s="15" t="s">
        <v>44</v>
      </c>
      <c r="E2718" s="15" t="s">
        <v>36</v>
      </c>
      <c r="F2718" s="15" t="s">
        <v>18</v>
      </c>
      <c r="G2718" s="15" t="s">
        <v>30</v>
      </c>
      <c r="H2718" s="15" t="n">
        <v>3</v>
      </c>
      <c r="I2718" s="17" t="n">
        <v>0</v>
      </c>
      <c r="J2718" s="18" t="n">
        <v>128.33</v>
      </c>
      <c r="K2718" s="19" t="n">
        <v>32.48</v>
      </c>
      <c r="L2718" s="15" t="n">
        <f aca="false">YEAR(B2718)</f>
        <v>2022</v>
      </c>
      <c r="M2718" s="20" t="n">
        <f aca="false">IF(J2718&gt;0,K2718/J2718,0)</f>
        <v>0.253097483051508</v>
      </c>
    </row>
    <row r="2719" customFormat="false" ht="15" hidden="false" customHeight="false" outlineLevel="0" collapsed="false">
      <c r="A2719" s="15" t="s">
        <v>2776</v>
      </c>
      <c r="B2719" s="16" t="n">
        <v>45848</v>
      </c>
      <c r="C2719" s="15" t="s">
        <v>58</v>
      </c>
      <c r="D2719" s="15" t="s">
        <v>42</v>
      </c>
      <c r="E2719" s="15" t="s">
        <v>39</v>
      </c>
      <c r="F2719" s="15" t="s">
        <v>18</v>
      </c>
      <c r="G2719" s="15" t="s">
        <v>30</v>
      </c>
      <c r="H2719" s="15" t="n">
        <v>2</v>
      </c>
      <c r="I2719" s="17" t="n">
        <v>0</v>
      </c>
      <c r="J2719" s="18" t="n">
        <v>87.79</v>
      </c>
      <c r="K2719" s="19" t="n">
        <v>18.61</v>
      </c>
      <c r="L2719" s="15" t="n">
        <f aca="false">YEAR(B2719)</f>
        <v>2025</v>
      </c>
      <c r="M2719" s="20" t="n">
        <f aca="false">IF(J2719&gt;0,K2719/J2719,0)</f>
        <v>0.21198314158788</v>
      </c>
    </row>
    <row r="2720" customFormat="false" ht="15" hidden="false" customHeight="false" outlineLevel="0" collapsed="false">
      <c r="A2720" s="15" t="s">
        <v>2777</v>
      </c>
      <c r="B2720" s="16" t="n">
        <v>45863</v>
      </c>
      <c r="C2720" s="15" t="s">
        <v>56</v>
      </c>
      <c r="D2720" s="15" t="s">
        <v>42</v>
      </c>
      <c r="E2720" s="15" t="s">
        <v>38</v>
      </c>
      <c r="F2720" s="15" t="s">
        <v>18</v>
      </c>
      <c r="G2720" s="15" t="s">
        <v>30</v>
      </c>
      <c r="H2720" s="15" t="n">
        <v>4</v>
      </c>
      <c r="I2720" s="17" t="n">
        <v>0</v>
      </c>
      <c r="J2720" s="18" t="n">
        <v>166.88</v>
      </c>
      <c r="K2720" s="19" t="n">
        <v>40.99</v>
      </c>
      <c r="L2720" s="15" t="n">
        <f aca="false">YEAR(B2720)</f>
        <v>2025</v>
      </c>
      <c r="M2720" s="20" t="n">
        <f aca="false">IF(J2720&gt;0,K2720/J2720,0)</f>
        <v>0.245625599232982</v>
      </c>
    </row>
    <row r="2721" customFormat="false" ht="15" hidden="false" customHeight="false" outlineLevel="0" collapsed="false">
      <c r="A2721" s="15" t="s">
        <v>2778</v>
      </c>
      <c r="B2721" s="16" t="n">
        <v>45962</v>
      </c>
      <c r="C2721" s="15" t="s">
        <v>58</v>
      </c>
      <c r="D2721" s="15" t="s">
        <v>42</v>
      </c>
      <c r="E2721" s="15" t="s">
        <v>36</v>
      </c>
      <c r="F2721" s="15" t="s">
        <v>17</v>
      </c>
      <c r="G2721" s="15" t="s">
        <v>29</v>
      </c>
      <c r="H2721" s="15" t="n">
        <v>4</v>
      </c>
      <c r="I2721" s="17" t="n">
        <v>0</v>
      </c>
      <c r="J2721" s="18" t="n">
        <v>62.65</v>
      </c>
      <c r="K2721" s="19" t="n">
        <v>22.99</v>
      </c>
      <c r="L2721" s="15" t="n">
        <f aca="false">YEAR(B2721)</f>
        <v>2025</v>
      </c>
      <c r="M2721" s="20" t="n">
        <f aca="false">IF(J2721&gt;0,K2721/J2721,0)</f>
        <v>0.366959297685555</v>
      </c>
    </row>
    <row r="2722" customFormat="false" ht="15" hidden="false" customHeight="false" outlineLevel="0" collapsed="false">
      <c r="A2722" s="15" t="s">
        <v>2779</v>
      </c>
      <c r="B2722" s="16" t="n">
        <v>45667</v>
      </c>
      <c r="C2722" s="15" t="s">
        <v>56</v>
      </c>
      <c r="D2722" s="15" t="s">
        <v>42</v>
      </c>
      <c r="E2722" s="15" t="s">
        <v>37</v>
      </c>
      <c r="F2722" s="15" t="s">
        <v>17</v>
      </c>
      <c r="G2722" s="15" t="s">
        <v>28</v>
      </c>
      <c r="H2722" s="15" t="n">
        <v>4</v>
      </c>
      <c r="I2722" s="17" t="n">
        <v>0.4</v>
      </c>
      <c r="J2722" s="18" t="n">
        <v>54.82</v>
      </c>
      <c r="K2722" s="19" t="n">
        <v>-1.47</v>
      </c>
      <c r="L2722" s="15" t="n">
        <f aca="false">YEAR(B2722)</f>
        <v>2025</v>
      </c>
      <c r="M2722" s="20" t="n">
        <f aca="false">IF(J2722&gt;0,K2722/J2722,0)</f>
        <v>-0.0268150310105801</v>
      </c>
    </row>
    <row r="2723" customFormat="false" ht="15" hidden="false" customHeight="false" outlineLevel="0" collapsed="false">
      <c r="A2723" s="15" t="s">
        <v>2780</v>
      </c>
      <c r="B2723" s="16" t="n">
        <v>45661</v>
      </c>
      <c r="C2723" s="15" t="s">
        <v>56</v>
      </c>
      <c r="D2723" s="15" t="s">
        <v>42</v>
      </c>
      <c r="E2723" s="15" t="s">
        <v>37</v>
      </c>
      <c r="F2723" s="15" t="s">
        <v>17</v>
      </c>
      <c r="G2723" s="15" t="s">
        <v>31</v>
      </c>
      <c r="H2723" s="15" t="n">
        <v>2</v>
      </c>
      <c r="I2723" s="17" t="n">
        <v>0</v>
      </c>
      <c r="J2723" s="18" t="n">
        <v>234.2</v>
      </c>
      <c r="K2723" s="19" t="n">
        <v>58.55</v>
      </c>
      <c r="L2723" s="15" t="n">
        <f aca="false">YEAR(B2723)</f>
        <v>2025</v>
      </c>
      <c r="M2723" s="20" t="n">
        <f aca="false">IF(J2723&gt;0,K2723/J2723,0)</f>
        <v>0.25</v>
      </c>
    </row>
    <row r="2724" customFormat="false" ht="15" hidden="false" customHeight="false" outlineLevel="0" collapsed="false">
      <c r="A2724" s="15" t="s">
        <v>2781</v>
      </c>
      <c r="B2724" s="16" t="n">
        <v>45006</v>
      </c>
      <c r="C2724" s="15" t="s">
        <v>56</v>
      </c>
      <c r="D2724" s="15" t="s">
        <v>43</v>
      </c>
      <c r="E2724" s="15" t="s">
        <v>39</v>
      </c>
      <c r="F2724" s="15" t="s">
        <v>18</v>
      </c>
      <c r="G2724" s="15" t="s">
        <v>32</v>
      </c>
      <c r="H2724" s="15" t="n">
        <v>4</v>
      </c>
      <c r="I2724" s="17" t="n">
        <v>0.1</v>
      </c>
      <c r="J2724" s="18" t="n">
        <v>1804.12</v>
      </c>
      <c r="K2724" s="19" t="n">
        <v>61.44</v>
      </c>
      <c r="L2724" s="15" t="n">
        <f aca="false">YEAR(B2724)</f>
        <v>2023</v>
      </c>
      <c r="M2724" s="20" t="n">
        <f aca="false">IF(J2724&gt;0,K2724/J2724,0)</f>
        <v>0.0340553843425049</v>
      </c>
    </row>
    <row r="2725" customFormat="false" ht="15" hidden="false" customHeight="false" outlineLevel="0" collapsed="false">
      <c r="A2725" s="15" t="s">
        <v>2782</v>
      </c>
      <c r="B2725" s="16" t="n">
        <v>44593</v>
      </c>
      <c r="C2725" s="15" t="s">
        <v>56</v>
      </c>
      <c r="D2725" s="15" t="s">
        <v>44</v>
      </c>
      <c r="E2725" s="15" t="s">
        <v>36</v>
      </c>
      <c r="F2725" s="15" t="s">
        <v>17</v>
      </c>
      <c r="G2725" s="15" t="s">
        <v>31</v>
      </c>
      <c r="H2725" s="15" t="n">
        <v>4</v>
      </c>
      <c r="I2725" s="17" t="n">
        <v>0.4</v>
      </c>
      <c r="J2725" s="18" t="n">
        <v>279.29</v>
      </c>
      <c r="K2725" s="19" t="n">
        <v>-31.57</v>
      </c>
      <c r="L2725" s="15" t="n">
        <f aca="false">YEAR(B2725)</f>
        <v>2022</v>
      </c>
      <c r="M2725" s="20" t="n">
        <f aca="false">IF(J2725&gt;0,K2725/J2725,0)</f>
        <v>-0.113036628593935</v>
      </c>
    </row>
    <row r="2726" customFormat="false" ht="15" hidden="false" customHeight="false" outlineLevel="0" collapsed="false">
      <c r="A2726" s="15" t="s">
        <v>2783</v>
      </c>
      <c r="B2726" s="16" t="n">
        <v>45309</v>
      </c>
      <c r="C2726" s="15" t="s">
        <v>56</v>
      </c>
      <c r="D2726" s="15" t="s">
        <v>42</v>
      </c>
      <c r="E2726" s="15" t="s">
        <v>38</v>
      </c>
      <c r="F2726" s="15" t="s">
        <v>17</v>
      </c>
      <c r="G2726" s="15" t="s">
        <v>28</v>
      </c>
      <c r="H2726" s="15" t="n">
        <v>5</v>
      </c>
      <c r="I2726" s="17" t="n">
        <v>0.05</v>
      </c>
      <c r="J2726" s="18" t="n">
        <v>104.03</v>
      </c>
      <c r="K2726" s="19" t="n">
        <v>29.51</v>
      </c>
      <c r="L2726" s="15" t="n">
        <f aca="false">YEAR(B2726)</f>
        <v>2024</v>
      </c>
      <c r="M2726" s="20" t="n">
        <f aca="false">IF(J2726&gt;0,K2726/J2726,0)</f>
        <v>0.283668172642507</v>
      </c>
    </row>
    <row r="2727" customFormat="false" ht="15" hidden="false" customHeight="false" outlineLevel="0" collapsed="false">
      <c r="A2727" s="15" t="s">
        <v>2784</v>
      </c>
      <c r="B2727" s="16" t="n">
        <v>45755</v>
      </c>
      <c r="C2727" s="15" t="s">
        <v>56</v>
      </c>
      <c r="D2727" s="15" t="s">
        <v>42</v>
      </c>
      <c r="E2727" s="15" t="s">
        <v>38</v>
      </c>
      <c r="F2727" s="15" t="s">
        <v>17</v>
      </c>
      <c r="G2727" s="15" t="s">
        <v>31</v>
      </c>
      <c r="H2727" s="15" t="n">
        <v>6</v>
      </c>
      <c r="I2727" s="17" t="n">
        <v>0</v>
      </c>
      <c r="J2727" s="18" t="n">
        <v>670.18</v>
      </c>
      <c r="K2727" s="19" t="n">
        <v>111.12</v>
      </c>
      <c r="L2727" s="15" t="n">
        <f aca="false">YEAR(B2727)</f>
        <v>2025</v>
      </c>
      <c r="M2727" s="20" t="n">
        <f aca="false">IF(J2727&gt;0,K2727/J2727,0)</f>
        <v>0.165806201319049</v>
      </c>
    </row>
    <row r="2728" customFormat="false" ht="15" hidden="false" customHeight="false" outlineLevel="0" collapsed="false">
      <c r="A2728" s="15" t="s">
        <v>2785</v>
      </c>
      <c r="B2728" s="16" t="n">
        <v>44814</v>
      </c>
      <c r="C2728" s="15" t="s">
        <v>56</v>
      </c>
      <c r="D2728" s="15" t="s">
        <v>44</v>
      </c>
      <c r="E2728" s="15" t="s">
        <v>37</v>
      </c>
      <c r="F2728" s="15" t="s">
        <v>17</v>
      </c>
      <c r="G2728" s="15" t="s">
        <v>29</v>
      </c>
      <c r="H2728" s="15" t="n">
        <v>2</v>
      </c>
      <c r="I2728" s="17" t="n">
        <v>0</v>
      </c>
      <c r="J2728" s="18" t="n">
        <v>34.68</v>
      </c>
      <c r="K2728" s="19" t="n">
        <v>14.81</v>
      </c>
      <c r="L2728" s="15" t="n">
        <f aca="false">YEAR(B2728)</f>
        <v>2022</v>
      </c>
      <c r="M2728" s="20" t="n">
        <f aca="false">IF(J2728&gt;0,K2728/J2728,0)</f>
        <v>0.427047289504037</v>
      </c>
    </row>
    <row r="2729" customFormat="false" ht="15" hidden="false" customHeight="false" outlineLevel="0" collapsed="false">
      <c r="A2729" s="15" t="s">
        <v>2786</v>
      </c>
      <c r="B2729" s="16" t="n">
        <v>45013</v>
      </c>
      <c r="C2729" s="15" t="s">
        <v>56</v>
      </c>
      <c r="D2729" s="15" t="s">
        <v>42</v>
      </c>
      <c r="E2729" s="15" t="s">
        <v>36</v>
      </c>
      <c r="F2729" s="15" t="s">
        <v>16</v>
      </c>
      <c r="G2729" s="15" t="s">
        <v>25</v>
      </c>
      <c r="H2729" s="15" t="n">
        <v>4</v>
      </c>
      <c r="I2729" s="17" t="n">
        <v>0.5</v>
      </c>
      <c r="J2729" s="18" t="n">
        <v>497</v>
      </c>
      <c r="K2729" s="19" t="n">
        <v>-146.15</v>
      </c>
      <c r="L2729" s="15" t="n">
        <f aca="false">YEAR(B2729)</f>
        <v>2023</v>
      </c>
      <c r="M2729" s="20" t="n">
        <f aca="false">IF(J2729&gt;0,K2729/J2729,0)</f>
        <v>-0.294064386317907</v>
      </c>
    </row>
    <row r="2730" customFormat="false" ht="15" hidden="false" customHeight="false" outlineLevel="0" collapsed="false">
      <c r="A2730" s="15" t="s">
        <v>2787</v>
      </c>
      <c r="B2730" s="16" t="n">
        <v>45239</v>
      </c>
      <c r="C2730" s="15" t="s">
        <v>56</v>
      </c>
      <c r="D2730" s="15" t="s">
        <v>44</v>
      </c>
      <c r="E2730" s="15" t="s">
        <v>36</v>
      </c>
      <c r="F2730" s="15" t="s">
        <v>17</v>
      </c>
      <c r="G2730" s="15" t="s">
        <v>29</v>
      </c>
      <c r="H2730" s="15" t="n">
        <v>2</v>
      </c>
      <c r="I2730" s="17" t="n">
        <v>0.05</v>
      </c>
      <c r="J2730" s="18" t="n">
        <v>27.99</v>
      </c>
      <c r="K2730" s="19" t="n">
        <v>8.85</v>
      </c>
      <c r="L2730" s="15" t="n">
        <f aca="false">YEAR(B2730)</f>
        <v>2023</v>
      </c>
      <c r="M2730" s="20" t="n">
        <f aca="false">IF(J2730&gt;0,K2730/J2730,0)</f>
        <v>0.316184351554127</v>
      </c>
    </row>
    <row r="2731" customFormat="false" ht="15" hidden="false" customHeight="false" outlineLevel="0" collapsed="false">
      <c r="A2731" s="15" t="s">
        <v>2788</v>
      </c>
      <c r="B2731" s="16" t="n">
        <v>45946</v>
      </c>
      <c r="C2731" s="15" t="s">
        <v>56</v>
      </c>
      <c r="D2731" s="15" t="s">
        <v>43</v>
      </c>
      <c r="E2731" s="15" t="s">
        <v>39</v>
      </c>
      <c r="F2731" s="15" t="s">
        <v>17</v>
      </c>
      <c r="G2731" s="15" t="s">
        <v>31</v>
      </c>
      <c r="H2731" s="15" t="n">
        <v>4</v>
      </c>
      <c r="I2731" s="17" t="n">
        <v>0</v>
      </c>
      <c r="J2731" s="18" t="n">
        <v>537.12</v>
      </c>
      <c r="K2731" s="19" t="n">
        <v>81.66</v>
      </c>
      <c r="L2731" s="15" t="n">
        <f aca="false">YEAR(B2731)</f>
        <v>2025</v>
      </c>
      <c r="M2731" s="20" t="n">
        <f aca="false">IF(J2731&gt;0,K2731/J2731,0)</f>
        <v>0.152033065236819</v>
      </c>
    </row>
    <row r="2732" customFormat="false" ht="15" hidden="false" customHeight="false" outlineLevel="0" collapsed="false">
      <c r="A2732" s="15" t="s">
        <v>2789</v>
      </c>
      <c r="B2732" s="16" t="n">
        <v>45099</v>
      </c>
      <c r="C2732" s="15" t="s">
        <v>56</v>
      </c>
      <c r="D2732" s="15" t="s">
        <v>43</v>
      </c>
      <c r="E2732" s="15" t="s">
        <v>38</v>
      </c>
      <c r="F2732" s="15" t="s">
        <v>16</v>
      </c>
      <c r="G2732" s="15" t="s">
        <v>27</v>
      </c>
      <c r="H2732" s="15" t="n">
        <v>2</v>
      </c>
      <c r="I2732" s="17" t="n">
        <v>0</v>
      </c>
      <c r="J2732" s="18" t="n">
        <v>128.97</v>
      </c>
      <c r="K2732" s="19" t="n">
        <v>30.64</v>
      </c>
      <c r="L2732" s="15" t="n">
        <f aca="false">YEAR(B2732)</f>
        <v>2023</v>
      </c>
      <c r="M2732" s="20" t="n">
        <f aca="false">IF(J2732&gt;0,K2732/J2732,0)</f>
        <v>0.237574629758859</v>
      </c>
    </row>
    <row r="2733" customFormat="false" ht="15" hidden="false" customHeight="false" outlineLevel="0" collapsed="false">
      <c r="A2733" s="15" t="s">
        <v>2790</v>
      </c>
      <c r="B2733" s="16" t="n">
        <v>45978</v>
      </c>
      <c r="C2733" s="15" t="s">
        <v>71</v>
      </c>
      <c r="D2733" s="15" t="s">
        <v>43</v>
      </c>
      <c r="E2733" s="15" t="s">
        <v>38</v>
      </c>
      <c r="F2733" s="15" t="s">
        <v>18</v>
      </c>
      <c r="G2733" s="15" t="s">
        <v>30</v>
      </c>
      <c r="H2733" s="15" t="n">
        <v>2</v>
      </c>
      <c r="I2733" s="17" t="n">
        <v>0</v>
      </c>
      <c r="J2733" s="18" t="n">
        <v>90.25</v>
      </c>
      <c r="K2733" s="19" t="n">
        <v>24.02</v>
      </c>
      <c r="L2733" s="15" t="n">
        <f aca="false">YEAR(B2733)</f>
        <v>2025</v>
      </c>
      <c r="M2733" s="20" t="n">
        <f aca="false">IF(J2733&gt;0,K2733/J2733,0)</f>
        <v>0.266149584487535</v>
      </c>
    </row>
    <row r="2734" customFormat="false" ht="15" hidden="false" customHeight="false" outlineLevel="0" collapsed="false">
      <c r="A2734" s="15" t="s">
        <v>2791</v>
      </c>
      <c r="B2734" s="16" t="n">
        <v>45137</v>
      </c>
      <c r="C2734" s="15" t="s">
        <v>58</v>
      </c>
      <c r="D2734" s="15" t="s">
        <v>43</v>
      </c>
      <c r="E2734" s="15" t="s">
        <v>36</v>
      </c>
      <c r="F2734" s="15" t="s">
        <v>16</v>
      </c>
      <c r="G2734" s="15" t="s">
        <v>25</v>
      </c>
      <c r="H2734" s="15" t="n">
        <v>3</v>
      </c>
      <c r="I2734" s="17" t="n">
        <v>0.15</v>
      </c>
      <c r="J2734" s="18" t="n">
        <v>569.96</v>
      </c>
      <c r="K2734" s="19" t="n">
        <v>-27.36</v>
      </c>
      <c r="L2734" s="15" t="n">
        <f aca="false">YEAR(B2734)</f>
        <v>2023</v>
      </c>
      <c r="M2734" s="20" t="n">
        <f aca="false">IF(J2734&gt;0,K2734/J2734,0)</f>
        <v>-0.0480033686574496</v>
      </c>
    </row>
    <row r="2735" customFormat="false" ht="15" hidden="false" customHeight="false" outlineLevel="0" collapsed="false">
      <c r="A2735" s="15" t="s">
        <v>2792</v>
      </c>
      <c r="B2735" s="16" t="n">
        <v>44827</v>
      </c>
      <c r="C2735" s="15" t="s">
        <v>56</v>
      </c>
      <c r="D2735" s="15" t="s">
        <v>43</v>
      </c>
      <c r="E2735" s="15" t="s">
        <v>36</v>
      </c>
      <c r="F2735" s="15" t="s">
        <v>18</v>
      </c>
      <c r="G2735" s="15" t="s">
        <v>30</v>
      </c>
      <c r="H2735" s="15" t="n">
        <v>3</v>
      </c>
      <c r="I2735" s="17" t="n">
        <v>0</v>
      </c>
      <c r="J2735" s="18" t="n">
        <v>160.87</v>
      </c>
      <c r="K2735" s="19" t="n">
        <v>49.26</v>
      </c>
      <c r="L2735" s="15" t="n">
        <f aca="false">YEAR(B2735)</f>
        <v>2022</v>
      </c>
      <c r="M2735" s="20" t="n">
        <f aca="false">IF(J2735&gt;0,K2735/J2735,0)</f>
        <v>0.306209983216262</v>
      </c>
    </row>
    <row r="2736" customFormat="false" ht="15" hidden="false" customHeight="false" outlineLevel="0" collapsed="false">
      <c r="A2736" s="15" t="s">
        <v>2793</v>
      </c>
      <c r="B2736" s="16" t="n">
        <v>45958</v>
      </c>
      <c r="C2736" s="15" t="s">
        <v>68</v>
      </c>
      <c r="D2736" s="15" t="s">
        <v>42</v>
      </c>
      <c r="E2736" s="15" t="s">
        <v>39</v>
      </c>
      <c r="F2736" s="15" t="s">
        <v>18</v>
      </c>
      <c r="G2736" s="15" t="s">
        <v>32</v>
      </c>
      <c r="H2736" s="15" t="n">
        <v>5</v>
      </c>
      <c r="I2736" s="17" t="n">
        <v>0.15</v>
      </c>
      <c r="J2736" s="18" t="n">
        <v>1799.78</v>
      </c>
      <c r="K2736" s="19" t="n">
        <v>75.15</v>
      </c>
      <c r="L2736" s="15" t="n">
        <f aca="false">YEAR(B2736)</f>
        <v>2025</v>
      </c>
      <c r="M2736" s="20" t="n">
        <f aca="false">IF(J2736&gt;0,K2736/J2736,0)</f>
        <v>0.0417551034015269</v>
      </c>
    </row>
    <row r="2737" customFormat="false" ht="15" hidden="false" customHeight="false" outlineLevel="0" collapsed="false">
      <c r="A2737" s="15" t="s">
        <v>2794</v>
      </c>
      <c r="B2737" s="16" t="n">
        <v>44874</v>
      </c>
      <c r="C2737" s="15" t="s">
        <v>56</v>
      </c>
      <c r="D2737" s="15" t="s">
        <v>42</v>
      </c>
      <c r="E2737" s="15" t="s">
        <v>36</v>
      </c>
      <c r="F2737" s="15" t="s">
        <v>17</v>
      </c>
      <c r="G2737" s="15" t="s">
        <v>28</v>
      </c>
      <c r="H2737" s="15" t="n">
        <v>5</v>
      </c>
      <c r="I2737" s="17" t="n">
        <v>0</v>
      </c>
      <c r="J2737" s="18" t="n">
        <v>107.87</v>
      </c>
      <c r="K2737" s="19" t="n">
        <v>30.47</v>
      </c>
      <c r="L2737" s="15" t="n">
        <f aca="false">YEAR(B2737)</f>
        <v>2022</v>
      </c>
      <c r="M2737" s="20" t="n">
        <f aca="false">IF(J2737&gt;0,K2737/J2737,0)</f>
        <v>0.282469639380736</v>
      </c>
    </row>
    <row r="2738" customFormat="false" ht="15" hidden="false" customHeight="false" outlineLevel="0" collapsed="false">
      <c r="A2738" s="15" t="s">
        <v>2795</v>
      </c>
      <c r="B2738" s="16" t="n">
        <v>45847</v>
      </c>
      <c r="C2738" s="15" t="s">
        <v>71</v>
      </c>
      <c r="D2738" s="15" t="s">
        <v>44</v>
      </c>
      <c r="E2738" s="15" t="s">
        <v>39</v>
      </c>
      <c r="F2738" s="15" t="s">
        <v>18</v>
      </c>
      <c r="G2738" s="15" t="s">
        <v>30</v>
      </c>
      <c r="H2738" s="15" t="n">
        <v>5</v>
      </c>
      <c r="I2738" s="17" t="n">
        <v>0</v>
      </c>
      <c r="J2738" s="18" t="n">
        <v>286.68</v>
      </c>
      <c r="K2738" s="19" t="n">
        <v>88.87</v>
      </c>
      <c r="L2738" s="15" t="n">
        <f aca="false">YEAR(B2738)</f>
        <v>2025</v>
      </c>
      <c r="M2738" s="20" t="n">
        <f aca="false">IF(J2738&gt;0,K2738/J2738,0)</f>
        <v>0.309997209432119</v>
      </c>
    </row>
    <row r="2739" customFormat="false" ht="15" hidden="false" customHeight="false" outlineLevel="0" collapsed="false">
      <c r="A2739" s="15" t="s">
        <v>2796</v>
      </c>
      <c r="B2739" s="16" t="n">
        <v>45692</v>
      </c>
      <c r="C2739" s="15" t="s">
        <v>71</v>
      </c>
      <c r="D2739" s="15" t="s">
        <v>43</v>
      </c>
      <c r="E2739" s="15" t="s">
        <v>36</v>
      </c>
      <c r="F2739" s="15" t="s">
        <v>17</v>
      </c>
      <c r="G2739" s="15" t="s">
        <v>28</v>
      </c>
      <c r="H2739" s="15" t="n">
        <v>1</v>
      </c>
      <c r="I2739" s="17" t="n">
        <v>0.1</v>
      </c>
      <c r="J2739" s="18" t="n">
        <v>25.68</v>
      </c>
      <c r="K2739" s="19" t="n">
        <v>5.16</v>
      </c>
      <c r="L2739" s="15" t="n">
        <f aca="false">YEAR(B2739)</f>
        <v>2025</v>
      </c>
      <c r="M2739" s="20" t="n">
        <f aca="false">IF(J2739&gt;0,K2739/J2739,0)</f>
        <v>0.200934579439252</v>
      </c>
    </row>
    <row r="2740" customFormat="false" ht="15" hidden="false" customHeight="false" outlineLevel="0" collapsed="false">
      <c r="A2740" s="15" t="s">
        <v>2797</v>
      </c>
      <c r="B2740" s="16" t="n">
        <v>45505</v>
      </c>
      <c r="C2740" s="15" t="s">
        <v>56</v>
      </c>
      <c r="D2740" s="15" t="s">
        <v>42</v>
      </c>
      <c r="E2740" s="15" t="s">
        <v>36</v>
      </c>
      <c r="F2740" s="15" t="s">
        <v>17</v>
      </c>
      <c r="G2740" s="15" t="s">
        <v>31</v>
      </c>
      <c r="H2740" s="15" t="n">
        <v>2</v>
      </c>
      <c r="I2740" s="17" t="n">
        <v>0</v>
      </c>
      <c r="J2740" s="18" t="n">
        <v>296.71</v>
      </c>
      <c r="K2740" s="19" t="n">
        <v>47.74</v>
      </c>
      <c r="L2740" s="15" t="n">
        <f aca="false">YEAR(B2740)</f>
        <v>2024</v>
      </c>
      <c r="M2740" s="20" t="n">
        <f aca="false">IF(J2740&gt;0,K2740/J2740,0)</f>
        <v>0.160897846381989</v>
      </c>
    </row>
    <row r="2741" customFormat="false" ht="15" hidden="false" customHeight="false" outlineLevel="0" collapsed="false">
      <c r="A2741" s="15" t="s">
        <v>2798</v>
      </c>
      <c r="B2741" s="16" t="n">
        <v>45563</v>
      </c>
      <c r="C2741" s="15" t="s">
        <v>68</v>
      </c>
      <c r="D2741" s="15" t="s">
        <v>42</v>
      </c>
      <c r="E2741" s="15" t="s">
        <v>36</v>
      </c>
      <c r="F2741" s="15" t="s">
        <v>17</v>
      </c>
      <c r="G2741" s="15" t="s">
        <v>31</v>
      </c>
      <c r="H2741" s="15" t="n">
        <v>2</v>
      </c>
      <c r="I2741" s="17" t="n">
        <v>0</v>
      </c>
      <c r="J2741" s="18" t="n">
        <v>273.14</v>
      </c>
      <c r="K2741" s="19" t="n">
        <v>55.75</v>
      </c>
      <c r="L2741" s="15" t="n">
        <f aca="false">YEAR(B2741)</f>
        <v>2024</v>
      </c>
      <c r="M2741" s="20" t="n">
        <f aca="false">IF(J2741&gt;0,K2741/J2741,0)</f>
        <v>0.204107783554221</v>
      </c>
    </row>
    <row r="2742" customFormat="false" ht="15" hidden="false" customHeight="false" outlineLevel="0" collapsed="false">
      <c r="A2742" s="15" t="s">
        <v>2799</v>
      </c>
      <c r="B2742" s="16" t="n">
        <v>45457</v>
      </c>
      <c r="C2742" s="15" t="s">
        <v>56</v>
      </c>
      <c r="D2742" s="15" t="s">
        <v>42</v>
      </c>
      <c r="E2742" s="15" t="s">
        <v>37</v>
      </c>
      <c r="F2742" s="15" t="s">
        <v>17</v>
      </c>
      <c r="G2742" s="15" t="s">
        <v>26</v>
      </c>
      <c r="H2742" s="15" t="n">
        <v>3</v>
      </c>
      <c r="I2742" s="17" t="n">
        <v>0</v>
      </c>
      <c r="J2742" s="18" t="n">
        <v>322.45</v>
      </c>
      <c r="K2742" s="19" t="n">
        <v>43.64</v>
      </c>
      <c r="L2742" s="15" t="n">
        <f aca="false">YEAR(B2742)</f>
        <v>2024</v>
      </c>
      <c r="M2742" s="20" t="n">
        <f aca="false">IF(J2742&gt;0,K2742/J2742,0)</f>
        <v>0.135338812218949</v>
      </c>
    </row>
    <row r="2743" customFormat="false" ht="15" hidden="false" customHeight="false" outlineLevel="0" collapsed="false">
      <c r="A2743" s="15" t="s">
        <v>2800</v>
      </c>
      <c r="B2743" s="16" t="n">
        <v>45497</v>
      </c>
      <c r="C2743" s="15" t="s">
        <v>56</v>
      </c>
      <c r="D2743" s="15" t="s">
        <v>42</v>
      </c>
      <c r="E2743" s="15" t="s">
        <v>36</v>
      </c>
      <c r="F2743" s="15" t="s">
        <v>17</v>
      </c>
      <c r="G2743" s="15" t="s">
        <v>26</v>
      </c>
      <c r="H2743" s="15" t="n">
        <v>2</v>
      </c>
      <c r="I2743" s="17" t="n">
        <v>0</v>
      </c>
      <c r="J2743" s="18" t="n">
        <v>192.8</v>
      </c>
      <c r="K2743" s="19" t="n">
        <v>23.83</v>
      </c>
      <c r="L2743" s="15" t="n">
        <f aca="false">YEAR(B2743)</f>
        <v>2024</v>
      </c>
      <c r="M2743" s="20" t="n">
        <f aca="false">IF(J2743&gt;0,K2743/J2743,0)</f>
        <v>0.123599585062241</v>
      </c>
    </row>
    <row r="2744" customFormat="false" ht="15" hidden="false" customHeight="false" outlineLevel="0" collapsed="false">
      <c r="A2744" s="15" t="s">
        <v>2801</v>
      </c>
      <c r="B2744" s="16" t="n">
        <v>45696</v>
      </c>
      <c r="C2744" s="15" t="s">
        <v>56</v>
      </c>
      <c r="D2744" s="15" t="s">
        <v>42</v>
      </c>
      <c r="E2744" s="15" t="s">
        <v>37</v>
      </c>
      <c r="F2744" s="15" t="s">
        <v>17</v>
      </c>
      <c r="G2744" s="15" t="s">
        <v>26</v>
      </c>
      <c r="H2744" s="15" t="n">
        <v>4</v>
      </c>
      <c r="I2744" s="17" t="n">
        <v>0</v>
      </c>
      <c r="J2744" s="18" t="n">
        <v>297.49</v>
      </c>
      <c r="K2744" s="19" t="n">
        <v>28.03</v>
      </c>
      <c r="L2744" s="15" t="n">
        <f aca="false">YEAR(B2744)</f>
        <v>2025</v>
      </c>
      <c r="M2744" s="20" t="n">
        <f aca="false">IF(J2744&gt;0,K2744/J2744,0)</f>
        <v>0.0942216545093953</v>
      </c>
    </row>
    <row r="2745" customFormat="false" ht="15" hidden="false" customHeight="false" outlineLevel="0" collapsed="false">
      <c r="A2745" s="15" t="s">
        <v>2802</v>
      </c>
      <c r="B2745" s="16" t="n">
        <v>45260</v>
      </c>
      <c r="C2745" s="15" t="s">
        <v>56</v>
      </c>
      <c r="D2745" s="15" t="s">
        <v>42</v>
      </c>
      <c r="E2745" s="15" t="s">
        <v>39</v>
      </c>
      <c r="F2745" s="15" t="s">
        <v>16</v>
      </c>
      <c r="G2745" s="15" t="s">
        <v>27</v>
      </c>
      <c r="H2745" s="15" t="n">
        <v>7</v>
      </c>
      <c r="I2745" s="17" t="n">
        <v>0</v>
      </c>
      <c r="J2745" s="18" t="n">
        <v>479.9</v>
      </c>
      <c r="K2745" s="19" t="n">
        <v>87.52</v>
      </c>
      <c r="L2745" s="15" t="n">
        <f aca="false">YEAR(B2745)</f>
        <v>2023</v>
      </c>
      <c r="M2745" s="20" t="n">
        <f aca="false">IF(J2745&gt;0,K2745/J2745,0)</f>
        <v>0.182371327359867</v>
      </c>
    </row>
    <row r="2746" customFormat="false" ht="15" hidden="false" customHeight="false" outlineLevel="0" collapsed="false">
      <c r="A2746" s="15" t="s">
        <v>2803</v>
      </c>
      <c r="B2746" s="16" t="n">
        <v>45560</v>
      </c>
      <c r="C2746" s="15" t="s">
        <v>56</v>
      </c>
      <c r="D2746" s="15" t="s">
        <v>43</v>
      </c>
      <c r="E2746" s="15" t="s">
        <v>39</v>
      </c>
      <c r="F2746" s="15" t="s">
        <v>17</v>
      </c>
      <c r="G2746" s="15" t="s">
        <v>29</v>
      </c>
      <c r="H2746" s="15" t="n">
        <v>1</v>
      </c>
      <c r="I2746" s="17" t="n">
        <v>0</v>
      </c>
      <c r="J2746" s="18" t="n">
        <v>20.1</v>
      </c>
      <c r="K2746" s="19" t="n">
        <v>8.77</v>
      </c>
      <c r="L2746" s="15" t="n">
        <f aca="false">YEAR(B2746)</f>
        <v>2024</v>
      </c>
      <c r="M2746" s="20" t="n">
        <f aca="false">IF(J2746&gt;0,K2746/J2746,0)</f>
        <v>0.436318407960199</v>
      </c>
    </row>
    <row r="2747" customFormat="false" ht="15" hidden="false" customHeight="false" outlineLevel="0" collapsed="false">
      <c r="A2747" s="15" t="s">
        <v>2804</v>
      </c>
      <c r="B2747" s="16" t="n">
        <v>45554</v>
      </c>
      <c r="C2747" s="15" t="s">
        <v>56</v>
      </c>
      <c r="D2747" s="15" t="s">
        <v>42</v>
      </c>
      <c r="E2747" s="15" t="s">
        <v>37</v>
      </c>
      <c r="F2747" s="15" t="s">
        <v>17</v>
      </c>
      <c r="G2747" s="15" t="s">
        <v>26</v>
      </c>
      <c r="H2747" s="15" t="n">
        <v>3</v>
      </c>
      <c r="I2747" s="17" t="n">
        <v>0</v>
      </c>
      <c r="J2747" s="18" t="n">
        <v>268.28</v>
      </c>
      <c r="K2747" s="19" t="n">
        <v>44.15</v>
      </c>
      <c r="L2747" s="15" t="n">
        <f aca="false">YEAR(B2747)</f>
        <v>2024</v>
      </c>
      <c r="M2747" s="20" t="n">
        <f aca="false">IF(J2747&gt;0,K2747/J2747,0)</f>
        <v>0.164566870433875</v>
      </c>
    </row>
    <row r="2748" customFormat="false" ht="15" hidden="false" customHeight="false" outlineLevel="0" collapsed="false">
      <c r="A2748" s="15" t="s">
        <v>2805</v>
      </c>
      <c r="B2748" s="16" t="n">
        <v>45132</v>
      </c>
      <c r="C2748" s="15" t="s">
        <v>56</v>
      </c>
      <c r="D2748" s="15" t="s">
        <v>43</v>
      </c>
      <c r="E2748" s="15" t="s">
        <v>39</v>
      </c>
      <c r="F2748" s="15" t="s">
        <v>17</v>
      </c>
      <c r="G2748" s="15" t="s">
        <v>28</v>
      </c>
      <c r="H2748" s="15" t="n">
        <v>8</v>
      </c>
      <c r="I2748" s="17" t="n">
        <v>0.4</v>
      </c>
      <c r="J2748" s="18" t="n">
        <v>127.58</v>
      </c>
      <c r="K2748" s="19" t="n">
        <v>-6.75</v>
      </c>
      <c r="L2748" s="15" t="n">
        <f aca="false">YEAR(B2748)</f>
        <v>2023</v>
      </c>
      <c r="M2748" s="20" t="n">
        <f aca="false">IF(J2748&gt;0,K2748/J2748,0)</f>
        <v>-0.0529079793071014</v>
      </c>
    </row>
    <row r="2749" customFormat="false" ht="15" hidden="false" customHeight="false" outlineLevel="0" collapsed="false">
      <c r="A2749" s="15" t="s">
        <v>2806</v>
      </c>
      <c r="B2749" s="16" t="n">
        <v>45924</v>
      </c>
      <c r="C2749" s="15" t="s">
        <v>68</v>
      </c>
      <c r="D2749" s="15" t="s">
        <v>43</v>
      </c>
      <c r="E2749" s="15" t="s">
        <v>39</v>
      </c>
      <c r="F2749" s="15" t="s">
        <v>17</v>
      </c>
      <c r="G2749" s="15" t="s">
        <v>31</v>
      </c>
      <c r="H2749" s="15" t="n">
        <v>4</v>
      </c>
      <c r="I2749" s="17" t="n">
        <v>0.4</v>
      </c>
      <c r="J2749" s="18" t="n">
        <v>355.67</v>
      </c>
      <c r="K2749" s="19" t="n">
        <v>-55.69</v>
      </c>
      <c r="L2749" s="15" t="n">
        <f aca="false">YEAR(B2749)</f>
        <v>2025</v>
      </c>
      <c r="M2749" s="20" t="n">
        <f aca="false">IF(J2749&gt;0,K2749/J2749,0)</f>
        <v>-0.156577726544269</v>
      </c>
    </row>
    <row r="2750" customFormat="false" ht="15" hidden="false" customHeight="false" outlineLevel="0" collapsed="false">
      <c r="A2750" s="15" t="s">
        <v>2807</v>
      </c>
      <c r="B2750" s="16" t="n">
        <v>45524</v>
      </c>
      <c r="C2750" s="15" t="s">
        <v>56</v>
      </c>
      <c r="D2750" s="15" t="s">
        <v>42</v>
      </c>
      <c r="E2750" s="15" t="s">
        <v>39</v>
      </c>
      <c r="F2750" s="15" t="s">
        <v>16</v>
      </c>
      <c r="G2750" s="15" t="s">
        <v>27</v>
      </c>
      <c r="H2750" s="15" t="n">
        <v>4</v>
      </c>
      <c r="I2750" s="17" t="n">
        <v>0</v>
      </c>
      <c r="J2750" s="18" t="n">
        <v>225.93</v>
      </c>
      <c r="K2750" s="19" t="n">
        <v>51.09</v>
      </c>
      <c r="L2750" s="15" t="n">
        <f aca="false">YEAR(B2750)</f>
        <v>2024</v>
      </c>
      <c r="M2750" s="20" t="n">
        <f aca="false">IF(J2750&gt;0,K2750/J2750,0)</f>
        <v>0.226131987783827</v>
      </c>
    </row>
    <row r="2751" customFormat="false" ht="15" hidden="false" customHeight="false" outlineLevel="0" collapsed="false">
      <c r="A2751" s="15" t="s">
        <v>2808</v>
      </c>
      <c r="B2751" s="16" t="n">
        <v>44882</v>
      </c>
      <c r="C2751" s="15" t="s">
        <v>68</v>
      </c>
      <c r="D2751" s="15" t="s">
        <v>42</v>
      </c>
      <c r="E2751" s="15" t="s">
        <v>39</v>
      </c>
      <c r="F2751" s="15" t="s">
        <v>17</v>
      </c>
      <c r="G2751" s="15" t="s">
        <v>26</v>
      </c>
      <c r="H2751" s="15" t="n">
        <v>5</v>
      </c>
      <c r="I2751" s="17" t="n">
        <v>0.05</v>
      </c>
      <c r="J2751" s="18" t="n">
        <v>441.7</v>
      </c>
      <c r="K2751" s="19" t="n">
        <v>59.23</v>
      </c>
      <c r="L2751" s="15" t="n">
        <f aca="false">YEAR(B2751)</f>
        <v>2022</v>
      </c>
      <c r="M2751" s="20" t="n">
        <f aca="false">IF(J2751&gt;0,K2751/J2751,0)</f>
        <v>0.134095539959248</v>
      </c>
    </row>
    <row r="2752" customFormat="false" ht="15" hidden="false" customHeight="false" outlineLevel="0" collapsed="false">
      <c r="A2752" s="15" t="s">
        <v>2809</v>
      </c>
      <c r="B2752" s="16" t="n">
        <v>45030</v>
      </c>
      <c r="C2752" s="15" t="s">
        <v>56</v>
      </c>
      <c r="D2752" s="15" t="s">
        <v>42</v>
      </c>
      <c r="E2752" s="15" t="s">
        <v>37</v>
      </c>
      <c r="F2752" s="15" t="s">
        <v>18</v>
      </c>
      <c r="G2752" s="15" t="s">
        <v>30</v>
      </c>
      <c r="H2752" s="15" t="n">
        <v>7</v>
      </c>
      <c r="I2752" s="17" t="n">
        <v>0.2</v>
      </c>
      <c r="J2752" s="18" t="n">
        <v>223.85</v>
      </c>
      <c r="K2752" s="19" t="n">
        <v>25.29</v>
      </c>
      <c r="L2752" s="15" t="n">
        <f aca="false">YEAR(B2752)</f>
        <v>2023</v>
      </c>
      <c r="M2752" s="20" t="n">
        <f aca="false">IF(J2752&gt;0,K2752/J2752,0)</f>
        <v>0.112977440250168</v>
      </c>
    </row>
    <row r="2753" customFormat="false" ht="15" hidden="false" customHeight="false" outlineLevel="0" collapsed="false">
      <c r="A2753" s="15" t="s">
        <v>2810</v>
      </c>
      <c r="B2753" s="16" t="n">
        <v>45947</v>
      </c>
      <c r="C2753" s="15" t="s">
        <v>71</v>
      </c>
      <c r="D2753" s="15" t="s">
        <v>43</v>
      </c>
      <c r="E2753" s="15" t="s">
        <v>38</v>
      </c>
      <c r="F2753" s="15" t="s">
        <v>17</v>
      </c>
      <c r="G2753" s="15" t="s">
        <v>29</v>
      </c>
      <c r="H2753" s="15" t="n">
        <v>6</v>
      </c>
      <c r="I2753" s="17" t="n">
        <v>0</v>
      </c>
      <c r="J2753" s="18" t="n">
        <v>90.65</v>
      </c>
      <c r="K2753" s="19" t="n">
        <v>25.91</v>
      </c>
      <c r="L2753" s="15" t="n">
        <f aca="false">YEAR(B2753)</f>
        <v>2025</v>
      </c>
      <c r="M2753" s="20" t="n">
        <f aca="false">IF(J2753&gt;0,K2753/J2753,0)</f>
        <v>0.285824600110314</v>
      </c>
    </row>
    <row r="2754" customFormat="false" ht="15" hidden="false" customHeight="false" outlineLevel="0" collapsed="false">
      <c r="A2754" s="15" t="s">
        <v>2811</v>
      </c>
      <c r="B2754" s="16" t="n">
        <v>44874</v>
      </c>
      <c r="C2754" s="15" t="s">
        <v>68</v>
      </c>
      <c r="D2754" s="15" t="s">
        <v>42</v>
      </c>
      <c r="E2754" s="15" t="s">
        <v>39</v>
      </c>
      <c r="F2754" s="15" t="s">
        <v>17</v>
      </c>
      <c r="G2754" s="15" t="s">
        <v>26</v>
      </c>
      <c r="H2754" s="15" t="n">
        <v>5</v>
      </c>
      <c r="I2754" s="17" t="n">
        <v>0.1</v>
      </c>
      <c r="J2754" s="18" t="n">
        <v>407.19</v>
      </c>
      <c r="K2754" s="19" t="n">
        <v>7.09</v>
      </c>
      <c r="L2754" s="15" t="n">
        <f aca="false">YEAR(B2754)</f>
        <v>2022</v>
      </c>
      <c r="M2754" s="20" t="n">
        <f aca="false">IF(J2754&gt;0,K2754/J2754,0)</f>
        <v>0.0174120189592082</v>
      </c>
    </row>
    <row r="2755" customFormat="false" ht="15" hidden="false" customHeight="false" outlineLevel="0" collapsed="false">
      <c r="A2755" s="15" t="s">
        <v>2812</v>
      </c>
      <c r="B2755" s="16" t="n">
        <v>44969</v>
      </c>
      <c r="C2755" s="15" t="s">
        <v>56</v>
      </c>
      <c r="D2755" s="15" t="s">
        <v>43</v>
      </c>
      <c r="E2755" s="15" t="s">
        <v>38</v>
      </c>
      <c r="F2755" s="15" t="s">
        <v>16</v>
      </c>
      <c r="G2755" s="15" t="s">
        <v>27</v>
      </c>
      <c r="H2755" s="15" t="n">
        <v>3</v>
      </c>
      <c r="I2755" s="17" t="n">
        <v>0.3</v>
      </c>
      <c r="J2755" s="18" t="n">
        <v>113.06</v>
      </c>
      <c r="K2755" s="19" t="n">
        <v>0.17</v>
      </c>
      <c r="L2755" s="15" t="n">
        <f aca="false">YEAR(B2755)</f>
        <v>2023</v>
      </c>
      <c r="M2755" s="20" t="n">
        <f aca="false">IF(J2755&gt;0,K2755/J2755,0)</f>
        <v>0.00150362639306563</v>
      </c>
    </row>
    <row r="2756" customFormat="false" ht="15" hidden="false" customHeight="false" outlineLevel="0" collapsed="false">
      <c r="A2756" s="15" t="s">
        <v>2813</v>
      </c>
      <c r="B2756" s="16" t="n">
        <v>45230</v>
      </c>
      <c r="C2756" s="15" t="s">
        <v>56</v>
      </c>
      <c r="D2756" s="15" t="s">
        <v>42</v>
      </c>
      <c r="E2756" s="15" t="s">
        <v>39</v>
      </c>
      <c r="F2756" s="15" t="s">
        <v>17</v>
      </c>
      <c r="G2756" s="15" t="s">
        <v>26</v>
      </c>
      <c r="H2756" s="15" t="n">
        <v>1</v>
      </c>
      <c r="I2756" s="17" t="n">
        <v>0.05</v>
      </c>
      <c r="J2756" s="18" t="n">
        <v>86.02</v>
      </c>
      <c r="K2756" s="19" t="n">
        <v>2.45</v>
      </c>
      <c r="L2756" s="15" t="n">
        <f aca="false">YEAR(B2756)</f>
        <v>2023</v>
      </c>
      <c r="M2756" s="20" t="n">
        <f aca="false">IF(J2756&gt;0,K2756/J2756,0)</f>
        <v>0.0284817484305975</v>
      </c>
    </row>
    <row r="2757" customFormat="false" ht="15" hidden="false" customHeight="false" outlineLevel="0" collapsed="false">
      <c r="A2757" s="15" t="s">
        <v>2814</v>
      </c>
      <c r="B2757" s="16" t="n">
        <v>45417</v>
      </c>
      <c r="C2757" s="15" t="s">
        <v>56</v>
      </c>
      <c r="D2757" s="15" t="s">
        <v>43</v>
      </c>
      <c r="E2757" s="15" t="s">
        <v>39</v>
      </c>
      <c r="F2757" s="15" t="s">
        <v>16</v>
      </c>
      <c r="G2757" s="15" t="s">
        <v>27</v>
      </c>
      <c r="H2757" s="15" t="n">
        <v>5</v>
      </c>
      <c r="I2757" s="17" t="n">
        <v>0</v>
      </c>
      <c r="J2757" s="18" t="n">
        <v>335.68</v>
      </c>
      <c r="K2757" s="19" t="n">
        <v>62.04</v>
      </c>
      <c r="L2757" s="15" t="n">
        <f aca="false">YEAR(B2757)</f>
        <v>2024</v>
      </c>
      <c r="M2757" s="20" t="n">
        <f aca="false">IF(J2757&gt;0,K2757/J2757,0)</f>
        <v>0.184818875119161</v>
      </c>
    </row>
    <row r="2758" customFormat="false" ht="15" hidden="false" customHeight="false" outlineLevel="0" collapsed="false">
      <c r="A2758" s="15" t="s">
        <v>2815</v>
      </c>
      <c r="B2758" s="16" t="n">
        <v>45316</v>
      </c>
      <c r="C2758" s="15" t="s">
        <v>56</v>
      </c>
      <c r="D2758" s="15" t="s">
        <v>44</v>
      </c>
      <c r="E2758" s="15" t="s">
        <v>38</v>
      </c>
      <c r="F2758" s="15" t="s">
        <v>17</v>
      </c>
      <c r="G2758" s="15" t="s">
        <v>28</v>
      </c>
      <c r="H2758" s="15" t="n">
        <v>4</v>
      </c>
      <c r="I2758" s="17" t="n">
        <v>0.1</v>
      </c>
      <c r="J2758" s="18" t="n">
        <v>76.38</v>
      </c>
      <c r="K2758" s="19" t="n">
        <v>17.47</v>
      </c>
      <c r="L2758" s="15" t="n">
        <f aca="false">YEAR(B2758)</f>
        <v>2024</v>
      </c>
      <c r="M2758" s="20" t="n">
        <f aca="false">IF(J2758&gt;0,K2758/J2758,0)</f>
        <v>0.228724797067295</v>
      </c>
    </row>
    <row r="2759" customFormat="false" ht="15" hidden="false" customHeight="false" outlineLevel="0" collapsed="false">
      <c r="A2759" s="15" t="s">
        <v>2816</v>
      </c>
      <c r="B2759" s="16" t="n">
        <v>45992</v>
      </c>
      <c r="C2759" s="15" t="s">
        <v>56</v>
      </c>
      <c r="D2759" s="15" t="s">
        <v>42</v>
      </c>
      <c r="E2759" s="15" t="s">
        <v>37</v>
      </c>
      <c r="F2759" s="15" t="s">
        <v>17</v>
      </c>
      <c r="G2759" s="15" t="s">
        <v>26</v>
      </c>
      <c r="H2759" s="15" t="n">
        <v>2</v>
      </c>
      <c r="I2759" s="17" t="n">
        <v>0.1</v>
      </c>
      <c r="J2759" s="18" t="n">
        <v>146.18</v>
      </c>
      <c r="K2759" s="19" t="n">
        <v>11.66</v>
      </c>
      <c r="L2759" s="15" t="n">
        <f aca="false">YEAR(B2759)</f>
        <v>2025</v>
      </c>
      <c r="M2759" s="20" t="n">
        <f aca="false">IF(J2759&gt;0,K2759/J2759,0)</f>
        <v>0.0797646736899713</v>
      </c>
    </row>
    <row r="2760" customFormat="false" ht="15" hidden="false" customHeight="false" outlineLevel="0" collapsed="false">
      <c r="A2760" s="15" t="s">
        <v>2817</v>
      </c>
      <c r="B2760" s="16" t="n">
        <v>44764</v>
      </c>
      <c r="C2760" s="15" t="s">
        <v>68</v>
      </c>
      <c r="D2760" s="15" t="s">
        <v>42</v>
      </c>
      <c r="E2760" s="15" t="s">
        <v>39</v>
      </c>
      <c r="F2760" s="15" t="s">
        <v>17</v>
      </c>
      <c r="G2760" s="15" t="s">
        <v>26</v>
      </c>
      <c r="H2760" s="15" t="n">
        <v>1</v>
      </c>
      <c r="I2760" s="17" t="n">
        <v>0</v>
      </c>
      <c r="J2760" s="18" t="n">
        <v>80.55</v>
      </c>
      <c r="K2760" s="19" t="n">
        <v>10.09</v>
      </c>
      <c r="L2760" s="15" t="n">
        <f aca="false">YEAR(B2760)</f>
        <v>2022</v>
      </c>
      <c r="M2760" s="20" t="n">
        <f aca="false">IF(J2760&gt;0,K2760/J2760,0)</f>
        <v>0.125263811297331</v>
      </c>
    </row>
    <row r="2761" customFormat="false" ht="15" hidden="false" customHeight="false" outlineLevel="0" collapsed="false">
      <c r="A2761" s="15" t="s">
        <v>2818</v>
      </c>
      <c r="B2761" s="16" t="n">
        <v>46020</v>
      </c>
      <c r="C2761" s="15" t="s">
        <v>71</v>
      </c>
      <c r="D2761" s="15" t="s">
        <v>42</v>
      </c>
      <c r="E2761" s="15" t="s">
        <v>39</v>
      </c>
      <c r="F2761" s="15" t="s">
        <v>17</v>
      </c>
      <c r="G2761" s="15" t="s">
        <v>28</v>
      </c>
      <c r="H2761" s="15" t="n">
        <v>6</v>
      </c>
      <c r="I2761" s="17" t="n">
        <v>0</v>
      </c>
      <c r="J2761" s="18" t="n">
        <v>142.92</v>
      </c>
      <c r="K2761" s="19" t="n">
        <v>55.5</v>
      </c>
      <c r="L2761" s="15" t="n">
        <f aca="false">YEAR(B2761)</f>
        <v>2025</v>
      </c>
      <c r="M2761" s="20" t="n">
        <f aca="false">IF(J2761&gt;0,K2761/J2761,0)</f>
        <v>0.388329135180521</v>
      </c>
    </row>
    <row r="2762" customFormat="false" ht="15" hidden="false" customHeight="false" outlineLevel="0" collapsed="false">
      <c r="A2762" s="15" t="s">
        <v>2819</v>
      </c>
      <c r="B2762" s="16" t="n">
        <v>45041</v>
      </c>
      <c r="C2762" s="15" t="s">
        <v>56</v>
      </c>
      <c r="D2762" s="15" t="s">
        <v>42</v>
      </c>
      <c r="E2762" s="15" t="s">
        <v>36</v>
      </c>
      <c r="F2762" s="15" t="s">
        <v>18</v>
      </c>
      <c r="G2762" s="15" t="s">
        <v>32</v>
      </c>
      <c r="H2762" s="15" t="n">
        <v>4</v>
      </c>
      <c r="I2762" s="17" t="n">
        <v>0</v>
      </c>
      <c r="J2762" s="18" t="n">
        <v>1605.16</v>
      </c>
      <c r="K2762" s="19" t="n">
        <v>331.99</v>
      </c>
      <c r="L2762" s="15" t="n">
        <f aca="false">YEAR(B2762)</f>
        <v>2023</v>
      </c>
      <c r="M2762" s="20" t="n">
        <f aca="false">IF(J2762&gt;0,K2762/J2762,0)</f>
        <v>0.206826733783548</v>
      </c>
    </row>
    <row r="2763" customFormat="false" ht="15" hidden="false" customHeight="false" outlineLevel="0" collapsed="false">
      <c r="A2763" s="15" t="s">
        <v>2820</v>
      </c>
      <c r="B2763" s="16" t="n">
        <v>45369</v>
      </c>
      <c r="C2763" s="15" t="s">
        <v>71</v>
      </c>
      <c r="D2763" s="15" t="s">
        <v>42</v>
      </c>
      <c r="E2763" s="15" t="s">
        <v>39</v>
      </c>
      <c r="F2763" s="15" t="s">
        <v>17</v>
      </c>
      <c r="G2763" s="15" t="s">
        <v>31</v>
      </c>
      <c r="H2763" s="15" t="n">
        <v>3</v>
      </c>
      <c r="I2763" s="17" t="n">
        <v>0.1</v>
      </c>
      <c r="J2763" s="18" t="n">
        <v>338.1</v>
      </c>
      <c r="K2763" s="19" t="n">
        <v>30.52</v>
      </c>
      <c r="L2763" s="15" t="n">
        <f aca="false">YEAR(B2763)</f>
        <v>2024</v>
      </c>
      <c r="M2763" s="20" t="n">
        <f aca="false">IF(J2763&gt;0,K2763/J2763,0)</f>
        <v>0.0902691511387164</v>
      </c>
    </row>
    <row r="2764" customFormat="false" ht="15" hidden="false" customHeight="false" outlineLevel="0" collapsed="false">
      <c r="A2764" s="15" t="s">
        <v>2821</v>
      </c>
      <c r="B2764" s="16" t="n">
        <v>45146</v>
      </c>
      <c r="C2764" s="15" t="s">
        <v>56</v>
      </c>
      <c r="D2764" s="15" t="s">
        <v>44</v>
      </c>
      <c r="E2764" s="15" t="s">
        <v>39</v>
      </c>
      <c r="F2764" s="15" t="s">
        <v>17</v>
      </c>
      <c r="G2764" s="15" t="s">
        <v>26</v>
      </c>
      <c r="H2764" s="15" t="n">
        <v>6</v>
      </c>
      <c r="I2764" s="17" t="n">
        <v>0.1</v>
      </c>
      <c r="J2764" s="18" t="n">
        <v>556.76</v>
      </c>
      <c r="K2764" s="19" t="n">
        <v>37.2</v>
      </c>
      <c r="L2764" s="15" t="n">
        <f aca="false">YEAR(B2764)</f>
        <v>2023</v>
      </c>
      <c r="M2764" s="20" t="n">
        <f aca="false">IF(J2764&gt;0,K2764/J2764,0)</f>
        <v>0.066815144766147</v>
      </c>
    </row>
    <row r="2765" customFormat="false" ht="15" hidden="false" customHeight="false" outlineLevel="0" collapsed="false">
      <c r="A2765" s="15" t="s">
        <v>2822</v>
      </c>
      <c r="B2765" s="16" t="n">
        <v>45893</v>
      </c>
      <c r="C2765" s="15" t="s">
        <v>56</v>
      </c>
      <c r="D2765" s="15" t="s">
        <v>42</v>
      </c>
      <c r="E2765" s="15" t="s">
        <v>38</v>
      </c>
      <c r="F2765" s="15" t="s">
        <v>18</v>
      </c>
      <c r="G2765" s="15" t="s">
        <v>30</v>
      </c>
      <c r="H2765" s="15" t="n">
        <v>4</v>
      </c>
      <c r="I2765" s="17" t="n">
        <v>0.05</v>
      </c>
      <c r="J2765" s="18" t="n">
        <v>146.05</v>
      </c>
      <c r="K2765" s="19" t="n">
        <v>35.95</v>
      </c>
      <c r="L2765" s="15" t="n">
        <f aca="false">YEAR(B2765)</f>
        <v>2025</v>
      </c>
      <c r="M2765" s="20" t="n">
        <f aca="false">IF(J2765&gt;0,K2765/J2765,0)</f>
        <v>0.24614857925368</v>
      </c>
    </row>
    <row r="2766" customFormat="false" ht="15" hidden="false" customHeight="false" outlineLevel="0" collapsed="false">
      <c r="A2766" s="15" t="s">
        <v>2823</v>
      </c>
      <c r="B2766" s="16" t="n">
        <v>45794</v>
      </c>
      <c r="C2766" s="15" t="s">
        <v>56</v>
      </c>
      <c r="D2766" s="15" t="s">
        <v>42</v>
      </c>
      <c r="E2766" s="15" t="s">
        <v>38</v>
      </c>
      <c r="F2766" s="15" t="s">
        <v>18</v>
      </c>
      <c r="G2766" s="15" t="s">
        <v>32</v>
      </c>
      <c r="H2766" s="15" t="n">
        <v>4</v>
      </c>
      <c r="I2766" s="17" t="n">
        <v>0</v>
      </c>
      <c r="J2766" s="18" t="n">
        <v>1569.99</v>
      </c>
      <c r="K2766" s="19" t="n">
        <v>244.15</v>
      </c>
      <c r="L2766" s="15" t="n">
        <f aca="false">YEAR(B2766)</f>
        <v>2025</v>
      </c>
      <c r="M2766" s="20" t="n">
        <f aca="false">IF(J2766&gt;0,K2766/J2766,0)</f>
        <v>0.155510544653151</v>
      </c>
    </row>
    <row r="2767" customFormat="false" ht="15" hidden="false" customHeight="false" outlineLevel="0" collapsed="false">
      <c r="A2767" s="15" t="s">
        <v>2824</v>
      </c>
      <c r="B2767" s="16" t="n">
        <v>45571</v>
      </c>
      <c r="C2767" s="15" t="s">
        <v>56</v>
      </c>
      <c r="D2767" s="15" t="s">
        <v>44</v>
      </c>
      <c r="E2767" s="15" t="s">
        <v>38</v>
      </c>
      <c r="F2767" s="15" t="s">
        <v>17</v>
      </c>
      <c r="G2767" s="15" t="s">
        <v>26</v>
      </c>
      <c r="H2767" s="15" t="n">
        <v>1</v>
      </c>
      <c r="I2767" s="17" t="n">
        <v>0.1</v>
      </c>
      <c r="J2767" s="18" t="n">
        <v>71.78</v>
      </c>
      <c r="K2767" s="19" t="n">
        <v>0.58</v>
      </c>
      <c r="L2767" s="15" t="n">
        <f aca="false">YEAR(B2767)</f>
        <v>2024</v>
      </c>
      <c r="M2767" s="20" t="n">
        <f aca="false">IF(J2767&gt;0,K2767/J2767,0)</f>
        <v>0.00808024519364725</v>
      </c>
    </row>
    <row r="2768" customFormat="false" ht="15" hidden="false" customHeight="false" outlineLevel="0" collapsed="false">
      <c r="A2768" s="15" t="s">
        <v>2825</v>
      </c>
      <c r="B2768" s="16" t="n">
        <v>45834</v>
      </c>
      <c r="C2768" s="15" t="s">
        <v>71</v>
      </c>
      <c r="D2768" s="15" t="s">
        <v>43</v>
      </c>
      <c r="E2768" s="15" t="s">
        <v>37</v>
      </c>
      <c r="F2768" s="15" t="s">
        <v>18</v>
      </c>
      <c r="G2768" s="15" t="s">
        <v>33</v>
      </c>
      <c r="H2768" s="15" t="n">
        <v>2</v>
      </c>
      <c r="I2768" s="17" t="n">
        <v>0</v>
      </c>
      <c r="J2768" s="18" t="n">
        <v>1875.73</v>
      </c>
      <c r="K2768" s="19" t="n">
        <v>597.16</v>
      </c>
      <c r="L2768" s="15" t="n">
        <f aca="false">YEAR(B2768)</f>
        <v>2025</v>
      </c>
      <c r="M2768" s="20" t="n">
        <f aca="false">IF(J2768&gt;0,K2768/J2768,0)</f>
        <v>0.318361384634249</v>
      </c>
    </row>
    <row r="2769" customFormat="false" ht="15" hidden="false" customHeight="false" outlineLevel="0" collapsed="false">
      <c r="A2769" s="15" t="s">
        <v>2826</v>
      </c>
      <c r="B2769" s="16" t="n">
        <v>44676</v>
      </c>
      <c r="C2769" s="15" t="s">
        <v>56</v>
      </c>
      <c r="D2769" s="15" t="s">
        <v>43</v>
      </c>
      <c r="E2769" s="15" t="s">
        <v>39</v>
      </c>
      <c r="F2769" s="15" t="s">
        <v>17</v>
      </c>
      <c r="G2769" s="15" t="s">
        <v>31</v>
      </c>
      <c r="H2769" s="15" t="n">
        <v>3</v>
      </c>
      <c r="I2769" s="17" t="n">
        <v>0</v>
      </c>
      <c r="J2769" s="18" t="n">
        <v>471.65</v>
      </c>
      <c r="K2769" s="19" t="n">
        <v>116.59</v>
      </c>
      <c r="L2769" s="15" t="n">
        <f aca="false">YEAR(B2769)</f>
        <v>2022</v>
      </c>
      <c r="M2769" s="20" t="n">
        <f aca="false">IF(J2769&gt;0,K2769/J2769,0)</f>
        <v>0.247196013993427</v>
      </c>
    </row>
    <row r="2770" customFormat="false" ht="15" hidden="false" customHeight="false" outlineLevel="0" collapsed="false">
      <c r="A2770" s="15" t="s">
        <v>2827</v>
      </c>
      <c r="B2770" s="16" t="n">
        <v>45902</v>
      </c>
      <c r="C2770" s="15" t="s">
        <v>71</v>
      </c>
      <c r="D2770" s="15" t="s">
        <v>43</v>
      </c>
      <c r="E2770" s="15" t="s">
        <v>39</v>
      </c>
      <c r="F2770" s="15" t="s">
        <v>16</v>
      </c>
      <c r="G2770" s="15" t="s">
        <v>27</v>
      </c>
      <c r="H2770" s="15" t="n">
        <v>7</v>
      </c>
      <c r="I2770" s="17" t="n">
        <v>0</v>
      </c>
      <c r="J2770" s="18" t="n">
        <v>466.72</v>
      </c>
      <c r="K2770" s="19" t="n">
        <v>80.53</v>
      </c>
      <c r="L2770" s="15" t="n">
        <f aca="false">YEAR(B2770)</f>
        <v>2025</v>
      </c>
      <c r="M2770" s="20" t="n">
        <f aca="false">IF(J2770&gt;0,K2770/J2770,0)</f>
        <v>0.172544566335276</v>
      </c>
    </row>
    <row r="2771" customFormat="false" ht="15" hidden="false" customHeight="false" outlineLevel="0" collapsed="false">
      <c r="A2771" s="15" t="s">
        <v>2828</v>
      </c>
      <c r="B2771" s="16" t="n">
        <v>44910</v>
      </c>
      <c r="C2771" s="15" t="s">
        <v>56</v>
      </c>
      <c r="D2771" s="15" t="s">
        <v>43</v>
      </c>
      <c r="E2771" s="15" t="s">
        <v>39</v>
      </c>
      <c r="F2771" s="15" t="s">
        <v>17</v>
      </c>
      <c r="G2771" s="15" t="s">
        <v>28</v>
      </c>
      <c r="H2771" s="15" t="n">
        <v>2</v>
      </c>
      <c r="I2771" s="17" t="n">
        <v>0.2</v>
      </c>
      <c r="J2771" s="18" t="n">
        <v>43.33</v>
      </c>
      <c r="K2771" s="19" t="n">
        <v>4.55</v>
      </c>
      <c r="L2771" s="15" t="n">
        <f aca="false">YEAR(B2771)</f>
        <v>2022</v>
      </c>
      <c r="M2771" s="20" t="n">
        <f aca="false">IF(J2771&gt;0,K2771/J2771,0)</f>
        <v>0.105008077544427</v>
      </c>
    </row>
    <row r="2772" customFormat="false" ht="15" hidden="false" customHeight="false" outlineLevel="0" collapsed="false">
      <c r="A2772" s="15" t="s">
        <v>2829</v>
      </c>
      <c r="B2772" s="16" t="n">
        <v>45386</v>
      </c>
      <c r="C2772" s="15" t="s">
        <v>56</v>
      </c>
      <c r="D2772" s="15" t="s">
        <v>44</v>
      </c>
      <c r="E2772" s="15" t="s">
        <v>37</v>
      </c>
      <c r="F2772" s="15" t="s">
        <v>17</v>
      </c>
      <c r="G2772" s="15" t="s">
        <v>28</v>
      </c>
      <c r="H2772" s="15" t="n">
        <v>6</v>
      </c>
      <c r="I2772" s="17" t="n">
        <v>0.1</v>
      </c>
      <c r="J2772" s="18" t="n">
        <v>155.1</v>
      </c>
      <c r="K2772" s="19" t="n">
        <v>38.83</v>
      </c>
      <c r="L2772" s="15" t="n">
        <f aca="false">YEAR(B2772)</f>
        <v>2024</v>
      </c>
      <c r="M2772" s="20" t="n">
        <f aca="false">IF(J2772&gt;0,K2772/J2772,0)</f>
        <v>0.250354609929078</v>
      </c>
    </row>
    <row r="2773" customFormat="false" ht="15" hidden="false" customHeight="false" outlineLevel="0" collapsed="false">
      <c r="A2773" s="15" t="s">
        <v>2830</v>
      </c>
      <c r="B2773" s="16" t="n">
        <v>45441</v>
      </c>
      <c r="C2773" s="15" t="s">
        <v>56</v>
      </c>
      <c r="D2773" s="15" t="s">
        <v>44</v>
      </c>
      <c r="E2773" s="15" t="s">
        <v>37</v>
      </c>
      <c r="F2773" s="15" t="s">
        <v>16</v>
      </c>
      <c r="G2773" s="15" t="s">
        <v>23</v>
      </c>
      <c r="H2773" s="15" t="n">
        <v>3</v>
      </c>
      <c r="I2773" s="17" t="n">
        <v>0</v>
      </c>
      <c r="J2773" s="18" t="n">
        <v>1028.77</v>
      </c>
      <c r="K2773" s="19" t="n">
        <v>-23.77</v>
      </c>
      <c r="L2773" s="15" t="n">
        <f aca="false">YEAR(B2773)</f>
        <v>2024</v>
      </c>
      <c r="M2773" s="20" t="n">
        <f aca="false">IF(J2773&gt;0,K2773/J2773,0)</f>
        <v>-0.0231052616231033</v>
      </c>
    </row>
    <row r="2774" customFormat="false" ht="15" hidden="false" customHeight="false" outlineLevel="0" collapsed="false">
      <c r="A2774" s="15" t="s">
        <v>2831</v>
      </c>
      <c r="B2774" s="16" t="n">
        <v>44652</v>
      </c>
      <c r="C2774" s="15" t="s">
        <v>71</v>
      </c>
      <c r="D2774" s="15" t="s">
        <v>42</v>
      </c>
      <c r="E2774" s="15" t="s">
        <v>37</v>
      </c>
      <c r="F2774" s="15" t="s">
        <v>16</v>
      </c>
      <c r="G2774" s="15" t="s">
        <v>22</v>
      </c>
      <c r="H2774" s="15" t="n">
        <v>3</v>
      </c>
      <c r="I2774" s="17" t="n">
        <v>0</v>
      </c>
      <c r="J2774" s="18" t="n">
        <v>2046.91</v>
      </c>
      <c r="K2774" s="19" t="n">
        <v>-142.45</v>
      </c>
      <c r="L2774" s="15" t="n">
        <f aca="false">YEAR(B2774)</f>
        <v>2022</v>
      </c>
      <c r="M2774" s="20" t="n">
        <f aca="false">IF(J2774&gt;0,K2774/J2774,0)</f>
        <v>-0.0695927031476714</v>
      </c>
    </row>
    <row r="2775" customFormat="false" ht="15" hidden="false" customHeight="false" outlineLevel="0" collapsed="false">
      <c r="A2775" s="15" t="s">
        <v>2832</v>
      </c>
      <c r="B2775" s="16" t="n">
        <v>45953</v>
      </c>
      <c r="C2775" s="15" t="s">
        <v>68</v>
      </c>
      <c r="D2775" s="15" t="s">
        <v>43</v>
      </c>
      <c r="E2775" s="15" t="s">
        <v>36</v>
      </c>
      <c r="F2775" s="15" t="s">
        <v>17</v>
      </c>
      <c r="G2775" s="15" t="s">
        <v>31</v>
      </c>
      <c r="H2775" s="15" t="n">
        <v>7</v>
      </c>
      <c r="I2775" s="17" t="n">
        <v>0</v>
      </c>
      <c r="J2775" s="18" t="n">
        <v>1071.36</v>
      </c>
      <c r="K2775" s="19" t="n">
        <v>259.54</v>
      </c>
      <c r="L2775" s="15" t="n">
        <f aca="false">YEAR(B2775)</f>
        <v>2025</v>
      </c>
      <c r="M2775" s="20" t="n">
        <f aca="false">IF(J2775&gt;0,K2775/J2775,0)</f>
        <v>0.242252837514934</v>
      </c>
    </row>
    <row r="2776" customFormat="false" ht="15" hidden="false" customHeight="false" outlineLevel="0" collapsed="false">
      <c r="A2776" s="15" t="s">
        <v>2833</v>
      </c>
      <c r="B2776" s="16" t="n">
        <v>45480</v>
      </c>
      <c r="C2776" s="15" t="s">
        <v>56</v>
      </c>
      <c r="D2776" s="15" t="s">
        <v>44</v>
      </c>
      <c r="E2776" s="15" t="s">
        <v>36</v>
      </c>
      <c r="F2776" s="15" t="s">
        <v>17</v>
      </c>
      <c r="G2776" s="15" t="s">
        <v>29</v>
      </c>
      <c r="H2776" s="15" t="n">
        <v>3</v>
      </c>
      <c r="I2776" s="17" t="n">
        <v>0.2</v>
      </c>
      <c r="J2776" s="18" t="n">
        <v>43.92</v>
      </c>
      <c r="K2776" s="19" t="n">
        <v>6.6</v>
      </c>
      <c r="L2776" s="15" t="n">
        <f aca="false">YEAR(B2776)</f>
        <v>2024</v>
      </c>
      <c r="M2776" s="20" t="n">
        <f aca="false">IF(J2776&gt;0,K2776/J2776,0)</f>
        <v>0.150273224043716</v>
      </c>
    </row>
    <row r="2777" customFormat="false" ht="15" hidden="false" customHeight="false" outlineLevel="0" collapsed="false">
      <c r="A2777" s="15" t="s">
        <v>2834</v>
      </c>
      <c r="B2777" s="16" t="n">
        <v>45324</v>
      </c>
      <c r="C2777" s="15" t="s">
        <v>56</v>
      </c>
      <c r="D2777" s="15" t="s">
        <v>42</v>
      </c>
      <c r="E2777" s="15" t="s">
        <v>39</v>
      </c>
      <c r="F2777" s="15" t="s">
        <v>16</v>
      </c>
      <c r="G2777" s="15" t="s">
        <v>27</v>
      </c>
      <c r="H2777" s="15" t="n">
        <v>1</v>
      </c>
      <c r="I2777" s="17" t="n">
        <v>0.1</v>
      </c>
      <c r="J2777" s="18" t="n">
        <v>43.35</v>
      </c>
      <c r="K2777" s="19" t="n">
        <v>3.34</v>
      </c>
      <c r="L2777" s="15" t="n">
        <f aca="false">YEAR(B2777)</f>
        <v>2024</v>
      </c>
      <c r="M2777" s="20" t="n">
        <f aca="false">IF(J2777&gt;0,K2777/J2777,0)</f>
        <v>0.0770472895040369</v>
      </c>
    </row>
    <row r="2778" customFormat="false" ht="15" hidden="false" customHeight="false" outlineLevel="0" collapsed="false">
      <c r="A2778" s="15" t="s">
        <v>2835</v>
      </c>
      <c r="B2778" s="16" t="n">
        <v>45832</v>
      </c>
      <c r="C2778" s="15" t="s">
        <v>71</v>
      </c>
      <c r="D2778" s="15" t="s">
        <v>42</v>
      </c>
      <c r="E2778" s="15" t="s">
        <v>37</v>
      </c>
      <c r="F2778" s="15" t="s">
        <v>18</v>
      </c>
      <c r="G2778" s="15" t="s">
        <v>32</v>
      </c>
      <c r="H2778" s="15" t="n">
        <v>1</v>
      </c>
      <c r="I2778" s="17" t="n">
        <v>0.05</v>
      </c>
      <c r="J2778" s="18" t="n">
        <v>413.98</v>
      </c>
      <c r="K2778" s="19" t="n">
        <v>46.74</v>
      </c>
      <c r="L2778" s="15" t="n">
        <f aca="false">YEAR(B2778)</f>
        <v>2025</v>
      </c>
      <c r="M2778" s="20" t="n">
        <f aca="false">IF(J2778&gt;0,K2778/J2778,0)</f>
        <v>0.112904005024397</v>
      </c>
    </row>
    <row r="2779" customFormat="false" ht="15" hidden="false" customHeight="false" outlineLevel="0" collapsed="false">
      <c r="A2779" s="15" t="s">
        <v>2836</v>
      </c>
      <c r="B2779" s="16" t="n">
        <v>45093</v>
      </c>
      <c r="C2779" s="15" t="s">
        <v>56</v>
      </c>
      <c r="D2779" s="15" t="s">
        <v>43</v>
      </c>
      <c r="E2779" s="15" t="s">
        <v>36</v>
      </c>
      <c r="F2779" s="15" t="s">
        <v>16</v>
      </c>
      <c r="G2779" s="15" t="s">
        <v>27</v>
      </c>
      <c r="H2779" s="15" t="n">
        <v>2</v>
      </c>
      <c r="I2779" s="17" t="n">
        <v>0</v>
      </c>
      <c r="J2779" s="18" t="n">
        <v>114.76</v>
      </c>
      <c r="K2779" s="19" t="n">
        <v>23.62</v>
      </c>
      <c r="L2779" s="15" t="n">
        <f aca="false">YEAR(B2779)</f>
        <v>2023</v>
      </c>
      <c r="M2779" s="20" t="n">
        <f aca="false">IF(J2779&gt;0,K2779/J2779,0)</f>
        <v>0.205820843499477</v>
      </c>
    </row>
    <row r="2780" customFormat="false" ht="15" hidden="false" customHeight="false" outlineLevel="0" collapsed="false">
      <c r="A2780" s="15" t="s">
        <v>2837</v>
      </c>
      <c r="B2780" s="16" t="n">
        <v>44870</v>
      </c>
      <c r="C2780" s="15" t="s">
        <v>71</v>
      </c>
      <c r="D2780" s="15" t="s">
        <v>42</v>
      </c>
      <c r="E2780" s="15" t="s">
        <v>38</v>
      </c>
      <c r="F2780" s="15" t="s">
        <v>17</v>
      </c>
      <c r="G2780" s="15" t="s">
        <v>29</v>
      </c>
      <c r="H2780" s="15" t="n">
        <v>2</v>
      </c>
      <c r="I2780" s="17" t="n">
        <v>0</v>
      </c>
      <c r="J2780" s="18" t="n">
        <v>35.17</v>
      </c>
      <c r="K2780" s="19" t="n">
        <v>13.23</v>
      </c>
      <c r="L2780" s="15" t="n">
        <f aca="false">YEAR(B2780)</f>
        <v>2022</v>
      </c>
      <c r="M2780" s="20" t="n">
        <f aca="false">IF(J2780&gt;0,K2780/J2780,0)</f>
        <v>0.376172874609042</v>
      </c>
    </row>
    <row r="2781" customFormat="false" ht="15" hidden="false" customHeight="false" outlineLevel="0" collapsed="false">
      <c r="A2781" s="15" t="s">
        <v>2838</v>
      </c>
      <c r="B2781" s="16" t="n">
        <v>44571</v>
      </c>
      <c r="C2781" s="15" t="s">
        <v>56</v>
      </c>
      <c r="D2781" s="15" t="s">
        <v>42</v>
      </c>
      <c r="E2781" s="15" t="s">
        <v>37</v>
      </c>
      <c r="F2781" s="15" t="s">
        <v>17</v>
      </c>
      <c r="G2781" s="15" t="s">
        <v>28</v>
      </c>
      <c r="H2781" s="15" t="n">
        <v>6</v>
      </c>
      <c r="I2781" s="17" t="n">
        <v>0.2</v>
      </c>
      <c r="J2781" s="18" t="n">
        <v>129.9</v>
      </c>
      <c r="K2781" s="19" t="n">
        <v>21.22</v>
      </c>
      <c r="L2781" s="15" t="n">
        <f aca="false">YEAR(B2781)</f>
        <v>2022</v>
      </c>
      <c r="M2781" s="20" t="n">
        <f aca="false">IF(J2781&gt;0,K2781/J2781,0)</f>
        <v>0.163356428021555</v>
      </c>
    </row>
    <row r="2782" customFormat="false" ht="15" hidden="false" customHeight="false" outlineLevel="0" collapsed="false">
      <c r="A2782" s="15" t="s">
        <v>2839</v>
      </c>
      <c r="B2782" s="16" t="n">
        <v>45823</v>
      </c>
      <c r="C2782" s="15" t="s">
        <v>56</v>
      </c>
      <c r="D2782" s="15" t="s">
        <v>43</v>
      </c>
      <c r="E2782" s="15" t="s">
        <v>37</v>
      </c>
      <c r="F2782" s="15" t="s">
        <v>17</v>
      </c>
      <c r="G2782" s="15" t="s">
        <v>28</v>
      </c>
      <c r="H2782" s="15" t="n">
        <v>5</v>
      </c>
      <c r="I2782" s="17" t="n">
        <v>0.1</v>
      </c>
      <c r="J2782" s="18" t="n">
        <v>115.06</v>
      </c>
      <c r="K2782" s="19" t="n">
        <v>32.54</v>
      </c>
      <c r="L2782" s="15" t="n">
        <f aca="false">YEAR(B2782)</f>
        <v>2025</v>
      </c>
      <c r="M2782" s="20" t="n">
        <f aca="false">IF(J2782&gt;0,K2782/J2782,0)</f>
        <v>0.282808969233443</v>
      </c>
    </row>
    <row r="2783" customFormat="false" ht="15" hidden="false" customHeight="false" outlineLevel="0" collapsed="false">
      <c r="A2783" s="15" t="s">
        <v>2840</v>
      </c>
      <c r="B2783" s="16" t="n">
        <v>45577</v>
      </c>
      <c r="C2783" s="15" t="s">
        <v>56</v>
      </c>
      <c r="D2783" s="15" t="s">
        <v>43</v>
      </c>
      <c r="E2783" s="15" t="s">
        <v>38</v>
      </c>
      <c r="F2783" s="15" t="s">
        <v>17</v>
      </c>
      <c r="G2783" s="15" t="s">
        <v>29</v>
      </c>
      <c r="H2783" s="15" t="n">
        <v>7</v>
      </c>
      <c r="I2783" s="17" t="n">
        <v>0.3</v>
      </c>
      <c r="J2783" s="18" t="n">
        <v>73.75</v>
      </c>
      <c r="K2783" s="19" t="n">
        <v>13.97</v>
      </c>
      <c r="L2783" s="15" t="n">
        <f aca="false">YEAR(B2783)</f>
        <v>2024</v>
      </c>
      <c r="M2783" s="20" t="n">
        <f aca="false">IF(J2783&gt;0,K2783/J2783,0)</f>
        <v>0.189423728813559</v>
      </c>
    </row>
    <row r="2784" customFormat="false" ht="15" hidden="false" customHeight="false" outlineLevel="0" collapsed="false">
      <c r="A2784" s="15" t="s">
        <v>2841</v>
      </c>
      <c r="B2784" s="16" t="n">
        <v>45467</v>
      </c>
      <c r="C2784" s="15" t="s">
        <v>68</v>
      </c>
      <c r="D2784" s="15" t="s">
        <v>42</v>
      </c>
      <c r="E2784" s="15" t="s">
        <v>37</v>
      </c>
      <c r="F2784" s="15" t="s">
        <v>17</v>
      </c>
      <c r="G2784" s="15" t="s">
        <v>29</v>
      </c>
      <c r="H2784" s="15" t="n">
        <v>7</v>
      </c>
      <c r="I2784" s="17" t="n">
        <v>0</v>
      </c>
      <c r="J2784" s="18" t="n">
        <v>136.71</v>
      </c>
      <c r="K2784" s="19" t="n">
        <v>55.87</v>
      </c>
      <c r="L2784" s="15" t="n">
        <f aca="false">YEAR(B2784)</f>
        <v>2024</v>
      </c>
      <c r="M2784" s="20" t="n">
        <f aca="false">IF(J2784&gt;0,K2784/J2784,0)</f>
        <v>0.40867529807622</v>
      </c>
    </row>
    <row r="2785" customFormat="false" ht="15" hidden="false" customHeight="false" outlineLevel="0" collapsed="false">
      <c r="A2785" s="15" t="s">
        <v>2842</v>
      </c>
      <c r="B2785" s="16" t="n">
        <v>45623</v>
      </c>
      <c r="C2785" s="15" t="s">
        <v>56</v>
      </c>
      <c r="D2785" s="15" t="s">
        <v>43</v>
      </c>
      <c r="E2785" s="15" t="s">
        <v>39</v>
      </c>
      <c r="F2785" s="15" t="s">
        <v>18</v>
      </c>
      <c r="G2785" s="15" t="s">
        <v>32</v>
      </c>
      <c r="H2785" s="15" t="n">
        <v>2</v>
      </c>
      <c r="I2785" s="17" t="n">
        <v>0.1</v>
      </c>
      <c r="J2785" s="18" t="n">
        <v>752.74</v>
      </c>
      <c r="K2785" s="19" t="n">
        <v>57.58</v>
      </c>
      <c r="L2785" s="15" t="n">
        <f aca="false">YEAR(B2785)</f>
        <v>2024</v>
      </c>
      <c r="M2785" s="20" t="n">
        <f aca="false">IF(J2785&gt;0,K2785/J2785,0)</f>
        <v>0.0764938757074156</v>
      </c>
    </row>
    <row r="2786" customFormat="false" ht="15" hidden="false" customHeight="false" outlineLevel="0" collapsed="false">
      <c r="A2786" s="15" t="s">
        <v>2843</v>
      </c>
      <c r="B2786" s="16" t="n">
        <v>44869</v>
      </c>
      <c r="C2786" s="15" t="s">
        <v>56</v>
      </c>
      <c r="D2786" s="15" t="s">
        <v>43</v>
      </c>
      <c r="E2786" s="15" t="s">
        <v>36</v>
      </c>
      <c r="F2786" s="15" t="s">
        <v>17</v>
      </c>
      <c r="G2786" s="15" t="s">
        <v>28</v>
      </c>
      <c r="H2786" s="15" t="n">
        <v>5</v>
      </c>
      <c r="I2786" s="17" t="n">
        <v>0.1</v>
      </c>
      <c r="J2786" s="18" t="n">
        <v>85.05</v>
      </c>
      <c r="K2786" s="19" t="n">
        <v>22.55</v>
      </c>
      <c r="L2786" s="15" t="n">
        <f aca="false">YEAR(B2786)</f>
        <v>2022</v>
      </c>
      <c r="M2786" s="20" t="n">
        <f aca="false">IF(J2786&gt;0,K2786/J2786,0)</f>
        <v>0.265138154027043</v>
      </c>
    </row>
    <row r="2787" customFormat="false" ht="15" hidden="false" customHeight="false" outlineLevel="0" collapsed="false">
      <c r="A2787" s="15" t="s">
        <v>2844</v>
      </c>
      <c r="B2787" s="16" t="n">
        <v>45215</v>
      </c>
      <c r="C2787" s="15" t="s">
        <v>71</v>
      </c>
      <c r="D2787" s="15" t="s">
        <v>42</v>
      </c>
      <c r="E2787" s="15" t="s">
        <v>37</v>
      </c>
      <c r="F2787" s="15" t="s">
        <v>17</v>
      </c>
      <c r="G2787" s="15" t="s">
        <v>29</v>
      </c>
      <c r="H2787" s="15" t="n">
        <v>3</v>
      </c>
      <c r="I2787" s="17" t="n">
        <v>0</v>
      </c>
      <c r="J2787" s="18" t="n">
        <v>56.69</v>
      </c>
      <c r="K2787" s="19" t="n">
        <v>20.81</v>
      </c>
      <c r="L2787" s="15" t="n">
        <f aca="false">YEAR(B2787)</f>
        <v>2023</v>
      </c>
      <c r="M2787" s="20" t="n">
        <f aca="false">IF(J2787&gt;0,K2787/J2787,0)</f>
        <v>0.367084141823955</v>
      </c>
    </row>
    <row r="2788" customFormat="false" ht="15" hidden="false" customHeight="false" outlineLevel="0" collapsed="false">
      <c r="A2788" s="15" t="s">
        <v>2845</v>
      </c>
      <c r="B2788" s="16" t="n">
        <v>45003</v>
      </c>
      <c r="C2788" s="15" t="s">
        <v>71</v>
      </c>
      <c r="D2788" s="15" t="s">
        <v>43</v>
      </c>
      <c r="E2788" s="15" t="s">
        <v>36</v>
      </c>
      <c r="F2788" s="15" t="s">
        <v>18</v>
      </c>
      <c r="G2788" s="15" t="s">
        <v>30</v>
      </c>
      <c r="H2788" s="15" t="n">
        <v>3</v>
      </c>
      <c r="I2788" s="17" t="n">
        <v>0.1</v>
      </c>
      <c r="J2788" s="18" t="n">
        <v>103.86</v>
      </c>
      <c r="K2788" s="19" t="n">
        <v>17.37</v>
      </c>
      <c r="L2788" s="15" t="n">
        <f aca="false">YEAR(B2788)</f>
        <v>2023</v>
      </c>
      <c r="M2788" s="20" t="n">
        <f aca="false">IF(J2788&gt;0,K2788/J2788,0)</f>
        <v>0.167244367417678</v>
      </c>
    </row>
    <row r="2789" customFormat="false" ht="15" hidden="false" customHeight="false" outlineLevel="0" collapsed="false">
      <c r="A2789" s="15" t="s">
        <v>2846</v>
      </c>
      <c r="B2789" s="16" t="n">
        <v>45919</v>
      </c>
      <c r="C2789" s="15" t="s">
        <v>71</v>
      </c>
      <c r="D2789" s="15" t="s">
        <v>43</v>
      </c>
      <c r="E2789" s="15" t="s">
        <v>36</v>
      </c>
      <c r="F2789" s="15" t="s">
        <v>17</v>
      </c>
      <c r="G2789" s="15" t="s">
        <v>26</v>
      </c>
      <c r="H2789" s="15" t="n">
        <v>1</v>
      </c>
      <c r="I2789" s="17" t="n">
        <v>0</v>
      </c>
      <c r="J2789" s="18" t="n">
        <v>87.99</v>
      </c>
      <c r="K2789" s="19" t="n">
        <v>12.02</v>
      </c>
      <c r="L2789" s="15" t="n">
        <f aca="false">YEAR(B2789)</f>
        <v>2025</v>
      </c>
      <c r="M2789" s="20" t="n">
        <f aca="false">IF(J2789&gt;0,K2789/J2789,0)</f>
        <v>0.136606432549153</v>
      </c>
    </row>
    <row r="2790" customFormat="false" ht="15" hidden="false" customHeight="false" outlineLevel="0" collapsed="false">
      <c r="A2790" s="15" t="s">
        <v>2847</v>
      </c>
      <c r="B2790" s="16" t="n">
        <v>44777</v>
      </c>
      <c r="C2790" s="15" t="s">
        <v>71</v>
      </c>
      <c r="D2790" s="15" t="s">
        <v>42</v>
      </c>
      <c r="E2790" s="15" t="s">
        <v>36</v>
      </c>
      <c r="F2790" s="15" t="s">
        <v>17</v>
      </c>
      <c r="G2790" s="15" t="s">
        <v>26</v>
      </c>
      <c r="H2790" s="15" t="n">
        <v>1</v>
      </c>
      <c r="I2790" s="17" t="n">
        <v>0.1</v>
      </c>
      <c r="J2790" s="18" t="n">
        <v>67.41</v>
      </c>
      <c r="K2790" s="19" t="n">
        <v>0.35</v>
      </c>
      <c r="L2790" s="15" t="n">
        <f aca="false">YEAR(B2790)</f>
        <v>2022</v>
      </c>
      <c r="M2790" s="20" t="n">
        <f aca="false">IF(J2790&gt;0,K2790/J2790,0)</f>
        <v>0.00519210799584631</v>
      </c>
    </row>
    <row r="2791" customFormat="false" ht="15" hidden="false" customHeight="false" outlineLevel="0" collapsed="false">
      <c r="A2791" s="15" t="s">
        <v>2848</v>
      </c>
      <c r="B2791" s="16" t="n">
        <v>45974</v>
      </c>
      <c r="C2791" s="15" t="s">
        <v>58</v>
      </c>
      <c r="D2791" s="15" t="s">
        <v>42</v>
      </c>
      <c r="E2791" s="15" t="s">
        <v>38</v>
      </c>
      <c r="F2791" s="15" t="s">
        <v>17</v>
      </c>
      <c r="G2791" s="15" t="s">
        <v>28</v>
      </c>
      <c r="H2791" s="15" t="n">
        <v>1</v>
      </c>
      <c r="I2791" s="17" t="n">
        <v>0.3</v>
      </c>
      <c r="J2791" s="18" t="n">
        <v>16.34</v>
      </c>
      <c r="K2791" s="19" t="n">
        <v>0.93</v>
      </c>
      <c r="L2791" s="15" t="n">
        <f aca="false">YEAR(B2791)</f>
        <v>2025</v>
      </c>
      <c r="M2791" s="20" t="n">
        <f aca="false">IF(J2791&gt;0,K2791/J2791,0)</f>
        <v>0.0569155446756426</v>
      </c>
    </row>
    <row r="2792" customFormat="false" ht="15" hidden="false" customHeight="false" outlineLevel="0" collapsed="false">
      <c r="A2792" s="15" t="s">
        <v>2849</v>
      </c>
      <c r="B2792" s="16" t="n">
        <v>45176</v>
      </c>
      <c r="C2792" s="15" t="s">
        <v>56</v>
      </c>
      <c r="D2792" s="15" t="s">
        <v>42</v>
      </c>
      <c r="E2792" s="15" t="s">
        <v>37</v>
      </c>
      <c r="F2792" s="15" t="s">
        <v>16</v>
      </c>
      <c r="G2792" s="15" t="s">
        <v>22</v>
      </c>
      <c r="H2792" s="15" t="n">
        <v>4</v>
      </c>
      <c r="I2792" s="17" t="n">
        <v>0</v>
      </c>
      <c r="J2792" s="18" t="n">
        <v>2034.01</v>
      </c>
      <c r="K2792" s="19" t="n">
        <v>-208.1</v>
      </c>
      <c r="L2792" s="15" t="n">
        <f aca="false">YEAR(B2792)</f>
        <v>2023</v>
      </c>
      <c r="M2792" s="20" t="n">
        <f aca="false">IF(J2792&gt;0,K2792/J2792,0)</f>
        <v>-0.102310214797371</v>
      </c>
    </row>
    <row r="2793" customFormat="false" ht="15" hidden="false" customHeight="false" outlineLevel="0" collapsed="false">
      <c r="A2793" s="15" t="s">
        <v>2850</v>
      </c>
      <c r="B2793" s="16" t="n">
        <v>45610</v>
      </c>
      <c r="C2793" s="15" t="s">
        <v>68</v>
      </c>
      <c r="D2793" s="15" t="s">
        <v>42</v>
      </c>
      <c r="E2793" s="15" t="s">
        <v>39</v>
      </c>
      <c r="F2793" s="15" t="s">
        <v>17</v>
      </c>
      <c r="G2793" s="15" t="s">
        <v>29</v>
      </c>
      <c r="H2793" s="15" t="n">
        <v>3</v>
      </c>
      <c r="I2793" s="17" t="n">
        <v>0</v>
      </c>
      <c r="J2793" s="18" t="n">
        <v>56.71</v>
      </c>
      <c r="K2793" s="19" t="n">
        <v>18.71</v>
      </c>
      <c r="L2793" s="15" t="n">
        <f aca="false">YEAR(B2793)</f>
        <v>2024</v>
      </c>
      <c r="M2793" s="20" t="n">
        <f aca="false">IF(J2793&gt;0,K2793/J2793,0)</f>
        <v>0.3299241756304</v>
      </c>
    </row>
    <row r="2794" customFormat="false" ht="15" hidden="false" customHeight="false" outlineLevel="0" collapsed="false">
      <c r="A2794" s="15" t="s">
        <v>2851</v>
      </c>
      <c r="B2794" s="16" t="n">
        <v>45016</v>
      </c>
      <c r="C2794" s="15" t="s">
        <v>56</v>
      </c>
      <c r="D2794" s="15" t="s">
        <v>43</v>
      </c>
      <c r="E2794" s="15" t="s">
        <v>36</v>
      </c>
      <c r="F2794" s="15" t="s">
        <v>17</v>
      </c>
      <c r="G2794" s="15" t="s">
        <v>26</v>
      </c>
      <c r="H2794" s="15" t="n">
        <v>7</v>
      </c>
      <c r="I2794" s="17" t="n">
        <v>0.15</v>
      </c>
      <c r="J2794" s="18" t="n">
        <v>645.11</v>
      </c>
      <c r="K2794" s="19" t="n">
        <v>-11.26</v>
      </c>
      <c r="L2794" s="15" t="n">
        <f aca="false">YEAR(B2794)</f>
        <v>2023</v>
      </c>
      <c r="M2794" s="20" t="n">
        <f aca="false">IF(J2794&gt;0,K2794/J2794,0)</f>
        <v>-0.0174543876238161</v>
      </c>
    </row>
    <row r="2795" customFormat="false" ht="15" hidden="false" customHeight="false" outlineLevel="0" collapsed="false">
      <c r="A2795" s="15" t="s">
        <v>2852</v>
      </c>
      <c r="B2795" s="16" t="n">
        <v>45366</v>
      </c>
      <c r="C2795" s="15" t="s">
        <v>71</v>
      </c>
      <c r="D2795" s="15" t="s">
        <v>44</v>
      </c>
      <c r="E2795" s="15" t="s">
        <v>38</v>
      </c>
      <c r="F2795" s="15" t="s">
        <v>17</v>
      </c>
      <c r="G2795" s="15" t="s">
        <v>26</v>
      </c>
      <c r="H2795" s="15" t="n">
        <v>7</v>
      </c>
      <c r="I2795" s="17" t="n">
        <v>0.05</v>
      </c>
      <c r="J2795" s="18" t="n">
        <v>599.15</v>
      </c>
      <c r="K2795" s="19" t="n">
        <v>2.86</v>
      </c>
      <c r="L2795" s="15" t="n">
        <f aca="false">YEAR(B2795)</f>
        <v>2024</v>
      </c>
      <c r="M2795" s="20" t="n">
        <f aca="false">IF(J2795&gt;0,K2795/J2795,0)</f>
        <v>0.00477342902445131</v>
      </c>
    </row>
    <row r="2796" customFormat="false" ht="15" hidden="false" customHeight="false" outlineLevel="0" collapsed="false">
      <c r="A2796" s="15" t="s">
        <v>2853</v>
      </c>
      <c r="B2796" s="16" t="n">
        <v>45380</v>
      </c>
      <c r="C2796" s="15" t="s">
        <v>56</v>
      </c>
      <c r="D2796" s="15" t="s">
        <v>43</v>
      </c>
      <c r="E2796" s="15" t="s">
        <v>37</v>
      </c>
      <c r="F2796" s="15" t="s">
        <v>17</v>
      </c>
      <c r="G2796" s="15" t="s">
        <v>28</v>
      </c>
      <c r="H2796" s="15" t="n">
        <v>7</v>
      </c>
      <c r="I2796" s="17" t="n">
        <v>0</v>
      </c>
      <c r="J2796" s="18" t="n">
        <v>196.97</v>
      </c>
      <c r="K2796" s="19" t="n">
        <v>60</v>
      </c>
      <c r="L2796" s="15" t="n">
        <f aca="false">YEAR(B2796)</f>
        <v>2024</v>
      </c>
      <c r="M2796" s="20" t="n">
        <f aca="false">IF(J2796&gt;0,K2796/J2796,0)</f>
        <v>0.304614915977052</v>
      </c>
    </row>
    <row r="2797" customFormat="false" ht="15" hidden="false" customHeight="false" outlineLevel="0" collapsed="false">
      <c r="A2797" s="15" t="s">
        <v>2854</v>
      </c>
      <c r="B2797" s="16" t="n">
        <v>45242</v>
      </c>
      <c r="C2797" s="15" t="s">
        <v>71</v>
      </c>
      <c r="D2797" s="15" t="s">
        <v>43</v>
      </c>
      <c r="E2797" s="15" t="s">
        <v>36</v>
      </c>
      <c r="F2797" s="15" t="s">
        <v>16</v>
      </c>
      <c r="G2797" s="15" t="s">
        <v>27</v>
      </c>
      <c r="H2797" s="15" t="n">
        <v>3</v>
      </c>
      <c r="I2797" s="17" t="n">
        <v>0.2</v>
      </c>
      <c r="J2797" s="18" t="n">
        <v>180.62</v>
      </c>
      <c r="K2797" s="19" t="n">
        <v>9.36</v>
      </c>
      <c r="L2797" s="15" t="n">
        <f aca="false">YEAR(B2797)</f>
        <v>2023</v>
      </c>
      <c r="M2797" s="20" t="n">
        <f aca="false">IF(J2797&gt;0,K2797/J2797,0)</f>
        <v>0.0518215037094452</v>
      </c>
    </row>
    <row r="2798" customFormat="false" ht="15" hidden="false" customHeight="false" outlineLevel="0" collapsed="false">
      <c r="A2798" s="15" t="s">
        <v>2855</v>
      </c>
      <c r="B2798" s="16" t="n">
        <v>45979</v>
      </c>
      <c r="C2798" s="15" t="s">
        <v>68</v>
      </c>
      <c r="D2798" s="15" t="s">
        <v>44</v>
      </c>
      <c r="E2798" s="15" t="s">
        <v>38</v>
      </c>
      <c r="F2798" s="15" t="s">
        <v>16</v>
      </c>
      <c r="G2798" s="15" t="s">
        <v>23</v>
      </c>
      <c r="H2798" s="15" t="n">
        <v>3</v>
      </c>
      <c r="I2798" s="17" t="n">
        <v>0</v>
      </c>
      <c r="J2798" s="18" t="n">
        <v>767.9</v>
      </c>
      <c r="K2798" s="19" t="n">
        <v>21.51</v>
      </c>
      <c r="L2798" s="15" t="n">
        <f aca="false">YEAR(B2798)</f>
        <v>2025</v>
      </c>
      <c r="M2798" s="20" t="n">
        <f aca="false">IF(J2798&gt;0,K2798/J2798,0)</f>
        <v>0.0280114598254981</v>
      </c>
    </row>
    <row r="2799" customFormat="false" ht="15" hidden="false" customHeight="false" outlineLevel="0" collapsed="false">
      <c r="A2799" s="15" t="s">
        <v>2856</v>
      </c>
      <c r="B2799" s="16" t="n">
        <v>45587</v>
      </c>
      <c r="C2799" s="15" t="s">
        <v>68</v>
      </c>
      <c r="D2799" s="15" t="s">
        <v>44</v>
      </c>
      <c r="E2799" s="15" t="s">
        <v>37</v>
      </c>
      <c r="F2799" s="15" t="s">
        <v>17</v>
      </c>
      <c r="G2799" s="15" t="s">
        <v>31</v>
      </c>
      <c r="H2799" s="15" t="n">
        <v>2</v>
      </c>
      <c r="I2799" s="17" t="n">
        <v>0.05</v>
      </c>
      <c r="J2799" s="18" t="n">
        <v>250.55</v>
      </c>
      <c r="K2799" s="19" t="n">
        <v>14.72</v>
      </c>
      <c r="L2799" s="15" t="n">
        <f aca="false">YEAR(B2799)</f>
        <v>2024</v>
      </c>
      <c r="M2799" s="20" t="n">
        <f aca="false">IF(J2799&gt;0,K2799/J2799,0)</f>
        <v>0.058750748353622</v>
      </c>
    </row>
    <row r="2800" customFormat="false" ht="15" hidden="false" customHeight="false" outlineLevel="0" collapsed="false">
      <c r="A2800" s="15" t="s">
        <v>2857</v>
      </c>
      <c r="B2800" s="16" t="n">
        <v>44672</v>
      </c>
      <c r="C2800" s="15" t="s">
        <v>71</v>
      </c>
      <c r="D2800" s="15" t="s">
        <v>42</v>
      </c>
      <c r="E2800" s="15" t="s">
        <v>37</v>
      </c>
      <c r="F2800" s="15" t="s">
        <v>17</v>
      </c>
      <c r="G2800" s="15" t="s">
        <v>28</v>
      </c>
      <c r="H2800" s="15" t="n">
        <v>4</v>
      </c>
      <c r="I2800" s="17" t="n">
        <v>0.2</v>
      </c>
      <c r="J2800" s="18" t="n">
        <v>82.94</v>
      </c>
      <c r="K2800" s="19" t="n">
        <v>10.76</v>
      </c>
      <c r="L2800" s="15" t="n">
        <f aca="false">YEAR(B2800)</f>
        <v>2022</v>
      </c>
      <c r="M2800" s="20" t="n">
        <f aca="false">IF(J2800&gt;0,K2800/J2800,0)</f>
        <v>0.129732336628888</v>
      </c>
    </row>
    <row r="2801" customFormat="false" ht="15" hidden="false" customHeight="false" outlineLevel="0" collapsed="false">
      <c r="A2801" s="15" t="s">
        <v>2858</v>
      </c>
      <c r="B2801" s="16" t="n">
        <v>44901</v>
      </c>
      <c r="C2801" s="15" t="s">
        <v>56</v>
      </c>
      <c r="D2801" s="15" t="s">
        <v>43</v>
      </c>
      <c r="E2801" s="15" t="s">
        <v>37</v>
      </c>
      <c r="F2801" s="15" t="s">
        <v>16</v>
      </c>
      <c r="G2801" s="15" t="s">
        <v>22</v>
      </c>
      <c r="H2801" s="15" t="n">
        <v>5</v>
      </c>
      <c r="I2801" s="17" t="n">
        <v>0.3</v>
      </c>
      <c r="J2801" s="18" t="n">
        <v>1791.12</v>
      </c>
      <c r="K2801" s="19" t="n">
        <v>-582.06</v>
      </c>
      <c r="L2801" s="15" t="n">
        <f aca="false">YEAR(B2801)</f>
        <v>2022</v>
      </c>
      <c r="M2801" s="20" t="n">
        <f aca="false">IF(J2801&gt;0,K2801/J2801,0)</f>
        <v>-0.324969851266247</v>
      </c>
    </row>
    <row r="2802" customFormat="false" ht="15" hidden="false" customHeight="false" outlineLevel="0" collapsed="false">
      <c r="A2802" s="15" t="s">
        <v>2859</v>
      </c>
      <c r="B2802" s="16" t="n">
        <v>44615</v>
      </c>
      <c r="C2802" s="15" t="s">
        <v>56</v>
      </c>
      <c r="D2802" s="15" t="s">
        <v>43</v>
      </c>
      <c r="E2802" s="15" t="s">
        <v>38</v>
      </c>
      <c r="F2802" s="15" t="s">
        <v>17</v>
      </c>
      <c r="G2802" s="15" t="s">
        <v>29</v>
      </c>
      <c r="H2802" s="15" t="n">
        <v>5</v>
      </c>
      <c r="I2802" s="17" t="n">
        <v>0</v>
      </c>
      <c r="J2802" s="18" t="n">
        <v>92.51</v>
      </c>
      <c r="K2802" s="19" t="n">
        <v>31.9</v>
      </c>
      <c r="L2802" s="15" t="n">
        <f aca="false">YEAR(B2802)</f>
        <v>2022</v>
      </c>
      <c r="M2802" s="20" t="n">
        <f aca="false">IF(J2802&gt;0,K2802/J2802,0)</f>
        <v>0.344827586206897</v>
      </c>
    </row>
    <row r="2803" customFormat="false" ht="15" hidden="false" customHeight="false" outlineLevel="0" collapsed="false">
      <c r="A2803" s="15" t="s">
        <v>2860</v>
      </c>
      <c r="B2803" s="16" t="n">
        <v>45991</v>
      </c>
      <c r="C2803" s="15" t="s">
        <v>56</v>
      </c>
      <c r="D2803" s="15" t="s">
        <v>42</v>
      </c>
      <c r="E2803" s="15" t="s">
        <v>37</v>
      </c>
      <c r="F2803" s="15" t="s">
        <v>17</v>
      </c>
      <c r="G2803" s="15" t="s">
        <v>29</v>
      </c>
      <c r="H2803" s="15" t="n">
        <v>5</v>
      </c>
      <c r="I2803" s="17" t="n">
        <v>0</v>
      </c>
      <c r="J2803" s="18" t="n">
        <v>77.79</v>
      </c>
      <c r="K2803" s="19" t="n">
        <v>27.19</v>
      </c>
      <c r="L2803" s="15" t="n">
        <f aca="false">YEAR(B2803)</f>
        <v>2025</v>
      </c>
      <c r="M2803" s="20" t="n">
        <f aca="false">IF(J2803&gt;0,K2803/J2803,0)</f>
        <v>0.349530788019026</v>
      </c>
    </row>
    <row r="2804" customFormat="false" ht="15" hidden="false" customHeight="false" outlineLevel="0" collapsed="false">
      <c r="A2804" s="15" t="s">
        <v>2861</v>
      </c>
      <c r="B2804" s="16" t="n">
        <v>45640</v>
      </c>
      <c r="C2804" s="15" t="s">
        <v>56</v>
      </c>
      <c r="D2804" s="15" t="s">
        <v>43</v>
      </c>
      <c r="E2804" s="15" t="s">
        <v>36</v>
      </c>
      <c r="F2804" s="15" t="s">
        <v>17</v>
      </c>
      <c r="G2804" s="15" t="s">
        <v>28</v>
      </c>
      <c r="H2804" s="15" t="n">
        <v>3</v>
      </c>
      <c r="I2804" s="17" t="n">
        <v>0</v>
      </c>
      <c r="J2804" s="18" t="n">
        <v>71.08</v>
      </c>
      <c r="K2804" s="19" t="n">
        <v>22.13</v>
      </c>
      <c r="L2804" s="15" t="n">
        <f aca="false">YEAR(B2804)</f>
        <v>2024</v>
      </c>
      <c r="M2804" s="20" t="n">
        <f aca="false">IF(J2804&gt;0,K2804/J2804,0)</f>
        <v>0.311339335959482</v>
      </c>
    </row>
    <row r="2805" customFormat="false" ht="15" hidden="false" customHeight="false" outlineLevel="0" collapsed="false">
      <c r="A2805" s="15" t="s">
        <v>2862</v>
      </c>
      <c r="B2805" s="16" t="n">
        <v>45828</v>
      </c>
      <c r="C2805" s="15" t="s">
        <v>58</v>
      </c>
      <c r="D2805" s="15" t="s">
        <v>43</v>
      </c>
      <c r="E2805" s="15" t="s">
        <v>37</v>
      </c>
      <c r="F2805" s="15" t="s">
        <v>17</v>
      </c>
      <c r="G2805" s="15" t="s">
        <v>28</v>
      </c>
      <c r="H2805" s="15" t="n">
        <v>5</v>
      </c>
      <c r="I2805" s="17" t="n">
        <v>0</v>
      </c>
      <c r="J2805" s="18" t="n">
        <v>133.17</v>
      </c>
      <c r="K2805" s="19" t="n">
        <v>44</v>
      </c>
      <c r="L2805" s="15" t="n">
        <f aca="false">YEAR(B2805)</f>
        <v>2025</v>
      </c>
      <c r="M2805" s="20" t="n">
        <f aca="false">IF(J2805&gt;0,K2805/J2805,0)</f>
        <v>0.330404745813622</v>
      </c>
    </row>
    <row r="2806" customFormat="false" ht="15" hidden="false" customHeight="false" outlineLevel="0" collapsed="false">
      <c r="A2806" s="15" t="s">
        <v>2863</v>
      </c>
      <c r="B2806" s="16" t="n">
        <v>45215</v>
      </c>
      <c r="C2806" s="15" t="s">
        <v>56</v>
      </c>
      <c r="D2806" s="15" t="s">
        <v>42</v>
      </c>
      <c r="E2806" s="15" t="s">
        <v>36</v>
      </c>
      <c r="F2806" s="15" t="s">
        <v>18</v>
      </c>
      <c r="G2806" s="15" t="s">
        <v>30</v>
      </c>
      <c r="H2806" s="15" t="n">
        <v>3</v>
      </c>
      <c r="I2806" s="17" t="n">
        <v>0.15</v>
      </c>
      <c r="J2806" s="18" t="n">
        <v>111.3</v>
      </c>
      <c r="K2806" s="19" t="n">
        <v>14.51</v>
      </c>
      <c r="L2806" s="15" t="n">
        <f aca="false">YEAR(B2806)</f>
        <v>2023</v>
      </c>
      <c r="M2806" s="20" t="n">
        <f aca="false">IF(J2806&gt;0,K2806/J2806,0)</f>
        <v>0.1303683737646</v>
      </c>
    </row>
    <row r="2807" customFormat="false" ht="15" hidden="false" customHeight="false" outlineLevel="0" collapsed="false">
      <c r="A2807" s="15" t="s">
        <v>2864</v>
      </c>
      <c r="B2807" s="16" t="n">
        <v>44936</v>
      </c>
      <c r="C2807" s="15" t="s">
        <v>56</v>
      </c>
      <c r="D2807" s="15" t="s">
        <v>42</v>
      </c>
      <c r="E2807" s="15" t="s">
        <v>39</v>
      </c>
      <c r="F2807" s="15" t="s">
        <v>17</v>
      </c>
      <c r="G2807" s="15" t="s">
        <v>28</v>
      </c>
      <c r="H2807" s="15" t="n">
        <v>2</v>
      </c>
      <c r="I2807" s="17" t="n">
        <v>0</v>
      </c>
      <c r="J2807" s="18" t="n">
        <v>57.03</v>
      </c>
      <c r="K2807" s="19" t="n">
        <v>17.24</v>
      </c>
      <c r="L2807" s="15" t="n">
        <f aca="false">YEAR(B2807)</f>
        <v>2023</v>
      </c>
      <c r="M2807" s="20" t="n">
        <f aca="false">IF(J2807&gt;0,K2807/J2807,0)</f>
        <v>0.302297036647379</v>
      </c>
    </row>
    <row r="2808" customFormat="false" ht="15" hidden="false" customHeight="false" outlineLevel="0" collapsed="false">
      <c r="A2808" s="15" t="s">
        <v>2865</v>
      </c>
      <c r="B2808" s="16" t="n">
        <v>45195</v>
      </c>
      <c r="C2808" s="15" t="s">
        <v>68</v>
      </c>
      <c r="D2808" s="15" t="s">
        <v>44</v>
      </c>
      <c r="E2808" s="15" t="s">
        <v>39</v>
      </c>
      <c r="F2808" s="15" t="s">
        <v>17</v>
      </c>
      <c r="G2808" s="15" t="s">
        <v>29</v>
      </c>
      <c r="H2808" s="15" t="n">
        <v>4</v>
      </c>
      <c r="I2808" s="17" t="n">
        <v>0.2</v>
      </c>
      <c r="J2808" s="18" t="n">
        <v>48.54</v>
      </c>
      <c r="K2808" s="19" t="n">
        <v>9.55</v>
      </c>
      <c r="L2808" s="15" t="n">
        <f aca="false">YEAR(B2808)</f>
        <v>2023</v>
      </c>
      <c r="M2808" s="20" t="n">
        <f aca="false">IF(J2808&gt;0,K2808/J2808,0)</f>
        <v>0.196744952616399</v>
      </c>
    </row>
    <row r="2809" customFormat="false" ht="15" hidden="false" customHeight="false" outlineLevel="0" collapsed="false">
      <c r="A2809" s="15" t="s">
        <v>2866</v>
      </c>
      <c r="B2809" s="16" t="n">
        <v>44919</v>
      </c>
      <c r="C2809" s="15" t="s">
        <v>71</v>
      </c>
      <c r="D2809" s="15" t="s">
        <v>42</v>
      </c>
      <c r="E2809" s="15" t="s">
        <v>37</v>
      </c>
      <c r="F2809" s="15" t="s">
        <v>17</v>
      </c>
      <c r="G2809" s="15" t="s">
        <v>29</v>
      </c>
      <c r="H2809" s="15" t="n">
        <v>3</v>
      </c>
      <c r="I2809" s="17" t="n">
        <v>0</v>
      </c>
      <c r="J2809" s="18" t="n">
        <v>58.79</v>
      </c>
      <c r="K2809" s="19" t="n">
        <v>22.37</v>
      </c>
      <c r="L2809" s="15" t="n">
        <f aca="false">YEAR(B2809)</f>
        <v>2022</v>
      </c>
      <c r="M2809" s="20" t="n">
        <f aca="false">IF(J2809&gt;0,K2809/J2809,0)</f>
        <v>0.380506888926688</v>
      </c>
    </row>
    <row r="2810" customFormat="false" ht="15" hidden="false" customHeight="false" outlineLevel="0" collapsed="false">
      <c r="A2810" s="15" t="s">
        <v>2867</v>
      </c>
      <c r="B2810" s="16" t="n">
        <v>45895</v>
      </c>
      <c r="C2810" s="15" t="s">
        <v>68</v>
      </c>
      <c r="D2810" s="15" t="s">
        <v>42</v>
      </c>
      <c r="E2810" s="15" t="s">
        <v>37</v>
      </c>
      <c r="F2810" s="15" t="s">
        <v>16</v>
      </c>
      <c r="G2810" s="15" t="s">
        <v>25</v>
      </c>
      <c r="H2810" s="15" t="n">
        <v>3</v>
      </c>
      <c r="I2810" s="17" t="n">
        <v>0</v>
      </c>
      <c r="J2810" s="18" t="n">
        <v>916.27</v>
      </c>
      <c r="K2810" s="19" t="n">
        <v>113.93</v>
      </c>
      <c r="L2810" s="15" t="n">
        <f aca="false">YEAR(B2810)</f>
        <v>2025</v>
      </c>
      <c r="M2810" s="20" t="n">
        <f aca="false">IF(J2810&gt;0,K2810/J2810,0)</f>
        <v>0.124341078503061</v>
      </c>
    </row>
    <row r="2811" customFormat="false" ht="15" hidden="false" customHeight="false" outlineLevel="0" collapsed="false">
      <c r="A2811" s="15" t="s">
        <v>2868</v>
      </c>
      <c r="B2811" s="16" t="n">
        <v>45967</v>
      </c>
      <c r="C2811" s="15" t="s">
        <v>56</v>
      </c>
      <c r="D2811" s="15" t="s">
        <v>42</v>
      </c>
      <c r="E2811" s="15" t="s">
        <v>37</v>
      </c>
      <c r="F2811" s="15" t="s">
        <v>18</v>
      </c>
      <c r="G2811" s="15" t="s">
        <v>32</v>
      </c>
      <c r="H2811" s="15" t="n">
        <v>9</v>
      </c>
      <c r="I2811" s="17" t="n">
        <v>0.2</v>
      </c>
      <c r="J2811" s="18" t="n">
        <v>3085.46</v>
      </c>
      <c r="K2811" s="19" t="n">
        <v>301.71</v>
      </c>
      <c r="L2811" s="15" t="n">
        <f aca="false">YEAR(B2811)</f>
        <v>2025</v>
      </c>
      <c r="M2811" s="20" t="n">
        <f aca="false">IF(J2811&gt;0,K2811/J2811,0)</f>
        <v>0.0977844470516552</v>
      </c>
    </row>
    <row r="2812" customFormat="false" ht="15" hidden="false" customHeight="false" outlineLevel="0" collapsed="false">
      <c r="A2812" s="15" t="s">
        <v>2869</v>
      </c>
      <c r="B2812" s="16" t="n">
        <v>45594</v>
      </c>
      <c r="C2812" s="15" t="s">
        <v>56</v>
      </c>
      <c r="D2812" s="15" t="s">
        <v>42</v>
      </c>
      <c r="E2812" s="15" t="s">
        <v>36</v>
      </c>
      <c r="F2812" s="15" t="s">
        <v>17</v>
      </c>
      <c r="G2812" s="15" t="s">
        <v>29</v>
      </c>
      <c r="H2812" s="15" t="n">
        <v>4</v>
      </c>
      <c r="I2812" s="17" t="n">
        <v>0.2</v>
      </c>
      <c r="J2812" s="18" t="n">
        <v>49.04</v>
      </c>
      <c r="K2812" s="19" t="n">
        <v>7.33</v>
      </c>
      <c r="L2812" s="15" t="n">
        <f aca="false">YEAR(B2812)</f>
        <v>2024</v>
      </c>
      <c r="M2812" s="20" t="n">
        <f aca="false">IF(J2812&gt;0,K2812/J2812,0)</f>
        <v>0.149469820554649</v>
      </c>
    </row>
    <row r="2813" customFormat="false" ht="15" hidden="false" customHeight="false" outlineLevel="0" collapsed="false">
      <c r="A2813" s="15" t="s">
        <v>2870</v>
      </c>
      <c r="B2813" s="16" t="n">
        <v>45006</v>
      </c>
      <c r="C2813" s="15" t="s">
        <v>58</v>
      </c>
      <c r="D2813" s="15" t="s">
        <v>43</v>
      </c>
      <c r="E2813" s="15" t="s">
        <v>36</v>
      </c>
      <c r="F2813" s="15" t="s">
        <v>18</v>
      </c>
      <c r="G2813" s="15" t="s">
        <v>32</v>
      </c>
      <c r="H2813" s="15" t="n">
        <v>3</v>
      </c>
      <c r="I2813" s="17" t="n">
        <v>0.1</v>
      </c>
      <c r="J2813" s="18" t="n">
        <v>1131.57</v>
      </c>
      <c r="K2813" s="19" t="n">
        <v>89.74</v>
      </c>
      <c r="L2813" s="15" t="n">
        <f aca="false">YEAR(B2813)</f>
        <v>2023</v>
      </c>
      <c r="M2813" s="20" t="n">
        <f aca="false">IF(J2813&gt;0,K2813/J2813,0)</f>
        <v>0.0793057433477381</v>
      </c>
    </row>
    <row r="2814" customFormat="false" ht="15" hidden="false" customHeight="false" outlineLevel="0" collapsed="false">
      <c r="A2814" s="15" t="s">
        <v>2871</v>
      </c>
      <c r="B2814" s="16" t="n">
        <v>45717</v>
      </c>
      <c r="C2814" s="15" t="s">
        <v>56</v>
      </c>
      <c r="D2814" s="15" t="s">
        <v>43</v>
      </c>
      <c r="E2814" s="15" t="s">
        <v>37</v>
      </c>
      <c r="F2814" s="15" t="s">
        <v>16</v>
      </c>
      <c r="G2814" s="15" t="s">
        <v>25</v>
      </c>
      <c r="H2814" s="15" t="n">
        <v>3</v>
      </c>
      <c r="I2814" s="17" t="n">
        <v>0.1</v>
      </c>
      <c r="J2814" s="18" t="n">
        <v>822.5</v>
      </c>
      <c r="K2814" s="19" t="n">
        <v>69.81</v>
      </c>
      <c r="L2814" s="15" t="n">
        <f aca="false">YEAR(B2814)</f>
        <v>2025</v>
      </c>
      <c r="M2814" s="20" t="n">
        <f aca="false">IF(J2814&gt;0,K2814/J2814,0)</f>
        <v>0.0848753799392097</v>
      </c>
    </row>
    <row r="2815" customFormat="false" ht="15" hidden="false" customHeight="false" outlineLevel="0" collapsed="false">
      <c r="A2815" s="15" t="s">
        <v>2872</v>
      </c>
      <c r="B2815" s="16" t="n">
        <v>45280</v>
      </c>
      <c r="C2815" s="15" t="s">
        <v>71</v>
      </c>
      <c r="D2815" s="15" t="s">
        <v>43</v>
      </c>
      <c r="E2815" s="15" t="s">
        <v>37</v>
      </c>
      <c r="F2815" s="15" t="s">
        <v>17</v>
      </c>
      <c r="G2815" s="15" t="s">
        <v>26</v>
      </c>
      <c r="H2815" s="15" t="n">
        <v>2</v>
      </c>
      <c r="I2815" s="17" t="n">
        <v>0</v>
      </c>
      <c r="J2815" s="18" t="n">
        <v>201.74</v>
      </c>
      <c r="K2815" s="19" t="n">
        <v>8.42</v>
      </c>
      <c r="L2815" s="15" t="n">
        <f aca="false">YEAR(B2815)</f>
        <v>2023</v>
      </c>
      <c r="M2815" s="20" t="n">
        <f aca="false">IF(J2815&gt;0,K2815/J2815,0)</f>
        <v>0.0417368890651333</v>
      </c>
    </row>
    <row r="2816" customFormat="false" ht="15" hidden="false" customHeight="false" outlineLevel="0" collapsed="false">
      <c r="A2816" s="15" t="s">
        <v>2873</v>
      </c>
      <c r="B2816" s="16" t="n">
        <v>44980</v>
      </c>
      <c r="C2816" s="15" t="s">
        <v>68</v>
      </c>
      <c r="D2816" s="15" t="s">
        <v>42</v>
      </c>
      <c r="E2816" s="15" t="s">
        <v>39</v>
      </c>
      <c r="F2816" s="15" t="s">
        <v>16</v>
      </c>
      <c r="G2816" s="15" t="s">
        <v>27</v>
      </c>
      <c r="H2816" s="15" t="n">
        <v>3</v>
      </c>
      <c r="I2816" s="17" t="n">
        <v>0.1</v>
      </c>
      <c r="J2816" s="18" t="n">
        <v>169.42</v>
      </c>
      <c r="K2816" s="19" t="n">
        <v>21.97</v>
      </c>
      <c r="L2816" s="15" t="n">
        <f aca="false">YEAR(B2816)</f>
        <v>2023</v>
      </c>
      <c r="M2816" s="20" t="n">
        <f aca="false">IF(J2816&gt;0,K2816/J2816,0)</f>
        <v>0.129677723999528</v>
      </c>
    </row>
    <row r="2817" customFormat="false" ht="15" hidden="false" customHeight="false" outlineLevel="0" collapsed="false">
      <c r="A2817" s="15" t="s">
        <v>2874</v>
      </c>
      <c r="B2817" s="16" t="n">
        <v>45576</v>
      </c>
      <c r="C2817" s="15" t="s">
        <v>58</v>
      </c>
      <c r="D2817" s="15" t="s">
        <v>44</v>
      </c>
      <c r="E2817" s="15" t="s">
        <v>39</v>
      </c>
      <c r="F2817" s="15" t="s">
        <v>17</v>
      </c>
      <c r="G2817" s="15" t="s">
        <v>29</v>
      </c>
      <c r="H2817" s="15" t="n">
        <v>6</v>
      </c>
      <c r="I2817" s="17" t="n">
        <v>0.05</v>
      </c>
      <c r="J2817" s="18" t="n">
        <v>126.02</v>
      </c>
      <c r="K2817" s="19" t="n">
        <v>38.49</v>
      </c>
      <c r="L2817" s="15" t="n">
        <f aca="false">YEAR(B2817)</f>
        <v>2024</v>
      </c>
      <c r="M2817" s="20" t="n">
        <f aca="false">IF(J2817&gt;0,K2817/J2817,0)</f>
        <v>0.30542770988732</v>
      </c>
    </row>
    <row r="2818" customFormat="false" ht="15" hidden="false" customHeight="false" outlineLevel="0" collapsed="false">
      <c r="A2818" s="15" t="s">
        <v>2875</v>
      </c>
      <c r="B2818" s="16" t="n">
        <v>45470</v>
      </c>
      <c r="C2818" s="15" t="s">
        <v>58</v>
      </c>
      <c r="D2818" s="15" t="s">
        <v>42</v>
      </c>
      <c r="E2818" s="15" t="s">
        <v>37</v>
      </c>
      <c r="F2818" s="15" t="s">
        <v>18</v>
      </c>
      <c r="G2818" s="15" t="s">
        <v>32</v>
      </c>
      <c r="H2818" s="15" t="n">
        <v>5</v>
      </c>
      <c r="I2818" s="17" t="n">
        <v>0</v>
      </c>
      <c r="J2818" s="18" t="n">
        <v>2043.37</v>
      </c>
      <c r="K2818" s="19" t="n">
        <v>342.04</v>
      </c>
      <c r="L2818" s="15" t="n">
        <f aca="false">YEAR(B2818)</f>
        <v>2024</v>
      </c>
      <c r="M2818" s="20" t="n">
        <f aca="false">IF(J2818&gt;0,K2818/J2818,0)</f>
        <v>0.167390144711922</v>
      </c>
    </row>
    <row r="2819" customFormat="false" ht="15" hidden="false" customHeight="false" outlineLevel="0" collapsed="false">
      <c r="A2819" s="15" t="s">
        <v>2876</v>
      </c>
      <c r="B2819" s="16" t="n">
        <v>45285</v>
      </c>
      <c r="C2819" s="15" t="s">
        <v>58</v>
      </c>
      <c r="D2819" s="15" t="s">
        <v>42</v>
      </c>
      <c r="E2819" s="15" t="s">
        <v>39</v>
      </c>
      <c r="F2819" s="15" t="s">
        <v>16</v>
      </c>
      <c r="G2819" s="15" t="s">
        <v>22</v>
      </c>
      <c r="H2819" s="15" t="n">
        <v>2</v>
      </c>
      <c r="I2819" s="17" t="n">
        <v>0.3</v>
      </c>
      <c r="J2819" s="18" t="n">
        <v>812.77</v>
      </c>
      <c r="K2819" s="19" t="n">
        <v>-241.45</v>
      </c>
      <c r="L2819" s="15" t="n">
        <f aca="false">YEAR(B2819)</f>
        <v>2023</v>
      </c>
      <c r="M2819" s="20" t="n">
        <f aca="false">IF(J2819&gt;0,K2819/J2819,0)</f>
        <v>-0.297070511952951</v>
      </c>
    </row>
    <row r="2820" customFormat="false" ht="15" hidden="false" customHeight="false" outlineLevel="0" collapsed="false">
      <c r="A2820" s="15" t="s">
        <v>2877</v>
      </c>
      <c r="B2820" s="16" t="n">
        <v>44775</v>
      </c>
      <c r="C2820" s="15" t="s">
        <v>56</v>
      </c>
      <c r="D2820" s="15" t="s">
        <v>44</v>
      </c>
      <c r="E2820" s="15" t="s">
        <v>37</v>
      </c>
      <c r="F2820" s="15" t="s">
        <v>18</v>
      </c>
      <c r="G2820" s="15" t="s">
        <v>24</v>
      </c>
      <c r="H2820" s="15" t="n">
        <v>2</v>
      </c>
      <c r="I2820" s="17" t="n">
        <v>0.1</v>
      </c>
      <c r="J2820" s="18" t="n">
        <v>1547.1</v>
      </c>
      <c r="K2820" s="19" t="n">
        <v>-73.79</v>
      </c>
      <c r="L2820" s="15" t="n">
        <f aca="false">YEAR(B2820)</f>
        <v>2022</v>
      </c>
      <c r="M2820" s="20" t="n">
        <f aca="false">IF(J2820&gt;0,K2820/J2820,0)</f>
        <v>-0.0476956887079051</v>
      </c>
    </row>
    <row r="2821" customFormat="false" ht="15" hidden="false" customHeight="false" outlineLevel="0" collapsed="false">
      <c r="A2821" s="15" t="s">
        <v>2878</v>
      </c>
      <c r="B2821" s="16" t="n">
        <v>45291</v>
      </c>
      <c r="C2821" s="15" t="s">
        <v>56</v>
      </c>
      <c r="D2821" s="15" t="s">
        <v>43</v>
      </c>
      <c r="E2821" s="15" t="s">
        <v>37</v>
      </c>
      <c r="F2821" s="15" t="s">
        <v>18</v>
      </c>
      <c r="G2821" s="15" t="s">
        <v>30</v>
      </c>
      <c r="H2821" s="15" t="n">
        <v>4</v>
      </c>
      <c r="I2821" s="17" t="n">
        <v>0.1</v>
      </c>
      <c r="J2821" s="18" t="n">
        <v>148.25</v>
      </c>
      <c r="K2821" s="19" t="n">
        <v>39.42</v>
      </c>
      <c r="L2821" s="15" t="n">
        <f aca="false">YEAR(B2821)</f>
        <v>2023</v>
      </c>
      <c r="M2821" s="20" t="n">
        <f aca="false">IF(J2821&gt;0,K2821/J2821,0)</f>
        <v>0.265902192242833</v>
      </c>
    </row>
    <row r="2822" customFormat="false" ht="15" hidden="false" customHeight="false" outlineLevel="0" collapsed="false">
      <c r="A2822" s="15" t="s">
        <v>2879</v>
      </c>
      <c r="B2822" s="16" t="n">
        <v>45904</v>
      </c>
      <c r="C2822" s="15" t="s">
        <v>56</v>
      </c>
      <c r="D2822" s="15" t="s">
        <v>42</v>
      </c>
      <c r="E2822" s="15" t="s">
        <v>39</v>
      </c>
      <c r="F2822" s="15" t="s">
        <v>17</v>
      </c>
      <c r="G2822" s="15" t="s">
        <v>31</v>
      </c>
      <c r="H2822" s="15" t="n">
        <v>5</v>
      </c>
      <c r="I2822" s="17" t="n">
        <v>0.4</v>
      </c>
      <c r="J2822" s="18" t="n">
        <v>472.45</v>
      </c>
      <c r="K2822" s="19" t="n">
        <v>-76.9</v>
      </c>
      <c r="L2822" s="15" t="n">
        <f aca="false">YEAR(B2822)</f>
        <v>2025</v>
      </c>
      <c r="M2822" s="20" t="n">
        <f aca="false">IF(J2822&gt;0,K2822/J2822,0)</f>
        <v>-0.162768546936184</v>
      </c>
    </row>
    <row r="2823" customFormat="false" ht="15" hidden="false" customHeight="false" outlineLevel="0" collapsed="false">
      <c r="A2823" s="15" t="s">
        <v>2880</v>
      </c>
      <c r="B2823" s="16" t="n">
        <v>45199</v>
      </c>
      <c r="C2823" s="15" t="s">
        <v>68</v>
      </c>
      <c r="D2823" s="15" t="s">
        <v>42</v>
      </c>
      <c r="E2823" s="15" t="s">
        <v>38</v>
      </c>
      <c r="F2823" s="15" t="s">
        <v>17</v>
      </c>
      <c r="G2823" s="15" t="s">
        <v>29</v>
      </c>
      <c r="H2823" s="15" t="n">
        <v>6</v>
      </c>
      <c r="I2823" s="17" t="n">
        <v>0.05</v>
      </c>
      <c r="J2823" s="18" t="n">
        <v>97.72</v>
      </c>
      <c r="K2823" s="19" t="n">
        <v>37.01</v>
      </c>
      <c r="L2823" s="15" t="n">
        <f aca="false">YEAR(B2823)</f>
        <v>2023</v>
      </c>
      <c r="M2823" s="20" t="n">
        <f aca="false">IF(J2823&gt;0,K2823/J2823,0)</f>
        <v>0.378735161686451</v>
      </c>
    </row>
    <row r="2824" customFormat="false" ht="15" hidden="false" customHeight="false" outlineLevel="0" collapsed="false">
      <c r="A2824" s="15" t="s">
        <v>2881</v>
      </c>
      <c r="B2824" s="16" t="n">
        <v>45727</v>
      </c>
      <c r="C2824" s="15" t="s">
        <v>56</v>
      </c>
      <c r="D2824" s="15" t="s">
        <v>43</v>
      </c>
      <c r="E2824" s="15" t="s">
        <v>36</v>
      </c>
      <c r="F2824" s="15" t="s">
        <v>18</v>
      </c>
      <c r="G2824" s="15" t="s">
        <v>30</v>
      </c>
      <c r="H2824" s="15" t="n">
        <v>1</v>
      </c>
      <c r="I2824" s="17" t="n">
        <v>0</v>
      </c>
      <c r="J2824" s="18" t="n">
        <v>43.23</v>
      </c>
      <c r="K2824" s="19" t="n">
        <v>16.29</v>
      </c>
      <c r="L2824" s="15" t="n">
        <f aca="false">YEAR(B2824)</f>
        <v>2025</v>
      </c>
      <c r="M2824" s="20" t="n">
        <f aca="false">IF(J2824&gt;0,K2824/J2824,0)</f>
        <v>0.376821651630812</v>
      </c>
    </row>
    <row r="2825" customFormat="false" ht="15" hidden="false" customHeight="false" outlineLevel="0" collapsed="false">
      <c r="A2825" s="15" t="s">
        <v>2882</v>
      </c>
      <c r="B2825" s="16" t="n">
        <v>45327</v>
      </c>
      <c r="C2825" s="15" t="s">
        <v>56</v>
      </c>
      <c r="D2825" s="15" t="s">
        <v>43</v>
      </c>
      <c r="E2825" s="15" t="s">
        <v>38</v>
      </c>
      <c r="F2825" s="15" t="s">
        <v>17</v>
      </c>
      <c r="G2825" s="15" t="s">
        <v>31</v>
      </c>
      <c r="H2825" s="15" t="n">
        <v>3</v>
      </c>
      <c r="I2825" s="17" t="n">
        <v>0.15</v>
      </c>
      <c r="J2825" s="18" t="n">
        <v>344.32</v>
      </c>
      <c r="K2825" s="19" t="n">
        <v>16.99</v>
      </c>
      <c r="L2825" s="15" t="n">
        <f aca="false">YEAR(B2825)</f>
        <v>2024</v>
      </c>
      <c r="M2825" s="20" t="n">
        <f aca="false">IF(J2825&gt;0,K2825/J2825,0)</f>
        <v>0.0493436338289963</v>
      </c>
    </row>
    <row r="2826" customFormat="false" ht="15" hidden="false" customHeight="false" outlineLevel="0" collapsed="false">
      <c r="A2826" s="15" t="s">
        <v>2883</v>
      </c>
      <c r="B2826" s="16" t="n">
        <v>45426</v>
      </c>
      <c r="C2826" s="15" t="s">
        <v>56</v>
      </c>
      <c r="D2826" s="15" t="s">
        <v>43</v>
      </c>
      <c r="E2826" s="15" t="s">
        <v>36</v>
      </c>
      <c r="F2826" s="15" t="s">
        <v>18</v>
      </c>
      <c r="G2826" s="15" t="s">
        <v>30</v>
      </c>
      <c r="H2826" s="15" t="n">
        <v>5</v>
      </c>
      <c r="I2826" s="17" t="n">
        <v>0</v>
      </c>
      <c r="J2826" s="18" t="n">
        <v>269.36</v>
      </c>
      <c r="K2826" s="19" t="n">
        <v>77.88</v>
      </c>
      <c r="L2826" s="15" t="n">
        <f aca="false">YEAR(B2826)</f>
        <v>2024</v>
      </c>
      <c r="M2826" s="20" t="n">
        <f aca="false">IF(J2826&gt;0,K2826/J2826,0)</f>
        <v>0.289129789129789</v>
      </c>
    </row>
    <row r="2827" customFormat="false" ht="15" hidden="false" customHeight="false" outlineLevel="0" collapsed="false">
      <c r="A2827" s="15" t="s">
        <v>2884</v>
      </c>
      <c r="B2827" s="16" t="n">
        <v>45296</v>
      </c>
      <c r="C2827" s="15" t="s">
        <v>56</v>
      </c>
      <c r="D2827" s="15" t="s">
        <v>42</v>
      </c>
      <c r="E2827" s="15" t="s">
        <v>37</v>
      </c>
      <c r="F2827" s="15" t="s">
        <v>18</v>
      </c>
      <c r="G2827" s="15" t="s">
        <v>33</v>
      </c>
      <c r="H2827" s="15" t="n">
        <v>4</v>
      </c>
      <c r="I2827" s="17" t="n">
        <v>0.15</v>
      </c>
      <c r="J2827" s="18" t="n">
        <v>3326.98</v>
      </c>
      <c r="K2827" s="19" t="n">
        <v>484.01</v>
      </c>
      <c r="L2827" s="15" t="n">
        <f aca="false">YEAR(B2827)</f>
        <v>2024</v>
      </c>
      <c r="M2827" s="20" t="n">
        <f aca="false">IF(J2827&gt;0,K2827/J2827,0)</f>
        <v>0.145480285424018</v>
      </c>
    </row>
    <row r="2828" customFormat="false" ht="15" hidden="false" customHeight="false" outlineLevel="0" collapsed="false">
      <c r="A2828" s="15" t="s">
        <v>2885</v>
      </c>
      <c r="B2828" s="16" t="n">
        <v>45929</v>
      </c>
      <c r="C2828" s="15" t="s">
        <v>56</v>
      </c>
      <c r="D2828" s="15" t="s">
        <v>42</v>
      </c>
      <c r="E2828" s="15" t="s">
        <v>37</v>
      </c>
      <c r="F2828" s="15" t="s">
        <v>17</v>
      </c>
      <c r="G2828" s="15" t="s">
        <v>31</v>
      </c>
      <c r="H2828" s="15" t="n">
        <v>5</v>
      </c>
      <c r="I2828" s="17" t="n">
        <v>0.1</v>
      </c>
      <c r="J2828" s="18" t="n">
        <v>534.14</v>
      </c>
      <c r="K2828" s="19" t="n">
        <v>14.68</v>
      </c>
      <c r="L2828" s="15" t="n">
        <f aca="false">YEAR(B2828)</f>
        <v>2025</v>
      </c>
      <c r="M2828" s="20" t="n">
        <f aca="false">IF(J2828&gt;0,K2828/J2828,0)</f>
        <v>0.0274834313101434</v>
      </c>
    </row>
    <row r="2829" customFormat="false" ht="15" hidden="false" customHeight="false" outlineLevel="0" collapsed="false">
      <c r="A2829" s="15" t="s">
        <v>2886</v>
      </c>
      <c r="B2829" s="16" t="n">
        <v>45787</v>
      </c>
      <c r="C2829" s="15" t="s">
        <v>71</v>
      </c>
      <c r="D2829" s="15" t="s">
        <v>43</v>
      </c>
      <c r="E2829" s="15" t="s">
        <v>37</v>
      </c>
      <c r="F2829" s="15" t="s">
        <v>16</v>
      </c>
      <c r="G2829" s="15" t="s">
        <v>22</v>
      </c>
      <c r="H2829" s="15" t="n">
        <v>2</v>
      </c>
      <c r="I2829" s="17" t="n">
        <v>0</v>
      </c>
      <c r="J2829" s="18" t="n">
        <v>1132.61</v>
      </c>
      <c r="K2829" s="19" t="n">
        <v>9.03</v>
      </c>
      <c r="L2829" s="15" t="n">
        <f aca="false">YEAR(B2829)</f>
        <v>2025</v>
      </c>
      <c r="M2829" s="20" t="n">
        <f aca="false">IF(J2829&gt;0,K2829/J2829,0)</f>
        <v>0.00797273554003585</v>
      </c>
    </row>
    <row r="2830" customFormat="false" ht="15" hidden="false" customHeight="false" outlineLevel="0" collapsed="false">
      <c r="A2830" s="15" t="s">
        <v>2887</v>
      </c>
      <c r="B2830" s="16" t="n">
        <v>44909</v>
      </c>
      <c r="C2830" s="15" t="s">
        <v>56</v>
      </c>
      <c r="D2830" s="15" t="s">
        <v>43</v>
      </c>
      <c r="E2830" s="15" t="s">
        <v>36</v>
      </c>
      <c r="F2830" s="15" t="s">
        <v>17</v>
      </c>
      <c r="G2830" s="15" t="s">
        <v>31</v>
      </c>
      <c r="H2830" s="15" t="n">
        <v>2</v>
      </c>
      <c r="I2830" s="17" t="n">
        <v>0.2</v>
      </c>
      <c r="J2830" s="18" t="n">
        <v>205.98</v>
      </c>
      <c r="K2830" s="19" t="n">
        <v>13.22</v>
      </c>
      <c r="L2830" s="15" t="n">
        <f aca="false">YEAR(B2830)</f>
        <v>2022</v>
      </c>
      <c r="M2830" s="20" t="n">
        <f aca="false">IF(J2830&gt;0,K2830/J2830,0)</f>
        <v>0.0641809884454802</v>
      </c>
    </row>
    <row r="2831" customFormat="false" ht="15" hidden="false" customHeight="false" outlineLevel="0" collapsed="false">
      <c r="A2831" s="15" t="s">
        <v>2888</v>
      </c>
      <c r="B2831" s="16" t="n">
        <v>44826</v>
      </c>
      <c r="C2831" s="15" t="s">
        <v>56</v>
      </c>
      <c r="D2831" s="15" t="s">
        <v>42</v>
      </c>
      <c r="E2831" s="15" t="s">
        <v>39</v>
      </c>
      <c r="F2831" s="15" t="s">
        <v>16</v>
      </c>
      <c r="G2831" s="15" t="s">
        <v>22</v>
      </c>
      <c r="H2831" s="15" t="n">
        <v>4</v>
      </c>
      <c r="I2831" s="17" t="n">
        <v>0</v>
      </c>
      <c r="J2831" s="18" t="n">
        <v>2294.05</v>
      </c>
      <c r="K2831" s="19" t="n">
        <v>-121.24</v>
      </c>
      <c r="L2831" s="15" t="n">
        <f aca="false">YEAR(B2831)</f>
        <v>2022</v>
      </c>
      <c r="M2831" s="20" t="n">
        <f aca="false">IF(J2831&gt;0,K2831/J2831,0)</f>
        <v>-0.0528497635186679</v>
      </c>
    </row>
    <row r="2832" customFormat="false" ht="15" hidden="false" customHeight="false" outlineLevel="0" collapsed="false">
      <c r="A2832" s="15" t="s">
        <v>2889</v>
      </c>
      <c r="B2832" s="16" t="n">
        <v>45029</v>
      </c>
      <c r="C2832" s="15" t="s">
        <v>71</v>
      </c>
      <c r="D2832" s="15" t="s">
        <v>43</v>
      </c>
      <c r="E2832" s="15" t="s">
        <v>39</v>
      </c>
      <c r="F2832" s="15" t="s">
        <v>16</v>
      </c>
      <c r="G2832" s="15" t="s">
        <v>25</v>
      </c>
      <c r="H2832" s="15" t="n">
        <v>5</v>
      </c>
      <c r="I2832" s="17" t="n">
        <v>0.1</v>
      </c>
      <c r="J2832" s="18" t="n">
        <v>1450.43</v>
      </c>
      <c r="K2832" s="19" t="n">
        <v>-63.13</v>
      </c>
      <c r="L2832" s="15" t="n">
        <f aca="false">YEAR(B2832)</f>
        <v>2023</v>
      </c>
      <c r="M2832" s="20" t="n">
        <f aca="false">IF(J2832&gt;0,K2832/J2832,0)</f>
        <v>-0.043525023613687</v>
      </c>
    </row>
    <row r="2833" customFormat="false" ht="15" hidden="false" customHeight="false" outlineLevel="0" collapsed="false">
      <c r="A2833" s="15" t="s">
        <v>2890</v>
      </c>
      <c r="B2833" s="16" t="n">
        <v>45804</v>
      </c>
      <c r="C2833" s="15" t="s">
        <v>56</v>
      </c>
      <c r="D2833" s="15" t="s">
        <v>42</v>
      </c>
      <c r="E2833" s="15" t="s">
        <v>39</v>
      </c>
      <c r="F2833" s="15" t="s">
        <v>16</v>
      </c>
      <c r="G2833" s="15" t="s">
        <v>27</v>
      </c>
      <c r="H2833" s="15" t="n">
        <v>5</v>
      </c>
      <c r="I2833" s="17" t="n">
        <v>0.2</v>
      </c>
      <c r="J2833" s="18" t="n">
        <v>239.62</v>
      </c>
      <c r="K2833" s="19" t="n">
        <v>19.73</v>
      </c>
      <c r="L2833" s="15" t="n">
        <f aca="false">YEAR(B2833)</f>
        <v>2025</v>
      </c>
      <c r="M2833" s="20" t="n">
        <f aca="false">IF(J2833&gt;0,K2833/J2833,0)</f>
        <v>0.0823387029463317</v>
      </c>
    </row>
    <row r="2834" customFormat="false" ht="15" hidden="false" customHeight="false" outlineLevel="0" collapsed="false">
      <c r="A2834" s="15" t="s">
        <v>2891</v>
      </c>
      <c r="B2834" s="16" t="n">
        <v>45879</v>
      </c>
      <c r="C2834" s="15" t="s">
        <v>56</v>
      </c>
      <c r="D2834" s="15" t="s">
        <v>44</v>
      </c>
      <c r="E2834" s="15" t="s">
        <v>39</v>
      </c>
      <c r="F2834" s="15" t="s">
        <v>17</v>
      </c>
      <c r="G2834" s="15" t="s">
        <v>28</v>
      </c>
      <c r="H2834" s="15" t="n">
        <v>3</v>
      </c>
      <c r="I2834" s="17" t="n">
        <v>0.1</v>
      </c>
      <c r="J2834" s="18" t="n">
        <v>67.88</v>
      </c>
      <c r="K2834" s="19" t="n">
        <v>12.65</v>
      </c>
      <c r="L2834" s="15" t="n">
        <f aca="false">YEAR(B2834)</f>
        <v>2025</v>
      </c>
      <c r="M2834" s="20" t="n">
        <f aca="false">IF(J2834&gt;0,K2834/J2834,0)</f>
        <v>0.186358279316441</v>
      </c>
    </row>
    <row r="2835" customFormat="false" ht="15" hidden="false" customHeight="false" outlineLevel="0" collapsed="false">
      <c r="A2835" s="15" t="s">
        <v>2892</v>
      </c>
      <c r="B2835" s="16" t="n">
        <v>45539</v>
      </c>
      <c r="C2835" s="15" t="s">
        <v>71</v>
      </c>
      <c r="D2835" s="15" t="s">
        <v>42</v>
      </c>
      <c r="E2835" s="15" t="s">
        <v>36</v>
      </c>
      <c r="F2835" s="15" t="s">
        <v>18</v>
      </c>
      <c r="G2835" s="15" t="s">
        <v>30</v>
      </c>
      <c r="H2835" s="15" t="n">
        <v>2</v>
      </c>
      <c r="I2835" s="17" t="n">
        <v>0.2</v>
      </c>
      <c r="J2835" s="18" t="n">
        <v>66.54</v>
      </c>
      <c r="K2835" s="19" t="n">
        <v>2.97</v>
      </c>
      <c r="L2835" s="15" t="n">
        <f aca="false">YEAR(B2835)</f>
        <v>2024</v>
      </c>
      <c r="M2835" s="20" t="n">
        <f aca="false">IF(J2835&gt;0,K2835/J2835,0)</f>
        <v>0.0446348061316501</v>
      </c>
    </row>
    <row r="2836" customFormat="false" ht="15" hidden="false" customHeight="false" outlineLevel="0" collapsed="false">
      <c r="A2836" s="15" t="s">
        <v>2893</v>
      </c>
      <c r="B2836" s="16" t="n">
        <v>45287</v>
      </c>
      <c r="C2836" s="15" t="s">
        <v>56</v>
      </c>
      <c r="D2836" s="15" t="s">
        <v>43</v>
      </c>
      <c r="E2836" s="15" t="s">
        <v>36</v>
      </c>
      <c r="F2836" s="15" t="s">
        <v>17</v>
      </c>
      <c r="G2836" s="15" t="s">
        <v>26</v>
      </c>
      <c r="H2836" s="15" t="n">
        <v>3</v>
      </c>
      <c r="I2836" s="17" t="n">
        <v>0</v>
      </c>
      <c r="J2836" s="18" t="n">
        <v>265.36</v>
      </c>
      <c r="K2836" s="19" t="n">
        <v>52.22</v>
      </c>
      <c r="L2836" s="15" t="n">
        <f aca="false">YEAR(B2836)</f>
        <v>2023</v>
      </c>
      <c r="M2836" s="20" t="n">
        <f aca="false">IF(J2836&gt;0,K2836/J2836,0)</f>
        <v>0.196789267410311</v>
      </c>
    </row>
    <row r="2837" customFormat="false" ht="15" hidden="false" customHeight="false" outlineLevel="0" collapsed="false">
      <c r="A2837" s="15" t="s">
        <v>2894</v>
      </c>
      <c r="B2837" s="16" t="n">
        <v>45651</v>
      </c>
      <c r="C2837" s="15" t="s">
        <v>68</v>
      </c>
      <c r="D2837" s="15" t="s">
        <v>42</v>
      </c>
      <c r="E2837" s="15" t="s">
        <v>39</v>
      </c>
      <c r="F2837" s="15" t="s">
        <v>18</v>
      </c>
      <c r="G2837" s="15" t="s">
        <v>30</v>
      </c>
      <c r="H2837" s="15" t="n">
        <v>2</v>
      </c>
      <c r="I2837" s="17" t="n">
        <v>0</v>
      </c>
      <c r="J2837" s="18" t="n">
        <v>90.94</v>
      </c>
      <c r="K2837" s="19" t="n">
        <v>29.05</v>
      </c>
      <c r="L2837" s="15" t="n">
        <f aca="false">YEAR(B2837)</f>
        <v>2024</v>
      </c>
      <c r="M2837" s="20" t="n">
        <f aca="false">IF(J2837&gt;0,K2837/J2837,0)</f>
        <v>0.319441389927425</v>
      </c>
    </row>
    <row r="2838" customFormat="false" ht="15" hidden="false" customHeight="false" outlineLevel="0" collapsed="false">
      <c r="A2838" s="15" t="s">
        <v>2895</v>
      </c>
      <c r="B2838" s="16" t="n">
        <v>45800</v>
      </c>
      <c r="C2838" s="15" t="s">
        <v>68</v>
      </c>
      <c r="D2838" s="15" t="s">
        <v>42</v>
      </c>
      <c r="E2838" s="15" t="s">
        <v>39</v>
      </c>
      <c r="F2838" s="15" t="s">
        <v>17</v>
      </c>
      <c r="G2838" s="15" t="s">
        <v>28</v>
      </c>
      <c r="H2838" s="15" t="n">
        <v>3</v>
      </c>
      <c r="I2838" s="17" t="n">
        <v>0</v>
      </c>
      <c r="J2838" s="18" t="n">
        <v>85.93</v>
      </c>
      <c r="K2838" s="19" t="n">
        <v>19.2</v>
      </c>
      <c r="L2838" s="15" t="n">
        <f aca="false">YEAR(B2838)</f>
        <v>2025</v>
      </c>
      <c r="M2838" s="20" t="n">
        <f aca="false">IF(J2838&gt;0,K2838/J2838,0)</f>
        <v>0.223437681834051</v>
      </c>
    </row>
    <row r="2839" customFormat="false" ht="15" hidden="false" customHeight="false" outlineLevel="0" collapsed="false">
      <c r="A2839" s="15" t="s">
        <v>2896</v>
      </c>
      <c r="B2839" s="16" t="n">
        <v>46013</v>
      </c>
      <c r="C2839" s="15" t="s">
        <v>56</v>
      </c>
      <c r="D2839" s="15" t="s">
        <v>42</v>
      </c>
      <c r="E2839" s="15" t="s">
        <v>36</v>
      </c>
      <c r="F2839" s="15" t="s">
        <v>16</v>
      </c>
      <c r="G2839" s="15" t="s">
        <v>23</v>
      </c>
      <c r="H2839" s="15" t="n">
        <v>7</v>
      </c>
      <c r="I2839" s="17" t="n">
        <v>0</v>
      </c>
      <c r="J2839" s="18" t="n">
        <v>1967.66</v>
      </c>
      <c r="K2839" s="19" t="n">
        <v>-7.33</v>
      </c>
      <c r="L2839" s="15" t="n">
        <f aca="false">YEAR(B2839)</f>
        <v>2025</v>
      </c>
      <c r="M2839" s="20" t="n">
        <f aca="false">IF(J2839&gt;0,K2839/J2839,0)</f>
        <v>-0.0037252370836425</v>
      </c>
    </row>
    <row r="2840" customFormat="false" ht="15" hidden="false" customHeight="false" outlineLevel="0" collapsed="false">
      <c r="A2840" s="15" t="s">
        <v>2897</v>
      </c>
      <c r="B2840" s="16" t="n">
        <v>45147</v>
      </c>
      <c r="C2840" s="15" t="s">
        <v>56</v>
      </c>
      <c r="D2840" s="15" t="s">
        <v>42</v>
      </c>
      <c r="E2840" s="15" t="s">
        <v>39</v>
      </c>
      <c r="F2840" s="15" t="s">
        <v>16</v>
      </c>
      <c r="G2840" s="15" t="s">
        <v>25</v>
      </c>
      <c r="H2840" s="15" t="n">
        <v>6</v>
      </c>
      <c r="I2840" s="17" t="n">
        <v>0.1</v>
      </c>
      <c r="J2840" s="18" t="n">
        <v>1267.64</v>
      </c>
      <c r="K2840" s="19" t="n">
        <v>32.9</v>
      </c>
      <c r="L2840" s="15" t="n">
        <f aca="false">YEAR(B2840)</f>
        <v>2023</v>
      </c>
      <c r="M2840" s="20" t="n">
        <f aca="false">IF(J2840&gt;0,K2840/J2840,0)</f>
        <v>0.0259537408096936</v>
      </c>
    </row>
    <row r="2841" customFormat="false" ht="15" hidden="false" customHeight="false" outlineLevel="0" collapsed="false">
      <c r="A2841" s="15" t="s">
        <v>2898</v>
      </c>
      <c r="B2841" s="16" t="n">
        <v>45410</v>
      </c>
      <c r="C2841" s="15" t="s">
        <v>56</v>
      </c>
      <c r="D2841" s="15" t="s">
        <v>42</v>
      </c>
      <c r="E2841" s="15" t="s">
        <v>37</v>
      </c>
      <c r="F2841" s="15" t="s">
        <v>16</v>
      </c>
      <c r="G2841" s="15" t="s">
        <v>23</v>
      </c>
      <c r="H2841" s="15" t="n">
        <v>2</v>
      </c>
      <c r="I2841" s="17" t="n">
        <v>0.2</v>
      </c>
      <c r="J2841" s="18" t="n">
        <v>500.36</v>
      </c>
      <c r="K2841" s="19" t="n">
        <v>-109.68</v>
      </c>
      <c r="L2841" s="15" t="n">
        <f aca="false">YEAR(B2841)</f>
        <v>2024</v>
      </c>
      <c r="M2841" s="20" t="n">
        <f aca="false">IF(J2841&gt;0,K2841/J2841,0)</f>
        <v>-0.219202174434407</v>
      </c>
    </row>
    <row r="2842" customFormat="false" ht="15" hidden="false" customHeight="false" outlineLevel="0" collapsed="false">
      <c r="A2842" s="15" t="s">
        <v>2899</v>
      </c>
      <c r="B2842" s="16" t="n">
        <v>44889</v>
      </c>
      <c r="C2842" s="15" t="s">
        <v>56</v>
      </c>
      <c r="D2842" s="15" t="s">
        <v>42</v>
      </c>
      <c r="E2842" s="15" t="s">
        <v>39</v>
      </c>
      <c r="F2842" s="15" t="s">
        <v>17</v>
      </c>
      <c r="G2842" s="15" t="s">
        <v>29</v>
      </c>
      <c r="H2842" s="15" t="n">
        <v>4</v>
      </c>
      <c r="I2842" s="17" t="n">
        <v>0</v>
      </c>
      <c r="J2842" s="18" t="n">
        <v>83.28</v>
      </c>
      <c r="K2842" s="19" t="n">
        <v>27.47</v>
      </c>
      <c r="L2842" s="15" t="n">
        <f aca="false">YEAR(B2842)</f>
        <v>2022</v>
      </c>
      <c r="M2842" s="20" t="n">
        <f aca="false">IF(J2842&gt;0,K2842/J2842,0)</f>
        <v>0.329851104707012</v>
      </c>
    </row>
    <row r="2843" customFormat="false" ht="15" hidden="false" customHeight="false" outlineLevel="0" collapsed="false">
      <c r="A2843" s="15" t="s">
        <v>2900</v>
      </c>
      <c r="B2843" s="16" t="n">
        <v>44919</v>
      </c>
      <c r="C2843" s="15" t="s">
        <v>68</v>
      </c>
      <c r="D2843" s="15" t="s">
        <v>43</v>
      </c>
      <c r="E2843" s="15" t="s">
        <v>39</v>
      </c>
      <c r="F2843" s="15" t="s">
        <v>16</v>
      </c>
      <c r="G2843" s="15" t="s">
        <v>25</v>
      </c>
      <c r="H2843" s="15" t="n">
        <v>4</v>
      </c>
      <c r="I2843" s="17" t="n">
        <v>0</v>
      </c>
      <c r="J2843" s="18" t="n">
        <v>1195.53</v>
      </c>
      <c r="K2843" s="19" t="n">
        <v>158.86</v>
      </c>
      <c r="L2843" s="15" t="n">
        <f aca="false">YEAR(B2843)</f>
        <v>2022</v>
      </c>
      <c r="M2843" s="20" t="n">
        <f aca="false">IF(J2843&gt;0,K2843/J2843,0)</f>
        <v>0.132878305019531</v>
      </c>
    </row>
    <row r="2844" customFormat="false" ht="15" hidden="false" customHeight="false" outlineLevel="0" collapsed="false">
      <c r="A2844" s="15" t="s">
        <v>2901</v>
      </c>
      <c r="B2844" s="16" t="n">
        <v>45259</v>
      </c>
      <c r="C2844" s="15" t="s">
        <v>58</v>
      </c>
      <c r="D2844" s="15" t="s">
        <v>42</v>
      </c>
      <c r="E2844" s="15" t="s">
        <v>37</v>
      </c>
      <c r="F2844" s="15" t="s">
        <v>17</v>
      </c>
      <c r="G2844" s="15" t="s">
        <v>29</v>
      </c>
      <c r="H2844" s="15" t="n">
        <v>4</v>
      </c>
      <c r="I2844" s="17" t="n">
        <v>0</v>
      </c>
      <c r="J2844" s="18" t="n">
        <v>71.7</v>
      </c>
      <c r="K2844" s="19" t="n">
        <v>30.22</v>
      </c>
      <c r="L2844" s="15" t="n">
        <f aca="false">YEAR(B2844)</f>
        <v>2023</v>
      </c>
      <c r="M2844" s="20" t="n">
        <f aca="false">IF(J2844&gt;0,K2844/J2844,0)</f>
        <v>0.421478382147838</v>
      </c>
    </row>
    <row r="2845" customFormat="false" ht="15" hidden="false" customHeight="false" outlineLevel="0" collapsed="false">
      <c r="A2845" s="15" t="s">
        <v>2902</v>
      </c>
      <c r="B2845" s="16" t="n">
        <v>45254</v>
      </c>
      <c r="C2845" s="15" t="s">
        <v>56</v>
      </c>
      <c r="D2845" s="15" t="s">
        <v>44</v>
      </c>
      <c r="E2845" s="15" t="s">
        <v>37</v>
      </c>
      <c r="F2845" s="15" t="s">
        <v>17</v>
      </c>
      <c r="G2845" s="15" t="s">
        <v>28</v>
      </c>
      <c r="H2845" s="15" t="n">
        <v>7</v>
      </c>
      <c r="I2845" s="17" t="n">
        <v>0</v>
      </c>
      <c r="J2845" s="18" t="n">
        <v>197.3</v>
      </c>
      <c r="K2845" s="19" t="n">
        <v>42.77</v>
      </c>
      <c r="L2845" s="15" t="n">
        <f aca="false">YEAR(B2845)</f>
        <v>2023</v>
      </c>
      <c r="M2845" s="20" t="n">
        <f aca="false">IF(J2845&gt;0,K2845/J2845,0)</f>
        <v>0.216776482513938</v>
      </c>
    </row>
    <row r="2846" customFormat="false" ht="15" hidden="false" customHeight="false" outlineLevel="0" collapsed="false">
      <c r="A2846" s="15" t="s">
        <v>2903</v>
      </c>
      <c r="B2846" s="16" t="n">
        <v>45607</v>
      </c>
      <c r="C2846" s="15" t="s">
        <v>58</v>
      </c>
      <c r="D2846" s="15" t="s">
        <v>42</v>
      </c>
      <c r="E2846" s="15" t="s">
        <v>36</v>
      </c>
      <c r="F2846" s="15" t="s">
        <v>17</v>
      </c>
      <c r="G2846" s="15" t="s">
        <v>29</v>
      </c>
      <c r="H2846" s="15" t="n">
        <v>3</v>
      </c>
      <c r="I2846" s="17" t="n">
        <v>0</v>
      </c>
      <c r="J2846" s="18" t="n">
        <v>42.68</v>
      </c>
      <c r="K2846" s="19" t="n">
        <v>16.09</v>
      </c>
      <c r="L2846" s="15" t="n">
        <f aca="false">YEAR(B2846)</f>
        <v>2024</v>
      </c>
      <c r="M2846" s="20" t="n">
        <f aca="false">IF(J2846&gt;0,K2846/J2846,0)</f>
        <v>0.376991565135895</v>
      </c>
    </row>
    <row r="2847" customFormat="false" ht="15" hidden="false" customHeight="false" outlineLevel="0" collapsed="false">
      <c r="A2847" s="15" t="s">
        <v>2904</v>
      </c>
      <c r="B2847" s="16" t="n">
        <v>44780</v>
      </c>
      <c r="C2847" s="15" t="s">
        <v>56</v>
      </c>
      <c r="D2847" s="15" t="s">
        <v>42</v>
      </c>
      <c r="E2847" s="15" t="s">
        <v>37</v>
      </c>
      <c r="F2847" s="15" t="s">
        <v>17</v>
      </c>
      <c r="G2847" s="15" t="s">
        <v>28</v>
      </c>
      <c r="H2847" s="15" t="n">
        <v>3</v>
      </c>
      <c r="I2847" s="17" t="n">
        <v>0.15</v>
      </c>
      <c r="J2847" s="18" t="n">
        <v>65.09</v>
      </c>
      <c r="K2847" s="19" t="n">
        <v>10.88</v>
      </c>
      <c r="L2847" s="15" t="n">
        <f aca="false">YEAR(B2847)</f>
        <v>2022</v>
      </c>
      <c r="M2847" s="20" t="n">
        <f aca="false">IF(J2847&gt;0,K2847/J2847,0)</f>
        <v>0.167153172530343</v>
      </c>
    </row>
    <row r="2848" customFormat="false" ht="15" hidden="false" customHeight="false" outlineLevel="0" collapsed="false">
      <c r="A2848" s="15" t="s">
        <v>2905</v>
      </c>
      <c r="B2848" s="16" t="n">
        <v>45998</v>
      </c>
      <c r="C2848" s="15" t="s">
        <v>56</v>
      </c>
      <c r="D2848" s="15" t="s">
        <v>43</v>
      </c>
      <c r="E2848" s="15" t="s">
        <v>39</v>
      </c>
      <c r="F2848" s="15" t="s">
        <v>18</v>
      </c>
      <c r="G2848" s="15" t="s">
        <v>30</v>
      </c>
      <c r="H2848" s="15" t="n">
        <v>3</v>
      </c>
      <c r="I2848" s="17" t="n">
        <v>0.05</v>
      </c>
      <c r="J2848" s="18" t="n">
        <v>189.83</v>
      </c>
      <c r="K2848" s="19" t="n">
        <v>46.71</v>
      </c>
      <c r="L2848" s="15" t="n">
        <f aca="false">YEAR(B2848)</f>
        <v>2025</v>
      </c>
      <c r="M2848" s="20" t="n">
        <f aca="false">IF(J2848&gt;0,K2848/J2848,0)</f>
        <v>0.246062266238213</v>
      </c>
    </row>
    <row r="2849" customFormat="false" ht="15" hidden="false" customHeight="false" outlineLevel="0" collapsed="false">
      <c r="A2849" s="15" t="s">
        <v>2906</v>
      </c>
      <c r="B2849" s="16" t="n">
        <v>45633</v>
      </c>
      <c r="C2849" s="15" t="s">
        <v>71</v>
      </c>
      <c r="D2849" s="15" t="s">
        <v>42</v>
      </c>
      <c r="E2849" s="15" t="s">
        <v>39</v>
      </c>
      <c r="F2849" s="15" t="s">
        <v>16</v>
      </c>
      <c r="G2849" s="15" t="s">
        <v>23</v>
      </c>
      <c r="H2849" s="15" t="n">
        <v>4</v>
      </c>
      <c r="I2849" s="17" t="n">
        <v>0.1</v>
      </c>
      <c r="J2849" s="18" t="n">
        <v>1209.32</v>
      </c>
      <c r="K2849" s="19" t="n">
        <v>-33.44</v>
      </c>
      <c r="L2849" s="15" t="n">
        <f aca="false">YEAR(B2849)</f>
        <v>2024</v>
      </c>
      <c r="M2849" s="20" t="n">
        <f aca="false">IF(J2849&gt;0,K2849/J2849,0)</f>
        <v>-0.027651903549102</v>
      </c>
    </row>
    <row r="2850" customFormat="false" ht="15" hidden="false" customHeight="false" outlineLevel="0" collapsed="false">
      <c r="A2850" s="15" t="s">
        <v>2907</v>
      </c>
      <c r="B2850" s="16" t="n">
        <v>45832</v>
      </c>
      <c r="C2850" s="15" t="s">
        <v>68</v>
      </c>
      <c r="D2850" s="15" t="s">
        <v>43</v>
      </c>
      <c r="E2850" s="15" t="s">
        <v>37</v>
      </c>
      <c r="F2850" s="15" t="s">
        <v>18</v>
      </c>
      <c r="G2850" s="15" t="s">
        <v>30</v>
      </c>
      <c r="H2850" s="15" t="n">
        <v>3</v>
      </c>
      <c r="I2850" s="17" t="n">
        <v>0.05</v>
      </c>
      <c r="J2850" s="18" t="n">
        <v>162.83</v>
      </c>
      <c r="K2850" s="19" t="n">
        <v>28.26</v>
      </c>
      <c r="L2850" s="15" t="n">
        <f aca="false">YEAR(B2850)</f>
        <v>2025</v>
      </c>
      <c r="M2850" s="20" t="n">
        <f aca="false">IF(J2850&gt;0,K2850/J2850,0)</f>
        <v>0.173555241663084</v>
      </c>
    </row>
    <row r="2851" customFormat="false" ht="15" hidden="false" customHeight="false" outlineLevel="0" collapsed="false">
      <c r="A2851" s="15" t="s">
        <v>2908</v>
      </c>
      <c r="B2851" s="16" t="n">
        <v>45731</v>
      </c>
      <c r="C2851" s="15" t="s">
        <v>58</v>
      </c>
      <c r="D2851" s="15" t="s">
        <v>43</v>
      </c>
      <c r="E2851" s="15" t="s">
        <v>39</v>
      </c>
      <c r="F2851" s="15" t="s">
        <v>18</v>
      </c>
      <c r="G2851" s="15" t="s">
        <v>30</v>
      </c>
      <c r="H2851" s="15" t="n">
        <v>4</v>
      </c>
      <c r="I2851" s="17" t="n">
        <v>0.2</v>
      </c>
      <c r="J2851" s="18" t="n">
        <v>163.3</v>
      </c>
      <c r="K2851" s="19" t="n">
        <v>11.03</v>
      </c>
      <c r="L2851" s="15" t="n">
        <f aca="false">YEAR(B2851)</f>
        <v>2025</v>
      </c>
      <c r="M2851" s="20" t="n">
        <f aca="false">IF(J2851&gt;0,K2851/J2851,0)</f>
        <v>0.0675443968156767</v>
      </c>
    </row>
    <row r="2852" customFormat="false" ht="15" hidden="false" customHeight="false" outlineLevel="0" collapsed="false">
      <c r="A2852" s="15" t="s">
        <v>2909</v>
      </c>
      <c r="B2852" s="16" t="n">
        <v>44982</v>
      </c>
      <c r="C2852" s="15" t="s">
        <v>56</v>
      </c>
      <c r="D2852" s="15" t="s">
        <v>43</v>
      </c>
      <c r="E2852" s="15" t="s">
        <v>36</v>
      </c>
      <c r="F2852" s="15" t="s">
        <v>17</v>
      </c>
      <c r="G2852" s="15" t="s">
        <v>29</v>
      </c>
      <c r="H2852" s="15" t="n">
        <v>1</v>
      </c>
      <c r="I2852" s="17" t="n">
        <v>0.3</v>
      </c>
      <c r="J2852" s="18" t="n">
        <v>13.8</v>
      </c>
      <c r="K2852" s="19" t="n">
        <v>0.67</v>
      </c>
      <c r="L2852" s="15" t="n">
        <f aca="false">YEAR(B2852)</f>
        <v>2023</v>
      </c>
      <c r="M2852" s="20" t="n">
        <f aca="false">IF(J2852&gt;0,K2852/J2852,0)</f>
        <v>0.0485507246376812</v>
      </c>
    </row>
    <row r="2853" customFormat="false" ht="15" hidden="false" customHeight="false" outlineLevel="0" collapsed="false">
      <c r="A2853" s="15" t="s">
        <v>2910</v>
      </c>
      <c r="B2853" s="16" t="n">
        <v>44889</v>
      </c>
      <c r="C2853" s="15" t="s">
        <v>71</v>
      </c>
      <c r="D2853" s="15" t="s">
        <v>42</v>
      </c>
      <c r="E2853" s="15" t="s">
        <v>37</v>
      </c>
      <c r="F2853" s="15" t="s">
        <v>16</v>
      </c>
      <c r="G2853" s="15" t="s">
        <v>27</v>
      </c>
      <c r="H2853" s="15" t="n">
        <v>3</v>
      </c>
      <c r="I2853" s="17" t="n">
        <v>0</v>
      </c>
      <c r="J2853" s="18" t="n">
        <v>152.26</v>
      </c>
      <c r="K2853" s="19" t="n">
        <v>34.3</v>
      </c>
      <c r="L2853" s="15" t="n">
        <f aca="false">YEAR(B2853)</f>
        <v>2022</v>
      </c>
      <c r="M2853" s="20" t="n">
        <f aca="false">IF(J2853&gt;0,K2853/J2853,0)</f>
        <v>0.225272560094575</v>
      </c>
    </row>
    <row r="2854" customFormat="false" ht="15" hidden="false" customHeight="false" outlineLevel="0" collapsed="false">
      <c r="A2854" s="15" t="s">
        <v>2911</v>
      </c>
      <c r="B2854" s="16" t="n">
        <v>46020</v>
      </c>
      <c r="C2854" s="15" t="s">
        <v>71</v>
      </c>
      <c r="D2854" s="15" t="s">
        <v>42</v>
      </c>
      <c r="E2854" s="15" t="s">
        <v>36</v>
      </c>
      <c r="F2854" s="15" t="s">
        <v>17</v>
      </c>
      <c r="G2854" s="15" t="s">
        <v>26</v>
      </c>
      <c r="H2854" s="15" t="n">
        <v>2</v>
      </c>
      <c r="I2854" s="17" t="n">
        <v>0.2</v>
      </c>
      <c r="J2854" s="18" t="n">
        <v>160.38</v>
      </c>
      <c r="K2854" s="19" t="n">
        <v>-9.47</v>
      </c>
      <c r="L2854" s="15" t="n">
        <f aca="false">YEAR(B2854)</f>
        <v>2025</v>
      </c>
      <c r="M2854" s="20" t="n">
        <f aca="false">IF(J2854&gt;0,K2854/J2854,0)</f>
        <v>-0.0590472627509665</v>
      </c>
    </row>
    <row r="2855" customFormat="false" ht="15" hidden="false" customHeight="false" outlineLevel="0" collapsed="false">
      <c r="A2855" s="15" t="s">
        <v>2912</v>
      </c>
      <c r="B2855" s="16" t="n">
        <v>45866</v>
      </c>
      <c r="C2855" s="15" t="s">
        <v>71</v>
      </c>
      <c r="D2855" s="15" t="s">
        <v>44</v>
      </c>
      <c r="E2855" s="15" t="s">
        <v>37</v>
      </c>
      <c r="F2855" s="15" t="s">
        <v>17</v>
      </c>
      <c r="G2855" s="15" t="s">
        <v>29</v>
      </c>
      <c r="H2855" s="15" t="n">
        <v>5</v>
      </c>
      <c r="I2855" s="17" t="n">
        <v>0.2</v>
      </c>
      <c r="J2855" s="18" t="n">
        <v>86.55</v>
      </c>
      <c r="K2855" s="19" t="n">
        <v>16.62</v>
      </c>
      <c r="L2855" s="15" t="n">
        <f aca="false">YEAR(B2855)</f>
        <v>2025</v>
      </c>
      <c r="M2855" s="20" t="n">
        <f aca="false">IF(J2855&gt;0,K2855/J2855,0)</f>
        <v>0.192027729636049</v>
      </c>
    </row>
    <row r="2856" customFormat="false" ht="15" hidden="false" customHeight="false" outlineLevel="0" collapsed="false">
      <c r="A2856" s="15" t="s">
        <v>2913</v>
      </c>
      <c r="B2856" s="16" t="n">
        <v>45913</v>
      </c>
      <c r="C2856" s="15" t="s">
        <v>71</v>
      </c>
      <c r="D2856" s="15" t="s">
        <v>42</v>
      </c>
      <c r="E2856" s="15" t="s">
        <v>36</v>
      </c>
      <c r="F2856" s="15" t="s">
        <v>16</v>
      </c>
      <c r="G2856" s="15" t="s">
        <v>25</v>
      </c>
      <c r="H2856" s="15" t="n">
        <v>5</v>
      </c>
      <c r="I2856" s="17" t="n">
        <v>0.1</v>
      </c>
      <c r="J2856" s="18" t="n">
        <v>1220.62</v>
      </c>
      <c r="K2856" s="19" t="n">
        <v>-39.57</v>
      </c>
      <c r="L2856" s="15" t="n">
        <f aca="false">YEAR(B2856)</f>
        <v>2025</v>
      </c>
      <c r="M2856" s="20" t="n">
        <f aca="false">IF(J2856&gt;0,K2856/J2856,0)</f>
        <v>-0.0324179515328276</v>
      </c>
    </row>
    <row r="2857" customFormat="false" ht="15" hidden="false" customHeight="false" outlineLevel="0" collapsed="false">
      <c r="A2857" s="15" t="s">
        <v>2914</v>
      </c>
      <c r="B2857" s="16" t="n">
        <v>45480</v>
      </c>
      <c r="C2857" s="15" t="s">
        <v>71</v>
      </c>
      <c r="D2857" s="15" t="s">
        <v>42</v>
      </c>
      <c r="E2857" s="15" t="s">
        <v>36</v>
      </c>
      <c r="F2857" s="15" t="s">
        <v>17</v>
      </c>
      <c r="G2857" s="15" t="s">
        <v>29</v>
      </c>
      <c r="H2857" s="15" t="n">
        <v>9</v>
      </c>
      <c r="I2857" s="17" t="n">
        <v>0.1</v>
      </c>
      <c r="J2857" s="18" t="n">
        <v>133.44</v>
      </c>
      <c r="K2857" s="19" t="n">
        <v>27.55</v>
      </c>
      <c r="L2857" s="15" t="n">
        <f aca="false">YEAR(B2857)</f>
        <v>2024</v>
      </c>
      <c r="M2857" s="20" t="n">
        <f aca="false">IF(J2857&gt;0,K2857/J2857,0)</f>
        <v>0.206459832134293</v>
      </c>
    </row>
    <row r="2858" customFormat="false" ht="15" hidden="false" customHeight="false" outlineLevel="0" collapsed="false">
      <c r="A2858" s="15" t="s">
        <v>2915</v>
      </c>
      <c r="B2858" s="16" t="n">
        <v>45877</v>
      </c>
      <c r="C2858" s="15" t="s">
        <v>56</v>
      </c>
      <c r="D2858" s="15" t="s">
        <v>43</v>
      </c>
      <c r="E2858" s="15" t="s">
        <v>37</v>
      </c>
      <c r="F2858" s="15" t="s">
        <v>17</v>
      </c>
      <c r="G2858" s="15" t="s">
        <v>29</v>
      </c>
      <c r="H2858" s="15" t="n">
        <v>2</v>
      </c>
      <c r="I2858" s="17" t="n">
        <v>0</v>
      </c>
      <c r="J2858" s="18" t="n">
        <v>48.89</v>
      </c>
      <c r="K2858" s="19" t="n">
        <v>17.95</v>
      </c>
      <c r="L2858" s="15" t="n">
        <f aca="false">YEAR(B2858)</f>
        <v>2025</v>
      </c>
      <c r="M2858" s="20" t="n">
        <f aca="false">IF(J2858&gt;0,K2858/J2858,0)</f>
        <v>0.367150746573942</v>
      </c>
    </row>
    <row r="2859" customFormat="false" ht="15" hidden="false" customHeight="false" outlineLevel="0" collapsed="false">
      <c r="A2859" s="15" t="s">
        <v>2916</v>
      </c>
      <c r="B2859" s="16" t="n">
        <v>45665</v>
      </c>
      <c r="C2859" s="15" t="s">
        <v>56</v>
      </c>
      <c r="D2859" s="15" t="s">
        <v>43</v>
      </c>
      <c r="E2859" s="15" t="s">
        <v>37</v>
      </c>
      <c r="F2859" s="15" t="s">
        <v>18</v>
      </c>
      <c r="G2859" s="15" t="s">
        <v>30</v>
      </c>
      <c r="H2859" s="15" t="n">
        <v>3</v>
      </c>
      <c r="I2859" s="17" t="n">
        <v>0.2</v>
      </c>
      <c r="J2859" s="18" t="n">
        <v>114.47</v>
      </c>
      <c r="K2859" s="19" t="n">
        <v>22.15</v>
      </c>
      <c r="L2859" s="15" t="n">
        <f aca="false">YEAR(B2859)</f>
        <v>2025</v>
      </c>
      <c r="M2859" s="20" t="n">
        <f aca="false">IF(J2859&gt;0,K2859/J2859,0)</f>
        <v>0.193500480475234</v>
      </c>
    </row>
    <row r="2860" customFormat="false" ht="15" hidden="false" customHeight="false" outlineLevel="0" collapsed="false">
      <c r="A2860" s="15" t="s">
        <v>2917</v>
      </c>
      <c r="B2860" s="16" t="n">
        <v>45512</v>
      </c>
      <c r="C2860" s="15" t="s">
        <v>68</v>
      </c>
      <c r="D2860" s="15" t="s">
        <v>42</v>
      </c>
      <c r="E2860" s="15" t="s">
        <v>38</v>
      </c>
      <c r="F2860" s="15" t="s">
        <v>17</v>
      </c>
      <c r="G2860" s="15" t="s">
        <v>29</v>
      </c>
      <c r="H2860" s="15" t="n">
        <v>4</v>
      </c>
      <c r="I2860" s="17" t="n">
        <v>0.1</v>
      </c>
      <c r="J2860" s="18" t="n">
        <v>54.61</v>
      </c>
      <c r="K2860" s="19" t="n">
        <v>16.84</v>
      </c>
      <c r="L2860" s="15" t="n">
        <f aca="false">YEAR(B2860)</f>
        <v>2024</v>
      </c>
      <c r="M2860" s="20" t="n">
        <f aca="false">IF(J2860&gt;0,K2860/J2860,0)</f>
        <v>0.30836843069035</v>
      </c>
    </row>
    <row r="2861" customFormat="false" ht="15" hidden="false" customHeight="false" outlineLevel="0" collapsed="false">
      <c r="A2861" s="15" t="s">
        <v>2918</v>
      </c>
      <c r="B2861" s="16" t="n">
        <v>44820</v>
      </c>
      <c r="C2861" s="15" t="s">
        <v>56</v>
      </c>
      <c r="D2861" s="15" t="s">
        <v>43</v>
      </c>
      <c r="E2861" s="15" t="s">
        <v>37</v>
      </c>
      <c r="F2861" s="15" t="s">
        <v>17</v>
      </c>
      <c r="G2861" s="15" t="s">
        <v>26</v>
      </c>
      <c r="H2861" s="15" t="n">
        <v>6</v>
      </c>
      <c r="I2861" s="17" t="n">
        <v>0.15</v>
      </c>
      <c r="J2861" s="18" t="n">
        <v>547.39</v>
      </c>
      <c r="K2861" s="19" t="n">
        <v>2.62</v>
      </c>
      <c r="L2861" s="15" t="n">
        <f aca="false">YEAR(B2861)</f>
        <v>2022</v>
      </c>
      <c r="M2861" s="20" t="n">
        <f aca="false">IF(J2861&gt;0,K2861/J2861,0)</f>
        <v>0.00478634976890334</v>
      </c>
    </row>
    <row r="2862" customFormat="false" ht="15" hidden="false" customHeight="false" outlineLevel="0" collapsed="false">
      <c r="A2862" s="15" t="s">
        <v>2919</v>
      </c>
      <c r="B2862" s="16" t="n">
        <v>45088</v>
      </c>
      <c r="C2862" s="15" t="s">
        <v>68</v>
      </c>
      <c r="D2862" s="15" t="s">
        <v>43</v>
      </c>
      <c r="E2862" s="15" t="s">
        <v>36</v>
      </c>
      <c r="F2862" s="15" t="s">
        <v>17</v>
      </c>
      <c r="G2862" s="15" t="s">
        <v>28</v>
      </c>
      <c r="H2862" s="15" t="n">
        <v>2</v>
      </c>
      <c r="I2862" s="17" t="n">
        <v>0.4</v>
      </c>
      <c r="J2862" s="18" t="n">
        <v>31.9</v>
      </c>
      <c r="K2862" s="19" t="n">
        <v>-2.11</v>
      </c>
      <c r="L2862" s="15" t="n">
        <f aca="false">YEAR(B2862)</f>
        <v>2023</v>
      </c>
      <c r="M2862" s="20" t="n">
        <f aca="false">IF(J2862&gt;0,K2862/J2862,0)</f>
        <v>-0.0661442006269593</v>
      </c>
    </row>
    <row r="2863" customFormat="false" ht="15" hidden="false" customHeight="false" outlineLevel="0" collapsed="false">
      <c r="A2863" s="15" t="s">
        <v>2920</v>
      </c>
      <c r="B2863" s="16" t="n">
        <v>45183</v>
      </c>
      <c r="C2863" s="15" t="s">
        <v>71</v>
      </c>
      <c r="D2863" s="15" t="s">
        <v>42</v>
      </c>
      <c r="E2863" s="15" t="s">
        <v>37</v>
      </c>
      <c r="F2863" s="15" t="s">
        <v>16</v>
      </c>
      <c r="G2863" s="15" t="s">
        <v>27</v>
      </c>
      <c r="H2863" s="15" t="n">
        <v>4</v>
      </c>
      <c r="I2863" s="17" t="n">
        <v>0</v>
      </c>
      <c r="J2863" s="18" t="n">
        <v>264.57</v>
      </c>
      <c r="K2863" s="19" t="n">
        <v>42.31</v>
      </c>
      <c r="L2863" s="15" t="n">
        <f aca="false">YEAR(B2863)</f>
        <v>2023</v>
      </c>
      <c r="M2863" s="20" t="n">
        <f aca="false">IF(J2863&gt;0,K2863/J2863,0)</f>
        <v>0.1599198699777</v>
      </c>
    </row>
    <row r="2864" customFormat="false" ht="15" hidden="false" customHeight="false" outlineLevel="0" collapsed="false">
      <c r="A2864" s="15" t="s">
        <v>2921</v>
      </c>
      <c r="B2864" s="16" t="n">
        <v>45597</v>
      </c>
      <c r="C2864" s="15" t="s">
        <v>56</v>
      </c>
      <c r="D2864" s="15" t="s">
        <v>42</v>
      </c>
      <c r="E2864" s="15" t="s">
        <v>39</v>
      </c>
      <c r="F2864" s="15" t="s">
        <v>17</v>
      </c>
      <c r="G2864" s="15" t="s">
        <v>31</v>
      </c>
      <c r="H2864" s="15" t="n">
        <v>2</v>
      </c>
      <c r="I2864" s="17" t="n">
        <v>0</v>
      </c>
      <c r="J2864" s="18" t="n">
        <v>278.59</v>
      </c>
      <c r="K2864" s="19" t="n">
        <v>60.24</v>
      </c>
      <c r="L2864" s="15" t="n">
        <f aca="false">YEAR(B2864)</f>
        <v>2024</v>
      </c>
      <c r="M2864" s="20" t="n">
        <f aca="false">IF(J2864&gt;0,K2864/J2864,0)</f>
        <v>0.216231738396927</v>
      </c>
    </row>
    <row r="2865" customFormat="false" ht="15" hidden="false" customHeight="false" outlineLevel="0" collapsed="false">
      <c r="A2865" s="15" t="s">
        <v>2922</v>
      </c>
      <c r="B2865" s="16" t="n">
        <v>45994</v>
      </c>
      <c r="C2865" s="15" t="s">
        <v>58</v>
      </c>
      <c r="D2865" s="15" t="s">
        <v>42</v>
      </c>
      <c r="E2865" s="15" t="s">
        <v>39</v>
      </c>
      <c r="F2865" s="15" t="s">
        <v>16</v>
      </c>
      <c r="G2865" s="15" t="s">
        <v>23</v>
      </c>
      <c r="H2865" s="15" t="n">
        <v>2</v>
      </c>
      <c r="I2865" s="17" t="n">
        <v>0.15</v>
      </c>
      <c r="J2865" s="18" t="n">
        <v>475.54</v>
      </c>
      <c r="K2865" s="19" t="n">
        <v>-62.23</v>
      </c>
      <c r="L2865" s="15" t="n">
        <f aca="false">YEAR(B2865)</f>
        <v>2025</v>
      </c>
      <c r="M2865" s="20" t="n">
        <f aca="false">IF(J2865&gt;0,K2865/J2865,0)</f>
        <v>-0.130861757160281</v>
      </c>
    </row>
    <row r="2866" customFormat="false" ht="15" hidden="false" customHeight="false" outlineLevel="0" collapsed="false">
      <c r="A2866" s="15" t="s">
        <v>2923</v>
      </c>
      <c r="B2866" s="16" t="n">
        <v>45526</v>
      </c>
      <c r="C2866" s="15" t="s">
        <v>68</v>
      </c>
      <c r="D2866" s="15" t="s">
        <v>44</v>
      </c>
      <c r="E2866" s="15" t="s">
        <v>38</v>
      </c>
      <c r="F2866" s="15" t="s">
        <v>16</v>
      </c>
      <c r="G2866" s="15" t="s">
        <v>27</v>
      </c>
      <c r="H2866" s="15" t="n">
        <v>3</v>
      </c>
      <c r="I2866" s="17" t="n">
        <v>0.1</v>
      </c>
      <c r="J2866" s="18" t="n">
        <v>133.65</v>
      </c>
      <c r="K2866" s="19" t="n">
        <v>0.27</v>
      </c>
      <c r="L2866" s="15" t="n">
        <f aca="false">YEAR(B2866)</f>
        <v>2024</v>
      </c>
      <c r="M2866" s="20" t="n">
        <f aca="false">IF(J2866&gt;0,K2866/J2866,0)</f>
        <v>0.00202020202020202</v>
      </c>
    </row>
    <row r="2867" customFormat="false" ht="15" hidden="false" customHeight="false" outlineLevel="0" collapsed="false">
      <c r="A2867" s="15" t="s">
        <v>2924</v>
      </c>
      <c r="B2867" s="16" t="n">
        <v>45027</v>
      </c>
      <c r="C2867" s="15" t="s">
        <v>56</v>
      </c>
      <c r="D2867" s="15" t="s">
        <v>42</v>
      </c>
      <c r="E2867" s="15" t="s">
        <v>38</v>
      </c>
      <c r="F2867" s="15" t="s">
        <v>17</v>
      </c>
      <c r="G2867" s="15" t="s">
        <v>28</v>
      </c>
      <c r="H2867" s="15" t="n">
        <v>3</v>
      </c>
      <c r="I2867" s="17" t="n">
        <v>0</v>
      </c>
      <c r="J2867" s="18" t="n">
        <v>79.46</v>
      </c>
      <c r="K2867" s="19" t="n">
        <v>20.83</v>
      </c>
      <c r="L2867" s="15" t="n">
        <f aca="false">YEAR(B2867)</f>
        <v>2023</v>
      </c>
      <c r="M2867" s="20" t="n">
        <f aca="false">IF(J2867&gt;0,K2867/J2867,0)</f>
        <v>0.262144475207652</v>
      </c>
    </row>
    <row r="2868" customFormat="false" ht="15" hidden="false" customHeight="false" outlineLevel="0" collapsed="false">
      <c r="A2868" s="15" t="s">
        <v>2925</v>
      </c>
      <c r="B2868" s="16" t="n">
        <v>45577</v>
      </c>
      <c r="C2868" s="15" t="s">
        <v>56</v>
      </c>
      <c r="D2868" s="15" t="s">
        <v>43</v>
      </c>
      <c r="E2868" s="15" t="s">
        <v>37</v>
      </c>
      <c r="F2868" s="15" t="s">
        <v>17</v>
      </c>
      <c r="G2868" s="15" t="s">
        <v>26</v>
      </c>
      <c r="H2868" s="15" t="n">
        <v>5</v>
      </c>
      <c r="I2868" s="17" t="n">
        <v>0.4</v>
      </c>
      <c r="J2868" s="18" t="n">
        <v>265.67</v>
      </c>
      <c r="K2868" s="19" t="n">
        <v>-54.01</v>
      </c>
      <c r="L2868" s="15" t="n">
        <f aca="false">YEAR(B2868)</f>
        <v>2024</v>
      </c>
      <c r="M2868" s="20" t="n">
        <f aca="false">IF(J2868&gt;0,K2868/J2868,0)</f>
        <v>-0.203297323747506</v>
      </c>
    </row>
    <row r="2869" customFormat="false" ht="15" hidden="false" customHeight="false" outlineLevel="0" collapsed="false">
      <c r="A2869" s="15" t="s">
        <v>2926</v>
      </c>
      <c r="B2869" s="16" t="n">
        <v>44633</v>
      </c>
      <c r="C2869" s="15" t="s">
        <v>68</v>
      </c>
      <c r="D2869" s="15" t="s">
        <v>42</v>
      </c>
      <c r="E2869" s="15" t="s">
        <v>38</v>
      </c>
      <c r="F2869" s="15" t="s">
        <v>17</v>
      </c>
      <c r="G2869" s="15" t="s">
        <v>26</v>
      </c>
      <c r="H2869" s="15" t="n">
        <v>2</v>
      </c>
      <c r="I2869" s="17" t="n">
        <v>0.3</v>
      </c>
      <c r="J2869" s="18" t="n">
        <v>112.87</v>
      </c>
      <c r="K2869" s="19" t="n">
        <v>-21.16</v>
      </c>
      <c r="L2869" s="15" t="n">
        <f aca="false">YEAR(B2869)</f>
        <v>2022</v>
      </c>
      <c r="M2869" s="20" t="n">
        <f aca="false">IF(J2869&gt;0,K2869/J2869,0)</f>
        <v>-0.187472313280765</v>
      </c>
    </row>
    <row r="2870" customFormat="false" ht="15" hidden="false" customHeight="false" outlineLevel="0" collapsed="false">
      <c r="A2870" s="15" t="s">
        <v>2927</v>
      </c>
      <c r="B2870" s="16" t="n">
        <v>45697</v>
      </c>
      <c r="C2870" s="15" t="s">
        <v>68</v>
      </c>
      <c r="D2870" s="15" t="s">
        <v>43</v>
      </c>
      <c r="E2870" s="15" t="s">
        <v>39</v>
      </c>
      <c r="F2870" s="15" t="s">
        <v>16</v>
      </c>
      <c r="G2870" s="15" t="s">
        <v>25</v>
      </c>
      <c r="H2870" s="15" t="n">
        <v>8</v>
      </c>
      <c r="I2870" s="17" t="n">
        <v>0.2</v>
      </c>
      <c r="J2870" s="18" t="n">
        <v>2558.15</v>
      </c>
      <c r="K2870" s="19" t="n">
        <v>-470.76</v>
      </c>
      <c r="L2870" s="15" t="n">
        <f aca="false">YEAR(B2870)</f>
        <v>2025</v>
      </c>
      <c r="M2870" s="20" t="n">
        <f aca="false">IF(J2870&gt;0,K2870/J2870,0)</f>
        <v>-0.184023610812501</v>
      </c>
    </row>
    <row r="2871" customFormat="false" ht="15" hidden="false" customHeight="false" outlineLevel="0" collapsed="false">
      <c r="A2871" s="15" t="s">
        <v>2928</v>
      </c>
      <c r="B2871" s="16" t="n">
        <v>45219</v>
      </c>
      <c r="C2871" s="15" t="s">
        <v>56</v>
      </c>
      <c r="D2871" s="15" t="s">
        <v>43</v>
      </c>
      <c r="E2871" s="15" t="s">
        <v>39</v>
      </c>
      <c r="F2871" s="15" t="s">
        <v>17</v>
      </c>
      <c r="G2871" s="15" t="s">
        <v>31</v>
      </c>
      <c r="H2871" s="15" t="n">
        <v>2</v>
      </c>
      <c r="I2871" s="17" t="n">
        <v>0</v>
      </c>
      <c r="J2871" s="18" t="n">
        <v>271.24</v>
      </c>
      <c r="K2871" s="19" t="n">
        <v>64.69</v>
      </c>
      <c r="L2871" s="15" t="n">
        <f aca="false">YEAR(B2871)</f>
        <v>2023</v>
      </c>
      <c r="M2871" s="20" t="n">
        <f aca="false">IF(J2871&gt;0,K2871/J2871,0)</f>
        <v>0.238497271788822</v>
      </c>
    </row>
    <row r="2872" customFormat="false" ht="15" hidden="false" customHeight="false" outlineLevel="0" collapsed="false">
      <c r="A2872" s="15" t="s">
        <v>2929</v>
      </c>
      <c r="B2872" s="16" t="n">
        <v>45214</v>
      </c>
      <c r="C2872" s="15" t="s">
        <v>71</v>
      </c>
      <c r="D2872" s="15" t="s">
        <v>42</v>
      </c>
      <c r="E2872" s="15" t="s">
        <v>38</v>
      </c>
      <c r="F2872" s="15" t="s">
        <v>17</v>
      </c>
      <c r="G2872" s="15" t="s">
        <v>26</v>
      </c>
      <c r="H2872" s="15" t="n">
        <v>5</v>
      </c>
      <c r="I2872" s="17" t="n">
        <v>0</v>
      </c>
      <c r="J2872" s="18" t="n">
        <v>373.38</v>
      </c>
      <c r="K2872" s="19" t="n">
        <v>66.24</v>
      </c>
      <c r="L2872" s="15" t="n">
        <f aca="false">YEAR(B2872)</f>
        <v>2023</v>
      </c>
      <c r="M2872" s="20" t="n">
        <f aca="false">IF(J2872&gt;0,K2872/J2872,0)</f>
        <v>0.177406395629118</v>
      </c>
    </row>
    <row r="2873" customFormat="false" ht="15" hidden="false" customHeight="false" outlineLevel="0" collapsed="false">
      <c r="A2873" s="15" t="s">
        <v>2930</v>
      </c>
      <c r="B2873" s="16" t="n">
        <v>45586</v>
      </c>
      <c r="C2873" s="15" t="s">
        <v>56</v>
      </c>
      <c r="D2873" s="15" t="s">
        <v>42</v>
      </c>
      <c r="E2873" s="15" t="s">
        <v>38</v>
      </c>
      <c r="F2873" s="15" t="s">
        <v>17</v>
      </c>
      <c r="G2873" s="15" t="s">
        <v>28</v>
      </c>
      <c r="H2873" s="15" t="n">
        <v>3</v>
      </c>
      <c r="I2873" s="17" t="n">
        <v>0.4</v>
      </c>
      <c r="J2873" s="18" t="n">
        <v>40.67</v>
      </c>
      <c r="K2873" s="19" t="n">
        <v>-2.09</v>
      </c>
      <c r="L2873" s="15" t="n">
        <f aca="false">YEAR(B2873)</f>
        <v>2024</v>
      </c>
      <c r="M2873" s="20" t="n">
        <f aca="false">IF(J2873&gt;0,K2873/J2873,0)</f>
        <v>-0.0513892303909516</v>
      </c>
    </row>
    <row r="2874" customFormat="false" ht="15" hidden="false" customHeight="false" outlineLevel="0" collapsed="false">
      <c r="A2874" s="15" t="s">
        <v>2931</v>
      </c>
      <c r="B2874" s="16" t="n">
        <v>45864</v>
      </c>
      <c r="C2874" s="15" t="s">
        <v>56</v>
      </c>
      <c r="D2874" s="15" t="s">
        <v>43</v>
      </c>
      <c r="E2874" s="15" t="s">
        <v>38</v>
      </c>
      <c r="F2874" s="15" t="s">
        <v>16</v>
      </c>
      <c r="G2874" s="15" t="s">
        <v>27</v>
      </c>
      <c r="H2874" s="15" t="n">
        <v>3</v>
      </c>
      <c r="I2874" s="17" t="n">
        <v>0.05</v>
      </c>
      <c r="J2874" s="18" t="n">
        <v>187.7</v>
      </c>
      <c r="K2874" s="19" t="n">
        <v>41.31</v>
      </c>
      <c r="L2874" s="15" t="n">
        <f aca="false">YEAR(B2874)</f>
        <v>2025</v>
      </c>
      <c r="M2874" s="20" t="n">
        <f aca="false">IF(J2874&gt;0,K2874/J2874,0)</f>
        <v>0.220085242408098</v>
      </c>
    </row>
    <row r="2875" customFormat="false" ht="15" hidden="false" customHeight="false" outlineLevel="0" collapsed="false">
      <c r="A2875" s="15" t="s">
        <v>2932</v>
      </c>
      <c r="B2875" s="16" t="n">
        <v>45466</v>
      </c>
      <c r="C2875" s="15" t="s">
        <v>56</v>
      </c>
      <c r="D2875" s="15" t="s">
        <v>43</v>
      </c>
      <c r="E2875" s="15" t="s">
        <v>37</v>
      </c>
      <c r="F2875" s="15" t="s">
        <v>17</v>
      </c>
      <c r="G2875" s="15" t="s">
        <v>29</v>
      </c>
      <c r="H2875" s="15" t="n">
        <v>2</v>
      </c>
      <c r="I2875" s="17" t="n">
        <v>0.3</v>
      </c>
      <c r="J2875" s="18" t="n">
        <v>25.09</v>
      </c>
      <c r="K2875" s="19" t="n">
        <v>2.93</v>
      </c>
      <c r="L2875" s="15" t="n">
        <f aca="false">YEAR(B2875)</f>
        <v>2024</v>
      </c>
      <c r="M2875" s="20" t="n">
        <f aca="false">IF(J2875&gt;0,K2875/J2875,0)</f>
        <v>0.116779593463531</v>
      </c>
    </row>
    <row r="2876" customFormat="false" ht="15" hidden="false" customHeight="false" outlineLevel="0" collapsed="false">
      <c r="A2876" s="15" t="s">
        <v>2933</v>
      </c>
      <c r="B2876" s="16" t="n">
        <v>45598</v>
      </c>
      <c r="C2876" s="15" t="s">
        <v>71</v>
      </c>
      <c r="D2876" s="15" t="s">
        <v>43</v>
      </c>
      <c r="E2876" s="15" t="s">
        <v>36</v>
      </c>
      <c r="F2876" s="15" t="s">
        <v>17</v>
      </c>
      <c r="G2876" s="15" t="s">
        <v>26</v>
      </c>
      <c r="H2876" s="15" t="n">
        <v>4</v>
      </c>
      <c r="I2876" s="17" t="n">
        <v>0.1</v>
      </c>
      <c r="J2876" s="18" t="n">
        <v>336.98</v>
      </c>
      <c r="K2876" s="19" t="n">
        <v>21.08</v>
      </c>
      <c r="L2876" s="15" t="n">
        <f aca="false">YEAR(B2876)</f>
        <v>2024</v>
      </c>
      <c r="M2876" s="20" t="n">
        <f aca="false">IF(J2876&gt;0,K2876/J2876,0)</f>
        <v>0.0625556412843492</v>
      </c>
    </row>
    <row r="2877" customFormat="false" ht="15" hidden="false" customHeight="false" outlineLevel="0" collapsed="false">
      <c r="A2877" s="15" t="s">
        <v>2934</v>
      </c>
      <c r="B2877" s="16" t="n">
        <v>45802</v>
      </c>
      <c r="C2877" s="15" t="s">
        <v>58</v>
      </c>
      <c r="D2877" s="15" t="s">
        <v>43</v>
      </c>
      <c r="E2877" s="15" t="s">
        <v>36</v>
      </c>
      <c r="F2877" s="15" t="s">
        <v>17</v>
      </c>
      <c r="G2877" s="15" t="s">
        <v>26</v>
      </c>
      <c r="H2877" s="15" t="n">
        <v>2</v>
      </c>
      <c r="I2877" s="17" t="n">
        <v>0.1</v>
      </c>
      <c r="J2877" s="18" t="n">
        <v>168.79</v>
      </c>
      <c r="K2877" s="19" t="n">
        <v>7.8</v>
      </c>
      <c r="L2877" s="15" t="n">
        <f aca="false">YEAR(B2877)</f>
        <v>2025</v>
      </c>
      <c r="M2877" s="20" t="n">
        <f aca="false">IF(J2877&gt;0,K2877/J2877,0)</f>
        <v>0.0462112684400735</v>
      </c>
    </row>
    <row r="2878" customFormat="false" ht="15" hidden="false" customHeight="false" outlineLevel="0" collapsed="false">
      <c r="A2878" s="15" t="s">
        <v>2935</v>
      </c>
      <c r="B2878" s="16" t="n">
        <v>45079</v>
      </c>
      <c r="C2878" s="15" t="s">
        <v>68</v>
      </c>
      <c r="D2878" s="15" t="s">
        <v>42</v>
      </c>
      <c r="E2878" s="15" t="s">
        <v>39</v>
      </c>
      <c r="F2878" s="15" t="s">
        <v>18</v>
      </c>
      <c r="G2878" s="15" t="s">
        <v>33</v>
      </c>
      <c r="H2878" s="15" t="n">
        <v>2</v>
      </c>
      <c r="I2878" s="17" t="n">
        <v>0.1</v>
      </c>
      <c r="J2878" s="18" t="n">
        <v>2028.33</v>
      </c>
      <c r="K2878" s="19" t="n">
        <v>466.48</v>
      </c>
      <c r="L2878" s="15" t="n">
        <f aca="false">YEAR(B2878)</f>
        <v>2023</v>
      </c>
      <c r="M2878" s="20" t="n">
        <f aca="false">IF(J2878&gt;0,K2878/J2878,0)</f>
        <v>0.229982300710437</v>
      </c>
    </row>
    <row r="2879" customFormat="false" ht="15" hidden="false" customHeight="false" outlineLevel="0" collapsed="false">
      <c r="A2879" s="15" t="s">
        <v>2936</v>
      </c>
      <c r="B2879" s="16" t="n">
        <v>45389</v>
      </c>
      <c r="C2879" s="15" t="s">
        <v>58</v>
      </c>
      <c r="D2879" s="15" t="s">
        <v>43</v>
      </c>
      <c r="E2879" s="15" t="s">
        <v>37</v>
      </c>
      <c r="F2879" s="15" t="s">
        <v>16</v>
      </c>
      <c r="G2879" s="15" t="s">
        <v>25</v>
      </c>
      <c r="H2879" s="15" t="n">
        <v>3</v>
      </c>
      <c r="I2879" s="17" t="n">
        <v>0.4</v>
      </c>
      <c r="J2879" s="18" t="n">
        <v>587.98</v>
      </c>
      <c r="K2879" s="19" t="n">
        <v>-143.42</v>
      </c>
      <c r="L2879" s="15" t="n">
        <f aca="false">YEAR(B2879)</f>
        <v>2024</v>
      </c>
      <c r="M2879" s="20" t="n">
        <f aca="false">IF(J2879&gt;0,K2879/J2879,0)</f>
        <v>-0.243919861219769</v>
      </c>
    </row>
    <row r="2880" customFormat="false" ht="15" hidden="false" customHeight="false" outlineLevel="0" collapsed="false">
      <c r="A2880" s="15" t="s">
        <v>2937</v>
      </c>
      <c r="B2880" s="16" t="n">
        <v>44645</v>
      </c>
      <c r="C2880" s="15" t="s">
        <v>71</v>
      </c>
      <c r="D2880" s="15" t="s">
        <v>42</v>
      </c>
      <c r="E2880" s="15" t="s">
        <v>37</v>
      </c>
      <c r="F2880" s="15" t="s">
        <v>17</v>
      </c>
      <c r="G2880" s="15" t="s">
        <v>28</v>
      </c>
      <c r="H2880" s="15" t="n">
        <v>1</v>
      </c>
      <c r="I2880" s="17" t="n">
        <v>0.1</v>
      </c>
      <c r="J2880" s="18" t="n">
        <v>20.31</v>
      </c>
      <c r="K2880" s="19" t="n">
        <v>4.45</v>
      </c>
      <c r="L2880" s="15" t="n">
        <f aca="false">YEAR(B2880)</f>
        <v>2022</v>
      </c>
      <c r="M2880" s="20" t="n">
        <f aca="false">IF(J2880&gt;0,K2880/J2880,0)</f>
        <v>0.219103889709503</v>
      </c>
    </row>
    <row r="2881" customFormat="false" ht="15" hidden="false" customHeight="false" outlineLevel="0" collapsed="false">
      <c r="A2881" s="15" t="s">
        <v>2938</v>
      </c>
      <c r="B2881" s="16" t="n">
        <v>45614</v>
      </c>
      <c r="C2881" s="15" t="s">
        <v>56</v>
      </c>
      <c r="D2881" s="15" t="s">
        <v>42</v>
      </c>
      <c r="E2881" s="15" t="s">
        <v>36</v>
      </c>
      <c r="F2881" s="15" t="s">
        <v>17</v>
      </c>
      <c r="G2881" s="15" t="s">
        <v>26</v>
      </c>
      <c r="H2881" s="15" t="n">
        <v>3</v>
      </c>
      <c r="I2881" s="17" t="n">
        <v>0</v>
      </c>
      <c r="J2881" s="18" t="n">
        <v>161.41</v>
      </c>
      <c r="K2881" s="19" t="n">
        <v>28</v>
      </c>
      <c r="L2881" s="15" t="n">
        <f aca="false">YEAR(B2881)</f>
        <v>2024</v>
      </c>
      <c r="M2881" s="20" t="n">
        <f aca="false">IF(J2881&gt;0,K2881/J2881,0)</f>
        <v>0.173471284307044</v>
      </c>
    </row>
    <row r="2882" customFormat="false" ht="15" hidden="false" customHeight="false" outlineLevel="0" collapsed="false">
      <c r="A2882" s="15" t="s">
        <v>2939</v>
      </c>
      <c r="B2882" s="16" t="n">
        <v>45682</v>
      </c>
      <c r="C2882" s="15" t="s">
        <v>56</v>
      </c>
      <c r="D2882" s="15" t="s">
        <v>43</v>
      </c>
      <c r="E2882" s="15" t="s">
        <v>36</v>
      </c>
      <c r="F2882" s="15" t="s">
        <v>18</v>
      </c>
      <c r="G2882" s="15" t="s">
        <v>30</v>
      </c>
      <c r="H2882" s="15" t="n">
        <v>3</v>
      </c>
      <c r="I2882" s="17" t="n">
        <v>0</v>
      </c>
      <c r="J2882" s="18" t="n">
        <v>135.77</v>
      </c>
      <c r="K2882" s="19" t="n">
        <v>39.57</v>
      </c>
      <c r="L2882" s="15" t="n">
        <f aca="false">YEAR(B2882)</f>
        <v>2025</v>
      </c>
      <c r="M2882" s="20" t="n">
        <f aca="false">IF(J2882&gt;0,K2882/J2882,0)</f>
        <v>0.291448773661339</v>
      </c>
    </row>
    <row r="2883" customFormat="false" ht="15" hidden="false" customHeight="false" outlineLevel="0" collapsed="false">
      <c r="A2883" s="15" t="s">
        <v>2940</v>
      </c>
      <c r="B2883" s="16" t="n">
        <v>45516</v>
      </c>
      <c r="C2883" s="15" t="s">
        <v>71</v>
      </c>
      <c r="D2883" s="15" t="s">
        <v>42</v>
      </c>
      <c r="E2883" s="15" t="s">
        <v>36</v>
      </c>
      <c r="F2883" s="15" t="s">
        <v>17</v>
      </c>
      <c r="G2883" s="15" t="s">
        <v>28</v>
      </c>
      <c r="H2883" s="15" t="n">
        <v>4</v>
      </c>
      <c r="I2883" s="17" t="n">
        <v>0</v>
      </c>
      <c r="J2883" s="18" t="n">
        <v>105.05</v>
      </c>
      <c r="K2883" s="19" t="n">
        <v>42.19</v>
      </c>
      <c r="L2883" s="15" t="n">
        <f aca="false">YEAR(B2883)</f>
        <v>2024</v>
      </c>
      <c r="M2883" s="20" t="n">
        <f aca="false">IF(J2883&gt;0,K2883/J2883,0)</f>
        <v>0.401618277010947</v>
      </c>
    </row>
    <row r="2884" customFormat="false" ht="15" hidden="false" customHeight="false" outlineLevel="0" collapsed="false">
      <c r="A2884" s="15" t="s">
        <v>2941</v>
      </c>
      <c r="B2884" s="16" t="n">
        <v>45931</v>
      </c>
      <c r="C2884" s="15" t="s">
        <v>56</v>
      </c>
      <c r="D2884" s="15" t="s">
        <v>42</v>
      </c>
      <c r="E2884" s="15" t="s">
        <v>39</v>
      </c>
      <c r="F2884" s="15" t="s">
        <v>17</v>
      </c>
      <c r="G2884" s="15" t="s">
        <v>26</v>
      </c>
      <c r="H2884" s="15" t="n">
        <v>4</v>
      </c>
      <c r="I2884" s="17" t="n">
        <v>0.1</v>
      </c>
      <c r="J2884" s="18" t="n">
        <v>343.72</v>
      </c>
      <c r="K2884" s="19" t="n">
        <v>0.5</v>
      </c>
      <c r="L2884" s="15" t="n">
        <f aca="false">YEAR(B2884)</f>
        <v>2025</v>
      </c>
      <c r="M2884" s="20" t="n">
        <f aca="false">IF(J2884&gt;0,K2884/J2884,0)</f>
        <v>0.00145467240777377</v>
      </c>
    </row>
    <row r="2885" customFormat="false" ht="15" hidden="false" customHeight="false" outlineLevel="0" collapsed="false">
      <c r="A2885" s="15" t="s">
        <v>2942</v>
      </c>
      <c r="B2885" s="16" t="n">
        <v>45985</v>
      </c>
      <c r="C2885" s="15" t="s">
        <v>56</v>
      </c>
      <c r="D2885" s="15" t="s">
        <v>43</v>
      </c>
      <c r="E2885" s="15" t="s">
        <v>39</v>
      </c>
      <c r="F2885" s="15" t="s">
        <v>17</v>
      </c>
      <c r="G2885" s="15" t="s">
        <v>28</v>
      </c>
      <c r="H2885" s="15" t="n">
        <v>2</v>
      </c>
      <c r="I2885" s="17" t="n">
        <v>0</v>
      </c>
      <c r="J2885" s="18" t="n">
        <v>57.88</v>
      </c>
      <c r="K2885" s="19" t="n">
        <v>16.79</v>
      </c>
      <c r="L2885" s="15" t="n">
        <f aca="false">YEAR(B2885)</f>
        <v>2025</v>
      </c>
      <c r="M2885" s="20" t="n">
        <f aca="false">IF(J2885&gt;0,K2885/J2885,0)</f>
        <v>0.290082930200415</v>
      </c>
    </row>
    <row r="2886" customFormat="false" ht="15" hidden="false" customHeight="false" outlineLevel="0" collapsed="false">
      <c r="A2886" s="15" t="s">
        <v>2943</v>
      </c>
      <c r="B2886" s="16" t="n">
        <v>44872</v>
      </c>
      <c r="C2886" s="15" t="s">
        <v>56</v>
      </c>
      <c r="D2886" s="15" t="s">
        <v>44</v>
      </c>
      <c r="E2886" s="15" t="s">
        <v>36</v>
      </c>
      <c r="F2886" s="15" t="s">
        <v>18</v>
      </c>
      <c r="G2886" s="15" t="s">
        <v>24</v>
      </c>
      <c r="H2886" s="15" t="n">
        <v>4</v>
      </c>
      <c r="I2886" s="17" t="n">
        <v>0</v>
      </c>
      <c r="J2886" s="18" t="n">
        <v>2489.03</v>
      </c>
      <c r="K2886" s="19" t="n">
        <v>257.54</v>
      </c>
      <c r="L2886" s="15" t="n">
        <f aca="false">YEAR(B2886)</f>
        <v>2022</v>
      </c>
      <c r="M2886" s="20" t="n">
        <f aca="false">IF(J2886&gt;0,K2886/J2886,0)</f>
        <v>0.103470026476177</v>
      </c>
    </row>
    <row r="2887" customFormat="false" ht="15" hidden="false" customHeight="false" outlineLevel="0" collapsed="false">
      <c r="A2887" s="15" t="s">
        <v>2944</v>
      </c>
      <c r="B2887" s="16" t="n">
        <v>45168</v>
      </c>
      <c r="C2887" s="15" t="s">
        <v>56</v>
      </c>
      <c r="D2887" s="15" t="s">
        <v>43</v>
      </c>
      <c r="E2887" s="15" t="s">
        <v>39</v>
      </c>
      <c r="F2887" s="15" t="s">
        <v>16</v>
      </c>
      <c r="G2887" s="15" t="s">
        <v>22</v>
      </c>
      <c r="H2887" s="15" t="n">
        <v>5</v>
      </c>
      <c r="I2887" s="17" t="n">
        <v>0.15</v>
      </c>
      <c r="J2887" s="18" t="n">
        <v>2357.64</v>
      </c>
      <c r="K2887" s="19" t="n">
        <v>-469.47</v>
      </c>
      <c r="L2887" s="15" t="n">
        <f aca="false">YEAR(B2887)</f>
        <v>2023</v>
      </c>
      <c r="M2887" s="20" t="n">
        <f aca="false">IF(J2887&gt;0,K2887/J2887,0)</f>
        <v>-0.19912709319489</v>
      </c>
    </row>
    <row r="2888" customFormat="false" ht="15" hidden="false" customHeight="false" outlineLevel="0" collapsed="false">
      <c r="A2888" s="15" t="s">
        <v>2945</v>
      </c>
      <c r="B2888" s="16" t="n">
        <v>45679</v>
      </c>
      <c r="C2888" s="15" t="s">
        <v>56</v>
      </c>
      <c r="D2888" s="15" t="s">
        <v>43</v>
      </c>
      <c r="E2888" s="15" t="s">
        <v>39</v>
      </c>
      <c r="F2888" s="15" t="s">
        <v>17</v>
      </c>
      <c r="G2888" s="15" t="s">
        <v>26</v>
      </c>
      <c r="H2888" s="15" t="n">
        <v>6</v>
      </c>
      <c r="I2888" s="17" t="n">
        <v>0</v>
      </c>
      <c r="J2888" s="18" t="n">
        <v>539.23</v>
      </c>
      <c r="K2888" s="19" t="n">
        <v>106.94</v>
      </c>
      <c r="L2888" s="15" t="n">
        <f aca="false">YEAR(B2888)</f>
        <v>2025</v>
      </c>
      <c r="M2888" s="20" t="n">
        <f aca="false">IF(J2888&gt;0,K2888/J2888,0)</f>
        <v>0.198319826419153</v>
      </c>
    </row>
    <row r="2889" customFormat="false" ht="15" hidden="false" customHeight="false" outlineLevel="0" collapsed="false">
      <c r="A2889" s="15" t="s">
        <v>2946</v>
      </c>
      <c r="B2889" s="16" t="n">
        <v>44660</v>
      </c>
      <c r="C2889" s="15" t="s">
        <v>71</v>
      </c>
      <c r="D2889" s="15" t="s">
        <v>42</v>
      </c>
      <c r="E2889" s="15" t="s">
        <v>36</v>
      </c>
      <c r="F2889" s="15" t="s">
        <v>17</v>
      </c>
      <c r="G2889" s="15" t="s">
        <v>31</v>
      </c>
      <c r="H2889" s="15" t="n">
        <v>6</v>
      </c>
      <c r="I2889" s="17" t="n">
        <v>0.5</v>
      </c>
      <c r="J2889" s="18" t="n">
        <v>485.6</v>
      </c>
      <c r="K2889" s="19" t="n">
        <v>-157.44</v>
      </c>
      <c r="L2889" s="15" t="n">
        <f aca="false">YEAR(B2889)</f>
        <v>2022</v>
      </c>
      <c r="M2889" s="20" t="n">
        <f aca="false">IF(J2889&gt;0,K2889/J2889,0)</f>
        <v>-0.324217462932455</v>
      </c>
    </row>
    <row r="2890" customFormat="false" ht="15" hidden="false" customHeight="false" outlineLevel="0" collapsed="false">
      <c r="A2890" s="15" t="s">
        <v>2947</v>
      </c>
      <c r="B2890" s="16" t="n">
        <v>44930</v>
      </c>
      <c r="C2890" s="15" t="s">
        <v>56</v>
      </c>
      <c r="D2890" s="15" t="s">
        <v>42</v>
      </c>
      <c r="E2890" s="15" t="s">
        <v>37</v>
      </c>
      <c r="F2890" s="15" t="s">
        <v>17</v>
      </c>
      <c r="G2890" s="15" t="s">
        <v>31</v>
      </c>
      <c r="H2890" s="15" t="n">
        <v>8</v>
      </c>
      <c r="I2890" s="17" t="n">
        <v>0.3</v>
      </c>
      <c r="J2890" s="18" t="n">
        <v>612.97</v>
      </c>
      <c r="K2890" s="19" t="n">
        <v>-59.65</v>
      </c>
      <c r="L2890" s="15" t="n">
        <f aca="false">YEAR(B2890)</f>
        <v>2023</v>
      </c>
      <c r="M2890" s="20" t="n">
        <f aca="false">IF(J2890&gt;0,K2890/J2890,0)</f>
        <v>-0.097313082206307</v>
      </c>
    </row>
    <row r="2891" customFormat="false" ht="15" hidden="false" customHeight="false" outlineLevel="0" collapsed="false">
      <c r="A2891" s="15" t="s">
        <v>2948</v>
      </c>
      <c r="B2891" s="16" t="n">
        <v>45753</v>
      </c>
      <c r="C2891" s="15" t="s">
        <v>56</v>
      </c>
      <c r="D2891" s="15" t="s">
        <v>44</v>
      </c>
      <c r="E2891" s="15" t="s">
        <v>39</v>
      </c>
      <c r="F2891" s="15" t="s">
        <v>17</v>
      </c>
      <c r="G2891" s="15" t="s">
        <v>29</v>
      </c>
      <c r="H2891" s="15" t="n">
        <v>2</v>
      </c>
      <c r="I2891" s="17" t="n">
        <v>0</v>
      </c>
      <c r="J2891" s="18" t="n">
        <v>42.98</v>
      </c>
      <c r="K2891" s="19" t="n">
        <v>14.2</v>
      </c>
      <c r="L2891" s="15" t="n">
        <f aca="false">YEAR(B2891)</f>
        <v>2025</v>
      </c>
      <c r="M2891" s="20" t="n">
        <f aca="false">IF(J2891&gt;0,K2891/J2891,0)</f>
        <v>0.330386226151699</v>
      </c>
    </row>
    <row r="2892" customFormat="false" ht="15" hidden="false" customHeight="false" outlineLevel="0" collapsed="false">
      <c r="A2892" s="15" t="s">
        <v>2949</v>
      </c>
      <c r="B2892" s="16" t="n">
        <v>45185</v>
      </c>
      <c r="C2892" s="15" t="s">
        <v>56</v>
      </c>
      <c r="D2892" s="15" t="s">
        <v>42</v>
      </c>
      <c r="E2892" s="15" t="s">
        <v>39</v>
      </c>
      <c r="F2892" s="15" t="s">
        <v>16</v>
      </c>
      <c r="G2892" s="15" t="s">
        <v>25</v>
      </c>
      <c r="H2892" s="15" t="n">
        <v>3</v>
      </c>
      <c r="I2892" s="17" t="n">
        <v>0</v>
      </c>
      <c r="J2892" s="18" t="n">
        <v>886.09</v>
      </c>
      <c r="K2892" s="19" t="n">
        <v>76.52</v>
      </c>
      <c r="L2892" s="15" t="n">
        <f aca="false">YEAR(B2892)</f>
        <v>2023</v>
      </c>
      <c r="M2892" s="20" t="n">
        <f aca="false">IF(J2892&gt;0,K2892/J2892,0)</f>
        <v>0.0863569163403266</v>
      </c>
    </row>
    <row r="2893" customFormat="false" ht="15" hidden="false" customHeight="false" outlineLevel="0" collapsed="false">
      <c r="A2893" s="15" t="s">
        <v>2950</v>
      </c>
      <c r="B2893" s="16" t="n">
        <v>45933</v>
      </c>
      <c r="C2893" s="15" t="s">
        <v>58</v>
      </c>
      <c r="D2893" s="15" t="s">
        <v>42</v>
      </c>
      <c r="E2893" s="15" t="s">
        <v>38</v>
      </c>
      <c r="F2893" s="15" t="s">
        <v>17</v>
      </c>
      <c r="G2893" s="15" t="s">
        <v>26</v>
      </c>
      <c r="H2893" s="15" t="n">
        <v>5</v>
      </c>
      <c r="I2893" s="17" t="n">
        <v>0</v>
      </c>
      <c r="J2893" s="18" t="n">
        <v>355.82</v>
      </c>
      <c r="K2893" s="19" t="n">
        <v>53.09</v>
      </c>
      <c r="L2893" s="15" t="n">
        <f aca="false">YEAR(B2893)</f>
        <v>2025</v>
      </c>
      <c r="M2893" s="20" t="n">
        <f aca="false">IF(J2893&gt;0,K2893/J2893,0)</f>
        <v>0.149204654038559</v>
      </c>
    </row>
    <row r="2894" customFormat="false" ht="15" hidden="false" customHeight="false" outlineLevel="0" collapsed="false">
      <c r="A2894" s="15" t="s">
        <v>2951</v>
      </c>
      <c r="B2894" s="16" t="n">
        <v>44902</v>
      </c>
      <c r="C2894" s="15" t="s">
        <v>71</v>
      </c>
      <c r="D2894" s="15" t="s">
        <v>44</v>
      </c>
      <c r="E2894" s="15" t="s">
        <v>37</v>
      </c>
      <c r="F2894" s="15" t="s">
        <v>16</v>
      </c>
      <c r="G2894" s="15" t="s">
        <v>27</v>
      </c>
      <c r="H2894" s="15" t="n">
        <v>5</v>
      </c>
      <c r="I2894" s="17" t="n">
        <v>0.2</v>
      </c>
      <c r="J2894" s="18" t="n">
        <v>255.72</v>
      </c>
      <c r="K2894" s="19" t="n">
        <v>1.19</v>
      </c>
      <c r="L2894" s="15" t="n">
        <f aca="false">YEAR(B2894)</f>
        <v>2022</v>
      </c>
      <c r="M2894" s="20" t="n">
        <f aca="false">IF(J2894&gt;0,K2894/J2894,0)</f>
        <v>0.00465352729547943</v>
      </c>
    </row>
    <row r="2895" customFormat="false" ht="15" hidden="false" customHeight="false" outlineLevel="0" collapsed="false">
      <c r="A2895" s="15" t="s">
        <v>2952</v>
      </c>
      <c r="B2895" s="16" t="n">
        <v>44746</v>
      </c>
      <c r="C2895" s="15" t="s">
        <v>56</v>
      </c>
      <c r="D2895" s="15" t="s">
        <v>42</v>
      </c>
      <c r="E2895" s="15" t="s">
        <v>36</v>
      </c>
      <c r="F2895" s="15" t="s">
        <v>16</v>
      </c>
      <c r="G2895" s="15" t="s">
        <v>27</v>
      </c>
      <c r="H2895" s="15" t="n">
        <v>5</v>
      </c>
      <c r="I2895" s="17" t="n">
        <v>0</v>
      </c>
      <c r="J2895" s="18" t="n">
        <v>307.65</v>
      </c>
      <c r="K2895" s="19" t="n">
        <v>63.31</v>
      </c>
      <c r="L2895" s="15" t="n">
        <f aca="false">YEAR(B2895)</f>
        <v>2022</v>
      </c>
      <c r="M2895" s="20" t="n">
        <f aca="false">IF(J2895&gt;0,K2895/J2895,0)</f>
        <v>0.205785795546888</v>
      </c>
    </row>
    <row r="2896" customFormat="false" ht="15" hidden="false" customHeight="false" outlineLevel="0" collapsed="false">
      <c r="A2896" s="15" t="s">
        <v>2953</v>
      </c>
      <c r="B2896" s="16" t="n">
        <v>45942</v>
      </c>
      <c r="C2896" s="15" t="s">
        <v>56</v>
      </c>
      <c r="D2896" s="15" t="s">
        <v>44</v>
      </c>
      <c r="E2896" s="15" t="s">
        <v>37</v>
      </c>
      <c r="F2896" s="15" t="s">
        <v>16</v>
      </c>
      <c r="G2896" s="15" t="s">
        <v>25</v>
      </c>
      <c r="H2896" s="15" t="n">
        <v>5</v>
      </c>
      <c r="I2896" s="17" t="n">
        <v>0.05</v>
      </c>
      <c r="J2896" s="18" t="n">
        <v>1632.26</v>
      </c>
      <c r="K2896" s="19" t="n">
        <v>98.55</v>
      </c>
      <c r="L2896" s="15" t="n">
        <f aca="false">YEAR(B2896)</f>
        <v>2025</v>
      </c>
      <c r="M2896" s="20" t="n">
        <f aca="false">IF(J2896&gt;0,K2896/J2896,0)</f>
        <v>0.060376410620857</v>
      </c>
    </row>
    <row r="2897" customFormat="false" ht="15" hidden="false" customHeight="false" outlineLevel="0" collapsed="false">
      <c r="A2897" s="15" t="s">
        <v>2954</v>
      </c>
      <c r="B2897" s="16" t="n">
        <v>45375</v>
      </c>
      <c r="C2897" s="15" t="s">
        <v>68</v>
      </c>
      <c r="D2897" s="15" t="s">
        <v>42</v>
      </c>
      <c r="E2897" s="15" t="s">
        <v>36</v>
      </c>
      <c r="F2897" s="15" t="s">
        <v>17</v>
      </c>
      <c r="G2897" s="15" t="s">
        <v>28</v>
      </c>
      <c r="H2897" s="15" t="n">
        <v>4</v>
      </c>
      <c r="I2897" s="17" t="n">
        <v>0.15</v>
      </c>
      <c r="J2897" s="18" t="n">
        <v>82.08</v>
      </c>
      <c r="K2897" s="19" t="n">
        <v>12.7</v>
      </c>
      <c r="L2897" s="15" t="n">
        <f aca="false">YEAR(B2897)</f>
        <v>2024</v>
      </c>
      <c r="M2897" s="20" t="n">
        <f aca="false">IF(J2897&gt;0,K2897/J2897,0)</f>
        <v>0.154727095516569</v>
      </c>
    </row>
    <row r="2898" customFormat="false" ht="15" hidden="false" customHeight="false" outlineLevel="0" collapsed="false">
      <c r="A2898" s="15" t="s">
        <v>2955</v>
      </c>
      <c r="B2898" s="16" t="n">
        <v>45349</v>
      </c>
      <c r="C2898" s="15" t="s">
        <v>68</v>
      </c>
      <c r="D2898" s="15" t="s">
        <v>42</v>
      </c>
      <c r="E2898" s="15" t="s">
        <v>36</v>
      </c>
      <c r="F2898" s="15" t="s">
        <v>18</v>
      </c>
      <c r="G2898" s="15" t="s">
        <v>24</v>
      </c>
      <c r="H2898" s="15" t="n">
        <v>3</v>
      </c>
      <c r="I2898" s="17" t="n">
        <v>0</v>
      </c>
      <c r="J2898" s="18" t="n">
        <v>2083.33</v>
      </c>
      <c r="K2898" s="19" t="n">
        <v>102.31</v>
      </c>
      <c r="L2898" s="15" t="n">
        <f aca="false">YEAR(B2898)</f>
        <v>2024</v>
      </c>
      <c r="M2898" s="20" t="n">
        <f aca="false">IF(J2898&gt;0,K2898/J2898,0)</f>
        <v>0.0491088785742057</v>
      </c>
    </row>
    <row r="2899" customFormat="false" ht="15" hidden="false" customHeight="false" outlineLevel="0" collapsed="false">
      <c r="A2899" s="15" t="s">
        <v>2956</v>
      </c>
      <c r="B2899" s="16" t="n">
        <v>44641</v>
      </c>
      <c r="C2899" s="15" t="s">
        <v>56</v>
      </c>
      <c r="D2899" s="15" t="s">
        <v>42</v>
      </c>
      <c r="E2899" s="15" t="s">
        <v>37</v>
      </c>
      <c r="F2899" s="15" t="s">
        <v>16</v>
      </c>
      <c r="G2899" s="15" t="s">
        <v>27</v>
      </c>
      <c r="H2899" s="15" t="n">
        <v>5</v>
      </c>
      <c r="I2899" s="17" t="n">
        <v>0</v>
      </c>
      <c r="J2899" s="18" t="n">
        <v>338.29</v>
      </c>
      <c r="K2899" s="19" t="n">
        <v>62.46</v>
      </c>
      <c r="L2899" s="15" t="n">
        <f aca="false">YEAR(B2899)</f>
        <v>2022</v>
      </c>
      <c r="M2899" s="20" t="n">
        <f aca="false">IF(J2899&gt;0,K2899/J2899,0)</f>
        <v>0.184634485205002</v>
      </c>
    </row>
    <row r="2900" customFormat="false" ht="15" hidden="false" customHeight="false" outlineLevel="0" collapsed="false">
      <c r="A2900" s="15" t="s">
        <v>2957</v>
      </c>
      <c r="B2900" s="16" t="n">
        <v>45014</v>
      </c>
      <c r="C2900" s="15" t="s">
        <v>58</v>
      </c>
      <c r="D2900" s="15" t="s">
        <v>42</v>
      </c>
      <c r="E2900" s="15" t="s">
        <v>37</v>
      </c>
      <c r="F2900" s="15" t="s">
        <v>16</v>
      </c>
      <c r="G2900" s="15" t="s">
        <v>27</v>
      </c>
      <c r="H2900" s="15" t="n">
        <v>7</v>
      </c>
      <c r="I2900" s="17" t="n">
        <v>0</v>
      </c>
      <c r="J2900" s="18" t="n">
        <v>343.54</v>
      </c>
      <c r="K2900" s="19" t="n">
        <v>97.94</v>
      </c>
      <c r="L2900" s="15" t="n">
        <f aca="false">YEAR(B2900)</f>
        <v>2023</v>
      </c>
      <c r="M2900" s="20" t="n">
        <f aca="false">IF(J2900&gt;0,K2900/J2900,0)</f>
        <v>0.28509052803167</v>
      </c>
    </row>
    <row r="2901" customFormat="false" ht="15" hidden="false" customHeight="false" outlineLevel="0" collapsed="false">
      <c r="A2901" s="15" t="s">
        <v>2958</v>
      </c>
      <c r="B2901" s="16" t="n">
        <v>45724</v>
      </c>
      <c r="C2901" s="15" t="s">
        <v>56</v>
      </c>
      <c r="D2901" s="15" t="s">
        <v>44</v>
      </c>
      <c r="E2901" s="15" t="s">
        <v>37</v>
      </c>
      <c r="F2901" s="15" t="s">
        <v>17</v>
      </c>
      <c r="G2901" s="15" t="s">
        <v>26</v>
      </c>
      <c r="H2901" s="15" t="n">
        <v>2</v>
      </c>
      <c r="I2901" s="17" t="n">
        <v>0.15</v>
      </c>
      <c r="J2901" s="18" t="n">
        <v>146.21</v>
      </c>
      <c r="K2901" s="19" t="n">
        <v>0.03</v>
      </c>
      <c r="L2901" s="15" t="n">
        <f aca="false">YEAR(B2901)</f>
        <v>2025</v>
      </c>
      <c r="M2901" s="20" t="n">
        <f aca="false">IF(J2901&gt;0,K2901/J2901,0)</f>
        <v>0.000205184323917653</v>
      </c>
    </row>
    <row r="2902" customFormat="false" ht="15" hidden="false" customHeight="false" outlineLevel="0" collapsed="false">
      <c r="A2902" s="15" t="s">
        <v>2959</v>
      </c>
      <c r="B2902" s="16" t="n">
        <v>45487</v>
      </c>
      <c r="C2902" s="15" t="s">
        <v>56</v>
      </c>
      <c r="D2902" s="15" t="s">
        <v>43</v>
      </c>
      <c r="E2902" s="15" t="s">
        <v>38</v>
      </c>
      <c r="F2902" s="15" t="s">
        <v>16</v>
      </c>
      <c r="G2902" s="15" t="s">
        <v>25</v>
      </c>
      <c r="H2902" s="15" t="n">
        <v>4</v>
      </c>
      <c r="I2902" s="17" t="n">
        <v>0</v>
      </c>
      <c r="J2902" s="18" t="n">
        <v>1137.46</v>
      </c>
      <c r="K2902" s="19" t="n">
        <v>44.79</v>
      </c>
      <c r="L2902" s="15" t="n">
        <f aca="false">YEAR(B2902)</f>
        <v>2024</v>
      </c>
      <c r="M2902" s="20" t="n">
        <f aca="false">IF(J2902&gt;0,K2902/J2902,0)</f>
        <v>0.0393772088688833</v>
      </c>
    </row>
    <row r="2903" customFormat="false" ht="15" hidden="false" customHeight="false" outlineLevel="0" collapsed="false">
      <c r="A2903" s="15" t="s">
        <v>2960</v>
      </c>
      <c r="B2903" s="16" t="n">
        <v>44992</v>
      </c>
      <c r="C2903" s="15" t="s">
        <v>56</v>
      </c>
      <c r="D2903" s="15" t="s">
        <v>44</v>
      </c>
      <c r="E2903" s="15" t="s">
        <v>37</v>
      </c>
      <c r="F2903" s="15" t="s">
        <v>16</v>
      </c>
      <c r="G2903" s="15" t="s">
        <v>27</v>
      </c>
      <c r="H2903" s="15" t="n">
        <v>3</v>
      </c>
      <c r="I2903" s="17" t="n">
        <v>0.2</v>
      </c>
      <c r="J2903" s="18" t="n">
        <v>137.31</v>
      </c>
      <c r="K2903" s="19" t="n">
        <v>-3.11</v>
      </c>
      <c r="L2903" s="15" t="n">
        <f aca="false">YEAR(B2903)</f>
        <v>2023</v>
      </c>
      <c r="M2903" s="20" t="n">
        <f aca="false">IF(J2903&gt;0,K2903/J2903,0)</f>
        <v>-0.0226494792804603</v>
      </c>
    </row>
    <row r="2904" customFormat="false" ht="15" hidden="false" customHeight="false" outlineLevel="0" collapsed="false">
      <c r="A2904" s="15" t="s">
        <v>2961</v>
      </c>
      <c r="B2904" s="16" t="n">
        <v>45608</v>
      </c>
      <c r="C2904" s="15" t="s">
        <v>68</v>
      </c>
      <c r="D2904" s="15" t="s">
        <v>44</v>
      </c>
      <c r="E2904" s="15" t="s">
        <v>37</v>
      </c>
      <c r="F2904" s="15" t="s">
        <v>18</v>
      </c>
      <c r="G2904" s="15" t="s">
        <v>30</v>
      </c>
      <c r="H2904" s="15" t="n">
        <v>3</v>
      </c>
      <c r="I2904" s="17" t="n">
        <v>0.15</v>
      </c>
      <c r="J2904" s="18" t="n">
        <v>115.68</v>
      </c>
      <c r="K2904" s="19" t="n">
        <v>14.6</v>
      </c>
      <c r="L2904" s="15" t="n">
        <f aca="false">YEAR(B2904)</f>
        <v>2024</v>
      </c>
      <c r="M2904" s="20" t="n">
        <f aca="false">IF(J2904&gt;0,K2904/J2904,0)</f>
        <v>0.126210235131397</v>
      </c>
    </row>
    <row r="2905" customFormat="false" ht="15" hidden="false" customHeight="false" outlineLevel="0" collapsed="false">
      <c r="A2905" s="15" t="s">
        <v>2962</v>
      </c>
      <c r="B2905" s="16" t="n">
        <v>45904</v>
      </c>
      <c r="C2905" s="15" t="s">
        <v>56</v>
      </c>
      <c r="D2905" s="15" t="s">
        <v>42</v>
      </c>
      <c r="E2905" s="15" t="s">
        <v>36</v>
      </c>
      <c r="F2905" s="15" t="s">
        <v>17</v>
      </c>
      <c r="G2905" s="15" t="s">
        <v>26</v>
      </c>
      <c r="H2905" s="15" t="n">
        <v>5</v>
      </c>
      <c r="I2905" s="17" t="n">
        <v>0.1</v>
      </c>
      <c r="J2905" s="18" t="n">
        <v>427.66</v>
      </c>
      <c r="K2905" s="19" t="n">
        <v>35.88</v>
      </c>
      <c r="L2905" s="15" t="n">
        <f aca="false">YEAR(B2905)</f>
        <v>2025</v>
      </c>
      <c r="M2905" s="20" t="n">
        <f aca="false">IF(J2905&gt;0,K2905/J2905,0)</f>
        <v>0.0838984239816677</v>
      </c>
    </row>
    <row r="2906" customFormat="false" ht="15" hidden="false" customHeight="false" outlineLevel="0" collapsed="false">
      <c r="A2906" s="15" t="s">
        <v>2963</v>
      </c>
      <c r="B2906" s="16" t="n">
        <v>44687</v>
      </c>
      <c r="C2906" s="15" t="s">
        <v>56</v>
      </c>
      <c r="D2906" s="15" t="s">
        <v>42</v>
      </c>
      <c r="E2906" s="15" t="s">
        <v>36</v>
      </c>
      <c r="F2906" s="15" t="s">
        <v>17</v>
      </c>
      <c r="G2906" s="15" t="s">
        <v>29</v>
      </c>
      <c r="H2906" s="15" t="n">
        <v>4</v>
      </c>
      <c r="I2906" s="17" t="n">
        <v>0.3</v>
      </c>
      <c r="J2906" s="18" t="n">
        <v>45.51</v>
      </c>
      <c r="K2906" s="19" t="n">
        <v>3.37</v>
      </c>
      <c r="L2906" s="15" t="n">
        <f aca="false">YEAR(B2906)</f>
        <v>2022</v>
      </c>
      <c r="M2906" s="20" t="n">
        <f aca="false">IF(J2906&gt;0,K2906/J2906,0)</f>
        <v>0.0740496594155131</v>
      </c>
    </row>
    <row r="2907" customFormat="false" ht="15" hidden="false" customHeight="false" outlineLevel="0" collapsed="false">
      <c r="A2907" s="15" t="s">
        <v>2964</v>
      </c>
      <c r="B2907" s="16" t="n">
        <v>45466</v>
      </c>
      <c r="C2907" s="15" t="s">
        <v>56</v>
      </c>
      <c r="D2907" s="15" t="s">
        <v>43</v>
      </c>
      <c r="E2907" s="15" t="s">
        <v>36</v>
      </c>
      <c r="F2907" s="15" t="s">
        <v>16</v>
      </c>
      <c r="G2907" s="15" t="s">
        <v>22</v>
      </c>
      <c r="H2907" s="15" t="n">
        <v>3</v>
      </c>
      <c r="I2907" s="17" t="n">
        <v>0</v>
      </c>
      <c r="J2907" s="18" t="n">
        <v>1710.93</v>
      </c>
      <c r="K2907" s="19" t="n">
        <v>18.29</v>
      </c>
      <c r="L2907" s="15" t="n">
        <f aca="false">YEAR(B2907)</f>
        <v>2024</v>
      </c>
      <c r="M2907" s="20" t="n">
        <f aca="false">IF(J2907&gt;0,K2907/J2907,0)</f>
        <v>0.01069009252278</v>
      </c>
    </row>
    <row r="2908" customFormat="false" ht="15" hidden="false" customHeight="false" outlineLevel="0" collapsed="false">
      <c r="A2908" s="15" t="s">
        <v>2965</v>
      </c>
      <c r="B2908" s="16" t="n">
        <v>45912</v>
      </c>
      <c r="C2908" s="15" t="s">
        <v>68</v>
      </c>
      <c r="D2908" s="15" t="s">
        <v>42</v>
      </c>
      <c r="E2908" s="15" t="s">
        <v>37</v>
      </c>
      <c r="F2908" s="15" t="s">
        <v>18</v>
      </c>
      <c r="G2908" s="15" t="s">
        <v>33</v>
      </c>
      <c r="H2908" s="15" t="n">
        <v>4</v>
      </c>
      <c r="I2908" s="17" t="n">
        <v>0</v>
      </c>
      <c r="J2908" s="18" t="n">
        <v>3118.25</v>
      </c>
      <c r="K2908" s="19" t="n">
        <v>1000.58</v>
      </c>
      <c r="L2908" s="15" t="n">
        <f aca="false">YEAR(B2908)</f>
        <v>2025</v>
      </c>
      <c r="M2908" s="20" t="n">
        <f aca="false">IF(J2908&gt;0,K2908/J2908,0)</f>
        <v>0.320878697987653</v>
      </c>
    </row>
    <row r="2909" customFormat="false" ht="15" hidden="false" customHeight="false" outlineLevel="0" collapsed="false">
      <c r="A2909" s="15" t="s">
        <v>2966</v>
      </c>
      <c r="B2909" s="16" t="n">
        <v>45290</v>
      </c>
      <c r="C2909" s="15" t="s">
        <v>68</v>
      </c>
      <c r="D2909" s="15" t="s">
        <v>42</v>
      </c>
      <c r="E2909" s="15" t="s">
        <v>39</v>
      </c>
      <c r="F2909" s="15" t="s">
        <v>17</v>
      </c>
      <c r="G2909" s="15" t="s">
        <v>26</v>
      </c>
      <c r="H2909" s="15" t="n">
        <v>7</v>
      </c>
      <c r="I2909" s="17" t="n">
        <v>0.1</v>
      </c>
      <c r="J2909" s="18" t="n">
        <v>430.54</v>
      </c>
      <c r="K2909" s="19" t="n">
        <v>33.19</v>
      </c>
      <c r="L2909" s="15" t="n">
        <f aca="false">YEAR(B2909)</f>
        <v>2023</v>
      </c>
      <c r="M2909" s="20" t="n">
        <f aca="false">IF(J2909&gt;0,K2909/J2909,0)</f>
        <v>0.0770892367724253</v>
      </c>
    </row>
    <row r="2910" customFormat="false" ht="15" hidden="false" customHeight="false" outlineLevel="0" collapsed="false">
      <c r="A2910" s="15" t="s">
        <v>2967</v>
      </c>
      <c r="B2910" s="16" t="n">
        <v>44886</v>
      </c>
      <c r="C2910" s="15" t="s">
        <v>56</v>
      </c>
      <c r="D2910" s="15" t="s">
        <v>42</v>
      </c>
      <c r="E2910" s="15" t="s">
        <v>37</v>
      </c>
      <c r="F2910" s="15" t="s">
        <v>17</v>
      </c>
      <c r="G2910" s="15" t="s">
        <v>31</v>
      </c>
      <c r="H2910" s="15" t="n">
        <v>4</v>
      </c>
      <c r="I2910" s="17" t="n">
        <v>0</v>
      </c>
      <c r="J2910" s="18" t="n">
        <v>578.18</v>
      </c>
      <c r="K2910" s="19" t="n">
        <v>146.48</v>
      </c>
      <c r="L2910" s="15" t="n">
        <f aca="false">YEAR(B2910)</f>
        <v>2022</v>
      </c>
      <c r="M2910" s="20" t="n">
        <f aca="false">IF(J2910&gt;0,K2910/J2910,0)</f>
        <v>0.253346708637449</v>
      </c>
    </row>
    <row r="2911" customFormat="false" ht="15" hidden="false" customHeight="false" outlineLevel="0" collapsed="false">
      <c r="A2911" s="15" t="s">
        <v>2968</v>
      </c>
      <c r="B2911" s="16" t="n">
        <v>45475</v>
      </c>
      <c r="C2911" s="15" t="s">
        <v>71</v>
      </c>
      <c r="D2911" s="15" t="s">
        <v>44</v>
      </c>
      <c r="E2911" s="15" t="s">
        <v>37</v>
      </c>
      <c r="F2911" s="15" t="s">
        <v>17</v>
      </c>
      <c r="G2911" s="15" t="s">
        <v>29</v>
      </c>
      <c r="H2911" s="15" t="n">
        <v>2</v>
      </c>
      <c r="I2911" s="17" t="n">
        <v>0.05</v>
      </c>
      <c r="J2911" s="18" t="n">
        <v>36.12</v>
      </c>
      <c r="K2911" s="19" t="n">
        <v>13.62</v>
      </c>
      <c r="L2911" s="15" t="n">
        <f aca="false">YEAR(B2911)</f>
        <v>2024</v>
      </c>
      <c r="M2911" s="20" t="n">
        <f aca="false">IF(J2911&gt;0,K2911/J2911,0)</f>
        <v>0.377076411960133</v>
      </c>
    </row>
    <row r="2912" customFormat="false" ht="15" hidden="false" customHeight="false" outlineLevel="0" collapsed="false">
      <c r="A2912" s="15" t="s">
        <v>2969</v>
      </c>
      <c r="B2912" s="16" t="n">
        <v>44836</v>
      </c>
      <c r="C2912" s="15" t="s">
        <v>58</v>
      </c>
      <c r="D2912" s="15" t="s">
        <v>42</v>
      </c>
      <c r="E2912" s="15" t="s">
        <v>39</v>
      </c>
      <c r="F2912" s="15" t="s">
        <v>16</v>
      </c>
      <c r="G2912" s="15" t="s">
        <v>27</v>
      </c>
      <c r="H2912" s="15" t="n">
        <v>3</v>
      </c>
      <c r="I2912" s="17" t="n">
        <v>0.1</v>
      </c>
      <c r="J2912" s="18" t="n">
        <v>161.9</v>
      </c>
      <c r="K2912" s="19" t="n">
        <v>27.99</v>
      </c>
      <c r="L2912" s="15" t="n">
        <f aca="false">YEAR(B2912)</f>
        <v>2022</v>
      </c>
      <c r="M2912" s="20" t="n">
        <f aca="false">IF(J2912&gt;0,K2912/J2912,0)</f>
        <v>0.172884496602841</v>
      </c>
    </row>
    <row r="2913" customFormat="false" ht="15" hidden="false" customHeight="false" outlineLevel="0" collapsed="false">
      <c r="A2913" s="15" t="s">
        <v>2970</v>
      </c>
      <c r="B2913" s="16" t="n">
        <v>45861</v>
      </c>
      <c r="C2913" s="15" t="s">
        <v>56</v>
      </c>
      <c r="D2913" s="15" t="s">
        <v>43</v>
      </c>
      <c r="E2913" s="15" t="s">
        <v>39</v>
      </c>
      <c r="F2913" s="15" t="s">
        <v>17</v>
      </c>
      <c r="G2913" s="15" t="s">
        <v>29</v>
      </c>
      <c r="H2913" s="15" t="n">
        <v>5</v>
      </c>
      <c r="I2913" s="17" t="n">
        <v>0.05</v>
      </c>
      <c r="J2913" s="18" t="n">
        <v>98.44</v>
      </c>
      <c r="K2913" s="19" t="n">
        <v>33.55</v>
      </c>
      <c r="L2913" s="15" t="n">
        <f aca="false">YEAR(B2913)</f>
        <v>2025</v>
      </c>
      <c r="M2913" s="20" t="n">
        <f aca="false">IF(J2913&gt;0,K2913/J2913,0)</f>
        <v>0.340816741162129</v>
      </c>
    </row>
    <row r="2914" customFormat="false" ht="15" hidden="false" customHeight="false" outlineLevel="0" collapsed="false">
      <c r="A2914" s="15" t="s">
        <v>2971</v>
      </c>
      <c r="B2914" s="16" t="n">
        <v>45944</v>
      </c>
      <c r="C2914" s="15" t="s">
        <v>68</v>
      </c>
      <c r="D2914" s="15" t="s">
        <v>43</v>
      </c>
      <c r="E2914" s="15" t="s">
        <v>37</v>
      </c>
      <c r="F2914" s="15" t="s">
        <v>18</v>
      </c>
      <c r="G2914" s="15" t="s">
        <v>32</v>
      </c>
      <c r="H2914" s="15" t="n">
        <v>1</v>
      </c>
      <c r="I2914" s="17" t="n">
        <v>0.2</v>
      </c>
      <c r="J2914" s="18" t="n">
        <v>378.05</v>
      </c>
      <c r="K2914" s="19" t="n">
        <v>-16.83</v>
      </c>
      <c r="L2914" s="15" t="n">
        <f aca="false">YEAR(B2914)</f>
        <v>2025</v>
      </c>
      <c r="M2914" s="20" t="n">
        <f aca="false">IF(J2914&gt;0,K2914/J2914,0)</f>
        <v>-0.0445179209099325</v>
      </c>
    </row>
    <row r="2915" customFormat="false" ht="15" hidden="false" customHeight="false" outlineLevel="0" collapsed="false">
      <c r="A2915" s="15" t="s">
        <v>2972</v>
      </c>
      <c r="B2915" s="16" t="n">
        <v>44724</v>
      </c>
      <c r="C2915" s="15" t="s">
        <v>56</v>
      </c>
      <c r="D2915" s="15" t="s">
        <v>42</v>
      </c>
      <c r="E2915" s="15" t="s">
        <v>39</v>
      </c>
      <c r="F2915" s="15" t="s">
        <v>17</v>
      </c>
      <c r="G2915" s="15" t="s">
        <v>31</v>
      </c>
      <c r="H2915" s="15" t="n">
        <v>8</v>
      </c>
      <c r="I2915" s="17" t="n">
        <v>0</v>
      </c>
      <c r="J2915" s="18" t="n">
        <v>1164.17</v>
      </c>
      <c r="K2915" s="19" t="n">
        <v>223.51</v>
      </c>
      <c r="L2915" s="15" t="n">
        <f aca="false">YEAR(B2915)</f>
        <v>2022</v>
      </c>
      <c r="M2915" s="20" t="n">
        <f aca="false">IF(J2915&gt;0,K2915/J2915,0)</f>
        <v>0.191990860441344</v>
      </c>
    </row>
    <row r="2916" customFormat="false" ht="15" hidden="false" customHeight="false" outlineLevel="0" collapsed="false">
      <c r="A2916" s="15" t="s">
        <v>2973</v>
      </c>
      <c r="B2916" s="16" t="n">
        <v>45676</v>
      </c>
      <c r="C2916" s="15" t="s">
        <v>71</v>
      </c>
      <c r="D2916" s="15" t="s">
        <v>42</v>
      </c>
      <c r="E2916" s="15" t="s">
        <v>36</v>
      </c>
      <c r="F2916" s="15" t="s">
        <v>17</v>
      </c>
      <c r="G2916" s="15" t="s">
        <v>28</v>
      </c>
      <c r="H2916" s="15" t="n">
        <v>1</v>
      </c>
      <c r="I2916" s="17" t="n">
        <v>0</v>
      </c>
      <c r="J2916" s="18" t="n">
        <v>26.75</v>
      </c>
      <c r="K2916" s="19" t="n">
        <v>6.83</v>
      </c>
      <c r="L2916" s="15" t="n">
        <f aca="false">YEAR(B2916)</f>
        <v>2025</v>
      </c>
      <c r="M2916" s="20" t="n">
        <f aca="false">IF(J2916&gt;0,K2916/J2916,0)</f>
        <v>0.255327102803738</v>
      </c>
    </row>
    <row r="2917" customFormat="false" ht="15" hidden="false" customHeight="false" outlineLevel="0" collapsed="false">
      <c r="A2917" s="15" t="s">
        <v>2974</v>
      </c>
      <c r="B2917" s="16" t="n">
        <v>45510</v>
      </c>
      <c r="C2917" s="15" t="s">
        <v>56</v>
      </c>
      <c r="D2917" s="15" t="s">
        <v>42</v>
      </c>
      <c r="E2917" s="15" t="s">
        <v>38</v>
      </c>
      <c r="F2917" s="15" t="s">
        <v>18</v>
      </c>
      <c r="G2917" s="15" t="s">
        <v>24</v>
      </c>
      <c r="H2917" s="15" t="n">
        <v>1</v>
      </c>
      <c r="I2917" s="17" t="n">
        <v>0.3</v>
      </c>
      <c r="J2917" s="18" t="n">
        <v>407.63</v>
      </c>
      <c r="K2917" s="19" t="n">
        <v>-90.53</v>
      </c>
      <c r="L2917" s="15" t="n">
        <f aca="false">YEAR(B2917)</f>
        <v>2024</v>
      </c>
      <c r="M2917" s="20" t="n">
        <f aca="false">IF(J2917&gt;0,K2917/J2917,0)</f>
        <v>-0.222088658832765</v>
      </c>
    </row>
    <row r="2918" customFormat="false" ht="15" hidden="false" customHeight="false" outlineLevel="0" collapsed="false">
      <c r="A2918" s="15" t="s">
        <v>2975</v>
      </c>
      <c r="B2918" s="16" t="n">
        <v>45153</v>
      </c>
      <c r="C2918" s="15" t="s">
        <v>56</v>
      </c>
      <c r="D2918" s="15" t="s">
        <v>42</v>
      </c>
      <c r="E2918" s="15" t="s">
        <v>36</v>
      </c>
      <c r="F2918" s="15" t="s">
        <v>17</v>
      </c>
      <c r="G2918" s="15" t="s">
        <v>31</v>
      </c>
      <c r="H2918" s="15" t="n">
        <v>7</v>
      </c>
      <c r="I2918" s="17" t="n">
        <v>0.15</v>
      </c>
      <c r="J2918" s="18" t="n">
        <v>811.05</v>
      </c>
      <c r="K2918" s="19" t="n">
        <v>10.95</v>
      </c>
      <c r="L2918" s="15" t="n">
        <f aca="false">YEAR(B2918)</f>
        <v>2023</v>
      </c>
      <c r="M2918" s="20" t="n">
        <f aca="false">IF(J2918&gt;0,K2918/J2918,0)</f>
        <v>0.013501017199926</v>
      </c>
    </row>
    <row r="2919" customFormat="false" ht="15" hidden="false" customHeight="false" outlineLevel="0" collapsed="false">
      <c r="A2919" s="15" t="s">
        <v>2976</v>
      </c>
      <c r="B2919" s="16" t="n">
        <v>45858</v>
      </c>
      <c r="C2919" s="15" t="s">
        <v>56</v>
      </c>
      <c r="D2919" s="15" t="s">
        <v>42</v>
      </c>
      <c r="E2919" s="15" t="s">
        <v>36</v>
      </c>
      <c r="F2919" s="15" t="s">
        <v>18</v>
      </c>
      <c r="G2919" s="15" t="s">
        <v>30</v>
      </c>
      <c r="H2919" s="15" t="n">
        <v>5</v>
      </c>
      <c r="I2919" s="17" t="n">
        <v>0.1</v>
      </c>
      <c r="J2919" s="18" t="n">
        <v>197.49</v>
      </c>
      <c r="K2919" s="19" t="n">
        <v>36.54</v>
      </c>
      <c r="L2919" s="15" t="n">
        <f aca="false">YEAR(B2919)</f>
        <v>2025</v>
      </c>
      <c r="M2919" s="20" t="n">
        <f aca="false">IF(J2919&gt;0,K2919/J2919,0)</f>
        <v>0.185022026431718</v>
      </c>
    </row>
    <row r="2920" customFormat="false" ht="15" hidden="false" customHeight="false" outlineLevel="0" collapsed="false">
      <c r="A2920" s="15" t="s">
        <v>2977</v>
      </c>
      <c r="B2920" s="16" t="n">
        <v>45506</v>
      </c>
      <c r="C2920" s="15" t="s">
        <v>56</v>
      </c>
      <c r="D2920" s="15" t="s">
        <v>43</v>
      </c>
      <c r="E2920" s="15" t="s">
        <v>39</v>
      </c>
      <c r="F2920" s="15" t="s">
        <v>16</v>
      </c>
      <c r="G2920" s="15" t="s">
        <v>22</v>
      </c>
      <c r="H2920" s="15" t="n">
        <v>5</v>
      </c>
      <c r="I2920" s="17" t="n">
        <v>0</v>
      </c>
      <c r="J2920" s="18" t="n">
        <v>3110.45</v>
      </c>
      <c r="K2920" s="19" t="n">
        <v>-84.19</v>
      </c>
      <c r="L2920" s="15" t="n">
        <f aca="false">YEAR(B2920)</f>
        <v>2024</v>
      </c>
      <c r="M2920" s="20" t="n">
        <f aca="false">IF(J2920&gt;0,K2920/J2920,0)</f>
        <v>-0.0270668231284862</v>
      </c>
    </row>
    <row r="2921" customFormat="false" ht="15" hidden="false" customHeight="false" outlineLevel="0" collapsed="false">
      <c r="A2921" s="15" t="s">
        <v>2978</v>
      </c>
      <c r="B2921" s="16" t="n">
        <v>45873</v>
      </c>
      <c r="C2921" s="15" t="s">
        <v>56</v>
      </c>
      <c r="D2921" s="15" t="s">
        <v>42</v>
      </c>
      <c r="E2921" s="15" t="s">
        <v>36</v>
      </c>
      <c r="F2921" s="15" t="s">
        <v>17</v>
      </c>
      <c r="G2921" s="15" t="s">
        <v>31</v>
      </c>
      <c r="H2921" s="15" t="n">
        <v>2</v>
      </c>
      <c r="I2921" s="17" t="n">
        <v>0</v>
      </c>
      <c r="J2921" s="18" t="n">
        <v>266.37</v>
      </c>
      <c r="K2921" s="19" t="n">
        <v>51.31</v>
      </c>
      <c r="L2921" s="15" t="n">
        <f aca="false">YEAR(B2921)</f>
        <v>2025</v>
      </c>
      <c r="M2921" s="20" t="n">
        <f aca="false">IF(J2921&gt;0,K2921/J2921,0)</f>
        <v>0.19262679731201</v>
      </c>
    </row>
    <row r="2922" customFormat="false" ht="15" hidden="false" customHeight="false" outlineLevel="0" collapsed="false">
      <c r="A2922" s="15" t="s">
        <v>2979</v>
      </c>
      <c r="B2922" s="16" t="n">
        <v>44875</v>
      </c>
      <c r="C2922" s="15" t="s">
        <v>56</v>
      </c>
      <c r="D2922" s="15" t="s">
        <v>42</v>
      </c>
      <c r="E2922" s="15" t="s">
        <v>39</v>
      </c>
      <c r="F2922" s="15" t="s">
        <v>16</v>
      </c>
      <c r="G2922" s="15" t="s">
        <v>25</v>
      </c>
      <c r="H2922" s="15" t="n">
        <v>2</v>
      </c>
      <c r="I2922" s="17" t="n">
        <v>0.2</v>
      </c>
      <c r="J2922" s="18" t="n">
        <v>570.98</v>
      </c>
      <c r="K2922" s="19" t="n">
        <v>-8.26</v>
      </c>
      <c r="L2922" s="15" t="n">
        <f aca="false">YEAR(B2922)</f>
        <v>2022</v>
      </c>
      <c r="M2922" s="20" t="n">
        <f aca="false">IF(J2922&gt;0,K2922/J2922,0)</f>
        <v>-0.0144663560895303</v>
      </c>
    </row>
    <row r="2923" customFormat="false" ht="15" hidden="false" customHeight="false" outlineLevel="0" collapsed="false">
      <c r="A2923" s="15" t="s">
        <v>2980</v>
      </c>
      <c r="B2923" s="16" t="n">
        <v>45711</v>
      </c>
      <c r="C2923" s="15" t="s">
        <v>56</v>
      </c>
      <c r="D2923" s="15" t="s">
        <v>43</v>
      </c>
      <c r="E2923" s="15" t="s">
        <v>39</v>
      </c>
      <c r="F2923" s="15" t="s">
        <v>17</v>
      </c>
      <c r="G2923" s="15" t="s">
        <v>29</v>
      </c>
      <c r="H2923" s="15" t="n">
        <v>4</v>
      </c>
      <c r="I2923" s="17" t="n">
        <v>0.1</v>
      </c>
      <c r="J2923" s="18" t="n">
        <v>78.33</v>
      </c>
      <c r="K2923" s="19" t="n">
        <v>21.62</v>
      </c>
      <c r="L2923" s="15" t="n">
        <f aca="false">YEAR(B2923)</f>
        <v>2025</v>
      </c>
      <c r="M2923" s="20" t="n">
        <f aca="false">IF(J2923&gt;0,K2923/J2923,0)</f>
        <v>0.276011745180646</v>
      </c>
    </row>
    <row r="2924" customFormat="false" ht="15" hidden="false" customHeight="false" outlineLevel="0" collapsed="false">
      <c r="A2924" s="15" t="s">
        <v>2981</v>
      </c>
      <c r="B2924" s="16" t="n">
        <v>45877</v>
      </c>
      <c r="C2924" s="15" t="s">
        <v>68</v>
      </c>
      <c r="D2924" s="15" t="s">
        <v>42</v>
      </c>
      <c r="E2924" s="15" t="s">
        <v>36</v>
      </c>
      <c r="F2924" s="15" t="s">
        <v>17</v>
      </c>
      <c r="G2924" s="15" t="s">
        <v>26</v>
      </c>
      <c r="H2924" s="15" t="n">
        <v>3</v>
      </c>
      <c r="I2924" s="17" t="n">
        <v>0.3</v>
      </c>
      <c r="J2924" s="18" t="n">
        <v>144.68</v>
      </c>
      <c r="K2924" s="19" t="n">
        <v>-17.17</v>
      </c>
      <c r="L2924" s="15" t="n">
        <f aca="false">YEAR(B2924)</f>
        <v>2025</v>
      </c>
      <c r="M2924" s="20" t="n">
        <f aca="false">IF(J2924&gt;0,K2924/J2924,0)</f>
        <v>-0.118675698092342</v>
      </c>
    </row>
    <row r="2925" customFormat="false" ht="15" hidden="false" customHeight="false" outlineLevel="0" collapsed="false">
      <c r="A2925" s="15" t="s">
        <v>2982</v>
      </c>
      <c r="B2925" s="16" t="n">
        <v>44833</v>
      </c>
      <c r="C2925" s="15" t="s">
        <v>56</v>
      </c>
      <c r="D2925" s="15" t="s">
        <v>43</v>
      </c>
      <c r="E2925" s="15" t="s">
        <v>37</v>
      </c>
      <c r="F2925" s="15" t="s">
        <v>16</v>
      </c>
      <c r="G2925" s="15" t="s">
        <v>22</v>
      </c>
      <c r="H2925" s="15" t="n">
        <v>7</v>
      </c>
      <c r="I2925" s="17" t="n">
        <v>0.15</v>
      </c>
      <c r="J2925" s="18" t="n">
        <v>3825.05</v>
      </c>
      <c r="K2925" s="19" t="n">
        <v>-433.61</v>
      </c>
      <c r="L2925" s="15" t="n">
        <f aca="false">YEAR(B2925)</f>
        <v>2022</v>
      </c>
      <c r="M2925" s="20" t="n">
        <f aca="false">IF(J2925&gt;0,K2925/J2925,0)</f>
        <v>-0.113360609665233</v>
      </c>
    </row>
    <row r="2926" customFormat="false" ht="15" hidden="false" customHeight="false" outlineLevel="0" collapsed="false">
      <c r="A2926" s="15" t="s">
        <v>2983</v>
      </c>
      <c r="B2926" s="16" t="n">
        <v>45703</v>
      </c>
      <c r="C2926" s="15" t="s">
        <v>56</v>
      </c>
      <c r="D2926" s="15" t="s">
        <v>42</v>
      </c>
      <c r="E2926" s="15" t="s">
        <v>37</v>
      </c>
      <c r="F2926" s="15" t="s">
        <v>17</v>
      </c>
      <c r="G2926" s="15" t="s">
        <v>26</v>
      </c>
      <c r="H2926" s="15" t="n">
        <v>3</v>
      </c>
      <c r="I2926" s="17" t="n">
        <v>0.15</v>
      </c>
      <c r="J2926" s="18" t="n">
        <v>243.4</v>
      </c>
      <c r="K2926" s="19" t="n">
        <v>-2.44</v>
      </c>
      <c r="L2926" s="15" t="n">
        <f aca="false">YEAR(B2926)</f>
        <v>2025</v>
      </c>
      <c r="M2926" s="20" t="n">
        <f aca="false">IF(J2926&gt;0,K2926/J2926,0)</f>
        <v>-0.0100246507806081</v>
      </c>
    </row>
    <row r="2927" customFormat="false" ht="15" hidden="false" customHeight="false" outlineLevel="0" collapsed="false">
      <c r="A2927" s="15" t="s">
        <v>2984</v>
      </c>
      <c r="B2927" s="16" t="n">
        <v>45019</v>
      </c>
      <c r="C2927" s="15" t="s">
        <v>71</v>
      </c>
      <c r="D2927" s="15" t="s">
        <v>42</v>
      </c>
      <c r="E2927" s="15" t="s">
        <v>36</v>
      </c>
      <c r="F2927" s="15" t="s">
        <v>18</v>
      </c>
      <c r="G2927" s="15" t="s">
        <v>32</v>
      </c>
      <c r="H2927" s="15" t="n">
        <v>2</v>
      </c>
      <c r="I2927" s="17" t="n">
        <v>0</v>
      </c>
      <c r="J2927" s="18" t="n">
        <v>692.69</v>
      </c>
      <c r="K2927" s="19" t="n">
        <v>117.84</v>
      </c>
      <c r="L2927" s="15" t="n">
        <f aca="false">YEAR(B2927)</f>
        <v>2023</v>
      </c>
      <c r="M2927" s="20" t="n">
        <f aca="false">IF(J2927&gt;0,K2927/J2927,0)</f>
        <v>0.170119389625951</v>
      </c>
    </row>
    <row r="2928" customFormat="false" ht="15" hidden="false" customHeight="false" outlineLevel="0" collapsed="false">
      <c r="A2928" s="15" t="s">
        <v>2985</v>
      </c>
      <c r="B2928" s="16" t="n">
        <v>44669</v>
      </c>
      <c r="C2928" s="15" t="s">
        <v>68</v>
      </c>
      <c r="D2928" s="15" t="s">
        <v>42</v>
      </c>
      <c r="E2928" s="15" t="s">
        <v>39</v>
      </c>
      <c r="F2928" s="15" t="s">
        <v>18</v>
      </c>
      <c r="G2928" s="15" t="s">
        <v>32</v>
      </c>
      <c r="H2928" s="15" t="n">
        <v>4</v>
      </c>
      <c r="I2928" s="17" t="n">
        <v>0.05</v>
      </c>
      <c r="J2928" s="18" t="n">
        <v>1947.13</v>
      </c>
      <c r="K2928" s="19" t="n">
        <v>368.07</v>
      </c>
      <c r="L2928" s="15" t="n">
        <f aca="false">YEAR(B2928)</f>
        <v>2022</v>
      </c>
      <c r="M2928" s="20" t="n">
        <f aca="false">IF(J2928&gt;0,K2928/J2928,0)</f>
        <v>0.189032062574148</v>
      </c>
    </row>
    <row r="2929" customFormat="false" ht="15" hidden="false" customHeight="false" outlineLevel="0" collapsed="false">
      <c r="A2929" s="15" t="s">
        <v>2986</v>
      </c>
      <c r="B2929" s="16" t="n">
        <v>44687</v>
      </c>
      <c r="C2929" s="15" t="s">
        <v>58</v>
      </c>
      <c r="D2929" s="15" t="s">
        <v>44</v>
      </c>
      <c r="E2929" s="15" t="s">
        <v>36</v>
      </c>
      <c r="F2929" s="15" t="s">
        <v>17</v>
      </c>
      <c r="G2929" s="15" t="s">
        <v>29</v>
      </c>
      <c r="H2929" s="15" t="n">
        <v>2</v>
      </c>
      <c r="I2929" s="17" t="n">
        <v>0</v>
      </c>
      <c r="J2929" s="18" t="n">
        <v>31.3</v>
      </c>
      <c r="K2929" s="19" t="n">
        <v>13.61</v>
      </c>
      <c r="L2929" s="15" t="n">
        <f aca="false">YEAR(B2929)</f>
        <v>2022</v>
      </c>
      <c r="M2929" s="20" t="n">
        <f aca="false">IF(J2929&gt;0,K2929/J2929,0)</f>
        <v>0.43482428115016</v>
      </c>
    </row>
    <row r="2930" customFormat="false" ht="15" hidden="false" customHeight="false" outlineLevel="0" collapsed="false">
      <c r="A2930" s="15" t="s">
        <v>2987</v>
      </c>
      <c r="B2930" s="16" t="n">
        <v>45695</v>
      </c>
      <c r="C2930" s="15" t="s">
        <v>71</v>
      </c>
      <c r="D2930" s="15" t="s">
        <v>44</v>
      </c>
      <c r="E2930" s="15" t="s">
        <v>39</v>
      </c>
      <c r="F2930" s="15" t="s">
        <v>16</v>
      </c>
      <c r="G2930" s="15" t="s">
        <v>22</v>
      </c>
      <c r="H2930" s="15" t="n">
        <v>4</v>
      </c>
      <c r="I2930" s="17" t="n">
        <v>0</v>
      </c>
      <c r="J2930" s="18" t="n">
        <v>1958.42</v>
      </c>
      <c r="K2930" s="19" t="n">
        <v>26.55</v>
      </c>
      <c r="L2930" s="15" t="n">
        <f aca="false">YEAR(B2930)</f>
        <v>2025</v>
      </c>
      <c r="M2930" s="20" t="n">
        <f aca="false">IF(J2930&gt;0,K2930/J2930,0)</f>
        <v>0.0135568468459268</v>
      </c>
    </row>
    <row r="2931" customFormat="false" ht="15" hidden="false" customHeight="false" outlineLevel="0" collapsed="false">
      <c r="A2931" s="15" t="s">
        <v>2988</v>
      </c>
      <c r="B2931" s="16" t="n">
        <v>45085</v>
      </c>
      <c r="C2931" s="15" t="s">
        <v>71</v>
      </c>
      <c r="D2931" s="15" t="s">
        <v>43</v>
      </c>
      <c r="E2931" s="15" t="s">
        <v>36</v>
      </c>
      <c r="F2931" s="15" t="s">
        <v>17</v>
      </c>
      <c r="G2931" s="15" t="s">
        <v>29</v>
      </c>
      <c r="H2931" s="15" t="n">
        <v>3</v>
      </c>
      <c r="I2931" s="17" t="n">
        <v>0.2</v>
      </c>
      <c r="J2931" s="18" t="n">
        <v>46.56</v>
      </c>
      <c r="K2931" s="19" t="n">
        <v>7.73</v>
      </c>
      <c r="L2931" s="15" t="n">
        <f aca="false">YEAR(B2931)</f>
        <v>2023</v>
      </c>
      <c r="M2931" s="20" t="n">
        <f aca="false">IF(J2931&gt;0,K2931/J2931,0)</f>
        <v>0.166022336769759</v>
      </c>
    </row>
    <row r="2932" customFormat="false" ht="15" hidden="false" customHeight="false" outlineLevel="0" collapsed="false">
      <c r="A2932" s="15" t="s">
        <v>2989</v>
      </c>
      <c r="B2932" s="16" t="n">
        <v>44892</v>
      </c>
      <c r="C2932" s="15" t="s">
        <v>68</v>
      </c>
      <c r="D2932" s="15" t="s">
        <v>42</v>
      </c>
      <c r="E2932" s="15" t="s">
        <v>39</v>
      </c>
      <c r="F2932" s="15" t="s">
        <v>17</v>
      </c>
      <c r="G2932" s="15" t="s">
        <v>28</v>
      </c>
      <c r="H2932" s="15" t="n">
        <v>2</v>
      </c>
      <c r="I2932" s="17" t="n">
        <v>0.4</v>
      </c>
      <c r="J2932" s="18" t="n">
        <v>27.54</v>
      </c>
      <c r="K2932" s="19" t="n">
        <v>-0.94</v>
      </c>
      <c r="L2932" s="15" t="n">
        <f aca="false">YEAR(B2932)</f>
        <v>2022</v>
      </c>
      <c r="M2932" s="20" t="n">
        <f aca="false">IF(J2932&gt;0,K2932/J2932,0)</f>
        <v>-0.0341321713870734</v>
      </c>
    </row>
    <row r="2933" customFormat="false" ht="15" hidden="false" customHeight="false" outlineLevel="0" collapsed="false">
      <c r="A2933" s="15" t="s">
        <v>2990</v>
      </c>
      <c r="B2933" s="16" t="n">
        <v>44687</v>
      </c>
      <c r="C2933" s="15" t="s">
        <v>56</v>
      </c>
      <c r="D2933" s="15" t="s">
        <v>43</v>
      </c>
      <c r="E2933" s="15" t="s">
        <v>36</v>
      </c>
      <c r="F2933" s="15" t="s">
        <v>17</v>
      </c>
      <c r="G2933" s="15" t="s">
        <v>28</v>
      </c>
      <c r="H2933" s="15" t="n">
        <v>1</v>
      </c>
      <c r="I2933" s="17" t="n">
        <v>0.15</v>
      </c>
      <c r="J2933" s="18" t="n">
        <v>19.14</v>
      </c>
      <c r="K2933" s="19" t="n">
        <v>3.08</v>
      </c>
      <c r="L2933" s="15" t="n">
        <f aca="false">YEAR(B2933)</f>
        <v>2022</v>
      </c>
      <c r="M2933" s="20" t="n">
        <f aca="false">IF(J2933&gt;0,K2933/J2933,0)</f>
        <v>0.160919540229885</v>
      </c>
    </row>
    <row r="2934" customFormat="false" ht="15" hidden="false" customHeight="false" outlineLevel="0" collapsed="false">
      <c r="A2934" s="15" t="s">
        <v>2991</v>
      </c>
      <c r="B2934" s="16" t="n">
        <v>45919</v>
      </c>
      <c r="C2934" s="15" t="s">
        <v>56</v>
      </c>
      <c r="D2934" s="15" t="s">
        <v>42</v>
      </c>
      <c r="E2934" s="15" t="s">
        <v>37</v>
      </c>
      <c r="F2934" s="15" t="s">
        <v>16</v>
      </c>
      <c r="G2934" s="15" t="s">
        <v>25</v>
      </c>
      <c r="H2934" s="15" t="n">
        <v>7</v>
      </c>
      <c r="I2934" s="17" t="n">
        <v>0</v>
      </c>
      <c r="J2934" s="18" t="n">
        <v>1934.12</v>
      </c>
      <c r="K2934" s="19" t="n">
        <v>235.6</v>
      </c>
      <c r="L2934" s="15" t="n">
        <f aca="false">YEAR(B2934)</f>
        <v>2025</v>
      </c>
      <c r="M2934" s="20" t="n">
        <f aca="false">IF(J2934&gt;0,K2934/J2934,0)</f>
        <v>0.121812503877733</v>
      </c>
    </row>
    <row r="2935" customFormat="false" ht="15" hidden="false" customHeight="false" outlineLevel="0" collapsed="false">
      <c r="A2935" s="15" t="s">
        <v>2992</v>
      </c>
      <c r="B2935" s="16" t="n">
        <v>45047</v>
      </c>
      <c r="C2935" s="15" t="s">
        <v>68</v>
      </c>
      <c r="D2935" s="15" t="s">
        <v>44</v>
      </c>
      <c r="E2935" s="15" t="s">
        <v>38</v>
      </c>
      <c r="F2935" s="15" t="s">
        <v>16</v>
      </c>
      <c r="G2935" s="15" t="s">
        <v>27</v>
      </c>
      <c r="H2935" s="15" t="n">
        <v>2</v>
      </c>
      <c r="I2935" s="17" t="n">
        <v>0</v>
      </c>
      <c r="J2935" s="18" t="n">
        <v>105.42</v>
      </c>
      <c r="K2935" s="19" t="n">
        <v>29.23</v>
      </c>
      <c r="L2935" s="15" t="n">
        <f aca="false">YEAR(B2935)</f>
        <v>2023</v>
      </c>
      <c r="M2935" s="20" t="n">
        <f aca="false">IF(J2935&gt;0,K2935/J2935,0)</f>
        <v>0.277271864921267</v>
      </c>
    </row>
    <row r="2936" customFormat="false" ht="15" hidden="false" customHeight="false" outlineLevel="0" collapsed="false">
      <c r="A2936" s="15" t="s">
        <v>2993</v>
      </c>
      <c r="B2936" s="16" t="n">
        <v>45738</v>
      </c>
      <c r="C2936" s="15" t="s">
        <v>56</v>
      </c>
      <c r="D2936" s="15" t="s">
        <v>44</v>
      </c>
      <c r="E2936" s="15" t="s">
        <v>36</v>
      </c>
      <c r="F2936" s="15" t="s">
        <v>17</v>
      </c>
      <c r="G2936" s="15" t="s">
        <v>28</v>
      </c>
      <c r="H2936" s="15" t="n">
        <v>3</v>
      </c>
      <c r="I2936" s="17" t="n">
        <v>0</v>
      </c>
      <c r="J2936" s="18" t="n">
        <v>72.02</v>
      </c>
      <c r="K2936" s="19" t="n">
        <v>23.79</v>
      </c>
      <c r="L2936" s="15" t="n">
        <f aca="false">YEAR(B2936)</f>
        <v>2025</v>
      </c>
      <c r="M2936" s="20" t="n">
        <f aca="false">IF(J2936&gt;0,K2936/J2936,0)</f>
        <v>0.330324909747292</v>
      </c>
    </row>
    <row r="2937" customFormat="false" ht="15" hidden="false" customHeight="false" outlineLevel="0" collapsed="false">
      <c r="A2937" s="15" t="s">
        <v>2994</v>
      </c>
      <c r="B2937" s="16" t="n">
        <v>45178</v>
      </c>
      <c r="C2937" s="15" t="s">
        <v>71</v>
      </c>
      <c r="D2937" s="15" t="s">
        <v>42</v>
      </c>
      <c r="E2937" s="15" t="s">
        <v>38</v>
      </c>
      <c r="F2937" s="15" t="s">
        <v>17</v>
      </c>
      <c r="G2937" s="15" t="s">
        <v>26</v>
      </c>
      <c r="H2937" s="15" t="n">
        <v>1</v>
      </c>
      <c r="I2937" s="17" t="n">
        <v>0</v>
      </c>
      <c r="J2937" s="18" t="n">
        <v>65.35</v>
      </c>
      <c r="K2937" s="19" t="n">
        <v>8.21</v>
      </c>
      <c r="L2937" s="15" t="n">
        <f aca="false">YEAR(B2937)</f>
        <v>2023</v>
      </c>
      <c r="M2937" s="20" t="n">
        <f aca="false">IF(J2937&gt;0,K2937/J2937,0)</f>
        <v>0.125631216526396</v>
      </c>
    </row>
    <row r="2938" customFormat="false" ht="15" hidden="false" customHeight="false" outlineLevel="0" collapsed="false">
      <c r="A2938" s="15" t="s">
        <v>2995</v>
      </c>
      <c r="B2938" s="16" t="n">
        <v>44713</v>
      </c>
      <c r="C2938" s="15" t="s">
        <v>71</v>
      </c>
      <c r="D2938" s="15" t="s">
        <v>43</v>
      </c>
      <c r="E2938" s="15" t="s">
        <v>36</v>
      </c>
      <c r="F2938" s="15" t="s">
        <v>17</v>
      </c>
      <c r="G2938" s="15" t="s">
        <v>29</v>
      </c>
      <c r="H2938" s="15" t="n">
        <v>5</v>
      </c>
      <c r="I2938" s="17" t="n">
        <v>0.1</v>
      </c>
      <c r="J2938" s="18" t="n">
        <v>89.35</v>
      </c>
      <c r="K2938" s="19" t="n">
        <v>24.46</v>
      </c>
      <c r="L2938" s="15" t="n">
        <f aca="false">YEAR(B2938)</f>
        <v>2022</v>
      </c>
      <c r="M2938" s="20" t="n">
        <f aca="false">IF(J2938&gt;0,K2938/J2938,0)</f>
        <v>0.273754896474538</v>
      </c>
    </row>
    <row r="2939" customFormat="false" ht="15" hidden="false" customHeight="false" outlineLevel="0" collapsed="false">
      <c r="A2939" s="15" t="s">
        <v>2996</v>
      </c>
      <c r="B2939" s="16" t="n">
        <v>44995</v>
      </c>
      <c r="C2939" s="15" t="s">
        <v>58</v>
      </c>
      <c r="D2939" s="15" t="s">
        <v>42</v>
      </c>
      <c r="E2939" s="15" t="s">
        <v>39</v>
      </c>
      <c r="F2939" s="15" t="s">
        <v>16</v>
      </c>
      <c r="G2939" s="15" t="s">
        <v>23</v>
      </c>
      <c r="H2939" s="15" t="n">
        <v>5</v>
      </c>
      <c r="I2939" s="17" t="n">
        <v>0</v>
      </c>
      <c r="J2939" s="18" t="n">
        <v>1619.57</v>
      </c>
      <c r="K2939" s="19" t="n">
        <v>-46.74</v>
      </c>
      <c r="L2939" s="15" t="n">
        <f aca="false">YEAR(B2939)</f>
        <v>2023</v>
      </c>
      <c r="M2939" s="20" t="n">
        <f aca="false">IF(J2939&gt;0,K2939/J2939,0)</f>
        <v>-0.028859512092716</v>
      </c>
    </row>
    <row r="2940" customFormat="false" ht="15" hidden="false" customHeight="false" outlineLevel="0" collapsed="false">
      <c r="A2940" s="15" t="s">
        <v>2997</v>
      </c>
      <c r="B2940" s="16" t="n">
        <v>45558</v>
      </c>
      <c r="C2940" s="15" t="s">
        <v>56</v>
      </c>
      <c r="D2940" s="15" t="s">
        <v>42</v>
      </c>
      <c r="E2940" s="15" t="s">
        <v>39</v>
      </c>
      <c r="F2940" s="15" t="s">
        <v>17</v>
      </c>
      <c r="G2940" s="15" t="s">
        <v>26</v>
      </c>
      <c r="H2940" s="15" t="n">
        <v>2</v>
      </c>
      <c r="I2940" s="17" t="n">
        <v>0</v>
      </c>
      <c r="J2940" s="18" t="n">
        <v>170.69</v>
      </c>
      <c r="K2940" s="19" t="n">
        <v>21.19</v>
      </c>
      <c r="L2940" s="15" t="n">
        <f aca="false">YEAR(B2940)</f>
        <v>2024</v>
      </c>
      <c r="M2940" s="20" t="n">
        <f aca="false">IF(J2940&gt;0,K2940/J2940,0)</f>
        <v>0.124143183549124</v>
      </c>
    </row>
    <row r="2941" customFormat="false" ht="15" hidden="false" customHeight="false" outlineLevel="0" collapsed="false">
      <c r="A2941" s="15" t="s">
        <v>2998</v>
      </c>
      <c r="B2941" s="16" t="n">
        <v>45405</v>
      </c>
      <c r="C2941" s="15" t="s">
        <v>56</v>
      </c>
      <c r="D2941" s="15" t="s">
        <v>44</v>
      </c>
      <c r="E2941" s="15" t="s">
        <v>37</v>
      </c>
      <c r="F2941" s="15" t="s">
        <v>18</v>
      </c>
      <c r="G2941" s="15" t="s">
        <v>32</v>
      </c>
      <c r="H2941" s="15" t="n">
        <v>3</v>
      </c>
      <c r="I2941" s="17" t="n">
        <v>0.2</v>
      </c>
      <c r="J2941" s="18" t="n">
        <v>1047.91</v>
      </c>
      <c r="K2941" s="19" t="n">
        <v>-22.78</v>
      </c>
      <c r="L2941" s="15" t="n">
        <f aca="false">YEAR(B2941)</f>
        <v>2024</v>
      </c>
      <c r="M2941" s="20" t="n">
        <f aca="false">IF(J2941&gt;0,K2941/J2941,0)</f>
        <v>-0.0217385080779838</v>
      </c>
    </row>
    <row r="2942" customFormat="false" ht="15" hidden="false" customHeight="false" outlineLevel="0" collapsed="false">
      <c r="A2942" s="15" t="s">
        <v>2999</v>
      </c>
      <c r="B2942" s="16" t="n">
        <v>45275</v>
      </c>
      <c r="C2942" s="15" t="s">
        <v>58</v>
      </c>
      <c r="D2942" s="15" t="s">
        <v>42</v>
      </c>
      <c r="E2942" s="15" t="s">
        <v>39</v>
      </c>
      <c r="F2942" s="15" t="s">
        <v>16</v>
      </c>
      <c r="G2942" s="15" t="s">
        <v>27</v>
      </c>
      <c r="H2942" s="15" t="n">
        <v>1</v>
      </c>
      <c r="I2942" s="17" t="n">
        <v>0</v>
      </c>
      <c r="J2942" s="18" t="n">
        <v>80.46</v>
      </c>
      <c r="K2942" s="19" t="n">
        <v>23.09</v>
      </c>
      <c r="L2942" s="15" t="n">
        <f aca="false">YEAR(B2942)</f>
        <v>2023</v>
      </c>
      <c r="M2942" s="20" t="n">
        <f aca="false">IF(J2942&gt;0,K2942/J2942,0)</f>
        <v>0.286974894357445</v>
      </c>
    </row>
    <row r="2943" customFormat="false" ht="15" hidden="false" customHeight="false" outlineLevel="0" collapsed="false">
      <c r="A2943" s="15" t="s">
        <v>3000</v>
      </c>
      <c r="B2943" s="16" t="n">
        <v>45151</v>
      </c>
      <c r="C2943" s="15" t="s">
        <v>56</v>
      </c>
      <c r="D2943" s="15" t="s">
        <v>42</v>
      </c>
      <c r="E2943" s="15" t="s">
        <v>38</v>
      </c>
      <c r="F2943" s="15" t="s">
        <v>16</v>
      </c>
      <c r="G2943" s="15" t="s">
        <v>27</v>
      </c>
      <c r="H2943" s="15" t="n">
        <v>3</v>
      </c>
      <c r="I2943" s="17" t="n">
        <v>0.15</v>
      </c>
      <c r="J2943" s="18" t="n">
        <v>134.66</v>
      </c>
      <c r="K2943" s="19" t="n">
        <v>8.28</v>
      </c>
      <c r="L2943" s="15" t="n">
        <f aca="false">YEAR(B2943)</f>
        <v>2023</v>
      </c>
      <c r="M2943" s="20" t="n">
        <f aca="false">IF(J2943&gt;0,K2943/J2943,0)</f>
        <v>0.0614881924847765</v>
      </c>
    </row>
    <row r="2944" customFormat="false" ht="15" hidden="false" customHeight="false" outlineLevel="0" collapsed="false">
      <c r="A2944" s="15" t="s">
        <v>3001</v>
      </c>
      <c r="B2944" s="16" t="n">
        <v>45360</v>
      </c>
      <c r="C2944" s="15" t="s">
        <v>56</v>
      </c>
      <c r="D2944" s="15" t="s">
        <v>44</v>
      </c>
      <c r="E2944" s="15" t="s">
        <v>39</v>
      </c>
      <c r="F2944" s="15" t="s">
        <v>17</v>
      </c>
      <c r="G2944" s="15" t="s">
        <v>31</v>
      </c>
      <c r="H2944" s="15" t="n">
        <v>3</v>
      </c>
      <c r="I2944" s="17" t="n">
        <v>0.3</v>
      </c>
      <c r="J2944" s="18" t="n">
        <v>357.99</v>
      </c>
      <c r="K2944" s="19" t="n">
        <v>-44.98</v>
      </c>
      <c r="L2944" s="15" t="n">
        <f aca="false">YEAR(B2944)</f>
        <v>2024</v>
      </c>
      <c r="M2944" s="20" t="n">
        <f aca="false">IF(J2944&gt;0,K2944/J2944,0)</f>
        <v>-0.125645967764463</v>
      </c>
    </row>
    <row r="2945" customFormat="false" ht="15" hidden="false" customHeight="false" outlineLevel="0" collapsed="false">
      <c r="A2945" s="15" t="s">
        <v>3002</v>
      </c>
      <c r="B2945" s="16" t="n">
        <v>44653</v>
      </c>
      <c r="C2945" s="15" t="s">
        <v>68</v>
      </c>
      <c r="D2945" s="15" t="s">
        <v>42</v>
      </c>
      <c r="E2945" s="15" t="s">
        <v>36</v>
      </c>
      <c r="F2945" s="15" t="s">
        <v>17</v>
      </c>
      <c r="G2945" s="15" t="s">
        <v>26</v>
      </c>
      <c r="H2945" s="15" t="n">
        <v>3</v>
      </c>
      <c r="I2945" s="17" t="n">
        <v>0.1</v>
      </c>
      <c r="J2945" s="18" t="n">
        <v>196.29</v>
      </c>
      <c r="K2945" s="19" t="n">
        <v>16.36</v>
      </c>
      <c r="L2945" s="15" t="n">
        <f aca="false">YEAR(B2945)</f>
        <v>2022</v>
      </c>
      <c r="M2945" s="20" t="n">
        <f aca="false">IF(J2945&gt;0,K2945/J2945,0)</f>
        <v>0.0833460695909114</v>
      </c>
    </row>
    <row r="2946" customFormat="false" ht="15" hidden="false" customHeight="false" outlineLevel="0" collapsed="false">
      <c r="A2946" s="15" t="s">
        <v>3003</v>
      </c>
      <c r="B2946" s="16" t="n">
        <v>44756</v>
      </c>
      <c r="C2946" s="15" t="s">
        <v>68</v>
      </c>
      <c r="D2946" s="15" t="s">
        <v>42</v>
      </c>
      <c r="E2946" s="15" t="s">
        <v>37</v>
      </c>
      <c r="F2946" s="15" t="s">
        <v>16</v>
      </c>
      <c r="G2946" s="15" t="s">
        <v>25</v>
      </c>
      <c r="H2946" s="15" t="n">
        <v>4</v>
      </c>
      <c r="I2946" s="17" t="n">
        <v>0.1</v>
      </c>
      <c r="J2946" s="18" t="n">
        <v>1344.08</v>
      </c>
      <c r="K2946" s="19" t="n">
        <v>-38.13</v>
      </c>
      <c r="L2946" s="15" t="n">
        <f aca="false">YEAR(B2946)</f>
        <v>2022</v>
      </c>
      <c r="M2946" s="20" t="n">
        <f aca="false">IF(J2946&gt;0,K2946/J2946,0)</f>
        <v>-0.028368847092435</v>
      </c>
    </row>
    <row r="2947" customFormat="false" ht="15" hidden="false" customHeight="false" outlineLevel="0" collapsed="false">
      <c r="A2947" s="15" t="s">
        <v>3004</v>
      </c>
      <c r="B2947" s="16" t="n">
        <v>45586</v>
      </c>
      <c r="C2947" s="15" t="s">
        <v>56</v>
      </c>
      <c r="D2947" s="15" t="s">
        <v>44</v>
      </c>
      <c r="E2947" s="15" t="s">
        <v>38</v>
      </c>
      <c r="F2947" s="15" t="s">
        <v>17</v>
      </c>
      <c r="G2947" s="15" t="s">
        <v>28</v>
      </c>
      <c r="H2947" s="15" t="n">
        <v>5</v>
      </c>
      <c r="I2947" s="17" t="n">
        <v>0.1</v>
      </c>
      <c r="J2947" s="18" t="n">
        <v>85.29</v>
      </c>
      <c r="K2947" s="19" t="n">
        <v>11.76</v>
      </c>
      <c r="L2947" s="15" t="n">
        <f aca="false">YEAR(B2947)</f>
        <v>2024</v>
      </c>
      <c r="M2947" s="20" t="n">
        <f aca="false">IF(J2947&gt;0,K2947/J2947,0)</f>
        <v>0.137882518466409</v>
      </c>
    </row>
    <row r="2948" customFormat="false" ht="15" hidden="false" customHeight="false" outlineLevel="0" collapsed="false">
      <c r="A2948" s="15" t="s">
        <v>3005</v>
      </c>
      <c r="B2948" s="16" t="n">
        <v>45125</v>
      </c>
      <c r="C2948" s="15" t="s">
        <v>56</v>
      </c>
      <c r="D2948" s="15" t="s">
        <v>43</v>
      </c>
      <c r="E2948" s="15" t="s">
        <v>38</v>
      </c>
      <c r="F2948" s="15" t="s">
        <v>18</v>
      </c>
      <c r="G2948" s="15" t="s">
        <v>30</v>
      </c>
      <c r="H2948" s="15" t="n">
        <v>4</v>
      </c>
      <c r="I2948" s="17" t="n">
        <v>0.15</v>
      </c>
      <c r="J2948" s="18" t="n">
        <v>130.94</v>
      </c>
      <c r="K2948" s="19" t="n">
        <v>16.14</v>
      </c>
      <c r="L2948" s="15" t="n">
        <f aca="false">YEAR(B2948)</f>
        <v>2023</v>
      </c>
      <c r="M2948" s="20" t="n">
        <f aca="false">IF(J2948&gt;0,K2948/J2948,0)</f>
        <v>0.123262563005957</v>
      </c>
    </row>
    <row r="2949" customFormat="false" ht="15" hidden="false" customHeight="false" outlineLevel="0" collapsed="false">
      <c r="A2949" s="15" t="s">
        <v>3006</v>
      </c>
      <c r="B2949" s="16" t="n">
        <v>45825</v>
      </c>
      <c r="C2949" s="15" t="s">
        <v>68</v>
      </c>
      <c r="D2949" s="15" t="s">
        <v>42</v>
      </c>
      <c r="E2949" s="15" t="s">
        <v>37</v>
      </c>
      <c r="F2949" s="15" t="s">
        <v>18</v>
      </c>
      <c r="G2949" s="15" t="s">
        <v>32</v>
      </c>
      <c r="H2949" s="15" t="n">
        <v>4</v>
      </c>
      <c r="I2949" s="17" t="n">
        <v>0</v>
      </c>
      <c r="J2949" s="18" t="n">
        <v>1569.11</v>
      </c>
      <c r="K2949" s="19" t="n">
        <v>260.37</v>
      </c>
      <c r="L2949" s="15" t="n">
        <f aca="false">YEAR(B2949)</f>
        <v>2025</v>
      </c>
      <c r="M2949" s="20" t="n">
        <f aca="false">IF(J2949&gt;0,K2949/J2949,0)</f>
        <v>0.165934829298137</v>
      </c>
    </row>
    <row r="2950" customFormat="false" ht="15" hidden="false" customHeight="false" outlineLevel="0" collapsed="false">
      <c r="A2950" s="15" t="s">
        <v>3007</v>
      </c>
      <c r="B2950" s="16" t="n">
        <v>45288</v>
      </c>
      <c r="C2950" s="15" t="s">
        <v>71</v>
      </c>
      <c r="D2950" s="15" t="s">
        <v>42</v>
      </c>
      <c r="E2950" s="15" t="s">
        <v>39</v>
      </c>
      <c r="F2950" s="15" t="s">
        <v>18</v>
      </c>
      <c r="G2950" s="15" t="s">
        <v>30</v>
      </c>
      <c r="H2950" s="15" t="n">
        <v>5</v>
      </c>
      <c r="I2950" s="17" t="n">
        <v>0.1</v>
      </c>
      <c r="J2950" s="18" t="n">
        <v>245.47</v>
      </c>
      <c r="K2950" s="19" t="n">
        <v>46.4</v>
      </c>
      <c r="L2950" s="15" t="n">
        <f aca="false">YEAR(B2950)</f>
        <v>2023</v>
      </c>
      <c r="M2950" s="20" t="n">
        <f aca="false">IF(J2950&gt;0,K2950/J2950,0)</f>
        <v>0.189025135454434</v>
      </c>
    </row>
    <row r="2951" customFormat="false" ht="15" hidden="false" customHeight="false" outlineLevel="0" collapsed="false">
      <c r="A2951" s="15" t="s">
        <v>3008</v>
      </c>
      <c r="B2951" s="16" t="n">
        <v>45966</v>
      </c>
      <c r="C2951" s="15" t="s">
        <v>56</v>
      </c>
      <c r="D2951" s="15" t="s">
        <v>42</v>
      </c>
      <c r="E2951" s="15" t="s">
        <v>37</v>
      </c>
      <c r="F2951" s="15" t="s">
        <v>16</v>
      </c>
      <c r="G2951" s="15" t="s">
        <v>22</v>
      </c>
      <c r="H2951" s="15" t="n">
        <v>6</v>
      </c>
      <c r="I2951" s="17" t="n">
        <v>0.05</v>
      </c>
      <c r="J2951" s="18" t="n">
        <v>3210.11</v>
      </c>
      <c r="K2951" s="19" t="n">
        <v>-762.42</v>
      </c>
      <c r="L2951" s="15" t="n">
        <f aca="false">YEAR(B2951)</f>
        <v>2025</v>
      </c>
      <c r="M2951" s="20" t="n">
        <f aca="false">IF(J2951&gt;0,K2951/J2951,0)</f>
        <v>-0.237505879860815</v>
      </c>
    </row>
    <row r="2952" customFormat="false" ht="15" hidden="false" customHeight="false" outlineLevel="0" collapsed="false">
      <c r="A2952" s="15" t="s">
        <v>3009</v>
      </c>
      <c r="B2952" s="16" t="n">
        <v>45861</v>
      </c>
      <c r="C2952" s="15" t="s">
        <v>56</v>
      </c>
      <c r="D2952" s="15" t="s">
        <v>44</v>
      </c>
      <c r="E2952" s="15" t="s">
        <v>38</v>
      </c>
      <c r="F2952" s="15" t="s">
        <v>17</v>
      </c>
      <c r="G2952" s="15" t="s">
        <v>26</v>
      </c>
      <c r="H2952" s="15" t="n">
        <v>4</v>
      </c>
      <c r="I2952" s="17" t="n">
        <v>0</v>
      </c>
      <c r="J2952" s="18" t="n">
        <v>328.89</v>
      </c>
      <c r="K2952" s="19" t="n">
        <v>23.38</v>
      </c>
      <c r="L2952" s="15" t="n">
        <f aca="false">YEAR(B2952)</f>
        <v>2025</v>
      </c>
      <c r="M2952" s="20" t="n">
        <f aca="false">IF(J2952&gt;0,K2952/J2952,0)</f>
        <v>0.0710875976770349</v>
      </c>
    </row>
    <row r="2953" customFormat="false" ht="15" hidden="false" customHeight="false" outlineLevel="0" collapsed="false">
      <c r="A2953" s="15" t="s">
        <v>3010</v>
      </c>
      <c r="B2953" s="16" t="n">
        <v>45997</v>
      </c>
      <c r="C2953" s="15" t="s">
        <v>58</v>
      </c>
      <c r="D2953" s="15" t="s">
        <v>42</v>
      </c>
      <c r="E2953" s="15" t="s">
        <v>39</v>
      </c>
      <c r="F2953" s="15" t="s">
        <v>17</v>
      </c>
      <c r="G2953" s="15" t="s">
        <v>29</v>
      </c>
      <c r="H2953" s="15" t="n">
        <v>2</v>
      </c>
      <c r="I2953" s="17" t="n">
        <v>0</v>
      </c>
      <c r="J2953" s="18" t="n">
        <v>39.85</v>
      </c>
      <c r="K2953" s="19" t="n">
        <v>16.15</v>
      </c>
      <c r="L2953" s="15" t="n">
        <f aca="false">YEAR(B2953)</f>
        <v>2025</v>
      </c>
      <c r="M2953" s="20" t="n">
        <f aca="false">IF(J2953&gt;0,K2953/J2953,0)</f>
        <v>0.405269761606023</v>
      </c>
    </row>
    <row r="2954" customFormat="false" ht="15" hidden="false" customHeight="false" outlineLevel="0" collapsed="false">
      <c r="A2954" s="15" t="s">
        <v>3011</v>
      </c>
      <c r="B2954" s="16" t="n">
        <v>44647</v>
      </c>
      <c r="C2954" s="15" t="s">
        <v>68</v>
      </c>
      <c r="D2954" s="15" t="s">
        <v>44</v>
      </c>
      <c r="E2954" s="15" t="s">
        <v>37</v>
      </c>
      <c r="F2954" s="15" t="s">
        <v>16</v>
      </c>
      <c r="G2954" s="15" t="s">
        <v>25</v>
      </c>
      <c r="H2954" s="15" t="n">
        <v>3</v>
      </c>
      <c r="I2954" s="17" t="n">
        <v>0</v>
      </c>
      <c r="J2954" s="18" t="n">
        <v>1166.06</v>
      </c>
      <c r="K2954" s="19" t="n">
        <v>121.34</v>
      </c>
      <c r="L2954" s="15" t="n">
        <f aca="false">YEAR(B2954)</f>
        <v>2022</v>
      </c>
      <c r="M2954" s="20" t="n">
        <f aca="false">IF(J2954&gt;0,K2954/J2954,0)</f>
        <v>0.10405982539492</v>
      </c>
    </row>
    <row r="2955" customFormat="false" ht="15" hidden="false" customHeight="false" outlineLevel="0" collapsed="false">
      <c r="A2955" s="15" t="s">
        <v>3012</v>
      </c>
      <c r="B2955" s="16" t="n">
        <v>45421</v>
      </c>
      <c r="C2955" s="15" t="s">
        <v>56</v>
      </c>
      <c r="D2955" s="15" t="s">
        <v>43</v>
      </c>
      <c r="E2955" s="15" t="s">
        <v>37</v>
      </c>
      <c r="F2955" s="15" t="s">
        <v>17</v>
      </c>
      <c r="G2955" s="15" t="s">
        <v>29</v>
      </c>
      <c r="H2955" s="15" t="n">
        <v>8</v>
      </c>
      <c r="I2955" s="17" t="n">
        <v>0.2</v>
      </c>
      <c r="J2955" s="18" t="n">
        <v>143.63</v>
      </c>
      <c r="K2955" s="19" t="n">
        <v>24.82</v>
      </c>
      <c r="L2955" s="15" t="n">
        <f aca="false">YEAR(B2955)</f>
        <v>2024</v>
      </c>
      <c r="M2955" s="20" t="n">
        <f aca="false">IF(J2955&gt;0,K2955/J2955,0)</f>
        <v>0.172805124277658</v>
      </c>
    </row>
    <row r="2956" customFormat="false" ht="15" hidden="false" customHeight="false" outlineLevel="0" collapsed="false">
      <c r="A2956" s="15" t="s">
        <v>3013</v>
      </c>
      <c r="B2956" s="16" t="n">
        <v>44744</v>
      </c>
      <c r="C2956" s="15" t="s">
        <v>56</v>
      </c>
      <c r="D2956" s="15" t="s">
        <v>42</v>
      </c>
      <c r="E2956" s="15" t="s">
        <v>37</v>
      </c>
      <c r="F2956" s="15" t="s">
        <v>17</v>
      </c>
      <c r="G2956" s="15" t="s">
        <v>29</v>
      </c>
      <c r="H2956" s="15" t="n">
        <v>2</v>
      </c>
      <c r="I2956" s="17" t="n">
        <v>0.15</v>
      </c>
      <c r="J2956" s="18" t="n">
        <v>28.37</v>
      </c>
      <c r="K2956" s="19" t="n">
        <v>8.05</v>
      </c>
      <c r="L2956" s="15" t="n">
        <f aca="false">YEAR(B2956)</f>
        <v>2022</v>
      </c>
      <c r="M2956" s="20" t="n">
        <f aca="false">IF(J2956&gt;0,K2956/J2956,0)</f>
        <v>0.283750440606274</v>
      </c>
    </row>
    <row r="2957" customFormat="false" ht="15" hidden="false" customHeight="false" outlineLevel="0" collapsed="false">
      <c r="A2957" s="15" t="s">
        <v>3014</v>
      </c>
      <c r="B2957" s="16" t="n">
        <v>44754</v>
      </c>
      <c r="C2957" s="15" t="s">
        <v>56</v>
      </c>
      <c r="D2957" s="15" t="s">
        <v>44</v>
      </c>
      <c r="E2957" s="15" t="s">
        <v>37</v>
      </c>
      <c r="F2957" s="15" t="s">
        <v>18</v>
      </c>
      <c r="G2957" s="15" t="s">
        <v>24</v>
      </c>
      <c r="H2957" s="15" t="n">
        <v>2</v>
      </c>
      <c r="I2957" s="17" t="n">
        <v>0.05</v>
      </c>
      <c r="J2957" s="18" t="n">
        <v>1209.98</v>
      </c>
      <c r="K2957" s="19" t="n">
        <v>-64.84</v>
      </c>
      <c r="L2957" s="15" t="n">
        <f aca="false">YEAR(B2957)</f>
        <v>2022</v>
      </c>
      <c r="M2957" s="20" t="n">
        <f aca="false">IF(J2957&gt;0,K2957/J2957,0)</f>
        <v>-0.0535876626059935</v>
      </c>
    </row>
    <row r="2958" customFormat="false" ht="15" hidden="false" customHeight="false" outlineLevel="0" collapsed="false">
      <c r="A2958" s="15" t="s">
        <v>3015</v>
      </c>
      <c r="B2958" s="16" t="n">
        <v>45060</v>
      </c>
      <c r="C2958" s="15" t="s">
        <v>56</v>
      </c>
      <c r="D2958" s="15" t="s">
        <v>42</v>
      </c>
      <c r="E2958" s="15" t="s">
        <v>38</v>
      </c>
      <c r="F2958" s="15" t="s">
        <v>18</v>
      </c>
      <c r="G2958" s="15" t="s">
        <v>30</v>
      </c>
      <c r="H2958" s="15" t="n">
        <v>2</v>
      </c>
      <c r="I2958" s="17" t="n">
        <v>0</v>
      </c>
      <c r="J2958" s="18" t="n">
        <v>67.22</v>
      </c>
      <c r="K2958" s="19" t="n">
        <v>22.13</v>
      </c>
      <c r="L2958" s="15" t="n">
        <f aca="false">YEAR(B2958)</f>
        <v>2023</v>
      </c>
      <c r="M2958" s="20" t="n">
        <f aca="false">IF(J2958&gt;0,K2958/J2958,0)</f>
        <v>0.329217494793216</v>
      </c>
    </row>
    <row r="2959" customFormat="false" ht="15" hidden="false" customHeight="false" outlineLevel="0" collapsed="false">
      <c r="A2959" s="15" t="s">
        <v>3016</v>
      </c>
      <c r="B2959" s="16" t="n">
        <v>44970</v>
      </c>
      <c r="C2959" s="15" t="s">
        <v>71</v>
      </c>
      <c r="D2959" s="15" t="s">
        <v>42</v>
      </c>
      <c r="E2959" s="15" t="s">
        <v>38</v>
      </c>
      <c r="F2959" s="15" t="s">
        <v>16</v>
      </c>
      <c r="G2959" s="15" t="s">
        <v>25</v>
      </c>
      <c r="H2959" s="15" t="n">
        <v>8</v>
      </c>
      <c r="I2959" s="17" t="n">
        <v>0.15</v>
      </c>
      <c r="J2959" s="18" t="n">
        <v>2050.96</v>
      </c>
      <c r="K2959" s="19" t="n">
        <v>-54.28</v>
      </c>
      <c r="L2959" s="15" t="n">
        <f aca="false">YEAR(B2959)</f>
        <v>2023</v>
      </c>
      <c r="M2959" s="20" t="n">
        <f aca="false">IF(J2959&gt;0,K2959/J2959,0)</f>
        <v>-0.0264656551078519</v>
      </c>
    </row>
    <row r="2960" customFormat="false" ht="15" hidden="false" customHeight="false" outlineLevel="0" collapsed="false">
      <c r="A2960" s="15" t="s">
        <v>3017</v>
      </c>
      <c r="B2960" s="16" t="n">
        <v>45258</v>
      </c>
      <c r="C2960" s="15" t="s">
        <v>71</v>
      </c>
      <c r="D2960" s="15" t="s">
        <v>44</v>
      </c>
      <c r="E2960" s="15" t="s">
        <v>37</v>
      </c>
      <c r="F2960" s="15" t="s">
        <v>17</v>
      </c>
      <c r="G2960" s="15" t="s">
        <v>29</v>
      </c>
      <c r="H2960" s="15" t="n">
        <v>5</v>
      </c>
      <c r="I2960" s="17" t="n">
        <v>0</v>
      </c>
      <c r="J2960" s="18" t="n">
        <v>102.79</v>
      </c>
      <c r="K2960" s="19" t="n">
        <v>36.04</v>
      </c>
      <c r="L2960" s="15" t="n">
        <f aca="false">YEAR(B2960)</f>
        <v>2023</v>
      </c>
      <c r="M2960" s="20" t="n">
        <f aca="false">IF(J2960&gt;0,K2960/J2960,0)</f>
        <v>0.350617764373966</v>
      </c>
    </row>
    <row r="2961" customFormat="false" ht="15" hidden="false" customHeight="false" outlineLevel="0" collapsed="false">
      <c r="A2961" s="15" t="s">
        <v>3018</v>
      </c>
      <c r="B2961" s="16" t="n">
        <v>45075</v>
      </c>
      <c r="C2961" s="15" t="s">
        <v>56</v>
      </c>
      <c r="D2961" s="15" t="s">
        <v>42</v>
      </c>
      <c r="E2961" s="15" t="s">
        <v>37</v>
      </c>
      <c r="F2961" s="15" t="s">
        <v>17</v>
      </c>
      <c r="G2961" s="15" t="s">
        <v>26</v>
      </c>
      <c r="H2961" s="15" t="n">
        <v>3</v>
      </c>
      <c r="I2961" s="17" t="n">
        <v>0</v>
      </c>
      <c r="J2961" s="18" t="n">
        <v>231.21</v>
      </c>
      <c r="K2961" s="19" t="n">
        <v>30.05</v>
      </c>
      <c r="L2961" s="15" t="n">
        <f aca="false">YEAR(B2961)</f>
        <v>2023</v>
      </c>
      <c r="M2961" s="20" t="n">
        <f aca="false">IF(J2961&gt;0,K2961/J2961,0)</f>
        <v>0.129968426971152</v>
      </c>
    </row>
    <row r="2962" customFormat="false" ht="15" hidden="false" customHeight="false" outlineLevel="0" collapsed="false">
      <c r="A2962" s="15" t="s">
        <v>3019</v>
      </c>
      <c r="B2962" s="16" t="n">
        <v>45734</v>
      </c>
      <c r="C2962" s="15" t="s">
        <v>56</v>
      </c>
      <c r="D2962" s="15" t="s">
        <v>42</v>
      </c>
      <c r="E2962" s="15" t="s">
        <v>38</v>
      </c>
      <c r="F2962" s="15" t="s">
        <v>18</v>
      </c>
      <c r="G2962" s="15" t="s">
        <v>30</v>
      </c>
      <c r="H2962" s="15" t="n">
        <v>4</v>
      </c>
      <c r="I2962" s="17" t="n">
        <v>0.05</v>
      </c>
      <c r="J2962" s="18" t="n">
        <v>183.65</v>
      </c>
      <c r="K2962" s="19" t="n">
        <v>48.04</v>
      </c>
      <c r="L2962" s="15" t="n">
        <f aca="false">YEAR(B2962)</f>
        <v>2025</v>
      </c>
      <c r="M2962" s="20" t="n">
        <f aca="false">IF(J2962&gt;0,K2962/J2962,0)</f>
        <v>0.261584535801797</v>
      </c>
    </row>
    <row r="2963" customFormat="false" ht="15" hidden="false" customHeight="false" outlineLevel="0" collapsed="false">
      <c r="A2963" s="15" t="s">
        <v>3020</v>
      </c>
      <c r="B2963" s="16" t="n">
        <v>45912</v>
      </c>
      <c r="C2963" s="15" t="s">
        <v>56</v>
      </c>
      <c r="D2963" s="15" t="s">
        <v>42</v>
      </c>
      <c r="E2963" s="15" t="s">
        <v>39</v>
      </c>
      <c r="F2963" s="15" t="s">
        <v>17</v>
      </c>
      <c r="G2963" s="15" t="s">
        <v>28</v>
      </c>
      <c r="H2963" s="15" t="n">
        <v>8</v>
      </c>
      <c r="I2963" s="17" t="n">
        <v>0</v>
      </c>
      <c r="J2963" s="18" t="n">
        <v>229.37</v>
      </c>
      <c r="K2963" s="19" t="n">
        <v>74.77</v>
      </c>
      <c r="L2963" s="15" t="n">
        <f aca="false">YEAR(B2963)</f>
        <v>2025</v>
      </c>
      <c r="M2963" s="20" t="n">
        <f aca="false">IF(J2963&gt;0,K2963/J2963,0)</f>
        <v>0.325979857871561</v>
      </c>
    </row>
    <row r="2964" customFormat="false" ht="15" hidden="false" customHeight="false" outlineLevel="0" collapsed="false">
      <c r="A2964" s="15" t="s">
        <v>3021</v>
      </c>
      <c r="B2964" s="16" t="n">
        <v>45793</v>
      </c>
      <c r="C2964" s="15" t="s">
        <v>56</v>
      </c>
      <c r="D2964" s="15" t="s">
        <v>42</v>
      </c>
      <c r="E2964" s="15" t="s">
        <v>36</v>
      </c>
      <c r="F2964" s="15" t="s">
        <v>17</v>
      </c>
      <c r="G2964" s="15" t="s">
        <v>26</v>
      </c>
      <c r="H2964" s="15" t="n">
        <v>5</v>
      </c>
      <c r="I2964" s="17" t="n">
        <v>0.15</v>
      </c>
      <c r="J2964" s="18" t="n">
        <v>356.89</v>
      </c>
      <c r="K2964" s="19" t="n">
        <v>-22.75</v>
      </c>
      <c r="L2964" s="15" t="n">
        <f aca="false">YEAR(B2964)</f>
        <v>2025</v>
      </c>
      <c r="M2964" s="20" t="n">
        <f aca="false">IF(J2964&gt;0,K2964/J2964,0)</f>
        <v>-0.0637451315531396</v>
      </c>
    </row>
    <row r="2965" customFormat="false" ht="15" hidden="false" customHeight="false" outlineLevel="0" collapsed="false">
      <c r="A2965" s="15" t="s">
        <v>3022</v>
      </c>
      <c r="B2965" s="16" t="n">
        <v>45785</v>
      </c>
      <c r="C2965" s="15" t="s">
        <v>71</v>
      </c>
      <c r="D2965" s="15" t="s">
        <v>42</v>
      </c>
      <c r="E2965" s="15" t="s">
        <v>39</v>
      </c>
      <c r="F2965" s="15" t="s">
        <v>16</v>
      </c>
      <c r="G2965" s="15" t="s">
        <v>27</v>
      </c>
      <c r="H2965" s="15" t="n">
        <v>4</v>
      </c>
      <c r="I2965" s="17" t="n">
        <v>0</v>
      </c>
      <c r="J2965" s="18" t="n">
        <v>236.61</v>
      </c>
      <c r="K2965" s="19" t="n">
        <v>53.98</v>
      </c>
      <c r="L2965" s="15" t="n">
        <f aca="false">YEAR(B2965)</f>
        <v>2025</v>
      </c>
      <c r="M2965" s="20" t="n">
        <f aca="false">IF(J2965&gt;0,K2965/J2965,0)</f>
        <v>0.228139131904822</v>
      </c>
    </row>
    <row r="2966" customFormat="false" ht="15" hidden="false" customHeight="false" outlineLevel="0" collapsed="false">
      <c r="A2966" s="15" t="s">
        <v>3023</v>
      </c>
      <c r="B2966" s="16" t="n">
        <v>45368</v>
      </c>
      <c r="C2966" s="15" t="s">
        <v>56</v>
      </c>
      <c r="D2966" s="15" t="s">
        <v>43</v>
      </c>
      <c r="E2966" s="15" t="s">
        <v>39</v>
      </c>
      <c r="F2966" s="15" t="s">
        <v>17</v>
      </c>
      <c r="G2966" s="15" t="s">
        <v>28</v>
      </c>
      <c r="H2966" s="15" t="n">
        <v>3</v>
      </c>
      <c r="I2966" s="17" t="n">
        <v>0.05</v>
      </c>
      <c r="J2966" s="18" t="n">
        <v>80.09</v>
      </c>
      <c r="K2966" s="19" t="n">
        <v>15.86</v>
      </c>
      <c r="L2966" s="15" t="n">
        <f aca="false">YEAR(B2966)</f>
        <v>2024</v>
      </c>
      <c r="M2966" s="20" t="n">
        <f aca="false">IF(J2966&gt;0,K2966/J2966,0)</f>
        <v>0.1980272193782</v>
      </c>
    </row>
    <row r="2967" customFormat="false" ht="15" hidden="false" customHeight="false" outlineLevel="0" collapsed="false">
      <c r="A2967" s="15" t="s">
        <v>3024</v>
      </c>
      <c r="B2967" s="16" t="n">
        <v>45473</v>
      </c>
      <c r="C2967" s="15" t="s">
        <v>68</v>
      </c>
      <c r="D2967" s="15" t="s">
        <v>43</v>
      </c>
      <c r="E2967" s="15" t="s">
        <v>36</v>
      </c>
      <c r="F2967" s="15" t="s">
        <v>17</v>
      </c>
      <c r="G2967" s="15" t="s">
        <v>26</v>
      </c>
      <c r="H2967" s="15" t="n">
        <v>2</v>
      </c>
      <c r="I2967" s="17" t="n">
        <v>0.5</v>
      </c>
      <c r="J2967" s="18" t="n">
        <v>85.61</v>
      </c>
      <c r="K2967" s="19" t="n">
        <v>-32.72</v>
      </c>
      <c r="L2967" s="15" t="n">
        <f aca="false">YEAR(B2967)</f>
        <v>2024</v>
      </c>
      <c r="M2967" s="20" t="n">
        <f aca="false">IF(J2967&gt;0,K2967/J2967,0)</f>
        <v>-0.382198341315267</v>
      </c>
    </row>
    <row r="2968" customFormat="false" ht="15" hidden="false" customHeight="false" outlineLevel="0" collapsed="false">
      <c r="A2968" s="15" t="s">
        <v>3025</v>
      </c>
      <c r="B2968" s="16" t="n">
        <v>44635</v>
      </c>
      <c r="C2968" s="15" t="s">
        <v>56</v>
      </c>
      <c r="D2968" s="15" t="s">
        <v>44</v>
      </c>
      <c r="E2968" s="15" t="s">
        <v>36</v>
      </c>
      <c r="F2968" s="15" t="s">
        <v>16</v>
      </c>
      <c r="G2968" s="15" t="s">
        <v>27</v>
      </c>
      <c r="H2968" s="15" t="n">
        <v>5</v>
      </c>
      <c r="I2968" s="17" t="n">
        <v>0.1</v>
      </c>
      <c r="J2968" s="18" t="n">
        <v>249.71</v>
      </c>
      <c r="K2968" s="19" t="n">
        <v>37.09</v>
      </c>
      <c r="L2968" s="15" t="n">
        <f aca="false">YEAR(B2968)</f>
        <v>2022</v>
      </c>
      <c r="M2968" s="20" t="n">
        <f aca="false">IF(J2968&gt;0,K2968/J2968,0)</f>
        <v>0.148532297465059</v>
      </c>
    </row>
    <row r="2969" customFormat="false" ht="15" hidden="false" customHeight="false" outlineLevel="0" collapsed="false">
      <c r="A2969" s="15" t="s">
        <v>3026</v>
      </c>
      <c r="B2969" s="16" t="n">
        <v>45001</v>
      </c>
      <c r="C2969" s="15" t="s">
        <v>68</v>
      </c>
      <c r="D2969" s="15" t="s">
        <v>42</v>
      </c>
      <c r="E2969" s="15" t="s">
        <v>36</v>
      </c>
      <c r="F2969" s="15" t="s">
        <v>17</v>
      </c>
      <c r="G2969" s="15" t="s">
        <v>31</v>
      </c>
      <c r="H2969" s="15" t="n">
        <v>1</v>
      </c>
      <c r="I2969" s="17" t="n">
        <v>0</v>
      </c>
      <c r="J2969" s="18" t="n">
        <v>100.1</v>
      </c>
      <c r="K2969" s="19" t="n">
        <v>18.36</v>
      </c>
      <c r="L2969" s="15" t="n">
        <f aca="false">YEAR(B2969)</f>
        <v>2023</v>
      </c>
      <c r="M2969" s="20" t="n">
        <f aca="false">IF(J2969&gt;0,K2969/J2969,0)</f>
        <v>0.183416583416583</v>
      </c>
    </row>
    <row r="2970" customFormat="false" ht="15" hidden="false" customHeight="false" outlineLevel="0" collapsed="false">
      <c r="A2970" s="15" t="s">
        <v>3027</v>
      </c>
      <c r="B2970" s="16" t="n">
        <v>45949</v>
      </c>
      <c r="C2970" s="15" t="s">
        <v>56</v>
      </c>
      <c r="D2970" s="15" t="s">
        <v>42</v>
      </c>
      <c r="E2970" s="15" t="s">
        <v>36</v>
      </c>
      <c r="F2970" s="15" t="s">
        <v>16</v>
      </c>
      <c r="G2970" s="15" t="s">
        <v>22</v>
      </c>
      <c r="H2970" s="15" t="n">
        <v>5</v>
      </c>
      <c r="I2970" s="17" t="n">
        <v>0.1</v>
      </c>
      <c r="J2970" s="18" t="n">
        <v>2845.25</v>
      </c>
      <c r="K2970" s="19" t="n">
        <v>-414.52</v>
      </c>
      <c r="L2970" s="15" t="n">
        <f aca="false">YEAR(B2970)</f>
        <v>2025</v>
      </c>
      <c r="M2970" s="20" t="n">
        <f aca="false">IF(J2970&gt;0,K2970/J2970,0)</f>
        <v>-0.145688428081891</v>
      </c>
    </row>
    <row r="2971" customFormat="false" ht="15" hidden="false" customHeight="false" outlineLevel="0" collapsed="false">
      <c r="A2971" s="15" t="s">
        <v>3028</v>
      </c>
      <c r="B2971" s="16" t="n">
        <v>44660</v>
      </c>
      <c r="C2971" s="15" t="s">
        <v>56</v>
      </c>
      <c r="D2971" s="15" t="s">
        <v>42</v>
      </c>
      <c r="E2971" s="15" t="s">
        <v>39</v>
      </c>
      <c r="F2971" s="15" t="s">
        <v>17</v>
      </c>
      <c r="G2971" s="15" t="s">
        <v>28</v>
      </c>
      <c r="H2971" s="15" t="n">
        <v>4</v>
      </c>
      <c r="I2971" s="17" t="n">
        <v>0.1</v>
      </c>
      <c r="J2971" s="18" t="n">
        <v>89.24</v>
      </c>
      <c r="K2971" s="19" t="n">
        <v>16.31</v>
      </c>
      <c r="L2971" s="15" t="n">
        <f aca="false">YEAR(B2971)</f>
        <v>2022</v>
      </c>
      <c r="M2971" s="20" t="n">
        <f aca="false">IF(J2971&gt;0,K2971/J2971,0)</f>
        <v>0.182765575974899</v>
      </c>
    </row>
    <row r="2972" customFormat="false" ht="15" hidden="false" customHeight="false" outlineLevel="0" collapsed="false">
      <c r="A2972" s="15" t="s">
        <v>3029</v>
      </c>
      <c r="B2972" s="16" t="n">
        <v>45838</v>
      </c>
      <c r="C2972" s="15" t="s">
        <v>56</v>
      </c>
      <c r="D2972" s="15" t="s">
        <v>42</v>
      </c>
      <c r="E2972" s="15" t="s">
        <v>39</v>
      </c>
      <c r="F2972" s="15" t="s">
        <v>18</v>
      </c>
      <c r="G2972" s="15" t="s">
        <v>33</v>
      </c>
      <c r="H2972" s="15" t="n">
        <v>6</v>
      </c>
      <c r="I2972" s="17" t="n">
        <v>0.15</v>
      </c>
      <c r="J2972" s="18" t="n">
        <v>4734.57</v>
      </c>
      <c r="K2972" s="19" t="n">
        <v>703.8</v>
      </c>
      <c r="L2972" s="15" t="n">
        <f aca="false">YEAR(B2972)</f>
        <v>2025</v>
      </c>
      <c r="M2972" s="20" t="n">
        <f aca="false">IF(J2972&gt;0,K2972/J2972,0)</f>
        <v>0.148651303075042</v>
      </c>
    </row>
    <row r="2973" customFormat="false" ht="15" hidden="false" customHeight="false" outlineLevel="0" collapsed="false">
      <c r="A2973" s="15" t="s">
        <v>3030</v>
      </c>
      <c r="B2973" s="16" t="n">
        <v>45804</v>
      </c>
      <c r="C2973" s="15" t="s">
        <v>56</v>
      </c>
      <c r="D2973" s="15" t="s">
        <v>42</v>
      </c>
      <c r="E2973" s="15" t="s">
        <v>38</v>
      </c>
      <c r="F2973" s="15" t="s">
        <v>17</v>
      </c>
      <c r="G2973" s="15" t="s">
        <v>26</v>
      </c>
      <c r="H2973" s="15" t="n">
        <v>4</v>
      </c>
      <c r="I2973" s="17" t="n">
        <v>0.3</v>
      </c>
      <c r="J2973" s="18" t="n">
        <v>214.39</v>
      </c>
      <c r="K2973" s="19" t="n">
        <v>-34.78</v>
      </c>
      <c r="L2973" s="15" t="n">
        <f aca="false">YEAR(B2973)</f>
        <v>2025</v>
      </c>
      <c r="M2973" s="20" t="n">
        <f aca="false">IF(J2973&gt;0,K2973/J2973,0)</f>
        <v>-0.162227715844955</v>
      </c>
    </row>
    <row r="2974" customFormat="false" ht="15" hidden="false" customHeight="false" outlineLevel="0" collapsed="false">
      <c r="A2974" s="15" t="s">
        <v>3031</v>
      </c>
      <c r="B2974" s="16" t="n">
        <v>44942</v>
      </c>
      <c r="C2974" s="15" t="s">
        <v>56</v>
      </c>
      <c r="D2974" s="15" t="s">
        <v>42</v>
      </c>
      <c r="E2974" s="15" t="s">
        <v>39</v>
      </c>
      <c r="F2974" s="15" t="s">
        <v>17</v>
      </c>
      <c r="G2974" s="15" t="s">
        <v>29</v>
      </c>
      <c r="H2974" s="15" t="n">
        <v>3</v>
      </c>
      <c r="I2974" s="17" t="n">
        <v>0</v>
      </c>
      <c r="J2974" s="18" t="n">
        <v>53.25</v>
      </c>
      <c r="K2974" s="19" t="n">
        <v>18.42</v>
      </c>
      <c r="L2974" s="15" t="n">
        <f aca="false">YEAR(B2974)</f>
        <v>2023</v>
      </c>
      <c r="M2974" s="20" t="n">
        <f aca="false">IF(J2974&gt;0,K2974/J2974,0)</f>
        <v>0.345915492957747</v>
      </c>
    </row>
    <row r="2975" customFormat="false" ht="15" hidden="false" customHeight="false" outlineLevel="0" collapsed="false">
      <c r="A2975" s="15" t="s">
        <v>3032</v>
      </c>
      <c r="B2975" s="16" t="n">
        <v>45757</v>
      </c>
      <c r="C2975" s="15" t="s">
        <v>56</v>
      </c>
      <c r="D2975" s="15" t="s">
        <v>42</v>
      </c>
      <c r="E2975" s="15" t="s">
        <v>38</v>
      </c>
      <c r="F2975" s="15" t="s">
        <v>16</v>
      </c>
      <c r="G2975" s="15" t="s">
        <v>27</v>
      </c>
      <c r="H2975" s="15" t="n">
        <v>4</v>
      </c>
      <c r="I2975" s="17" t="n">
        <v>0</v>
      </c>
      <c r="J2975" s="18" t="n">
        <v>229.1</v>
      </c>
      <c r="K2975" s="19" t="n">
        <v>62.65</v>
      </c>
      <c r="L2975" s="15" t="n">
        <f aca="false">YEAR(B2975)</f>
        <v>2025</v>
      </c>
      <c r="M2975" s="20" t="n">
        <f aca="false">IF(J2975&gt;0,K2975/J2975,0)</f>
        <v>0.273461370580533</v>
      </c>
    </row>
    <row r="2976" customFormat="false" ht="15" hidden="false" customHeight="false" outlineLevel="0" collapsed="false">
      <c r="A2976" s="15" t="s">
        <v>3033</v>
      </c>
      <c r="B2976" s="16" t="n">
        <v>44709</v>
      </c>
      <c r="C2976" s="15" t="s">
        <v>58</v>
      </c>
      <c r="D2976" s="15" t="s">
        <v>44</v>
      </c>
      <c r="E2976" s="15" t="s">
        <v>37</v>
      </c>
      <c r="F2976" s="15" t="s">
        <v>17</v>
      </c>
      <c r="G2976" s="15" t="s">
        <v>28</v>
      </c>
      <c r="H2976" s="15" t="n">
        <v>5</v>
      </c>
      <c r="I2976" s="17" t="n">
        <v>0.3</v>
      </c>
      <c r="J2976" s="18" t="n">
        <v>92.37</v>
      </c>
      <c r="K2976" s="19" t="n">
        <v>0.35</v>
      </c>
      <c r="L2976" s="15" t="n">
        <f aca="false">YEAR(B2976)</f>
        <v>2022</v>
      </c>
      <c r="M2976" s="20" t="n">
        <f aca="false">IF(J2976&gt;0,K2976/J2976,0)</f>
        <v>0.00378910901807946</v>
      </c>
    </row>
    <row r="2977" customFormat="false" ht="15" hidden="false" customHeight="false" outlineLevel="0" collapsed="false">
      <c r="A2977" s="15" t="s">
        <v>3034</v>
      </c>
      <c r="B2977" s="16" t="n">
        <v>44573</v>
      </c>
      <c r="C2977" s="15" t="s">
        <v>58</v>
      </c>
      <c r="D2977" s="15" t="s">
        <v>42</v>
      </c>
      <c r="E2977" s="15" t="s">
        <v>39</v>
      </c>
      <c r="F2977" s="15" t="s">
        <v>18</v>
      </c>
      <c r="G2977" s="15" t="s">
        <v>32</v>
      </c>
      <c r="H2977" s="15" t="n">
        <v>2</v>
      </c>
      <c r="I2977" s="17" t="n">
        <v>0.05</v>
      </c>
      <c r="J2977" s="18" t="n">
        <v>943.03</v>
      </c>
      <c r="K2977" s="19" t="n">
        <v>134.9</v>
      </c>
      <c r="L2977" s="15" t="n">
        <f aca="false">YEAR(B2977)</f>
        <v>2022</v>
      </c>
      <c r="M2977" s="20" t="n">
        <f aca="false">IF(J2977&gt;0,K2977/J2977,0)</f>
        <v>0.143049531828256</v>
      </c>
    </row>
    <row r="2978" customFormat="false" ht="15" hidden="false" customHeight="false" outlineLevel="0" collapsed="false">
      <c r="A2978" s="15" t="s">
        <v>3035</v>
      </c>
      <c r="B2978" s="16" t="n">
        <v>44873</v>
      </c>
      <c r="C2978" s="15" t="s">
        <v>71</v>
      </c>
      <c r="D2978" s="15" t="s">
        <v>42</v>
      </c>
      <c r="E2978" s="15" t="s">
        <v>39</v>
      </c>
      <c r="F2978" s="15" t="s">
        <v>17</v>
      </c>
      <c r="G2978" s="15" t="s">
        <v>28</v>
      </c>
      <c r="H2978" s="15" t="n">
        <v>5</v>
      </c>
      <c r="I2978" s="17" t="n">
        <v>0</v>
      </c>
      <c r="J2978" s="18" t="n">
        <v>132.14</v>
      </c>
      <c r="K2978" s="19" t="n">
        <v>41.12</v>
      </c>
      <c r="L2978" s="15" t="n">
        <f aca="false">YEAR(B2978)</f>
        <v>2022</v>
      </c>
      <c r="M2978" s="20" t="n">
        <f aca="false">IF(J2978&gt;0,K2978/J2978,0)</f>
        <v>0.31118510670501</v>
      </c>
    </row>
    <row r="2979" customFormat="false" ht="15" hidden="false" customHeight="false" outlineLevel="0" collapsed="false">
      <c r="A2979" s="15" t="s">
        <v>3036</v>
      </c>
      <c r="B2979" s="16" t="n">
        <v>44901</v>
      </c>
      <c r="C2979" s="15" t="s">
        <v>71</v>
      </c>
      <c r="D2979" s="15" t="s">
        <v>42</v>
      </c>
      <c r="E2979" s="15" t="s">
        <v>37</v>
      </c>
      <c r="F2979" s="15" t="s">
        <v>17</v>
      </c>
      <c r="G2979" s="15" t="s">
        <v>26</v>
      </c>
      <c r="H2979" s="15" t="n">
        <v>5</v>
      </c>
      <c r="I2979" s="17" t="n">
        <v>0</v>
      </c>
      <c r="J2979" s="18" t="n">
        <v>505.47</v>
      </c>
      <c r="K2979" s="19" t="n">
        <v>36.15</v>
      </c>
      <c r="L2979" s="15" t="n">
        <f aca="false">YEAR(B2979)</f>
        <v>2022</v>
      </c>
      <c r="M2979" s="20" t="n">
        <f aca="false">IF(J2979&gt;0,K2979/J2979,0)</f>
        <v>0.0715175974835302</v>
      </c>
    </row>
    <row r="2980" customFormat="false" ht="15" hidden="false" customHeight="false" outlineLevel="0" collapsed="false">
      <c r="A2980" s="15" t="s">
        <v>3037</v>
      </c>
      <c r="B2980" s="16" t="n">
        <v>45099</v>
      </c>
      <c r="C2980" s="15" t="s">
        <v>56</v>
      </c>
      <c r="D2980" s="15" t="s">
        <v>42</v>
      </c>
      <c r="E2980" s="15" t="s">
        <v>36</v>
      </c>
      <c r="F2980" s="15" t="s">
        <v>17</v>
      </c>
      <c r="G2980" s="15" t="s">
        <v>26</v>
      </c>
      <c r="H2980" s="15" t="n">
        <v>1</v>
      </c>
      <c r="I2980" s="17" t="n">
        <v>0.1</v>
      </c>
      <c r="J2980" s="18" t="n">
        <v>73.55</v>
      </c>
      <c r="K2980" s="19" t="n">
        <v>4.77</v>
      </c>
      <c r="L2980" s="15" t="n">
        <f aca="false">YEAR(B2980)</f>
        <v>2023</v>
      </c>
      <c r="M2980" s="20" t="n">
        <f aca="false">IF(J2980&gt;0,K2980/J2980,0)</f>
        <v>0.0648538409245411</v>
      </c>
    </row>
    <row r="2981" customFormat="false" ht="15" hidden="false" customHeight="false" outlineLevel="0" collapsed="false">
      <c r="A2981" s="15" t="s">
        <v>3038</v>
      </c>
      <c r="B2981" s="16" t="n">
        <v>45910</v>
      </c>
      <c r="C2981" s="15" t="s">
        <v>58</v>
      </c>
      <c r="D2981" s="15" t="s">
        <v>44</v>
      </c>
      <c r="E2981" s="15" t="s">
        <v>38</v>
      </c>
      <c r="F2981" s="15" t="s">
        <v>18</v>
      </c>
      <c r="G2981" s="15" t="s">
        <v>30</v>
      </c>
      <c r="H2981" s="15" t="n">
        <v>3</v>
      </c>
      <c r="I2981" s="17" t="n">
        <v>0</v>
      </c>
      <c r="J2981" s="18" t="n">
        <v>135.27</v>
      </c>
      <c r="K2981" s="19" t="n">
        <v>33.16</v>
      </c>
      <c r="L2981" s="15" t="n">
        <f aca="false">YEAR(B2981)</f>
        <v>2025</v>
      </c>
      <c r="M2981" s="20" t="n">
        <f aca="false">IF(J2981&gt;0,K2981/J2981,0)</f>
        <v>0.245139350927774</v>
      </c>
    </row>
    <row r="2982" customFormat="false" ht="15" hidden="false" customHeight="false" outlineLevel="0" collapsed="false">
      <c r="A2982" s="15" t="s">
        <v>3039</v>
      </c>
      <c r="B2982" s="16" t="n">
        <v>44938</v>
      </c>
      <c r="C2982" s="15" t="s">
        <v>56</v>
      </c>
      <c r="D2982" s="15" t="s">
        <v>42</v>
      </c>
      <c r="E2982" s="15" t="s">
        <v>37</v>
      </c>
      <c r="F2982" s="15" t="s">
        <v>17</v>
      </c>
      <c r="G2982" s="15" t="s">
        <v>28</v>
      </c>
      <c r="H2982" s="15" t="n">
        <v>2</v>
      </c>
      <c r="I2982" s="17" t="n">
        <v>0.15</v>
      </c>
      <c r="J2982" s="18" t="n">
        <v>47.66</v>
      </c>
      <c r="K2982" s="19" t="n">
        <v>8.92</v>
      </c>
      <c r="L2982" s="15" t="n">
        <f aca="false">YEAR(B2982)</f>
        <v>2023</v>
      </c>
      <c r="M2982" s="20" t="n">
        <f aca="false">IF(J2982&gt;0,K2982/J2982,0)</f>
        <v>0.187159043222828</v>
      </c>
    </row>
    <row r="2983" customFormat="false" ht="15" hidden="false" customHeight="false" outlineLevel="0" collapsed="false">
      <c r="A2983" s="15" t="s">
        <v>3040</v>
      </c>
      <c r="B2983" s="16" t="n">
        <v>44950</v>
      </c>
      <c r="C2983" s="15" t="s">
        <v>58</v>
      </c>
      <c r="D2983" s="15" t="s">
        <v>43</v>
      </c>
      <c r="E2983" s="15" t="s">
        <v>39</v>
      </c>
      <c r="F2983" s="15" t="s">
        <v>17</v>
      </c>
      <c r="G2983" s="15" t="s">
        <v>31</v>
      </c>
      <c r="H2983" s="15" t="n">
        <v>3</v>
      </c>
      <c r="I2983" s="17" t="n">
        <v>0</v>
      </c>
      <c r="J2983" s="18" t="n">
        <v>524.16</v>
      </c>
      <c r="K2983" s="19" t="n">
        <v>101.79</v>
      </c>
      <c r="L2983" s="15" t="n">
        <f aca="false">YEAR(B2983)</f>
        <v>2023</v>
      </c>
      <c r="M2983" s="20" t="n">
        <f aca="false">IF(J2983&gt;0,K2983/J2983,0)</f>
        <v>0.194196428571429</v>
      </c>
    </row>
    <row r="2984" customFormat="false" ht="15" hidden="false" customHeight="false" outlineLevel="0" collapsed="false">
      <c r="A2984" s="15" t="s">
        <v>3041</v>
      </c>
      <c r="B2984" s="16" t="n">
        <v>45047</v>
      </c>
      <c r="C2984" s="15" t="s">
        <v>56</v>
      </c>
      <c r="D2984" s="15" t="s">
        <v>44</v>
      </c>
      <c r="E2984" s="15" t="s">
        <v>37</v>
      </c>
      <c r="F2984" s="15" t="s">
        <v>17</v>
      </c>
      <c r="G2984" s="15" t="s">
        <v>29</v>
      </c>
      <c r="H2984" s="15" t="n">
        <v>7</v>
      </c>
      <c r="I2984" s="17" t="n">
        <v>0.1</v>
      </c>
      <c r="J2984" s="18" t="n">
        <v>107.68</v>
      </c>
      <c r="K2984" s="19" t="n">
        <v>27.08</v>
      </c>
      <c r="L2984" s="15" t="n">
        <f aca="false">YEAR(B2984)</f>
        <v>2023</v>
      </c>
      <c r="M2984" s="20" t="n">
        <f aca="false">IF(J2984&gt;0,K2984/J2984,0)</f>
        <v>0.25148588410104</v>
      </c>
    </row>
    <row r="2985" customFormat="false" ht="15" hidden="false" customHeight="false" outlineLevel="0" collapsed="false">
      <c r="A2985" s="15" t="s">
        <v>3042</v>
      </c>
      <c r="B2985" s="16" t="n">
        <v>45540</v>
      </c>
      <c r="C2985" s="15" t="s">
        <v>56</v>
      </c>
      <c r="D2985" s="15" t="s">
        <v>44</v>
      </c>
      <c r="E2985" s="15" t="s">
        <v>37</v>
      </c>
      <c r="F2985" s="15" t="s">
        <v>17</v>
      </c>
      <c r="G2985" s="15" t="s">
        <v>26</v>
      </c>
      <c r="H2985" s="15" t="n">
        <v>6</v>
      </c>
      <c r="I2985" s="17" t="n">
        <v>0</v>
      </c>
      <c r="J2985" s="18" t="n">
        <v>570.16</v>
      </c>
      <c r="K2985" s="19" t="n">
        <v>77</v>
      </c>
      <c r="L2985" s="15" t="n">
        <f aca="false">YEAR(B2985)</f>
        <v>2024</v>
      </c>
      <c r="M2985" s="20" t="n">
        <f aca="false">IF(J2985&gt;0,K2985/J2985,0)</f>
        <v>0.135049810579486</v>
      </c>
    </row>
    <row r="2986" customFormat="false" ht="15" hidden="false" customHeight="false" outlineLevel="0" collapsed="false">
      <c r="A2986" s="15" t="s">
        <v>3043</v>
      </c>
      <c r="B2986" s="16" t="n">
        <v>46007</v>
      </c>
      <c r="C2986" s="15" t="s">
        <v>71</v>
      </c>
      <c r="D2986" s="15" t="s">
        <v>43</v>
      </c>
      <c r="E2986" s="15" t="s">
        <v>39</v>
      </c>
      <c r="F2986" s="15" t="s">
        <v>17</v>
      </c>
      <c r="G2986" s="15" t="s">
        <v>28</v>
      </c>
      <c r="H2986" s="15" t="n">
        <v>8</v>
      </c>
      <c r="I2986" s="17" t="n">
        <v>0</v>
      </c>
      <c r="J2986" s="18" t="n">
        <v>257.39</v>
      </c>
      <c r="K2986" s="19" t="n">
        <v>69.1</v>
      </c>
      <c r="L2986" s="15" t="n">
        <f aca="false">YEAR(B2986)</f>
        <v>2025</v>
      </c>
      <c r="M2986" s="20" t="n">
        <f aca="false">IF(J2986&gt;0,K2986/J2986,0)</f>
        <v>0.268464198298302</v>
      </c>
    </row>
    <row r="2987" customFormat="false" ht="15" hidden="false" customHeight="false" outlineLevel="0" collapsed="false">
      <c r="A2987" s="15" t="s">
        <v>3044</v>
      </c>
      <c r="B2987" s="16" t="n">
        <v>45478</v>
      </c>
      <c r="C2987" s="15" t="s">
        <v>68</v>
      </c>
      <c r="D2987" s="15" t="s">
        <v>43</v>
      </c>
      <c r="E2987" s="15" t="s">
        <v>38</v>
      </c>
      <c r="F2987" s="15" t="s">
        <v>17</v>
      </c>
      <c r="G2987" s="15" t="s">
        <v>29</v>
      </c>
      <c r="H2987" s="15" t="n">
        <v>2</v>
      </c>
      <c r="I2987" s="17" t="n">
        <v>0</v>
      </c>
      <c r="J2987" s="18" t="n">
        <v>37.72</v>
      </c>
      <c r="K2987" s="19" t="n">
        <v>12.05</v>
      </c>
      <c r="L2987" s="15" t="n">
        <f aca="false">YEAR(B2987)</f>
        <v>2024</v>
      </c>
      <c r="M2987" s="20" t="n">
        <f aca="false">IF(J2987&gt;0,K2987/J2987,0)</f>
        <v>0.319459172852598</v>
      </c>
    </row>
    <row r="2988" customFormat="false" ht="15" hidden="false" customHeight="false" outlineLevel="0" collapsed="false">
      <c r="A2988" s="15" t="s">
        <v>3045</v>
      </c>
      <c r="B2988" s="16" t="n">
        <v>44956</v>
      </c>
      <c r="C2988" s="15" t="s">
        <v>68</v>
      </c>
      <c r="D2988" s="15" t="s">
        <v>42</v>
      </c>
      <c r="E2988" s="15" t="s">
        <v>36</v>
      </c>
      <c r="F2988" s="15" t="s">
        <v>17</v>
      </c>
      <c r="G2988" s="15" t="s">
        <v>28</v>
      </c>
      <c r="H2988" s="15" t="n">
        <v>7</v>
      </c>
      <c r="I2988" s="17" t="n">
        <v>0.3</v>
      </c>
      <c r="J2988" s="18" t="n">
        <v>130.34</v>
      </c>
      <c r="K2988" s="19" t="n">
        <v>-0.23</v>
      </c>
      <c r="L2988" s="15" t="n">
        <f aca="false">YEAR(B2988)</f>
        <v>2023</v>
      </c>
      <c r="M2988" s="20" t="n">
        <f aca="false">IF(J2988&gt;0,K2988/J2988,0)</f>
        <v>-0.00176461562068436</v>
      </c>
    </row>
    <row r="2989" customFormat="false" ht="15" hidden="false" customHeight="false" outlineLevel="0" collapsed="false">
      <c r="A2989" s="15" t="s">
        <v>3046</v>
      </c>
      <c r="B2989" s="16" t="n">
        <v>45942</v>
      </c>
      <c r="C2989" s="15" t="s">
        <v>56</v>
      </c>
      <c r="D2989" s="15" t="s">
        <v>43</v>
      </c>
      <c r="E2989" s="15" t="s">
        <v>36</v>
      </c>
      <c r="F2989" s="15" t="s">
        <v>17</v>
      </c>
      <c r="G2989" s="15" t="s">
        <v>29</v>
      </c>
      <c r="H2989" s="15" t="n">
        <v>3</v>
      </c>
      <c r="I2989" s="17" t="n">
        <v>0.15</v>
      </c>
      <c r="J2989" s="18" t="n">
        <v>45.47</v>
      </c>
      <c r="K2989" s="19" t="n">
        <v>11.23</v>
      </c>
      <c r="L2989" s="15" t="n">
        <f aca="false">YEAR(B2989)</f>
        <v>2025</v>
      </c>
      <c r="M2989" s="20" t="n">
        <f aca="false">IF(J2989&gt;0,K2989/J2989,0)</f>
        <v>0.246976028150429</v>
      </c>
    </row>
    <row r="2990" customFormat="false" ht="15" hidden="false" customHeight="false" outlineLevel="0" collapsed="false">
      <c r="A2990" s="15" t="s">
        <v>3047</v>
      </c>
      <c r="B2990" s="16" t="n">
        <v>45594</v>
      </c>
      <c r="C2990" s="15" t="s">
        <v>71</v>
      </c>
      <c r="D2990" s="15" t="s">
        <v>42</v>
      </c>
      <c r="E2990" s="15" t="s">
        <v>39</v>
      </c>
      <c r="F2990" s="15" t="s">
        <v>17</v>
      </c>
      <c r="G2990" s="15" t="s">
        <v>26</v>
      </c>
      <c r="H2990" s="15" t="n">
        <v>4</v>
      </c>
      <c r="I2990" s="17" t="n">
        <v>0.2</v>
      </c>
      <c r="J2990" s="18" t="n">
        <v>336.73</v>
      </c>
      <c r="K2990" s="19" t="n">
        <v>-33.28</v>
      </c>
      <c r="L2990" s="15" t="n">
        <f aca="false">YEAR(B2990)</f>
        <v>2024</v>
      </c>
      <c r="M2990" s="20" t="n">
        <f aca="false">IF(J2990&gt;0,K2990/J2990,0)</f>
        <v>-0.0988328928221424</v>
      </c>
    </row>
    <row r="2991" customFormat="false" ht="15" hidden="false" customHeight="false" outlineLevel="0" collapsed="false">
      <c r="A2991" s="15" t="s">
        <v>3048</v>
      </c>
      <c r="B2991" s="16" t="n">
        <v>45292</v>
      </c>
      <c r="C2991" s="15" t="s">
        <v>68</v>
      </c>
      <c r="D2991" s="15" t="s">
        <v>42</v>
      </c>
      <c r="E2991" s="15" t="s">
        <v>37</v>
      </c>
      <c r="F2991" s="15" t="s">
        <v>16</v>
      </c>
      <c r="G2991" s="15" t="s">
        <v>23</v>
      </c>
      <c r="H2991" s="15" t="n">
        <v>3</v>
      </c>
      <c r="I2991" s="17" t="n">
        <v>0</v>
      </c>
      <c r="J2991" s="18" t="n">
        <v>904.25</v>
      </c>
      <c r="K2991" s="19" t="n">
        <v>-34.6</v>
      </c>
      <c r="L2991" s="15" t="n">
        <f aca="false">YEAR(B2991)</f>
        <v>2024</v>
      </c>
      <c r="M2991" s="20" t="n">
        <f aca="false">IF(J2991&gt;0,K2991/J2991,0)</f>
        <v>-0.0382637544926735</v>
      </c>
    </row>
    <row r="2992" customFormat="false" ht="15" hidden="false" customHeight="false" outlineLevel="0" collapsed="false">
      <c r="A2992" s="15" t="s">
        <v>3049</v>
      </c>
      <c r="B2992" s="16" t="n">
        <v>45379</v>
      </c>
      <c r="C2992" s="15" t="s">
        <v>56</v>
      </c>
      <c r="D2992" s="15" t="s">
        <v>44</v>
      </c>
      <c r="E2992" s="15" t="s">
        <v>38</v>
      </c>
      <c r="F2992" s="15" t="s">
        <v>17</v>
      </c>
      <c r="G2992" s="15" t="s">
        <v>26</v>
      </c>
      <c r="H2992" s="15" t="n">
        <v>3</v>
      </c>
      <c r="I2992" s="17" t="n">
        <v>0.1</v>
      </c>
      <c r="J2992" s="18" t="n">
        <v>222.73</v>
      </c>
      <c r="K2992" s="19" t="n">
        <v>-5.59</v>
      </c>
      <c r="L2992" s="15" t="n">
        <f aca="false">YEAR(B2992)</f>
        <v>2024</v>
      </c>
      <c r="M2992" s="20" t="n">
        <f aca="false">IF(J2992&gt;0,K2992/J2992,0)</f>
        <v>-0.0250976518654874</v>
      </c>
    </row>
    <row r="2993" customFormat="false" ht="15" hidden="false" customHeight="false" outlineLevel="0" collapsed="false">
      <c r="A2993" s="15" t="s">
        <v>3050</v>
      </c>
      <c r="B2993" s="16" t="n">
        <v>44894</v>
      </c>
      <c r="C2993" s="15" t="s">
        <v>56</v>
      </c>
      <c r="D2993" s="15" t="s">
        <v>42</v>
      </c>
      <c r="E2993" s="15" t="s">
        <v>37</v>
      </c>
      <c r="F2993" s="15" t="s">
        <v>17</v>
      </c>
      <c r="G2993" s="15" t="s">
        <v>29</v>
      </c>
      <c r="H2993" s="15" t="n">
        <v>4</v>
      </c>
      <c r="I2993" s="17" t="n">
        <v>0.3</v>
      </c>
      <c r="J2993" s="18" t="n">
        <v>48.44</v>
      </c>
      <c r="K2993" s="19" t="n">
        <v>5.55</v>
      </c>
      <c r="L2993" s="15" t="n">
        <f aca="false">YEAR(B2993)</f>
        <v>2022</v>
      </c>
      <c r="M2993" s="20" t="n">
        <f aca="false">IF(J2993&gt;0,K2993/J2993,0)</f>
        <v>0.114574731626755</v>
      </c>
    </row>
    <row r="2994" customFormat="false" ht="15" hidden="false" customHeight="false" outlineLevel="0" collapsed="false">
      <c r="A2994" s="15" t="s">
        <v>3051</v>
      </c>
      <c r="B2994" s="16" t="n">
        <v>45621</v>
      </c>
      <c r="C2994" s="15" t="s">
        <v>56</v>
      </c>
      <c r="D2994" s="15" t="s">
        <v>43</v>
      </c>
      <c r="E2994" s="15" t="s">
        <v>39</v>
      </c>
      <c r="F2994" s="15" t="s">
        <v>17</v>
      </c>
      <c r="G2994" s="15" t="s">
        <v>26</v>
      </c>
      <c r="H2994" s="15" t="n">
        <v>5</v>
      </c>
      <c r="I2994" s="17" t="n">
        <v>0.1</v>
      </c>
      <c r="J2994" s="18" t="n">
        <v>549.62</v>
      </c>
      <c r="K2994" s="19" t="n">
        <v>77.01</v>
      </c>
      <c r="L2994" s="15" t="n">
        <f aca="false">YEAR(B2994)</f>
        <v>2024</v>
      </c>
      <c r="M2994" s="20" t="n">
        <f aca="false">IF(J2994&gt;0,K2994/J2994,0)</f>
        <v>0.140114988537535</v>
      </c>
    </row>
    <row r="2995" customFormat="false" ht="15" hidden="false" customHeight="false" outlineLevel="0" collapsed="false">
      <c r="A2995" s="15" t="s">
        <v>3052</v>
      </c>
      <c r="B2995" s="16" t="n">
        <v>44867</v>
      </c>
      <c r="C2995" s="15" t="s">
        <v>56</v>
      </c>
      <c r="D2995" s="15" t="s">
        <v>43</v>
      </c>
      <c r="E2995" s="15" t="s">
        <v>37</v>
      </c>
      <c r="F2995" s="15" t="s">
        <v>17</v>
      </c>
      <c r="G2995" s="15" t="s">
        <v>28</v>
      </c>
      <c r="H2995" s="15" t="n">
        <v>4</v>
      </c>
      <c r="I2995" s="17" t="n">
        <v>0</v>
      </c>
      <c r="J2995" s="18" t="n">
        <v>88.77</v>
      </c>
      <c r="K2995" s="19" t="n">
        <v>21.44</v>
      </c>
      <c r="L2995" s="15" t="n">
        <f aca="false">YEAR(B2995)</f>
        <v>2022</v>
      </c>
      <c r="M2995" s="20" t="n">
        <f aca="false">IF(J2995&gt;0,K2995/J2995,0)</f>
        <v>0.241523037062071</v>
      </c>
    </row>
    <row r="2996" customFormat="false" ht="15" hidden="false" customHeight="false" outlineLevel="0" collapsed="false">
      <c r="A2996" s="15" t="s">
        <v>3053</v>
      </c>
      <c r="B2996" s="16" t="n">
        <v>45405</v>
      </c>
      <c r="C2996" s="15" t="s">
        <v>71</v>
      </c>
      <c r="D2996" s="15" t="s">
        <v>42</v>
      </c>
      <c r="E2996" s="15" t="s">
        <v>36</v>
      </c>
      <c r="F2996" s="15" t="s">
        <v>18</v>
      </c>
      <c r="G2996" s="15" t="s">
        <v>32</v>
      </c>
      <c r="H2996" s="15" t="n">
        <v>4</v>
      </c>
      <c r="I2996" s="17" t="n">
        <v>0</v>
      </c>
      <c r="J2996" s="18" t="n">
        <v>1983.54</v>
      </c>
      <c r="K2996" s="19" t="n">
        <v>574.5</v>
      </c>
      <c r="L2996" s="15" t="n">
        <f aca="false">YEAR(B2996)</f>
        <v>2024</v>
      </c>
      <c r="M2996" s="20" t="n">
        <f aca="false">IF(J2996&gt;0,K2996/J2996,0)</f>
        <v>0.289633685229438</v>
      </c>
    </row>
    <row r="2997" customFormat="false" ht="15" hidden="false" customHeight="false" outlineLevel="0" collapsed="false">
      <c r="A2997" s="15" t="s">
        <v>3054</v>
      </c>
      <c r="B2997" s="16" t="n">
        <v>45254</v>
      </c>
      <c r="C2997" s="15" t="s">
        <v>71</v>
      </c>
      <c r="D2997" s="15" t="s">
        <v>42</v>
      </c>
      <c r="E2997" s="15" t="s">
        <v>37</v>
      </c>
      <c r="F2997" s="15" t="s">
        <v>18</v>
      </c>
      <c r="G2997" s="15" t="s">
        <v>32</v>
      </c>
      <c r="H2997" s="15" t="n">
        <v>4</v>
      </c>
      <c r="I2997" s="17" t="n">
        <v>0.2</v>
      </c>
      <c r="J2997" s="18" t="n">
        <v>1576.74</v>
      </c>
      <c r="K2997" s="19" t="n">
        <v>1.03</v>
      </c>
      <c r="L2997" s="15" t="n">
        <f aca="false">YEAR(B2997)</f>
        <v>2023</v>
      </c>
      <c r="M2997" s="20" t="n">
        <f aca="false">IF(J2997&gt;0,K2997/J2997,0)</f>
        <v>0.000653246572041047</v>
      </c>
    </row>
    <row r="2998" customFormat="false" ht="15" hidden="false" customHeight="false" outlineLevel="0" collapsed="false">
      <c r="A2998" s="15" t="s">
        <v>3055</v>
      </c>
      <c r="B2998" s="16" t="n">
        <v>45333</v>
      </c>
      <c r="C2998" s="15" t="s">
        <v>56</v>
      </c>
      <c r="D2998" s="15" t="s">
        <v>42</v>
      </c>
      <c r="E2998" s="15" t="s">
        <v>39</v>
      </c>
      <c r="F2998" s="15" t="s">
        <v>18</v>
      </c>
      <c r="G2998" s="15" t="s">
        <v>30</v>
      </c>
      <c r="H2998" s="15" t="n">
        <v>5</v>
      </c>
      <c r="I2998" s="17" t="n">
        <v>0.05</v>
      </c>
      <c r="J2998" s="18" t="n">
        <v>202.17</v>
      </c>
      <c r="K2998" s="19" t="n">
        <v>47.12</v>
      </c>
      <c r="L2998" s="15" t="n">
        <f aca="false">YEAR(B2998)</f>
        <v>2024</v>
      </c>
      <c r="M2998" s="20" t="n">
        <f aca="false">IF(J2998&gt;0,K2998/J2998,0)</f>
        <v>0.233071177721719</v>
      </c>
    </row>
    <row r="2999" customFormat="false" ht="15" hidden="false" customHeight="false" outlineLevel="0" collapsed="false">
      <c r="A2999" s="15" t="s">
        <v>3056</v>
      </c>
      <c r="B2999" s="16" t="n">
        <v>45355</v>
      </c>
      <c r="C2999" s="15" t="s">
        <v>71</v>
      </c>
      <c r="D2999" s="15" t="s">
        <v>44</v>
      </c>
      <c r="E2999" s="15" t="s">
        <v>36</v>
      </c>
      <c r="F2999" s="15" t="s">
        <v>17</v>
      </c>
      <c r="G2999" s="15" t="s">
        <v>28</v>
      </c>
      <c r="H2999" s="15" t="n">
        <v>4</v>
      </c>
      <c r="I2999" s="17" t="n">
        <v>0</v>
      </c>
      <c r="J2999" s="18" t="n">
        <v>95.15</v>
      </c>
      <c r="K2999" s="19" t="n">
        <v>26.16</v>
      </c>
      <c r="L2999" s="15" t="n">
        <f aca="false">YEAR(B2999)</f>
        <v>2024</v>
      </c>
      <c r="M2999" s="20" t="n">
        <f aca="false">IF(J2999&gt;0,K2999/J2999,0)</f>
        <v>0.274934314240673</v>
      </c>
    </row>
    <row r="3000" customFormat="false" ht="15" hidden="false" customHeight="false" outlineLevel="0" collapsed="false">
      <c r="A3000" s="15" t="s">
        <v>3057</v>
      </c>
      <c r="B3000" s="16" t="n">
        <v>45223</v>
      </c>
      <c r="C3000" s="15" t="s">
        <v>68</v>
      </c>
      <c r="D3000" s="15" t="s">
        <v>42</v>
      </c>
      <c r="E3000" s="15" t="s">
        <v>37</v>
      </c>
      <c r="F3000" s="15" t="s">
        <v>17</v>
      </c>
      <c r="G3000" s="15" t="s">
        <v>29</v>
      </c>
      <c r="H3000" s="15" t="n">
        <v>4</v>
      </c>
      <c r="I3000" s="17" t="n">
        <v>0.1</v>
      </c>
      <c r="J3000" s="18" t="n">
        <v>52.88</v>
      </c>
      <c r="K3000" s="19" t="n">
        <v>16.34</v>
      </c>
      <c r="L3000" s="15" t="n">
        <f aca="false">YEAR(B3000)</f>
        <v>2023</v>
      </c>
      <c r="M3000" s="20" t="n">
        <f aca="false">IF(J3000&gt;0,K3000/J3000,0)</f>
        <v>0.309001512859304</v>
      </c>
    </row>
    <row r="3001" customFormat="false" ht="15" hidden="false" customHeight="false" outlineLevel="0" collapsed="false">
      <c r="A3001" s="15" t="s">
        <v>3058</v>
      </c>
      <c r="B3001" s="16" t="n">
        <v>44670</v>
      </c>
      <c r="C3001" s="15" t="s">
        <v>56</v>
      </c>
      <c r="D3001" s="15" t="s">
        <v>42</v>
      </c>
      <c r="E3001" s="15" t="s">
        <v>38</v>
      </c>
      <c r="F3001" s="15" t="s">
        <v>18</v>
      </c>
      <c r="G3001" s="15" t="s">
        <v>30</v>
      </c>
      <c r="H3001" s="15" t="n">
        <v>9</v>
      </c>
      <c r="I3001" s="17" t="n">
        <v>0</v>
      </c>
      <c r="J3001" s="18" t="n">
        <v>272.24</v>
      </c>
      <c r="K3001" s="19" t="n">
        <v>90.18</v>
      </c>
      <c r="L3001" s="15" t="n">
        <f aca="false">YEAR(B3001)</f>
        <v>2022</v>
      </c>
      <c r="M3001" s="20" t="n">
        <f aca="false">IF(J3001&gt;0,K3001/J3001,0)</f>
        <v>0.331251836614752</v>
      </c>
    </row>
    <row r="3002" customFormat="false" ht="15" hidden="false" customHeight="false" outlineLevel="0" collapsed="false">
      <c r="A3002" s="15" t="s">
        <v>3059</v>
      </c>
      <c r="B3002" s="16" t="n">
        <v>45603</v>
      </c>
      <c r="C3002" s="15" t="s">
        <v>56</v>
      </c>
      <c r="D3002" s="15" t="s">
        <v>43</v>
      </c>
      <c r="E3002" s="15" t="s">
        <v>37</v>
      </c>
      <c r="F3002" s="15" t="s">
        <v>17</v>
      </c>
      <c r="G3002" s="15" t="s">
        <v>28</v>
      </c>
      <c r="H3002" s="15" t="n">
        <v>5</v>
      </c>
      <c r="I3002" s="17" t="n">
        <v>0.3</v>
      </c>
      <c r="J3002" s="18" t="n">
        <v>111.67</v>
      </c>
      <c r="K3002" s="19" t="n">
        <v>1.51</v>
      </c>
      <c r="L3002" s="15" t="n">
        <f aca="false">YEAR(B3002)</f>
        <v>2024</v>
      </c>
      <c r="M3002" s="20" t="n">
        <f aca="false">IF(J3002&gt;0,K3002/J3002,0)</f>
        <v>0.0135219844183756</v>
      </c>
    </row>
    <row r="3003" customFormat="false" ht="15" hidden="false" customHeight="false" outlineLevel="0" collapsed="false">
      <c r="A3003" s="15" t="s">
        <v>3060</v>
      </c>
      <c r="B3003" s="16" t="n">
        <v>45937</v>
      </c>
      <c r="C3003" s="15" t="s">
        <v>56</v>
      </c>
      <c r="D3003" s="15" t="s">
        <v>42</v>
      </c>
      <c r="E3003" s="15" t="s">
        <v>39</v>
      </c>
      <c r="F3003" s="15" t="s">
        <v>18</v>
      </c>
      <c r="G3003" s="15" t="s">
        <v>30</v>
      </c>
      <c r="H3003" s="15" t="n">
        <v>8</v>
      </c>
      <c r="I3003" s="17" t="n">
        <v>0.05</v>
      </c>
      <c r="J3003" s="18" t="n">
        <v>359.4</v>
      </c>
      <c r="K3003" s="19" t="n">
        <v>92.98</v>
      </c>
      <c r="L3003" s="15" t="n">
        <f aca="false">YEAR(B3003)</f>
        <v>2025</v>
      </c>
      <c r="M3003" s="20" t="n">
        <f aca="false">IF(J3003&gt;0,K3003/J3003,0)</f>
        <v>0.258708959376739</v>
      </c>
    </row>
    <row r="3004" customFormat="false" ht="15" hidden="false" customHeight="false" outlineLevel="0" collapsed="false">
      <c r="A3004" s="15" t="s">
        <v>3061</v>
      </c>
      <c r="B3004" s="16" t="n">
        <v>44666</v>
      </c>
      <c r="C3004" s="15" t="s">
        <v>56</v>
      </c>
      <c r="D3004" s="15" t="s">
        <v>42</v>
      </c>
      <c r="E3004" s="15" t="s">
        <v>36</v>
      </c>
      <c r="F3004" s="15" t="s">
        <v>16</v>
      </c>
      <c r="G3004" s="15" t="s">
        <v>23</v>
      </c>
      <c r="H3004" s="15" t="n">
        <v>2</v>
      </c>
      <c r="I3004" s="17" t="n">
        <v>0</v>
      </c>
      <c r="J3004" s="18" t="n">
        <v>609.76</v>
      </c>
      <c r="K3004" s="19" t="n">
        <v>30.41</v>
      </c>
      <c r="L3004" s="15" t="n">
        <f aca="false">YEAR(B3004)</f>
        <v>2022</v>
      </c>
      <c r="M3004" s="20" t="n">
        <f aca="false">IF(J3004&gt;0,K3004/J3004,0)</f>
        <v>0.0498720808186828</v>
      </c>
    </row>
    <row r="3005" customFormat="false" ht="15" hidden="false" customHeight="false" outlineLevel="0" collapsed="false">
      <c r="A3005" s="15" t="s">
        <v>3062</v>
      </c>
      <c r="B3005" s="16" t="n">
        <v>45942</v>
      </c>
      <c r="C3005" s="15" t="s">
        <v>56</v>
      </c>
      <c r="D3005" s="15" t="s">
        <v>42</v>
      </c>
      <c r="E3005" s="15" t="s">
        <v>36</v>
      </c>
      <c r="F3005" s="15" t="s">
        <v>17</v>
      </c>
      <c r="G3005" s="15" t="s">
        <v>29</v>
      </c>
      <c r="H3005" s="15" t="n">
        <v>2</v>
      </c>
      <c r="I3005" s="17" t="n">
        <v>0</v>
      </c>
      <c r="J3005" s="18" t="n">
        <v>37.01</v>
      </c>
      <c r="K3005" s="19" t="n">
        <v>12.02</v>
      </c>
      <c r="L3005" s="15" t="n">
        <f aca="false">YEAR(B3005)</f>
        <v>2025</v>
      </c>
      <c r="M3005" s="20" t="n">
        <f aca="false">IF(J3005&gt;0,K3005/J3005,0)</f>
        <v>0.32477708727371</v>
      </c>
    </row>
    <row r="3006" customFormat="false" ht="15" hidden="false" customHeight="false" outlineLevel="0" collapsed="false">
      <c r="A3006" s="15" t="s">
        <v>3063</v>
      </c>
      <c r="B3006" s="16" t="n">
        <v>45917</v>
      </c>
      <c r="C3006" s="15" t="s">
        <v>56</v>
      </c>
      <c r="D3006" s="15" t="s">
        <v>42</v>
      </c>
      <c r="E3006" s="15" t="s">
        <v>38</v>
      </c>
      <c r="F3006" s="15" t="s">
        <v>18</v>
      </c>
      <c r="G3006" s="15" t="s">
        <v>32</v>
      </c>
      <c r="H3006" s="15" t="n">
        <v>2</v>
      </c>
      <c r="I3006" s="17" t="n">
        <v>0.2</v>
      </c>
      <c r="J3006" s="18" t="n">
        <v>763.25</v>
      </c>
      <c r="K3006" s="19" t="n">
        <v>-33.05</v>
      </c>
      <c r="L3006" s="15" t="n">
        <f aca="false">YEAR(B3006)</f>
        <v>2025</v>
      </c>
      <c r="M3006" s="20" t="n">
        <f aca="false">IF(J3006&gt;0,K3006/J3006,0)</f>
        <v>-0.0433016704880445</v>
      </c>
    </row>
    <row r="3007" customFormat="false" ht="15" hidden="false" customHeight="false" outlineLevel="0" collapsed="false">
      <c r="A3007" s="15" t="s">
        <v>3064</v>
      </c>
      <c r="B3007" s="16" t="n">
        <v>45520</v>
      </c>
      <c r="C3007" s="15" t="s">
        <v>56</v>
      </c>
      <c r="D3007" s="15" t="s">
        <v>42</v>
      </c>
      <c r="E3007" s="15" t="s">
        <v>37</v>
      </c>
      <c r="F3007" s="15" t="s">
        <v>17</v>
      </c>
      <c r="G3007" s="15" t="s">
        <v>29</v>
      </c>
      <c r="H3007" s="15" t="n">
        <v>6</v>
      </c>
      <c r="I3007" s="17" t="n">
        <v>0</v>
      </c>
      <c r="J3007" s="18" t="n">
        <v>91.68</v>
      </c>
      <c r="K3007" s="19" t="n">
        <v>35.77</v>
      </c>
      <c r="L3007" s="15" t="n">
        <f aca="false">YEAR(B3007)</f>
        <v>2024</v>
      </c>
      <c r="M3007" s="20" t="n">
        <f aca="false">IF(J3007&gt;0,K3007/J3007,0)</f>
        <v>0.390161431064572</v>
      </c>
    </row>
    <row r="3008" customFormat="false" ht="15" hidden="false" customHeight="false" outlineLevel="0" collapsed="false">
      <c r="A3008" s="15" t="s">
        <v>3065</v>
      </c>
      <c r="B3008" s="16" t="n">
        <v>45062</v>
      </c>
      <c r="C3008" s="15" t="s">
        <v>71</v>
      </c>
      <c r="D3008" s="15" t="s">
        <v>42</v>
      </c>
      <c r="E3008" s="15" t="s">
        <v>38</v>
      </c>
      <c r="F3008" s="15" t="s">
        <v>17</v>
      </c>
      <c r="G3008" s="15" t="s">
        <v>31</v>
      </c>
      <c r="H3008" s="15" t="n">
        <v>2</v>
      </c>
      <c r="I3008" s="17" t="n">
        <v>0</v>
      </c>
      <c r="J3008" s="18" t="n">
        <v>187.86</v>
      </c>
      <c r="K3008" s="19" t="n">
        <v>41.63</v>
      </c>
      <c r="L3008" s="15" t="n">
        <f aca="false">YEAR(B3008)</f>
        <v>2023</v>
      </c>
      <c r="M3008" s="20" t="n">
        <f aca="false">IF(J3008&gt;0,K3008/J3008,0)</f>
        <v>0.221601192377302</v>
      </c>
    </row>
    <row r="3009" customFormat="false" ht="15" hidden="false" customHeight="false" outlineLevel="0" collapsed="false">
      <c r="A3009" s="15" t="s">
        <v>3066</v>
      </c>
      <c r="B3009" s="16" t="n">
        <v>45816</v>
      </c>
      <c r="C3009" s="15" t="s">
        <v>56</v>
      </c>
      <c r="D3009" s="15" t="s">
        <v>42</v>
      </c>
      <c r="E3009" s="15" t="s">
        <v>39</v>
      </c>
      <c r="F3009" s="15" t="s">
        <v>16</v>
      </c>
      <c r="G3009" s="15" t="s">
        <v>22</v>
      </c>
      <c r="H3009" s="15" t="n">
        <v>4</v>
      </c>
      <c r="I3009" s="17" t="n">
        <v>0</v>
      </c>
      <c r="J3009" s="18" t="n">
        <v>1612.35</v>
      </c>
      <c r="K3009" s="19" t="n">
        <v>20.6</v>
      </c>
      <c r="L3009" s="15" t="n">
        <f aca="false">YEAR(B3009)</f>
        <v>2025</v>
      </c>
      <c r="M3009" s="20" t="n">
        <f aca="false">IF(J3009&gt;0,K3009/J3009,0)</f>
        <v>0.0127763822991286</v>
      </c>
    </row>
    <row r="3010" customFormat="false" ht="15" hidden="false" customHeight="false" outlineLevel="0" collapsed="false">
      <c r="A3010" s="15" t="s">
        <v>3067</v>
      </c>
      <c r="B3010" s="16" t="n">
        <v>44752</v>
      </c>
      <c r="C3010" s="15" t="s">
        <v>56</v>
      </c>
      <c r="D3010" s="15" t="s">
        <v>44</v>
      </c>
      <c r="E3010" s="15" t="s">
        <v>39</v>
      </c>
      <c r="F3010" s="15" t="s">
        <v>17</v>
      </c>
      <c r="G3010" s="15" t="s">
        <v>26</v>
      </c>
      <c r="H3010" s="15" t="n">
        <v>3</v>
      </c>
      <c r="I3010" s="17" t="n">
        <v>0</v>
      </c>
      <c r="J3010" s="18" t="n">
        <v>364.28</v>
      </c>
      <c r="K3010" s="19" t="n">
        <v>12.54</v>
      </c>
      <c r="L3010" s="15" t="n">
        <f aca="false">YEAR(B3010)</f>
        <v>2022</v>
      </c>
      <c r="M3010" s="20" t="n">
        <f aca="false">IF(J3010&gt;0,K3010/J3010,0)</f>
        <v>0.034424069397167</v>
      </c>
    </row>
    <row r="3011" customFormat="false" ht="15" hidden="false" customHeight="false" outlineLevel="0" collapsed="false">
      <c r="A3011" s="15" t="s">
        <v>3068</v>
      </c>
      <c r="B3011" s="16" t="n">
        <v>45378</v>
      </c>
      <c r="C3011" s="15" t="s">
        <v>56</v>
      </c>
      <c r="D3011" s="15" t="s">
        <v>42</v>
      </c>
      <c r="E3011" s="15" t="s">
        <v>36</v>
      </c>
      <c r="F3011" s="15" t="s">
        <v>16</v>
      </c>
      <c r="G3011" s="15" t="s">
        <v>25</v>
      </c>
      <c r="H3011" s="15" t="n">
        <v>3</v>
      </c>
      <c r="I3011" s="17" t="n">
        <v>0.05</v>
      </c>
      <c r="J3011" s="18" t="n">
        <v>744.04</v>
      </c>
      <c r="K3011" s="19" t="n">
        <v>26.98</v>
      </c>
      <c r="L3011" s="15" t="n">
        <f aca="false">YEAR(B3011)</f>
        <v>2024</v>
      </c>
      <c r="M3011" s="20" t="n">
        <f aca="false">IF(J3011&gt;0,K3011/J3011,0)</f>
        <v>0.0362614913176711</v>
      </c>
    </row>
    <row r="3012" customFormat="false" ht="15" hidden="false" customHeight="false" outlineLevel="0" collapsed="false">
      <c r="A3012" s="15" t="s">
        <v>3069</v>
      </c>
      <c r="B3012" s="16" t="n">
        <v>45311</v>
      </c>
      <c r="C3012" s="15" t="s">
        <v>56</v>
      </c>
      <c r="D3012" s="15" t="s">
        <v>43</v>
      </c>
      <c r="E3012" s="15" t="s">
        <v>36</v>
      </c>
      <c r="F3012" s="15" t="s">
        <v>16</v>
      </c>
      <c r="G3012" s="15" t="s">
        <v>27</v>
      </c>
      <c r="H3012" s="15" t="n">
        <v>3</v>
      </c>
      <c r="I3012" s="17" t="n">
        <v>0.1</v>
      </c>
      <c r="J3012" s="18" t="n">
        <v>170.71</v>
      </c>
      <c r="K3012" s="19" t="n">
        <v>20.57</v>
      </c>
      <c r="L3012" s="15" t="n">
        <f aca="false">YEAR(B3012)</f>
        <v>2024</v>
      </c>
      <c r="M3012" s="20" t="n">
        <f aca="false">IF(J3012&gt;0,K3012/J3012,0)</f>
        <v>0.120496748872357</v>
      </c>
    </row>
    <row r="3013" customFormat="false" ht="15" hidden="false" customHeight="false" outlineLevel="0" collapsed="false">
      <c r="A3013" s="15" t="s">
        <v>3070</v>
      </c>
      <c r="B3013" s="16" t="n">
        <v>45260</v>
      </c>
      <c r="C3013" s="15" t="s">
        <v>56</v>
      </c>
      <c r="D3013" s="15" t="s">
        <v>44</v>
      </c>
      <c r="E3013" s="15" t="s">
        <v>39</v>
      </c>
      <c r="F3013" s="15" t="s">
        <v>16</v>
      </c>
      <c r="G3013" s="15" t="s">
        <v>23</v>
      </c>
      <c r="H3013" s="15" t="n">
        <v>4</v>
      </c>
      <c r="I3013" s="17" t="n">
        <v>0</v>
      </c>
      <c r="J3013" s="18" t="n">
        <v>1497.21</v>
      </c>
      <c r="K3013" s="19" t="n">
        <v>59.99</v>
      </c>
      <c r="L3013" s="15" t="n">
        <f aca="false">YEAR(B3013)</f>
        <v>2023</v>
      </c>
      <c r="M3013" s="20" t="n">
        <f aca="false">IF(J3013&gt;0,K3013/J3013,0)</f>
        <v>0.0400678595521002</v>
      </c>
    </row>
    <row r="3014" customFormat="false" ht="15" hidden="false" customHeight="false" outlineLevel="0" collapsed="false">
      <c r="A3014" s="15" t="s">
        <v>3071</v>
      </c>
      <c r="B3014" s="16" t="n">
        <v>44623</v>
      </c>
      <c r="C3014" s="15" t="s">
        <v>56</v>
      </c>
      <c r="D3014" s="15" t="s">
        <v>42</v>
      </c>
      <c r="E3014" s="15" t="s">
        <v>39</v>
      </c>
      <c r="F3014" s="15" t="s">
        <v>17</v>
      </c>
      <c r="G3014" s="15" t="s">
        <v>31</v>
      </c>
      <c r="H3014" s="15" t="n">
        <v>5</v>
      </c>
      <c r="I3014" s="17" t="n">
        <v>0.2</v>
      </c>
      <c r="J3014" s="18" t="n">
        <v>552.3</v>
      </c>
      <c r="K3014" s="19" t="n">
        <v>33.02</v>
      </c>
      <c r="L3014" s="15" t="n">
        <f aca="false">YEAR(B3014)</f>
        <v>2022</v>
      </c>
      <c r="M3014" s="20" t="n">
        <f aca="false">IF(J3014&gt;0,K3014/J3014,0)</f>
        <v>0.0597863479992758</v>
      </c>
    </row>
    <row r="3015" customFormat="false" ht="15" hidden="false" customHeight="false" outlineLevel="0" collapsed="false">
      <c r="A3015" s="15" t="s">
        <v>3072</v>
      </c>
      <c r="B3015" s="16" t="n">
        <v>45062</v>
      </c>
      <c r="C3015" s="15" t="s">
        <v>56</v>
      </c>
      <c r="D3015" s="15" t="s">
        <v>44</v>
      </c>
      <c r="E3015" s="15" t="s">
        <v>39</v>
      </c>
      <c r="F3015" s="15" t="s">
        <v>17</v>
      </c>
      <c r="G3015" s="15" t="s">
        <v>26</v>
      </c>
      <c r="H3015" s="15" t="n">
        <v>4</v>
      </c>
      <c r="I3015" s="17" t="n">
        <v>0</v>
      </c>
      <c r="J3015" s="18" t="n">
        <v>367.96</v>
      </c>
      <c r="K3015" s="19" t="n">
        <v>21.81</v>
      </c>
      <c r="L3015" s="15" t="n">
        <f aca="false">YEAR(B3015)</f>
        <v>2023</v>
      </c>
      <c r="M3015" s="20" t="n">
        <f aca="false">IF(J3015&gt;0,K3015/J3015,0)</f>
        <v>0.0592727470377215</v>
      </c>
    </row>
    <row r="3016" customFormat="false" ht="15" hidden="false" customHeight="false" outlineLevel="0" collapsed="false">
      <c r="A3016" s="15" t="s">
        <v>3073</v>
      </c>
      <c r="B3016" s="16" t="n">
        <v>45636</v>
      </c>
      <c r="C3016" s="15" t="s">
        <v>56</v>
      </c>
      <c r="D3016" s="15" t="s">
        <v>42</v>
      </c>
      <c r="E3016" s="15" t="s">
        <v>39</v>
      </c>
      <c r="F3016" s="15" t="s">
        <v>18</v>
      </c>
      <c r="G3016" s="15" t="s">
        <v>30</v>
      </c>
      <c r="H3016" s="15" t="n">
        <v>4</v>
      </c>
      <c r="I3016" s="17" t="n">
        <v>0</v>
      </c>
      <c r="J3016" s="18" t="n">
        <v>206.63</v>
      </c>
      <c r="K3016" s="19" t="n">
        <v>67.26</v>
      </c>
      <c r="L3016" s="15" t="n">
        <f aca="false">YEAR(B3016)</f>
        <v>2024</v>
      </c>
      <c r="M3016" s="20" t="n">
        <f aca="false">IF(J3016&gt;0,K3016/J3016,0)</f>
        <v>0.325509364564681</v>
      </c>
    </row>
    <row r="3017" customFormat="false" ht="15" hidden="false" customHeight="false" outlineLevel="0" collapsed="false">
      <c r="A3017" s="15" t="s">
        <v>3074</v>
      </c>
      <c r="B3017" s="16" t="n">
        <v>45570</v>
      </c>
      <c r="C3017" s="15" t="s">
        <v>56</v>
      </c>
      <c r="D3017" s="15" t="s">
        <v>44</v>
      </c>
      <c r="E3017" s="15" t="s">
        <v>38</v>
      </c>
      <c r="F3017" s="15" t="s">
        <v>17</v>
      </c>
      <c r="G3017" s="15" t="s">
        <v>29</v>
      </c>
      <c r="H3017" s="15" t="n">
        <v>3</v>
      </c>
      <c r="I3017" s="17" t="n">
        <v>0.2</v>
      </c>
      <c r="J3017" s="18" t="n">
        <v>45.83</v>
      </c>
      <c r="K3017" s="19" t="n">
        <v>10.71</v>
      </c>
      <c r="L3017" s="15" t="n">
        <f aca="false">YEAR(B3017)</f>
        <v>2024</v>
      </c>
      <c r="M3017" s="20" t="n">
        <f aca="false">IF(J3017&gt;0,K3017/J3017,0)</f>
        <v>0.233689722888937</v>
      </c>
    </row>
    <row r="3018" customFormat="false" ht="15" hidden="false" customHeight="false" outlineLevel="0" collapsed="false">
      <c r="A3018" s="15" t="s">
        <v>3075</v>
      </c>
      <c r="B3018" s="16" t="n">
        <v>45605</v>
      </c>
      <c r="C3018" s="15" t="s">
        <v>58</v>
      </c>
      <c r="D3018" s="15" t="s">
        <v>42</v>
      </c>
      <c r="E3018" s="15" t="s">
        <v>37</v>
      </c>
      <c r="F3018" s="15" t="s">
        <v>17</v>
      </c>
      <c r="G3018" s="15" t="s">
        <v>29</v>
      </c>
      <c r="H3018" s="15" t="n">
        <v>3</v>
      </c>
      <c r="I3018" s="17" t="n">
        <v>0.2</v>
      </c>
      <c r="J3018" s="18" t="n">
        <v>41.92</v>
      </c>
      <c r="K3018" s="19" t="n">
        <v>9.03</v>
      </c>
      <c r="L3018" s="15" t="n">
        <f aca="false">YEAR(B3018)</f>
        <v>2024</v>
      </c>
      <c r="M3018" s="20" t="n">
        <f aca="false">IF(J3018&gt;0,K3018/J3018,0)</f>
        <v>0.215410305343511</v>
      </c>
    </row>
    <row r="3019" customFormat="false" ht="15" hidden="false" customHeight="false" outlineLevel="0" collapsed="false">
      <c r="A3019" s="15" t="s">
        <v>3076</v>
      </c>
      <c r="B3019" s="16" t="n">
        <v>45352</v>
      </c>
      <c r="C3019" s="15" t="s">
        <v>71</v>
      </c>
      <c r="D3019" s="15" t="s">
        <v>42</v>
      </c>
      <c r="E3019" s="15" t="s">
        <v>38</v>
      </c>
      <c r="F3019" s="15" t="s">
        <v>17</v>
      </c>
      <c r="G3019" s="15" t="s">
        <v>28</v>
      </c>
      <c r="H3019" s="15" t="n">
        <v>3</v>
      </c>
      <c r="I3019" s="17" t="n">
        <v>0</v>
      </c>
      <c r="J3019" s="18" t="n">
        <v>63.47</v>
      </c>
      <c r="K3019" s="19" t="n">
        <v>17.56</v>
      </c>
      <c r="L3019" s="15" t="n">
        <f aca="false">YEAR(B3019)</f>
        <v>2024</v>
      </c>
      <c r="M3019" s="20" t="n">
        <f aca="false">IF(J3019&gt;0,K3019/J3019,0)</f>
        <v>0.276666141484166</v>
      </c>
    </row>
    <row r="3020" customFormat="false" ht="15" hidden="false" customHeight="false" outlineLevel="0" collapsed="false">
      <c r="A3020" s="15" t="s">
        <v>3077</v>
      </c>
      <c r="B3020" s="16" t="n">
        <v>44809</v>
      </c>
      <c r="C3020" s="15" t="s">
        <v>56</v>
      </c>
      <c r="D3020" s="15" t="s">
        <v>44</v>
      </c>
      <c r="E3020" s="15" t="s">
        <v>37</v>
      </c>
      <c r="F3020" s="15" t="s">
        <v>17</v>
      </c>
      <c r="G3020" s="15" t="s">
        <v>29</v>
      </c>
      <c r="H3020" s="15" t="n">
        <v>1</v>
      </c>
      <c r="I3020" s="17" t="n">
        <v>0</v>
      </c>
      <c r="J3020" s="18" t="n">
        <v>17.8</v>
      </c>
      <c r="K3020" s="19" t="n">
        <v>8.15</v>
      </c>
      <c r="L3020" s="15" t="n">
        <f aca="false">YEAR(B3020)</f>
        <v>2022</v>
      </c>
      <c r="M3020" s="20" t="n">
        <f aca="false">IF(J3020&gt;0,K3020/J3020,0)</f>
        <v>0.457865168539326</v>
      </c>
    </row>
    <row r="3021" customFormat="false" ht="15" hidden="false" customHeight="false" outlineLevel="0" collapsed="false">
      <c r="A3021" s="15" t="s">
        <v>3078</v>
      </c>
      <c r="B3021" s="16" t="n">
        <v>45944</v>
      </c>
      <c r="C3021" s="15" t="s">
        <v>56</v>
      </c>
      <c r="D3021" s="15" t="s">
        <v>44</v>
      </c>
      <c r="E3021" s="15" t="s">
        <v>37</v>
      </c>
      <c r="F3021" s="15" t="s">
        <v>18</v>
      </c>
      <c r="G3021" s="15" t="s">
        <v>24</v>
      </c>
      <c r="H3021" s="15" t="n">
        <v>1</v>
      </c>
      <c r="I3021" s="17" t="n">
        <v>0.1</v>
      </c>
      <c r="J3021" s="18" t="n">
        <v>578.87</v>
      </c>
      <c r="K3021" s="19" t="n">
        <v>-21.18</v>
      </c>
      <c r="L3021" s="15" t="n">
        <f aca="false">YEAR(B3021)</f>
        <v>2025</v>
      </c>
      <c r="M3021" s="20" t="n">
        <f aca="false">IF(J3021&gt;0,K3021/J3021,0)</f>
        <v>-0.0365885259211913</v>
      </c>
    </row>
    <row r="3022" customFormat="false" ht="15" hidden="false" customHeight="false" outlineLevel="0" collapsed="false">
      <c r="A3022" s="15" t="s">
        <v>3079</v>
      </c>
      <c r="B3022" s="16" t="n">
        <v>45361</v>
      </c>
      <c r="C3022" s="15" t="s">
        <v>56</v>
      </c>
      <c r="D3022" s="15" t="s">
        <v>44</v>
      </c>
      <c r="E3022" s="15" t="s">
        <v>38</v>
      </c>
      <c r="F3022" s="15" t="s">
        <v>17</v>
      </c>
      <c r="G3022" s="15" t="s">
        <v>28</v>
      </c>
      <c r="H3022" s="15" t="n">
        <v>3</v>
      </c>
      <c r="I3022" s="17" t="n">
        <v>0.05</v>
      </c>
      <c r="J3022" s="18" t="n">
        <v>61.62</v>
      </c>
      <c r="K3022" s="19" t="n">
        <v>13.94</v>
      </c>
      <c r="L3022" s="15" t="n">
        <f aca="false">YEAR(B3022)</f>
        <v>2024</v>
      </c>
      <c r="M3022" s="20" t="n">
        <f aca="false">IF(J3022&gt;0,K3022/J3022,0)</f>
        <v>0.226225251541707</v>
      </c>
    </row>
    <row r="3023" customFormat="false" ht="15" hidden="false" customHeight="false" outlineLevel="0" collapsed="false">
      <c r="A3023" s="15" t="s">
        <v>3080</v>
      </c>
      <c r="B3023" s="16" t="n">
        <v>44972</v>
      </c>
      <c r="C3023" s="15" t="s">
        <v>71</v>
      </c>
      <c r="D3023" s="15" t="s">
        <v>42</v>
      </c>
      <c r="E3023" s="15" t="s">
        <v>37</v>
      </c>
      <c r="F3023" s="15" t="s">
        <v>17</v>
      </c>
      <c r="G3023" s="15" t="s">
        <v>26</v>
      </c>
      <c r="H3023" s="15" t="n">
        <v>2</v>
      </c>
      <c r="I3023" s="17" t="n">
        <v>0.15</v>
      </c>
      <c r="J3023" s="18" t="n">
        <v>161.88</v>
      </c>
      <c r="K3023" s="19" t="n">
        <v>-3.35</v>
      </c>
      <c r="L3023" s="15" t="n">
        <f aca="false">YEAR(B3023)</f>
        <v>2023</v>
      </c>
      <c r="M3023" s="20" t="n">
        <f aca="false">IF(J3023&gt;0,K3023/J3023,0)</f>
        <v>-0.0206943414875216</v>
      </c>
    </row>
    <row r="3024" customFormat="false" ht="15" hidden="false" customHeight="false" outlineLevel="0" collapsed="false">
      <c r="A3024" s="15" t="s">
        <v>3081</v>
      </c>
      <c r="B3024" s="16" t="n">
        <v>45344</v>
      </c>
      <c r="C3024" s="15" t="s">
        <v>68</v>
      </c>
      <c r="D3024" s="15" t="s">
        <v>43</v>
      </c>
      <c r="E3024" s="15" t="s">
        <v>39</v>
      </c>
      <c r="F3024" s="15" t="s">
        <v>17</v>
      </c>
      <c r="G3024" s="15" t="s">
        <v>31</v>
      </c>
      <c r="H3024" s="15" t="n">
        <v>1</v>
      </c>
      <c r="I3024" s="17" t="n">
        <v>0.15</v>
      </c>
      <c r="J3024" s="18" t="n">
        <v>127.67</v>
      </c>
      <c r="K3024" s="19" t="n">
        <v>0.75</v>
      </c>
      <c r="L3024" s="15" t="n">
        <f aca="false">YEAR(B3024)</f>
        <v>2024</v>
      </c>
      <c r="M3024" s="20" t="n">
        <f aca="false">IF(J3024&gt;0,K3024/J3024,0)</f>
        <v>0.00587452024751312</v>
      </c>
    </row>
    <row r="3025" customFormat="false" ht="15" hidden="false" customHeight="false" outlineLevel="0" collapsed="false">
      <c r="A3025" s="15" t="s">
        <v>3082</v>
      </c>
      <c r="B3025" s="16" t="n">
        <v>45987</v>
      </c>
      <c r="C3025" s="15" t="s">
        <v>56</v>
      </c>
      <c r="D3025" s="15" t="s">
        <v>44</v>
      </c>
      <c r="E3025" s="15" t="s">
        <v>38</v>
      </c>
      <c r="F3025" s="15" t="s">
        <v>17</v>
      </c>
      <c r="G3025" s="15" t="s">
        <v>29</v>
      </c>
      <c r="H3025" s="15" t="n">
        <v>1</v>
      </c>
      <c r="I3025" s="17" t="n">
        <v>0.1</v>
      </c>
      <c r="J3025" s="18" t="n">
        <v>16.54</v>
      </c>
      <c r="K3025" s="19" t="n">
        <v>4.67</v>
      </c>
      <c r="L3025" s="15" t="n">
        <f aca="false">YEAR(B3025)</f>
        <v>2025</v>
      </c>
      <c r="M3025" s="20" t="n">
        <f aca="false">IF(J3025&gt;0,K3025/J3025,0)</f>
        <v>0.282345828295042</v>
      </c>
    </row>
    <row r="3026" customFormat="false" ht="15" hidden="false" customHeight="false" outlineLevel="0" collapsed="false">
      <c r="A3026" s="15" t="s">
        <v>3083</v>
      </c>
      <c r="B3026" s="16" t="n">
        <v>45690</v>
      </c>
      <c r="C3026" s="15" t="s">
        <v>58</v>
      </c>
      <c r="D3026" s="15" t="s">
        <v>42</v>
      </c>
      <c r="E3026" s="15" t="s">
        <v>39</v>
      </c>
      <c r="F3026" s="15" t="s">
        <v>16</v>
      </c>
      <c r="G3026" s="15" t="s">
        <v>23</v>
      </c>
      <c r="H3026" s="15" t="n">
        <v>3</v>
      </c>
      <c r="I3026" s="17" t="n">
        <v>0.5</v>
      </c>
      <c r="J3026" s="18" t="n">
        <v>447.98</v>
      </c>
      <c r="K3026" s="19" t="n">
        <v>-191.32</v>
      </c>
      <c r="L3026" s="15" t="n">
        <f aca="false">YEAR(B3026)</f>
        <v>2025</v>
      </c>
      <c r="M3026" s="20" t="n">
        <f aca="false">IF(J3026&gt;0,K3026/J3026,0)</f>
        <v>-0.427072637171302</v>
      </c>
    </row>
    <row r="3027" customFormat="false" ht="15" hidden="false" customHeight="false" outlineLevel="0" collapsed="false">
      <c r="A3027" s="15" t="s">
        <v>3084</v>
      </c>
      <c r="B3027" s="16" t="n">
        <v>44957</v>
      </c>
      <c r="C3027" s="15" t="s">
        <v>56</v>
      </c>
      <c r="D3027" s="15" t="s">
        <v>43</v>
      </c>
      <c r="E3027" s="15" t="s">
        <v>38</v>
      </c>
      <c r="F3027" s="15" t="s">
        <v>17</v>
      </c>
      <c r="G3027" s="15" t="s">
        <v>26</v>
      </c>
      <c r="H3027" s="15" t="n">
        <v>3</v>
      </c>
      <c r="I3027" s="17" t="n">
        <v>0</v>
      </c>
      <c r="J3027" s="18" t="n">
        <v>229.07</v>
      </c>
      <c r="K3027" s="19" t="n">
        <v>33.75</v>
      </c>
      <c r="L3027" s="15" t="n">
        <f aca="false">YEAR(B3027)</f>
        <v>2023</v>
      </c>
      <c r="M3027" s="20" t="n">
        <f aca="false">IF(J3027&gt;0,K3027/J3027,0)</f>
        <v>0.147334875802157</v>
      </c>
    </row>
    <row r="3028" customFormat="false" ht="15" hidden="false" customHeight="false" outlineLevel="0" collapsed="false">
      <c r="A3028" s="15" t="s">
        <v>3085</v>
      </c>
      <c r="B3028" s="16" t="n">
        <v>45614</v>
      </c>
      <c r="C3028" s="15" t="s">
        <v>71</v>
      </c>
      <c r="D3028" s="15" t="s">
        <v>42</v>
      </c>
      <c r="E3028" s="15" t="s">
        <v>38</v>
      </c>
      <c r="F3028" s="15" t="s">
        <v>17</v>
      </c>
      <c r="G3028" s="15" t="s">
        <v>29</v>
      </c>
      <c r="H3028" s="15" t="n">
        <v>1</v>
      </c>
      <c r="I3028" s="17" t="n">
        <v>0.1</v>
      </c>
      <c r="J3028" s="18" t="n">
        <v>14.2</v>
      </c>
      <c r="K3028" s="19" t="n">
        <v>3.84</v>
      </c>
      <c r="L3028" s="15" t="n">
        <f aca="false">YEAR(B3028)</f>
        <v>2024</v>
      </c>
      <c r="M3028" s="20" t="n">
        <f aca="false">IF(J3028&gt;0,K3028/J3028,0)</f>
        <v>0.270422535211268</v>
      </c>
    </row>
    <row r="3029" customFormat="false" ht="15" hidden="false" customHeight="false" outlineLevel="0" collapsed="false">
      <c r="A3029" s="15" t="s">
        <v>3086</v>
      </c>
      <c r="B3029" s="16" t="n">
        <v>44987</v>
      </c>
      <c r="C3029" s="15" t="s">
        <v>56</v>
      </c>
      <c r="D3029" s="15" t="s">
        <v>42</v>
      </c>
      <c r="E3029" s="15" t="s">
        <v>37</v>
      </c>
      <c r="F3029" s="15" t="s">
        <v>16</v>
      </c>
      <c r="G3029" s="15" t="s">
        <v>27</v>
      </c>
      <c r="H3029" s="15" t="n">
        <v>3</v>
      </c>
      <c r="I3029" s="17" t="n">
        <v>0.1</v>
      </c>
      <c r="J3029" s="18" t="n">
        <v>149.51</v>
      </c>
      <c r="K3029" s="19" t="n">
        <v>15.44</v>
      </c>
      <c r="L3029" s="15" t="n">
        <f aca="false">YEAR(B3029)</f>
        <v>2023</v>
      </c>
      <c r="M3029" s="20" t="n">
        <f aca="false">IF(J3029&gt;0,K3029/J3029,0)</f>
        <v>0.103270684235168</v>
      </c>
    </row>
    <row r="3030" customFormat="false" ht="15" hidden="false" customHeight="false" outlineLevel="0" collapsed="false">
      <c r="A3030" s="15" t="s">
        <v>3087</v>
      </c>
      <c r="B3030" s="16" t="n">
        <v>44881</v>
      </c>
      <c r="C3030" s="15" t="s">
        <v>68</v>
      </c>
      <c r="D3030" s="15" t="s">
        <v>43</v>
      </c>
      <c r="E3030" s="15" t="s">
        <v>38</v>
      </c>
      <c r="F3030" s="15" t="s">
        <v>17</v>
      </c>
      <c r="G3030" s="15" t="s">
        <v>29</v>
      </c>
      <c r="H3030" s="15" t="n">
        <v>2</v>
      </c>
      <c r="I3030" s="17" t="n">
        <v>0</v>
      </c>
      <c r="J3030" s="18" t="n">
        <v>31.55</v>
      </c>
      <c r="K3030" s="19" t="n">
        <v>12.51</v>
      </c>
      <c r="L3030" s="15" t="n">
        <f aca="false">YEAR(B3030)</f>
        <v>2022</v>
      </c>
      <c r="M3030" s="20" t="n">
        <f aca="false">IF(J3030&gt;0,K3030/J3030,0)</f>
        <v>0.396513470681458</v>
      </c>
    </row>
    <row r="3031" customFormat="false" ht="15" hidden="false" customHeight="false" outlineLevel="0" collapsed="false">
      <c r="A3031" s="15" t="s">
        <v>3088</v>
      </c>
      <c r="B3031" s="16" t="n">
        <v>44819</v>
      </c>
      <c r="C3031" s="15" t="s">
        <v>56</v>
      </c>
      <c r="D3031" s="15" t="s">
        <v>42</v>
      </c>
      <c r="E3031" s="15" t="s">
        <v>39</v>
      </c>
      <c r="F3031" s="15" t="s">
        <v>16</v>
      </c>
      <c r="G3031" s="15" t="s">
        <v>23</v>
      </c>
      <c r="H3031" s="15" t="n">
        <v>4</v>
      </c>
      <c r="I3031" s="17" t="n">
        <v>0.1</v>
      </c>
      <c r="J3031" s="18" t="n">
        <v>1186.41</v>
      </c>
      <c r="K3031" s="19" t="n">
        <v>-187.59</v>
      </c>
      <c r="L3031" s="15" t="n">
        <f aca="false">YEAR(B3031)</f>
        <v>2022</v>
      </c>
      <c r="M3031" s="20" t="n">
        <f aca="false">IF(J3031&gt;0,K3031/J3031,0)</f>
        <v>-0.158115659847776</v>
      </c>
    </row>
    <row r="3032" customFormat="false" ht="15" hidden="false" customHeight="false" outlineLevel="0" collapsed="false">
      <c r="A3032" s="15" t="s">
        <v>3089</v>
      </c>
      <c r="B3032" s="16" t="n">
        <v>45550</v>
      </c>
      <c r="C3032" s="15" t="s">
        <v>71</v>
      </c>
      <c r="D3032" s="15" t="s">
        <v>44</v>
      </c>
      <c r="E3032" s="15" t="s">
        <v>37</v>
      </c>
      <c r="F3032" s="15" t="s">
        <v>17</v>
      </c>
      <c r="G3032" s="15" t="s">
        <v>28</v>
      </c>
      <c r="H3032" s="15" t="n">
        <v>6</v>
      </c>
      <c r="I3032" s="17" t="n">
        <v>0.3</v>
      </c>
      <c r="J3032" s="18" t="n">
        <v>114.64</v>
      </c>
      <c r="K3032" s="19" t="n">
        <v>4.71</v>
      </c>
      <c r="L3032" s="15" t="n">
        <f aca="false">YEAR(B3032)</f>
        <v>2024</v>
      </c>
      <c r="M3032" s="20" t="n">
        <f aca="false">IF(J3032&gt;0,K3032/J3032,0)</f>
        <v>0.0410851360781577</v>
      </c>
    </row>
    <row r="3033" customFormat="false" ht="15" hidden="false" customHeight="false" outlineLevel="0" collapsed="false">
      <c r="A3033" s="15" t="s">
        <v>3090</v>
      </c>
      <c r="B3033" s="16" t="n">
        <v>46019</v>
      </c>
      <c r="C3033" s="15" t="s">
        <v>71</v>
      </c>
      <c r="D3033" s="15" t="s">
        <v>43</v>
      </c>
      <c r="E3033" s="15" t="s">
        <v>38</v>
      </c>
      <c r="F3033" s="15" t="s">
        <v>17</v>
      </c>
      <c r="G3033" s="15" t="s">
        <v>28</v>
      </c>
      <c r="H3033" s="15" t="n">
        <v>2</v>
      </c>
      <c r="I3033" s="17" t="n">
        <v>0.2</v>
      </c>
      <c r="J3033" s="18" t="n">
        <v>40.57</v>
      </c>
      <c r="K3033" s="19" t="n">
        <v>7.46</v>
      </c>
      <c r="L3033" s="15" t="n">
        <f aca="false">YEAR(B3033)</f>
        <v>2025</v>
      </c>
      <c r="M3033" s="20" t="n">
        <f aca="false">IF(J3033&gt;0,K3033/J3033,0)</f>
        <v>0.183879714074439</v>
      </c>
    </row>
    <row r="3034" customFormat="false" ht="15" hidden="false" customHeight="false" outlineLevel="0" collapsed="false">
      <c r="A3034" s="15" t="s">
        <v>3091</v>
      </c>
      <c r="B3034" s="16" t="n">
        <v>44719</v>
      </c>
      <c r="C3034" s="15" t="s">
        <v>56</v>
      </c>
      <c r="D3034" s="15" t="s">
        <v>43</v>
      </c>
      <c r="E3034" s="15" t="s">
        <v>38</v>
      </c>
      <c r="F3034" s="15" t="s">
        <v>18</v>
      </c>
      <c r="G3034" s="15" t="s">
        <v>30</v>
      </c>
      <c r="H3034" s="15" t="n">
        <v>5</v>
      </c>
      <c r="I3034" s="17" t="n">
        <v>0.05</v>
      </c>
      <c r="J3034" s="18" t="n">
        <v>196.81</v>
      </c>
      <c r="K3034" s="19" t="n">
        <v>61.03</v>
      </c>
      <c r="L3034" s="15" t="n">
        <f aca="false">YEAR(B3034)</f>
        <v>2022</v>
      </c>
      <c r="M3034" s="20" t="n">
        <f aca="false">IF(J3034&gt;0,K3034/J3034,0)</f>
        <v>0.310096031705706</v>
      </c>
    </row>
    <row r="3035" customFormat="false" ht="15" hidden="false" customHeight="false" outlineLevel="0" collapsed="false">
      <c r="A3035" s="15" t="s">
        <v>3092</v>
      </c>
      <c r="B3035" s="16" t="n">
        <v>45508</v>
      </c>
      <c r="C3035" s="15" t="s">
        <v>56</v>
      </c>
      <c r="D3035" s="15" t="s">
        <v>42</v>
      </c>
      <c r="E3035" s="15" t="s">
        <v>39</v>
      </c>
      <c r="F3035" s="15" t="s">
        <v>17</v>
      </c>
      <c r="G3035" s="15" t="s">
        <v>28</v>
      </c>
      <c r="H3035" s="15" t="n">
        <v>2</v>
      </c>
      <c r="I3035" s="17" t="n">
        <v>0.2</v>
      </c>
      <c r="J3035" s="18" t="n">
        <v>48.25</v>
      </c>
      <c r="K3035" s="19" t="n">
        <v>6.84</v>
      </c>
      <c r="L3035" s="15" t="n">
        <f aca="false">YEAR(B3035)</f>
        <v>2024</v>
      </c>
      <c r="M3035" s="20" t="n">
        <f aca="false">IF(J3035&gt;0,K3035/J3035,0)</f>
        <v>0.141761658031088</v>
      </c>
    </row>
    <row r="3036" customFormat="false" ht="15" hidden="false" customHeight="false" outlineLevel="0" collapsed="false">
      <c r="A3036" s="15" t="s">
        <v>3093</v>
      </c>
      <c r="B3036" s="16" t="n">
        <v>45105</v>
      </c>
      <c r="C3036" s="15" t="s">
        <v>56</v>
      </c>
      <c r="D3036" s="15" t="s">
        <v>42</v>
      </c>
      <c r="E3036" s="15" t="s">
        <v>38</v>
      </c>
      <c r="F3036" s="15" t="s">
        <v>17</v>
      </c>
      <c r="G3036" s="15" t="s">
        <v>31</v>
      </c>
      <c r="H3036" s="15" t="n">
        <v>4</v>
      </c>
      <c r="I3036" s="17" t="n">
        <v>0</v>
      </c>
      <c r="J3036" s="18" t="n">
        <v>442.84</v>
      </c>
      <c r="K3036" s="19" t="n">
        <v>64.95</v>
      </c>
      <c r="L3036" s="15" t="n">
        <f aca="false">YEAR(B3036)</f>
        <v>2023</v>
      </c>
      <c r="M3036" s="20" t="n">
        <f aca="false">IF(J3036&gt;0,K3036/J3036,0)</f>
        <v>0.14666696775359</v>
      </c>
    </row>
    <row r="3037" customFormat="false" ht="15" hidden="false" customHeight="false" outlineLevel="0" collapsed="false">
      <c r="A3037" s="15" t="s">
        <v>3094</v>
      </c>
      <c r="B3037" s="16" t="n">
        <v>45159</v>
      </c>
      <c r="C3037" s="15" t="s">
        <v>68</v>
      </c>
      <c r="D3037" s="15" t="s">
        <v>42</v>
      </c>
      <c r="E3037" s="15" t="s">
        <v>36</v>
      </c>
      <c r="F3037" s="15" t="s">
        <v>16</v>
      </c>
      <c r="G3037" s="15" t="s">
        <v>22</v>
      </c>
      <c r="H3037" s="15" t="n">
        <v>5</v>
      </c>
      <c r="I3037" s="17" t="n">
        <v>0</v>
      </c>
      <c r="J3037" s="18" t="n">
        <v>2195.83</v>
      </c>
      <c r="K3037" s="19" t="n">
        <v>10.95</v>
      </c>
      <c r="L3037" s="15" t="n">
        <f aca="false">YEAR(B3037)</f>
        <v>2023</v>
      </c>
      <c r="M3037" s="20" t="n">
        <f aca="false">IF(J3037&gt;0,K3037/J3037,0)</f>
        <v>0.00498672483753296</v>
      </c>
    </row>
    <row r="3038" customFormat="false" ht="15" hidden="false" customHeight="false" outlineLevel="0" collapsed="false">
      <c r="A3038" s="15" t="s">
        <v>3095</v>
      </c>
      <c r="B3038" s="16" t="n">
        <v>44628</v>
      </c>
      <c r="C3038" s="15" t="s">
        <v>56</v>
      </c>
      <c r="D3038" s="15" t="s">
        <v>42</v>
      </c>
      <c r="E3038" s="15" t="s">
        <v>37</v>
      </c>
      <c r="F3038" s="15" t="s">
        <v>18</v>
      </c>
      <c r="G3038" s="15" t="s">
        <v>32</v>
      </c>
      <c r="H3038" s="15" t="n">
        <v>4</v>
      </c>
      <c r="I3038" s="17" t="n">
        <v>0.1</v>
      </c>
      <c r="J3038" s="18" t="n">
        <v>1430.83</v>
      </c>
      <c r="K3038" s="19" t="n">
        <v>106.79</v>
      </c>
      <c r="L3038" s="15" t="n">
        <f aca="false">YEAR(B3038)</f>
        <v>2022</v>
      </c>
      <c r="M3038" s="20" t="n">
        <f aca="false">IF(J3038&gt;0,K3038/J3038,0)</f>
        <v>0.0746350020617404</v>
      </c>
    </row>
    <row r="3039" customFormat="false" ht="15" hidden="false" customHeight="false" outlineLevel="0" collapsed="false">
      <c r="A3039" s="15" t="s">
        <v>3096</v>
      </c>
      <c r="B3039" s="16" t="n">
        <v>44920</v>
      </c>
      <c r="C3039" s="15" t="s">
        <v>68</v>
      </c>
      <c r="D3039" s="15" t="s">
        <v>42</v>
      </c>
      <c r="E3039" s="15" t="s">
        <v>39</v>
      </c>
      <c r="F3039" s="15" t="s">
        <v>17</v>
      </c>
      <c r="G3039" s="15" t="s">
        <v>28</v>
      </c>
      <c r="H3039" s="15" t="n">
        <v>2</v>
      </c>
      <c r="I3039" s="17" t="n">
        <v>0.15</v>
      </c>
      <c r="J3039" s="18" t="n">
        <v>56.79</v>
      </c>
      <c r="K3039" s="19" t="n">
        <v>10.29</v>
      </c>
      <c r="L3039" s="15" t="n">
        <f aca="false">YEAR(B3039)</f>
        <v>2022</v>
      </c>
      <c r="M3039" s="20" t="n">
        <f aca="false">IF(J3039&gt;0,K3039/J3039,0)</f>
        <v>0.181193872160592</v>
      </c>
    </row>
    <row r="3040" customFormat="false" ht="15" hidden="false" customHeight="false" outlineLevel="0" collapsed="false">
      <c r="A3040" s="15" t="s">
        <v>3097</v>
      </c>
      <c r="B3040" s="16" t="n">
        <v>44909</v>
      </c>
      <c r="C3040" s="15" t="s">
        <v>56</v>
      </c>
      <c r="D3040" s="15" t="s">
        <v>42</v>
      </c>
      <c r="E3040" s="15" t="s">
        <v>36</v>
      </c>
      <c r="F3040" s="15" t="s">
        <v>18</v>
      </c>
      <c r="G3040" s="15" t="s">
        <v>30</v>
      </c>
      <c r="H3040" s="15" t="n">
        <v>2</v>
      </c>
      <c r="I3040" s="17" t="n">
        <v>0.3</v>
      </c>
      <c r="J3040" s="18" t="n">
        <v>63.75</v>
      </c>
      <c r="K3040" s="19" t="n">
        <v>0.31</v>
      </c>
      <c r="L3040" s="15" t="n">
        <f aca="false">YEAR(B3040)</f>
        <v>2022</v>
      </c>
      <c r="M3040" s="20" t="n">
        <f aca="false">IF(J3040&gt;0,K3040/J3040,0)</f>
        <v>0.00486274509803922</v>
      </c>
    </row>
    <row r="3041" customFormat="false" ht="15" hidden="false" customHeight="false" outlineLevel="0" collapsed="false">
      <c r="A3041" s="15" t="s">
        <v>3098</v>
      </c>
      <c r="B3041" s="16" t="n">
        <v>45412</v>
      </c>
      <c r="C3041" s="15" t="s">
        <v>58</v>
      </c>
      <c r="D3041" s="15" t="s">
        <v>42</v>
      </c>
      <c r="E3041" s="15" t="s">
        <v>36</v>
      </c>
      <c r="F3041" s="15" t="s">
        <v>17</v>
      </c>
      <c r="G3041" s="15" t="s">
        <v>26</v>
      </c>
      <c r="H3041" s="15" t="n">
        <v>5</v>
      </c>
      <c r="I3041" s="17" t="n">
        <v>0.2</v>
      </c>
      <c r="J3041" s="18" t="n">
        <v>318.81</v>
      </c>
      <c r="K3041" s="19" t="n">
        <v>-15.15</v>
      </c>
      <c r="L3041" s="15" t="n">
        <f aca="false">YEAR(B3041)</f>
        <v>2024</v>
      </c>
      <c r="M3041" s="20" t="n">
        <f aca="false">IF(J3041&gt;0,K3041/J3041,0)</f>
        <v>-0.0475204667356733</v>
      </c>
    </row>
    <row r="3042" customFormat="false" ht="15" hidden="false" customHeight="false" outlineLevel="0" collapsed="false">
      <c r="A3042" s="15" t="s">
        <v>3099</v>
      </c>
      <c r="B3042" s="16" t="n">
        <v>45573</v>
      </c>
      <c r="C3042" s="15" t="s">
        <v>56</v>
      </c>
      <c r="D3042" s="15" t="s">
        <v>43</v>
      </c>
      <c r="E3042" s="15" t="s">
        <v>38</v>
      </c>
      <c r="F3042" s="15" t="s">
        <v>17</v>
      </c>
      <c r="G3042" s="15" t="s">
        <v>29</v>
      </c>
      <c r="H3042" s="15" t="n">
        <v>11</v>
      </c>
      <c r="I3042" s="17" t="n">
        <v>0</v>
      </c>
      <c r="J3042" s="18" t="n">
        <v>206.11</v>
      </c>
      <c r="K3042" s="19" t="n">
        <v>79.48</v>
      </c>
      <c r="L3042" s="15" t="n">
        <f aca="false">YEAR(B3042)</f>
        <v>2024</v>
      </c>
      <c r="M3042" s="20" t="n">
        <f aca="false">IF(J3042&gt;0,K3042/J3042,0)</f>
        <v>0.385619329484256</v>
      </c>
    </row>
    <row r="3043" customFormat="false" ht="15" hidden="false" customHeight="false" outlineLevel="0" collapsed="false">
      <c r="A3043" s="15" t="s">
        <v>3100</v>
      </c>
      <c r="B3043" s="16" t="n">
        <v>45330</v>
      </c>
      <c r="C3043" s="15" t="s">
        <v>56</v>
      </c>
      <c r="D3043" s="15" t="s">
        <v>43</v>
      </c>
      <c r="E3043" s="15" t="s">
        <v>38</v>
      </c>
      <c r="F3043" s="15" t="s">
        <v>17</v>
      </c>
      <c r="G3043" s="15" t="s">
        <v>28</v>
      </c>
      <c r="H3043" s="15" t="n">
        <v>8</v>
      </c>
      <c r="I3043" s="17" t="n">
        <v>0</v>
      </c>
      <c r="J3043" s="18" t="n">
        <v>179.54</v>
      </c>
      <c r="K3043" s="19" t="n">
        <v>65.89</v>
      </c>
      <c r="L3043" s="15" t="n">
        <f aca="false">YEAR(B3043)</f>
        <v>2024</v>
      </c>
      <c r="M3043" s="20" t="n">
        <f aca="false">IF(J3043&gt;0,K3043/J3043,0)</f>
        <v>0.366993427648435</v>
      </c>
    </row>
    <row r="3044" customFormat="false" ht="15" hidden="false" customHeight="false" outlineLevel="0" collapsed="false">
      <c r="A3044" s="15" t="s">
        <v>3101</v>
      </c>
      <c r="B3044" s="16" t="n">
        <v>44880</v>
      </c>
      <c r="C3044" s="15" t="s">
        <v>56</v>
      </c>
      <c r="D3044" s="15" t="s">
        <v>42</v>
      </c>
      <c r="E3044" s="15" t="s">
        <v>39</v>
      </c>
      <c r="F3044" s="15" t="s">
        <v>17</v>
      </c>
      <c r="G3044" s="15" t="s">
        <v>29</v>
      </c>
      <c r="H3044" s="15" t="n">
        <v>5</v>
      </c>
      <c r="I3044" s="17" t="n">
        <v>0.1</v>
      </c>
      <c r="J3044" s="18" t="n">
        <v>88.07</v>
      </c>
      <c r="K3044" s="19" t="n">
        <v>18.81</v>
      </c>
      <c r="L3044" s="15" t="n">
        <f aca="false">YEAR(B3044)</f>
        <v>2022</v>
      </c>
      <c r="M3044" s="20" t="n">
        <f aca="false">IF(J3044&gt;0,K3044/J3044,0)</f>
        <v>0.21358010673328</v>
      </c>
    </row>
    <row r="3045" customFormat="false" ht="15" hidden="false" customHeight="false" outlineLevel="0" collapsed="false">
      <c r="A3045" s="15" t="s">
        <v>3102</v>
      </c>
      <c r="B3045" s="16" t="n">
        <v>45110</v>
      </c>
      <c r="C3045" s="15" t="s">
        <v>56</v>
      </c>
      <c r="D3045" s="15" t="s">
        <v>42</v>
      </c>
      <c r="E3045" s="15" t="s">
        <v>38</v>
      </c>
      <c r="F3045" s="15" t="s">
        <v>17</v>
      </c>
      <c r="G3045" s="15" t="s">
        <v>31</v>
      </c>
      <c r="H3045" s="15" t="n">
        <v>5</v>
      </c>
      <c r="I3045" s="17" t="n">
        <v>0.2</v>
      </c>
      <c r="J3045" s="18" t="n">
        <v>501.21</v>
      </c>
      <c r="K3045" s="19" t="n">
        <v>29.17</v>
      </c>
      <c r="L3045" s="15" t="n">
        <f aca="false">YEAR(B3045)</f>
        <v>2023</v>
      </c>
      <c r="M3045" s="20" t="n">
        <f aca="false">IF(J3045&gt;0,K3045/J3045,0)</f>
        <v>0.0581991580375491</v>
      </c>
    </row>
    <row r="3046" customFormat="false" ht="15" hidden="false" customHeight="false" outlineLevel="0" collapsed="false">
      <c r="A3046" s="15" t="s">
        <v>3103</v>
      </c>
      <c r="B3046" s="16" t="n">
        <v>45867</v>
      </c>
      <c r="C3046" s="15" t="s">
        <v>68</v>
      </c>
      <c r="D3046" s="15" t="s">
        <v>44</v>
      </c>
      <c r="E3046" s="15" t="s">
        <v>36</v>
      </c>
      <c r="F3046" s="15" t="s">
        <v>16</v>
      </c>
      <c r="G3046" s="15" t="s">
        <v>25</v>
      </c>
      <c r="H3046" s="15" t="n">
        <v>3</v>
      </c>
      <c r="I3046" s="17" t="n">
        <v>0.15</v>
      </c>
      <c r="J3046" s="18" t="n">
        <v>550.15</v>
      </c>
      <c r="K3046" s="19" t="n">
        <v>-22.42</v>
      </c>
      <c r="L3046" s="15" t="n">
        <f aca="false">YEAR(B3046)</f>
        <v>2025</v>
      </c>
      <c r="M3046" s="20" t="n">
        <f aca="false">IF(J3046&gt;0,K3046/J3046,0)</f>
        <v>-0.0407525220394438</v>
      </c>
    </row>
    <row r="3047" customFormat="false" ht="15" hidden="false" customHeight="false" outlineLevel="0" collapsed="false">
      <c r="A3047" s="15" t="s">
        <v>3104</v>
      </c>
      <c r="B3047" s="16" t="n">
        <v>45311</v>
      </c>
      <c r="C3047" s="15" t="s">
        <v>71</v>
      </c>
      <c r="D3047" s="15" t="s">
        <v>43</v>
      </c>
      <c r="E3047" s="15" t="s">
        <v>39</v>
      </c>
      <c r="F3047" s="15" t="s">
        <v>18</v>
      </c>
      <c r="G3047" s="15" t="s">
        <v>30</v>
      </c>
      <c r="H3047" s="15" t="n">
        <v>4</v>
      </c>
      <c r="I3047" s="17" t="n">
        <v>0.1</v>
      </c>
      <c r="J3047" s="18" t="n">
        <v>176.09</v>
      </c>
      <c r="K3047" s="19" t="n">
        <v>35.87</v>
      </c>
      <c r="L3047" s="15" t="n">
        <f aca="false">YEAR(B3047)</f>
        <v>2024</v>
      </c>
      <c r="M3047" s="20" t="n">
        <f aca="false">IF(J3047&gt;0,K3047/J3047,0)</f>
        <v>0.203702652052927</v>
      </c>
    </row>
    <row r="3048" customFormat="false" ht="15" hidden="false" customHeight="false" outlineLevel="0" collapsed="false">
      <c r="A3048" s="15" t="s">
        <v>3105</v>
      </c>
      <c r="B3048" s="16" t="n">
        <v>45006</v>
      </c>
      <c r="C3048" s="15" t="s">
        <v>71</v>
      </c>
      <c r="D3048" s="15" t="s">
        <v>43</v>
      </c>
      <c r="E3048" s="15" t="s">
        <v>39</v>
      </c>
      <c r="F3048" s="15" t="s">
        <v>17</v>
      </c>
      <c r="G3048" s="15" t="s">
        <v>31</v>
      </c>
      <c r="H3048" s="15" t="n">
        <v>4</v>
      </c>
      <c r="I3048" s="17" t="n">
        <v>0.1</v>
      </c>
      <c r="J3048" s="18" t="n">
        <v>476.69</v>
      </c>
      <c r="K3048" s="19" t="n">
        <v>71.21</v>
      </c>
      <c r="L3048" s="15" t="n">
        <f aca="false">YEAR(B3048)</f>
        <v>2023</v>
      </c>
      <c r="M3048" s="20" t="n">
        <f aca="false">IF(J3048&gt;0,K3048/J3048,0)</f>
        <v>0.149384295873629</v>
      </c>
    </row>
    <row r="3049" customFormat="false" ht="15" hidden="false" customHeight="false" outlineLevel="0" collapsed="false">
      <c r="A3049" s="15" t="s">
        <v>3106</v>
      </c>
      <c r="B3049" s="16" t="n">
        <v>45410</v>
      </c>
      <c r="C3049" s="15" t="s">
        <v>58</v>
      </c>
      <c r="D3049" s="15" t="s">
        <v>44</v>
      </c>
      <c r="E3049" s="15" t="s">
        <v>38</v>
      </c>
      <c r="F3049" s="15" t="s">
        <v>17</v>
      </c>
      <c r="G3049" s="15" t="s">
        <v>26</v>
      </c>
      <c r="H3049" s="15" t="n">
        <v>4</v>
      </c>
      <c r="I3049" s="17" t="n">
        <v>0.15</v>
      </c>
      <c r="J3049" s="18" t="n">
        <v>311.2</v>
      </c>
      <c r="K3049" s="19" t="n">
        <v>26.28</v>
      </c>
      <c r="L3049" s="15" t="n">
        <f aca="false">YEAR(B3049)</f>
        <v>2024</v>
      </c>
      <c r="M3049" s="20" t="n">
        <f aca="false">IF(J3049&gt;0,K3049/J3049,0)</f>
        <v>0.0844473007712082</v>
      </c>
    </row>
    <row r="3050" customFormat="false" ht="15" hidden="false" customHeight="false" outlineLevel="0" collapsed="false">
      <c r="A3050" s="15" t="s">
        <v>3107</v>
      </c>
      <c r="B3050" s="16" t="n">
        <v>45500</v>
      </c>
      <c r="C3050" s="15" t="s">
        <v>68</v>
      </c>
      <c r="D3050" s="15" t="s">
        <v>42</v>
      </c>
      <c r="E3050" s="15" t="s">
        <v>36</v>
      </c>
      <c r="F3050" s="15" t="s">
        <v>17</v>
      </c>
      <c r="G3050" s="15" t="s">
        <v>29</v>
      </c>
      <c r="H3050" s="15" t="n">
        <v>5</v>
      </c>
      <c r="I3050" s="17" t="n">
        <v>0</v>
      </c>
      <c r="J3050" s="18" t="n">
        <v>103.55</v>
      </c>
      <c r="K3050" s="19" t="n">
        <v>35.04</v>
      </c>
      <c r="L3050" s="15" t="n">
        <f aca="false">YEAR(B3050)</f>
        <v>2024</v>
      </c>
      <c r="M3050" s="20" t="n">
        <f aca="false">IF(J3050&gt;0,K3050/J3050,0)</f>
        <v>0.338387252535007</v>
      </c>
    </row>
    <row r="3051" customFormat="false" ht="15" hidden="false" customHeight="false" outlineLevel="0" collapsed="false">
      <c r="A3051" s="15" t="s">
        <v>3108</v>
      </c>
      <c r="B3051" s="16" t="n">
        <v>45968</v>
      </c>
      <c r="C3051" s="15" t="s">
        <v>71</v>
      </c>
      <c r="D3051" s="15" t="s">
        <v>42</v>
      </c>
      <c r="E3051" s="15" t="s">
        <v>38</v>
      </c>
      <c r="F3051" s="15" t="s">
        <v>16</v>
      </c>
      <c r="G3051" s="15" t="s">
        <v>23</v>
      </c>
      <c r="H3051" s="15" t="n">
        <v>4</v>
      </c>
      <c r="I3051" s="17" t="n">
        <v>0</v>
      </c>
      <c r="J3051" s="18" t="n">
        <v>1132.93</v>
      </c>
      <c r="K3051" s="19" t="n">
        <v>25.63</v>
      </c>
      <c r="L3051" s="15" t="n">
        <f aca="false">YEAR(B3051)</f>
        <v>2025</v>
      </c>
      <c r="M3051" s="20" t="n">
        <f aca="false">IF(J3051&gt;0,K3051/J3051,0)</f>
        <v>0.0226227569223165</v>
      </c>
    </row>
    <row r="3052" customFormat="false" ht="15" hidden="false" customHeight="false" outlineLevel="0" collapsed="false">
      <c r="A3052" s="15" t="s">
        <v>3109</v>
      </c>
      <c r="B3052" s="16" t="n">
        <v>45887</v>
      </c>
      <c r="C3052" s="15" t="s">
        <v>56</v>
      </c>
      <c r="D3052" s="15" t="s">
        <v>42</v>
      </c>
      <c r="E3052" s="15" t="s">
        <v>36</v>
      </c>
      <c r="F3052" s="15" t="s">
        <v>16</v>
      </c>
      <c r="G3052" s="15" t="s">
        <v>27</v>
      </c>
      <c r="H3052" s="15" t="n">
        <v>2</v>
      </c>
      <c r="I3052" s="17" t="n">
        <v>0</v>
      </c>
      <c r="J3052" s="18" t="n">
        <v>114.65</v>
      </c>
      <c r="K3052" s="19" t="n">
        <v>18.54</v>
      </c>
      <c r="L3052" s="15" t="n">
        <f aca="false">YEAR(B3052)</f>
        <v>2025</v>
      </c>
      <c r="M3052" s="20" t="n">
        <f aca="false">IF(J3052&gt;0,K3052/J3052,0)</f>
        <v>0.161709550806803</v>
      </c>
    </row>
    <row r="3053" customFormat="false" ht="15" hidden="false" customHeight="false" outlineLevel="0" collapsed="false">
      <c r="A3053" s="15" t="s">
        <v>3110</v>
      </c>
      <c r="B3053" s="16" t="n">
        <v>45797</v>
      </c>
      <c r="C3053" s="15" t="s">
        <v>56</v>
      </c>
      <c r="D3053" s="15" t="s">
        <v>43</v>
      </c>
      <c r="E3053" s="15" t="s">
        <v>39</v>
      </c>
      <c r="F3053" s="15" t="s">
        <v>18</v>
      </c>
      <c r="G3053" s="15" t="s">
        <v>32</v>
      </c>
      <c r="H3053" s="15" t="n">
        <v>5</v>
      </c>
      <c r="I3053" s="17" t="n">
        <v>0.15</v>
      </c>
      <c r="J3053" s="18" t="n">
        <v>2051.18</v>
      </c>
      <c r="K3053" s="19" t="n">
        <v>121.69</v>
      </c>
      <c r="L3053" s="15" t="n">
        <f aca="false">YEAR(B3053)</f>
        <v>2025</v>
      </c>
      <c r="M3053" s="20" t="n">
        <f aca="false">IF(J3053&gt;0,K3053/J3053,0)</f>
        <v>0.0593268265096189</v>
      </c>
    </row>
    <row r="3054" customFormat="false" ht="15" hidden="false" customHeight="false" outlineLevel="0" collapsed="false">
      <c r="A3054" s="15" t="s">
        <v>3111</v>
      </c>
      <c r="B3054" s="16" t="n">
        <v>44733</v>
      </c>
      <c r="C3054" s="15" t="s">
        <v>56</v>
      </c>
      <c r="D3054" s="15" t="s">
        <v>43</v>
      </c>
      <c r="E3054" s="15" t="s">
        <v>37</v>
      </c>
      <c r="F3054" s="15" t="s">
        <v>18</v>
      </c>
      <c r="G3054" s="15" t="s">
        <v>30</v>
      </c>
      <c r="H3054" s="15" t="n">
        <v>3</v>
      </c>
      <c r="I3054" s="17" t="n">
        <v>0.2</v>
      </c>
      <c r="J3054" s="18" t="n">
        <v>132.92</v>
      </c>
      <c r="K3054" s="19" t="n">
        <v>9.47</v>
      </c>
      <c r="L3054" s="15" t="n">
        <f aca="false">YEAR(B3054)</f>
        <v>2022</v>
      </c>
      <c r="M3054" s="20" t="n">
        <f aca="false">IF(J3054&gt;0,K3054/J3054,0)</f>
        <v>0.0712458621727355</v>
      </c>
    </row>
    <row r="3055" customFormat="false" ht="15" hidden="false" customHeight="false" outlineLevel="0" collapsed="false">
      <c r="A3055" s="15" t="s">
        <v>3112</v>
      </c>
      <c r="B3055" s="16" t="n">
        <v>44932</v>
      </c>
      <c r="C3055" s="15" t="s">
        <v>71</v>
      </c>
      <c r="D3055" s="15" t="s">
        <v>44</v>
      </c>
      <c r="E3055" s="15" t="s">
        <v>36</v>
      </c>
      <c r="F3055" s="15" t="s">
        <v>17</v>
      </c>
      <c r="G3055" s="15" t="s">
        <v>26</v>
      </c>
      <c r="H3055" s="15" t="n">
        <v>3</v>
      </c>
      <c r="I3055" s="17" t="n">
        <v>0.1</v>
      </c>
      <c r="J3055" s="18" t="n">
        <v>221.42</v>
      </c>
      <c r="K3055" s="19" t="n">
        <v>-15.25</v>
      </c>
      <c r="L3055" s="15" t="n">
        <f aca="false">YEAR(B3055)</f>
        <v>2023</v>
      </c>
      <c r="M3055" s="20" t="n">
        <f aca="false">IF(J3055&gt;0,K3055/J3055,0)</f>
        <v>-0.0688736338180833</v>
      </c>
    </row>
    <row r="3056" customFormat="false" ht="15" hidden="false" customHeight="false" outlineLevel="0" collapsed="false">
      <c r="A3056" s="15" t="s">
        <v>3113</v>
      </c>
      <c r="B3056" s="16" t="n">
        <v>45268</v>
      </c>
      <c r="C3056" s="15" t="s">
        <v>58</v>
      </c>
      <c r="D3056" s="15" t="s">
        <v>43</v>
      </c>
      <c r="E3056" s="15" t="s">
        <v>37</v>
      </c>
      <c r="F3056" s="15" t="s">
        <v>18</v>
      </c>
      <c r="G3056" s="15" t="s">
        <v>32</v>
      </c>
      <c r="H3056" s="15" t="n">
        <v>2</v>
      </c>
      <c r="I3056" s="17" t="n">
        <v>0</v>
      </c>
      <c r="J3056" s="18" t="n">
        <v>993.09</v>
      </c>
      <c r="K3056" s="19" t="n">
        <v>209</v>
      </c>
      <c r="L3056" s="15" t="n">
        <f aca="false">YEAR(B3056)</f>
        <v>2023</v>
      </c>
      <c r="M3056" s="20" t="n">
        <f aca="false">IF(J3056&gt;0,K3056/J3056,0)</f>
        <v>0.210454238790039</v>
      </c>
    </row>
    <row r="3057" customFormat="false" ht="15" hidden="false" customHeight="false" outlineLevel="0" collapsed="false">
      <c r="A3057" s="15" t="s">
        <v>3114</v>
      </c>
      <c r="B3057" s="16" t="n">
        <v>45277</v>
      </c>
      <c r="C3057" s="15" t="s">
        <v>56</v>
      </c>
      <c r="D3057" s="15" t="s">
        <v>42</v>
      </c>
      <c r="E3057" s="15" t="s">
        <v>38</v>
      </c>
      <c r="F3057" s="15" t="s">
        <v>17</v>
      </c>
      <c r="G3057" s="15" t="s">
        <v>26</v>
      </c>
      <c r="H3057" s="15" t="n">
        <v>3</v>
      </c>
      <c r="I3057" s="17" t="n">
        <v>0.2</v>
      </c>
      <c r="J3057" s="18" t="n">
        <v>170.25</v>
      </c>
      <c r="K3057" s="19" t="n">
        <v>-9.07</v>
      </c>
      <c r="L3057" s="15" t="n">
        <f aca="false">YEAR(B3057)</f>
        <v>2023</v>
      </c>
      <c r="M3057" s="20" t="n">
        <f aca="false">IF(J3057&gt;0,K3057/J3057,0)</f>
        <v>-0.0532745961820852</v>
      </c>
    </row>
    <row r="3058" customFormat="false" ht="15" hidden="false" customHeight="false" outlineLevel="0" collapsed="false">
      <c r="A3058" s="15" t="s">
        <v>3115</v>
      </c>
      <c r="B3058" s="16" t="n">
        <v>45436</v>
      </c>
      <c r="C3058" s="15" t="s">
        <v>56</v>
      </c>
      <c r="D3058" s="15" t="s">
        <v>44</v>
      </c>
      <c r="E3058" s="15" t="s">
        <v>38</v>
      </c>
      <c r="F3058" s="15" t="s">
        <v>17</v>
      </c>
      <c r="G3058" s="15" t="s">
        <v>29</v>
      </c>
      <c r="H3058" s="15" t="n">
        <v>4</v>
      </c>
      <c r="I3058" s="17" t="n">
        <v>0.1</v>
      </c>
      <c r="J3058" s="18" t="n">
        <v>57.29</v>
      </c>
      <c r="K3058" s="19" t="n">
        <v>18.3</v>
      </c>
      <c r="L3058" s="15" t="n">
        <f aca="false">YEAR(B3058)</f>
        <v>2024</v>
      </c>
      <c r="M3058" s="20" t="n">
        <f aca="false">IF(J3058&gt;0,K3058/J3058,0)</f>
        <v>0.319427474253797</v>
      </c>
    </row>
    <row r="3059" customFormat="false" ht="15" hidden="false" customHeight="false" outlineLevel="0" collapsed="false">
      <c r="A3059" s="15" t="s">
        <v>3116</v>
      </c>
      <c r="B3059" s="16" t="n">
        <v>45901</v>
      </c>
      <c r="C3059" s="15" t="s">
        <v>56</v>
      </c>
      <c r="D3059" s="15" t="s">
        <v>42</v>
      </c>
      <c r="E3059" s="15" t="s">
        <v>38</v>
      </c>
      <c r="F3059" s="15" t="s">
        <v>18</v>
      </c>
      <c r="G3059" s="15" t="s">
        <v>30</v>
      </c>
      <c r="H3059" s="15" t="n">
        <v>1</v>
      </c>
      <c r="I3059" s="17" t="n">
        <v>0.1</v>
      </c>
      <c r="J3059" s="18" t="n">
        <v>34.15</v>
      </c>
      <c r="K3059" s="19" t="n">
        <v>6.65</v>
      </c>
      <c r="L3059" s="15" t="n">
        <f aca="false">YEAR(B3059)</f>
        <v>2025</v>
      </c>
      <c r="M3059" s="20" t="n">
        <f aca="false">IF(J3059&gt;0,K3059/J3059,0)</f>
        <v>0.194729136163982</v>
      </c>
    </row>
    <row r="3060" customFormat="false" ht="15" hidden="false" customHeight="false" outlineLevel="0" collapsed="false">
      <c r="A3060" s="15" t="s">
        <v>3117</v>
      </c>
      <c r="B3060" s="16" t="n">
        <v>45972</v>
      </c>
      <c r="C3060" s="15" t="s">
        <v>68</v>
      </c>
      <c r="D3060" s="15" t="s">
        <v>42</v>
      </c>
      <c r="E3060" s="15" t="s">
        <v>37</v>
      </c>
      <c r="F3060" s="15" t="s">
        <v>17</v>
      </c>
      <c r="G3060" s="15" t="s">
        <v>28</v>
      </c>
      <c r="H3060" s="15" t="n">
        <v>6</v>
      </c>
      <c r="I3060" s="17" t="n">
        <v>0.5</v>
      </c>
      <c r="J3060" s="18" t="n">
        <v>79.83</v>
      </c>
      <c r="K3060" s="19" t="n">
        <v>-12.61</v>
      </c>
      <c r="L3060" s="15" t="n">
        <f aca="false">YEAR(B3060)</f>
        <v>2025</v>
      </c>
      <c r="M3060" s="20" t="n">
        <f aca="false">IF(J3060&gt;0,K3060/J3060,0)</f>
        <v>-0.157960666416134</v>
      </c>
    </row>
    <row r="3061" customFormat="false" ht="15" hidden="false" customHeight="false" outlineLevel="0" collapsed="false">
      <c r="A3061" s="15" t="s">
        <v>3118</v>
      </c>
      <c r="B3061" s="16" t="n">
        <v>45499</v>
      </c>
      <c r="C3061" s="15" t="s">
        <v>56</v>
      </c>
      <c r="D3061" s="15" t="s">
        <v>43</v>
      </c>
      <c r="E3061" s="15" t="s">
        <v>38</v>
      </c>
      <c r="F3061" s="15" t="s">
        <v>17</v>
      </c>
      <c r="G3061" s="15" t="s">
        <v>28</v>
      </c>
      <c r="H3061" s="15" t="n">
        <v>5</v>
      </c>
      <c r="I3061" s="17" t="n">
        <v>0.2</v>
      </c>
      <c r="J3061" s="18" t="n">
        <v>112.54</v>
      </c>
      <c r="K3061" s="19" t="n">
        <v>8.91</v>
      </c>
      <c r="L3061" s="15" t="n">
        <f aca="false">YEAR(B3061)</f>
        <v>2024</v>
      </c>
      <c r="M3061" s="20" t="n">
        <f aca="false">IF(J3061&gt;0,K3061/J3061,0)</f>
        <v>0.0791718500088857</v>
      </c>
    </row>
    <row r="3062" customFormat="false" ht="15" hidden="false" customHeight="false" outlineLevel="0" collapsed="false">
      <c r="A3062" s="15" t="s">
        <v>3119</v>
      </c>
      <c r="B3062" s="16" t="n">
        <v>45386</v>
      </c>
      <c r="C3062" s="15" t="s">
        <v>56</v>
      </c>
      <c r="D3062" s="15" t="s">
        <v>43</v>
      </c>
      <c r="E3062" s="15" t="s">
        <v>39</v>
      </c>
      <c r="F3062" s="15" t="s">
        <v>18</v>
      </c>
      <c r="G3062" s="15" t="s">
        <v>33</v>
      </c>
      <c r="H3062" s="15" t="n">
        <v>5</v>
      </c>
      <c r="I3062" s="17" t="n">
        <v>0</v>
      </c>
      <c r="J3062" s="18" t="n">
        <v>4398.55</v>
      </c>
      <c r="K3062" s="19" t="n">
        <v>1025.62</v>
      </c>
      <c r="L3062" s="15" t="n">
        <f aca="false">YEAR(B3062)</f>
        <v>2024</v>
      </c>
      <c r="M3062" s="20" t="n">
        <f aca="false">IF(J3062&gt;0,K3062/J3062,0)</f>
        <v>0.233172295415535</v>
      </c>
    </row>
    <row r="3063" customFormat="false" ht="15" hidden="false" customHeight="false" outlineLevel="0" collapsed="false">
      <c r="A3063" s="15" t="s">
        <v>3120</v>
      </c>
      <c r="B3063" s="16" t="n">
        <v>45616</v>
      </c>
      <c r="C3063" s="15" t="s">
        <v>71</v>
      </c>
      <c r="D3063" s="15" t="s">
        <v>42</v>
      </c>
      <c r="E3063" s="15" t="s">
        <v>39</v>
      </c>
      <c r="F3063" s="15" t="s">
        <v>17</v>
      </c>
      <c r="G3063" s="15" t="s">
        <v>29</v>
      </c>
      <c r="H3063" s="15" t="n">
        <v>3</v>
      </c>
      <c r="I3063" s="17" t="n">
        <v>0.1</v>
      </c>
      <c r="J3063" s="18" t="n">
        <v>57.47</v>
      </c>
      <c r="K3063" s="19" t="n">
        <v>16.71</v>
      </c>
      <c r="L3063" s="15" t="n">
        <f aca="false">YEAR(B3063)</f>
        <v>2024</v>
      </c>
      <c r="M3063" s="20" t="n">
        <f aca="false">IF(J3063&gt;0,K3063/J3063,0)</f>
        <v>0.290760396728728</v>
      </c>
    </row>
    <row r="3064" customFormat="false" ht="15" hidden="false" customHeight="false" outlineLevel="0" collapsed="false">
      <c r="A3064" s="15" t="s">
        <v>3121</v>
      </c>
      <c r="B3064" s="16" t="n">
        <v>45221</v>
      </c>
      <c r="C3064" s="15" t="s">
        <v>56</v>
      </c>
      <c r="D3064" s="15" t="s">
        <v>43</v>
      </c>
      <c r="E3064" s="15" t="s">
        <v>38</v>
      </c>
      <c r="F3064" s="15" t="s">
        <v>17</v>
      </c>
      <c r="G3064" s="15" t="s">
        <v>29</v>
      </c>
      <c r="H3064" s="15" t="n">
        <v>3</v>
      </c>
      <c r="I3064" s="17" t="n">
        <v>0</v>
      </c>
      <c r="J3064" s="18" t="n">
        <v>53.88</v>
      </c>
      <c r="K3064" s="19" t="n">
        <v>19.32</v>
      </c>
      <c r="L3064" s="15" t="n">
        <f aca="false">YEAR(B3064)</f>
        <v>2023</v>
      </c>
      <c r="M3064" s="20" t="n">
        <f aca="false">IF(J3064&gt;0,K3064/J3064,0)</f>
        <v>0.358574610244989</v>
      </c>
    </row>
    <row r="3065" customFormat="false" ht="15" hidden="false" customHeight="false" outlineLevel="0" collapsed="false">
      <c r="A3065" s="15" t="s">
        <v>3122</v>
      </c>
      <c r="B3065" s="16" t="n">
        <v>46022</v>
      </c>
      <c r="C3065" s="15" t="s">
        <v>56</v>
      </c>
      <c r="D3065" s="15" t="s">
        <v>42</v>
      </c>
      <c r="E3065" s="15" t="s">
        <v>38</v>
      </c>
      <c r="F3065" s="15" t="s">
        <v>17</v>
      </c>
      <c r="G3065" s="15" t="s">
        <v>29</v>
      </c>
      <c r="H3065" s="15" t="n">
        <v>1</v>
      </c>
      <c r="I3065" s="17" t="n">
        <v>0.05</v>
      </c>
      <c r="J3065" s="18" t="n">
        <v>16.14</v>
      </c>
      <c r="K3065" s="19" t="n">
        <v>4.14</v>
      </c>
      <c r="L3065" s="15" t="n">
        <f aca="false">YEAR(B3065)</f>
        <v>2025</v>
      </c>
      <c r="M3065" s="20" t="n">
        <f aca="false">IF(J3065&gt;0,K3065/J3065,0)</f>
        <v>0.256505576208178</v>
      </c>
    </row>
    <row r="3066" customFormat="false" ht="15" hidden="false" customHeight="false" outlineLevel="0" collapsed="false">
      <c r="A3066" s="15" t="s">
        <v>3123</v>
      </c>
      <c r="B3066" s="16" t="n">
        <v>44700</v>
      </c>
      <c r="C3066" s="15" t="s">
        <v>56</v>
      </c>
      <c r="D3066" s="15" t="s">
        <v>43</v>
      </c>
      <c r="E3066" s="15" t="s">
        <v>36</v>
      </c>
      <c r="F3066" s="15" t="s">
        <v>17</v>
      </c>
      <c r="G3066" s="15" t="s">
        <v>28</v>
      </c>
      <c r="H3066" s="15" t="n">
        <v>4</v>
      </c>
      <c r="I3066" s="17" t="n">
        <v>0.2</v>
      </c>
      <c r="J3066" s="18" t="n">
        <v>79.38</v>
      </c>
      <c r="K3066" s="19" t="n">
        <v>10.48</v>
      </c>
      <c r="L3066" s="15" t="n">
        <f aca="false">YEAR(B3066)</f>
        <v>2022</v>
      </c>
      <c r="M3066" s="20" t="n">
        <f aca="false">IF(J3066&gt;0,K3066/J3066,0)</f>
        <v>0.132023179642227</v>
      </c>
    </row>
    <row r="3067" customFormat="false" ht="15" hidden="false" customHeight="false" outlineLevel="0" collapsed="false">
      <c r="A3067" s="15" t="s">
        <v>3124</v>
      </c>
      <c r="B3067" s="16" t="n">
        <v>45598</v>
      </c>
      <c r="C3067" s="15" t="s">
        <v>56</v>
      </c>
      <c r="D3067" s="15" t="s">
        <v>43</v>
      </c>
      <c r="E3067" s="15" t="s">
        <v>37</v>
      </c>
      <c r="F3067" s="15" t="s">
        <v>18</v>
      </c>
      <c r="G3067" s="15" t="s">
        <v>32</v>
      </c>
      <c r="H3067" s="15" t="n">
        <v>4</v>
      </c>
      <c r="I3067" s="17" t="n">
        <v>0.15</v>
      </c>
      <c r="J3067" s="18" t="n">
        <v>1577.14</v>
      </c>
      <c r="K3067" s="19" t="n">
        <v>75.14</v>
      </c>
      <c r="L3067" s="15" t="n">
        <f aca="false">YEAR(B3067)</f>
        <v>2024</v>
      </c>
      <c r="M3067" s="20" t="n">
        <f aca="false">IF(J3067&gt;0,K3067/J3067,0)</f>
        <v>0.047643202252178</v>
      </c>
    </row>
    <row r="3068" customFormat="false" ht="15" hidden="false" customHeight="false" outlineLevel="0" collapsed="false">
      <c r="A3068" s="15" t="s">
        <v>3125</v>
      </c>
      <c r="B3068" s="16" t="n">
        <v>45541</v>
      </c>
      <c r="C3068" s="15" t="s">
        <v>56</v>
      </c>
      <c r="D3068" s="15" t="s">
        <v>43</v>
      </c>
      <c r="E3068" s="15" t="s">
        <v>37</v>
      </c>
      <c r="F3068" s="15" t="s">
        <v>17</v>
      </c>
      <c r="G3068" s="15" t="s">
        <v>29</v>
      </c>
      <c r="H3068" s="15" t="n">
        <v>4</v>
      </c>
      <c r="I3068" s="17" t="n">
        <v>0</v>
      </c>
      <c r="J3068" s="18" t="n">
        <v>85.28</v>
      </c>
      <c r="K3068" s="19" t="n">
        <v>35.18</v>
      </c>
      <c r="L3068" s="15" t="n">
        <f aca="false">YEAR(B3068)</f>
        <v>2024</v>
      </c>
      <c r="M3068" s="20" t="n">
        <f aca="false">IF(J3068&gt;0,K3068/J3068,0)</f>
        <v>0.412523452157599</v>
      </c>
    </row>
    <row r="3069" customFormat="false" ht="15" hidden="false" customHeight="false" outlineLevel="0" collapsed="false">
      <c r="A3069" s="15" t="s">
        <v>3126</v>
      </c>
      <c r="B3069" s="16" t="n">
        <v>45635</v>
      </c>
      <c r="C3069" s="15" t="s">
        <v>68</v>
      </c>
      <c r="D3069" s="15" t="s">
        <v>44</v>
      </c>
      <c r="E3069" s="15" t="s">
        <v>37</v>
      </c>
      <c r="F3069" s="15" t="s">
        <v>16</v>
      </c>
      <c r="G3069" s="15" t="s">
        <v>27</v>
      </c>
      <c r="H3069" s="15" t="n">
        <v>2</v>
      </c>
      <c r="I3069" s="17" t="n">
        <v>0.1</v>
      </c>
      <c r="J3069" s="18" t="n">
        <v>147.94</v>
      </c>
      <c r="K3069" s="19" t="n">
        <v>20.29</v>
      </c>
      <c r="L3069" s="15" t="n">
        <f aca="false">YEAR(B3069)</f>
        <v>2024</v>
      </c>
      <c r="M3069" s="20" t="n">
        <f aca="false">IF(J3069&gt;0,K3069/J3069,0)</f>
        <v>0.137150196025416</v>
      </c>
    </row>
    <row r="3070" customFormat="false" ht="15" hidden="false" customHeight="false" outlineLevel="0" collapsed="false">
      <c r="A3070" s="15" t="s">
        <v>3127</v>
      </c>
      <c r="B3070" s="16" t="n">
        <v>45152</v>
      </c>
      <c r="C3070" s="15" t="s">
        <v>58</v>
      </c>
      <c r="D3070" s="15" t="s">
        <v>42</v>
      </c>
      <c r="E3070" s="15" t="s">
        <v>39</v>
      </c>
      <c r="F3070" s="15" t="s">
        <v>18</v>
      </c>
      <c r="G3070" s="15" t="s">
        <v>30</v>
      </c>
      <c r="H3070" s="15" t="n">
        <v>2</v>
      </c>
      <c r="I3070" s="17" t="n">
        <v>0.4</v>
      </c>
      <c r="J3070" s="18" t="n">
        <v>49.28</v>
      </c>
      <c r="K3070" s="19" t="n">
        <v>-4.06</v>
      </c>
      <c r="L3070" s="15" t="n">
        <f aca="false">YEAR(B3070)</f>
        <v>2023</v>
      </c>
      <c r="M3070" s="20" t="n">
        <f aca="false">IF(J3070&gt;0,K3070/J3070,0)</f>
        <v>-0.0823863636363636</v>
      </c>
    </row>
    <row r="3071" customFormat="false" ht="15" hidden="false" customHeight="false" outlineLevel="0" collapsed="false">
      <c r="A3071" s="15" t="s">
        <v>3128</v>
      </c>
      <c r="B3071" s="16" t="n">
        <v>44716</v>
      </c>
      <c r="C3071" s="15" t="s">
        <v>56</v>
      </c>
      <c r="D3071" s="15" t="s">
        <v>42</v>
      </c>
      <c r="E3071" s="15" t="s">
        <v>39</v>
      </c>
      <c r="F3071" s="15" t="s">
        <v>17</v>
      </c>
      <c r="G3071" s="15" t="s">
        <v>29</v>
      </c>
      <c r="H3071" s="15" t="n">
        <v>3</v>
      </c>
      <c r="I3071" s="17" t="n">
        <v>0.2</v>
      </c>
      <c r="J3071" s="18" t="n">
        <v>41.47</v>
      </c>
      <c r="K3071" s="19" t="n">
        <v>7.97</v>
      </c>
      <c r="L3071" s="15" t="n">
        <f aca="false">YEAR(B3071)</f>
        <v>2022</v>
      </c>
      <c r="M3071" s="20" t="n">
        <f aca="false">IF(J3071&gt;0,K3071/J3071,0)</f>
        <v>0.192187123221606</v>
      </c>
    </row>
    <row r="3072" customFormat="false" ht="15" hidden="false" customHeight="false" outlineLevel="0" collapsed="false">
      <c r="A3072" s="15" t="s">
        <v>3129</v>
      </c>
      <c r="B3072" s="16" t="n">
        <v>45685</v>
      </c>
      <c r="C3072" s="15" t="s">
        <v>68</v>
      </c>
      <c r="D3072" s="15" t="s">
        <v>42</v>
      </c>
      <c r="E3072" s="15" t="s">
        <v>37</v>
      </c>
      <c r="F3072" s="15" t="s">
        <v>17</v>
      </c>
      <c r="G3072" s="15" t="s">
        <v>29</v>
      </c>
      <c r="H3072" s="15" t="n">
        <v>3</v>
      </c>
      <c r="I3072" s="17" t="n">
        <v>0</v>
      </c>
      <c r="J3072" s="18" t="n">
        <v>62.27</v>
      </c>
      <c r="K3072" s="19" t="n">
        <v>17.86</v>
      </c>
      <c r="L3072" s="15" t="n">
        <f aca="false">YEAR(B3072)</f>
        <v>2025</v>
      </c>
      <c r="M3072" s="20" t="n">
        <f aca="false">IF(J3072&gt;0,K3072/J3072,0)</f>
        <v>0.286815480969969</v>
      </c>
    </row>
    <row r="3073" customFormat="false" ht="15" hidden="false" customHeight="false" outlineLevel="0" collapsed="false">
      <c r="A3073" s="15" t="s">
        <v>3130</v>
      </c>
      <c r="B3073" s="16" t="n">
        <v>45216</v>
      </c>
      <c r="C3073" s="15" t="s">
        <v>56</v>
      </c>
      <c r="D3073" s="15" t="s">
        <v>44</v>
      </c>
      <c r="E3073" s="15" t="s">
        <v>36</v>
      </c>
      <c r="F3073" s="15" t="s">
        <v>16</v>
      </c>
      <c r="G3073" s="15" t="s">
        <v>27</v>
      </c>
      <c r="H3073" s="15" t="n">
        <v>3</v>
      </c>
      <c r="I3073" s="17" t="n">
        <v>0.3</v>
      </c>
      <c r="J3073" s="18" t="n">
        <v>128.59</v>
      </c>
      <c r="K3073" s="19" t="n">
        <v>-8.7</v>
      </c>
      <c r="L3073" s="15" t="n">
        <f aca="false">YEAR(B3073)</f>
        <v>2023</v>
      </c>
      <c r="M3073" s="20" t="n">
        <f aca="false">IF(J3073&gt;0,K3073/J3073,0)</f>
        <v>-0.0676568940041994</v>
      </c>
    </row>
    <row r="3074" customFormat="false" ht="15" hidden="false" customHeight="false" outlineLevel="0" collapsed="false">
      <c r="A3074" s="15" t="s">
        <v>3131</v>
      </c>
      <c r="B3074" s="16" t="n">
        <v>45113</v>
      </c>
      <c r="C3074" s="15" t="s">
        <v>58</v>
      </c>
      <c r="D3074" s="15" t="s">
        <v>42</v>
      </c>
      <c r="E3074" s="15" t="s">
        <v>37</v>
      </c>
      <c r="F3074" s="15" t="s">
        <v>16</v>
      </c>
      <c r="G3074" s="15" t="s">
        <v>23</v>
      </c>
      <c r="H3074" s="15" t="n">
        <v>2</v>
      </c>
      <c r="I3074" s="17" t="n">
        <v>0.1</v>
      </c>
      <c r="J3074" s="18" t="n">
        <v>542.03</v>
      </c>
      <c r="K3074" s="19" t="n">
        <v>-50.84</v>
      </c>
      <c r="L3074" s="15" t="n">
        <f aca="false">YEAR(B3074)</f>
        <v>2023</v>
      </c>
      <c r="M3074" s="20" t="n">
        <f aca="false">IF(J3074&gt;0,K3074/J3074,0)</f>
        <v>-0.093795546371972</v>
      </c>
    </row>
    <row r="3075" customFormat="false" ht="15" hidden="false" customHeight="false" outlineLevel="0" collapsed="false">
      <c r="A3075" s="15" t="s">
        <v>3132</v>
      </c>
      <c r="B3075" s="16" t="n">
        <v>44687</v>
      </c>
      <c r="C3075" s="15" t="s">
        <v>56</v>
      </c>
      <c r="D3075" s="15" t="s">
        <v>43</v>
      </c>
      <c r="E3075" s="15" t="s">
        <v>39</v>
      </c>
      <c r="F3075" s="15" t="s">
        <v>18</v>
      </c>
      <c r="G3075" s="15" t="s">
        <v>30</v>
      </c>
      <c r="H3075" s="15" t="n">
        <v>2</v>
      </c>
      <c r="I3075" s="17" t="n">
        <v>0</v>
      </c>
      <c r="J3075" s="18" t="n">
        <v>110.7</v>
      </c>
      <c r="K3075" s="19" t="n">
        <v>30.55</v>
      </c>
      <c r="L3075" s="15" t="n">
        <f aca="false">YEAR(B3075)</f>
        <v>2022</v>
      </c>
      <c r="M3075" s="20" t="n">
        <f aca="false">IF(J3075&gt;0,K3075/J3075,0)</f>
        <v>0.275971093044264</v>
      </c>
    </row>
    <row r="3076" customFormat="false" ht="15" hidden="false" customHeight="false" outlineLevel="0" collapsed="false">
      <c r="A3076" s="15" t="s">
        <v>3133</v>
      </c>
      <c r="B3076" s="16" t="n">
        <v>45627</v>
      </c>
      <c r="C3076" s="15" t="s">
        <v>71</v>
      </c>
      <c r="D3076" s="15" t="s">
        <v>42</v>
      </c>
      <c r="E3076" s="15" t="s">
        <v>37</v>
      </c>
      <c r="F3076" s="15" t="s">
        <v>18</v>
      </c>
      <c r="G3076" s="15" t="s">
        <v>24</v>
      </c>
      <c r="H3076" s="15" t="n">
        <v>3</v>
      </c>
      <c r="I3076" s="17" t="n">
        <v>0</v>
      </c>
      <c r="J3076" s="18" t="n">
        <v>1833.6</v>
      </c>
      <c r="K3076" s="19" t="n">
        <v>141.76</v>
      </c>
      <c r="L3076" s="15" t="n">
        <f aca="false">YEAR(B3076)</f>
        <v>2024</v>
      </c>
      <c r="M3076" s="20" t="n">
        <f aca="false">IF(J3076&gt;0,K3076/J3076,0)</f>
        <v>0.0773123909249564</v>
      </c>
    </row>
    <row r="3077" customFormat="false" ht="15" hidden="false" customHeight="false" outlineLevel="0" collapsed="false">
      <c r="A3077" s="15" t="s">
        <v>3134</v>
      </c>
      <c r="B3077" s="16" t="n">
        <v>44955</v>
      </c>
      <c r="C3077" s="15" t="s">
        <v>56</v>
      </c>
      <c r="D3077" s="15" t="s">
        <v>43</v>
      </c>
      <c r="E3077" s="15" t="s">
        <v>39</v>
      </c>
      <c r="F3077" s="15" t="s">
        <v>17</v>
      </c>
      <c r="G3077" s="15" t="s">
        <v>28</v>
      </c>
      <c r="H3077" s="15" t="n">
        <v>4</v>
      </c>
      <c r="I3077" s="17" t="n">
        <v>0.15</v>
      </c>
      <c r="J3077" s="18" t="n">
        <v>86.89</v>
      </c>
      <c r="K3077" s="19" t="n">
        <v>8.71</v>
      </c>
      <c r="L3077" s="15" t="n">
        <f aca="false">YEAR(B3077)</f>
        <v>2023</v>
      </c>
      <c r="M3077" s="20" t="n">
        <f aca="false">IF(J3077&gt;0,K3077/J3077,0)</f>
        <v>0.10024168488894</v>
      </c>
    </row>
    <row r="3078" customFormat="false" ht="15" hidden="false" customHeight="false" outlineLevel="0" collapsed="false">
      <c r="A3078" s="15" t="s">
        <v>3135</v>
      </c>
      <c r="B3078" s="16" t="n">
        <v>45875</v>
      </c>
      <c r="C3078" s="15" t="s">
        <v>56</v>
      </c>
      <c r="D3078" s="15" t="s">
        <v>43</v>
      </c>
      <c r="E3078" s="15" t="s">
        <v>39</v>
      </c>
      <c r="F3078" s="15" t="s">
        <v>17</v>
      </c>
      <c r="G3078" s="15" t="s">
        <v>29</v>
      </c>
      <c r="H3078" s="15" t="n">
        <v>2</v>
      </c>
      <c r="I3078" s="17" t="n">
        <v>0.3</v>
      </c>
      <c r="J3078" s="18" t="n">
        <v>28.27</v>
      </c>
      <c r="K3078" s="19" t="n">
        <v>2.19</v>
      </c>
      <c r="L3078" s="15" t="n">
        <f aca="false">YEAR(B3078)</f>
        <v>2025</v>
      </c>
      <c r="M3078" s="20" t="n">
        <f aca="false">IF(J3078&gt;0,K3078/J3078,0)</f>
        <v>0.0774672798019102</v>
      </c>
    </row>
    <row r="3079" customFormat="false" ht="15" hidden="false" customHeight="false" outlineLevel="0" collapsed="false">
      <c r="A3079" s="15" t="s">
        <v>3136</v>
      </c>
      <c r="B3079" s="16" t="n">
        <v>44885</v>
      </c>
      <c r="C3079" s="15" t="s">
        <v>71</v>
      </c>
      <c r="D3079" s="15" t="s">
        <v>44</v>
      </c>
      <c r="E3079" s="15" t="s">
        <v>38</v>
      </c>
      <c r="F3079" s="15" t="s">
        <v>18</v>
      </c>
      <c r="G3079" s="15" t="s">
        <v>30</v>
      </c>
      <c r="H3079" s="15" t="n">
        <v>9</v>
      </c>
      <c r="I3079" s="17" t="n">
        <v>0.1</v>
      </c>
      <c r="J3079" s="18" t="n">
        <v>410.31</v>
      </c>
      <c r="K3079" s="19" t="n">
        <v>98.23</v>
      </c>
      <c r="L3079" s="15" t="n">
        <f aca="false">YEAR(B3079)</f>
        <v>2022</v>
      </c>
      <c r="M3079" s="20" t="n">
        <f aca="false">IF(J3079&gt;0,K3079/J3079,0)</f>
        <v>0.239404352806415</v>
      </c>
    </row>
    <row r="3080" customFormat="false" ht="15" hidden="false" customHeight="false" outlineLevel="0" collapsed="false">
      <c r="A3080" s="15" t="s">
        <v>3137</v>
      </c>
      <c r="B3080" s="16" t="n">
        <v>44648</v>
      </c>
      <c r="C3080" s="15" t="s">
        <v>56</v>
      </c>
      <c r="D3080" s="15" t="s">
        <v>42</v>
      </c>
      <c r="E3080" s="15" t="s">
        <v>36</v>
      </c>
      <c r="F3080" s="15" t="s">
        <v>17</v>
      </c>
      <c r="G3080" s="15" t="s">
        <v>28</v>
      </c>
      <c r="H3080" s="15" t="n">
        <v>3</v>
      </c>
      <c r="I3080" s="17" t="n">
        <v>0.15</v>
      </c>
      <c r="J3080" s="18" t="n">
        <v>54.68</v>
      </c>
      <c r="K3080" s="19" t="n">
        <v>4.91</v>
      </c>
      <c r="L3080" s="15" t="n">
        <f aca="false">YEAR(B3080)</f>
        <v>2022</v>
      </c>
      <c r="M3080" s="20" t="n">
        <f aca="false">IF(J3080&gt;0,K3080/J3080,0)</f>
        <v>0.0897951719092904</v>
      </c>
    </row>
    <row r="3081" customFormat="false" ht="15" hidden="false" customHeight="false" outlineLevel="0" collapsed="false">
      <c r="A3081" s="15" t="s">
        <v>3138</v>
      </c>
      <c r="B3081" s="16" t="n">
        <v>45657</v>
      </c>
      <c r="C3081" s="15" t="s">
        <v>68</v>
      </c>
      <c r="D3081" s="15" t="s">
        <v>43</v>
      </c>
      <c r="E3081" s="15" t="s">
        <v>39</v>
      </c>
      <c r="F3081" s="15" t="s">
        <v>17</v>
      </c>
      <c r="G3081" s="15" t="s">
        <v>26</v>
      </c>
      <c r="H3081" s="15" t="n">
        <v>3</v>
      </c>
      <c r="I3081" s="17" t="n">
        <v>0</v>
      </c>
      <c r="J3081" s="18" t="n">
        <v>262.08</v>
      </c>
      <c r="K3081" s="19" t="n">
        <v>36.36</v>
      </c>
      <c r="L3081" s="15" t="n">
        <f aca="false">YEAR(B3081)</f>
        <v>2024</v>
      </c>
      <c r="M3081" s="20" t="n">
        <f aca="false">IF(J3081&gt;0,K3081/J3081,0)</f>
        <v>0.138736263736264</v>
      </c>
    </row>
    <row r="3082" customFormat="false" ht="15" hidden="false" customHeight="false" outlineLevel="0" collapsed="false">
      <c r="A3082" s="15" t="s">
        <v>3139</v>
      </c>
      <c r="B3082" s="16" t="n">
        <v>45035</v>
      </c>
      <c r="C3082" s="15" t="s">
        <v>68</v>
      </c>
      <c r="D3082" s="15" t="s">
        <v>42</v>
      </c>
      <c r="E3082" s="15" t="s">
        <v>37</v>
      </c>
      <c r="F3082" s="15" t="s">
        <v>17</v>
      </c>
      <c r="G3082" s="15" t="s">
        <v>28</v>
      </c>
      <c r="H3082" s="15" t="n">
        <v>2</v>
      </c>
      <c r="I3082" s="17" t="n">
        <v>0.1</v>
      </c>
      <c r="J3082" s="18" t="n">
        <v>47.7</v>
      </c>
      <c r="K3082" s="19" t="n">
        <v>9.19</v>
      </c>
      <c r="L3082" s="15" t="n">
        <f aca="false">YEAR(B3082)</f>
        <v>2023</v>
      </c>
      <c r="M3082" s="20" t="n">
        <f aca="false">IF(J3082&gt;0,K3082/J3082,0)</f>
        <v>0.192662473794549</v>
      </c>
    </row>
    <row r="3083" customFormat="false" ht="15" hidden="false" customHeight="false" outlineLevel="0" collapsed="false">
      <c r="A3083" s="15" t="s">
        <v>3140</v>
      </c>
      <c r="B3083" s="16" t="n">
        <v>45230</v>
      </c>
      <c r="C3083" s="15" t="s">
        <v>58</v>
      </c>
      <c r="D3083" s="15" t="s">
        <v>42</v>
      </c>
      <c r="E3083" s="15" t="s">
        <v>38</v>
      </c>
      <c r="F3083" s="15" t="s">
        <v>18</v>
      </c>
      <c r="G3083" s="15" t="s">
        <v>30</v>
      </c>
      <c r="H3083" s="15" t="n">
        <v>5</v>
      </c>
      <c r="I3083" s="17" t="n">
        <v>0</v>
      </c>
      <c r="J3083" s="18" t="n">
        <v>213.12</v>
      </c>
      <c r="K3083" s="19" t="n">
        <v>72.42</v>
      </c>
      <c r="L3083" s="15" t="n">
        <f aca="false">YEAR(B3083)</f>
        <v>2023</v>
      </c>
      <c r="M3083" s="20" t="n">
        <f aca="false">IF(J3083&gt;0,K3083/J3083,0)</f>
        <v>0.339808558558559</v>
      </c>
    </row>
    <row r="3084" customFormat="false" ht="15" hidden="false" customHeight="false" outlineLevel="0" collapsed="false">
      <c r="A3084" s="15" t="s">
        <v>3141</v>
      </c>
      <c r="B3084" s="16" t="n">
        <v>45573</v>
      </c>
      <c r="C3084" s="15" t="s">
        <v>68</v>
      </c>
      <c r="D3084" s="15" t="s">
        <v>43</v>
      </c>
      <c r="E3084" s="15" t="s">
        <v>37</v>
      </c>
      <c r="F3084" s="15" t="s">
        <v>17</v>
      </c>
      <c r="G3084" s="15" t="s">
        <v>28</v>
      </c>
      <c r="H3084" s="15" t="n">
        <v>7</v>
      </c>
      <c r="I3084" s="17" t="n">
        <v>0.2</v>
      </c>
      <c r="J3084" s="18" t="n">
        <v>150.76</v>
      </c>
      <c r="K3084" s="19" t="n">
        <v>26.53</v>
      </c>
      <c r="L3084" s="15" t="n">
        <f aca="false">YEAR(B3084)</f>
        <v>2024</v>
      </c>
      <c r="M3084" s="20" t="n">
        <f aca="false">IF(J3084&gt;0,K3084/J3084,0)</f>
        <v>0.175975059697533</v>
      </c>
    </row>
    <row r="3085" customFormat="false" ht="15" hidden="false" customHeight="false" outlineLevel="0" collapsed="false">
      <c r="A3085" s="15" t="s">
        <v>3142</v>
      </c>
      <c r="B3085" s="16" t="n">
        <v>45243</v>
      </c>
      <c r="C3085" s="15" t="s">
        <v>56</v>
      </c>
      <c r="D3085" s="15" t="s">
        <v>42</v>
      </c>
      <c r="E3085" s="15" t="s">
        <v>39</v>
      </c>
      <c r="F3085" s="15" t="s">
        <v>16</v>
      </c>
      <c r="G3085" s="15" t="s">
        <v>25</v>
      </c>
      <c r="H3085" s="15" t="n">
        <v>3</v>
      </c>
      <c r="I3085" s="17" t="n">
        <v>0</v>
      </c>
      <c r="J3085" s="18" t="n">
        <v>898.24</v>
      </c>
      <c r="K3085" s="19" t="n">
        <v>66.67</v>
      </c>
      <c r="L3085" s="15" t="n">
        <f aca="false">YEAR(B3085)</f>
        <v>2023</v>
      </c>
      <c r="M3085" s="20" t="n">
        <f aca="false">IF(J3085&gt;0,K3085/J3085,0)</f>
        <v>0.0742229248307802</v>
      </c>
    </row>
    <row r="3086" customFormat="false" ht="15" hidden="false" customHeight="false" outlineLevel="0" collapsed="false">
      <c r="A3086" s="15" t="s">
        <v>3143</v>
      </c>
      <c r="B3086" s="16" t="n">
        <v>45015</v>
      </c>
      <c r="C3086" s="15" t="s">
        <v>56</v>
      </c>
      <c r="D3086" s="15" t="s">
        <v>44</v>
      </c>
      <c r="E3086" s="15" t="s">
        <v>38</v>
      </c>
      <c r="F3086" s="15" t="s">
        <v>17</v>
      </c>
      <c r="G3086" s="15" t="s">
        <v>29</v>
      </c>
      <c r="H3086" s="15" t="n">
        <v>2</v>
      </c>
      <c r="I3086" s="17" t="n">
        <v>0</v>
      </c>
      <c r="J3086" s="18" t="n">
        <v>35</v>
      </c>
      <c r="K3086" s="19" t="n">
        <v>14.14</v>
      </c>
      <c r="L3086" s="15" t="n">
        <f aca="false">YEAR(B3086)</f>
        <v>2023</v>
      </c>
      <c r="M3086" s="20" t="n">
        <f aca="false">IF(J3086&gt;0,K3086/J3086,0)</f>
        <v>0.404</v>
      </c>
    </row>
    <row r="3087" customFormat="false" ht="15" hidden="false" customHeight="false" outlineLevel="0" collapsed="false">
      <c r="A3087" s="15" t="s">
        <v>3144</v>
      </c>
      <c r="B3087" s="16" t="n">
        <v>45736</v>
      </c>
      <c r="C3087" s="15" t="s">
        <v>71</v>
      </c>
      <c r="D3087" s="15" t="s">
        <v>42</v>
      </c>
      <c r="E3087" s="15" t="s">
        <v>39</v>
      </c>
      <c r="F3087" s="15" t="s">
        <v>18</v>
      </c>
      <c r="G3087" s="15" t="s">
        <v>32</v>
      </c>
      <c r="H3087" s="15" t="n">
        <v>5</v>
      </c>
      <c r="I3087" s="17" t="n">
        <v>0.2</v>
      </c>
      <c r="J3087" s="18" t="n">
        <v>2081.1</v>
      </c>
      <c r="K3087" s="19" t="n">
        <v>76.72</v>
      </c>
      <c r="L3087" s="15" t="n">
        <f aca="false">YEAR(B3087)</f>
        <v>2025</v>
      </c>
      <c r="M3087" s="20" t="n">
        <f aca="false">IF(J3087&gt;0,K3087/J3087,0)</f>
        <v>0.0368651194080054</v>
      </c>
    </row>
    <row r="3088" customFormat="false" ht="15" hidden="false" customHeight="false" outlineLevel="0" collapsed="false">
      <c r="A3088" s="15" t="s">
        <v>3145</v>
      </c>
      <c r="B3088" s="16" t="n">
        <v>45416</v>
      </c>
      <c r="C3088" s="15" t="s">
        <v>68</v>
      </c>
      <c r="D3088" s="15" t="s">
        <v>43</v>
      </c>
      <c r="E3088" s="15" t="s">
        <v>36</v>
      </c>
      <c r="F3088" s="15" t="s">
        <v>18</v>
      </c>
      <c r="G3088" s="15" t="s">
        <v>30</v>
      </c>
      <c r="H3088" s="15" t="n">
        <v>4</v>
      </c>
      <c r="I3088" s="17" t="n">
        <v>0.1</v>
      </c>
      <c r="J3088" s="18" t="n">
        <v>163.28</v>
      </c>
      <c r="K3088" s="19" t="n">
        <v>44.4</v>
      </c>
      <c r="L3088" s="15" t="n">
        <f aca="false">YEAR(B3088)</f>
        <v>2024</v>
      </c>
      <c r="M3088" s="20" t="n">
        <f aca="false">IF(J3088&gt;0,K3088/J3088,0)</f>
        <v>0.271925526702597</v>
      </c>
    </row>
    <row r="3089" customFormat="false" ht="15" hidden="false" customHeight="false" outlineLevel="0" collapsed="false">
      <c r="A3089" s="15" t="s">
        <v>3146</v>
      </c>
      <c r="B3089" s="16" t="n">
        <v>45539</v>
      </c>
      <c r="C3089" s="15" t="s">
        <v>56</v>
      </c>
      <c r="D3089" s="15" t="s">
        <v>43</v>
      </c>
      <c r="E3089" s="15" t="s">
        <v>37</v>
      </c>
      <c r="F3089" s="15" t="s">
        <v>17</v>
      </c>
      <c r="G3089" s="15" t="s">
        <v>29</v>
      </c>
      <c r="H3089" s="15" t="n">
        <v>9</v>
      </c>
      <c r="I3089" s="17" t="n">
        <v>0</v>
      </c>
      <c r="J3089" s="18" t="n">
        <v>173.99</v>
      </c>
      <c r="K3089" s="19" t="n">
        <v>77.14</v>
      </c>
      <c r="L3089" s="15" t="n">
        <f aca="false">YEAR(B3089)</f>
        <v>2024</v>
      </c>
      <c r="M3089" s="20" t="n">
        <f aca="false">IF(J3089&gt;0,K3089/J3089,0)</f>
        <v>0.443358813724927</v>
      </c>
    </row>
    <row r="3090" customFormat="false" ht="15" hidden="false" customHeight="false" outlineLevel="0" collapsed="false">
      <c r="A3090" s="15" t="s">
        <v>3147</v>
      </c>
      <c r="B3090" s="16" t="n">
        <v>45998</v>
      </c>
      <c r="C3090" s="15" t="s">
        <v>58</v>
      </c>
      <c r="D3090" s="15" t="s">
        <v>43</v>
      </c>
      <c r="E3090" s="15" t="s">
        <v>37</v>
      </c>
      <c r="F3090" s="15" t="s">
        <v>18</v>
      </c>
      <c r="G3090" s="15" t="s">
        <v>30</v>
      </c>
      <c r="H3090" s="15" t="n">
        <v>4</v>
      </c>
      <c r="I3090" s="17" t="n">
        <v>0.3</v>
      </c>
      <c r="J3090" s="18" t="n">
        <v>130.33</v>
      </c>
      <c r="K3090" s="19" t="n">
        <v>11.47</v>
      </c>
      <c r="L3090" s="15" t="n">
        <f aca="false">YEAR(B3090)</f>
        <v>2025</v>
      </c>
      <c r="M3090" s="20" t="n">
        <f aca="false">IF(J3090&gt;0,K3090/J3090,0)</f>
        <v>0.0880073659172869</v>
      </c>
    </row>
    <row r="3091" customFormat="false" ht="15" hidden="false" customHeight="false" outlineLevel="0" collapsed="false">
      <c r="A3091" s="15" t="s">
        <v>3148</v>
      </c>
      <c r="B3091" s="16" t="n">
        <v>45276</v>
      </c>
      <c r="C3091" s="15" t="s">
        <v>56</v>
      </c>
      <c r="D3091" s="15" t="s">
        <v>42</v>
      </c>
      <c r="E3091" s="15" t="s">
        <v>39</v>
      </c>
      <c r="F3091" s="15" t="s">
        <v>17</v>
      </c>
      <c r="G3091" s="15" t="s">
        <v>29</v>
      </c>
      <c r="H3091" s="15" t="n">
        <v>2</v>
      </c>
      <c r="I3091" s="17" t="n">
        <v>0.15</v>
      </c>
      <c r="J3091" s="18" t="n">
        <v>29.84</v>
      </c>
      <c r="K3091" s="19" t="n">
        <v>7.12</v>
      </c>
      <c r="L3091" s="15" t="n">
        <f aca="false">YEAR(B3091)</f>
        <v>2023</v>
      </c>
      <c r="M3091" s="20" t="n">
        <f aca="false">IF(J3091&gt;0,K3091/J3091,0)</f>
        <v>0.238605898123324</v>
      </c>
    </row>
    <row r="3092" customFormat="false" ht="15" hidden="false" customHeight="false" outlineLevel="0" collapsed="false">
      <c r="A3092" s="15" t="s">
        <v>3149</v>
      </c>
      <c r="B3092" s="16" t="n">
        <v>45996</v>
      </c>
      <c r="C3092" s="15" t="s">
        <v>56</v>
      </c>
      <c r="D3092" s="15" t="s">
        <v>42</v>
      </c>
      <c r="E3092" s="15" t="s">
        <v>38</v>
      </c>
      <c r="F3092" s="15" t="s">
        <v>17</v>
      </c>
      <c r="G3092" s="15" t="s">
        <v>29</v>
      </c>
      <c r="H3092" s="15" t="n">
        <v>5</v>
      </c>
      <c r="I3092" s="17" t="n">
        <v>0</v>
      </c>
      <c r="J3092" s="18" t="n">
        <v>78.13</v>
      </c>
      <c r="K3092" s="19" t="n">
        <v>22.4</v>
      </c>
      <c r="L3092" s="15" t="n">
        <f aca="false">YEAR(B3092)</f>
        <v>2025</v>
      </c>
      <c r="M3092" s="20" t="n">
        <f aca="false">IF(J3092&gt;0,K3092/J3092,0)</f>
        <v>0.28670165109433</v>
      </c>
    </row>
    <row r="3093" customFormat="false" ht="15" hidden="false" customHeight="false" outlineLevel="0" collapsed="false">
      <c r="A3093" s="15" t="s">
        <v>3150</v>
      </c>
      <c r="B3093" s="16" t="n">
        <v>44771</v>
      </c>
      <c r="C3093" s="15" t="s">
        <v>58</v>
      </c>
      <c r="D3093" s="15" t="s">
        <v>42</v>
      </c>
      <c r="E3093" s="15" t="s">
        <v>36</v>
      </c>
      <c r="F3093" s="15" t="s">
        <v>18</v>
      </c>
      <c r="G3093" s="15" t="s">
        <v>32</v>
      </c>
      <c r="H3093" s="15" t="n">
        <v>5</v>
      </c>
      <c r="I3093" s="17" t="n">
        <v>0.2</v>
      </c>
      <c r="J3093" s="18" t="n">
        <v>1380.3</v>
      </c>
      <c r="K3093" s="19" t="n">
        <v>-8.89</v>
      </c>
      <c r="L3093" s="15" t="n">
        <f aca="false">YEAR(B3093)</f>
        <v>2022</v>
      </c>
      <c r="M3093" s="20" t="n">
        <f aca="false">IF(J3093&gt;0,K3093/J3093,0)</f>
        <v>-0.00644062884880099</v>
      </c>
    </row>
    <row r="3094" customFormat="false" ht="15" hidden="false" customHeight="false" outlineLevel="0" collapsed="false">
      <c r="A3094" s="15" t="s">
        <v>3151</v>
      </c>
      <c r="B3094" s="16" t="n">
        <v>45438</v>
      </c>
      <c r="C3094" s="15" t="s">
        <v>56</v>
      </c>
      <c r="D3094" s="15" t="s">
        <v>43</v>
      </c>
      <c r="E3094" s="15" t="s">
        <v>37</v>
      </c>
      <c r="F3094" s="15" t="s">
        <v>16</v>
      </c>
      <c r="G3094" s="15" t="s">
        <v>22</v>
      </c>
      <c r="H3094" s="15" t="n">
        <v>5</v>
      </c>
      <c r="I3094" s="17" t="n">
        <v>0</v>
      </c>
      <c r="J3094" s="18" t="n">
        <v>2704.33</v>
      </c>
      <c r="K3094" s="19" t="n">
        <v>-65.9</v>
      </c>
      <c r="L3094" s="15" t="n">
        <f aca="false">YEAR(B3094)</f>
        <v>2024</v>
      </c>
      <c r="M3094" s="20" t="n">
        <f aca="false">IF(J3094&gt;0,K3094/J3094,0)</f>
        <v>-0.0243683278298137</v>
      </c>
    </row>
    <row r="3095" customFormat="false" ht="15" hidden="false" customHeight="false" outlineLevel="0" collapsed="false">
      <c r="A3095" s="15" t="s">
        <v>3152</v>
      </c>
      <c r="B3095" s="16" t="n">
        <v>45948</v>
      </c>
      <c r="C3095" s="15" t="s">
        <v>56</v>
      </c>
      <c r="D3095" s="15" t="s">
        <v>43</v>
      </c>
      <c r="E3095" s="15" t="s">
        <v>38</v>
      </c>
      <c r="F3095" s="15" t="s">
        <v>18</v>
      </c>
      <c r="G3095" s="15" t="s">
        <v>30</v>
      </c>
      <c r="H3095" s="15" t="n">
        <v>5</v>
      </c>
      <c r="I3095" s="17" t="n">
        <v>0</v>
      </c>
      <c r="J3095" s="18" t="n">
        <v>250.15</v>
      </c>
      <c r="K3095" s="19" t="n">
        <v>68.61</v>
      </c>
      <c r="L3095" s="15" t="n">
        <f aca="false">YEAR(B3095)</f>
        <v>2025</v>
      </c>
      <c r="M3095" s="20" t="n">
        <f aca="false">IF(J3095&gt;0,K3095/J3095,0)</f>
        <v>0.274275434739157</v>
      </c>
    </row>
    <row r="3096" customFormat="false" ht="15" hidden="false" customHeight="false" outlineLevel="0" collapsed="false">
      <c r="A3096" s="15" t="s">
        <v>3153</v>
      </c>
      <c r="B3096" s="16" t="n">
        <v>45177</v>
      </c>
      <c r="C3096" s="15" t="s">
        <v>56</v>
      </c>
      <c r="D3096" s="15" t="s">
        <v>44</v>
      </c>
      <c r="E3096" s="15" t="s">
        <v>39</v>
      </c>
      <c r="F3096" s="15" t="s">
        <v>18</v>
      </c>
      <c r="G3096" s="15" t="s">
        <v>32</v>
      </c>
      <c r="H3096" s="15" t="n">
        <v>2</v>
      </c>
      <c r="I3096" s="17" t="n">
        <v>0.4</v>
      </c>
      <c r="J3096" s="18" t="n">
        <v>566.48</v>
      </c>
      <c r="K3096" s="19" t="n">
        <v>-127.65</v>
      </c>
      <c r="L3096" s="15" t="n">
        <f aca="false">YEAR(B3096)</f>
        <v>2023</v>
      </c>
      <c r="M3096" s="20" t="n">
        <f aca="false">IF(J3096&gt;0,K3096/J3096,0)</f>
        <v>-0.225338935178647</v>
      </c>
    </row>
    <row r="3097" customFormat="false" ht="15" hidden="false" customHeight="false" outlineLevel="0" collapsed="false">
      <c r="A3097" s="15" t="s">
        <v>3154</v>
      </c>
      <c r="B3097" s="16" t="n">
        <v>45889</v>
      </c>
      <c r="C3097" s="15" t="s">
        <v>56</v>
      </c>
      <c r="D3097" s="15" t="s">
        <v>43</v>
      </c>
      <c r="E3097" s="15" t="s">
        <v>37</v>
      </c>
      <c r="F3097" s="15" t="s">
        <v>17</v>
      </c>
      <c r="G3097" s="15" t="s">
        <v>31</v>
      </c>
      <c r="H3097" s="15" t="n">
        <v>4</v>
      </c>
      <c r="I3097" s="17" t="n">
        <v>0.2</v>
      </c>
      <c r="J3097" s="18" t="n">
        <v>459.35</v>
      </c>
      <c r="K3097" s="19" t="n">
        <v>28.24</v>
      </c>
      <c r="L3097" s="15" t="n">
        <f aca="false">YEAR(B3097)</f>
        <v>2025</v>
      </c>
      <c r="M3097" s="20" t="n">
        <f aca="false">IF(J3097&gt;0,K3097/J3097,0)</f>
        <v>0.0614781756830304</v>
      </c>
    </row>
    <row r="3098" customFormat="false" ht="15" hidden="false" customHeight="false" outlineLevel="0" collapsed="false">
      <c r="A3098" s="15" t="s">
        <v>3155</v>
      </c>
      <c r="B3098" s="16" t="n">
        <v>45122</v>
      </c>
      <c r="C3098" s="15" t="s">
        <v>68</v>
      </c>
      <c r="D3098" s="15" t="s">
        <v>44</v>
      </c>
      <c r="E3098" s="15" t="s">
        <v>38</v>
      </c>
      <c r="F3098" s="15" t="s">
        <v>17</v>
      </c>
      <c r="G3098" s="15" t="s">
        <v>29</v>
      </c>
      <c r="H3098" s="15" t="n">
        <v>4</v>
      </c>
      <c r="I3098" s="17" t="n">
        <v>0</v>
      </c>
      <c r="J3098" s="18" t="n">
        <v>51.29</v>
      </c>
      <c r="K3098" s="19" t="n">
        <v>20.92</v>
      </c>
      <c r="L3098" s="15" t="n">
        <f aca="false">YEAR(B3098)</f>
        <v>2023</v>
      </c>
      <c r="M3098" s="20" t="n">
        <f aca="false">IF(J3098&gt;0,K3098/J3098,0)</f>
        <v>0.40787677909924</v>
      </c>
    </row>
    <row r="3099" customFormat="false" ht="15" hidden="false" customHeight="false" outlineLevel="0" collapsed="false">
      <c r="A3099" s="15" t="s">
        <v>3156</v>
      </c>
      <c r="B3099" s="16" t="n">
        <v>45339</v>
      </c>
      <c r="C3099" s="15" t="s">
        <v>56</v>
      </c>
      <c r="D3099" s="15" t="s">
        <v>42</v>
      </c>
      <c r="E3099" s="15" t="s">
        <v>39</v>
      </c>
      <c r="F3099" s="15" t="s">
        <v>17</v>
      </c>
      <c r="G3099" s="15" t="s">
        <v>28</v>
      </c>
      <c r="H3099" s="15" t="n">
        <v>5</v>
      </c>
      <c r="I3099" s="17" t="n">
        <v>0.4</v>
      </c>
      <c r="J3099" s="18" t="n">
        <v>76.5</v>
      </c>
      <c r="K3099" s="19" t="n">
        <v>-2.17</v>
      </c>
      <c r="L3099" s="15" t="n">
        <f aca="false">YEAR(B3099)</f>
        <v>2024</v>
      </c>
      <c r="M3099" s="20" t="n">
        <f aca="false">IF(J3099&gt;0,K3099/J3099,0)</f>
        <v>-0.0283660130718954</v>
      </c>
    </row>
    <row r="3100" customFormat="false" ht="15" hidden="false" customHeight="false" outlineLevel="0" collapsed="false">
      <c r="A3100" s="15" t="s">
        <v>3157</v>
      </c>
      <c r="B3100" s="16" t="n">
        <v>45344</v>
      </c>
      <c r="C3100" s="15" t="s">
        <v>71</v>
      </c>
      <c r="D3100" s="15" t="s">
        <v>44</v>
      </c>
      <c r="E3100" s="15" t="s">
        <v>39</v>
      </c>
      <c r="F3100" s="15" t="s">
        <v>17</v>
      </c>
      <c r="G3100" s="15" t="s">
        <v>31</v>
      </c>
      <c r="H3100" s="15" t="n">
        <v>2</v>
      </c>
      <c r="I3100" s="17" t="n">
        <v>0.15</v>
      </c>
      <c r="J3100" s="18" t="n">
        <v>265.26</v>
      </c>
      <c r="K3100" s="19" t="n">
        <v>32.22</v>
      </c>
      <c r="L3100" s="15" t="n">
        <f aca="false">YEAR(B3100)</f>
        <v>2024</v>
      </c>
      <c r="M3100" s="20" t="n">
        <f aca="false">IF(J3100&gt;0,K3100/J3100,0)</f>
        <v>0.121465731734902</v>
      </c>
    </row>
    <row r="3101" customFormat="false" ht="15" hidden="false" customHeight="false" outlineLevel="0" collapsed="false">
      <c r="A3101" s="15" t="s">
        <v>3158</v>
      </c>
      <c r="B3101" s="16" t="n">
        <v>44658</v>
      </c>
      <c r="C3101" s="15" t="s">
        <v>68</v>
      </c>
      <c r="D3101" s="15" t="s">
        <v>42</v>
      </c>
      <c r="E3101" s="15" t="s">
        <v>39</v>
      </c>
      <c r="F3101" s="15" t="s">
        <v>18</v>
      </c>
      <c r="G3101" s="15" t="s">
        <v>30</v>
      </c>
      <c r="H3101" s="15" t="n">
        <v>5</v>
      </c>
      <c r="I3101" s="17" t="n">
        <v>0.1</v>
      </c>
      <c r="J3101" s="18" t="n">
        <v>225.34</v>
      </c>
      <c r="K3101" s="19" t="n">
        <v>44.51</v>
      </c>
      <c r="L3101" s="15" t="n">
        <f aca="false">YEAR(B3101)</f>
        <v>2022</v>
      </c>
      <c r="M3101" s="20" t="n">
        <f aca="false">IF(J3101&gt;0,K3101/J3101,0)</f>
        <v>0.197523741901127</v>
      </c>
    </row>
    <row r="3102" customFormat="false" ht="15" hidden="false" customHeight="false" outlineLevel="0" collapsed="false">
      <c r="A3102" s="15" t="s">
        <v>3159</v>
      </c>
      <c r="B3102" s="16" t="n">
        <v>45396</v>
      </c>
      <c r="C3102" s="15" t="s">
        <v>71</v>
      </c>
      <c r="D3102" s="15" t="s">
        <v>42</v>
      </c>
      <c r="E3102" s="15" t="s">
        <v>37</v>
      </c>
      <c r="F3102" s="15" t="s">
        <v>16</v>
      </c>
      <c r="G3102" s="15" t="s">
        <v>23</v>
      </c>
      <c r="H3102" s="15" t="n">
        <v>4</v>
      </c>
      <c r="I3102" s="17" t="n">
        <v>0</v>
      </c>
      <c r="J3102" s="18" t="n">
        <v>1387.21</v>
      </c>
      <c r="K3102" s="19" t="n">
        <v>100</v>
      </c>
      <c r="L3102" s="15" t="n">
        <f aca="false">YEAR(B3102)</f>
        <v>2024</v>
      </c>
      <c r="M3102" s="20" t="n">
        <f aca="false">IF(J3102&gt;0,K3102/J3102,0)</f>
        <v>0.0720871389335429</v>
      </c>
    </row>
    <row r="3103" customFormat="false" ht="15" hidden="false" customHeight="false" outlineLevel="0" collapsed="false">
      <c r="A3103" s="15" t="s">
        <v>3160</v>
      </c>
      <c r="B3103" s="16" t="n">
        <v>45460</v>
      </c>
      <c r="C3103" s="15" t="s">
        <v>56</v>
      </c>
      <c r="D3103" s="15" t="s">
        <v>43</v>
      </c>
      <c r="E3103" s="15" t="s">
        <v>39</v>
      </c>
      <c r="F3103" s="15" t="s">
        <v>17</v>
      </c>
      <c r="G3103" s="15" t="s">
        <v>29</v>
      </c>
      <c r="H3103" s="15" t="n">
        <v>4</v>
      </c>
      <c r="I3103" s="17" t="n">
        <v>0</v>
      </c>
      <c r="J3103" s="18" t="n">
        <v>70.4</v>
      </c>
      <c r="K3103" s="19" t="n">
        <v>30.07</v>
      </c>
      <c r="L3103" s="15" t="n">
        <f aca="false">YEAR(B3103)</f>
        <v>2024</v>
      </c>
      <c r="M3103" s="20" t="n">
        <f aca="false">IF(J3103&gt;0,K3103/J3103,0)</f>
        <v>0.427130681818182</v>
      </c>
    </row>
    <row r="3104" customFormat="false" ht="15" hidden="false" customHeight="false" outlineLevel="0" collapsed="false">
      <c r="A3104" s="15" t="s">
        <v>3161</v>
      </c>
      <c r="B3104" s="16" t="n">
        <v>45246</v>
      </c>
      <c r="C3104" s="15" t="s">
        <v>56</v>
      </c>
      <c r="D3104" s="15" t="s">
        <v>43</v>
      </c>
      <c r="E3104" s="15" t="s">
        <v>37</v>
      </c>
      <c r="F3104" s="15" t="s">
        <v>17</v>
      </c>
      <c r="G3104" s="15" t="s">
        <v>26</v>
      </c>
      <c r="H3104" s="15" t="n">
        <v>3</v>
      </c>
      <c r="I3104" s="17" t="n">
        <v>0</v>
      </c>
      <c r="J3104" s="18" t="n">
        <v>285.52</v>
      </c>
      <c r="K3104" s="19" t="n">
        <v>48.28</v>
      </c>
      <c r="L3104" s="15" t="n">
        <f aca="false">YEAR(B3104)</f>
        <v>2023</v>
      </c>
      <c r="M3104" s="20" t="n">
        <f aca="false">IF(J3104&gt;0,K3104/J3104,0)</f>
        <v>0.169094984589521</v>
      </c>
    </row>
    <row r="3105" customFormat="false" ht="15" hidden="false" customHeight="false" outlineLevel="0" collapsed="false">
      <c r="A3105" s="15" t="s">
        <v>3162</v>
      </c>
      <c r="B3105" s="16" t="n">
        <v>45071</v>
      </c>
      <c r="C3105" s="15" t="s">
        <v>71</v>
      </c>
      <c r="D3105" s="15" t="s">
        <v>42</v>
      </c>
      <c r="E3105" s="15" t="s">
        <v>38</v>
      </c>
      <c r="F3105" s="15" t="s">
        <v>16</v>
      </c>
      <c r="G3105" s="15" t="s">
        <v>27</v>
      </c>
      <c r="H3105" s="15" t="n">
        <v>7</v>
      </c>
      <c r="I3105" s="17" t="n">
        <v>0.05</v>
      </c>
      <c r="J3105" s="18" t="n">
        <v>513.72</v>
      </c>
      <c r="K3105" s="19" t="n">
        <v>90.78</v>
      </c>
      <c r="L3105" s="15" t="n">
        <f aca="false">YEAR(B3105)</f>
        <v>2023</v>
      </c>
      <c r="M3105" s="20" t="n">
        <f aca="false">IF(J3105&gt;0,K3105/J3105,0)</f>
        <v>0.176711048820369</v>
      </c>
    </row>
    <row r="3106" customFormat="false" ht="15" hidden="false" customHeight="false" outlineLevel="0" collapsed="false">
      <c r="A3106" s="15" t="s">
        <v>3163</v>
      </c>
      <c r="B3106" s="16" t="n">
        <v>45886</v>
      </c>
      <c r="C3106" s="15" t="s">
        <v>56</v>
      </c>
      <c r="D3106" s="15" t="s">
        <v>42</v>
      </c>
      <c r="E3106" s="15" t="s">
        <v>36</v>
      </c>
      <c r="F3106" s="15" t="s">
        <v>17</v>
      </c>
      <c r="G3106" s="15" t="s">
        <v>28</v>
      </c>
      <c r="H3106" s="15" t="n">
        <v>4</v>
      </c>
      <c r="I3106" s="17" t="n">
        <v>0.2</v>
      </c>
      <c r="J3106" s="18" t="n">
        <v>73.74</v>
      </c>
      <c r="K3106" s="19" t="n">
        <v>10.82</v>
      </c>
      <c r="L3106" s="15" t="n">
        <f aca="false">YEAR(B3106)</f>
        <v>2025</v>
      </c>
      <c r="M3106" s="20" t="n">
        <f aca="false">IF(J3106&gt;0,K3106/J3106,0)</f>
        <v>0.146731760238676</v>
      </c>
    </row>
    <row r="3107" customFormat="false" ht="15" hidden="false" customHeight="false" outlineLevel="0" collapsed="false">
      <c r="A3107" s="15" t="s">
        <v>3164</v>
      </c>
      <c r="B3107" s="16" t="n">
        <v>45911</v>
      </c>
      <c r="C3107" s="15" t="s">
        <v>71</v>
      </c>
      <c r="D3107" s="15" t="s">
        <v>43</v>
      </c>
      <c r="E3107" s="15" t="s">
        <v>36</v>
      </c>
      <c r="F3107" s="15" t="s">
        <v>16</v>
      </c>
      <c r="G3107" s="15" t="s">
        <v>22</v>
      </c>
      <c r="H3107" s="15" t="n">
        <v>2</v>
      </c>
      <c r="I3107" s="17" t="n">
        <v>0.15</v>
      </c>
      <c r="J3107" s="18" t="n">
        <v>902.16</v>
      </c>
      <c r="K3107" s="19" t="n">
        <v>-128.04</v>
      </c>
      <c r="L3107" s="15" t="n">
        <f aca="false">YEAR(B3107)</f>
        <v>2025</v>
      </c>
      <c r="M3107" s="20" t="n">
        <f aca="false">IF(J3107&gt;0,K3107/J3107,0)</f>
        <v>-0.141926044160681</v>
      </c>
    </row>
    <row r="3108" customFormat="false" ht="15" hidden="false" customHeight="false" outlineLevel="0" collapsed="false">
      <c r="A3108" s="15" t="s">
        <v>3165</v>
      </c>
      <c r="B3108" s="16" t="n">
        <v>45767</v>
      </c>
      <c r="C3108" s="15" t="s">
        <v>58</v>
      </c>
      <c r="D3108" s="15" t="s">
        <v>42</v>
      </c>
      <c r="E3108" s="15" t="s">
        <v>39</v>
      </c>
      <c r="F3108" s="15" t="s">
        <v>17</v>
      </c>
      <c r="G3108" s="15" t="s">
        <v>28</v>
      </c>
      <c r="H3108" s="15" t="n">
        <v>6</v>
      </c>
      <c r="I3108" s="17" t="n">
        <v>0.2</v>
      </c>
      <c r="J3108" s="18" t="n">
        <v>111.4</v>
      </c>
      <c r="K3108" s="19" t="n">
        <v>8.91</v>
      </c>
      <c r="L3108" s="15" t="n">
        <f aca="false">YEAR(B3108)</f>
        <v>2025</v>
      </c>
      <c r="M3108" s="20" t="n">
        <f aca="false">IF(J3108&gt;0,K3108/J3108,0)</f>
        <v>0.0799820466786356</v>
      </c>
    </row>
    <row r="3109" customFormat="false" ht="15" hidden="false" customHeight="false" outlineLevel="0" collapsed="false">
      <c r="A3109" s="15" t="s">
        <v>3166</v>
      </c>
      <c r="B3109" s="16" t="n">
        <v>45554</v>
      </c>
      <c r="C3109" s="15" t="s">
        <v>56</v>
      </c>
      <c r="D3109" s="15" t="s">
        <v>42</v>
      </c>
      <c r="E3109" s="15" t="s">
        <v>37</v>
      </c>
      <c r="F3109" s="15" t="s">
        <v>17</v>
      </c>
      <c r="G3109" s="15" t="s">
        <v>26</v>
      </c>
      <c r="H3109" s="15" t="n">
        <v>3</v>
      </c>
      <c r="I3109" s="17" t="n">
        <v>0</v>
      </c>
      <c r="J3109" s="18" t="n">
        <v>304.38</v>
      </c>
      <c r="K3109" s="19" t="n">
        <v>55.66</v>
      </c>
      <c r="L3109" s="15" t="n">
        <f aca="false">YEAR(B3109)</f>
        <v>2024</v>
      </c>
      <c r="M3109" s="20" t="n">
        <f aca="false">IF(J3109&gt;0,K3109/J3109,0)</f>
        <v>0.182863525855838</v>
      </c>
    </row>
    <row r="3110" customFormat="false" ht="15" hidden="false" customHeight="false" outlineLevel="0" collapsed="false">
      <c r="A3110" s="15" t="s">
        <v>3167</v>
      </c>
      <c r="B3110" s="16" t="n">
        <v>46009</v>
      </c>
      <c r="C3110" s="15" t="s">
        <v>71</v>
      </c>
      <c r="D3110" s="15" t="s">
        <v>42</v>
      </c>
      <c r="E3110" s="15" t="s">
        <v>38</v>
      </c>
      <c r="F3110" s="15" t="s">
        <v>18</v>
      </c>
      <c r="G3110" s="15" t="s">
        <v>30</v>
      </c>
      <c r="H3110" s="15" t="n">
        <v>4</v>
      </c>
      <c r="I3110" s="17" t="n">
        <v>0.3</v>
      </c>
      <c r="J3110" s="18" t="n">
        <v>139.96</v>
      </c>
      <c r="K3110" s="19" t="n">
        <v>5.33</v>
      </c>
      <c r="L3110" s="15" t="n">
        <f aca="false">YEAR(B3110)</f>
        <v>2025</v>
      </c>
      <c r="M3110" s="20" t="n">
        <f aca="false">IF(J3110&gt;0,K3110/J3110,0)</f>
        <v>0.0380823092312089</v>
      </c>
    </row>
    <row r="3111" customFormat="false" ht="15" hidden="false" customHeight="false" outlineLevel="0" collapsed="false">
      <c r="A3111" s="15" t="s">
        <v>3168</v>
      </c>
      <c r="B3111" s="16" t="n">
        <v>45039</v>
      </c>
      <c r="C3111" s="15" t="s">
        <v>56</v>
      </c>
      <c r="D3111" s="15" t="s">
        <v>43</v>
      </c>
      <c r="E3111" s="15" t="s">
        <v>39</v>
      </c>
      <c r="F3111" s="15" t="s">
        <v>17</v>
      </c>
      <c r="G3111" s="15" t="s">
        <v>29</v>
      </c>
      <c r="H3111" s="15" t="n">
        <v>4</v>
      </c>
      <c r="I3111" s="17" t="n">
        <v>0.1</v>
      </c>
      <c r="J3111" s="18" t="n">
        <v>62.75</v>
      </c>
      <c r="K3111" s="19" t="n">
        <v>22.36</v>
      </c>
      <c r="L3111" s="15" t="n">
        <f aca="false">YEAR(B3111)</f>
        <v>2023</v>
      </c>
      <c r="M3111" s="20" t="n">
        <f aca="false">IF(J3111&gt;0,K3111/J3111,0)</f>
        <v>0.356334661354582</v>
      </c>
    </row>
    <row r="3112" customFormat="false" ht="15" hidden="false" customHeight="false" outlineLevel="0" collapsed="false">
      <c r="A3112" s="15" t="s">
        <v>3169</v>
      </c>
      <c r="B3112" s="16" t="n">
        <v>45564</v>
      </c>
      <c r="C3112" s="15" t="s">
        <v>56</v>
      </c>
      <c r="D3112" s="15" t="s">
        <v>44</v>
      </c>
      <c r="E3112" s="15" t="s">
        <v>37</v>
      </c>
      <c r="F3112" s="15" t="s">
        <v>17</v>
      </c>
      <c r="G3112" s="15" t="s">
        <v>29</v>
      </c>
      <c r="H3112" s="15" t="n">
        <v>8</v>
      </c>
      <c r="I3112" s="17" t="n">
        <v>0</v>
      </c>
      <c r="J3112" s="18" t="n">
        <v>186.15</v>
      </c>
      <c r="K3112" s="19" t="n">
        <v>70.2</v>
      </c>
      <c r="L3112" s="15" t="n">
        <f aca="false">YEAR(B3112)</f>
        <v>2024</v>
      </c>
      <c r="M3112" s="20" t="n">
        <f aca="false">IF(J3112&gt;0,K3112/J3112,0)</f>
        <v>0.377115229653505</v>
      </c>
    </row>
    <row r="3113" customFormat="false" ht="15" hidden="false" customHeight="false" outlineLevel="0" collapsed="false">
      <c r="A3113" s="15" t="s">
        <v>3170</v>
      </c>
      <c r="B3113" s="16" t="n">
        <v>44864</v>
      </c>
      <c r="C3113" s="15" t="s">
        <v>56</v>
      </c>
      <c r="D3113" s="15" t="s">
        <v>42</v>
      </c>
      <c r="E3113" s="15" t="s">
        <v>38</v>
      </c>
      <c r="F3113" s="15" t="s">
        <v>17</v>
      </c>
      <c r="G3113" s="15" t="s">
        <v>26</v>
      </c>
      <c r="H3113" s="15" t="n">
        <v>4</v>
      </c>
      <c r="I3113" s="17" t="n">
        <v>0.2</v>
      </c>
      <c r="J3113" s="18" t="n">
        <v>173.18</v>
      </c>
      <c r="K3113" s="19" t="n">
        <v>-8.55</v>
      </c>
      <c r="L3113" s="15" t="n">
        <f aca="false">YEAR(B3113)</f>
        <v>2022</v>
      </c>
      <c r="M3113" s="20" t="n">
        <f aca="false">IF(J3113&gt;0,K3113/J3113,0)</f>
        <v>-0.0493705970666359</v>
      </c>
    </row>
    <row r="3114" customFormat="false" ht="15" hidden="false" customHeight="false" outlineLevel="0" collapsed="false">
      <c r="A3114" s="15" t="s">
        <v>3171</v>
      </c>
      <c r="B3114" s="16" t="n">
        <v>44782</v>
      </c>
      <c r="C3114" s="15" t="s">
        <v>71</v>
      </c>
      <c r="D3114" s="15" t="s">
        <v>43</v>
      </c>
      <c r="E3114" s="15" t="s">
        <v>37</v>
      </c>
      <c r="F3114" s="15" t="s">
        <v>17</v>
      </c>
      <c r="G3114" s="15" t="s">
        <v>29</v>
      </c>
      <c r="H3114" s="15" t="n">
        <v>4</v>
      </c>
      <c r="I3114" s="17" t="n">
        <v>0.2</v>
      </c>
      <c r="J3114" s="18" t="n">
        <v>62.18</v>
      </c>
      <c r="K3114" s="19" t="n">
        <v>10.29</v>
      </c>
      <c r="L3114" s="15" t="n">
        <f aca="false">YEAR(B3114)</f>
        <v>2022</v>
      </c>
      <c r="M3114" s="20" t="n">
        <f aca="false">IF(J3114&gt;0,K3114/J3114,0)</f>
        <v>0.165487294950145</v>
      </c>
    </row>
    <row r="3115" customFormat="false" ht="15" hidden="false" customHeight="false" outlineLevel="0" collapsed="false">
      <c r="A3115" s="15" t="s">
        <v>3172</v>
      </c>
      <c r="B3115" s="16" t="n">
        <v>45930</v>
      </c>
      <c r="C3115" s="15" t="s">
        <v>68</v>
      </c>
      <c r="D3115" s="15" t="s">
        <v>43</v>
      </c>
      <c r="E3115" s="15" t="s">
        <v>39</v>
      </c>
      <c r="F3115" s="15" t="s">
        <v>18</v>
      </c>
      <c r="G3115" s="15" t="s">
        <v>32</v>
      </c>
      <c r="H3115" s="15" t="n">
        <v>2</v>
      </c>
      <c r="I3115" s="17" t="n">
        <v>0.2</v>
      </c>
      <c r="J3115" s="18" t="n">
        <v>743</v>
      </c>
      <c r="K3115" s="19" t="n">
        <v>24.81</v>
      </c>
      <c r="L3115" s="15" t="n">
        <f aca="false">YEAR(B3115)</f>
        <v>2025</v>
      </c>
      <c r="M3115" s="20" t="n">
        <f aca="false">IF(J3115&gt;0,K3115/J3115,0)</f>
        <v>0.0333916554508748</v>
      </c>
    </row>
    <row r="3116" customFormat="false" ht="15" hidden="false" customHeight="false" outlineLevel="0" collapsed="false">
      <c r="A3116" s="15" t="s">
        <v>3173</v>
      </c>
      <c r="B3116" s="16" t="n">
        <v>45247</v>
      </c>
      <c r="C3116" s="15" t="s">
        <v>71</v>
      </c>
      <c r="D3116" s="15" t="s">
        <v>42</v>
      </c>
      <c r="E3116" s="15" t="s">
        <v>37</v>
      </c>
      <c r="F3116" s="15" t="s">
        <v>18</v>
      </c>
      <c r="G3116" s="15" t="s">
        <v>30</v>
      </c>
      <c r="H3116" s="15" t="n">
        <v>2</v>
      </c>
      <c r="I3116" s="17" t="n">
        <v>0.2</v>
      </c>
      <c r="J3116" s="18" t="n">
        <v>96.62</v>
      </c>
      <c r="K3116" s="19" t="n">
        <v>8.89</v>
      </c>
      <c r="L3116" s="15" t="n">
        <f aca="false">YEAR(B3116)</f>
        <v>2023</v>
      </c>
      <c r="M3116" s="20" t="n">
        <f aca="false">IF(J3116&gt;0,K3116/J3116,0)</f>
        <v>0.0920099358310909</v>
      </c>
    </row>
    <row r="3117" customFormat="false" ht="15" hidden="false" customHeight="false" outlineLevel="0" collapsed="false">
      <c r="A3117" s="15" t="s">
        <v>3174</v>
      </c>
      <c r="B3117" s="16" t="n">
        <v>45919</v>
      </c>
      <c r="C3117" s="15" t="s">
        <v>56</v>
      </c>
      <c r="D3117" s="15" t="s">
        <v>42</v>
      </c>
      <c r="E3117" s="15" t="s">
        <v>38</v>
      </c>
      <c r="F3117" s="15" t="s">
        <v>16</v>
      </c>
      <c r="G3117" s="15" t="s">
        <v>27</v>
      </c>
      <c r="H3117" s="15" t="n">
        <v>3</v>
      </c>
      <c r="I3117" s="17" t="n">
        <v>0</v>
      </c>
      <c r="J3117" s="18" t="n">
        <v>151.4</v>
      </c>
      <c r="K3117" s="19" t="n">
        <v>36.09</v>
      </c>
      <c r="L3117" s="15" t="n">
        <f aca="false">YEAR(B3117)</f>
        <v>2025</v>
      </c>
      <c r="M3117" s="20" t="n">
        <f aca="false">IF(J3117&gt;0,K3117/J3117,0)</f>
        <v>0.238375165125495</v>
      </c>
    </row>
    <row r="3118" customFormat="false" ht="15" hidden="false" customHeight="false" outlineLevel="0" collapsed="false">
      <c r="A3118" s="15" t="s">
        <v>3175</v>
      </c>
      <c r="B3118" s="16" t="n">
        <v>45246</v>
      </c>
      <c r="C3118" s="15" t="s">
        <v>68</v>
      </c>
      <c r="D3118" s="15" t="s">
        <v>43</v>
      </c>
      <c r="E3118" s="15" t="s">
        <v>36</v>
      </c>
      <c r="F3118" s="15" t="s">
        <v>17</v>
      </c>
      <c r="G3118" s="15" t="s">
        <v>29</v>
      </c>
      <c r="H3118" s="15" t="n">
        <v>4</v>
      </c>
      <c r="I3118" s="17" t="n">
        <v>0</v>
      </c>
      <c r="J3118" s="18" t="n">
        <v>79.35</v>
      </c>
      <c r="K3118" s="19" t="n">
        <v>29.27</v>
      </c>
      <c r="L3118" s="15" t="n">
        <f aca="false">YEAR(B3118)</f>
        <v>2023</v>
      </c>
      <c r="M3118" s="20" t="n">
        <f aca="false">IF(J3118&gt;0,K3118/J3118,0)</f>
        <v>0.368872085696282</v>
      </c>
    </row>
    <row r="3119" customFormat="false" ht="15" hidden="false" customHeight="false" outlineLevel="0" collapsed="false">
      <c r="A3119" s="15" t="s">
        <v>3176</v>
      </c>
      <c r="B3119" s="16" t="n">
        <v>45220</v>
      </c>
      <c r="C3119" s="15" t="s">
        <v>56</v>
      </c>
      <c r="D3119" s="15" t="s">
        <v>42</v>
      </c>
      <c r="E3119" s="15" t="s">
        <v>39</v>
      </c>
      <c r="F3119" s="15" t="s">
        <v>17</v>
      </c>
      <c r="G3119" s="15" t="s">
        <v>29</v>
      </c>
      <c r="H3119" s="15" t="n">
        <v>4</v>
      </c>
      <c r="I3119" s="17" t="n">
        <v>0</v>
      </c>
      <c r="J3119" s="18" t="n">
        <v>69.33</v>
      </c>
      <c r="K3119" s="19" t="n">
        <v>26.94</v>
      </c>
      <c r="L3119" s="15" t="n">
        <f aca="false">YEAR(B3119)</f>
        <v>2023</v>
      </c>
      <c r="M3119" s="20" t="n">
        <f aca="false">IF(J3119&gt;0,K3119/J3119,0)</f>
        <v>0.388576373864128</v>
      </c>
    </row>
    <row r="3120" customFormat="false" ht="15" hidden="false" customHeight="false" outlineLevel="0" collapsed="false">
      <c r="A3120" s="15" t="s">
        <v>3177</v>
      </c>
      <c r="B3120" s="16" t="n">
        <v>45520</v>
      </c>
      <c r="C3120" s="15" t="s">
        <v>71</v>
      </c>
      <c r="D3120" s="15" t="s">
        <v>44</v>
      </c>
      <c r="E3120" s="15" t="s">
        <v>39</v>
      </c>
      <c r="F3120" s="15" t="s">
        <v>17</v>
      </c>
      <c r="G3120" s="15" t="s">
        <v>26</v>
      </c>
      <c r="H3120" s="15" t="n">
        <v>5</v>
      </c>
      <c r="I3120" s="17" t="n">
        <v>0</v>
      </c>
      <c r="J3120" s="18" t="n">
        <v>506.04</v>
      </c>
      <c r="K3120" s="19" t="n">
        <v>62.92</v>
      </c>
      <c r="L3120" s="15" t="n">
        <f aca="false">YEAR(B3120)</f>
        <v>2024</v>
      </c>
      <c r="M3120" s="20" t="n">
        <f aca="false">IF(J3120&gt;0,K3120/J3120,0)</f>
        <v>0.124337996996285</v>
      </c>
    </row>
    <row r="3121" customFormat="false" ht="15" hidden="false" customHeight="false" outlineLevel="0" collapsed="false">
      <c r="A3121" s="15" t="s">
        <v>3178</v>
      </c>
      <c r="B3121" s="16" t="n">
        <v>44792</v>
      </c>
      <c r="C3121" s="15" t="s">
        <v>56</v>
      </c>
      <c r="D3121" s="15" t="s">
        <v>42</v>
      </c>
      <c r="E3121" s="15" t="s">
        <v>37</v>
      </c>
      <c r="F3121" s="15" t="s">
        <v>18</v>
      </c>
      <c r="G3121" s="15" t="s">
        <v>32</v>
      </c>
      <c r="H3121" s="15" t="n">
        <v>2</v>
      </c>
      <c r="I3121" s="17" t="n">
        <v>0.1</v>
      </c>
      <c r="J3121" s="18" t="n">
        <v>712.89</v>
      </c>
      <c r="K3121" s="19" t="n">
        <v>48.93</v>
      </c>
      <c r="L3121" s="15" t="n">
        <f aca="false">YEAR(B3121)</f>
        <v>2022</v>
      </c>
      <c r="M3121" s="20" t="n">
        <f aca="false">IF(J3121&gt;0,K3121/J3121,0)</f>
        <v>0.0686361149686487</v>
      </c>
    </row>
    <row r="3122" customFormat="false" ht="15" hidden="false" customHeight="false" outlineLevel="0" collapsed="false">
      <c r="A3122" s="15" t="s">
        <v>3179</v>
      </c>
      <c r="B3122" s="16" t="n">
        <v>45292</v>
      </c>
      <c r="C3122" s="15" t="s">
        <v>56</v>
      </c>
      <c r="D3122" s="15" t="s">
        <v>42</v>
      </c>
      <c r="E3122" s="15" t="s">
        <v>36</v>
      </c>
      <c r="F3122" s="15" t="s">
        <v>16</v>
      </c>
      <c r="G3122" s="15" t="s">
        <v>27</v>
      </c>
      <c r="H3122" s="15" t="n">
        <v>1</v>
      </c>
      <c r="I3122" s="17" t="n">
        <v>0</v>
      </c>
      <c r="J3122" s="18" t="n">
        <v>43.68</v>
      </c>
      <c r="K3122" s="19" t="n">
        <v>10.99</v>
      </c>
      <c r="L3122" s="15" t="n">
        <f aca="false">YEAR(B3122)</f>
        <v>2024</v>
      </c>
      <c r="M3122" s="20" t="n">
        <f aca="false">IF(J3122&gt;0,K3122/J3122,0)</f>
        <v>0.251602564102564</v>
      </c>
    </row>
    <row r="3123" customFormat="false" ht="15" hidden="false" customHeight="false" outlineLevel="0" collapsed="false">
      <c r="A3123" s="15" t="s">
        <v>3180</v>
      </c>
      <c r="B3123" s="16" t="n">
        <v>44870</v>
      </c>
      <c r="C3123" s="15" t="s">
        <v>58</v>
      </c>
      <c r="D3123" s="15" t="s">
        <v>43</v>
      </c>
      <c r="E3123" s="15" t="s">
        <v>38</v>
      </c>
      <c r="F3123" s="15" t="s">
        <v>16</v>
      </c>
      <c r="G3123" s="15" t="s">
        <v>25</v>
      </c>
      <c r="H3123" s="15" t="n">
        <v>4</v>
      </c>
      <c r="I3123" s="17" t="n">
        <v>0</v>
      </c>
      <c r="J3123" s="18" t="n">
        <v>1080.31</v>
      </c>
      <c r="K3123" s="19" t="n">
        <v>78.5</v>
      </c>
      <c r="L3123" s="15" t="n">
        <f aca="false">YEAR(B3123)</f>
        <v>2022</v>
      </c>
      <c r="M3123" s="20" t="n">
        <f aca="false">IF(J3123&gt;0,K3123/J3123,0)</f>
        <v>0.0726643278318261</v>
      </c>
    </row>
    <row r="3124" customFormat="false" ht="15" hidden="false" customHeight="false" outlineLevel="0" collapsed="false">
      <c r="A3124" s="15" t="s">
        <v>3181</v>
      </c>
      <c r="B3124" s="16" t="n">
        <v>44597</v>
      </c>
      <c r="C3124" s="15" t="s">
        <v>68</v>
      </c>
      <c r="D3124" s="15" t="s">
        <v>43</v>
      </c>
      <c r="E3124" s="15" t="s">
        <v>37</v>
      </c>
      <c r="F3124" s="15" t="s">
        <v>17</v>
      </c>
      <c r="G3124" s="15" t="s">
        <v>26</v>
      </c>
      <c r="H3124" s="15" t="n">
        <v>5</v>
      </c>
      <c r="I3124" s="17" t="n">
        <v>0.2</v>
      </c>
      <c r="J3124" s="18" t="n">
        <v>389.51</v>
      </c>
      <c r="K3124" s="19" t="n">
        <v>-19.71</v>
      </c>
      <c r="L3124" s="15" t="n">
        <f aca="false">YEAR(B3124)</f>
        <v>2022</v>
      </c>
      <c r="M3124" s="20" t="n">
        <f aca="false">IF(J3124&gt;0,K3124/J3124,0)</f>
        <v>-0.0506020384585762</v>
      </c>
    </row>
    <row r="3125" customFormat="false" ht="15" hidden="false" customHeight="false" outlineLevel="0" collapsed="false">
      <c r="A3125" s="15" t="s">
        <v>3182</v>
      </c>
      <c r="B3125" s="16" t="n">
        <v>44682</v>
      </c>
      <c r="C3125" s="15" t="s">
        <v>56</v>
      </c>
      <c r="D3125" s="15" t="s">
        <v>42</v>
      </c>
      <c r="E3125" s="15" t="s">
        <v>39</v>
      </c>
      <c r="F3125" s="15" t="s">
        <v>17</v>
      </c>
      <c r="G3125" s="15" t="s">
        <v>29</v>
      </c>
      <c r="H3125" s="15" t="n">
        <v>2</v>
      </c>
      <c r="I3125" s="17" t="n">
        <v>0</v>
      </c>
      <c r="J3125" s="18" t="n">
        <v>38.34</v>
      </c>
      <c r="K3125" s="19" t="n">
        <v>11.2</v>
      </c>
      <c r="L3125" s="15" t="n">
        <f aca="false">YEAR(B3125)</f>
        <v>2022</v>
      </c>
      <c r="M3125" s="20" t="n">
        <f aca="false">IF(J3125&gt;0,K3125/J3125,0)</f>
        <v>0.292123109024517</v>
      </c>
    </row>
    <row r="3126" customFormat="false" ht="15" hidden="false" customHeight="false" outlineLevel="0" collapsed="false">
      <c r="A3126" s="15" t="s">
        <v>3183</v>
      </c>
      <c r="B3126" s="16" t="n">
        <v>44721</v>
      </c>
      <c r="C3126" s="15" t="s">
        <v>56</v>
      </c>
      <c r="D3126" s="15" t="s">
        <v>44</v>
      </c>
      <c r="E3126" s="15" t="s">
        <v>37</v>
      </c>
      <c r="F3126" s="15" t="s">
        <v>16</v>
      </c>
      <c r="G3126" s="15" t="s">
        <v>25</v>
      </c>
      <c r="H3126" s="15" t="n">
        <v>3</v>
      </c>
      <c r="I3126" s="17" t="n">
        <v>0</v>
      </c>
      <c r="J3126" s="18" t="n">
        <v>813.2</v>
      </c>
      <c r="K3126" s="19" t="n">
        <v>97.46</v>
      </c>
      <c r="L3126" s="15" t="n">
        <f aca="false">YEAR(B3126)</f>
        <v>2022</v>
      </c>
      <c r="M3126" s="20" t="n">
        <f aca="false">IF(J3126&gt;0,K3126/J3126,0)</f>
        <v>0.119847515986227</v>
      </c>
    </row>
    <row r="3127" customFormat="false" ht="15" hidden="false" customHeight="false" outlineLevel="0" collapsed="false">
      <c r="A3127" s="15" t="s">
        <v>3184</v>
      </c>
      <c r="B3127" s="16" t="n">
        <v>45852</v>
      </c>
      <c r="C3127" s="15" t="s">
        <v>56</v>
      </c>
      <c r="D3127" s="15" t="s">
        <v>43</v>
      </c>
      <c r="E3127" s="15" t="s">
        <v>39</v>
      </c>
      <c r="F3127" s="15" t="s">
        <v>18</v>
      </c>
      <c r="G3127" s="15" t="s">
        <v>32</v>
      </c>
      <c r="H3127" s="15" t="n">
        <v>1</v>
      </c>
      <c r="I3127" s="17" t="n">
        <v>0.1</v>
      </c>
      <c r="J3127" s="18" t="n">
        <v>391.85</v>
      </c>
      <c r="K3127" s="19" t="n">
        <v>27.09</v>
      </c>
      <c r="L3127" s="15" t="n">
        <f aca="false">YEAR(B3127)</f>
        <v>2025</v>
      </c>
      <c r="M3127" s="20" t="n">
        <f aca="false">IF(J3127&gt;0,K3127/J3127,0)</f>
        <v>0.0691335970396836</v>
      </c>
    </row>
    <row r="3128" customFormat="false" ht="15" hidden="false" customHeight="false" outlineLevel="0" collapsed="false">
      <c r="A3128" s="15" t="s">
        <v>3185</v>
      </c>
      <c r="B3128" s="16" t="n">
        <v>45266</v>
      </c>
      <c r="C3128" s="15" t="s">
        <v>56</v>
      </c>
      <c r="D3128" s="15" t="s">
        <v>43</v>
      </c>
      <c r="E3128" s="15" t="s">
        <v>38</v>
      </c>
      <c r="F3128" s="15" t="s">
        <v>17</v>
      </c>
      <c r="G3128" s="15" t="s">
        <v>28</v>
      </c>
      <c r="H3128" s="15" t="n">
        <v>1</v>
      </c>
      <c r="I3128" s="17" t="n">
        <v>0.3</v>
      </c>
      <c r="J3128" s="18" t="n">
        <v>18.82</v>
      </c>
      <c r="K3128" s="19" t="n">
        <v>0.67</v>
      </c>
      <c r="L3128" s="15" t="n">
        <f aca="false">YEAR(B3128)</f>
        <v>2023</v>
      </c>
      <c r="M3128" s="20" t="n">
        <f aca="false">IF(J3128&gt;0,K3128/J3128,0)</f>
        <v>0.0356004250797024</v>
      </c>
    </row>
    <row r="3129" customFormat="false" ht="15" hidden="false" customHeight="false" outlineLevel="0" collapsed="false">
      <c r="A3129" s="15" t="s">
        <v>3186</v>
      </c>
      <c r="B3129" s="16" t="n">
        <v>45202</v>
      </c>
      <c r="C3129" s="15" t="s">
        <v>56</v>
      </c>
      <c r="D3129" s="15" t="s">
        <v>42</v>
      </c>
      <c r="E3129" s="15" t="s">
        <v>39</v>
      </c>
      <c r="F3129" s="15" t="s">
        <v>18</v>
      </c>
      <c r="G3129" s="15" t="s">
        <v>30</v>
      </c>
      <c r="H3129" s="15" t="n">
        <v>3</v>
      </c>
      <c r="I3129" s="17" t="n">
        <v>0.3</v>
      </c>
      <c r="J3129" s="18" t="n">
        <v>77.08</v>
      </c>
      <c r="K3129" s="19" t="n">
        <v>0.81</v>
      </c>
      <c r="L3129" s="15" t="n">
        <f aca="false">YEAR(B3129)</f>
        <v>2023</v>
      </c>
      <c r="M3129" s="20" t="n">
        <f aca="false">IF(J3129&gt;0,K3129/J3129,0)</f>
        <v>0.0105085625324338</v>
      </c>
    </row>
    <row r="3130" customFormat="false" ht="15" hidden="false" customHeight="false" outlineLevel="0" collapsed="false">
      <c r="A3130" s="15" t="s">
        <v>3187</v>
      </c>
      <c r="B3130" s="16" t="n">
        <v>45668</v>
      </c>
      <c r="C3130" s="15" t="s">
        <v>68</v>
      </c>
      <c r="D3130" s="15" t="s">
        <v>43</v>
      </c>
      <c r="E3130" s="15" t="s">
        <v>36</v>
      </c>
      <c r="F3130" s="15" t="s">
        <v>17</v>
      </c>
      <c r="G3130" s="15" t="s">
        <v>31</v>
      </c>
      <c r="H3130" s="15" t="n">
        <v>2</v>
      </c>
      <c r="I3130" s="17" t="n">
        <v>0.1</v>
      </c>
      <c r="J3130" s="18" t="n">
        <v>255.59</v>
      </c>
      <c r="K3130" s="19" t="n">
        <v>47.95</v>
      </c>
      <c r="L3130" s="15" t="n">
        <f aca="false">YEAR(B3130)</f>
        <v>2025</v>
      </c>
      <c r="M3130" s="20" t="n">
        <f aca="false">IF(J3130&gt;0,K3130/J3130,0)</f>
        <v>0.187605148871239</v>
      </c>
    </row>
    <row r="3131" customFormat="false" ht="15" hidden="false" customHeight="false" outlineLevel="0" collapsed="false">
      <c r="A3131" s="15" t="s">
        <v>3188</v>
      </c>
      <c r="B3131" s="16" t="n">
        <v>45152</v>
      </c>
      <c r="C3131" s="15" t="s">
        <v>56</v>
      </c>
      <c r="D3131" s="15" t="s">
        <v>44</v>
      </c>
      <c r="E3131" s="15" t="s">
        <v>37</v>
      </c>
      <c r="F3131" s="15" t="s">
        <v>17</v>
      </c>
      <c r="G3131" s="15" t="s">
        <v>31</v>
      </c>
      <c r="H3131" s="15" t="n">
        <v>3</v>
      </c>
      <c r="I3131" s="17" t="n">
        <v>0.3</v>
      </c>
      <c r="J3131" s="18" t="n">
        <v>234.16</v>
      </c>
      <c r="K3131" s="19" t="n">
        <v>-10.13</v>
      </c>
      <c r="L3131" s="15" t="n">
        <f aca="false">YEAR(B3131)</f>
        <v>2023</v>
      </c>
      <c r="M3131" s="20" t="n">
        <f aca="false">IF(J3131&gt;0,K3131/J3131,0)</f>
        <v>-0.0432610181072771</v>
      </c>
    </row>
    <row r="3132" customFormat="false" ht="15" hidden="false" customHeight="false" outlineLevel="0" collapsed="false">
      <c r="A3132" s="15" t="s">
        <v>3189</v>
      </c>
      <c r="B3132" s="16" t="n">
        <v>45188</v>
      </c>
      <c r="C3132" s="15" t="s">
        <v>58</v>
      </c>
      <c r="D3132" s="15" t="s">
        <v>43</v>
      </c>
      <c r="E3132" s="15" t="s">
        <v>39</v>
      </c>
      <c r="F3132" s="15" t="s">
        <v>17</v>
      </c>
      <c r="G3132" s="15" t="s">
        <v>26</v>
      </c>
      <c r="H3132" s="15" t="n">
        <v>2</v>
      </c>
      <c r="I3132" s="17" t="n">
        <v>0.05</v>
      </c>
      <c r="J3132" s="18" t="n">
        <v>165.84</v>
      </c>
      <c r="K3132" s="19" t="n">
        <v>10.42</v>
      </c>
      <c r="L3132" s="15" t="n">
        <f aca="false">YEAR(B3132)</f>
        <v>2023</v>
      </c>
      <c r="M3132" s="20" t="n">
        <f aca="false">IF(J3132&gt;0,K3132/J3132,0)</f>
        <v>0.0628316449589966</v>
      </c>
    </row>
    <row r="3133" customFormat="false" ht="15" hidden="false" customHeight="false" outlineLevel="0" collapsed="false">
      <c r="A3133" s="15" t="s">
        <v>3190</v>
      </c>
      <c r="B3133" s="16" t="n">
        <v>45113</v>
      </c>
      <c r="C3133" s="15" t="s">
        <v>56</v>
      </c>
      <c r="D3133" s="15" t="s">
        <v>44</v>
      </c>
      <c r="E3133" s="15" t="s">
        <v>37</v>
      </c>
      <c r="F3133" s="15" t="s">
        <v>18</v>
      </c>
      <c r="G3133" s="15" t="s">
        <v>32</v>
      </c>
      <c r="H3133" s="15" t="n">
        <v>4</v>
      </c>
      <c r="I3133" s="17" t="n">
        <v>0</v>
      </c>
      <c r="J3133" s="18" t="n">
        <v>1807.81</v>
      </c>
      <c r="K3133" s="19" t="n">
        <v>315.83</v>
      </c>
      <c r="L3133" s="15" t="n">
        <f aca="false">YEAR(B3133)</f>
        <v>2023</v>
      </c>
      <c r="M3133" s="20" t="n">
        <f aca="false">IF(J3133&gt;0,K3133/J3133,0)</f>
        <v>0.174703093798574</v>
      </c>
    </row>
    <row r="3134" customFormat="false" ht="15" hidden="false" customHeight="false" outlineLevel="0" collapsed="false">
      <c r="A3134" s="15" t="s">
        <v>3191</v>
      </c>
      <c r="B3134" s="16" t="n">
        <v>44674</v>
      </c>
      <c r="C3134" s="15" t="s">
        <v>56</v>
      </c>
      <c r="D3134" s="15" t="s">
        <v>42</v>
      </c>
      <c r="E3134" s="15" t="s">
        <v>39</v>
      </c>
      <c r="F3134" s="15" t="s">
        <v>18</v>
      </c>
      <c r="G3134" s="15" t="s">
        <v>30</v>
      </c>
      <c r="H3134" s="15" t="n">
        <v>4</v>
      </c>
      <c r="I3134" s="17" t="n">
        <v>0</v>
      </c>
      <c r="J3134" s="18" t="n">
        <v>207.66</v>
      </c>
      <c r="K3134" s="19" t="n">
        <v>70.93</v>
      </c>
      <c r="L3134" s="15" t="n">
        <f aca="false">YEAR(B3134)</f>
        <v>2022</v>
      </c>
      <c r="M3134" s="20" t="n">
        <f aca="false">IF(J3134&gt;0,K3134/J3134,0)</f>
        <v>0.341567947606665</v>
      </c>
    </row>
    <row r="3135" customFormat="false" ht="15" hidden="false" customHeight="false" outlineLevel="0" collapsed="false">
      <c r="A3135" s="15" t="s">
        <v>3192</v>
      </c>
      <c r="B3135" s="16" t="n">
        <v>44866</v>
      </c>
      <c r="C3135" s="15" t="s">
        <v>56</v>
      </c>
      <c r="D3135" s="15" t="s">
        <v>42</v>
      </c>
      <c r="E3135" s="15" t="s">
        <v>36</v>
      </c>
      <c r="F3135" s="15" t="s">
        <v>18</v>
      </c>
      <c r="G3135" s="15" t="s">
        <v>32</v>
      </c>
      <c r="H3135" s="15" t="n">
        <v>1</v>
      </c>
      <c r="I3135" s="17" t="n">
        <v>0</v>
      </c>
      <c r="J3135" s="18" t="n">
        <v>407.45</v>
      </c>
      <c r="K3135" s="19" t="n">
        <v>39.86</v>
      </c>
      <c r="L3135" s="15" t="n">
        <f aca="false">YEAR(B3135)</f>
        <v>2022</v>
      </c>
      <c r="M3135" s="20" t="n">
        <f aca="false">IF(J3135&gt;0,K3135/J3135,0)</f>
        <v>0.097827954350227</v>
      </c>
    </row>
    <row r="3136" customFormat="false" ht="15" hidden="false" customHeight="false" outlineLevel="0" collapsed="false">
      <c r="A3136" s="15" t="s">
        <v>3193</v>
      </c>
      <c r="B3136" s="16" t="n">
        <v>45397</v>
      </c>
      <c r="C3136" s="15" t="s">
        <v>71</v>
      </c>
      <c r="D3136" s="15" t="s">
        <v>42</v>
      </c>
      <c r="E3136" s="15" t="s">
        <v>37</v>
      </c>
      <c r="F3136" s="15" t="s">
        <v>18</v>
      </c>
      <c r="G3136" s="15" t="s">
        <v>33</v>
      </c>
      <c r="H3136" s="15" t="n">
        <v>4</v>
      </c>
      <c r="I3136" s="17" t="n">
        <v>0.1</v>
      </c>
      <c r="J3136" s="18" t="n">
        <v>3416.74</v>
      </c>
      <c r="K3136" s="19" t="n">
        <v>734.04</v>
      </c>
      <c r="L3136" s="15" t="n">
        <f aca="false">YEAR(B3136)</f>
        <v>2024</v>
      </c>
      <c r="M3136" s="20" t="n">
        <f aca="false">IF(J3136&gt;0,K3136/J3136,0)</f>
        <v>0.214836364487787</v>
      </c>
    </row>
    <row r="3137" customFormat="false" ht="15" hidden="false" customHeight="false" outlineLevel="0" collapsed="false">
      <c r="A3137" s="15" t="s">
        <v>3194</v>
      </c>
      <c r="B3137" s="16" t="n">
        <v>45744</v>
      </c>
      <c r="C3137" s="15" t="s">
        <v>56</v>
      </c>
      <c r="D3137" s="15" t="s">
        <v>42</v>
      </c>
      <c r="E3137" s="15" t="s">
        <v>39</v>
      </c>
      <c r="F3137" s="15" t="s">
        <v>17</v>
      </c>
      <c r="G3137" s="15" t="s">
        <v>31</v>
      </c>
      <c r="H3137" s="15" t="n">
        <v>1</v>
      </c>
      <c r="I3137" s="17" t="n">
        <v>0.15</v>
      </c>
      <c r="J3137" s="18" t="n">
        <v>96.91</v>
      </c>
      <c r="K3137" s="19" t="n">
        <v>8.68</v>
      </c>
      <c r="L3137" s="15" t="n">
        <f aca="false">YEAR(B3137)</f>
        <v>2025</v>
      </c>
      <c r="M3137" s="20" t="n">
        <f aca="false">IF(J3137&gt;0,K3137/J3137,0)</f>
        <v>0.0895676400784233</v>
      </c>
    </row>
    <row r="3138" customFormat="false" ht="15" hidden="false" customHeight="false" outlineLevel="0" collapsed="false">
      <c r="A3138" s="15" t="s">
        <v>3195</v>
      </c>
      <c r="B3138" s="16" t="n">
        <v>45390</v>
      </c>
      <c r="C3138" s="15" t="s">
        <v>56</v>
      </c>
      <c r="D3138" s="15" t="s">
        <v>44</v>
      </c>
      <c r="E3138" s="15" t="s">
        <v>37</v>
      </c>
      <c r="F3138" s="15" t="s">
        <v>17</v>
      </c>
      <c r="G3138" s="15" t="s">
        <v>29</v>
      </c>
      <c r="H3138" s="15" t="n">
        <v>3</v>
      </c>
      <c r="I3138" s="17" t="n">
        <v>0.05</v>
      </c>
      <c r="J3138" s="18" t="n">
        <v>57.21</v>
      </c>
      <c r="K3138" s="19" t="n">
        <v>18.49</v>
      </c>
      <c r="L3138" s="15" t="n">
        <f aca="false">YEAR(B3138)</f>
        <v>2024</v>
      </c>
      <c r="M3138" s="20" t="n">
        <f aca="false">IF(J3138&gt;0,K3138/J3138,0)</f>
        <v>0.323195245586436</v>
      </c>
    </row>
    <row r="3139" customFormat="false" ht="15" hidden="false" customHeight="false" outlineLevel="0" collapsed="false">
      <c r="A3139" s="15" t="s">
        <v>3196</v>
      </c>
      <c r="B3139" s="16" t="n">
        <v>45433</v>
      </c>
      <c r="C3139" s="15" t="s">
        <v>71</v>
      </c>
      <c r="D3139" s="15" t="s">
        <v>42</v>
      </c>
      <c r="E3139" s="15" t="s">
        <v>38</v>
      </c>
      <c r="F3139" s="15" t="s">
        <v>17</v>
      </c>
      <c r="G3139" s="15" t="s">
        <v>26</v>
      </c>
      <c r="H3139" s="15" t="n">
        <v>3</v>
      </c>
      <c r="I3139" s="17" t="n">
        <v>0.1</v>
      </c>
      <c r="J3139" s="18" t="n">
        <v>210.36</v>
      </c>
      <c r="K3139" s="19" t="n">
        <v>-7.13</v>
      </c>
      <c r="L3139" s="15" t="n">
        <f aca="false">YEAR(B3139)</f>
        <v>2024</v>
      </c>
      <c r="M3139" s="20" t="n">
        <f aca="false">IF(J3139&gt;0,K3139/J3139,0)</f>
        <v>-0.0338942764784179</v>
      </c>
    </row>
    <row r="3140" customFormat="false" ht="15" hidden="false" customHeight="false" outlineLevel="0" collapsed="false">
      <c r="A3140" s="15" t="s">
        <v>3197</v>
      </c>
      <c r="B3140" s="16" t="n">
        <v>44873</v>
      </c>
      <c r="C3140" s="15" t="s">
        <v>56</v>
      </c>
      <c r="D3140" s="15" t="s">
        <v>44</v>
      </c>
      <c r="E3140" s="15" t="s">
        <v>37</v>
      </c>
      <c r="F3140" s="15" t="s">
        <v>17</v>
      </c>
      <c r="G3140" s="15" t="s">
        <v>28</v>
      </c>
      <c r="H3140" s="15" t="n">
        <v>4</v>
      </c>
      <c r="I3140" s="17" t="n">
        <v>0.05</v>
      </c>
      <c r="J3140" s="18" t="n">
        <v>74.62</v>
      </c>
      <c r="K3140" s="19" t="n">
        <v>21.04</v>
      </c>
      <c r="L3140" s="15" t="n">
        <f aca="false">YEAR(B3140)</f>
        <v>2022</v>
      </c>
      <c r="M3140" s="20" t="n">
        <f aca="false">IF(J3140&gt;0,K3140/J3140,0)</f>
        <v>0.281961940498526</v>
      </c>
    </row>
    <row r="3141" customFormat="false" ht="15" hidden="false" customHeight="false" outlineLevel="0" collapsed="false">
      <c r="A3141" s="15" t="s">
        <v>3198</v>
      </c>
      <c r="B3141" s="16" t="n">
        <v>45540</v>
      </c>
      <c r="C3141" s="15" t="s">
        <v>56</v>
      </c>
      <c r="D3141" s="15" t="s">
        <v>42</v>
      </c>
      <c r="E3141" s="15" t="s">
        <v>38</v>
      </c>
      <c r="F3141" s="15" t="s">
        <v>17</v>
      </c>
      <c r="G3141" s="15" t="s">
        <v>29</v>
      </c>
      <c r="H3141" s="15" t="n">
        <v>4</v>
      </c>
      <c r="I3141" s="17" t="n">
        <v>0.15</v>
      </c>
      <c r="J3141" s="18" t="n">
        <v>54.88</v>
      </c>
      <c r="K3141" s="19" t="n">
        <v>13.94</v>
      </c>
      <c r="L3141" s="15" t="n">
        <f aca="false">YEAR(B3141)</f>
        <v>2024</v>
      </c>
      <c r="M3141" s="20" t="n">
        <f aca="false">IF(J3141&gt;0,K3141/J3141,0)</f>
        <v>0.254008746355685</v>
      </c>
    </row>
    <row r="3142" customFormat="false" ht="15" hidden="false" customHeight="false" outlineLevel="0" collapsed="false">
      <c r="A3142" s="15" t="s">
        <v>3199</v>
      </c>
      <c r="B3142" s="16" t="n">
        <v>45949</v>
      </c>
      <c r="C3142" s="15" t="s">
        <v>56</v>
      </c>
      <c r="D3142" s="15" t="s">
        <v>43</v>
      </c>
      <c r="E3142" s="15" t="s">
        <v>37</v>
      </c>
      <c r="F3142" s="15" t="s">
        <v>17</v>
      </c>
      <c r="G3142" s="15" t="s">
        <v>29</v>
      </c>
      <c r="H3142" s="15" t="n">
        <v>5</v>
      </c>
      <c r="I3142" s="17" t="n">
        <v>0</v>
      </c>
      <c r="J3142" s="18" t="n">
        <v>93.99</v>
      </c>
      <c r="K3142" s="19" t="n">
        <v>31.45</v>
      </c>
      <c r="L3142" s="15" t="n">
        <f aca="false">YEAR(B3142)</f>
        <v>2025</v>
      </c>
      <c r="M3142" s="20" t="n">
        <f aca="false">IF(J3142&gt;0,K3142/J3142,0)</f>
        <v>0.334610064900521</v>
      </c>
    </row>
    <row r="3143" customFormat="false" ht="15" hidden="false" customHeight="false" outlineLevel="0" collapsed="false">
      <c r="A3143" s="15" t="s">
        <v>3200</v>
      </c>
      <c r="B3143" s="16" t="n">
        <v>44877</v>
      </c>
      <c r="C3143" s="15" t="s">
        <v>71</v>
      </c>
      <c r="D3143" s="15" t="s">
        <v>42</v>
      </c>
      <c r="E3143" s="15" t="s">
        <v>37</v>
      </c>
      <c r="F3143" s="15" t="s">
        <v>16</v>
      </c>
      <c r="G3143" s="15" t="s">
        <v>27</v>
      </c>
      <c r="H3143" s="15" t="n">
        <v>6</v>
      </c>
      <c r="I3143" s="17" t="n">
        <v>0.1</v>
      </c>
      <c r="J3143" s="18" t="n">
        <v>335.54</v>
      </c>
      <c r="K3143" s="19" t="n">
        <v>62.78</v>
      </c>
      <c r="L3143" s="15" t="n">
        <f aca="false">YEAR(B3143)</f>
        <v>2022</v>
      </c>
      <c r="M3143" s="20" t="n">
        <f aca="false">IF(J3143&gt;0,K3143/J3143,0)</f>
        <v>0.187101388806104</v>
      </c>
    </row>
    <row r="3144" customFormat="false" ht="15" hidden="false" customHeight="false" outlineLevel="0" collapsed="false">
      <c r="A3144" s="15" t="s">
        <v>3201</v>
      </c>
      <c r="B3144" s="16" t="n">
        <v>44973</v>
      </c>
      <c r="C3144" s="15" t="s">
        <v>68</v>
      </c>
      <c r="D3144" s="15" t="s">
        <v>42</v>
      </c>
      <c r="E3144" s="15" t="s">
        <v>37</v>
      </c>
      <c r="F3144" s="15" t="s">
        <v>17</v>
      </c>
      <c r="G3144" s="15" t="s">
        <v>26</v>
      </c>
      <c r="H3144" s="15" t="n">
        <v>3</v>
      </c>
      <c r="I3144" s="17" t="n">
        <v>0</v>
      </c>
      <c r="J3144" s="18" t="n">
        <v>228.3</v>
      </c>
      <c r="K3144" s="19" t="n">
        <v>34.24</v>
      </c>
      <c r="L3144" s="15" t="n">
        <f aca="false">YEAR(B3144)</f>
        <v>2023</v>
      </c>
      <c r="M3144" s="20" t="n">
        <f aca="false">IF(J3144&gt;0,K3144/J3144,0)</f>
        <v>0.149978098992554</v>
      </c>
    </row>
    <row r="3145" customFormat="false" ht="15" hidden="false" customHeight="false" outlineLevel="0" collapsed="false">
      <c r="A3145" s="15" t="s">
        <v>3202</v>
      </c>
      <c r="B3145" s="16" t="n">
        <v>44829</v>
      </c>
      <c r="C3145" s="15" t="s">
        <v>68</v>
      </c>
      <c r="D3145" s="15" t="s">
        <v>42</v>
      </c>
      <c r="E3145" s="15" t="s">
        <v>39</v>
      </c>
      <c r="F3145" s="15" t="s">
        <v>18</v>
      </c>
      <c r="G3145" s="15" t="s">
        <v>30</v>
      </c>
      <c r="H3145" s="15" t="n">
        <v>5</v>
      </c>
      <c r="I3145" s="17" t="n">
        <v>0</v>
      </c>
      <c r="J3145" s="18" t="n">
        <v>233.66</v>
      </c>
      <c r="K3145" s="19" t="n">
        <v>69.74</v>
      </c>
      <c r="L3145" s="15" t="n">
        <f aca="false">YEAR(B3145)</f>
        <v>2022</v>
      </c>
      <c r="M3145" s="20" t="n">
        <f aca="false">IF(J3145&gt;0,K3145/J3145,0)</f>
        <v>0.298467859282718</v>
      </c>
    </row>
    <row r="3146" customFormat="false" ht="15" hidden="false" customHeight="false" outlineLevel="0" collapsed="false">
      <c r="A3146" s="15" t="s">
        <v>3203</v>
      </c>
      <c r="B3146" s="16" t="n">
        <v>45680</v>
      </c>
      <c r="C3146" s="15" t="s">
        <v>56</v>
      </c>
      <c r="D3146" s="15" t="s">
        <v>43</v>
      </c>
      <c r="E3146" s="15" t="s">
        <v>39</v>
      </c>
      <c r="F3146" s="15" t="s">
        <v>16</v>
      </c>
      <c r="G3146" s="15" t="s">
        <v>22</v>
      </c>
      <c r="H3146" s="15" t="n">
        <v>4</v>
      </c>
      <c r="I3146" s="17" t="n">
        <v>0</v>
      </c>
      <c r="J3146" s="18" t="n">
        <v>2232.66</v>
      </c>
      <c r="K3146" s="19" t="n">
        <v>-33.98</v>
      </c>
      <c r="L3146" s="15" t="n">
        <f aca="false">YEAR(B3146)</f>
        <v>2025</v>
      </c>
      <c r="M3146" s="20" t="n">
        <f aca="false">IF(J3146&gt;0,K3146/J3146,0)</f>
        <v>-0.0152195139430097</v>
      </c>
    </row>
    <row r="3147" customFormat="false" ht="15" hidden="false" customHeight="false" outlineLevel="0" collapsed="false">
      <c r="A3147" s="15" t="s">
        <v>3204</v>
      </c>
      <c r="B3147" s="16" t="n">
        <v>45617</v>
      </c>
      <c r="C3147" s="15" t="s">
        <v>56</v>
      </c>
      <c r="D3147" s="15" t="s">
        <v>43</v>
      </c>
      <c r="E3147" s="15" t="s">
        <v>39</v>
      </c>
      <c r="F3147" s="15" t="s">
        <v>17</v>
      </c>
      <c r="G3147" s="15" t="s">
        <v>26</v>
      </c>
      <c r="H3147" s="15" t="n">
        <v>1</v>
      </c>
      <c r="I3147" s="17" t="n">
        <v>0</v>
      </c>
      <c r="J3147" s="18" t="n">
        <v>119.41</v>
      </c>
      <c r="K3147" s="19" t="n">
        <v>13.46</v>
      </c>
      <c r="L3147" s="15" t="n">
        <f aca="false">YEAR(B3147)</f>
        <v>2024</v>
      </c>
      <c r="M3147" s="20" t="n">
        <f aca="false">IF(J3147&gt;0,K3147/J3147,0)</f>
        <v>0.112720877648438</v>
      </c>
    </row>
    <row r="3148" customFormat="false" ht="15" hidden="false" customHeight="false" outlineLevel="0" collapsed="false">
      <c r="A3148" s="15" t="s">
        <v>3205</v>
      </c>
      <c r="B3148" s="16" t="n">
        <v>45880</v>
      </c>
      <c r="C3148" s="15" t="s">
        <v>56</v>
      </c>
      <c r="D3148" s="15" t="s">
        <v>44</v>
      </c>
      <c r="E3148" s="15" t="s">
        <v>36</v>
      </c>
      <c r="F3148" s="15" t="s">
        <v>17</v>
      </c>
      <c r="G3148" s="15" t="s">
        <v>28</v>
      </c>
      <c r="H3148" s="15" t="n">
        <v>7</v>
      </c>
      <c r="I3148" s="17" t="n">
        <v>0.05</v>
      </c>
      <c r="J3148" s="18" t="n">
        <v>179.89</v>
      </c>
      <c r="K3148" s="19" t="n">
        <v>38.09</v>
      </c>
      <c r="L3148" s="15" t="n">
        <f aca="false">YEAR(B3148)</f>
        <v>2025</v>
      </c>
      <c r="M3148" s="20" t="n">
        <f aca="false">IF(J3148&gt;0,K3148/J3148,0)</f>
        <v>0.211740508088276</v>
      </c>
    </row>
    <row r="3149" customFormat="false" ht="15" hidden="false" customHeight="false" outlineLevel="0" collapsed="false">
      <c r="A3149" s="15" t="s">
        <v>3206</v>
      </c>
      <c r="B3149" s="16" t="n">
        <v>45256</v>
      </c>
      <c r="C3149" s="15" t="s">
        <v>58</v>
      </c>
      <c r="D3149" s="15" t="s">
        <v>42</v>
      </c>
      <c r="E3149" s="15" t="s">
        <v>39</v>
      </c>
      <c r="F3149" s="15" t="s">
        <v>17</v>
      </c>
      <c r="G3149" s="15" t="s">
        <v>31</v>
      </c>
      <c r="H3149" s="15" t="n">
        <v>5</v>
      </c>
      <c r="I3149" s="17" t="n">
        <v>0</v>
      </c>
      <c r="J3149" s="18" t="n">
        <v>594.57</v>
      </c>
      <c r="K3149" s="19" t="n">
        <v>159.09</v>
      </c>
      <c r="L3149" s="15" t="n">
        <f aca="false">YEAR(B3149)</f>
        <v>2023</v>
      </c>
      <c r="M3149" s="20" t="n">
        <f aca="false">IF(J3149&gt;0,K3149/J3149,0)</f>
        <v>0.267571522276603</v>
      </c>
    </row>
    <row r="3150" customFormat="false" ht="15" hidden="false" customHeight="false" outlineLevel="0" collapsed="false">
      <c r="A3150" s="15" t="s">
        <v>3207</v>
      </c>
      <c r="B3150" s="16" t="n">
        <v>45501</v>
      </c>
      <c r="C3150" s="15" t="s">
        <v>56</v>
      </c>
      <c r="D3150" s="15" t="s">
        <v>42</v>
      </c>
      <c r="E3150" s="15" t="s">
        <v>37</v>
      </c>
      <c r="F3150" s="15" t="s">
        <v>17</v>
      </c>
      <c r="G3150" s="15" t="s">
        <v>26</v>
      </c>
      <c r="H3150" s="15" t="n">
        <v>2</v>
      </c>
      <c r="I3150" s="17" t="n">
        <v>0.05</v>
      </c>
      <c r="J3150" s="18" t="n">
        <v>139.42</v>
      </c>
      <c r="K3150" s="19" t="n">
        <v>6.98</v>
      </c>
      <c r="L3150" s="15" t="n">
        <f aca="false">YEAR(B3150)</f>
        <v>2024</v>
      </c>
      <c r="M3150" s="20" t="n">
        <f aca="false">IF(J3150&gt;0,K3150/J3150,0)</f>
        <v>0.0500645531487592</v>
      </c>
    </row>
    <row r="3151" customFormat="false" ht="15" hidden="false" customHeight="false" outlineLevel="0" collapsed="false">
      <c r="A3151" s="15" t="s">
        <v>3208</v>
      </c>
      <c r="B3151" s="16" t="n">
        <v>45369</v>
      </c>
      <c r="C3151" s="15" t="s">
        <v>56</v>
      </c>
      <c r="D3151" s="15" t="s">
        <v>44</v>
      </c>
      <c r="E3151" s="15" t="s">
        <v>36</v>
      </c>
      <c r="F3151" s="15" t="s">
        <v>17</v>
      </c>
      <c r="G3151" s="15" t="s">
        <v>26</v>
      </c>
      <c r="H3151" s="15" t="n">
        <v>2</v>
      </c>
      <c r="I3151" s="17" t="n">
        <v>0.2</v>
      </c>
      <c r="J3151" s="18" t="n">
        <v>122.86</v>
      </c>
      <c r="K3151" s="19" t="n">
        <v>-12.87</v>
      </c>
      <c r="L3151" s="15" t="n">
        <f aca="false">YEAR(B3151)</f>
        <v>2024</v>
      </c>
      <c r="M3151" s="20" t="n">
        <f aca="false">IF(J3151&gt;0,K3151/J3151,0)</f>
        <v>-0.104753377828423</v>
      </c>
    </row>
    <row r="3152" customFormat="false" ht="15" hidden="false" customHeight="false" outlineLevel="0" collapsed="false">
      <c r="A3152" s="15" t="s">
        <v>3209</v>
      </c>
      <c r="B3152" s="16" t="n">
        <v>45137</v>
      </c>
      <c r="C3152" s="15" t="s">
        <v>71</v>
      </c>
      <c r="D3152" s="15" t="s">
        <v>43</v>
      </c>
      <c r="E3152" s="15" t="s">
        <v>38</v>
      </c>
      <c r="F3152" s="15" t="s">
        <v>17</v>
      </c>
      <c r="G3152" s="15" t="s">
        <v>29</v>
      </c>
      <c r="H3152" s="15" t="n">
        <v>5</v>
      </c>
      <c r="I3152" s="17" t="n">
        <v>0.1</v>
      </c>
      <c r="J3152" s="18" t="n">
        <v>87.65</v>
      </c>
      <c r="K3152" s="19" t="n">
        <v>28.9</v>
      </c>
      <c r="L3152" s="15" t="n">
        <f aca="false">YEAR(B3152)</f>
        <v>2023</v>
      </c>
      <c r="M3152" s="20" t="n">
        <f aca="false">IF(J3152&gt;0,K3152/J3152,0)</f>
        <v>0.329720479178551</v>
      </c>
    </row>
    <row r="3153" customFormat="false" ht="15" hidden="false" customHeight="false" outlineLevel="0" collapsed="false">
      <c r="A3153" s="15" t="s">
        <v>3210</v>
      </c>
      <c r="B3153" s="16" t="n">
        <v>45093</v>
      </c>
      <c r="C3153" s="15" t="s">
        <v>71</v>
      </c>
      <c r="D3153" s="15" t="s">
        <v>44</v>
      </c>
      <c r="E3153" s="15" t="s">
        <v>37</v>
      </c>
      <c r="F3153" s="15" t="s">
        <v>17</v>
      </c>
      <c r="G3153" s="15" t="s">
        <v>29</v>
      </c>
      <c r="H3153" s="15" t="n">
        <v>4</v>
      </c>
      <c r="I3153" s="17" t="n">
        <v>0.2</v>
      </c>
      <c r="J3153" s="18" t="n">
        <v>56.13</v>
      </c>
      <c r="K3153" s="19" t="n">
        <v>12.1</v>
      </c>
      <c r="L3153" s="15" t="n">
        <f aca="false">YEAR(B3153)</f>
        <v>2023</v>
      </c>
      <c r="M3153" s="20" t="n">
        <f aca="false">IF(J3153&gt;0,K3153/J3153,0)</f>
        <v>0.215570995902369</v>
      </c>
    </row>
    <row r="3154" customFormat="false" ht="15" hidden="false" customHeight="false" outlineLevel="0" collapsed="false">
      <c r="A3154" s="15" t="s">
        <v>3211</v>
      </c>
      <c r="B3154" s="16" t="n">
        <v>45668</v>
      </c>
      <c r="C3154" s="15" t="s">
        <v>56</v>
      </c>
      <c r="D3154" s="15" t="s">
        <v>43</v>
      </c>
      <c r="E3154" s="15" t="s">
        <v>37</v>
      </c>
      <c r="F3154" s="15" t="s">
        <v>16</v>
      </c>
      <c r="G3154" s="15" t="s">
        <v>22</v>
      </c>
      <c r="H3154" s="15" t="n">
        <v>6</v>
      </c>
      <c r="I3154" s="17" t="n">
        <v>0.1</v>
      </c>
      <c r="J3154" s="18" t="n">
        <v>3597.15</v>
      </c>
      <c r="K3154" s="19" t="n">
        <v>-520.18</v>
      </c>
      <c r="L3154" s="15" t="n">
        <f aca="false">YEAR(B3154)</f>
        <v>2025</v>
      </c>
      <c r="M3154" s="20" t="n">
        <f aca="false">IF(J3154&gt;0,K3154/J3154,0)</f>
        <v>-0.144608926511266</v>
      </c>
    </row>
    <row r="3155" customFormat="false" ht="15" hidden="false" customHeight="false" outlineLevel="0" collapsed="false">
      <c r="A3155" s="15" t="s">
        <v>3212</v>
      </c>
      <c r="B3155" s="16" t="n">
        <v>44638</v>
      </c>
      <c r="C3155" s="15" t="s">
        <v>56</v>
      </c>
      <c r="D3155" s="15" t="s">
        <v>43</v>
      </c>
      <c r="E3155" s="15" t="s">
        <v>39</v>
      </c>
      <c r="F3155" s="15" t="s">
        <v>17</v>
      </c>
      <c r="G3155" s="15" t="s">
        <v>31</v>
      </c>
      <c r="H3155" s="15" t="n">
        <v>5</v>
      </c>
      <c r="I3155" s="17" t="n">
        <v>0.05</v>
      </c>
      <c r="J3155" s="18" t="n">
        <v>796.5</v>
      </c>
      <c r="K3155" s="19" t="n">
        <v>107.46</v>
      </c>
      <c r="L3155" s="15" t="n">
        <f aca="false">YEAR(B3155)</f>
        <v>2022</v>
      </c>
      <c r="M3155" s="20" t="n">
        <f aca="false">IF(J3155&gt;0,K3155/J3155,0)</f>
        <v>0.134915254237288</v>
      </c>
    </row>
    <row r="3156" customFormat="false" ht="15" hidden="false" customHeight="false" outlineLevel="0" collapsed="false">
      <c r="A3156" s="15" t="s">
        <v>3213</v>
      </c>
      <c r="B3156" s="16" t="n">
        <v>45279</v>
      </c>
      <c r="C3156" s="15" t="s">
        <v>71</v>
      </c>
      <c r="D3156" s="15" t="s">
        <v>42</v>
      </c>
      <c r="E3156" s="15" t="s">
        <v>36</v>
      </c>
      <c r="F3156" s="15" t="s">
        <v>18</v>
      </c>
      <c r="G3156" s="15" t="s">
        <v>30</v>
      </c>
      <c r="H3156" s="15" t="n">
        <v>6</v>
      </c>
      <c r="I3156" s="17" t="n">
        <v>0.2</v>
      </c>
      <c r="J3156" s="18" t="n">
        <v>207.86</v>
      </c>
      <c r="K3156" s="19" t="n">
        <v>28.88</v>
      </c>
      <c r="L3156" s="15" t="n">
        <f aca="false">YEAR(B3156)</f>
        <v>2023</v>
      </c>
      <c r="M3156" s="20" t="n">
        <f aca="false">IF(J3156&gt;0,K3156/J3156,0)</f>
        <v>0.138939670932358</v>
      </c>
    </row>
    <row r="3157" customFormat="false" ht="15" hidden="false" customHeight="false" outlineLevel="0" collapsed="false">
      <c r="A3157" s="15" t="s">
        <v>3214</v>
      </c>
      <c r="B3157" s="16" t="n">
        <v>45546</v>
      </c>
      <c r="C3157" s="15" t="s">
        <v>56</v>
      </c>
      <c r="D3157" s="15" t="s">
        <v>43</v>
      </c>
      <c r="E3157" s="15" t="s">
        <v>37</v>
      </c>
      <c r="F3157" s="15" t="s">
        <v>18</v>
      </c>
      <c r="G3157" s="15" t="s">
        <v>30</v>
      </c>
      <c r="H3157" s="15" t="n">
        <v>4</v>
      </c>
      <c r="I3157" s="17" t="n">
        <v>0.2</v>
      </c>
      <c r="J3157" s="18" t="n">
        <v>178.37</v>
      </c>
      <c r="K3157" s="19" t="n">
        <v>27.65</v>
      </c>
      <c r="L3157" s="15" t="n">
        <f aca="false">YEAR(B3157)</f>
        <v>2024</v>
      </c>
      <c r="M3157" s="20" t="n">
        <f aca="false">IF(J3157&gt;0,K3157/J3157,0)</f>
        <v>0.155014856758424</v>
      </c>
    </row>
    <row r="3158" customFormat="false" ht="15" hidden="false" customHeight="false" outlineLevel="0" collapsed="false">
      <c r="A3158" s="15" t="s">
        <v>3215</v>
      </c>
      <c r="B3158" s="16" t="n">
        <v>45472</v>
      </c>
      <c r="C3158" s="15" t="s">
        <v>68</v>
      </c>
      <c r="D3158" s="15" t="s">
        <v>43</v>
      </c>
      <c r="E3158" s="15" t="s">
        <v>39</v>
      </c>
      <c r="F3158" s="15" t="s">
        <v>18</v>
      </c>
      <c r="G3158" s="15" t="s">
        <v>33</v>
      </c>
      <c r="H3158" s="15" t="n">
        <v>4</v>
      </c>
      <c r="I3158" s="17" t="n">
        <v>0.15</v>
      </c>
      <c r="J3158" s="18" t="n">
        <v>3242.73</v>
      </c>
      <c r="K3158" s="19" t="n">
        <v>519.08</v>
      </c>
      <c r="L3158" s="15" t="n">
        <f aca="false">YEAR(B3158)</f>
        <v>2024</v>
      </c>
      <c r="M3158" s="20" t="n">
        <f aca="false">IF(J3158&gt;0,K3158/J3158,0)</f>
        <v>0.160074998535185</v>
      </c>
    </row>
    <row r="3159" customFormat="false" ht="15" hidden="false" customHeight="false" outlineLevel="0" collapsed="false">
      <c r="A3159" s="15" t="s">
        <v>3216</v>
      </c>
      <c r="B3159" s="16" t="n">
        <v>45075</v>
      </c>
      <c r="C3159" s="15" t="s">
        <v>71</v>
      </c>
      <c r="D3159" s="15" t="s">
        <v>42</v>
      </c>
      <c r="E3159" s="15" t="s">
        <v>39</v>
      </c>
      <c r="F3159" s="15" t="s">
        <v>17</v>
      </c>
      <c r="G3159" s="15" t="s">
        <v>31</v>
      </c>
      <c r="H3159" s="15" t="n">
        <v>4</v>
      </c>
      <c r="I3159" s="17" t="n">
        <v>0</v>
      </c>
      <c r="J3159" s="18" t="n">
        <v>420.44</v>
      </c>
      <c r="K3159" s="19" t="n">
        <v>68.47</v>
      </c>
      <c r="L3159" s="15" t="n">
        <f aca="false">YEAR(B3159)</f>
        <v>2023</v>
      </c>
      <c r="M3159" s="20" t="n">
        <f aca="false">IF(J3159&gt;0,K3159/J3159,0)</f>
        <v>0.162853201408049</v>
      </c>
    </row>
    <row r="3160" customFormat="false" ht="15" hidden="false" customHeight="false" outlineLevel="0" collapsed="false">
      <c r="A3160" s="15" t="s">
        <v>3217</v>
      </c>
      <c r="B3160" s="16" t="n">
        <v>45578</v>
      </c>
      <c r="C3160" s="15" t="s">
        <v>68</v>
      </c>
      <c r="D3160" s="15" t="s">
        <v>42</v>
      </c>
      <c r="E3160" s="15" t="s">
        <v>39</v>
      </c>
      <c r="F3160" s="15" t="s">
        <v>17</v>
      </c>
      <c r="G3160" s="15" t="s">
        <v>29</v>
      </c>
      <c r="H3160" s="15" t="n">
        <v>5</v>
      </c>
      <c r="I3160" s="17" t="n">
        <v>0</v>
      </c>
      <c r="J3160" s="18" t="n">
        <v>90.3</v>
      </c>
      <c r="K3160" s="19" t="n">
        <v>33.56</v>
      </c>
      <c r="L3160" s="15" t="n">
        <f aca="false">YEAR(B3160)</f>
        <v>2024</v>
      </c>
      <c r="M3160" s="20" t="n">
        <f aca="false">IF(J3160&gt;0,K3160/J3160,0)</f>
        <v>0.371650055370986</v>
      </c>
    </row>
    <row r="3161" customFormat="false" ht="15" hidden="false" customHeight="false" outlineLevel="0" collapsed="false">
      <c r="A3161" s="15" t="s">
        <v>3218</v>
      </c>
      <c r="B3161" s="16" t="n">
        <v>44817</v>
      </c>
      <c r="C3161" s="15" t="s">
        <v>71</v>
      </c>
      <c r="D3161" s="15" t="s">
        <v>43</v>
      </c>
      <c r="E3161" s="15" t="s">
        <v>37</v>
      </c>
      <c r="F3161" s="15" t="s">
        <v>17</v>
      </c>
      <c r="G3161" s="15" t="s">
        <v>29</v>
      </c>
      <c r="H3161" s="15" t="n">
        <v>3</v>
      </c>
      <c r="I3161" s="17" t="n">
        <v>0.4</v>
      </c>
      <c r="J3161" s="18" t="n">
        <v>29.01</v>
      </c>
      <c r="K3161" s="19" t="n">
        <v>0.45</v>
      </c>
      <c r="L3161" s="15" t="n">
        <f aca="false">YEAR(B3161)</f>
        <v>2022</v>
      </c>
      <c r="M3161" s="20" t="n">
        <f aca="false">IF(J3161&gt;0,K3161/J3161,0)</f>
        <v>0.015511892450879</v>
      </c>
    </row>
    <row r="3162" customFormat="false" ht="15" hidden="false" customHeight="false" outlineLevel="0" collapsed="false">
      <c r="A3162" s="15" t="s">
        <v>3219</v>
      </c>
      <c r="B3162" s="16" t="n">
        <v>44701</v>
      </c>
      <c r="C3162" s="15" t="s">
        <v>56</v>
      </c>
      <c r="D3162" s="15" t="s">
        <v>42</v>
      </c>
      <c r="E3162" s="15" t="s">
        <v>36</v>
      </c>
      <c r="F3162" s="15" t="s">
        <v>18</v>
      </c>
      <c r="G3162" s="15" t="s">
        <v>30</v>
      </c>
      <c r="H3162" s="15" t="n">
        <v>1</v>
      </c>
      <c r="I3162" s="17" t="n">
        <v>0</v>
      </c>
      <c r="J3162" s="18" t="n">
        <v>32.49</v>
      </c>
      <c r="K3162" s="19" t="n">
        <v>11.3</v>
      </c>
      <c r="L3162" s="15" t="n">
        <f aca="false">YEAR(B3162)</f>
        <v>2022</v>
      </c>
      <c r="M3162" s="20" t="n">
        <f aca="false">IF(J3162&gt;0,K3162/J3162,0)</f>
        <v>0.347799322868575</v>
      </c>
    </row>
    <row r="3163" customFormat="false" ht="15" hidden="false" customHeight="false" outlineLevel="0" collapsed="false">
      <c r="A3163" s="15" t="s">
        <v>3220</v>
      </c>
      <c r="B3163" s="16" t="n">
        <v>44908</v>
      </c>
      <c r="C3163" s="15" t="s">
        <v>68</v>
      </c>
      <c r="D3163" s="15" t="s">
        <v>44</v>
      </c>
      <c r="E3163" s="15" t="s">
        <v>36</v>
      </c>
      <c r="F3163" s="15" t="s">
        <v>17</v>
      </c>
      <c r="G3163" s="15" t="s">
        <v>29</v>
      </c>
      <c r="H3163" s="15" t="n">
        <v>4</v>
      </c>
      <c r="I3163" s="17" t="n">
        <v>0.2</v>
      </c>
      <c r="J3163" s="18" t="n">
        <v>59.07</v>
      </c>
      <c r="K3163" s="19" t="n">
        <v>5.02</v>
      </c>
      <c r="L3163" s="15" t="n">
        <f aca="false">YEAR(B3163)</f>
        <v>2022</v>
      </c>
      <c r="M3163" s="20" t="n">
        <f aca="false">IF(J3163&gt;0,K3163/J3163,0)</f>
        <v>0.084983917386152</v>
      </c>
    </row>
    <row r="3164" customFormat="false" ht="15" hidden="false" customHeight="false" outlineLevel="0" collapsed="false">
      <c r="A3164" s="15" t="s">
        <v>3221</v>
      </c>
      <c r="B3164" s="16" t="n">
        <v>45814</v>
      </c>
      <c r="C3164" s="15" t="s">
        <v>56</v>
      </c>
      <c r="D3164" s="15" t="s">
        <v>43</v>
      </c>
      <c r="E3164" s="15" t="s">
        <v>38</v>
      </c>
      <c r="F3164" s="15" t="s">
        <v>17</v>
      </c>
      <c r="G3164" s="15" t="s">
        <v>29</v>
      </c>
      <c r="H3164" s="15" t="n">
        <v>4</v>
      </c>
      <c r="I3164" s="17" t="n">
        <v>0</v>
      </c>
      <c r="J3164" s="18" t="n">
        <v>72.53</v>
      </c>
      <c r="K3164" s="19" t="n">
        <v>28.7</v>
      </c>
      <c r="L3164" s="15" t="n">
        <f aca="false">YEAR(B3164)</f>
        <v>2025</v>
      </c>
      <c r="M3164" s="20" t="n">
        <f aca="false">IF(J3164&gt;0,K3164/J3164,0)</f>
        <v>0.395698331724804</v>
      </c>
    </row>
    <row r="3165" customFormat="false" ht="15" hidden="false" customHeight="false" outlineLevel="0" collapsed="false">
      <c r="A3165" s="15" t="s">
        <v>3222</v>
      </c>
      <c r="B3165" s="16" t="n">
        <v>45539</v>
      </c>
      <c r="C3165" s="15" t="s">
        <v>56</v>
      </c>
      <c r="D3165" s="15" t="s">
        <v>44</v>
      </c>
      <c r="E3165" s="15" t="s">
        <v>37</v>
      </c>
      <c r="F3165" s="15" t="s">
        <v>18</v>
      </c>
      <c r="G3165" s="15" t="s">
        <v>33</v>
      </c>
      <c r="H3165" s="15" t="n">
        <v>2</v>
      </c>
      <c r="I3165" s="17" t="n">
        <v>0.15</v>
      </c>
      <c r="J3165" s="18" t="n">
        <v>1585.23</v>
      </c>
      <c r="K3165" s="19" t="n">
        <v>203.7</v>
      </c>
      <c r="L3165" s="15" t="n">
        <f aca="false">YEAR(B3165)</f>
        <v>2024</v>
      </c>
      <c r="M3165" s="20" t="n">
        <f aca="false">IF(J3165&gt;0,K3165/J3165,0)</f>
        <v>0.128498703658144</v>
      </c>
    </row>
    <row r="3166" customFormat="false" ht="15" hidden="false" customHeight="false" outlineLevel="0" collapsed="false">
      <c r="A3166" s="15" t="s">
        <v>3223</v>
      </c>
      <c r="B3166" s="16" t="n">
        <v>45915</v>
      </c>
      <c r="C3166" s="15" t="s">
        <v>56</v>
      </c>
      <c r="D3166" s="15" t="s">
        <v>42</v>
      </c>
      <c r="E3166" s="15" t="s">
        <v>39</v>
      </c>
      <c r="F3166" s="15" t="s">
        <v>17</v>
      </c>
      <c r="G3166" s="15" t="s">
        <v>28</v>
      </c>
      <c r="H3166" s="15" t="n">
        <v>4</v>
      </c>
      <c r="I3166" s="17" t="n">
        <v>0.1</v>
      </c>
      <c r="J3166" s="18" t="n">
        <v>111.38</v>
      </c>
      <c r="K3166" s="19" t="n">
        <v>28.56</v>
      </c>
      <c r="L3166" s="15" t="n">
        <f aca="false">YEAR(B3166)</f>
        <v>2025</v>
      </c>
      <c r="M3166" s="20" t="n">
        <f aca="false">IF(J3166&gt;0,K3166/J3166,0)</f>
        <v>0.256419464894954</v>
      </c>
    </row>
    <row r="3167" customFormat="false" ht="15" hidden="false" customHeight="false" outlineLevel="0" collapsed="false">
      <c r="A3167" s="15" t="s">
        <v>3224</v>
      </c>
      <c r="B3167" s="16" t="n">
        <v>45879</v>
      </c>
      <c r="C3167" s="15" t="s">
        <v>56</v>
      </c>
      <c r="D3167" s="15" t="s">
        <v>42</v>
      </c>
      <c r="E3167" s="15" t="s">
        <v>39</v>
      </c>
      <c r="F3167" s="15" t="s">
        <v>18</v>
      </c>
      <c r="G3167" s="15" t="s">
        <v>33</v>
      </c>
      <c r="H3167" s="15" t="n">
        <v>3</v>
      </c>
      <c r="I3167" s="17" t="n">
        <v>0.2</v>
      </c>
      <c r="J3167" s="18" t="n">
        <v>2044.48</v>
      </c>
      <c r="K3167" s="19" t="n">
        <v>223.41</v>
      </c>
      <c r="L3167" s="15" t="n">
        <f aca="false">YEAR(B3167)</f>
        <v>2025</v>
      </c>
      <c r="M3167" s="20" t="n">
        <f aca="false">IF(J3167&gt;0,K3167/J3167,0)</f>
        <v>0.109274730004696</v>
      </c>
    </row>
    <row r="3168" customFormat="false" ht="15" hidden="false" customHeight="false" outlineLevel="0" collapsed="false">
      <c r="A3168" s="15" t="s">
        <v>3225</v>
      </c>
      <c r="B3168" s="16" t="n">
        <v>45192</v>
      </c>
      <c r="C3168" s="15" t="s">
        <v>56</v>
      </c>
      <c r="D3168" s="15" t="s">
        <v>43</v>
      </c>
      <c r="E3168" s="15" t="s">
        <v>37</v>
      </c>
      <c r="F3168" s="15" t="s">
        <v>17</v>
      </c>
      <c r="G3168" s="15" t="s">
        <v>31</v>
      </c>
      <c r="H3168" s="15" t="n">
        <v>3</v>
      </c>
      <c r="I3168" s="17" t="n">
        <v>0.15</v>
      </c>
      <c r="J3168" s="18" t="n">
        <v>392.21</v>
      </c>
      <c r="K3168" s="19" t="n">
        <v>9.5</v>
      </c>
      <c r="L3168" s="15" t="n">
        <f aca="false">YEAR(B3168)</f>
        <v>2023</v>
      </c>
      <c r="M3168" s="20" t="n">
        <f aca="false">IF(J3168&gt;0,K3168/J3168,0)</f>
        <v>0.0242217179572168</v>
      </c>
    </row>
    <row r="3169" customFormat="false" ht="15" hidden="false" customHeight="false" outlineLevel="0" collapsed="false">
      <c r="A3169" s="15" t="s">
        <v>3226</v>
      </c>
      <c r="B3169" s="16" t="n">
        <v>44703</v>
      </c>
      <c r="C3169" s="15" t="s">
        <v>56</v>
      </c>
      <c r="D3169" s="15" t="s">
        <v>42</v>
      </c>
      <c r="E3169" s="15" t="s">
        <v>39</v>
      </c>
      <c r="F3169" s="15" t="s">
        <v>17</v>
      </c>
      <c r="G3169" s="15" t="s">
        <v>29</v>
      </c>
      <c r="H3169" s="15" t="n">
        <v>4</v>
      </c>
      <c r="I3169" s="17" t="n">
        <v>0</v>
      </c>
      <c r="J3169" s="18" t="n">
        <v>71.53</v>
      </c>
      <c r="K3169" s="19" t="n">
        <v>30.84</v>
      </c>
      <c r="L3169" s="15" t="n">
        <f aca="false">YEAR(B3169)</f>
        <v>2022</v>
      </c>
      <c r="M3169" s="20" t="n">
        <f aca="false">IF(J3169&gt;0,K3169/J3169,0)</f>
        <v>0.431147770166364</v>
      </c>
    </row>
    <row r="3170" customFormat="false" ht="15" hidden="false" customHeight="false" outlineLevel="0" collapsed="false">
      <c r="A3170" s="15" t="s">
        <v>3227</v>
      </c>
      <c r="B3170" s="16" t="n">
        <v>44576</v>
      </c>
      <c r="C3170" s="15" t="s">
        <v>56</v>
      </c>
      <c r="D3170" s="15" t="s">
        <v>43</v>
      </c>
      <c r="E3170" s="15" t="s">
        <v>38</v>
      </c>
      <c r="F3170" s="15" t="s">
        <v>17</v>
      </c>
      <c r="G3170" s="15" t="s">
        <v>26</v>
      </c>
      <c r="H3170" s="15" t="n">
        <v>1</v>
      </c>
      <c r="I3170" s="17" t="n">
        <v>0</v>
      </c>
      <c r="J3170" s="18" t="n">
        <v>96.13</v>
      </c>
      <c r="K3170" s="19" t="n">
        <v>10.89</v>
      </c>
      <c r="L3170" s="15" t="n">
        <f aca="false">YEAR(B3170)</f>
        <v>2022</v>
      </c>
      <c r="M3170" s="20" t="n">
        <f aca="false">IF(J3170&gt;0,K3170/J3170,0)</f>
        <v>0.113284094455425</v>
      </c>
    </row>
    <row r="3171" customFormat="false" ht="15" hidden="false" customHeight="false" outlineLevel="0" collapsed="false">
      <c r="A3171" s="15" t="s">
        <v>3228</v>
      </c>
      <c r="B3171" s="16" t="n">
        <v>45172</v>
      </c>
      <c r="C3171" s="15" t="s">
        <v>56</v>
      </c>
      <c r="D3171" s="15" t="s">
        <v>42</v>
      </c>
      <c r="E3171" s="15" t="s">
        <v>39</v>
      </c>
      <c r="F3171" s="15" t="s">
        <v>16</v>
      </c>
      <c r="G3171" s="15" t="s">
        <v>27</v>
      </c>
      <c r="H3171" s="15" t="n">
        <v>2</v>
      </c>
      <c r="I3171" s="17" t="n">
        <v>0</v>
      </c>
      <c r="J3171" s="18" t="n">
        <v>120.64</v>
      </c>
      <c r="K3171" s="19" t="n">
        <v>32.01</v>
      </c>
      <c r="L3171" s="15" t="n">
        <f aca="false">YEAR(B3171)</f>
        <v>2023</v>
      </c>
      <c r="M3171" s="20" t="n">
        <f aca="false">IF(J3171&gt;0,K3171/J3171,0)</f>
        <v>0.265334880636605</v>
      </c>
    </row>
    <row r="3172" customFormat="false" ht="15" hidden="false" customHeight="false" outlineLevel="0" collapsed="false">
      <c r="A3172" s="15" t="s">
        <v>3229</v>
      </c>
      <c r="B3172" s="16" t="n">
        <v>44754</v>
      </c>
      <c r="C3172" s="15" t="s">
        <v>68</v>
      </c>
      <c r="D3172" s="15" t="s">
        <v>42</v>
      </c>
      <c r="E3172" s="15" t="s">
        <v>39</v>
      </c>
      <c r="F3172" s="15" t="s">
        <v>16</v>
      </c>
      <c r="G3172" s="15" t="s">
        <v>23</v>
      </c>
      <c r="H3172" s="15" t="n">
        <v>7</v>
      </c>
      <c r="I3172" s="17" t="n">
        <v>0</v>
      </c>
      <c r="J3172" s="18" t="n">
        <v>2212.28</v>
      </c>
      <c r="K3172" s="19" t="n">
        <v>-16.03</v>
      </c>
      <c r="L3172" s="15" t="n">
        <f aca="false">YEAR(B3172)</f>
        <v>2022</v>
      </c>
      <c r="M3172" s="20" t="n">
        <f aca="false">IF(J3172&gt;0,K3172/J3172,0)</f>
        <v>-0.0072459182381977</v>
      </c>
    </row>
    <row r="3173" customFormat="false" ht="15" hidden="false" customHeight="false" outlineLevel="0" collapsed="false">
      <c r="A3173" s="15" t="s">
        <v>3230</v>
      </c>
      <c r="B3173" s="16" t="n">
        <v>45268</v>
      </c>
      <c r="C3173" s="15" t="s">
        <v>68</v>
      </c>
      <c r="D3173" s="15" t="s">
        <v>42</v>
      </c>
      <c r="E3173" s="15" t="s">
        <v>37</v>
      </c>
      <c r="F3173" s="15" t="s">
        <v>18</v>
      </c>
      <c r="G3173" s="15" t="s">
        <v>30</v>
      </c>
      <c r="H3173" s="15" t="n">
        <v>4</v>
      </c>
      <c r="I3173" s="17" t="n">
        <v>0.15</v>
      </c>
      <c r="J3173" s="18" t="n">
        <v>163.04</v>
      </c>
      <c r="K3173" s="19" t="n">
        <v>27.15</v>
      </c>
      <c r="L3173" s="15" t="n">
        <f aca="false">YEAR(B3173)</f>
        <v>2023</v>
      </c>
      <c r="M3173" s="20" t="n">
        <f aca="false">IF(J3173&gt;0,K3173/J3173,0)</f>
        <v>0.166523552502453</v>
      </c>
    </row>
    <row r="3174" customFormat="false" ht="15" hidden="false" customHeight="false" outlineLevel="0" collapsed="false">
      <c r="A3174" s="15" t="s">
        <v>3231</v>
      </c>
      <c r="B3174" s="16" t="n">
        <v>45360</v>
      </c>
      <c r="C3174" s="15" t="s">
        <v>68</v>
      </c>
      <c r="D3174" s="15" t="s">
        <v>42</v>
      </c>
      <c r="E3174" s="15" t="s">
        <v>36</v>
      </c>
      <c r="F3174" s="15" t="s">
        <v>17</v>
      </c>
      <c r="G3174" s="15" t="s">
        <v>29</v>
      </c>
      <c r="H3174" s="15" t="n">
        <v>2</v>
      </c>
      <c r="I3174" s="17" t="n">
        <v>0.05</v>
      </c>
      <c r="J3174" s="18" t="n">
        <v>44.75</v>
      </c>
      <c r="K3174" s="19" t="n">
        <v>17.73</v>
      </c>
      <c r="L3174" s="15" t="n">
        <f aca="false">YEAR(B3174)</f>
        <v>2024</v>
      </c>
      <c r="M3174" s="20" t="n">
        <f aca="false">IF(J3174&gt;0,K3174/J3174,0)</f>
        <v>0.396201117318436</v>
      </c>
    </row>
    <row r="3175" customFormat="false" ht="15" hidden="false" customHeight="false" outlineLevel="0" collapsed="false">
      <c r="A3175" s="15" t="s">
        <v>3232</v>
      </c>
      <c r="B3175" s="16" t="n">
        <v>45196</v>
      </c>
      <c r="C3175" s="15" t="s">
        <v>58</v>
      </c>
      <c r="D3175" s="15" t="s">
        <v>42</v>
      </c>
      <c r="E3175" s="15" t="s">
        <v>38</v>
      </c>
      <c r="F3175" s="15" t="s">
        <v>18</v>
      </c>
      <c r="G3175" s="15" t="s">
        <v>32</v>
      </c>
      <c r="H3175" s="15" t="n">
        <v>1</v>
      </c>
      <c r="I3175" s="17" t="n">
        <v>0.15</v>
      </c>
      <c r="J3175" s="18" t="n">
        <v>288.09</v>
      </c>
      <c r="K3175" s="19" t="n">
        <v>15.83</v>
      </c>
      <c r="L3175" s="15" t="n">
        <f aca="false">YEAR(B3175)</f>
        <v>2023</v>
      </c>
      <c r="M3175" s="20" t="n">
        <f aca="false">IF(J3175&gt;0,K3175/J3175,0)</f>
        <v>0.0549481064944983</v>
      </c>
    </row>
    <row r="3176" customFormat="false" ht="15" hidden="false" customHeight="false" outlineLevel="0" collapsed="false">
      <c r="A3176" s="15" t="s">
        <v>3233</v>
      </c>
      <c r="B3176" s="16" t="n">
        <v>45649</v>
      </c>
      <c r="C3176" s="15" t="s">
        <v>56</v>
      </c>
      <c r="D3176" s="15" t="s">
        <v>44</v>
      </c>
      <c r="E3176" s="15" t="s">
        <v>37</v>
      </c>
      <c r="F3176" s="15" t="s">
        <v>16</v>
      </c>
      <c r="G3176" s="15" t="s">
        <v>25</v>
      </c>
      <c r="H3176" s="15" t="n">
        <v>4</v>
      </c>
      <c r="I3176" s="17" t="n">
        <v>0</v>
      </c>
      <c r="J3176" s="18" t="n">
        <v>1261.01</v>
      </c>
      <c r="K3176" s="19" t="n">
        <v>133.43</v>
      </c>
      <c r="L3176" s="15" t="n">
        <f aca="false">YEAR(B3176)</f>
        <v>2024</v>
      </c>
      <c r="M3176" s="20" t="n">
        <f aca="false">IF(J3176&gt;0,K3176/J3176,0)</f>
        <v>0.105812007834989</v>
      </c>
    </row>
    <row r="3177" customFormat="false" ht="15" hidden="false" customHeight="false" outlineLevel="0" collapsed="false">
      <c r="A3177" s="15" t="s">
        <v>3234</v>
      </c>
      <c r="B3177" s="16" t="n">
        <v>45527</v>
      </c>
      <c r="C3177" s="15" t="s">
        <v>56</v>
      </c>
      <c r="D3177" s="15" t="s">
        <v>43</v>
      </c>
      <c r="E3177" s="15" t="s">
        <v>39</v>
      </c>
      <c r="F3177" s="15" t="s">
        <v>18</v>
      </c>
      <c r="G3177" s="15" t="s">
        <v>32</v>
      </c>
      <c r="H3177" s="15" t="n">
        <v>4</v>
      </c>
      <c r="I3177" s="17" t="n">
        <v>0.5</v>
      </c>
      <c r="J3177" s="18" t="n">
        <v>858.95</v>
      </c>
      <c r="K3177" s="19" t="n">
        <v>-219.41</v>
      </c>
      <c r="L3177" s="15" t="n">
        <f aca="false">YEAR(B3177)</f>
        <v>2024</v>
      </c>
      <c r="M3177" s="20" t="n">
        <f aca="false">IF(J3177&gt;0,K3177/J3177,0)</f>
        <v>-0.255439781128122</v>
      </c>
    </row>
    <row r="3178" customFormat="false" ht="15" hidden="false" customHeight="false" outlineLevel="0" collapsed="false">
      <c r="A3178" s="15" t="s">
        <v>3235</v>
      </c>
      <c r="B3178" s="16" t="n">
        <v>45219</v>
      </c>
      <c r="C3178" s="15" t="s">
        <v>68</v>
      </c>
      <c r="D3178" s="15" t="s">
        <v>42</v>
      </c>
      <c r="E3178" s="15" t="s">
        <v>37</v>
      </c>
      <c r="F3178" s="15" t="s">
        <v>17</v>
      </c>
      <c r="G3178" s="15" t="s">
        <v>29</v>
      </c>
      <c r="H3178" s="15" t="n">
        <v>2</v>
      </c>
      <c r="I3178" s="17" t="n">
        <v>0.05</v>
      </c>
      <c r="J3178" s="18" t="n">
        <v>44.27</v>
      </c>
      <c r="K3178" s="19" t="n">
        <v>14.44</v>
      </c>
      <c r="L3178" s="15" t="n">
        <f aca="false">YEAR(B3178)</f>
        <v>2023</v>
      </c>
      <c r="M3178" s="20" t="n">
        <f aca="false">IF(J3178&gt;0,K3178/J3178,0)</f>
        <v>0.32618025751073</v>
      </c>
    </row>
    <row r="3179" customFormat="false" ht="15" hidden="false" customHeight="false" outlineLevel="0" collapsed="false">
      <c r="A3179" s="15" t="s">
        <v>3236</v>
      </c>
      <c r="B3179" s="16" t="n">
        <v>45605</v>
      </c>
      <c r="C3179" s="15" t="s">
        <v>56</v>
      </c>
      <c r="D3179" s="15" t="s">
        <v>43</v>
      </c>
      <c r="E3179" s="15" t="s">
        <v>39</v>
      </c>
      <c r="F3179" s="15" t="s">
        <v>18</v>
      </c>
      <c r="G3179" s="15" t="s">
        <v>30</v>
      </c>
      <c r="H3179" s="15" t="n">
        <v>3</v>
      </c>
      <c r="I3179" s="17" t="n">
        <v>0.15</v>
      </c>
      <c r="J3179" s="18" t="n">
        <v>145.4</v>
      </c>
      <c r="K3179" s="19" t="n">
        <v>16.31</v>
      </c>
      <c r="L3179" s="15" t="n">
        <f aca="false">YEAR(B3179)</f>
        <v>2024</v>
      </c>
      <c r="M3179" s="20" t="n">
        <f aca="false">IF(J3179&gt;0,K3179/J3179,0)</f>
        <v>0.112173314993122</v>
      </c>
    </row>
    <row r="3180" customFormat="false" ht="15" hidden="false" customHeight="false" outlineLevel="0" collapsed="false">
      <c r="A3180" s="15" t="s">
        <v>3237</v>
      </c>
      <c r="B3180" s="16" t="n">
        <v>45579</v>
      </c>
      <c r="C3180" s="15" t="s">
        <v>56</v>
      </c>
      <c r="D3180" s="15" t="s">
        <v>42</v>
      </c>
      <c r="E3180" s="15" t="s">
        <v>39</v>
      </c>
      <c r="F3180" s="15" t="s">
        <v>16</v>
      </c>
      <c r="G3180" s="15" t="s">
        <v>22</v>
      </c>
      <c r="H3180" s="15" t="n">
        <v>6</v>
      </c>
      <c r="I3180" s="17" t="n">
        <v>0</v>
      </c>
      <c r="J3180" s="18" t="n">
        <v>3606.66</v>
      </c>
      <c r="K3180" s="19" t="n">
        <v>-47.97</v>
      </c>
      <c r="L3180" s="15" t="n">
        <f aca="false">YEAR(B3180)</f>
        <v>2024</v>
      </c>
      <c r="M3180" s="20" t="n">
        <f aca="false">IF(J3180&gt;0,K3180/J3180,0)</f>
        <v>-0.0133003942705994</v>
      </c>
    </row>
    <row r="3181" customFormat="false" ht="15" hidden="false" customHeight="false" outlineLevel="0" collapsed="false">
      <c r="A3181" s="15" t="s">
        <v>3238</v>
      </c>
      <c r="B3181" s="16" t="n">
        <v>46016</v>
      </c>
      <c r="C3181" s="15" t="s">
        <v>56</v>
      </c>
      <c r="D3181" s="15" t="s">
        <v>42</v>
      </c>
      <c r="E3181" s="15" t="s">
        <v>37</v>
      </c>
      <c r="F3181" s="15" t="s">
        <v>17</v>
      </c>
      <c r="G3181" s="15" t="s">
        <v>31</v>
      </c>
      <c r="H3181" s="15" t="n">
        <v>3</v>
      </c>
      <c r="I3181" s="17" t="n">
        <v>0.05</v>
      </c>
      <c r="J3181" s="18" t="n">
        <v>341.08</v>
      </c>
      <c r="K3181" s="19" t="n">
        <v>44.51</v>
      </c>
      <c r="L3181" s="15" t="n">
        <f aca="false">YEAR(B3181)</f>
        <v>2025</v>
      </c>
      <c r="M3181" s="20" t="n">
        <f aca="false">IF(J3181&gt;0,K3181/J3181,0)</f>
        <v>0.130497244048317</v>
      </c>
    </row>
    <row r="3182" customFormat="false" ht="15" hidden="false" customHeight="false" outlineLevel="0" collapsed="false">
      <c r="A3182" s="15" t="s">
        <v>3239</v>
      </c>
      <c r="B3182" s="16" t="n">
        <v>46011</v>
      </c>
      <c r="C3182" s="15" t="s">
        <v>71</v>
      </c>
      <c r="D3182" s="15" t="s">
        <v>42</v>
      </c>
      <c r="E3182" s="15" t="s">
        <v>36</v>
      </c>
      <c r="F3182" s="15" t="s">
        <v>16</v>
      </c>
      <c r="G3182" s="15" t="s">
        <v>25</v>
      </c>
      <c r="H3182" s="15" t="n">
        <v>3</v>
      </c>
      <c r="I3182" s="17" t="n">
        <v>0.5</v>
      </c>
      <c r="J3182" s="18" t="n">
        <v>417.39</v>
      </c>
      <c r="K3182" s="19" t="n">
        <v>-117.41</v>
      </c>
      <c r="L3182" s="15" t="n">
        <f aca="false">YEAR(B3182)</f>
        <v>2025</v>
      </c>
      <c r="M3182" s="20" t="n">
        <f aca="false">IF(J3182&gt;0,K3182/J3182,0)</f>
        <v>-0.281295670715638</v>
      </c>
    </row>
    <row r="3183" customFormat="false" ht="15" hidden="false" customHeight="false" outlineLevel="0" collapsed="false">
      <c r="A3183" s="15" t="s">
        <v>3240</v>
      </c>
      <c r="B3183" s="16" t="n">
        <v>45439</v>
      </c>
      <c r="C3183" s="15" t="s">
        <v>56</v>
      </c>
      <c r="D3183" s="15" t="s">
        <v>42</v>
      </c>
      <c r="E3183" s="15" t="s">
        <v>36</v>
      </c>
      <c r="F3183" s="15" t="s">
        <v>16</v>
      </c>
      <c r="G3183" s="15" t="s">
        <v>23</v>
      </c>
      <c r="H3183" s="15" t="n">
        <v>1</v>
      </c>
      <c r="I3183" s="17" t="n">
        <v>0</v>
      </c>
      <c r="J3183" s="18" t="n">
        <v>270.57</v>
      </c>
      <c r="K3183" s="19" t="n">
        <v>4.62</v>
      </c>
      <c r="L3183" s="15" t="n">
        <f aca="false">YEAR(B3183)</f>
        <v>2024</v>
      </c>
      <c r="M3183" s="20" t="n">
        <f aca="false">IF(J3183&gt;0,K3183/J3183,0)</f>
        <v>0.0170750637542965</v>
      </c>
    </row>
    <row r="3184" customFormat="false" ht="15" hidden="false" customHeight="false" outlineLevel="0" collapsed="false">
      <c r="A3184" s="15" t="s">
        <v>3241</v>
      </c>
      <c r="B3184" s="16" t="n">
        <v>45804</v>
      </c>
      <c r="C3184" s="15" t="s">
        <v>68</v>
      </c>
      <c r="D3184" s="15" t="s">
        <v>42</v>
      </c>
      <c r="E3184" s="15" t="s">
        <v>38</v>
      </c>
      <c r="F3184" s="15" t="s">
        <v>17</v>
      </c>
      <c r="G3184" s="15" t="s">
        <v>28</v>
      </c>
      <c r="H3184" s="15" t="n">
        <v>3</v>
      </c>
      <c r="I3184" s="17" t="n">
        <v>0.2</v>
      </c>
      <c r="J3184" s="18" t="n">
        <v>55.36</v>
      </c>
      <c r="K3184" s="19" t="n">
        <v>5.7</v>
      </c>
      <c r="L3184" s="15" t="n">
        <f aca="false">YEAR(B3184)</f>
        <v>2025</v>
      </c>
      <c r="M3184" s="20" t="n">
        <f aca="false">IF(J3184&gt;0,K3184/J3184,0)</f>
        <v>0.102962427745665</v>
      </c>
    </row>
    <row r="3185" customFormat="false" ht="15" hidden="false" customHeight="false" outlineLevel="0" collapsed="false">
      <c r="A3185" s="15" t="s">
        <v>3242</v>
      </c>
      <c r="B3185" s="16" t="n">
        <v>44651</v>
      </c>
      <c r="C3185" s="15" t="s">
        <v>56</v>
      </c>
      <c r="D3185" s="15" t="s">
        <v>42</v>
      </c>
      <c r="E3185" s="15" t="s">
        <v>37</v>
      </c>
      <c r="F3185" s="15" t="s">
        <v>17</v>
      </c>
      <c r="G3185" s="15" t="s">
        <v>26</v>
      </c>
      <c r="H3185" s="15" t="n">
        <v>3</v>
      </c>
      <c r="I3185" s="17" t="n">
        <v>0</v>
      </c>
      <c r="J3185" s="18" t="n">
        <v>240.03</v>
      </c>
      <c r="K3185" s="19" t="n">
        <v>33.8</v>
      </c>
      <c r="L3185" s="15" t="n">
        <f aca="false">YEAR(B3185)</f>
        <v>2022</v>
      </c>
      <c r="M3185" s="20" t="n">
        <f aca="false">IF(J3185&gt;0,K3185/J3185,0)</f>
        <v>0.140815731366912</v>
      </c>
    </row>
    <row r="3186" customFormat="false" ht="15" hidden="false" customHeight="false" outlineLevel="0" collapsed="false">
      <c r="A3186" s="15" t="s">
        <v>3243</v>
      </c>
      <c r="B3186" s="16" t="n">
        <v>45801</v>
      </c>
      <c r="C3186" s="15" t="s">
        <v>56</v>
      </c>
      <c r="D3186" s="15" t="s">
        <v>42</v>
      </c>
      <c r="E3186" s="15" t="s">
        <v>36</v>
      </c>
      <c r="F3186" s="15" t="s">
        <v>17</v>
      </c>
      <c r="G3186" s="15" t="s">
        <v>26</v>
      </c>
      <c r="H3186" s="15" t="n">
        <v>2</v>
      </c>
      <c r="I3186" s="17" t="n">
        <v>0.3</v>
      </c>
      <c r="J3186" s="18" t="n">
        <v>101.69</v>
      </c>
      <c r="K3186" s="19" t="n">
        <v>-15.66</v>
      </c>
      <c r="L3186" s="15" t="n">
        <f aca="false">YEAR(B3186)</f>
        <v>2025</v>
      </c>
      <c r="M3186" s="20" t="n">
        <f aca="false">IF(J3186&gt;0,K3186/J3186,0)</f>
        <v>-0.153997443209755</v>
      </c>
    </row>
    <row r="3187" customFormat="false" ht="15" hidden="false" customHeight="false" outlineLevel="0" collapsed="false">
      <c r="A3187" s="15" t="s">
        <v>3244</v>
      </c>
      <c r="B3187" s="16" t="n">
        <v>45837</v>
      </c>
      <c r="C3187" s="15" t="s">
        <v>58</v>
      </c>
      <c r="D3187" s="15" t="s">
        <v>43</v>
      </c>
      <c r="E3187" s="15" t="s">
        <v>39</v>
      </c>
      <c r="F3187" s="15" t="s">
        <v>16</v>
      </c>
      <c r="G3187" s="15" t="s">
        <v>22</v>
      </c>
      <c r="H3187" s="15" t="n">
        <v>3</v>
      </c>
      <c r="I3187" s="17" t="n">
        <v>0.3</v>
      </c>
      <c r="J3187" s="18" t="n">
        <v>1218.88</v>
      </c>
      <c r="K3187" s="19" t="n">
        <v>-392.49</v>
      </c>
      <c r="L3187" s="15" t="n">
        <f aca="false">YEAR(B3187)</f>
        <v>2025</v>
      </c>
      <c r="M3187" s="20" t="n">
        <f aca="false">IF(J3187&gt;0,K3187/J3187,0)</f>
        <v>-0.322008729325282</v>
      </c>
    </row>
    <row r="3188" customFormat="false" ht="15" hidden="false" customHeight="false" outlineLevel="0" collapsed="false">
      <c r="A3188" s="15" t="s">
        <v>3245</v>
      </c>
      <c r="B3188" s="16" t="n">
        <v>45901</v>
      </c>
      <c r="C3188" s="15" t="s">
        <v>56</v>
      </c>
      <c r="D3188" s="15" t="s">
        <v>42</v>
      </c>
      <c r="E3188" s="15" t="s">
        <v>36</v>
      </c>
      <c r="F3188" s="15" t="s">
        <v>18</v>
      </c>
      <c r="G3188" s="15" t="s">
        <v>33</v>
      </c>
      <c r="H3188" s="15" t="n">
        <v>5</v>
      </c>
      <c r="I3188" s="17" t="n">
        <v>0.1</v>
      </c>
      <c r="J3188" s="18" t="n">
        <v>3710.47</v>
      </c>
      <c r="K3188" s="19" t="n">
        <v>815.92</v>
      </c>
      <c r="L3188" s="15" t="n">
        <f aca="false">YEAR(B3188)</f>
        <v>2025</v>
      </c>
      <c r="M3188" s="20" t="n">
        <f aca="false">IF(J3188&gt;0,K3188/J3188,0)</f>
        <v>0.219896670772166</v>
      </c>
    </row>
    <row r="3189" customFormat="false" ht="15" hidden="false" customHeight="false" outlineLevel="0" collapsed="false">
      <c r="A3189" s="15" t="s">
        <v>3246</v>
      </c>
      <c r="B3189" s="16" t="n">
        <v>45473</v>
      </c>
      <c r="C3189" s="15" t="s">
        <v>58</v>
      </c>
      <c r="D3189" s="15" t="s">
        <v>42</v>
      </c>
      <c r="E3189" s="15" t="s">
        <v>39</v>
      </c>
      <c r="F3189" s="15" t="s">
        <v>17</v>
      </c>
      <c r="G3189" s="15" t="s">
        <v>31</v>
      </c>
      <c r="H3189" s="15" t="n">
        <v>6</v>
      </c>
      <c r="I3189" s="17" t="n">
        <v>0</v>
      </c>
      <c r="J3189" s="18" t="n">
        <v>887.77</v>
      </c>
      <c r="K3189" s="19" t="n">
        <v>198.82</v>
      </c>
      <c r="L3189" s="15" t="n">
        <f aca="false">YEAR(B3189)</f>
        <v>2024</v>
      </c>
      <c r="M3189" s="20" t="n">
        <f aca="false">IF(J3189&gt;0,K3189/J3189,0)</f>
        <v>0.223954402604278</v>
      </c>
    </row>
    <row r="3190" customFormat="false" ht="15" hidden="false" customHeight="false" outlineLevel="0" collapsed="false">
      <c r="A3190" s="15" t="s">
        <v>3247</v>
      </c>
      <c r="B3190" s="16" t="n">
        <v>44679</v>
      </c>
      <c r="C3190" s="15" t="s">
        <v>71</v>
      </c>
      <c r="D3190" s="15" t="s">
        <v>42</v>
      </c>
      <c r="E3190" s="15" t="s">
        <v>39</v>
      </c>
      <c r="F3190" s="15" t="s">
        <v>17</v>
      </c>
      <c r="G3190" s="15" t="s">
        <v>29</v>
      </c>
      <c r="H3190" s="15" t="n">
        <v>4</v>
      </c>
      <c r="I3190" s="17" t="n">
        <v>0.1</v>
      </c>
      <c r="J3190" s="18" t="n">
        <v>54.15</v>
      </c>
      <c r="K3190" s="19" t="n">
        <v>19.63</v>
      </c>
      <c r="L3190" s="15" t="n">
        <f aca="false">YEAR(B3190)</f>
        <v>2022</v>
      </c>
      <c r="M3190" s="20" t="n">
        <f aca="false">IF(J3190&gt;0,K3190/J3190,0)</f>
        <v>0.362511542012927</v>
      </c>
    </row>
    <row r="3191" customFormat="false" ht="15" hidden="false" customHeight="false" outlineLevel="0" collapsed="false">
      <c r="A3191" s="15" t="s">
        <v>3248</v>
      </c>
      <c r="B3191" s="16" t="n">
        <v>44617</v>
      </c>
      <c r="C3191" s="15" t="s">
        <v>56</v>
      </c>
      <c r="D3191" s="15" t="s">
        <v>42</v>
      </c>
      <c r="E3191" s="15" t="s">
        <v>36</v>
      </c>
      <c r="F3191" s="15" t="s">
        <v>17</v>
      </c>
      <c r="G3191" s="15" t="s">
        <v>29</v>
      </c>
      <c r="H3191" s="15" t="n">
        <v>6</v>
      </c>
      <c r="I3191" s="17" t="n">
        <v>0.3</v>
      </c>
      <c r="J3191" s="18" t="n">
        <v>64.96</v>
      </c>
      <c r="K3191" s="19" t="n">
        <v>11.94</v>
      </c>
      <c r="L3191" s="15" t="n">
        <f aca="false">YEAR(B3191)</f>
        <v>2022</v>
      </c>
      <c r="M3191" s="20" t="n">
        <f aca="false">IF(J3191&gt;0,K3191/J3191,0)</f>
        <v>0.183805418719212</v>
      </c>
    </row>
    <row r="3192" customFormat="false" ht="15" hidden="false" customHeight="false" outlineLevel="0" collapsed="false">
      <c r="A3192" s="15" t="s">
        <v>3249</v>
      </c>
      <c r="B3192" s="16" t="n">
        <v>45320</v>
      </c>
      <c r="C3192" s="15" t="s">
        <v>71</v>
      </c>
      <c r="D3192" s="15" t="s">
        <v>43</v>
      </c>
      <c r="E3192" s="15" t="s">
        <v>39</v>
      </c>
      <c r="F3192" s="15" t="s">
        <v>17</v>
      </c>
      <c r="G3192" s="15" t="s">
        <v>26</v>
      </c>
      <c r="H3192" s="15" t="n">
        <v>3</v>
      </c>
      <c r="I3192" s="17" t="n">
        <v>0.2</v>
      </c>
      <c r="J3192" s="18" t="n">
        <v>211.67</v>
      </c>
      <c r="K3192" s="19" t="n">
        <v>-28.76</v>
      </c>
      <c r="L3192" s="15" t="n">
        <f aca="false">YEAR(B3192)</f>
        <v>2024</v>
      </c>
      <c r="M3192" s="20" t="n">
        <f aca="false">IF(J3192&gt;0,K3192/J3192,0)</f>
        <v>-0.135871876033448</v>
      </c>
    </row>
    <row r="3193" customFormat="false" ht="15" hidden="false" customHeight="false" outlineLevel="0" collapsed="false">
      <c r="A3193" s="15" t="s">
        <v>3250</v>
      </c>
      <c r="B3193" s="16" t="n">
        <v>45889</v>
      </c>
      <c r="C3193" s="15" t="s">
        <v>56</v>
      </c>
      <c r="D3193" s="15" t="s">
        <v>42</v>
      </c>
      <c r="E3193" s="15" t="s">
        <v>36</v>
      </c>
      <c r="F3193" s="15" t="s">
        <v>17</v>
      </c>
      <c r="G3193" s="15" t="s">
        <v>28</v>
      </c>
      <c r="H3193" s="15" t="n">
        <v>4</v>
      </c>
      <c r="I3193" s="17" t="n">
        <v>0.3</v>
      </c>
      <c r="J3193" s="18" t="n">
        <v>59.22</v>
      </c>
      <c r="K3193" s="19" t="n">
        <v>-0.5</v>
      </c>
      <c r="L3193" s="15" t="n">
        <f aca="false">YEAR(B3193)</f>
        <v>2025</v>
      </c>
      <c r="M3193" s="20" t="n">
        <f aca="false">IF(J3193&gt;0,K3193/J3193,0)</f>
        <v>-0.00844309354947653</v>
      </c>
    </row>
    <row r="3194" customFormat="false" ht="15" hidden="false" customHeight="false" outlineLevel="0" collapsed="false">
      <c r="A3194" s="15" t="s">
        <v>3251</v>
      </c>
      <c r="B3194" s="16" t="n">
        <v>44669</v>
      </c>
      <c r="C3194" s="15" t="s">
        <v>56</v>
      </c>
      <c r="D3194" s="15" t="s">
        <v>42</v>
      </c>
      <c r="E3194" s="15" t="s">
        <v>38</v>
      </c>
      <c r="F3194" s="15" t="s">
        <v>18</v>
      </c>
      <c r="G3194" s="15" t="s">
        <v>32</v>
      </c>
      <c r="H3194" s="15" t="n">
        <v>3</v>
      </c>
      <c r="I3194" s="17" t="n">
        <v>0.3</v>
      </c>
      <c r="J3194" s="18" t="n">
        <v>783.1</v>
      </c>
      <c r="K3194" s="19" t="n">
        <v>-40.61</v>
      </c>
      <c r="L3194" s="15" t="n">
        <f aca="false">YEAR(B3194)</f>
        <v>2022</v>
      </c>
      <c r="M3194" s="20" t="n">
        <f aca="false">IF(J3194&gt;0,K3194/J3194,0)</f>
        <v>-0.0518580002553952</v>
      </c>
    </row>
    <row r="3195" customFormat="false" ht="15" hidden="false" customHeight="false" outlineLevel="0" collapsed="false">
      <c r="A3195" s="15" t="s">
        <v>3252</v>
      </c>
      <c r="B3195" s="16" t="n">
        <v>45036</v>
      </c>
      <c r="C3195" s="15" t="s">
        <v>71</v>
      </c>
      <c r="D3195" s="15" t="s">
        <v>42</v>
      </c>
      <c r="E3195" s="15" t="s">
        <v>38</v>
      </c>
      <c r="F3195" s="15" t="s">
        <v>18</v>
      </c>
      <c r="G3195" s="15" t="s">
        <v>32</v>
      </c>
      <c r="H3195" s="15" t="n">
        <v>1</v>
      </c>
      <c r="I3195" s="17" t="n">
        <v>0</v>
      </c>
      <c r="J3195" s="18" t="n">
        <v>444.79</v>
      </c>
      <c r="K3195" s="19" t="n">
        <v>83.71</v>
      </c>
      <c r="L3195" s="15" t="n">
        <f aca="false">YEAR(B3195)</f>
        <v>2023</v>
      </c>
      <c r="M3195" s="20" t="n">
        <f aca="false">IF(J3195&gt;0,K3195/J3195,0)</f>
        <v>0.188201173587536</v>
      </c>
    </row>
    <row r="3196" customFormat="false" ht="15" hidden="false" customHeight="false" outlineLevel="0" collapsed="false">
      <c r="A3196" s="15" t="s">
        <v>3253</v>
      </c>
      <c r="B3196" s="16" t="n">
        <v>44698</v>
      </c>
      <c r="C3196" s="15" t="s">
        <v>71</v>
      </c>
      <c r="D3196" s="15" t="s">
        <v>43</v>
      </c>
      <c r="E3196" s="15" t="s">
        <v>36</v>
      </c>
      <c r="F3196" s="15" t="s">
        <v>18</v>
      </c>
      <c r="G3196" s="15" t="s">
        <v>30</v>
      </c>
      <c r="H3196" s="15" t="n">
        <v>5</v>
      </c>
      <c r="I3196" s="17" t="n">
        <v>0.1</v>
      </c>
      <c r="J3196" s="18" t="n">
        <v>178.81</v>
      </c>
      <c r="K3196" s="19" t="n">
        <v>36.56</v>
      </c>
      <c r="L3196" s="15" t="n">
        <f aca="false">YEAR(B3196)</f>
        <v>2022</v>
      </c>
      <c r="M3196" s="20" t="n">
        <f aca="false">IF(J3196&gt;0,K3196/J3196,0)</f>
        <v>0.204462837648901</v>
      </c>
    </row>
    <row r="3197" customFormat="false" ht="15" hidden="false" customHeight="false" outlineLevel="0" collapsed="false">
      <c r="A3197" s="15" t="s">
        <v>3254</v>
      </c>
      <c r="B3197" s="16" t="n">
        <v>44867</v>
      </c>
      <c r="C3197" s="15" t="s">
        <v>71</v>
      </c>
      <c r="D3197" s="15" t="s">
        <v>44</v>
      </c>
      <c r="E3197" s="15" t="s">
        <v>39</v>
      </c>
      <c r="F3197" s="15" t="s">
        <v>16</v>
      </c>
      <c r="G3197" s="15" t="s">
        <v>27</v>
      </c>
      <c r="H3197" s="15" t="n">
        <v>2</v>
      </c>
      <c r="I3197" s="17" t="n">
        <v>0</v>
      </c>
      <c r="J3197" s="18" t="n">
        <v>133.81</v>
      </c>
      <c r="K3197" s="19" t="n">
        <v>30.08</v>
      </c>
      <c r="L3197" s="15" t="n">
        <f aca="false">YEAR(B3197)</f>
        <v>2022</v>
      </c>
      <c r="M3197" s="20" t="n">
        <f aca="false">IF(J3197&gt;0,K3197/J3197,0)</f>
        <v>0.22479635303789</v>
      </c>
    </row>
    <row r="3198" customFormat="false" ht="15" hidden="false" customHeight="false" outlineLevel="0" collapsed="false">
      <c r="A3198" s="15" t="s">
        <v>3255</v>
      </c>
      <c r="B3198" s="16" t="n">
        <v>44866</v>
      </c>
      <c r="C3198" s="15" t="s">
        <v>56</v>
      </c>
      <c r="D3198" s="15" t="s">
        <v>42</v>
      </c>
      <c r="E3198" s="15" t="s">
        <v>39</v>
      </c>
      <c r="F3198" s="15" t="s">
        <v>17</v>
      </c>
      <c r="G3198" s="15" t="s">
        <v>29</v>
      </c>
      <c r="H3198" s="15" t="n">
        <v>4</v>
      </c>
      <c r="I3198" s="17" t="n">
        <v>0.4</v>
      </c>
      <c r="J3198" s="18" t="n">
        <v>41.53</v>
      </c>
      <c r="K3198" s="19" t="n">
        <v>1.35</v>
      </c>
      <c r="L3198" s="15" t="n">
        <f aca="false">YEAR(B3198)</f>
        <v>2022</v>
      </c>
      <c r="M3198" s="20" t="n">
        <f aca="false">IF(J3198&gt;0,K3198/J3198,0)</f>
        <v>0.0325066217192391</v>
      </c>
    </row>
    <row r="3199" customFormat="false" ht="15" hidden="false" customHeight="false" outlineLevel="0" collapsed="false">
      <c r="A3199" s="15" t="s">
        <v>3256</v>
      </c>
      <c r="B3199" s="16" t="n">
        <v>45924</v>
      </c>
      <c r="C3199" s="15" t="s">
        <v>56</v>
      </c>
      <c r="D3199" s="15" t="s">
        <v>42</v>
      </c>
      <c r="E3199" s="15" t="s">
        <v>38</v>
      </c>
      <c r="F3199" s="15" t="s">
        <v>17</v>
      </c>
      <c r="G3199" s="15" t="s">
        <v>29</v>
      </c>
      <c r="H3199" s="15" t="n">
        <v>8</v>
      </c>
      <c r="I3199" s="17" t="n">
        <v>0.5</v>
      </c>
      <c r="J3199" s="18" t="n">
        <v>69.66</v>
      </c>
      <c r="K3199" s="19" t="n">
        <v>-5.42</v>
      </c>
      <c r="L3199" s="15" t="n">
        <f aca="false">YEAR(B3199)</f>
        <v>2025</v>
      </c>
      <c r="M3199" s="20" t="n">
        <f aca="false">IF(J3199&gt;0,K3199/J3199,0)</f>
        <v>-0.0778064886592018</v>
      </c>
    </row>
    <row r="3200" customFormat="false" ht="15" hidden="false" customHeight="false" outlineLevel="0" collapsed="false">
      <c r="A3200" s="15" t="s">
        <v>3257</v>
      </c>
      <c r="B3200" s="16" t="n">
        <v>45336</v>
      </c>
      <c r="C3200" s="15" t="s">
        <v>56</v>
      </c>
      <c r="D3200" s="15" t="s">
        <v>42</v>
      </c>
      <c r="E3200" s="15" t="s">
        <v>39</v>
      </c>
      <c r="F3200" s="15" t="s">
        <v>16</v>
      </c>
      <c r="G3200" s="15" t="s">
        <v>27</v>
      </c>
      <c r="H3200" s="15" t="n">
        <v>5</v>
      </c>
      <c r="I3200" s="17" t="n">
        <v>0.2</v>
      </c>
      <c r="J3200" s="18" t="n">
        <v>249.55</v>
      </c>
      <c r="K3200" s="19" t="n">
        <v>15</v>
      </c>
      <c r="L3200" s="15" t="n">
        <f aca="false">YEAR(B3200)</f>
        <v>2024</v>
      </c>
      <c r="M3200" s="20" t="n">
        <f aca="false">IF(J3200&gt;0,K3200/J3200,0)</f>
        <v>0.060108194750551</v>
      </c>
    </row>
    <row r="3201" customFormat="false" ht="15" hidden="false" customHeight="false" outlineLevel="0" collapsed="false">
      <c r="A3201" s="15" t="s">
        <v>3258</v>
      </c>
      <c r="B3201" s="16" t="n">
        <v>44916</v>
      </c>
      <c r="C3201" s="15" t="s">
        <v>68</v>
      </c>
      <c r="D3201" s="15" t="s">
        <v>43</v>
      </c>
      <c r="E3201" s="15" t="s">
        <v>36</v>
      </c>
      <c r="F3201" s="15" t="s">
        <v>18</v>
      </c>
      <c r="G3201" s="15" t="s">
        <v>30</v>
      </c>
      <c r="H3201" s="15" t="n">
        <v>4</v>
      </c>
      <c r="I3201" s="17" t="n">
        <v>0.2</v>
      </c>
      <c r="J3201" s="18" t="n">
        <v>130.82</v>
      </c>
      <c r="K3201" s="19" t="n">
        <v>13.51</v>
      </c>
      <c r="L3201" s="15" t="n">
        <f aca="false">YEAR(B3201)</f>
        <v>2022</v>
      </c>
      <c r="M3201" s="20" t="n">
        <f aca="false">IF(J3201&gt;0,K3201/J3201,0)</f>
        <v>0.103271670998318</v>
      </c>
    </row>
    <row r="3202" customFormat="false" ht="15" hidden="false" customHeight="false" outlineLevel="0" collapsed="false">
      <c r="A3202" s="15" t="s">
        <v>3259</v>
      </c>
      <c r="B3202" s="16" t="n">
        <v>45941</v>
      </c>
      <c r="C3202" s="15" t="s">
        <v>68</v>
      </c>
      <c r="D3202" s="15" t="s">
        <v>42</v>
      </c>
      <c r="E3202" s="15" t="s">
        <v>38</v>
      </c>
      <c r="F3202" s="15" t="s">
        <v>18</v>
      </c>
      <c r="G3202" s="15" t="s">
        <v>30</v>
      </c>
      <c r="H3202" s="15" t="n">
        <v>2</v>
      </c>
      <c r="I3202" s="17" t="n">
        <v>0</v>
      </c>
      <c r="J3202" s="18" t="n">
        <v>66.25</v>
      </c>
      <c r="K3202" s="19" t="n">
        <v>20.8</v>
      </c>
      <c r="L3202" s="15" t="n">
        <f aca="false">YEAR(B3202)</f>
        <v>2025</v>
      </c>
      <c r="M3202" s="20" t="n">
        <f aca="false">IF(J3202&gt;0,K3202/J3202,0)</f>
        <v>0.313962264150943</v>
      </c>
    </row>
    <row r="3203" customFormat="false" ht="15" hidden="false" customHeight="false" outlineLevel="0" collapsed="false">
      <c r="A3203" s="15" t="s">
        <v>3260</v>
      </c>
      <c r="B3203" s="16" t="n">
        <v>44643</v>
      </c>
      <c r="C3203" s="15" t="s">
        <v>56</v>
      </c>
      <c r="D3203" s="15" t="s">
        <v>42</v>
      </c>
      <c r="E3203" s="15" t="s">
        <v>37</v>
      </c>
      <c r="F3203" s="15" t="s">
        <v>17</v>
      </c>
      <c r="G3203" s="15" t="s">
        <v>31</v>
      </c>
      <c r="H3203" s="15" t="n">
        <v>4</v>
      </c>
      <c r="I3203" s="17" t="n">
        <v>0</v>
      </c>
      <c r="J3203" s="18" t="n">
        <v>588.5</v>
      </c>
      <c r="K3203" s="19" t="n">
        <v>132.64</v>
      </c>
      <c r="L3203" s="15" t="n">
        <f aca="false">YEAR(B3203)</f>
        <v>2022</v>
      </c>
      <c r="M3203" s="20" t="n">
        <f aca="false">IF(J3203&gt;0,K3203/J3203,0)</f>
        <v>0.225386576040782</v>
      </c>
    </row>
    <row r="3204" customFormat="false" ht="15" hidden="false" customHeight="false" outlineLevel="0" collapsed="false">
      <c r="A3204" s="15" t="s">
        <v>3261</v>
      </c>
      <c r="B3204" s="16" t="n">
        <v>44674</v>
      </c>
      <c r="C3204" s="15" t="s">
        <v>71</v>
      </c>
      <c r="D3204" s="15" t="s">
        <v>44</v>
      </c>
      <c r="E3204" s="15" t="s">
        <v>37</v>
      </c>
      <c r="F3204" s="15" t="s">
        <v>16</v>
      </c>
      <c r="G3204" s="15" t="s">
        <v>25</v>
      </c>
      <c r="H3204" s="15" t="n">
        <v>4</v>
      </c>
      <c r="I3204" s="17" t="n">
        <v>0.15</v>
      </c>
      <c r="J3204" s="18" t="n">
        <v>856.07</v>
      </c>
      <c r="K3204" s="19" t="n">
        <v>-47.46</v>
      </c>
      <c r="L3204" s="15" t="n">
        <f aca="false">YEAR(B3204)</f>
        <v>2022</v>
      </c>
      <c r="M3204" s="20" t="n">
        <f aca="false">IF(J3204&gt;0,K3204/J3204,0)</f>
        <v>-0.0554393916385342</v>
      </c>
    </row>
    <row r="3205" customFormat="false" ht="15" hidden="false" customHeight="false" outlineLevel="0" collapsed="false">
      <c r="A3205" s="15" t="s">
        <v>3262</v>
      </c>
      <c r="B3205" s="16" t="n">
        <v>44752</v>
      </c>
      <c r="C3205" s="15" t="s">
        <v>68</v>
      </c>
      <c r="D3205" s="15" t="s">
        <v>42</v>
      </c>
      <c r="E3205" s="15" t="s">
        <v>39</v>
      </c>
      <c r="F3205" s="15" t="s">
        <v>17</v>
      </c>
      <c r="G3205" s="15" t="s">
        <v>29</v>
      </c>
      <c r="H3205" s="15" t="n">
        <v>2</v>
      </c>
      <c r="I3205" s="17" t="n">
        <v>0.2</v>
      </c>
      <c r="J3205" s="18" t="n">
        <v>31.38</v>
      </c>
      <c r="K3205" s="19" t="n">
        <v>2.95</v>
      </c>
      <c r="L3205" s="15" t="n">
        <f aca="false">YEAR(B3205)</f>
        <v>2022</v>
      </c>
      <c r="M3205" s="20" t="n">
        <f aca="false">IF(J3205&gt;0,K3205/J3205,0)</f>
        <v>0.0940089228808158</v>
      </c>
    </row>
    <row r="3206" customFormat="false" ht="15" hidden="false" customHeight="false" outlineLevel="0" collapsed="false">
      <c r="A3206" s="15" t="s">
        <v>3263</v>
      </c>
      <c r="B3206" s="16" t="n">
        <v>44821</v>
      </c>
      <c r="C3206" s="15" t="s">
        <v>68</v>
      </c>
      <c r="D3206" s="15" t="s">
        <v>43</v>
      </c>
      <c r="E3206" s="15" t="s">
        <v>39</v>
      </c>
      <c r="F3206" s="15" t="s">
        <v>16</v>
      </c>
      <c r="G3206" s="15" t="s">
        <v>22</v>
      </c>
      <c r="H3206" s="15" t="n">
        <v>3</v>
      </c>
      <c r="I3206" s="17" t="n">
        <v>0.2</v>
      </c>
      <c r="J3206" s="18" t="n">
        <v>1642.19</v>
      </c>
      <c r="K3206" s="19" t="n">
        <v>-411.93</v>
      </c>
      <c r="L3206" s="15" t="n">
        <f aca="false">YEAR(B3206)</f>
        <v>2022</v>
      </c>
      <c r="M3206" s="20" t="n">
        <f aca="false">IF(J3206&gt;0,K3206/J3206,0)</f>
        <v>-0.250841863608961</v>
      </c>
    </row>
    <row r="3207" customFormat="false" ht="15" hidden="false" customHeight="false" outlineLevel="0" collapsed="false">
      <c r="A3207" s="15" t="s">
        <v>3264</v>
      </c>
      <c r="B3207" s="16" t="n">
        <v>45901</v>
      </c>
      <c r="C3207" s="15" t="s">
        <v>56</v>
      </c>
      <c r="D3207" s="15" t="s">
        <v>42</v>
      </c>
      <c r="E3207" s="15" t="s">
        <v>37</v>
      </c>
      <c r="F3207" s="15" t="s">
        <v>18</v>
      </c>
      <c r="G3207" s="15" t="s">
        <v>30</v>
      </c>
      <c r="H3207" s="15" t="n">
        <v>5</v>
      </c>
      <c r="I3207" s="17" t="n">
        <v>0</v>
      </c>
      <c r="J3207" s="18" t="n">
        <v>216.93</v>
      </c>
      <c r="K3207" s="19" t="n">
        <v>58.05</v>
      </c>
      <c r="L3207" s="15" t="n">
        <f aca="false">YEAR(B3207)</f>
        <v>2025</v>
      </c>
      <c r="M3207" s="20" t="n">
        <f aca="false">IF(J3207&gt;0,K3207/J3207,0)</f>
        <v>0.267597842622044</v>
      </c>
    </row>
    <row r="3208" customFormat="false" ht="15" hidden="false" customHeight="false" outlineLevel="0" collapsed="false">
      <c r="A3208" s="15" t="s">
        <v>3265</v>
      </c>
      <c r="B3208" s="16" t="n">
        <v>45897</v>
      </c>
      <c r="C3208" s="15" t="s">
        <v>56</v>
      </c>
      <c r="D3208" s="15" t="s">
        <v>42</v>
      </c>
      <c r="E3208" s="15" t="s">
        <v>38</v>
      </c>
      <c r="F3208" s="15" t="s">
        <v>17</v>
      </c>
      <c r="G3208" s="15" t="s">
        <v>28</v>
      </c>
      <c r="H3208" s="15" t="n">
        <v>3</v>
      </c>
      <c r="I3208" s="17" t="n">
        <v>0</v>
      </c>
      <c r="J3208" s="18" t="n">
        <v>63.91</v>
      </c>
      <c r="K3208" s="19" t="n">
        <v>18.71</v>
      </c>
      <c r="L3208" s="15" t="n">
        <f aca="false">YEAR(B3208)</f>
        <v>2025</v>
      </c>
      <c r="M3208" s="20" t="n">
        <f aca="false">IF(J3208&gt;0,K3208/J3208,0)</f>
        <v>0.292755437333751</v>
      </c>
    </row>
    <row r="3209" customFormat="false" ht="15" hidden="false" customHeight="false" outlineLevel="0" collapsed="false">
      <c r="A3209" s="15" t="s">
        <v>3266</v>
      </c>
      <c r="B3209" s="16" t="n">
        <v>45794</v>
      </c>
      <c r="C3209" s="15" t="s">
        <v>56</v>
      </c>
      <c r="D3209" s="15" t="s">
        <v>42</v>
      </c>
      <c r="E3209" s="15" t="s">
        <v>39</v>
      </c>
      <c r="F3209" s="15" t="s">
        <v>17</v>
      </c>
      <c r="G3209" s="15" t="s">
        <v>29</v>
      </c>
      <c r="H3209" s="15" t="n">
        <v>4</v>
      </c>
      <c r="I3209" s="17" t="n">
        <v>0</v>
      </c>
      <c r="J3209" s="18" t="n">
        <v>65.05</v>
      </c>
      <c r="K3209" s="19" t="n">
        <v>23.49</v>
      </c>
      <c r="L3209" s="15" t="n">
        <f aca="false">YEAR(B3209)</f>
        <v>2025</v>
      </c>
      <c r="M3209" s="20" t="n">
        <f aca="false">IF(J3209&gt;0,K3209/J3209,0)</f>
        <v>0.361106840891622</v>
      </c>
    </row>
    <row r="3210" customFormat="false" ht="15" hidden="false" customHeight="false" outlineLevel="0" collapsed="false">
      <c r="A3210" s="15" t="s">
        <v>3267</v>
      </c>
      <c r="B3210" s="16" t="n">
        <v>44944</v>
      </c>
      <c r="C3210" s="15" t="s">
        <v>71</v>
      </c>
      <c r="D3210" s="15" t="s">
        <v>42</v>
      </c>
      <c r="E3210" s="15" t="s">
        <v>38</v>
      </c>
      <c r="F3210" s="15" t="s">
        <v>17</v>
      </c>
      <c r="G3210" s="15" t="s">
        <v>29</v>
      </c>
      <c r="H3210" s="15" t="n">
        <v>6</v>
      </c>
      <c r="I3210" s="17" t="n">
        <v>0</v>
      </c>
      <c r="J3210" s="18" t="n">
        <v>87.51</v>
      </c>
      <c r="K3210" s="19" t="n">
        <v>35.62</v>
      </c>
      <c r="L3210" s="15" t="n">
        <f aca="false">YEAR(B3210)</f>
        <v>2023</v>
      </c>
      <c r="M3210" s="20" t="n">
        <f aca="false">IF(J3210&gt;0,K3210/J3210,0)</f>
        <v>0.407039195520512</v>
      </c>
    </row>
    <row r="3211" customFormat="false" ht="15" hidden="false" customHeight="false" outlineLevel="0" collapsed="false">
      <c r="A3211" s="15" t="s">
        <v>3268</v>
      </c>
      <c r="B3211" s="16" t="n">
        <v>44719</v>
      </c>
      <c r="C3211" s="15" t="s">
        <v>56</v>
      </c>
      <c r="D3211" s="15" t="s">
        <v>42</v>
      </c>
      <c r="E3211" s="15" t="s">
        <v>36</v>
      </c>
      <c r="F3211" s="15" t="s">
        <v>17</v>
      </c>
      <c r="G3211" s="15" t="s">
        <v>26</v>
      </c>
      <c r="H3211" s="15" t="n">
        <v>5</v>
      </c>
      <c r="I3211" s="17" t="n">
        <v>0.1</v>
      </c>
      <c r="J3211" s="18" t="n">
        <v>381.81</v>
      </c>
      <c r="K3211" s="19" t="n">
        <v>-2.32</v>
      </c>
      <c r="L3211" s="15" t="n">
        <f aca="false">YEAR(B3211)</f>
        <v>2022</v>
      </c>
      <c r="M3211" s="20" t="n">
        <f aca="false">IF(J3211&gt;0,K3211/J3211,0)</f>
        <v>-0.00607632068306226</v>
      </c>
    </row>
    <row r="3212" customFormat="false" ht="15" hidden="false" customHeight="false" outlineLevel="0" collapsed="false">
      <c r="A3212" s="15" t="s">
        <v>3269</v>
      </c>
      <c r="B3212" s="16" t="n">
        <v>45653</v>
      </c>
      <c r="C3212" s="15" t="s">
        <v>56</v>
      </c>
      <c r="D3212" s="15" t="s">
        <v>42</v>
      </c>
      <c r="E3212" s="15" t="s">
        <v>38</v>
      </c>
      <c r="F3212" s="15" t="s">
        <v>17</v>
      </c>
      <c r="G3212" s="15" t="s">
        <v>26</v>
      </c>
      <c r="H3212" s="15" t="n">
        <v>3</v>
      </c>
      <c r="I3212" s="17" t="n">
        <v>0</v>
      </c>
      <c r="J3212" s="18" t="n">
        <v>290.57</v>
      </c>
      <c r="K3212" s="19" t="n">
        <v>28.68</v>
      </c>
      <c r="L3212" s="15" t="n">
        <f aca="false">YEAR(B3212)</f>
        <v>2024</v>
      </c>
      <c r="M3212" s="20" t="n">
        <f aca="false">IF(J3212&gt;0,K3212/J3212,0)</f>
        <v>0.0987025501600303</v>
      </c>
    </row>
    <row r="3213" customFormat="false" ht="15" hidden="false" customHeight="false" outlineLevel="0" collapsed="false">
      <c r="A3213" s="15" t="s">
        <v>3270</v>
      </c>
      <c r="B3213" s="16" t="n">
        <v>45014</v>
      </c>
      <c r="C3213" s="15" t="s">
        <v>56</v>
      </c>
      <c r="D3213" s="15" t="s">
        <v>43</v>
      </c>
      <c r="E3213" s="15" t="s">
        <v>37</v>
      </c>
      <c r="F3213" s="15" t="s">
        <v>17</v>
      </c>
      <c r="G3213" s="15" t="s">
        <v>29</v>
      </c>
      <c r="H3213" s="15" t="n">
        <v>2</v>
      </c>
      <c r="I3213" s="17" t="n">
        <v>0</v>
      </c>
      <c r="J3213" s="18" t="n">
        <v>45.98</v>
      </c>
      <c r="K3213" s="19" t="n">
        <v>18.43</v>
      </c>
      <c r="L3213" s="15" t="n">
        <f aca="false">YEAR(B3213)</f>
        <v>2023</v>
      </c>
      <c r="M3213" s="20" t="n">
        <f aca="false">IF(J3213&gt;0,K3213/J3213,0)</f>
        <v>0.400826446280992</v>
      </c>
    </row>
    <row r="3214" customFormat="false" ht="15" hidden="false" customHeight="false" outlineLevel="0" collapsed="false">
      <c r="A3214" s="15" t="s">
        <v>3271</v>
      </c>
      <c r="B3214" s="16" t="n">
        <v>45622</v>
      </c>
      <c r="C3214" s="15" t="s">
        <v>71</v>
      </c>
      <c r="D3214" s="15" t="s">
        <v>43</v>
      </c>
      <c r="E3214" s="15" t="s">
        <v>39</v>
      </c>
      <c r="F3214" s="15" t="s">
        <v>18</v>
      </c>
      <c r="G3214" s="15" t="s">
        <v>30</v>
      </c>
      <c r="H3214" s="15" t="n">
        <v>6</v>
      </c>
      <c r="I3214" s="17" t="n">
        <v>0</v>
      </c>
      <c r="J3214" s="18" t="n">
        <v>296.07</v>
      </c>
      <c r="K3214" s="19" t="n">
        <v>82.57</v>
      </c>
      <c r="L3214" s="15" t="n">
        <f aca="false">YEAR(B3214)</f>
        <v>2024</v>
      </c>
      <c r="M3214" s="20" t="n">
        <f aca="false">IF(J3214&gt;0,K3214/J3214,0)</f>
        <v>0.278886749755125</v>
      </c>
    </row>
    <row r="3215" customFormat="false" ht="15" hidden="false" customHeight="false" outlineLevel="0" collapsed="false">
      <c r="A3215" s="15" t="s">
        <v>3272</v>
      </c>
      <c r="B3215" s="16" t="n">
        <v>45127</v>
      </c>
      <c r="C3215" s="15" t="s">
        <v>56</v>
      </c>
      <c r="D3215" s="15" t="s">
        <v>44</v>
      </c>
      <c r="E3215" s="15" t="s">
        <v>39</v>
      </c>
      <c r="F3215" s="15" t="s">
        <v>17</v>
      </c>
      <c r="G3215" s="15" t="s">
        <v>29</v>
      </c>
      <c r="H3215" s="15" t="n">
        <v>5</v>
      </c>
      <c r="I3215" s="17" t="n">
        <v>0</v>
      </c>
      <c r="J3215" s="18" t="n">
        <v>121.75</v>
      </c>
      <c r="K3215" s="19" t="n">
        <v>43.15</v>
      </c>
      <c r="L3215" s="15" t="n">
        <f aca="false">YEAR(B3215)</f>
        <v>2023</v>
      </c>
      <c r="M3215" s="20" t="n">
        <f aca="false">IF(J3215&gt;0,K3215/J3215,0)</f>
        <v>0.354414784394251</v>
      </c>
    </row>
    <row r="3216" customFormat="false" ht="15" hidden="false" customHeight="false" outlineLevel="0" collapsed="false">
      <c r="A3216" s="15" t="s">
        <v>3273</v>
      </c>
      <c r="B3216" s="16" t="n">
        <v>45069</v>
      </c>
      <c r="C3216" s="15" t="s">
        <v>68</v>
      </c>
      <c r="D3216" s="15" t="s">
        <v>42</v>
      </c>
      <c r="E3216" s="15" t="s">
        <v>37</v>
      </c>
      <c r="F3216" s="15" t="s">
        <v>18</v>
      </c>
      <c r="G3216" s="15" t="s">
        <v>30</v>
      </c>
      <c r="H3216" s="15" t="n">
        <v>4</v>
      </c>
      <c r="I3216" s="17" t="n">
        <v>0.15</v>
      </c>
      <c r="J3216" s="18" t="n">
        <v>172.07</v>
      </c>
      <c r="K3216" s="19" t="n">
        <v>34.13</v>
      </c>
      <c r="L3216" s="15" t="n">
        <f aca="false">YEAR(B3216)</f>
        <v>2023</v>
      </c>
      <c r="M3216" s="20" t="n">
        <f aca="false">IF(J3216&gt;0,K3216/J3216,0)</f>
        <v>0.198349508920788</v>
      </c>
    </row>
    <row r="3217" customFormat="false" ht="15" hidden="false" customHeight="false" outlineLevel="0" collapsed="false">
      <c r="A3217" s="15" t="s">
        <v>3274</v>
      </c>
      <c r="B3217" s="16" t="n">
        <v>45291</v>
      </c>
      <c r="C3217" s="15" t="s">
        <v>68</v>
      </c>
      <c r="D3217" s="15" t="s">
        <v>42</v>
      </c>
      <c r="E3217" s="15" t="s">
        <v>39</v>
      </c>
      <c r="F3217" s="15" t="s">
        <v>17</v>
      </c>
      <c r="G3217" s="15" t="s">
        <v>29</v>
      </c>
      <c r="H3217" s="15" t="n">
        <v>4</v>
      </c>
      <c r="I3217" s="17" t="n">
        <v>0.05</v>
      </c>
      <c r="J3217" s="18" t="n">
        <v>68.15</v>
      </c>
      <c r="K3217" s="19" t="n">
        <v>24.33</v>
      </c>
      <c r="L3217" s="15" t="n">
        <f aca="false">YEAR(B3217)</f>
        <v>2023</v>
      </c>
      <c r="M3217" s="20" t="n">
        <f aca="false">IF(J3217&gt;0,K3217/J3217,0)</f>
        <v>0.357006603081438</v>
      </c>
    </row>
    <row r="3218" customFormat="false" ht="15" hidden="false" customHeight="false" outlineLevel="0" collapsed="false">
      <c r="A3218" s="15" t="s">
        <v>3275</v>
      </c>
      <c r="B3218" s="16" t="n">
        <v>45988</v>
      </c>
      <c r="C3218" s="15" t="s">
        <v>56</v>
      </c>
      <c r="D3218" s="15" t="s">
        <v>42</v>
      </c>
      <c r="E3218" s="15" t="s">
        <v>37</v>
      </c>
      <c r="F3218" s="15" t="s">
        <v>17</v>
      </c>
      <c r="G3218" s="15" t="s">
        <v>26</v>
      </c>
      <c r="H3218" s="15" t="n">
        <v>4</v>
      </c>
      <c r="I3218" s="17" t="n">
        <v>0</v>
      </c>
      <c r="J3218" s="18" t="n">
        <v>370.47</v>
      </c>
      <c r="K3218" s="19" t="n">
        <v>61.61</v>
      </c>
      <c r="L3218" s="15" t="n">
        <f aca="false">YEAR(B3218)</f>
        <v>2025</v>
      </c>
      <c r="M3218" s="20" t="n">
        <f aca="false">IF(J3218&gt;0,K3218/J3218,0)</f>
        <v>0.166302264690798</v>
      </c>
    </row>
    <row r="3219" customFormat="false" ht="15" hidden="false" customHeight="false" outlineLevel="0" collapsed="false">
      <c r="A3219" s="15" t="s">
        <v>3276</v>
      </c>
      <c r="B3219" s="16" t="n">
        <v>45070</v>
      </c>
      <c r="C3219" s="15" t="s">
        <v>68</v>
      </c>
      <c r="D3219" s="15" t="s">
        <v>43</v>
      </c>
      <c r="E3219" s="15" t="s">
        <v>39</v>
      </c>
      <c r="F3219" s="15" t="s">
        <v>17</v>
      </c>
      <c r="G3219" s="15" t="s">
        <v>26</v>
      </c>
      <c r="H3219" s="15" t="n">
        <v>3</v>
      </c>
      <c r="I3219" s="17" t="n">
        <v>0</v>
      </c>
      <c r="J3219" s="18" t="n">
        <v>305.79</v>
      </c>
      <c r="K3219" s="19" t="n">
        <v>51.77</v>
      </c>
      <c r="L3219" s="15" t="n">
        <f aca="false">YEAR(B3219)</f>
        <v>2023</v>
      </c>
      <c r="M3219" s="20" t="n">
        <f aca="false">IF(J3219&gt;0,K3219/J3219,0)</f>
        <v>0.169299192256123</v>
      </c>
    </row>
    <row r="3220" customFormat="false" ht="15" hidden="false" customHeight="false" outlineLevel="0" collapsed="false">
      <c r="A3220" s="15" t="s">
        <v>3277</v>
      </c>
      <c r="B3220" s="16" t="n">
        <v>45473</v>
      </c>
      <c r="C3220" s="15" t="s">
        <v>56</v>
      </c>
      <c r="D3220" s="15" t="s">
        <v>43</v>
      </c>
      <c r="E3220" s="15" t="s">
        <v>39</v>
      </c>
      <c r="F3220" s="15" t="s">
        <v>17</v>
      </c>
      <c r="G3220" s="15" t="s">
        <v>26</v>
      </c>
      <c r="H3220" s="15" t="n">
        <v>4</v>
      </c>
      <c r="I3220" s="17" t="n">
        <v>0</v>
      </c>
      <c r="J3220" s="18" t="n">
        <v>378.66</v>
      </c>
      <c r="K3220" s="19" t="n">
        <v>19.79</v>
      </c>
      <c r="L3220" s="15" t="n">
        <f aca="false">YEAR(B3220)</f>
        <v>2024</v>
      </c>
      <c r="M3220" s="20" t="n">
        <f aca="false">IF(J3220&gt;0,K3220/J3220,0)</f>
        <v>0.0522632440711984</v>
      </c>
    </row>
    <row r="3221" customFormat="false" ht="15" hidden="false" customHeight="false" outlineLevel="0" collapsed="false">
      <c r="A3221" s="15" t="s">
        <v>3278</v>
      </c>
      <c r="B3221" s="16" t="n">
        <v>45512</v>
      </c>
      <c r="C3221" s="15" t="s">
        <v>56</v>
      </c>
      <c r="D3221" s="15" t="s">
        <v>42</v>
      </c>
      <c r="E3221" s="15" t="s">
        <v>39</v>
      </c>
      <c r="F3221" s="15" t="s">
        <v>16</v>
      </c>
      <c r="G3221" s="15" t="s">
        <v>23</v>
      </c>
      <c r="H3221" s="15" t="n">
        <v>2</v>
      </c>
      <c r="I3221" s="17" t="n">
        <v>0</v>
      </c>
      <c r="J3221" s="18" t="n">
        <v>675.03</v>
      </c>
      <c r="K3221" s="19" t="n">
        <v>-1.19</v>
      </c>
      <c r="L3221" s="15" t="n">
        <f aca="false">YEAR(B3221)</f>
        <v>2024</v>
      </c>
      <c r="M3221" s="20" t="n">
        <f aca="false">IF(J3221&gt;0,K3221/J3221,0)</f>
        <v>-0.00176288461253574</v>
      </c>
    </row>
    <row r="3222" customFormat="false" ht="15" hidden="false" customHeight="false" outlineLevel="0" collapsed="false">
      <c r="A3222" s="15" t="s">
        <v>3279</v>
      </c>
      <c r="B3222" s="16" t="n">
        <v>45058</v>
      </c>
      <c r="C3222" s="15" t="s">
        <v>71</v>
      </c>
      <c r="D3222" s="15" t="s">
        <v>44</v>
      </c>
      <c r="E3222" s="15" t="s">
        <v>36</v>
      </c>
      <c r="F3222" s="15" t="s">
        <v>18</v>
      </c>
      <c r="G3222" s="15" t="s">
        <v>32</v>
      </c>
      <c r="H3222" s="15" t="n">
        <v>3</v>
      </c>
      <c r="I3222" s="17" t="n">
        <v>0</v>
      </c>
      <c r="J3222" s="18" t="n">
        <v>1457.7</v>
      </c>
      <c r="K3222" s="19" t="n">
        <v>266.61</v>
      </c>
      <c r="L3222" s="15" t="n">
        <f aca="false">YEAR(B3222)</f>
        <v>2023</v>
      </c>
      <c r="M3222" s="20" t="n">
        <f aca="false">IF(J3222&gt;0,K3222/J3222,0)</f>
        <v>0.182897715579337</v>
      </c>
    </row>
    <row r="3223" customFormat="false" ht="15" hidden="false" customHeight="false" outlineLevel="0" collapsed="false">
      <c r="A3223" s="15" t="s">
        <v>3280</v>
      </c>
      <c r="B3223" s="16" t="n">
        <v>45076</v>
      </c>
      <c r="C3223" s="15" t="s">
        <v>71</v>
      </c>
      <c r="D3223" s="15" t="s">
        <v>42</v>
      </c>
      <c r="E3223" s="15" t="s">
        <v>39</v>
      </c>
      <c r="F3223" s="15" t="s">
        <v>17</v>
      </c>
      <c r="G3223" s="15" t="s">
        <v>29</v>
      </c>
      <c r="H3223" s="15" t="n">
        <v>4</v>
      </c>
      <c r="I3223" s="17" t="n">
        <v>0</v>
      </c>
      <c r="J3223" s="18" t="n">
        <v>69.22</v>
      </c>
      <c r="K3223" s="19" t="n">
        <v>28.1</v>
      </c>
      <c r="L3223" s="15" t="n">
        <f aca="false">YEAR(B3223)</f>
        <v>2023</v>
      </c>
      <c r="M3223" s="20" t="n">
        <f aca="false">IF(J3223&gt;0,K3223/J3223,0)</f>
        <v>0.405952036983531</v>
      </c>
    </row>
    <row r="3224" customFormat="false" ht="15" hidden="false" customHeight="false" outlineLevel="0" collapsed="false">
      <c r="A3224" s="15" t="s">
        <v>3281</v>
      </c>
      <c r="B3224" s="16" t="n">
        <v>45866</v>
      </c>
      <c r="C3224" s="15" t="s">
        <v>56</v>
      </c>
      <c r="D3224" s="15" t="s">
        <v>42</v>
      </c>
      <c r="E3224" s="15" t="s">
        <v>37</v>
      </c>
      <c r="F3224" s="15" t="s">
        <v>17</v>
      </c>
      <c r="G3224" s="15" t="s">
        <v>31</v>
      </c>
      <c r="H3224" s="15" t="n">
        <v>5</v>
      </c>
      <c r="I3224" s="17" t="n">
        <v>0</v>
      </c>
      <c r="J3224" s="18" t="n">
        <v>629.07</v>
      </c>
      <c r="K3224" s="19" t="n">
        <v>110.86</v>
      </c>
      <c r="L3224" s="15" t="n">
        <f aca="false">YEAR(B3224)</f>
        <v>2025</v>
      </c>
      <c r="M3224" s="20" t="n">
        <f aca="false">IF(J3224&gt;0,K3224/J3224,0)</f>
        <v>0.176228400654935</v>
      </c>
    </row>
    <row r="3225" customFormat="false" ht="15" hidden="false" customHeight="false" outlineLevel="0" collapsed="false">
      <c r="A3225" s="15" t="s">
        <v>3282</v>
      </c>
      <c r="B3225" s="16" t="n">
        <v>45833</v>
      </c>
      <c r="C3225" s="15" t="s">
        <v>56</v>
      </c>
      <c r="D3225" s="15" t="s">
        <v>42</v>
      </c>
      <c r="E3225" s="15" t="s">
        <v>39</v>
      </c>
      <c r="F3225" s="15" t="s">
        <v>17</v>
      </c>
      <c r="G3225" s="15" t="s">
        <v>28</v>
      </c>
      <c r="H3225" s="15" t="n">
        <v>2</v>
      </c>
      <c r="I3225" s="17" t="n">
        <v>0.4</v>
      </c>
      <c r="J3225" s="18" t="n">
        <v>32.36</v>
      </c>
      <c r="K3225" s="19" t="n">
        <v>-1.7</v>
      </c>
      <c r="L3225" s="15" t="n">
        <f aca="false">YEAR(B3225)</f>
        <v>2025</v>
      </c>
      <c r="M3225" s="20" t="n">
        <f aca="false">IF(J3225&gt;0,K3225/J3225,0)</f>
        <v>-0.0525339925834363</v>
      </c>
    </row>
    <row r="3226" customFormat="false" ht="15" hidden="false" customHeight="false" outlineLevel="0" collapsed="false">
      <c r="A3226" s="15" t="s">
        <v>3283</v>
      </c>
      <c r="B3226" s="16" t="n">
        <v>45902</v>
      </c>
      <c r="C3226" s="15" t="s">
        <v>56</v>
      </c>
      <c r="D3226" s="15" t="s">
        <v>42</v>
      </c>
      <c r="E3226" s="15" t="s">
        <v>36</v>
      </c>
      <c r="F3226" s="15" t="s">
        <v>17</v>
      </c>
      <c r="G3226" s="15" t="s">
        <v>28</v>
      </c>
      <c r="H3226" s="15" t="n">
        <v>3</v>
      </c>
      <c r="I3226" s="17" t="n">
        <v>0.3</v>
      </c>
      <c r="J3226" s="18" t="n">
        <v>45.89</v>
      </c>
      <c r="K3226" s="19" t="n">
        <v>2.54</v>
      </c>
      <c r="L3226" s="15" t="n">
        <f aca="false">YEAR(B3226)</f>
        <v>2025</v>
      </c>
      <c r="M3226" s="20" t="n">
        <f aca="false">IF(J3226&gt;0,K3226/J3226,0)</f>
        <v>0.0553497494007409</v>
      </c>
    </row>
    <row r="3227" customFormat="false" ht="15" hidden="false" customHeight="false" outlineLevel="0" collapsed="false">
      <c r="A3227" s="15" t="s">
        <v>3284</v>
      </c>
      <c r="B3227" s="16" t="n">
        <v>45110</v>
      </c>
      <c r="C3227" s="15" t="s">
        <v>71</v>
      </c>
      <c r="D3227" s="15" t="s">
        <v>44</v>
      </c>
      <c r="E3227" s="15" t="s">
        <v>39</v>
      </c>
      <c r="F3227" s="15" t="s">
        <v>16</v>
      </c>
      <c r="G3227" s="15" t="s">
        <v>25</v>
      </c>
      <c r="H3227" s="15" t="n">
        <v>3</v>
      </c>
      <c r="I3227" s="17" t="n">
        <v>0.5</v>
      </c>
      <c r="J3227" s="18" t="n">
        <v>452</v>
      </c>
      <c r="K3227" s="19" t="n">
        <v>-183.21</v>
      </c>
      <c r="L3227" s="15" t="n">
        <f aca="false">YEAR(B3227)</f>
        <v>2023</v>
      </c>
      <c r="M3227" s="20" t="n">
        <f aca="false">IF(J3227&gt;0,K3227/J3227,0)</f>
        <v>-0.40533185840708</v>
      </c>
    </row>
    <row r="3228" customFormat="false" ht="15" hidden="false" customHeight="false" outlineLevel="0" collapsed="false">
      <c r="A3228" s="15" t="s">
        <v>3285</v>
      </c>
      <c r="B3228" s="16" t="n">
        <v>45706</v>
      </c>
      <c r="C3228" s="15" t="s">
        <v>56</v>
      </c>
      <c r="D3228" s="15" t="s">
        <v>44</v>
      </c>
      <c r="E3228" s="15" t="s">
        <v>37</v>
      </c>
      <c r="F3228" s="15" t="s">
        <v>17</v>
      </c>
      <c r="G3228" s="15" t="s">
        <v>29</v>
      </c>
      <c r="H3228" s="15" t="n">
        <v>2</v>
      </c>
      <c r="I3228" s="17" t="n">
        <v>0</v>
      </c>
      <c r="J3228" s="18" t="n">
        <v>38.91</v>
      </c>
      <c r="K3228" s="19" t="n">
        <v>15.66</v>
      </c>
      <c r="L3228" s="15" t="n">
        <f aca="false">YEAR(B3228)</f>
        <v>2025</v>
      </c>
      <c r="M3228" s="20" t="n">
        <f aca="false">IF(J3228&gt;0,K3228/J3228,0)</f>
        <v>0.402467232074017</v>
      </c>
    </row>
    <row r="3229" customFormat="false" ht="15" hidden="false" customHeight="false" outlineLevel="0" collapsed="false">
      <c r="A3229" s="15" t="s">
        <v>3286</v>
      </c>
      <c r="B3229" s="16" t="n">
        <v>45961</v>
      </c>
      <c r="C3229" s="15" t="s">
        <v>56</v>
      </c>
      <c r="D3229" s="15" t="s">
        <v>42</v>
      </c>
      <c r="E3229" s="15" t="s">
        <v>39</v>
      </c>
      <c r="F3229" s="15" t="s">
        <v>16</v>
      </c>
      <c r="G3229" s="15" t="s">
        <v>27</v>
      </c>
      <c r="H3229" s="15" t="n">
        <v>4</v>
      </c>
      <c r="I3229" s="17" t="n">
        <v>0.15</v>
      </c>
      <c r="J3229" s="18" t="n">
        <v>202.88</v>
      </c>
      <c r="K3229" s="19" t="n">
        <v>17.45</v>
      </c>
      <c r="L3229" s="15" t="n">
        <f aca="false">YEAR(B3229)</f>
        <v>2025</v>
      </c>
      <c r="M3229" s="20" t="n">
        <f aca="false">IF(J3229&gt;0,K3229/J3229,0)</f>
        <v>0.0860114353312303</v>
      </c>
    </row>
    <row r="3230" customFormat="false" ht="15" hidden="false" customHeight="false" outlineLevel="0" collapsed="false">
      <c r="A3230" s="15" t="s">
        <v>3287</v>
      </c>
      <c r="B3230" s="16" t="n">
        <v>44699</v>
      </c>
      <c r="C3230" s="15" t="s">
        <v>56</v>
      </c>
      <c r="D3230" s="15" t="s">
        <v>43</v>
      </c>
      <c r="E3230" s="15" t="s">
        <v>39</v>
      </c>
      <c r="F3230" s="15" t="s">
        <v>17</v>
      </c>
      <c r="G3230" s="15" t="s">
        <v>28</v>
      </c>
      <c r="H3230" s="15" t="n">
        <v>3</v>
      </c>
      <c r="I3230" s="17" t="n">
        <v>0.1</v>
      </c>
      <c r="J3230" s="18" t="n">
        <v>89.63</v>
      </c>
      <c r="K3230" s="19" t="n">
        <v>18.06</v>
      </c>
      <c r="L3230" s="15" t="n">
        <f aca="false">YEAR(B3230)</f>
        <v>2022</v>
      </c>
      <c r="M3230" s="20" t="n">
        <f aca="false">IF(J3230&gt;0,K3230/J3230,0)</f>
        <v>0.201495035144483</v>
      </c>
    </row>
    <row r="3231" customFormat="false" ht="15" hidden="false" customHeight="false" outlineLevel="0" collapsed="false">
      <c r="A3231" s="15" t="s">
        <v>3288</v>
      </c>
      <c r="B3231" s="16" t="n">
        <v>44648</v>
      </c>
      <c r="C3231" s="15" t="s">
        <v>56</v>
      </c>
      <c r="D3231" s="15" t="s">
        <v>44</v>
      </c>
      <c r="E3231" s="15" t="s">
        <v>38</v>
      </c>
      <c r="F3231" s="15" t="s">
        <v>17</v>
      </c>
      <c r="G3231" s="15" t="s">
        <v>29</v>
      </c>
      <c r="H3231" s="15" t="n">
        <v>5</v>
      </c>
      <c r="I3231" s="17" t="n">
        <v>0.05</v>
      </c>
      <c r="J3231" s="18" t="n">
        <v>80.18</v>
      </c>
      <c r="K3231" s="19" t="n">
        <v>24.36</v>
      </c>
      <c r="L3231" s="15" t="n">
        <f aca="false">YEAR(B3231)</f>
        <v>2022</v>
      </c>
      <c r="M3231" s="20" t="n">
        <f aca="false">IF(J3231&gt;0,K3231/J3231,0)</f>
        <v>0.303816413070591</v>
      </c>
    </row>
    <row r="3232" customFormat="false" ht="15" hidden="false" customHeight="false" outlineLevel="0" collapsed="false">
      <c r="A3232" s="15" t="s">
        <v>3289</v>
      </c>
      <c r="B3232" s="16" t="n">
        <v>45160</v>
      </c>
      <c r="C3232" s="15" t="s">
        <v>71</v>
      </c>
      <c r="D3232" s="15" t="s">
        <v>43</v>
      </c>
      <c r="E3232" s="15" t="s">
        <v>37</v>
      </c>
      <c r="F3232" s="15" t="s">
        <v>17</v>
      </c>
      <c r="G3232" s="15" t="s">
        <v>28</v>
      </c>
      <c r="H3232" s="15" t="n">
        <v>1</v>
      </c>
      <c r="I3232" s="17" t="n">
        <v>0.3</v>
      </c>
      <c r="J3232" s="18" t="n">
        <v>18.8</v>
      </c>
      <c r="K3232" s="19" t="n">
        <v>0.88</v>
      </c>
      <c r="L3232" s="15" t="n">
        <f aca="false">YEAR(B3232)</f>
        <v>2023</v>
      </c>
      <c r="M3232" s="20" t="n">
        <f aca="false">IF(J3232&gt;0,K3232/J3232,0)</f>
        <v>0.0468085106382979</v>
      </c>
    </row>
    <row r="3233" customFormat="false" ht="15" hidden="false" customHeight="false" outlineLevel="0" collapsed="false">
      <c r="A3233" s="15" t="s">
        <v>3290</v>
      </c>
      <c r="B3233" s="16" t="n">
        <v>44865</v>
      </c>
      <c r="C3233" s="15" t="s">
        <v>56</v>
      </c>
      <c r="D3233" s="15" t="s">
        <v>43</v>
      </c>
      <c r="E3233" s="15" t="s">
        <v>38</v>
      </c>
      <c r="F3233" s="15" t="s">
        <v>18</v>
      </c>
      <c r="G3233" s="15" t="s">
        <v>32</v>
      </c>
      <c r="H3233" s="15" t="n">
        <v>2</v>
      </c>
      <c r="I3233" s="17" t="n">
        <v>0.2</v>
      </c>
      <c r="J3233" s="18" t="n">
        <v>561.52</v>
      </c>
      <c r="K3233" s="19" t="n">
        <v>8.91</v>
      </c>
      <c r="L3233" s="15" t="n">
        <f aca="false">YEAR(B3233)</f>
        <v>2022</v>
      </c>
      <c r="M3233" s="20" t="n">
        <f aca="false">IF(J3233&gt;0,K3233/J3233,0)</f>
        <v>0.01586764496367</v>
      </c>
    </row>
    <row r="3234" customFormat="false" ht="15" hidden="false" customHeight="false" outlineLevel="0" collapsed="false">
      <c r="A3234" s="15" t="s">
        <v>3291</v>
      </c>
      <c r="B3234" s="16" t="n">
        <v>45591</v>
      </c>
      <c r="C3234" s="15" t="s">
        <v>71</v>
      </c>
      <c r="D3234" s="15" t="s">
        <v>42</v>
      </c>
      <c r="E3234" s="15" t="s">
        <v>39</v>
      </c>
      <c r="F3234" s="15" t="s">
        <v>16</v>
      </c>
      <c r="G3234" s="15" t="s">
        <v>25</v>
      </c>
      <c r="H3234" s="15" t="n">
        <v>3</v>
      </c>
      <c r="I3234" s="17" t="n">
        <v>0</v>
      </c>
      <c r="J3234" s="18" t="n">
        <v>989.65</v>
      </c>
      <c r="K3234" s="19" t="n">
        <v>169.47</v>
      </c>
      <c r="L3234" s="15" t="n">
        <f aca="false">YEAR(B3234)</f>
        <v>2024</v>
      </c>
      <c r="M3234" s="20" t="n">
        <f aca="false">IF(J3234&gt;0,K3234/J3234,0)</f>
        <v>0.171242358409539</v>
      </c>
    </row>
    <row r="3235" customFormat="false" ht="15" hidden="false" customHeight="false" outlineLevel="0" collapsed="false">
      <c r="A3235" s="15" t="s">
        <v>3292</v>
      </c>
      <c r="B3235" s="16" t="n">
        <v>44780</v>
      </c>
      <c r="C3235" s="15" t="s">
        <v>56</v>
      </c>
      <c r="D3235" s="15" t="s">
        <v>42</v>
      </c>
      <c r="E3235" s="15" t="s">
        <v>39</v>
      </c>
      <c r="F3235" s="15" t="s">
        <v>17</v>
      </c>
      <c r="G3235" s="15" t="s">
        <v>29</v>
      </c>
      <c r="H3235" s="15" t="n">
        <v>2</v>
      </c>
      <c r="I3235" s="17" t="n">
        <v>0</v>
      </c>
      <c r="J3235" s="18" t="n">
        <v>40.56</v>
      </c>
      <c r="K3235" s="19" t="n">
        <v>14.42</v>
      </c>
      <c r="L3235" s="15" t="n">
        <f aca="false">YEAR(B3235)</f>
        <v>2022</v>
      </c>
      <c r="M3235" s="20" t="n">
        <f aca="false">IF(J3235&gt;0,K3235/J3235,0)</f>
        <v>0.355522682445759</v>
      </c>
    </row>
    <row r="3236" customFormat="false" ht="15" hidden="false" customHeight="false" outlineLevel="0" collapsed="false">
      <c r="A3236" s="15" t="s">
        <v>3293</v>
      </c>
      <c r="B3236" s="16" t="n">
        <v>45449</v>
      </c>
      <c r="C3236" s="15" t="s">
        <v>71</v>
      </c>
      <c r="D3236" s="15" t="s">
        <v>44</v>
      </c>
      <c r="E3236" s="15" t="s">
        <v>39</v>
      </c>
      <c r="F3236" s="15" t="s">
        <v>18</v>
      </c>
      <c r="G3236" s="15" t="s">
        <v>30</v>
      </c>
      <c r="H3236" s="15" t="n">
        <v>5</v>
      </c>
      <c r="I3236" s="17" t="n">
        <v>0</v>
      </c>
      <c r="J3236" s="18" t="n">
        <v>287.81</v>
      </c>
      <c r="K3236" s="19" t="n">
        <v>90.33</v>
      </c>
      <c r="L3236" s="15" t="n">
        <f aca="false">YEAR(B3236)</f>
        <v>2024</v>
      </c>
      <c r="M3236" s="20" t="n">
        <f aca="false">IF(J3236&gt;0,K3236/J3236,0)</f>
        <v>0.313852889058754</v>
      </c>
    </row>
    <row r="3237" customFormat="false" ht="15" hidden="false" customHeight="false" outlineLevel="0" collapsed="false">
      <c r="A3237" s="15" t="s">
        <v>3294</v>
      </c>
      <c r="B3237" s="16" t="n">
        <v>44871</v>
      </c>
      <c r="C3237" s="15" t="s">
        <v>56</v>
      </c>
      <c r="D3237" s="15" t="s">
        <v>44</v>
      </c>
      <c r="E3237" s="15" t="s">
        <v>39</v>
      </c>
      <c r="F3237" s="15" t="s">
        <v>17</v>
      </c>
      <c r="G3237" s="15" t="s">
        <v>28</v>
      </c>
      <c r="H3237" s="15" t="n">
        <v>4</v>
      </c>
      <c r="I3237" s="17" t="n">
        <v>0.05</v>
      </c>
      <c r="J3237" s="18" t="n">
        <v>116.84</v>
      </c>
      <c r="K3237" s="19" t="n">
        <v>31.28</v>
      </c>
      <c r="L3237" s="15" t="n">
        <f aca="false">YEAR(B3237)</f>
        <v>2022</v>
      </c>
      <c r="M3237" s="20" t="n">
        <f aca="false">IF(J3237&gt;0,K3237/J3237,0)</f>
        <v>0.267716535433071</v>
      </c>
    </row>
    <row r="3238" customFormat="false" ht="15" hidden="false" customHeight="false" outlineLevel="0" collapsed="false">
      <c r="A3238" s="15" t="s">
        <v>3295</v>
      </c>
      <c r="B3238" s="16" t="n">
        <v>45898</v>
      </c>
      <c r="C3238" s="15" t="s">
        <v>71</v>
      </c>
      <c r="D3238" s="15" t="s">
        <v>43</v>
      </c>
      <c r="E3238" s="15" t="s">
        <v>37</v>
      </c>
      <c r="F3238" s="15" t="s">
        <v>16</v>
      </c>
      <c r="G3238" s="15" t="s">
        <v>27</v>
      </c>
      <c r="H3238" s="15" t="n">
        <v>4</v>
      </c>
      <c r="I3238" s="17" t="n">
        <v>0.2</v>
      </c>
      <c r="J3238" s="18" t="n">
        <v>198.8</v>
      </c>
      <c r="K3238" s="19" t="n">
        <v>20.17</v>
      </c>
      <c r="L3238" s="15" t="n">
        <f aca="false">YEAR(B3238)</f>
        <v>2025</v>
      </c>
      <c r="M3238" s="20" t="n">
        <f aca="false">IF(J3238&gt;0,K3238/J3238,0)</f>
        <v>0.101458752515091</v>
      </c>
    </row>
    <row r="3239" customFormat="false" ht="15" hidden="false" customHeight="false" outlineLevel="0" collapsed="false">
      <c r="A3239" s="15" t="s">
        <v>3296</v>
      </c>
      <c r="B3239" s="16" t="n">
        <v>45544</v>
      </c>
      <c r="C3239" s="15" t="s">
        <v>56</v>
      </c>
      <c r="D3239" s="15" t="s">
        <v>44</v>
      </c>
      <c r="E3239" s="15" t="s">
        <v>37</v>
      </c>
      <c r="F3239" s="15" t="s">
        <v>18</v>
      </c>
      <c r="G3239" s="15" t="s">
        <v>33</v>
      </c>
      <c r="H3239" s="15" t="n">
        <v>3</v>
      </c>
      <c r="I3239" s="17" t="n">
        <v>0</v>
      </c>
      <c r="J3239" s="18" t="n">
        <v>2808.41</v>
      </c>
      <c r="K3239" s="19" t="n">
        <v>823.86</v>
      </c>
      <c r="L3239" s="15" t="n">
        <f aca="false">YEAR(B3239)</f>
        <v>2024</v>
      </c>
      <c r="M3239" s="20" t="n">
        <f aca="false">IF(J3239&gt;0,K3239/J3239,0)</f>
        <v>0.293354602782357</v>
      </c>
    </row>
    <row r="3240" customFormat="false" ht="15" hidden="false" customHeight="false" outlineLevel="0" collapsed="false">
      <c r="A3240" s="15" t="s">
        <v>3297</v>
      </c>
      <c r="B3240" s="16" t="n">
        <v>45291</v>
      </c>
      <c r="C3240" s="15" t="s">
        <v>71</v>
      </c>
      <c r="D3240" s="15" t="s">
        <v>43</v>
      </c>
      <c r="E3240" s="15" t="s">
        <v>39</v>
      </c>
      <c r="F3240" s="15" t="s">
        <v>16</v>
      </c>
      <c r="G3240" s="15" t="s">
        <v>27</v>
      </c>
      <c r="H3240" s="15" t="n">
        <v>1</v>
      </c>
      <c r="I3240" s="17" t="n">
        <v>0.3</v>
      </c>
      <c r="J3240" s="18" t="n">
        <v>37.67</v>
      </c>
      <c r="K3240" s="19" t="n">
        <v>-2.51</v>
      </c>
      <c r="L3240" s="15" t="n">
        <f aca="false">YEAR(B3240)</f>
        <v>2023</v>
      </c>
      <c r="M3240" s="20" t="n">
        <f aca="false">IF(J3240&gt;0,K3240/J3240,0)</f>
        <v>-0.0666312715688877</v>
      </c>
    </row>
    <row r="3241" customFormat="false" ht="15" hidden="false" customHeight="false" outlineLevel="0" collapsed="false">
      <c r="A3241" s="15" t="s">
        <v>3298</v>
      </c>
      <c r="B3241" s="16" t="n">
        <v>45822</v>
      </c>
      <c r="C3241" s="15" t="s">
        <v>56</v>
      </c>
      <c r="D3241" s="15" t="s">
        <v>44</v>
      </c>
      <c r="E3241" s="15" t="s">
        <v>39</v>
      </c>
      <c r="F3241" s="15" t="s">
        <v>17</v>
      </c>
      <c r="G3241" s="15" t="s">
        <v>26</v>
      </c>
      <c r="H3241" s="15" t="n">
        <v>2</v>
      </c>
      <c r="I3241" s="17" t="n">
        <v>0.15</v>
      </c>
      <c r="J3241" s="18" t="n">
        <v>168.99</v>
      </c>
      <c r="K3241" s="19" t="n">
        <v>-7.74</v>
      </c>
      <c r="L3241" s="15" t="n">
        <f aca="false">YEAR(B3241)</f>
        <v>2025</v>
      </c>
      <c r="M3241" s="20" t="n">
        <f aca="false">IF(J3241&gt;0,K3241/J3241,0)</f>
        <v>-0.0458015267175573</v>
      </c>
    </row>
    <row r="3242" customFormat="false" ht="15" hidden="false" customHeight="false" outlineLevel="0" collapsed="false">
      <c r="A3242" s="15" t="s">
        <v>3299</v>
      </c>
      <c r="B3242" s="16" t="n">
        <v>45470</v>
      </c>
      <c r="C3242" s="15" t="s">
        <v>56</v>
      </c>
      <c r="D3242" s="15" t="s">
        <v>42</v>
      </c>
      <c r="E3242" s="15" t="s">
        <v>36</v>
      </c>
      <c r="F3242" s="15" t="s">
        <v>17</v>
      </c>
      <c r="G3242" s="15" t="s">
        <v>26</v>
      </c>
      <c r="H3242" s="15" t="n">
        <v>4</v>
      </c>
      <c r="I3242" s="17" t="n">
        <v>0</v>
      </c>
      <c r="J3242" s="18" t="n">
        <v>326.91</v>
      </c>
      <c r="K3242" s="19" t="n">
        <v>30</v>
      </c>
      <c r="L3242" s="15" t="n">
        <f aca="false">YEAR(B3242)</f>
        <v>2024</v>
      </c>
      <c r="M3242" s="20" t="n">
        <f aca="false">IF(J3242&gt;0,K3242/J3242,0)</f>
        <v>0.0917683766174176</v>
      </c>
    </row>
    <row r="3243" customFormat="false" ht="15" hidden="false" customHeight="false" outlineLevel="0" collapsed="false">
      <c r="A3243" s="15" t="s">
        <v>3300</v>
      </c>
      <c r="B3243" s="16" t="n">
        <v>45179</v>
      </c>
      <c r="C3243" s="15" t="s">
        <v>71</v>
      </c>
      <c r="D3243" s="15" t="s">
        <v>44</v>
      </c>
      <c r="E3243" s="15" t="s">
        <v>39</v>
      </c>
      <c r="F3243" s="15" t="s">
        <v>17</v>
      </c>
      <c r="G3243" s="15" t="s">
        <v>31</v>
      </c>
      <c r="H3243" s="15" t="n">
        <v>2</v>
      </c>
      <c r="I3243" s="17" t="n">
        <v>0</v>
      </c>
      <c r="J3243" s="18" t="n">
        <v>227.24</v>
      </c>
      <c r="K3243" s="19" t="n">
        <v>37.89</v>
      </c>
      <c r="L3243" s="15" t="n">
        <f aca="false">YEAR(B3243)</f>
        <v>2023</v>
      </c>
      <c r="M3243" s="20" t="n">
        <f aca="false">IF(J3243&gt;0,K3243/J3243,0)</f>
        <v>0.166740010561521</v>
      </c>
    </row>
    <row r="3244" customFormat="false" ht="15" hidden="false" customHeight="false" outlineLevel="0" collapsed="false">
      <c r="A3244" s="15" t="s">
        <v>3301</v>
      </c>
      <c r="B3244" s="16" t="n">
        <v>45767</v>
      </c>
      <c r="C3244" s="15" t="s">
        <v>56</v>
      </c>
      <c r="D3244" s="15" t="s">
        <v>43</v>
      </c>
      <c r="E3244" s="15" t="s">
        <v>37</v>
      </c>
      <c r="F3244" s="15" t="s">
        <v>18</v>
      </c>
      <c r="G3244" s="15" t="s">
        <v>30</v>
      </c>
      <c r="H3244" s="15" t="n">
        <v>3</v>
      </c>
      <c r="I3244" s="17" t="n">
        <v>0</v>
      </c>
      <c r="J3244" s="18" t="n">
        <v>147.74</v>
      </c>
      <c r="K3244" s="19" t="n">
        <v>42.39</v>
      </c>
      <c r="L3244" s="15" t="n">
        <f aca="false">YEAR(B3244)</f>
        <v>2025</v>
      </c>
      <c r="M3244" s="20" t="n">
        <f aca="false">IF(J3244&gt;0,K3244/J3244,0)</f>
        <v>0.286922972790037</v>
      </c>
    </row>
    <row r="3245" customFormat="false" ht="15" hidden="false" customHeight="false" outlineLevel="0" collapsed="false">
      <c r="A3245" s="15" t="s">
        <v>3302</v>
      </c>
      <c r="B3245" s="16" t="n">
        <v>44785</v>
      </c>
      <c r="C3245" s="15" t="s">
        <v>56</v>
      </c>
      <c r="D3245" s="15" t="s">
        <v>42</v>
      </c>
      <c r="E3245" s="15" t="s">
        <v>38</v>
      </c>
      <c r="F3245" s="15" t="s">
        <v>17</v>
      </c>
      <c r="G3245" s="15" t="s">
        <v>29</v>
      </c>
      <c r="H3245" s="15" t="n">
        <v>3</v>
      </c>
      <c r="I3245" s="17" t="n">
        <v>0</v>
      </c>
      <c r="J3245" s="18" t="n">
        <v>57.48</v>
      </c>
      <c r="K3245" s="19" t="n">
        <v>25.57</v>
      </c>
      <c r="L3245" s="15" t="n">
        <f aca="false">YEAR(B3245)</f>
        <v>2022</v>
      </c>
      <c r="M3245" s="20" t="n">
        <f aca="false">IF(J3245&gt;0,K3245/J3245,0)</f>
        <v>0.444850382741823</v>
      </c>
    </row>
    <row r="3246" customFormat="false" ht="15" hidden="false" customHeight="false" outlineLevel="0" collapsed="false">
      <c r="A3246" s="15" t="s">
        <v>3303</v>
      </c>
      <c r="B3246" s="16" t="n">
        <v>45475</v>
      </c>
      <c r="C3246" s="15" t="s">
        <v>68</v>
      </c>
      <c r="D3246" s="15" t="s">
        <v>43</v>
      </c>
      <c r="E3246" s="15" t="s">
        <v>36</v>
      </c>
      <c r="F3246" s="15" t="s">
        <v>17</v>
      </c>
      <c r="G3246" s="15" t="s">
        <v>28</v>
      </c>
      <c r="H3246" s="15" t="n">
        <v>4</v>
      </c>
      <c r="I3246" s="17" t="n">
        <v>0.15</v>
      </c>
      <c r="J3246" s="18" t="n">
        <v>76.29</v>
      </c>
      <c r="K3246" s="19" t="n">
        <v>14.22</v>
      </c>
      <c r="L3246" s="15" t="n">
        <f aca="false">YEAR(B3246)</f>
        <v>2024</v>
      </c>
      <c r="M3246" s="20" t="n">
        <f aca="false">IF(J3246&gt;0,K3246/J3246,0)</f>
        <v>0.186394022807707</v>
      </c>
    </row>
    <row r="3247" customFormat="false" ht="15" hidden="false" customHeight="false" outlineLevel="0" collapsed="false">
      <c r="A3247" s="15" t="s">
        <v>3304</v>
      </c>
      <c r="B3247" s="16" t="n">
        <v>45059</v>
      </c>
      <c r="C3247" s="15" t="s">
        <v>56</v>
      </c>
      <c r="D3247" s="15" t="s">
        <v>44</v>
      </c>
      <c r="E3247" s="15" t="s">
        <v>36</v>
      </c>
      <c r="F3247" s="15" t="s">
        <v>16</v>
      </c>
      <c r="G3247" s="15" t="s">
        <v>27</v>
      </c>
      <c r="H3247" s="15" t="n">
        <v>4</v>
      </c>
      <c r="I3247" s="17" t="n">
        <v>0.05</v>
      </c>
      <c r="J3247" s="18" t="n">
        <v>224.25</v>
      </c>
      <c r="K3247" s="19" t="n">
        <v>42.14</v>
      </c>
      <c r="L3247" s="15" t="n">
        <f aca="false">YEAR(B3247)</f>
        <v>2023</v>
      </c>
      <c r="M3247" s="20" t="n">
        <f aca="false">IF(J3247&gt;0,K3247/J3247,0)</f>
        <v>0.187915273132664</v>
      </c>
    </row>
    <row r="3248" customFormat="false" ht="15" hidden="false" customHeight="false" outlineLevel="0" collapsed="false">
      <c r="A3248" s="15" t="s">
        <v>3305</v>
      </c>
      <c r="B3248" s="16" t="n">
        <v>44566</v>
      </c>
      <c r="C3248" s="15" t="s">
        <v>56</v>
      </c>
      <c r="D3248" s="15" t="s">
        <v>42</v>
      </c>
      <c r="E3248" s="15" t="s">
        <v>37</v>
      </c>
      <c r="F3248" s="15" t="s">
        <v>17</v>
      </c>
      <c r="G3248" s="15" t="s">
        <v>26</v>
      </c>
      <c r="H3248" s="15" t="n">
        <v>7</v>
      </c>
      <c r="I3248" s="17" t="n">
        <v>0.3</v>
      </c>
      <c r="J3248" s="18" t="n">
        <v>409.21</v>
      </c>
      <c r="K3248" s="19" t="n">
        <v>-76.55</v>
      </c>
      <c r="L3248" s="15" t="n">
        <f aca="false">YEAR(B3248)</f>
        <v>2022</v>
      </c>
      <c r="M3248" s="20" t="n">
        <f aca="false">IF(J3248&gt;0,K3248/J3248,0)</f>
        <v>-0.187067764717382</v>
      </c>
    </row>
    <row r="3249" customFormat="false" ht="15" hidden="false" customHeight="false" outlineLevel="0" collapsed="false">
      <c r="A3249" s="15" t="s">
        <v>3306</v>
      </c>
      <c r="B3249" s="16" t="n">
        <v>44604</v>
      </c>
      <c r="C3249" s="15" t="s">
        <v>71</v>
      </c>
      <c r="D3249" s="15" t="s">
        <v>42</v>
      </c>
      <c r="E3249" s="15" t="s">
        <v>39</v>
      </c>
      <c r="F3249" s="15" t="s">
        <v>17</v>
      </c>
      <c r="G3249" s="15" t="s">
        <v>29</v>
      </c>
      <c r="H3249" s="15" t="n">
        <v>2</v>
      </c>
      <c r="I3249" s="17" t="n">
        <v>0</v>
      </c>
      <c r="J3249" s="18" t="n">
        <v>34.76</v>
      </c>
      <c r="K3249" s="19" t="n">
        <v>13.72</v>
      </c>
      <c r="L3249" s="15" t="n">
        <f aca="false">YEAR(B3249)</f>
        <v>2022</v>
      </c>
      <c r="M3249" s="20" t="n">
        <f aca="false">IF(J3249&gt;0,K3249/J3249,0)</f>
        <v>0.394706559263521</v>
      </c>
    </row>
    <row r="3250" customFormat="false" ht="15" hidden="false" customHeight="false" outlineLevel="0" collapsed="false">
      <c r="A3250" s="15" t="s">
        <v>3307</v>
      </c>
      <c r="B3250" s="16" t="n">
        <v>45830</v>
      </c>
      <c r="C3250" s="15" t="s">
        <v>56</v>
      </c>
      <c r="D3250" s="15" t="s">
        <v>42</v>
      </c>
      <c r="E3250" s="15" t="s">
        <v>37</v>
      </c>
      <c r="F3250" s="15" t="s">
        <v>17</v>
      </c>
      <c r="G3250" s="15" t="s">
        <v>28</v>
      </c>
      <c r="H3250" s="15" t="n">
        <v>2</v>
      </c>
      <c r="I3250" s="17" t="n">
        <v>0.2</v>
      </c>
      <c r="J3250" s="18" t="n">
        <v>42.32</v>
      </c>
      <c r="K3250" s="19" t="n">
        <v>7.86</v>
      </c>
      <c r="L3250" s="15" t="n">
        <f aca="false">YEAR(B3250)</f>
        <v>2025</v>
      </c>
      <c r="M3250" s="20" t="n">
        <f aca="false">IF(J3250&gt;0,K3250/J3250,0)</f>
        <v>0.185727788279773</v>
      </c>
    </row>
    <row r="3251" customFormat="false" ht="15" hidden="false" customHeight="false" outlineLevel="0" collapsed="false">
      <c r="A3251" s="15" t="s">
        <v>3308</v>
      </c>
      <c r="B3251" s="16" t="n">
        <v>45038</v>
      </c>
      <c r="C3251" s="15" t="s">
        <v>71</v>
      </c>
      <c r="D3251" s="15" t="s">
        <v>44</v>
      </c>
      <c r="E3251" s="15" t="s">
        <v>39</v>
      </c>
      <c r="F3251" s="15" t="s">
        <v>16</v>
      </c>
      <c r="G3251" s="15" t="s">
        <v>22</v>
      </c>
      <c r="H3251" s="15" t="n">
        <v>6</v>
      </c>
      <c r="I3251" s="17" t="n">
        <v>0.1</v>
      </c>
      <c r="J3251" s="18" t="n">
        <v>3025.67</v>
      </c>
      <c r="K3251" s="19" t="n">
        <v>-342.41</v>
      </c>
      <c r="L3251" s="15" t="n">
        <f aca="false">YEAR(B3251)</f>
        <v>2023</v>
      </c>
      <c r="M3251" s="20" t="n">
        <f aca="false">IF(J3251&gt;0,K3251/J3251,0)</f>
        <v>-0.11316832304911</v>
      </c>
    </row>
    <row r="3252" customFormat="false" ht="15" hidden="false" customHeight="false" outlineLevel="0" collapsed="false">
      <c r="A3252" s="15" t="s">
        <v>3309</v>
      </c>
      <c r="B3252" s="16" t="n">
        <v>45980</v>
      </c>
      <c r="C3252" s="15" t="s">
        <v>56</v>
      </c>
      <c r="D3252" s="15" t="s">
        <v>42</v>
      </c>
      <c r="E3252" s="15" t="s">
        <v>39</v>
      </c>
      <c r="F3252" s="15" t="s">
        <v>17</v>
      </c>
      <c r="G3252" s="15" t="s">
        <v>28</v>
      </c>
      <c r="H3252" s="15" t="n">
        <v>5</v>
      </c>
      <c r="I3252" s="17" t="n">
        <v>0.1</v>
      </c>
      <c r="J3252" s="18" t="n">
        <v>99.86</v>
      </c>
      <c r="K3252" s="19" t="n">
        <v>30.49</v>
      </c>
      <c r="L3252" s="15" t="n">
        <f aca="false">YEAR(B3252)</f>
        <v>2025</v>
      </c>
      <c r="M3252" s="20" t="n">
        <f aca="false">IF(J3252&gt;0,K3252/J3252,0)</f>
        <v>0.305327458441819</v>
      </c>
    </row>
    <row r="3253" customFormat="false" ht="15" hidden="false" customHeight="false" outlineLevel="0" collapsed="false">
      <c r="A3253" s="15" t="s">
        <v>3310</v>
      </c>
      <c r="B3253" s="16" t="n">
        <v>45774</v>
      </c>
      <c r="C3253" s="15" t="s">
        <v>56</v>
      </c>
      <c r="D3253" s="15" t="s">
        <v>43</v>
      </c>
      <c r="E3253" s="15" t="s">
        <v>39</v>
      </c>
      <c r="F3253" s="15" t="s">
        <v>17</v>
      </c>
      <c r="G3253" s="15" t="s">
        <v>29</v>
      </c>
      <c r="H3253" s="15" t="n">
        <v>3</v>
      </c>
      <c r="I3253" s="17" t="n">
        <v>0</v>
      </c>
      <c r="J3253" s="18" t="n">
        <v>65.82</v>
      </c>
      <c r="K3253" s="19" t="n">
        <v>26.4</v>
      </c>
      <c r="L3253" s="15" t="n">
        <f aca="false">YEAR(B3253)</f>
        <v>2025</v>
      </c>
      <c r="M3253" s="20" t="n">
        <f aca="false">IF(J3253&gt;0,K3253/J3253,0)</f>
        <v>0.401093892433911</v>
      </c>
    </row>
    <row r="3254" customFormat="false" ht="15" hidden="false" customHeight="false" outlineLevel="0" collapsed="false">
      <c r="A3254" s="15" t="s">
        <v>3311</v>
      </c>
      <c r="B3254" s="16" t="n">
        <v>44827</v>
      </c>
      <c r="C3254" s="15" t="s">
        <v>56</v>
      </c>
      <c r="D3254" s="15" t="s">
        <v>42</v>
      </c>
      <c r="E3254" s="15" t="s">
        <v>36</v>
      </c>
      <c r="F3254" s="15" t="s">
        <v>17</v>
      </c>
      <c r="G3254" s="15" t="s">
        <v>28</v>
      </c>
      <c r="H3254" s="15" t="n">
        <v>4</v>
      </c>
      <c r="I3254" s="17" t="n">
        <v>0.1</v>
      </c>
      <c r="J3254" s="18" t="n">
        <v>82.36</v>
      </c>
      <c r="K3254" s="19" t="n">
        <v>16.28</v>
      </c>
      <c r="L3254" s="15" t="n">
        <f aca="false">YEAR(B3254)</f>
        <v>2022</v>
      </c>
      <c r="M3254" s="20" t="n">
        <f aca="false">IF(J3254&gt;0,K3254/J3254,0)</f>
        <v>0.197668771248179</v>
      </c>
    </row>
    <row r="3255" customFormat="false" ht="15" hidden="false" customHeight="false" outlineLevel="0" collapsed="false">
      <c r="A3255" s="15" t="s">
        <v>3312</v>
      </c>
      <c r="B3255" s="16" t="n">
        <v>45438</v>
      </c>
      <c r="C3255" s="15" t="s">
        <v>56</v>
      </c>
      <c r="D3255" s="15" t="s">
        <v>42</v>
      </c>
      <c r="E3255" s="15" t="s">
        <v>36</v>
      </c>
      <c r="F3255" s="15" t="s">
        <v>16</v>
      </c>
      <c r="G3255" s="15" t="s">
        <v>25</v>
      </c>
      <c r="H3255" s="15" t="n">
        <v>4</v>
      </c>
      <c r="I3255" s="17" t="n">
        <v>0</v>
      </c>
      <c r="J3255" s="18" t="n">
        <v>1011.62</v>
      </c>
      <c r="K3255" s="19" t="n">
        <v>117.03</v>
      </c>
      <c r="L3255" s="15" t="n">
        <f aca="false">YEAR(B3255)</f>
        <v>2024</v>
      </c>
      <c r="M3255" s="20" t="n">
        <f aca="false">IF(J3255&gt;0,K3255/J3255,0)</f>
        <v>0.115685731796524</v>
      </c>
    </row>
    <row r="3256" customFormat="false" ht="15" hidden="false" customHeight="false" outlineLevel="0" collapsed="false">
      <c r="A3256" s="15" t="s">
        <v>3313</v>
      </c>
      <c r="B3256" s="16" t="n">
        <v>45852</v>
      </c>
      <c r="C3256" s="15" t="s">
        <v>68</v>
      </c>
      <c r="D3256" s="15" t="s">
        <v>42</v>
      </c>
      <c r="E3256" s="15" t="s">
        <v>37</v>
      </c>
      <c r="F3256" s="15" t="s">
        <v>17</v>
      </c>
      <c r="G3256" s="15" t="s">
        <v>28</v>
      </c>
      <c r="H3256" s="15" t="n">
        <v>5</v>
      </c>
      <c r="I3256" s="17" t="n">
        <v>0.05</v>
      </c>
      <c r="J3256" s="18" t="n">
        <v>126.5</v>
      </c>
      <c r="K3256" s="19" t="n">
        <v>37.43</v>
      </c>
      <c r="L3256" s="15" t="n">
        <f aca="false">YEAR(B3256)</f>
        <v>2025</v>
      </c>
      <c r="M3256" s="20" t="n">
        <f aca="false">IF(J3256&gt;0,K3256/J3256,0)</f>
        <v>0.295889328063241</v>
      </c>
    </row>
    <row r="3257" customFormat="false" ht="15" hidden="false" customHeight="false" outlineLevel="0" collapsed="false">
      <c r="A3257" s="15" t="s">
        <v>3314</v>
      </c>
      <c r="B3257" s="16" t="n">
        <v>45335</v>
      </c>
      <c r="C3257" s="15" t="s">
        <v>56</v>
      </c>
      <c r="D3257" s="15" t="s">
        <v>44</v>
      </c>
      <c r="E3257" s="15" t="s">
        <v>39</v>
      </c>
      <c r="F3257" s="15" t="s">
        <v>17</v>
      </c>
      <c r="G3257" s="15" t="s">
        <v>28</v>
      </c>
      <c r="H3257" s="15" t="n">
        <v>1</v>
      </c>
      <c r="I3257" s="17" t="n">
        <v>0.15</v>
      </c>
      <c r="J3257" s="18" t="n">
        <v>30.98</v>
      </c>
      <c r="K3257" s="19" t="n">
        <v>4.55</v>
      </c>
      <c r="L3257" s="15" t="n">
        <f aca="false">YEAR(B3257)</f>
        <v>2024</v>
      </c>
      <c r="M3257" s="20" t="n">
        <f aca="false">IF(J3257&gt;0,K3257/J3257,0)</f>
        <v>0.146868947708199</v>
      </c>
    </row>
    <row r="3258" customFormat="false" ht="15" hidden="false" customHeight="false" outlineLevel="0" collapsed="false">
      <c r="A3258" s="15" t="s">
        <v>3315</v>
      </c>
      <c r="B3258" s="16" t="n">
        <v>45236</v>
      </c>
      <c r="C3258" s="15" t="s">
        <v>56</v>
      </c>
      <c r="D3258" s="15" t="s">
        <v>43</v>
      </c>
      <c r="E3258" s="15" t="s">
        <v>38</v>
      </c>
      <c r="F3258" s="15" t="s">
        <v>17</v>
      </c>
      <c r="G3258" s="15" t="s">
        <v>29</v>
      </c>
      <c r="H3258" s="15" t="n">
        <v>4</v>
      </c>
      <c r="I3258" s="17" t="n">
        <v>0.05</v>
      </c>
      <c r="J3258" s="18" t="n">
        <v>59.58</v>
      </c>
      <c r="K3258" s="19" t="n">
        <v>19.78</v>
      </c>
      <c r="L3258" s="15" t="n">
        <f aca="false">YEAR(B3258)</f>
        <v>2023</v>
      </c>
      <c r="M3258" s="20" t="n">
        <f aca="false">IF(J3258&gt;0,K3258/J3258,0)</f>
        <v>0.331990600872776</v>
      </c>
    </row>
    <row r="3259" customFormat="false" ht="15" hidden="false" customHeight="false" outlineLevel="0" collapsed="false">
      <c r="A3259" s="15" t="s">
        <v>3316</v>
      </c>
      <c r="B3259" s="16" t="n">
        <v>44835</v>
      </c>
      <c r="C3259" s="15" t="s">
        <v>56</v>
      </c>
      <c r="D3259" s="15" t="s">
        <v>42</v>
      </c>
      <c r="E3259" s="15" t="s">
        <v>37</v>
      </c>
      <c r="F3259" s="15" t="s">
        <v>17</v>
      </c>
      <c r="G3259" s="15" t="s">
        <v>29</v>
      </c>
      <c r="H3259" s="15" t="n">
        <v>2</v>
      </c>
      <c r="I3259" s="17" t="n">
        <v>0</v>
      </c>
      <c r="J3259" s="18" t="n">
        <v>29.23</v>
      </c>
      <c r="K3259" s="19" t="n">
        <v>11.46</v>
      </c>
      <c r="L3259" s="15" t="n">
        <f aca="false">YEAR(B3259)</f>
        <v>2022</v>
      </c>
      <c r="M3259" s="20" t="n">
        <f aca="false">IF(J3259&gt;0,K3259/J3259,0)</f>
        <v>0.392062949024974</v>
      </c>
    </row>
    <row r="3260" customFormat="false" ht="15" hidden="false" customHeight="false" outlineLevel="0" collapsed="false">
      <c r="A3260" s="15" t="s">
        <v>3317</v>
      </c>
      <c r="B3260" s="16" t="n">
        <v>45921</v>
      </c>
      <c r="C3260" s="15" t="s">
        <v>68</v>
      </c>
      <c r="D3260" s="15" t="s">
        <v>42</v>
      </c>
      <c r="E3260" s="15" t="s">
        <v>39</v>
      </c>
      <c r="F3260" s="15" t="s">
        <v>18</v>
      </c>
      <c r="G3260" s="15" t="s">
        <v>32</v>
      </c>
      <c r="H3260" s="15" t="n">
        <v>1</v>
      </c>
      <c r="I3260" s="17" t="n">
        <v>0.1</v>
      </c>
      <c r="J3260" s="18" t="n">
        <v>389.06</v>
      </c>
      <c r="K3260" s="19" t="n">
        <v>45.98</v>
      </c>
      <c r="L3260" s="15" t="n">
        <f aca="false">YEAR(B3260)</f>
        <v>2025</v>
      </c>
      <c r="M3260" s="20" t="n">
        <f aca="false">IF(J3260&gt;0,K3260/J3260,0)</f>
        <v>0.118182285508662</v>
      </c>
    </row>
    <row r="3261" customFormat="false" ht="15" hidden="false" customHeight="false" outlineLevel="0" collapsed="false">
      <c r="A3261" s="15" t="s">
        <v>3318</v>
      </c>
      <c r="B3261" s="16" t="n">
        <v>44864</v>
      </c>
      <c r="C3261" s="15" t="s">
        <v>71</v>
      </c>
      <c r="D3261" s="15" t="s">
        <v>42</v>
      </c>
      <c r="E3261" s="15" t="s">
        <v>36</v>
      </c>
      <c r="F3261" s="15" t="s">
        <v>18</v>
      </c>
      <c r="G3261" s="15" t="s">
        <v>33</v>
      </c>
      <c r="H3261" s="15" t="n">
        <v>3</v>
      </c>
      <c r="I3261" s="17" t="n">
        <v>0.05</v>
      </c>
      <c r="J3261" s="18" t="n">
        <v>2515.49</v>
      </c>
      <c r="K3261" s="19" t="n">
        <v>681.34</v>
      </c>
      <c r="L3261" s="15" t="n">
        <f aca="false">YEAR(B3261)</f>
        <v>2022</v>
      </c>
      <c r="M3261" s="20" t="n">
        <f aca="false">IF(J3261&gt;0,K3261/J3261,0)</f>
        <v>0.270857765286286</v>
      </c>
    </row>
    <row r="3262" customFormat="false" ht="15" hidden="false" customHeight="false" outlineLevel="0" collapsed="false">
      <c r="A3262" s="15" t="s">
        <v>3319</v>
      </c>
      <c r="B3262" s="16" t="n">
        <v>45775</v>
      </c>
      <c r="C3262" s="15" t="s">
        <v>56</v>
      </c>
      <c r="D3262" s="15" t="s">
        <v>43</v>
      </c>
      <c r="E3262" s="15" t="s">
        <v>38</v>
      </c>
      <c r="F3262" s="15" t="s">
        <v>16</v>
      </c>
      <c r="G3262" s="15" t="s">
        <v>27</v>
      </c>
      <c r="H3262" s="15" t="n">
        <v>2</v>
      </c>
      <c r="I3262" s="17" t="n">
        <v>0.05</v>
      </c>
      <c r="J3262" s="18" t="n">
        <v>138.55</v>
      </c>
      <c r="K3262" s="19" t="n">
        <v>26.18</v>
      </c>
      <c r="L3262" s="15" t="n">
        <f aca="false">YEAR(B3262)</f>
        <v>2025</v>
      </c>
      <c r="M3262" s="20" t="n">
        <f aca="false">IF(J3262&gt;0,K3262/J3262,0)</f>
        <v>0.188957055214724</v>
      </c>
    </row>
    <row r="3263" customFormat="false" ht="15" hidden="false" customHeight="false" outlineLevel="0" collapsed="false">
      <c r="A3263" s="15" t="s">
        <v>3320</v>
      </c>
      <c r="B3263" s="16" t="n">
        <v>44836</v>
      </c>
      <c r="C3263" s="15" t="s">
        <v>71</v>
      </c>
      <c r="D3263" s="15" t="s">
        <v>42</v>
      </c>
      <c r="E3263" s="15" t="s">
        <v>38</v>
      </c>
      <c r="F3263" s="15" t="s">
        <v>18</v>
      </c>
      <c r="G3263" s="15" t="s">
        <v>32</v>
      </c>
      <c r="H3263" s="15" t="n">
        <v>6</v>
      </c>
      <c r="I3263" s="17" t="n">
        <v>0</v>
      </c>
      <c r="J3263" s="18" t="n">
        <v>2409.47</v>
      </c>
      <c r="K3263" s="19" t="n">
        <v>291.39</v>
      </c>
      <c r="L3263" s="15" t="n">
        <f aca="false">YEAR(B3263)</f>
        <v>2022</v>
      </c>
      <c r="M3263" s="20" t="n">
        <f aca="false">IF(J3263&gt;0,K3263/J3263,0)</f>
        <v>0.120935309424894</v>
      </c>
    </row>
    <row r="3264" customFormat="false" ht="15" hidden="false" customHeight="false" outlineLevel="0" collapsed="false">
      <c r="A3264" s="15" t="s">
        <v>3321</v>
      </c>
      <c r="B3264" s="16" t="n">
        <v>44933</v>
      </c>
      <c r="C3264" s="15" t="s">
        <v>56</v>
      </c>
      <c r="D3264" s="15" t="s">
        <v>43</v>
      </c>
      <c r="E3264" s="15" t="s">
        <v>38</v>
      </c>
      <c r="F3264" s="15" t="s">
        <v>18</v>
      </c>
      <c r="G3264" s="15" t="s">
        <v>24</v>
      </c>
      <c r="H3264" s="15" t="n">
        <v>2</v>
      </c>
      <c r="I3264" s="17" t="n">
        <v>0</v>
      </c>
      <c r="J3264" s="18" t="n">
        <v>1390.57</v>
      </c>
      <c r="K3264" s="19" t="n">
        <v>49.48</v>
      </c>
      <c r="L3264" s="15" t="n">
        <f aca="false">YEAR(B3264)</f>
        <v>2023</v>
      </c>
      <c r="M3264" s="20" t="n">
        <f aca="false">IF(J3264&gt;0,K3264/J3264,0)</f>
        <v>0.0355825309045931</v>
      </c>
    </row>
    <row r="3265" customFormat="false" ht="15" hidden="false" customHeight="false" outlineLevel="0" collapsed="false">
      <c r="A3265" s="15" t="s">
        <v>3322</v>
      </c>
      <c r="B3265" s="16" t="n">
        <v>45875</v>
      </c>
      <c r="C3265" s="15" t="s">
        <v>68</v>
      </c>
      <c r="D3265" s="15" t="s">
        <v>42</v>
      </c>
      <c r="E3265" s="15" t="s">
        <v>36</v>
      </c>
      <c r="F3265" s="15" t="s">
        <v>16</v>
      </c>
      <c r="G3265" s="15" t="s">
        <v>23</v>
      </c>
      <c r="H3265" s="15" t="n">
        <v>5</v>
      </c>
      <c r="I3265" s="17" t="n">
        <v>0.05</v>
      </c>
      <c r="J3265" s="18" t="n">
        <v>1186.27</v>
      </c>
      <c r="K3265" s="19" t="n">
        <v>-76.48</v>
      </c>
      <c r="L3265" s="15" t="n">
        <f aca="false">YEAR(B3265)</f>
        <v>2025</v>
      </c>
      <c r="M3265" s="20" t="n">
        <f aca="false">IF(J3265&gt;0,K3265/J3265,0)</f>
        <v>-0.0644709888979743</v>
      </c>
    </row>
    <row r="3266" customFormat="false" ht="15" hidden="false" customHeight="false" outlineLevel="0" collapsed="false">
      <c r="A3266" s="15" t="s">
        <v>3323</v>
      </c>
      <c r="B3266" s="16" t="n">
        <v>45877</v>
      </c>
      <c r="C3266" s="15" t="s">
        <v>56</v>
      </c>
      <c r="D3266" s="15" t="s">
        <v>43</v>
      </c>
      <c r="E3266" s="15" t="s">
        <v>37</v>
      </c>
      <c r="F3266" s="15" t="s">
        <v>17</v>
      </c>
      <c r="G3266" s="15" t="s">
        <v>31</v>
      </c>
      <c r="H3266" s="15" t="n">
        <v>5</v>
      </c>
      <c r="I3266" s="17" t="n">
        <v>0</v>
      </c>
      <c r="J3266" s="18" t="n">
        <v>608.87</v>
      </c>
      <c r="K3266" s="19" t="n">
        <v>132.91</v>
      </c>
      <c r="L3266" s="15" t="n">
        <f aca="false">YEAR(B3266)</f>
        <v>2025</v>
      </c>
      <c r="M3266" s="20" t="n">
        <f aca="false">IF(J3266&gt;0,K3266/J3266,0)</f>
        <v>0.218289618473566</v>
      </c>
    </row>
    <row r="3267" customFormat="false" ht="15" hidden="false" customHeight="false" outlineLevel="0" collapsed="false">
      <c r="A3267" s="15" t="s">
        <v>3324</v>
      </c>
      <c r="B3267" s="16" t="n">
        <v>45949</v>
      </c>
      <c r="C3267" s="15" t="s">
        <v>56</v>
      </c>
      <c r="D3267" s="15" t="s">
        <v>42</v>
      </c>
      <c r="E3267" s="15" t="s">
        <v>39</v>
      </c>
      <c r="F3267" s="15" t="s">
        <v>17</v>
      </c>
      <c r="G3267" s="15" t="s">
        <v>26</v>
      </c>
      <c r="H3267" s="15" t="n">
        <v>5</v>
      </c>
      <c r="I3267" s="17" t="n">
        <v>0.1</v>
      </c>
      <c r="J3267" s="18" t="n">
        <v>301.88</v>
      </c>
      <c r="K3267" s="19" t="n">
        <v>11.02</v>
      </c>
      <c r="L3267" s="15" t="n">
        <f aca="false">YEAR(B3267)</f>
        <v>2025</v>
      </c>
      <c r="M3267" s="20" t="n">
        <f aca="false">IF(J3267&gt;0,K3267/J3267,0)</f>
        <v>0.0365045713528554</v>
      </c>
    </row>
    <row r="3268" customFormat="false" ht="15" hidden="false" customHeight="false" outlineLevel="0" collapsed="false">
      <c r="A3268" s="15" t="s">
        <v>3325</v>
      </c>
      <c r="B3268" s="16" t="n">
        <v>45869</v>
      </c>
      <c r="C3268" s="15" t="s">
        <v>58</v>
      </c>
      <c r="D3268" s="15" t="s">
        <v>44</v>
      </c>
      <c r="E3268" s="15" t="s">
        <v>38</v>
      </c>
      <c r="F3268" s="15" t="s">
        <v>17</v>
      </c>
      <c r="G3268" s="15" t="s">
        <v>26</v>
      </c>
      <c r="H3268" s="15" t="n">
        <v>4</v>
      </c>
      <c r="I3268" s="17" t="n">
        <v>0</v>
      </c>
      <c r="J3268" s="18" t="n">
        <v>346.19</v>
      </c>
      <c r="K3268" s="19" t="n">
        <v>45.56</v>
      </c>
      <c r="L3268" s="15" t="n">
        <f aca="false">YEAR(B3268)</f>
        <v>2025</v>
      </c>
      <c r="M3268" s="20" t="n">
        <f aca="false">IF(J3268&gt;0,K3268/J3268,0)</f>
        <v>0.13160403246772</v>
      </c>
    </row>
    <row r="3269" customFormat="false" ht="15" hidden="false" customHeight="false" outlineLevel="0" collapsed="false">
      <c r="A3269" s="15" t="s">
        <v>3326</v>
      </c>
      <c r="B3269" s="16" t="n">
        <v>45475</v>
      </c>
      <c r="C3269" s="15" t="s">
        <v>68</v>
      </c>
      <c r="D3269" s="15" t="s">
        <v>42</v>
      </c>
      <c r="E3269" s="15" t="s">
        <v>38</v>
      </c>
      <c r="F3269" s="15" t="s">
        <v>16</v>
      </c>
      <c r="G3269" s="15" t="s">
        <v>23</v>
      </c>
      <c r="H3269" s="15" t="n">
        <v>3</v>
      </c>
      <c r="I3269" s="17" t="n">
        <v>0.2</v>
      </c>
      <c r="J3269" s="18" t="n">
        <v>685.95</v>
      </c>
      <c r="K3269" s="19" t="n">
        <v>-91.26</v>
      </c>
      <c r="L3269" s="15" t="n">
        <f aca="false">YEAR(B3269)</f>
        <v>2024</v>
      </c>
      <c r="M3269" s="20" t="n">
        <f aca="false">IF(J3269&gt;0,K3269/J3269,0)</f>
        <v>-0.133041766892631</v>
      </c>
    </row>
    <row r="3270" customFormat="false" ht="15" hidden="false" customHeight="false" outlineLevel="0" collapsed="false">
      <c r="A3270" s="15" t="s">
        <v>3327</v>
      </c>
      <c r="B3270" s="16" t="n">
        <v>45447</v>
      </c>
      <c r="C3270" s="15" t="s">
        <v>56</v>
      </c>
      <c r="D3270" s="15" t="s">
        <v>42</v>
      </c>
      <c r="E3270" s="15" t="s">
        <v>37</v>
      </c>
      <c r="F3270" s="15" t="s">
        <v>17</v>
      </c>
      <c r="G3270" s="15" t="s">
        <v>26</v>
      </c>
      <c r="H3270" s="15" t="n">
        <v>6</v>
      </c>
      <c r="I3270" s="17" t="n">
        <v>0.1</v>
      </c>
      <c r="J3270" s="18" t="n">
        <v>500.84</v>
      </c>
      <c r="K3270" s="19" t="n">
        <v>16.47</v>
      </c>
      <c r="L3270" s="15" t="n">
        <f aca="false">YEAR(B3270)</f>
        <v>2024</v>
      </c>
      <c r="M3270" s="20" t="n">
        <f aca="false">IF(J3270&gt;0,K3270/J3270,0)</f>
        <v>0.0328847536139286</v>
      </c>
    </row>
    <row r="3271" customFormat="false" ht="15" hidden="false" customHeight="false" outlineLevel="0" collapsed="false">
      <c r="A3271" s="15" t="s">
        <v>3328</v>
      </c>
      <c r="B3271" s="16" t="n">
        <v>44829</v>
      </c>
      <c r="C3271" s="15" t="s">
        <v>71</v>
      </c>
      <c r="D3271" s="15" t="s">
        <v>42</v>
      </c>
      <c r="E3271" s="15" t="s">
        <v>36</v>
      </c>
      <c r="F3271" s="15" t="s">
        <v>17</v>
      </c>
      <c r="G3271" s="15" t="s">
        <v>28</v>
      </c>
      <c r="H3271" s="15" t="n">
        <v>4</v>
      </c>
      <c r="I3271" s="17" t="n">
        <v>0.2</v>
      </c>
      <c r="J3271" s="18" t="n">
        <v>96.7</v>
      </c>
      <c r="K3271" s="19" t="n">
        <v>11.65</v>
      </c>
      <c r="L3271" s="15" t="n">
        <f aca="false">YEAR(B3271)</f>
        <v>2022</v>
      </c>
      <c r="M3271" s="20" t="n">
        <f aca="false">IF(J3271&gt;0,K3271/J3271,0)</f>
        <v>0.12047569803516</v>
      </c>
    </row>
    <row r="3272" customFormat="false" ht="15" hidden="false" customHeight="false" outlineLevel="0" collapsed="false">
      <c r="A3272" s="15" t="s">
        <v>3329</v>
      </c>
      <c r="B3272" s="16" t="n">
        <v>44703</v>
      </c>
      <c r="C3272" s="15" t="s">
        <v>56</v>
      </c>
      <c r="D3272" s="15" t="s">
        <v>43</v>
      </c>
      <c r="E3272" s="15" t="s">
        <v>37</v>
      </c>
      <c r="F3272" s="15" t="s">
        <v>18</v>
      </c>
      <c r="G3272" s="15" t="s">
        <v>30</v>
      </c>
      <c r="H3272" s="15" t="n">
        <v>3</v>
      </c>
      <c r="I3272" s="17" t="n">
        <v>0</v>
      </c>
      <c r="J3272" s="18" t="n">
        <v>157.43</v>
      </c>
      <c r="K3272" s="19" t="n">
        <v>38.46</v>
      </c>
      <c r="L3272" s="15" t="n">
        <f aca="false">YEAR(B3272)</f>
        <v>2022</v>
      </c>
      <c r="M3272" s="20" t="n">
        <f aca="false">IF(J3272&gt;0,K3272/J3272,0)</f>
        <v>0.244299053547608</v>
      </c>
    </row>
    <row r="3273" customFormat="false" ht="15" hidden="false" customHeight="false" outlineLevel="0" collapsed="false">
      <c r="A3273" s="15" t="s">
        <v>3330</v>
      </c>
      <c r="B3273" s="16" t="n">
        <v>45006</v>
      </c>
      <c r="C3273" s="15" t="s">
        <v>56</v>
      </c>
      <c r="D3273" s="15" t="s">
        <v>42</v>
      </c>
      <c r="E3273" s="15" t="s">
        <v>38</v>
      </c>
      <c r="F3273" s="15" t="s">
        <v>17</v>
      </c>
      <c r="G3273" s="15" t="s">
        <v>28</v>
      </c>
      <c r="H3273" s="15" t="n">
        <v>2</v>
      </c>
      <c r="I3273" s="17" t="n">
        <v>0.15</v>
      </c>
      <c r="J3273" s="18" t="n">
        <v>42.63</v>
      </c>
      <c r="K3273" s="19" t="n">
        <v>7.03</v>
      </c>
      <c r="L3273" s="15" t="n">
        <f aca="false">YEAR(B3273)</f>
        <v>2023</v>
      </c>
      <c r="M3273" s="20" t="n">
        <f aca="false">IF(J3273&gt;0,K3273/J3273,0)</f>
        <v>0.164907342247244</v>
      </c>
    </row>
    <row r="3274" customFormat="false" ht="15" hidden="false" customHeight="false" outlineLevel="0" collapsed="false">
      <c r="A3274" s="15" t="s">
        <v>3331</v>
      </c>
      <c r="B3274" s="16" t="n">
        <v>45311</v>
      </c>
      <c r="C3274" s="15" t="s">
        <v>56</v>
      </c>
      <c r="D3274" s="15" t="s">
        <v>42</v>
      </c>
      <c r="E3274" s="15" t="s">
        <v>37</v>
      </c>
      <c r="F3274" s="15" t="s">
        <v>17</v>
      </c>
      <c r="G3274" s="15" t="s">
        <v>28</v>
      </c>
      <c r="H3274" s="15" t="n">
        <v>3</v>
      </c>
      <c r="I3274" s="17" t="n">
        <v>0</v>
      </c>
      <c r="J3274" s="18" t="n">
        <v>76.94</v>
      </c>
      <c r="K3274" s="19" t="n">
        <v>21.55</v>
      </c>
      <c r="L3274" s="15" t="n">
        <f aca="false">YEAR(B3274)</f>
        <v>2024</v>
      </c>
      <c r="M3274" s="20" t="n">
        <f aca="false">IF(J3274&gt;0,K3274/J3274,0)</f>
        <v>0.280088380556278</v>
      </c>
    </row>
    <row r="3275" customFormat="false" ht="15" hidden="false" customHeight="false" outlineLevel="0" collapsed="false">
      <c r="A3275" s="15" t="s">
        <v>3332</v>
      </c>
      <c r="B3275" s="16" t="n">
        <v>45565</v>
      </c>
      <c r="C3275" s="15" t="s">
        <v>68</v>
      </c>
      <c r="D3275" s="15" t="s">
        <v>42</v>
      </c>
      <c r="E3275" s="15" t="s">
        <v>36</v>
      </c>
      <c r="F3275" s="15" t="s">
        <v>17</v>
      </c>
      <c r="G3275" s="15" t="s">
        <v>31</v>
      </c>
      <c r="H3275" s="15" t="n">
        <v>2</v>
      </c>
      <c r="I3275" s="17" t="n">
        <v>0.15</v>
      </c>
      <c r="J3275" s="18" t="n">
        <v>241.34</v>
      </c>
      <c r="K3275" s="19" t="n">
        <v>2.15</v>
      </c>
      <c r="L3275" s="15" t="n">
        <f aca="false">YEAR(B3275)</f>
        <v>2024</v>
      </c>
      <c r="M3275" s="20" t="n">
        <f aca="false">IF(J3275&gt;0,K3275/J3275,0)</f>
        <v>0.00890859368525731</v>
      </c>
    </row>
    <row r="3276" customFormat="false" ht="15" hidden="false" customHeight="false" outlineLevel="0" collapsed="false">
      <c r="A3276" s="15" t="s">
        <v>3333</v>
      </c>
      <c r="B3276" s="16" t="n">
        <v>45286</v>
      </c>
      <c r="C3276" s="15" t="s">
        <v>56</v>
      </c>
      <c r="D3276" s="15" t="s">
        <v>42</v>
      </c>
      <c r="E3276" s="15" t="s">
        <v>39</v>
      </c>
      <c r="F3276" s="15" t="s">
        <v>17</v>
      </c>
      <c r="G3276" s="15" t="s">
        <v>28</v>
      </c>
      <c r="H3276" s="15" t="n">
        <v>4</v>
      </c>
      <c r="I3276" s="17" t="n">
        <v>0.1</v>
      </c>
      <c r="J3276" s="18" t="n">
        <v>126.05</v>
      </c>
      <c r="K3276" s="19" t="n">
        <v>20.92</v>
      </c>
      <c r="L3276" s="15" t="n">
        <f aca="false">YEAR(B3276)</f>
        <v>2023</v>
      </c>
      <c r="M3276" s="20" t="n">
        <f aca="false">IF(J3276&gt;0,K3276/J3276,0)</f>
        <v>0.165965886552955</v>
      </c>
    </row>
    <row r="3277" customFormat="false" ht="15" hidden="false" customHeight="false" outlineLevel="0" collapsed="false">
      <c r="A3277" s="15" t="s">
        <v>3334</v>
      </c>
      <c r="B3277" s="16" t="n">
        <v>44925</v>
      </c>
      <c r="C3277" s="15" t="s">
        <v>56</v>
      </c>
      <c r="D3277" s="15" t="s">
        <v>42</v>
      </c>
      <c r="E3277" s="15" t="s">
        <v>39</v>
      </c>
      <c r="F3277" s="15" t="s">
        <v>17</v>
      </c>
      <c r="G3277" s="15" t="s">
        <v>29</v>
      </c>
      <c r="H3277" s="15" t="n">
        <v>3</v>
      </c>
      <c r="I3277" s="17" t="n">
        <v>0.3</v>
      </c>
      <c r="J3277" s="18" t="n">
        <v>38.22</v>
      </c>
      <c r="K3277" s="19" t="n">
        <v>5.15</v>
      </c>
      <c r="L3277" s="15" t="n">
        <f aca="false">YEAR(B3277)</f>
        <v>2022</v>
      </c>
      <c r="M3277" s="20" t="n">
        <f aca="false">IF(J3277&gt;0,K3277/J3277,0)</f>
        <v>0.134746206174778</v>
      </c>
    </row>
    <row r="3278" customFormat="false" ht="15" hidden="false" customHeight="false" outlineLevel="0" collapsed="false">
      <c r="A3278" s="15" t="s">
        <v>3335</v>
      </c>
      <c r="B3278" s="16" t="n">
        <v>45732</v>
      </c>
      <c r="C3278" s="15" t="s">
        <v>68</v>
      </c>
      <c r="D3278" s="15" t="s">
        <v>42</v>
      </c>
      <c r="E3278" s="15" t="s">
        <v>39</v>
      </c>
      <c r="F3278" s="15" t="s">
        <v>17</v>
      </c>
      <c r="G3278" s="15" t="s">
        <v>28</v>
      </c>
      <c r="H3278" s="15" t="n">
        <v>4</v>
      </c>
      <c r="I3278" s="17" t="n">
        <v>0.05</v>
      </c>
      <c r="J3278" s="18" t="n">
        <v>101.29</v>
      </c>
      <c r="K3278" s="19" t="n">
        <v>28.57</v>
      </c>
      <c r="L3278" s="15" t="n">
        <f aca="false">YEAR(B3278)</f>
        <v>2025</v>
      </c>
      <c r="M3278" s="20" t="n">
        <f aca="false">IF(J3278&gt;0,K3278/J3278,0)</f>
        <v>0.282061407838878</v>
      </c>
    </row>
    <row r="3279" customFormat="false" ht="15" hidden="false" customHeight="false" outlineLevel="0" collapsed="false">
      <c r="A3279" s="15" t="s">
        <v>3336</v>
      </c>
      <c r="B3279" s="16" t="n">
        <v>44924</v>
      </c>
      <c r="C3279" s="15" t="s">
        <v>71</v>
      </c>
      <c r="D3279" s="15" t="s">
        <v>43</v>
      </c>
      <c r="E3279" s="15" t="s">
        <v>37</v>
      </c>
      <c r="F3279" s="15" t="s">
        <v>17</v>
      </c>
      <c r="G3279" s="15" t="s">
        <v>29</v>
      </c>
      <c r="H3279" s="15" t="n">
        <v>3</v>
      </c>
      <c r="I3279" s="17" t="n">
        <v>0.15</v>
      </c>
      <c r="J3279" s="18" t="n">
        <v>40.83</v>
      </c>
      <c r="K3279" s="19" t="n">
        <v>10.33</v>
      </c>
      <c r="L3279" s="15" t="n">
        <f aca="false">YEAR(B3279)</f>
        <v>2022</v>
      </c>
      <c r="M3279" s="20" t="n">
        <f aca="false">IF(J3279&gt;0,K3279/J3279,0)</f>
        <v>0.253000244917953</v>
      </c>
    </row>
    <row r="3280" customFormat="false" ht="15" hidden="false" customHeight="false" outlineLevel="0" collapsed="false">
      <c r="A3280" s="15" t="s">
        <v>3337</v>
      </c>
      <c r="B3280" s="16" t="n">
        <v>45684</v>
      </c>
      <c r="C3280" s="15" t="s">
        <v>56</v>
      </c>
      <c r="D3280" s="15" t="s">
        <v>43</v>
      </c>
      <c r="E3280" s="15" t="s">
        <v>36</v>
      </c>
      <c r="F3280" s="15" t="s">
        <v>18</v>
      </c>
      <c r="G3280" s="15" t="s">
        <v>24</v>
      </c>
      <c r="H3280" s="15" t="n">
        <v>2</v>
      </c>
      <c r="I3280" s="17" t="n">
        <v>0.05</v>
      </c>
      <c r="J3280" s="18" t="n">
        <v>1225.92</v>
      </c>
      <c r="K3280" s="19" t="n">
        <v>-2.35</v>
      </c>
      <c r="L3280" s="15" t="n">
        <f aca="false">YEAR(B3280)</f>
        <v>2025</v>
      </c>
      <c r="M3280" s="20" t="n">
        <f aca="false">IF(J3280&gt;0,K3280/J3280,0)</f>
        <v>-0.00191692769511877</v>
      </c>
    </row>
    <row r="3281" customFormat="false" ht="15" hidden="false" customHeight="false" outlineLevel="0" collapsed="false">
      <c r="A3281" s="15" t="s">
        <v>3338</v>
      </c>
      <c r="B3281" s="16" t="n">
        <v>44929</v>
      </c>
      <c r="C3281" s="15" t="s">
        <v>56</v>
      </c>
      <c r="D3281" s="15" t="s">
        <v>43</v>
      </c>
      <c r="E3281" s="15" t="s">
        <v>39</v>
      </c>
      <c r="F3281" s="15" t="s">
        <v>17</v>
      </c>
      <c r="G3281" s="15" t="s">
        <v>28</v>
      </c>
      <c r="H3281" s="15" t="n">
        <v>5</v>
      </c>
      <c r="I3281" s="17" t="n">
        <v>0</v>
      </c>
      <c r="J3281" s="18" t="n">
        <v>97</v>
      </c>
      <c r="K3281" s="19" t="n">
        <v>23.8</v>
      </c>
      <c r="L3281" s="15" t="n">
        <f aca="false">YEAR(B3281)</f>
        <v>2023</v>
      </c>
      <c r="M3281" s="20" t="n">
        <f aca="false">IF(J3281&gt;0,K3281/J3281,0)</f>
        <v>0.245360824742268</v>
      </c>
    </row>
    <row r="3282" customFormat="false" ht="15" hidden="false" customHeight="false" outlineLevel="0" collapsed="false">
      <c r="A3282" s="15" t="s">
        <v>3339</v>
      </c>
      <c r="B3282" s="16" t="n">
        <v>45749</v>
      </c>
      <c r="C3282" s="15" t="s">
        <v>56</v>
      </c>
      <c r="D3282" s="15" t="s">
        <v>43</v>
      </c>
      <c r="E3282" s="15" t="s">
        <v>39</v>
      </c>
      <c r="F3282" s="15" t="s">
        <v>17</v>
      </c>
      <c r="G3282" s="15" t="s">
        <v>29</v>
      </c>
      <c r="H3282" s="15" t="n">
        <v>3</v>
      </c>
      <c r="I3282" s="17" t="n">
        <v>0.3</v>
      </c>
      <c r="J3282" s="18" t="n">
        <v>43.33</v>
      </c>
      <c r="K3282" s="19" t="n">
        <v>2.62</v>
      </c>
      <c r="L3282" s="15" t="n">
        <f aca="false">YEAR(B3282)</f>
        <v>2025</v>
      </c>
      <c r="M3282" s="20" t="n">
        <f aca="false">IF(J3282&gt;0,K3282/J3282,0)</f>
        <v>0.0604661897069005</v>
      </c>
    </row>
    <row r="3283" customFormat="false" ht="15" hidden="false" customHeight="false" outlineLevel="0" collapsed="false">
      <c r="A3283" s="15" t="s">
        <v>3340</v>
      </c>
      <c r="B3283" s="16" t="n">
        <v>45973</v>
      </c>
      <c r="C3283" s="15" t="s">
        <v>56</v>
      </c>
      <c r="D3283" s="15" t="s">
        <v>42</v>
      </c>
      <c r="E3283" s="15" t="s">
        <v>38</v>
      </c>
      <c r="F3283" s="15" t="s">
        <v>18</v>
      </c>
      <c r="G3283" s="15" t="s">
        <v>30</v>
      </c>
      <c r="H3283" s="15" t="n">
        <v>7</v>
      </c>
      <c r="I3283" s="17" t="n">
        <v>0</v>
      </c>
      <c r="J3283" s="18" t="n">
        <v>252.85</v>
      </c>
      <c r="K3283" s="19" t="n">
        <v>57.76</v>
      </c>
      <c r="L3283" s="15" t="n">
        <f aca="false">YEAR(B3283)</f>
        <v>2025</v>
      </c>
      <c r="M3283" s="20" t="n">
        <f aca="false">IF(J3283&gt;0,K3283/J3283,0)</f>
        <v>0.228435831520664</v>
      </c>
    </row>
    <row r="3284" customFormat="false" ht="15" hidden="false" customHeight="false" outlineLevel="0" collapsed="false">
      <c r="A3284" s="15" t="s">
        <v>3341</v>
      </c>
      <c r="B3284" s="16" t="n">
        <v>45096</v>
      </c>
      <c r="C3284" s="15" t="s">
        <v>56</v>
      </c>
      <c r="D3284" s="15" t="s">
        <v>42</v>
      </c>
      <c r="E3284" s="15" t="s">
        <v>37</v>
      </c>
      <c r="F3284" s="15" t="s">
        <v>17</v>
      </c>
      <c r="G3284" s="15" t="s">
        <v>26</v>
      </c>
      <c r="H3284" s="15" t="n">
        <v>5</v>
      </c>
      <c r="I3284" s="17" t="n">
        <v>0.1</v>
      </c>
      <c r="J3284" s="18" t="n">
        <v>384.43</v>
      </c>
      <c r="K3284" s="19" t="n">
        <v>3.76</v>
      </c>
      <c r="L3284" s="15" t="n">
        <f aca="false">YEAR(B3284)</f>
        <v>2023</v>
      </c>
      <c r="M3284" s="20" t="n">
        <f aca="false">IF(J3284&gt;0,K3284/J3284,0)</f>
        <v>0.00978071430429467</v>
      </c>
    </row>
    <row r="3285" customFormat="false" ht="15" hidden="false" customHeight="false" outlineLevel="0" collapsed="false">
      <c r="A3285" s="15" t="s">
        <v>3342</v>
      </c>
      <c r="B3285" s="16" t="n">
        <v>45502</v>
      </c>
      <c r="C3285" s="15" t="s">
        <v>71</v>
      </c>
      <c r="D3285" s="15" t="s">
        <v>42</v>
      </c>
      <c r="E3285" s="15" t="s">
        <v>36</v>
      </c>
      <c r="F3285" s="15" t="s">
        <v>17</v>
      </c>
      <c r="G3285" s="15" t="s">
        <v>29</v>
      </c>
      <c r="H3285" s="15" t="n">
        <v>8</v>
      </c>
      <c r="I3285" s="17" t="n">
        <v>0</v>
      </c>
      <c r="J3285" s="18" t="n">
        <v>138.62</v>
      </c>
      <c r="K3285" s="19" t="n">
        <v>52.54</v>
      </c>
      <c r="L3285" s="15" t="n">
        <f aca="false">YEAR(B3285)</f>
        <v>2024</v>
      </c>
      <c r="M3285" s="20" t="n">
        <f aca="false">IF(J3285&gt;0,K3285/J3285,0)</f>
        <v>0.379021786178041</v>
      </c>
    </row>
    <row r="3286" customFormat="false" ht="15" hidden="false" customHeight="false" outlineLevel="0" collapsed="false">
      <c r="A3286" s="15" t="s">
        <v>3343</v>
      </c>
      <c r="B3286" s="16" t="n">
        <v>45378</v>
      </c>
      <c r="C3286" s="15" t="s">
        <v>56</v>
      </c>
      <c r="D3286" s="15" t="s">
        <v>42</v>
      </c>
      <c r="E3286" s="15" t="s">
        <v>36</v>
      </c>
      <c r="F3286" s="15" t="s">
        <v>18</v>
      </c>
      <c r="G3286" s="15" t="s">
        <v>24</v>
      </c>
      <c r="H3286" s="15" t="n">
        <v>2</v>
      </c>
      <c r="I3286" s="17" t="n">
        <v>0.05</v>
      </c>
      <c r="J3286" s="18" t="n">
        <v>1306.47</v>
      </c>
      <c r="K3286" s="19" t="n">
        <v>-17.41</v>
      </c>
      <c r="L3286" s="15" t="n">
        <f aca="false">YEAR(B3286)</f>
        <v>2024</v>
      </c>
      <c r="M3286" s="20" t="n">
        <f aca="false">IF(J3286&gt;0,K3286/J3286,0)</f>
        <v>-0.0133259852886021</v>
      </c>
    </row>
    <row r="3287" customFormat="false" ht="15" hidden="false" customHeight="false" outlineLevel="0" collapsed="false">
      <c r="A3287" s="15" t="s">
        <v>3344</v>
      </c>
      <c r="B3287" s="16" t="n">
        <v>45902</v>
      </c>
      <c r="C3287" s="15" t="s">
        <v>56</v>
      </c>
      <c r="D3287" s="15" t="s">
        <v>42</v>
      </c>
      <c r="E3287" s="15" t="s">
        <v>39</v>
      </c>
      <c r="F3287" s="15" t="s">
        <v>16</v>
      </c>
      <c r="G3287" s="15" t="s">
        <v>27</v>
      </c>
      <c r="H3287" s="15" t="n">
        <v>3</v>
      </c>
      <c r="I3287" s="17" t="n">
        <v>0.2</v>
      </c>
      <c r="J3287" s="18" t="n">
        <v>146.89</v>
      </c>
      <c r="K3287" s="19" t="n">
        <v>-2.55</v>
      </c>
      <c r="L3287" s="15" t="n">
        <f aca="false">YEAR(B3287)</f>
        <v>2025</v>
      </c>
      <c r="M3287" s="20" t="n">
        <f aca="false">IF(J3287&gt;0,K3287/J3287,0)</f>
        <v>-0.0173599291987201</v>
      </c>
    </row>
    <row r="3288" customFormat="false" ht="15" hidden="false" customHeight="false" outlineLevel="0" collapsed="false">
      <c r="A3288" s="15" t="s">
        <v>3345</v>
      </c>
      <c r="B3288" s="16" t="n">
        <v>45174</v>
      </c>
      <c r="C3288" s="15" t="s">
        <v>68</v>
      </c>
      <c r="D3288" s="15" t="s">
        <v>44</v>
      </c>
      <c r="E3288" s="15" t="s">
        <v>39</v>
      </c>
      <c r="F3288" s="15" t="s">
        <v>17</v>
      </c>
      <c r="G3288" s="15" t="s">
        <v>29</v>
      </c>
      <c r="H3288" s="15" t="n">
        <v>5</v>
      </c>
      <c r="I3288" s="17" t="n">
        <v>0</v>
      </c>
      <c r="J3288" s="18" t="n">
        <v>92.32</v>
      </c>
      <c r="K3288" s="19" t="n">
        <v>35.93</v>
      </c>
      <c r="L3288" s="15" t="n">
        <f aca="false">YEAR(B3288)</f>
        <v>2023</v>
      </c>
      <c r="M3288" s="20" t="n">
        <f aca="false">IF(J3288&gt;0,K3288/J3288,0)</f>
        <v>0.389189774696707</v>
      </c>
    </row>
    <row r="3289" customFormat="false" ht="15" hidden="false" customHeight="false" outlineLevel="0" collapsed="false">
      <c r="A3289" s="15" t="s">
        <v>3346</v>
      </c>
      <c r="B3289" s="16" t="n">
        <v>44662</v>
      </c>
      <c r="C3289" s="15" t="s">
        <v>56</v>
      </c>
      <c r="D3289" s="15" t="s">
        <v>42</v>
      </c>
      <c r="E3289" s="15" t="s">
        <v>39</v>
      </c>
      <c r="F3289" s="15" t="s">
        <v>17</v>
      </c>
      <c r="G3289" s="15" t="s">
        <v>26</v>
      </c>
      <c r="H3289" s="15" t="n">
        <v>4</v>
      </c>
      <c r="I3289" s="17" t="n">
        <v>0</v>
      </c>
      <c r="J3289" s="18" t="n">
        <v>354.58</v>
      </c>
      <c r="K3289" s="19" t="n">
        <v>48.06</v>
      </c>
      <c r="L3289" s="15" t="n">
        <f aca="false">YEAR(B3289)</f>
        <v>2022</v>
      </c>
      <c r="M3289" s="20" t="n">
        <f aca="false">IF(J3289&gt;0,K3289/J3289,0)</f>
        <v>0.135540639629985</v>
      </c>
    </row>
    <row r="3290" customFormat="false" ht="15" hidden="false" customHeight="false" outlineLevel="0" collapsed="false">
      <c r="A3290" s="15" t="s">
        <v>3347</v>
      </c>
      <c r="B3290" s="16" t="n">
        <v>45979</v>
      </c>
      <c r="C3290" s="15" t="s">
        <v>71</v>
      </c>
      <c r="D3290" s="15" t="s">
        <v>43</v>
      </c>
      <c r="E3290" s="15" t="s">
        <v>39</v>
      </c>
      <c r="F3290" s="15" t="s">
        <v>18</v>
      </c>
      <c r="G3290" s="15" t="s">
        <v>33</v>
      </c>
      <c r="H3290" s="15" t="n">
        <v>2</v>
      </c>
      <c r="I3290" s="17" t="n">
        <v>0.1</v>
      </c>
      <c r="J3290" s="18" t="n">
        <v>1786.11</v>
      </c>
      <c r="K3290" s="19" t="n">
        <v>361.34</v>
      </c>
      <c r="L3290" s="15" t="n">
        <f aca="false">YEAR(B3290)</f>
        <v>2025</v>
      </c>
      <c r="M3290" s="20" t="n">
        <f aca="false">IF(J3290&gt;0,K3290/J3290,0)</f>
        <v>0.202305569085891</v>
      </c>
    </row>
    <row r="3291" customFormat="false" ht="15" hidden="false" customHeight="false" outlineLevel="0" collapsed="false">
      <c r="A3291" s="15" t="s">
        <v>3348</v>
      </c>
      <c r="B3291" s="16" t="n">
        <v>44806</v>
      </c>
      <c r="C3291" s="15" t="s">
        <v>56</v>
      </c>
      <c r="D3291" s="15" t="s">
        <v>43</v>
      </c>
      <c r="E3291" s="15" t="s">
        <v>36</v>
      </c>
      <c r="F3291" s="15" t="s">
        <v>17</v>
      </c>
      <c r="G3291" s="15" t="s">
        <v>29</v>
      </c>
      <c r="H3291" s="15" t="n">
        <v>6</v>
      </c>
      <c r="I3291" s="17" t="n">
        <v>0</v>
      </c>
      <c r="J3291" s="18" t="n">
        <v>92.25</v>
      </c>
      <c r="K3291" s="19" t="n">
        <v>31</v>
      </c>
      <c r="L3291" s="15" t="n">
        <f aca="false">YEAR(B3291)</f>
        <v>2022</v>
      </c>
      <c r="M3291" s="20" t="n">
        <f aca="false">IF(J3291&gt;0,K3291/J3291,0)</f>
        <v>0.336043360433604</v>
      </c>
    </row>
    <row r="3292" customFormat="false" ht="15" hidden="false" customHeight="false" outlineLevel="0" collapsed="false">
      <c r="A3292" s="15" t="s">
        <v>3349</v>
      </c>
      <c r="B3292" s="16" t="n">
        <v>46016</v>
      </c>
      <c r="C3292" s="15" t="s">
        <v>71</v>
      </c>
      <c r="D3292" s="15" t="s">
        <v>43</v>
      </c>
      <c r="E3292" s="15" t="s">
        <v>39</v>
      </c>
      <c r="F3292" s="15" t="s">
        <v>17</v>
      </c>
      <c r="G3292" s="15" t="s">
        <v>31</v>
      </c>
      <c r="H3292" s="15" t="n">
        <v>1</v>
      </c>
      <c r="I3292" s="17" t="n">
        <v>0.1</v>
      </c>
      <c r="J3292" s="18" t="n">
        <v>122.54</v>
      </c>
      <c r="K3292" s="19" t="n">
        <v>10.89</v>
      </c>
      <c r="L3292" s="15" t="n">
        <f aca="false">YEAR(B3292)</f>
        <v>2025</v>
      </c>
      <c r="M3292" s="20" t="n">
        <f aca="false">IF(J3292&gt;0,K3292/J3292,0)</f>
        <v>0.0888689407540395</v>
      </c>
    </row>
    <row r="3293" customFormat="false" ht="15" hidden="false" customHeight="false" outlineLevel="0" collapsed="false">
      <c r="A3293" s="15" t="s">
        <v>3350</v>
      </c>
      <c r="B3293" s="16" t="n">
        <v>45063</v>
      </c>
      <c r="C3293" s="15" t="s">
        <v>58</v>
      </c>
      <c r="D3293" s="15" t="s">
        <v>42</v>
      </c>
      <c r="E3293" s="15" t="s">
        <v>37</v>
      </c>
      <c r="F3293" s="15" t="s">
        <v>18</v>
      </c>
      <c r="G3293" s="15" t="s">
        <v>24</v>
      </c>
      <c r="H3293" s="15" t="n">
        <v>4</v>
      </c>
      <c r="I3293" s="17" t="n">
        <v>0.2</v>
      </c>
      <c r="J3293" s="18" t="n">
        <v>2268.93</v>
      </c>
      <c r="K3293" s="19" t="n">
        <v>-333.53</v>
      </c>
      <c r="L3293" s="15" t="n">
        <f aca="false">YEAR(B3293)</f>
        <v>2023</v>
      </c>
      <c r="M3293" s="20" t="n">
        <f aca="false">IF(J3293&gt;0,K3293/J3293,0)</f>
        <v>-0.146998805604404</v>
      </c>
    </row>
    <row r="3294" customFormat="false" ht="15" hidden="false" customHeight="false" outlineLevel="0" collapsed="false">
      <c r="A3294" s="15" t="s">
        <v>3351</v>
      </c>
      <c r="B3294" s="16" t="n">
        <v>45023</v>
      </c>
      <c r="C3294" s="15" t="s">
        <v>56</v>
      </c>
      <c r="D3294" s="15" t="s">
        <v>43</v>
      </c>
      <c r="E3294" s="15" t="s">
        <v>38</v>
      </c>
      <c r="F3294" s="15" t="s">
        <v>17</v>
      </c>
      <c r="G3294" s="15" t="s">
        <v>31</v>
      </c>
      <c r="H3294" s="15" t="n">
        <v>4</v>
      </c>
      <c r="I3294" s="17" t="n">
        <v>0</v>
      </c>
      <c r="J3294" s="18" t="n">
        <v>554.74</v>
      </c>
      <c r="K3294" s="19" t="n">
        <v>119.24</v>
      </c>
      <c r="L3294" s="15" t="n">
        <f aca="false">YEAR(B3294)</f>
        <v>2023</v>
      </c>
      <c r="M3294" s="20" t="n">
        <f aca="false">IF(J3294&gt;0,K3294/J3294,0)</f>
        <v>0.214947542993114</v>
      </c>
    </row>
    <row r="3295" customFormat="false" ht="15" hidden="false" customHeight="false" outlineLevel="0" collapsed="false">
      <c r="A3295" s="15" t="s">
        <v>3352</v>
      </c>
      <c r="B3295" s="16" t="n">
        <v>45184</v>
      </c>
      <c r="C3295" s="15" t="s">
        <v>56</v>
      </c>
      <c r="D3295" s="15" t="s">
        <v>42</v>
      </c>
      <c r="E3295" s="15" t="s">
        <v>38</v>
      </c>
      <c r="F3295" s="15" t="s">
        <v>18</v>
      </c>
      <c r="G3295" s="15" t="s">
        <v>30</v>
      </c>
      <c r="H3295" s="15" t="n">
        <v>3</v>
      </c>
      <c r="I3295" s="17" t="n">
        <v>0.5</v>
      </c>
      <c r="J3295" s="18" t="n">
        <v>59.38</v>
      </c>
      <c r="K3295" s="19" t="n">
        <v>-7.79</v>
      </c>
      <c r="L3295" s="15" t="n">
        <f aca="false">YEAR(B3295)</f>
        <v>2023</v>
      </c>
      <c r="M3295" s="20" t="n">
        <f aca="false">IF(J3295&gt;0,K3295/J3295,0)</f>
        <v>-0.131188952509262</v>
      </c>
    </row>
    <row r="3296" customFormat="false" ht="15" hidden="false" customHeight="false" outlineLevel="0" collapsed="false">
      <c r="A3296" s="15" t="s">
        <v>3353</v>
      </c>
      <c r="B3296" s="16" t="n">
        <v>45086</v>
      </c>
      <c r="C3296" s="15" t="s">
        <v>56</v>
      </c>
      <c r="D3296" s="15" t="s">
        <v>44</v>
      </c>
      <c r="E3296" s="15" t="s">
        <v>38</v>
      </c>
      <c r="F3296" s="15" t="s">
        <v>17</v>
      </c>
      <c r="G3296" s="15" t="s">
        <v>29</v>
      </c>
      <c r="H3296" s="15" t="n">
        <v>8</v>
      </c>
      <c r="I3296" s="17" t="n">
        <v>0.1</v>
      </c>
      <c r="J3296" s="18" t="n">
        <v>138.85</v>
      </c>
      <c r="K3296" s="19" t="n">
        <v>41.44</v>
      </c>
      <c r="L3296" s="15" t="n">
        <f aca="false">YEAR(B3296)</f>
        <v>2023</v>
      </c>
      <c r="M3296" s="20" t="n">
        <f aca="false">IF(J3296&gt;0,K3296/J3296,0)</f>
        <v>0.298451566438603</v>
      </c>
    </row>
    <row r="3297" customFormat="false" ht="15" hidden="false" customHeight="false" outlineLevel="0" collapsed="false">
      <c r="A3297" s="15" t="s">
        <v>3354</v>
      </c>
      <c r="B3297" s="16" t="n">
        <v>45278</v>
      </c>
      <c r="C3297" s="15" t="s">
        <v>56</v>
      </c>
      <c r="D3297" s="15" t="s">
        <v>43</v>
      </c>
      <c r="E3297" s="15" t="s">
        <v>37</v>
      </c>
      <c r="F3297" s="15" t="s">
        <v>18</v>
      </c>
      <c r="G3297" s="15" t="s">
        <v>32</v>
      </c>
      <c r="H3297" s="15" t="n">
        <v>2</v>
      </c>
      <c r="I3297" s="17" t="n">
        <v>0.2</v>
      </c>
      <c r="J3297" s="18" t="n">
        <v>939.45</v>
      </c>
      <c r="K3297" s="19" t="n">
        <v>40.04</v>
      </c>
      <c r="L3297" s="15" t="n">
        <f aca="false">YEAR(B3297)</f>
        <v>2023</v>
      </c>
      <c r="M3297" s="20" t="n">
        <f aca="false">IF(J3297&gt;0,K3297/J3297,0)</f>
        <v>0.04262068231412</v>
      </c>
    </row>
    <row r="3298" customFormat="false" ht="15" hidden="false" customHeight="false" outlineLevel="0" collapsed="false">
      <c r="A3298" s="15" t="s">
        <v>3355</v>
      </c>
      <c r="B3298" s="16" t="n">
        <v>45244</v>
      </c>
      <c r="C3298" s="15" t="s">
        <v>71</v>
      </c>
      <c r="D3298" s="15" t="s">
        <v>42</v>
      </c>
      <c r="E3298" s="15" t="s">
        <v>37</v>
      </c>
      <c r="F3298" s="15" t="s">
        <v>17</v>
      </c>
      <c r="G3298" s="15" t="s">
        <v>29</v>
      </c>
      <c r="H3298" s="15" t="n">
        <v>3</v>
      </c>
      <c r="I3298" s="17" t="n">
        <v>0.4</v>
      </c>
      <c r="J3298" s="18" t="n">
        <v>35.83</v>
      </c>
      <c r="K3298" s="19" t="n">
        <v>3.19</v>
      </c>
      <c r="L3298" s="15" t="n">
        <f aca="false">YEAR(B3298)</f>
        <v>2023</v>
      </c>
      <c r="M3298" s="20" t="n">
        <f aca="false">IF(J3298&gt;0,K3298/J3298,0)</f>
        <v>0.0890315378174714</v>
      </c>
    </row>
    <row r="3299" customFormat="false" ht="15" hidden="false" customHeight="false" outlineLevel="0" collapsed="false">
      <c r="A3299" s="15" t="s">
        <v>3356</v>
      </c>
      <c r="B3299" s="16" t="n">
        <v>45163</v>
      </c>
      <c r="C3299" s="15" t="s">
        <v>56</v>
      </c>
      <c r="D3299" s="15" t="s">
        <v>42</v>
      </c>
      <c r="E3299" s="15" t="s">
        <v>36</v>
      </c>
      <c r="F3299" s="15" t="s">
        <v>16</v>
      </c>
      <c r="G3299" s="15" t="s">
        <v>27</v>
      </c>
      <c r="H3299" s="15" t="n">
        <v>4</v>
      </c>
      <c r="I3299" s="17" t="n">
        <v>0</v>
      </c>
      <c r="J3299" s="18" t="n">
        <v>183.2</v>
      </c>
      <c r="K3299" s="19" t="n">
        <v>23.02</v>
      </c>
      <c r="L3299" s="15" t="n">
        <f aca="false">YEAR(B3299)</f>
        <v>2023</v>
      </c>
      <c r="M3299" s="20" t="n">
        <f aca="false">IF(J3299&gt;0,K3299/J3299,0)</f>
        <v>0.125655021834061</v>
      </c>
    </row>
    <row r="3300" customFormat="false" ht="15" hidden="false" customHeight="false" outlineLevel="0" collapsed="false">
      <c r="A3300" s="15" t="s">
        <v>3357</v>
      </c>
      <c r="B3300" s="16" t="n">
        <v>45792</v>
      </c>
      <c r="C3300" s="15" t="s">
        <v>56</v>
      </c>
      <c r="D3300" s="15" t="s">
        <v>42</v>
      </c>
      <c r="E3300" s="15" t="s">
        <v>38</v>
      </c>
      <c r="F3300" s="15" t="s">
        <v>17</v>
      </c>
      <c r="G3300" s="15" t="s">
        <v>29</v>
      </c>
      <c r="H3300" s="15" t="n">
        <v>2</v>
      </c>
      <c r="I3300" s="17" t="n">
        <v>0.4</v>
      </c>
      <c r="J3300" s="18" t="n">
        <v>20.52</v>
      </c>
      <c r="K3300" s="19" t="n">
        <v>0.8</v>
      </c>
      <c r="L3300" s="15" t="n">
        <f aca="false">YEAR(B3300)</f>
        <v>2025</v>
      </c>
      <c r="M3300" s="20" t="n">
        <f aca="false">IF(J3300&gt;0,K3300/J3300,0)</f>
        <v>0.0389863547758285</v>
      </c>
    </row>
    <row r="3301" customFormat="false" ht="15" hidden="false" customHeight="false" outlineLevel="0" collapsed="false">
      <c r="A3301" s="15" t="s">
        <v>3358</v>
      </c>
      <c r="B3301" s="16" t="n">
        <v>44785</v>
      </c>
      <c r="C3301" s="15" t="s">
        <v>56</v>
      </c>
      <c r="D3301" s="15" t="s">
        <v>42</v>
      </c>
      <c r="E3301" s="15" t="s">
        <v>37</v>
      </c>
      <c r="F3301" s="15" t="s">
        <v>17</v>
      </c>
      <c r="G3301" s="15" t="s">
        <v>29</v>
      </c>
      <c r="H3301" s="15" t="n">
        <v>1</v>
      </c>
      <c r="I3301" s="17" t="n">
        <v>0.1</v>
      </c>
      <c r="J3301" s="18" t="n">
        <v>13.16</v>
      </c>
      <c r="K3301" s="19" t="n">
        <v>3.29</v>
      </c>
      <c r="L3301" s="15" t="n">
        <f aca="false">YEAR(B3301)</f>
        <v>2022</v>
      </c>
      <c r="M3301" s="20" t="n">
        <f aca="false">IF(J3301&gt;0,K3301/J3301,0)</f>
        <v>0.25</v>
      </c>
    </row>
    <row r="3302" customFormat="false" ht="15" hidden="false" customHeight="false" outlineLevel="0" collapsed="false">
      <c r="A3302" s="15" t="s">
        <v>3359</v>
      </c>
      <c r="B3302" s="16" t="n">
        <v>45286</v>
      </c>
      <c r="C3302" s="15" t="s">
        <v>56</v>
      </c>
      <c r="D3302" s="15" t="s">
        <v>42</v>
      </c>
      <c r="E3302" s="15" t="s">
        <v>37</v>
      </c>
      <c r="F3302" s="15" t="s">
        <v>17</v>
      </c>
      <c r="G3302" s="15" t="s">
        <v>28</v>
      </c>
      <c r="H3302" s="15" t="n">
        <v>2</v>
      </c>
      <c r="I3302" s="17" t="n">
        <v>0</v>
      </c>
      <c r="J3302" s="18" t="n">
        <v>56.66</v>
      </c>
      <c r="K3302" s="19" t="n">
        <v>14.89</v>
      </c>
      <c r="L3302" s="15" t="n">
        <f aca="false">YEAR(B3302)</f>
        <v>2023</v>
      </c>
      <c r="M3302" s="20" t="n">
        <f aca="false">IF(J3302&gt;0,K3302/J3302,0)</f>
        <v>0.262795623014472</v>
      </c>
    </row>
    <row r="3303" customFormat="false" ht="15" hidden="false" customHeight="false" outlineLevel="0" collapsed="false">
      <c r="A3303" s="15" t="s">
        <v>3360</v>
      </c>
      <c r="B3303" s="16" t="n">
        <v>44729</v>
      </c>
      <c r="C3303" s="15" t="s">
        <v>58</v>
      </c>
      <c r="D3303" s="15" t="s">
        <v>44</v>
      </c>
      <c r="E3303" s="15" t="s">
        <v>37</v>
      </c>
      <c r="F3303" s="15" t="s">
        <v>18</v>
      </c>
      <c r="G3303" s="15" t="s">
        <v>30</v>
      </c>
      <c r="H3303" s="15" t="n">
        <v>4</v>
      </c>
      <c r="I3303" s="17" t="n">
        <v>0</v>
      </c>
      <c r="J3303" s="18" t="n">
        <v>202.13</v>
      </c>
      <c r="K3303" s="19" t="n">
        <v>66.88</v>
      </c>
      <c r="L3303" s="15" t="n">
        <f aca="false">YEAR(B3303)</f>
        <v>2022</v>
      </c>
      <c r="M3303" s="20" t="n">
        <f aca="false">IF(J3303&gt;0,K3303/J3303,0)</f>
        <v>0.330876168802256</v>
      </c>
    </row>
    <row r="3304" customFormat="false" ht="15" hidden="false" customHeight="false" outlineLevel="0" collapsed="false">
      <c r="A3304" s="15" t="s">
        <v>3361</v>
      </c>
      <c r="B3304" s="16" t="n">
        <v>45962</v>
      </c>
      <c r="C3304" s="15" t="s">
        <v>56</v>
      </c>
      <c r="D3304" s="15" t="s">
        <v>44</v>
      </c>
      <c r="E3304" s="15" t="s">
        <v>36</v>
      </c>
      <c r="F3304" s="15" t="s">
        <v>18</v>
      </c>
      <c r="G3304" s="15" t="s">
        <v>30</v>
      </c>
      <c r="H3304" s="15" t="n">
        <v>3</v>
      </c>
      <c r="I3304" s="17" t="n">
        <v>0</v>
      </c>
      <c r="J3304" s="18" t="n">
        <v>158.74</v>
      </c>
      <c r="K3304" s="19" t="n">
        <v>50.52</v>
      </c>
      <c r="L3304" s="15" t="n">
        <f aca="false">YEAR(B3304)</f>
        <v>2025</v>
      </c>
      <c r="M3304" s="20" t="n">
        <f aca="false">IF(J3304&gt;0,K3304/J3304,0)</f>
        <v>0.318256268111377</v>
      </c>
    </row>
    <row r="3305" customFormat="false" ht="15" hidden="false" customHeight="false" outlineLevel="0" collapsed="false">
      <c r="A3305" s="15" t="s">
        <v>3362</v>
      </c>
      <c r="B3305" s="16" t="n">
        <v>44937</v>
      </c>
      <c r="C3305" s="15" t="s">
        <v>56</v>
      </c>
      <c r="D3305" s="15" t="s">
        <v>43</v>
      </c>
      <c r="E3305" s="15" t="s">
        <v>36</v>
      </c>
      <c r="F3305" s="15" t="s">
        <v>16</v>
      </c>
      <c r="G3305" s="15" t="s">
        <v>25</v>
      </c>
      <c r="H3305" s="15" t="n">
        <v>7</v>
      </c>
      <c r="I3305" s="17" t="n">
        <v>0</v>
      </c>
      <c r="J3305" s="18" t="n">
        <v>1956.1</v>
      </c>
      <c r="K3305" s="19" t="n">
        <v>183.22</v>
      </c>
      <c r="L3305" s="15" t="n">
        <f aca="false">YEAR(B3305)</f>
        <v>2023</v>
      </c>
      <c r="M3305" s="20" t="n">
        <f aca="false">IF(J3305&gt;0,K3305/J3305,0)</f>
        <v>0.0936659679975462</v>
      </c>
    </row>
    <row r="3306" customFormat="false" ht="15" hidden="false" customHeight="false" outlineLevel="0" collapsed="false">
      <c r="A3306" s="15" t="s">
        <v>3363</v>
      </c>
      <c r="B3306" s="16" t="n">
        <v>45020</v>
      </c>
      <c r="C3306" s="15" t="s">
        <v>56</v>
      </c>
      <c r="D3306" s="15" t="s">
        <v>44</v>
      </c>
      <c r="E3306" s="15" t="s">
        <v>39</v>
      </c>
      <c r="F3306" s="15" t="s">
        <v>18</v>
      </c>
      <c r="G3306" s="15" t="s">
        <v>32</v>
      </c>
      <c r="H3306" s="15" t="n">
        <v>4</v>
      </c>
      <c r="I3306" s="17" t="n">
        <v>0</v>
      </c>
      <c r="J3306" s="18" t="n">
        <v>1845.82</v>
      </c>
      <c r="K3306" s="19" t="n">
        <v>449.06</v>
      </c>
      <c r="L3306" s="15" t="n">
        <f aca="false">YEAR(B3306)</f>
        <v>2023</v>
      </c>
      <c r="M3306" s="20" t="n">
        <f aca="false">IF(J3306&gt;0,K3306/J3306,0)</f>
        <v>0.243284827339611</v>
      </c>
    </row>
    <row r="3307" customFormat="false" ht="15" hidden="false" customHeight="false" outlineLevel="0" collapsed="false">
      <c r="A3307" s="15" t="s">
        <v>3364</v>
      </c>
      <c r="B3307" s="16" t="n">
        <v>46012</v>
      </c>
      <c r="C3307" s="15" t="s">
        <v>68</v>
      </c>
      <c r="D3307" s="15" t="s">
        <v>42</v>
      </c>
      <c r="E3307" s="15" t="s">
        <v>38</v>
      </c>
      <c r="F3307" s="15" t="s">
        <v>17</v>
      </c>
      <c r="G3307" s="15" t="s">
        <v>28</v>
      </c>
      <c r="H3307" s="15" t="n">
        <v>4</v>
      </c>
      <c r="I3307" s="17" t="n">
        <v>0.3</v>
      </c>
      <c r="J3307" s="18" t="n">
        <v>56.87</v>
      </c>
      <c r="K3307" s="19" t="n">
        <v>-1.82</v>
      </c>
      <c r="L3307" s="15" t="n">
        <f aca="false">YEAR(B3307)</f>
        <v>2025</v>
      </c>
      <c r="M3307" s="20" t="n">
        <f aca="false">IF(J3307&gt;0,K3307/J3307,0)</f>
        <v>-0.0320028134341481</v>
      </c>
    </row>
    <row r="3308" customFormat="false" ht="15" hidden="false" customHeight="false" outlineLevel="0" collapsed="false">
      <c r="A3308" s="15" t="s">
        <v>3365</v>
      </c>
      <c r="B3308" s="16" t="n">
        <v>44763</v>
      </c>
      <c r="C3308" s="15" t="s">
        <v>56</v>
      </c>
      <c r="D3308" s="15" t="s">
        <v>44</v>
      </c>
      <c r="E3308" s="15" t="s">
        <v>37</v>
      </c>
      <c r="F3308" s="15" t="s">
        <v>17</v>
      </c>
      <c r="G3308" s="15" t="s">
        <v>28</v>
      </c>
      <c r="H3308" s="15" t="n">
        <v>6</v>
      </c>
      <c r="I3308" s="17" t="n">
        <v>0.2</v>
      </c>
      <c r="J3308" s="18" t="n">
        <v>138.74</v>
      </c>
      <c r="K3308" s="19" t="n">
        <v>16.44</v>
      </c>
      <c r="L3308" s="15" t="n">
        <f aca="false">YEAR(B3308)</f>
        <v>2022</v>
      </c>
      <c r="M3308" s="20" t="n">
        <f aca="false">IF(J3308&gt;0,K3308/J3308,0)</f>
        <v>0.118495026668589</v>
      </c>
    </row>
    <row r="3309" customFormat="false" ht="15" hidden="false" customHeight="false" outlineLevel="0" collapsed="false">
      <c r="A3309" s="15" t="s">
        <v>3366</v>
      </c>
      <c r="B3309" s="16" t="n">
        <v>46004</v>
      </c>
      <c r="C3309" s="15" t="s">
        <v>56</v>
      </c>
      <c r="D3309" s="15" t="s">
        <v>43</v>
      </c>
      <c r="E3309" s="15" t="s">
        <v>39</v>
      </c>
      <c r="F3309" s="15" t="s">
        <v>17</v>
      </c>
      <c r="G3309" s="15" t="s">
        <v>31</v>
      </c>
      <c r="H3309" s="15" t="n">
        <v>2</v>
      </c>
      <c r="I3309" s="17" t="n">
        <v>0.2</v>
      </c>
      <c r="J3309" s="18" t="n">
        <v>280.84</v>
      </c>
      <c r="K3309" s="19" t="n">
        <v>-7.42</v>
      </c>
      <c r="L3309" s="15" t="n">
        <f aca="false">YEAR(B3309)</f>
        <v>2025</v>
      </c>
      <c r="M3309" s="20" t="n">
        <f aca="false">IF(J3309&gt;0,K3309/J3309,0)</f>
        <v>-0.0264207377866401</v>
      </c>
    </row>
    <row r="3310" customFormat="false" ht="15" hidden="false" customHeight="false" outlineLevel="0" collapsed="false">
      <c r="A3310" s="15" t="s">
        <v>3367</v>
      </c>
      <c r="B3310" s="16" t="n">
        <v>45264</v>
      </c>
      <c r="C3310" s="15" t="s">
        <v>56</v>
      </c>
      <c r="D3310" s="15" t="s">
        <v>43</v>
      </c>
      <c r="E3310" s="15" t="s">
        <v>39</v>
      </c>
      <c r="F3310" s="15" t="s">
        <v>18</v>
      </c>
      <c r="G3310" s="15" t="s">
        <v>33</v>
      </c>
      <c r="H3310" s="15" t="n">
        <v>4</v>
      </c>
      <c r="I3310" s="17" t="n">
        <v>0.2</v>
      </c>
      <c r="J3310" s="18" t="n">
        <v>3285.48</v>
      </c>
      <c r="K3310" s="19" t="n">
        <v>382.52</v>
      </c>
      <c r="L3310" s="15" t="n">
        <f aca="false">YEAR(B3310)</f>
        <v>2023</v>
      </c>
      <c r="M3310" s="20" t="n">
        <f aca="false">IF(J3310&gt;0,K3310/J3310,0)</f>
        <v>0.116427432216906</v>
      </c>
    </row>
    <row r="3311" customFormat="false" ht="15" hidden="false" customHeight="false" outlineLevel="0" collapsed="false">
      <c r="A3311" s="15" t="s">
        <v>3368</v>
      </c>
      <c r="B3311" s="16" t="n">
        <v>45978</v>
      </c>
      <c r="C3311" s="15" t="s">
        <v>58</v>
      </c>
      <c r="D3311" s="15" t="s">
        <v>43</v>
      </c>
      <c r="E3311" s="15" t="s">
        <v>37</v>
      </c>
      <c r="F3311" s="15" t="s">
        <v>16</v>
      </c>
      <c r="G3311" s="15" t="s">
        <v>25</v>
      </c>
      <c r="H3311" s="15" t="n">
        <v>3</v>
      </c>
      <c r="I3311" s="17" t="n">
        <v>0</v>
      </c>
      <c r="J3311" s="18" t="n">
        <v>932.94</v>
      </c>
      <c r="K3311" s="19" t="n">
        <v>52.03</v>
      </c>
      <c r="L3311" s="15" t="n">
        <f aca="false">YEAR(B3311)</f>
        <v>2025</v>
      </c>
      <c r="M3311" s="20" t="n">
        <f aca="false">IF(J3311&gt;0,K3311/J3311,0)</f>
        <v>0.0557699316140373</v>
      </c>
    </row>
    <row r="3312" customFormat="false" ht="15" hidden="false" customHeight="false" outlineLevel="0" collapsed="false">
      <c r="A3312" s="15" t="s">
        <v>3369</v>
      </c>
      <c r="B3312" s="16" t="n">
        <v>44573</v>
      </c>
      <c r="C3312" s="15" t="s">
        <v>68</v>
      </c>
      <c r="D3312" s="15" t="s">
        <v>43</v>
      </c>
      <c r="E3312" s="15" t="s">
        <v>38</v>
      </c>
      <c r="F3312" s="15" t="s">
        <v>16</v>
      </c>
      <c r="G3312" s="15" t="s">
        <v>22</v>
      </c>
      <c r="H3312" s="15" t="n">
        <v>3</v>
      </c>
      <c r="I3312" s="17" t="n">
        <v>0</v>
      </c>
      <c r="J3312" s="18" t="n">
        <v>1781.46</v>
      </c>
      <c r="K3312" s="19" t="n">
        <v>-1.61</v>
      </c>
      <c r="L3312" s="15" t="n">
        <f aca="false">YEAR(B3312)</f>
        <v>2022</v>
      </c>
      <c r="M3312" s="20" t="n">
        <f aca="false">IF(J3312&gt;0,K3312/J3312,0)</f>
        <v>-0.000903753101388749</v>
      </c>
    </row>
    <row r="3313" customFormat="false" ht="15" hidden="false" customHeight="false" outlineLevel="0" collapsed="false">
      <c r="A3313" s="15" t="s">
        <v>3370</v>
      </c>
      <c r="B3313" s="16" t="n">
        <v>45171</v>
      </c>
      <c r="C3313" s="15" t="s">
        <v>58</v>
      </c>
      <c r="D3313" s="15" t="s">
        <v>43</v>
      </c>
      <c r="E3313" s="15" t="s">
        <v>37</v>
      </c>
      <c r="F3313" s="15" t="s">
        <v>16</v>
      </c>
      <c r="G3313" s="15" t="s">
        <v>27</v>
      </c>
      <c r="H3313" s="15" t="n">
        <v>4</v>
      </c>
      <c r="I3313" s="17" t="n">
        <v>0.5</v>
      </c>
      <c r="J3313" s="18" t="n">
        <v>108.77</v>
      </c>
      <c r="K3313" s="19" t="n">
        <v>-33.43</v>
      </c>
      <c r="L3313" s="15" t="n">
        <f aca="false">YEAR(B3313)</f>
        <v>2023</v>
      </c>
      <c r="M3313" s="20" t="n">
        <f aca="false">IF(J3313&gt;0,K3313/J3313,0)</f>
        <v>-0.307345775489565</v>
      </c>
    </row>
    <row r="3314" customFormat="false" ht="15" hidden="false" customHeight="false" outlineLevel="0" collapsed="false">
      <c r="A3314" s="15" t="s">
        <v>3371</v>
      </c>
      <c r="B3314" s="16" t="n">
        <v>45349</v>
      </c>
      <c r="C3314" s="15" t="s">
        <v>56</v>
      </c>
      <c r="D3314" s="15" t="s">
        <v>44</v>
      </c>
      <c r="E3314" s="15" t="s">
        <v>39</v>
      </c>
      <c r="F3314" s="15" t="s">
        <v>16</v>
      </c>
      <c r="G3314" s="15" t="s">
        <v>27</v>
      </c>
      <c r="H3314" s="15" t="n">
        <v>8</v>
      </c>
      <c r="I3314" s="17" t="n">
        <v>0</v>
      </c>
      <c r="J3314" s="18" t="n">
        <v>456.01</v>
      </c>
      <c r="K3314" s="19" t="n">
        <v>74.64</v>
      </c>
      <c r="L3314" s="15" t="n">
        <f aca="false">YEAR(B3314)</f>
        <v>2024</v>
      </c>
      <c r="M3314" s="20" t="n">
        <f aca="false">IF(J3314&gt;0,K3314/J3314,0)</f>
        <v>0.163680621039012</v>
      </c>
    </row>
    <row r="3315" customFormat="false" ht="15" hidden="false" customHeight="false" outlineLevel="0" collapsed="false">
      <c r="A3315" s="15" t="s">
        <v>3372</v>
      </c>
      <c r="B3315" s="16" t="n">
        <v>45155</v>
      </c>
      <c r="C3315" s="15" t="s">
        <v>56</v>
      </c>
      <c r="D3315" s="15" t="s">
        <v>44</v>
      </c>
      <c r="E3315" s="15" t="s">
        <v>38</v>
      </c>
      <c r="F3315" s="15" t="s">
        <v>17</v>
      </c>
      <c r="G3315" s="15" t="s">
        <v>26</v>
      </c>
      <c r="H3315" s="15" t="n">
        <v>2</v>
      </c>
      <c r="I3315" s="17" t="n">
        <v>0.5</v>
      </c>
      <c r="J3315" s="18" t="n">
        <v>73.51</v>
      </c>
      <c r="K3315" s="19" t="n">
        <v>-23.93</v>
      </c>
      <c r="L3315" s="15" t="n">
        <f aca="false">YEAR(B3315)</f>
        <v>2023</v>
      </c>
      <c r="M3315" s="20" t="n">
        <f aca="false">IF(J3315&gt;0,K3315/J3315,0)</f>
        <v>-0.325533940960414</v>
      </c>
    </row>
    <row r="3316" customFormat="false" ht="15" hidden="false" customHeight="false" outlineLevel="0" collapsed="false">
      <c r="A3316" s="15" t="s">
        <v>3373</v>
      </c>
      <c r="B3316" s="16" t="n">
        <v>45923</v>
      </c>
      <c r="C3316" s="15" t="s">
        <v>56</v>
      </c>
      <c r="D3316" s="15" t="s">
        <v>42</v>
      </c>
      <c r="E3316" s="15" t="s">
        <v>36</v>
      </c>
      <c r="F3316" s="15" t="s">
        <v>16</v>
      </c>
      <c r="G3316" s="15" t="s">
        <v>23</v>
      </c>
      <c r="H3316" s="15" t="n">
        <v>5</v>
      </c>
      <c r="I3316" s="17" t="n">
        <v>0.15</v>
      </c>
      <c r="J3316" s="18" t="n">
        <v>1018.06</v>
      </c>
      <c r="K3316" s="19" t="n">
        <v>-160.18</v>
      </c>
      <c r="L3316" s="15" t="n">
        <f aca="false">YEAR(B3316)</f>
        <v>2025</v>
      </c>
      <c r="M3316" s="20" t="n">
        <f aca="false">IF(J3316&gt;0,K3316/J3316,0)</f>
        <v>-0.157338467280907</v>
      </c>
    </row>
    <row r="3317" customFormat="false" ht="15" hidden="false" customHeight="false" outlineLevel="0" collapsed="false">
      <c r="A3317" s="15" t="s">
        <v>3374</v>
      </c>
      <c r="B3317" s="16" t="n">
        <v>45977</v>
      </c>
      <c r="C3317" s="15" t="s">
        <v>71</v>
      </c>
      <c r="D3317" s="15" t="s">
        <v>43</v>
      </c>
      <c r="E3317" s="15" t="s">
        <v>39</v>
      </c>
      <c r="F3317" s="15" t="s">
        <v>17</v>
      </c>
      <c r="G3317" s="15" t="s">
        <v>31</v>
      </c>
      <c r="H3317" s="15" t="n">
        <v>3</v>
      </c>
      <c r="I3317" s="17" t="n">
        <v>0.3</v>
      </c>
      <c r="J3317" s="18" t="n">
        <v>315.68</v>
      </c>
      <c r="K3317" s="19" t="n">
        <v>-24.81</v>
      </c>
      <c r="L3317" s="15" t="n">
        <f aca="false">YEAR(B3317)</f>
        <v>2025</v>
      </c>
      <c r="M3317" s="20" t="n">
        <f aca="false">IF(J3317&gt;0,K3317/J3317,0)</f>
        <v>-0.0785922453117081</v>
      </c>
    </row>
    <row r="3318" customFormat="false" ht="15" hidden="false" customHeight="false" outlineLevel="0" collapsed="false">
      <c r="A3318" s="15" t="s">
        <v>3375</v>
      </c>
      <c r="B3318" s="16" t="n">
        <v>44625</v>
      </c>
      <c r="C3318" s="15" t="s">
        <v>58</v>
      </c>
      <c r="D3318" s="15" t="s">
        <v>43</v>
      </c>
      <c r="E3318" s="15" t="s">
        <v>38</v>
      </c>
      <c r="F3318" s="15" t="s">
        <v>17</v>
      </c>
      <c r="G3318" s="15" t="s">
        <v>29</v>
      </c>
      <c r="H3318" s="15" t="n">
        <v>4</v>
      </c>
      <c r="I3318" s="17" t="n">
        <v>0.15</v>
      </c>
      <c r="J3318" s="18" t="n">
        <v>49.04</v>
      </c>
      <c r="K3318" s="19" t="n">
        <v>11.82</v>
      </c>
      <c r="L3318" s="15" t="n">
        <f aca="false">YEAR(B3318)</f>
        <v>2022</v>
      </c>
      <c r="M3318" s="20" t="n">
        <f aca="false">IF(J3318&gt;0,K3318/J3318,0)</f>
        <v>0.241027732463295</v>
      </c>
    </row>
    <row r="3319" customFormat="false" ht="15" hidden="false" customHeight="false" outlineLevel="0" collapsed="false">
      <c r="A3319" s="15" t="s">
        <v>3376</v>
      </c>
      <c r="B3319" s="16" t="n">
        <v>45147</v>
      </c>
      <c r="C3319" s="15" t="s">
        <v>71</v>
      </c>
      <c r="D3319" s="15" t="s">
        <v>43</v>
      </c>
      <c r="E3319" s="15" t="s">
        <v>36</v>
      </c>
      <c r="F3319" s="15" t="s">
        <v>18</v>
      </c>
      <c r="G3319" s="15" t="s">
        <v>30</v>
      </c>
      <c r="H3319" s="15" t="n">
        <v>4</v>
      </c>
      <c r="I3319" s="17" t="n">
        <v>0.3</v>
      </c>
      <c r="J3319" s="18" t="n">
        <v>130.56</v>
      </c>
      <c r="K3319" s="19" t="n">
        <v>15.82</v>
      </c>
      <c r="L3319" s="15" t="n">
        <f aca="false">YEAR(B3319)</f>
        <v>2023</v>
      </c>
      <c r="M3319" s="20" t="n">
        <f aca="false">IF(J3319&gt;0,K3319/J3319,0)</f>
        <v>0.121170343137255</v>
      </c>
    </row>
    <row r="3320" customFormat="false" ht="15" hidden="false" customHeight="false" outlineLevel="0" collapsed="false">
      <c r="A3320" s="15" t="s">
        <v>3377</v>
      </c>
      <c r="B3320" s="16" t="n">
        <v>44832</v>
      </c>
      <c r="C3320" s="15" t="s">
        <v>71</v>
      </c>
      <c r="D3320" s="15" t="s">
        <v>42</v>
      </c>
      <c r="E3320" s="15" t="s">
        <v>36</v>
      </c>
      <c r="F3320" s="15" t="s">
        <v>16</v>
      </c>
      <c r="G3320" s="15" t="s">
        <v>23</v>
      </c>
      <c r="H3320" s="15" t="n">
        <v>3</v>
      </c>
      <c r="I3320" s="17" t="n">
        <v>0</v>
      </c>
      <c r="J3320" s="18" t="n">
        <v>1132.26</v>
      </c>
      <c r="K3320" s="19" t="n">
        <v>-31.18</v>
      </c>
      <c r="L3320" s="15" t="n">
        <f aca="false">YEAR(B3320)</f>
        <v>2022</v>
      </c>
      <c r="M3320" s="20" t="n">
        <f aca="false">IF(J3320&gt;0,K3320/J3320,0)</f>
        <v>-0.027537844664653</v>
      </c>
    </row>
    <row r="3321" customFormat="false" ht="15" hidden="false" customHeight="false" outlineLevel="0" collapsed="false">
      <c r="A3321" s="15" t="s">
        <v>3378</v>
      </c>
      <c r="B3321" s="16" t="n">
        <v>45631</v>
      </c>
      <c r="C3321" s="15" t="s">
        <v>71</v>
      </c>
      <c r="D3321" s="15" t="s">
        <v>43</v>
      </c>
      <c r="E3321" s="15" t="s">
        <v>38</v>
      </c>
      <c r="F3321" s="15" t="s">
        <v>17</v>
      </c>
      <c r="G3321" s="15" t="s">
        <v>28</v>
      </c>
      <c r="H3321" s="15" t="n">
        <v>2</v>
      </c>
      <c r="I3321" s="17" t="n">
        <v>0</v>
      </c>
      <c r="J3321" s="18" t="n">
        <v>46.23</v>
      </c>
      <c r="K3321" s="19" t="n">
        <v>16.87</v>
      </c>
      <c r="L3321" s="15" t="n">
        <f aca="false">YEAR(B3321)</f>
        <v>2024</v>
      </c>
      <c r="M3321" s="20" t="n">
        <f aca="false">IF(J3321&gt;0,K3321/J3321,0)</f>
        <v>0.36491455764655</v>
      </c>
    </row>
    <row r="3322" customFormat="false" ht="15" hidden="false" customHeight="false" outlineLevel="0" collapsed="false">
      <c r="A3322" s="15" t="s">
        <v>3379</v>
      </c>
      <c r="B3322" s="16" t="n">
        <v>44764</v>
      </c>
      <c r="C3322" s="15" t="s">
        <v>56</v>
      </c>
      <c r="D3322" s="15" t="s">
        <v>43</v>
      </c>
      <c r="E3322" s="15" t="s">
        <v>37</v>
      </c>
      <c r="F3322" s="15" t="s">
        <v>17</v>
      </c>
      <c r="G3322" s="15" t="s">
        <v>28</v>
      </c>
      <c r="H3322" s="15" t="n">
        <v>3</v>
      </c>
      <c r="I3322" s="17" t="n">
        <v>0</v>
      </c>
      <c r="J3322" s="18" t="n">
        <v>77.16</v>
      </c>
      <c r="K3322" s="19" t="n">
        <v>17.39</v>
      </c>
      <c r="L3322" s="15" t="n">
        <f aca="false">YEAR(B3322)</f>
        <v>2022</v>
      </c>
      <c r="M3322" s="20" t="n">
        <f aca="false">IF(J3322&gt;0,K3322/J3322,0)</f>
        <v>0.225375842405391</v>
      </c>
    </row>
    <row r="3323" customFormat="false" ht="15" hidden="false" customHeight="false" outlineLevel="0" collapsed="false">
      <c r="A3323" s="15" t="s">
        <v>3380</v>
      </c>
      <c r="B3323" s="16" t="n">
        <v>45267</v>
      </c>
      <c r="C3323" s="15" t="s">
        <v>68</v>
      </c>
      <c r="D3323" s="15" t="s">
        <v>42</v>
      </c>
      <c r="E3323" s="15" t="s">
        <v>37</v>
      </c>
      <c r="F3323" s="15" t="s">
        <v>17</v>
      </c>
      <c r="G3323" s="15" t="s">
        <v>29</v>
      </c>
      <c r="H3323" s="15" t="n">
        <v>4</v>
      </c>
      <c r="I3323" s="17" t="n">
        <v>0.2</v>
      </c>
      <c r="J3323" s="18" t="n">
        <v>58.65</v>
      </c>
      <c r="K3323" s="19" t="n">
        <v>12.18</v>
      </c>
      <c r="L3323" s="15" t="n">
        <f aca="false">YEAR(B3323)</f>
        <v>2023</v>
      </c>
      <c r="M3323" s="20" t="n">
        <f aca="false">IF(J3323&gt;0,K3323/J3323,0)</f>
        <v>0.2076726342711</v>
      </c>
    </row>
    <row r="3324" customFormat="false" ht="15" hidden="false" customHeight="false" outlineLevel="0" collapsed="false">
      <c r="A3324" s="15" t="s">
        <v>3381</v>
      </c>
      <c r="B3324" s="16" t="n">
        <v>44905</v>
      </c>
      <c r="C3324" s="15" t="s">
        <v>56</v>
      </c>
      <c r="D3324" s="15" t="s">
        <v>42</v>
      </c>
      <c r="E3324" s="15" t="s">
        <v>39</v>
      </c>
      <c r="F3324" s="15" t="s">
        <v>17</v>
      </c>
      <c r="G3324" s="15" t="s">
        <v>26</v>
      </c>
      <c r="H3324" s="15" t="n">
        <v>3</v>
      </c>
      <c r="I3324" s="17" t="n">
        <v>0</v>
      </c>
      <c r="J3324" s="18" t="n">
        <v>279.69</v>
      </c>
      <c r="K3324" s="19" t="n">
        <v>27.42</v>
      </c>
      <c r="L3324" s="15" t="n">
        <f aca="false">YEAR(B3324)</f>
        <v>2022</v>
      </c>
      <c r="M3324" s="20" t="n">
        <f aca="false">IF(J3324&gt;0,K3324/J3324,0)</f>
        <v>0.09803711251743</v>
      </c>
    </row>
    <row r="3325" customFormat="false" ht="15" hidden="false" customHeight="false" outlineLevel="0" collapsed="false">
      <c r="A3325" s="15" t="s">
        <v>3382</v>
      </c>
      <c r="B3325" s="16" t="n">
        <v>45824</v>
      </c>
      <c r="C3325" s="15" t="s">
        <v>56</v>
      </c>
      <c r="D3325" s="15" t="s">
        <v>42</v>
      </c>
      <c r="E3325" s="15" t="s">
        <v>39</v>
      </c>
      <c r="F3325" s="15" t="s">
        <v>17</v>
      </c>
      <c r="G3325" s="15" t="s">
        <v>26</v>
      </c>
      <c r="H3325" s="15" t="n">
        <v>2</v>
      </c>
      <c r="I3325" s="17" t="n">
        <v>0.1</v>
      </c>
      <c r="J3325" s="18" t="n">
        <v>173.71</v>
      </c>
      <c r="K3325" s="19" t="n">
        <v>1.44</v>
      </c>
      <c r="L3325" s="15" t="n">
        <f aca="false">YEAR(B3325)</f>
        <v>2025</v>
      </c>
      <c r="M3325" s="20" t="n">
        <f aca="false">IF(J3325&gt;0,K3325/J3325,0)</f>
        <v>0.00828967819929768</v>
      </c>
    </row>
    <row r="3326" customFormat="false" ht="15" hidden="false" customHeight="false" outlineLevel="0" collapsed="false">
      <c r="A3326" s="15" t="s">
        <v>3383</v>
      </c>
      <c r="B3326" s="16" t="n">
        <v>45163</v>
      </c>
      <c r="C3326" s="15" t="s">
        <v>56</v>
      </c>
      <c r="D3326" s="15" t="s">
        <v>42</v>
      </c>
      <c r="E3326" s="15" t="s">
        <v>39</v>
      </c>
      <c r="F3326" s="15" t="s">
        <v>17</v>
      </c>
      <c r="G3326" s="15" t="s">
        <v>28</v>
      </c>
      <c r="H3326" s="15" t="n">
        <v>1</v>
      </c>
      <c r="I3326" s="17" t="n">
        <v>0</v>
      </c>
      <c r="J3326" s="18" t="n">
        <v>25.17</v>
      </c>
      <c r="K3326" s="19" t="n">
        <v>7.8</v>
      </c>
      <c r="L3326" s="15" t="n">
        <f aca="false">YEAR(B3326)</f>
        <v>2023</v>
      </c>
      <c r="M3326" s="20" t="n">
        <f aca="false">IF(J3326&gt;0,K3326/J3326,0)</f>
        <v>0.309892729439809</v>
      </c>
    </row>
    <row r="3327" customFormat="false" ht="15" hidden="false" customHeight="false" outlineLevel="0" collapsed="false">
      <c r="A3327" s="15" t="s">
        <v>3384</v>
      </c>
      <c r="B3327" s="16" t="n">
        <v>45892</v>
      </c>
      <c r="C3327" s="15" t="s">
        <v>56</v>
      </c>
      <c r="D3327" s="15" t="s">
        <v>42</v>
      </c>
      <c r="E3327" s="15" t="s">
        <v>37</v>
      </c>
      <c r="F3327" s="15" t="s">
        <v>16</v>
      </c>
      <c r="G3327" s="15" t="s">
        <v>23</v>
      </c>
      <c r="H3327" s="15" t="n">
        <v>2</v>
      </c>
      <c r="I3327" s="17" t="n">
        <v>0.05</v>
      </c>
      <c r="J3327" s="18" t="n">
        <v>778.63</v>
      </c>
      <c r="K3327" s="19" t="n">
        <v>-19.76</v>
      </c>
      <c r="L3327" s="15" t="n">
        <f aca="false">YEAR(B3327)</f>
        <v>2025</v>
      </c>
      <c r="M3327" s="20" t="n">
        <f aca="false">IF(J3327&gt;0,K3327/J3327,0)</f>
        <v>-0.0253779073500893</v>
      </c>
    </row>
    <row r="3328" customFormat="false" ht="15" hidden="false" customHeight="false" outlineLevel="0" collapsed="false">
      <c r="A3328" s="15" t="s">
        <v>3385</v>
      </c>
      <c r="B3328" s="16" t="n">
        <v>45829</v>
      </c>
      <c r="C3328" s="15" t="s">
        <v>71</v>
      </c>
      <c r="D3328" s="15" t="s">
        <v>43</v>
      </c>
      <c r="E3328" s="15" t="s">
        <v>38</v>
      </c>
      <c r="F3328" s="15" t="s">
        <v>17</v>
      </c>
      <c r="G3328" s="15" t="s">
        <v>29</v>
      </c>
      <c r="H3328" s="15" t="n">
        <v>3</v>
      </c>
      <c r="I3328" s="17" t="n">
        <v>0.1</v>
      </c>
      <c r="J3328" s="18" t="n">
        <v>42.42</v>
      </c>
      <c r="K3328" s="19" t="n">
        <v>11.04</v>
      </c>
      <c r="L3328" s="15" t="n">
        <f aca="false">YEAR(B3328)</f>
        <v>2025</v>
      </c>
      <c r="M3328" s="20" t="n">
        <f aca="false">IF(J3328&gt;0,K3328/J3328,0)</f>
        <v>0.26025459688826</v>
      </c>
    </row>
    <row r="3329" customFormat="false" ht="15" hidden="false" customHeight="false" outlineLevel="0" collapsed="false">
      <c r="A3329" s="15" t="s">
        <v>3386</v>
      </c>
      <c r="B3329" s="16" t="n">
        <v>44577</v>
      </c>
      <c r="C3329" s="15" t="s">
        <v>56</v>
      </c>
      <c r="D3329" s="15" t="s">
        <v>44</v>
      </c>
      <c r="E3329" s="15" t="s">
        <v>37</v>
      </c>
      <c r="F3329" s="15" t="s">
        <v>17</v>
      </c>
      <c r="G3329" s="15" t="s">
        <v>29</v>
      </c>
      <c r="H3329" s="15" t="n">
        <v>3</v>
      </c>
      <c r="I3329" s="17" t="n">
        <v>0</v>
      </c>
      <c r="J3329" s="18" t="n">
        <v>51.49</v>
      </c>
      <c r="K3329" s="19" t="n">
        <v>24.29</v>
      </c>
      <c r="L3329" s="15" t="n">
        <f aca="false">YEAR(B3329)</f>
        <v>2022</v>
      </c>
      <c r="M3329" s="20" t="n">
        <f aca="false">IF(J3329&gt;0,K3329/J3329,0)</f>
        <v>0.471742085841911</v>
      </c>
    </row>
    <row r="3330" customFormat="false" ht="15" hidden="false" customHeight="false" outlineLevel="0" collapsed="false">
      <c r="A3330" s="15" t="s">
        <v>3387</v>
      </c>
      <c r="B3330" s="16" t="n">
        <v>45171</v>
      </c>
      <c r="C3330" s="15" t="s">
        <v>56</v>
      </c>
      <c r="D3330" s="15" t="s">
        <v>42</v>
      </c>
      <c r="E3330" s="15" t="s">
        <v>37</v>
      </c>
      <c r="F3330" s="15" t="s">
        <v>16</v>
      </c>
      <c r="G3330" s="15" t="s">
        <v>25</v>
      </c>
      <c r="H3330" s="15" t="n">
        <v>3</v>
      </c>
      <c r="I3330" s="17" t="n">
        <v>0.05</v>
      </c>
      <c r="J3330" s="18" t="n">
        <v>747.32</v>
      </c>
      <c r="K3330" s="19" t="n">
        <v>70.47</v>
      </c>
      <c r="L3330" s="15" t="n">
        <f aca="false">YEAR(B3330)</f>
        <v>2023</v>
      </c>
      <c r="M3330" s="20" t="n">
        <f aca="false">IF(J3330&gt;0,K3330/J3330,0)</f>
        <v>0.09429695445057</v>
      </c>
    </row>
    <row r="3331" customFormat="false" ht="15" hidden="false" customHeight="false" outlineLevel="0" collapsed="false">
      <c r="A3331" s="15" t="s">
        <v>3388</v>
      </c>
      <c r="B3331" s="16" t="n">
        <v>44712</v>
      </c>
      <c r="C3331" s="15" t="s">
        <v>56</v>
      </c>
      <c r="D3331" s="15" t="s">
        <v>42</v>
      </c>
      <c r="E3331" s="15" t="s">
        <v>37</v>
      </c>
      <c r="F3331" s="15" t="s">
        <v>18</v>
      </c>
      <c r="G3331" s="15" t="s">
        <v>30</v>
      </c>
      <c r="H3331" s="15" t="n">
        <v>4</v>
      </c>
      <c r="I3331" s="17" t="n">
        <v>0.1</v>
      </c>
      <c r="J3331" s="18" t="n">
        <v>148.77</v>
      </c>
      <c r="K3331" s="19" t="n">
        <v>23.06</v>
      </c>
      <c r="L3331" s="15" t="n">
        <f aca="false">YEAR(B3331)</f>
        <v>2022</v>
      </c>
      <c r="M3331" s="20" t="n">
        <f aca="false">IF(J3331&gt;0,K3331/J3331,0)</f>
        <v>0.155004369160449</v>
      </c>
    </row>
    <row r="3332" customFormat="false" ht="15" hidden="false" customHeight="false" outlineLevel="0" collapsed="false">
      <c r="A3332" s="15" t="s">
        <v>3389</v>
      </c>
      <c r="B3332" s="16" t="n">
        <v>46018</v>
      </c>
      <c r="C3332" s="15" t="s">
        <v>56</v>
      </c>
      <c r="D3332" s="15" t="s">
        <v>42</v>
      </c>
      <c r="E3332" s="15" t="s">
        <v>38</v>
      </c>
      <c r="F3332" s="15" t="s">
        <v>17</v>
      </c>
      <c r="G3332" s="15" t="s">
        <v>26</v>
      </c>
      <c r="H3332" s="15" t="n">
        <v>4</v>
      </c>
      <c r="I3332" s="17" t="n">
        <v>0.1</v>
      </c>
      <c r="J3332" s="18" t="n">
        <v>285.2</v>
      </c>
      <c r="K3332" s="19" t="n">
        <v>20.19</v>
      </c>
      <c r="L3332" s="15" t="n">
        <f aca="false">YEAR(B3332)</f>
        <v>2025</v>
      </c>
      <c r="M3332" s="20" t="n">
        <f aca="false">IF(J3332&gt;0,K3332/J3332,0)</f>
        <v>0.0707924263674614</v>
      </c>
    </row>
    <row r="3333" customFormat="false" ht="15" hidden="false" customHeight="false" outlineLevel="0" collapsed="false">
      <c r="A3333" s="15" t="s">
        <v>3390</v>
      </c>
      <c r="B3333" s="16" t="n">
        <v>45665</v>
      </c>
      <c r="C3333" s="15" t="s">
        <v>58</v>
      </c>
      <c r="D3333" s="15" t="s">
        <v>43</v>
      </c>
      <c r="E3333" s="15" t="s">
        <v>38</v>
      </c>
      <c r="F3333" s="15" t="s">
        <v>16</v>
      </c>
      <c r="G3333" s="15" t="s">
        <v>27</v>
      </c>
      <c r="H3333" s="15" t="n">
        <v>4</v>
      </c>
      <c r="I3333" s="17" t="n">
        <v>0</v>
      </c>
      <c r="J3333" s="18" t="n">
        <v>280.77</v>
      </c>
      <c r="K3333" s="19" t="n">
        <v>57.42</v>
      </c>
      <c r="L3333" s="15" t="n">
        <f aca="false">YEAR(B3333)</f>
        <v>2025</v>
      </c>
      <c r="M3333" s="20" t="n">
        <f aca="false">IF(J3333&gt;0,K3333/J3333,0)</f>
        <v>0.204509028742387</v>
      </c>
    </row>
    <row r="3334" customFormat="false" ht="15" hidden="false" customHeight="false" outlineLevel="0" collapsed="false">
      <c r="A3334" s="15" t="s">
        <v>3391</v>
      </c>
      <c r="B3334" s="16" t="n">
        <v>44626</v>
      </c>
      <c r="C3334" s="15" t="s">
        <v>71</v>
      </c>
      <c r="D3334" s="15" t="s">
        <v>42</v>
      </c>
      <c r="E3334" s="15" t="s">
        <v>37</v>
      </c>
      <c r="F3334" s="15" t="s">
        <v>17</v>
      </c>
      <c r="G3334" s="15" t="s">
        <v>29</v>
      </c>
      <c r="H3334" s="15" t="n">
        <v>3</v>
      </c>
      <c r="I3334" s="17" t="n">
        <v>0.2</v>
      </c>
      <c r="J3334" s="18" t="n">
        <v>49.28</v>
      </c>
      <c r="K3334" s="19" t="n">
        <v>9.04</v>
      </c>
      <c r="L3334" s="15" t="n">
        <f aca="false">YEAR(B3334)</f>
        <v>2022</v>
      </c>
      <c r="M3334" s="20" t="n">
        <f aca="false">IF(J3334&gt;0,K3334/J3334,0)</f>
        <v>0.183441558441558</v>
      </c>
    </row>
    <row r="3335" customFormat="false" ht="15" hidden="false" customHeight="false" outlineLevel="0" collapsed="false">
      <c r="A3335" s="15" t="s">
        <v>3392</v>
      </c>
      <c r="B3335" s="16" t="n">
        <v>45488</v>
      </c>
      <c r="C3335" s="15" t="s">
        <v>68</v>
      </c>
      <c r="D3335" s="15" t="s">
        <v>44</v>
      </c>
      <c r="E3335" s="15" t="s">
        <v>37</v>
      </c>
      <c r="F3335" s="15" t="s">
        <v>18</v>
      </c>
      <c r="G3335" s="15" t="s">
        <v>30</v>
      </c>
      <c r="H3335" s="15" t="n">
        <v>2</v>
      </c>
      <c r="I3335" s="17" t="n">
        <v>0.15</v>
      </c>
      <c r="J3335" s="18" t="n">
        <v>76.04</v>
      </c>
      <c r="K3335" s="19" t="n">
        <v>13.03</v>
      </c>
      <c r="L3335" s="15" t="n">
        <f aca="false">YEAR(B3335)</f>
        <v>2024</v>
      </c>
      <c r="M3335" s="20" t="n">
        <f aca="false">IF(J3335&gt;0,K3335/J3335,0)</f>
        <v>0.171357180431352</v>
      </c>
    </row>
    <row r="3336" customFormat="false" ht="15" hidden="false" customHeight="false" outlineLevel="0" collapsed="false">
      <c r="A3336" s="15" t="s">
        <v>3393</v>
      </c>
      <c r="B3336" s="16" t="n">
        <v>45764</v>
      </c>
      <c r="C3336" s="15" t="s">
        <v>56</v>
      </c>
      <c r="D3336" s="15" t="s">
        <v>43</v>
      </c>
      <c r="E3336" s="15" t="s">
        <v>36</v>
      </c>
      <c r="F3336" s="15" t="s">
        <v>18</v>
      </c>
      <c r="G3336" s="15" t="s">
        <v>30</v>
      </c>
      <c r="H3336" s="15" t="n">
        <v>5</v>
      </c>
      <c r="I3336" s="17" t="n">
        <v>0</v>
      </c>
      <c r="J3336" s="18" t="n">
        <v>234.21</v>
      </c>
      <c r="K3336" s="19" t="n">
        <v>90.96</v>
      </c>
      <c r="L3336" s="15" t="n">
        <f aca="false">YEAR(B3336)</f>
        <v>2025</v>
      </c>
      <c r="M3336" s="20" t="n">
        <f aca="false">IF(J3336&gt;0,K3336/J3336,0)</f>
        <v>0.388369412066095</v>
      </c>
    </row>
    <row r="3337" customFormat="false" ht="15" hidden="false" customHeight="false" outlineLevel="0" collapsed="false">
      <c r="A3337" s="15" t="s">
        <v>3394</v>
      </c>
      <c r="B3337" s="16" t="n">
        <v>45637</v>
      </c>
      <c r="C3337" s="15" t="s">
        <v>68</v>
      </c>
      <c r="D3337" s="15" t="s">
        <v>42</v>
      </c>
      <c r="E3337" s="15" t="s">
        <v>39</v>
      </c>
      <c r="F3337" s="15" t="s">
        <v>16</v>
      </c>
      <c r="G3337" s="15" t="s">
        <v>22</v>
      </c>
      <c r="H3337" s="15" t="n">
        <v>4</v>
      </c>
      <c r="I3337" s="17" t="n">
        <v>0.3</v>
      </c>
      <c r="J3337" s="18" t="n">
        <v>1376.45</v>
      </c>
      <c r="K3337" s="19" t="n">
        <v>-437.87</v>
      </c>
      <c r="L3337" s="15" t="n">
        <f aca="false">YEAR(B3337)</f>
        <v>2024</v>
      </c>
      <c r="M3337" s="20" t="n">
        <f aca="false">IF(J3337&gt;0,K3337/J3337,0)</f>
        <v>-0.318115441897635</v>
      </c>
    </row>
    <row r="3338" customFormat="false" ht="15" hidden="false" customHeight="false" outlineLevel="0" collapsed="false">
      <c r="A3338" s="15" t="s">
        <v>3395</v>
      </c>
      <c r="B3338" s="16" t="n">
        <v>45185</v>
      </c>
      <c r="C3338" s="15" t="s">
        <v>56</v>
      </c>
      <c r="D3338" s="15" t="s">
        <v>44</v>
      </c>
      <c r="E3338" s="15" t="s">
        <v>37</v>
      </c>
      <c r="F3338" s="15" t="s">
        <v>18</v>
      </c>
      <c r="G3338" s="15" t="s">
        <v>30</v>
      </c>
      <c r="H3338" s="15" t="n">
        <v>2</v>
      </c>
      <c r="I3338" s="17" t="n">
        <v>0</v>
      </c>
      <c r="J3338" s="18" t="n">
        <v>113.23</v>
      </c>
      <c r="K3338" s="19" t="n">
        <v>30.56</v>
      </c>
      <c r="L3338" s="15" t="n">
        <f aca="false">YEAR(B3338)</f>
        <v>2023</v>
      </c>
      <c r="M3338" s="20" t="n">
        <f aca="false">IF(J3338&gt;0,K3338/J3338,0)</f>
        <v>0.269893137860991</v>
      </c>
    </row>
    <row r="3339" customFormat="false" ht="15" hidden="false" customHeight="false" outlineLevel="0" collapsed="false">
      <c r="A3339" s="15" t="s">
        <v>3396</v>
      </c>
      <c r="B3339" s="16" t="n">
        <v>45947</v>
      </c>
      <c r="C3339" s="15" t="s">
        <v>71</v>
      </c>
      <c r="D3339" s="15" t="s">
        <v>43</v>
      </c>
      <c r="E3339" s="15" t="s">
        <v>37</v>
      </c>
      <c r="F3339" s="15" t="s">
        <v>16</v>
      </c>
      <c r="G3339" s="15" t="s">
        <v>25</v>
      </c>
      <c r="H3339" s="15" t="n">
        <v>3</v>
      </c>
      <c r="I3339" s="17" t="n">
        <v>0</v>
      </c>
      <c r="J3339" s="18" t="n">
        <v>789.95</v>
      </c>
      <c r="K3339" s="19" t="n">
        <v>94.43</v>
      </c>
      <c r="L3339" s="15" t="n">
        <f aca="false">YEAR(B3339)</f>
        <v>2025</v>
      </c>
      <c r="M3339" s="20" t="n">
        <f aca="false">IF(J3339&gt;0,K3339/J3339,0)</f>
        <v>0.11953921134249</v>
      </c>
    </row>
    <row r="3340" customFormat="false" ht="15" hidden="false" customHeight="false" outlineLevel="0" collapsed="false">
      <c r="A3340" s="15" t="s">
        <v>3397</v>
      </c>
      <c r="B3340" s="16" t="n">
        <v>45253</v>
      </c>
      <c r="C3340" s="15" t="s">
        <v>68</v>
      </c>
      <c r="D3340" s="15" t="s">
        <v>44</v>
      </c>
      <c r="E3340" s="15" t="s">
        <v>39</v>
      </c>
      <c r="F3340" s="15" t="s">
        <v>18</v>
      </c>
      <c r="G3340" s="15" t="s">
        <v>33</v>
      </c>
      <c r="H3340" s="15" t="n">
        <v>7</v>
      </c>
      <c r="I3340" s="17" t="n">
        <v>0.3</v>
      </c>
      <c r="J3340" s="18" t="n">
        <v>4973.39</v>
      </c>
      <c r="K3340" s="19" t="n">
        <v>-158</v>
      </c>
      <c r="L3340" s="15" t="n">
        <f aca="false">YEAR(B3340)</f>
        <v>2023</v>
      </c>
      <c r="M3340" s="20" t="n">
        <f aca="false">IF(J3340&gt;0,K3340/J3340,0)</f>
        <v>-0.0317690750172418</v>
      </c>
    </row>
    <row r="3341" customFormat="false" ht="15" hidden="false" customHeight="false" outlineLevel="0" collapsed="false">
      <c r="A3341" s="15" t="s">
        <v>3398</v>
      </c>
      <c r="B3341" s="16" t="n">
        <v>45982</v>
      </c>
      <c r="C3341" s="15" t="s">
        <v>56</v>
      </c>
      <c r="D3341" s="15" t="s">
        <v>43</v>
      </c>
      <c r="E3341" s="15" t="s">
        <v>39</v>
      </c>
      <c r="F3341" s="15" t="s">
        <v>16</v>
      </c>
      <c r="G3341" s="15" t="s">
        <v>22</v>
      </c>
      <c r="H3341" s="15" t="n">
        <v>5</v>
      </c>
      <c r="I3341" s="17" t="n">
        <v>0.2</v>
      </c>
      <c r="J3341" s="18" t="n">
        <v>2612.9</v>
      </c>
      <c r="K3341" s="19" t="n">
        <v>-551.14</v>
      </c>
      <c r="L3341" s="15" t="n">
        <f aca="false">YEAR(B3341)</f>
        <v>2025</v>
      </c>
      <c r="M3341" s="20" t="n">
        <f aca="false">IF(J3341&gt;0,K3341/J3341,0)</f>
        <v>-0.210930383864671</v>
      </c>
    </row>
    <row r="3342" customFormat="false" ht="15" hidden="false" customHeight="false" outlineLevel="0" collapsed="false">
      <c r="A3342" s="15" t="s">
        <v>3399</v>
      </c>
      <c r="B3342" s="16" t="n">
        <v>44793</v>
      </c>
      <c r="C3342" s="15" t="s">
        <v>56</v>
      </c>
      <c r="D3342" s="15" t="s">
        <v>42</v>
      </c>
      <c r="E3342" s="15" t="s">
        <v>39</v>
      </c>
      <c r="F3342" s="15" t="s">
        <v>17</v>
      </c>
      <c r="G3342" s="15" t="s">
        <v>28</v>
      </c>
      <c r="H3342" s="15" t="n">
        <v>5</v>
      </c>
      <c r="I3342" s="17" t="n">
        <v>0.1</v>
      </c>
      <c r="J3342" s="18" t="n">
        <v>142.22</v>
      </c>
      <c r="K3342" s="19" t="n">
        <v>38.48</v>
      </c>
      <c r="L3342" s="15" t="n">
        <f aca="false">YEAR(B3342)</f>
        <v>2022</v>
      </c>
      <c r="M3342" s="20" t="n">
        <f aca="false">IF(J3342&gt;0,K3342/J3342,0)</f>
        <v>0.270566727605119</v>
      </c>
    </row>
    <row r="3343" customFormat="false" ht="15" hidden="false" customHeight="false" outlineLevel="0" collapsed="false">
      <c r="A3343" s="15" t="s">
        <v>3400</v>
      </c>
      <c r="B3343" s="16" t="n">
        <v>44921</v>
      </c>
      <c r="C3343" s="15" t="s">
        <v>71</v>
      </c>
      <c r="D3343" s="15" t="s">
        <v>44</v>
      </c>
      <c r="E3343" s="15" t="s">
        <v>36</v>
      </c>
      <c r="F3343" s="15" t="s">
        <v>17</v>
      </c>
      <c r="G3343" s="15" t="s">
        <v>28</v>
      </c>
      <c r="H3343" s="15" t="n">
        <v>4</v>
      </c>
      <c r="I3343" s="17" t="n">
        <v>0.4</v>
      </c>
      <c r="J3343" s="18" t="n">
        <v>56.93</v>
      </c>
      <c r="K3343" s="19" t="n">
        <v>-5.92</v>
      </c>
      <c r="L3343" s="15" t="n">
        <f aca="false">YEAR(B3343)</f>
        <v>2022</v>
      </c>
      <c r="M3343" s="20" t="n">
        <f aca="false">IF(J3343&gt;0,K3343/J3343,0)</f>
        <v>-0.103987352889513</v>
      </c>
    </row>
    <row r="3344" customFormat="false" ht="15" hidden="false" customHeight="false" outlineLevel="0" collapsed="false">
      <c r="A3344" s="15" t="s">
        <v>3401</v>
      </c>
      <c r="B3344" s="16" t="n">
        <v>45054</v>
      </c>
      <c r="C3344" s="15" t="s">
        <v>58</v>
      </c>
      <c r="D3344" s="15" t="s">
        <v>44</v>
      </c>
      <c r="E3344" s="15" t="s">
        <v>39</v>
      </c>
      <c r="F3344" s="15" t="s">
        <v>16</v>
      </c>
      <c r="G3344" s="15" t="s">
        <v>25</v>
      </c>
      <c r="H3344" s="15" t="n">
        <v>3</v>
      </c>
      <c r="I3344" s="17" t="n">
        <v>0.2</v>
      </c>
      <c r="J3344" s="18" t="n">
        <v>731.12</v>
      </c>
      <c r="K3344" s="19" t="n">
        <v>-81.51</v>
      </c>
      <c r="L3344" s="15" t="n">
        <f aca="false">YEAR(B3344)</f>
        <v>2023</v>
      </c>
      <c r="M3344" s="20" t="n">
        <f aca="false">IF(J3344&gt;0,K3344/J3344,0)</f>
        <v>-0.111486486486487</v>
      </c>
    </row>
    <row r="3345" customFormat="false" ht="15" hidden="false" customHeight="false" outlineLevel="0" collapsed="false">
      <c r="A3345" s="15" t="s">
        <v>3402</v>
      </c>
      <c r="B3345" s="16" t="n">
        <v>44785</v>
      </c>
      <c r="C3345" s="15" t="s">
        <v>56</v>
      </c>
      <c r="D3345" s="15" t="s">
        <v>42</v>
      </c>
      <c r="E3345" s="15" t="s">
        <v>39</v>
      </c>
      <c r="F3345" s="15" t="s">
        <v>17</v>
      </c>
      <c r="G3345" s="15" t="s">
        <v>31</v>
      </c>
      <c r="H3345" s="15" t="n">
        <v>4</v>
      </c>
      <c r="I3345" s="17" t="n">
        <v>0.1</v>
      </c>
      <c r="J3345" s="18" t="n">
        <v>482.65</v>
      </c>
      <c r="K3345" s="19" t="n">
        <v>36.32</v>
      </c>
      <c r="L3345" s="15" t="n">
        <f aca="false">YEAR(B3345)</f>
        <v>2022</v>
      </c>
      <c r="M3345" s="20" t="n">
        <f aca="false">IF(J3345&gt;0,K3345/J3345,0)</f>
        <v>0.0752512172381643</v>
      </c>
    </row>
    <row r="3346" customFormat="false" ht="15" hidden="false" customHeight="false" outlineLevel="0" collapsed="false">
      <c r="A3346" s="15" t="s">
        <v>3403</v>
      </c>
      <c r="B3346" s="16" t="n">
        <v>45913</v>
      </c>
      <c r="C3346" s="15" t="s">
        <v>56</v>
      </c>
      <c r="D3346" s="15" t="s">
        <v>42</v>
      </c>
      <c r="E3346" s="15" t="s">
        <v>38</v>
      </c>
      <c r="F3346" s="15" t="s">
        <v>17</v>
      </c>
      <c r="G3346" s="15" t="s">
        <v>31</v>
      </c>
      <c r="H3346" s="15" t="n">
        <v>2</v>
      </c>
      <c r="I3346" s="17" t="n">
        <v>0.05</v>
      </c>
      <c r="J3346" s="18" t="n">
        <v>223.76</v>
      </c>
      <c r="K3346" s="19" t="n">
        <v>29.8</v>
      </c>
      <c r="L3346" s="15" t="n">
        <f aca="false">YEAR(B3346)</f>
        <v>2025</v>
      </c>
      <c r="M3346" s="20" t="n">
        <f aca="false">IF(J3346&gt;0,K3346/J3346,0)</f>
        <v>0.133178405434394</v>
      </c>
    </row>
    <row r="3347" customFormat="false" ht="15" hidden="false" customHeight="false" outlineLevel="0" collapsed="false">
      <c r="A3347" s="15" t="s">
        <v>3404</v>
      </c>
      <c r="B3347" s="16" t="n">
        <v>45543</v>
      </c>
      <c r="C3347" s="15" t="s">
        <v>56</v>
      </c>
      <c r="D3347" s="15" t="s">
        <v>43</v>
      </c>
      <c r="E3347" s="15" t="s">
        <v>36</v>
      </c>
      <c r="F3347" s="15" t="s">
        <v>16</v>
      </c>
      <c r="G3347" s="15" t="s">
        <v>22</v>
      </c>
      <c r="H3347" s="15" t="n">
        <v>3</v>
      </c>
      <c r="I3347" s="17" t="n">
        <v>0.2</v>
      </c>
      <c r="J3347" s="18" t="n">
        <v>1363.48</v>
      </c>
      <c r="K3347" s="19" t="n">
        <v>-334.53</v>
      </c>
      <c r="L3347" s="15" t="n">
        <f aca="false">YEAR(B3347)</f>
        <v>2024</v>
      </c>
      <c r="M3347" s="20" t="n">
        <f aca="false">IF(J3347&gt;0,K3347/J3347,0)</f>
        <v>-0.245350133481973</v>
      </c>
    </row>
    <row r="3348" customFormat="false" ht="15" hidden="false" customHeight="false" outlineLevel="0" collapsed="false">
      <c r="A3348" s="15" t="s">
        <v>3405</v>
      </c>
      <c r="B3348" s="16" t="n">
        <v>45632</v>
      </c>
      <c r="C3348" s="15" t="s">
        <v>68</v>
      </c>
      <c r="D3348" s="15" t="s">
        <v>42</v>
      </c>
      <c r="E3348" s="15" t="s">
        <v>36</v>
      </c>
      <c r="F3348" s="15" t="s">
        <v>18</v>
      </c>
      <c r="G3348" s="15" t="s">
        <v>30</v>
      </c>
      <c r="H3348" s="15" t="n">
        <v>2</v>
      </c>
      <c r="I3348" s="17" t="n">
        <v>0</v>
      </c>
      <c r="J3348" s="18" t="n">
        <v>87.84</v>
      </c>
      <c r="K3348" s="19" t="n">
        <v>29.21</v>
      </c>
      <c r="L3348" s="15" t="n">
        <f aca="false">YEAR(B3348)</f>
        <v>2024</v>
      </c>
      <c r="M3348" s="20" t="n">
        <f aca="false">IF(J3348&gt;0,K3348/J3348,0)</f>
        <v>0.332536429872495</v>
      </c>
    </row>
    <row r="3349" customFormat="false" ht="15" hidden="false" customHeight="false" outlineLevel="0" collapsed="false">
      <c r="A3349" s="15" t="s">
        <v>3406</v>
      </c>
      <c r="B3349" s="16" t="n">
        <v>45822</v>
      </c>
      <c r="C3349" s="15" t="s">
        <v>68</v>
      </c>
      <c r="D3349" s="15" t="s">
        <v>44</v>
      </c>
      <c r="E3349" s="15" t="s">
        <v>36</v>
      </c>
      <c r="F3349" s="15" t="s">
        <v>18</v>
      </c>
      <c r="G3349" s="15" t="s">
        <v>33</v>
      </c>
      <c r="H3349" s="15" t="n">
        <v>2</v>
      </c>
      <c r="I3349" s="17" t="n">
        <v>0.2</v>
      </c>
      <c r="J3349" s="18" t="n">
        <v>1496.59</v>
      </c>
      <c r="K3349" s="19" t="n">
        <v>171.89</v>
      </c>
      <c r="L3349" s="15" t="n">
        <f aca="false">YEAR(B3349)</f>
        <v>2025</v>
      </c>
      <c r="M3349" s="20" t="n">
        <f aca="false">IF(J3349&gt;0,K3349/J3349,0)</f>
        <v>0.114854435750606</v>
      </c>
    </row>
    <row r="3350" customFormat="false" ht="15" hidden="false" customHeight="false" outlineLevel="0" collapsed="false">
      <c r="A3350" s="15" t="s">
        <v>3407</v>
      </c>
      <c r="B3350" s="16" t="n">
        <v>45456</v>
      </c>
      <c r="C3350" s="15" t="s">
        <v>71</v>
      </c>
      <c r="D3350" s="15" t="s">
        <v>42</v>
      </c>
      <c r="E3350" s="15" t="s">
        <v>39</v>
      </c>
      <c r="F3350" s="15" t="s">
        <v>16</v>
      </c>
      <c r="G3350" s="15" t="s">
        <v>23</v>
      </c>
      <c r="H3350" s="15" t="n">
        <v>2</v>
      </c>
      <c r="I3350" s="17" t="n">
        <v>0.2</v>
      </c>
      <c r="J3350" s="18" t="n">
        <v>451.26</v>
      </c>
      <c r="K3350" s="19" t="n">
        <v>-67.88</v>
      </c>
      <c r="L3350" s="15" t="n">
        <f aca="false">YEAR(B3350)</f>
        <v>2024</v>
      </c>
      <c r="M3350" s="20" t="n">
        <f aca="false">IF(J3350&gt;0,K3350/J3350,0)</f>
        <v>-0.150423259318353</v>
      </c>
    </row>
    <row r="3351" customFormat="false" ht="15" hidden="false" customHeight="false" outlineLevel="0" collapsed="false">
      <c r="A3351" s="15" t="s">
        <v>3408</v>
      </c>
      <c r="B3351" s="16" t="n">
        <v>45130</v>
      </c>
      <c r="C3351" s="15" t="s">
        <v>56</v>
      </c>
      <c r="D3351" s="15" t="s">
        <v>42</v>
      </c>
      <c r="E3351" s="15" t="s">
        <v>38</v>
      </c>
      <c r="F3351" s="15" t="s">
        <v>16</v>
      </c>
      <c r="G3351" s="15" t="s">
        <v>25</v>
      </c>
      <c r="H3351" s="15" t="n">
        <v>4</v>
      </c>
      <c r="I3351" s="17" t="n">
        <v>0</v>
      </c>
      <c r="J3351" s="18" t="n">
        <v>970.3</v>
      </c>
      <c r="K3351" s="19" t="n">
        <v>105.99</v>
      </c>
      <c r="L3351" s="15" t="n">
        <f aca="false">YEAR(B3351)</f>
        <v>2023</v>
      </c>
      <c r="M3351" s="20" t="n">
        <f aca="false">IF(J3351&gt;0,K3351/J3351,0)</f>
        <v>0.109234257446151</v>
      </c>
    </row>
    <row r="3352" customFormat="false" ht="15" hidden="false" customHeight="false" outlineLevel="0" collapsed="false">
      <c r="A3352" s="15" t="s">
        <v>3409</v>
      </c>
      <c r="B3352" s="16" t="n">
        <v>45782</v>
      </c>
      <c r="C3352" s="15" t="s">
        <v>56</v>
      </c>
      <c r="D3352" s="15" t="s">
        <v>42</v>
      </c>
      <c r="E3352" s="15" t="s">
        <v>36</v>
      </c>
      <c r="F3352" s="15" t="s">
        <v>16</v>
      </c>
      <c r="G3352" s="15" t="s">
        <v>27</v>
      </c>
      <c r="H3352" s="15" t="n">
        <v>2</v>
      </c>
      <c r="I3352" s="17" t="n">
        <v>0.05</v>
      </c>
      <c r="J3352" s="18" t="n">
        <v>85.38</v>
      </c>
      <c r="K3352" s="19" t="n">
        <v>20.32</v>
      </c>
      <c r="L3352" s="15" t="n">
        <f aca="false">YEAR(B3352)</f>
        <v>2025</v>
      </c>
      <c r="M3352" s="20" t="n">
        <f aca="false">IF(J3352&gt;0,K3352/J3352,0)</f>
        <v>0.237994846568283</v>
      </c>
    </row>
    <row r="3353" customFormat="false" ht="15" hidden="false" customHeight="false" outlineLevel="0" collapsed="false">
      <c r="A3353" s="15" t="s">
        <v>3410</v>
      </c>
      <c r="B3353" s="16" t="n">
        <v>45336</v>
      </c>
      <c r="C3353" s="15" t="s">
        <v>56</v>
      </c>
      <c r="D3353" s="15" t="s">
        <v>42</v>
      </c>
      <c r="E3353" s="15" t="s">
        <v>36</v>
      </c>
      <c r="F3353" s="15" t="s">
        <v>16</v>
      </c>
      <c r="G3353" s="15" t="s">
        <v>27</v>
      </c>
      <c r="H3353" s="15" t="n">
        <v>7</v>
      </c>
      <c r="I3353" s="17" t="n">
        <v>0.2</v>
      </c>
      <c r="J3353" s="18" t="n">
        <v>279.63</v>
      </c>
      <c r="K3353" s="19" t="n">
        <v>8.75</v>
      </c>
      <c r="L3353" s="15" t="n">
        <f aca="false">YEAR(B3353)</f>
        <v>2024</v>
      </c>
      <c r="M3353" s="20" t="n">
        <f aca="false">IF(J3353&gt;0,K3353/J3353,0)</f>
        <v>0.0312913492829811</v>
      </c>
    </row>
    <row r="3354" customFormat="false" ht="15" hidden="false" customHeight="false" outlineLevel="0" collapsed="false">
      <c r="A3354" s="15" t="s">
        <v>3411</v>
      </c>
      <c r="B3354" s="16" t="n">
        <v>44929</v>
      </c>
      <c r="C3354" s="15" t="s">
        <v>71</v>
      </c>
      <c r="D3354" s="15" t="s">
        <v>42</v>
      </c>
      <c r="E3354" s="15" t="s">
        <v>39</v>
      </c>
      <c r="F3354" s="15" t="s">
        <v>16</v>
      </c>
      <c r="G3354" s="15" t="s">
        <v>27</v>
      </c>
      <c r="H3354" s="15" t="n">
        <v>3</v>
      </c>
      <c r="I3354" s="17" t="n">
        <v>0.1</v>
      </c>
      <c r="J3354" s="18" t="n">
        <v>149.44</v>
      </c>
      <c r="K3354" s="19" t="n">
        <v>18.1</v>
      </c>
      <c r="L3354" s="15" t="n">
        <f aca="false">YEAR(B3354)</f>
        <v>2023</v>
      </c>
      <c r="M3354" s="20" t="n">
        <f aca="false">IF(J3354&gt;0,K3354/J3354,0)</f>
        <v>0.121118843683084</v>
      </c>
    </row>
    <row r="3355" customFormat="false" ht="15" hidden="false" customHeight="false" outlineLevel="0" collapsed="false">
      <c r="A3355" s="15" t="s">
        <v>3412</v>
      </c>
      <c r="B3355" s="16" t="n">
        <v>45475</v>
      </c>
      <c r="C3355" s="15" t="s">
        <v>71</v>
      </c>
      <c r="D3355" s="15" t="s">
        <v>42</v>
      </c>
      <c r="E3355" s="15" t="s">
        <v>37</v>
      </c>
      <c r="F3355" s="15" t="s">
        <v>18</v>
      </c>
      <c r="G3355" s="15" t="s">
        <v>24</v>
      </c>
      <c r="H3355" s="15" t="n">
        <v>3</v>
      </c>
      <c r="I3355" s="17" t="n">
        <v>0</v>
      </c>
      <c r="J3355" s="18" t="n">
        <v>1754.66</v>
      </c>
      <c r="K3355" s="19" t="n">
        <v>226.06</v>
      </c>
      <c r="L3355" s="15" t="n">
        <f aca="false">YEAR(B3355)</f>
        <v>2024</v>
      </c>
      <c r="M3355" s="20" t="n">
        <f aca="false">IF(J3355&gt;0,K3355/J3355,0)</f>
        <v>0.12883407611731</v>
      </c>
    </row>
    <row r="3356" customFormat="false" ht="15" hidden="false" customHeight="false" outlineLevel="0" collapsed="false">
      <c r="A3356" s="15" t="s">
        <v>3413</v>
      </c>
      <c r="B3356" s="16" t="n">
        <v>45890</v>
      </c>
      <c r="C3356" s="15" t="s">
        <v>56</v>
      </c>
      <c r="D3356" s="15" t="s">
        <v>43</v>
      </c>
      <c r="E3356" s="15" t="s">
        <v>38</v>
      </c>
      <c r="F3356" s="15" t="s">
        <v>17</v>
      </c>
      <c r="G3356" s="15" t="s">
        <v>26</v>
      </c>
      <c r="H3356" s="15" t="n">
        <v>7</v>
      </c>
      <c r="I3356" s="17" t="n">
        <v>0.15</v>
      </c>
      <c r="J3356" s="18" t="n">
        <v>521.51</v>
      </c>
      <c r="K3356" s="19" t="n">
        <v>14.54</v>
      </c>
      <c r="L3356" s="15" t="n">
        <f aca="false">YEAR(B3356)</f>
        <v>2025</v>
      </c>
      <c r="M3356" s="20" t="n">
        <f aca="false">IF(J3356&gt;0,K3356/J3356,0)</f>
        <v>0.0278805775536423</v>
      </c>
    </row>
    <row r="3357" customFormat="false" ht="15" hidden="false" customHeight="false" outlineLevel="0" collapsed="false">
      <c r="A3357" s="15" t="s">
        <v>3414</v>
      </c>
      <c r="B3357" s="16" t="n">
        <v>45652</v>
      </c>
      <c r="C3357" s="15" t="s">
        <v>56</v>
      </c>
      <c r="D3357" s="15" t="s">
        <v>44</v>
      </c>
      <c r="E3357" s="15" t="s">
        <v>36</v>
      </c>
      <c r="F3357" s="15" t="s">
        <v>18</v>
      </c>
      <c r="G3357" s="15" t="s">
        <v>24</v>
      </c>
      <c r="H3357" s="15" t="n">
        <v>4</v>
      </c>
      <c r="I3357" s="17" t="n">
        <v>0</v>
      </c>
      <c r="J3357" s="18" t="n">
        <v>2458.02</v>
      </c>
      <c r="K3357" s="19" t="n">
        <v>77.55</v>
      </c>
      <c r="L3357" s="15" t="n">
        <f aca="false">YEAR(B3357)</f>
        <v>2024</v>
      </c>
      <c r="M3357" s="20" t="n">
        <f aca="false">IF(J3357&gt;0,K3357/J3357,0)</f>
        <v>0.0315497839724656</v>
      </c>
    </row>
    <row r="3358" customFormat="false" ht="15" hidden="false" customHeight="false" outlineLevel="0" collapsed="false">
      <c r="A3358" s="15" t="s">
        <v>3415</v>
      </c>
      <c r="B3358" s="16" t="n">
        <v>45859</v>
      </c>
      <c r="C3358" s="15" t="s">
        <v>68</v>
      </c>
      <c r="D3358" s="15" t="s">
        <v>42</v>
      </c>
      <c r="E3358" s="15" t="s">
        <v>36</v>
      </c>
      <c r="F3358" s="15" t="s">
        <v>17</v>
      </c>
      <c r="G3358" s="15" t="s">
        <v>31</v>
      </c>
      <c r="H3358" s="15" t="n">
        <v>4</v>
      </c>
      <c r="I3358" s="17" t="n">
        <v>0</v>
      </c>
      <c r="J3358" s="18" t="n">
        <v>503.32</v>
      </c>
      <c r="K3358" s="19" t="n">
        <v>92.75</v>
      </c>
      <c r="L3358" s="15" t="n">
        <f aca="false">YEAR(B3358)</f>
        <v>2025</v>
      </c>
      <c r="M3358" s="20" t="n">
        <f aca="false">IF(J3358&gt;0,K3358/J3358,0)</f>
        <v>0.184276404672971</v>
      </c>
    </row>
    <row r="3359" customFormat="false" ht="15" hidden="false" customHeight="false" outlineLevel="0" collapsed="false">
      <c r="A3359" s="15" t="s">
        <v>3416</v>
      </c>
      <c r="B3359" s="16" t="n">
        <v>45754</v>
      </c>
      <c r="C3359" s="15" t="s">
        <v>56</v>
      </c>
      <c r="D3359" s="15" t="s">
        <v>43</v>
      </c>
      <c r="E3359" s="15" t="s">
        <v>38</v>
      </c>
      <c r="F3359" s="15" t="s">
        <v>17</v>
      </c>
      <c r="G3359" s="15" t="s">
        <v>29</v>
      </c>
      <c r="H3359" s="15" t="n">
        <v>6</v>
      </c>
      <c r="I3359" s="17" t="n">
        <v>0</v>
      </c>
      <c r="J3359" s="18" t="n">
        <v>100.31</v>
      </c>
      <c r="K3359" s="19" t="n">
        <v>40.56</v>
      </c>
      <c r="L3359" s="15" t="n">
        <f aca="false">YEAR(B3359)</f>
        <v>2025</v>
      </c>
      <c r="M3359" s="20" t="n">
        <f aca="false">IF(J3359&gt;0,K3359/J3359,0)</f>
        <v>0.404346525770113</v>
      </c>
    </row>
    <row r="3360" customFormat="false" ht="15" hidden="false" customHeight="false" outlineLevel="0" collapsed="false">
      <c r="A3360" s="15" t="s">
        <v>3417</v>
      </c>
      <c r="B3360" s="16" t="n">
        <v>44632</v>
      </c>
      <c r="C3360" s="15" t="s">
        <v>56</v>
      </c>
      <c r="D3360" s="15" t="s">
        <v>43</v>
      </c>
      <c r="E3360" s="15" t="s">
        <v>37</v>
      </c>
      <c r="F3360" s="15" t="s">
        <v>17</v>
      </c>
      <c r="G3360" s="15" t="s">
        <v>29</v>
      </c>
      <c r="H3360" s="15" t="n">
        <v>4</v>
      </c>
      <c r="I3360" s="17" t="n">
        <v>0.05</v>
      </c>
      <c r="J3360" s="18" t="n">
        <v>95.17</v>
      </c>
      <c r="K3360" s="19" t="n">
        <v>34.16</v>
      </c>
      <c r="L3360" s="15" t="n">
        <f aca="false">YEAR(B3360)</f>
        <v>2022</v>
      </c>
      <c r="M3360" s="20" t="n">
        <f aca="false">IF(J3360&gt;0,K3360/J3360,0)</f>
        <v>0.358936639697384</v>
      </c>
    </row>
    <row r="3361" customFormat="false" ht="15" hidden="false" customHeight="false" outlineLevel="0" collapsed="false">
      <c r="A3361" s="15" t="s">
        <v>3418</v>
      </c>
      <c r="B3361" s="16" t="n">
        <v>45805</v>
      </c>
      <c r="C3361" s="15" t="s">
        <v>56</v>
      </c>
      <c r="D3361" s="15" t="s">
        <v>43</v>
      </c>
      <c r="E3361" s="15" t="s">
        <v>37</v>
      </c>
      <c r="F3361" s="15" t="s">
        <v>17</v>
      </c>
      <c r="G3361" s="15" t="s">
        <v>26</v>
      </c>
      <c r="H3361" s="15" t="n">
        <v>3</v>
      </c>
      <c r="I3361" s="17" t="n">
        <v>0</v>
      </c>
      <c r="J3361" s="18" t="n">
        <v>293.84</v>
      </c>
      <c r="K3361" s="19" t="n">
        <v>32.25</v>
      </c>
      <c r="L3361" s="15" t="n">
        <f aca="false">YEAR(B3361)</f>
        <v>2025</v>
      </c>
      <c r="M3361" s="20" t="n">
        <f aca="false">IF(J3361&gt;0,K3361/J3361,0)</f>
        <v>0.109753607405391</v>
      </c>
    </row>
    <row r="3362" customFormat="false" ht="15" hidden="false" customHeight="false" outlineLevel="0" collapsed="false">
      <c r="A3362" s="15" t="s">
        <v>3419</v>
      </c>
      <c r="B3362" s="16" t="n">
        <v>45663</v>
      </c>
      <c r="C3362" s="15" t="s">
        <v>56</v>
      </c>
      <c r="D3362" s="15" t="s">
        <v>42</v>
      </c>
      <c r="E3362" s="15" t="s">
        <v>39</v>
      </c>
      <c r="F3362" s="15" t="s">
        <v>18</v>
      </c>
      <c r="G3362" s="15" t="s">
        <v>30</v>
      </c>
      <c r="H3362" s="15" t="n">
        <v>2</v>
      </c>
      <c r="I3362" s="17" t="n">
        <v>0.1</v>
      </c>
      <c r="J3362" s="18" t="n">
        <v>69.61</v>
      </c>
      <c r="K3362" s="19" t="n">
        <v>17.33</v>
      </c>
      <c r="L3362" s="15" t="n">
        <f aca="false">YEAR(B3362)</f>
        <v>2025</v>
      </c>
      <c r="M3362" s="20" t="n">
        <f aca="false">IF(J3362&gt;0,K3362/J3362,0)</f>
        <v>0.248958482976584</v>
      </c>
    </row>
    <row r="3363" customFormat="false" ht="15" hidden="false" customHeight="false" outlineLevel="0" collapsed="false">
      <c r="A3363" s="15" t="s">
        <v>3420</v>
      </c>
      <c r="B3363" s="16" t="n">
        <v>44919</v>
      </c>
      <c r="C3363" s="15" t="s">
        <v>56</v>
      </c>
      <c r="D3363" s="15" t="s">
        <v>42</v>
      </c>
      <c r="E3363" s="15" t="s">
        <v>37</v>
      </c>
      <c r="F3363" s="15" t="s">
        <v>18</v>
      </c>
      <c r="G3363" s="15" t="s">
        <v>30</v>
      </c>
      <c r="H3363" s="15" t="n">
        <v>4</v>
      </c>
      <c r="I3363" s="17" t="n">
        <v>0.05</v>
      </c>
      <c r="J3363" s="18" t="n">
        <v>211.06</v>
      </c>
      <c r="K3363" s="19" t="n">
        <v>50.57</v>
      </c>
      <c r="L3363" s="15" t="n">
        <f aca="false">YEAR(B3363)</f>
        <v>2022</v>
      </c>
      <c r="M3363" s="20" t="n">
        <f aca="false">IF(J3363&gt;0,K3363/J3363,0)</f>
        <v>0.239600113711741</v>
      </c>
    </row>
    <row r="3364" customFormat="false" ht="15" hidden="false" customHeight="false" outlineLevel="0" collapsed="false">
      <c r="A3364" s="15" t="s">
        <v>3421</v>
      </c>
      <c r="B3364" s="16" t="n">
        <v>45980</v>
      </c>
      <c r="C3364" s="15" t="s">
        <v>56</v>
      </c>
      <c r="D3364" s="15" t="s">
        <v>44</v>
      </c>
      <c r="E3364" s="15" t="s">
        <v>37</v>
      </c>
      <c r="F3364" s="15" t="s">
        <v>17</v>
      </c>
      <c r="G3364" s="15" t="s">
        <v>26</v>
      </c>
      <c r="H3364" s="15" t="n">
        <v>4</v>
      </c>
      <c r="I3364" s="17" t="n">
        <v>0</v>
      </c>
      <c r="J3364" s="18" t="n">
        <v>391.95</v>
      </c>
      <c r="K3364" s="19" t="n">
        <v>33.81</v>
      </c>
      <c r="L3364" s="15" t="n">
        <f aca="false">YEAR(B3364)</f>
        <v>2025</v>
      </c>
      <c r="M3364" s="20" t="n">
        <f aca="false">IF(J3364&gt;0,K3364/J3364,0)</f>
        <v>0.0862610026789131</v>
      </c>
    </row>
    <row r="3365" customFormat="false" ht="15" hidden="false" customHeight="false" outlineLevel="0" collapsed="false">
      <c r="A3365" s="15" t="s">
        <v>3422</v>
      </c>
      <c r="B3365" s="16" t="n">
        <v>44978</v>
      </c>
      <c r="C3365" s="15" t="s">
        <v>56</v>
      </c>
      <c r="D3365" s="15" t="s">
        <v>42</v>
      </c>
      <c r="E3365" s="15" t="s">
        <v>38</v>
      </c>
      <c r="F3365" s="15" t="s">
        <v>18</v>
      </c>
      <c r="G3365" s="15" t="s">
        <v>30</v>
      </c>
      <c r="H3365" s="15" t="n">
        <v>2</v>
      </c>
      <c r="I3365" s="17" t="n">
        <v>0.2</v>
      </c>
      <c r="J3365" s="18" t="n">
        <v>57.13</v>
      </c>
      <c r="K3365" s="19" t="n">
        <v>6.93</v>
      </c>
      <c r="L3365" s="15" t="n">
        <f aca="false">YEAR(B3365)</f>
        <v>2023</v>
      </c>
      <c r="M3365" s="20" t="n">
        <f aca="false">IF(J3365&gt;0,K3365/J3365,0)</f>
        <v>0.121302293015929</v>
      </c>
    </row>
    <row r="3366" customFormat="false" ht="15" hidden="false" customHeight="false" outlineLevel="0" collapsed="false">
      <c r="A3366" s="15" t="s">
        <v>3423</v>
      </c>
      <c r="B3366" s="16" t="n">
        <v>45990</v>
      </c>
      <c r="C3366" s="15" t="s">
        <v>56</v>
      </c>
      <c r="D3366" s="15" t="s">
        <v>44</v>
      </c>
      <c r="E3366" s="15" t="s">
        <v>39</v>
      </c>
      <c r="F3366" s="15" t="s">
        <v>18</v>
      </c>
      <c r="G3366" s="15" t="s">
        <v>33</v>
      </c>
      <c r="H3366" s="15" t="n">
        <v>1</v>
      </c>
      <c r="I3366" s="17" t="n">
        <v>0.05</v>
      </c>
      <c r="J3366" s="18" t="n">
        <v>961.8</v>
      </c>
      <c r="K3366" s="19" t="n">
        <v>252.77</v>
      </c>
      <c r="L3366" s="15" t="n">
        <f aca="false">YEAR(B3366)</f>
        <v>2025</v>
      </c>
      <c r="M3366" s="20" t="n">
        <f aca="false">IF(J3366&gt;0,K3366/J3366,0)</f>
        <v>0.262809315866084</v>
      </c>
    </row>
    <row r="3367" customFormat="false" ht="15" hidden="false" customHeight="false" outlineLevel="0" collapsed="false">
      <c r="A3367" s="15" t="s">
        <v>3424</v>
      </c>
      <c r="B3367" s="16" t="n">
        <v>45161</v>
      </c>
      <c r="C3367" s="15" t="s">
        <v>71</v>
      </c>
      <c r="D3367" s="15" t="s">
        <v>44</v>
      </c>
      <c r="E3367" s="15" t="s">
        <v>37</v>
      </c>
      <c r="F3367" s="15" t="s">
        <v>16</v>
      </c>
      <c r="G3367" s="15" t="s">
        <v>27</v>
      </c>
      <c r="H3367" s="15" t="n">
        <v>4</v>
      </c>
      <c r="I3367" s="17" t="n">
        <v>0.1</v>
      </c>
      <c r="J3367" s="18" t="n">
        <v>218.53</v>
      </c>
      <c r="K3367" s="19" t="n">
        <v>37.54</v>
      </c>
      <c r="L3367" s="15" t="n">
        <f aca="false">YEAR(B3367)</f>
        <v>2023</v>
      </c>
      <c r="M3367" s="20" t="n">
        <f aca="false">IF(J3367&gt;0,K3367/J3367,0)</f>
        <v>0.171784194389786</v>
      </c>
    </row>
    <row r="3368" customFormat="false" ht="15" hidden="false" customHeight="false" outlineLevel="0" collapsed="false">
      <c r="A3368" s="15" t="s">
        <v>3425</v>
      </c>
      <c r="B3368" s="16" t="n">
        <v>45473</v>
      </c>
      <c r="C3368" s="15" t="s">
        <v>56</v>
      </c>
      <c r="D3368" s="15" t="s">
        <v>42</v>
      </c>
      <c r="E3368" s="15" t="s">
        <v>37</v>
      </c>
      <c r="F3368" s="15" t="s">
        <v>17</v>
      </c>
      <c r="G3368" s="15" t="s">
        <v>31</v>
      </c>
      <c r="H3368" s="15" t="n">
        <v>3</v>
      </c>
      <c r="I3368" s="17" t="n">
        <v>0</v>
      </c>
      <c r="J3368" s="18" t="n">
        <v>373</v>
      </c>
      <c r="K3368" s="19" t="n">
        <v>74.75</v>
      </c>
      <c r="L3368" s="15" t="n">
        <f aca="false">YEAR(B3368)</f>
        <v>2024</v>
      </c>
      <c r="M3368" s="20" t="n">
        <f aca="false">IF(J3368&gt;0,K3368/J3368,0)</f>
        <v>0.200402144772118</v>
      </c>
    </row>
    <row r="3369" customFormat="false" ht="15" hidden="false" customHeight="false" outlineLevel="0" collapsed="false">
      <c r="A3369" s="15" t="s">
        <v>3426</v>
      </c>
      <c r="B3369" s="16" t="n">
        <v>45636</v>
      </c>
      <c r="C3369" s="15" t="s">
        <v>58</v>
      </c>
      <c r="D3369" s="15" t="s">
        <v>42</v>
      </c>
      <c r="E3369" s="15" t="s">
        <v>38</v>
      </c>
      <c r="F3369" s="15" t="s">
        <v>17</v>
      </c>
      <c r="G3369" s="15" t="s">
        <v>28</v>
      </c>
      <c r="H3369" s="15" t="n">
        <v>6</v>
      </c>
      <c r="I3369" s="17" t="n">
        <v>0.4</v>
      </c>
      <c r="J3369" s="18" t="n">
        <v>77.06</v>
      </c>
      <c r="K3369" s="19" t="n">
        <v>-10.01</v>
      </c>
      <c r="L3369" s="15" t="n">
        <f aca="false">YEAR(B3369)</f>
        <v>2024</v>
      </c>
      <c r="M3369" s="20" t="n">
        <f aca="false">IF(J3369&gt;0,K3369/J3369,0)</f>
        <v>-0.129898780171295</v>
      </c>
    </row>
    <row r="3370" customFormat="false" ht="15" hidden="false" customHeight="false" outlineLevel="0" collapsed="false">
      <c r="A3370" s="15" t="s">
        <v>3427</v>
      </c>
      <c r="B3370" s="16" t="n">
        <v>44940</v>
      </c>
      <c r="C3370" s="15" t="s">
        <v>56</v>
      </c>
      <c r="D3370" s="15" t="s">
        <v>43</v>
      </c>
      <c r="E3370" s="15" t="s">
        <v>38</v>
      </c>
      <c r="F3370" s="15" t="s">
        <v>16</v>
      </c>
      <c r="G3370" s="15" t="s">
        <v>27</v>
      </c>
      <c r="H3370" s="15" t="n">
        <v>4</v>
      </c>
      <c r="I3370" s="17" t="n">
        <v>0</v>
      </c>
      <c r="J3370" s="18" t="n">
        <v>263.38</v>
      </c>
      <c r="K3370" s="19" t="n">
        <v>51.16</v>
      </c>
      <c r="L3370" s="15" t="n">
        <f aca="false">YEAR(B3370)</f>
        <v>2023</v>
      </c>
      <c r="M3370" s="20" t="n">
        <f aca="false">IF(J3370&gt;0,K3370/J3370,0)</f>
        <v>0.194244058015035</v>
      </c>
    </row>
    <row r="3371" customFormat="false" ht="15" hidden="false" customHeight="false" outlineLevel="0" collapsed="false">
      <c r="A3371" s="15" t="s">
        <v>3428</v>
      </c>
      <c r="B3371" s="16" t="n">
        <v>45109</v>
      </c>
      <c r="C3371" s="15" t="s">
        <v>56</v>
      </c>
      <c r="D3371" s="15" t="s">
        <v>44</v>
      </c>
      <c r="E3371" s="15" t="s">
        <v>37</v>
      </c>
      <c r="F3371" s="15" t="s">
        <v>17</v>
      </c>
      <c r="G3371" s="15" t="s">
        <v>26</v>
      </c>
      <c r="H3371" s="15" t="n">
        <v>1</v>
      </c>
      <c r="I3371" s="17" t="n">
        <v>0</v>
      </c>
      <c r="J3371" s="18" t="n">
        <v>100.09</v>
      </c>
      <c r="K3371" s="19" t="n">
        <v>10.68</v>
      </c>
      <c r="L3371" s="15" t="n">
        <f aca="false">YEAR(B3371)</f>
        <v>2023</v>
      </c>
      <c r="M3371" s="20" t="n">
        <f aca="false">IF(J3371&gt;0,K3371/J3371,0)</f>
        <v>0.106703966430213</v>
      </c>
    </row>
    <row r="3372" customFormat="false" ht="15" hidden="false" customHeight="false" outlineLevel="0" collapsed="false">
      <c r="A3372" s="15" t="s">
        <v>3429</v>
      </c>
      <c r="B3372" s="16" t="n">
        <v>45208</v>
      </c>
      <c r="C3372" s="15" t="s">
        <v>56</v>
      </c>
      <c r="D3372" s="15" t="s">
        <v>42</v>
      </c>
      <c r="E3372" s="15" t="s">
        <v>38</v>
      </c>
      <c r="F3372" s="15" t="s">
        <v>18</v>
      </c>
      <c r="G3372" s="15" t="s">
        <v>30</v>
      </c>
      <c r="H3372" s="15" t="n">
        <v>1</v>
      </c>
      <c r="I3372" s="17" t="n">
        <v>0.2</v>
      </c>
      <c r="J3372" s="18" t="n">
        <v>28.46</v>
      </c>
      <c r="K3372" s="19" t="n">
        <v>2.65</v>
      </c>
      <c r="L3372" s="15" t="n">
        <f aca="false">YEAR(B3372)</f>
        <v>2023</v>
      </c>
      <c r="M3372" s="20" t="n">
        <f aca="false">IF(J3372&gt;0,K3372/J3372,0)</f>
        <v>0.0931131412508784</v>
      </c>
    </row>
    <row r="3373" customFormat="false" ht="15" hidden="false" customHeight="false" outlineLevel="0" collapsed="false">
      <c r="A3373" s="15" t="s">
        <v>3430</v>
      </c>
      <c r="B3373" s="16" t="n">
        <v>44992</v>
      </c>
      <c r="C3373" s="15" t="s">
        <v>71</v>
      </c>
      <c r="D3373" s="15" t="s">
        <v>44</v>
      </c>
      <c r="E3373" s="15" t="s">
        <v>39</v>
      </c>
      <c r="F3373" s="15" t="s">
        <v>17</v>
      </c>
      <c r="G3373" s="15" t="s">
        <v>29</v>
      </c>
      <c r="H3373" s="15" t="n">
        <v>5</v>
      </c>
      <c r="I3373" s="17" t="n">
        <v>0.15</v>
      </c>
      <c r="J3373" s="18" t="n">
        <v>85.44</v>
      </c>
      <c r="K3373" s="19" t="n">
        <v>17.69</v>
      </c>
      <c r="L3373" s="15" t="n">
        <f aca="false">YEAR(B3373)</f>
        <v>2023</v>
      </c>
      <c r="M3373" s="20" t="n">
        <f aca="false">IF(J3373&gt;0,K3373/J3373,0)</f>
        <v>0.207045880149813</v>
      </c>
    </row>
    <row r="3374" customFormat="false" ht="15" hidden="false" customHeight="false" outlineLevel="0" collapsed="false">
      <c r="A3374" s="15" t="s">
        <v>3431</v>
      </c>
      <c r="B3374" s="16" t="n">
        <v>45842</v>
      </c>
      <c r="C3374" s="15" t="s">
        <v>58</v>
      </c>
      <c r="D3374" s="15" t="s">
        <v>44</v>
      </c>
      <c r="E3374" s="15" t="s">
        <v>38</v>
      </c>
      <c r="F3374" s="15" t="s">
        <v>18</v>
      </c>
      <c r="G3374" s="15" t="s">
        <v>30</v>
      </c>
      <c r="H3374" s="15" t="n">
        <v>3</v>
      </c>
      <c r="I3374" s="17" t="n">
        <v>0.15</v>
      </c>
      <c r="J3374" s="18" t="n">
        <v>107.81</v>
      </c>
      <c r="K3374" s="19" t="n">
        <v>15.78</v>
      </c>
      <c r="L3374" s="15" t="n">
        <f aca="false">YEAR(B3374)</f>
        <v>2025</v>
      </c>
      <c r="M3374" s="20" t="n">
        <f aca="false">IF(J3374&gt;0,K3374/J3374,0)</f>
        <v>0.146368611446063</v>
      </c>
    </row>
    <row r="3375" customFormat="false" ht="15" hidden="false" customHeight="false" outlineLevel="0" collapsed="false">
      <c r="A3375" s="15" t="s">
        <v>3432</v>
      </c>
      <c r="B3375" s="16" t="n">
        <v>45630</v>
      </c>
      <c r="C3375" s="15" t="s">
        <v>68</v>
      </c>
      <c r="D3375" s="15" t="s">
        <v>42</v>
      </c>
      <c r="E3375" s="15" t="s">
        <v>39</v>
      </c>
      <c r="F3375" s="15" t="s">
        <v>18</v>
      </c>
      <c r="G3375" s="15" t="s">
        <v>30</v>
      </c>
      <c r="H3375" s="15" t="n">
        <v>2</v>
      </c>
      <c r="I3375" s="17" t="n">
        <v>0.1</v>
      </c>
      <c r="J3375" s="18" t="n">
        <v>67.29</v>
      </c>
      <c r="K3375" s="19" t="n">
        <v>16.66</v>
      </c>
      <c r="L3375" s="15" t="n">
        <f aca="false">YEAR(B3375)</f>
        <v>2024</v>
      </c>
      <c r="M3375" s="20" t="n">
        <f aca="false">IF(J3375&gt;0,K3375/J3375,0)</f>
        <v>0.247585079506613</v>
      </c>
    </row>
    <row r="3376" customFormat="false" ht="15" hidden="false" customHeight="false" outlineLevel="0" collapsed="false">
      <c r="A3376" s="15" t="s">
        <v>3433</v>
      </c>
      <c r="B3376" s="16" t="n">
        <v>45301</v>
      </c>
      <c r="C3376" s="15" t="s">
        <v>56</v>
      </c>
      <c r="D3376" s="15" t="s">
        <v>43</v>
      </c>
      <c r="E3376" s="15" t="s">
        <v>37</v>
      </c>
      <c r="F3376" s="15" t="s">
        <v>17</v>
      </c>
      <c r="G3376" s="15" t="s">
        <v>28</v>
      </c>
      <c r="H3376" s="15" t="n">
        <v>3</v>
      </c>
      <c r="I3376" s="17" t="n">
        <v>0.15</v>
      </c>
      <c r="J3376" s="18" t="n">
        <v>71.6</v>
      </c>
      <c r="K3376" s="19" t="n">
        <v>14.44</v>
      </c>
      <c r="L3376" s="15" t="n">
        <f aca="false">YEAR(B3376)</f>
        <v>2024</v>
      </c>
      <c r="M3376" s="20" t="n">
        <f aca="false">IF(J3376&gt;0,K3376/J3376,0)</f>
        <v>0.201675977653631</v>
      </c>
    </row>
    <row r="3377" customFormat="false" ht="15" hidden="false" customHeight="false" outlineLevel="0" collapsed="false">
      <c r="A3377" s="15" t="s">
        <v>3434</v>
      </c>
      <c r="B3377" s="16" t="n">
        <v>45097</v>
      </c>
      <c r="C3377" s="15" t="s">
        <v>56</v>
      </c>
      <c r="D3377" s="15" t="s">
        <v>43</v>
      </c>
      <c r="E3377" s="15" t="s">
        <v>37</v>
      </c>
      <c r="F3377" s="15" t="s">
        <v>17</v>
      </c>
      <c r="G3377" s="15" t="s">
        <v>29</v>
      </c>
      <c r="H3377" s="15" t="n">
        <v>4</v>
      </c>
      <c r="I3377" s="17" t="n">
        <v>0</v>
      </c>
      <c r="J3377" s="18" t="n">
        <v>71.87</v>
      </c>
      <c r="K3377" s="19" t="n">
        <v>28.22</v>
      </c>
      <c r="L3377" s="15" t="n">
        <f aca="false">YEAR(B3377)</f>
        <v>2023</v>
      </c>
      <c r="M3377" s="20" t="n">
        <f aca="false">IF(J3377&gt;0,K3377/J3377,0)</f>
        <v>0.39265340197579</v>
      </c>
    </row>
    <row r="3378" customFormat="false" ht="15" hidden="false" customHeight="false" outlineLevel="0" collapsed="false">
      <c r="A3378" s="15" t="s">
        <v>3435</v>
      </c>
      <c r="B3378" s="16" t="n">
        <v>45606</v>
      </c>
      <c r="C3378" s="15" t="s">
        <v>56</v>
      </c>
      <c r="D3378" s="15" t="s">
        <v>43</v>
      </c>
      <c r="E3378" s="15" t="s">
        <v>39</v>
      </c>
      <c r="F3378" s="15" t="s">
        <v>18</v>
      </c>
      <c r="G3378" s="15" t="s">
        <v>32</v>
      </c>
      <c r="H3378" s="15" t="n">
        <v>4</v>
      </c>
      <c r="I3378" s="17" t="n">
        <v>0</v>
      </c>
      <c r="J3378" s="18" t="n">
        <v>1796.78</v>
      </c>
      <c r="K3378" s="19" t="n">
        <v>372.11</v>
      </c>
      <c r="L3378" s="15" t="n">
        <f aca="false">YEAR(B3378)</f>
        <v>2024</v>
      </c>
      <c r="M3378" s="20" t="n">
        <f aca="false">IF(J3378&gt;0,K3378/J3378,0)</f>
        <v>0.207098253542448</v>
      </c>
    </row>
    <row r="3379" customFormat="false" ht="15" hidden="false" customHeight="false" outlineLevel="0" collapsed="false">
      <c r="A3379" s="15" t="s">
        <v>3436</v>
      </c>
      <c r="B3379" s="16" t="n">
        <v>45652</v>
      </c>
      <c r="C3379" s="15" t="s">
        <v>56</v>
      </c>
      <c r="D3379" s="15" t="s">
        <v>42</v>
      </c>
      <c r="E3379" s="15" t="s">
        <v>39</v>
      </c>
      <c r="F3379" s="15" t="s">
        <v>17</v>
      </c>
      <c r="G3379" s="15" t="s">
        <v>26</v>
      </c>
      <c r="H3379" s="15" t="n">
        <v>6</v>
      </c>
      <c r="I3379" s="17" t="n">
        <v>0.05</v>
      </c>
      <c r="J3379" s="18" t="n">
        <v>592.88</v>
      </c>
      <c r="K3379" s="19" t="n">
        <v>21.14</v>
      </c>
      <c r="L3379" s="15" t="n">
        <f aca="false">YEAR(B3379)</f>
        <v>2024</v>
      </c>
      <c r="M3379" s="20" t="n">
        <f aca="false">IF(J3379&gt;0,K3379/J3379,0)</f>
        <v>0.03565645661854</v>
      </c>
    </row>
    <row r="3380" customFormat="false" ht="15" hidden="false" customHeight="false" outlineLevel="0" collapsed="false">
      <c r="A3380" s="15" t="s">
        <v>3437</v>
      </c>
      <c r="B3380" s="16" t="n">
        <v>44945</v>
      </c>
      <c r="C3380" s="15" t="s">
        <v>56</v>
      </c>
      <c r="D3380" s="15" t="s">
        <v>42</v>
      </c>
      <c r="E3380" s="15" t="s">
        <v>37</v>
      </c>
      <c r="F3380" s="15" t="s">
        <v>16</v>
      </c>
      <c r="G3380" s="15" t="s">
        <v>23</v>
      </c>
      <c r="H3380" s="15" t="n">
        <v>4</v>
      </c>
      <c r="I3380" s="17" t="n">
        <v>0</v>
      </c>
      <c r="J3380" s="18" t="n">
        <v>1377.78</v>
      </c>
      <c r="K3380" s="19" t="n">
        <v>26.5</v>
      </c>
      <c r="L3380" s="15" t="n">
        <f aca="false">YEAR(B3380)</f>
        <v>2023</v>
      </c>
      <c r="M3380" s="20" t="n">
        <f aca="false">IF(J3380&gt;0,K3380/J3380,0)</f>
        <v>0.0192338399454194</v>
      </c>
    </row>
    <row r="3381" customFormat="false" ht="15" hidden="false" customHeight="false" outlineLevel="0" collapsed="false">
      <c r="A3381" s="15" t="s">
        <v>3438</v>
      </c>
      <c r="B3381" s="16" t="n">
        <v>45950</v>
      </c>
      <c r="C3381" s="15" t="s">
        <v>56</v>
      </c>
      <c r="D3381" s="15" t="s">
        <v>43</v>
      </c>
      <c r="E3381" s="15" t="s">
        <v>39</v>
      </c>
      <c r="F3381" s="15" t="s">
        <v>18</v>
      </c>
      <c r="G3381" s="15" t="s">
        <v>33</v>
      </c>
      <c r="H3381" s="15" t="n">
        <v>1</v>
      </c>
      <c r="I3381" s="17" t="n">
        <v>0</v>
      </c>
      <c r="J3381" s="18" t="n">
        <v>889.72</v>
      </c>
      <c r="K3381" s="19" t="n">
        <v>210.74</v>
      </c>
      <c r="L3381" s="15" t="n">
        <f aca="false">YEAR(B3381)</f>
        <v>2025</v>
      </c>
      <c r="M3381" s="20" t="n">
        <f aca="false">IF(J3381&gt;0,K3381/J3381,0)</f>
        <v>0.236861034932338</v>
      </c>
    </row>
    <row r="3382" customFormat="false" ht="15" hidden="false" customHeight="false" outlineLevel="0" collapsed="false">
      <c r="A3382" s="15" t="s">
        <v>3439</v>
      </c>
      <c r="B3382" s="16" t="n">
        <v>44580</v>
      </c>
      <c r="C3382" s="15" t="s">
        <v>71</v>
      </c>
      <c r="D3382" s="15" t="s">
        <v>42</v>
      </c>
      <c r="E3382" s="15" t="s">
        <v>36</v>
      </c>
      <c r="F3382" s="15" t="s">
        <v>18</v>
      </c>
      <c r="G3382" s="15" t="s">
        <v>30</v>
      </c>
      <c r="H3382" s="15" t="n">
        <v>3</v>
      </c>
      <c r="I3382" s="17" t="n">
        <v>0.2</v>
      </c>
      <c r="J3382" s="18" t="n">
        <v>112.33</v>
      </c>
      <c r="K3382" s="19" t="n">
        <v>6</v>
      </c>
      <c r="L3382" s="15" t="n">
        <f aca="false">YEAR(B3382)</f>
        <v>2022</v>
      </c>
      <c r="M3382" s="20" t="n">
        <f aca="false">IF(J3382&gt;0,K3382/J3382,0)</f>
        <v>0.0534140478945963</v>
      </c>
    </row>
    <row r="3383" customFormat="false" ht="15" hidden="false" customHeight="false" outlineLevel="0" collapsed="false">
      <c r="A3383" s="15" t="s">
        <v>3440</v>
      </c>
      <c r="B3383" s="16" t="n">
        <v>45036</v>
      </c>
      <c r="C3383" s="15" t="s">
        <v>71</v>
      </c>
      <c r="D3383" s="15" t="s">
        <v>43</v>
      </c>
      <c r="E3383" s="15" t="s">
        <v>38</v>
      </c>
      <c r="F3383" s="15" t="s">
        <v>17</v>
      </c>
      <c r="G3383" s="15" t="s">
        <v>28</v>
      </c>
      <c r="H3383" s="15" t="n">
        <v>6</v>
      </c>
      <c r="I3383" s="17" t="n">
        <v>0</v>
      </c>
      <c r="J3383" s="18" t="n">
        <v>145.14</v>
      </c>
      <c r="K3383" s="19" t="n">
        <v>46.58</v>
      </c>
      <c r="L3383" s="15" t="n">
        <f aca="false">YEAR(B3383)</f>
        <v>2023</v>
      </c>
      <c r="M3383" s="20" t="n">
        <f aca="false">IF(J3383&gt;0,K3383/J3383,0)</f>
        <v>0.32093151439989</v>
      </c>
    </row>
    <row r="3384" customFormat="false" ht="15" hidden="false" customHeight="false" outlineLevel="0" collapsed="false">
      <c r="A3384" s="15" t="s">
        <v>3441</v>
      </c>
      <c r="B3384" s="16" t="n">
        <v>45036</v>
      </c>
      <c r="C3384" s="15" t="s">
        <v>56</v>
      </c>
      <c r="D3384" s="15" t="s">
        <v>42</v>
      </c>
      <c r="E3384" s="15" t="s">
        <v>37</v>
      </c>
      <c r="F3384" s="15" t="s">
        <v>16</v>
      </c>
      <c r="G3384" s="15" t="s">
        <v>27</v>
      </c>
      <c r="H3384" s="15" t="n">
        <v>7</v>
      </c>
      <c r="I3384" s="17" t="n">
        <v>0</v>
      </c>
      <c r="J3384" s="18" t="n">
        <v>485.39</v>
      </c>
      <c r="K3384" s="19" t="n">
        <v>123.51</v>
      </c>
      <c r="L3384" s="15" t="n">
        <f aca="false">YEAR(B3384)</f>
        <v>2023</v>
      </c>
      <c r="M3384" s="20" t="n">
        <f aca="false">IF(J3384&gt;0,K3384/J3384,0)</f>
        <v>0.254455180370424</v>
      </c>
    </row>
    <row r="3385" customFormat="false" ht="15" hidden="false" customHeight="false" outlineLevel="0" collapsed="false">
      <c r="A3385" s="15" t="s">
        <v>3442</v>
      </c>
      <c r="B3385" s="16" t="n">
        <v>45573</v>
      </c>
      <c r="C3385" s="15" t="s">
        <v>56</v>
      </c>
      <c r="D3385" s="15" t="s">
        <v>42</v>
      </c>
      <c r="E3385" s="15" t="s">
        <v>37</v>
      </c>
      <c r="F3385" s="15" t="s">
        <v>17</v>
      </c>
      <c r="G3385" s="15" t="s">
        <v>28</v>
      </c>
      <c r="H3385" s="15" t="n">
        <v>2</v>
      </c>
      <c r="I3385" s="17" t="n">
        <v>0.1</v>
      </c>
      <c r="J3385" s="18" t="n">
        <v>45.76</v>
      </c>
      <c r="K3385" s="19" t="n">
        <v>9.5</v>
      </c>
      <c r="L3385" s="15" t="n">
        <f aca="false">YEAR(B3385)</f>
        <v>2024</v>
      </c>
      <c r="M3385" s="20" t="n">
        <f aca="false">IF(J3385&gt;0,K3385/J3385,0)</f>
        <v>0.207604895104895</v>
      </c>
    </row>
    <row r="3386" customFormat="false" ht="15" hidden="false" customHeight="false" outlineLevel="0" collapsed="false">
      <c r="A3386" s="15" t="s">
        <v>3443</v>
      </c>
      <c r="B3386" s="16" t="n">
        <v>44671</v>
      </c>
      <c r="C3386" s="15" t="s">
        <v>56</v>
      </c>
      <c r="D3386" s="15" t="s">
        <v>42</v>
      </c>
      <c r="E3386" s="15" t="s">
        <v>36</v>
      </c>
      <c r="F3386" s="15" t="s">
        <v>17</v>
      </c>
      <c r="G3386" s="15" t="s">
        <v>28</v>
      </c>
      <c r="H3386" s="15" t="n">
        <v>4</v>
      </c>
      <c r="I3386" s="17" t="n">
        <v>0</v>
      </c>
      <c r="J3386" s="18" t="n">
        <v>106.7</v>
      </c>
      <c r="K3386" s="19" t="n">
        <v>27.83</v>
      </c>
      <c r="L3386" s="15" t="n">
        <f aca="false">YEAR(B3386)</f>
        <v>2022</v>
      </c>
      <c r="M3386" s="20" t="n">
        <f aca="false">IF(J3386&gt;0,K3386/J3386,0)</f>
        <v>0.260824742268041</v>
      </c>
    </row>
    <row r="3387" customFormat="false" ht="15" hidden="false" customHeight="false" outlineLevel="0" collapsed="false">
      <c r="A3387" s="15" t="s">
        <v>3444</v>
      </c>
      <c r="B3387" s="16" t="n">
        <v>45715</v>
      </c>
      <c r="C3387" s="15" t="s">
        <v>71</v>
      </c>
      <c r="D3387" s="15" t="s">
        <v>43</v>
      </c>
      <c r="E3387" s="15" t="s">
        <v>36</v>
      </c>
      <c r="F3387" s="15" t="s">
        <v>17</v>
      </c>
      <c r="G3387" s="15" t="s">
        <v>26</v>
      </c>
      <c r="H3387" s="15" t="n">
        <v>2</v>
      </c>
      <c r="I3387" s="17" t="n">
        <v>0</v>
      </c>
      <c r="J3387" s="18" t="n">
        <v>176.31</v>
      </c>
      <c r="K3387" s="19" t="n">
        <v>16.31</v>
      </c>
      <c r="L3387" s="15" t="n">
        <f aca="false">YEAR(B3387)</f>
        <v>2025</v>
      </c>
      <c r="M3387" s="20" t="n">
        <f aca="false">IF(J3387&gt;0,K3387/J3387,0)</f>
        <v>0.09250751517214</v>
      </c>
    </row>
    <row r="3388" customFormat="false" ht="15" hidden="false" customHeight="false" outlineLevel="0" collapsed="false">
      <c r="A3388" s="15" t="s">
        <v>3445</v>
      </c>
      <c r="B3388" s="16" t="n">
        <v>45382</v>
      </c>
      <c r="C3388" s="15" t="s">
        <v>68</v>
      </c>
      <c r="D3388" s="15" t="s">
        <v>42</v>
      </c>
      <c r="E3388" s="15" t="s">
        <v>38</v>
      </c>
      <c r="F3388" s="15" t="s">
        <v>17</v>
      </c>
      <c r="G3388" s="15" t="s">
        <v>28</v>
      </c>
      <c r="H3388" s="15" t="n">
        <v>6</v>
      </c>
      <c r="I3388" s="17" t="n">
        <v>0.3</v>
      </c>
      <c r="J3388" s="18" t="n">
        <v>91.05</v>
      </c>
      <c r="K3388" s="19" t="n">
        <v>-0.38</v>
      </c>
      <c r="L3388" s="15" t="n">
        <f aca="false">YEAR(B3388)</f>
        <v>2024</v>
      </c>
      <c r="M3388" s="20" t="n">
        <f aca="false">IF(J3388&gt;0,K3388/J3388,0)</f>
        <v>-0.00417353102690829</v>
      </c>
    </row>
    <row r="3389" customFormat="false" ht="15" hidden="false" customHeight="false" outlineLevel="0" collapsed="false">
      <c r="A3389" s="15" t="s">
        <v>3446</v>
      </c>
      <c r="B3389" s="16" t="n">
        <v>45399</v>
      </c>
      <c r="C3389" s="15" t="s">
        <v>71</v>
      </c>
      <c r="D3389" s="15" t="s">
        <v>44</v>
      </c>
      <c r="E3389" s="15" t="s">
        <v>36</v>
      </c>
      <c r="F3389" s="15" t="s">
        <v>17</v>
      </c>
      <c r="G3389" s="15" t="s">
        <v>28</v>
      </c>
      <c r="H3389" s="15" t="n">
        <v>3</v>
      </c>
      <c r="I3389" s="17" t="n">
        <v>0</v>
      </c>
      <c r="J3389" s="18" t="n">
        <v>78.01</v>
      </c>
      <c r="K3389" s="19" t="n">
        <v>25.44</v>
      </c>
      <c r="L3389" s="15" t="n">
        <f aca="false">YEAR(B3389)</f>
        <v>2024</v>
      </c>
      <c r="M3389" s="20" t="n">
        <f aca="false">IF(J3389&gt;0,K3389/J3389,0)</f>
        <v>0.326112036918344</v>
      </c>
    </row>
    <row r="3390" customFormat="false" ht="15" hidden="false" customHeight="false" outlineLevel="0" collapsed="false">
      <c r="A3390" s="15" t="s">
        <v>3447</v>
      </c>
      <c r="B3390" s="16" t="n">
        <v>45833</v>
      </c>
      <c r="C3390" s="15" t="s">
        <v>56</v>
      </c>
      <c r="D3390" s="15" t="s">
        <v>43</v>
      </c>
      <c r="E3390" s="15" t="s">
        <v>39</v>
      </c>
      <c r="F3390" s="15" t="s">
        <v>16</v>
      </c>
      <c r="G3390" s="15" t="s">
        <v>25</v>
      </c>
      <c r="H3390" s="15" t="n">
        <v>4</v>
      </c>
      <c r="I3390" s="17" t="n">
        <v>0</v>
      </c>
      <c r="J3390" s="18" t="n">
        <v>1492.56</v>
      </c>
      <c r="K3390" s="19" t="n">
        <v>112.43</v>
      </c>
      <c r="L3390" s="15" t="n">
        <f aca="false">YEAR(B3390)</f>
        <v>2025</v>
      </c>
      <c r="M3390" s="20" t="n">
        <f aca="false">IF(J3390&gt;0,K3390/J3390,0)</f>
        <v>0.0753269550302835</v>
      </c>
    </row>
    <row r="3391" customFormat="false" ht="15" hidden="false" customHeight="false" outlineLevel="0" collapsed="false">
      <c r="A3391" s="15" t="s">
        <v>3448</v>
      </c>
      <c r="B3391" s="16" t="n">
        <v>45974</v>
      </c>
      <c r="C3391" s="15" t="s">
        <v>58</v>
      </c>
      <c r="D3391" s="15" t="s">
        <v>43</v>
      </c>
      <c r="E3391" s="15" t="s">
        <v>38</v>
      </c>
      <c r="F3391" s="15" t="s">
        <v>17</v>
      </c>
      <c r="G3391" s="15" t="s">
        <v>29</v>
      </c>
      <c r="H3391" s="15" t="n">
        <v>2</v>
      </c>
      <c r="I3391" s="17" t="n">
        <v>0.1</v>
      </c>
      <c r="J3391" s="18" t="n">
        <v>31.48</v>
      </c>
      <c r="K3391" s="19" t="n">
        <v>9.13</v>
      </c>
      <c r="L3391" s="15" t="n">
        <f aca="false">YEAR(B3391)</f>
        <v>2025</v>
      </c>
      <c r="M3391" s="20" t="n">
        <f aca="false">IF(J3391&gt;0,K3391/J3391,0)</f>
        <v>0.29002541296061</v>
      </c>
    </row>
    <row r="3392" customFormat="false" ht="15" hidden="false" customHeight="false" outlineLevel="0" collapsed="false">
      <c r="A3392" s="15" t="s">
        <v>3449</v>
      </c>
      <c r="B3392" s="16" t="n">
        <v>45447</v>
      </c>
      <c r="C3392" s="15" t="s">
        <v>56</v>
      </c>
      <c r="D3392" s="15" t="s">
        <v>42</v>
      </c>
      <c r="E3392" s="15" t="s">
        <v>38</v>
      </c>
      <c r="F3392" s="15" t="s">
        <v>17</v>
      </c>
      <c r="G3392" s="15" t="s">
        <v>26</v>
      </c>
      <c r="H3392" s="15" t="n">
        <v>4</v>
      </c>
      <c r="I3392" s="17" t="n">
        <v>0</v>
      </c>
      <c r="J3392" s="18" t="n">
        <v>260.31</v>
      </c>
      <c r="K3392" s="19" t="n">
        <v>31.14</v>
      </c>
      <c r="L3392" s="15" t="n">
        <f aca="false">YEAR(B3392)</f>
        <v>2024</v>
      </c>
      <c r="M3392" s="20" t="n">
        <f aca="false">IF(J3392&gt;0,K3392/J3392,0)</f>
        <v>0.119626599054973</v>
      </c>
    </row>
    <row r="3393" customFormat="false" ht="15" hidden="false" customHeight="false" outlineLevel="0" collapsed="false">
      <c r="A3393" s="15" t="s">
        <v>3450</v>
      </c>
      <c r="B3393" s="16" t="n">
        <v>45789</v>
      </c>
      <c r="C3393" s="15" t="s">
        <v>56</v>
      </c>
      <c r="D3393" s="15" t="s">
        <v>42</v>
      </c>
      <c r="E3393" s="15" t="s">
        <v>37</v>
      </c>
      <c r="F3393" s="15" t="s">
        <v>18</v>
      </c>
      <c r="G3393" s="15" t="s">
        <v>33</v>
      </c>
      <c r="H3393" s="15" t="n">
        <v>3</v>
      </c>
      <c r="I3393" s="17" t="n">
        <v>0.2</v>
      </c>
      <c r="J3393" s="18" t="n">
        <v>1963.71</v>
      </c>
      <c r="K3393" s="19" t="n">
        <v>268.53</v>
      </c>
      <c r="L3393" s="15" t="n">
        <f aca="false">YEAR(B3393)</f>
        <v>2025</v>
      </c>
      <c r="M3393" s="20" t="n">
        <f aca="false">IF(J3393&gt;0,K3393/J3393,0)</f>
        <v>0.136746260904105</v>
      </c>
    </row>
    <row r="3394" customFormat="false" ht="15" hidden="false" customHeight="false" outlineLevel="0" collapsed="false">
      <c r="A3394" s="15" t="s">
        <v>3451</v>
      </c>
      <c r="B3394" s="16" t="n">
        <v>45700</v>
      </c>
      <c r="C3394" s="15" t="s">
        <v>71</v>
      </c>
      <c r="D3394" s="15" t="s">
        <v>43</v>
      </c>
      <c r="E3394" s="15" t="s">
        <v>39</v>
      </c>
      <c r="F3394" s="15" t="s">
        <v>17</v>
      </c>
      <c r="G3394" s="15" t="s">
        <v>28</v>
      </c>
      <c r="H3394" s="15" t="n">
        <v>5</v>
      </c>
      <c r="I3394" s="17" t="n">
        <v>0</v>
      </c>
      <c r="J3394" s="18" t="n">
        <v>129.41</v>
      </c>
      <c r="K3394" s="19" t="n">
        <v>35.61</v>
      </c>
      <c r="L3394" s="15" t="n">
        <f aca="false">YEAR(B3394)</f>
        <v>2025</v>
      </c>
      <c r="M3394" s="20" t="n">
        <f aca="false">IF(J3394&gt;0,K3394/J3394,0)</f>
        <v>0.275171934162739</v>
      </c>
    </row>
    <row r="3395" customFormat="false" ht="15" hidden="false" customHeight="false" outlineLevel="0" collapsed="false">
      <c r="A3395" s="15" t="s">
        <v>3452</v>
      </c>
      <c r="B3395" s="16" t="n">
        <v>45725</v>
      </c>
      <c r="C3395" s="15" t="s">
        <v>71</v>
      </c>
      <c r="D3395" s="15" t="s">
        <v>42</v>
      </c>
      <c r="E3395" s="15" t="s">
        <v>37</v>
      </c>
      <c r="F3395" s="15" t="s">
        <v>17</v>
      </c>
      <c r="G3395" s="15" t="s">
        <v>29</v>
      </c>
      <c r="H3395" s="15" t="n">
        <v>5</v>
      </c>
      <c r="I3395" s="17" t="n">
        <v>0</v>
      </c>
      <c r="J3395" s="18" t="n">
        <v>89.29</v>
      </c>
      <c r="K3395" s="19" t="n">
        <v>39.83</v>
      </c>
      <c r="L3395" s="15" t="n">
        <f aca="false">YEAR(B3395)</f>
        <v>2025</v>
      </c>
      <c r="M3395" s="20" t="n">
        <f aca="false">IF(J3395&gt;0,K3395/J3395,0)</f>
        <v>0.446074588419756</v>
      </c>
    </row>
    <row r="3396" customFormat="false" ht="15" hidden="false" customHeight="false" outlineLevel="0" collapsed="false">
      <c r="A3396" s="15" t="s">
        <v>3453</v>
      </c>
      <c r="B3396" s="16" t="n">
        <v>45230</v>
      </c>
      <c r="C3396" s="15" t="s">
        <v>58</v>
      </c>
      <c r="D3396" s="15" t="s">
        <v>43</v>
      </c>
      <c r="E3396" s="15" t="s">
        <v>39</v>
      </c>
      <c r="F3396" s="15" t="s">
        <v>17</v>
      </c>
      <c r="G3396" s="15" t="s">
        <v>29</v>
      </c>
      <c r="H3396" s="15" t="n">
        <v>3</v>
      </c>
      <c r="I3396" s="17" t="n">
        <v>0.15</v>
      </c>
      <c r="J3396" s="18" t="n">
        <v>53.51</v>
      </c>
      <c r="K3396" s="19" t="n">
        <v>15.24</v>
      </c>
      <c r="L3396" s="15" t="n">
        <f aca="false">YEAR(B3396)</f>
        <v>2023</v>
      </c>
      <c r="M3396" s="20" t="n">
        <f aca="false">IF(J3396&gt;0,K3396/J3396,0)</f>
        <v>0.28480657820968</v>
      </c>
    </row>
    <row r="3397" customFormat="false" ht="15" hidden="false" customHeight="false" outlineLevel="0" collapsed="false">
      <c r="A3397" s="15" t="s">
        <v>3454</v>
      </c>
      <c r="B3397" s="16" t="n">
        <v>45638</v>
      </c>
      <c r="C3397" s="15" t="s">
        <v>56</v>
      </c>
      <c r="D3397" s="15" t="s">
        <v>43</v>
      </c>
      <c r="E3397" s="15" t="s">
        <v>39</v>
      </c>
      <c r="F3397" s="15" t="s">
        <v>18</v>
      </c>
      <c r="G3397" s="15" t="s">
        <v>30</v>
      </c>
      <c r="H3397" s="15" t="n">
        <v>5</v>
      </c>
      <c r="I3397" s="17" t="n">
        <v>0</v>
      </c>
      <c r="J3397" s="18" t="n">
        <v>306.98</v>
      </c>
      <c r="K3397" s="19" t="n">
        <v>100.82</v>
      </c>
      <c r="L3397" s="15" t="n">
        <f aca="false">YEAR(B3397)</f>
        <v>2024</v>
      </c>
      <c r="M3397" s="20" t="n">
        <f aca="false">IF(J3397&gt;0,K3397/J3397,0)</f>
        <v>0.328425304580103</v>
      </c>
    </row>
    <row r="3398" customFormat="false" ht="15" hidden="false" customHeight="false" outlineLevel="0" collapsed="false">
      <c r="A3398" s="15" t="s">
        <v>3455</v>
      </c>
      <c r="B3398" s="16" t="n">
        <v>44628</v>
      </c>
      <c r="C3398" s="15" t="s">
        <v>56</v>
      </c>
      <c r="D3398" s="15" t="s">
        <v>43</v>
      </c>
      <c r="E3398" s="15" t="s">
        <v>37</v>
      </c>
      <c r="F3398" s="15" t="s">
        <v>16</v>
      </c>
      <c r="G3398" s="15" t="s">
        <v>25</v>
      </c>
      <c r="H3398" s="15" t="n">
        <v>2</v>
      </c>
      <c r="I3398" s="17" t="n">
        <v>0.1</v>
      </c>
      <c r="J3398" s="18" t="n">
        <v>542.74</v>
      </c>
      <c r="K3398" s="19" t="n">
        <v>15.57</v>
      </c>
      <c r="L3398" s="15" t="n">
        <f aca="false">YEAR(B3398)</f>
        <v>2022</v>
      </c>
      <c r="M3398" s="20" t="n">
        <f aca="false">IF(J3398&gt;0,K3398/J3398,0)</f>
        <v>0.0286877694660427</v>
      </c>
    </row>
    <row r="3399" customFormat="false" ht="15" hidden="false" customHeight="false" outlineLevel="0" collapsed="false">
      <c r="A3399" s="15" t="s">
        <v>3456</v>
      </c>
      <c r="B3399" s="16" t="n">
        <v>44753</v>
      </c>
      <c r="C3399" s="15" t="s">
        <v>56</v>
      </c>
      <c r="D3399" s="15" t="s">
        <v>43</v>
      </c>
      <c r="E3399" s="15" t="s">
        <v>39</v>
      </c>
      <c r="F3399" s="15" t="s">
        <v>18</v>
      </c>
      <c r="G3399" s="15" t="s">
        <v>24</v>
      </c>
      <c r="H3399" s="15" t="n">
        <v>4</v>
      </c>
      <c r="I3399" s="17" t="n">
        <v>0</v>
      </c>
      <c r="J3399" s="18" t="n">
        <v>2870.16</v>
      </c>
      <c r="K3399" s="19" t="n">
        <v>260.43</v>
      </c>
      <c r="L3399" s="15" t="n">
        <f aca="false">YEAR(B3399)</f>
        <v>2022</v>
      </c>
      <c r="M3399" s="20" t="n">
        <f aca="false">IF(J3399&gt;0,K3399/J3399,0)</f>
        <v>0.0907371017643616</v>
      </c>
    </row>
    <row r="3400" customFormat="false" ht="15" hidden="false" customHeight="false" outlineLevel="0" collapsed="false">
      <c r="A3400" s="15" t="s">
        <v>3457</v>
      </c>
      <c r="B3400" s="16" t="n">
        <v>44862</v>
      </c>
      <c r="C3400" s="15" t="s">
        <v>71</v>
      </c>
      <c r="D3400" s="15" t="s">
        <v>42</v>
      </c>
      <c r="E3400" s="15" t="s">
        <v>38</v>
      </c>
      <c r="F3400" s="15" t="s">
        <v>17</v>
      </c>
      <c r="G3400" s="15" t="s">
        <v>28</v>
      </c>
      <c r="H3400" s="15" t="n">
        <v>3</v>
      </c>
      <c r="I3400" s="17" t="n">
        <v>0.1</v>
      </c>
      <c r="J3400" s="18" t="n">
        <v>62.22</v>
      </c>
      <c r="K3400" s="19" t="n">
        <v>14.3</v>
      </c>
      <c r="L3400" s="15" t="n">
        <f aca="false">YEAR(B3400)</f>
        <v>2022</v>
      </c>
      <c r="M3400" s="20" t="n">
        <f aca="false">IF(J3400&gt;0,K3400/J3400,0)</f>
        <v>0.229829636772742</v>
      </c>
    </row>
    <row r="3401" customFormat="false" ht="15" hidden="false" customHeight="false" outlineLevel="0" collapsed="false">
      <c r="A3401" s="15" t="s">
        <v>3458</v>
      </c>
      <c r="B3401" s="16" t="n">
        <v>45165</v>
      </c>
      <c r="C3401" s="15" t="s">
        <v>56</v>
      </c>
      <c r="D3401" s="15" t="s">
        <v>42</v>
      </c>
      <c r="E3401" s="15" t="s">
        <v>39</v>
      </c>
      <c r="F3401" s="15" t="s">
        <v>18</v>
      </c>
      <c r="G3401" s="15" t="s">
        <v>30</v>
      </c>
      <c r="H3401" s="15" t="n">
        <v>3</v>
      </c>
      <c r="I3401" s="17" t="n">
        <v>0</v>
      </c>
      <c r="J3401" s="18" t="n">
        <v>160.74</v>
      </c>
      <c r="K3401" s="19" t="n">
        <v>42.2</v>
      </c>
      <c r="L3401" s="15" t="n">
        <f aca="false">YEAR(B3401)</f>
        <v>2023</v>
      </c>
      <c r="M3401" s="20" t="n">
        <f aca="false">IF(J3401&gt;0,K3401/J3401,0)</f>
        <v>0.262535772054249</v>
      </c>
    </row>
    <row r="3402" customFormat="false" ht="15" hidden="false" customHeight="false" outlineLevel="0" collapsed="false">
      <c r="A3402" s="15" t="s">
        <v>3459</v>
      </c>
      <c r="B3402" s="16" t="n">
        <v>45415</v>
      </c>
      <c r="C3402" s="15" t="s">
        <v>58</v>
      </c>
      <c r="D3402" s="15" t="s">
        <v>43</v>
      </c>
      <c r="E3402" s="15" t="s">
        <v>37</v>
      </c>
      <c r="F3402" s="15" t="s">
        <v>18</v>
      </c>
      <c r="G3402" s="15" t="s">
        <v>30</v>
      </c>
      <c r="H3402" s="15" t="n">
        <v>5</v>
      </c>
      <c r="I3402" s="17" t="n">
        <v>0.1</v>
      </c>
      <c r="J3402" s="18" t="n">
        <v>265.69</v>
      </c>
      <c r="K3402" s="19" t="n">
        <v>55.7</v>
      </c>
      <c r="L3402" s="15" t="n">
        <f aca="false">YEAR(B3402)</f>
        <v>2024</v>
      </c>
      <c r="M3402" s="20" t="n">
        <f aca="false">IF(J3402&gt;0,K3402/J3402,0)</f>
        <v>0.209642816816591</v>
      </c>
    </row>
    <row r="3403" customFormat="false" ht="15" hidden="false" customHeight="false" outlineLevel="0" collapsed="false">
      <c r="A3403" s="15" t="s">
        <v>3460</v>
      </c>
      <c r="B3403" s="16" t="n">
        <v>44794</v>
      </c>
      <c r="C3403" s="15" t="s">
        <v>56</v>
      </c>
      <c r="D3403" s="15" t="s">
        <v>43</v>
      </c>
      <c r="E3403" s="15" t="s">
        <v>38</v>
      </c>
      <c r="F3403" s="15" t="s">
        <v>17</v>
      </c>
      <c r="G3403" s="15" t="s">
        <v>26</v>
      </c>
      <c r="H3403" s="15" t="n">
        <v>5</v>
      </c>
      <c r="I3403" s="17" t="n">
        <v>0</v>
      </c>
      <c r="J3403" s="18" t="n">
        <v>497.41</v>
      </c>
      <c r="K3403" s="19" t="n">
        <v>72.58</v>
      </c>
      <c r="L3403" s="15" t="n">
        <f aca="false">YEAR(B3403)</f>
        <v>2022</v>
      </c>
      <c r="M3403" s="20" t="n">
        <f aca="false">IF(J3403&gt;0,K3403/J3403,0)</f>
        <v>0.145915844072294</v>
      </c>
    </row>
    <row r="3404" customFormat="false" ht="15" hidden="false" customHeight="false" outlineLevel="0" collapsed="false">
      <c r="A3404" s="15" t="s">
        <v>3461</v>
      </c>
      <c r="B3404" s="16" t="n">
        <v>44759</v>
      </c>
      <c r="C3404" s="15" t="s">
        <v>58</v>
      </c>
      <c r="D3404" s="15" t="s">
        <v>42</v>
      </c>
      <c r="E3404" s="15" t="s">
        <v>37</v>
      </c>
      <c r="F3404" s="15" t="s">
        <v>17</v>
      </c>
      <c r="G3404" s="15" t="s">
        <v>29</v>
      </c>
      <c r="H3404" s="15" t="n">
        <v>3</v>
      </c>
      <c r="I3404" s="17" t="n">
        <v>0.15</v>
      </c>
      <c r="J3404" s="18" t="n">
        <v>43.49</v>
      </c>
      <c r="K3404" s="19" t="n">
        <v>12.72</v>
      </c>
      <c r="L3404" s="15" t="n">
        <f aca="false">YEAR(B3404)</f>
        <v>2022</v>
      </c>
      <c r="M3404" s="20" t="n">
        <f aca="false">IF(J3404&gt;0,K3404/J3404,0)</f>
        <v>0.292481030121867</v>
      </c>
    </row>
    <row r="3405" customFormat="false" ht="15" hidden="false" customHeight="false" outlineLevel="0" collapsed="false">
      <c r="A3405" s="15" t="s">
        <v>3462</v>
      </c>
      <c r="B3405" s="16" t="n">
        <v>45002</v>
      </c>
      <c r="C3405" s="15" t="s">
        <v>56</v>
      </c>
      <c r="D3405" s="15" t="s">
        <v>43</v>
      </c>
      <c r="E3405" s="15" t="s">
        <v>37</v>
      </c>
      <c r="F3405" s="15" t="s">
        <v>17</v>
      </c>
      <c r="G3405" s="15" t="s">
        <v>29</v>
      </c>
      <c r="H3405" s="15" t="n">
        <v>6</v>
      </c>
      <c r="I3405" s="17" t="n">
        <v>0.2</v>
      </c>
      <c r="J3405" s="18" t="n">
        <v>84.35</v>
      </c>
      <c r="K3405" s="19" t="n">
        <v>12.29</v>
      </c>
      <c r="L3405" s="15" t="n">
        <f aca="false">YEAR(B3405)</f>
        <v>2023</v>
      </c>
      <c r="M3405" s="20" t="n">
        <f aca="false">IF(J3405&gt;0,K3405/J3405,0)</f>
        <v>0.145702430349733</v>
      </c>
    </row>
    <row r="3406" customFormat="false" ht="15" hidden="false" customHeight="false" outlineLevel="0" collapsed="false">
      <c r="A3406" s="15" t="s">
        <v>3463</v>
      </c>
      <c r="B3406" s="16" t="n">
        <v>45873</v>
      </c>
      <c r="C3406" s="15" t="s">
        <v>56</v>
      </c>
      <c r="D3406" s="15" t="s">
        <v>44</v>
      </c>
      <c r="E3406" s="15" t="s">
        <v>36</v>
      </c>
      <c r="F3406" s="15" t="s">
        <v>16</v>
      </c>
      <c r="G3406" s="15" t="s">
        <v>23</v>
      </c>
      <c r="H3406" s="15" t="n">
        <v>5</v>
      </c>
      <c r="I3406" s="17" t="n">
        <v>0.3</v>
      </c>
      <c r="J3406" s="18" t="n">
        <v>1064.47</v>
      </c>
      <c r="K3406" s="19" t="n">
        <v>-198.8</v>
      </c>
      <c r="L3406" s="15" t="n">
        <f aca="false">YEAR(B3406)</f>
        <v>2025</v>
      </c>
      <c r="M3406" s="20" t="n">
        <f aca="false">IF(J3406&gt;0,K3406/J3406,0)</f>
        <v>-0.186759608067865</v>
      </c>
    </row>
    <row r="3407" customFormat="false" ht="15" hidden="false" customHeight="false" outlineLevel="0" collapsed="false">
      <c r="A3407" s="15" t="s">
        <v>3464</v>
      </c>
      <c r="B3407" s="16" t="n">
        <v>45939</v>
      </c>
      <c r="C3407" s="15" t="s">
        <v>56</v>
      </c>
      <c r="D3407" s="15" t="s">
        <v>42</v>
      </c>
      <c r="E3407" s="15" t="s">
        <v>36</v>
      </c>
      <c r="F3407" s="15" t="s">
        <v>18</v>
      </c>
      <c r="G3407" s="15" t="s">
        <v>33</v>
      </c>
      <c r="H3407" s="15" t="n">
        <v>4</v>
      </c>
      <c r="I3407" s="17" t="n">
        <v>0.5</v>
      </c>
      <c r="J3407" s="18" t="n">
        <v>1923.35</v>
      </c>
      <c r="K3407" s="19" t="n">
        <v>-215.55</v>
      </c>
      <c r="L3407" s="15" t="n">
        <f aca="false">YEAR(B3407)</f>
        <v>2025</v>
      </c>
      <c r="M3407" s="20" t="n">
        <f aca="false">IF(J3407&gt;0,K3407/J3407,0)</f>
        <v>-0.112070086047781</v>
      </c>
    </row>
    <row r="3408" customFormat="false" ht="15" hidden="false" customHeight="false" outlineLevel="0" collapsed="false">
      <c r="A3408" s="15" t="s">
        <v>3465</v>
      </c>
      <c r="B3408" s="16" t="n">
        <v>44893</v>
      </c>
      <c r="C3408" s="15" t="s">
        <v>56</v>
      </c>
      <c r="D3408" s="15" t="s">
        <v>42</v>
      </c>
      <c r="E3408" s="15" t="s">
        <v>37</v>
      </c>
      <c r="F3408" s="15" t="s">
        <v>17</v>
      </c>
      <c r="G3408" s="15" t="s">
        <v>26</v>
      </c>
      <c r="H3408" s="15" t="n">
        <v>5</v>
      </c>
      <c r="I3408" s="17" t="n">
        <v>0</v>
      </c>
      <c r="J3408" s="18" t="n">
        <v>446.59</v>
      </c>
      <c r="K3408" s="19" t="n">
        <v>25.03</v>
      </c>
      <c r="L3408" s="15" t="n">
        <f aca="false">YEAR(B3408)</f>
        <v>2022</v>
      </c>
      <c r="M3408" s="20" t="n">
        <f aca="false">IF(J3408&gt;0,K3408/J3408,0)</f>
        <v>0.0560469334288721</v>
      </c>
    </row>
    <row r="3409" customFormat="false" ht="15" hidden="false" customHeight="false" outlineLevel="0" collapsed="false">
      <c r="A3409" s="15" t="s">
        <v>3466</v>
      </c>
      <c r="B3409" s="16" t="n">
        <v>45144</v>
      </c>
      <c r="C3409" s="15" t="s">
        <v>56</v>
      </c>
      <c r="D3409" s="15" t="s">
        <v>42</v>
      </c>
      <c r="E3409" s="15" t="s">
        <v>37</v>
      </c>
      <c r="F3409" s="15" t="s">
        <v>16</v>
      </c>
      <c r="G3409" s="15" t="s">
        <v>27</v>
      </c>
      <c r="H3409" s="15" t="n">
        <v>2</v>
      </c>
      <c r="I3409" s="17" t="n">
        <v>0</v>
      </c>
      <c r="J3409" s="18" t="n">
        <v>115.5</v>
      </c>
      <c r="K3409" s="19" t="n">
        <v>21.32</v>
      </c>
      <c r="L3409" s="15" t="n">
        <f aca="false">YEAR(B3409)</f>
        <v>2023</v>
      </c>
      <c r="M3409" s="20" t="n">
        <f aca="false">IF(J3409&gt;0,K3409/J3409,0)</f>
        <v>0.184588744588745</v>
      </c>
    </row>
    <row r="3410" customFormat="false" ht="15" hidden="false" customHeight="false" outlineLevel="0" collapsed="false">
      <c r="A3410" s="15" t="s">
        <v>3467</v>
      </c>
      <c r="B3410" s="16" t="n">
        <v>45812</v>
      </c>
      <c r="C3410" s="15" t="s">
        <v>68</v>
      </c>
      <c r="D3410" s="15" t="s">
        <v>42</v>
      </c>
      <c r="E3410" s="15" t="s">
        <v>37</v>
      </c>
      <c r="F3410" s="15" t="s">
        <v>16</v>
      </c>
      <c r="G3410" s="15" t="s">
        <v>27</v>
      </c>
      <c r="H3410" s="15" t="n">
        <v>2</v>
      </c>
      <c r="I3410" s="17" t="n">
        <v>0.3</v>
      </c>
      <c r="J3410" s="18" t="n">
        <v>82.5</v>
      </c>
      <c r="K3410" s="19" t="n">
        <v>-7.92</v>
      </c>
      <c r="L3410" s="15" t="n">
        <f aca="false">YEAR(B3410)</f>
        <v>2025</v>
      </c>
      <c r="M3410" s="20" t="n">
        <f aca="false">IF(J3410&gt;0,K3410/J3410,0)</f>
        <v>-0.096</v>
      </c>
    </row>
    <row r="3411" customFormat="false" ht="15" hidden="false" customHeight="false" outlineLevel="0" collapsed="false">
      <c r="A3411" s="15" t="s">
        <v>3468</v>
      </c>
      <c r="B3411" s="16" t="n">
        <v>45808</v>
      </c>
      <c r="C3411" s="15" t="s">
        <v>56</v>
      </c>
      <c r="D3411" s="15" t="s">
        <v>43</v>
      </c>
      <c r="E3411" s="15" t="s">
        <v>39</v>
      </c>
      <c r="F3411" s="15" t="s">
        <v>17</v>
      </c>
      <c r="G3411" s="15" t="s">
        <v>31</v>
      </c>
      <c r="H3411" s="15" t="n">
        <v>2</v>
      </c>
      <c r="I3411" s="17" t="n">
        <v>0.1</v>
      </c>
      <c r="J3411" s="18" t="n">
        <v>276.9</v>
      </c>
      <c r="K3411" s="19" t="n">
        <v>19.43</v>
      </c>
      <c r="L3411" s="15" t="n">
        <f aca="false">YEAR(B3411)</f>
        <v>2025</v>
      </c>
      <c r="M3411" s="20" t="n">
        <f aca="false">IF(J3411&gt;0,K3411/J3411,0)</f>
        <v>0.0701697363669195</v>
      </c>
    </row>
    <row r="3412" customFormat="false" ht="15" hidden="false" customHeight="false" outlineLevel="0" collapsed="false">
      <c r="A3412" s="15" t="s">
        <v>3469</v>
      </c>
      <c r="B3412" s="16" t="n">
        <v>45247</v>
      </c>
      <c r="C3412" s="15" t="s">
        <v>68</v>
      </c>
      <c r="D3412" s="15" t="s">
        <v>44</v>
      </c>
      <c r="E3412" s="15" t="s">
        <v>39</v>
      </c>
      <c r="F3412" s="15" t="s">
        <v>17</v>
      </c>
      <c r="G3412" s="15" t="s">
        <v>28</v>
      </c>
      <c r="H3412" s="15" t="n">
        <v>3</v>
      </c>
      <c r="I3412" s="17" t="n">
        <v>0.2</v>
      </c>
      <c r="J3412" s="18" t="n">
        <v>66.56</v>
      </c>
      <c r="K3412" s="19" t="n">
        <v>7.12</v>
      </c>
      <c r="L3412" s="15" t="n">
        <f aca="false">YEAR(B3412)</f>
        <v>2023</v>
      </c>
      <c r="M3412" s="20" t="n">
        <f aca="false">IF(J3412&gt;0,K3412/J3412,0)</f>
        <v>0.106971153846154</v>
      </c>
    </row>
    <row r="3413" customFormat="false" ht="15" hidden="false" customHeight="false" outlineLevel="0" collapsed="false">
      <c r="A3413" s="15" t="s">
        <v>3470</v>
      </c>
      <c r="B3413" s="16" t="n">
        <v>44727</v>
      </c>
      <c r="C3413" s="15" t="s">
        <v>68</v>
      </c>
      <c r="D3413" s="15" t="s">
        <v>42</v>
      </c>
      <c r="E3413" s="15" t="s">
        <v>38</v>
      </c>
      <c r="F3413" s="15" t="s">
        <v>18</v>
      </c>
      <c r="G3413" s="15" t="s">
        <v>30</v>
      </c>
      <c r="H3413" s="15" t="n">
        <v>4</v>
      </c>
      <c r="I3413" s="17" t="n">
        <v>0.1</v>
      </c>
      <c r="J3413" s="18" t="n">
        <v>112.14</v>
      </c>
      <c r="K3413" s="19" t="n">
        <v>22.75</v>
      </c>
      <c r="L3413" s="15" t="n">
        <f aca="false">YEAR(B3413)</f>
        <v>2022</v>
      </c>
      <c r="M3413" s="20" t="n">
        <f aca="false">IF(J3413&gt;0,K3413/J3413,0)</f>
        <v>0.202871410736579</v>
      </c>
    </row>
    <row r="3414" customFormat="false" ht="15" hidden="false" customHeight="false" outlineLevel="0" collapsed="false">
      <c r="A3414" s="15" t="s">
        <v>3471</v>
      </c>
      <c r="B3414" s="16" t="n">
        <v>45828</v>
      </c>
      <c r="C3414" s="15" t="s">
        <v>56</v>
      </c>
      <c r="D3414" s="15" t="s">
        <v>44</v>
      </c>
      <c r="E3414" s="15" t="s">
        <v>37</v>
      </c>
      <c r="F3414" s="15" t="s">
        <v>18</v>
      </c>
      <c r="G3414" s="15" t="s">
        <v>30</v>
      </c>
      <c r="H3414" s="15" t="n">
        <v>4</v>
      </c>
      <c r="I3414" s="17" t="n">
        <v>0</v>
      </c>
      <c r="J3414" s="18" t="n">
        <v>170.72</v>
      </c>
      <c r="K3414" s="19" t="n">
        <v>51.14</v>
      </c>
      <c r="L3414" s="15" t="n">
        <f aca="false">YEAR(B3414)</f>
        <v>2025</v>
      </c>
      <c r="M3414" s="20" t="n">
        <f aca="false">IF(J3414&gt;0,K3414/J3414,0)</f>
        <v>0.299554826616682</v>
      </c>
    </row>
    <row r="3415" customFormat="false" ht="15" hidden="false" customHeight="false" outlineLevel="0" collapsed="false">
      <c r="A3415" s="15" t="s">
        <v>3472</v>
      </c>
      <c r="B3415" s="16" t="n">
        <v>45636</v>
      </c>
      <c r="C3415" s="15" t="s">
        <v>56</v>
      </c>
      <c r="D3415" s="15" t="s">
        <v>42</v>
      </c>
      <c r="E3415" s="15" t="s">
        <v>38</v>
      </c>
      <c r="F3415" s="15" t="s">
        <v>16</v>
      </c>
      <c r="G3415" s="15" t="s">
        <v>27</v>
      </c>
      <c r="H3415" s="15" t="n">
        <v>4</v>
      </c>
      <c r="I3415" s="17" t="n">
        <v>0.1</v>
      </c>
      <c r="J3415" s="18" t="n">
        <v>171.55</v>
      </c>
      <c r="K3415" s="19" t="n">
        <v>14.91</v>
      </c>
      <c r="L3415" s="15" t="n">
        <f aca="false">YEAR(B3415)</f>
        <v>2024</v>
      </c>
      <c r="M3415" s="20" t="n">
        <f aca="false">IF(J3415&gt;0,K3415/J3415,0)</f>
        <v>0.0869134363159429</v>
      </c>
    </row>
    <row r="3416" customFormat="false" ht="15" hidden="false" customHeight="false" outlineLevel="0" collapsed="false">
      <c r="A3416" s="15" t="s">
        <v>3473</v>
      </c>
      <c r="B3416" s="16" t="n">
        <v>44896</v>
      </c>
      <c r="C3416" s="15" t="s">
        <v>58</v>
      </c>
      <c r="D3416" s="15" t="s">
        <v>44</v>
      </c>
      <c r="E3416" s="15" t="s">
        <v>36</v>
      </c>
      <c r="F3416" s="15" t="s">
        <v>17</v>
      </c>
      <c r="G3416" s="15" t="s">
        <v>28</v>
      </c>
      <c r="H3416" s="15" t="n">
        <v>5</v>
      </c>
      <c r="I3416" s="17" t="n">
        <v>0.1</v>
      </c>
      <c r="J3416" s="18" t="n">
        <v>143.71</v>
      </c>
      <c r="K3416" s="19" t="n">
        <v>22.46</v>
      </c>
      <c r="L3416" s="15" t="n">
        <f aca="false">YEAR(B3416)</f>
        <v>2022</v>
      </c>
      <c r="M3416" s="20" t="n">
        <f aca="false">IF(J3416&gt;0,K3416/J3416,0)</f>
        <v>0.156286966808155</v>
      </c>
    </row>
    <row r="3417" customFormat="false" ht="15" hidden="false" customHeight="false" outlineLevel="0" collapsed="false">
      <c r="A3417" s="15" t="s">
        <v>3474</v>
      </c>
      <c r="B3417" s="16" t="n">
        <v>45933</v>
      </c>
      <c r="C3417" s="15" t="s">
        <v>58</v>
      </c>
      <c r="D3417" s="15" t="s">
        <v>42</v>
      </c>
      <c r="E3417" s="15" t="s">
        <v>37</v>
      </c>
      <c r="F3417" s="15" t="s">
        <v>17</v>
      </c>
      <c r="G3417" s="15" t="s">
        <v>28</v>
      </c>
      <c r="H3417" s="15" t="n">
        <v>3</v>
      </c>
      <c r="I3417" s="17" t="n">
        <v>0.1</v>
      </c>
      <c r="J3417" s="18" t="n">
        <v>58.19</v>
      </c>
      <c r="K3417" s="19" t="n">
        <v>13.21</v>
      </c>
      <c r="L3417" s="15" t="n">
        <f aca="false">YEAR(B3417)</f>
        <v>2025</v>
      </c>
      <c r="M3417" s="20" t="n">
        <f aca="false">IF(J3417&gt;0,K3417/J3417,0)</f>
        <v>0.227014951022512</v>
      </c>
    </row>
    <row r="3418" customFormat="false" ht="15" hidden="false" customHeight="false" outlineLevel="0" collapsed="false">
      <c r="A3418" s="15" t="s">
        <v>3475</v>
      </c>
      <c r="B3418" s="16" t="n">
        <v>44878</v>
      </c>
      <c r="C3418" s="15" t="s">
        <v>56</v>
      </c>
      <c r="D3418" s="15" t="s">
        <v>43</v>
      </c>
      <c r="E3418" s="15" t="s">
        <v>38</v>
      </c>
      <c r="F3418" s="15" t="s">
        <v>17</v>
      </c>
      <c r="G3418" s="15" t="s">
        <v>29</v>
      </c>
      <c r="H3418" s="15" t="n">
        <v>2</v>
      </c>
      <c r="I3418" s="17" t="n">
        <v>0.3</v>
      </c>
      <c r="J3418" s="18" t="n">
        <v>28.56</v>
      </c>
      <c r="K3418" s="19" t="n">
        <v>4.35</v>
      </c>
      <c r="L3418" s="15" t="n">
        <f aca="false">YEAR(B3418)</f>
        <v>2022</v>
      </c>
      <c r="M3418" s="20" t="n">
        <f aca="false">IF(J3418&gt;0,K3418/J3418,0)</f>
        <v>0.152310924369748</v>
      </c>
    </row>
    <row r="3419" customFormat="false" ht="15" hidden="false" customHeight="false" outlineLevel="0" collapsed="false">
      <c r="A3419" s="15" t="s">
        <v>3476</v>
      </c>
      <c r="B3419" s="16" t="n">
        <v>44999</v>
      </c>
      <c r="C3419" s="15" t="s">
        <v>68</v>
      </c>
      <c r="D3419" s="15" t="s">
        <v>42</v>
      </c>
      <c r="E3419" s="15" t="s">
        <v>36</v>
      </c>
      <c r="F3419" s="15" t="s">
        <v>18</v>
      </c>
      <c r="G3419" s="15" t="s">
        <v>30</v>
      </c>
      <c r="H3419" s="15" t="n">
        <v>1</v>
      </c>
      <c r="I3419" s="17" t="n">
        <v>0</v>
      </c>
      <c r="J3419" s="18" t="n">
        <v>47.04</v>
      </c>
      <c r="K3419" s="19" t="n">
        <v>14.68</v>
      </c>
      <c r="L3419" s="15" t="n">
        <f aca="false">YEAR(B3419)</f>
        <v>2023</v>
      </c>
      <c r="M3419" s="20" t="n">
        <f aca="false">IF(J3419&gt;0,K3419/J3419,0)</f>
        <v>0.312074829931973</v>
      </c>
    </row>
    <row r="3420" customFormat="false" ht="15" hidden="false" customHeight="false" outlineLevel="0" collapsed="false">
      <c r="A3420" s="15" t="s">
        <v>3477</v>
      </c>
      <c r="B3420" s="16" t="n">
        <v>44921</v>
      </c>
      <c r="C3420" s="15" t="s">
        <v>56</v>
      </c>
      <c r="D3420" s="15" t="s">
        <v>42</v>
      </c>
      <c r="E3420" s="15" t="s">
        <v>36</v>
      </c>
      <c r="F3420" s="15" t="s">
        <v>16</v>
      </c>
      <c r="G3420" s="15" t="s">
        <v>25</v>
      </c>
      <c r="H3420" s="15" t="n">
        <v>3</v>
      </c>
      <c r="I3420" s="17" t="n">
        <v>0.1</v>
      </c>
      <c r="J3420" s="18" t="n">
        <v>693.67</v>
      </c>
      <c r="K3420" s="19" t="n">
        <v>41.32</v>
      </c>
      <c r="L3420" s="15" t="n">
        <f aca="false">YEAR(B3420)</f>
        <v>2022</v>
      </c>
      <c r="M3420" s="20" t="n">
        <f aca="false">IF(J3420&gt;0,K3420/J3420,0)</f>
        <v>0.0595672293741981</v>
      </c>
    </row>
    <row r="3421" customFormat="false" ht="15" hidden="false" customHeight="false" outlineLevel="0" collapsed="false">
      <c r="A3421" s="15" t="s">
        <v>3478</v>
      </c>
      <c r="B3421" s="16" t="n">
        <v>44987</v>
      </c>
      <c r="C3421" s="15" t="s">
        <v>56</v>
      </c>
      <c r="D3421" s="15" t="s">
        <v>42</v>
      </c>
      <c r="E3421" s="15" t="s">
        <v>39</v>
      </c>
      <c r="F3421" s="15" t="s">
        <v>17</v>
      </c>
      <c r="G3421" s="15" t="s">
        <v>26</v>
      </c>
      <c r="H3421" s="15" t="n">
        <v>3</v>
      </c>
      <c r="I3421" s="17" t="n">
        <v>0</v>
      </c>
      <c r="J3421" s="18" t="n">
        <v>288.72</v>
      </c>
      <c r="K3421" s="19" t="n">
        <v>36.31</v>
      </c>
      <c r="L3421" s="15" t="n">
        <f aca="false">YEAR(B3421)</f>
        <v>2023</v>
      </c>
      <c r="M3421" s="20" t="n">
        <f aca="false">IF(J3421&gt;0,K3421/J3421,0)</f>
        <v>0.125761983929066</v>
      </c>
    </row>
    <row r="3422" customFormat="false" ht="15" hidden="false" customHeight="false" outlineLevel="0" collapsed="false">
      <c r="A3422" s="15" t="s">
        <v>3479</v>
      </c>
      <c r="B3422" s="16" t="n">
        <v>45467</v>
      </c>
      <c r="C3422" s="15" t="s">
        <v>68</v>
      </c>
      <c r="D3422" s="15" t="s">
        <v>42</v>
      </c>
      <c r="E3422" s="15" t="s">
        <v>36</v>
      </c>
      <c r="F3422" s="15" t="s">
        <v>17</v>
      </c>
      <c r="G3422" s="15" t="s">
        <v>28</v>
      </c>
      <c r="H3422" s="15" t="n">
        <v>4</v>
      </c>
      <c r="I3422" s="17" t="n">
        <v>0.1</v>
      </c>
      <c r="J3422" s="18" t="n">
        <v>97.49</v>
      </c>
      <c r="K3422" s="19" t="n">
        <v>21.76</v>
      </c>
      <c r="L3422" s="15" t="n">
        <f aca="false">YEAR(B3422)</f>
        <v>2024</v>
      </c>
      <c r="M3422" s="20" t="n">
        <f aca="false">IF(J3422&gt;0,K3422/J3422,0)</f>
        <v>0.223202379731255</v>
      </c>
    </row>
    <row r="3423" customFormat="false" ht="15" hidden="false" customHeight="false" outlineLevel="0" collapsed="false">
      <c r="A3423" s="15" t="s">
        <v>3480</v>
      </c>
      <c r="B3423" s="16" t="n">
        <v>45630</v>
      </c>
      <c r="C3423" s="15" t="s">
        <v>68</v>
      </c>
      <c r="D3423" s="15" t="s">
        <v>42</v>
      </c>
      <c r="E3423" s="15" t="s">
        <v>38</v>
      </c>
      <c r="F3423" s="15" t="s">
        <v>17</v>
      </c>
      <c r="G3423" s="15" t="s">
        <v>29</v>
      </c>
      <c r="H3423" s="15" t="n">
        <v>2</v>
      </c>
      <c r="I3423" s="17" t="n">
        <v>0.4</v>
      </c>
      <c r="J3423" s="18" t="n">
        <v>17.79</v>
      </c>
      <c r="K3423" s="19" t="n">
        <v>0.05</v>
      </c>
      <c r="L3423" s="15" t="n">
        <f aca="false">YEAR(B3423)</f>
        <v>2024</v>
      </c>
      <c r="M3423" s="20" t="n">
        <f aca="false">IF(J3423&gt;0,K3423/J3423,0)</f>
        <v>0.00281056773468241</v>
      </c>
    </row>
    <row r="3424" customFormat="false" ht="15" hidden="false" customHeight="false" outlineLevel="0" collapsed="false">
      <c r="A3424" s="15" t="s">
        <v>3481</v>
      </c>
      <c r="B3424" s="16" t="n">
        <v>44863</v>
      </c>
      <c r="C3424" s="15" t="s">
        <v>71</v>
      </c>
      <c r="D3424" s="15" t="s">
        <v>42</v>
      </c>
      <c r="E3424" s="15" t="s">
        <v>39</v>
      </c>
      <c r="F3424" s="15" t="s">
        <v>17</v>
      </c>
      <c r="G3424" s="15" t="s">
        <v>29</v>
      </c>
      <c r="H3424" s="15" t="n">
        <v>1</v>
      </c>
      <c r="I3424" s="17" t="n">
        <v>0</v>
      </c>
      <c r="J3424" s="18" t="n">
        <v>19.69</v>
      </c>
      <c r="K3424" s="19" t="n">
        <v>8.34</v>
      </c>
      <c r="L3424" s="15" t="n">
        <f aca="false">YEAR(B3424)</f>
        <v>2022</v>
      </c>
      <c r="M3424" s="20" t="n">
        <f aca="false">IF(J3424&gt;0,K3424/J3424,0)</f>
        <v>0.423565261554088</v>
      </c>
    </row>
    <row r="3425" customFormat="false" ht="15" hidden="false" customHeight="false" outlineLevel="0" collapsed="false">
      <c r="A3425" s="15" t="s">
        <v>3482</v>
      </c>
      <c r="B3425" s="16" t="n">
        <v>45687</v>
      </c>
      <c r="C3425" s="15" t="s">
        <v>56</v>
      </c>
      <c r="D3425" s="15" t="s">
        <v>42</v>
      </c>
      <c r="E3425" s="15" t="s">
        <v>36</v>
      </c>
      <c r="F3425" s="15" t="s">
        <v>17</v>
      </c>
      <c r="G3425" s="15" t="s">
        <v>29</v>
      </c>
      <c r="H3425" s="15" t="n">
        <v>2</v>
      </c>
      <c r="I3425" s="17" t="n">
        <v>0.15</v>
      </c>
      <c r="J3425" s="18" t="n">
        <v>27.07</v>
      </c>
      <c r="K3425" s="19" t="n">
        <v>6.87</v>
      </c>
      <c r="L3425" s="15" t="n">
        <f aca="false">YEAR(B3425)</f>
        <v>2025</v>
      </c>
      <c r="M3425" s="20" t="n">
        <f aca="false">IF(J3425&gt;0,K3425/J3425,0)</f>
        <v>0.253786479497599</v>
      </c>
    </row>
    <row r="3426" customFormat="false" ht="15" hidden="false" customHeight="false" outlineLevel="0" collapsed="false">
      <c r="A3426" s="15" t="s">
        <v>3483</v>
      </c>
      <c r="B3426" s="16" t="n">
        <v>45299</v>
      </c>
      <c r="C3426" s="15" t="s">
        <v>71</v>
      </c>
      <c r="D3426" s="15" t="s">
        <v>44</v>
      </c>
      <c r="E3426" s="15" t="s">
        <v>38</v>
      </c>
      <c r="F3426" s="15" t="s">
        <v>18</v>
      </c>
      <c r="G3426" s="15" t="s">
        <v>30</v>
      </c>
      <c r="H3426" s="15" t="n">
        <v>4</v>
      </c>
      <c r="I3426" s="17" t="n">
        <v>0.05</v>
      </c>
      <c r="J3426" s="18" t="n">
        <v>161.49</v>
      </c>
      <c r="K3426" s="19" t="n">
        <v>35.72</v>
      </c>
      <c r="L3426" s="15" t="n">
        <f aca="false">YEAR(B3426)</f>
        <v>2024</v>
      </c>
      <c r="M3426" s="20" t="n">
        <f aca="false">IF(J3426&gt;0,K3426/J3426,0)</f>
        <v>0.221190166573782</v>
      </c>
    </row>
    <row r="3427" customFormat="false" ht="15" hidden="false" customHeight="false" outlineLevel="0" collapsed="false">
      <c r="A3427" s="15" t="s">
        <v>3484</v>
      </c>
      <c r="B3427" s="16" t="n">
        <v>46007</v>
      </c>
      <c r="C3427" s="15" t="s">
        <v>56</v>
      </c>
      <c r="D3427" s="15" t="s">
        <v>44</v>
      </c>
      <c r="E3427" s="15" t="s">
        <v>39</v>
      </c>
      <c r="F3427" s="15" t="s">
        <v>17</v>
      </c>
      <c r="G3427" s="15" t="s">
        <v>29</v>
      </c>
      <c r="H3427" s="15" t="n">
        <v>4</v>
      </c>
      <c r="I3427" s="17" t="n">
        <v>0.1</v>
      </c>
      <c r="J3427" s="18" t="n">
        <v>68.15</v>
      </c>
      <c r="K3427" s="19" t="n">
        <v>18.42</v>
      </c>
      <c r="L3427" s="15" t="n">
        <f aca="false">YEAR(B3427)</f>
        <v>2025</v>
      </c>
      <c r="M3427" s="20" t="n">
        <f aca="false">IF(J3427&gt;0,K3427/J3427,0)</f>
        <v>0.27028613352898</v>
      </c>
    </row>
    <row r="3428" customFormat="false" ht="15" hidden="false" customHeight="false" outlineLevel="0" collapsed="false">
      <c r="A3428" s="15" t="s">
        <v>3485</v>
      </c>
      <c r="B3428" s="16" t="n">
        <v>45709</v>
      </c>
      <c r="C3428" s="15" t="s">
        <v>58</v>
      </c>
      <c r="D3428" s="15" t="s">
        <v>42</v>
      </c>
      <c r="E3428" s="15" t="s">
        <v>39</v>
      </c>
      <c r="F3428" s="15" t="s">
        <v>17</v>
      </c>
      <c r="G3428" s="15" t="s">
        <v>28</v>
      </c>
      <c r="H3428" s="15" t="n">
        <v>2</v>
      </c>
      <c r="I3428" s="17" t="n">
        <v>0.4</v>
      </c>
      <c r="J3428" s="18" t="n">
        <v>30.72</v>
      </c>
      <c r="K3428" s="19" t="n">
        <v>-2.33</v>
      </c>
      <c r="L3428" s="15" t="n">
        <f aca="false">YEAR(B3428)</f>
        <v>2025</v>
      </c>
      <c r="M3428" s="20" t="n">
        <f aca="false">IF(J3428&gt;0,K3428/J3428,0)</f>
        <v>-0.0758463541666667</v>
      </c>
    </row>
    <row r="3429" customFormat="false" ht="15" hidden="false" customHeight="false" outlineLevel="0" collapsed="false">
      <c r="A3429" s="15" t="s">
        <v>3486</v>
      </c>
      <c r="B3429" s="16" t="n">
        <v>45997</v>
      </c>
      <c r="C3429" s="15" t="s">
        <v>58</v>
      </c>
      <c r="D3429" s="15" t="s">
        <v>42</v>
      </c>
      <c r="E3429" s="15" t="s">
        <v>37</v>
      </c>
      <c r="F3429" s="15" t="s">
        <v>17</v>
      </c>
      <c r="G3429" s="15" t="s">
        <v>31</v>
      </c>
      <c r="H3429" s="15" t="n">
        <v>4</v>
      </c>
      <c r="I3429" s="17" t="n">
        <v>0</v>
      </c>
      <c r="J3429" s="18" t="n">
        <v>504.17</v>
      </c>
      <c r="K3429" s="19" t="n">
        <v>89.18</v>
      </c>
      <c r="L3429" s="15" t="n">
        <f aca="false">YEAR(B3429)</f>
        <v>2025</v>
      </c>
      <c r="M3429" s="20" t="n">
        <f aca="false">IF(J3429&gt;0,K3429/J3429,0)</f>
        <v>0.176884780927068</v>
      </c>
    </row>
    <row r="3430" customFormat="false" ht="15" hidden="false" customHeight="false" outlineLevel="0" collapsed="false">
      <c r="A3430" s="15" t="s">
        <v>3487</v>
      </c>
      <c r="B3430" s="16" t="n">
        <v>45775</v>
      </c>
      <c r="C3430" s="15" t="s">
        <v>56</v>
      </c>
      <c r="D3430" s="15" t="s">
        <v>42</v>
      </c>
      <c r="E3430" s="15" t="s">
        <v>38</v>
      </c>
      <c r="F3430" s="15" t="s">
        <v>17</v>
      </c>
      <c r="G3430" s="15" t="s">
        <v>26</v>
      </c>
      <c r="H3430" s="15" t="n">
        <v>3</v>
      </c>
      <c r="I3430" s="17" t="n">
        <v>0.05</v>
      </c>
      <c r="J3430" s="18" t="n">
        <v>212.75</v>
      </c>
      <c r="K3430" s="19" t="n">
        <v>14.01</v>
      </c>
      <c r="L3430" s="15" t="n">
        <f aca="false">YEAR(B3430)</f>
        <v>2025</v>
      </c>
      <c r="M3430" s="20" t="n">
        <f aca="false">IF(J3430&gt;0,K3430/J3430,0)</f>
        <v>0.0658519388954172</v>
      </c>
    </row>
    <row r="3431" customFormat="false" ht="15" hidden="false" customHeight="false" outlineLevel="0" collapsed="false">
      <c r="A3431" s="15" t="s">
        <v>3488</v>
      </c>
      <c r="B3431" s="16" t="n">
        <v>45773</v>
      </c>
      <c r="C3431" s="15" t="s">
        <v>68</v>
      </c>
      <c r="D3431" s="15" t="s">
        <v>43</v>
      </c>
      <c r="E3431" s="15" t="s">
        <v>39</v>
      </c>
      <c r="F3431" s="15" t="s">
        <v>18</v>
      </c>
      <c r="G3431" s="15" t="s">
        <v>30</v>
      </c>
      <c r="H3431" s="15" t="n">
        <v>3</v>
      </c>
      <c r="I3431" s="17" t="n">
        <v>0</v>
      </c>
      <c r="J3431" s="18" t="n">
        <v>175.79</v>
      </c>
      <c r="K3431" s="19" t="n">
        <v>54.93</v>
      </c>
      <c r="L3431" s="15" t="n">
        <f aca="false">YEAR(B3431)</f>
        <v>2025</v>
      </c>
      <c r="M3431" s="20" t="n">
        <f aca="false">IF(J3431&gt;0,K3431/J3431,0)</f>
        <v>0.312475112349963</v>
      </c>
    </row>
    <row r="3432" customFormat="false" ht="15" hidden="false" customHeight="false" outlineLevel="0" collapsed="false">
      <c r="A3432" s="15" t="s">
        <v>3489</v>
      </c>
      <c r="B3432" s="16" t="n">
        <v>45680</v>
      </c>
      <c r="C3432" s="15" t="s">
        <v>56</v>
      </c>
      <c r="D3432" s="15" t="s">
        <v>43</v>
      </c>
      <c r="E3432" s="15" t="s">
        <v>37</v>
      </c>
      <c r="F3432" s="15" t="s">
        <v>16</v>
      </c>
      <c r="G3432" s="15" t="s">
        <v>23</v>
      </c>
      <c r="H3432" s="15" t="n">
        <v>3</v>
      </c>
      <c r="I3432" s="17" t="n">
        <v>0</v>
      </c>
      <c r="J3432" s="18" t="n">
        <v>1128.5</v>
      </c>
      <c r="K3432" s="19" t="n">
        <v>-32.07</v>
      </c>
      <c r="L3432" s="15" t="n">
        <f aca="false">YEAR(B3432)</f>
        <v>2025</v>
      </c>
      <c r="M3432" s="20" t="n">
        <f aca="false">IF(J3432&gt;0,K3432/J3432,0)</f>
        <v>-0.0284182543198937</v>
      </c>
    </row>
    <row r="3433" customFormat="false" ht="15" hidden="false" customHeight="false" outlineLevel="0" collapsed="false">
      <c r="A3433" s="15" t="s">
        <v>3490</v>
      </c>
      <c r="B3433" s="16" t="n">
        <v>44895</v>
      </c>
      <c r="C3433" s="15" t="s">
        <v>56</v>
      </c>
      <c r="D3433" s="15" t="s">
        <v>44</v>
      </c>
      <c r="E3433" s="15" t="s">
        <v>39</v>
      </c>
      <c r="F3433" s="15" t="s">
        <v>17</v>
      </c>
      <c r="G3433" s="15" t="s">
        <v>29</v>
      </c>
      <c r="H3433" s="15" t="n">
        <v>4</v>
      </c>
      <c r="I3433" s="17" t="n">
        <v>0.1</v>
      </c>
      <c r="J3433" s="18" t="n">
        <v>78.69</v>
      </c>
      <c r="K3433" s="19" t="n">
        <v>19.41</v>
      </c>
      <c r="L3433" s="15" t="n">
        <f aca="false">YEAR(B3433)</f>
        <v>2022</v>
      </c>
      <c r="M3433" s="20" t="n">
        <f aca="false">IF(J3433&gt;0,K3433/J3433,0)</f>
        <v>0.246664125047655</v>
      </c>
    </row>
    <row r="3434" customFormat="false" ht="15" hidden="false" customHeight="false" outlineLevel="0" collapsed="false">
      <c r="A3434" s="15" t="s">
        <v>3491</v>
      </c>
      <c r="B3434" s="16" t="n">
        <v>45265</v>
      </c>
      <c r="C3434" s="15" t="s">
        <v>56</v>
      </c>
      <c r="D3434" s="15" t="s">
        <v>42</v>
      </c>
      <c r="E3434" s="15" t="s">
        <v>39</v>
      </c>
      <c r="F3434" s="15" t="s">
        <v>18</v>
      </c>
      <c r="G3434" s="15" t="s">
        <v>30</v>
      </c>
      <c r="H3434" s="15" t="n">
        <v>3</v>
      </c>
      <c r="I3434" s="17" t="n">
        <v>0</v>
      </c>
      <c r="J3434" s="18" t="n">
        <v>128.83</v>
      </c>
      <c r="K3434" s="19" t="n">
        <v>37.78</v>
      </c>
      <c r="L3434" s="15" t="n">
        <f aca="false">YEAR(B3434)</f>
        <v>2023</v>
      </c>
      <c r="M3434" s="20" t="n">
        <f aca="false">IF(J3434&gt;0,K3434/J3434,0)</f>
        <v>0.293254676705736</v>
      </c>
    </row>
    <row r="3435" customFormat="false" ht="15" hidden="false" customHeight="false" outlineLevel="0" collapsed="false">
      <c r="A3435" s="15" t="s">
        <v>3492</v>
      </c>
      <c r="B3435" s="16" t="n">
        <v>44685</v>
      </c>
      <c r="C3435" s="15" t="s">
        <v>56</v>
      </c>
      <c r="D3435" s="15" t="s">
        <v>43</v>
      </c>
      <c r="E3435" s="15" t="s">
        <v>37</v>
      </c>
      <c r="F3435" s="15" t="s">
        <v>18</v>
      </c>
      <c r="G3435" s="15" t="s">
        <v>30</v>
      </c>
      <c r="H3435" s="15" t="n">
        <v>6</v>
      </c>
      <c r="I3435" s="17" t="n">
        <v>0.2</v>
      </c>
      <c r="J3435" s="18" t="n">
        <v>208.06</v>
      </c>
      <c r="K3435" s="19" t="n">
        <v>33.4</v>
      </c>
      <c r="L3435" s="15" t="n">
        <f aca="false">YEAR(B3435)</f>
        <v>2022</v>
      </c>
      <c r="M3435" s="20" t="n">
        <f aca="false">IF(J3435&gt;0,K3435/J3435,0)</f>
        <v>0.160530616168413</v>
      </c>
    </row>
    <row r="3436" customFormat="false" ht="15" hidden="false" customHeight="false" outlineLevel="0" collapsed="false">
      <c r="A3436" s="15" t="s">
        <v>3493</v>
      </c>
      <c r="B3436" s="16" t="n">
        <v>45771</v>
      </c>
      <c r="C3436" s="15" t="s">
        <v>71</v>
      </c>
      <c r="D3436" s="15" t="s">
        <v>43</v>
      </c>
      <c r="E3436" s="15" t="s">
        <v>39</v>
      </c>
      <c r="F3436" s="15" t="s">
        <v>17</v>
      </c>
      <c r="G3436" s="15" t="s">
        <v>29</v>
      </c>
      <c r="H3436" s="15" t="n">
        <v>6</v>
      </c>
      <c r="I3436" s="17" t="n">
        <v>0.15</v>
      </c>
      <c r="J3436" s="18" t="n">
        <v>104.42</v>
      </c>
      <c r="K3436" s="19" t="n">
        <v>23.49</v>
      </c>
      <c r="L3436" s="15" t="n">
        <f aca="false">YEAR(B3436)</f>
        <v>2025</v>
      </c>
      <c r="M3436" s="20" t="n">
        <f aca="false">IF(J3436&gt;0,K3436/J3436,0)</f>
        <v>0.224956904807508</v>
      </c>
    </row>
    <row r="3437" customFormat="false" ht="15" hidden="false" customHeight="false" outlineLevel="0" collapsed="false">
      <c r="A3437" s="15" t="s">
        <v>3494</v>
      </c>
      <c r="B3437" s="16" t="n">
        <v>45206</v>
      </c>
      <c r="C3437" s="15" t="s">
        <v>56</v>
      </c>
      <c r="D3437" s="15" t="s">
        <v>43</v>
      </c>
      <c r="E3437" s="15" t="s">
        <v>38</v>
      </c>
      <c r="F3437" s="15" t="s">
        <v>17</v>
      </c>
      <c r="G3437" s="15" t="s">
        <v>26</v>
      </c>
      <c r="H3437" s="15" t="n">
        <v>3</v>
      </c>
      <c r="I3437" s="17" t="n">
        <v>0</v>
      </c>
      <c r="J3437" s="18" t="n">
        <v>241.75</v>
      </c>
      <c r="K3437" s="19" t="n">
        <v>13.77</v>
      </c>
      <c r="L3437" s="15" t="n">
        <f aca="false">YEAR(B3437)</f>
        <v>2023</v>
      </c>
      <c r="M3437" s="20" t="n">
        <f aca="false">IF(J3437&gt;0,K3437/J3437,0)</f>
        <v>0.0569596690796277</v>
      </c>
    </row>
    <row r="3438" customFormat="false" ht="15" hidden="false" customHeight="false" outlineLevel="0" collapsed="false">
      <c r="A3438" s="15" t="s">
        <v>3495</v>
      </c>
      <c r="B3438" s="16" t="n">
        <v>45465</v>
      </c>
      <c r="C3438" s="15" t="s">
        <v>71</v>
      </c>
      <c r="D3438" s="15" t="s">
        <v>42</v>
      </c>
      <c r="E3438" s="15" t="s">
        <v>36</v>
      </c>
      <c r="F3438" s="15" t="s">
        <v>17</v>
      </c>
      <c r="G3438" s="15" t="s">
        <v>31</v>
      </c>
      <c r="H3438" s="15" t="n">
        <v>6</v>
      </c>
      <c r="I3438" s="17" t="n">
        <v>0</v>
      </c>
      <c r="J3438" s="18" t="n">
        <v>670.62</v>
      </c>
      <c r="K3438" s="19" t="n">
        <v>148.27</v>
      </c>
      <c r="L3438" s="15" t="n">
        <f aca="false">YEAR(B3438)</f>
        <v>2024</v>
      </c>
      <c r="M3438" s="20" t="n">
        <f aca="false">IF(J3438&gt;0,K3438/J3438,0)</f>
        <v>0.221093913095345</v>
      </c>
    </row>
    <row r="3439" customFormat="false" ht="15" hidden="false" customHeight="false" outlineLevel="0" collapsed="false">
      <c r="A3439" s="15" t="s">
        <v>3496</v>
      </c>
      <c r="B3439" s="16" t="n">
        <v>44968</v>
      </c>
      <c r="C3439" s="15" t="s">
        <v>71</v>
      </c>
      <c r="D3439" s="15" t="s">
        <v>44</v>
      </c>
      <c r="E3439" s="15" t="s">
        <v>37</v>
      </c>
      <c r="F3439" s="15" t="s">
        <v>16</v>
      </c>
      <c r="G3439" s="15" t="s">
        <v>27</v>
      </c>
      <c r="H3439" s="15" t="n">
        <v>5</v>
      </c>
      <c r="I3439" s="17" t="n">
        <v>0.2</v>
      </c>
      <c r="J3439" s="18" t="n">
        <v>203.18</v>
      </c>
      <c r="K3439" s="19" t="n">
        <v>8.55</v>
      </c>
      <c r="L3439" s="15" t="n">
        <f aca="false">YEAR(B3439)</f>
        <v>2023</v>
      </c>
      <c r="M3439" s="20" t="n">
        <f aca="false">IF(J3439&gt;0,K3439/J3439,0)</f>
        <v>0.0420809134757358</v>
      </c>
    </row>
    <row r="3440" customFormat="false" ht="15" hidden="false" customHeight="false" outlineLevel="0" collapsed="false">
      <c r="A3440" s="15" t="s">
        <v>3497</v>
      </c>
      <c r="B3440" s="16" t="n">
        <v>45456</v>
      </c>
      <c r="C3440" s="15" t="s">
        <v>58</v>
      </c>
      <c r="D3440" s="15" t="s">
        <v>42</v>
      </c>
      <c r="E3440" s="15" t="s">
        <v>39</v>
      </c>
      <c r="F3440" s="15" t="s">
        <v>17</v>
      </c>
      <c r="G3440" s="15" t="s">
        <v>31</v>
      </c>
      <c r="H3440" s="15" t="n">
        <v>4</v>
      </c>
      <c r="I3440" s="17" t="n">
        <v>0</v>
      </c>
      <c r="J3440" s="18" t="n">
        <v>493.98</v>
      </c>
      <c r="K3440" s="19" t="n">
        <v>82.02</v>
      </c>
      <c r="L3440" s="15" t="n">
        <f aca="false">YEAR(B3440)</f>
        <v>2024</v>
      </c>
      <c r="M3440" s="20" t="n">
        <f aca="false">IF(J3440&gt;0,K3440/J3440,0)</f>
        <v>0.166039110895178</v>
      </c>
    </row>
    <row r="3441" customFormat="false" ht="15" hidden="false" customHeight="false" outlineLevel="0" collapsed="false">
      <c r="A3441" s="15" t="s">
        <v>3498</v>
      </c>
      <c r="B3441" s="16" t="n">
        <v>45032</v>
      </c>
      <c r="C3441" s="15" t="s">
        <v>56</v>
      </c>
      <c r="D3441" s="15" t="s">
        <v>42</v>
      </c>
      <c r="E3441" s="15" t="s">
        <v>36</v>
      </c>
      <c r="F3441" s="15" t="s">
        <v>17</v>
      </c>
      <c r="G3441" s="15" t="s">
        <v>26</v>
      </c>
      <c r="H3441" s="15" t="n">
        <v>1</v>
      </c>
      <c r="I3441" s="17" t="n">
        <v>0.2</v>
      </c>
      <c r="J3441" s="18" t="n">
        <v>58.35</v>
      </c>
      <c r="K3441" s="19" t="n">
        <v>-9.1</v>
      </c>
      <c r="L3441" s="15" t="n">
        <f aca="false">YEAR(B3441)</f>
        <v>2023</v>
      </c>
      <c r="M3441" s="20" t="n">
        <f aca="false">IF(J3441&gt;0,K3441/J3441,0)</f>
        <v>-0.155955441302485</v>
      </c>
    </row>
    <row r="3442" customFormat="false" ht="15" hidden="false" customHeight="false" outlineLevel="0" collapsed="false">
      <c r="A3442" s="15" t="s">
        <v>3499</v>
      </c>
      <c r="B3442" s="16" t="n">
        <v>44569</v>
      </c>
      <c r="C3442" s="15" t="s">
        <v>56</v>
      </c>
      <c r="D3442" s="15" t="s">
        <v>43</v>
      </c>
      <c r="E3442" s="15" t="s">
        <v>36</v>
      </c>
      <c r="F3442" s="15" t="s">
        <v>18</v>
      </c>
      <c r="G3442" s="15" t="s">
        <v>30</v>
      </c>
      <c r="H3442" s="15" t="n">
        <v>3</v>
      </c>
      <c r="I3442" s="17" t="n">
        <v>0.05</v>
      </c>
      <c r="J3442" s="18" t="n">
        <v>142.72</v>
      </c>
      <c r="K3442" s="19" t="n">
        <v>40.75</v>
      </c>
      <c r="L3442" s="15" t="n">
        <f aca="false">YEAR(B3442)</f>
        <v>2022</v>
      </c>
      <c r="M3442" s="20" t="n">
        <f aca="false">IF(J3442&gt;0,K3442/J3442,0)</f>
        <v>0.285524103139013</v>
      </c>
    </row>
    <row r="3443" customFormat="false" ht="15" hidden="false" customHeight="false" outlineLevel="0" collapsed="false">
      <c r="A3443" s="15" t="s">
        <v>3500</v>
      </c>
      <c r="B3443" s="16" t="n">
        <v>45611</v>
      </c>
      <c r="C3443" s="15" t="s">
        <v>68</v>
      </c>
      <c r="D3443" s="15" t="s">
        <v>42</v>
      </c>
      <c r="E3443" s="15" t="s">
        <v>36</v>
      </c>
      <c r="F3443" s="15" t="s">
        <v>17</v>
      </c>
      <c r="G3443" s="15" t="s">
        <v>26</v>
      </c>
      <c r="H3443" s="15" t="n">
        <v>2</v>
      </c>
      <c r="I3443" s="17" t="n">
        <v>0</v>
      </c>
      <c r="J3443" s="18" t="n">
        <v>216.21</v>
      </c>
      <c r="K3443" s="19" t="n">
        <v>33.99</v>
      </c>
      <c r="L3443" s="15" t="n">
        <f aca="false">YEAR(B3443)</f>
        <v>2024</v>
      </c>
      <c r="M3443" s="20" t="n">
        <f aca="false">IF(J3443&gt;0,K3443/J3443,0)</f>
        <v>0.157208269737755</v>
      </c>
    </row>
    <row r="3444" customFormat="false" ht="15" hidden="false" customHeight="false" outlineLevel="0" collapsed="false">
      <c r="A3444" s="15" t="s">
        <v>3501</v>
      </c>
      <c r="B3444" s="16" t="n">
        <v>45370</v>
      </c>
      <c r="C3444" s="15" t="s">
        <v>56</v>
      </c>
      <c r="D3444" s="15" t="s">
        <v>44</v>
      </c>
      <c r="E3444" s="15" t="s">
        <v>39</v>
      </c>
      <c r="F3444" s="15" t="s">
        <v>16</v>
      </c>
      <c r="G3444" s="15" t="s">
        <v>27</v>
      </c>
      <c r="H3444" s="15" t="n">
        <v>3</v>
      </c>
      <c r="I3444" s="17" t="n">
        <v>0.3</v>
      </c>
      <c r="J3444" s="18" t="n">
        <v>142.05</v>
      </c>
      <c r="K3444" s="19" t="n">
        <v>-7.67</v>
      </c>
      <c r="L3444" s="15" t="n">
        <f aca="false">YEAR(B3444)</f>
        <v>2024</v>
      </c>
      <c r="M3444" s="20" t="n">
        <f aca="false">IF(J3444&gt;0,K3444/J3444,0)</f>
        <v>-0.053995072157691</v>
      </c>
    </row>
    <row r="3445" customFormat="false" ht="15" hidden="false" customHeight="false" outlineLevel="0" collapsed="false">
      <c r="A3445" s="15" t="s">
        <v>3502</v>
      </c>
      <c r="B3445" s="16" t="n">
        <v>46010</v>
      </c>
      <c r="C3445" s="15" t="s">
        <v>71</v>
      </c>
      <c r="D3445" s="15" t="s">
        <v>44</v>
      </c>
      <c r="E3445" s="15" t="s">
        <v>37</v>
      </c>
      <c r="F3445" s="15" t="s">
        <v>17</v>
      </c>
      <c r="G3445" s="15" t="s">
        <v>28</v>
      </c>
      <c r="H3445" s="15" t="n">
        <v>7</v>
      </c>
      <c r="I3445" s="17" t="n">
        <v>0.2</v>
      </c>
      <c r="J3445" s="18" t="n">
        <v>130.73</v>
      </c>
      <c r="K3445" s="19" t="n">
        <v>14.86</v>
      </c>
      <c r="L3445" s="15" t="n">
        <f aca="false">YEAR(B3445)</f>
        <v>2025</v>
      </c>
      <c r="M3445" s="20" t="n">
        <f aca="false">IF(J3445&gt;0,K3445/J3445,0)</f>
        <v>0.113669394936128</v>
      </c>
    </row>
    <row r="3446" customFormat="false" ht="15" hidden="false" customHeight="false" outlineLevel="0" collapsed="false">
      <c r="A3446" s="15" t="s">
        <v>3503</v>
      </c>
      <c r="B3446" s="16" t="n">
        <v>45174</v>
      </c>
      <c r="C3446" s="15" t="s">
        <v>71</v>
      </c>
      <c r="D3446" s="15" t="s">
        <v>42</v>
      </c>
      <c r="E3446" s="15" t="s">
        <v>39</v>
      </c>
      <c r="F3446" s="15" t="s">
        <v>18</v>
      </c>
      <c r="G3446" s="15" t="s">
        <v>30</v>
      </c>
      <c r="H3446" s="15" t="n">
        <v>2</v>
      </c>
      <c r="I3446" s="17" t="n">
        <v>0</v>
      </c>
      <c r="J3446" s="18" t="n">
        <v>87.8</v>
      </c>
      <c r="K3446" s="19" t="n">
        <v>24.69</v>
      </c>
      <c r="L3446" s="15" t="n">
        <f aca="false">YEAR(B3446)</f>
        <v>2023</v>
      </c>
      <c r="M3446" s="20" t="n">
        <f aca="false">IF(J3446&gt;0,K3446/J3446,0)</f>
        <v>0.28120728929385</v>
      </c>
    </row>
    <row r="3447" customFormat="false" ht="15" hidden="false" customHeight="false" outlineLevel="0" collapsed="false">
      <c r="A3447" s="15" t="s">
        <v>3504</v>
      </c>
      <c r="B3447" s="16" t="n">
        <v>44816</v>
      </c>
      <c r="C3447" s="15" t="s">
        <v>56</v>
      </c>
      <c r="D3447" s="15" t="s">
        <v>42</v>
      </c>
      <c r="E3447" s="15" t="s">
        <v>39</v>
      </c>
      <c r="F3447" s="15" t="s">
        <v>18</v>
      </c>
      <c r="G3447" s="15" t="s">
        <v>30</v>
      </c>
      <c r="H3447" s="15" t="n">
        <v>2</v>
      </c>
      <c r="I3447" s="17" t="n">
        <v>0</v>
      </c>
      <c r="J3447" s="18" t="n">
        <v>99.48</v>
      </c>
      <c r="K3447" s="19" t="n">
        <v>27.82</v>
      </c>
      <c r="L3447" s="15" t="n">
        <f aca="false">YEAR(B3447)</f>
        <v>2022</v>
      </c>
      <c r="M3447" s="20" t="n">
        <f aca="false">IF(J3447&gt;0,K3447/J3447,0)</f>
        <v>0.279654201849618</v>
      </c>
    </row>
    <row r="3448" customFormat="false" ht="15" hidden="false" customHeight="false" outlineLevel="0" collapsed="false">
      <c r="A3448" s="15" t="s">
        <v>3505</v>
      </c>
      <c r="B3448" s="16" t="n">
        <v>45194</v>
      </c>
      <c r="C3448" s="15" t="s">
        <v>56</v>
      </c>
      <c r="D3448" s="15" t="s">
        <v>42</v>
      </c>
      <c r="E3448" s="15" t="s">
        <v>38</v>
      </c>
      <c r="F3448" s="15" t="s">
        <v>17</v>
      </c>
      <c r="G3448" s="15" t="s">
        <v>28</v>
      </c>
      <c r="H3448" s="15" t="n">
        <v>3</v>
      </c>
      <c r="I3448" s="17" t="n">
        <v>0</v>
      </c>
      <c r="J3448" s="18" t="n">
        <v>66.15</v>
      </c>
      <c r="K3448" s="19" t="n">
        <v>20.32</v>
      </c>
      <c r="L3448" s="15" t="n">
        <f aca="false">YEAR(B3448)</f>
        <v>2023</v>
      </c>
      <c r="M3448" s="20" t="n">
        <f aca="false">IF(J3448&gt;0,K3448/J3448,0)</f>
        <v>0.307180650037793</v>
      </c>
    </row>
    <row r="3449" customFormat="false" ht="15" hidden="false" customHeight="false" outlineLevel="0" collapsed="false">
      <c r="A3449" s="15" t="s">
        <v>3506</v>
      </c>
      <c r="B3449" s="16" t="n">
        <v>44597</v>
      </c>
      <c r="C3449" s="15" t="s">
        <v>68</v>
      </c>
      <c r="D3449" s="15" t="s">
        <v>42</v>
      </c>
      <c r="E3449" s="15" t="s">
        <v>37</v>
      </c>
      <c r="F3449" s="15" t="s">
        <v>17</v>
      </c>
      <c r="G3449" s="15" t="s">
        <v>26</v>
      </c>
      <c r="H3449" s="15" t="n">
        <v>6</v>
      </c>
      <c r="I3449" s="17" t="n">
        <v>0.1</v>
      </c>
      <c r="J3449" s="18" t="n">
        <v>486.38</v>
      </c>
      <c r="K3449" s="19" t="n">
        <v>6.78</v>
      </c>
      <c r="L3449" s="15" t="n">
        <f aca="false">YEAR(B3449)</f>
        <v>2022</v>
      </c>
      <c r="M3449" s="20" t="n">
        <f aca="false">IF(J3449&gt;0,K3449/J3449,0)</f>
        <v>0.0139397179160327</v>
      </c>
    </row>
    <row r="3450" customFormat="false" ht="15" hidden="false" customHeight="false" outlineLevel="0" collapsed="false">
      <c r="A3450" s="15" t="s">
        <v>3507</v>
      </c>
      <c r="B3450" s="16" t="n">
        <v>45510</v>
      </c>
      <c r="C3450" s="15" t="s">
        <v>56</v>
      </c>
      <c r="D3450" s="15" t="s">
        <v>42</v>
      </c>
      <c r="E3450" s="15" t="s">
        <v>39</v>
      </c>
      <c r="F3450" s="15" t="s">
        <v>18</v>
      </c>
      <c r="G3450" s="15" t="s">
        <v>32</v>
      </c>
      <c r="H3450" s="15" t="n">
        <v>5</v>
      </c>
      <c r="I3450" s="17" t="n">
        <v>0.2</v>
      </c>
      <c r="J3450" s="18" t="n">
        <v>1909.62</v>
      </c>
      <c r="K3450" s="19" t="n">
        <v>-34.16</v>
      </c>
      <c r="L3450" s="15" t="n">
        <f aca="false">YEAR(B3450)</f>
        <v>2024</v>
      </c>
      <c r="M3450" s="20" t="n">
        <f aca="false">IF(J3450&gt;0,K3450/J3450,0)</f>
        <v>-0.0178883756977828</v>
      </c>
    </row>
    <row r="3451" customFormat="false" ht="15" hidden="false" customHeight="false" outlineLevel="0" collapsed="false">
      <c r="A3451" s="15" t="s">
        <v>3508</v>
      </c>
      <c r="B3451" s="16" t="n">
        <v>45800</v>
      </c>
      <c r="C3451" s="15" t="s">
        <v>56</v>
      </c>
      <c r="D3451" s="15" t="s">
        <v>44</v>
      </c>
      <c r="E3451" s="15" t="s">
        <v>36</v>
      </c>
      <c r="F3451" s="15" t="s">
        <v>17</v>
      </c>
      <c r="G3451" s="15" t="s">
        <v>29</v>
      </c>
      <c r="H3451" s="15" t="n">
        <v>3</v>
      </c>
      <c r="I3451" s="17" t="n">
        <v>0.3</v>
      </c>
      <c r="J3451" s="18" t="n">
        <v>45</v>
      </c>
      <c r="K3451" s="19" t="n">
        <v>2.07</v>
      </c>
      <c r="L3451" s="15" t="n">
        <f aca="false">YEAR(B3451)</f>
        <v>2025</v>
      </c>
      <c r="M3451" s="20" t="n">
        <f aca="false">IF(J3451&gt;0,K3451/J3451,0)</f>
        <v>0.046</v>
      </c>
    </row>
    <row r="3452" customFormat="false" ht="15" hidden="false" customHeight="false" outlineLevel="0" collapsed="false">
      <c r="A3452" s="15" t="s">
        <v>3509</v>
      </c>
      <c r="B3452" s="16" t="n">
        <v>45448</v>
      </c>
      <c r="C3452" s="15" t="s">
        <v>71</v>
      </c>
      <c r="D3452" s="15" t="s">
        <v>43</v>
      </c>
      <c r="E3452" s="15" t="s">
        <v>39</v>
      </c>
      <c r="F3452" s="15" t="s">
        <v>18</v>
      </c>
      <c r="G3452" s="15" t="s">
        <v>32</v>
      </c>
      <c r="H3452" s="15" t="n">
        <v>4</v>
      </c>
      <c r="I3452" s="17" t="n">
        <v>0.05</v>
      </c>
      <c r="J3452" s="18" t="n">
        <v>1715.02</v>
      </c>
      <c r="K3452" s="19" t="n">
        <v>279.92</v>
      </c>
      <c r="L3452" s="15" t="n">
        <f aca="false">YEAR(B3452)</f>
        <v>2024</v>
      </c>
      <c r="M3452" s="20" t="n">
        <f aca="false">IF(J3452&gt;0,K3452/J3452,0)</f>
        <v>0.163216755489732</v>
      </c>
    </row>
    <row r="3453" customFormat="false" ht="15" hidden="false" customHeight="false" outlineLevel="0" collapsed="false">
      <c r="A3453" s="15" t="s">
        <v>3510</v>
      </c>
      <c r="B3453" s="16" t="n">
        <v>45972</v>
      </c>
      <c r="C3453" s="15" t="s">
        <v>56</v>
      </c>
      <c r="D3453" s="15" t="s">
        <v>44</v>
      </c>
      <c r="E3453" s="15" t="s">
        <v>37</v>
      </c>
      <c r="F3453" s="15" t="s">
        <v>18</v>
      </c>
      <c r="G3453" s="15" t="s">
        <v>30</v>
      </c>
      <c r="H3453" s="15" t="n">
        <v>1</v>
      </c>
      <c r="I3453" s="17" t="n">
        <v>0</v>
      </c>
      <c r="J3453" s="18" t="n">
        <v>56.1</v>
      </c>
      <c r="K3453" s="19" t="n">
        <v>19.26</v>
      </c>
      <c r="L3453" s="15" t="n">
        <f aca="false">YEAR(B3453)</f>
        <v>2025</v>
      </c>
      <c r="M3453" s="20" t="n">
        <f aca="false">IF(J3453&gt;0,K3453/J3453,0)</f>
        <v>0.34331550802139</v>
      </c>
    </row>
    <row r="3454" customFormat="false" ht="15" hidden="false" customHeight="false" outlineLevel="0" collapsed="false">
      <c r="A3454" s="15" t="s">
        <v>3511</v>
      </c>
      <c r="B3454" s="16" t="n">
        <v>46013</v>
      </c>
      <c r="C3454" s="15" t="s">
        <v>56</v>
      </c>
      <c r="D3454" s="15" t="s">
        <v>42</v>
      </c>
      <c r="E3454" s="15" t="s">
        <v>36</v>
      </c>
      <c r="F3454" s="15" t="s">
        <v>18</v>
      </c>
      <c r="G3454" s="15" t="s">
        <v>33</v>
      </c>
      <c r="H3454" s="15" t="n">
        <v>4</v>
      </c>
      <c r="I3454" s="17" t="n">
        <v>0.15</v>
      </c>
      <c r="J3454" s="18" t="n">
        <v>2925.42</v>
      </c>
      <c r="K3454" s="19" t="n">
        <v>296.05</v>
      </c>
      <c r="L3454" s="15" t="n">
        <f aca="false">YEAR(B3454)</f>
        <v>2025</v>
      </c>
      <c r="M3454" s="20" t="n">
        <f aca="false">IF(J3454&gt;0,K3454/J3454,0)</f>
        <v>0.101199144054529</v>
      </c>
    </row>
    <row r="3455" customFormat="false" ht="15" hidden="false" customHeight="false" outlineLevel="0" collapsed="false">
      <c r="A3455" s="15" t="s">
        <v>3512</v>
      </c>
      <c r="B3455" s="16" t="n">
        <v>45025</v>
      </c>
      <c r="C3455" s="15" t="s">
        <v>68</v>
      </c>
      <c r="D3455" s="15" t="s">
        <v>44</v>
      </c>
      <c r="E3455" s="15" t="s">
        <v>38</v>
      </c>
      <c r="F3455" s="15" t="s">
        <v>17</v>
      </c>
      <c r="G3455" s="15" t="s">
        <v>29</v>
      </c>
      <c r="H3455" s="15" t="n">
        <v>4</v>
      </c>
      <c r="I3455" s="17" t="n">
        <v>0.4</v>
      </c>
      <c r="J3455" s="18" t="n">
        <v>36.71</v>
      </c>
      <c r="K3455" s="19" t="n">
        <v>-0.2</v>
      </c>
      <c r="L3455" s="15" t="n">
        <f aca="false">YEAR(B3455)</f>
        <v>2023</v>
      </c>
      <c r="M3455" s="20" t="n">
        <f aca="false">IF(J3455&gt;0,K3455/J3455,0)</f>
        <v>-0.00544810678289295</v>
      </c>
    </row>
    <row r="3456" customFormat="false" ht="15" hidden="false" customHeight="false" outlineLevel="0" collapsed="false">
      <c r="A3456" s="15" t="s">
        <v>3513</v>
      </c>
      <c r="B3456" s="16" t="n">
        <v>45647</v>
      </c>
      <c r="C3456" s="15" t="s">
        <v>56</v>
      </c>
      <c r="D3456" s="15" t="s">
        <v>42</v>
      </c>
      <c r="E3456" s="15" t="s">
        <v>39</v>
      </c>
      <c r="F3456" s="15" t="s">
        <v>16</v>
      </c>
      <c r="G3456" s="15" t="s">
        <v>27</v>
      </c>
      <c r="H3456" s="15" t="n">
        <v>6</v>
      </c>
      <c r="I3456" s="17" t="n">
        <v>0.15</v>
      </c>
      <c r="J3456" s="18" t="n">
        <v>289.31</v>
      </c>
      <c r="K3456" s="19" t="n">
        <v>11.28</v>
      </c>
      <c r="L3456" s="15" t="n">
        <f aca="false">YEAR(B3456)</f>
        <v>2024</v>
      </c>
      <c r="M3456" s="20" t="n">
        <f aca="false">IF(J3456&gt;0,K3456/J3456,0)</f>
        <v>0.0389893194151602</v>
      </c>
    </row>
    <row r="3457" customFormat="false" ht="15" hidden="false" customHeight="false" outlineLevel="0" collapsed="false">
      <c r="A3457" s="15" t="s">
        <v>3514</v>
      </c>
      <c r="B3457" s="16" t="n">
        <v>44888</v>
      </c>
      <c r="C3457" s="15" t="s">
        <v>58</v>
      </c>
      <c r="D3457" s="15" t="s">
        <v>43</v>
      </c>
      <c r="E3457" s="15" t="s">
        <v>39</v>
      </c>
      <c r="F3457" s="15" t="s">
        <v>18</v>
      </c>
      <c r="G3457" s="15" t="s">
        <v>32</v>
      </c>
      <c r="H3457" s="15" t="n">
        <v>2</v>
      </c>
      <c r="I3457" s="17" t="n">
        <v>0.1</v>
      </c>
      <c r="J3457" s="18" t="n">
        <v>941.26</v>
      </c>
      <c r="K3457" s="19" t="n">
        <v>121.48</v>
      </c>
      <c r="L3457" s="15" t="n">
        <f aca="false">YEAR(B3457)</f>
        <v>2022</v>
      </c>
      <c r="M3457" s="20" t="n">
        <f aca="false">IF(J3457&gt;0,K3457/J3457,0)</f>
        <v>0.129061045832182</v>
      </c>
    </row>
    <row r="3458" customFormat="false" ht="15" hidden="false" customHeight="false" outlineLevel="0" collapsed="false">
      <c r="A3458" s="15" t="s">
        <v>3515</v>
      </c>
      <c r="B3458" s="16" t="n">
        <v>45948</v>
      </c>
      <c r="C3458" s="15" t="s">
        <v>58</v>
      </c>
      <c r="D3458" s="15" t="s">
        <v>44</v>
      </c>
      <c r="E3458" s="15" t="s">
        <v>37</v>
      </c>
      <c r="F3458" s="15" t="s">
        <v>17</v>
      </c>
      <c r="G3458" s="15" t="s">
        <v>28</v>
      </c>
      <c r="H3458" s="15" t="n">
        <v>4</v>
      </c>
      <c r="I3458" s="17" t="n">
        <v>0</v>
      </c>
      <c r="J3458" s="18" t="n">
        <v>105.32</v>
      </c>
      <c r="K3458" s="19" t="n">
        <v>30.72</v>
      </c>
      <c r="L3458" s="15" t="n">
        <f aca="false">YEAR(B3458)</f>
        <v>2025</v>
      </c>
      <c r="M3458" s="20" t="n">
        <f aca="false">IF(J3458&gt;0,K3458/J3458,0)</f>
        <v>0.291682491454615</v>
      </c>
    </row>
    <row r="3459" customFormat="false" ht="15" hidden="false" customHeight="false" outlineLevel="0" collapsed="false">
      <c r="A3459" s="15" t="s">
        <v>3516</v>
      </c>
      <c r="B3459" s="16" t="n">
        <v>45210</v>
      </c>
      <c r="C3459" s="15" t="s">
        <v>56</v>
      </c>
      <c r="D3459" s="15" t="s">
        <v>43</v>
      </c>
      <c r="E3459" s="15" t="s">
        <v>39</v>
      </c>
      <c r="F3459" s="15" t="s">
        <v>17</v>
      </c>
      <c r="G3459" s="15" t="s">
        <v>31</v>
      </c>
      <c r="H3459" s="15" t="n">
        <v>4</v>
      </c>
      <c r="I3459" s="17" t="n">
        <v>0.15</v>
      </c>
      <c r="J3459" s="18" t="n">
        <v>385.1</v>
      </c>
      <c r="K3459" s="19" t="n">
        <v>32.09</v>
      </c>
      <c r="L3459" s="15" t="n">
        <f aca="false">YEAR(B3459)</f>
        <v>2023</v>
      </c>
      <c r="M3459" s="20" t="n">
        <f aca="false">IF(J3459&gt;0,K3459/J3459,0)</f>
        <v>0.0833290054531291</v>
      </c>
    </row>
    <row r="3460" customFormat="false" ht="15" hidden="false" customHeight="false" outlineLevel="0" collapsed="false">
      <c r="A3460" s="15" t="s">
        <v>3517</v>
      </c>
      <c r="B3460" s="16" t="n">
        <v>44709</v>
      </c>
      <c r="C3460" s="15" t="s">
        <v>56</v>
      </c>
      <c r="D3460" s="15" t="s">
        <v>42</v>
      </c>
      <c r="E3460" s="15" t="s">
        <v>39</v>
      </c>
      <c r="F3460" s="15" t="s">
        <v>17</v>
      </c>
      <c r="G3460" s="15" t="s">
        <v>29</v>
      </c>
      <c r="H3460" s="15" t="n">
        <v>6</v>
      </c>
      <c r="I3460" s="17" t="n">
        <v>0.2</v>
      </c>
      <c r="J3460" s="18" t="n">
        <v>104.81</v>
      </c>
      <c r="K3460" s="19" t="n">
        <v>18.36</v>
      </c>
      <c r="L3460" s="15" t="n">
        <f aca="false">YEAR(B3460)</f>
        <v>2022</v>
      </c>
      <c r="M3460" s="20" t="n">
        <f aca="false">IF(J3460&gt;0,K3460/J3460,0)</f>
        <v>0.175174124606431</v>
      </c>
    </row>
    <row r="3461" customFormat="false" ht="15" hidden="false" customHeight="false" outlineLevel="0" collapsed="false">
      <c r="A3461" s="15" t="s">
        <v>3518</v>
      </c>
      <c r="B3461" s="16" t="n">
        <v>44993</v>
      </c>
      <c r="C3461" s="15" t="s">
        <v>71</v>
      </c>
      <c r="D3461" s="15" t="s">
        <v>42</v>
      </c>
      <c r="E3461" s="15" t="s">
        <v>36</v>
      </c>
      <c r="F3461" s="15" t="s">
        <v>18</v>
      </c>
      <c r="G3461" s="15" t="s">
        <v>30</v>
      </c>
      <c r="H3461" s="15" t="n">
        <v>1</v>
      </c>
      <c r="I3461" s="17" t="n">
        <v>0</v>
      </c>
      <c r="J3461" s="18" t="n">
        <v>46.8</v>
      </c>
      <c r="K3461" s="19" t="n">
        <v>13.62</v>
      </c>
      <c r="L3461" s="15" t="n">
        <f aca="false">YEAR(B3461)</f>
        <v>2023</v>
      </c>
      <c r="M3461" s="20" t="n">
        <f aca="false">IF(J3461&gt;0,K3461/J3461,0)</f>
        <v>0.291025641025641</v>
      </c>
    </row>
    <row r="3462" customFormat="false" ht="15" hidden="false" customHeight="false" outlineLevel="0" collapsed="false">
      <c r="A3462" s="15" t="s">
        <v>3519</v>
      </c>
      <c r="B3462" s="16" t="n">
        <v>45845</v>
      </c>
      <c r="C3462" s="15" t="s">
        <v>56</v>
      </c>
      <c r="D3462" s="15" t="s">
        <v>43</v>
      </c>
      <c r="E3462" s="15" t="s">
        <v>39</v>
      </c>
      <c r="F3462" s="15" t="s">
        <v>17</v>
      </c>
      <c r="G3462" s="15" t="s">
        <v>28</v>
      </c>
      <c r="H3462" s="15" t="n">
        <v>5</v>
      </c>
      <c r="I3462" s="17" t="n">
        <v>0</v>
      </c>
      <c r="J3462" s="18" t="n">
        <v>151.39</v>
      </c>
      <c r="K3462" s="19" t="n">
        <v>55.79</v>
      </c>
      <c r="L3462" s="15" t="n">
        <f aca="false">YEAR(B3462)</f>
        <v>2025</v>
      </c>
      <c r="M3462" s="20" t="n">
        <f aca="false">IF(J3462&gt;0,K3462/J3462,0)</f>
        <v>0.368518396195257</v>
      </c>
    </row>
    <row r="3463" customFormat="false" ht="15" hidden="false" customHeight="false" outlineLevel="0" collapsed="false">
      <c r="A3463" s="15" t="s">
        <v>3520</v>
      </c>
      <c r="B3463" s="16" t="n">
        <v>44869</v>
      </c>
      <c r="C3463" s="15" t="s">
        <v>56</v>
      </c>
      <c r="D3463" s="15" t="s">
        <v>43</v>
      </c>
      <c r="E3463" s="15" t="s">
        <v>37</v>
      </c>
      <c r="F3463" s="15" t="s">
        <v>17</v>
      </c>
      <c r="G3463" s="15" t="s">
        <v>28</v>
      </c>
      <c r="H3463" s="15" t="n">
        <v>5</v>
      </c>
      <c r="I3463" s="17" t="n">
        <v>0</v>
      </c>
      <c r="J3463" s="18" t="n">
        <v>150.52</v>
      </c>
      <c r="K3463" s="19" t="n">
        <v>43.06</v>
      </c>
      <c r="L3463" s="15" t="n">
        <f aca="false">YEAR(B3463)</f>
        <v>2022</v>
      </c>
      <c r="M3463" s="20" t="n">
        <f aca="false">IF(J3463&gt;0,K3463/J3463,0)</f>
        <v>0.286074940207281</v>
      </c>
    </row>
    <row r="3464" customFormat="false" ht="15" hidden="false" customHeight="false" outlineLevel="0" collapsed="false">
      <c r="A3464" s="15" t="s">
        <v>3521</v>
      </c>
      <c r="B3464" s="16" t="n">
        <v>45774</v>
      </c>
      <c r="C3464" s="15" t="s">
        <v>71</v>
      </c>
      <c r="D3464" s="15" t="s">
        <v>43</v>
      </c>
      <c r="E3464" s="15" t="s">
        <v>36</v>
      </c>
      <c r="F3464" s="15" t="s">
        <v>18</v>
      </c>
      <c r="G3464" s="15" t="s">
        <v>33</v>
      </c>
      <c r="H3464" s="15" t="n">
        <v>1</v>
      </c>
      <c r="I3464" s="17" t="n">
        <v>0.1</v>
      </c>
      <c r="J3464" s="18" t="n">
        <v>1182.78</v>
      </c>
      <c r="K3464" s="19" t="n">
        <v>267.78</v>
      </c>
      <c r="L3464" s="15" t="n">
        <f aca="false">YEAR(B3464)</f>
        <v>2025</v>
      </c>
      <c r="M3464" s="20" t="n">
        <f aca="false">IF(J3464&gt;0,K3464/J3464,0)</f>
        <v>0.226398823111652</v>
      </c>
    </row>
    <row r="3465" customFormat="false" ht="15" hidden="false" customHeight="false" outlineLevel="0" collapsed="false">
      <c r="A3465" s="15" t="s">
        <v>3522</v>
      </c>
      <c r="B3465" s="16" t="n">
        <v>45884</v>
      </c>
      <c r="C3465" s="15" t="s">
        <v>56</v>
      </c>
      <c r="D3465" s="15" t="s">
        <v>44</v>
      </c>
      <c r="E3465" s="15" t="s">
        <v>39</v>
      </c>
      <c r="F3465" s="15" t="s">
        <v>17</v>
      </c>
      <c r="G3465" s="15" t="s">
        <v>26</v>
      </c>
      <c r="H3465" s="15" t="n">
        <v>3</v>
      </c>
      <c r="I3465" s="17" t="n">
        <v>0.15</v>
      </c>
      <c r="J3465" s="18" t="n">
        <v>212.91</v>
      </c>
      <c r="K3465" s="19" t="n">
        <v>-2.83</v>
      </c>
      <c r="L3465" s="15" t="n">
        <f aca="false">YEAR(B3465)</f>
        <v>2025</v>
      </c>
      <c r="M3465" s="20" t="n">
        <f aca="false">IF(J3465&gt;0,K3465/J3465,0)</f>
        <v>-0.0132920013151097</v>
      </c>
    </row>
    <row r="3466" customFormat="false" ht="15" hidden="false" customHeight="false" outlineLevel="0" collapsed="false">
      <c r="A3466" s="15" t="s">
        <v>3523</v>
      </c>
      <c r="B3466" s="16" t="n">
        <v>45589</v>
      </c>
      <c r="C3466" s="15" t="s">
        <v>71</v>
      </c>
      <c r="D3466" s="15" t="s">
        <v>42</v>
      </c>
      <c r="E3466" s="15" t="s">
        <v>37</v>
      </c>
      <c r="F3466" s="15" t="s">
        <v>17</v>
      </c>
      <c r="G3466" s="15" t="s">
        <v>28</v>
      </c>
      <c r="H3466" s="15" t="n">
        <v>6</v>
      </c>
      <c r="I3466" s="17" t="n">
        <v>0.05</v>
      </c>
      <c r="J3466" s="18" t="n">
        <v>149.77</v>
      </c>
      <c r="K3466" s="19" t="n">
        <v>30.64</v>
      </c>
      <c r="L3466" s="15" t="n">
        <f aca="false">YEAR(B3466)</f>
        <v>2024</v>
      </c>
      <c r="M3466" s="20" t="n">
        <f aca="false">IF(J3466&gt;0,K3466/J3466,0)</f>
        <v>0.204580356546705</v>
      </c>
    </row>
    <row r="3467" customFormat="false" ht="15" hidden="false" customHeight="false" outlineLevel="0" collapsed="false">
      <c r="A3467" s="15" t="s">
        <v>3524</v>
      </c>
      <c r="B3467" s="16" t="n">
        <v>45720</v>
      </c>
      <c r="C3467" s="15" t="s">
        <v>56</v>
      </c>
      <c r="D3467" s="15" t="s">
        <v>42</v>
      </c>
      <c r="E3467" s="15" t="s">
        <v>38</v>
      </c>
      <c r="F3467" s="15" t="s">
        <v>17</v>
      </c>
      <c r="G3467" s="15" t="s">
        <v>31</v>
      </c>
      <c r="H3467" s="15" t="n">
        <v>6</v>
      </c>
      <c r="I3467" s="17" t="n">
        <v>0.2</v>
      </c>
      <c r="J3467" s="18" t="n">
        <v>588.61</v>
      </c>
      <c r="K3467" s="19" t="n">
        <v>-3.19</v>
      </c>
      <c r="L3467" s="15" t="n">
        <f aca="false">YEAR(B3467)</f>
        <v>2025</v>
      </c>
      <c r="M3467" s="20" t="n">
        <f aca="false">IF(J3467&gt;0,K3467/J3467,0)</f>
        <v>-0.00541954774808447</v>
      </c>
    </row>
    <row r="3468" customFormat="false" ht="15" hidden="false" customHeight="false" outlineLevel="0" collapsed="false">
      <c r="A3468" s="15" t="s">
        <v>3525</v>
      </c>
      <c r="B3468" s="16" t="n">
        <v>45584</v>
      </c>
      <c r="C3468" s="15" t="s">
        <v>56</v>
      </c>
      <c r="D3468" s="15" t="s">
        <v>42</v>
      </c>
      <c r="E3468" s="15" t="s">
        <v>39</v>
      </c>
      <c r="F3468" s="15" t="s">
        <v>17</v>
      </c>
      <c r="G3468" s="15" t="s">
        <v>29</v>
      </c>
      <c r="H3468" s="15" t="n">
        <v>6</v>
      </c>
      <c r="I3468" s="17" t="n">
        <v>0</v>
      </c>
      <c r="J3468" s="18" t="n">
        <v>126.3</v>
      </c>
      <c r="K3468" s="19" t="n">
        <v>48.13</v>
      </c>
      <c r="L3468" s="15" t="n">
        <f aca="false">YEAR(B3468)</f>
        <v>2024</v>
      </c>
      <c r="M3468" s="20" t="n">
        <f aca="false">IF(J3468&gt;0,K3468/J3468,0)</f>
        <v>0.381076801266825</v>
      </c>
    </row>
    <row r="3469" customFormat="false" ht="15" hidden="false" customHeight="false" outlineLevel="0" collapsed="false">
      <c r="A3469" s="15" t="s">
        <v>3526</v>
      </c>
      <c r="B3469" s="16" t="n">
        <v>45908</v>
      </c>
      <c r="C3469" s="15" t="s">
        <v>56</v>
      </c>
      <c r="D3469" s="15" t="s">
        <v>42</v>
      </c>
      <c r="E3469" s="15" t="s">
        <v>39</v>
      </c>
      <c r="F3469" s="15" t="s">
        <v>18</v>
      </c>
      <c r="G3469" s="15" t="s">
        <v>32</v>
      </c>
      <c r="H3469" s="15" t="n">
        <v>7</v>
      </c>
      <c r="I3469" s="17" t="n">
        <v>0</v>
      </c>
      <c r="J3469" s="18" t="n">
        <v>2348.75</v>
      </c>
      <c r="K3469" s="19" t="n">
        <v>441.98</v>
      </c>
      <c r="L3469" s="15" t="n">
        <f aca="false">YEAR(B3469)</f>
        <v>2025</v>
      </c>
      <c r="M3469" s="20" t="n">
        <f aca="false">IF(J3469&gt;0,K3469/J3469,0)</f>
        <v>0.188176689728579</v>
      </c>
    </row>
    <row r="3470" customFormat="false" ht="15" hidden="false" customHeight="false" outlineLevel="0" collapsed="false">
      <c r="A3470" s="15" t="s">
        <v>3527</v>
      </c>
      <c r="B3470" s="16" t="n">
        <v>45453</v>
      </c>
      <c r="C3470" s="15" t="s">
        <v>56</v>
      </c>
      <c r="D3470" s="15" t="s">
        <v>42</v>
      </c>
      <c r="E3470" s="15" t="s">
        <v>39</v>
      </c>
      <c r="F3470" s="15" t="s">
        <v>16</v>
      </c>
      <c r="G3470" s="15" t="s">
        <v>27</v>
      </c>
      <c r="H3470" s="15" t="n">
        <v>6</v>
      </c>
      <c r="I3470" s="17" t="n">
        <v>0</v>
      </c>
      <c r="J3470" s="18" t="n">
        <v>346.88</v>
      </c>
      <c r="K3470" s="19" t="n">
        <v>59.62</v>
      </c>
      <c r="L3470" s="15" t="n">
        <f aca="false">YEAR(B3470)</f>
        <v>2024</v>
      </c>
      <c r="M3470" s="20" t="n">
        <f aca="false">IF(J3470&gt;0,K3470/J3470,0)</f>
        <v>0.171875</v>
      </c>
    </row>
    <row r="3471" customFormat="false" ht="15" hidden="false" customHeight="false" outlineLevel="0" collapsed="false">
      <c r="A3471" s="15" t="s">
        <v>3528</v>
      </c>
      <c r="B3471" s="16" t="n">
        <v>45008</v>
      </c>
      <c r="C3471" s="15" t="s">
        <v>56</v>
      </c>
      <c r="D3471" s="15" t="s">
        <v>42</v>
      </c>
      <c r="E3471" s="15" t="s">
        <v>39</v>
      </c>
      <c r="F3471" s="15" t="s">
        <v>18</v>
      </c>
      <c r="G3471" s="15" t="s">
        <v>30</v>
      </c>
      <c r="H3471" s="15" t="n">
        <v>5</v>
      </c>
      <c r="I3471" s="17" t="n">
        <v>0.2</v>
      </c>
      <c r="J3471" s="18" t="n">
        <v>168.93</v>
      </c>
      <c r="K3471" s="19" t="n">
        <v>18.3</v>
      </c>
      <c r="L3471" s="15" t="n">
        <f aca="false">YEAR(B3471)</f>
        <v>2023</v>
      </c>
      <c r="M3471" s="20" t="n">
        <f aca="false">IF(J3471&gt;0,K3471/J3471,0)</f>
        <v>0.108328893624578</v>
      </c>
    </row>
    <row r="3472" customFormat="false" ht="15" hidden="false" customHeight="false" outlineLevel="0" collapsed="false">
      <c r="A3472" s="15" t="s">
        <v>3529</v>
      </c>
      <c r="B3472" s="16" t="n">
        <v>45464</v>
      </c>
      <c r="C3472" s="15" t="s">
        <v>56</v>
      </c>
      <c r="D3472" s="15" t="s">
        <v>42</v>
      </c>
      <c r="E3472" s="15" t="s">
        <v>39</v>
      </c>
      <c r="F3472" s="15" t="s">
        <v>16</v>
      </c>
      <c r="G3472" s="15" t="s">
        <v>22</v>
      </c>
      <c r="H3472" s="15" t="n">
        <v>4</v>
      </c>
      <c r="I3472" s="17" t="n">
        <v>0.2</v>
      </c>
      <c r="J3472" s="18" t="n">
        <v>1994.23</v>
      </c>
      <c r="K3472" s="19" t="n">
        <v>-422.11</v>
      </c>
      <c r="L3472" s="15" t="n">
        <f aca="false">YEAR(B3472)</f>
        <v>2024</v>
      </c>
      <c r="M3472" s="20" t="n">
        <f aca="false">IF(J3472&gt;0,K3472/J3472,0)</f>
        <v>-0.211665655415875</v>
      </c>
    </row>
    <row r="3473" customFormat="false" ht="15" hidden="false" customHeight="false" outlineLevel="0" collapsed="false">
      <c r="A3473" s="15" t="s">
        <v>3530</v>
      </c>
      <c r="B3473" s="16" t="n">
        <v>45213</v>
      </c>
      <c r="C3473" s="15" t="s">
        <v>68</v>
      </c>
      <c r="D3473" s="15" t="s">
        <v>42</v>
      </c>
      <c r="E3473" s="15" t="s">
        <v>36</v>
      </c>
      <c r="F3473" s="15" t="s">
        <v>18</v>
      </c>
      <c r="G3473" s="15" t="s">
        <v>30</v>
      </c>
      <c r="H3473" s="15" t="n">
        <v>3</v>
      </c>
      <c r="I3473" s="17" t="n">
        <v>0.4</v>
      </c>
      <c r="J3473" s="18" t="n">
        <v>94.8</v>
      </c>
      <c r="K3473" s="19" t="n">
        <v>-3.12</v>
      </c>
      <c r="L3473" s="15" t="n">
        <f aca="false">YEAR(B3473)</f>
        <v>2023</v>
      </c>
      <c r="M3473" s="20" t="n">
        <f aca="false">IF(J3473&gt;0,K3473/J3473,0)</f>
        <v>-0.0329113924050633</v>
      </c>
    </row>
    <row r="3474" customFormat="false" ht="15" hidden="false" customHeight="false" outlineLevel="0" collapsed="false">
      <c r="A3474" s="15" t="s">
        <v>3531</v>
      </c>
      <c r="B3474" s="16" t="n">
        <v>45559</v>
      </c>
      <c r="C3474" s="15" t="s">
        <v>56</v>
      </c>
      <c r="D3474" s="15" t="s">
        <v>42</v>
      </c>
      <c r="E3474" s="15" t="s">
        <v>39</v>
      </c>
      <c r="F3474" s="15" t="s">
        <v>17</v>
      </c>
      <c r="G3474" s="15" t="s">
        <v>29</v>
      </c>
      <c r="H3474" s="15" t="n">
        <v>3</v>
      </c>
      <c r="I3474" s="17" t="n">
        <v>0.2</v>
      </c>
      <c r="J3474" s="18" t="n">
        <v>43.18</v>
      </c>
      <c r="K3474" s="19" t="n">
        <v>11.65</v>
      </c>
      <c r="L3474" s="15" t="n">
        <f aca="false">YEAR(B3474)</f>
        <v>2024</v>
      </c>
      <c r="M3474" s="20" t="n">
        <f aca="false">IF(J3474&gt;0,K3474/J3474,0)</f>
        <v>0.269800833719315</v>
      </c>
    </row>
    <row r="3475" customFormat="false" ht="15" hidden="false" customHeight="false" outlineLevel="0" collapsed="false">
      <c r="A3475" s="15" t="s">
        <v>3532</v>
      </c>
      <c r="B3475" s="16" t="n">
        <v>44738</v>
      </c>
      <c r="C3475" s="15" t="s">
        <v>56</v>
      </c>
      <c r="D3475" s="15" t="s">
        <v>42</v>
      </c>
      <c r="E3475" s="15" t="s">
        <v>36</v>
      </c>
      <c r="F3475" s="15" t="s">
        <v>17</v>
      </c>
      <c r="G3475" s="15" t="s">
        <v>26</v>
      </c>
      <c r="H3475" s="15" t="n">
        <v>4</v>
      </c>
      <c r="I3475" s="17" t="n">
        <v>0</v>
      </c>
      <c r="J3475" s="18" t="n">
        <v>297.15</v>
      </c>
      <c r="K3475" s="19" t="n">
        <v>42.59</v>
      </c>
      <c r="L3475" s="15" t="n">
        <f aca="false">YEAR(B3475)</f>
        <v>2022</v>
      </c>
      <c r="M3475" s="20" t="n">
        <f aca="false">IF(J3475&gt;0,K3475/J3475,0)</f>
        <v>0.143328285377755</v>
      </c>
    </row>
    <row r="3476" customFormat="false" ht="15" hidden="false" customHeight="false" outlineLevel="0" collapsed="false">
      <c r="A3476" s="15" t="s">
        <v>3533</v>
      </c>
      <c r="B3476" s="16" t="n">
        <v>45282</v>
      </c>
      <c r="C3476" s="15" t="s">
        <v>71</v>
      </c>
      <c r="D3476" s="15" t="s">
        <v>42</v>
      </c>
      <c r="E3476" s="15" t="s">
        <v>39</v>
      </c>
      <c r="F3476" s="15" t="s">
        <v>18</v>
      </c>
      <c r="G3476" s="15" t="s">
        <v>32</v>
      </c>
      <c r="H3476" s="15" t="n">
        <v>2</v>
      </c>
      <c r="I3476" s="17" t="n">
        <v>0</v>
      </c>
      <c r="J3476" s="18" t="n">
        <v>1064.72</v>
      </c>
      <c r="K3476" s="19" t="n">
        <v>253.47</v>
      </c>
      <c r="L3476" s="15" t="n">
        <f aca="false">YEAR(B3476)</f>
        <v>2023</v>
      </c>
      <c r="M3476" s="20" t="n">
        <f aca="false">IF(J3476&gt;0,K3476/J3476,0)</f>
        <v>0.238062589225336</v>
      </c>
    </row>
    <row r="3477" customFormat="false" ht="15" hidden="false" customHeight="false" outlineLevel="0" collapsed="false">
      <c r="A3477" s="15" t="s">
        <v>3534</v>
      </c>
      <c r="B3477" s="16" t="n">
        <v>45877</v>
      </c>
      <c r="C3477" s="15" t="s">
        <v>56</v>
      </c>
      <c r="D3477" s="15" t="s">
        <v>43</v>
      </c>
      <c r="E3477" s="15" t="s">
        <v>39</v>
      </c>
      <c r="F3477" s="15" t="s">
        <v>17</v>
      </c>
      <c r="G3477" s="15" t="s">
        <v>26</v>
      </c>
      <c r="H3477" s="15" t="n">
        <v>4</v>
      </c>
      <c r="I3477" s="17" t="n">
        <v>0</v>
      </c>
      <c r="J3477" s="18" t="n">
        <v>384.33</v>
      </c>
      <c r="K3477" s="19" t="n">
        <v>67.99</v>
      </c>
      <c r="L3477" s="15" t="n">
        <f aca="false">YEAR(B3477)</f>
        <v>2025</v>
      </c>
      <c r="M3477" s="20" t="n">
        <f aca="false">IF(J3477&gt;0,K3477/J3477,0)</f>
        <v>0.17690526370567</v>
      </c>
    </row>
    <row r="3478" customFormat="false" ht="15" hidden="false" customHeight="false" outlineLevel="0" collapsed="false">
      <c r="A3478" s="15" t="s">
        <v>3535</v>
      </c>
      <c r="B3478" s="16" t="n">
        <v>44759</v>
      </c>
      <c r="C3478" s="15" t="s">
        <v>56</v>
      </c>
      <c r="D3478" s="15" t="s">
        <v>43</v>
      </c>
      <c r="E3478" s="15" t="s">
        <v>38</v>
      </c>
      <c r="F3478" s="15" t="s">
        <v>16</v>
      </c>
      <c r="G3478" s="15" t="s">
        <v>27</v>
      </c>
      <c r="H3478" s="15" t="n">
        <v>5</v>
      </c>
      <c r="I3478" s="17" t="n">
        <v>0.4</v>
      </c>
      <c r="J3478" s="18" t="n">
        <v>184.12</v>
      </c>
      <c r="K3478" s="19" t="n">
        <v>-18.78</v>
      </c>
      <c r="L3478" s="15" t="n">
        <f aca="false">YEAR(B3478)</f>
        <v>2022</v>
      </c>
      <c r="M3478" s="20" t="n">
        <f aca="false">IF(J3478&gt;0,K3478/J3478,0)</f>
        <v>-0.101998696502281</v>
      </c>
    </row>
    <row r="3479" customFormat="false" ht="15" hidden="false" customHeight="false" outlineLevel="0" collapsed="false">
      <c r="A3479" s="15" t="s">
        <v>3536</v>
      </c>
      <c r="B3479" s="16" t="n">
        <v>45288</v>
      </c>
      <c r="C3479" s="15" t="s">
        <v>56</v>
      </c>
      <c r="D3479" s="15" t="s">
        <v>43</v>
      </c>
      <c r="E3479" s="15" t="s">
        <v>39</v>
      </c>
      <c r="F3479" s="15" t="s">
        <v>17</v>
      </c>
      <c r="G3479" s="15" t="s">
        <v>29</v>
      </c>
      <c r="H3479" s="15" t="n">
        <v>2</v>
      </c>
      <c r="I3479" s="17" t="n">
        <v>0.1</v>
      </c>
      <c r="J3479" s="18" t="n">
        <v>30.08</v>
      </c>
      <c r="K3479" s="19" t="n">
        <v>10.18</v>
      </c>
      <c r="L3479" s="15" t="n">
        <f aca="false">YEAR(B3479)</f>
        <v>2023</v>
      </c>
      <c r="M3479" s="20" t="n">
        <f aca="false">IF(J3479&gt;0,K3479/J3479,0)</f>
        <v>0.33843085106383</v>
      </c>
    </row>
    <row r="3480" customFormat="false" ht="15" hidden="false" customHeight="false" outlineLevel="0" collapsed="false">
      <c r="A3480" s="15" t="s">
        <v>3537</v>
      </c>
      <c r="B3480" s="16" t="n">
        <v>45730</v>
      </c>
      <c r="C3480" s="15" t="s">
        <v>71</v>
      </c>
      <c r="D3480" s="15" t="s">
        <v>43</v>
      </c>
      <c r="E3480" s="15" t="s">
        <v>39</v>
      </c>
      <c r="F3480" s="15" t="s">
        <v>16</v>
      </c>
      <c r="G3480" s="15" t="s">
        <v>25</v>
      </c>
      <c r="H3480" s="15" t="n">
        <v>3</v>
      </c>
      <c r="I3480" s="17" t="n">
        <v>0</v>
      </c>
      <c r="J3480" s="18" t="n">
        <v>844.08</v>
      </c>
      <c r="K3480" s="19" t="n">
        <v>73.6</v>
      </c>
      <c r="L3480" s="15" t="n">
        <f aca="false">YEAR(B3480)</f>
        <v>2025</v>
      </c>
      <c r="M3480" s="20" t="n">
        <f aca="false">IF(J3480&gt;0,K3480/J3480,0)</f>
        <v>0.0871955264903801</v>
      </c>
    </row>
    <row r="3481" customFormat="false" ht="15" hidden="false" customHeight="false" outlineLevel="0" collapsed="false">
      <c r="A3481" s="15" t="s">
        <v>3538</v>
      </c>
      <c r="B3481" s="16" t="n">
        <v>44791</v>
      </c>
      <c r="C3481" s="15" t="s">
        <v>56</v>
      </c>
      <c r="D3481" s="15" t="s">
        <v>42</v>
      </c>
      <c r="E3481" s="15" t="s">
        <v>36</v>
      </c>
      <c r="F3481" s="15" t="s">
        <v>16</v>
      </c>
      <c r="G3481" s="15" t="s">
        <v>27</v>
      </c>
      <c r="H3481" s="15" t="n">
        <v>3</v>
      </c>
      <c r="I3481" s="17" t="n">
        <v>0</v>
      </c>
      <c r="J3481" s="18" t="n">
        <v>133.69</v>
      </c>
      <c r="K3481" s="19" t="n">
        <v>30.97</v>
      </c>
      <c r="L3481" s="15" t="n">
        <f aca="false">YEAR(B3481)</f>
        <v>2022</v>
      </c>
      <c r="M3481" s="20" t="n">
        <f aca="false">IF(J3481&gt;0,K3481/J3481,0)</f>
        <v>0.231655322013614</v>
      </c>
    </row>
    <row r="3482" customFormat="false" ht="15" hidden="false" customHeight="false" outlineLevel="0" collapsed="false">
      <c r="A3482" s="15" t="s">
        <v>3539</v>
      </c>
      <c r="B3482" s="16" t="n">
        <v>45365</v>
      </c>
      <c r="C3482" s="15" t="s">
        <v>68</v>
      </c>
      <c r="D3482" s="15" t="s">
        <v>44</v>
      </c>
      <c r="E3482" s="15" t="s">
        <v>38</v>
      </c>
      <c r="F3482" s="15" t="s">
        <v>17</v>
      </c>
      <c r="G3482" s="15" t="s">
        <v>28</v>
      </c>
      <c r="H3482" s="15" t="n">
        <v>2</v>
      </c>
      <c r="I3482" s="17" t="n">
        <v>0.4</v>
      </c>
      <c r="J3482" s="18" t="n">
        <v>32.29</v>
      </c>
      <c r="K3482" s="19" t="n">
        <v>-2.23</v>
      </c>
      <c r="L3482" s="15" t="n">
        <f aca="false">YEAR(B3482)</f>
        <v>2024</v>
      </c>
      <c r="M3482" s="20" t="n">
        <f aca="false">IF(J3482&gt;0,K3482/J3482,0)</f>
        <v>-0.0690616289873026</v>
      </c>
    </row>
    <row r="3483" customFormat="false" ht="15" hidden="false" customHeight="false" outlineLevel="0" collapsed="false">
      <c r="A3483" s="15" t="s">
        <v>3540</v>
      </c>
      <c r="B3483" s="16" t="n">
        <v>45513</v>
      </c>
      <c r="C3483" s="15" t="s">
        <v>56</v>
      </c>
      <c r="D3483" s="15" t="s">
        <v>42</v>
      </c>
      <c r="E3483" s="15" t="s">
        <v>36</v>
      </c>
      <c r="F3483" s="15" t="s">
        <v>18</v>
      </c>
      <c r="G3483" s="15" t="s">
        <v>33</v>
      </c>
      <c r="H3483" s="15" t="n">
        <v>4</v>
      </c>
      <c r="I3483" s="17" t="n">
        <v>0</v>
      </c>
      <c r="J3483" s="18" t="n">
        <v>2868.06</v>
      </c>
      <c r="K3483" s="19" t="n">
        <v>597.02</v>
      </c>
      <c r="L3483" s="15" t="n">
        <f aca="false">YEAR(B3483)</f>
        <v>2024</v>
      </c>
      <c r="M3483" s="20" t="n">
        <f aca="false">IF(J3483&gt;0,K3483/J3483,0)</f>
        <v>0.208161614471106</v>
      </c>
    </row>
    <row r="3484" customFormat="false" ht="15" hidden="false" customHeight="false" outlineLevel="0" collapsed="false">
      <c r="A3484" s="15" t="s">
        <v>3541</v>
      </c>
      <c r="B3484" s="16" t="n">
        <v>45430</v>
      </c>
      <c r="C3484" s="15" t="s">
        <v>56</v>
      </c>
      <c r="D3484" s="15" t="s">
        <v>42</v>
      </c>
      <c r="E3484" s="15" t="s">
        <v>37</v>
      </c>
      <c r="F3484" s="15" t="s">
        <v>18</v>
      </c>
      <c r="G3484" s="15" t="s">
        <v>30</v>
      </c>
      <c r="H3484" s="15" t="n">
        <v>1</v>
      </c>
      <c r="I3484" s="17" t="n">
        <v>0</v>
      </c>
      <c r="J3484" s="18" t="n">
        <v>42.18</v>
      </c>
      <c r="K3484" s="19" t="n">
        <v>13.99</v>
      </c>
      <c r="L3484" s="15" t="n">
        <f aca="false">YEAR(B3484)</f>
        <v>2024</v>
      </c>
      <c r="M3484" s="20" t="n">
        <f aca="false">IF(J3484&gt;0,K3484/J3484,0)</f>
        <v>0.3316737790422</v>
      </c>
    </row>
    <row r="3485" customFormat="false" ht="15" hidden="false" customHeight="false" outlineLevel="0" collapsed="false">
      <c r="A3485" s="15" t="s">
        <v>3542</v>
      </c>
      <c r="B3485" s="16" t="n">
        <v>44759</v>
      </c>
      <c r="C3485" s="15" t="s">
        <v>56</v>
      </c>
      <c r="D3485" s="15" t="s">
        <v>43</v>
      </c>
      <c r="E3485" s="15" t="s">
        <v>36</v>
      </c>
      <c r="F3485" s="15" t="s">
        <v>16</v>
      </c>
      <c r="G3485" s="15" t="s">
        <v>22</v>
      </c>
      <c r="H3485" s="15" t="n">
        <v>7</v>
      </c>
      <c r="I3485" s="17" t="n">
        <v>0.05</v>
      </c>
      <c r="J3485" s="18" t="n">
        <v>3053.12</v>
      </c>
      <c r="K3485" s="19" t="n">
        <v>-405.83</v>
      </c>
      <c r="L3485" s="15" t="n">
        <f aca="false">YEAR(B3485)</f>
        <v>2022</v>
      </c>
      <c r="M3485" s="20" t="n">
        <f aca="false">IF(J3485&gt;0,K3485/J3485,0)</f>
        <v>-0.132923042658002</v>
      </c>
    </row>
    <row r="3486" customFormat="false" ht="15" hidden="false" customHeight="false" outlineLevel="0" collapsed="false">
      <c r="A3486" s="15" t="s">
        <v>3543</v>
      </c>
      <c r="B3486" s="16" t="n">
        <v>45928</v>
      </c>
      <c r="C3486" s="15" t="s">
        <v>56</v>
      </c>
      <c r="D3486" s="15" t="s">
        <v>42</v>
      </c>
      <c r="E3486" s="15" t="s">
        <v>37</v>
      </c>
      <c r="F3486" s="15" t="s">
        <v>17</v>
      </c>
      <c r="G3486" s="15" t="s">
        <v>29</v>
      </c>
      <c r="H3486" s="15" t="n">
        <v>5</v>
      </c>
      <c r="I3486" s="17" t="n">
        <v>0.1</v>
      </c>
      <c r="J3486" s="18" t="n">
        <v>87.65</v>
      </c>
      <c r="K3486" s="19" t="n">
        <v>21.71</v>
      </c>
      <c r="L3486" s="15" t="n">
        <f aca="false">YEAR(B3486)</f>
        <v>2025</v>
      </c>
      <c r="M3486" s="20" t="n">
        <f aca="false">IF(J3486&gt;0,K3486/J3486,0)</f>
        <v>0.247689674843126</v>
      </c>
    </row>
    <row r="3487" customFormat="false" ht="15" hidden="false" customHeight="false" outlineLevel="0" collapsed="false">
      <c r="A3487" s="15" t="s">
        <v>3544</v>
      </c>
      <c r="B3487" s="16" t="n">
        <v>44764</v>
      </c>
      <c r="C3487" s="15" t="s">
        <v>58</v>
      </c>
      <c r="D3487" s="15" t="s">
        <v>42</v>
      </c>
      <c r="E3487" s="15" t="s">
        <v>39</v>
      </c>
      <c r="F3487" s="15" t="s">
        <v>17</v>
      </c>
      <c r="G3487" s="15" t="s">
        <v>26</v>
      </c>
      <c r="H3487" s="15" t="n">
        <v>5</v>
      </c>
      <c r="I3487" s="17" t="n">
        <v>0</v>
      </c>
      <c r="J3487" s="18" t="n">
        <v>445.62</v>
      </c>
      <c r="K3487" s="19" t="n">
        <v>76.92</v>
      </c>
      <c r="L3487" s="15" t="n">
        <f aca="false">YEAR(B3487)</f>
        <v>2022</v>
      </c>
      <c r="M3487" s="20" t="n">
        <f aca="false">IF(J3487&gt;0,K3487/J3487,0)</f>
        <v>0.172613437457924</v>
      </c>
    </row>
    <row r="3488" customFormat="false" ht="15" hidden="false" customHeight="false" outlineLevel="0" collapsed="false">
      <c r="A3488" s="15" t="s">
        <v>3545</v>
      </c>
      <c r="B3488" s="16" t="n">
        <v>45812</v>
      </c>
      <c r="C3488" s="15" t="s">
        <v>56</v>
      </c>
      <c r="D3488" s="15" t="s">
        <v>44</v>
      </c>
      <c r="E3488" s="15" t="s">
        <v>39</v>
      </c>
      <c r="F3488" s="15" t="s">
        <v>17</v>
      </c>
      <c r="G3488" s="15" t="s">
        <v>31</v>
      </c>
      <c r="H3488" s="15" t="n">
        <v>3</v>
      </c>
      <c r="I3488" s="17" t="n">
        <v>0</v>
      </c>
      <c r="J3488" s="18" t="n">
        <v>375.13</v>
      </c>
      <c r="K3488" s="19" t="n">
        <v>33</v>
      </c>
      <c r="L3488" s="15" t="n">
        <f aca="false">YEAR(B3488)</f>
        <v>2025</v>
      </c>
      <c r="M3488" s="20" t="n">
        <f aca="false">IF(J3488&gt;0,K3488/J3488,0)</f>
        <v>0.0879695039053128</v>
      </c>
    </row>
    <row r="3489" customFormat="false" ht="15" hidden="false" customHeight="false" outlineLevel="0" collapsed="false">
      <c r="A3489" s="15" t="s">
        <v>3546</v>
      </c>
      <c r="B3489" s="16" t="n">
        <v>45049</v>
      </c>
      <c r="C3489" s="15" t="s">
        <v>68</v>
      </c>
      <c r="D3489" s="15" t="s">
        <v>43</v>
      </c>
      <c r="E3489" s="15" t="s">
        <v>39</v>
      </c>
      <c r="F3489" s="15" t="s">
        <v>18</v>
      </c>
      <c r="G3489" s="15" t="s">
        <v>30</v>
      </c>
      <c r="H3489" s="15" t="n">
        <v>2</v>
      </c>
      <c r="I3489" s="17" t="n">
        <v>0.05</v>
      </c>
      <c r="J3489" s="18" t="n">
        <v>91.48</v>
      </c>
      <c r="K3489" s="19" t="n">
        <v>24.24</v>
      </c>
      <c r="L3489" s="15" t="n">
        <f aca="false">YEAR(B3489)</f>
        <v>2023</v>
      </c>
      <c r="M3489" s="20" t="n">
        <f aca="false">IF(J3489&gt;0,K3489/J3489,0)</f>
        <v>0.264975951027547</v>
      </c>
    </row>
    <row r="3490" customFormat="false" ht="15" hidden="false" customHeight="false" outlineLevel="0" collapsed="false">
      <c r="A3490" s="15" t="s">
        <v>3547</v>
      </c>
      <c r="B3490" s="16" t="n">
        <v>45510</v>
      </c>
      <c r="C3490" s="15" t="s">
        <v>68</v>
      </c>
      <c r="D3490" s="15" t="s">
        <v>43</v>
      </c>
      <c r="E3490" s="15" t="s">
        <v>39</v>
      </c>
      <c r="F3490" s="15" t="s">
        <v>17</v>
      </c>
      <c r="G3490" s="15" t="s">
        <v>26</v>
      </c>
      <c r="H3490" s="15" t="n">
        <v>2</v>
      </c>
      <c r="I3490" s="17" t="n">
        <v>0.2</v>
      </c>
      <c r="J3490" s="18" t="n">
        <v>149.71</v>
      </c>
      <c r="K3490" s="19" t="n">
        <v>-7.46</v>
      </c>
      <c r="L3490" s="15" t="n">
        <f aca="false">YEAR(B3490)</f>
        <v>2024</v>
      </c>
      <c r="M3490" s="20" t="n">
        <f aca="false">IF(J3490&gt;0,K3490/J3490,0)</f>
        <v>-0.0498296706966803</v>
      </c>
    </row>
    <row r="3491" customFormat="false" ht="15" hidden="false" customHeight="false" outlineLevel="0" collapsed="false">
      <c r="A3491" s="15" t="s">
        <v>3548</v>
      </c>
      <c r="B3491" s="16" t="n">
        <v>45929</v>
      </c>
      <c r="C3491" s="15" t="s">
        <v>56</v>
      </c>
      <c r="D3491" s="15" t="s">
        <v>43</v>
      </c>
      <c r="E3491" s="15" t="s">
        <v>38</v>
      </c>
      <c r="F3491" s="15" t="s">
        <v>17</v>
      </c>
      <c r="G3491" s="15" t="s">
        <v>28</v>
      </c>
      <c r="H3491" s="15" t="n">
        <v>5</v>
      </c>
      <c r="I3491" s="17" t="n">
        <v>0.2</v>
      </c>
      <c r="J3491" s="18" t="n">
        <v>86.26</v>
      </c>
      <c r="K3491" s="19" t="n">
        <v>6.72</v>
      </c>
      <c r="L3491" s="15" t="n">
        <f aca="false">YEAR(B3491)</f>
        <v>2025</v>
      </c>
      <c r="M3491" s="20" t="n">
        <f aca="false">IF(J3491&gt;0,K3491/J3491,0)</f>
        <v>0.0779040111291444</v>
      </c>
    </row>
    <row r="3492" customFormat="false" ht="15" hidden="false" customHeight="false" outlineLevel="0" collapsed="false">
      <c r="A3492" s="15" t="s">
        <v>3549</v>
      </c>
      <c r="B3492" s="16" t="n">
        <v>44839</v>
      </c>
      <c r="C3492" s="15" t="s">
        <v>56</v>
      </c>
      <c r="D3492" s="15" t="s">
        <v>42</v>
      </c>
      <c r="E3492" s="15" t="s">
        <v>39</v>
      </c>
      <c r="F3492" s="15" t="s">
        <v>16</v>
      </c>
      <c r="G3492" s="15" t="s">
        <v>25</v>
      </c>
      <c r="H3492" s="15" t="n">
        <v>3</v>
      </c>
      <c r="I3492" s="17" t="n">
        <v>0</v>
      </c>
      <c r="J3492" s="18" t="n">
        <v>929.82</v>
      </c>
      <c r="K3492" s="19" t="n">
        <v>123.94</v>
      </c>
      <c r="L3492" s="15" t="n">
        <f aca="false">YEAR(B3492)</f>
        <v>2022</v>
      </c>
      <c r="M3492" s="20" t="n">
        <f aca="false">IF(J3492&gt;0,K3492/J3492,0)</f>
        <v>0.133294616162268</v>
      </c>
    </row>
    <row r="3493" customFormat="false" ht="15" hidden="false" customHeight="false" outlineLevel="0" collapsed="false">
      <c r="A3493" s="15" t="s">
        <v>3550</v>
      </c>
      <c r="B3493" s="16" t="n">
        <v>44838</v>
      </c>
      <c r="C3493" s="15" t="s">
        <v>56</v>
      </c>
      <c r="D3493" s="15" t="s">
        <v>42</v>
      </c>
      <c r="E3493" s="15" t="s">
        <v>37</v>
      </c>
      <c r="F3493" s="15" t="s">
        <v>17</v>
      </c>
      <c r="G3493" s="15" t="s">
        <v>29</v>
      </c>
      <c r="H3493" s="15" t="n">
        <v>6</v>
      </c>
      <c r="I3493" s="17" t="n">
        <v>0</v>
      </c>
      <c r="J3493" s="18" t="n">
        <v>95.01</v>
      </c>
      <c r="K3493" s="19" t="n">
        <v>40.59</v>
      </c>
      <c r="L3493" s="15" t="n">
        <f aca="false">YEAR(B3493)</f>
        <v>2022</v>
      </c>
      <c r="M3493" s="20" t="n">
        <f aca="false">IF(J3493&gt;0,K3493/J3493,0)</f>
        <v>0.427218187559204</v>
      </c>
    </row>
    <row r="3494" customFormat="false" ht="15" hidden="false" customHeight="false" outlineLevel="0" collapsed="false">
      <c r="A3494" s="15" t="s">
        <v>3551</v>
      </c>
      <c r="B3494" s="16" t="n">
        <v>45673</v>
      </c>
      <c r="C3494" s="15" t="s">
        <v>68</v>
      </c>
      <c r="D3494" s="15" t="s">
        <v>42</v>
      </c>
      <c r="E3494" s="15" t="s">
        <v>39</v>
      </c>
      <c r="F3494" s="15" t="s">
        <v>17</v>
      </c>
      <c r="G3494" s="15" t="s">
        <v>28</v>
      </c>
      <c r="H3494" s="15" t="n">
        <v>3</v>
      </c>
      <c r="I3494" s="17" t="n">
        <v>0.3</v>
      </c>
      <c r="J3494" s="18" t="n">
        <v>63.62</v>
      </c>
      <c r="K3494" s="19" t="n">
        <v>-4.02</v>
      </c>
      <c r="L3494" s="15" t="n">
        <f aca="false">YEAR(B3494)</f>
        <v>2025</v>
      </c>
      <c r="M3494" s="20" t="n">
        <f aca="false">IF(J3494&gt;0,K3494/J3494,0)</f>
        <v>-0.0631876768311852</v>
      </c>
    </row>
    <row r="3495" customFormat="false" ht="15" hidden="false" customHeight="false" outlineLevel="0" collapsed="false">
      <c r="A3495" s="15" t="s">
        <v>3552</v>
      </c>
      <c r="B3495" s="16" t="n">
        <v>45837</v>
      </c>
      <c r="C3495" s="15" t="s">
        <v>71</v>
      </c>
      <c r="D3495" s="15" t="s">
        <v>43</v>
      </c>
      <c r="E3495" s="15" t="s">
        <v>39</v>
      </c>
      <c r="F3495" s="15" t="s">
        <v>16</v>
      </c>
      <c r="G3495" s="15" t="s">
        <v>25</v>
      </c>
      <c r="H3495" s="15" t="n">
        <v>3</v>
      </c>
      <c r="I3495" s="17" t="n">
        <v>0</v>
      </c>
      <c r="J3495" s="18" t="n">
        <v>894.07</v>
      </c>
      <c r="K3495" s="19" t="n">
        <v>79.53</v>
      </c>
      <c r="L3495" s="15" t="n">
        <f aca="false">YEAR(B3495)</f>
        <v>2025</v>
      </c>
      <c r="M3495" s="20" t="n">
        <f aca="false">IF(J3495&gt;0,K3495/J3495,0)</f>
        <v>0.0889527665619023</v>
      </c>
    </row>
    <row r="3496" customFormat="false" ht="15" hidden="false" customHeight="false" outlineLevel="0" collapsed="false">
      <c r="A3496" s="15" t="s">
        <v>3553</v>
      </c>
      <c r="B3496" s="16" t="n">
        <v>45356</v>
      </c>
      <c r="C3496" s="15" t="s">
        <v>56</v>
      </c>
      <c r="D3496" s="15" t="s">
        <v>42</v>
      </c>
      <c r="E3496" s="15" t="s">
        <v>39</v>
      </c>
      <c r="F3496" s="15" t="s">
        <v>17</v>
      </c>
      <c r="G3496" s="15" t="s">
        <v>28</v>
      </c>
      <c r="H3496" s="15" t="n">
        <v>3</v>
      </c>
      <c r="I3496" s="17" t="n">
        <v>0</v>
      </c>
      <c r="J3496" s="18" t="n">
        <v>75.33</v>
      </c>
      <c r="K3496" s="19" t="n">
        <v>26.8</v>
      </c>
      <c r="L3496" s="15" t="n">
        <f aca="false">YEAR(B3496)</f>
        <v>2024</v>
      </c>
      <c r="M3496" s="20" t="n">
        <f aca="false">IF(J3496&gt;0,K3496/J3496,0)</f>
        <v>0.355767954334263</v>
      </c>
    </row>
    <row r="3497" customFormat="false" ht="15" hidden="false" customHeight="false" outlineLevel="0" collapsed="false">
      <c r="A3497" s="15" t="s">
        <v>3554</v>
      </c>
      <c r="B3497" s="16" t="n">
        <v>45262</v>
      </c>
      <c r="C3497" s="15" t="s">
        <v>71</v>
      </c>
      <c r="D3497" s="15" t="s">
        <v>42</v>
      </c>
      <c r="E3497" s="15" t="s">
        <v>38</v>
      </c>
      <c r="F3497" s="15" t="s">
        <v>16</v>
      </c>
      <c r="G3497" s="15" t="s">
        <v>25</v>
      </c>
      <c r="H3497" s="15" t="n">
        <v>2</v>
      </c>
      <c r="I3497" s="17" t="n">
        <v>0.15</v>
      </c>
      <c r="J3497" s="18" t="n">
        <v>395.75</v>
      </c>
      <c r="K3497" s="19" t="n">
        <v>-18.85</v>
      </c>
      <c r="L3497" s="15" t="n">
        <f aca="false">YEAR(B3497)</f>
        <v>2023</v>
      </c>
      <c r="M3497" s="20" t="n">
        <f aca="false">IF(J3497&gt;0,K3497/J3497,0)</f>
        <v>-0.0476310802274163</v>
      </c>
    </row>
    <row r="3498" customFormat="false" ht="15" hidden="false" customHeight="false" outlineLevel="0" collapsed="false">
      <c r="A3498" s="15" t="s">
        <v>3555</v>
      </c>
      <c r="B3498" s="16" t="n">
        <v>45323</v>
      </c>
      <c r="C3498" s="15" t="s">
        <v>56</v>
      </c>
      <c r="D3498" s="15" t="s">
        <v>42</v>
      </c>
      <c r="E3498" s="15" t="s">
        <v>37</v>
      </c>
      <c r="F3498" s="15" t="s">
        <v>17</v>
      </c>
      <c r="G3498" s="15" t="s">
        <v>28</v>
      </c>
      <c r="H3498" s="15" t="n">
        <v>5</v>
      </c>
      <c r="I3498" s="17" t="n">
        <v>0</v>
      </c>
      <c r="J3498" s="18" t="n">
        <v>103.42</v>
      </c>
      <c r="K3498" s="19" t="n">
        <v>29.69</v>
      </c>
      <c r="L3498" s="15" t="n">
        <f aca="false">YEAR(B3498)</f>
        <v>2024</v>
      </c>
      <c r="M3498" s="20" t="n">
        <f aca="false">IF(J3498&gt;0,K3498/J3498,0)</f>
        <v>0.287081802359312</v>
      </c>
    </row>
    <row r="3499" customFormat="false" ht="15" hidden="false" customHeight="false" outlineLevel="0" collapsed="false">
      <c r="A3499" s="15" t="s">
        <v>3556</v>
      </c>
      <c r="B3499" s="16" t="n">
        <v>45188</v>
      </c>
      <c r="C3499" s="15" t="s">
        <v>71</v>
      </c>
      <c r="D3499" s="15" t="s">
        <v>42</v>
      </c>
      <c r="E3499" s="15" t="s">
        <v>36</v>
      </c>
      <c r="F3499" s="15" t="s">
        <v>16</v>
      </c>
      <c r="G3499" s="15" t="s">
        <v>23</v>
      </c>
      <c r="H3499" s="15" t="n">
        <v>5</v>
      </c>
      <c r="I3499" s="17" t="n">
        <v>0</v>
      </c>
      <c r="J3499" s="18" t="n">
        <v>1084.55</v>
      </c>
      <c r="K3499" s="19" t="n">
        <v>-14.63</v>
      </c>
      <c r="L3499" s="15" t="n">
        <f aca="false">YEAR(B3499)</f>
        <v>2023</v>
      </c>
      <c r="M3499" s="20" t="n">
        <f aca="false">IF(J3499&gt;0,K3499/J3499,0)</f>
        <v>-0.0134894656770089</v>
      </c>
    </row>
    <row r="3500" customFormat="false" ht="15" hidden="false" customHeight="false" outlineLevel="0" collapsed="false">
      <c r="A3500" s="15" t="s">
        <v>3557</v>
      </c>
      <c r="B3500" s="16" t="n">
        <v>45621</v>
      </c>
      <c r="C3500" s="15" t="s">
        <v>56</v>
      </c>
      <c r="D3500" s="15" t="s">
        <v>42</v>
      </c>
      <c r="E3500" s="15" t="s">
        <v>38</v>
      </c>
      <c r="F3500" s="15" t="s">
        <v>18</v>
      </c>
      <c r="G3500" s="15" t="s">
        <v>30</v>
      </c>
      <c r="H3500" s="15" t="n">
        <v>3</v>
      </c>
      <c r="I3500" s="17" t="n">
        <v>0.15</v>
      </c>
      <c r="J3500" s="18" t="n">
        <v>111.48</v>
      </c>
      <c r="K3500" s="19" t="n">
        <v>26.47</v>
      </c>
      <c r="L3500" s="15" t="n">
        <f aca="false">YEAR(B3500)</f>
        <v>2024</v>
      </c>
      <c r="M3500" s="20" t="n">
        <f aca="false">IF(J3500&gt;0,K3500/J3500,0)</f>
        <v>0.237441693577323</v>
      </c>
    </row>
    <row r="3501" customFormat="false" ht="15" hidden="false" customHeight="false" outlineLevel="0" collapsed="false">
      <c r="A3501" s="15" t="s">
        <v>3558</v>
      </c>
      <c r="B3501" s="16" t="n">
        <v>44640</v>
      </c>
      <c r="C3501" s="15" t="s">
        <v>71</v>
      </c>
      <c r="D3501" s="15" t="s">
        <v>42</v>
      </c>
      <c r="E3501" s="15" t="s">
        <v>38</v>
      </c>
      <c r="F3501" s="15" t="s">
        <v>17</v>
      </c>
      <c r="G3501" s="15" t="s">
        <v>28</v>
      </c>
      <c r="H3501" s="15" t="n">
        <v>1</v>
      </c>
      <c r="I3501" s="17" t="n">
        <v>0</v>
      </c>
      <c r="J3501" s="18" t="n">
        <v>17.78</v>
      </c>
      <c r="K3501" s="19" t="n">
        <v>5.22</v>
      </c>
      <c r="L3501" s="15" t="n">
        <f aca="false">YEAR(B3501)</f>
        <v>2022</v>
      </c>
      <c r="M3501" s="20" t="n">
        <f aca="false">IF(J3501&gt;0,K3501/J3501,0)</f>
        <v>0.293588301462317</v>
      </c>
    </row>
    <row r="3502" customFormat="false" ht="15" hidden="false" customHeight="false" outlineLevel="0" collapsed="false">
      <c r="A3502" s="15" t="s">
        <v>3559</v>
      </c>
      <c r="B3502" s="16" t="n">
        <v>45304</v>
      </c>
      <c r="C3502" s="15" t="s">
        <v>56</v>
      </c>
      <c r="D3502" s="15" t="s">
        <v>43</v>
      </c>
      <c r="E3502" s="15" t="s">
        <v>39</v>
      </c>
      <c r="F3502" s="15" t="s">
        <v>17</v>
      </c>
      <c r="G3502" s="15" t="s">
        <v>26</v>
      </c>
      <c r="H3502" s="15" t="n">
        <v>2</v>
      </c>
      <c r="I3502" s="17" t="n">
        <v>0</v>
      </c>
      <c r="J3502" s="18" t="n">
        <v>225.47</v>
      </c>
      <c r="K3502" s="19" t="n">
        <v>36.16</v>
      </c>
      <c r="L3502" s="15" t="n">
        <f aca="false">YEAR(B3502)</f>
        <v>2024</v>
      </c>
      <c r="M3502" s="20" t="n">
        <f aca="false">IF(J3502&gt;0,K3502/J3502,0)</f>
        <v>0.160376103250987</v>
      </c>
    </row>
    <row r="3503" customFormat="false" ht="15" hidden="false" customHeight="false" outlineLevel="0" collapsed="false">
      <c r="A3503" s="15" t="s">
        <v>3560</v>
      </c>
      <c r="B3503" s="16" t="n">
        <v>45148</v>
      </c>
      <c r="C3503" s="15" t="s">
        <v>56</v>
      </c>
      <c r="D3503" s="15" t="s">
        <v>42</v>
      </c>
      <c r="E3503" s="15" t="s">
        <v>36</v>
      </c>
      <c r="F3503" s="15" t="s">
        <v>17</v>
      </c>
      <c r="G3503" s="15" t="s">
        <v>29</v>
      </c>
      <c r="H3503" s="15" t="n">
        <v>7</v>
      </c>
      <c r="I3503" s="17" t="n">
        <v>0.05</v>
      </c>
      <c r="J3503" s="18" t="n">
        <v>113.48</v>
      </c>
      <c r="K3503" s="19" t="n">
        <v>33.42</v>
      </c>
      <c r="L3503" s="15" t="n">
        <f aca="false">YEAR(B3503)</f>
        <v>2023</v>
      </c>
      <c r="M3503" s="20" t="n">
        <f aca="false">IF(J3503&gt;0,K3503/J3503,0)</f>
        <v>0.294501233697568</v>
      </c>
    </row>
    <row r="3504" customFormat="false" ht="15" hidden="false" customHeight="false" outlineLevel="0" collapsed="false">
      <c r="A3504" s="15" t="s">
        <v>3561</v>
      </c>
      <c r="B3504" s="16" t="n">
        <v>45180</v>
      </c>
      <c r="C3504" s="15" t="s">
        <v>56</v>
      </c>
      <c r="D3504" s="15" t="s">
        <v>42</v>
      </c>
      <c r="E3504" s="15" t="s">
        <v>39</v>
      </c>
      <c r="F3504" s="15" t="s">
        <v>18</v>
      </c>
      <c r="G3504" s="15" t="s">
        <v>30</v>
      </c>
      <c r="H3504" s="15" t="n">
        <v>3</v>
      </c>
      <c r="I3504" s="17" t="n">
        <v>0.2</v>
      </c>
      <c r="J3504" s="18" t="n">
        <v>120.77</v>
      </c>
      <c r="K3504" s="19" t="n">
        <v>15.96</v>
      </c>
      <c r="L3504" s="15" t="n">
        <f aca="false">YEAR(B3504)</f>
        <v>2023</v>
      </c>
      <c r="M3504" s="20" t="n">
        <f aca="false">IF(J3504&gt;0,K3504/J3504,0)</f>
        <v>0.132152024509398</v>
      </c>
    </row>
    <row r="3505" customFormat="false" ht="15" hidden="false" customHeight="false" outlineLevel="0" collapsed="false">
      <c r="A3505" s="15" t="s">
        <v>3562</v>
      </c>
      <c r="B3505" s="16" t="n">
        <v>45874</v>
      </c>
      <c r="C3505" s="15" t="s">
        <v>56</v>
      </c>
      <c r="D3505" s="15" t="s">
        <v>43</v>
      </c>
      <c r="E3505" s="15" t="s">
        <v>39</v>
      </c>
      <c r="F3505" s="15" t="s">
        <v>17</v>
      </c>
      <c r="G3505" s="15" t="s">
        <v>29</v>
      </c>
      <c r="H3505" s="15" t="n">
        <v>4</v>
      </c>
      <c r="I3505" s="17" t="n">
        <v>0</v>
      </c>
      <c r="J3505" s="18" t="n">
        <v>108.17</v>
      </c>
      <c r="K3505" s="19" t="n">
        <v>41.88</v>
      </c>
      <c r="L3505" s="15" t="n">
        <f aca="false">YEAR(B3505)</f>
        <v>2025</v>
      </c>
      <c r="M3505" s="20" t="n">
        <f aca="false">IF(J3505&gt;0,K3505/J3505,0)</f>
        <v>0.387168346121845</v>
      </c>
    </row>
    <row r="3506" customFormat="false" ht="15" hidden="false" customHeight="false" outlineLevel="0" collapsed="false">
      <c r="A3506" s="15" t="s">
        <v>3563</v>
      </c>
      <c r="B3506" s="16" t="n">
        <v>45538</v>
      </c>
      <c r="C3506" s="15" t="s">
        <v>58</v>
      </c>
      <c r="D3506" s="15" t="s">
        <v>42</v>
      </c>
      <c r="E3506" s="15" t="s">
        <v>36</v>
      </c>
      <c r="F3506" s="15" t="s">
        <v>17</v>
      </c>
      <c r="G3506" s="15" t="s">
        <v>28</v>
      </c>
      <c r="H3506" s="15" t="n">
        <v>5</v>
      </c>
      <c r="I3506" s="17" t="n">
        <v>0</v>
      </c>
      <c r="J3506" s="18" t="n">
        <v>107.26</v>
      </c>
      <c r="K3506" s="19" t="n">
        <v>33.24</v>
      </c>
      <c r="L3506" s="15" t="n">
        <f aca="false">YEAR(B3506)</f>
        <v>2024</v>
      </c>
      <c r="M3506" s="20" t="n">
        <f aca="false">IF(J3506&gt;0,K3506/J3506,0)</f>
        <v>0.309901174715644</v>
      </c>
    </row>
    <row r="3507" customFormat="false" ht="15" hidden="false" customHeight="false" outlineLevel="0" collapsed="false">
      <c r="A3507" s="15" t="s">
        <v>3564</v>
      </c>
      <c r="B3507" s="16" t="n">
        <v>45733</v>
      </c>
      <c r="C3507" s="15" t="s">
        <v>71</v>
      </c>
      <c r="D3507" s="15" t="s">
        <v>44</v>
      </c>
      <c r="E3507" s="15" t="s">
        <v>38</v>
      </c>
      <c r="F3507" s="15" t="s">
        <v>17</v>
      </c>
      <c r="G3507" s="15" t="s">
        <v>31</v>
      </c>
      <c r="H3507" s="15" t="n">
        <v>3</v>
      </c>
      <c r="I3507" s="17" t="n">
        <v>0.3</v>
      </c>
      <c r="J3507" s="18" t="n">
        <v>218.19</v>
      </c>
      <c r="K3507" s="19" t="n">
        <v>-28.65</v>
      </c>
      <c r="L3507" s="15" t="n">
        <f aca="false">YEAR(B3507)</f>
        <v>2025</v>
      </c>
      <c r="M3507" s="20" t="n">
        <f aca="false">IF(J3507&gt;0,K3507/J3507,0)</f>
        <v>-0.131307575965901</v>
      </c>
    </row>
    <row r="3508" customFormat="false" ht="15" hidden="false" customHeight="false" outlineLevel="0" collapsed="false">
      <c r="A3508" s="15" t="s">
        <v>3565</v>
      </c>
      <c r="B3508" s="16" t="n">
        <v>44902</v>
      </c>
      <c r="C3508" s="15" t="s">
        <v>56</v>
      </c>
      <c r="D3508" s="15" t="s">
        <v>43</v>
      </c>
      <c r="E3508" s="15" t="s">
        <v>39</v>
      </c>
      <c r="F3508" s="15" t="s">
        <v>17</v>
      </c>
      <c r="G3508" s="15" t="s">
        <v>29</v>
      </c>
      <c r="H3508" s="15" t="n">
        <v>5</v>
      </c>
      <c r="I3508" s="17" t="n">
        <v>0.15</v>
      </c>
      <c r="J3508" s="18" t="n">
        <v>78.53</v>
      </c>
      <c r="K3508" s="19" t="n">
        <v>21.44</v>
      </c>
      <c r="L3508" s="15" t="n">
        <f aca="false">YEAR(B3508)</f>
        <v>2022</v>
      </c>
      <c r="M3508" s="20" t="n">
        <f aca="false">IF(J3508&gt;0,K3508/J3508,0)</f>
        <v>0.273016681522985</v>
      </c>
    </row>
    <row r="3509" customFormat="false" ht="15" hidden="false" customHeight="false" outlineLevel="0" collapsed="false">
      <c r="A3509" s="15" t="s">
        <v>3566</v>
      </c>
      <c r="B3509" s="16" t="n">
        <v>44958</v>
      </c>
      <c r="C3509" s="15" t="s">
        <v>58</v>
      </c>
      <c r="D3509" s="15" t="s">
        <v>43</v>
      </c>
      <c r="E3509" s="15" t="s">
        <v>37</v>
      </c>
      <c r="F3509" s="15" t="s">
        <v>16</v>
      </c>
      <c r="G3509" s="15" t="s">
        <v>25</v>
      </c>
      <c r="H3509" s="15" t="n">
        <v>4</v>
      </c>
      <c r="I3509" s="17" t="n">
        <v>0</v>
      </c>
      <c r="J3509" s="18" t="n">
        <v>1263.76</v>
      </c>
      <c r="K3509" s="19" t="n">
        <v>138.37</v>
      </c>
      <c r="L3509" s="15" t="n">
        <f aca="false">YEAR(B3509)</f>
        <v>2023</v>
      </c>
      <c r="M3509" s="20" t="n">
        <f aca="false">IF(J3509&gt;0,K3509/J3509,0)</f>
        <v>0.109490726087232</v>
      </c>
    </row>
    <row r="3510" customFormat="false" ht="15" hidden="false" customHeight="false" outlineLevel="0" collapsed="false">
      <c r="A3510" s="15" t="s">
        <v>3567</v>
      </c>
      <c r="B3510" s="16" t="n">
        <v>45045</v>
      </c>
      <c r="C3510" s="15" t="s">
        <v>71</v>
      </c>
      <c r="D3510" s="15" t="s">
        <v>44</v>
      </c>
      <c r="E3510" s="15" t="s">
        <v>38</v>
      </c>
      <c r="F3510" s="15" t="s">
        <v>17</v>
      </c>
      <c r="G3510" s="15" t="s">
        <v>29</v>
      </c>
      <c r="H3510" s="15" t="n">
        <v>3</v>
      </c>
      <c r="I3510" s="17" t="n">
        <v>0</v>
      </c>
      <c r="J3510" s="18" t="n">
        <v>44.86</v>
      </c>
      <c r="K3510" s="19" t="n">
        <v>17.53</v>
      </c>
      <c r="L3510" s="15" t="n">
        <f aca="false">YEAR(B3510)</f>
        <v>2023</v>
      </c>
      <c r="M3510" s="20" t="n">
        <f aca="false">IF(J3510&gt;0,K3510/J3510,0)</f>
        <v>0.390771288452965</v>
      </c>
    </row>
    <row r="3511" customFormat="false" ht="15" hidden="false" customHeight="false" outlineLevel="0" collapsed="false">
      <c r="A3511" s="15" t="s">
        <v>3568</v>
      </c>
      <c r="B3511" s="16" t="n">
        <v>44677</v>
      </c>
      <c r="C3511" s="15" t="s">
        <v>56</v>
      </c>
      <c r="D3511" s="15" t="s">
        <v>42</v>
      </c>
      <c r="E3511" s="15" t="s">
        <v>36</v>
      </c>
      <c r="F3511" s="15" t="s">
        <v>17</v>
      </c>
      <c r="G3511" s="15" t="s">
        <v>26</v>
      </c>
      <c r="H3511" s="15" t="n">
        <v>7</v>
      </c>
      <c r="I3511" s="17" t="n">
        <v>0.1</v>
      </c>
      <c r="J3511" s="18" t="n">
        <v>438.21</v>
      </c>
      <c r="K3511" s="19" t="n">
        <v>7.8</v>
      </c>
      <c r="L3511" s="15" t="n">
        <f aca="false">YEAR(B3511)</f>
        <v>2022</v>
      </c>
      <c r="M3511" s="20" t="n">
        <f aca="false">IF(J3511&gt;0,K3511/J3511,0)</f>
        <v>0.0177996850824947</v>
      </c>
    </row>
    <row r="3512" customFormat="false" ht="15" hidden="false" customHeight="false" outlineLevel="0" collapsed="false">
      <c r="A3512" s="15" t="s">
        <v>3569</v>
      </c>
      <c r="B3512" s="16" t="n">
        <v>45883</v>
      </c>
      <c r="C3512" s="15" t="s">
        <v>56</v>
      </c>
      <c r="D3512" s="15" t="s">
        <v>42</v>
      </c>
      <c r="E3512" s="15" t="s">
        <v>38</v>
      </c>
      <c r="F3512" s="15" t="s">
        <v>18</v>
      </c>
      <c r="G3512" s="15" t="s">
        <v>32</v>
      </c>
      <c r="H3512" s="15" t="n">
        <v>5</v>
      </c>
      <c r="I3512" s="17" t="n">
        <v>0.15</v>
      </c>
      <c r="J3512" s="18" t="n">
        <v>1483.41</v>
      </c>
      <c r="K3512" s="19" t="n">
        <v>103.06</v>
      </c>
      <c r="L3512" s="15" t="n">
        <f aca="false">YEAR(B3512)</f>
        <v>2025</v>
      </c>
      <c r="M3512" s="20" t="n">
        <f aca="false">IF(J3512&gt;0,K3512/J3512,0)</f>
        <v>0.0694750608395521</v>
      </c>
    </row>
    <row r="3513" customFormat="false" ht="15" hidden="false" customHeight="false" outlineLevel="0" collapsed="false">
      <c r="A3513" s="15" t="s">
        <v>3570</v>
      </c>
      <c r="B3513" s="16" t="n">
        <v>45590</v>
      </c>
      <c r="C3513" s="15" t="s">
        <v>58</v>
      </c>
      <c r="D3513" s="15" t="s">
        <v>42</v>
      </c>
      <c r="E3513" s="15" t="s">
        <v>39</v>
      </c>
      <c r="F3513" s="15" t="s">
        <v>18</v>
      </c>
      <c r="G3513" s="15" t="s">
        <v>33</v>
      </c>
      <c r="H3513" s="15" t="n">
        <v>2</v>
      </c>
      <c r="I3513" s="17" t="n">
        <v>0.15</v>
      </c>
      <c r="J3513" s="18" t="n">
        <v>1795.59</v>
      </c>
      <c r="K3513" s="19" t="n">
        <v>282.97</v>
      </c>
      <c r="L3513" s="15" t="n">
        <f aca="false">YEAR(B3513)</f>
        <v>2024</v>
      </c>
      <c r="M3513" s="20" t="n">
        <f aca="false">IF(J3513&gt;0,K3513/J3513,0)</f>
        <v>0.157591655110577</v>
      </c>
    </row>
    <row r="3514" customFormat="false" ht="15" hidden="false" customHeight="false" outlineLevel="0" collapsed="false">
      <c r="A3514" s="15" t="s">
        <v>3571</v>
      </c>
      <c r="B3514" s="16" t="n">
        <v>45808</v>
      </c>
      <c r="C3514" s="15" t="s">
        <v>56</v>
      </c>
      <c r="D3514" s="15" t="s">
        <v>42</v>
      </c>
      <c r="E3514" s="15" t="s">
        <v>38</v>
      </c>
      <c r="F3514" s="15" t="s">
        <v>17</v>
      </c>
      <c r="G3514" s="15" t="s">
        <v>29</v>
      </c>
      <c r="H3514" s="15" t="n">
        <v>5</v>
      </c>
      <c r="I3514" s="17" t="n">
        <v>0.2</v>
      </c>
      <c r="J3514" s="18" t="n">
        <v>69.09</v>
      </c>
      <c r="K3514" s="19" t="n">
        <v>16.39</v>
      </c>
      <c r="L3514" s="15" t="n">
        <f aca="false">YEAR(B3514)</f>
        <v>2025</v>
      </c>
      <c r="M3514" s="20" t="n">
        <f aca="false">IF(J3514&gt;0,K3514/J3514,0)</f>
        <v>0.237226805615863</v>
      </c>
    </row>
    <row r="3515" customFormat="false" ht="15" hidden="false" customHeight="false" outlineLevel="0" collapsed="false">
      <c r="A3515" s="15" t="s">
        <v>3572</v>
      </c>
      <c r="B3515" s="16" t="n">
        <v>45292</v>
      </c>
      <c r="C3515" s="15" t="s">
        <v>56</v>
      </c>
      <c r="D3515" s="15" t="s">
        <v>42</v>
      </c>
      <c r="E3515" s="15" t="s">
        <v>38</v>
      </c>
      <c r="F3515" s="15" t="s">
        <v>17</v>
      </c>
      <c r="G3515" s="15" t="s">
        <v>26</v>
      </c>
      <c r="H3515" s="15" t="n">
        <v>5</v>
      </c>
      <c r="I3515" s="17" t="n">
        <v>0.1</v>
      </c>
      <c r="J3515" s="18" t="n">
        <v>394.72</v>
      </c>
      <c r="K3515" s="19" t="n">
        <v>-19.38</v>
      </c>
      <c r="L3515" s="15" t="n">
        <f aca="false">YEAR(B3515)</f>
        <v>2024</v>
      </c>
      <c r="M3515" s="20" t="n">
        <f aca="false">IF(J3515&gt;0,K3515/J3515,0)</f>
        <v>-0.049098094852047</v>
      </c>
    </row>
    <row r="3516" customFormat="false" ht="15" hidden="false" customHeight="false" outlineLevel="0" collapsed="false">
      <c r="A3516" s="15" t="s">
        <v>3573</v>
      </c>
      <c r="B3516" s="16" t="n">
        <v>45084</v>
      </c>
      <c r="C3516" s="15" t="s">
        <v>71</v>
      </c>
      <c r="D3516" s="15" t="s">
        <v>42</v>
      </c>
      <c r="E3516" s="15" t="s">
        <v>37</v>
      </c>
      <c r="F3516" s="15" t="s">
        <v>18</v>
      </c>
      <c r="G3516" s="15" t="s">
        <v>24</v>
      </c>
      <c r="H3516" s="15" t="n">
        <v>7</v>
      </c>
      <c r="I3516" s="17" t="n">
        <v>0.2</v>
      </c>
      <c r="J3516" s="18" t="n">
        <v>3609.77</v>
      </c>
      <c r="K3516" s="19" t="n">
        <v>-138.15</v>
      </c>
      <c r="L3516" s="15" t="n">
        <f aca="false">YEAR(B3516)</f>
        <v>2023</v>
      </c>
      <c r="M3516" s="20" t="n">
        <f aca="false">IF(J3516&gt;0,K3516/J3516,0)</f>
        <v>-0.0382711363881909</v>
      </c>
    </row>
    <row r="3517" customFormat="false" ht="15" hidden="false" customHeight="false" outlineLevel="0" collapsed="false">
      <c r="A3517" s="15" t="s">
        <v>3574</v>
      </c>
      <c r="B3517" s="16" t="n">
        <v>44669</v>
      </c>
      <c r="C3517" s="15" t="s">
        <v>56</v>
      </c>
      <c r="D3517" s="15" t="s">
        <v>42</v>
      </c>
      <c r="E3517" s="15" t="s">
        <v>36</v>
      </c>
      <c r="F3517" s="15" t="s">
        <v>17</v>
      </c>
      <c r="G3517" s="15" t="s">
        <v>28</v>
      </c>
      <c r="H3517" s="15" t="n">
        <v>2</v>
      </c>
      <c r="I3517" s="17" t="n">
        <v>0.5</v>
      </c>
      <c r="J3517" s="18" t="n">
        <v>26.04</v>
      </c>
      <c r="K3517" s="19" t="n">
        <v>-3.41</v>
      </c>
      <c r="L3517" s="15" t="n">
        <f aca="false">YEAR(B3517)</f>
        <v>2022</v>
      </c>
      <c r="M3517" s="20" t="n">
        <f aca="false">IF(J3517&gt;0,K3517/J3517,0)</f>
        <v>-0.130952380952381</v>
      </c>
    </row>
    <row r="3518" customFormat="false" ht="15" hidden="false" customHeight="false" outlineLevel="0" collapsed="false">
      <c r="A3518" s="15" t="s">
        <v>3575</v>
      </c>
      <c r="B3518" s="16" t="n">
        <v>45463</v>
      </c>
      <c r="C3518" s="15" t="s">
        <v>56</v>
      </c>
      <c r="D3518" s="15" t="s">
        <v>44</v>
      </c>
      <c r="E3518" s="15" t="s">
        <v>36</v>
      </c>
      <c r="F3518" s="15" t="s">
        <v>17</v>
      </c>
      <c r="G3518" s="15" t="s">
        <v>31</v>
      </c>
      <c r="H3518" s="15" t="n">
        <v>5</v>
      </c>
      <c r="I3518" s="17" t="n">
        <v>0.1</v>
      </c>
      <c r="J3518" s="18" t="n">
        <v>614.36</v>
      </c>
      <c r="K3518" s="19" t="n">
        <v>92.14</v>
      </c>
      <c r="L3518" s="15" t="n">
        <f aca="false">YEAR(B3518)</f>
        <v>2024</v>
      </c>
      <c r="M3518" s="20" t="n">
        <f aca="false">IF(J3518&gt;0,K3518/J3518,0)</f>
        <v>0.149977212058077</v>
      </c>
    </row>
    <row r="3519" customFormat="false" ht="15" hidden="false" customHeight="false" outlineLevel="0" collapsed="false">
      <c r="A3519" s="15" t="s">
        <v>3576</v>
      </c>
      <c r="B3519" s="16" t="n">
        <v>44838</v>
      </c>
      <c r="C3519" s="15" t="s">
        <v>56</v>
      </c>
      <c r="D3519" s="15" t="s">
        <v>43</v>
      </c>
      <c r="E3519" s="15" t="s">
        <v>39</v>
      </c>
      <c r="F3519" s="15" t="s">
        <v>17</v>
      </c>
      <c r="G3519" s="15" t="s">
        <v>26</v>
      </c>
      <c r="H3519" s="15" t="n">
        <v>4</v>
      </c>
      <c r="I3519" s="17" t="n">
        <v>0</v>
      </c>
      <c r="J3519" s="18" t="n">
        <v>322.93</v>
      </c>
      <c r="K3519" s="19" t="n">
        <v>31.7</v>
      </c>
      <c r="L3519" s="15" t="n">
        <f aca="false">YEAR(B3519)</f>
        <v>2022</v>
      </c>
      <c r="M3519" s="20" t="n">
        <f aca="false">IF(J3519&gt;0,K3519/J3519,0)</f>
        <v>0.0981636887251107</v>
      </c>
    </row>
    <row r="3520" customFormat="false" ht="15" hidden="false" customHeight="false" outlineLevel="0" collapsed="false">
      <c r="A3520" s="15" t="s">
        <v>3577</v>
      </c>
      <c r="B3520" s="16" t="n">
        <v>45143</v>
      </c>
      <c r="C3520" s="15" t="s">
        <v>71</v>
      </c>
      <c r="D3520" s="15" t="s">
        <v>44</v>
      </c>
      <c r="E3520" s="15" t="s">
        <v>39</v>
      </c>
      <c r="F3520" s="15" t="s">
        <v>17</v>
      </c>
      <c r="G3520" s="15" t="s">
        <v>26</v>
      </c>
      <c r="H3520" s="15" t="n">
        <v>3</v>
      </c>
      <c r="I3520" s="17" t="n">
        <v>0</v>
      </c>
      <c r="J3520" s="18" t="n">
        <v>268.02</v>
      </c>
      <c r="K3520" s="19" t="n">
        <v>44.19</v>
      </c>
      <c r="L3520" s="15" t="n">
        <f aca="false">YEAR(B3520)</f>
        <v>2023</v>
      </c>
      <c r="M3520" s="20" t="n">
        <f aca="false">IF(J3520&gt;0,K3520/J3520,0)</f>
        <v>0.164875755540631</v>
      </c>
    </row>
    <row r="3521" customFormat="false" ht="15" hidden="false" customHeight="false" outlineLevel="0" collapsed="false">
      <c r="A3521" s="15" t="s">
        <v>3578</v>
      </c>
      <c r="B3521" s="16" t="n">
        <v>44719</v>
      </c>
      <c r="C3521" s="15" t="s">
        <v>71</v>
      </c>
      <c r="D3521" s="15" t="s">
        <v>42</v>
      </c>
      <c r="E3521" s="15" t="s">
        <v>39</v>
      </c>
      <c r="F3521" s="15" t="s">
        <v>18</v>
      </c>
      <c r="G3521" s="15" t="s">
        <v>32</v>
      </c>
      <c r="H3521" s="15" t="n">
        <v>4</v>
      </c>
      <c r="I3521" s="17" t="n">
        <v>0.15</v>
      </c>
      <c r="J3521" s="18" t="n">
        <v>1600.53</v>
      </c>
      <c r="K3521" s="19" t="n">
        <v>45.46</v>
      </c>
      <c r="L3521" s="15" t="n">
        <f aca="false">YEAR(B3521)</f>
        <v>2022</v>
      </c>
      <c r="M3521" s="20" t="n">
        <f aca="false">IF(J3521&gt;0,K3521/J3521,0)</f>
        <v>0.0284030914759486</v>
      </c>
    </row>
    <row r="3522" customFormat="false" ht="15" hidden="false" customHeight="false" outlineLevel="0" collapsed="false">
      <c r="A3522" s="15" t="s">
        <v>3579</v>
      </c>
      <c r="B3522" s="16" t="n">
        <v>45203</v>
      </c>
      <c r="C3522" s="15" t="s">
        <v>68</v>
      </c>
      <c r="D3522" s="15" t="s">
        <v>43</v>
      </c>
      <c r="E3522" s="15" t="s">
        <v>37</v>
      </c>
      <c r="F3522" s="15" t="s">
        <v>16</v>
      </c>
      <c r="G3522" s="15" t="s">
        <v>27</v>
      </c>
      <c r="H3522" s="15" t="n">
        <v>2</v>
      </c>
      <c r="I3522" s="17" t="n">
        <v>0.3</v>
      </c>
      <c r="J3522" s="18" t="n">
        <v>88.75</v>
      </c>
      <c r="K3522" s="19" t="n">
        <v>-1.69</v>
      </c>
      <c r="L3522" s="15" t="n">
        <f aca="false">YEAR(B3522)</f>
        <v>2023</v>
      </c>
      <c r="M3522" s="20" t="n">
        <f aca="false">IF(J3522&gt;0,K3522/J3522,0)</f>
        <v>-0.0190422535211268</v>
      </c>
    </row>
    <row r="3523" customFormat="false" ht="15" hidden="false" customHeight="false" outlineLevel="0" collapsed="false">
      <c r="A3523" s="15" t="s">
        <v>3580</v>
      </c>
      <c r="B3523" s="16" t="n">
        <v>45434</v>
      </c>
      <c r="C3523" s="15" t="s">
        <v>56</v>
      </c>
      <c r="D3523" s="15" t="s">
        <v>42</v>
      </c>
      <c r="E3523" s="15" t="s">
        <v>37</v>
      </c>
      <c r="F3523" s="15" t="s">
        <v>17</v>
      </c>
      <c r="G3523" s="15" t="s">
        <v>28</v>
      </c>
      <c r="H3523" s="15" t="n">
        <v>2</v>
      </c>
      <c r="I3523" s="17" t="n">
        <v>0</v>
      </c>
      <c r="J3523" s="18" t="n">
        <v>51.21</v>
      </c>
      <c r="K3523" s="19" t="n">
        <v>16.83</v>
      </c>
      <c r="L3523" s="15" t="n">
        <f aca="false">YEAR(B3523)</f>
        <v>2024</v>
      </c>
      <c r="M3523" s="20" t="n">
        <f aca="false">IF(J3523&gt;0,K3523/J3523,0)</f>
        <v>0.328646748681898</v>
      </c>
    </row>
    <row r="3524" customFormat="false" ht="15" hidden="false" customHeight="false" outlineLevel="0" collapsed="false">
      <c r="A3524" s="15" t="s">
        <v>3581</v>
      </c>
      <c r="B3524" s="16" t="n">
        <v>45128</v>
      </c>
      <c r="C3524" s="15" t="s">
        <v>68</v>
      </c>
      <c r="D3524" s="15" t="s">
        <v>43</v>
      </c>
      <c r="E3524" s="15" t="s">
        <v>36</v>
      </c>
      <c r="F3524" s="15" t="s">
        <v>17</v>
      </c>
      <c r="G3524" s="15" t="s">
        <v>28</v>
      </c>
      <c r="H3524" s="15" t="n">
        <v>2</v>
      </c>
      <c r="I3524" s="17" t="n">
        <v>0</v>
      </c>
      <c r="J3524" s="18" t="n">
        <v>59.21</v>
      </c>
      <c r="K3524" s="19" t="n">
        <v>17.69</v>
      </c>
      <c r="L3524" s="15" t="n">
        <f aca="false">YEAR(B3524)</f>
        <v>2023</v>
      </c>
      <c r="M3524" s="20" t="n">
        <f aca="false">IF(J3524&gt;0,K3524/J3524,0)</f>
        <v>0.298767100152001</v>
      </c>
    </row>
    <row r="3525" customFormat="false" ht="15" hidden="false" customHeight="false" outlineLevel="0" collapsed="false">
      <c r="A3525" s="15" t="s">
        <v>3582</v>
      </c>
      <c r="B3525" s="16" t="n">
        <v>45158</v>
      </c>
      <c r="C3525" s="15" t="s">
        <v>58</v>
      </c>
      <c r="D3525" s="15" t="s">
        <v>44</v>
      </c>
      <c r="E3525" s="15" t="s">
        <v>36</v>
      </c>
      <c r="F3525" s="15" t="s">
        <v>18</v>
      </c>
      <c r="G3525" s="15" t="s">
        <v>32</v>
      </c>
      <c r="H3525" s="15" t="n">
        <v>5</v>
      </c>
      <c r="I3525" s="17" t="n">
        <v>0.1</v>
      </c>
      <c r="J3525" s="18" t="n">
        <v>1690.26</v>
      </c>
      <c r="K3525" s="19" t="n">
        <v>143.18</v>
      </c>
      <c r="L3525" s="15" t="n">
        <f aca="false">YEAR(B3525)</f>
        <v>2023</v>
      </c>
      <c r="M3525" s="20" t="n">
        <f aca="false">IF(J3525&gt;0,K3525/J3525,0)</f>
        <v>0.0847088613586076</v>
      </c>
    </row>
    <row r="3526" customFormat="false" ht="15" hidden="false" customHeight="false" outlineLevel="0" collapsed="false">
      <c r="A3526" s="15" t="s">
        <v>3583</v>
      </c>
      <c r="B3526" s="16" t="n">
        <v>45623</v>
      </c>
      <c r="C3526" s="15" t="s">
        <v>56</v>
      </c>
      <c r="D3526" s="15" t="s">
        <v>44</v>
      </c>
      <c r="E3526" s="15" t="s">
        <v>39</v>
      </c>
      <c r="F3526" s="15" t="s">
        <v>17</v>
      </c>
      <c r="G3526" s="15" t="s">
        <v>28</v>
      </c>
      <c r="H3526" s="15" t="n">
        <v>3</v>
      </c>
      <c r="I3526" s="17" t="n">
        <v>0</v>
      </c>
      <c r="J3526" s="18" t="n">
        <v>92.58</v>
      </c>
      <c r="K3526" s="19" t="n">
        <v>21.63</v>
      </c>
      <c r="L3526" s="15" t="n">
        <f aca="false">YEAR(B3526)</f>
        <v>2024</v>
      </c>
      <c r="M3526" s="20" t="n">
        <f aca="false">IF(J3526&gt;0,K3526/J3526,0)</f>
        <v>0.233635774465327</v>
      </c>
    </row>
    <row r="3527" customFormat="false" ht="15" hidden="false" customHeight="false" outlineLevel="0" collapsed="false">
      <c r="A3527" s="15" t="s">
        <v>3584</v>
      </c>
      <c r="B3527" s="16" t="n">
        <v>45995</v>
      </c>
      <c r="C3527" s="15" t="s">
        <v>56</v>
      </c>
      <c r="D3527" s="15" t="s">
        <v>42</v>
      </c>
      <c r="E3527" s="15" t="s">
        <v>37</v>
      </c>
      <c r="F3527" s="15" t="s">
        <v>17</v>
      </c>
      <c r="G3527" s="15" t="s">
        <v>31</v>
      </c>
      <c r="H3527" s="15" t="n">
        <v>3</v>
      </c>
      <c r="I3527" s="17" t="n">
        <v>0</v>
      </c>
      <c r="J3527" s="18" t="n">
        <v>379.46</v>
      </c>
      <c r="K3527" s="19" t="n">
        <v>95.81</v>
      </c>
      <c r="L3527" s="15" t="n">
        <f aca="false">YEAR(B3527)</f>
        <v>2025</v>
      </c>
      <c r="M3527" s="20" t="n">
        <f aca="false">IF(J3527&gt;0,K3527/J3527,0)</f>
        <v>0.252490381067833</v>
      </c>
    </row>
    <row r="3528" customFormat="false" ht="15" hidden="false" customHeight="false" outlineLevel="0" collapsed="false">
      <c r="A3528" s="15" t="s">
        <v>3585</v>
      </c>
      <c r="B3528" s="16" t="n">
        <v>44800</v>
      </c>
      <c r="C3528" s="15" t="s">
        <v>68</v>
      </c>
      <c r="D3528" s="15" t="s">
        <v>44</v>
      </c>
      <c r="E3528" s="15" t="s">
        <v>38</v>
      </c>
      <c r="F3528" s="15" t="s">
        <v>17</v>
      </c>
      <c r="G3528" s="15" t="s">
        <v>29</v>
      </c>
      <c r="H3528" s="15" t="n">
        <v>5</v>
      </c>
      <c r="I3528" s="17" t="n">
        <v>0.2</v>
      </c>
      <c r="J3528" s="18" t="n">
        <v>50.96</v>
      </c>
      <c r="K3528" s="19" t="n">
        <v>8.15</v>
      </c>
      <c r="L3528" s="15" t="n">
        <f aca="false">YEAR(B3528)</f>
        <v>2022</v>
      </c>
      <c r="M3528" s="20" t="n">
        <f aca="false">IF(J3528&gt;0,K3528/J3528,0)</f>
        <v>0.159929356357928</v>
      </c>
    </row>
    <row r="3529" customFormat="false" ht="15" hidden="false" customHeight="false" outlineLevel="0" collapsed="false">
      <c r="A3529" s="15" t="s">
        <v>3586</v>
      </c>
      <c r="B3529" s="16" t="n">
        <v>44591</v>
      </c>
      <c r="C3529" s="15" t="s">
        <v>56</v>
      </c>
      <c r="D3529" s="15" t="s">
        <v>44</v>
      </c>
      <c r="E3529" s="15" t="s">
        <v>39</v>
      </c>
      <c r="F3529" s="15" t="s">
        <v>17</v>
      </c>
      <c r="G3529" s="15" t="s">
        <v>28</v>
      </c>
      <c r="H3529" s="15" t="n">
        <v>3</v>
      </c>
      <c r="I3529" s="17" t="n">
        <v>0</v>
      </c>
      <c r="J3529" s="18" t="n">
        <v>72.2</v>
      </c>
      <c r="K3529" s="19" t="n">
        <v>17.26</v>
      </c>
      <c r="L3529" s="15" t="n">
        <f aca="false">YEAR(B3529)</f>
        <v>2022</v>
      </c>
      <c r="M3529" s="20" t="n">
        <f aca="false">IF(J3529&gt;0,K3529/J3529,0)</f>
        <v>0.239058171745152</v>
      </c>
    </row>
    <row r="3530" customFormat="false" ht="15" hidden="false" customHeight="false" outlineLevel="0" collapsed="false">
      <c r="A3530" s="15" t="s">
        <v>3587</v>
      </c>
      <c r="B3530" s="16" t="n">
        <v>45049</v>
      </c>
      <c r="C3530" s="15" t="s">
        <v>56</v>
      </c>
      <c r="D3530" s="15" t="s">
        <v>42</v>
      </c>
      <c r="E3530" s="15" t="s">
        <v>39</v>
      </c>
      <c r="F3530" s="15" t="s">
        <v>17</v>
      </c>
      <c r="G3530" s="15" t="s">
        <v>26</v>
      </c>
      <c r="H3530" s="15" t="n">
        <v>6</v>
      </c>
      <c r="I3530" s="17" t="n">
        <v>0.1</v>
      </c>
      <c r="J3530" s="18" t="n">
        <v>424.64</v>
      </c>
      <c r="K3530" s="19" t="n">
        <v>29.11</v>
      </c>
      <c r="L3530" s="15" t="n">
        <f aca="false">YEAR(B3530)</f>
        <v>2023</v>
      </c>
      <c r="M3530" s="20" t="n">
        <f aca="false">IF(J3530&gt;0,K3530/J3530,0)</f>
        <v>0.0685521853805577</v>
      </c>
    </row>
    <row r="3531" customFormat="false" ht="15" hidden="false" customHeight="false" outlineLevel="0" collapsed="false">
      <c r="A3531" s="15" t="s">
        <v>3588</v>
      </c>
      <c r="B3531" s="16" t="n">
        <v>45622</v>
      </c>
      <c r="C3531" s="15" t="s">
        <v>56</v>
      </c>
      <c r="D3531" s="15" t="s">
        <v>44</v>
      </c>
      <c r="E3531" s="15" t="s">
        <v>36</v>
      </c>
      <c r="F3531" s="15" t="s">
        <v>17</v>
      </c>
      <c r="G3531" s="15" t="s">
        <v>31</v>
      </c>
      <c r="H3531" s="15" t="n">
        <v>2</v>
      </c>
      <c r="I3531" s="17" t="n">
        <v>0.2</v>
      </c>
      <c r="J3531" s="18" t="n">
        <v>167.65</v>
      </c>
      <c r="K3531" s="19" t="n">
        <v>5.93</v>
      </c>
      <c r="L3531" s="15" t="n">
        <f aca="false">YEAR(B3531)</f>
        <v>2024</v>
      </c>
      <c r="M3531" s="20" t="n">
        <f aca="false">IF(J3531&gt;0,K3531/J3531,0)</f>
        <v>0.0353713092752759</v>
      </c>
    </row>
    <row r="3532" customFormat="false" ht="15" hidden="false" customHeight="false" outlineLevel="0" collapsed="false">
      <c r="A3532" s="15" t="s">
        <v>3589</v>
      </c>
      <c r="B3532" s="16" t="n">
        <v>45662</v>
      </c>
      <c r="C3532" s="15" t="s">
        <v>56</v>
      </c>
      <c r="D3532" s="15" t="s">
        <v>42</v>
      </c>
      <c r="E3532" s="15" t="s">
        <v>38</v>
      </c>
      <c r="F3532" s="15" t="s">
        <v>16</v>
      </c>
      <c r="G3532" s="15" t="s">
        <v>25</v>
      </c>
      <c r="H3532" s="15" t="n">
        <v>5</v>
      </c>
      <c r="I3532" s="17" t="n">
        <v>0.4</v>
      </c>
      <c r="J3532" s="18" t="n">
        <v>785.2</v>
      </c>
      <c r="K3532" s="19" t="n">
        <v>-179.03</v>
      </c>
      <c r="L3532" s="15" t="n">
        <f aca="false">YEAR(B3532)</f>
        <v>2025</v>
      </c>
      <c r="M3532" s="20" t="n">
        <f aca="false">IF(J3532&gt;0,K3532/J3532,0)</f>
        <v>-0.228005603667855</v>
      </c>
    </row>
    <row r="3533" customFormat="false" ht="15" hidden="false" customHeight="false" outlineLevel="0" collapsed="false">
      <c r="A3533" s="15" t="s">
        <v>3590</v>
      </c>
      <c r="B3533" s="16" t="n">
        <v>45742</v>
      </c>
      <c r="C3533" s="15" t="s">
        <v>71</v>
      </c>
      <c r="D3533" s="15" t="s">
        <v>43</v>
      </c>
      <c r="E3533" s="15" t="s">
        <v>39</v>
      </c>
      <c r="F3533" s="15" t="s">
        <v>18</v>
      </c>
      <c r="G3533" s="15" t="s">
        <v>33</v>
      </c>
      <c r="H3533" s="15" t="n">
        <v>2</v>
      </c>
      <c r="I3533" s="17" t="n">
        <v>0</v>
      </c>
      <c r="J3533" s="18" t="n">
        <v>2247.5</v>
      </c>
      <c r="K3533" s="19" t="n">
        <v>662.82</v>
      </c>
      <c r="L3533" s="15" t="n">
        <f aca="false">YEAR(B3533)</f>
        <v>2025</v>
      </c>
      <c r="M3533" s="20" t="n">
        <f aca="false">IF(J3533&gt;0,K3533/J3533,0)</f>
        <v>0.294914349276974</v>
      </c>
    </row>
    <row r="3534" customFormat="false" ht="15" hidden="false" customHeight="false" outlineLevel="0" collapsed="false">
      <c r="A3534" s="15" t="s">
        <v>3591</v>
      </c>
      <c r="B3534" s="16" t="n">
        <v>44891</v>
      </c>
      <c r="C3534" s="15" t="s">
        <v>56</v>
      </c>
      <c r="D3534" s="15" t="s">
        <v>44</v>
      </c>
      <c r="E3534" s="15" t="s">
        <v>39</v>
      </c>
      <c r="F3534" s="15" t="s">
        <v>17</v>
      </c>
      <c r="G3534" s="15" t="s">
        <v>29</v>
      </c>
      <c r="H3534" s="15" t="n">
        <v>4</v>
      </c>
      <c r="I3534" s="17" t="n">
        <v>0</v>
      </c>
      <c r="J3534" s="18" t="n">
        <v>75.5</v>
      </c>
      <c r="K3534" s="19" t="n">
        <v>33.31</v>
      </c>
      <c r="L3534" s="15" t="n">
        <f aca="false">YEAR(B3534)</f>
        <v>2022</v>
      </c>
      <c r="M3534" s="20" t="n">
        <f aca="false">IF(J3534&gt;0,K3534/J3534,0)</f>
        <v>0.441192052980133</v>
      </c>
    </row>
    <row r="3535" customFormat="false" ht="15" hidden="false" customHeight="false" outlineLevel="0" collapsed="false">
      <c r="A3535" s="15" t="s">
        <v>3592</v>
      </c>
      <c r="B3535" s="16" t="n">
        <v>45016</v>
      </c>
      <c r="C3535" s="15" t="s">
        <v>56</v>
      </c>
      <c r="D3535" s="15" t="s">
        <v>43</v>
      </c>
      <c r="E3535" s="15" t="s">
        <v>39</v>
      </c>
      <c r="F3535" s="15" t="s">
        <v>16</v>
      </c>
      <c r="G3535" s="15" t="s">
        <v>25</v>
      </c>
      <c r="H3535" s="15" t="n">
        <v>5</v>
      </c>
      <c r="I3535" s="17" t="n">
        <v>0.2</v>
      </c>
      <c r="J3535" s="18" t="n">
        <v>1333.17</v>
      </c>
      <c r="K3535" s="19" t="n">
        <v>-154.31</v>
      </c>
      <c r="L3535" s="15" t="n">
        <f aca="false">YEAR(B3535)</f>
        <v>2023</v>
      </c>
      <c r="M3535" s="20" t="n">
        <f aca="false">IF(J3535&gt;0,K3535/J3535,0)</f>
        <v>-0.115746678968174</v>
      </c>
    </row>
    <row r="3536" customFormat="false" ht="15" hidden="false" customHeight="false" outlineLevel="0" collapsed="false">
      <c r="A3536" s="15" t="s">
        <v>3593</v>
      </c>
      <c r="B3536" s="16" t="n">
        <v>45010</v>
      </c>
      <c r="C3536" s="15" t="s">
        <v>56</v>
      </c>
      <c r="D3536" s="15" t="s">
        <v>44</v>
      </c>
      <c r="E3536" s="15" t="s">
        <v>38</v>
      </c>
      <c r="F3536" s="15" t="s">
        <v>17</v>
      </c>
      <c r="G3536" s="15" t="s">
        <v>28</v>
      </c>
      <c r="H3536" s="15" t="n">
        <v>1</v>
      </c>
      <c r="I3536" s="17" t="n">
        <v>0</v>
      </c>
      <c r="J3536" s="18" t="n">
        <v>23.58</v>
      </c>
      <c r="K3536" s="19" t="n">
        <v>6.91</v>
      </c>
      <c r="L3536" s="15" t="n">
        <f aca="false">YEAR(B3536)</f>
        <v>2023</v>
      </c>
      <c r="M3536" s="20" t="n">
        <f aca="false">IF(J3536&gt;0,K3536/J3536,0)</f>
        <v>0.293044953350297</v>
      </c>
    </row>
    <row r="3537" customFormat="false" ht="15" hidden="false" customHeight="false" outlineLevel="0" collapsed="false">
      <c r="A3537" s="15" t="s">
        <v>3594</v>
      </c>
      <c r="B3537" s="16" t="n">
        <v>44612</v>
      </c>
      <c r="C3537" s="15" t="s">
        <v>56</v>
      </c>
      <c r="D3537" s="15" t="s">
        <v>43</v>
      </c>
      <c r="E3537" s="15" t="s">
        <v>36</v>
      </c>
      <c r="F3537" s="15" t="s">
        <v>18</v>
      </c>
      <c r="G3537" s="15" t="s">
        <v>30</v>
      </c>
      <c r="H3537" s="15" t="n">
        <v>4</v>
      </c>
      <c r="I3537" s="17" t="n">
        <v>0.1</v>
      </c>
      <c r="J3537" s="18" t="n">
        <v>141.51</v>
      </c>
      <c r="K3537" s="19" t="n">
        <v>32.16</v>
      </c>
      <c r="L3537" s="15" t="n">
        <f aca="false">YEAR(B3537)</f>
        <v>2022</v>
      </c>
      <c r="M3537" s="20" t="n">
        <f aca="false">IF(J3537&gt;0,K3537/J3537,0)</f>
        <v>0.227263090947636</v>
      </c>
    </row>
    <row r="3538" customFormat="false" ht="15" hidden="false" customHeight="false" outlineLevel="0" collapsed="false">
      <c r="A3538" s="15" t="s">
        <v>3595</v>
      </c>
      <c r="B3538" s="16" t="n">
        <v>45814</v>
      </c>
      <c r="C3538" s="15" t="s">
        <v>56</v>
      </c>
      <c r="D3538" s="15" t="s">
        <v>43</v>
      </c>
      <c r="E3538" s="15" t="s">
        <v>36</v>
      </c>
      <c r="F3538" s="15" t="s">
        <v>17</v>
      </c>
      <c r="G3538" s="15" t="s">
        <v>29</v>
      </c>
      <c r="H3538" s="15" t="n">
        <v>2</v>
      </c>
      <c r="I3538" s="17" t="n">
        <v>0</v>
      </c>
      <c r="J3538" s="18" t="n">
        <v>28.61</v>
      </c>
      <c r="K3538" s="19" t="n">
        <v>9.5</v>
      </c>
      <c r="L3538" s="15" t="n">
        <f aca="false">YEAR(B3538)</f>
        <v>2025</v>
      </c>
      <c r="M3538" s="20" t="n">
        <f aca="false">IF(J3538&gt;0,K3538/J3538,0)</f>
        <v>0.332051730164278</v>
      </c>
    </row>
    <row r="3539" customFormat="false" ht="15" hidden="false" customHeight="false" outlineLevel="0" collapsed="false">
      <c r="A3539" s="15" t="s">
        <v>3596</v>
      </c>
      <c r="B3539" s="16" t="n">
        <v>44601</v>
      </c>
      <c r="C3539" s="15" t="s">
        <v>56</v>
      </c>
      <c r="D3539" s="15" t="s">
        <v>44</v>
      </c>
      <c r="E3539" s="15" t="s">
        <v>39</v>
      </c>
      <c r="F3539" s="15" t="s">
        <v>17</v>
      </c>
      <c r="G3539" s="15" t="s">
        <v>29</v>
      </c>
      <c r="H3539" s="15" t="n">
        <v>4</v>
      </c>
      <c r="I3539" s="17" t="n">
        <v>0</v>
      </c>
      <c r="J3539" s="18" t="n">
        <v>78.1</v>
      </c>
      <c r="K3539" s="19" t="n">
        <v>36.6</v>
      </c>
      <c r="L3539" s="15" t="n">
        <f aca="false">YEAR(B3539)</f>
        <v>2022</v>
      </c>
      <c r="M3539" s="20" t="n">
        <f aca="false">IF(J3539&gt;0,K3539/J3539,0)</f>
        <v>0.468629961587708</v>
      </c>
    </row>
    <row r="3540" customFormat="false" ht="15" hidden="false" customHeight="false" outlineLevel="0" collapsed="false">
      <c r="A3540" s="15" t="s">
        <v>3597</v>
      </c>
      <c r="B3540" s="16" t="n">
        <v>44747</v>
      </c>
      <c r="C3540" s="15" t="s">
        <v>56</v>
      </c>
      <c r="D3540" s="15" t="s">
        <v>44</v>
      </c>
      <c r="E3540" s="15" t="s">
        <v>39</v>
      </c>
      <c r="F3540" s="15" t="s">
        <v>17</v>
      </c>
      <c r="G3540" s="15" t="s">
        <v>28</v>
      </c>
      <c r="H3540" s="15" t="n">
        <v>2</v>
      </c>
      <c r="I3540" s="17" t="n">
        <v>0.2</v>
      </c>
      <c r="J3540" s="18" t="n">
        <v>49.26</v>
      </c>
      <c r="K3540" s="19" t="n">
        <v>3.36</v>
      </c>
      <c r="L3540" s="15" t="n">
        <f aca="false">YEAR(B3540)</f>
        <v>2022</v>
      </c>
      <c r="M3540" s="20" t="n">
        <f aca="false">IF(J3540&gt;0,K3540/J3540,0)</f>
        <v>0.0682095006090134</v>
      </c>
    </row>
    <row r="3541" customFormat="false" ht="15" hidden="false" customHeight="false" outlineLevel="0" collapsed="false">
      <c r="A3541" s="15" t="s">
        <v>3598</v>
      </c>
      <c r="B3541" s="16" t="n">
        <v>45967</v>
      </c>
      <c r="C3541" s="15" t="s">
        <v>56</v>
      </c>
      <c r="D3541" s="15" t="s">
        <v>42</v>
      </c>
      <c r="E3541" s="15" t="s">
        <v>36</v>
      </c>
      <c r="F3541" s="15" t="s">
        <v>18</v>
      </c>
      <c r="G3541" s="15" t="s">
        <v>30</v>
      </c>
      <c r="H3541" s="15" t="n">
        <v>2</v>
      </c>
      <c r="I3541" s="17" t="n">
        <v>0.15</v>
      </c>
      <c r="J3541" s="18" t="n">
        <v>81.78</v>
      </c>
      <c r="K3541" s="19" t="n">
        <v>15.6</v>
      </c>
      <c r="L3541" s="15" t="n">
        <f aca="false">YEAR(B3541)</f>
        <v>2025</v>
      </c>
      <c r="M3541" s="20" t="n">
        <f aca="false">IF(J3541&gt;0,K3541/J3541,0)</f>
        <v>0.190755685986794</v>
      </c>
    </row>
    <row r="3542" customFormat="false" ht="15" hidden="false" customHeight="false" outlineLevel="0" collapsed="false">
      <c r="A3542" s="15" t="s">
        <v>3599</v>
      </c>
      <c r="B3542" s="16" t="n">
        <v>44854</v>
      </c>
      <c r="C3542" s="15" t="s">
        <v>56</v>
      </c>
      <c r="D3542" s="15" t="s">
        <v>42</v>
      </c>
      <c r="E3542" s="15" t="s">
        <v>39</v>
      </c>
      <c r="F3542" s="15" t="s">
        <v>18</v>
      </c>
      <c r="G3542" s="15" t="s">
        <v>32</v>
      </c>
      <c r="H3542" s="15" t="n">
        <v>2</v>
      </c>
      <c r="I3542" s="17" t="n">
        <v>0.3</v>
      </c>
      <c r="J3542" s="18" t="n">
        <v>595.8</v>
      </c>
      <c r="K3542" s="19" t="n">
        <v>-78.88</v>
      </c>
      <c r="L3542" s="15" t="n">
        <f aca="false">YEAR(B3542)</f>
        <v>2022</v>
      </c>
      <c r="M3542" s="20" t="n">
        <f aca="false">IF(J3542&gt;0,K3542/J3542,0)</f>
        <v>-0.132393420610943</v>
      </c>
    </row>
    <row r="3543" customFormat="false" ht="15" hidden="false" customHeight="false" outlineLevel="0" collapsed="false">
      <c r="A3543" s="15" t="s">
        <v>3600</v>
      </c>
      <c r="B3543" s="16" t="n">
        <v>44837</v>
      </c>
      <c r="C3543" s="15" t="s">
        <v>58</v>
      </c>
      <c r="D3543" s="15" t="s">
        <v>42</v>
      </c>
      <c r="E3543" s="15" t="s">
        <v>36</v>
      </c>
      <c r="F3543" s="15" t="s">
        <v>18</v>
      </c>
      <c r="G3543" s="15" t="s">
        <v>32</v>
      </c>
      <c r="H3543" s="15" t="n">
        <v>3</v>
      </c>
      <c r="I3543" s="17" t="n">
        <v>0.1</v>
      </c>
      <c r="J3543" s="18" t="n">
        <v>1017.98</v>
      </c>
      <c r="K3543" s="19" t="n">
        <v>118.05</v>
      </c>
      <c r="L3543" s="15" t="n">
        <f aca="false">YEAR(B3543)</f>
        <v>2022</v>
      </c>
      <c r="M3543" s="20" t="n">
        <f aca="false">IF(J3543&gt;0,K3543/J3543,0)</f>
        <v>0.115964950195485</v>
      </c>
    </row>
    <row r="3544" customFormat="false" ht="15" hidden="false" customHeight="false" outlineLevel="0" collapsed="false">
      <c r="A3544" s="15" t="s">
        <v>3601</v>
      </c>
      <c r="B3544" s="16" t="n">
        <v>45023</v>
      </c>
      <c r="C3544" s="15" t="s">
        <v>68</v>
      </c>
      <c r="D3544" s="15" t="s">
        <v>43</v>
      </c>
      <c r="E3544" s="15" t="s">
        <v>36</v>
      </c>
      <c r="F3544" s="15" t="s">
        <v>17</v>
      </c>
      <c r="G3544" s="15" t="s">
        <v>26</v>
      </c>
      <c r="H3544" s="15" t="n">
        <v>4</v>
      </c>
      <c r="I3544" s="17" t="n">
        <v>0.1</v>
      </c>
      <c r="J3544" s="18" t="n">
        <v>326.39</v>
      </c>
      <c r="K3544" s="19" t="n">
        <v>15.77</v>
      </c>
      <c r="L3544" s="15" t="n">
        <f aca="false">YEAR(B3544)</f>
        <v>2023</v>
      </c>
      <c r="M3544" s="20" t="n">
        <f aca="false">IF(J3544&gt;0,K3544/J3544,0)</f>
        <v>0.0483164312632127</v>
      </c>
    </row>
    <row r="3545" customFormat="false" ht="15" hidden="false" customHeight="false" outlineLevel="0" collapsed="false">
      <c r="A3545" s="15" t="s">
        <v>3602</v>
      </c>
      <c r="B3545" s="16" t="n">
        <v>45541</v>
      </c>
      <c r="C3545" s="15" t="s">
        <v>56</v>
      </c>
      <c r="D3545" s="15" t="s">
        <v>44</v>
      </c>
      <c r="E3545" s="15" t="s">
        <v>36</v>
      </c>
      <c r="F3545" s="15" t="s">
        <v>18</v>
      </c>
      <c r="G3545" s="15" t="s">
        <v>30</v>
      </c>
      <c r="H3545" s="15" t="n">
        <v>4</v>
      </c>
      <c r="I3545" s="17" t="n">
        <v>0.05</v>
      </c>
      <c r="J3545" s="18" t="n">
        <v>178.86</v>
      </c>
      <c r="K3545" s="19" t="n">
        <v>55.48</v>
      </c>
      <c r="L3545" s="15" t="n">
        <f aca="false">YEAR(B3545)</f>
        <v>2024</v>
      </c>
      <c r="M3545" s="20" t="n">
        <f aca="false">IF(J3545&gt;0,K3545/J3545,0)</f>
        <v>0.310186738231019</v>
      </c>
    </row>
    <row r="3546" customFormat="false" ht="15" hidden="false" customHeight="false" outlineLevel="0" collapsed="false">
      <c r="A3546" s="15" t="s">
        <v>3603</v>
      </c>
      <c r="B3546" s="16" t="n">
        <v>45139</v>
      </c>
      <c r="C3546" s="15" t="s">
        <v>56</v>
      </c>
      <c r="D3546" s="15" t="s">
        <v>42</v>
      </c>
      <c r="E3546" s="15" t="s">
        <v>39</v>
      </c>
      <c r="F3546" s="15" t="s">
        <v>17</v>
      </c>
      <c r="G3546" s="15" t="s">
        <v>29</v>
      </c>
      <c r="H3546" s="15" t="n">
        <v>3</v>
      </c>
      <c r="I3546" s="17" t="n">
        <v>0.1</v>
      </c>
      <c r="J3546" s="18" t="n">
        <v>46.92</v>
      </c>
      <c r="K3546" s="19" t="n">
        <v>13.37</v>
      </c>
      <c r="L3546" s="15" t="n">
        <f aca="false">YEAR(B3546)</f>
        <v>2023</v>
      </c>
      <c r="M3546" s="20" t="n">
        <f aca="false">IF(J3546&gt;0,K3546/J3546,0)</f>
        <v>0.284953111679454</v>
      </c>
    </row>
    <row r="3547" customFormat="false" ht="15" hidden="false" customHeight="false" outlineLevel="0" collapsed="false">
      <c r="A3547" s="15" t="s">
        <v>3604</v>
      </c>
      <c r="B3547" s="16" t="n">
        <v>45447</v>
      </c>
      <c r="C3547" s="15" t="s">
        <v>56</v>
      </c>
      <c r="D3547" s="15" t="s">
        <v>43</v>
      </c>
      <c r="E3547" s="15" t="s">
        <v>37</v>
      </c>
      <c r="F3547" s="15" t="s">
        <v>18</v>
      </c>
      <c r="G3547" s="15" t="s">
        <v>30</v>
      </c>
      <c r="H3547" s="15" t="n">
        <v>4</v>
      </c>
      <c r="I3547" s="17" t="n">
        <v>0</v>
      </c>
      <c r="J3547" s="18" t="n">
        <v>259.15</v>
      </c>
      <c r="K3547" s="19" t="n">
        <v>79.8</v>
      </c>
      <c r="L3547" s="15" t="n">
        <f aca="false">YEAR(B3547)</f>
        <v>2024</v>
      </c>
      <c r="M3547" s="20" t="n">
        <f aca="false">IF(J3547&gt;0,K3547/J3547,0)</f>
        <v>0.307929770403241</v>
      </c>
    </row>
    <row r="3548" customFormat="false" ht="15" hidden="false" customHeight="false" outlineLevel="0" collapsed="false">
      <c r="A3548" s="15" t="s">
        <v>3605</v>
      </c>
      <c r="B3548" s="16" t="n">
        <v>45821</v>
      </c>
      <c r="C3548" s="15" t="s">
        <v>56</v>
      </c>
      <c r="D3548" s="15" t="s">
        <v>42</v>
      </c>
      <c r="E3548" s="15" t="s">
        <v>37</v>
      </c>
      <c r="F3548" s="15" t="s">
        <v>17</v>
      </c>
      <c r="G3548" s="15" t="s">
        <v>26</v>
      </c>
      <c r="H3548" s="15" t="n">
        <v>4</v>
      </c>
      <c r="I3548" s="17" t="n">
        <v>0.5</v>
      </c>
      <c r="J3548" s="18" t="n">
        <v>159.24</v>
      </c>
      <c r="K3548" s="19" t="n">
        <v>-48.1</v>
      </c>
      <c r="L3548" s="15" t="n">
        <f aca="false">YEAR(B3548)</f>
        <v>2025</v>
      </c>
      <c r="M3548" s="20" t="n">
        <f aca="false">IF(J3548&gt;0,K3548/J3548,0)</f>
        <v>-0.302059783973876</v>
      </c>
    </row>
    <row r="3549" customFormat="false" ht="15" hidden="false" customHeight="false" outlineLevel="0" collapsed="false">
      <c r="A3549" s="15" t="s">
        <v>3606</v>
      </c>
      <c r="B3549" s="16" t="n">
        <v>45571</v>
      </c>
      <c r="C3549" s="15" t="s">
        <v>56</v>
      </c>
      <c r="D3549" s="15" t="s">
        <v>42</v>
      </c>
      <c r="E3549" s="15" t="s">
        <v>39</v>
      </c>
      <c r="F3549" s="15" t="s">
        <v>17</v>
      </c>
      <c r="G3549" s="15" t="s">
        <v>26</v>
      </c>
      <c r="H3549" s="15" t="n">
        <v>8</v>
      </c>
      <c r="I3549" s="17" t="n">
        <v>0</v>
      </c>
      <c r="J3549" s="18" t="n">
        <v>702.23</v>
      </c>
      <c r="K3549" s="19" t="n">
        <v>92.62</v>
      </c>
      <c r="L3549" s="15" t="n">
        <f aca="false">YEAR(B3549)</f>
        <v>2024</v>
      </c>
      <c r="M3549" s="20" t="n">
        <f aca="false">IF(J3549&gt;0,K3549/J3549,0)</f>
        <v>0.131894108767783</v>
      </c>
    </row>
    <row r="3550" customFormat="false" ht="15" hidden="false" customHeight="false" outlineLevel="0" collapsed="false">
      <c r="A3550" s="15" t="s">
        <v>3607</v>
      </c>
      <c r="B3550" s="16" t="n">
        <v>44948</v>
      </c>
      <c r="C3550" s="15" t="s">
        <v>71</v>
      </c>
      <c r="D3550" s="15" t="s">
        <v>43</v>
      </c>
      <c r="E3550" s="15" t="s">
        <v>38</v>
      </c>
      <c r="F3550" s="15" t="s">
        <v>18</v>
      </c>
      <c r="G3550" s="15" t="s">
        <v>30</v>
      </c>
      <c r="H3550" s="15" t="n">
        <v>4</v>
      </c>
      <c r="I3550" s="17" t="n">
        <v>0.2</v>
      </c>
      <c r="J3550" s="18" t="n">
        <v>155.32</v>
      </c>
      <c r="K3550" s="19" t="n">
        <v>20.49</v>
      </c>
      <c r="L3550" s="15" t="n">
        <f aca="false">YEAR(B3550)</f>
        <v>2023</v>
      </c>
      <c r="M3550" s="20" t="n">
        <f aca="false">IF(J3550&gt;0,K3550/J3550,0)</f>
        <v>0.131921194952356</v>
      </c>
    </row>
    <row r="3551" customFormat="false" ht="15" hidden="false" customHeight="false" outlineLevel="0" collapsed="false">
      <c r="A3551" s="15" t="s">
        <v>3608</v>
      </c>
      <c r="B3551" s="16" t="n">
        <v>45258</v>
      </c>
      <c r="C3551" s="15" t="s">
        <v>71</v>
      </c>
      <c r="D3551" s="15" t="s">
        <v>42</v>
      </c>
      <c r="E3551" s="15" t="s">
        <v>38</v>
      </c>
      <c r="F3551" s="15" t="s">
        <v>18</v>
      </c>
      <c r="G3551" s="15" t="s">
        <v>30</v>
      </c>
      <c r="H3551" s="15" t="n">
        <v>5</v>
      </c>
      <c r="I3551" s="17" t="n">
        <v>0.1</v>
      </c>
      <c r="J3551" s="18" t="n">
        <v>184.88</v>
      </c>
      <c r="K3551" s="19" t="n">
        <v>33.25</v>
      </c>
      <c r="L3551" s="15" t="n">
        <f aca="false">YEAR(B3551)</f>
        <v>2023</v>
      </c>
      <c r="M3551" s="20" t="n">
        <f aca="false">IF(J3551&gt;0,K3551/J3551,0)</f>
        <v>0.179846386845521</v>
      </c>
    </row>
    <row r="3552" customFormat="false" ht="15" hidden="false" customHeight="false" outlineLevel="0" collapsed="false">
      <c r="A3552" s="15" t="s">
        <v>3609</v>
      </c>
      <c r="B3552" s="16" t="n">
        <v>44913</v>
      </c>
      <c r="C3552" s="15" t="s">
        <v>56</v>
      </c>
      <c r="D3552" s="15" t="s">
        <v>42</v>
      </c>
      <c r="E3552" s="15" t="s">
        <v>39</v>
      </c>
      <c r="F3552" s="15" t="s">
        <v>17</v>
      </c>
      <c r="G3552" s="15" t="s">
        <v>26</v>
      </c>
      <c r="H3552" s="15" t="n">
        <v>4</v>
      </c>
      <c r="I3552" s="17" t="n">
        <v>0</v>
      </c>
      <c r="J3552" s="18" t="n">
        <v>311.61</v>
      </c>
      <c r="K3552" s="19" t="n">
        <v>29.91</v>
      </c>
      <c r="L3552" s="15" t="n">
        <f aca="false">YEAR(B3552)</f>
        <v>2022</v>
      </c>
      <c r="M3552" s="20" t="n">
        <f aca="false">IF(J3552&gt;0,K3552/J3552,0)</f>
        <v>0.0959853663232887</v>
      </c>
    </row>
    <row r="3553" customFormat="false" ht="15" hidden="false" customHeight="false" outlineLevel="0" collapsed="false">
      <c r="A3553" s="15" t="s">
        <v>3610</v>
      </c>
      <c r="B3553" s="16" t="n">
        <v>45313</v>
      </c>
      <c r="C3553" s="15" t="s">
        <v>68</v>
      </c>
      <c r="D3553" s="15" t="s">
        <v>43</v>
      </c>
      <c r="E3553" s="15" t="s">
        <v>39</v>
      </c>
      <c r="F3553" s="15" t="s">
        <v>16</v>
      </c>
      <c r="G3553" s="15" t="s">
        <v>27</v>
      </c>
      <c r="H3553" s="15" t="n">
        <v>4</v>
      </c>
      <c r="I3553" s="17" t="n">
        <v>0</v>
      </c>
      <c r="J3553" s="18" t="n">
        <v>246.63</v>
      </c>
      <c r="K3553" s="19" t="n">
        <v>41.63</v>
      </c>
      <c r="L3553" s="15" t="n">
        <f aca="false">YEAR(B3553)</f>
        <v>2024</v>
      </c>
      <c r="M3553" s="20" t="n">
        <f aca="false">IF(J3553&gt;0,K3553/J3553,0)</f>
        <v>0.168795361472651</v>
      </c>
    </row>
    <row r="3554" customFormat="false" ht="15" hidden="false" customHeight="false" outlineLevel="0" collapsed="false">
      <c r="A3554" s="15" t="s">
        <v>3611</v>
      </c>
      <c r="B3554" s="16" t="n">
        <v>44759</v>
      </c>
      <c r="C3554" s="15" t="s">
        <v>56</v>
      </c>
      <c r="D3554" s="15" t="s">
        <v>42</v>
      </c>
      <c r="E3554" s="15" t="s">
        <v>39</v>
      </c>
      <c r="F3554" s="15" t="s">
        <v>18</v>
      </c>
      <c r="G3554" s="15" t="s">
        <v>32</v>
      </c>
      <c r="H3554" s="15" t="n">
        <v>2</v>
      </c>
      <c r="I3554" s="17" t="n">
        <v>0</v>
      </c>
      <c r="J3554" s="18" t="n">
        <v>777.25</v>
      </c>
      <c r="K3554" s="19" t="n">
        <v>181.12</v>
      </c>
      <c r="L3554" s="15" t="n">
        <f aca="false">YEAR(B3554)</f>
        <v>2022</v>
      </c>
      <c r="M3554" s="20" t="n">
        <f aca="false">IF(J3554&gt;0,K3554/J3554,0)</f>
        <v>0.233026696687038</v>
      </c>
    </row>
    <row r="3555" customFormat="false" ht="15" hidden="false" customHeight="false" outlineLevel="0" collapsed="false">
      <c r="A3555" s="15" t="s">
        <v>3612</v>
      </c>
      <c r="B3555" s="16" t="n">
        <v>44974</v>
      </c>
      <c r="C3555" s="15" t="s">
        <v>71</v>
      </c>
      <c r="D3555" s="15" t="s">
        <v>44</v>
      </c>
      <c r="E3555" s="15" t="s">
        <v>36</v>
      </c>
      <c r="F3555" s="15" t="s">
        <v>17</v>
      </c>
      <c r="G3555" s="15" t="s">
        <v>26</v>
      </c>
      <c r="H3555" s="15" t="n">
        <v>5</v>
      </c>
      <c r="I3555" s="17" t="n">
        <v>0</v>
      </c>
      <c r="J3555" s="18" t="n">
        <v>449.58</v>
      </c>
      <c r="K3555" s="19" t="n">
        <v>68.15</v>
      </c>
      <c r="L3555" s="15" t="n">
        <f aca="false">YEAR(B3555)</f>
        <v>2023</v>
      </c>
      <c r="M3555" s="20" t="n">
        <f aca="false">IF(J3555&gt;0,K3555/J3555,0)</f>
        <v>0.151585924640776</v>
      </c>
    </row>
    <row r="3556" customFormat="false" ht="15" hidden="false" customHeight="false" outlineLevel="0" collapsed="false">
      <c r="A3556" s="15" t="s">
        <v>3613</v>
      </c>
      <c r="B3556" s="16" t="n">
        <v>46019</v>
      </c>
      <c r="C3556" s="15" t="s">
        <v>56</v>
      </c>
      <c r="D3556" s="15" t="s">
        <v>42</v>
      </c>
      <c r="E3556" s="15" t="s">
        <v>37</v>
      </c>
      <c r="F3556" s="15" t="s">
        <v>17</v>
      </c>
      <c r="G3556" s="15" t="s">
        <v>31</v>
      </c>
      <c r="H3556" s="15" t="n">
        <v>6</v>
      </c>
      <c r="I3556" s="17" t="n">
        <v>0</v>
      </c>
      <c r="J3556" s="18" t="n">
        <v>822.35</v>
      </c>
      <c r="K3556" s="19" t="n">
        <v>166.43</v>
      </c>
      <c r="L3556" s="15" t="n">
        <f aca="false">YEAR(B3556)</f>
        <v>2025</v>
      </c>
      <c r="M3556" s="20" t="n">
        <f aca="false">IF(J3556&gt;0,K3556/J3556,0)</f>
        <v>0.20238341338846</v>
      </c>
    </row>
    <row r="3557" customFormat="false" ht="15" hidden="false" customHeight="false" outlineLevel="0" collapsed="false">
      <c r="A3557" s="15" t="s">
        <v>3614</v>
      </c>
      <c r="B3557" s="16" t="n">
        <v>44678</v>
      </c>
      <c r="C3557" s="15" t="s">
        <v>56</v>
      </c>
      <c r="D3557" s="15" t="s">
        <v>42</v>
      </c>
      <c r="E3557" s="15" t="s">
        <v>39</v>
      </c>
      <c r="F3557" s="15" t="s">
        <v>16</v>
      </c>
      <c r="G3557" s="15" t="s">
        <v>25</v>
      </c>
      <c r="H3557" s="15" t="n">
        <v>4</v>
      </c>
      <c r="I3557" s="17" t="n">
        <v>0</v>
      </c>
      <c r="J3557" s="18" t="n">
        <v>943.71</v>
      </c>
      <c r="K3557" s="19" t="n">
        <v>52</v>
      </c>
      <c r="L3557" s="15" t="n">
        <f aca="false">YEAR(B3557)</f>
        <v>2022</v>
      </c>
      <c r="M3557" s="20" t="n">
        <f aca="false">IF(J3557&gt;0,K3557/J3557,0)</f>
        <v>0.0551016731834992</v>
      </c>
    </row>
    <row r="3558" customFormat="false" ht="15" hidden="false" customHeight="false" outlineLevel="0" collapsed="false">
      <c r="A3558" s="15" t="s">
        <v>3615</v>
      </c>
      <c r="B3558" s="16" t="n">
        <v>45142</v>
      </c>
      <c r="C3558" s="15" t="s">
        <v>56</v>
      </c>
      <c r="D3558" s="15" t="s">
        <v>43</v>
      </c>
      <c r="E3558" s="15" t="s">
        <v>37</v>
      </c>
      <c r="F3558" s="15" t="s">
        <v>17</v>
      </c>
      <c r="G3558" s="15" t="s">
        <v>29</v>
      </c>
      <c r="H3558" s="15" t="n">
        <v>4</v>
      </c>
      <c r="I3558" s="17" t="n">
        <v>0.3</v>
      </c>
      <c r="J3558" s="18" t="n">
        <v>46.87</v>
      </c>
      <c r="K3558" s="19" t="n">
        <v>7.97</v>
      </c>
      <c r="L3558" s="15" t="n">
        <f aca="false">YEAR(B3558)</f>
        <v>2023</v>
      </c>
      <c r="M3558" s="20" t="n">
        <f aca="false">IF(J3558&gt;0,K3558/J3558,0)</f>
        <v>0.170044804779176</v>
      </c>
    </row>
    <row r="3559" customFormat="false" ht="15" hidden="false" customHeight="false" outlineLevel="0" collapsed="false">
      <c r="A3559" s="15" t="s">
        <v>3616</v>
      </c>
      <c r="B3559" s="16" t="n">
        <v>44954</v>
      </c>
      <c r="C3559" s="15" t="s">
        <v>68</v>
      </c>
      <c r="D3559" s="15" t="s">
        <v>44</v>
      </c>
      <c r="E3559" s="15" t="s">
        <v>39</v>
      </c>
      <c r="F3559" s="15" t="s">
        <v>17</v>
      </c>
      <c r="G3559" s="15" t="s">
        <v>31</v>
      </c>
      <c r="H3559" s="15" t="n">
        <v>2</v>
      </c>
      <c r="I3559" s="17" t="n">
        <v>0</v>
      </c>
      <c r="J3559" s="18" t="n">
        <v>229.19</v>
      </c>
      <c r="K3559" s="19" t="n">
        <v>52.94</v>
      </c>
      <c r="L3559" s="15" t="n">
        <f aca="false">YEAR(B3559)</f>
        <v>2023</v>
      </c>
      <c r="M3559" s="20" t="n">
        <f aca="false">IF(J3559&gt;0,K3559/J3559,0)</f>
        <v>0.230987390374798</v>
      </c>
    </row>
    <row r="3560" customFormat="false" ht="15" hidden="false" customHeight="false" outlineLevel="0" collapsed="false">
      <c r="A3560" s="15" t="s">
        <v>3617</v>
      </c>
      <c r="B3560" s="16" t="n">
        <v>45054</v>
      </c>
      <c r="C3560" s="15" t="s">
        <v>56</v>
      </c>
      <c r="D3560" s="15" t="s">
        <v>42</v>
      </c>
      <c r="E3560" s="15" t="s">
        <v>37</v>
      </c>
      <c r="F3560" s="15" t="s">
        <v>18</v>
      </c>
      <c r="G3560" s="15" t="s">
        <v>32</v>
      </c>
      <c r="H3560" s="15" t="n">
        <v>2</v>
      </c>
      <c r="I3560" s="17" t="n">
        <v>0</v>
      </c>
      <c r="J3560" s="18" t="n">
        <v>826.56</v>
      </c>
      <c r="K3560" s="19" t="n">
        <v>64.99</v>
      </c>
      <c r="L3560" s="15" t="n">
        <f aca="false">YEAR(B3560)</f>
        <v>2023</v>
      </c>
      <c r="M3560" s="20" t="n">
        <f aca="false">IF(J3560&gt;0,K3560/J3560,0)</f>
        <v>0.0786270809136663</v>
      </c>
    </row>
    <row r="3561" customFormat="false" ht="15" hidden="false" customHeight="false" outlineLevel="0" collapsed="false">
      <c r="A3561" s="15" t="s">
        <v>3618</v>
      </c>
      <c r="B3561" s="16" t="n">
        <v>45438</v>
      </c>
      <c r="C3561" s="15" t="s">
        <v>68</v>
      </c>
      <c r="D3561" s="15" t="s">
        <v>43</v>
      </c>
      <c r="E3561" s="15" t="s">
        <v>36</v>
      </c>
      <c r="F3561" s="15" t="s">
        <v>17</v>
      </c>
      <c r="G3561" s="15" t="s">
        <v>29</v>
      </c>
      <c r="H3561" s="15" t="n">
        <v>3</v>
      </c>
      <c r="I3561" s="17" t="n">
        <v>0</v>
      </c>
      <c r="J3561" s="18" t="n">
        <v>55.61</v>
      </c>
      <c r="K3561" s="19" t="n">
        <v>21.47</v>
      </c>
      <c r="L3561" s="15" t="n">
        <f aca="false">YEAR(B3561)</f>
        <v>2024</v>
      </c>
      <c r="M3561" s="20" t="n">
        <f aca="false">IF(J3561&gt;0,K3561/J3561,0)</f>
        <v>0.386081639992807</v>
      </c>
    </row>
    <row r="3562" customFormat="false" ht="15" hidden="false" customHeight="false" outlineLevel="0" collapsed="false">
      <c r="A3562" s="15" t="s">
        <v>3619</v>
      </c>
      <c r="B3562" s="16" t="n">
        <v>45662</v>
      </c>
      <c r="C3562" s="15" t="s">
        <v>56</v>
      </c>
      <c r="D3562" s="15" t="s">
        <v>43</v>
      </c>
      <c r="E3562" s="15" t="s">
        <v>36</v>
      </c>
      <c r="F3562" s="15" t="s">
        <v>17</v>
      </c>
      <c r="G3562" s="15" t="s">
        <v>29</v>
      </c>
      <c r="H3562" s="15" t="n">
        <v>2</v>
      </c>
      <c r="I3562" s="17" t="n">
        <v>0.1</v>
      </c>
      <c r="J3562" s="18" t="n">
        <v>42.19</v>
      </c>
      <c r="K3562" s="19" t="n">
        <v>15.34</v>
      </c>
      <c r="L3562" s="15" t="n">
        <f aca="false">YEAR(B3562)</f>
        <v>2025</v>
      </c>
      <c r="M3562" s="20" t="n">
        <f aca="false">IF(J3562&gt;0,K3562/J3562,0)</f>
        <v>0.363593268547049</v>
      </c>
    </row>
    <row r="3563" customFormat="false" ht="15" hidden="false" customHeight="false" outlineLevel="0" collapsed="false">
      <c r="A3563" s="15" t="s">
        <v>3620</v>
      </c>
      <c r="B3563" s="16" t="n">
        <v>45475</v>
      </c>
      <c r="C3563" s="15" t="s">
        <v>56</v>
      </c>
      <c r="D3563" s="15" t="s">
        <v>43</v>
      </c>
      <c r="E3563" s="15" t="s">
        <v>37</v>
      </c>
      <c r="F3563" s="15" t="s">
        <v>17</v>
      </c>
      <c r="G3563" s="15" t="s">
        <v>26</v>
      </c>
      <c r="H3563" s="15" t="n">
        <v>4</v>
      </c>
      <c r="I3563" s="17" t="n">
        <v>0</v>
      </c>
      <c r="J3563" s="18" t="n">
        <v>458.25</v>
      </c>
      <c r="K3563" s="19" t="n">
        <v>60.35</v>
      </c>
      <c r="L3563" s="15" t="n">
        <f aca="false">YEAR(B3563)</f>
        <v>2024</v>
      </c>
      <c r="M3563" s="20" t="n">
        <f aca="false">IF(J3563&gt;0,K3563/J3563,0)</f>
        <v>0.131696672122204</v>
      </c>
    </row>
    <row r="3564" customFormat="false" ht="15" hidden="false" customHeight="false" outlineLevel="0" collapsed="false">
      <c r="A3564" s="15" t="s">
        <v>3621</v>
      </c>
      <c r="B3564" s="16" t="n">
        <v>45192</v>
      </c>
      <c r="C3564" s="15" t="s">
        <v>56</v>
      </c>
      <c r="D3564" s="15" t="s">
        <v>42</v>
      </c>
      <c r="E3564" s="15" t="s">
        <v>37</v>
      </c>
      <c r="F3564" s="15" t="s">
        <v>17</v>
      </c>
      <c r="G3564" s="15" t="s">
        <v>26</v>
      </c>
      <c r="H3564" s="15" t="n">
        <v>2</v>
      </c>
      <c r="I3564" s="17" t="n">
        <v>0.1</v>
      </c>
      <c r="J3564" s="18" t="n">
        <v>170.5</v>
      </c>
      <c r="K3564" s="19" t="n">
        <v>5.71</v>
      </c>
      <c r="L3564" s="15" t="n">
        <f aca="false">YEAR(B3564)</f>
        <v>2023</v>
      </c>
      <c r="M3564" s="20" t="n">
        <f aca="false">IF(J3564&gt;0,K3564/J3564,0)</f>
        <v>0.0334897360703812</v>
      </c>
    </row>
    <row r="3565" customFormat="false" ht="15" hidden="false" customHeight="false" outlineLevel="0" collapsed="false">
      <c r="A3565" s="15" t="s">
        <v>3622</v>
      </c>
      <c r="B3565" s="16" t="n">
        <v>44756</v>
      </c>
      <c r="C3565" s="15" t="s">
        <v>58</v>
      </c>
      <c r="D3565" s="15" t="s">
        <v>43</v>
      </c>
      <c r="E3565" s="15" t="s">
        <v>37</v>
      </c>
      <c r="F3565" s="15" t="s">
        <v>16</v>
      </c>
      <c r="G3565" s="15" t="s">
        <v>27</v>
      </c>
      <c r="H3565" s="15" t="n">
        <v>2</v>
      </c>
      <c r="I3565" s="17" t="n">
        <v>0.05</v>
      </c>
      <c r="J3565" s="18" t="n">
        <v>113.2</v>
      </c>
      <c r="K3565" s="19" t="n">
        <v>16.22</v>
      </c>
      <c r="L3565" s="15" t="n">
        <f aca="false">YEAR(B3565)</f>
        <v>2022</v>
      </c>
      <c r="M3565" s="20" t="n">
        <f aca="false">IF(J3565&gt;0,K3565/J3565,0)</f>
        <v>0.143286219081272</v>
      </c>
    </row>
    <row r="3566" customFormat="false" ht="15" hidden="false" customHeight="false" outlineLevel="0" collapsed="false">
      <c r="A3566" s="15" t="s">
        <v>3623</v>
      </c>
      <c r="B3566" s="16" t="n">
        <v>45047</v>
      </c>
      <c r="C3566" s="15" t="s">
        <v>56</v>
      </c>
      <c r="D3566" s="15" t="s">
        <v>43</v>
      </c>
      <c r="E3566" s="15" t="s">
        <v>39</v>
      </c>
      <c r="F3566" s="15" t="s">
        <v>18</v>
      </c>
      <c r="G3566" s="15" t="s">
        <v>30</v>
      </c>
      <c r="H3566" s="15" t="n">
        <v>6</v>
      </c>
      <c r="I3566" s="17" t="n">
        <v>0</v>
      </c>
      <c r="J3566" s="18" t="n">
        <v>298.92</v>
      </c>
      <c r="K3566" s="19" t="n">
        <v>79.74</v>
      </c>
      <c r="L3566" s="15" t="n">
        <f aca="false">YEAR(B3566)</f>
        <v>2023</v>
      </c>
      <c r="M3566" s="20" t="n">
        <f aca="false">IF(J3566&gt;0,K3566/J3566,0)</f>
        <v>0.26676033721397</v>
      </c>
    </row>
    <row r="3567" customFormat="false" ht="15" hidden="false" customHeight="false" outlineLevel="0" collapsed="false">
      <c r="A3567" s="15" t="s">
        <v>3624</v>
      </c>
      <c r="B3567" s="16" t="n">
        <v>45419</v>
      </c>
      <c r="C3567" s="15" t="s">
        <v>56</v>
      </c>
      <c r="D3567" s="15" t="s">
        <v>42</v>
      </c>
      <c r="E3567" s="15" t="s">
        <v>39</v>
      </c>
      <c r="F3567" s="15" t="s">
        <v>17</v>
      </c>
      <c r="G3567" s="15" t="s">
        <v>31</v>
      </c>
      <c r="H3567" s="15" t="n">
        <v>2</v>
      </c>
      <c r="I3567" s="17" t="n">
        <v>0.15</v>
      </c>
      <c r="J3567" s="18" t="n">
        <v>204.86</v>
      </c>
      <c r="K3567" s="19" t="n">
        <v>4.43</v>
      </c>
      <c r="L3567" s="15" t="n">
        <f aca="false">YEAR(B3567)</f>
        <v>2024</v>
      </c>
      <c r="M3567" s="20" t="n">
        <f aca="false">IF(J3567&gt;0,K3567/J3567,0)</f>
        <v>0.0216245240652153</v>
      </c>
    </row>
    <row r="3568" customFormat="false" ht="15" hidden="false" customHeight="false" outlineLevel="0" collapsed="false">
      <c r="A3568" s="15" t="s">
        <v>3625</v>
      </c>
      <c r="B3568" s="16" t="n">
        <v>44813</v>
      </c>
      <c r="C3568" s="15" t="s">
        <v>56</v>
      </c>
      <c r="D3568" s="15" t="s">
        <v>42</v>
      </c>
      <c r="E3568" s="15" t="s">
        <v>38</v>
      </c>
      <c r="F3568" s="15" t="s">
        <v>17</v>
      </c>
      <c r="G3568" s="15" t="s">
        <v>26</v>
      </c>
      <c r="H3568" s="15" t="n">
        <v>4</v>
      </c>
      <c r="I3568" s="17" t="n">
        <v>0.4</v>
      </c>
      <c r="J3568" s="18" t="n">
        <v>168.88</v>
      </c>
      <c r="K3568" s="19" t="n">
        <v>-36.37</v>
      </c>
      <c r="L3568" s="15" t="n">
        <f aca="false">YEAR(B3568)</f>
        <v>2022</v>
      </c>
      <c r="M3568" s="20" t="n">
        <f aca="false">IF(J3568&gt;0,K3568/J3568,0)</f>
        <v>-0.215360018948366</v>
      </c>
    </row>
    <row r="3569" customFormat="false" ht="15" hidden="false" customHeight="false" outlineLevel="0" collapsed="false">
      <c r="A3569" s="15" t="s">
        <v>3626</v>
      </c>
      <c r="B3569" s="16" t="n">
        <v>45389</v>
      </c>
      <c r="C3569" s="15" t="s">
        <v>56</v>
      </c>
      <c r="D3569" s="15" t="s">
        <v>42</v>
      </c>
      <c r="E3569" s="15" t="s">
        <v>37</v>
      </c>
      <c r="F3569" s="15" t="s">
        <v>18</v>
      </c>
      <c r="G3569" s="15" t="s">
        <v>32</v>
      </c>
      <c r="H3569" s="15" t="n">
        <v>4</v>
      </c>
      <c r="I3569" s="17" t="n">
        <v>0.15</v>
      </c>
      <c r="J3569" s="18" t="n">
        <v>1420.49</v>
      </c>
      <c r="K3569" s="19" t="n">
        <v>57.28</v>
      </c>
      <c r="L3569" s="15" t="n">
        <f aca="false">YEAR(B3569)</f>
        <v>2024</v>
      </c>
      <c r="M3569" s="20" t="n">
        <f aca="false">IF(J3569&gt;0,K3569/J3569,0)</f>
        <v>0.0403241135101268</v>
      </c>
    </row>
    <row r="3570" customFormat="false" ht="15" hidden="false" customHeight="false" outlineLevel="0" collapsed="false">
      <c r="A3570" s="15" t="s">
        <v>3627</v>
      </c>
      <c r="B3570" s="16" t="n">
        <v>45529</v>
      </c>
      <c r="C3570" s="15" t="s">
        <v>68</v>
      </c>
      <c r="D3570" s="15" t="s">
        <v>42</v>
      </c>
      <c r="E3570" s="15" t="s">
        <v>37</v>
      </c>
      <c r="F3570" s="15" t="s">
        <v>16</v>
      </c>
      <c r="G3570" s="15" t="s">
        <v>22</v>
      </c>
      <c r="H3570" s="15" t="n">
        <v>9</v>
      </c>
      <c r="I3570" s="17" t="n">
        <v>0</v>
      </c>
      <c r="J3570" s="18" t="n">
        <v>4128.16</v>
      </c>
      <c r="K3570" s="19" t="n">
        <v>-30.54</v>
      </c>
      <c r="L3570" s="15" t="n">
        <f aca="false">YEAR(B3570)</f>
        <v>2024</v>
      </c>
      <c r="M3570" s="20" t="n">
        <f aca="false">IF(J3570&gt;0,K3570/J3570,0)</f>
        <v>-0.00739796907096624</v>
      </c>
    </row>
    <row r="3571" customFormat="false" ht="15" hidden="false" customHeight="false" outlineLevel="0" collapsed="false">
      <c r="A3571" s="15" t="s">
        <v>3628</v>
      </c>
      <c r="B3571" s="16" t="n">
        <v>44604</v>
      </c>
      <c r="C3571" s="15" t="s">
        <v>56</v>
      </c>
      <c r="D3571" s="15" t="s">
        <v>44</v>
      </c>
      <c r="E3571" s="15" t="s">
        <v>36</v>
      </c>
      <c r="F3571" s="15" t="s">
        <v>18</v>
      </c>
      <c r="G3571" s="15" t="s">
        <v>32</v>
      </c>
      <c r="H3571" s="15" t="n">
        <v>5</v>
      </c>
      <c r="I3571" s="17" t="n">
        <v>0.15</v>
      </c>
      <c r="J3571" s="18" t="n">
        <v>1974.82</v>
      </c>
      <c r="K3571" s="19" t="n">
        <v>63.73</v>
      </c>
      <c r="L3571" s="15" t="n">
        <f aca="false">YEAR(B3571)</f>
        <v>2022</v>
      </c>
      <c r="M3571" s="20" t="n">
        <f aca="false">IF(J3571&gt;0,K3571/J3571,0)</f>
        <v>0.032271295611752</v>
      </c>
    </row>
    <row r="3572" customFormat="false" ht="15" hidden="false" customHeight="false" outlineLevel="0" collapsed="false">
      <c r="A3572" s="15" t="s">
        <v>3629</v>
      </c>
      <c r="B3572" s="16" t="n">
        <v>45711</v>
      </c>
      <c r="C3572" s="15" t="s">
        <v>68</v>
      </c>
      <c r="D3572" s="15" t="s">
        <v>42</v>
      </c>
      <c r="E3572" s="15" t="s">
        <v>39</v>
      </c>
      <c r="F3572" s="15" t="s">
        <v>17</v>
      </c>
      <c r="G3572" s="15" t="s">
        <v>29</v>
      </c>
      <c r="H3572" s="15" t="n">
        <v>5</v>
      </c>
      <c r="I3572" s="17" t="n">
        <v>0.3</v>
      </c>
      <c r="J3572" s="18" t="n">
        <v>58.51</v>
      </c>
      <c r="K3572" s="19" t="n">
        <v>3.95</v>
      </c>
      <c r="L3572" s="15" t="n">
        <f aca="false">YEAR(B3572)</f>
        <v>2025</v>
      </c>
      <c r="M3572" s="20" t="n">
        <f aca="false">IF(J3572&gt;0,K3572/J3572,0)</f>
        <v>0.0675098273799351</v>
      </c>
    </row>
    <row r="3573" customFormat="false" ht="15" hidden="false" customHeight="false" outlineLevel="0" collapsed="false">
      <c r="A3573" s="15" t="s">
        <v>3630</v>
      </c>
      <c r="B3573" s="16" t="n">
        <v>44859</v>
      </c>
      <c r="C3573" s="15" t="s">
        <v>71</v>
      </c>
      <c r="D3573" s="15" t="s">
        <v>43</v>
      </c>
      <c r="E3573" s="15" t="s">
        <v>36</v>
      </c>
      <c r="F3573" s="15" t="s">
        <v>17</v>
      </c>
      <c r="G3573" s="15" t="s">
        <v>29</v>
      </c>
      <c r="H3573" s="15" t="n">
        <v>5</v>
      </c>
      <c r="I3573" s="17" t="n">
        <v>0.05</v>
      </c>
      <c r="J3573" s="18" t="n">
        <v>89.18</v>
      </c>
      <c r="K3573" s="19" t="n">
        <v>31.8</v>
      </c>
      <c r="L3573" s="15" t="n">
        <f aca="false">YEAR(B3573)</f>
        <v>2022</v>
      </c>
      <c r="M3573" s="20" t="n">
        <f aca="false">IF(J3573&gt;0,K3573/J3573,0)</f>
        <v>0.356582193316887</v>
      </c>
    </row>
    <row r="3574" customFormat="false" ht="15" hidden="false" customHeight="false" outlineLevel="0" collapsed="false">
      <c r="A3574" s="15" t="s">
        <v>3631</v>
      </c>
      <c r="B3574" s="16" t="n">
        <v>45319</v>
      </c>
      <c r="C3574" s="15" t="s">
        <v>56</v>
      </c>
      <c r="D3574" s="15" t="s">
        <v>43</v>
      </c>
      <c r="E3574" s="15" t="s">
        <v>36</v>
      </c>
      <c r="F3574" s="15" t="s">
        <v>18</v>
      </c>
      <c r="G3574" s="15" t="s">
        <v>30</v>
      </c>
      <c r="H3574" s="15" t="n">
        <v>2</v>
      </c>
      <c r="I3574" s="17" t="n">
        <v>0.4</v>
      </c>
      <c r="J3574" s="18" t="n">
        <v>63.31</v>
      </c>
      <c r="K3574" s="19" t="n">
        <v>-2.79</v>
      </c>
      <c r="L3574" s="15" t="n">
        <f aca="false">YEAR(B3574)</f>
        <v>2024</v>
      </c>
      <c r="M3574" s="20" t="n">
        <f aca="false">IF(J3574&gt;0,K3574/J3574,0)</f>
        <v>-0.0440688674774917</v>
      </c>
    </row>
    <row r="3575" customFormat="false" ht="15" hidden="false" customHeight="false" outlineLevel="0" collapsed="false">
      <c r="A3575" s="15" t="s">
        <v>3632</v>
      </c>
      <c r="B3575" s="16" t="n">
        <v>45968</v>
      </c>
      <c r="C3575" s="15" t="s">
        <v>56</v>
      </c>
      <c r="D3575" s="15" t="s">
        <v>44</v>
      </c>
      <c r="E3575" s="15" t="s">
        <v>36</v>
      </c>
      <c r="F3575" s="15" t="s">
        <v>17</v>
      </c>
      <c r="G3575" s="15" t="s">
        <v>29</v>
      </c>
      <c r="H3575" s="15" t="n">
        <v>6</v>
      </c>
      <c r="I3575" s="17" t="n">
        <v>0</v>
      </c>
      <c r="J3575" s="18" t="n">
        <v>113.67</v>
      </c>
      <c r="K3575" s="19" t="n">
        <v>40.55</v>
      </c>
      <c r="L3575" s="15" t="n">
        <f aca="false">YEAR(B3575)</f>
        <v>2025</v>
      </c>
      <c r="M3575" s="20" t="n">
        <f aca="false">IF(J3575&gt;0,K3575/J3575,0)</f>
        <v>0.356734406615642</v>
      </c>
    </row>
    <row r="3576" customFormat="false" ht="15" hidden="false" customHeight="false" outlineLevel="0" collapsed="false">
      <c r="A3576" s="15" t="s">
        <v>3633</v>
      </c>
      <c r="B3576" s="16" t="n">
        <v>44984</v>
      </c>
      <c r="C3576" s="15" t="s">
        <v>56</v>
      </c>
      <c r="D3576" s="15" t="s">
        <v>42</v>
      </c>
      <c r="E3576" s="15" t="s">
        <v>36</v>
      </c>
      <c r="F3576" s="15" t="s">
        <v>18</v>
      </c>
      <c r="G3576" s="15" t="s">
        <v>24</v>
      </c>
      <c r="H3576" s="15" t="n">
        <v>5</v>
      </c>
      <c r="I3576" s="17" t="n">
        <v>0.2</v>
      </c>
      <c r="J3576" s="18" t="n">
        <v>2343.83</v>
      </c>
      <c r="K3576" s="19" t="n">
        <v>-335.5</v>
      </c>
      <c r="L3576" s="15" t="n">
        <f aca="false">YEAR(B3576)</f>
        <v>2023</v>
      </c>
      <c r="M3576" s="20" t="n">
        <f aca="false">IF(J3576&gt;0,K3576/J3576,0)</f>
        <v>-0.14314178076055</v>
      </c>
    </row>
    <row r="3577" customFormat="false" ht="15" hidden="false" customHeight="false" outlineLevel="0" collapsed="false">
      <c r="A3577" s="15" t="s">
        <v>3634</v>
      </c>
      <c r="B3577" s="16" t="n">
        <v>45632</v>
      </c>
      <c r="C3577" s="15" t="s">
        <v>68</v>
      </c>
      <c r="D3577" s="15" t="s">
        <v>43</v>
      </c>
      <c r="E3577" s="15" t="s">
        <v>38</v>
      </c>
      <c r="F3577" s="15" t="s">
        <v>17</v>
      </c>
      <c r="G3577" s="15" t="s">
        <v>31</v>
      </c>
      <c r="H3577" s="15" t="n">
        <v>1</v>
      </c>
      <c r="I3577" s="17" t="n">
        <v>0.4</v>
      </c>
      <c r="J3577" s="18" t="n">
        <v>88.34</v>
      </c>
      <c r="K3577" s="19" t="n">
        <v>-12.28</v>
      </c>
      <c r="L3577" s="15" t="n">
        <f aca="false">YEAR(B3577)</f>
        <v>2024</v>
      </c>
      <c r="M3577" s="20" t="n">
        <f aca="false">IF(J3577&gt;0,K3577/J3577,0)</f>
        <v>-0.139008376726285</v>
      </c>
    </row>
    <row r="3578" customFormat="false" ht="15" hidden="false" customHeight="false" outlineLevel="0" collapsed="false">
      <c r="A3578" s="15" t="s">
        <v>3635</v>
      </c>
      <c r="B3578" s="16" t="n">
        <v>45546</v>
      </c>
      <c r="C3578" s="15" t="s">
        <v>56</v>
      </c>
      <c r="D3578" s="15" t="s">
        <v>42</v>
      </c>
      <c r="E3578" s="15" t="s">
        <v>38</v>
      </c>
      <c r="F3578" s="15" t="s">
        <v>18</v>
      </c>
      <c r="G3578" s="15" t="s">
        <v>33</v>
      </c>
      <c r="H3578" s="15" t="n">
        <v>4</v>
      </c>
      <c r="I3578" s="17" t="n">
        <v>0</v>
      </c>
      <c r="J3578" s="18" t="n">
        <v>3118.48</v>
      </c>
      <c r="K3578" s="19" t="n">
        <v>813.48</v>
      </c>
      <c r="L3578" s="15" t="n">
        <f aca="false">YEAR(B3578)</f>
        <v>2024</v>
      </c>
      <c r="M3578" s="20" t="n">
        <f aca="false">IF(J3578&gt;0,K3578/J3578,0)</f>
        <v>0.260857853826223</v>
      </c>
    </row>
    <row r="3579" customFormat="false" ht="15" hidden="false" customHeight="false" outlineLevel="0" collapsed="false">
      <c r="A3579" s="15" t="s">
        <v>3636</v>
      </c>
      <c r="B3579" s="16" t="n">
        <v>45600</v>
      </c>
      <c r="C3579" s="15" t="s">
        <v>71</v>
      </c>
      <c r="D3579" s="15" t="s">
        <v>42</v>
      </c>
      <c r="E3579" s="15" t="s">
        <v>38</v>
      </c>
      <c r="F3579" s="15" t="s">
        <v>17</v>
      </c>
      <c r="G3579" s="15" t="s">
        <v>28</v>
      </c>
      <c r="H3579" s="15" t="n">
        <v>2</v>
      </c>
      <c r="I3579" s="17" t="n">
        <v>0.05</v>
      </c>
      <c r="J3579" s="18" t="n">
        <v>47.62</v>
      </c>
      <c r="K3579" s="19" t="n">
        <v>11.95</v>
      </c>
      <c r="L3579" s="15" t="n">
        <f aca="false">YEAR(B3579)</f>
        <v>2024</v>
      </c>
      <c r="M3579" s="20" t="n">
        <f aca="false">IF(J3579&gt;0,K3579/J3579,0)</f>
        <v>0.250944981100378</v>
      </c>
    </row>
    <row r="3580" customFormat="false" ht="15" hidden="false" customHeight="false" outlineLevel="0" collapsed="false">
      <c r="A3580" s="15" t="s">
        <v>3637</v>
      </c>
      <c r="B3580" s="16" t="n">
        <v>45553</v>
      </c>
      <c r="C3580" s="15" t="s">
        <v>56</v>
      </c>
      <c r="D3580" s="15" t="s">
        <v>44</v>
      </c>
      <c r="E3580" s="15" t="s">
        <v>37</v>
      </c>
      <c r="F3580" s="15" t="s">
        <v>17</v>
      </c>
      <c r="G3580" s="15" t="s">
        <v>28</v>
      </c>
      <c r="H3580" s="15" t="n">
        <v>4</v>
      </c>
      <c r="I3580" s="17" t="n">
        <v>0</v>
      </c>
      <c r="J3580" s="18" t="n">
        <v>127.47</v>
      </c>
      <c r="K3580" s="19" t="n">
        <v>41.73</v>
      </c>
      <c r="L3580" s="15" t="n">
        <f aca="false">YEAR(B3580)</f>
        <v>2024</v>
      </c>
      <c r="M3580" s="20" t="n">
        <f aca="false">IF(J3580&gt;0,K3580/J3580,0)</f>
        <v>0.327371146152036</v>
      </c>
    </row>
    <row r="3581" customFormat="false" ht="15" hidden="false" customHeight="false" outlineLevel="0" collapsed="false">
      <c r="A3581" s="15" t="s">
        <v>3638</v>
      </c>
      <c r="B3581" s="16" t="n">
        <v>45604</v>
      </c>
      <c r="C3581" s="15" t="s">
        <v>56</v>
      </c>
      <c r="D3581" s="15" t="s">
        <v>42</v>
      </c>
      <c r="E3581" s="15" t="s">
        <v>37</v>
      </c>
      <c r="F3581" s="15" t="s">
        <v>16</v>
      </c>
      <c r="G3581" s="15" t="s">
        <v>27</v>
      </c>
      <c r="H3581" s="15" t="n">
        <v>2</v>
      </c>
      <c r="I3581" s="17" t="n">
        <v>0.15</v>
      </c>
      <c r="J3581" s="18" t="n">
        <v>116.95</v>
      </c>
      <c r="K3581" s="19" t="n">
        <v>6.49</v>
      </c>
      <c r="L3581" s="15" t="n">
        <f aca="false">YEAR(B3581)</f>
        <v>2024</v>
      </c>
      <c r="M3581" s="20" t="n">
        <f aca="false">IF(J3581&gt;0,K3581/J3581,0)</f>
        <v>0.0554938007695596</v>
      </c>
    </row>
    <row r="3582" customFormat="false" ht="15" hidden="false" customHeight="false" outlineLevel="0" collapsed="false">
      <c r="A3582" s="15" t="s">
        <v>3639</v>
      </c>
      <c r="B3582" s="16" t="n">
        <v>45616</v>
      </c>
      <c r="C3582" s="15" t="s">
        <v>58</v>
      </c>
      <c r="D3582" s="15" t="s">
        <v>42</v>
      </c>
      <c r="E3582" s="15" t="s">
        <v>37</v>
      </c>
      <c r="F3582" s="15" t="s">
        <v>16</v>
      </c>
      <c r="G3582" s="15" t="s">
        <v>22</v>
      </c>
      <c r="H3582" s="15" t="n">
        <v>3</v>
      </c>
      <c r="I3582" s="17" t="n">
        <v>0.2</v>
      </c>
      <c r="J3582" s="18" t="n">
        <v>1536.11</v>
      </c>
      <c r="K3582" s="19" t="n">
        <v>-431.07</v>
      </c>
      <c r="L3582" s="15" t="n">
        <f aca="false">YEAR(B3582)</f>
        <v>2024</v>
      </c>
      <c r="M3582" s="20" t="n">
        <f aca="false">IF(J3582&gt;0,K3582/J3582,0)</f>
        <v>-0.280624434448054</v>
      </c>
    </row>
    <row r="3583" customFormat="false" ht="15" hidden="false" customHeight="false" outlineLevel="0" collapsed="false">
      <c r="A3583" s="15" t="s">
        <v>3640</v>
      </c>
      <c r="B3583" s="16" t="n">
        <v>45245</v>
      </c>
      <c r="C3583" s="15" t="s">
        <v>68</v>
      </c>
      <c r="D3583" s="15" t="s">
        <v>42</v>
      </c>
      <c r="E3583" s="15" t="s">
        <v>37</v>
      </c>
      <c r="F3583" s="15" t="s">
        <v>16</v>
      </c>
      <c r="G3583" s="15" t="s">
        <v>23</v>
      </c>
      <c r="H3583" s="15" t="n">
        <v>5</v>
      </c>
      <c r="I3583" s="17" t="n">
        <v>0.1</v>
      </c>
      <c r="J3583" s="18" t="n">
        <v>1522.66</v>
      </c>
      <c r="K3583" s="19" t="n">
        <v>-255.13</v>
      </c>
      <c r="L3583" s="15" t="n">
        <f aca="false">YEAR(B3583)</f>
        <v>2023</v>
      </c>
      <c r="M3583" s="20" t="n">
        <f aca="false">IF(J3583&gt;0,K3583/J3583,0)</f>
        <v>-0.167555462151761</v>
      </c>
    </row>
    <row r="3584" customFormat="false" ht="15" hidden="false" customHeight="false" outlineLevel="0" collapsed="false">
      <c r="A3584" s="15" t="s">
        <v>3641</v>
      </c>
      <c r="B3584" s="16" t="n">
        <v>45442</v>
      </c>
      <c r="C3584" s="15" t="s">
        <v>71</v>
      </c>
      <c r="D3584" s="15" t="s">
        <v>44</v>
      </c>
      <c r="E3584" s="15" t="s">
        <v>36</v>
      </c>
      <c r="F3584" s="15" t="s">
        <v>17</v>
      </c>
      <c r="G3584" s="15" t="s">
        <v>28</v>
      </c>
      <c r="H3584" s="15" t="n">
        <v>3</v>
      </c>
      <c r="I3584" s="17" t="n">
        <v>0.2</v>
      </c>
      <c r="J3584" s="18" t="n">
        <v>50.29</v>
      </c>
      <c r="K3584" s="19" t="n">
        <v>4.17</v>
      </c>
      <c r="L3584" s="15" t="n">
        <f aca="false">YEAR(B3584)</f>
        <v>2024</v>
      </c>
      <c r="M3584" s="20" t="n">
        <f aca="false">IF(J3584&gt;0,K3584/J3584,0)</f>
        <v>0.0829190693974945</v>
      </c>
    </row>
    <row r="3585" customFormat="false" ht="15" hidden="false" customHeight="false" outlineLevel="0" collapsed="false">
      <c r="A3585" s="15" t="s">
        <v>3642</v>
      </c>
      <c r="B3585" s="16" t="n">
        <v>45558</v>
      </c>
      <c r="C3585" s="15" t="s">
        <v>71</v>
      </c>
      <c r="D3585" s="15" t="s">
        <v>42</v>
      </c>
      <c r="E3585" s="15" t="s">
        <v>39</v>
      </c>
      <c r="F3585" s="15" t="s">
        <v>16</v>
      </c>
      <c r="G3585" s="15" t="s">
        <v>27</v>
      </c>
      <c r="H3585" s="15" t="n">
        <v>3</v>
      </c>
      <c r="I3585" s="17" t="n">
        <v>0.05</v>
      </c>
      <c r="J3585" s="18" t="n">
        <v>153.4</v>
      </c>
      <c r="K3585" s="19" t="n">
        <v>33.58</v>
      </c>
      <c r="L3585" s="15" t="n">
        <f aca="false">YEAR(B3585)</f>
        <v>2024</v>
      </c>
      <c r="M3585" s="20" t="n">
        <f aca="false">IF(J3585&gt;0,K3585/J3585,0)</f>
        <v>0.21890482398957</v>
      </c>
    </row>
    <row r="3586" customFormat="false" ht="15" hidden="false" customHeight="false" outlineLevel="0" collapsed="false">
      <c r="A3586" s="15" t="s">
        <v>3643</v>
      </c>
      <c r="B3586" s="16" t="n">
        <v>44800</v>
      </c>
      <c r="C3586" s="15" t="s">
        <v>56</v>
      </c>
      <c r="D3586" s="15" t="s">
        <v>42</v>
      </c>
      <c r="E3586" s="15" t="s">
        <v>39</v>
      </c>
      <c r="F3586" s="15" t="s">
        <v>18</v>
      </c>
      <c r="G3586" s="15" t="s">
        <v>32</v>
      </c>
      <c r="H3586" s="15" t="n">
        <v>5</v>
      </c>
      <c r="I3586" s="17" t="n">
        <v>0.15</v>
      </c>
      <c r="J3586" s="18" t="n">
        <v>1958.21</v>
      </c>
      <c r="K3586" s="19" t="n">
        <v>181.81</v>
      </c>
      <c r="L3586" s="15" t="n">
        <f aca="false">YEAR(B3586)</f>
        <v>2022</v>
      </c>
      <c r="M3586" s="20" t="n">
        <f aca="false">IF(J3586&gt;0,K3586/J3586,0)</f>
        <v>0.0928449961955051</v>
      </c>
    </row>
    <row r="3587" customFormat="false" ht="15" hidden="false" customHeight="false" outlineLevel="0" collapsed="false">
      <c r="A3587" s="15" t="s">
        <v>3644</v>
      </c>
      <c r="B3587" s="16" t="n">
        <v>45695</v>
      </c>
      <c r="C3587" s="15" t="s">
        <v>56</v>
      </c>
      <c r="D3587" s="15" t="s">
        <v>42</v>
      </c>
      <c r="E3587" s="15" t="s">
        <v>36</v>
      </c>
      <c r="F3587" s="15" t="s">
        <v>17</v>
      </c>
      <c r="G3587" s="15" t="s">
        <v>29</v>
      </c>
      <c r="H3587" s="15" t="n">
        <v>5</v>
      </c>
      <c r="I3587" s="17" t="n">
        <v>0</v>
      </c>
      <c r="J3587" s="18" t="n">
        <v>84.11</v>
      </c>
      <c r="K3587" s="19" t="n">
        <v>29.27</v>
      </c>
      <c r="L3587" s="15" t="n">
        <f aca="false">YEAR(B3587)</f>
        <v>2025</v>
      </c>
      <c r="M3587" s="20" t="n">
        <f aca="false">IF(J3587&gt;0,K3587/J3587,0)</f>
        <v>0.347996671026037</v>
      </c>
    </row>
    <row r="3588" customFormat="false" ht="15" hidden="false" customHeight="false" outlineLevel="0" collapsed="false">
      <c r="A3588" s="15" t="s">
        <v>3645</v>
      </c>
      <c r="B3588" s="16" t="n">
        <v>45640</v>
      </c>
      <c r="C3588" s="15" t="s">
        <v>56</v>
      </c>
      <c r="D3588" s="15" t="s">
        <v>43</v>
      </c>
      <c r="E3588" s="15" t="s">
        <v>38</v>
      </c>
      <c r="F3588" s="15" t="s">
        <v>17</v>
      </c>
      <c r="G3588" s="15" t="s">
        <v>28</v>
      </c>
      <c r="H3588" s="15" t="n">
        <v>4</v>
      </c>
      <c r="I3588" s="17" t="n">
        <v>0</v>
      </c>
      <c r="J3588" s="18" t="n">
        <v>87.71</v>
      </c>
      <c r="K3588" s="19" t="n">
        <v>24.45</v>
      </c>
      <c r="L3588" s="15" t="n">
        <f aca="false">YEAR(B3588)</f>
        <v>2024</v>
      </c>
      <c r="M3588" s="20" t="n">
        <f aca="false">IF(J3588&gt;0,K3588/J3588,0)</f>
        <v>0.278759548512142</v>
      </c>
    </row>
    <row r="3589" customFormat="false" ht="15" hidden="false" customHeight="false" outlineLevel="0" collapsed="false">
      <c r="A3589" s="15" t="s">
        <v>3646</v>
      </c>
      <c r="B3589" s="16" t="n">
        <v>46019</v>
      </c>
      <c r="C3589" s="15" t="s">
        <v>56</v>
      </c>
      <c r="D3589" s="15" t="s">
        <v>43</v>
      </c>
      <c r="E3589" s="15" t="s">
        <v>36</v>
      </c>
      <c r="F3589" s="15" t="s">
        <v>17</v>
      </c>
      <c r="G3589" s="15" t="s">
        <v>29</v>
      </c>
      <c r="H3589" s="15" t="n">
        <v>2</v>
      </c>
      <c r="I3589" s="17" t="n">
        <v>0.15</v>
      </c>
      <c r="J3589" s="18" t="n">
        <v>27.7</v>
      </c>
      <c r="K3589" s="19" t="n">
        <v>7.51</v>
      </c>
      <c r="L3589" s="15" t="n">
        <f aca="false">YEAR(B3589)</f>
        <v>2025</v>
      </c>
      <c r="M3589" s="20" t="n">
        <f aca="false">IF(J3589&gt;0,K3589/J3589,0)</f>
        <v>0.271119133574007</v>
      </c>
    </row>
    <row r="3590" customFormat="false" ht="15" hidden="false" customHeight="false" outlineLevel="0" collapsed="false">
      <c r="A3590" s="15" t="s">
        <v>3647</v>
      </c>
      <c r="B3590" s="16" t="n">
        <v>45346</v>
      </c>
      <c r="C3590" s="15" t="s">
        <v>56</v>
      </c>
      <c r="D3590" s="15" t="s">
        <v>42</v>
      </c>
      <c r="E3590" s="15" t="s">
        <v>37</v>
      </c>
      <c r="F3590" s="15" t="s">
        <v>17</v>
      </c>
      <c r="G3590" s="15" t="s">
        <v>29</v>
      </c>
      <c r="H3590" s="15" t="n">
        <v>4</v>
      </c>
      <c r="I3590" s="17" t="n">
        <v>0</v>
      </c>
      <c r="J3590" s="18" t="n">
        <v>78.21</v>
      </c>
      <c r="K3590" s="19" t="n">
        <v>32.63</v>
      </c>
      <c r="L3590" s="15" t="n">
        <f aca="false">YEAR(B3590)</f>
        <v>2024</v>
      </c>
      <c r="M3590" s="20" t="n">
        <f aca="false">IF(J3590&gt;0,K3590/J3590,0)</f>
        <v>0.417210075437924</v>
      </c>
    </row>
    <row r="3591" customFormat="false" ht="15" hidden="false" customHeight="false" outlineLevel="0" collapsed="false">
      <c r="A3591" s="15" t="s">
        <v>3648</v>
      </c>
      <c r="B3591" s="16" t="n">
        <v>45231</v>
      </c>
      <c r="C3591" s="15" t="s">
        <v>56</v>
      </c>
      <c r="D3591" s="15" t="s">
        <v>42</v>
      </c>
      <c r="E3591" s="15" t="s">
        <v>37</v>
      </c>
      <c r="F3591" s="15" t="s">
        <v>17</v>
      </c>
      <c r="G3591" s="15" t="s">
        <v>29</v>
      </c>
      <c r="H3591" s="15" t="n">
        <v>3</v>
      </c>
      <c r="I3591" s="17" t="n">
        <v>0.15</v>
      </c>
      <c r="J3591" s="18" t="n">
        <v>49.48</v>
      </c>
      <c r="K3591" s="19" t="n">
        <v>15.88</v>
      </c>
      <c r="L3591" s="15" t="n">
        <f aca="false">YEAR(B3591)</f>
        <v>2023</v>
      </c>
      <c r="M3591" s="20" t="n">
        <f aca="false">IF(J3591&gt;0,K3591/J3591,0)</f>
        <v>0.320937752627324</v>
      </c>
    </row>
    <row r="3592" customFormat="false" ht="15" hidden="false" customHeight="false" outlineLevel="0" collapsed="false">
      <c r="A3592" s="15" t="s">
        <v>3649</v>
      </c>
      <c r="B3592" s="16" t="n">
        <v>45930</v>
      </c>
      <c r="C3592" s="15" t="s">
        <v>71</v>
      </c>
      <c r="D3592" s="15" t="s">
        <v>43</v>
      </c>
      <c r="E3592" s="15" t="s">
        <v>36</v>
      </c>
      <c r="F3592" s="15" t="s">
        <v>18</v>
      </c>
      <c r="G3592" s="15" t="s">
        <v>30</v>
      </c>
      <c r="H3592" s="15" t="n">
        <v>3</v>
      </c>
      <c r="I3592" s="17" t="n">
        <v>0.4</v>
      </c>
      <c r="J3592" s="18" t="n">
        <v>83.59</v>
      </c>
      <c r="K3592" s="19" t="n">
        <v>-7.44</v>
      </c>
      <c r="L3592" s="15" t="n">
        <f aca="false">YEAR(B3592)</f>
        <v>2025</v>
      </c>
      <c r="M3592" s="20" t="n">
        <f aca="false">IF(J3592&gt;0,K3592/J3592,0)</f>
        <v>-0.0890058619452088</v>
      </c>
    </row>
    <row r="3593" customFormat="false" ht="15" hidden="false" customHeight="false" outlineLevel="0" collapsed="false">
      <c r="A3593" s="15" t="s">
        <v>3650</v>
      </c>
      <c r="B3593" s="16" t="n">
        <v>44698</v>
      </c>
      <c r="C3593" s="15" t="s">
        <v>56</v>
      </c>
      <c r="D3593" s="15" t="s">
        <v>42</v>
      </c>
      <c r="E3593" s="15" t="s">
        <v>38</v>
      </c>
      <c r="F3593" s="15" t="s">
        <v>18</v>
      </c>
      <c r="G3593" s="15" t="s">
        <v>32</v>
      </c>
      <c r="H3593" s="15" t="n">
        <v>2</v>
      </c>
      <c r="I3593" s="17" t="n">
        <v>0</v>
      </c>
      <c r="J3593" s="18" t="n">
        <v>796.43</v>
      </c>
      <c r="K3593" s="19" t="n">
        <v>131.25</v>
      </c>
      <c r="L3593" s="15" t="n">
        <f aca="false">YEAR(B3593)</f>
        <v>2022</v>
      </c>
      <c r="M3593" s="20" t="n">
        <f aca="false">IF(J3593&gt;0,K3593/J3593,0)</f>
        <v>0.164797910676393</v>
      </c>
    </row>
    <row r="3594" customFormat="false" ht="15" hidden="false" customHeight="false" outlineLevel="0" collapsed="false">
      <c r="A3594" s="15" t="s">
        <v>3651</v>
      </c>
      <c r="B3594" s="16" t="n">
        <v>45287</v>
      </c>
      <c r="C3594" s="15" t="s">
        <v>71</v>
      </c>
      <c r="D3594" s="15" t="s">
        <v>43</v>
      </c>
      <c r="E3594" s="15" t="s">
        <v>39</v>
      </c>
      <c r="F3594" s="15" t="s">
        <v>16</v>
      </c>
      <c r="G3594" s="15" t="s">
        <v>27</v>
      </c>
      <c r="H3594" s="15" t="n">
        <v>2</v>
      </c>
      <c r="I3594" s="17" t="n">
        <v>0.3</v>
      </c>
      <c r="J3594" s="18" t="n">
        <v>102.92</v>
      </c>
      <c r="K3594" s="19" t="n">
        <v>1.41</v>
      </c>
      <c r="L3594" s="15" t="n">
        <f aca="false">YEAR(B3594)</f>
        <v>2023</v>
      </c>
      <c r="M3594" s="20" t="n">
        <f aca="false">IF(J3594&gt;0,K3594/J3594,0)</f>
        <v>0.013699961134862</v>
      </c>
    </row>
    <row r="3595" customFormat="false" ht="15" hidden="false" customHeight="false" outlineLevel="0" collapsed="false">
      <c r="A3595" s="15" t="s">
        <v>3652</v>
      </c>
      <c r="B3595" s="16" t="n">
        <v>45359</v>
      </c>
      <c r="C3595" s="15" t="s">
        <v>71</v>
      </c>
      <c r="D3595" s="15" t="s">
        <v>43</v>
      </c>
      <c r="E3595" s="15" t="s">
        <v>36</v>
      </c>
      <c r="F3595" s="15" t="s">
        <v>17</v>
      </c>
      <c r="G3595" s="15" t="s">
        <v>29</v>
      </c>
      <c r="H3595" s="15" t="n">
        <v>3</v>
      </c>
      <c r="I3595" s="17" t="n">
        <v>0.05</v>
      </c>
      <c r="J3595" s="18" t="n">
        <v>46.78</v>
      </c>
      <c r="K3595" s="19" t="n">
        <v>15.45</v>
      </c>
      <c r="L3595" s="15" t="n">
        <f aca="false">YEAR(B3595)</f>
        <v>2024</v>
      </c>
      <c r="M3595" s="20" t="n">
        <f aca="false">IF(J3595&gt;0,K3595/J3595,0)</f>
        <v>0.330269345874305</v>
      </c>
    </row>
    <row r="3596" customFormat="false" ht="15" hidden="false" customHeight="false" outlineLevel="0" collapsed="false">
      <c r="A3596" s="15" t="s">
        <v>3653</v>
      </c>
      <c r="B3596" s="16" t="n">
        <v>45946</v>
      </c>
      <c r="C3596" s="15" t="s">
        <v>56</v>
      </c>
      <c r="D3596" s="15" t="s">
        <v>42</v>
      </c>
      <c r="E3596" s="15" t="s">
        <v>39</v>
      </c>
      <c r="F3596" s="15" t="s">
        <v>17</v>
      </c>
      <c r="G3596" s="15" t="s">
        <v>28</v>
      </c>
      <c r="H3596" s="15" t="n">
        <v>3</v>
      </c>
      <c r="I3596" s="17" t="n">
        <v>0</v>
      </c>
      <c r="J3596" s="18" t="n">
        <v>134.18</v>
      </c>
      <c r="K3596" s="19" t="n">
        <v>39.41</v>
      </c>
      <c r="L3596" s="15" t="n">
        <f aca="false">YEAR(B3596)</f>
        <v>2025</v>
      </c>
      <c r="M3596" s="20" t="n">
        <f aca="false">IF(J3596&gt;0,K3596/J3596,0)</f>
        <v>0.293709941869131</v>
      </c>
    </row>
    <row r="3597" customFormat="false" ht="15" hidden="false" customHeight="false" outlineLevel="0" collapsed="false">
      <c r="A3597" s="15" t="s">
        <v>3654</v>
      </c>
      <c r="B3597" s="16" t="n">
        <v>44878</v>
      </c>
      <c r="C3597" s="15" t="s">
        <v>56</v>
      </c>
      <c r="D3597" s="15" t="s">
        <v>42</v>
      </c>
      <c r="E3597" s="15" t="s">
        <v>38</v>
      </c>
      <c r="F3597" s="15" t="s">
        <v>17</v>
      </c>
      <c r="G3597" s="15" t="s">
        <v>29</v>
      </c>
      <c r="H3597" s="15" t="n">
        <v>1</v>
      </c>
      <c r="I3597" s="17" t="n">
        <v>0</v>
      </c>
      <c r="J3597" s="18" t="n">
        <v>13.75</v>
      </c>
      <c r="K3597" s="19" t="n">
        <v>6.3</v>
      </c>
      <c r="L3597" s="15" t="n">
        <f aca="false">YEAR(B3597)</f>
        <v>2022</v>
      </c>
      <c r="M3597" s="20" t="n">
        <f aca="false">IF(J3597&gt;0,K3597/J3597,0)</f>
        <v>0.458181818181818</v>
      </c>
    </row>
    <row r="3598" customFormat="false" ht="15" hidden="false" customHeight="false" outlineLevel="0" collapsed="false">
      <c r="A3598" s="15" t="s">
        <v>3655</v>
      </c>
      <c r="B3598" s="16" t="n">
        <v>45777</v>
      </c>
      <c r="C3598" s="15" t="s">
        <v>56</v>
      </c>
      <c r="D3598" s="15" t="s">
        <v>42</v>
      </c>
      <c r="E3598" s="15" t="s">
        <v>39</v>
      </c>
      <c r="F3598" s="15" t="s">
        <v>16</v>
      </c>
      <c r="G3598" s="15" t="s">
        <v>23</v>
      </c>
      <c r="H3598" s="15" t="n">
        <v>5</v>
      </c>
      <c r="I3598" s="17" t="n">
        <v>0.1</v>
      </c>
      <c r="J3598" s="18" t="n">
        <v>1489.85</v>
      </c>
      <c r="K3598" s="19" t="n">
        <v>-185.41</v>
      </c>
      <c r="L3598" s="15" t="n">
        <f aca="false">YEAR(B3598)</f>
        <v>2025</v>
      </c>
      <c r="M3598" s="20" t="n">
        <f aca="false">IF(J3598&gt;0,K3598/J3598,0)</f>
        <v>-0.124448770010404</v>
      </c>
    </row>
    <row r="3599" customFormat="false" ht="15" hidden="false" customHeight="false" outlineLevel="0" collapsed="false">
      <c r="A3599" s="15" t="s">
        <v>3656</v>
      </c>
      <c r="B3599" s="16" t="n">
        <v>44846</v>
      </c>
      <c r="C3599" s="15" t="s">
        <v>56</v>
      </c>
      <c r="D3599" s="15" t="s">
        <v>42</v>
      </c>
      <c r="E3599" s="15" t="s">
        <v>36</v>
      </c>
      <c r="F3599" s="15" t="s">
        <v>17</v>
      </c>
      <c r="G3599" s="15" t="s">
        <v>28</v>
      </c>
      <c r="H3599" s="15" t="n">
        <v>2</v>
      </c>
      <c r="I3599" s="17" t="n">
        <v>0.2</v>
      </c>
      <c r="J3599" s="18" t="n">
        <v>38.06</v>
      </c>
      <c r="K3599" s="19" t="n">
        <v>4.29</v>
      </c>
      <c r="L3599" s="15" t="n">
        <f aca="false">YEAR(B3599)</f>
        <v>2022</v>
      </c>
      <c r="M3599" s="20" t="n">
        <f aca="false">IF(J3599&gt;0,K3599/J3599,0)</f>
        <v>0.11271676300578</v>
      </c>
    </row>
    <row r="3600" customFormat="false" ht="15" hidden="false" customHeight="false" outlineLevel="0" collapsed="false">
      <c r="A3600" s="15" t="s">
        <v>3657</v>
      </c>
      <c r="B3600" s="16" t="n">
        <v>45824</v>
      </c>
      <c r="C3600" s="15" t="s">
        <v>71</v>
      </c>
      <c r="D3600" s="15" t="s">
        <v>42</v>
      </c>
      <c r="E3600" s="15" t="s">
        <v>39</v>
      </c>
      <c r="F3600" s="15" t="s">
        <v>17</v>
      </c>
      <c r="G3600" s="15" t="s">
        <v>29</v>
      </c>
      <c r="H3600" s="15" t="n">
        <v>4</v>
      </c>
      <c r="I3600" s="17" t="n">
        <v>0</v>
      </c>
      <c r="J3600" s="18" t="n">
        <v>74.62</v>
      </c>
      <c r="K3600" s="19" t="n">
        <v>26.71</v>
      </c>
      <c r="L3600" s="15" t="n">
        <f aca="false">YEAR(B3600)</f>
        <v>2025</v>
      </c>
      <c r="M3600" s="20" t="n">
        <f aca="false">IF(J3600&gt;0,K3600/J3600,0)</f>
        <v>0.357946931117663</v>
      </c>
    </row>
    <row r="3601" customFormat="false" ht="15" hidden="false" customHeight="false" outlineLevel="0" collapsed="false">
      <c r="A3601" s="15" t="s">
        <v>3658</v>
      </c>
      <c r="B3601" s="16" t="n">
        <v>44869</v>
      </c>
      <c r="C3601" s="15" t="s">
        <v>56</v>
      </c>
      <c r="D3601" s="15" t="s">
        <v>42</v>
      </c>
      <c r="E3601" s="15" t="s">
        <v>39</v>
      </c>
      <c r="F3601" s="15" t="s">
        <v>18</v>
      </c>
      <c r="G3601" s="15" t="s">
        <v>32</v>
      </c>
      <c r="H3601" s="15" t="n">
        <v>4</v>
      </c>
      <c r="I3601" s="17" t="n">
        <v>0.05</v>
      </c>
      <c r="J3601" s="18" t="n">
        <v>2143.31</v>
      </c>
      <c r="K3601" s="19" t="n">
        <v>290.79</v>
      </c>
      <c r="L3601" s="15" t="n">
        <f aca="false">YEAR(B3601)</f>
        <v>2022</v>
      </c>
      <c r="M3601" s="20" t="n">
        <f aca="false">IF(J3601&gt;0,K3601/J3601,0)</f>
        <v>0.135673327703412</v>
      </c>
    </row>
    <row r="3602" customFormat="false" ht="15" hidden="false" customHeight="false" outlineLevel="0" collapsed="false">
      <c r="A3602" s="15" t="s">
        <v>3659</v>
      </c>
      <c r="B3602" s="16" t="n">
        <v>45970</v>
      </c>
      <c r="C3602" s="15" t="s">
        <v>56</v>
      </c>
      <c r="D3602" s="15" t="s">
        <v>43</v>
      </c>
      <c r="E3602" s="15" t="s">
        <v>36</v>
      </c>
      <c r="F3602" s="15" t="s">
        <v>18</v>
      </c>
      <c r="G3602" s="15" t="s">
        <v>30</v>
      </c>
      <c r="H3602" s="15" t="n">
        <v>4</v>
      </c>
      <c r="I3602" s="17" t="n">
        <v>0.15</v>
      </c>
      <c r="J3602" s="18" t="n">
        <v>126.37</v>
      </c>
      <c r="K3602" s="19" t="n">
        <v>24.68</v>
      </c>
      <c r="L3602" s="15" t="n">
        <f aca="false">YEAR(B3602)</f>
        <v>2025</v>
      </c>
      <c r="M3602" s="20" t="n">
        <f aca="false">IF(J3602&gt;0,K3602/J3602,0)</f>
        <v>0.195299517290496</v>
      </c>
    </row>
    <row r="3603" customFormat="false" ht="15" hidden="false" customHeight="false" outlineLevel="0" collapsed="false">
      <c r="A3603" s="15" t="s">
        <v>3660</v>
      </c>
      <c r="B3603" s="16" t="n">
        <v>44746</v>
      </c>
      <c r="C3603" s="15" t="s">
        <v>71</v>
      </c>
      <c r="D3603" s="15" t="s">
        <v>42</v>
      </c>
      <c r="E3603" s="15" t="s">
        <v>39</v>
      </c>
      <c r="F3603" s="15" t="s">
        <v>18</v>
      </c>
      <c r="G3603" s="15" t="s">
        <v>32</v>
      </c>
      <c r="H3603" s="15" t="n">
        <v>3</v>
      </c>
      <c r="I3603" s="17" t="n">
        <v>0</v>
      </c>
      <c r="J3603" s="18" t="n">
        <v>1284.85</v>
      </c>
      <c r="K3603" s="19" t="n">
        <v>224.87</v>
      </c>
      <c r="L3603" s="15" t="n">
        <f aca="false">YEAR(B3603)</f>
        <v>2022</v>
      </c>
      <c r="M3603" s="20" t="n">
        <f aca="false">IF(J3603&gt;0,K3603/J3603,0)</f>
        <v>0.175016538895591</v>
      </c>
    </row>
    <row r="3604" customFormat="false" ht="15" hidden="false" customHeight="false" outlineLevel="0" collapsed="false">
      <c r="A3604" s="15" t="s">
        <v>3661</v>
      </c>
      <c r="B3604" s="16" t="n">
        <v>44876</v>
      </c>
      <c r="C3604" s="15" t="s">
        <v>56</v>
      </c>
      <c r="D3604" s="15" t="s">
        <v>43</v>
      </c>
      <c r="E3604" s="15" t="s">
        <v>36</v>
      </c>
      <c r="F3604" s="15" t="s">
        <v>17</v>
      </c>
      <c r="G3604" s="15" t="s">
        <v>28</v>
      </c>
      <c r="H3604" s="15" t="n">
        <v>4</v>
      </c>
      <c r="I3604" s="17" t="n">
        <v>0</v>
      </c>
      <c r="J3604" s="18" t="n">
        <v>99.09</v>
      </c>
      <c r="K3604" s="19" t="n">
        <v>26.7</v>
      </c>
      <c r="L3604" s="15" t="n">
        <f aca="false">YEAR(B3604)</f>
        <v>2022</v>
      </c>
      <c r="M3604" s="20" t="n">
        <f aca="false">IF(J3604&gt;0,K3604/J3604,0)</f>
        <v>0.269452013321223</v>
      </c>
    </row>
    <row r="3605" customFormat="false" ht="15" hidden="false" customHeight="false" outlineLevel="0" collapsed="false">
      <c r="A3605" s="15" t="s">
        <v>3662</v>
      </c>
      <c r="B3605" s="16" t="n">
        <v>45667</v>
      </c>
      <c r="C3605" s="15" t="s">
        <v>56</v>
      </c>
      <c r="D3605" s="15" t="s">
        <v>42</v>
      </c>
      <c r="E3605" s="15" t="s">
        <v>36</v>
      </c>
      <c r="F3605" s="15" t="s">
        <v>17</v>
      </c>
      <c r="G3605" s="15" t="s">
        <v>29</v>
      </c>
      <c r="H3605" s="15" t="n">
        <v>5</v>
      </c>
      <c r="I3605" s="17" t="n">
        <v>0.1</v>
      </c>
      <c r="J3605" s="18" t="n">
        <v>86.78</v>
      </c>
      <c r="K3605" s="19" t="n">
        <v>24.26</v>
      </c>
      <c r="L3605" s="15" t="n">
        <f aca="false">YEAR(B3605)</f>
        <v>2025</v>
      </c>
      <c r="M3605" s="20" t="n">
        <f aca="false">IF(J3605&gt;0,K3605/J3605,0)</f>
        <v>0.279557501728509</v>
      </c>
    </row>
    <row r="3606" customFormat="false" ht="15" hidden="false" customHeight="false" outlineLevel="0" collapsed="false">
      <c r="A3606" s="15" t="s">
        <v>3663</v>
      </c>
      <c r="B3606" s="16" t="n">
        <v>46017</v>
      </c>
      <c r="C3606" s="15" t="s">
        <v>68</v>
      </c>
      <c r="D3606" s="15" t="s">
        <v>42</v>
      </c>
      <c r="E3606" s="15" t="s">
        <v>39</v>
      </c>
      <c r="F3606" s="15" t="s">
        <v>17</v>
      </c>
      <c r="G3606" s="15" t="s">
        <v>31</v>
      </c>
      <c r="H3606" s="15" t="n">
        <v>5</v>
      </c>
      <c r="I3606" s="17" t="n">
        <v>0</v>
      </c>
      <c r="J3606" s="18" t="n">
        <v>670.8</v>
      </c>
      <c r="K3606" s="19" t="n">
        <v>123.62</v>
      </c>
      <c r="L3606" s="15" t="n">
        <f aca="false">YEAR(B3606)</f>
        <v>2025</v>
      </c>
      <c r="M3606" s="20" t="n">
        <f aca="false">IF(J3606&gt;0,K3606/J3606,0)</f>
        <v>0.184287418008348</v>
      </c>
    </row>
    <row r="3607" customFormat="false" ht="15" hidden="false" customHeight="false" outlineLevel="0" collapsed="false">
      <c r="A3607" s="15" t="s">
        <v>3664</v>
      </c>
      <c r="B3607" s="16" t="n">
        <v>45982</v>
      </c>
      <c r="C3607" s="15" t="s">
        <v>56</v>
      </c>
      <c r="D3607" s="15" t="s">
        <v>44</v>
      </c>
      <c r="E3607" s="15" t="s">
        <v>38</v>
      </c>
      <c r="F3607" s="15" t="s">
        <v>17</v>
      </c>
      <c r="G3607" s="15" t="s">
        <v>31</v>
      </c>
      <c r="H3607" s="15" t="n">
        <v>3</v>
      </c>
      <c r="I3607" s="17" t="n">
        <v>0.1</v>
      </c>
      <c r="J3607" s="18" t="n">
        <v>274.67</v>
      </c>
      <c r="K3607" s="19" t="n">
        <v>21.71</v>
      </c>
      <c r="L3607" s="15" t="n">
        <f aca="false">YEAR(B3607)</f>
        <v>2025</v>
      </c>
      <c r="M3607" s="20" t="n">
        <f aca="false">IF(J3607&gt;0,K3607/J3607,0)</f>
        <v>0.0790403029089453</v>
      </c>
    </row>
    <row r="3608" customFormat="false" ht="15" hidden="false" customHeight="false" outlineLevel="0" collapsed="false">
      <c r="A3608" s="15" t="s">
        <v>3665</v>
      </c>
      <c r="B3608" s="16" t="n">
        <v>45684</v>
      </c>
      <c r="C3608" s="15" t="s">
        <v>68</v>
      </c>
      <c r="D3608" s="15" t="s">
        <v>42</v>
      </c>
      <c r="E3608" s="15" t="s">
        <v>39</v>
      </c>
      <c r="F3608" s="15" t="s">
        <v>18</v>
      </c>
      <c r="G3608" s="15" t="s">
        <v>30</v>
      </c>
      <c r="H3608" s="15" t="n">
        <v>5</v>
      </c>
      <c r="I3608" s="17" t="n">
        <v>0.15</v>
      </c>
      <c r="J3608" s="18" t="n">
        <v>193.15</v>
      </c>
      <c r="K3608" s="19" t="n">
        <v>33.47</v>
      </c>
      <c r="L3608" s="15" t="n">
        <f aca="false">YEAR(B3608)</f>
        <v>2025</v>
      </c>
      <c r="M3608" s="20" t="n">
        <f aca="false">IF(J3608&gt;0,K3608/J3608,0)</f>
        <v>0.173285011648977</v>
      </c>
    </row>
    <row r="3609" customFormat="false" ht="15" hidden="false" customHeight="false" outlineLevel="0" collapsed="false">
      <c r="A3609" s="15" t="s">
        <v>3666</v>
      </c>
      <c r="B3609" s="16" t="n">
        <v>45602</v>
      </c>
      <c r="C3609" s="15" t="s">
        <v>56</v>
      </c>
      <c r="D3609" s="15" t="s">
        <v>43</v>
      </c>
      <c r="E3609" s="15" t="s">
        <v>37</v>
      </c>
      <c r="F3609" s="15" t="s">
        <v>17</v>
      </c>
      <c r="G3609" s="15" t="s">
        <v>29</v>
      </c>
      <c r="H3609" s="15" t="n">
        <v>5</v>
      </c>
      <c r="I3609" s="17" t="n">
        <v>0</v>
      </c>
      <c r="J3609" s="18" t="n">
        <v>103.15</v>
      </c>
      <c r="K3609" s="19" t="n">
        <v>31.97</v>
      </c>
      <c r="L3609" s="15" t="n">
        <f aca="false">YEAR(B3609)</f>
        <v>2024</v>
      </c>
      <c r="M3609" s="20" t="n">
        <f aca="false">IF(J3609&gt;0,K3609/J3609,0)</f>
        <v>0.30993698497334</v>
      </c>
    </row>
    <row r="3610" customFormat="false" ht="15" hidden="false" customHeight="false" outlineLevel="0" collapsed="false">
      <c r="A3610" s="15" t="s">
        <v>3667</v>
      </c>
      <c r="B3610" s="16" t="n">
        <v>45167</v>
      </c>
      <c r="C3610" s="15" t="s">
        <v>71</v>
      </c>
      <c r="D3610" s="15" t="s">
        <v>42</v>
      </c>
      <c r="E3610" s="15" t="s">
        <v>37</v>
      </c>
      <c r="F3610" s="15" t="s">
        <v>16</v>
      </c>
      <c r="G3610" s="15" t="s">
        <v>27</v>
      </c>
      <c r="H3610" s="15" t="n">
        <v>7</v>
      </c>
      <c r="I3610" s="17" t="n">
        <v>0</v>
      </c>
      <c r="J3610" s="18" t="n">
        <v>356.89</v>
      </c>
      <c r="K3610" s="19" t="n">
        <v>89.84</v>
      </c>
      <c r="L3610" s="15" t="n">
        <f aca="false">YEAR(B3610)</f>
        <v>2023</v>
      </c>
      <c r="M3610" s="20" t="n">
        <f aca="false">IF(J3610&gt;0,K3610/J3610,0)</f>
        <v>0.2517302249993</v>
      </c>
    </row>
    <row r="3611" customFormat="false" ht="15" hidden="false" customHeight="false" outlineLevel="0" collapsed="false">
      <c r="A3611" s="15" t="s">
        <v>3668</v>
      </c>
      <c r="B3611" s="16" t="n">
        <v>45578</v>
      </c>
      <c r="C3611" s="15" t="s">
        <v>68</v>
      </c>
      <c r="D3611" s="15" t="s">
        <v>43</v>
      </c>
      <c r="E3611" s="15" t="s">
        <v>36</v>
      </c>
      <c r="F3611" s="15" t="s">
        <v>17</v>
      </c>
      <c r="G3611" s="15" t="s">
        <v>28</v>
      </c>
      <c r="H3611" s="15" t="n">
        <v>3</v>
      </c>
      <c r="I3611" s="17" t="n">
        <v>0</v>
      </c>
      <c r="J3611" s="18" t="n">
        <v>64.22</v>
      </c>
      <c r="K3611" s="19" t="n">
        <v>17.62</v>
      </c>
      <c r="L3611" s="15" t="n">
        <f aca="false">YEAR(B3611)</f>
        <v>2024</v>
      </c>
      <c r="M3611" s="20" t="n">
        <f aca="false">IF(J3611&gt;0,K3611/J3611,0)</f>
        <v>0.274369355341015</v>
      </c>
    </row>
    <row r="3612" customFormat="false" ht="15" hidden="false" customHeight="false" outlineLevel="0" collapsed="false">
      <c r="A3612" s="15" t="s">
        <v>3669</v>
      </c>
      <c r="B3612" s="16" t="n">
        <v>45681</v>
      </c>
      <c r="C3612" s="15" t="s">
        <v>71</v>
      </c>
      <c r="D3612" s="15" t="s">
        <v>42</v>
      </c>
      <c r="E3612" s="15" t="s">
        <v>38</v>
      </c>
      <c r="F3612" s="15" t="s">
        <v>17</v>
      </c>
      <c r="G3612" s="15" t="s">
        <v>29</v>
      </c>
      <c r="H3612" s="15" t="n">
        <v>4</v>
      </c>
      <c r="I3612" s="17" t="n">
        <v>0.1</v>
      </c>
      <c r="J3612" s="18" t="n">
        <v>52.15</v>
      </c>
      <c r="K3612" s="19" t="n">
        <v>12.65</v>
      </c>
      <c r="L3612" s="15" t="n">
        <f aca="false">YEAR(B3612)</f>
        <v>2025</v>
      </c>
      <c r="M3612" s="20" t="n">
        <f aca="false">IF(J3612&gt;0,K3612/J3612,0)</f>
        <v>0.242569511025887</v>
      </c>
    </row>
    <row r="3613" customFormat="false" ht="15" hidden="false" customHeight="false" outlineLevel="0" collapsed="false">
      <c r="A3613" s="15" t="s">
        <v>3670</v>
      </c>
      <c r="B3613" s="16" t="n">
        <v>45201</v>
      </c>
      <c r="C3613" s="15" t="s">
        <v>58</v>
      </c>
      <c r="D3613" s="15" t="s">
        <v>42</v>
      </c>
      <c r="E3613" s="15" t="s">
        <v>39</v>
      </c>
      <c r="F3613" s="15" t="s">
        <v>17</v>
      </c>
      <c r="G3613" s="15" t="s">
        <v>31</v>
      </c>
      <c r="H3613" s="15" t="n">
        <v>1</v>
      </c>
      <c r="I3613" s="17" t="n">
        <v>0.5</v>
      </c>
      <c r="J3613" s="18" t="n">
        <v>72.99</v>
      </c>
      <c r="K3613" s="19" t="n">
        <v>-14.98</v>
      </c>
      <c r="L3613" s="15" t="n">
        <f aca="false">YEAR(B3613)</f>
        <v>2023</v>
      </c>
      <c r="M3613" s="20" t="n">
        <f aca="false">IF(J3613&gt;0,K3613/J3613,0)</f>
        <v>-0.205233593642965</v>
      </c>
    </row>
    <row r="3614" customFormat="false" ht="15" hidden="false" customHeight="false" outlineLevel="0" collapsed="false">
      <c r="A3614" s="15" t="s">
        <v>3671</v>
      </c>
      <c r="B3614" s="16" t="n">
        <v>45443</v>
      </c>
      <c r="C3614" s="15" t="s">
        <v>68</v>
      </c>
      <c r="D3614" s="15" t="s">
        <v>43</v>
      </c>
      <c r="E3614" s="15" t="s">
        <v>39</v>
      </c>
      <c r="F3614" s="15" t="s">
        <v>16</v>
      </c>
      <c r="G3614" s="15" t="s">
        <v>25</v>
      </c>
      <c r="H3614" s="15" t="n">
        <v>3</v>
      </c>
      <c r="I3614" s="17" t="n">
        <v>0.2</v>
      </c>
      <c r="J3614" s="18" t="n">
        <v>823.03</v>
      </c>
      <c r="K3614" s="19" t="n">
        <v>-55.56</v>
      </c>
      <c r="L3614" s="15" t="n">
        <f aca="false">YEAR(B3614)</f>
        <v>2024</v>
      </c>
      <c r="M3614" s="20" t="n">
        <f aca="false">IF(J3614&gt;0,K3614/J3614,0)</f>
        <v>-0.0675066522483992</v>
      </c>
    </row>
    <row r="3615" customFormat="false" ht="15" hidden="false" customHeight="false" outlineLevel="0" collapsed="false">
      <c r="A3615" s="15" t="s">
        <v>3672</v>
      </c>
      <c r="B3615" s="16" t="n">
        <v>45327</v>
      </c>
      <c r="C3615" s="15" t="s">
        <v>56</v>
      </c>
      <c r="D3615" s="15" t="s">
        <v>43</v>
      </c>
      <c r="E3615" s="15" t="s">
        <v>37</v>
      </c>
      <c r="F3615" s="15" t="s">
        <v>18</v>
      </c>
      <c r="G3615" s="15" t="s">
        <v>24</v>
      </c>
      <c r="H3615" s="15" t="n">
        <v>7</v>
      </c>
      <c r="I3615" s="17" t="n">
        <v>0</v>
      </c>
      <c r="J3615" s="18" t="n">
        <v>4986.3</v>
      </c>
      <c r="K3615" s="19" t="n">
        <v>187.62</v>
      </c>
      <c r="L3615" s="15" t="n">
        <f aca="false">YEAR(B3615)</f>
        <v>2024</v>
      </c>
      <c r="M3615" s="20" t="n">
        <f aca="false">IF(J3615&gt;0,K3615/J3615,0)</f>
        <v>0.0376270982492028</v>
      </c>
    </row>
    <row r="3616" customFormat="false" ht="15" hidden="false" customHeight="false" outlineLevel="0" collapsed="false">
      <c r="A3616" s="15" t="s">
        <v>3673</v>
      </c>
      <c r="B3616" s="16" t="n">
        <v>44795</v>
      </c>
      <c r="C3616" s="15" t="s">
        <v>71</v>
      </c>
      <c r="D3616" s="15" t="s">
        <v>42</v>
      </c>
      <c r="E3616" s="15" t="s">
        <v>37</v>
      </c>
      <c r="F3616" s="15" t="s">
        <v>18</v>
      </c>
      <c r="G3616" s="15" t="s">
        <v>32</v>
      </c>
      <c r="H3616" s="15" t="n">
        <v>5</v>
      </c>
      <c r="I3616" s="17" t="n">
        <v>0.05</v>
      </c>
      <c r="J3616" s="18" t="n">
        <v>1951.86</v>
      </c>
      <c r="K3616" s="19" t="n">
        <v>290.47</v>
      </c>
      <c r="L3616" s="15" t="n">
        <f aca="false">YEAR(B3616)</f>
        <v>2022</v>
      </c>
      <c r="M3616" s="20" t="n">
        <f aca="false">IF(J3616&gt;0,K3616/J3616,0)</f>
        <v>0.148817025811277</v>
      </c>
    </row>
    <row r="3617" customFormat="false" ht="15" hidden="false" customHeight="false" outlineLevel="0" collapsed="false">
      <c r="A3617" s="15" t="s">
        <v>3674</v>
      </c>
      <c r="B3617" s="16" t="n">
        <v>45949</v>
      </c>
      <c r="C3617" s="15" t="s">
        <v>68</v>
      </c>
      <c r="D3617" s="15" t="s">
        <v>42</v>
      </c>
      <c r="E3617" s="15" t="s">
        <v>36</v>
      </c>
      <c r="F3617" s="15" t="s">
        <v>17</v>
      </c>
      <c r="G3617" s="15" t="s">
        <v>31</v>
      </c>
      <c r="H3617" s="15" t="n">
        <v>2</v>
      </c>
      <c r="I3617" s="17" t="n">
        <v>0.3</v>
      </c>
      <c r="J3617" s="18" t="n">
        <v>210.77</v>
      </c>
      <c r="K3617" s="19" t="n">
        <v>-15.55</v>
      </c>
      <c r="L3617" s="15" t="n">
        <f aca="false">YEAR(B3617)</f>
        <v>2025</v>
      </c>
      <c r="M3617" s="20" t="n">
        <f aca="false">IF(J3617&gt;0,K3617/J3617,0)</f>
        <v>-0.0737771030032737</v>
      </c>
    </row>
    <row r="3618" customFormat="false" ht="15" hidden="false" customHeight="false" outlineLevel="0" collapsed="false">
      <c r="A3618" s="15" t="s">
        <v>3675</v>
      </c>
      <c r="B3618" s="16" t="n">
        <v>45545</v>
      </c>
      <c r="C3618" s="15" t="s">
        <v>56</v>
      </c>
      <c r="D3618" s="15" t="s">
        <v>42</v>
      </c>
      <c r="E3618" s="15" t="s">
        <v>38</v>
      </c>
      <c r="F3618" s="15" t="s">
        <v>16</v>
      </c>
      <c r="G3618" s="15" t="s">
        <v>23</v>
      </c>
      <c r="H3618" s="15" t="n">
        <v>5</v>
      </c>
      <c r="I3618" s="17" t="n">
        <v>0.3</v>
      </c>
      <c r="J3618" s="18" t="n">
        <v>858.1</v>
      </c>
      <c r="K3618" s="19" t="n">
        <v>-185.78</v>
      </c>
      <c r="L3618" s="15" t="n">
        <f aca="false">YEAR(B3618)</f>
        <v>2024</v>
      </c>
      <c r="M3618" s="20" t="n">
        <f aca="false">IF(J3618&gt;0,K3618/J3618,0)</f>
        <v>-0.216501573243212</v>
      </c>
    </row>
    <row r="3619" customFormat="false" ht="15" hidden="false" customHeight="false" outlineLevel="0" collapsed="false">
      <c r="A3619" s="15" t="s">
        <v>3676</v>
      </c>
      <c r="B3619" s="16" t="n">
        <v>45104</v>
      </c>
      <c r="C3619" s="15" t="s">
        <v>56</v>
      </c>
      <c r="D3619" s="15" t="s">
        <v>42</v>
      </c>
      <c r="E3619" s="15" t="s">
        <v>39</v>
      </c>
      <c r="F3619" s="15" t="s">
        <v>17</v>
      </c>
      <c r="G3619" s="15" t="s">
        <v>28</v>
      </c>
      <c r="H3619" s="15" t="n">
        <v>4</v>
      </c>
      <c r="I3619" s="17" t="n">
        <v>0.1</v>
      </c>
      <c r="J3619" s="18" t="n">
        <v>100.91</v>
      </c>
      <c r="K3619" s="19" t="n">
        <v>18.12</v>
      </c>
      <c r="L3619" s="15" t="n">
        <f aca="false">YEAR(B3619)</f>
        <v>2023</v>
      </c>
      <c r="M3619" s="20" t="n">
        <f aca="false">IF(J3619&gt;0,K3619/J3619,0)</f>
        <v>0.179565949856308</v>
      </c>
    </row>
    <row r="3620" customFormat="false" ht="15" hidden="false" customHeight="false" outlineLevel="0" collapsed="false">
      <c r="A3620" s="15" t="s">
        <v>3677</v>
      </c>
      <c r="B3620" s="16" t="n">
        <v>45970</v>
      </c>
      <c r="C3620" s="15" t="s">
        <v>56</v>
      </c>
      <c r="D3620" s="15" t="s">
        <v>43</v>
      </c>
      <c r="E3620" s="15" t="s">
        <v>37</v>
      </c>
      <c r="F3620" s="15" t="s">
        <v>17</v>
      </c>
      <c r="G3620" s="15" t="s">
        <v>26</v>
      </c>
      <c r="H3620" s="15" t="n">
        <v>4</v>
      </c>
      <c r="I3620" s="17" t="n">
        <v>0</v>
      </c>
      <c r="J3620" s="18" t="n">
        <v>327.44</v>
      </c>
      <c r="K3620" s="19" t="n">
        <v>37.57</v>
      </c>
      <c r="L3620" s="15" t="n">
        <f aca="false">YEAR(B3620)</f>
        <v>2025</v>
      </c>
      <c r="M3620" s="20" t="n">
        <f aca="false">IF(J3620&gt;0,K3620/J3620,0)</f>
        <v>0.114738578060103</v>
      </c>
    </row>
    <row r="3621" customFormat="false" ht="15" hidden="false" customHeight="false" outlineLevel="0" collapsed="false">
      <c r="A3621" s="15" t="s">
        <v>3678</v>
      </c>
      <c r="B3621" s="16" t="n">
        <v>44845</v>
      </c>
      <c r="C3621" s="15" t="s">
        <v>68</v>
      </c>
      <c r="D3621" s="15" t="s">
        <v>42</v>
      </c>
      <c r="E3621" s="15" t="s">
        <v>37</v>
      </c>
      <c r="F3621" s="15" t="s">
        <v>17</v>
      </c>
      <c r="G3621" s="15" t="s">
        <v>29</v>
      </c>
      <c r="H3621" s="15" t="n">
        <v>1</v>
      </c>
      <c r="I3621" s="17" t="n">
        <v>0.1</v>
      </c>
      <c r="J3621" s="18" t="n">
        <v>15.83</v>
      </c>
      <c r="K3621" s="19" t="n">
        <v>5.46</v>
      </c>
      <c r="L3621" s="15" t="n">
        <f aca="false">YEAR(B3621)</f>
        <v>2022</v>
      </c>
      <c r="M3621" s="20" t="n">
        <f aca="false">IF(J3621&gt;0,K3621/J3621,0)</f>
        <v>0.344914718888187</v>
      </c>
    </row>
    <row r="3622" customFormat="false" ht="15" hidden="false" customHeight="false" outlineLevel="0" collapsed="false">
      <c r="A3622" s="15" t="s">
        <v>3679</v>
      </c>
      <c r="B3622" s="16" t="n">
        <v>45059</v>
      </c>
      <c r="C3622" s="15" t="s">
        <v>68</v>
      </c>
      <c r="D3622" s="15" t="s">
        <v>43</v>
      </c>
      <c r="E3622" s="15" t="s">
        <v>36</v>
      </c>
      <c r="F3622" s="15" t="s">
        <v>17</v>
      </c>
      <c r="G3622" s="15" t="s">
        <v>29</v>
      </c>
      <c r="H3622" s="15" t="n">
        <v>2</v>
      </c>
      <c r="I3622" s="17" t="n">
        <v>0</v>
      </c>
      <c r="J3622" s="18" t="n">
        <v>33.87</v>
      </c>
      <c r="K3622" s="19" t="n">
        <v>12.68</v>
      </c>
      <c r="L3622" s="15" t="n">
        <f aca="false">YEAR(B3622)</f>
        <v>2023</v>
      </c>
      <c r="M3622" s="20" t="n">
        <f aca="false">IF(J3622&gt;0,K3622/J3622,0)</f>
        <v>0.374372601121937</v>
      </c>
    </row>
    <row r="3623" customFormat="false" ht="15" hidden="false" customHeight="false" outlineLevel="0" collapsed="false">
      <c r="A3623" s="15" t="s">
        <v>3680</v>
      </c>
      <c r="B3623" s="16" t="n">
        <v>45703</v>
      </c>
      <c r="C3623" s="15" t="s">
        <v>58</v>
      </c>
      <c r="D3623" s="15" t="s">
        <v>43</v>
      </c>
      <c r="E3623" s="15" t="s">
        <v>39</v>
      </c>
      <c r="F3623" s="15" t="s">
        <v>16</v>
      </c>
      <c r="G3623" s="15" t="s">
        <v>27</v>
      </c>
      <c r="H3623" s="15" t="n">
        <v>2</v>
      </c>
      <c r="I3623" s="17" t="n">
        <v>0.1</v>
      </c>
      <c r="J3623" s="18" t="n">
        <v>124.75</v>
      </c>
      <c r="K3623" s="19" t="n">
        <v>15.42</v>
      </c>
      <c r="L3623" s="15" t="n">
        <f aca="false">YEAR(B3623)</f>
        <v>2025</v>
      </c>
      <c r="M3623" s="20" t="n">
        <f aca="false">IF(J3623&gt;0,K3623/J3623,0)</f>
        <v>0.123607214428858</v>
      </c>
    </row>
    <row r="3624" customFormat="false" ht="15" hidden="false" customHeight="false" outlineLevel="0" collapsed="false">
      <c r="A3624" s="15" t="s">
        <v>3681</v>
      </c>
      <c r="B3624" s="16" t="n">
        <v>44636</v>
      </c>
      <c r="C3624" s="15" t="s">
        <v>56</v>
      </c>
      <c r="D3624" s="15" t="s">
        <v>44</v>
      </c>
      <c r="E3624" s="15" t="s">
        <v>39</v>
      </c>
      <c r="F3624" s="15" t="s">
        <v>17</v>
      </c>
      <c r="G3624" s="15" t="s">
        <v>26</v>
      </c>
      <c r="H3624" s="15" t="n">
        <v>1</v>
      </c>
      <c r="I3624" s="17" t="n">
        <v>0.05</v>
      </c>
      <c r="J3624" s="18" t="n">
        <v>79.25</v>
      </c>
      <c r="K3624" s="19" t="n">
        <v>5.02</v>
      </c>
      <c r="L3624" s="15" t="n">
        <f aca="false">YEAR(B3624)</f>
        <v>2022</v>
      </c>
      <c r="M3624" s="20" t="n">
        <f aca="false">IF(J3624&gt;0,K3624/J3624,0)</f>
        <v>0.0633438485804416</v>
      </c>
    </row>
    <row r="3625" customFormat="false" ht="15" hidden="false" customHeight="false" outlineLevel="0" collapsed="false">
      <c r="A3625" s="15" t="s">
        <v>3682</v>
      </c>
      <c r="B3625" s="16" t="n">
        <v>45244</v>
      </c>
      <c r="C3625" s="15" t="s">
        <v>56</v>
      </c>
      <c r="D3625" s="15" t="s">
        <v>43</v>
      </c>
      <c r="E3625" s="15" t="s">
        <v>37</v>
      </c>
      <c r="F3625" s="15" t="s">
        <v>18</v>
      </c>
      <c r="G3625" s="15" t="s">
        <v>30</v>
      </c>
      <c r="H3625" s="15" t="n">
        <v>3</v>
      </c>
      <c r="I3625" s="17" t="n">
        <v>0.15</v>
      </c>
      <c r="J3625" s="18" t="n">
        <v>134.67</v>
      </c>
      <c r="K3625" s="19" t="n">
        <v>20.49</v>
      </c>
      <c r="L3625" s="15" t="n">
        <f aca="false">YEAR(B3625)</f>
        <v>2023</v>
      </c>
      <c r="M3625" s="20" t="n">
        <f aca="false">IF(J3625&gt;0,K3625/J3625,0)</f>
        <v>0.15214969926487</v>
      </c>
    </row>
    <row r="3626" customFormat="false" ht="15" hidden="false" customHeight="false" outlineLevel="0" collapsed="false">
      <c r="A3626" s="15" t="s">
        <v>3683</v>
      </c>
      <c r="B3626" s="16" t="n">
        <v>44719</v>
      </c>
      <c r="C3626" s="15" t="s">
        <v>71</v>
      </c>
      <c r="D3626" s="15" t="s">
        <v>43</v>
      </c>
      <c r="E3626" s="15" t="s">
        <v>38</v>
      </c>
      <c r="F3626" s="15" t="s">
        <v>17</v>
      </c>
      <c r="G3626" s="15" t="s">
        <v>26</v>
      </c>
      <c r="H3626" s="15" t="n">
        <v>2</v>
      </c>
      <c r="I3626" s="17" t="n">
        <v>0</v>
      </c>
      <c r="J3626" s="18" t="n">
        <v>190.37</v>
      </c>
      <c r="K3626" s="19" t="n">
        <v>26.18</v>
      </c>
      <c r="L3626" s="15" t="n">
        <f aca="false">YEAR(B3626)</f>
        <v>2022</v>
      </c>
      <c r="M3626" s="20" t="n">
        <f aca="false">IF(J3626&gt;0,K3626/J3626,0)</f>
        <v>0.137521668330094</v>
      </c>
    </row>
    <row r="3627" customFormat="false" ht="15" hidden="false" customHeight="false" outlineLevel="0" collapsed="false">
      <c r="A3627" s="15" t="s">
        <v>3684</v>
      </c>
      <c r="B3627" s="16" t="n">
        <v>45364</v>
      </c>
      <c r="C3627" s="15" t="s">
        <v>71</v>
      </c>
      <c r="D3627" s="15" t="s">
        <v>42</v>
      </c>
      <c r="E3627" s="15" t="s">
        <v>38</v>
      </c>
      <c r="F3627" s="15" t="s">
        <v>18</v>
      </c>
      <c r="G3627" s="15" t="s">
        <v>32</v>
      </c>
      <c r="H3627" s="15" t="n">
        <v>2</v>
      </c>
      <c r="I3627" s="17" t="n">
        <v>0.4</v>
      </c>
      <c r="J3627" s="18" t="n">
        <v>350.82</v>
      </c>
      <c r="K3627" s="19" t="n">
        <v>-84.65</v>
      </c>
      <c r="L3627" s="15" t="n">
        <f aca="false">YEAR(B3627)</f>
        <v>2024</v>
      </c>
      <c r="M3627" s="20" t="n">
        <f aca="false">IF(J3627&gt;0,K3627/J3627,0)</f>
        <v>-0.241291830568383</v>
      </c>
    </row>
    <row r="3628" customFormat="false" ht="15" hidden="false" customHeight="false" outlineLevel="0" collapsed="false">
      <c r="A3628" s="15" t="s">
        <v>3685</v>
      </c>
      <c r="B3628" s="16" t="n">
        <v>45969</v>
      </c>
      <c r="C3628" s="15" t="s">
        <v>56</v>
      </c>
      <c r="D3628" s="15" t="s">
        <v>44</v>
      </c>
      <c r="E3628" s="15" t="s">
        <v>39</v>
      </c>
      <c r="F3628" s="15" t="s">
        <v>17</v>
      </c>
      <c r="G3628" s="15" t="s">
        <v>31</v>
      </c>
      <c r="H3628" s="15" t="n">
        <v>1</v>
      </c>
      <c r="I3628" s="17" t="n">
        <v>0</v>
      </c>
      <c r="J3628" s="18" t="n">
        <v>125.86</v>
      </c>
      <c r="K3628" s="19" t="n">
        <v>20.29</v>
      </c>
      <c r="L3628" s="15" t="n">
        <f aca="false">YEAR(B3628)</f>
        <v>2025</v>
      </c>
      <c r="M3628" s="20" t="n">
        <f aca="false">IF(J3628&gt;0,K3628/J3628,0)</f>
        <v>0.161210869219768</v>
      </c>
    </row>
    <row r="3629" customFormat="false" ht="15" hidden="false" customHeight="false" outlineLevel="0" collapsed="false">
      <c r="A3629" s="15" t="s">
        <v>3686</v>
      </c>
      <c r="B3629" s="16" t="n">
        <v>45338</v>
      </c>
      <c r="C3629" s="15" t="s">
        <v>56</v>
      </c>
      <c r="D3629" s="15" t="s">
        <v>43</v>
      </c>
      <c r="E3629" s="15" t="s">
        <v>37</v>
      </c>
      <c r="F3629" s="15" t="s">
        <v>17</v>
      </c>
      <c r="G3629" s="15" t="s">
        <v>28</v>
      </c>
      <c r="H3629" s="15" t="n">
        <v>3</v>
      </c>
      <c r="I3629" s="17" t="n">
        <v>0</v>
      </c>
      <c r="J3629" s="18" t="n">
        <v>86.1</v>
      </c>
      <c r="K3629" s="19" t="n">
        <v>24.33</v>
      </c>
      <c r="L3629" s="15" t="n">
        <f aca="false">YEAR(B3629)</f>
        <v>2024</v>
      </c>
      <c r="M3629" s="20" t="n">
        <f aca="false">IF(J3629&gt;0,K3629/J3629,0)</f>
        <v>0.282578397212544</v>
      </c>
    </row>
    <row r="3630" customFormat="false" ht="15" hidden="false" customHeight="false" outlineLevel="0" collapsed="false">
      <c r="A3630" s="15" t="s">
        <v>3687</v>
      </c>
      <c r="B3630" s="16" t="n">
        <v>45245</v>
      </c>
      <c r="C3630" s="15" t="s">
        <v>58</v>
      </c>
      <c r="D3630" s="15" t="s">
        <v>42</v>
      </c>
      <c r="E3630" s="15" t="s">
        <v>37</v>
      </c>
      <c r="F3630" s="15" t="s">
        <v>16</v>
      </c>
      <c r="G3630" s="15" t="s">
        <v>27</v>
      </c>
      <c r="H3630" s="15" t="n">
        <v>2</v>
      </c>
      <c r="I3630" s="17" t="n">
        <v>0.15</v>
      </c>
      <c r="J3630" s="18" t="n">
        <v>110.7</v>
      </c>
      <c r="K3630" s="19" t="n">
        <v>5.55</v>
      </c>
      <c r="L3630" s="15" t="n">
        <f aca="false">YEAR(B3630)</f>
        <v>2023</v>
      </c>
      <c r="M3630" s="20" t="n">
        <f aca="false">IF(J3630&gt;0,K3630/J3630,0)</f>
        <v>0.0501355013550135</v>
      </c>
    </row>
    <row r="3631" customFormat="false" ht="15" hidden="false" customHeight="false" outlineLevel="0" collapsed="false">
      <c r="A3631" s="15" t="s">
        <v>3688</v>
      </c>
      <c r="B3631" s="16" t="n">
        <v>45048</v>
      </c>
      <c r="C3631" s="15" t="s">
        <v>71</v>
      </c>
      <c r="D3631" s="15" t="s">
        <v>42</v>
      </c>
      <c r="E3631" s="15" t="s">
        <v>38</v>
      </c>
      <c r="F3631" s="15" t="s">
        <v>17</v>
      </c>
      <c r="G3631" s="15" t="s">
        <v>28</v>
      </c>
      <c r="H3631" s="15" t="n">
        <v>2</v>
      </c>
      <c r="I3631" s="17" t="n">
        <v>0.15</v>
      </c>
      <c r="J3631" s="18" t="n">
        <v>40.68</v>
      </c>
      <c r="K3631" s="19" t="n">
        <v>9.35</v>
      </c>
      <c r="L3631" s="15" t="n">
        <f aca="false">YEAR(B3631)</f>
        <v>2023</v>
      </c>
      <c r="M3631" s="20" t="n">
        <f aca="false">IF(J3631&gt;0,K3631/J3631,0)</f>
        <v>0.22984267453294</v>
      </c>
    </row>
    <row r="3632" customFormat="false" ht="15" hidden="false" customHeight="false" outlineLevel="0" collapsed="false">
      <c r="A3632" s="15" t="s">
        <v>3689</v>
      </c>
      <c r="B3632" s="16" t="n">
        <v>45621</v>
      </c>
      <c r="C3632" s="15" t="s">
        <v>56</v>
      </c>
      <c r="D3632" s="15" t="s">
        <v>42</v>
      </c>
      <c r="E3632" s="15" t="s">
        <v>39</v>
      </c>
      <c r="F3632" s="15" t="s">
        <v>17</v>
      </c>
      <c r="G3632" s="15" t="s">
        <v>26</v>
      </c>
      <c r="H3632" s="15" t="n">
        <v>5</v>
      </c>
      <c r="I3632" s="17" t="n">
        <v>0.1</v>
      </c>
      <c r="J3632" s="18" t="n">
        <v>401.79</v>
      </c>
      <c r="K3632" s="19" t="n">
        <v>18.05</v>
      </c>
      <c r="L3632" s="15" t="n">
        <f aca="false">YEAR(B3632)</f>
        <v>2024</v>
      </c>
      <c r="M3632" s="20" t="n">
        <f aca="false">IF(J3632&gt;0,K3632/J3632,0)</f>
        <v>0.0449239652554817</v>
      </c>
    </row>
    <row r="3633" customFormat="false" ht="15" hidden="false" customHeight="false" outlineLevel="0" collapsed="false">
      <c r="A3633" s="15" t="s">
        <v>3690</v>
      </c>
      <c r="B3633" s="16" t="n">
        <v>45123</v>
      </c>
      <c r="C3633" s="15" t="s">
        <v>56</v>
      </c>
      <c r="D3633" s="15" t="s">
        <v>42</v>
      </c>
      <c r="E3633" s="15" t="s">
        <v>39</v>
      </c>
      <c r="F3633" s="15" t="s">
        <v>16</v>
      </c>
      <c r="G3633" s="15" t="s">
        <v>22</v>
      </c>
      <c r="H3633" s="15" t="n">
        <v>4</v>
      </c>
      <c r="I3633" s="17" t="n">
        <v>0</v>
      </c>
      <c r="J3633" s="18" t="n">
        <v>1844.01</v>
      </c>
      <c r="K3633" s="19" t="n">
        <v>-170.9</v>
      </c>
      <c r="L3633" s="15" t="n">
        <f aca="false">YEAR(B3633)</f>
        <v>2023</v>
      </c>
      <c r="M3633" s="20" t="n">
        <f aca="false">IF(J3633&gt;0,K3633/J3633,0)</f>
        <v>-0.0926784561905847</v>
      </c>
    </row>
    <row r="3634" customFormat="false" ht="15" hidden="false" customHeight="false" outlineLevel="0" collapsed="false">
      <c r="A3634" s="15" t="s">
        <v>3691</v>
      </c>
      <c r="B3634" s="16" t="n">
        <v>44670</v>
      </c>
      <c r="C3634" s="15" t="s">
        <v>68</v>
      </c>
      <c r="D3634" s="15" t="s">
        <v>43</v>
      </c>
      <c r="E3634" s="15" t="s">
        <v>37</v>
      </c>
      <c r="F3634" s="15" t="s">
        <v>17</v>
      </c>
      <c r="G3634" s="15" t="s">
        <v>29</v>
      </c>
      <c r="H3634" s="15" t="n">
        <v>1</v>
      </c>
      <c r="I3634" s="17" t="n">
        <v>0</v>
      </c>
      <c r="J3634" s="18" t="n">
        <v>20.01</v>
      </c>
      <c r="K3634" s="19" t="n">
        <v>7.91</v>
      </c>
      <c r="L3634" s="15" t="n">
        <f aca="false">YEAR(B3634)</f>
        <v>2022</v>
      </c>
      <c r="M3634" s="20" t="n">
        <f aca="false">IF(J3634&gt;0,K3634/J3634,0)</f>
        <v>0.395302348825587</v>
      </c>
    </row>
    <row r="3635" customFormat="false" ht="15" hidden="false" customHeight="false" outlineLevel="0" collapsed="false">
      <c r="A3635" s="15" t="s">
        <v>3692</v>
      </c>
      <c r="B3635" s="16" t="n">
        <v>44705</v>
      </c>
      <c r="C3635" s="15" t="s">
        <v>71</v>
      </c>
      <c r="D3635" s="15" t="s">
        <v>42</v>
      </c>
      <c r="E3635" s="15" t="s">
        <v>39</v>
      </c>
      <c r="F3635" s="15" t="s">
        <v>18</v>
      </c>
      <c r="G3635" s="15" t="s">
        <v>30</v>
      </c>
      <c r="H3635" s="15" t="n">
        <v>3</v>
      </c>
      <c r="I3635" s="17" t="n">
        <v>0.1</v>
      </c>
      <c r="J3635" s="18" t="n">
        <v>110.07</v>
      </c>
      <c r="K3635" s="19" t="n">
        <v>20.38</v>
      </c>
      <c r="L3635" s="15" t="n">
        <f aca="false">YEAR(B3635)</f>
        <v>2022</v>
      </c>
      <c r="M3635" s="20" t="n">
        <f aca="false">IF(J3635&gt;0,K3635/J3635,0)</f>
        <v>0.185154901426365</v>
      </c>
    </row>
    <row r="3636" customFormat="false" ht="15" hidden="false" customHeight="false" outlineLevel="0" collapsed="false">
      <c r="A3636" s="15" t="s">
        <v>3693</v>
      </c>
      <c r="B3636" s="16" t="n">
        <v>44685</v>
      </c>
      <c r="C3636" s="15" t="s">
        <v>56</v>
      </c>
      <c r="D3636" s="15" t="s">
        <v>42</v>
      </c>
      <c r="E3636" s="15" t="s">
        <v>36</v>
      </c>
      <c r="F3636" s="15" t="s">
        <v>18</v>
      </c>
      <c r="G3636" s="15" t="s">
        <v>30</v>
      </c>
      <c r="H3636" s="15" t="n">
        <v>3</v>
      </c>
      <c r="I3636" s="17" t="n">
        <v>0</v>
      </c>
      <c r="J3636" s="18" t="n">
        <v>144.9</v>
      </c>
      <c r="K3636" s="19" t="n">
        <v>42.48</v>
      </c>
      <c r="L3636" s="15" t="n">
        <f aca="false">YEAR(B3636)</f>
        <v>2022</v>
      </c>
      <c r="M3636" s="20" t="n">
        <f aca="false">IF(J3636&gt;0,K3636/J3636,0)</f>
        <v>0.293167701863354</v>
      </c>
    </row>
    <row r="3637" customFormat="false" ht="15" hidden="false" customHeight="false" outlineLevel="0" collapsed="false">
      <c r="A3637" s="15" t="s">
        <v>3694</v>
      </c>
      <c r="B3637" s="16" t="n">
        <v>45312</v>
      </c>
      <c r="C3637" s="15" t="s">
        <v>68</v>
      </c>
      <c r="D3637" s="15" t="s">
        <v>44</v>
      </c>
      <c r="E3637" s="15" t="s">
        <v>36</v>
      </c>
      <c r="F3637" s="15" t="s">
        <v>16</v>
      </c>
      <c r="G3637" s="15" t="s">
        <v>27</v>
      </c>
      <c r="H3637" s="15" t="n">
        <v>5</v>
      </c>
      <c r="I3637" s="17" t="n">
        <v>0.05</v>
      </c>
      <c r="J3637" s="18" t="n">
        <v>276.72</v>
      </c>
      <c r="K3637" s="19" t="n">
        <v>21.59</v>
      </c>
      <c r="L3637" s="15" t="n">
        <f aca="false">YEAR(B3637)</f>
        <v>2024</v>
      </c>
      <c r="M3637" s="20" t="n">
        <f aca="false">IF(J3637&gt;0,K3637/J3637,0)</f>
        <v>0.0780211043654235</v>
      </c>
    </row>
    <row r="3638" customFormat="false" ht="15" hidden="false" customHeight="false" outlineLevel="0" collapsed="false">
      <c r="A3638" s="15" t="s">
        <v>3695</v>
      </c>
      <c r="B3638" s="16" t="n">
        <v>45856</v>
      </c>
      <c r="C3638" s="15" t="s">
        <v>56</v>
      </c>
      <c r="D3638" s="15" t="s">
        <v>43</v>
      </c>
      <c r="E3638" s="15" t="s">
        <v>37</v>
      </c>
      <c r="F3638" s="15" t="s">
        <v>18</v>
      </c>
      <c r="G3638" s="15" t="s">
        <v>24</v>
      </c>
      <c r="H3638" s="15" t="n">
        <v>2</v>
      </c>
      <c r="I3638" s="17" t="n">
        <v>0</v>
      </c>
      <c r="J3638" s="18" t="n">
        <v>1340.39</v>
      </c>
      <c r="K3638" s="19" t="n">
        <v>120.54</v>
      </c>
      <c r="L3638" s="15" t="n">
        <f aca="false">YEAR(B3638)</f>
        <v>2025</v>
      </c>
      <c r="M3638" s="20" t="n">
        <f aca="false">IF(J3638&gt;0,K3638/J3638,0)</f>
        <v>0.0899290505002276</v>
      </c>
    </row>
    <row r="3639" customFormat="false" ht="15" hidden="false" customHeight="false" outlineLevel="0" collapsed="false">
      <c r="A3639" s="15" t="s">
        <v>3696</v>
      </c>
      <c r="B3639" s="16" t="n">
        <v>45612</v>
      </c>
      <c r="C3639" s="15" t="s">
        <v>56</v>
      </c>
      <c r="D3639" s="15" t="s">
        <v>42</v>
      </c>
      <c r="E3639" s="15" t="s">
        <v>36</v>
      </c>
      <c r="F3639" s="15" t="s">
        <v>16</v>
      </c>
      <c r="G3639" s="15" t="s">
        <v>27</v>
      </c>
      <c r="H3639" s="15" t="n">
        <v>2</v>
      </c>
      <c r="I3639" s="17" t="n">
        <v>0.05</v>
      </c>
      <c r="J3639" s="18" t="n">
        <v>107.73</v>
      </c>
      <c r="K3639" s="19" t="n">
        <v>13.76</v>
      </c>
      <c r="L3639" s="15" t="n">
        <f aca="false">YEAR(B3639)</f>
        <v>2024</v>
      </c>
      <c r="M3639" s="20" t="n">
        <f aca="false">IF(J3639&gt;0,K3639/J3639,0)</f>
        <v>0.127726724217952</v>
      </c>
    </row>
    <row r="3640" customFormat="false" ht="15" hidden="false" customHeight="false" outlineLevel="0" collapsed="false">
      <c r="A3640" s="15" t="s">
        <v>3697</v>
      </c>
      <c r="B3640" s="16" t="n">
        <v>45769</v>
      </c>
      <c r="C3640" s="15" t="s">
        <v>56</v>
      </c>
      <c r="D3640" s="15" t="s">
        <v>42</v>
      </c>
      <c r="E3640" s="15" t="s">
        <v>36</v>
      </c>
      <c r="F3640" s="15" t="s">
        <v>18</v>
      </c>
      <c r="G3640" s="15" t="s">
        <v>33</v>
      </c>
      <c r="H3640" s="15" t="n">
        <v>3</v>
      </c>
      <c r="I3640" s="17" t="n">
        <v>0.15</v>
      </c>
      <c r="J3640" s="18" t="n">
        <v>2516.81</v>
      </c>
      <c r="K3640" s="19" t="n">
        <v>392.95</v>
      </c>
      <c r="L3640" s="15" t="n">
        <f aca="false">YEAR(B3640)</f>
        <v>2025</v>
      </c>
      <c r="M3640" s="20" t="n">
        <f aca="false">IF(J3640&gt;0,K3640/J3640,0)</f>
        <v>0.156130180665207</v>
      </c>
    </row>
    <row r="3641" customFormat="false" ht="15" hidden="false" customHeight="false" outlineLevel="0" collapsed="false">
      <c r="A3641" s="15" t="s">
        <v>3698</v>
      </c>
      <c r="B3641" s="16" t="n">
        <v>45639</v>
      </c>
      <c r="C3641" s="15" t="s">
        <v>71</v>
      </c>
      <c r="D3641" s="15" t="s">
        <v>42</v>
      </c>
      <c r="E3641" s="15" t="s">
        <v>39</v>
      </c>
      <c r="F3641" s="15" t="s">
        <v>17</v>
      </c>
      <c r="G3641" s="15" t="s">
        <v>29</v>
      </c>
      <c r="H3641" s="15" t="n">
        <v>2</v>
      </c>
      <c r="I3641" s="17" t="n">
        <v>0.05</v>
      </c>
      <c r="J3641" s="18" t="n">
        <v>40.48</v>
      </c>
      <c r="K3641" s="19" t="n">
        <v>11.46</v>
      </c>
      <c r="L3641" s="15" t="n">
        <f aca="false">YEAR(B3641)</f>
        <v>2024</v>
      </c>
      <c r="M3641" s="20" t="n">
        <f aca="false">IF(J3641&gt;0,K3641/J3641,0)</f>
        <v>0.283102766798419</v>
      </c>
    </row>
    <row r="3642" customFormat="false" ht="15" hidden="false" customHeight="false" outlineLevel="0" collapsed="false">
      <c r="A3642" s="15" t="s">
        <v>3699</v>
      </c>
      <c r="B3642" s="16" t="n">
        <v>45825</v>
      </c>
      <c r="C3642" s="15" t="s">
        <v>56</v>
      </c>
      <c r="D3642" s="15" t="s">
        <v>43</v>
      </c>
      <c r="E3642" s="15" t="s">
        <v>37</v>
      </c>
      <c r="F3642" s="15" t="s">
        <v>18</v>
      </c>
      <c r="G3642" s="15" t="s">
        <v>30</v>
      </c>
      <c r="H3642" s="15" t="n">
        <v>4</v>
      </c>
      <c r="I3642" s="17" t="n">
        <v>0</v>
      </c>
      <c r="J3642" s="18" t="n">
        <v>232.33</v>
      </c>
      <c r="K3642" s="19" t="n">
        <v>66.36</v>
      </c>
      <c r="L3642" s="15" t="n">
        <f aca="false">YEAR(B3642)</f>
        <v>2025</v>
      </c>
      <c r="M3642" s="20" t="n">
        <f aca="false">IF(J3642&gt;0,K3642/J3642,0)</f>
        <v>0.285628201265441</v>
      </c>
    </row>
    <row r="3643" customFormat="false" ht="15" hidden="false" customHeight="false" outlineLevel="0" collapsed="false">
      <c r="A3643" s="15" t="s">
        <v>3700</v>
      </c>
      <c r="B3643" s="16" t="n">
        <v>44692</v>
      </c>
      <c r="C3643" s="15" t="s">
        <v>56</v>
      </c>
      <c r="D3643" s="15" t="s">
        <v>42</v>
      </c>
      <c r="E3643" s="15" t="s">
        <v>36</v>
      </c>
      <c r="F3643" s="15" t="s">
        <v>17</v>
      </c>
      <c r="G3643" s="15" t="s">
        <v>26</v>
      </c>
      <c r="H3643" s="15" t="n">
        <v>5</v>
      </c>
      <c r="I3643" s="17" t="n">
        <v>0</v>
      </c>
      <c r="J3643" s="18" t="n">
        <v>403.22</v>
      </c>
      <c r="K3643" s="19" t="n">
        <v>23.65</v>
      </c>
      <c r="L3643" s="15" t="n">
        <f aca="false">YEAR(B3643)</f>
        <v>2022</v>
      </c>
      <c r="M3643" s="20" t="n">
        <f aca="false">IF(J3643&gt;0,K3643/J3643,0)</f>
        <v>0.0586528446009623</v>
      </c>
    </row>
    <row r="3644" customFormat="false" ht="15" hidden="false" customHeight="false" outlineLevel="0" collapsed="false">
      <c r="A3644" s="15" t="s">
        <v>3701</v>
      </c>
      <c r="B3644" s="16" t="n">
        <v>44922</v>
      </c>
      <c r="C3644" s="15" t="s">
        <v>71</v>
      </c>
      <c r="D3644" s="15" t="s">
        <v>42</v>
      </c>
      <c r="E3644" s="15" t="s">
        <v>39</v>
      </c>
      <c r="F3644" s="15" t="s">
        <v>18</v>
      </c>
      <c r="G3644" s="15" t="s">
        <v>24</v>
      </c>
      <c r="H3644" s="15" t="n">
        <v>4</v>
      </c>
      <c r="I3644" s="17" t="n">
        <v>0.2</v>
      </c>
      <c r="J3644" s="18" t="n">
        <v>2040.51</v>
      </c>
      <c r="K3644" s="19" t="n">
        <v>-284.37</v>
      </c>
      <c r="L3644" s="15" t="n">
        <f aca="false">YEAR(B3644)</f>
        <v>2022</v>
      </c>
      <c r="M3644" s="20" t="n">
        <f aca="false">IF(J3644&gt;0,K3644/J3644,0)</f>
        <v>-0.139362218268962</v>
      </c>
    </row>
    <row r="3645" customFormat="false" ht="15" hidden="false" customHeight="false" outlineLevel="0" collapsed="false">
      <c r="A3645" s="15" t="s">
        <v>3702</v>
      </c>
      <c r="B3645" s="16" t="n">
        <v>45449</v>
      </c>
      <c r="C3645" s="15" t="s">
        <v>68</v>
      </c>
      <c r="D3645" s="15" t="s">
        <v>42</v>
      </c>
      <c r="E3645" s="15" t="s">
        <v>39</v>
      </c>
      <c r="F3645" s="15" t="s">
        <v>17</v>
      </c>
      <c r="G3645" s="15" t="s">
        <v>28</v>
      </c>
      <c r="H3645" s="15" t="n">
        <v>4</v>
      </c>
      <c r="I3645" s="17" t="n">
        <v>0</v>
      </c>
      <c r="J3645" s="18" t="n">
        <v>107.22</v>
      </c>
      <c r="K3645" s="19" t="n">
        <v>36.66</v>
      </c>
      <c r="L3645" s="15" t="n">
        <f aca="false">YEAR(B3645)</f>
        <v>2024</v>
      </c>
      <c r="M3645" s="20" t="n">
        <f aca="false">IF(J3645&gt;0,K3645/J3645,0)</f>
        <v>0.341913822048125</v>
      </c>
    </row>
    <row r="3646" customFormat="false" ht="15" hidden="false" customHeight="false" outlineLevel="0" collapsed="false">
      <c r="A3646" s="15" t="s">
        <v>3703</v>
      </c>
      <c r="B3646" s="16" t="n">
        <v>44977</v>
      </c>
      <c r="C3646" s="15" t="s">
        <v>56</v>
      </c>
      <c r="D3646" s="15" t="s">
        <v>42</v>
      </c>
      <c r="E3646" s="15" t="s">
        <v>39</v>
      </c>
      <c r="F3646" s="15" t="s">
        <v>17</v>
      </c>
      <c r="G3646" s="15" t="s">
        <v>29</v>
      </c>
      <c r="H3646" s="15" t="n">
        <v>2</v>
      </c>
      <c r="I3646" s="17" t="n">
        <v>0.2</v>
      </c>
      <c r="J3646" s="18" t="n">
        <v>23.95</v>
      </c>
      <c r="K3646" s="19" t="n">
        <v>4.92</v>
      </c>
      <c r="L3646" s="15" t="n">
        <f aca="false">YEAR(B3646)</f>
        <v>2023</v>
      </c>
      <c r="M3646" s="20" t="n">
        <f aca="false">IF(J3646&gt;0,K3646/J3646,0)</f>
        <v>0.205427974947808</v>
      </c>
    </row>
    <row r="3647" customFormat="false" ht="15" hidden="false" customHeight="false" outlineLevel="0" collapsed="false">
      <c r="A3647" s="15" t="s">
        <v>3704</v>
      </c>
      <c r="B3647" s="16" t="n">
        <v>44839</v>
      </c>
      <c r="C3647" s="15" t="s">
        <v>56</v>
      </c>
      <c r="D3647" s="15" t="s">
        <v>44</v>
      </c>
      <c r="E3647" s="15" t="s">
        <v>36</v>
      </c>
      <c r="F3647" s="15" t="s">
        <v>17</v>
      </c>
      <c r="G3647" s="15" t="s">
        <v>29</v>
      </c>
      <c r="H3647" s="15" t="n">
        <v>2</v>
      </c>
      <c r="I3647" s="17" t="n">
        <v>0</v>
      </c>
      <c r="J3647" s="18" t="n">
        <v>37.36</v>
      </c>
      <c r="K3647" s="19" t="n">
        <v>14.9</v>
      </c>
      <c r="L3647" s="15" t="n">
        <f aca="false">YEAR(B3647)</f>
        <v>2022</v>
      </c>
      <c r="M3647" s="20" t="n">
        <f aca="false">IF(J3647&gt;0,K3647/J3647,0)</f>
        <v>0.398822269807281</v>
      </c>
    </row>
    <row r="3648" customFormat="false" ht="15" hidden="false" customHeight="false" outlineLevel="0" collapsed="false">
      <c r="A3648" s="15" t="s">
        <v>3705</v>
      </c>
      <c r="B3648" s="16" t="n">
        <v>44970</v>
      </c>
      <c r="C3648" s="15" t="s">
        <v>71</v>
      </c>
      <c r="D3648" s="15" t="s">
        <v>42</v>
      </c>
      <c r="E3648" s="15" t="s">
        <v>36</v>
      </c>
      <c r="F3648" s="15" t="s">
        <v>17</v>
      </c>
      <c r="G3648" s="15" t="s">
        <v>28</v>
      </c>
      <c r="H3648" s="15" t="n">
        <v>4</v>
      </c>
      <c r="I3648" s="17" t="n">
        <v>0</v>
      </c>
      <c r="J3648" s="18" t="n">
        <v>107.14</v>
      </c>
      <c r="K3648" s="19" t="n">
        <v>34.74</v>
      </c>
      <c r="L3648" s="15" t="n">
        <f aca="false">YEAR(B3648)</f>
        <v>2023</v>
      </c>
      <c r="M3648" s="20" t="n">
        <f aca="false">IF(J3648&gt;0,K3648/J3648,0)</f>
        <v>0.324248646630577</v>
      </c>
    </row>
    <row r="3649" customFormat="false" ht="15" hidden="false" customHeight="false" outlineLevel="0" collapsed="false">
      <c r="A3649" s="15" t="s">
        <v>3706</v>
      </c>
      <c r="B3649" s="16" t="n">
        <v>45556</v>
      </c>
      <c r="C3649" s="15" t="s">
        <v>58</v>
      </c>
      <c r="D3649" s="15" t="s">
        <v>43</v>
      </c>
      <c r="E3649" s="15" t="s">
        <v>38</v>
      </c>
      <c r="F3649" s="15" t="s">
        <v>17</v>
      </c>
      <c r="G3649" s="15" t="s">
        <v>31</v>
      </c>
      <c r="H3649" s="15" t="n">
        <v>1</v>
      </c>
      <c r="I3649" s="17" t="n">
        <v>0.3</v>
      </c>
      <c r="J3649" s="18" t="n">
        <v>84.7</v>
      </c>
      <c r="K3649" s="19" t="n">
        <v>-5.92</v>
      </c>
      <c r="L3649" s="15" t="n">
        <f aca="false">YEAR(B3649)</f>
        <v>2024</v>
      </c>
      <c r="M3649" s="20" t="n">
        <f aca="false">IF(J3649&gt;0,K3649/J3649,0)</f>
        <v>-0.0698937426210154</v>
      </c>
    </row>
    <row r="3650" customFormat="false" ht="15" hidden="false" customHeight="false" outlineLevel="0" collapsed="false">
      <c r="A3650" s="15" t="s">
        <v>3707</v>
      </c>
      <c r="B3650" s="16" t="n">
        <v>44725</v>
      </c>
      <c r="C3650" s="15" t="s">
        <v>56</v>
      </c>
      <c r="D3650" s="15" t="s">
        <v>44</v>
      </c>
      <c r="E3650" s="15" t="s">
        <v>39</v>
      </c>
      <c r="F3650" s="15" t="s">
        <v>17</v>
      </c>
      <c r="G3650" s="15" t="s">
        <v>29</v>
      </c>
      <c r="H3650" s="15" t="n">
        <v>2</v>
      </c>
      <c r="I3650" s="17" t="n">
        <v>0</v>
      </c>
      <c r="J3650" s="18" t="n">
        <v>39.13</v>
      </c>
      <c r="K3650" s="19" t="n">
        <v>12.17</v>
      </c>
      <c r="L3650" s="15" t="n">
        <f aca="false">YEAR(B3650)</f>
        <v>2022</v>
      </c>
      <c r="M3650" s="20" t="n">
        <f aca="false">IF(J3650&gt;0,K3650/J3650,0)</f>
        <v>0.31101456682852</v>
      </c>
    </row>
    <row r="3651" customFormat="false" ht="15" hidden="false" customHeight="false" outlineLevel="0" collapsed="false">
      <c r="A3651" s="15" t="s">
        <v>3708</v>
      </c>
      <c r="B3651" s="16" t="n">
        <v>45792</v>
      </c>
      <c r="C3651" s="15" t="s">
        <v>71</v>
      </c>
      <c r="D3651" s="15" t="s">
        <v>42</v>
      </c>
      <c r="E3651" s="15" t="s">
        <v>38</v>
      </c>
      <c r="F3651" s="15" t="s">
        <v>18</v>
      </c>
      <c r="G3651" s="15" t="s">
        <v>30</v>
      </c>
      <c r="H3651" s="15" t="n">
        <v>1</v>
      </c>
      <c r="I3651" s="17" t="n">
        <v>0.05</v>
      </c>
      <c r="J3651" s="18" t="n">
        <v>42.42</v>
      </c>
      <c r="K3651" s="19" t="n">
        <v>10.84</v>
      </c>
      <c r="L3651" s="15" t="n">
        <f aca="false">YEAR(B3651)</f>
        <v>2025</v>
      </c>
      <c r="M3651" s="20" t="n">
        <f aca="false">IF(J3651&gt;0,K3651/J3651,0)</f>
        <v>0.255539839698256</v>
      </c>
    </row>
    <row r="3652" customFormat="false" ht="15" hidden="false" customHeight="false" outlineLevel="0" collapsed="false">
      <c r="A3652" s="15" t="s">
        <v>3709</v>
      </c>
      <c r="B3652" s="16" t="n">
        <v>45710</v>
      </c>
      <c r="C3652" s="15" t="s">
        <v>58</v>
      </c>
      <c r="D3652" s="15" t="s">
        <v>44</v>
      </c>
      <c r="E3652" s="15" t="s">
        <v>36</v>
      </c>
      <c r="F3652" s="15" t="s">
        <v>17</v>
      </c>
      <c r="G3652" s="15" t="s">
        <v>29</v>
      </c>
      <c r="H3652" s="15" t="n">
        <v>5</v>
      </c>
      <c r="I3652" s="17" t="n">
        <v>0</v>
      </c>
      <c r="J3652" s="18" t="n">
        <v>87.38</v>
      </c>
      <c r="K3652" s="19" t="n">
        <v>35.57</v>
      </c>
      <c r="L3652" s="15" t="n">
        <f aca="false">YEAR(B3652)</f>
        <v>2025</v>
      </c>
      <c r="M3652" s="20" t="n">
        <f aca="false">IF(J3652&gt;0,K3652/J3652,0)</f>
        <v>0.407072556649119</v>
      </c>
    </row>
    <row r="3653" customFormat="false" ht="15" hidden="false" customHeight="false" outlineLevel="0" collapsed="false">
      <c r="A3653" s="15" t="s">
        <v>3710</v>
      </c>
      <c r="B3653" s="16" t="n">
        <v>45772</v>
      </c>
      <c r="C3653" s="15" t="s">
        <v>56</v>
      </c>
      <c r="D3653" s="15" t="s">
        <v>42</v>
      </c>
      <c r="E3653" s="15" t="s">
        <v>36</v>
      </c>
      <c r="F3653" s="15" t="s">
        <v>17</v>
      </c>
      <c r="G3653" s="15" t="s">
        <v>26</v>
      </c>
      <c r="H3653" s="15" t="n">
        <v>3</v>
      </c>
      <c r="I3653" s="17" t="n">
        <v>0.5</v>
      </c>
      <c r="J3653" s="18" t="n">
        <v>111.07</v>
      </c>
      <c r="K3653" s="19" t="n">
        <v>-27.51</v>
      </c>
      <c r="L3653" s="15" t="n">
        <f aca="false">YEAR(B3653)</f>
        <v>2025</v>
      </c>
      <c r="M3653" s="20" t="n">
        <f aca="false">IF(J3653&gt;0,K3653/J3653,0)</f>
        <v>-0.247681642207617</v>
      </c>
    </row>
    <row r="3654" customFormat="false" ht="15" hidden="false" customHeight="false" outlineLevel="0" collapsed="false">
      <c r="A3654" s="15" t="s">
        <v>3711</v>
      </c>
      <c r="B3654" s="16" t="n">
        <v>45968</v>
      </c>
      <c r="C3654" s="15" t="s">
        <v>56</v>
      </c>
      <c r="D3654" s="15" t="s">
        <v>44</v>
      </c>
      <c r="E3654" s="15" t="s">
        <v>36</v>
      </c>
      <c r="F3654" s="15" t="s">
        <v>16</v>
      </c>
      <c r="G3654" s="15" t="s">
        <v>25</v>
      </c>
      <c r="H3654" s="15" t="n">
        <v>2</v>
      </c>
      <c r="I3654" s="17" t="n">
        <v>0.05</v>
      </c>
      <c r="J3654" s="18" t="n">
        <v>502.57</v>
      </c>
      <c r="K3654" s="19" t="n">
        <v>-18.08</v>
      </c>
      <c r="L3654" s="15" t="n">
        <f aca="false">YEAR(B3654)</f>
        <v>2025</v>
      </c>
      <c r="M3654" s="20" t="n">
        <f aca="false">IF(J3654&gt;0,K3654/J3654,0)</f>
        <v>-0.0359750880474362</v>
      </c>
    </row>
    <row r="3655" customFormat="false" ht="15" hidden="false" customHeight="false" outlineLevel="0" collapsed="false">
      <c r="A3655" s="15" t="s">
        <v>3712</v>
      </c>
      <c r="B3655" s="16" t="n">
        <v>45591</v>
      </c>
      <c r="C3655" s="15" t="s">
        <v>56</v>
      </c>
      <c r="D3655" s="15" t="s">
        <v>44</v>
      </c>
      <c r="E3655" s="15" t="s">
        <v>37</v>
      </c>
      <c r="F3655" s="15" t="s">
        <v>18</v>
      </c>
      <c r="G3655" s="15" t="s">
        <v>33</v>
      </c>
      <c r="H3655" s="15" t="n">
        <v>6</v>
      </c>
      <c r="I3655" s="17" t="n">
        <v>0</v>
      </c>
      <c r="J3655" s="18" t="n">
        <v>4961.6</v>
      </c>
      <c r="K3655" s="19" t="n">
        <v>1281.34</v>
      </c>
      <c r="L3655" s="15" t="n">
        <f aca="false">YEAR(B3655)</f>
        <v>2024</v>
      </c>
      <c r="M3655" s="20" t="n">
        <f aca="false">IF(J3655&gt;0,K3655/J3655,0)</f>
        <v>0.258251370525637</v>
      </c>
    </row>
    <row r="3656" customFormat="false" ht="15" hidden="false" customHeight="false" outlineLevel="0" collapsed="false">
      <c r="A3656" s="15" t="s">
        <v>3713</v>
      </c>
      <c r="B3656" s="16" t="n">
        <v>45107</v>
      </c>
      <c r="C3656" s="15" t="s">
        <v>56</v>
      </c>
      <c r="D3656" s="15" t="s">
        <v>43</v>
      </c>
      <c r="E3656" s="15" t="s">
        <v>38</v>
      </c>
      <c r="F3656" s="15" t="s">
        <v>16</v>
      </c>
      <c r="G3656" s="15" t="s">
        <v>27</v>
      </c>
      <c r="H3656" s="15" t="n">
        <v>2</v>
      </c>
      <c r="I3656" s="17" t="n">
        <v>0</v>
      </c>
      <c r="J3656" s="18" t="n">
        <v>134.77</v>
      </c>
      <c r="K3656" s="19" t="n">
        <v>26.06</v>
      </c>
      <c r="L3656" s="15" t="n">
        <f aca="false">YEAR(B3656)</f>
        <v>2023</v>
      </c>
      <c r="M3656" s="20" t="n">
        <f aca="false">IF(J3656&gt;0,K3656/J3656,0)</f>
        <v>0.193366476218743</v>
      </c>
    </row>
    <row r="3657" customFormat="false" ht="15" hidden="false" customHeight="false" outlineLevel="0" collapsed="false">
      <c r="A3657" s="15" t="s">
        <v>3714</v>
      </c>
      <c r="B3657" s="16" t="n">
        <v>45887</v>
      </c>
      <c r="C3657" s="15" t="s">
        <v>58</v>
      </c>
      <c r="D3657" s="15" t="s">
        <v>43</v>
      </c>
      <c r="E3657" s="15" t="s">
        <v>38</v>
      </c>
      <c r="F3657" s="15" t="s">
        <v>18</v>
      </c>
      <c r="G3657" s="15" t="s">
        <v>33</v>
      </c>
      <c r="H3657" s="15" t="n">
        <v>2</v>
      </c>
      <c r="I3657" s="17" t="n">
        <v>0.1</v>
      </c>
      <c r="J3657" s="18" t="n">
        <v>1648.71</v>
      </c>
      <c r="K3657" s="19" t="n">
        <v>326.77</v>
      </c>
      <c r="L3657" s="15" t="n">
        <f aca="false">YEAR(B3657)</f>
        <v>2025</v>
      </c>
      <c r="M3657" s="20" t="n">
        <f aca="false">IF(J3657&gt;0,K3657/J3657,0)</f>
        <v>0.198197378556568</v>
      </c>
    </row>
    <row r="3658" customFormat="false" ht="15" hidden="false" customHeight="false" outlineLevel="0" collapsed="false">
      <c r="A3658" s="15" t="s">
        <v>3715</v>
      </c>
      <c r="B3658" s="16" t="n">
        <v>45609</v>
      </c>
      <c r="C3658" s="15" t="s">
        <v>71</v>
      </c>
      <c r="D3658" s="15" t="s">
        <v>44</v>
      </c>
      <c r="E3658" s="15" t="s">
        <v>36</v>
      </c>
      <c r="F3658" s="15" t="s">
        <v>18</v>
      </c>
      <c r="G3658" s="15" t="s">
        <v>30</v>
      </c>
      <c r="H3658" s="15" t="n">
        <v>2</v>
      </c>
      <c r="I3658" s="17" t="n">
        <v>0</v>
      </c>
      <c r="J3658" s="18" t="n">
        <v>97.36</v>
      </c>
      <c r="K3658" s="19" t="n">
        <v>31.92</v>
      </c>
      <c r="L3658" s="15" t="n">
        <f aca="false">YEAR(B3658)</f>
        <v>2024</v>
      </c>
      <c r="M3658" s="20" t="n">
        <f aca="false">IF(J3658&gt;0,K3658/J3658,0)</f>
        <v>0.327855382087099</v>
      </c>
    </row>
    <row r="3659" customFormat="false" ht="15" hidden="false" customHeight="false" outlineLevel="0" collapsed="false">
      <c r="A3659" s="15" t="s">
        <v>3716</v>
      </c>
      <c r="B3659" s="16" t="n">
        <v>45962</v>
      </c>
      <c r="C3659" s="15" t="s">
        <v>56</v>
      </c>
      <c r="D3659" s="15" t="s">
        <v>42</v>
      </c>
      <c r="E3659" s="15" t="s">
        <v>38</v>
      </c>
      <c r="F3659" s="15" t="s">
        <v>17</v>
      </c>
      <c r="G3659" s="15" t="s">
        <v>28</v>
      </c>
      <c r="H3659" s="15" t="n">
        <v>4</v>
      </c>
      <c r="I3659" s="17" t="n">
        <v>0.1</v>
      </c>
      <c r="J3659" s="18" t="n">
        <v>90.02</v>
      </c>
      <c r="K3659" s="19" t="n">
        <v>17.18</v>
      </c>
      <c r="L3659" s="15" t="n">
        <f aca="false">YEAR(B3659)</f>
        <v>2025</v>
      </c>
      <c r="M3659" s="20" t="n">
        <f aca="false">IF(J3659&gt;0,K3659/J3659,0)</f>
        <v>0.19084647856032</v>
      </c>
    </row>
    <row r="3660" customFormat="false" ht="15" hidden="false" customHeight="false" outlineLevel="0" collapsed="false">
      <c r="A3660" s="15" t="s">
        <v>3717</v>
      </c>
      <c r="B3660" s="16" t="n">
        <v>45051</v>
      </c>
      <c r="C3660" s="15" t="s">
        <v>56</v>
      </c>
      <c r="D3660" s="15" t="s">
        <v>44</v>
      </c>
      <c r="E3660" s="15" t="s">
        <v>36</v>
      </c>
      <c r="F3660" s="15" t="s">
        <v>17</v>
      </c>
      <c r="G3660" s="15" t="s">
        <v>29</v>
      </c>
      <c r="H3660" s="15" t="n">
        <v>2</v>
      </c>
      <c r="I3660" s="17" t="n">
        <v>0</v>
      </c>
      <c r="J3660" s="18" t="n">
        <v>33.92</v>
      </c>
      <c r="K3660" s="19" t="n">
        <v>13.09</v>
      </c>
      <c r="L3660" s="15" t="n">
        <f aca="false">YEAR(B3660)</f>
        <v>2023</v>
      </c>
      <c r="M3660" s="20" t="n">
        <f aca="false">IF(J3660&gt;0,K3660/J3660,0)</f>
        <v>0.385908018867925</v>
      </c>
    </row>
    <row r="3661" customFormat="false" ht="15" hidden="false" customHeight="false" outlineLevel="0" collapsed="false">
      <c r="A3661" s="15" t="s">
        <v>3718</v>
      </c>
      <c r="B3661" s="16" t="n">
        <v>45497</v>
      </c>
      <c r="C3661" s="15" t="s">
        <v>56</v>
      </c>
      <c r="D3661" s="15" t="s">
        <v>42</v>
      </c>
      <c r="E3661" s="15" t="s">
        <v>36</v>
      </c>
      <c r="F3661" s="15" t="s">
        <v>17</v>
      </c>
      <c r="G3661" s="15" t="s">
        <v>28</v>
      </c>
      <c r="H3661" s="15" t="n">
        <v>4</v>
      </c>
      <c r="I3661" s="17" t="n">
        <v>0.15</v>
      </c>
      <c r="J3661" s="18" t="n">
        <v>96.08</v>
      </c>
      <c r="K3661" s="19" t="n">
        <v>17.01</v>
      </c>
      <c r="L3661" s="15" t="n">
        <f aca="false">YEAR(B3661)</f>
        <v>2024</v>
      </c>
      <c r="M3661" s="20" t="n">
        <f aca="false">IF(J3661&gt;0,K3661/J3661,0)</f>
        <v>0.177039966694421</v>
      </c>
    </row>
    <row r="3662" customFormat="false" ht="15" hidden="false" customHeight="false" outlineLevel="0" collapsed="false">
      <c r="A3662" s="15" t="s">
        <v>3719</v>
      </c>
      <c r="B3662" s="16" t="n">
        <v>45473</v>
      </c>
      <c r="C3662" s="15" t="s">
        <v>56</v>
      </c>
      <c r="D3662" s="15" t="s">
        <v>43</v>
      </c>
      <c r="E3662" s="15" t="s">
        <v>36</v>
      </c>
      <c r="F3662" s="15" t="s">
        <v>18</v>
      </c>
      <c r="G3662" s="15" t="s">
        <v>32</v>
      </c>
      <c r="H3662" s="15" t="n">
        <v>5</v>
      </c>
      <c r="I3662" s="17" t="n">
        <v>0.2</v>
      </c>
      <c r="J3662" s="18" t="n">
        <v>1653.98</v>
      </c>
      <c r="K3662" s="19" t="n">
        <v>129.82</v>
      </c>
      <c r="L3662" s="15" t="n">
        <f aca="false">YEAR(B3662)</f>
        <v>2024</v>
      </c>
      <c r="M3662" s="20" t="n">
        <f aca="false">IF(J3662&gt;0,K3662/J3662,0)</f>
        <v>0.0784894617830929</v>
      </c>
    </row>
    <row r="3663" customFormat="false" ht="15" hidden="false" customHeight="false" outlineLevel="0" collapsed="false">
      <c r="A3663" s="15" t="s">
        <v>3720</v>
      </c>
      <c r="B3663" s="16" t="n">
        <v>44697</v>
      </c>
      <c r="C3663" s="15" t="s">
        <v>58</v>
      </c>
      <c r="D3663" s="15" t="s">
        <v>42</v>
      </c>
      <c r="E3663" s="15" t="s">
        <v>37</v>
      </c>
      <c r="F3663" s="15" t="s">
        <v>18</v>
      </c>
      <c r="G3663" s="15" t="s">
        <v>30</v>
      </c>
      <c r="H3663" s="15" t="n">
        <v>3</v>
      </c>
      <c r="I3663" s="17" t="n">
        <v>0.2</v>
      </c>
      <c r="J3663" s="18" t="n">
        <v>116.3</v>
      </c>
      <c r="K3663" s="19" t="n">
        <v>16.12</v>
      </c>
      <c r="L3663" s="15" t="n">
        <f aca="false">YEAR(B3663)</f>
        <v>2022</v>
      </c>
      <c r="M3663" s="20" t="n">
        <f aca="false">IF(J3663&gt;0,K3663/J3663,0)</f>
        <v>0.138607050730868</v>
      </c>
    </row>
    <row r="3664" customFormat="false" ht="15" hidden="false" customHeight="false" outlineLevel="0" collapsed="false">
      <c r="A3664" s="15" t="s">
        <v>3721</v>
      </c>
      <c r="B3664" s="16" t="n">
        <v>45598</v>
      </c>
      <c r="C3664" s="15" t="s">
        <v>56</v>
      </c>
      <c r="D3664" s="15" t="s">
        <v>42</v>
      </c>
      <c r="E3664" s="15" t="s">
        <v>36</v>
      </c>
      <c r="F3664" s="15" t="s">
        <v>17</v>
      </c>
      <c r="G3664" s="15" t="s">
        <v>29</v>
      </c>
      <c r="H3664" s="15" t="n">
        <v>2</v>
      </c>
      <c r="I3664" s="17" t="n">
        <v>0</v>
      </c>
      <c r="J3664" s="18" t="n">
        <v>29.21</v>
      </c>
      <c r="K3664" s="19" t="n">
        <v>10.9</v>
      </c>
      <c r="L3664" s="15" t="n">
        <f aca="false">YEAR(B3664)</f>
        <v>2024</v>
      </c>
      <c r="M3664" s="20" t="n">
        <f aca="false">IF(J3664&gt;0,K3664/J3664,0)</f>
        <v>0.373159876754536</v>
      </c>
    </row>
    <row r="3665" customFormat="false" ht="15" hidden="false" customHeight="false" outlineLevel="0" collapsed="false">
      <c r="A3665" s="15" t="s">
        <v>3722</v>
      </c>
      <c r="B3665" s="16" t="n">
        <v>45725</v>
      </c>
      <c r="C3665" s="15" t="s">
        <v>56</v>
      </c>
      <c r="D3665" s="15" t="s">
        <v>42</v>
      </c>
      <c r="E3665" s="15" t="s">
        <v>38</v>
      </c>
      <c r="F3665" s="15" t="s">
        <v>17</v>
      </c>
      <c r="G3665" s="15" t="s">
        <v>29</v>
      </c>
      <c r="H3665" s="15" t="n">
        <v>2</v>
      </c>
      <c r="I3665" s="17" t="n">
        <v>0</v>
      </c>
      <c r="J3665" s="18" t="n">
        <v>35.18</v>
      </c>
      <c r="K3665" s="19" t="n">
        <v>12.58</v>
      </c>
      <c r="L3665" s="15" t="n">
        <f aca="false">YEAR(B3665)</f>
        <v>2025</v>
      </c>
      <c r="M3665" s="20" t="n">
        <f aca="false">IF(J3665&gt;0,K3665/J3665,0)</f>
        <v>0.357589539511086</v>
      </c>
    </row>
    <row r="3666" customFormat="false" ht="15" hidden="false" customHeight="false" outlineLevel="0" collapsed="false">
      <c r="A3666" s="15" t="s">
        <v>3723</v>
      </c>
      <c r="B3666" s="16" t="n">
        <v>45275</v>
      </c>
      <c r="C3666" s="15" t="s">
        <v>68</v>
      </c>
      <c r="D3666" s="15" t="s">
        <v>43</v>
      </c>
      <c r="E3666" s="15" t="s">
        <v>37</v>
      </c>
      <c r="F3666" s="15" t="s">
        <v>17</v>
      </c>
      <c r="G3666" s="15" t="s">
        <v>31</v>
      </c>
      <c r="H3666" s="15" t="n">
        <v>1</v>
      </c>
      <c r="I3666" s="17" t="n">
        <v>0.2</v>
      </c>
      <c r="J3666" s="18" t="n">
        <v>112.23</v>
      </c>
      <c r="K3666" s="19" t="n">
        <v>2.4</v>
      </c>
      <c r="L3666" s="15" t="n">
        <f aca="false">YEAR(B3666)</f>
        <v>2023</v>
      </c>
      <c r="M3666" s="20" t="n">
        <f aca="false">IF(J3666&gt;0,K3666/J3666,0)</f>
        <v>0.0213846565089548</v>
      </c>
    </row>
    <row r="3667" customFormat="false" ht="15" hidden="false" customHeight="false" outlineLevel="0" collapsed="false">
      <c r="A3667" s="15" t="s">
        <v>3724</v>
      </c>
      <c r="B3667" s="16" t="n">
        <v>44895</v>
      </c>
      <c r="C3667" s="15" t="s">
        <v>56</v>
      </c>
      <c r="D3667" s="15" t="s">
        <v>43</v>
      </c>
      <c r="E3667" s="15" t="s">
        <v>36</v>
      </c>
      <c r="F3667" s="15" t="s">
        <v>18</v>
      </c>
      <c r="G3667" s="15" t="s">
        <v>33</v>
      </c>
      <c r="H3667" s="15" t="n">
        <v>6</v>
      </c>
      <c r="I3667" s="17" t="n">
        <v>0.2</v>
      </c>
      <c r="J3667" s="18" t="n">
        <v>4608.31</v>
      </c>
      <c r="K3667" s="19" t="n">
        <v>284.89</v>
      </c>
      <c r="L3667" s="15" t="n">
        <f aca="false">YEAR(B3667)</f>
        <v>2022</v>
      </c>
      <c r="M3667" s="20" t="n">
        <f aca="false">IF(J3667&gt;0,K3667/J3667,0)</f>
        <v>0.0618209278455659</v>
      </c>
    </row>
    <row r="3668" customFormat="false" ht="15" hidden="false" customHeight="false" outlineLevel="0" collapsed="false">
      <c r="A3668" s="15" t="s">
        <v>3725</v>
      </c>
      <c r="B3668" s="16" t="n">
        <v>45691</v>
      </c>
      <c r="C3668" s="15" t="s">
        <v>68</v>
      </c>
      <c r="D3668" s="15" t="s">
        <v>42</v>
      </c>
      <c r="E3668" s="15" t="s">
        <v>38</v>
      </c>
      <c r="F3668" s="15" t="s">
        <v>17</v>
      </c>
      <c r="G3668" s="15" t="s">
        <v>28</v>
      </c>
      <c r="H3668" s="15" t="n">
        <v>9</v>
      </c>
      <c r="I3668" s="17" t="n">
        <v>0</v>
      </c>
      <c r="J3668" s="18" t="n">
        <v>184.27</v>
      </c>
      <c r="K3668" s="19" t="n">
        <v>61.98</v>
      </c>
      <c r="L3668" s="15" t="n">
        <f aca="false">YEAR(B3668)</f>
        <v>2025</v>
      </c>
      <c r="M3668" s="20" t="n">
        <f aca="false">IF(J3668&gt;0,K3668/J3668,0)</f>
        <v>0.336354262766592</v>
      </c>
    </row>
    <row r="3669" customFormat="false" ht="15" hidden="false" customHeight="false" outlineLevel="0" collapsed="false">
      <c r="A3669" s="15" t="s">
        <v>3726</v>
      </c>
      <c r="B3669" s="16" t="n">
        <v>45517</v>
      </c>
      <c r="C3669" s="15" t="s">
        <v>58</v>
      </c>
      <c r="D3669" s="15" t="s">
        <v>43</v>
      </c>
      <c r="E3669" s="15" t="s">
        <v>39</v>
      </c>
      <c r="F3669" s="15" t="s">
        <v>17</v>
      </c>
      <c r="G3669" s="15" t="s">
        <v>26</v>
      </c>
      <c r="H3669" s="15" t="n">
        <v>4</v>
      </c>
      <c r="I3669" s="17" t="n">
        <v>0.1</v>
      </c>
      <c r="J3669" s="18" t="n">
        <v>397.37</v>
      </c>
      <c r="K3669" s="19" t="n">
        <v>14.99</v>
      </c>
      <c r="L3669" s="15" t="n">
        <f aca="false">YEAR(B3669)</f>
        <v>2024</v>
      </c>
      <c r="M3669" s="20" t="n">
        <f aca="false">IF(J3669&gt;0,K3669/J3669,0)</f>
        <v>0.0377230289151169</v>
      </c>
    </row>
    <row r="3670" customFormat="false" ht="15" hidden="false" customHeight="false" outlineLevel="0" collapsed="false">
      <c r="A3670" s="15" t="s">
        <v>3727</v>
      </c>
      <c r="B3670" s="16" t="n">
        <v>45949</v>
      </c>
      <c r="C3670" s="15" t="s">
        <v>68</v>
      </c>
      <c r="D3670" s="15" t="s">
        <v>42</v>
      </c>
      <c r="E3670" s="15" t="s">
        <v>37</v>
      </c>
      <c r="F3670" s="15" t="s">
        <v>17</v>
      </c>
      <c r="G3670" s="15" t="s">
        <v>28</v>
      </c>
      <c r="H3670" s="15" t="n">
        <v>3</v>
      </c>
      <c r="I3670" s="17" t="n">
        <v>0</v>
      </c>
      <c r="J3670" s="18" t="n">
        <v>80.3</v>
      </c>
      <c r="K3670" s="19" t="n">
        <v>20.91</v>
      </c>
      <c r="L3670" s="15" t="n">
        <f aca="false">YEAR(B3670)</f>
        <v>2025</v>
      </c>
      <c r="M3670" s="20" t="n">
        <f aca="false">IF(J3670&gt;0,K3670/J3670,0)</f>
        <v>0.260398505603985</v>
      </c>
    </row>
    <row r="3671" customFormat="false" ht="15" hidden="false" customHeight="false" outlineLevel="0" collapsed="false">
      <c r="A3671" s="15" t="s">
        <v>3728</v>
      </c>
      <c r="B3671" s="16" t="n">
        <v>45873</v>
      </c>
      <c r="C3671" s="15" t="s">
        <v>71</v>
      </c>
      <c r="D3671" s="15" t="s">
        <v>44</v>
      </c>
      <c r="E3671" s="15" t="s">
        <v>36</v>
      </c>
      <c r="F3671" s="15" t="s">
        <v>17</v>
      </c>
      <c r="G3671" s="15" t="s">
        <v>29</v>
      </c>
      <c r="H3671" s="15" t="n">
        <v>4</v>
      </c>
      <c r="I3671" s="17" t="n">
        <v>0.15</v>
      </c>
      <c r="J3671" s="18" t="n">
        <v>63.14</v>
      </c>
      <c r="K3671" s="19" t="n">
        <v>18.06</v>
      </c>
      <c r="L3671" s="15" t="n">
        <f aca="false">YEAR(B3671)</f>
        <v>2025</v>
      </c>
      <c r="M3671" s="20" t="n">
        <f aca="false">IF(J3671&gt;0,K3671/J3671,0)</f>
        <v>0.286031042128603</v>
      </c>
    </row>
    <row r="3672" customFormat="false" ht="15" hidden="false" customHeight="false" outlineLevel="0" collapsed="false">
      <c r="A3672" s="15" t="s">
        <v>3729</v>
      </c>
      <c r="B3672" s="16" t="n">
        <v>44725</v>
      </c>
      <c r="C3672" s="15" t="s">
        <v>68</v>
      </c>
      <c r="D3672" s="15" t="s">
        <v>43</v>
      </c>
      <c r="E3672" s="15" t="s">
        <v>36</v>
      </c>
      <c r="F3672" s="15" t="s">
        <v>17</v>
      </c>
      <c r="G3672" s="15" t="s">
        <v>28</v>
      </c>
      <c r="H3672" s="15" t="n">
        <v>2</v>
      </c>
      <c r="I3672" s="17" t="n">
        <v>0.15</v>
      </c>
      <c r="J3672" s="18" t="n">
        <v>46.06</v>
      </c>
      <c r="K3672" s="19" t="n">
        <v>8.89</v>
      </c>
      <c r="L3672" s="15" t="n">
        <f aca="false">YEAR(B3672)</f>
        <v>2022</v>
      </c>
      <c r="M3672" s="20" t="n">
        <f aca="false">IF(J3672&gt;0,K3672/J3672,0)</f>
        <v>0.193009118541033</v>
      </c>
    </row>
    <row r="3673" customFormat="false" ht="15" hidden="false" customHeight="false" outlineLevel="0" collapsed="false">
      <c r="A3673" s="15" t="s">
        <v>3730</v>
      </c>
      <c r="B3673" s="16" t="n">
        <v>45803</v>
      </c>
      <c r="C3673" s="15" t="s">
        <v>56</v>
      </c>
      <c r="D3673" s="15" t="s">
        <v>43</v>
      </c>
      <c r="E3673" s="15" t="s">
        <v>37</v>
      </c>
      <c r="F3673" s="15" t="s">
        <v>18</v>
      </c>
      <c r="G3673" s="15" t="s">
        <v>32</v>
      </c>
      <c r="H3673" s="15" t="n">
        <v>4</v>
      </c>
      <c r="I3673" s="17" t="n">
        <v>0.2</v>
      </c>
      <c r="J3673" s="18" t="n">
        <v>1331.7</v>
      </c>
      <c r="K3673" s="19" t="n">
        <v>-22.55</v>
      </c>
      <c r="L3673" s="15" t="n">
        <f aca="false">YEAR(B3673)</f>
        <v>2025</v>
      </c>
      <c r="M3673" s="20" t="n">
        <f aca="false">IF(J3673&gt;0,K3673/J3673,0)</f>
        <v>-0.0169332432229481</v>
      </c>
    </row>
    <row r="3674" customFormat="false" ht="15" hidden="false" customHeight="false" outlineLevel="0" collapsed="false">
      <c r="A3674" s="15" t="s">
        <v>3731</v>
      </c>
      <c r="B3674" s="16" t="n">
        <v>45851</v>
      </c>
      <c r="C3674" s="15" t="s">
        <v>56</v>
      </c>
      <c r="D3674" s="15" t="s">
        <v>42</v>
      </c>
      <c r="E3674" s="15" t="s">
        <v>39</v>
      </c>
      <c r="F3674" s="15" t="s">
        <v>17</v>
      </c>
      <c r="G3674" s="15" t="s">
        <v>31</v>
      </c>
      <c r="H3674" s="15" t="n">
        <v>6</v>
      </c>
      <c r="I3674" s="17" t="n">
        <v>0.15</v>
      </c>
      <c r="J3674" s="18" t="n">
        <v>670.09</v>
      </c>
      <c r="K3674" s="19" t="n">
        <v>112.09</v>
      </c>
      <c r="L3674" s="15" t="n">
        <f aca="false">YEAR(B3674)</f>
        <v>2025</v>
      </c>
      <c r="M3674" s="20" t="n">
        <f aca="false">IF(J3674&gt;0,K3674/J3674,0)</f>
        <v>0.167276037547195</v>
      </c>
    </row>
    <row r="3675" customFormat="false" ht="15" hidden="false" customHeight="false" outlineLevel="0" collapsed="false">
      <c r="A3675" s="15" t="s">
        <v>3732</v>
      </c>
      <c r="B3675" s="16" t="n">
        <v>45640</v>
      </c>
      <c r="C3675" s="15" t="s">
        <v>58</v>
      </c>
      <c r="D3675" s="15" t="s">
        <v>43</v>
      </c>
      <c r="E3675" s="15" t="s">
        <v>36</v>
      </c>
      <c r="F3675" s="15" t="s">
        <v>17</v>
      </c>
      <c r="G3675" s="15" t="s">
        <v>28</v>
      </c>
      <c r="H3675" s="15" t="n">
        <v>6</v>
      </c>
      <c r="I3675" s="17" t="n">
        <v>0.05</v>
      </c>
      <c r="J3675" s="18" t="n">
        <v>139.78</v>
      </c>
      <c r="K3675" s="19" t="n">
        <v>37.06</v>
      </c>
      <c r="L3675" s="15" t="n">
        <f aca="false">YEAR(B3675)</f>
        <v>2024</v>
      </c>
      <c r="M3675" s="20" t="n">
        <f aca="false">IF(J3675&gt;0,K3675/J3675,0)</f>
        <v>0.26513092001717</v>
      </c>
    </row>
    <row r="3676" customFormat="false" ht="15" hidden="false" customHeight="false" outlineLevel="0" collapsed="false">
      <c r="A3676" s="15" t="s">
        <v>3733</v>
      </c>
      <c r="B3676" s="16" t="n">
        <v>45494</v>
      </c>
      <c r="C3676" s="15" t="s">
        <v>56</v>
      </c>
      <c r="D3676" s="15" t="s">
        <v>42</v>
      </c>
      <c r="E3676" s="15" t="s">
        <v>36</v>
      </c>
      <c r="F3676" s="15" t="s">
        <v>17</v>
      </c>
      <c r="G3676" s="15" t="s">
        <v>28</v>
      </c>
      <c r="H3676" s="15" t="n">
        <v>3</v>
      </c>
      <c r="I3676" s="17" t="n">
        <v>0.2</v>
      </c>
      <c r="J3676" s="18" t="n">
        <v>64</v>
      </c>
      <c r="K3676" s="19" t="n">
        <v>6.99</v>
      </c>
      <c r="L3676" s="15" t="n">
        <f aca="false">YEAR(B3676)</f>
        <v>2024</v>
      </c>
      <c r="M3676" s="20" t="n">
        <f aca="false">IF(J3676&gt;0,K3676/J3676,0)</f>
        <v>0.10921875</v>
      </c>
    </row>
    <row r="3677" customFormat="false" ht="15" hidden="false" customHeight="false" outlineLevel="0" collapsed="false">
      <c r="A3677" s="15" t="s">
        <v>3734</v>
      </c>
      <c r="B3677" s="16" t="n">
        <v>46021</v>
      </c>
      <c r="C3677" s="15" t="s">
        <v>56</v>
      </c>
      <c r="D3677" s="15" t="s">
        <v>42</v>
      </c>
      <c r="E3677" s="15" t="s">
        <v>39</v>
      </c>
      <c r="F3677" s="15" t="s">
        <v>17</v>
      </c>
      <c r="G3677" s="15" t="s">
        <v>31</v>
      </c>
      <c r="H3677" s="15" t="n">
        <v>5</v>
      </c>
      <c r="I3677" s="17" t="n">
        <v>0.05</v>
      </c>
      <c r="J3677" s="18" t="n">
        <v>592.57</v>
      </c>
      <c r="K3677" s="19" t="n">
        <v>96.6</v>
      </c>
      <c r="L3677" s="15" t="n">
        <f aca="false">YEAR(B3677)</f>
        <v>2025</v>
      </c>
      <c r="M3677" s="20" t="n">
        <f aca="false">IF(J3677&gt;0,K3677/J3677,0)</f>
        <v>0.163018715088513</v>
      </c>
    </row>
    <row r="3678" customFormat="false" ht="15" hidden="false" customHeight="false" outlineLevel="0" collapsed="false">
      <c r="A3678" s="15" t="s">
        <v>3735</v>
      </c>
      <c r="B3678" s="16" t="n">
        <v>45460</v>
      </c>
      <c r="C3678" s="15" t="s">
        <v>56</v>
      </c>
      <c r="D3678" s="15" t="s">
        <v>42</v>
      </c>
      <c r="E3678" s="15" t="s">
        <v>39</v>
      </c>
      <c r="F3678" s="15" t="s">
        <v>17</v>
      </c>
      <c r="G3678" s="15" t="s">
        <v>29</v>
      </c>
      <c r="H3678" s="15" t="n">
        <v>1</v>
      </c>
      <c r="I3678" s="17" t="n">
        <v>0.1</v>
      </c>
      <c r="J3678" s="18" t="n">
        <v>18.33</v>
      </c>
      <c r="K3678" s="19" t="n">
        <v>4.75</v>
      </c>
      <c r="L3678" s="15" t="n">
        <f aca="false">YEAR(B3678)</f>
        <v>2024</v>
      </c>
      <c r="M3678" s="20" t="n">
        <f aca="false">IF(J3678&gt;0,K3678/J3678,0)</f>
        <v>0.259138025095472</v>
      </c>
    </row>
    <row r="3679" customFormat="false" ht="15" hidden="false" customHeight="false" outlineLevel="0" collapsed="false">
      <c r="A3679" s="15" t="s">
        <v>3736</v>
      </c>
      <c r="B3679" s="16" t="n">
        <v>44710</v>
      </c>
      <c r="C3679" s="15" t="s">
        <v>56</v>
      </c>
      <c r="D3679" s="15" t="s">
        <v>42</v>
      </c>
      <c r="E3679" s="15" t="s">
        <v>39</v>
      </c>
      <c r="F3679" s="15" t="s">
        <v>17</v>
      </c>
      <c r="G3679" s="15" t="s">
        <v>31</v>
      </c>
      <c r="H3679" s="15" t="n">
        <v>3</v>
      </c>
      <c r="I3679" s="17" t="n">
        <v>0</v>
      </c>
      <c r="J3679" s="18" t="n">
        <v>359.54</v>
      </c>
      <c r="K3679" s="19" t="n">
        <v>70.12</v>
      </c>
      <c r="L3679" s="15" t="n">
        <f aca="false">YEAR(B3679)</f>
        <v>2022</v>
      </c>
      <c r="M3679" s="20" t="n">
        <f aca="false">IF(J3679&gt;0,K3679/J3679,0)</f>
        <v>0.195026978917506</v>
      </c>
    </row>
    <row r="3680" customFormat="false" ht="15" hidden="false" customHeight="false" outlineLevel="0" collapsed="false">
      <c r="A3680" s="15" t="s">
        <v>3737</v>
      </c>
      <c r="B3680" s="16" t="n">
        <v>45758</v>
      </c>
      <c r="C3680" s="15" t="s">
        <v>56</v>
      </c>
      <c r="D3680" s="15" t="s">
        <v>44</v>
      </c>
      <c r="E3680" s="15" t="s">
        <v>39</v>
      </c>
      <c r="F3680" s="15" t="s">
        <v>18</v>
      </c>
      <c r="G3680" s="15" t="s">
        <v>33</v>
      </c>
      <c r="H3680" s="15" t="n">
        <v>5</v>
      </c>
      <c r="I3680" s="17" t="n">
        <v>0.05</v>
      </c>
      <c r="J3680" s="18" t="n">
        <v>4794.74</v>
      </c>
      <c r="K3680" s="19" t="n">
        <v>1131.14</v>
      </c>
      <c r="L3680" s="15" t="n">
        <f aca="false">YEAR(B3680)</f>
        <v>2025</v>
      </c>
      <c r="M3680" s="20" t="n">
        <f aca="false">IF(J3680&gt;0,K3680/J3680,0)</f>
        <v>0.235912687653554</v>
      </c>
    </row>
    <row r="3681" customFormat="false" ht="15" hidden="false" customHeight="false" outlineLevel="0" collapsed="false">
      <c r="A3681" s="15" t="s">
        <v>3738</v>
      </c>
      <c r="B3681" s="16" t="n">
        <v>45470</v>
      </c>
      <c r="C3681" s="15" t="s">
        <v>68</v>
      </c>
      <c r="D3681" s="15" t="s">
        <v>42</v>
      </c>
      <c r="E3681" s="15" t="s">
        <v>38</v>
      </c>
      <c r="F3681" s="15" t="s">
        <v>17</v>
      </c>
      <c r="G3681" s="15" t="s">
        <v>26</v>
      </c>
      <c r="H3681" s="15" t="n">
        <v>3</v>
      </c>
      <c r="I3681" s="17" t="n">
        <v>0.4</v>
      </c>
      <c r="J3681" s="18" t="n">
        <v>131.11</v>
      </c>
      <c r="K3681" s="19" t="n">
        <v>-37.28</v>
      </c>
      <c r="L3681" s="15" t="n">
        <f aca="false">YEAR(B3681)</f>
        <v>2024</v>
      </c>
      <c r="M3681" s="20" t="n">
        <f aca="false">IF(J3681&gt;0,K3681/J3681,0)</f>
        <v>-0.284341392723667</v>
      </c>
    </row>
    <row r="3682" customFormat="false" ht="15" hidden="false" customHeight="false" outlineLevel="0" collapsed="false">
      <c r="A3682" s="15" t="s">
        <v>3739</v>
      </c>
      <c r="B3682" s="16" t="n">
        <v>45667</v>
      </c>
      <c r="C3682" s="15" t="s">
        <v>56</v>
      </c>
      <c r="D3682" s="15" t="s">
        <v>44</v>
      </c>
      <c r="E3682" s="15" t="s">
        <v>36</v>
      </c>
      <c r="F3682" s="15" t="s">
        <v>16</v>
      </c>
      <c r="G3682" s="15" t="s">
        <v>27</v>
      </c>
      <c r="H3682" s="15" t="n">
        <v>3</v>
      </c>
      <c r="I3682" s="17" t="n">
        <v>0.15</v>
      </c>
      <c r="J3682" s="18" t="n">
        <v>163.91</v>
      </c>
      <c r="K3682" s="19" t="n">
        <v>5.48</v>
      </c>
      <c r="L3682" s="15" t="n">
        <f aca="false">YEAR(B3682)</f>
        <v>2025</v>
      </c>
      <c r="M3682" s="20" t="n">
        <f aca="false">IF(J3682&gt;0,K3682/J3682,0)</f>
        <v>0.0334329815142456</v>
      </c>
    </row>
    <row r="3683" customFormat="false" ht="15" hidden="false" customHeight="false" outlineLevel="0" collapsed="false">
      <c r="A3683" s="15" t="s">
        <v>3740</v>
      </c>
      <c r="B3683" s="16" t="n">
        <v>44876</v>
      </c>
      <c r="C3683" s="15" t="s">
        <v>56</v>
      </c>
      <c r="D3683" s="15" t="s">
        <v>42</v>
      </c>
      <c r="E3683" s="15" t="s">
        <v>36</v>
      </c>
      <c r="F3683" s="15" t="s">
        <v>17</v>
      </c>
      <c r="G3683" s="15" t="s">
        <v>28</v>
      </c>
      <c r="H3683" s="15" t="n">
        <v>2</v>
      </c>
      <c r="I3683" s="17" t="n">
        <v>0.15</v>
      </c>
      <c r="J3683" s="18" t="n">
        <v>38.84</v>
      </c>
      <c r="K3683" s="19" t="n">
        <v>5.75</v>
      </c>
      <c r="L3683" s="15" t="n">
        <f aca="false">YEAR(B3683)</f>
        <v>2022</v>
      </c>
      <c r="M3683" s="20" t="n">
        <f aca="false">IF(J3683&gt;0,K3683/J3683,0)</f>
        <v>0.148043254376931</v>
      </c>
    </row>
    <row r="3684" customFormat="false" ht="15" hidden="false" customHeight="false" outlineLevel="0" collapsed="false">
      <c r="A3684" s="15" t="s">
        <v>3741</v>
      </c>
      <c r="B3684" s="16" t="n">
        <v>45809</v>
      </c>
      <c r="C3684" s="15" t="s">
        <v>71</v>
      </c>
      <c r="D3684" s="15" t="s">
        <v>43</v>
      </c>
      <c r="E3684" s="15" t="s">
        <v>39</v>
      </c>
      <c r="F3684" s="15" t="s">
        <v>17</v>
      </c>
      <c r="G3684" s="15" t="s">
        <v>28</v>
      </c>
      <c r="H3684" s="15" t="n">
        <v>3</v>
      </c>
      <c r="I3684" s="17" t="n">
        <v>0.15</v>
      </c>
      <c r="J3684" s="18" t="n">
        <v>84.63</v>
      </c>
      <c r="K3684" s="19" t="n">
        <v>15.93</v>
      </c>
      <c r="L3684" s="15" t="n">
        <f aca="false">YEAR(B3684)</f>
        <v>2025</v>
      </c>
      <c r="M3684" s="20" t="n">
        <f aca="false">IF(J3684&gt;0,K3684/J3684,0)</f>
        <v>0.188231123714995</v>
      </c>
    </row>
    <row r="3685" customFormat="false" ht="15" hidden="false" customHeight="false" outlineLevel="0" collapsed="false">
      <c r="A3685" s="15" t="s">
        <v>3742</v>
      </c>
      <c r="B3685" s="16" t="n">
        <v>44959</v>
      </c>
      <c r="C3685" s="15" t="s">
        <v>71</v>
      </c>
      <c r="D3685" s="15" t="s">
        <v>42</v>
      </c>
      <c r="E3685" s="15" t="s">
        <v>36</v>
      </c>
      <c r="F3685" s="15" t="s">
        <v>18</v>
      </c>
      <c r="G3685" s="15" t="s">
        <v>30</v>
      </c>
      <c r="H3685" s="15" t="n">
        <v>1</v>
      </c>
      <c r="I3685" s="17" t="n">
        <v>0.05</v>
      </c>
      <c r="J3685" s="18" t="n">
        <v>39.13</v>
      </c>
      <c r="K3685" s="19" t="n">
        <v>7.47</v>
      </c>
      <c r="L3685" s="15" t="n">
        <f aca="false">YEAR(B3685)</f>
        <v>2023</v>
      </c>
      <c r="M3685" s="20" t="n">
        <f aca="false">IF(J3685&gt;0,K3685/J3685,0)</f>
        <v>0.190902121134679</v>
      </c>
    </row>
    <row r="3686" customFormat="false" ht="15" hidden="false" customHeight="false" outlineLevel="0" collapsed="false">
      <c r="A3686" s="15" t="s">
        <v>3743</v>
      </c>
      <c r="B3686" s="16" t="n">
        <v>45827</v>
      </c>
      <c r="C3686" s="15" t="s">
        <v>56</v>
      </c>
      <c r="D3686" s="15" t="s">
        <v>42</v>
      </c>
      <c r="E3686" s="15" t="s">
        <v>38</v>
      </c>
      <c r="F3686" s="15" t="s">
        <v>16</v>
      </c>
      <c r="G3686" s="15" t="s">
        <v>23</v>
      </c>
      <c r="H3686" s="15" t="n">
        <v>8</v>
      </c>
      <c r="I3686" s="17" t="n">
        <v>0.2</v>
      </c>
      <c r="J3686" s="18" t="n">
        <v>2094.89</v>
      </c>
      <c r="K3686" s="19" t="n">
        <v>-408.27</v>
      </c>
      <c r="L3686" s="15" t="n">
        <f aca="false">YEAR(B3686)</f>
        <v>2025</v>
      </c>
      <c r="M3686" s="20" t="n">
        <f aca="false">IF(J3686&gt;0,K3686/J3686,0)</f>
        <v>-0.194888514432739</v>
      </c>
    </row>
    <row r="3687" customFormat="false" ht="15" hidden="false" customHeight="false" outlineLevel="0" collapsed="false">
      <c r="A3687" s="15" t="s">
        <v>3744</v>
      </c>
      <c r="B3687" s="16" t="n">
        <v>44777</v>
      </c>
      <c r="C3687" s="15" t="s">
        <v>71</v>
      </c>
      <c r="D3687" s="15" t="s">
        <v>42</v>
      </c>
      <c r="E3687" s="15" t="s">
        <v>39</v>
      </c>
      <c r="F3687" s="15" t="s">
        <v>17</v>
      </c>
      <c r="G3687" s="15" t="s">
        <v>28</v>
      </c>
      <c r="H3687" s="15" t="n">
        <v>4</v>
      </c>
      <c r="I3687" s="17" t="n">
        <v>0.2</v>
      </c>
      <c r="J3687" s="18" t="n">
        <v>93.23</v>
      </c>
      <c r="K3687" s="19" t="n">
        <v>6.8</v>
      </c>
      <c r="L3687" s="15" t="n">
        <f aca="false">YEAR(B3687)</f>
        <v>2022</v>
      </c>
      <c r="M3687" s="20" t="n">
        <f aca="false">IF(J3687&gt;0,K3687/J3687,0)</f>
        <v>0.0729378955271908</v>
      </c>
    </row>
    <row r="3688" customFormat="false" ht="15" hidden="false" customHeight="false" outlineLevel="0" collapsed="false">
      <c r="A3688" s="15" t="s">
        <v>3745</v>
      </c>
      <c r="B3688" s="16" t="n">
        <v>45999</v>
      </c>
      <c r="C3688" s="15" t="s">
        <v>56</v>
      </c>
      <c r="D3688" s="15" t="s">
        <v>43</v>
      </c>
      <c r="E3688" s="15" t="s">
        <v>37</v>
      </c>
      <c r="F3688" s="15" t="s">
        <v>17</v>
      </c>
      <c r="G3688" s="15" t="s">
        <v>31</v>
      </c>
      <c r="H3688" s="15" t="n">
        <v>3</v>
      </c>
      <c r="I3688" s="17" t="n">
        <v>0.15</v>
      </c>
      <c r="J3688" s="18" t="n">
        <v>328.69</v>
      </c>
      <c r="K3688" s="19" t="n">
        <v>19.59</v>
      </c>
      <c r="L3688" s="15" t="n">
        <f aca="false">YEAR(B3688)</f>
        <v>2025</v>
      </c>
      <c r="M3688" s="20" t="n">
        <f aca="false">IF(J3688&gt;0,K3688/J3688,0)</f>
        <v>0.0596002312209072</v>
      </c>
    </row>
    <row r="3689" customFormat="false" ht="15" hidden="false" customHeight="false" outlineLevel="0" collapsed="false">
      <c r="A3689" s="15" t="s">
        <v>3746</v>
      </c>
      <c r="B3689" s="16" t="n">
        <v>45624</v>
      </c>
      <c r="C3689" s="15" t="s">
        <v>56</v>
      </c>
      <c r="D3689" s="15" t="s">
        <v>42</v>
      </c>
      <c r="E3689" s="15" t="s">
        <v>38</v>
      </c>
      <c r="F3689" s="15" t="s">
        <v>17</v>
      </c>
      <c r="G3689" s="15" t="s">
        <v>28</v>
      </c>
      <c r="H3689" s="15" t="n">
        <v>5</v>
      </c>
      <c r="I3689" s="17" t="n">
        <v>0</v>
      </c>
      <c r="J3689" s="18" t="n">
        <v>122.08</v>
      </c>
      <c r="K3689" s="19" t="n">
        <v>38.86</v>
      </c>
      <c r="L3689" s="15" t="n">
        <f aca="false">YEAR(B3689)</f>
        <v>2024</v>
      </c>
      <c r="M3689" s="20" t="n">
        <f aca="false">IF(J3689&gt;0,K3689/J3689,0)</f>
        <v>0.318315858453473</v>
      </c>
    </row>
    <row r="3690" customFormat="false" ht="15" hidden="false" customHeight="false" outlineLevel="0" collapsed="false">
      <c r="A3690" s="15" t="s">
        <v>3747</v>
      </c>
      <c r="B3690" s="16" t="n">
        <v>44766</v>
      </c>
      <c r="C3690" s="15" t="s">
        <v>56</v>
      </c>
      <c r="D3690" s="15" t="s">
        <v>44</v>
      </c>
      <c r="E3690" s="15" t="s">
        <v>39</v>
      </c>
      <c r="F3690" s="15" t="s">
        <v>17</v>
      </c>
      <c r="G3690" s="15" t="s">
        <v>29</v>
      </c>
      <c r="H3690" s="15" t="n">
        <v>3</v>
      </c>
      <c r="I3690" s="17" t="n">
        <v>0.15</v>
      </c>
      <c r="J3690" s="18" t="n">
        <v>44.76</v>
      </c>
      <c r="K3690" s="19" t="n">
        <v>10.84</v>
      </c>
      <c r="L3690" s="15" t="n">
        <f aca="false">YEAR(B3690)</f>
        <v>2022</v>
      </c>
      <c r="M3690" s="20" t="n">
        <f aca="false">IF(J3690&gt;0,K3690/J3690,0)</f>
        <v>0.242180518319929</v>
      </c>
    </row>
    <row r="3691" customFormat="false" ht="15" hidden="false" customHeight="false" outlineLevel="0" collapsed="false">
      <c r="A3691" s="15" t="s">
        <v>3748</v>
      </c>
      <c r="B3691" s="16" t="n">
        <v>45000</v>
      </c>
      <c r="C3691" s="15" t="s">
        <v>56</v>
      </c>
      <c r="D3691" s="15" t="s">
        <v>42</v>
      </c>
      <c r="E3691" s="15" t="s">
        <v>38</v>
      </c>
      <c r="F3691" s="15" t="s">
        <v>18</v>
      </c>
      <c r="G3691" s="15" t="s">
        <v>32</v>
      </c>
      <c r="H3691" s="15" t="n">
        <v>2</v>
      </c>
      <c r="I3691" s="17" t="n">
        <v>0</v>
      </c>
      <c r="J3691" s="18" t="n">
        <v>685.35</v>
      </c>
      <c r="K3691" s="19" t="n">
        <v>158.17</v>
      </c>
      <c r="L3691" s="15" t="n">
        <f aca="false">YEAR(B3691)</f>
        <v>2023</v>
      </c>
      <c r="M3691" s="20" t="n">
        <f aca="false">IF(J3691&gt;0,K3691/J3691,0)</f>
        <v>0.230787189027504</v>
      </c>
    </row>
    <row r="3692" customFormat="false" ht="15" hidden="false" customHeight="false" outlineLevel="0" collapsed="false">
      <c r="A3692" s="15" t="s">
        <v>3749</v>
      </c>
      <c r="B3692" s="16" t="n">
        <v>45600</v>
      </c>
      <c r="C3692" s="15" t="s">
        <v>58</v>
      </c>
      <c r="D3692" s="15" t="s">
        <v>43</v>
      </c>
      <c r="E3692" s="15" t="s">
        <v>36</v>
      </c>
      <c r="F3692" s="15" t="s">
        <v>18</v>
      </c>
      <c r="G3692" s="15" t="s">
        <v>32</v>
      </c>
      <c r="H3692" s="15" t="n">
        <v>3</v>
      </c>
      <c r="I3692" s="17" t="n">
        <v>0.3</v>
      </c>
      <c r="J3692" s="18" t="n">
        <v>745.65</v>
      </c>
      <c r="K3692" s="19" t="n">
        <v>-57.07</v>
      </c>
      <c r="L3692" s="15" t="n">
        <f aca="false">YEAR(B3692)</f>
        <v>2024</v>
      </c>
      <c r="M3692" s="20" t="n">
        <f aca="false">IF(J3692&gt;0,K3692/J3692,0)</f>
        <v>-0.0765372493797358</v>
      </c>
    </row>
    <row r="3693" customFormat="false" ht="15" hidden="false" customHeight="false" outlineLevel="0" collapsed="false">
      <c r="A3693" s="15" t="s">
        <v>3750</v>
      </c>
      <c r="B3693" s="16" t="n">
        <v>44982</v>
      </c>
      <c r="C3693" s="15" t="s">
        <v>56</v>
      </c>
      <c r="D3693" s="15" t="s">
        <v>43</v>
      </c>
      <c r="E3693" s="15" t="s">
        <v>36</v>
      </c>
      <c r="F3693" s="15" t="s">
        <v>17</v>
      </c>
      <c r="G3693" s="15" t="s">
        <v>28</v>
      </c>
      <c r="H3693" s="15" t="n">
        <v>3</v>
      </c>
      <c r="I3693" s="17" t="n">
        <v>0.05</v>
      </c>
      <c r="J3693" s="18" t="n">
        <v>63.77</v>
      </c>
      <c r="K3693" s="19" t="n">
        <v>12.39</v>
      </c>
      <c r="L3693" s="15" t="n">
        <f aca="false">YEAR(B3693)</f>
        <v>2023</v>
      </c>
      <c r="M3693" s="20" t="n">
        <f aca="false">IF(J3693&gt;0,K3693/J3693,0)</f>
        <v>0.194291986827662</v>
      </c>
    </row>
    <row r="3694" customFormat="false" ht="15" hidden="false" customHeight="false" outlineLevel="0" collapsed="false">
      <c r="A3694" s="15" t="s">
        <v>3751</v>
      </c>
      <c r="B3694" s="16" t="n">
        <v>45569</v>
      </c>
      <c r="C3694" s="15" t="s">
        <v>56</v>
      </c>
      <c r="D3694" s="15" t="s">
        <v>44</v>
      </c>
      <c r="E3694" s="15" t="s">
        <v>39</v>
      </c>
      <c r="F3694" s="15" t="s">
        <v>17</v>
      </c>
      <c r="G3694" s="15" t="s">
        <v>28</v>
      </c>
      <c r="H3694" s="15" t="n">
        <v>1</v>
      </c>
      <c r="I3694" s="17" t="n">
        <v>0</v>
      </c>
      <c r="J3694" s="18" t="n">
        <v>27.81</v>
      </c>
      <c r="K3694" s="19" t="n">
        <v>10.13</v>
      </c>
      <c r="L3694" s="15" t="n">
        <f aca="false">YEAR(B3694)</f>
        <v>2024</v>
      </c>
      <c r="M3694" s="20" t="n">
        <f aca="false">IF(J3694&gt;0,K3694/J3694,0)</f>
        <v>0.36425746134484</v>
      </c>
    </row>
    <row r="3695" customFormat="false" ht="15" hidden="false" customHeight="false" outlineLevel="0" collapsed="false">
      <c r="A3695" s="15" t="s">
        <v>3752</v>
      </c>
      <c r="B3695" s="16" t="n">
        <v>45519</v>
      </c>
      <c r="C3695" s="15" t="s">
        <v>56</v>
      </c>
      <c r="D3695" s="15" t="s">
        <v>42</v>
      </c>
      <c r="E3695" s="15" t="s">
        <v>36</v>
      </c>
      <c r="F3695" s="15" t="s">
        <v>17</v>
      </c>
      <c r="G3695" s="15" t="s">
        <v>28</v>
      </c>
      <c r="H3695" s="15" t="n">
        <v>2</v>
      </c>
      <c r="I3695" s="17" t="n">
        <v>0</v>
      </c>
      <c r="J3695" s="18" t="n">
        <v>40.68</v>
      </c>
      <c r="K3695" s="19" t="n">
        <v>11.79</v>
      </c>
      <c r="L3695" s="15" t="n">
        <f aca="false">YEAR(B3695)</f>
        <v>2024</v>
      </c>
      <c r="M3695" s="20" t="n">
        <f aca="false">IF(J3695&gt;0,K3695/J3695,0)</f>
        <v>0.289823008849558</v>
      </c>
    </row>
    <row r="3696" customFormat="false" ht="15" hidden="false" customHeight="false" outlineLevel="0" collapsed="false">
      <c r="A3696" s="15" t="s">
        <v>3753</v>
      </c>
      <c r="B3696" s="16" t="n">
        <v>45704</v>
      </c>
      <c r="C3696" s="15" t="s">
        <v>56</v>
      </c>
      <c r="D3696" s="15" t="s">
        <v>44</v>
      </c>
      <c r="E3696" s="15" t="s">
        <v>37</v>
      </c>
      <c r="F3696" s="15" t="s">
        <v>17</v>
      </c>
      <c r="G3696" s="15" t="s">
        <v>29</v>
      </c>
      <c r="H3696" s="15" t="n">
        <v>6</v>
      </c>
      <c r="I3696" s="17" t="n">
        <v>0.2</v>
      </c>
      <c r="J3696" s="18" t="n">
        <v>91.86</v>
      </c>
      <c r="K3696" s="19" t="n">
        <v>23.81</v>
      </c>
      <c r="L3696" s="15" t="n">
        <f aca="false">YEAR(B3696)</f>
        <v>2025</v>
      </c>
      <c r="M3696" s="20" t="n">
        <f aca="false">IF(J3696&gt;0,K3696/J3696,0)</f>
        <v>0.25919878075332</v>
      </c>
    </row>
    <row r="3697" customFormat="false" ht="15" hidden="false" customHeight="false" outlineLevel="0" collapsed="false">
      <c r="A3697" s="15" t="s">
        <v>3754</v>
      </c>
      <c r="B3697" s="16" t="n">
        <v>45237</v>
      </c>
      <c r="C3697" s="15" t="s">
        <v>56</v>
      </c>
      <c r="D3697" s="15" t="s">
        <v>42</v>
      </c>
      <c r="E3697" s="15" t="s">
        <v>38</v>
      </c>
      <c r="F3697" s="15" t="s">
        <v>16</v>
      </c>
      <c r="G3697" s="15" t="s">
        <v>27</v>
      </c>
      <c r="H3697" s="15" t="n">
        <v>4</v>
      </c>
      <c r="I3697" s="17" t="n">
        <v>0</v>
      </c>
      <c r="J3697" s="18" t="n">
        <v>212.1</v>
      </c>
      <c r="K3697" s="19" t="n">
        <v>45.51</v>
      </c>
      <c r="L3697" s="15" t="n">
        <f aca="false">YEAR(B3697)</f>
        <v>2023</v>
      </c>
      <c r="M3697" s="20" t="n">
        <f aca="false">IF(J3697&gt;0,K3697/J3697,0)</f>
        <v>0.214568599717115</v>
      </c>
    </row>
    <row r="3698" customFormat="false" ht="15" hidden="false" customHeight="false" outlineLevel="0" collapsed="false">
      <c r="A3698" s="15" t="s">
        <v>3755</v>
      </c>
      <c r="B3698" s="16" t="n">
        <v>46004</v>
      </c>
      <c r="C3698" s="15" t="s">
        <v>56</v>
      </c>
      <c r="D3698" s="15" t="s">
        <v>42</v>
      </c>
      <c r="E3698" s="15" t="s">
        <v>38</v>
      </c>
      <c r="F3698" s="15" t="s">
        <v>17</v>
      </c>
      <c r="G3698" s="15" t="s">
        <v>28</v>
      </c>
      <c r="H3698" s="15" t="n">
        <v>4</v>
      </c>
      <c r="I3698" s="17" t="n">
        <v>0.2</v>
      </c>
      <c r="J3698" s="18" t="n">
        <v>80.06</v>
      </c>
      <c r="K3698" s="19" t="n">
        <v>10.04</v>
      </c>
      <c r="L3698" s="15" t="n">
        <f aca="false">YEAR(B3698)</f>
        <v>2025</v>
      </c>
      <c r="M3698" s="20" t="n">
        <f aca="false">IF(J3698&gt;0,K3698/J3698,0)</f>
        <v>0.125405945540844</v>
      </c>
    </row>
    <row r="3699" customFormat="false" ht="15" hidden="false" customHeight="false" outlineLevel="0" collapsed="false">
      <c r="A3699" s="15" t="s">
        <v>3756</v>
      </c>
      <c r="B3699" s="16" t="n">
        <v>45118</v>
      </c>
      <c r="C3699" s="15" t="s">
        <v>56</v>
      </c>
      <c r="D3699" s="15" t="s">
        <v>43</v>
      </c>
      <c r="E3699" s="15" t="s">
        <v>39</v>
      </c>
      <c r="F3699" s="15" t="s">
        <v>16</v>
      </c>
      <c r="G3699" s="15" t="s">
        <v>25</v>
      </c>
      <c r="H3699" s="15" t="n">
        <v>4</v>
      </c>
      <c r="I3699" s="17" t="n">
        <v>0</v>
      </c>
      <c r="J3699" s="18" t="n">
        <v>1125.89</v>
      </c>
      <c r="K3699" s="19" t="n">
        <v>145.08</v>
      </c>
      <c r="L3699" s="15" t="n">
        <f aca="false">YEAR(B3699)</f>
        <v>2023</v>
      </c>
      <c r="M3699" s="20" t="n">
        <f aca="false">IF(J3699&gt;0,K3699/J3699,0)</f>
        <v>0.128858058957802</v>
      </c>
    </row>
    <row r="3700" customFormat="false" ht="15" hidden="false" customHeight="false" outlineLevel="0" collapsed="false">
      <c r="A3700" s="15" t="s">
        <v>3757</v>
      </c>
      <c r="B3700" s="16" t="n">
        <v>45989</v>
      </c>
      <c r="C3700" s="15" t="s">
        <v>56</v>
      </c>
      <c r="D3700" s="15" t="s">
        <v>42</v>
      </c>
      <c r="E3700" s="15" t="s">
        <v>38</v>
      </c>
      <c r="F3700" s="15" t="s">
        <v>18</v>
      </c>
      <c r="G3700" s="15" t="s">
        <v>30</v>
      </c>
      <c r="H3700" s="15" t="n">
        <v>3</v>
      </c>
      <c r="I3700" s="17" t="n">
        <v>0.4</v>
      </c>
      <c r="J3700" s="18" t="n">
        <v>55.77</v>
      </c>
      <c r="K3700" s="19" t="n">
        <v>-1.85</v>
      </c>
      <c r="L3700" s="15" t="n">
        <f aca="false">YEAR(B3700)</f>
        <v>2025</v>
      </c>
      <c r="M3700" s="20" t="n">
        <f aca="false">IF(J3700&gt;0,K3700/J3700,0)</f>
        <v>-0.0331719562488793</v>
      </c>
    </row>
    <row r="3701" customFormat="false" ht="15" hidden="false" customHeight="false" outlineLevel="0" collapsed="false">
      <c r="A3701" s="15" t="s">
        <v>3758</v>
      </c>
      <c r="B3701" s="16" t="n">
        <v>44704</v>
      </c>
      <c r="C3701" s="15" t="s">
        <v>71</v>
      </c>
      <c r="D3701" s="15" t="s">
        <v>44</v>
      </c>
      <c r="E3701" s="15" t="s">
        <v>37</v>
      </c>
      <c r="F3701" s="15" t="s">
        <v>17</v>
      </c>
      <c r="G3701" s="15" t="s">
        <v>26</v>
      </c>
      <c r="H3701" s="15" t="n">
        <v>5</v>
      </c>
      <c r="I3701" s="17" t="n">
        <v>0</v>
      </c>
      <c r="J3701" s="18" t="n">
        <v>364.19</v>
      </c>
      <c r="K3701" s="19" t="n">
        <v>61.59</v>
      </c>
      <c r="L3701" s="15" t="n">
        <f aca="false">YEAR(B3701)</f>
        <v>2022</v>
      </c>
      <c r="M3701" s="20" t="n">
        <f aca="false">IF(J3701&gt;0,K3701/J3701,0)</f>
        <v>0.169115022378429</v>
      </c>
    </row>
    <row r="3702" customFormat="false" ht="15" hidden="false" customHeight="false" outlineLevel="0" collapsed="false">
      <c r="A3702" s="15" t="s">
        <v>3759</v>
      </c>
      <c r="B3702" s="16" t="n">
        <v>45197</v>
      </c>
      <c r="C3702" s="15" t="s">
        <v>56</v>
      </c>
      <c r="D3702" s="15" t="s">
        <v>43</v>
      </c>
      <c r="E3702" s="15" t="s">
        <v>38</v>
      </c>
      <c r="F3702" s="15" t="s">
        <v>18</v>
      </c>
      <c r="G3702" s="15" t="s">
        <v>32</v>
      </c>
      <c r="H3702" s="15" t="n">
        <v>3</v>
      </c>
      <c r="I3702" s="17" t="n">
        <v>0.15</v>
      </c>
      <c r="J3702" s="18" t="n">
        <v>1096.68</v>
      </c>
      <c r="K3702" s="19" t="n">
        <v>15.14</v>
      </c>
      <c r="L3702" s="15" t="n">
        <f aca="false">YEAR(B3702)</f>
        <v>2023</v>
      </c>
      <c r="M3702" s="20" t="n">
        <f aca="false">IF(J3702&gt;0,K3702/J3702,0)</f>
        <v>0.0138053032789875</v>
      </c>
    </row>
    <row r="3703" customFormat="false" ht="15" hidden="false" customHeight="false" outlineLevel="0" collapsed="false">
      <c r="A3703" s="15" t="s">
        <v>3760</v>
      </c>
      <c r="B3703" s="16" t="n">
        <v>45408</v>
      </c>
      <c r="C3703" s="15" t="s">
        <v>68</v>
      </c>
      <c r="D3703" s="15" t="s">
        <v>42</v>
      </c>
      <c r="E3703" s="15" t="s">
        <v>38</v>
      </c>
      <c r="F3703" s="15" t="s">
        <v>17</v>
      </c>
      <c r="G3703" s="15" t="s">
        <v>29</v>
      </c>
      <c r="H3703" s="15" t="n">
        <v>3</v>
      </c>
      <c r="I3703" s="17" t="n">
        <v>0.15</v>
      </c>
      <c r="J3703" s="18" t="n">
        <v>43.63</v>
      </c>
      <c r="K3703" s="19" t="n">
        <v>11.57</v>
      </c>
      <c r="L3703" s="15" t="n">
        <f aca="false">YEAR(B3703)</f>
        <v>2024</v>
      </c>
      <c r="M3703" s="20" t="n">
        <f aca="false">IF(J3703&gt;0,K3703/J3703,0)</f>
        <v>0.265184506073802</v>
      </c>
    </row>
    <row r="3704" customFormat="false" ht="15" hidden="false" customHeight="false" outlineLevel="0" collapsed="false">
      <c r="A3704" s="15" t="s">
        <v>3761</v>
      </c>
      <c r="B3704" s="16" t="n">
        <v>45910</v>
      </c>
      <c r="C3704" s="15" t="s">
        <v>71</v>
      </c>
      <c r="D3704" s="15" t="s">
        <v>43</v>
      </c>
      <c r="E3704" s="15" t="s">
        <v>38</v>
      </c>
      <c r="F3704" s="15" t="s">
        <v>17</v>
      </c>
      <c r="G3704" s="15" t="s">
        <v>31</v>
      </c>
      <c r="H3704" s="15" t="n">
        <v>3</v>
      </c>
      <c r="I3704" s="17" t="n">
        <v>0.1</v>
      </c>
      <c r="J3704" s="18" t="n">
        <v>338.05</v>
      </c>
      <c r="K3704" s="19" t="n">
        <v>21.1</v>
      </c>
      <c r="L3704" s="15" t="n">
        <f aca="false">YEAR(B3704)</f>
        <v>2025</v>
      </c>
      <c r="M3704" s="20" t="n">
        <f aca="false">IF(J3704&gt;0,K3704/J3704,0)</f>
        <v>0.0624168022481881</v>
      </c>
    </row>
    <row r="3705" customFormat="false" ht="15" hidden="false" customHeight="false" outlineLevel="0" collapsed="false">
      <c r="A3705" s="15" t="s">
        <v>3762</v>
      </c>
      <c r="B3705" s="16" t="n">
        <v>45575</v>
      </c>
      <c r="C3705" s="15" t="s">
        <v>56</v>
      </c>
      <c r="D3705" s="15" t="s">
        <v>42</v>
      </c>
      <c r="E3705" s="15" t="s">
        <v>39</v>
      </c>
      <c r="F3705" s="15" t="s">
        <v>17</v>
      </c>
      <c r="G3705" s="15" t="s">
        <v>29</v>
      </c>
      <c r="H3705" s="15" t="n">
        <v>4</v>
      </c>
      <c r="I3705" s="17" t="n">
        <v>0</v>
      </c>
      <c r="J3705" s="18" t="n">
        <v>69.69</v>
      </c>
      <c r="K3705" s="19" t="n">
        <v>29.96</v>
      </c>
      <c r="L3705" s="15" t="n">
        <f aca="false">YEAR(B3705)</f>
        <v>2024</v>
      </c>
      <c r="M3705" s="20" t="n">
        <f aca="false">IF(J3705&gt;0,K3705/J3705,0)</f>
        <v>0.429903859951213</v>
      </c>
    </row>
    <row r="3706" customFormat="false" ht="15" hidden="false" customHeight="false" outlineLevel="0" collapsed="false">
      <c r="A3706" s="15" t="s">
        <v>3763</v>
      </c>
      <c r="B3706" s="16" t="n">
        <v>45440</v>
      </c>
      <c r="C3706" s="15" t="s">
        <v>56</v>
      </c>
      <c r="D3706" s="15" t="s">
        <v>42</v>
      </c>
      <c r="E3706" s="15" t="s">
        <v>39</v>
      </c>
      <c r="F3706" s="15" t="s">
        <v>16</v>
      </c>
      <c r="G3706" s="15" t="s">
        <v>27</v>
      </c>
      <c r="H3706" s="15" t="n">
        <v>3</v>
      </c>
      <c r="I3706" s="17" t="n">
        <v>0.05</v>
      </c>
      <c r="J3706" s="18" t="n">
        <v>200.49</v>
      </c>
      <c r="K3706" s="19" t="n">
        <v>21.96</v>
      </c>
      <c r="L3706" s="15" t="n">
        <f aca="false">YEAR(B3706)</f>
        <v>2024</v>
      </c>
      <c r="M3706" s="20" t="n">
        <f aca="false">IF(J3706&gt;0,K3706/J3706,0)</f>
        <v>0.109531647463714</v>
      </c>
    </row>
    <row r="3707" customFormat="false" ht="15" hidden="false" customHeight="false" outlineLevel="0" collapsed="false">
      <c r="A3707" s="15" t="s">
        <v>3764</v>
      </c>
      <c r="B3707" s="16" t="n">
        <v>45406</v>
      </c>
      <c r="C3707" s="15" t="s">
        <v>58</v>
      </c>
      <c r="D3707" s="15" t="s">
        <v>42</v>
      </c>
      <c r="E3707" s="15" t="s">
        <v>39</v>
      </c>
      <c r="F3707" s="15" t="s">
        <v>18</v>
      </c>
      <c r="G3707" s="15" t="s">
        <v>30</v>
      </c>
      <c r="H3707" s="15" t="n">
        <v>2</v>
      </c>
      <c r="I3707" s="17" t="n">
        <v>0.3</v>
      </c>
      <c r="J3707" s="18" t="n">
        <v>58.26</v>
      </c>
      <c r="K3707" s="19" t="n">
        <v>4.36</v>
      </c>
      <c r="L3707" s="15" t="n">
        <f aca="false">YEAR(B3707)</f>
        <v>2024</v>
      </c>
      <c r="M3707" s="20" t="n">
        <f aca="false">IF(J3707&gt;0,K3707/J3707,0)</f>
        <v>0.0748369378647443</v>
      </c>
    </row>
    <row r="3708" customFormat="false" ht="15" hidden="false" customHeight="false" outlineLevel="0" collapsed="false">
      <c r="A3708" s="15" t="s">
        <v>3765</v>
      </c>
      <c r="B3708" s="16" t="n">
        <v>45866</v>
      </c>
      <c r="C3708" s="15" t="s">
        <v>56</v>
      </c>
      <c r="D3708" s="15" t="s">
        <v>42</v>
      </c>
      <c r="E3708" s="15" t="s">
        <v>36</v>
      </c>
      <c r="F3708" s="15" t="s">
        <v>17</v>
      </c>
      <c r="G3708" s="15" t="s">
        <v>29</v>
      </c>
      <c r="H3708" s="15" t="n">
        <v>5</v>
      </c>
      <c r="I3708" s="17" t="n">
        <v>0.2</v>
      </c>
      <c r="J3708" s="18" t="n">
        <v>66.87</v>
      </c>
      <c r="K3708" s="19" t="n">
        <v>12.76</v>
      </c>
      <c r="L3708" s="15" t="n">
        <f aca="false">YEAR(B3708)</f>
        <v>2025</v>
      </c>
      <c r="M3708" s="20" t="n">
        <f aca="false">IF(J3708&gt;0,K3708/J3708,0)</f>
        <v>0.190818005084492</v>
      </c>
    </row>
    <row r="3709" customFormat="false" ht="15" hidden="false" customHeight="false" outlineLevel="0" collapsed="false">
      <c r="A3709" s="15" t="s">
        <v>3766</v>
      </c>
      <c r="B3709" s="16" t="n">
        <v>45948</v>
      </c>
      <c r="C3709" s="15" t="s">
        <v>68</v>
      </c>
      <c r="D3709" s="15" t="s">
        <v>42</v>
      </c>
      <c r="E3709" s="15" t="s">
        <v>38</v>
      </c>
      <c r="F3709" s="15" t="s">
        <v>17</v>
      </c>
      <c r="G3709" s="15" t="s">
        <v>29</v>
      </c>
      <c r="H3709" s="15" t="n">
        <v>3</v>
      </c>
      <c r="I3709" s="17" t="n">
        <v>0.2</v>
      </c>
      <c r="J3709" s="18" t="n">
        <v>37.81</v>
      </c>
      <c r="K3709" s="19" t="n">
        <v>6.06</v>
      </c>
      <c r="L3709" s="15" t="n">
        <f aca="false">YEAR(B3709)</f>
        <v>2025</v>
      </c>
      <c r="M3709" s="20" t="n">
        <f aca="false">IF(J3709&gt;0,K3709/J3709,0)</f>
        <v>0.160275059508067</v>
      </c>
    </row>
    <row r="3710" customFormat="false" ht="15" hidden="false" customHeight="false" outlineLevel="0" collapsed="false">
      <c r="A3710" s="15" t="s">
        <v>3767</v>
      </c>
      <c r="B3710" s="16" t="n">
        <v>45838</v>
      </c>
      <c r="C3710" s="15" t="s">
        <v>71</v>
      </c>
      <c r="D3710" s="15" t="s">
        <v>43</v>
      </c>
      <c r="E3710" s="15" t="s">
        <v>38</v>
      </c>
      <c r="F3710" s="15" t="s">
        <v>16</v>
      </c>
      <c r="G3710" s="15" t="s">
        <v>23</v>
      </c>
      <c r="H3710" s="15" t="n">
        <v>2</v>
      </c>
      <c r="I3710" s="17" t="n">
        <v>0.1</v>
      </c>
      <c r="J3710" s="18" t="n">
        <v>571.86</v>
      </c>
      <c r="K3710" s="19" t="n">
        <v>-96.86</v>
      </c>
      <c r="L3710" s="15" t="n">
        <f aca="false">YEAR(B3710)</f>
        <v>2025</v>
      </c>
      <c r="M3710" s="20" t="n">
        <f aca="false">IF(J3710&gt;0,K3710/J3710,0)</f>
        <v>-0.169377120274193</v>
      </c>
    </row>
    <row r="3711" customFormat="false" ht="15" hidden="false" customHeight="false" outlineLevel="0" collapsed="false">
      <c r="A3711" s="15" t="s">
        <v>3768</v>
      </c>
      <c r="B3711" s="16" t="n">
        <v>45994</v>
      </c>
      <c r="C3711" s="15" t="s">
        <v>56</v>
      </c>
      <c r="D3711" s="15" t="s">
        <v>44</v>
      </c>
      <c r="E3711" s="15" t="s">
        <v>39</v>
      </c>
      <c r="F3711" s="15" t="s">
        <v>17</v>
      </c>
      <c r="G3711" s="15" t="s">
        <v>31</v>
      </c>
      <c r="H3711" s="15" t="n">
        <v>4</v>
      </c>
      <c r="I3711" s="17" t="n">
        <v>0</v>
      </c>
      <c r="J3711" s="18" t="n">
        <v>469.55</v>
      </c>
      <c r="K3711" s="19" t="n">
        <v>97.02</v>
      </c>
      <c r="L3711" s="15" t="n">
        <f aca="false">YEAR(B3711)</f>
        <v>2025</v>
      </c>
      <c r="M3711" s="20" t="n">
        <f aca="false">IF(J3711&gt;0,K3711/J3711,0)</f>
        <v>0.206623362794165</v>
      </c>
    </row>
    <row r="3712" customFormat="false" ht="15" hidden="false" customHeight="false" outlineLevel="0" collapsed="false">
      <c r="A3712" s="15" t="s">
        <v>3769</v>
      </c>
      <c r="B3712" s="16" t="n">
        <v>45481</v>
      </c>
      <c r="C3712" s="15" t="s">
        <v>56</v>
      </c>
      <c r="D3712" s="15" t="s">
        <v>44</v>
      </c>
      <c r="E3712" s="15" t="s">
        <v>37</v>
      </c>
      <c r="F3712" s="15" t="s">
        <v>16</v>
      </c>
      <c r="G3712" s="15" t="s">
        <v>22</v>
      </c>
      <c r="H3712" s="15" t="n">
        <v>5</v>
      </c>
      <c r="I3712" s="17" t="n">
        <v>0</v>
      </c>
      <c r="J3712" s="18" t="n">
        <v>2337.13</v>
      </c>
      <c r="K3712" s="19" t="n">
        <v>-81.17</v>
      </c>
      <c r="L3712" s="15" t="n">
        <f aca="false">YEAR(B3712)</f>
        <v>2024</v>
      </c>
      <c r="M3712" s="20" t="n">
        <f aca="false">IF(J3712&gt;0,K3712/J3712,0)</f>
        <v>-0.0347306311587289</v>
      </c>
    </row>
    <row r="3713" customFormat="false" ht="15" hidden="false" customHeight="false" outlineLevel="0" collapsed="false">
      <c r="A3713" s="15" t="s">
        <v>3770</v>
      </c>
      <c r="B3713" s="16" t="n">
        <v>45263</v>
      </c>
      <c r="C3713" s="15" t="s">
        <v>58</v>
      </c>
      <c r="D3713" s="15" t="s">
        <v>42</v>
      </c>
      <c r="E3713" s="15" t="s">
        <v>39</v>
      </c>
      <c r="F3713" s="15" t="s">
        <v>17</v>
      </c>
      <c r="G3713" s="15" t="s">
        <v>26</v>
      </c>
      <c r="H3713" s="15" t="n">
        <v>3</v>
      </c>
      <c r="I3713" s="17" t="n">
        <v>0.05</v>
      </c>
      <c r="J3713" s="18" t="n">
        <v>289.74</v>
      </c>
      <c r="K3713" s="19" t="n">
        <v>27.05</v>
      </c>
      <c r="L3713" s="15" t="n">
        <f aca="false">YEAR(B3713)</f>
        <v>2023</v>
      </c>
      <c r="M3713" s="20" t="n">
        <f aca="false">IF(J3713&gt;0,K3713/J3713,0)</f>
        <v>0.0933595637468075</v>
      </c>
    </row>
    <row r="3714" customFormat="false" ht="15" hidden="false" customHeight="false" outlineLevel="0" collapsed="false">
      <c r="A3714" s="15" t="s">
        <v>3771</v>
      </c>
      <c r="B3714" s="16" t="n">
        <v>45344</v>
      </c>
      <c r="C3714" s="15" t="s">
        <v>68</v>
      </c>
      <c r="D3714" s="15" t="s">
        <v>42</v>
      </c>
      <c r="E3714" s="15" t="s">
        <v>37</v>
      </c>
      <c r="F3714" s="15" t="s">
        <v>18</v>
      </c>
      <c r="G3714" s="15" t="s">
        <v>24</v>
      </c>
      <c r="H3714" s="15" t="n">
        <v>6</v>
      </c>
      <c r="I3714" s="17" t="n">
        <v>0.15</v>
      </c>
      <c r="J3714" s="18" t="n">
        <v>3131.72</v>
      </c>
      <c r="K3714" s="19" t="n">
        <v>-270.46</v>
      </c>
      <c r="L3714" s="15" t="n">
        <f aca="false">YEAR(B3714)</f>
        <v>2024</v>
      </c>
      <c r="M3714" s="20" t="n">
        <f aca="false">IF(J3714&gt;0,K3714/J3714,0)</f>
        <v>-0.086361488255655</v>
      </c>
    </row>
    <row r="3715" customFormat="false" ht="15" hidden="false" customHeight="false" outlineLevel="0" collapsed="false">
      <c r="A3715" s="15" t="s">
        <v>3772</v>
      </c>
      <c r="B3715" s="16" t="n">
        <v>46011</v>
      </c>
      <c r="C3715" s="15" t="s">
        <v>56</v>
      </c>
      <c r="D3715" s="15" t="s">
        <v>42</v>
      </c>
      <c r="E3715" s="15" t="s">
        <v>37</v>
      </c>
      <c r="F3715" s="15" t="s">
        <v>17</v>
      </c>
      <c r="G3715" s="15" t="s">
        <v>29</v>
      </c>
      <c r="H3715" s="15" t="n">
        <v>8</v>
      </c>
      <c r="I3715" s="17" t="n">
        <v>0.1</v>
      </c>
      <c r="J3715" s="18" t="n">
        <v>129.51</v>
      </c>
      <c r="K3715" s="19" t="n">
        <v>39.14</v>
      </c>
      <c r="L3715" s="15" t="n">
        <f aca="false">YEAR(B3715)</f>
        <v>2025</v>
      </c>
      <c r="M3715" s="20" t="n">
        <f aca="false">IF(J3715&gt;0,K3715/J3715,0)</f>
        <v>0.302216045093043</v>
      </c>
    </row>
    <row r="3716" customFormat="false" ht="15" hidden="false" customHeight="false" outlineLevel="0" collapsed="false">
      <c r="A3716" s="15" t="s">
        <v>3773</v>
      </c>
      <c r="B3716" s="16" t="n">
        <v>45072</v>
      </c>
      <c r="C3716" s="15" t="s">
        <v>56</v>
      </c>
      <c r="D3716" s="15" t="s">
        <v>44</v>
      </c>
      <c r="E3716" s="15" t="s">
        <v>39</v>
      </c>
      <c r="F3716" s="15" t="s">
        <v>18</v>
      </c>
      <c r="G3716" s="15" t="s">
        <v>30</v>
      </c>
      <c r="H3716" s="15" t="n">
        <v>2</v>
      </c>
      <c r="I3716" s="17" t="n">
        <v>0</v>
      </c>
      <c r="J3716" s="18" t="n">
        <v>96.04</v>
      </c>
      <c r="K3716" s="19" t="n">
        <v>28.19</v>
      </c>
      <c r="L3716" s="15" t="n">
        <f aca="false">YEAR(B3716)</f>
        <v>2023</v>
      </c>
      <c r="M3716" s="20" t="n">
        <f aca="false">IF(J3716&gt;0,K3716/J3716,0)</f>
        <v>0.293523531861724</v>
      </c>
    </row>
    <row r="3717" customFormat="false" ht="15" hidden="false" customHeight="false" outlineLevel="0" collapsed="false">
      <c r="A3717" s="15" t="s">
        <v>3774</v>
      </c>
      <c r="B3717" s="16" t="n">
        <v>45969</v>
      </c>
      <c r="C3717" s="15" t="s">
        <v>56</v>
      </c>
      <c r="D3717" s="15" t="s">
        <v>42</v>
      </c>
      <c r="E3717" s="15" t="s">
        <v>37</v>
      </c>
      <c r="F3717" s="15" t="s">
        <v>16</v>
      </c>
      <c r="G3717" s="15" t="s">
        <v>25</v>
      </c>
      <c r="H3717" s="15" t="n">
        <v>2</v>
      </c>
      <c r="I3717" s="17" t="n">
        <v>0.2</v>
      </c>
      <c r="J3717" s="18" t="n">
        <v>457.92</v>
      </c>
      <c r="K3717" s="19" t="n">
        <v>-52.38</v>
      </c>
      <c r="L3717" s="15" t="n">
        <f aca="false">YEAR(B3717)</f>
        <v>2025</v>
      </c>
      <c r="M3717" s="20" t="n">
        <f aca="false">IF(J3717&gt;0,K3717/J3717,0)</f>
        <v>-0.11438679245283</v>
      </c>
    </row>
    <row r="3718" customFormat="false" ht="15" hidden="false" customHeight="false" outlineLevel="0" collapsed="false">
      <c r="A3718" s="15" t="s">
        <v>3775</v>
      </c>
      <c r="B3718" s="16" t="n">
        <v>45288</v>
      </c>
      <c r="C3718" s="15" t="s">
        <v>56</v>
      </c>
      <c r="D3718" s="15" t="s">
        <v>43</v>
      </c>
      <c r="E3718" s="15" t="s">
        <v>37</v>
      </c>
      <c r="F3718" s="15" t="s">
        <v>16</v>
      </c>
      <c r="G3718" s="15" t="s">
        <v>25</v>
      </c>
      <c r="H3718" s="15" t="n">
        <v>5</v>
      </c>
      <c r="I3718" s="17" t="n">
        <v>0</v>
      </c>
      <c r="J3718" s="18" t="n">
        <v>1664.7</v>
      </c>
      <c r="K3718" s="19" t="n">
        <v>260.27</v>
      </c>
      <c r="L3718" s="15" t="n">
        <f aca="false">YEAR(B3718)</f>
        <v>2023</v>
      </c>
      <c r="M3718" s="20" t="n">
        <f aca="false">IF(J3718&gt;0,K3718/J3718,0)</f>
        <v>0.156346488856851</v>
      </c>
    </row>
    <row r="3719" customFormat="false" ht="15" hidden="false" customHeight="false" outlineLevel="0" collapsed="false">
      <c r="A3719" s="15" t="s">
        <v>3776</v>
      </c>
      <c r="B3719" s="16" t="n">
        <v>44653</v>
      </c>
      <c r="C3719" s="15" t="s">
        <v>56</v>
      </c>
      <c r="D3719" s="15" t="s">
        <v>44</v>
      </c>
      <c r="E3719" s="15" t="s">
        <v>36</v>
      </c>
      <c r="F3719" s="15" t="s">
        <v>17</v>
      </c>
      <c r="G3719" s="15" t="s">
        <v>29</v>
      </c>
      <c r="H3719" s="15" t="n">
        <v>3</v>
      </c>
      <c r="I3719" s="17" t="n">
        <v>0.15</v>
      </c>
      <c r="J3719" s="18" t="n">
        <v>44.4</v>
      </c>
      <c r="K3719" s="19" t="n">
        <v>8.47</v>
      </c>
      <c r="L3719" s="15" t="n">
        <f aca="false">YEAR(B3719)</f>
        <v>2022</v>
      </c>
      <c r="M3719" s="20" t="n">
        <f aca="false">IF(J3719&gt;0,K3719/J3719,0)</f>
        <v>0.190765765765766</v>
      </c>
    </row>
    <row r="3720" customFormat="false" ht="15" hidden="false" customHeight="false" outlineLevel="0" collapsed="false">
      <c r="A3720" s="15" t="s">
        <v>3777</v>
      </c>
      <c r="B3720" s="16" t="n">
        <v>45006</v>
      </c>
      <c r="C3720" s="15" t="s">
        <v>56</v>
      </c>
      <c r="D3720" s="15" t="s">
        <v>42</v>
      </c>
      <c r="E3720" s="15" t="s">
        <v>38</v>
      </c>
      <c r="F3720" s="15" t="s">
        <v>16</v>
      </c>
      <c r="G3720" s="15" t="s">
        <v>27</v>
      </c>
      <c r="H3720" s="15" t="n">
        <v>5</v>
      </c>
      <c r="I3720" s="17" t="n">
        <v>0.1</v>
      </c>
      <c r="J3720" s="18" t="n">
        <v>233.24</v>
      </c>
      <c r="K3720" s="19" t="n">
        <v>21.3</v>
      </c>
      <c r="L3720" s="15" t="n">
        <f aca="false">YEAR(B3720)</f>
        <v>2023</v>
      </c>
      <c r="M3720" s="20" t="n">
        <f aca="false">IF(J3720&gt;0,K3720/J3720,0)</f>
        <v>0.0913222431829875</v>
      </c>
    </row>
    <row r="3721" customFormat="false" ht="15" hidden="false" customHeight="false" outlineLevel="0" collapsed="false">
      <c r="A3721" s="15" t="s">
        <v>3778</v>
      </c>
      <c r="B3721" s="16" t="n">
        <v>45482</v>
      </c>
      <c r="C3721" s="15" t="s">
        <v>68</v>
      </c>
      <c r="D3721" s="15" t="s">
        <v>44</v>
      </c>
      <c r="E3721" s="15" t="s">
        <v>39</v>
      </c>
      <c r="F3721" s="15" t="s">
        <v>17</v>
      </c>
      <c r="G3721" s="15" t="s">
        <v>29</v>
      </c>
      <c r="H3721" s="15" t="n">
        <v>7</v>
      </c>
      <c r="I3721" s="17" t="n">
        <v>0</v>
      </c>
      <c r="J3721" s="18" t="n">
        <v>144.66</v>
      </c>
      <c r="K3721" s="19" t="n">
        <v>52.41</v>
      </c>
      <c r="L3721" s="15" t="n">
        <f aca="false">YEAR(B3721)</f>
        <v>2024</v>
      </c>
      <c r="M3721" s="20" t="n">
        <f aca="false">IF(J3721&gt;0,K3721/J3721,0)</f>
        <v>0.362297801742016</v>
      </c>
    </row>
    <row r="3722" customFormat="false" ht="15" hidden="false" customHeight="false" outlineLevel="0" collapsed="false">
      <c r="A3722" s="15" t="s">
        <v>3779</v>
      </c>
      <c r="B3722" s="16" t="n">
        <v>45779</v>
      </c>
      <c r="C3722" s="15" t="s">
        <v>68</v>
      </c>
      <c r="D3722" s="15" t="s">
        <v>42</v>
      </c>
      <c r="E3722" s="15" t="s">
        <v>36</v>
      </c>
      <c r="F3722" s="15" t="s">
        <v>17</v>
      </c>
      <c r="G3722" s="15" t="s">
        <v>28</v>
      </c>
      <c r="H3722" s="15" t="n">
        <v>3</v>
      </c>
      <c r="I3722" s="17" t="n">
        <v>0</v>
      </c>
      <c r="J3722" s="18" t="n">
        <v>69.29</v>
      </c>
      <c r="K3722" s="19" t="n">
        <v>20.07</v>
      </c>
      <c r="L3722" s="15" t="n">
        <f aca="false">YEAR(B3722)</f>
        <v>2025</v>
      </c>
      <c r="M3722" s="20" t="n">
        <f aca="false">IF(J3722&gt;0,K3722/J3722,0)</f>
        <v>0.289652186462693</v>
      </c>
    </row>
    <row r="3723" customFormat="false" ht="15" hidden="false" customHeight="false" outlineLevel="0" collapsed="false">
      <c r="A3723" s="15" t="s">
        <v>3780</v>
      </c>
      <c r="B3723" s="16" t="n">
        <v>45582</v>
      </c>
      <c r="C3723" s="15" t="s">
        <v>56</v>
      </c>
      <c r="D3723" s="15" t="s">
        <v>44</v>
      </c>
      <c r="E3723" s="15" t="s">
        <v>39</v>
      </c>
      <c r="F3723" s="15" t="s">
        <v>17</v>
      </c>
      <c r="G3723" s="15" t="s">
        <v>28</v>
      </c>
      <c r="H3723" s="15" t="n">
        <v>5</v>
      </c>
      <c r="I3723" s="17" t="n">
        <v>0.1</v>
      </c>
      <c r="J3723" s="18" t="n">
        <v>99.12</v>
      </c>
      <c r="K3723" s="19" t="n">
        <v>14.81</v>
      </c>
      <c r="L3723" s="15" t="n">
        <f aca="false">YEAR(B3723)</f>
        <v>2024</v>
      </c>
      <c r="M3723" s="20" t="n">
        <f aca="false">IF(J3723&gt;0,K3723/J3723,0)</f>
        <v>0.149414850686037</v>
      </c>
    </row>
    <row r="3724" customFormat="false" ht="15" hidden="false" customHeight="false" outlineLevel="0" collapsed="false">
      <c r="A3724" s="15" t="s">
        <v>3781</v>
      </c>
      <c r="B3724" s="16" t="n">
        <v>45839</v>
      </c>
      <c r="C3724" s="15" t="s">
        <v>68</v>
      </c>
      <c r="D3724" s="15" t="s">
        <v>42</v>
      </c>
      <c r="E3724" s="15" t="s">
        <v>37</v>
      </c>
      <c r="F3724" s="15" t="s">
        <v>17</v>
      </c>
      <c r="G3724" s="15" t="s">
        <v>26</v>
      </c>
      <c r="H3724" s="15" t="n">
        <v>2</v>
      </c>
      <c r="I3724" s="17" t="n">
        <v>0.15</v>
      </c>
      <c r="J3724" s="18" t="n">
        <v>124.85</v>
      </c>
      <c r="K3724" s="19" t="n">
        <v>4.23</v>
      </c>
      <c r="L3724" s="15" t="n">
        <f aca="false">YEAR(B3724)</f>
        <v>2025</v>
      </c>
      <c r="M3724" s="20" t="n">
        <f aca="false">IF(J3724&gt;0,K3724/J3724,0)</f>
        <v>0.0338806567881458</v>
      </c>
    </row>
    <row r="3725" customFormat="false" ht="15" hidden="false" customHeight="false" outlineLevel="0" collapsed="false">
      <c r="A3725" s="15" t="s">
        <v>3782</v>
      </c>
      <c r="B3725" s="16" t="n">
        <v>45999</v>
      </c>
      <c r="C3725" s="15" t="s">
        <v>71</v>
      </c>
      <c r="D3725" s="15" t="s">
        <v>42</v>
      </c>
      <c r="E3725" s="15" t="s">
        <v>39</v>
      </c>
      <c r="F3725" s="15" t="s">
        <v>17</v>
      </c>
      <c r="G3725" s="15" t="s">
        <v>29</v>
      </c>
      <c r="H3725" s="15" t="n">
        <v>3</v>
      </c>
      <c r="I3725" s="17" t="n">
        <v>0.1</v>
      </c>
      <c r="J3725" s="18" t="n">
        <v>50.07</v>
      </c>
      <c r="K3725" s="19" t="n">
        <v>11.9</v>
      </c>
      <c r="L3725" s="15" t="n">
        <f aca="false">YEAR(B3725)</f>
        <v>2025</v>
      </c>
      <c r="M3725" s="20" t="n">
        <f aca="false">IF(J3725&gt;0,K3725/J3725,0)</f>
        <v>0.237667265827841</v>
      </c>
    </row>
    <row r="3726" customFormat="false" ht="15" hidden="false" customHeight="false" outlineLevel="0" collapsed="false">
      <c r="A3726" s="15" t="s">
        <v>3783</v>
      </c>
      <c r="B3726" s="16" t="n">
        <v>44774</v>
      </c>
      <c r="C3726" s="15" t="s">
        <v>56</v>
      </c>
      <c r="D3726" s="15" t="s">
        <v>43</v>
      </c>
      <c r="E3726" s="15" t="s">
        <v>39</v>
      </c>
      <c r="F3726" s="15" t="s">
        <v>17</v>
      </c>
      <c r="G3726" s="15" t="s">
        <v>26</v>
      </c>
      <c r="H3726" s="15" t="n">
        <v>3</v>
      </c>
      <c r="I3726" s="17" t="n">
        <v>0.05</v>
      </c>
      <c r="J3726" s="18" t="n">
        <v>249.64</v>
      </c>
      <c r="K3726" s="19" t="n">
        <v>26.45</v>
      </c>
      <c r="L3726" s="15" t="n">
        <f aca="false">YEAR(B3726)</f>
        <v>2022</v>
      </c>
      <c r="M3726" s="20" t="n">
        <f aca="false">IF(J3726&gt;0,K3726/J3726,0)</f>
        <v>0.105952571703253</v>
      </c>
    </row>
    <row r="3727" customFormat="false" ht="15" hidden="false" customHeight="false" outlineLevel="0" collapsed="false">
      <c r="A3727" s="15" t="s">
        <v>3784</v>
      </c>
      <c r="B3727" s="16" t="n">
        <v>45633</v>
      </c>
      <c r="C3727" s="15" t="s">
        <v>56</v>
      </c>
      <c r="D3727" s="15" t="s">
        <v>42</v>
      </c>
      <c r="E3727" s="15" t="s">
        <v>38</v>
      </c>
      <c r="F3727" s="15" t="s">
        <v>17</v>
      </c>
      <c r="G3727" s="15" t="s">
        <v>26</v>
      </c>
      <c r="H3727" s="15" t="n">
        <v>4</v>
      </c>
      <c r="I3727" s="17" t="n">
        <v>0.1</v>
      </c>
      <c r="J3727" s="18" t="n">
        <v>335.99</v>
      </c>
      <c r="K3727" s="19" t="n">
        <v>-0.02</v>
      </c>
      <c r="L3727" s="15" t="n">
        <f aca="false">YEAR(B3727)</f>
        <v>2024</v>
      </c>
      <c r="M3727" s="20" t="n">
        <f aca="false">IF(J3727&gt;0,K3727/J3727,0)</f>
        <v>-5.95255811184857E-005</v>
      </c>
    </row>
    <row r="3728" customFormat="false" ht="15" hidden="false" customHeight="false" outlineLevel="0" collapsed="false">
      <c r="A3728" s="15" t="s">
        <v>3785</v>
      </c>
      <c r="B3728" s="16" t="n">
        <v>45866</v>
      </c>
      <c r="C3728" s="15" t="s">
        <v>56</v>
      </c>
      <c r="D3728" s="15" t="s">
        <v>43</v>
      </c>
      <c r="E3728" s="15" t="s">
        <v>37</v>
      </c>
      <c r="F3728" s="15" t="s">
        <v>16</v>
      </c>
      <c r="G3728" s="15" t="s">
        <v>23</v>
      </c>
      <c r="H3728" s="15" t="n">
        <v>5</v>
      </c>
      <c r="I3728" s="17" t="n">
        <v>0.05</v>
      </c>
      <c r="J3728" s="18" t="n">
        <v>1519</v>
      </c>
      <c r="K3728" s="19" t="n">
        <v>-116.56</v>
      </c>
      <c r="L3728" s="15" t="n">
        <f aca="false">YEAR(B3728)</f>
        <v>2025</v>
      </c>
      <c r="M3728" s="20" t="n">
        <f aca="false">IF(J3728&gt;0,K3728/J3728,0)</f>
        <v>-0.076734693877551</v>
      </c>
    </row>
    <row r="3729" customFormat="false" ht="15" hidden="false" customHeight="false" outlineLevel="0" collapsed="false">
      <c r="A3729" s="15" t="s">
        <v>3786</v>
      </c>
      <c r="B3729" s="16" t="n">
        <v>45936</v>
      </c>
      <c r="C3729" s="15" t="s">
        <v>56</v>
      </c>
      <c r="D3729" s="15" t="s">
        <v>42</v>
      </c>
      <c r="E3729" s="15" t="s">
        <v>37</v>
      </c>
      <c r="F3729" s="15" t="s">
        <v>17</v>
      </c>
      <c r="G3729" s="15" t="s">
        <v>29</v>
      </c>
      <c r="H3729" s="15" t="n">
        <v>4</v>
      </c>
      <c r="I3729" s="17" t="n">
        <v>0.2</v>
      </c>
      <c r="J3729" s="18" t="n">
        <v>65.57</v>
      </c>
      <c r="K3729" s="19" t="n">
        <v>13.83</v>
      </c>
      <c r="L3729" s="15" t="n">
        <f aca="false">YEAR(B3729)</f>
        <v>2025</v>
      </c>
      <c r="M3729" s="20" t="n">
        <f aca="false">IF(J3729&gt;0,K3729/J3729,0)</f>
        <v>0.210919627878603</v>
      </c>
    </row>
    <row r="3730" customFormat="false" ht="15" hidden="false" customHeight="false" outlineLevel="0" collapsed="false">
      <c r="A3730" s="15" t="s">
        <v>3787</v>
      </c>
      <c r="B3730" s="16" t="n">
        <v>45442</v>
      </c>
      <c r="C3730" s="15" t="s">
        <v>56</v>
      </c>
      <c r="D3730" s="15" t="s">
        <v>42</v>
      </c>
      <c r="E3730" s="15" t="s">
        <v>36</v>
      </c>
      <c r="F3730" s="15" t="s">
        <v>17</v>
      </c>
      <c r="G3730" s="15" t="s">
        <v>29</v>
      </c>
      <c r="H3730" s="15" t="n">
        <v>7</v>
      </c>
      <c r="I3730" s="17" t="n">
        <v>0</v>
      </c>
      <c r="J3730" s="18" t="n">
        <v>117.14</v>
      </c>
      <c r="K3730" s="19" t="n">
        <v>58.14</v>
      </c>
      <c r="L3730" s="15" t="n">
        <f aca="false">YEAR(B3730)</f>
        <v>2024</v>
      </c>
      <c r="M3730" s="20" t="n">
        <f aca="false">IF(J3730&gt;0,K3730/J3730,0)</f>
        <v>0.496329178760458</v>
      </c>
    </row>
    <row r="3731" customFormat="false" ht="15" hidden="false" customHeight="false" outlineLevel="0" collapsed="false">
      <c r="A3731" s="15" t="s">
        <v>3788</v>
      </c>
      <c r="B3731" s="16" t="n">
        <v>44586</v>
      </c>
      <c r="C3731" s="15" t="s">
        <v>56</v>
      </c>
      <c r="D3731" s="15" t="s">
        <v>43</v>
      </c>
      <c r="E3731" s="15" t="s">
        <v>36</v>
      </c>
      <c r="F3731" s="15" t="s">
        <v>17</v>
      </c>
      <c r="G3731" s="15" t="s">
        <v>29</v>
      </c>
      <c r="H3731" s="15" t="n">
        <v>4</v>
      </c>
      <c r="I3731" s="17" t="n">
        <v>0</v>
      </c>
      <c r="J3731" s="18" t="n">
        <v>65.93</v>
      </c>
      <c r="K3731" s="19" t="n">
        <v>19.52</v>
      </c>
      <c r="L3731" s="15" t="n">
        <f aca="false">YEAR(B3731)</f>
        <v>2022</v>
      </c>
      <c r="M3731" s="20" t="n">
        <f aca="false">IF(J3731&gt;0,K3731/J3731,0)</f>
        <v>0.29607159108145</v>
      </c>
    </row>
    <row r="3732" customFormat="false" ht="15" hidden="false" customHeight="false" outlineLevel="0" collapsed="false">
      <c r="A3732" s="15" t="s">
        <v>3789</v>
      </c>
      <c r="B3732" s="16" t="n">
        <v>45901</v>
      </c>
      <c r="C3732" s="15" t="s">
        <v>71</v>
      </c>
      <c r="D3732" s="15" t="s">
        <v>43</v>
      </c>
      <c r="E3732" s="15" t="s">
        <v>37</v>
      </c>
      <c r="F3732" s="15" t="s">
        <v>17</v>
      </c>
      <c r="G3732" s="15" t="s">
        <v>29</v>
      </c>
      <c r="H3732" s="15" t="n">
        <v>3</v>
      </c>
      <c r="I3732" s="17" t="n">
        <v>0.2</v>
      </c>
      <c r="J3732" s="18" t="n">
        <v>40.6</v>
      </c>
      <c r="K3732" s="19" t="n">
        <v>9.26</v>
      </c>
      <c r="L3732" s="15" t="n">
        <f aca="false">YEAR(B3732)</f>
        <v>2025</v>
      </c>
      <c r="M3732" s="20" t="n">
        <f aca="false">IF(J3732&gt;0,K3732/J3732,0)</f>
        <v>0.22807881773399</v>
      </c>
    </row>
    <row r="3733" customFormat="false" ht="15" hidden="false" customHeight="false" outlineLevel="0" collapsed="false">
      <c r="A3733" s="15" t="s">
        <v>3790</v>
      </c>
      <c r="B3733" s="16" t="n">
        <v>45510</v>
      </c>
      <c r="C3733" s="15" t="s">
        <v>56</v>
      </c>
      <c r="D3733" s="15" t="s">
        <v>42</v>
      </c>
      <c r="E3733" s="15" t="s">
        <v>39</v>
      </c>
      <c r="F3733" s="15" t="s">
        <v>16</v>
      </c>
      <c r="G3733" s="15" t="s">
        <v>25</v>
      </c>
      <c r="H3733" s="15" t="n">
        <v>6</v>
      </c>
      <c r="I3733" s="17" t="n">
        <v>0.15</v>
      </c>
      <c r="J3733" s="18" t="n">
        <v>1463.31</v>
      </c>
      <c r="K3733" s="19" t="n">
        <v>1.04</v>
      </c>
      <c r="L3733" s="15" t="n">
        <f aca="false">YEAR(B3733)</f>
        <v>2024</v>
      </c>
      <c r="M3733" s="20" t="n">
        <f aca="false">IF(J3733&gt;0,K3733/J3733,0)</f>
        <v>0.000710717482966699</v>
      </c>
    </row>
    <row r="3734" customFormat="false" ht="15" hidden="false" customHeight="false" outlineLevel="0" collapsed="false">
      <c r="A3734" s="15" t="s">
        <v>3791</v>
      </c>
      <c r="B3734" s="16" t="n">
        <v>45630</v>
      </c>
      <c r="C3734" s="15" t="s">
        <v>56</v>
      </c>
      <c r="D3734" s="15" t="s">
        <v>42</v>
      </c>
      <c r="E3734" s="15" t="s">
        <v>39</v>
      </c>
      <c r="F3734" s="15" t="s">
        <v>18</v>
      </c>
      <c r="G3734" s="15" t="s">
        <v>30</v>
      </c>
      <c r="H3734" s="15" t="n">
        <v>2</v>
      </c>
      <c r="I3734" s="17" t="n">
        <v>0.2</v>
      </c>
      <c r="J3734" s="18" t="n">
        <v>83.48</v>
      </c>
      <c r="K3734" s="19" t="n">
        <v>11.99</v>
      </c>
      <c r="L3734" s="15" t="n">
        <f aca="false">YEAR(B3734)</f>
        <v>2024</v>
      </c>
      <c r="M3734" s="20" t="n">
        <f aca="false">IF(J3734&gt;0,K3734/J3734,0)</f>
        <v>0.143627216099665</v>
      </c>
    </row>
    <row r="3735" customFormat="false" ht="15" hidden="false" customHeight="false" outlineLevel="0" collapsed="false">
      <c r="A3735" s="15" t="s">
        <v>3792</v>
      </c>
      <c r="B3735" s="16" t="n">
        <v>45461</v>
      </c>
      <c r="C3735" s="15" t="s">
        <v>56</v>
      </c>
      <c r="D3735" s="15" t="s">
        <v>44</v>
      </c>
      <c r="E3735" s="15" t="s">
        <v>37</v>
      </c>
      <c r="F3735" s="15" t="s">
        <v>16</v>
      </c>
      <c r="G3735" s="15" t="s">
        <v>27</v>
      </c>
      <c r="H3735" s="15" t="n">
        <v>2</v>
      </c>
      <c r="I3735" s="17" t="n">
        <v>0</v>
      </c>
      <c r="J3735" s="18" t="n">
        <v>136.91</v>
      </c>
      <c r="K3735" s="19" t="n">
        <v>29.83</v>
      </c>
      <c r="L3735" s="15" t="n">
        <f aca="false">YEAR(B3735)</f>
        <v>2024</v>
      </c>
      <c r="M3735" s="20" t="n">
        <f aca="false">IF(J3735&gt;0,K3735/J3735,0)</f>
        <v>0.217880359360164</v>
      </c>
    </row>
    <row r="3736" customFormat="false" ht="15" hidden="false" customHeight="false" outlineLevel="0" collapsed="false">
      <c r="A3736" s="15" t="s">
        <v>3793</v>
      </c>
      <c r="B3736" s="16" t="n">
        <v>45319</v>
      </c>
      <c r="C3736" s="15" t="s">
        <v>56</v>
      </c>
      <c r="D3736" s="15" t="s">
        <v>42</v>
      </c>
      <c r="E3736" s="15" t="s">
        <v>36</v>
      </c>
      <c r="F3736" s="15" t="s">
        <v>17</v>
      </c>
      <c r="G3736" s="15" t="s">
        <v>28</v>
      </c>
      <c r="H3736" s="15" t="n">
        <v>3</v>
      </c>
      <c r="I3736" s="17" t="n">
        <v>0.05</v>
      </c>
      <c r="J3736" s="18" t="n">
        <v>72.05</v>
      </c>
      <c r="K3736" s="19" t="n">
        <v>21.13</v>
      </c>
      <c r="L3736" s="15" t="n">
        <f aca="false">YEAR(B3736)</f>
        <v>2024</v>
      </c>
      <c r="M3736" s="20" t="n">
        <f aca="false">IF(J3736&gt;0,K3736/J3736,0)</f>
        <v>0.293268563497571</v>
      </c>
    </row>
    <row r="3737" customFormat="false" ht="15" hidden="false" customHeight="false" outlineLevel="0" collapsed="false">
      <c r="A3737" s="15" t="s">
        <v>3794</v>
      </c>
      <c r="B3737" s="16" t="n">
        <v>45903</v>
      </c>
      <c r="C3737" s="15" t="s">
        <v>71</v>
      </c>
      <c r="D3737" s="15" t="s">
        <v>42</v>
      </c>
      <c r="E3737" s="15" t="s">
        <v>39</v>
      </c>
      <c r="F3737" s="15" t="s">
        <v>17</v>
      </c>
      <c r="G3737" s="15" t="s">
        <v>29</v>
      </c>
      <c r="H3737" s="15" t="n">
        <v>5</v>
      </c>
      <c r="I3737" s="17" t="n">
        <v>0</v>
      </c>
      <c r="J3737" s="18" t="n">
        <v>76.36</v>
      </c>
      <c r="K3737" s="19" t="n">
        <v>23.36</v>
      </c>
      <c r="L3737" s="15" t="n">
        <f aca="false">YEAR(B3737)</f>
        <v>2025</v>
      </c>
      <c r="M3737" s="20" t="n">
        <f aca="false">IF(J3737&gt;0,K3737/J3737,0)</f>
        <v>0.305919329491881</v>
      </c>
    </row>
    <row r="3738" customFormat="false" ht="15" hidden="false" customHeight="false" outlineLevel="0" collapsed="false">
      <c r="A3738" s="15" t="s">
        <v>3795</v>
      </c>
      <c r="B3738" s="16" t="n">
        <v>45664</v>
      </c>
      <c r="C3738" s="15" t="s">
        <v>68</v>
      </c>
      <c r="D3738" s="15" t="s">
        <v>43</v>
      </c>
      <c r="E3738" s="15" t="s">
        <v>36</v>
      </c>
      <c r="F3738" s="15" t="s">
        <v>17</v>
      </c>
      <c r="G3738" s="15" t="s">
        <v>31</v>
      </c>
      <c r="H3738" s="15" t="n">
        <v>3</v>
      </c>
      <c r="I3738" s="17" t="n">
        <v>0.3</v>
      </c>
      <c r="J3738" s="18" t="n">
        <v>314.45</v>
      </c>
      <c r="K3738" s="19" t="n">
        <v>-21.26</v>
      </c>
      <c r="L3738" s="15" t="n">
        <f aca="false">YEAR(B3738)</f>
        <v>2025</v>
      </c>
      <c r="M3738" s="20" t="n">
        <f aca="false">IF(J3738&gt;0,K3738/J3738,0)</f>
        <v>-0.0676101128955319</v>
      </c>
    </row>
    <row r="3739" customFormat="false" ht="15" hidden="false" customHeight="false" outlineLevel="0" collapsed="false">
      <c r="A3739" s="15" t="s">
        <v>3796</v>
      </c>
      <c r="B3739" s="16" t="n">
        <v>44992</v>
      </c>
      <c r="C3739" s="15" t="s">
        <v>68</v>
      </c>
      <c r="D3739" s="15" t="s">
        <v>42</v>
      </c>
      <c r="E3739" s="15" t="s">
        <v>39</v>
      </c>
      <c r="F3739" s="15" t="s">
        <v>16</v>
      </c>
      <c r="G3739" s="15" t="s">
        <v>23</v>
      </c>
      <c r="H3739" s="15" t="n">
        <v>2</v>
      </c>
      <c r="I3739" s="17" t="n">
        <v>0</v>
      </c>
      <c r="J3739" s="18" t="n">
        <v>686.32</v>
      </c>
      <c r="K3739" s="19" t="n">
        <v>-18.33</v>
      </c>
      <c r="L3739" s="15" t="n">
        <f aca="false">YEAR(B3739)</f>
        <v>2023</v>
      </c>
      <c r="M3739" s="20" t="n">
        <f aca="false">IF(J3739&gt;0,K3739/J3739,0)</f>
        <v>-0.0267076582352255</v>
      </c>
    </row>
    <row r="3740" customFormat="false" ht="15" hidden="false" customHeight="false" outlineLevel="0" collapsed="false">
      <c r="A3740" s="15" t="s">
        <v>3797</v>
      </c>
      <c r="B3740" s="16" t="n">
        <v>45143</v>
      </c>
      <c r="C3740" s="15" t="s">
        <v>56</v>
      </c>
      <c r="D3740" s="15" t="s">
        <v>43</v>
      </c>
      <c r="E3740" s="15" t="s">
        <v>38</v>
      </c>
      <c r="F3740" s="15" t="s">
        <v>17</v>
      </c>
      <c r="G3740" s="15" t="s">
        <v>31</v>
      </c>
      <c r="H3740" s="15" t="n">
        <v>4</v>
      </c>
      <c r="I3740" s="17" t="n">
        <v>0.3</v>
      </c>
      <c r="J3740" s="18" t="n">
        <v>320.1</v>
      </c>
      <c r="K3740" s="19" t="n">
        <v>-7.79</v>
      </c>
      <c r="L3740" s="15" t="n">
        <f aca="false">YEAR(B3740)</f>
        <v>2023</v>
      </c>
      <c r="M3740" s="20" t="n">
        <f aca="false">IF(J3740&gt;0,K3740/J3740,0)</f>
        <v>-0.0243361449547017</v>
      </c>
    </row>
    <row r="3741" customFormat="false" ht="15" hidden="false" customHeight="false" outlineLevel="0" collapsed="false">
      <c r="A3741" s="15" t="s">
        <v>3798</v>
      </c>
      <c r="B3741" s="16" t="n">
        <v>45512</v>
      </c>
      <c r="C3741" s="15" t="s">
        <v>68</v>
      </c>
      <c r="D3741" s="15" t="s">
        <v>43</v>
      </c>
      <c r="E3741" s="15" t="s">
        <v>39</v>
      </c>
      <c r="F3741" s="15" t="s">
        <v>16</v>
      </c>
      <c r="G3741" s="15" t="s">
        <v>22</v>
      </c>
      <c r="H3741" s="15" t="n">
        <v>4</v>
      </c>
      <c r="I3741" s="17" t="n">
        <v>0.15</v>
      </c>
      <c r="J3741" s="18" t="n">
        <v>2557.13</v>
      </c>
      <c r="K3741" s="19" t="n">
        <v>-494.51</v>
      </c>
      <c r="L3741" s="15" t="n">
        <f aca="false">YEAR(B3741)</f>
        <v>2024</v>
      </c>
      <c r="M3741" s="20" t="n">
        <f aca="false">IF(J3741&gt;0,K3741/J3741,0)</f>
        <v>-0.193384771208347</v>
      </c>
    </row>
    <row r="3742" customFormat="false" ht="15" hidden="false" customHeight="false" outlineLevel="0" collapsed="false">
      <c r="A3742" s="15" t="s">
        <v>3799</v>
      </c>
      <c r="B3742" s="16" t="n">
        <v>45842</v>
      </c>
      <c r="C3742" s="15" t="s">
        <v>71</v>
      </c>
      <c r="D3742" s="15" t="s">
        <v>42</v>
      </c>
      <c r="E3742" s="15" t="s">
        <v>37</v>
      </c>
      <c r="F3742" s="15" t="s">
        <v>18</v>
      </c>
      <c r="G3742" s="15" t="s">
        <v>30</v>
      </c>
      <c r="H3742" s="15" t="n">
        <v>6</v>
      </c>
      <c r="I3742" s="17" t="n">
        <v>0.2</v>
      </c>
      <c r="J3742" s="18" t="n">
        <v>202.18</v>
      </c>
      <c r="K3742" s="19" t="n">
        <v>22.83</v>
      </c>
      <c r="L3742" s="15" t="n">
        <f aca="false">YEAR(B3742)</f>
        <v>2025</v>
      </c>
      <c r="M3742" s="20" t="n">
        <f aca="false">IF(J3742&gt;0,K3742/J3742,0)</f>
        <v>0.112919180927886</v>
      </c>
    </row>
    <row r="3743" customFormat="false" ht="15" hidden="false" customHeight="false" outlineLevel="0" collapsed="false">
      <c r="A3743" s="15" t="s">
        <v>3800</v>
      </c>
      <c r="B3743" s="16" t="n">
        <v>45126</v>
      </c>
      <c r="C3743" s="15" t="s">
        <v>56</v>
      </c>
      <c r="D3743" s="15" t="s">
        <v>43</v>
      </c>
      <c r="E3743" s="15" t="s">
        <v>36</v>
      </c>
      <c r="F3743" s="15" t="s">
        <v>17</v>
      </c>
      <c r="G3743" s="15" t="s">
        <v>28</v>
      </c>
      <c r="H3743" s="15" t="n">
        <v>5</v>
      </c>
      <c r="I3743" s="17" t="n">
        <v>0</v>
      </c>
      <c r="J3743" s="18" t="n">
        <v>135.64</v>
      </c>
      <c r="K3743" s="19" t="n">
        <v>36.06</v>
      </c>
      <c r="L3743" s="15" t="n">
        <f aca="false">YEAR(B3743)</f>
        <v>2023</v>
      </c>
      <c r="M3743" s="20" t="n">
        <f aca="false">IF(J3743&gt;0,K3743/J3743,0)</f>
        <v>0.265850781480389</v>
      </c>
    </row>
    <row r="3744" customFormat="false" ht="15" hidden="false" customHeight="false" outlineLevel="0" collapsed="false">
      <c r="A3744" s="15" t="s">
        <v>3801</v>
      </c>
      <c r="B3744" s="16" t="n">
        <v>45171</v>
      </c>
      <c r="C3744" s="15" t="s">
        <v>56</v>
      </c>
      <c r="D3744" s="15" t="s">
        <v>42</v>
      </c>
      <c r="E3744" s="15" t="s">
        <v>38</v>
      </c>
      <c r="F3744" s="15" t="s">
        <v>16</v>
      </c>
      <c r="G3744" s="15" t="s">
        <v>27</v>
      </c>
      <c r="H3744" s="15" t="n">
        <v>6</v>
      </c>
      <c r="I3744" s="17" t="n">
        <v>0.15</v>
      </c>
      <c r="J3744" s="18" t="n">
        <v>253.59</v>
      </c>
      <c r="K3744" s="19" t="n">
        <v>5.95</v>
      </c>
      <c r="L3744" s="15" t="n">
        <f aca="false">YEAR(B3744)</f>
        <v>2023</v>
      </c>
      <c r="M3744" s="20" t="n">
        <f aca="false">IF(J3744&gt;0,K3744/J3744,0)</f>
        <v>0.0234630703103435</v>
      </c>
    </row>
    <row r="3745" customFormat="false" ht="15" hidden="false" customHeight="false" outlineLevel="0" collapsed="false">
      <c r="A3745" s="15" t="s">
        <v>3802</v>
      </c>
      <c r="B3745" s="16" t="n">
        <v>45572</v>
      </c>
      <c r="C3745" s="15" t="s">
        <v>56</v>
      </c>
      <c r="D3745" s="15" t="s">
        <v>43</v>
      </c>
      <c r="E3745" s="15" t="s">
        <v>39</v>
      </c>
      <c r="F3745" s="15" t="s">
        <v>17</v>
      </c>
      <c r="G3745" s="15" t="s">
        <v>28</v>
      </c>
      <c r="H3745" s="15" t="n">
        <v>2</v>
      </c>
      <c r="I3745" s="17" t="n">
        <v>0.4</v>
      </c>
      <c r="J3745" s="18" t="n">
        <v>30.5</v>
      </c>
      <c r="K3745" s="19" t="n">
        <v>0.94</v>
      </c>
      <c r="L3745" s="15" t="n">
        <f aca="false">YEAR(B3745)</f>
        <v>2024</v>
      </c>
      <c r="M3745" s="20" t="n">
        <f aca="false">IF(J3745&gt;0,K3745/J3745,0)</f>
        <v>0.0308196721311475</v>
      </c>
    </row>
    <row r="3746" customFormat="false" ht="15" hidden="false" customHeight="false" outlineLevel="0" collapsed="false">
      <c r="A3746" s="15" t="s">
        <v>3803</v>
      </c>
      <c r="B3746" s="16" t="n">
        <v>45837</v>
      </c>
      <c r="C3746" s="15" t="s">
        <v>56</v>
      </c>
      <c r="D3746" s="15" t="s">
        <v>42</v>
      </c>
      <c r="E3746" s="15" t="s">
        <v>39</v>
      </c>
      <c r="F3746" s="15" t="s">
        <v>17</v>
      </c>
      <c r="G3746" s="15" t="s">
        <v>29</v>
      </c>
      <c r="H3746" s="15" t="n">
        <v>4</v>
      </c>
      <c r="I3746" s="17" t="n">
        <v>0.15</v>
      </c>
      <c r="J3746" s="18" t="n">
        <v>77.23</v>
      </c>
      <c r="K3746" s="19" t="n">
        <v>20.45</v>
      </c>
      <c r="L3746" s="15" t="n">
        <f aca="false">YEAR(B3746)</f>
        <v>2025</v>
      </c>
      <c r="M3746" s="20" t="n">
        <f aca="false">IF(J3746&gt;0,K3746/J3746,0)</f>
        <v>0.264793474038586</v>
      </c>
    </row>
    <row r="3747" customFormat="false" ht="15" hidden="false" customHeight="false" outlineLevel="0" collapsed="false">
      <c r="A3747" s="15" t="s">
        <v>3804</v>
      </c>
      <c r="B3747" s="16" t="n">
        <v>44789</v>
      </c>
      <c r="C3747" s="15" t="s">
        <v>56</v>
      </c>
      <c r="D3747" s="15" t="s">
        <v>42</v>
      </c>
      <c r="E3747" s="15" t="s">
        <v>39</v>
      </c>
      <c r="F3747" s="15" t="s">
        <v>16</v>
      </c>
      <c r="G3747" s="15" t="s">
        <v>25</v>
      </c>
      <c r="H3747" s="15" t="n">
        <v>2</v>
      </c>
      <c r="I3747" s="17" t="n">
        <v>0.1</v>
      </c>
      <c r="J3747" s="18" t="n">
        <v>509.14</v>
      </c>
      <c r="K3747" s="19" t="n">
        <v>-28.86</v>
      </c>
      <c r="L3747" s="15" t="n">
        <f aca="false">YEAR(B3747)</f>
        <v>2022</v>
      </c>
      <c r="M3747" s="20" t="n">
        <f aca="false">IF(J3747&gt;0,K3747/J3747,0)</f>
        <v>-0.0566838197745217</v>
      </c>
    </row>
    <row r="3748" customFormat="false" ht="15" hidden="false" customHeight="false" outlineLevel="0" collapsed="false">
      <c r="A3748" s="15" t="s">
        <v>3805</v>
      </c>
      <c r="B3748" s="16" t="n">
        <v>45142</v>
      </c>
      <c r="C3748" s="15" t="s">
        <v>71</v>
      </c>
      <c r="D3748" s="15" t="s">
        <v>43</v>
      </c>
      <c r="E3748" s="15" t="s">
        <v>38</v>
      </c>
      <c r="F3748" s="15" t="s">
        <v>16</v>
      </c>
      <c r="G3748" s="15" t="s">
        <v>23</v>
      </c>
      <c r="H3748" s="15" t="n">
        <v>2</v>
      </c>
      <c r="I3748" s="17" t="n">
        <v>0</v>
      </c>
      <c r="J3748" s="18" t="n">
        <v>673.99</v>
      </c>
      <c r="K3748" s="19" t="n">
        <v>26.52</v>
      </c>
      <c r="L3748" s="15" t="n">
        <f aca="false">YEAR(B3748)</f>
        <v>2023</v>
      </c>
      <c r="M3748" s="20" t="n">
        <f aca="false">IF(J3748&gt;0,K3748/J3748,0)</f>
        <v>0.0393477648036321</v>
      </c>
    </row>
    <row r="3749" customFormat="false" ht="15" hidden="false" customHeight="false" outlineLevel="0" collapsed="false">
      <c r="A3749" s="15" t="s">
        <v>3806</v>
      </c>
      <c r="B3749" s="16" t="n">
        <v>45369</v>
      </c>
      <c r="C3749" s="15" t="s">
        <v>71</v>
      </c>
      <c r="D3749" s="15" t="s">
        <v>44</v>
      </c>
      <c r="E3749" s="15" t="s">
        <v>37</v>
      </c>
      <c r="F3749" s="15" t="s">
        <v>18</v>
      </c>
      <c r="G3749" s="15" t="s">
        <v>33</v>
      </c>
      <c r="H3749" s="15" t="n">
        <v>5</v>
      </c>
      <c r="I3749" s="17" t="n">
        <v>0.1</v>
      </c>
      <c r="J3749" s="18" t="n">
        <v>3583.3</v>
      </c>
      <c r="K3749" s="19" t="n">
        <v>632.86</v>
      </c>
      <c r="L3749" s="15" t="n">
        <f aca="false">YEAR(B3749)</f>
        <v>2024</v>
      </c>
      <c r="M3749" s="20" t="n">
        <f aca="false">IF(J3749&gt;0,K3749/J3749,0)</f>
        <v>0.17661373594173</v>
      </c>
    </row>
    <row r="3750" customFormat="false" ht="15" hidden="false" customHeight="false" outlineLevel="0" collapsed="false">
      <c r="A3750" s="15" t="s">
        <v>3807</v>
      </c>
      <c r="B3750" s="16" t="n">
        <v>45188</v>
      </c>
      <c r="C3750" s="15" t="s">
        <v>68</v>
      </c>
      <c r="D3750" s="15" t="s">
        <v>43</v>
      </c>
      <c r="E3750" s="15" t="s">
        <v>36</v>
      </c>
      <c r="F3750" s="15" t="s">
        <v>17</v>
      </c>
      <c r="G3750" s="15" t="s">
        <v>28</v>
      </c>
      <c r="H3750" s="15" t="n">
        <v>3</v>
      </c>
      <c r="I3750" s="17" t="n">
        <v>0</v>
      </c>
      <c r="J3750" s="18" t="n">
        <v>70.41</v>
      </c>
      <c r="K3750" s="19" t="n">
        <v>24.22</v>
      </c>
      <c r="L3750" s="15" t="n">
        <f aca="false">YEAR(B3750)</f>
        <v>2023</v>
      </c>
      <c r="M3750" s="20" t="n">
        <f aca="false">IF(J3750&gt;0,K3750/J3750,0)</f>
        <v>0.343985229370828</v>
      </c>
    </row>
    <row r="3751" customFormat="false" ht="15" hidden="false" customHeight="false" outlineLevel="0" collapsed="false">
      <c r="A3751" s="15" t="s">
        <v>3808</v>
      </c>
      <c r="B3751" s="16" t="n">
        <v>45752</v>
      </c>
      <c r="C3751" s="15" t="s">
        <v>68</v>
      </c>
      <c r="D3751" s="15" t="s">
        <v>44</v>
      </c>
      <c r="E3751" s="15" t="s">
        <v>36</v>
      </c>
      <c r="F3751" s="15" t="s">
        <v>17</v>
      </c>
      <c r="G3751" s="15" t="s">
        <v>29</v>
      </c>
      <c r="H3751" s="15" t="n">
        <v>5</v>
      </c>
      <c r="I3751" s="17" t="n">
        <v>0.15</v>
      </c>
      <c r="J3751" s="18" t="n">
        <v>72.46</v>
      </c>
      <c r="K3751" s="19" t="n">
        <v>21.19</v>
      </c>
      <c r="L3751" s="15" t="n">
        <f aca="false">YEAR(B3751)</f>
        <v>2025</v>
      </c>
      <c r="M3751" s="20" t="n">
        <f aca="false">IF(J3751&gt;0,K3751/J3751,0)</f>
        <v>0.29243720673475</v>
      </c>
    </row>
    <row r="3752" customFormat="false" ht="15" hidden="false" customHeight="false" outlineLevel="0" collapsed="false">
      <c r="A3752" s="15" t="s">
        <v>3809</v>
      </c>
      <c r="B3752" s="16" t="n">
        <v>45562</v>
      </c>
      <c r="C3752" s="15" t="s">
        <v>56</v>
      </c>
      <c r="D3752" s="15" t="s">
        <v>42</v>
      </c>
      <c r="E3752" s="15" t="s">
        <v>39</v>
      </c>
      <c r="F3752" s="15" t="s">
        <v>17</v>
      </c>
      <c r="G3752" s="15" t="s">
        <v>29</v>
      </c>
      <c r="H3752" s="15" t="n">
        <v>4</v>
      </c>
      <c r="I3752" s="17" t="n">
        <v>0.05</v>
      </c>
      <c r="J3752" s="18" t="n">
        <v>74.99</v>
      </c>
      <c r="K3752" s="19" t="n">
        <v>22.19</v>
      </c>
      <c r="L3752" s="15" t="n">
        <f aca="false">YEAR(B3752)</f>
        <v>2024</v>
      </c>
      <c r="M3752" s="20" t="n">
        <f aca="false">IF(J3752&gt;0,K3752/J3752,0)</f>
        <v>0.295906120816109</v>
      </c>
    </row>
    <row r="3753" customFormat="false" ht="15" hidden="false" customHeight="false" outlineLevel="0" collapsed="false">
      <c r="A3753" s="15" t="s">
        <v>3810</v>
      </c>
      <c r="B3753" s="16" t="n">
        <v>44776</v>
      </c>
      <c r="C3753" s="15" t="s">
        <v>56</v>
      </c>
      <c r="D3753" s="15" t="s">
        <v>42</v>
      </c>
      <c r="E3753" s="15" t="s">
        <v>37</v>
      </c>
      <c r="F3753" s="15" t="s">
        <v>16</v>
      </c>
      <c r="G3753" s="15" t="s">
        <v>23</v>
      </c>
      <c r="H3753" s="15" t="n">
        <v>2</v>
      </c>
      <c r="I3753" s="17" t="n">
        <v>0</v>
      </c>
      <c r="J3753" s="18" t="n">
        <v>535.17</v>
      </c>
      <c r="K3753" s="19" t="n">
        <v>3.83</v>
      </c>
      <c r="L3753" s="15" t="n">
        <f aca="false">YEAR(B3753)</f>
        <v>2022</v>
      </c>
      <c r="M3753" s="20" t="n">
        <f aca="false">IF(J3753&gt;0,K3753/J3753,0)</f>
        <v>0.00715660444344788</v>
      </c>
    </row>
    <row r="3754" customFormat="false" ht="15" hidden="false" customHeight="false" outlineLevel="0" collapsed="false">
      <c r="A3754" s="15" t="s">
        <v>3811</v>
      </c>
      <c r="B3754" s="16" t="n">
        <v>45974</v>
      </c>
      <c r="C3754" s="15" t="s">
        <v>56</v>
      </c>
      <c r="D3754" s="15" t="s">
        <v>43</v>
      </c>
      <c r="E3754" s="15" t="s">
        <v>39</v>
      </c>
      <c r="F3754" s="15" t="s">
        <v>17</v>
      </c>
      <c r="G3754" s="15" t="s">
        <v>29</v>
      </c>
      <c r="H3754" s="15" t="n">
        <v>2</v>
      </c>
      <c r="I3754" s="17" t="n">
        <v>0</v>
      </c>
      <c r="J3754" s="18" t="n">
        <v>34.81</v>
      </c>
      <c r="K3754" s="19" t="n">
        <v>14.62</v>
      </c>
      <c r="L3754" s="15" t="n">
        <f aca="false">YEAR(B3754)</f>
        <v>2025</v>
      </c>
      <c r="M3754" s="20" t="n">
        <f aca="false">IF(J3754&gt;0,K3754/J3754,0)</f>
        <v>0.419994254524562</v>
      </c>
    </row>
    <row r="3755" customFormat="false" ht="15" hidden="false" customHeight="false" outlineLevel="0" collapsed="false">
      <c r="A3755" s="15" t="s">
        <v>3812</v>
      </c>
      <c r="B3755" s="16" t="n">
        <v>45582</v>
      </c>
      <c r="C3755" s="15" t="s">
        <v>68</v>
      </c>
      <c r="D3755" s="15" t="s">
        <v>42</v>
      </c>
      <c r="E3755" s="15" t="s">
        <v>39</v>
      </c>
      <c r="F3755" s="15" t="s">
        <v>18</v>
      </c>
      <c r="G3755" s="15" t="s">
        <v>32</v>
      </c>
      <c r="H3755" s="15" t="n">
        <v>6</v>
      </c>
      <c r="I3755" s="17" t="n">
        <v>0.1</v>
      </c>
      <c r="J3755" s="18" t="n">
        <v>2126.83</v>
      </c>
      <c r="K3755" s="19" t="n">
        <v>243.63</v>
      </c>
      <c r="L3755" s="15" t="n">
        <f aca="false">YEAR(B3755)</f>
        <v>2024</v>
      </c>
      <c r="M3755" s="20" t="n">
        <f aca="false">IF(J3755&gt;0,K3755/J3755,0)</f>
        <v>0.114550763342627</v>
      </c>
    </row>
    <row r="3756" customFormat="false" ht="15" hidden="false" customHeight="false" outlineLevel="0" collapsed="false">
      <c r="A3756" s="15" t="s">
        <v>3813</v>
      </c>
      <c r="B3756" s="16" t="n">
        <v>45905</v>
      </c>
      <c r="C3756" s="15" t="s">
        <v>71</v>
      </c>
      <c r="D3756" s="15" t="s">
        <v>42</v>
      </c>
      <c r="E3756" s="15" t="s">
        <v>36</v>
      </c>
      <c r="F3756" s="15" t="s">
        <v>17</v>
      </c>
      <c r="G3756" s="15" t="s">
        <v>28</v>
      </c>
      <c r="H3756" s="15" t="n">
        <v>2</v>
      </c>
      <c r="I3756" s="17" t="n">
        <v>0.3</v>
      </c>
      <c r="J3756" s="18" t="n">
        <v>30.24</v>
      </c>
      <c r="K3756" s="19" t="n">
        <v>1.14</v>
      </c>
      <c r="L3756" s="15" t="n">
        <f aca="false">YEAR(B3756)</f>
        <v>2025</v>
      </c>
      <c r="M3756" s="20" t="n">
        <f aca="false">IF(J3756&gt;0,K3756/J3756,0)</f>
        <v>0.0376984126984127</v>
      </c>
    </row>
    <row r="3757" customFormat="false" ht="15" hidden="false" customHeight="false" outlineLevel="0" collapsed="false">
      <c r="A3757" s="15" t="s">
        <v>3814</v>
      </c>
      <c r="B3757" s="16" t="n">
        <v>45583</v>
      </c>
      <c r="C3757" s="15" t="s">
        <v>56</v>
      </c>
      <c r="D3757" s="15" t="s">
        <v>43</v>
      </c>
      <c r="E3757" s="15" t="s">
        <v>39</v>
      </c>
      <c r="F3757" s="15" t="s">
        <v>17</v>
      </c>
      <c r="G3757" s="15" t="s">
        <v>29</v>
      </c>
      <c r="H3757" s="15" t="n">
        <v>2</v>
      </c>
      <c r="I3757" s="17" t="n">
        <v>0.15</v>
      </c>
      <c r="J3757" s="18" t="n">
        <v>27.78</v>
      </c>
      <c r="K3757" s="19" t="n">
        <v>6.65</v>
      </c>
      <c r="L3757" s="15" t="n">
        <f aca="false">YEAR(B3757)</f>
        <v>2024</v>
      </c>
      <c r="M3757" s="20" t="n">
        <f aca="false">IF(J3757&gt;0,K3757/J3757,0)</f>
        <v>0.239380849532037</v>
      </c>
    </row>
    <row r="3758" customFormat="false" ht="15" hidden="false" customHeight="false" outlineLevel="0" collapsed="false">
      <c r="A3758" s="15" t="s">
        <v>3815</v>
      </c>
      <c r="B3758" s="16" t="n">
        <v>44714</v>
      </c>
      <c r="C3758" s="15" t="s">
        <v>56</v>
      </c>
      <c r="D3758" s="15" t="s">
        <v>43</v>
      </c>
      <c r="E3758" s="15" t="s">
        <v>39</v>
      </c>
      <c r="F3758" s="15" t="s">
        <v>16</v>
      </c>
      <c r="G3758" s="15" t="s">
        <v>23</v>
      </c>
      <c r="H3758" s="15" t="n">
        <v>5</v>
      </c>
      <c r="I3758" s="17" t="n">
        <v>0</v>
      </c>
      <c r="J3758" s="18" t="n">
        <v>1984.64</v>
      </c>
      <c r="K3758" s="19" t="n">
        <v>52.96</v>
      </c>
      <c r="L3758" s="15" t="n">
        <f aca="false">YEAR(B3758)</f>
        <v>2022</v>
      </c>
      <c r="M3758" s="20" t="n">
        <f aca="false">IF(J3758&gt;0,K3758/J3758,0)</f>
        <v>0.0266849403418252</v>
      </c>
    </row>
    <row r="3759" customFormat="false" ht="15" hidden="false" customHeight="false" outlineLevel="0" collapsed="false">
      <c r="A3759" s="15" t="s">
        <v>3816</v>
      </c>
      <c r="B3759" s="16" t="n">
        <v>44875</v>
      </c>
      <c r="C3759" s="15" t="s">
        <v>68</v>
      </c>
      <c r="D3759" s="15" t="s">
        <v>44</v>
      </c>
      <c r="E3759" s="15" t="s">
        <v>37</v>
      </c>
      <c r="F3759" s="15" t="s">
        <v>17</v>
      </c>
      <c r="G3759" s="15" t="s">
        <v>28</v>
      </c>
      <c r="H3759" s="15" t="n">
        <v>3</v>
      </c>
      <c r="I3759" s="17" t="n">
        <v>0.4</v>
      </c>
      <c r="J3759" s="18" t="n">
        <v>55.6</v>
      </c>
      <c r="K3759" s="19" t="n">
        <v>-1.46</v>
      </c>
      <c r="L3759" s="15" t="n">
        <f aca="false">YEAR(B3759)</f>
        <v>2022</v>
      </c>
      <c r="M3759" s="20" t="n">
        <f aca="false">IF(J3759&gt;0,K3759/J3759,0)</f>
        <v>-0.0262589928057554</v>
      </c>
    </row>
    <row r="3760" customFormat="false" ht="15" hidden="false" customHeight="false" outlineLevel="0" collapsed="false">
      <c r="A3760" s="15" t="s">
        <v>3817</v>
      </c>
      <c r="B3760" s="16" t="n">
        <v>45988</v>
      </c>
      <c r="C3760" s="15" t="s">
        <v>56</v>
      </c>
      <c r="D3760" s="15" t="s">
        <v>44</v>
      </c>
      <c r="E3760" s="15" t="s">
        <v>36</v>
      </c>
      <c r="F3760" s="15" t="s">
        <v>17</v>
      </c>
      <c r="G3760" s="15" t="s">
        <v>31</v>
      </c>
      <c r="H3760" s="15" t="n">
        <v>4</v>
      </c>
      <c r="I3760" s="17" t="n">
        <v>0.2</v>
      </c>
      <c r="J3760" s="18" t="n">
        <v>331.54</v>
      </c>
      <c r="K3760" s="19" t="n">
        <v>-10.21</v>
      </c>
      <c r="L3760" s="15" t="n">
        <f aca="false">YEAR(B3760)</f>
        <v>2025</v>
      </c>
      <c r="M3760" s="20" t="n">
        <f aca="false">IF(J3760&gt;0,K3760/J3760,0)</f>
        <v>-0.0307956807625023</v>
      </c>
    </row>
    <row r="3761" customFormat="false" ht="15" hidden="false" customHeight="false" outlineLevel="0" collapsed="false">
      <c r="A3761" s="15" t="s">
        <v>3818</v>
      </c>
      <c r="B3761" s="16" t="n">
        <v>45812</v>
      </c>
      <c r="C3761" s="15" t="s">
        <v>56</v>
      </c>
      <c r="D3761" s="15" t="s">
        <v>42</v>
      </c>
      <c r="E3761" s="15" t="s">
        <v>39</v>
      </c>
      <c r="F3761" s="15" t="s">
        <v>18</v>
      </c>
      <c r="G3761" s="15" t="s">
        <v>30</v>
      </c>
      <c r="H3761" s="15" t="n">
        <v>3</v>
      </c>
      <c r="I3761" s="17" t="n">
        <v>0</v>
      </c>
      <c r="J3761" s="18" t="n">
        <v>150.39</v>
      </c>
      <c r="K3761" s="19" t="n">
        <v>48.79</v>
      </c>
      <c r="L3761" s="15" t="n">
        <f aca="false">YEAR(B3761)</f>
        <v>2025</v>
      </c>
      <c r="M3761" s="20" t="n">
        <f aca="false">IF(J3761&gt;0,K3761/J3761,0)</f>
        <v>0.324423166433938</v>
      </c>
    </row>
    <row r="3762" customFormat="false" ht="15" hidden="false" customHeight="false" outlineLevel="0" collapsed="false">
      <c r="A3762" s="15" t="s">
        <v>3819</v>
      </c>
      <c r="B3762" s="16" t="n">
        <v>45905</v>
      </c>
      <c r="C3762" s="15" t="s">
        <v>58</v>
      </c>
      <c r="D3762" s="15" t="s">
        <v>42</v>
      </c>
      <c r="E3762" s="15" t="s">
        <v>38</v>
      </c>
      <c r="F3762" s="15" t="s">
        <v>17</v>
      </c>
      <c r="G3762" s="15" t="s">
        <v>26</v>
      </c>
      <c r="H3762" s="15" t="n">
        <v>6</v>
      </c>
      <c r="I3762" s="17" t="n">
        <v>0.2</v>
      </c>
      <c r="J3762" s="18" t="n">
        <v>378.72</v>
      </c>
      <c r="K3762" s="19" t="n">
        <v>-33.63</v>
      </c>
      <c r="L3762" s="15" t="n">
        <f aca="false">YEAR(B3762)</f>
        <v>2025</v>
      </c>
      <c r="M3762" s="20" t="n">
        <f aca="false">IF(J3762&gt;0,K3762/J3762,0)</f>
        <v>-0.0887991128010139</v>
      </c>
    </row>
    <row r="3763" customFormat="false" ht="15" hidden="false" customHeight="false" outlineLevel="0" collapsed="false">
      <c r="A3763" s="15" t="s">
        <v>3820</v>
      </c>
      <c r="B3763" s="16" t="n">
        <v>45562</v>
      </c>
      <c r="C3763" s="15" t="s">
        <v>68</v>
      </c>
      <c r="D3763" s="15" t="s">
        <v>42</v>
      </c>
      <c r="E3763" s="15" t="s">
        <v>39</v>
      </c>
      <c r="F3763" s="15" t="s">
        <v>16</v>
      </c>
      <c r="G3763" s="15" t="s">
        <v>22</v>
      </c>
      <c r="H3763" s="15" t="n">
        <v>7</v>
      </c>
      <c r="I3763" s="17" t="n">
        <v>0.2</v>
      </c>
      <c r="J3763" s="18" t="n">
        <v>3082.13</v>
      </c>
      <c r="K3763" s="19" t="n">
        <v>-863.54</v>
      </c>
      <c r="L3763" s="15" t="n">
        <f aca="false">YEAR(B3763)</f>
        <v>2024</v>
      </c>
      <c r="M3763" s="20" t="n">
        <f aca="false">IF(J3763&gt;0,K3763/J3763,0)</f>
        <v>-0.280176371535269</v>
      </c>
    </row>
    <row r="3764" customFormat="false" ht="15" hidden="false" customHeight="false" outlineLevel="0" collapsed="false">
      <c r="A3764" s="15" t="s">
        <v>3821</v>
      </c>
      <c r="B3764" s="16" t="n">
        <v>45605</v>
      </c>
      <c r="C3764" s="15" t="s">
        <v>56</v>
      </c>
      <c r="D3764" s="15" t="s">
        <v>42</v>
      </c>
      <c r="E3764" s="15" t="s">
        <v>36</v>
      </c>
      <c r="F3764" s="15" t="s">
        <v>17</v>
      </c>
      <c r="G3764" s="15" t="s">
        <v>26</v>
      </c>
      <c r="H3764" s="15" t="n">
        <v>3</v>
      </c>
      <c r="I3764" s="17" t="n">
        <v>0.2</v>
      </c>
      <c r="J3764" s="18" t="n">
        <v>211.48</v>
      </c>
      <c r="K3764" s="19" t="n">
        <v>-17.89</v>
      </c>
      <c r="L3764" s="15" t="n">
        <f aca="false">YEAR(B3764)</f>
        <v>2024</v>
      </c>
      <c r="M3764" s="20" t="n">
        <f aca="false">IF(J3764&gt;0,K3764/J3764,0)</f>
        <v>-0.0845942878759221</v>
      </c>
    </row>
    <row r="3765" customFormat="false" ht="15" hidden="false" customHeight="false" outlineLevel="0" collapsed="false">
      <c r="A3765" s="15" t="s">
        <v>3822</v>
      </c>
      <c r="B3765" s="16" t="n">
        <v>45698</v>
      </c>
      <c r="C3765" s="15" t="s">
        <v>71</v>
      </c>
      <c r="D3765" s="15" t="s">
        <v>43</v>
      </c>
      <c r="E3765" s="15" t="s">
        <v>36</v>
      </c>
      <c r="F3765" s="15" t="s">
        <v>17</v>
      </c>
      <c r="G3765" s="15" t="s">
        <v>29</v>
      </c>
      <c r="H3765" s="15" t="n">
        <v>4</v>
      </c>
      <c r="I3765" s="17" t="n">
        <v>0.1</v>
      </c>
      <c r="J3765" s="18" t="n">
        <v>71.17</v>
      </c>
      <c r="K3765" s="19" t="n">
        <v>17.88</v>
      </c>
      <c r="L3765" s="15" t="n">
        <f aca="false">YEAR(B3765)</f>
        <v>2025</v>
      </c>
      <c r="M3765" s="20" t="n">
        <f aca="false">IF(J3765&gt;0,K3765/J3765,0)</f>
        <v>0.251229450611213</v>
      </c>
    </row>
    <row r="3766" customFormat="false" ht="15" hidden="false" customHeight="false" outlineLevel="0" collapsed="false">
      <c r="A3766" s="15" t="s">
        <v>3823</v>
      </c>
      <c r="B3766" s="16" t="n">
        <v>45991</v>
      </c>
      <c r="C3766" s="15" t="s">
        <v>56</v>
      </c>
      <c r="D3766" s="15" t="s">
        <v>42</v>
      </c>
      <c r="E3766" s="15" t="s">
        <v>38</v>
      </c>
      <c r="F3766" s="15" t="s">
        <v>16</v>
      </c>
      <c r="G3766" s="15" t="s">
        <v>27</v>
      </c>
      <c r="H3766" s="15" t="n">
        <v>3</v>
      </c>
      <c r="I3766" s="17" t="n">
        <v>0</v>
      </c>
      <c r="J3766" s="18" t="n">
        <v>224.21</v>
      </c>
      <c r="K3766" s="19" t="n">
        <v>50.04</v>
      </c>
      <c r="L3766" s="15" t="n">
        <f aca="false">YEAR(B3766)</f>
        <v>2025</v>
      </c>
      <c r="M3766" s="20" t="n">
        <f aca="false">IF(J3766&gt;0,K3766/J3766,0)</f>
        <v>0.223183622496766</v>
      </c>
    </row>
    <row r="3767" customFormat="false" ht="15" hidden="false" customHeight="false" outlineLevel="0" collapsed="false">
      <c r="A3767" s="15" t="s">
        <v>3824</v>
      </c>
      <c r="B3767" s="16" t="n">
        <v>45780</v>
      </c>
      <c r="C3767" s="15" t="s">
        <v>56</v>
      </c>
      <c r="D3767" s="15" t="s">
        <v>42</v>
      </c>
      <c r="E3767" s="15" t="s">
        <v>37</v>
      </c>
      <c r="F3767" s="15" t="s">
        <v>18</v>
      </c>
      <c r="G3767" s="15" t="s">
        <v>33</v>
      </c>
      <c r="H3767" s="15" t="n">
        <v>2</v>
      </c>
      <c r="I3767" s="17" t="n">
        <v>0.1</v>
      </c>
      <c r="J3767" s="18" t="n">
        <v>1517.45</v>
      </c>
      <c r="K3767" s="19" t="n">
        <v>338.61</v>
      </c>
      <c r="L3767" s="15" t="n">
        <f aca="false">YEAR(B3767)</f>
        <v>2025</v>
      </c>
      <c r="M3767" s="20" t="n">
        <f aca="false">IF(J3767&gt;0,K3767/J3767,0)</f>
        <v>0.223144090414841</v>
      </c>
    </row>
    <row r="3768" customFormat="false" ht="15" hidden="false" customHeight="false" outlineLevel="0" collapsed="false">
      <c r="A3768" s="15" t="s">
        <v>3825</v>
      </c>
      <c r="B3768" s="16" t="n">
        <v>45959</v>
      </c>
      <c r="C3768" s="15" t="s">
        <v>56</v>
      </c>
      <c r="D3768" s="15" t="s">
        <v>44</v>
      </c>
      <c r="E3768" s="15" t="s">
        <v>38</v>
      </c>
      <c r="F3768" s="15" t="s">
        <v>18</v>
      </c>
      <c r="G3768" s="15" t="s">
        <v>30</v>
      </c>
      <c r="H3768" s="15" t="n">
        <v>1</v>
      </c>
      <c r="I3768" s="17" t="n">
        <v>0.05</v>
      </c>
      <c r="J3768" s="18" t="n">
        <v>30.54</v>
      </c>
      <c r="K3768" s="19" t="n">
        <v>7.28</v>
      </c>
      <c r="L3768" s="15" t="n">
        <f aca="false">YEAR(B3768)</f>
        <v>2025</v>
      </c>
      <c r="M3768" s="20" t="n">
        <f aca="false">IF(J3768&gt;0,K3768/J3768,0)</f>
        <v>0.238375900458415</v>
      </c>
    </row>
    <row r="3769" customFormat="false" ht="15" hidden="false" customHeight="false" outlineLevel="0" collapsed="false">
      <c r="A3769" s="15" t="s">
        <v>3826</v>
      </c>
      <c r="B3769" s="16" t="n">
        <v>45048</v>
      </c>
      <c r="C3769" s="15" t="s">
        <v>56</v>
      </c>
      <c r="D3769" s="15" t="s">
        <v>43</v>
      </c>
      <c r="E3769" s="15" t="s">
        <v>36</v>
      </c>
      <c r="F3769" s="15" t="s">
        <v>17</v>
      </c>
      <c r="G3769" s="15" t="s">
        <v>29</v>
      </c>
      <c r="H3769" s="15" t="n">
        <v>3</v>
      </c>
      <c r="I3769" s="17" t="n">
        <v>0.15</v>
      </c>
      <c r="J3769" s="18" t="n">
        <v>41.16</v>
      </c>
      <c r="K3769" s="19" t="n">
        <v>8.83</v>
      </c>
      <c r="L3769" s="15" t="n">
        <f aca="false">YEAR(B3769)</f>
        <v>2023</v>
      </c>
      <c r="M3769" s="20" t="n">
        <f aca="false">IF(J3769&gt;0,K3769/J3769,0)</f>
        <v>0.214528668610301</v>
      </c>
    </row>
    <row r="3770" customFormat="false" ht="15" hidden="false" customHeight="false" outlineLevel="0" collapsed="false">
      <c r="A3770" s="15" t="s">
        <v>3827</v>
      </c>
      <c r="B3770" s="16" t="n">
        <v>45440</v>
      </c>
      <c r="C3770" s="15" t="s">
        <v>56</v>
      </c>
      <c r="D3770" s="15" t="s">
        <v>42</v>
      </c>
      <c r="E3770" s="15" t="s">
        <v>39</v>
      </c>
      <c r="F3770" s="15" t="s">
        <v>17</v>
      </c>
      <c r="G3770" s="15" t="s">
        <v>28</v>
      </c>
      <c r="H3770" s="15" t="n">
        <v>2</v>
      </c>
      <c r="I3770" s="17" t="n">
        <v>0</v>
      </c>
      <c r="J3770" s="18" t="n">
        <v>52.24</v>
      </c>
      <c r="K3770" s="19" t="n">
        <v>16.6</v>
      </c>
      <c r="L3770" s="15" t="n">
        <f aca="false">YEAR(B3770)</f>
        <v>2024</v>
      </c>
      <c r="M3770" s="20" t="n">
        <f aca="false">IF(J3770&gt;0,K3770/J3770,0)</f>
        <v>0.317764165390505</v>
      </c>
    </row>
    <row r="3771" customFormat="false" ht="15" hidden="false" customHeight="false" outlineLevel="0" collapsed="false">
      <c r="A3771" s="15" t="s">
        <v>3828</v>
      </c>
      <c r="B3771" s="16" t="n">
        <v>45949</v>
      </c>
      <c r="C3771" s="15" t="s">
        <v>71</v>
      </c>
      <c r="D3771" s="15" t="s">
        <v>42</v>
      </c>
      <c r="E3771" s="15" t="s">
        <v>39</v>
      </c>
      <c r="F3771" s="15" t="s">
        <v>17</v>
      </c>
      <c r="G3771" s="15" t="s">
        <v>31</v>
      </c>
      <c r="H3771" s="15" t="n">
        <v>2</v>
      </c>
      <c r="I3771" s="17" t="n">
        <v>0</v>
      </c>
      <c r="J3771" s="18" t="n">
        <v>277.13</v>
      </c>
      <c r="K3771" s="19" t="n">
        <v>45.86</v>
      </c>
      <c r="L3771" s="15" t="n">
        <f aca="false">YEAR(B3771)</f>
        <v>2025</v>
      </c>
      <c r="M3771" s="20" t="n">
        <f aca="false">IF(J3771&gt;0,K3771/J3771,0)</f>
        <v>0.165481903799661</v>
      </c>
    </row>
    <row r="3772" customFormat="false" ht="15" hidden="false" customHeight="false" outlineLevel="0" collapsed="false">
      <c r="A3772" s="15" t="s">
        <v>3829</v>
      </c>
      <c r="B3772" s="16" t="n">
        <v>45395</v>
      </c>
      <c r="C3772" s="15" t="s">
        <v>56</v>
      </c>
      <c r="D3772" s="15" t="s">
        <v>42</v>
      </c>
      <c r="E3772" s="15" t="s">
        <v>37</v>
      </c>
      <c r="F3772" s="15" t="s">
        <v>18</v>
      </c>
      <c r="G3772" s="15" t="s">
        <v>30</v>
      </c>
      <c r="H3772" s="15" t="n">
        <v>3</v>
      </c>
      <c r="I3772" s="17" t="n">
        <v>0</v>
      </c>
      <c r="J3772" s="18" t="n">
        <v>157.54</v>
      </c>
      <c r="K3772" s="19" t="n">
        <v>50.35</v>
      </c>
      <c r="L3772" s="15" t="n">
        <f aca="false">YEAR(B3772)</f>
        <v>2024</v>
      </c>
      <c r="M3772" s="20" t="n">
        <f aca="false">IF(J3772&gt;0,K3772/J3772,0)</f>
        <v>0.319601371080361</v>
      </c>
    </row>
    <row r="3773" customFormat="false" ht="15" hidden="false" customHeight="false" outlineLevel="0" collapsed="false">
      <c r="A3773" s="15" t="s">
        <v>3830</v>
      </c>
      <c r="B3773" s="16" t="n">
        <v>45451</v>
      </c>
      <c r="C3773" s="15" t="s">
        <v>56</v>
      </c>
      <c r="D3773" s="15" t="s">
        <v>43</v>
      </c>
      <c r="E3773" s="15" t="s">
        <v>36</v>
      </c>
      <c r="F3773" s="15" t="s">
        <v>18</v>
      </c>
      <c r="G3773" s="15" t="s">
        <v>33</v>
      </c>
      <c r="H3773" s="15" t="n">
        <v>2</v>
      </c>
      <c r="I3773" s="17" t="n">
        <v>0.2</v>
      </c>
      <c r="J3773" s="18" t="n">
        <v>1304.4</v>
      </c>
      <c r="K3773" s="19" t="n">
        <v>203.67</v>
      </c>
      <c r="L3773" s="15" t="n">
        <f aca="false">YEAR(B3773)</f>
        <v>2024</v>
      </c>
      <c r="M3773" s="20" t="n">
        <f aca="false">IF(J3773&gt;0,K3773/J3773,0)</f>
        <v>0.156140754369825</v>
      </c>
    </row>
    <row r="3774" customFormat="false" ht="15" hidden="false" customHeight="false" outlineLevel="0" collapsed="false">
      <c r="A3774" s="15" t="s">
        <v>3831</v>
      </c>
      <c r="B3774" s="16" t="n">
        <v>45709</v>
      </c>
      <c r="C3774" s="15" t="s">
        <v>71</v>
      </c>
      <c r="D3774" s="15" t="s">
        <v>43</v>
      </c>
      <c r="E3774" s="15" t="s">
        <v>37</v>
      </c>
      <c r="F3774" s="15" t="s">
        <v>17</v>
      </c>
      <c r="G3774" s="15" t="s">
        <v>28</v>
      </c>
      <c r="H3774" s="15" t="n">
        <v>9</v>
      </c>
      <c r="I3774" s="17" t="n">
        <v>0.1</v>
      </c>
      <c r="J3774" s="18" t="n">
        <v>213.74</v>
      </c>
      <c r="K3774" s="19" t="n">
        <v>43.1</v>
      </c>
      <c r="L3774" s="15" t="n">
        <f aca="false">YEAR(B3774)</f>
        <v>2025</v>
      </c>
      <c r="M3774" s="20" t="n">
        <f aca="false">IF(J3774&gt;0,K3774/J3774,0)</f>
        <v>0.201646860671844</v>
      </c>
    </row>
    <row r="3775" customFormat="false" ht="15" hidden="false" customHeight="false" outlineLevel="0" collapsed="false">
      <c r="A3775" s="15" t="s">
        <v>3832</v>
      </c>
      <c r="B3775" s="16" t="n">
        <v>45430</v>
      </c>
      <c r="C3775" s="15" t="s">
        <v>56</v>
      </c>
      <c r="D3775" s="15" t="s">
        <v>43</v>
      </c>
      <c r="E3775" s="15" t="s">
        <v>36</v>
      </c>
      <c r="F3775" s="15" t="s">
        <v>17</v>
      </c>
      <c r="G3775" s="15" t="s">
        <v>29</v>
      </c>
      <c r="H3775" s="15" t="n">
        <v>2</v>
      </c>
      <c r="I3775" s="17" t="n">
        <v>0</v>
      </c>
      <c r="J3775" s="18" t="n">
        <v>35.11</v>
      </c>
      <c r="K3775" s="19" t="n">
        <v>10.24</v>
      </c>
      <c r="L3775" s="15" t="n">
        <f aca="false">YEAR(B3775)</f>
        <v>2024</v>
      </c>
      <c r="M3775" s="20" t="n">
        <f aca="false">IF(J3775&gt;0,K3775/J3775,0)</f>
        <v>0.291654799202506</v>
      </c>
    </row>
    <row r="3776" customFormat="false" ht="15" hidden="false" customHeight="false" outlineLevel="0" collapsed="false">
      <c r="A3776" s="15" t="s">
        <v>3833</v>
      </c>
      <c r="B3776" s="16" t="n">
        <v>45138</v>
      </c>
      <c r="C3776" s="15" t="s">
        <v>56</v>
      </c>
      <c r="D3776" s="15" t="s">
        <v>43</v>
      </c>
      <c r="E3776" s="15" t="s">
        <v>39</v>
      </c>
      <c r="F3776" s="15" t="s">
        <v>17</v>
      </c>
      <c r="G3776" s="15" t="s">
        <v>31</v>
      </c>
      <c r="H3776" s="15" t="n">
        <v>4</v>
      </c>
      <c r="I3776" s="17" t="n">
        <v>0</v>
      </c>
      <c r="J3776" s="18" t="n">
        <v>534.01</v>
      </c>
      <c r="K3776" s="19" t="n">
        <v>124.76</v>
      </c>
      <c r="L3776" s="15" t="n">
        <f aca="false">YEAR(B3776)</f>
        <v>2023</v>
      </c>
      <c r="M3776" s="20" t="n">
        <f aca="false">IF(J3776&gt;0,K3776/J3776,0)</f>
        <v>0.233628583734387</v>
      </c>
    </row>
    <row r="3777" customFormat="false" ht="15" hidden="false" customHeight="false" outlineLevel="0" collapsed="false">
      <c r="A3777" s="15" t="s">
        <v>3834</v>
      </c>
      <c r="B3777" s="16" t="n">
        <v>44673</v>
      </c>
      <c r="C3777" s="15" t="s">
        <v>71</v>
      </c>
      <c r="D3777" s="15" t="s">
        <v>42</v>
      </c>
      <c r="E3777" s="15" t="s">
        <v>37</v>
      </c>
      <c r="F3777" s="15" t="s">
        <v>16</v>
      </c>
      <c r="G3777" s="15" t="s">
        <v>27</v>
      </c>
      <c r="H3777" s="15" t="n">
        <v>1</v>
      </c>
      <c r="I3777" s="17" t="n">
        <v>0.15</v>
      </c>
      <c r="J3777" s="18" t="n">
        <v>48.29</v>
      </c>
      <c r="K3777" s="19" t="n">
        <v>2.39</v>
      </c>
      <c r="L3777" s="15" t="n">
        <f aca="false">YEAR(B3777)</f>
        <v>2022</v>
      </c>
      <c r="M3777" s="20" t="n">
        <f aca="false">IF(J3777&gt;0,K3777/J3777,0)</f>
        <v>0.0494926485814869</v>
      </c>
    </row>
    <row r="3778" customFormat="false" ht="15" hidden="false" customHeight="false" outlineLevel="0" collapsed="false">
      <c r="A3778" s="15" t="s">
        <v>3835</v>
      </c>
      <c r="B3778" s="16" t="n">
        <v>45045</v>
      </c>
      <c r="C3778" s="15" t="s">
        <v>68</v>
      </c>
      <c r="D3778" s="15" t="s">
        <v>44</v>
      </c>
      <c r="E3778" s="15" t="s">
        <v>39</v>
      </c>
      <c r="F3778" s="15" t="s">
        <v>18</v>
      </c>
      <c r="G3778" s="15" t="s">
        <v>30</v>
      </c>
      <c r="H3778" s="15" t="n">
        <v>5</v>
      </c>
      <c r="I3778" s="17" t="n">
        <v>0</v>
      </c>
      <c r="J3778" s="18" t="n">
        <v>218.81</v>
      </c>
      <c r="K3778" s="19" t="n">
        <v>63.72</v>
      </c>
      <c r="L3778" s="15" t="n">
        <f aca="false">YEAR(B3778)</f>
        <v>2023</v>
      </c>
      <c r="M3778" s="20" t="n">
        <f aca="false">IF(J3778&gt;0,K3778/J3778,0)</f>
        <v>0.291211553402495</v>
      </c>
    </row>
    <row r="3779" customFormat="false" ht="15" hidden="false" customHeight="false" outlineLevel="0" collapsed="false">
      <c r="A3779" s="15" t="s">
        <v>3836</v>
      </c>
      <c r="B3779" s="16" t="n">
        <v>45010</v>
      </c>
      <c r="C3779" s="15" t="s">
        <v>68</v>
      </c>
      <c r="D3779" s="15" t="s">
        <v>43</v>
      </c>
      <c r="E3779" s="15" t="s">
        <v>36</v>
      </c>
      <c r="F3779" s="15" t="s">
        <v>18</v>
      </c>
      <c r="G3779" s="15" t="s">
        <v>30</v>
      </c>
      <c r="H3779" s="15" t="n">
        <v>3</v>
      </c>
      <c r="I3779" s="17" t="n">
        <v>0.1</v>
      </c>
      <c r="J3779" s="18" t="n">
        <v>120.08</v>
      </c>
      <c r="K3779" s="19" t="n">
        <v>34.28</v>
      </c>
      <c r="L3779" s="15" t="n">
        <f aca="false">YEAR(B3779)</f>
        <v>2023</v>
      </c>
      <c r="M3779" s="20" t="n">
        <f aca="false">IF(J3779&gt;0,K3779/J3779,0)</f>
        <v>0.2854763491006</v>
      </c>
    </row>
    <row r="3780" customFormat="false" ht="15" hidden="false" customHeight="false" outlineLevel="0" collapsed="false">
      <c r="A3780" s="15" t="s">
        <v>3837</v>
      </c>
      <c r="B3780" s="16" t="n">
        <v>44910</v>
      </c>
      <c r="C3780" s="15" t="s">
        <v>68</v>
      </c>
      <c r="D3780" s="15" t="s">
        <v>42</v>
      </c>
      <c r="E3780" s="15" t="s">
        <v>37</v>
      </c>
      <c r="F3780" s="15" t="s">
        <v>17</v>
      </c>
      <c r="G3780" s="15" t="s">
        <v>26</v>
      </c>
      <c r="H3780" s="15" t="n">
        <v>5</v>
      </c>
      <c r="I3780" s="17" t="n">
        <v>0.3</v>
      </c>
      <c r="J3780" s="18" t="n">
        <v>256.54</v>
      </c>
      <c r="K3780" s="19" t="n">
        <v>-37.8</v>
      </c>
      <c r="L3780" s="15" t="n">
        <f aca="false">YEAR(B3780)</f>
        <v>2022</v>
      </c>
      <c r="M3780" s="20" t="n">
        <f aca="false">IF(J3780&gt;0,K3780/J3780,0)</f>
        <v>-0.147345443205738</v>
      </c>
    </row>
    <row r="3781" customFormat="false" ht="15" hidden="false" customHeight="false" outlineLevel="0" collapsed="false">
      <c r="A3781" s="15" t="s">
        <v>3838</v>
      </c>
      <c r="B3781" s="16" t="n">
        <v>45211</v>
      </c>
      <c r="C3781" s="15" t="s">
        <v>56</v>
      </c>
      <c r="D3781" s="15" t="s">
        <v>42</v>
      </c>
      <c r="E3781" s="15" t="s">
        <v>36</v>
      </c>
      <c r="F3781" s="15" t="s">
        <v>17</v>
      </c>
      <c r="G3781" s="15" t="s">
        <v>28</v>
      </c>
      <c r="H3781" s="15" t="n">
        <v>4</v>
      </c>
      <c r="I3781" s="17" t="n">
        <v>0</v>
      </c>
      <c r="J3781" s="18" t="n">
        <v>78.68</v>
      </c>
      <c r="K3781" s="19" t="n">
        <v>22.7</v>
      </c>
      <c r="L3781" s="15" t="n">
        <f aca="false">YEAR(B3781)</f>
        <v>2023</v>
      </c>
      <c r="M3781" s="20" t="n">
        <f aca="false">IF(J3781&gt;0,K3781/J3781,0)</f>
        <v>0.288510421962379</v>
      </c>
    </row>
    <row r="3782" customFormat="false" ht="15" hidden="false" customHeight="false" outlineLevel="0" collapsed="false">
      <c r="A3782" s="15" t="s">
        <v>3839</v>
      </c>
      <c r="B3782" s="16" t="n">
        <v>45975</v>
      </c>
      <c r="C3782" s="15" t="s">
        <v>56</v>
      </c>
      <c r="D3782" s="15" t="s">
        <v>42</v>
      </c>
      <c r="E3782" s="15" t="s">
        <v>37</v>
      </c>
      <c r="F3782" s="15" t="s">
        <v>18</v>
      </c>
      <c r="G3782" s="15" t="s">
        <v>33</v>
      </c>
      <c r="H3782" s="15" t="n">
        <v>3</v>
      </c>
      <c r="I3782" s="17" t="n">
        <v>0.15</v>
      </c>
      <c r="J3782" s="18" t="n">
        <v>2437.3</v>
      </c>
      <c r="K3782" s="19" t="n">
        <v>329.12</v>
      </c>
      <c r="L3782" s="15" t="n">
        <f aca="false">YEAR(B3782)</f>
        <v>2025</v>
      </c>
      <c r="M3782" s="20" t="n">
        <f aca="false">IF(J3782&gt;0,K3782/J3782,0)</f>
        <v>0.135034669511345</v>
      </c>
    </row>
    <row r="3783" customFormat="false" ht="15" hidden="false" customHeight="false" outlineLevel="0" collapsed="false">
      <c r="A3783" s="15" t="s">
        <v>3840</v>
      </c>
      <c r="B3783" s="16" t="n">
        <v>45735</v>
      </c>
      <c r="C3783" s="15" t="s">
        <v>56</v>
      </c>
      <c r="D3783" s="15" t="s">
        <v>42</v>
      </c>
      <c r="E3783" s="15" t="s">
        <v>37</v>
      </c>
      <c r="F3783" s="15" t="s">
        <v>17</v>
      </c>
      <c r="G3783" s="15" t="s">
        <v>31</v>
      </c>
      <c r="H3783" s="15" t="n">
        <v>6</v>
      </c>
      <c r="I3783" s="17" t="n">
        <v>0.1</v>
      </c>
      <c r="J3783" s="18" t="n">
        <v>803.02</v>
      </c>
      <c r="K3783" s="19" t="n">
        <v>54.58</v>
      </c>
      <c r="L3783" s="15" t="n">
        <f aca="false">YEAR(B3783)</f>
        <v>2025</v>
      </c>
      <c r="M3783" s="20" t="n">
        <f aca="false">IF(J3783&gt;0,K3783/J3783,0)</f>
        <v>0.0679684192174541</v>
      </c>
    </row>
    <row r="3784" customFormat="false" ht="15" hidden="false" customHeight="false" outlineLevel="0" collapsed="false">
      <c r="A3784" s="15" t="s">
        <v>3841</v>
      </c>
      <c r="B3784" s="16" t="n">
        <v>44592</v>
      </c>
      <c r="C3784" s="15" t="s">
        <v>56</v>
      </c>
      <c r="D3784" s="15" t="s">
        <v>42</v>
      </c>
      <c r="E3784" s="15" t="s">
        <v>39</v>
      </c>
      <c r="F3784" s="15" t="s">
        <v>17</v>
      </c>
      <c r="G3784" s="15" t="s">
        <v>29</v>
      </c>
      <c r="H3784" s="15" t="n">
        <v>3</v>
      </c>
      <c r="I3784" s="17" t="n">
        <v>0</v>
      </c>
      <c r="J3784" s="18" t="n">
        <v>55.7</v>
      </c>
      <c r="K3784" s="19" t="n">
        <v>19.78</v>
      </c>
      <c r="L3784" s="15" t="n">
        <f aca="false">YEAR(B3784)</f>
        <v>2022</v>
      </c>
      <c r="M3784" s="20" t="n">
        <f aca="false">IF(J3784&gt;0,K3784/J3784,0)</f>
        <v>0.355116696588869</v>
      </c>
    </row>
    <row r="3785" customFormat="false" ht="15" hidden="false" customHeight="false" outlineLevel="0" collapsed="false">
      <c r="A3785" s="15" t="s">
        <v>3842</v>
      </c>
      <c r="B3785" s="16" t="n">
        <v>45596</v>
      </c>
      <c r="C3785" s="15" t="s">
        <v>56</v>
      </c>
      <c r="D3785" s="15" t="s">
        <v>42</v>
      </c>
      <c r="E3785" s="15" t="s">
        <v>37</v>
      </c>
      <c r="F3785" s="15" t="s">
        <v>17</v>
      </c>
      <c r="G3785" s="15" t="s">
        <v>28</v>
      </c>
      <c r="H3785" s="15" t="n">
        <v>3</v>
      </c>
      <c r="I3785" s="17" t="n">
        <v>0</v>
      </c>
      <c r="J3785" s="18" t="n">
        <v>89.19</v>
      </c>
      <c r="K3785" s="19" t="n">
        <v>26.4</v>
      </c>
      <c r="L3785" s="15" t="n">
        <f aca="false">YEAR(B3785)</f>
        <v>2024</v>
      </c>
      <c r="M3785" s="20" t="n">
        <f aca="false">IF(J3785&gt;0,K3785/J3785,0)</f>
        <v>0.295997309115372</v>
      </c>
    </row>
    <row r="3786" customFormat="false" ht="15" hidden="false" customHeight="false" outlineLevel="0" collapsed="false">
      <c r="A3786" s="15" t="s">
        <v>3843</v>
      </c>
      <c r="B3786" s="16" t="n">
        <v>44832</v>
      </c>
      <c r="C3786" s="15" t="s">
        <v>56</v>
      </c>
      <c r="D3786" s="15" t="s">
        <v>43</v>
      </c>
      <c r="E3786" s="15" t="s">
        <v>38</v>
      </c>
      <c r="F3786" s="15" t="s">
        <v>17</v>
      </c>
      <c r="G3786" s="15" t="s">
        <v>28</v>
      </c>
      <c r="H3786" s="15" t="n">
        <v>7</v>
      </c>
      <c r="I3786" s="17" t="n">
        <v>0</v>
      </c>
      <c r="J3786" s="18" t="n">
        <v>187.89</v>
      </c>
      <c r="K3786" s="19" t="n">
        <v>60.98</v>
      </c>
      <c r="L3786" s="15" t="n">
        <f aca="false">YEAR(B3786)</f>
        <v>2022</v>
      </c>
      <c r="M3786" s="20" t="n">
        <f aca="false">IF(J3786&gt;0,K3786/J3786,0)</f>
        <v>0.324551599340039</v>
      </c>
    </row>
    <row r="3787" customFormat="false" ht="15" hidden="false" customHeight="false" outlineLevel="0" collapsed="false">
      <c r="A3787" s="15" t="s">
        <v>3844</v>
      </c>
      <c r="B3787" s="16" t="n">
        <v>45758</v>
      </c>
      <c r="C3787" s="15" t="s">
        <v>71</v>
      </c>
      <c r="D3787" s="15" t="s">
        <v>43</v>
      </c>
      <c r="E3787" s="15" t="s">
        <v>39</v>
      </c>
      <c r="F3787" s="15" t="s">
        <v>18</v>
      </c>
      <c r="G3787" s="15" t="s">
        <v>32</v>
      </c>
      <c r="H3787" s="15" t="n">
        <v>4</v>
      </c>
      <c r="I3787" s="17" t="n">
        <v>0.2</v>
      </c>
      <c r="J3787" s="18" t="n">
        <v>1265.32</v>
      </c>
      <c r="K3787" s="19" t="n">
        <v>-18.35</v>
      </c>
      <c r="L3787" s="15" t="n">
        <f aca="false">YEAR(B3787)</f>
        <v>2025</v>
      </c>
      <c r="M3787" s="20" t="n">
        <f aca="false">IF(J3787&gt;0,K3787/J3787,0)</f>
        <v>-0.0145022602977903</v>
      </c>
    </row>
    <row r="3788" customFormat="false" ht="15" hidden="false" customHeight="false" outlineLevel="0" collapsed="false">
      <c r="A3788" s="15" t="s">
        <v>3845</v>
      </c>
      <c r="B3788" s="16" t="n">
        <v>45183</v>
      </c>
      <c r="C3788" s="15" t="s">
        <v>56</v>
      </c>
      <c r="D3788" s="15" t="s">
        <v>42</v>
      </c>
      <c r="E3788" s="15" t="s">
        <v>37</v>
      </c>
      <c r="F3788" s="15" t="s">
        <v>17</v>
      </c>
      <c r="G3788" s="15" t="s">
        <v>29</v>
      </c>
      <c r="H3788" s="15" t="n">
        <v>8</v>
      </c>
      <c r="I3788" s="17" t="n">
        <v>0.3</v>
      </c>
      <c r="J3788" s="18" t="n">
        <v>87.77</v>
      </c>
      <c r="K3788" s="19" t="n">
        <v>14</v>
      </c>
      <c r="L3788" s="15" t="n">
        <f aca="false">YEAR(B3788)</f>
        <v>2023</v>
      </c>
      <c r="M3788" s="20" t="n">
        <f aca="false">IF(J3788&gt;0,K3788/J3788,0)</f>
        <v>0.159507804489005</v>
      </c>
    </row>
    <row r="3789" customFormat="false" ht="15" hidden="false" customHeight="false" outlineLevel="0" collapsed="false">
      <c r="A3789" s="15" t="s">
        <v>3846</v>
      </c>
      <c r="B3789" s="16" t="n">
        <v>46009</v>
      </c>
      <c r="C3789" s="15" t="s">
        <v>71</v>
      </c>
      <c r="D3789" s="15" t="s">
        <v>42</v>
      </c>
      <c r="E3789" s="15" t="s">
        <v>39</v>
      </c>
      <c r="F3789" s="15" t="s">
        <v>16</v>
      </c>
      <c r="G3789" s="15" t="s">
        <v>25</v>
      </c>
      <c r="H3789" s="15" t="n">
        <v>5</v>
      </c>
      <c r="I3789" s="17" t="n">
        <v>0</v>
      </c>
      <c r="J3789" s="18" t="n">
        <v>1204.74</v>
      </c>
      <c r="K3789" s="19" t="n">
        <v>45.21</v>
      </c>
      <c r="L3789" s="15" t="n">
        <f aca="false">YEAR(B3789)</f>
        <v>2025</v>
      </c>
      <c r="M3789" s="20" t="n">
        <f aca="false">IF(J3789&gt;0,K3789/J3789,0)</f>
        <v>0.0375267692614174</v>
      </c>
    </row>
    <row r="3790" customFormat="false" ht="15" hidden="false" customHeight="false" outlineLevel="0" collapsed="false">
      <c r="A3790" s="15" t="s">
        <v>3847</v>
      </c>
      <c r="B3790" s="16" t="n">
        <v>45649</v>
      </c>
      <c r="C3790" s="15" t="s">
        <v>56</v>
      </c>
      <c r="D3790" s="15" t="s">
        <v>44</v>
      </c>
      <c r="E3790" s="15" t="s">
        <v>38</v>
      </c>
      <c r="F3790" s="15" t="s">
        <v>17</v>
      </c>
      <c r="G3790" s="15" t="s">
        <v>29</v>
      </c>
      <c r="H3790" s="15" t="n">
        <v>6</v>
      </c>
      <c r="I3790" s="17" t="n">
        <v>0</v>
      </c>
      <c r="J3790" s="18" t="n">
        <v>101.96</v>
      </c>
      <c r="K3790" s="19" t="n">
        <v>45.55</v>
      </c>
      <c r="L3790" s="15" t="n">
        <f aca="false">YEAR(B3790)</f>
        <v>2024</v>
      </c>
      <c r="M3790" s="20" t="n">
        <f aca="false">IF(J3790&gt;0,K3790/J3790,0)</f>
        <v>0.446743821106316</v>
      </c>
    </row>
    <row r="3791" customFormat="false" ht="15" hidden="false" customHeight="false" outlineLevel="0" collapsed="false">
      <c r="A3791" s="15" t="s">
        <v>3848</v>
      </c>
      <c r="B3791" s="16" t="n">
        <v>45785</v>
      </c>
      <c r="C3791" s="15" t="s">
        <v>56</v>
      </c>
      <c r="D3791" s="15" t="s">
        <v>42</v>
      </c>
      <c r="E3791" s="15" t="s">
        <v>36</v>
      </c>
      <c r="F3791" s="15" t="s">
        <v>17</v>
      </c>
      <c r="G3791" s="15" t="s">
        <v>26</v>
      </c>
      <c r="H3791" s="15" t="n">
        <v>2</v>
      </c>
      <c r="I3791" s="17" t="n">
        <v>0.2</v>
      </c>
      <c r="J3791" s="18" t="n">
        <v>137.14</v>
      </c>
      <c r="K3791" s="19" t="n">
        <v>-5.09</v>
      </c>
      <c r="L3791" s="15" t="n">
        <f aca="false">YEAR(B3791)</f>
        <v>2025</v>
      </c>
      <c r="M3791" s="20" t="n">
        <f aca="false">IF(J3791&gt;0,K3791/J3791,0)</f>
        <v>-0.0371153565699285</v>
      </c>
    </row>
    <row r="3792" customFormat="false" ht="15" hidden="false" customHeight="false" outlineLevel="0" collapsed="false">
      <c r="A3792" s="15" t="s">
        <v>3849</v>
      </c>
      <c r="B3792" s="16" t="n">
        <v>45845</v>
      </c>
      <c r="C3792" s="15" t="s">
        <v>56</v>
      </c>
      <c r="D3792" s="15" t="s">
        <v>42</v>
      </c>
      <c r="E3792" s="15" t="s">
        <v>39</v>
      </c>
      <c r="F3792" s="15" t="s">
        <v>17</v>
      </c>
      <c r="G3792" s="15" t="s">
        <v>28</v>
      </c>
      <c r="H3792" s="15" t="n">
        <v>4</v>
      </c>
      <c r="I3792" s="17" t="n">
        <v>0.5</v>
      </c>
      <c r="J3792" s="18" t="n">
        <v>51.97</v>
      </c>
      <c r="K3792" s="19" t="n">
        <v>-9.46</v>
      </c>
      <c r="L3792" s="15" t="n">
        <f aca="false">YEAR(B3792)</f>
        <v>2025</v>
      </c>
      <c r="M3792" s="20" t="n">
        <f aca="false">IF(J3792&gt;0,K3792/J3792,0)</f>
        <v>-0.182028093130652</v>
      </c>
    </row>
    <row r="3793" customFormat="false" ht="15" hidden="false" customHeight="false" outlineLevel="0" collapsed="false">
      <c r="A3793" s="15" t="s">
        <v>3850</v>
      </c>
      <c r="B3793" s="16" t="n">
        <v>46018</v>
      </c>
      <c r="C3793" s="15" t="s">
        <v>71</v>
      </c>
      <c r="D3793" s="15" t="s">
        <v>44</v>
      </c>
      <c r="E3793" s="15" t="s">
        <v>39</v>
      </c>
      <c r="F3793" s="15" t="s">
        <v>18</v>
      </c>
      <c r="G3793" s="15" t="s">
        <v>32</v>
      </c>
      <c r="H3793" s="15" t="n">
        <v>3</v>
      </c>
      <c r="I3793" s="17" t="n">
        <v>0.3</v>
      </c>
      <c r="J3793" s="18" t="n">
        <v>823.23</v>
      </c>
      <c r="K3793" s="19" t="n">
        <v>-113.47</v>
      </c>
      <c r="L3793" s="15" t="n">
        <f aca="false">YEAR(B3793)</f>
        <v>2025</v>
      </c>
      <c r="M3793" s="20" t="n">
        <f aca="false">IF(J3793&gt;0,K3793/J3793,0)</f>
        <v>-0.137835112908908</v>
      </c>
    </row>
    <row r="3794" customFormat="false" ht="15" hidden="false" customHeight="false" outlineLevel="0" collapsed="false">
      <c r="A3794" s="15" t="s">
        <v>3851</v>
      </c>
      <c r="B3794" s="16" t="n">
        <v>44607</v>
      </c>
      <c r="C3794" s="15" t="s">
        <v>68</v>
      </c>
      <c r="D3794" s="15" t="s">
        <v>43</v>
      </c>
      <c r="E3794" s="15" t="s">
        <v>39</v>
      </c>
      <c r="F3794" s="15" t="s">
        <v>16</v>
      </c>
      <c r="G3794" s="15" t="s">
        <v>23</v>
      </c>
      <c r="H3794" s="15" t="n">
        <v>2</v>
      </c>
      <c r="I3794" s="17" t="n">
        <v>0.1</v>
      </c>
      <c r="J3794" s="18" t="n">
        <v>787.46</v>
      </c>
      <c r="K3794" s="19" t="n">
        <v>-55.87</v>
      </c>
      <c r="L3794" s="15" t="n">
        <f aca="false">YEAR(B3794)</f>
        <v>2022</v>
      </c>
      <c r="M3794" s="20" t="n">
        <f aca="false">IF(J3794&gt;0,K3794/J3794,0)</f>
        <v>-0.0709496355370431</v>
      </c>
    </row>
    <row r="3795" customFormat="false" ht="15" hidden="false" customHeight="false" outlineLevel="0" collapsed="false">
      <c r="A3795" s="15" t="s">
        <v>3852</v>
      </c>
      <c r="B3795" s="16" t="n">
        <v>45200</v>
      </c>
      <c r="C3795" s="15" t="s">
        <v>56</v>
      </c>
      <c r="D3795" s="15" t="s">
        <v>44</v>
      </c>
      <c r="E3795" s="15" t="s">
        <v>38</v>
      </c>
      <c r="F3795" s="15" t="s">
        <v>17</v>
      </c>
      <c r="G3795" s="15" t="s">
        <v>31</v>
      </c>
      <c r="H3795" s="15" t="n">
        <v>3</v>
      </c>
      <c r="I3795" s="17" t="n">
        <v>0</v>
      </c>
      <c r="J3795" s="18" t="n">
        <v>302.32</v>
      </c>
      <c r="K3795" s="19" t="n">
        <v>52.72</v>
      </c>
      <c r="L3795" s="15" t="n">
        <f aca="false">YEAR(B3795)</f>
        <v>2023</v>
      </c>
      <c r="M3795" s="20" t="n">
        <f aca="false">IF(J3795&gt;0,K3795/J3795,0)</f>
        <v>0.174384757872453</v>
      </c>
    </row>
    <row r="3796" customFormat="false" ht="15" hidden="false" customHeight="false" outlineLevel="0" collapsed="false">
      <c r="A3796" s="15" t="s">
        <v>3853</v>
      </c>
      <c r="B3796" s="16" t="n">
        <v>45640</v>
      </c>
      <c r="C3796" s="15" t="s">
        <v>56</v>
      </c>
      <c r="D3796" s="15" t="s">
        <v>44</v>
      </c>
      <c r="E3796" s="15" t="s">
        <v>36</v>
      </c>
      <c r="F3796" s="15" t="s">
        <v>17</v>
      </c>
      <c r="G3796" s="15" t="s">
        <v>29</v>
      </c>
      <c r="H3796" s="15" t="n">
        <v>5</v>
      </c>
      <c r="I3796" s="17" t="n">
        <v>0.3</v>
      </c>
      <c r="J3796" s="18" t="n">
        <v>63.8</v>
      </c>
      <c r="K3796" s="19" t="n">
        <v>0.12</v>
      </c>
      <c r="L3796" s="15" t="n">
        <f aca="false">YEAR(B3796)</f>
        <v>2024</v>
      </c>
      <c r="M3796" s="20" t="n">
        <f aca="false">IF(J3796&gt;0,K3796/J3796,0)</f>
        <v>0.00188087774294671</v>
      </c>
    </row>
    <row r="3797" customFormat="false" ht="15" hidden="false" customHeight="false" outlineLevel="0" collapsed="false">
      <c r="A3797" s="15" t="s">
        <v>3854</v>
      </c>
      <c r="B3797" s="16" t="n">
        <v>44783</v>
      </c>
      <c r="C3797" s="15" t="s">
        <v>56</v>
      </c>
      <c r="D3797" s="15" t="s">
        <v>43</v>
      </c>
      <c r="E3797" s="15" t="s">
        <v>39</v>
      </c>
      <c r="F3797" s="15" t="s">
        <v>16</v>
      </c>
      <c r="G3797" s="15" t="s">
        <v>22</v>
      </c>
      <c r="H3797" s="15" t="n">
        <v>2</v>
      </c>
      <c r="I3797" s="17" t="n">
        <v>0.2</v>
      </c>
      <c r="J3797" s="18" t="n">
        <v>929.74</v>
      </c>
      <c r="K3797" s="19" t="n">
        <v>-294.22</v>
      </c>
      <c r="L3797" s="15" t="n">
        <f aca="false">YEAR(B3797)</f>
        <v>2022</v>
      </c>
      <c r="M3797" s="20" t="n">
        <f aca="false">IF(J3797&gt;0,K3797/J3797,0)</f>
        <v>-0.316454062426055</v>
      </c>
    </row>
    <row r="3798" customFormat="false" ht="15" hidden="false" customHeight="false" outlineLevel="0" collapsed="false">
      <c r="A3798" s="15" t="s">
        <v>3855</v>
      </c>
      <c r="B3798" s="16" t="n">
        <v>44852</v>
      </c>
      <c r="C3798" s="15" t="s">
        <v>56</v>
      </c>
      <c r="D3798" s="15" t="s">
        <v>43</v>
      </c>
      <c r="E3798" s="15" t="s">
        <v>39</v>
      </c>
      <c r="F3798" s="15" t="s">
        <v>17</v>
      </c>
      <c r="G3798" s="15" t="s">
        <v>28</v>
      </c>
      <c r="H3798" s="15" t="n">
        <v>1</v>
      </c>
      <c r="I3798" s="17" t="n">
        <v>0.1</v>
      </c>
      <c r="J3798" s="18" t="n">
        <v>28.61</v>
      </c>
      <c r="K3798" s="19" t="n">
        <v>4.94</v>
      </c>
      <c r="L3798" s="15" t="n">
        <f aca="false">YEAR(B3798)</f>
        <v>2022</v>
      </c>
      <c r="M3798" s="20" t="n">
        <f aca="false">IF(J3798&gt;0,K3798/J3798,0)</f>
        <v>0.172666899685425</v>
      </c>
    </row>
    <row r="3799" customFormat="false" ht="15" hidden="false" customHeight="false" outlineLevel="0" collapsed="false">
      <c r="A3799" s="15" t="s">
        <v>3856</v>
      </c>
      <c r="B3799" s="16" t="n">
        <v>45860</v>
      </c>
      <c r="C3799" s="15" t="s">
        <v>58</v>
      </c>
      <c r="D3799" s="15" t="s">
        <v>42</v>
      </c>
      <c r="E3799" s="15" t="s">
        <v>36</v>
      </c>
      <c r="F3799" s="15" t="s">
        <v>17</v>
      </c>
      <c r="G3799" s="15" t="s">
        <v>29</v>
      </c>
      <c r="H3799" s="15" t="n">
        <v>6</v>
      </c>
      <c r="I3799" s="17" t="n">
        <v>0.3</v>
      </c>
      <c r="J3799" s="18" t="n">
        <v>65.45</v>
      </c>
      <c r="K3799" s="19" t="n">
        <v>5.01</v>
      </c>
      <c r="L3799" s="15" t="n">
        <f aca="false">YEAR(B3799)</f>
        <v>2025</v>
      </c>
      <c r="M3799" s="20" t="n">
        <f aca="false">IF(J3799&gt;0,K3799/J3799,0)</f>
        <v>0.0765469824293354</v>
      </c>
    </row>
    <row r="3800" customFormat="false" ht="15" hidden="false" customHeight="false" outlineLevel="0" collapsed="false">
      <c r="A3800" s="15" t="s">
        <v>3857</v>
      </c>
      <c r="B3800" s="16" t="n">
        <v>45161</v>
      </c>
      <c r="C3800" s="15" t="s">
        <v>71</v>
      </c>
      <c r="D3800" s="15" t="s">
        <v>44</v>
      </c>
      <c r="E3800" s="15" t="s">
        <v>39</v>
      </c>
      <c r="F3800" s="15" t="s">
        <v>17</v>
      </c>
      <c r="G3800" s="15" t="s">
        <v>29</v>
      </c>
      <c r="H3800" s="15" t="n">
        <v>3</v>
      </c>
      <c r="I3800" s="17" t="n">
        <v>0</v>
      </c>
      <c r="J3800" s="18" t="n">
        <v>54.19</v>
      </c>
      <c r="K3800" s="19" t="n">
        <v>25.12</v>
      </c>
      <c r="L3800" s="15" t="n">
        <f aca="false">YEAR(B3800)</f>
        <v>2023</v>
      </c>
      <c r="M3800" s="20" t="n">
        <f aca="false">IF(J3800&gt;0,K3800/J3800,0)</f>
        <v>0.46355416128437</v>
      </c>
    </row>
    <row r="3801" customFormat="false" ht="15" hidden="false" customHeight="false" outlineLevel="0" collapsed="false">
      <c r="A3801" s="15" t="s">
        <v>3858</v>
      </c>
      <c r="B3801" s="16" t="n">
        <v>45396</v>
      </c>
      <c r="C3801" s="15" t="s">
        <v>56</v>
      </c>
      <c r="D3801" s="15" t="s">
        <v>42</v>
      </c>
      <c r="E3801" s="15" t="s">
        <v>37</v>
      </c>
      <c r="F3801" s="15" t="s">
        <v>18</v>
      </c>
      <c r="G3801" s="15" t="s">
        <v>30</v>
      </c>
      <c r="H3801" s="15" t="n">
        <v>4</v>
      </c>
      <c r="I3801" s="17" t="n">
        <v>0</v>
      </c>
      <c r="J3801" s="18" t="n">
        <v>181.26</v>
      </c>
      <c r="K3801" s="19" t="n">
        <v>60.9</v>
      </c>
      <c r="L3801" s="15" t="n">
        <f aca="false">YEAR(B3801)</f>
        <v>2024</v>
      </c>
      <c r="M3801" s="20" t="n">
        <f aca="false">IF(J3801&gt;0,K3801/J3801,0)</f>
        <v>0.335981463091692</v>
      </c>
    </row>
    <row r="3802" customFormat="false" ht="15" hidden="false" customHeight="false" outlineLevel="0" collapsed="false">
      <c r="A3802" s="15" t="s">
        <v>3859</v>
      </c>
      <c r="B3802" s="16" t="n">
        <v>45667</v>
      </c>
      <c r="C3802" s="15" t="s">
        <v>56</v>
      </c>
      <c r="D3802" s="15" t="s">
        <v>42</v>
      </c>
      <c r="E3802" s="15" t="s">
        <v>39</v>
      </c>
      <c r="F3802" s="15" t="s">
        <v>17</v>
      </c>
      <c r="G3802" s="15" t="s">
        <v>26</v>
      </c>
      <c r="H3802" s="15" t="n">
        <v>3</v>
      </c>
      <c r="I3802" s="17" t="n">
        <v>0</v>
      </c>
      <c r="J3802" s="18" t="n">
        <v>292.01</v>
      </c>
      <c r="K3802" s="19" t="n">
        <v>53.85</v>
      </c>
      <c r="L3802" s="15" t="n">
        <f aca="false">YEAR(B3802)</f>
        <v>2025</v>
      </c>
      <c r="M3802" s="20" t="n">
        <f aca="false">IF(J3802&gt;0,K3802/J3802,0)</f>
        <v>0.184411492757097</v>
      </c>
    </row>
    <row r="3803" customFormat="false" ht="15" hidden="false" customHeight="false" outlineLevel="0" collapsed="false">
      <c r="A3803" s="15" t="s">
        <v>3860</v>
      </c>
      <c r="B3803" s="16" t="n">
        <v>45985</v>
      </c>
      <c r="C3803" s="15" t="s">
        <v>68</v>
      </c>
      <c r="D3803" s="15" t="s">
        <v>42</v>
      </c>
      <c r="E3803" s="15" t="s">
        <v>36</v>
      </c>
      <c r="F3803" s="15" t="s">
        <v>18</v>
      </c>
      <c r="G3803" s="15" t="s">
        <v>30</v>
      </c>
      <c r="H3803" s="15" t="n">
        <v>3</v>
      </c>
      <c r="I3803" s="17" t="n">
        <v>0</v>
      </c>
      <c r="J3803" s="18" t="n">
        <v>121.76</v>
      </c>
      <c r="K3803" s="19" t="n">
        <v>32.37</v>
      </c>
      <c r="L3803" s="15" t="n">
        <f aca="false">YEAR(B3803)</f>
        <v>2025</v>
      </c>
      <c r="M3803" s="20" t="n">
        <f aca="false">IF(J3803&gt;0,K3803/J3803,0)</f>
        <v>0.26585085413929</v>
      </c>
    </row>
    <row r="3804" customFormat="false" ht="15" hidden="false" customHeight="false" outlineLevel="0" collapsed="false">
      <c r="A3804" s="15" t="s">
        <v>3861</v>
      </c>
      <c r="B3804" s="16" t="n">
        <v>45782</v>
      </c>
      <c r="C3804" s="15" t="s">
        <v>56</v>
      </c>
      <c r="D3804" s="15" t="s">
        <v>43</v>
      </c>
      <c r="E3804" s="15" t="s">
        <v>36</v>
      </c>
      <c r="F3804" s="15" t="s">
        <v>17</v>
      </c>
      <c r="G3804" s="15" t="s">
        <v>31</v>
      </c>
      <c r="H3804" s="15" t="n">
        <v>3</v>
      </c>
      <c r="I3804" s="17" t="n">
        <v>0.2</v>
      </c>
      <c r="J3804" s="18" t="n">
        <v>286.43</v>
      </c>
      <c r="K3804" s="19" t="n">
        <v>0.16</v>
      </c>
      <c r="L3804" s="15" t="n">
        <f aca="false">YEAR(B3804)</f>
        <v>2025</v>
      </c>
      <c r="M3804" s="20" t="n">
        <f aca="false">IF(J3804&gt;0,K3804/J3804,0)</f>
        <v>0.00055860070523339</v>
      </c>
    </row>
    <row r="3805" customFormat="false" ht="15" hidden="false" customHeight="false" outlineLevel="0" collapsed="false">
      <c r="A3805" s="15" t="s">
        <v>3862</v>
      </c>
      <c r="B3805" s="16" t="n">
        <v>45958</v>
      </c>
      <c r="C3805" s="15" t="s">
        <v>56</v>
      </c>
      <c r="D3805" s="15" t="s">
        <v>42</v>
      </c>
      <c r="E3805" s="15" t="s">
        <v>36</v>
      </c>
      <c r="F3805" s="15" t="s">
        <v>18</v>
      </c>
      <c r="G3805" s="15" t="s">
        <v>32</v>
      </c>
      <c r="H3805" s="15" t="n">
        <v>3</v>
      </c>
      <c r="I3805" s="17" t="n">
        <v>0.2</v>
      </c>
      <c r="J3805" s="18" t="n">
        <v>1018.17</v>
      </c>
      <c r="K3805" s="19" t="n">
        <v>-93.5</v>
      </c>
      <c r="L3805" s="15" t="n">
        <f aca="false">YEAR(B3805)</f>
        <v>2025</v>
      </c>
      <c r="M3805" s="20" t="n">
        <f aca="false">IF(J3805&gt;0,K3805/J3805,0)</f>
        <v>-0.0918314230433032</v>
      </c>
    </row>
    <row r="3806" customFormat="false" ht="15" hidden="false" customHeight="false" outlineLevel="0" collapsed="false">
      <c r="A3806" s="15" t="s">
        <v>3863</v>
      </c>
      <c r="B3806" s="16" t="n">
        <v>45421</v>
      </c>
      <c r="C3806" s="15" t="s">
        <v>71</v>
      </c>
      <c r="D3806" s="15" t="s">
        <v>44</v>
      </c>
      <c r="E3806" s="15" t="s">
        <v>36</v>
      </c>
      <c r="F3806" s="15" t="s">
        <v>17</v>
      </c>
      <c r="G3806" s="15" t="s">
        <v>31</v>
      </c>
      <c r="H3806" s="15" t="n">
        <v>3</v>
      </c>
      <c r="I3806" s="17" t="n">
        <v>0</v>
      </c>
      <c r="J3806" s="18" t="n">
        <v>316.48</v>
      </c>
      <c r="K3806" s="19" t="n">
        <v>50.44</v>
      </c>
      <c r="L3806" s="15" t="n">
        <f aca="false">YEAR(B3806)</f>
        <v>2024</v>
      </c>
      <c r="M3806" s="20" t="n">
        <f aca="false">IF(J3806&gt;0,K3806/J3806,0)</f>
        <v>0.159378159757331</v>
      </c>
    </row>
    <row r="3807" customFormat="false" ht="15" hidden="false" customHeight="false" outlineLevel="0" collapsed="false">
      <c r="A3807" s="15" t="s">
        <v>3864</v>
      </c>
      <c r="B3807" s="16" t="n">
        <v>45291</v>
      </c>
      <c r="C3807" s="15" t="s">
        <v>71</v>
      </c>
      <c r="D3807" s="15" t="s">
        <v>42</v>
      </c>
      <c r="E3807" s="15" t="s">
        <v>37</v>
      </c>
      <c r="F3807" s="15" t="s">
        <v>18</v>
      </c>
      <c r="G3807" s="15" t="s">
        <v>33</v>
      </c>
      <c r="H3807" s="15" t="n">
        <v>4</v>
      </c>
      <c r="I3807" s="17" t="n">
        <v>0</v>
      </c>
      <c r="J3807" s="18" t="n">
        <v>3478.73</v>
      </c>
      <c r="K3807" s="19" t="n">
        <v>943.85</v>
      </c>
      <c r="L3807" s="15" t="n">
        <f aca="false">YEAR(B3807)</f>
        <v>2023</v>
      </c>
      <c r="M3807" s="20" t="n">
        <f aca="false">IF(J3807&gt;0,K3807/J3807,0)</f>
        <v>0.271320280677144</v>
      </c>
    </row>
    <row r="3808" customFormat="false" ht="15" hidden="false" customHeight="false" outlineLevel="0" collapsed="false">
      <c r="A3808" s="15" t="s">
        <v>3865</v>
      </c>
      <c r="B3808" s="16" t="n">
        <v>45686</v>
      </c>
      <c r="C3808" s="15" t="s">
        <v>71</v>
      </c>
      <c r="D3808" s="15" t="s">
        <v>44</v>
      </c>
      <c r="E3808" s="15" t="s">
        <v>38</v>
      </c>
      <c r="F3808" s="15" t="s">
        <v>16</v>
      </c>
      <c r="G3808" s="15" t="s">
        <v>25</v>
      </c>
      <c r="H3808" s="15" t="n">
        <v>2</v>
      </c>
      <c r="I3808" s="17" t="n">
        <v>0.5</v>
      </c>
      <c r="J3808" s="18" t="n">
        <v>229.9</v>
      </c>
      <c r="K3808" s="19" t="n">
        <v>-74.2</v>
      </c>
      <c r="L3808" s="15" t="n">
        <f aca="false">YEAR(B3808)</f>
        <v>2025</v>
      </c>
      <c r="M3808" s="20" t="n">
        <f aca="false">IF(J3808&gt;0,K3808/J3808,0)</f>
        <v>-0.322749021313615</v>
      </c>
    </row>
    <row r="3809" customFormat="false" ht="15" hidden="false" customHeight="false" outlineLevel="0" collapsed="false">
      <c r="A3809" s="15" t="s">
        <v>3866</v>
      </c>
      <c r="B3809" s="16" t="n">
        <v>45117</v>
      </c>
      <c r="C3809" s="15" t="s">
        <v>68</v>
      </c>
      <c r="D3809" s="15" t="s">
        <v>43</v>
      </c>
      <c r="E3809" s="15" t="s">
        <v>36</v>
      </c>
      <c r="F3809" s="15" t="s">
        <v>17</v>
      </c>
      <c r="G3809" s="15" t="s">
        <v>28</v>
      </c>
      <c r="H3809" s="15" t="n">
        <v>3</v>
      </c>
      <c r="I3809" s="17" t="n">
        <v>0</v>
      </c>
      <c r="J3809" s="18" t="n">
        <v>90.05</v>
      </c>
      <c r="K3809" s="19" t="n">
        <v>31.13</v>
      </c>
      <c r="L3809" s="15" t="n">
        <f aca="false">YEAR(B3809)</f>
        <v>2023</v>
      </c>
      <c r="M3809" s="20" t="n">
        <f aca="false">IF(J3809&gt;0,K3809/J3809,0)</f>
        <v>0.345696835091616</v>
      </c>
    </row>
    <row r="3810" customFormat="false" ht="15" hidden="false" customHeight="false" outlineLevel="0" collapsed="false">
      <c r="A3810" s="15" t="s">
        <v>3867</v>
      </c>
      <c r="B3810" s="16" t="n">
        <v>45099</v>
      </c>
      <c r="C3810" s="15" t="s">
        <v>71</v>
      </c>
      <c r="D3810" s="15" t="s">
        <v>42</v>
      </c>
      <c r="E3810" s="15" t="s">
        <v>38</v>
      </c>
      <c r="F3810" s="15" t="s">
        <v>17</v>
      </c>
      <c r="G3810" s="15" t="s">
        <v>29</v>
      </c>
      <c r="H3810" s="15" t="n">
        <v>2</v>
      </c>
      <c r="I3810" s="17" t="n">
        <v>0</v>
      </c>
      <c r="J3810" s="18" t="n">
        <v>34.91</v>
      </c>
      <c r="K3810" s="19" t="n">
        <v>11.7</v>
      </c>
      <c r="L3810" s="15" t="n">
        <f aca="false">YEAR(B3810)</f>
        <v>2023</v>
      </c>
      <c r="M3810" s="20" t="n">
        <f aca="false">IF(J3810&gt;0,K3810/J3810,0)</f>
        <v>0.335147522199943</v>
      </c>
    </row>
    <row r="3811" customFormat="false" ht="15" hidden="false" customHeight="false" outlineLevel="0" collapsed="false">
      <c r="A3811" s="15" t="s">
        <v>3868</v>
      </c>
      <c r="B3811" s="16" t="n">
        <v>44867</v>
      </c>
      <c r="C3811" s="15" t="s">
        <v>68</v>
      </c>
      <c r="D3811" s="15" t="s">
        <v>43</v>
      </c>
      <c r="E3811" s="15" t="s">
        <v>38</v>
      </c>
      <c r="F3811" s="15" t="s">
        <v>17</v>
      </c>
      <c r="G3811" s="15" t="s">
        <v>26</v>
      </c>
      <c r="H3811" s="15" t="n">
        <v>2</v>
      </c>
      <c r="I3811" s="17" t="n">
        <v>0.1</v>
      </c>
      <c r="J3811" s="18" t="n">
        <v>166.2</v>
      </c>
      <c r="K3811" s="19" t="n">
        <v>4.03</v>
      </c>
      <c r="L3811" s="15" t="n">
        <f aca="false">YEAR(B3811)</f>
        <v>2022</v>
      </c>
      <c r="M3811" s="20" t="n">
        <f aca="false">IF(J3811&gt;0,K3811/J3811,0)</f>
        <v>0.0242478941034898</v>
      </c>
    </row>
    <row r="3812" customFormat="false" ht="15" hidden="false" customHeight="false" outlineLevel="0" collapsed="false">
      <c r="A3812" s="15" t="s">
        <v>3869</v>
      </c>
      <c r="B3812" s="16" t="n">
        <v>45066</v>
      </c>
      <c r="C3812" s="15" t="s">
        <v>71</v>
      </c>
      <c r="D3812" s="15" t="s">
        <v>44</v>
      </c>
      <c r="E3812" s="15" t="s">
        <v>36</v>
      </c>
      <c r="F3812" s="15" t="s">
        <v>17</v>
      </c>
      <c r="G3812" s="15" t="s">
        <v>28</v>
      </c>
      <c r="H3812" s="15" t="n">
        <v>2</v>
      </c>
      <c r="I3812" s="17" t="n">
        <v>0.5</v>
      </c>
      <c r="J3812" s="18" t="n">
        <v>22.82</v>
      </c>
      <c r="K3812" s="19" t="n">
        <v>-5.04</v>
      </c>
      <c r="L3812" s="15" t="n">
        <f aca="false">YEAR(B3812)</f>
        <v>2023</v>
      </c>
      <c r="M3812" s="20" t="n">
        <f aca="false">IF(J3812&gt;0,K3812/J3812,0)</f>
        <v>-0.220858895705521</v>
      </c>
    </row>
    <row r="3813" customFormat="false" ht="15" hidden="false" customHeight="false" outlineLevel="0" collapsed="false">
      <c r="A3813" s="15" t="s">
        <v>3870</v>
      </c>
      <c r="B3813" s="16" t="n">
        <v>45212</v>
      </c>
      <c r="C3813" s="15" t="s">
        <v>56</v>
      </c>
      <c r="D3813" s="15" t="s">
        <v>42</v>
      </c>
      <c r="E3813" s="15" t="s">
        <v>39</v>
      </c>
      <c r="F3813" s="15" t="s">
        <v>17</v>
      </c>
      <c r="G3813" s="15" t="s">
        <v>31</v>
      </c>
      <c r="H3813" s="15" t="n">
        <v>1</v>
      </c>
      <c r="I3813" s="17" t="n">
        <v>0</v>
      </c>
      <c r="J3813" s="18" t="n">
        <v>142.76</v>
      </c>
      <c r="K3813" s="19" t="n">
        <v>31.05</v>
      </c>
      <c r="L3813" s="15" t="n">
        <f aca="false">YEAR(B3813)</f>
        <v>2023</v>
      </c>
      <c r="M3813" s="20" t="n">
        <f aca="false">IF(J3813&gt;0,K3813/J3813,0)</f>
        <v>0.217497898571028</v>
      </c>
    </row>
    <row r="3814" customFormat="false" ht="15" hidden="false" customHeight="false" outlineLevel="0" collapsed="false">
      <c r="A3814" s="15" t="s">
        <v>3871</v>
      </c>
      <c r="B3814" s="16" t="n">
        <v>45578</v>
      </c>
      <c r="C3814" s="15" t="s">
        <v>71</v>
      </c>
      <c r="D3814" s="15" t="s">
        <v>43</v>
      </c>
      <c r="E3814" s="15" t="s">
        <v>37</v>
      </c>
      <c r="F3814" s="15" t="s">
        <v>17</v>
      </c>
      <c r="G3814" s="15" t="s">
        <v>28</v>
      </c>
      <c r="H3814" s="15" t="n">
        <v>5</v>
      </c>
      <c r="I3814" s="17" t="n">
        <v>0.2</v>
      </c>
      <c r="J3814" s="18" t="n">
        <v>113.47</v>
      </c>
      <c r="K3814" s="19" t="n">
        <v>14.76</v>
      </c>
      <c r="L3814" s="15" t="n">
        <f aca="false">YEAR(B3814)</f>
        <v>2024</v>
      </c>
      <c r="M3814" s="20" t="n">
        <f aca="false">IF(J3814&gt;0,K3814/J3814,0)</f>
        <v>0.130078434828589</v>
      </c>
    </row>
    <row r="3815" customFormat="false" ht="15" hidden="false" customHeight="false" outlineLevel="0" collapsed="false">
      <c r="A3815" s="15" t="s">
        <v>3872</v>
      </c>
      <c r="B3815" s="16" t="n">
        <v>44616</v>
      </c>
      <c r="C3815" s="15" t="s">
        <v>56</v>
      </c>
      <c r="D3815" s="15" t="s">
        <v>44</v>
      </c>
      <c r="E3815" s="15" t="s">
        <v>38</v>
      </c>
      <c r="F3815" s="15" t="s">
        <v>17</v>
      </c>
      <c r="G3815" s="15" t="s">
        <v>31</v>
      </c>
      <c r="H3815" s="15" t="n">
        <v>3</v>
      </c>
      <c r="I3815" s="17" t="n">
        <v>0</v>
      </c>
      <c r="J3815" s="18" t="n">
        <v>426.4</v>
      </c>
      <c r="K3815" s="19" t="n">
        <v>88.32</v>
      </c>
      <c r="L3815" s="15" t="n">
        <f aca="false">YEAR(B3815)</f>
        <v>2022</v>
      </c>
      <c r="M3815" s="20" t="n">
        <f aca="false">IF(J3815&gt;0,K3815/J3815,0)</f>
        <v>0.207129455909944</v>
      </c>
    </row>
    <row r="3816" customFormat="false" ht="15" hidden="false" customHeight="false" outlineLevel="0" collapsed="false">
      <c r="A3816" s="15" t="s">
        <v>3873</v>
      </c>
      <c r="B3816" s="16" t="n">
        <v>45313</v>
      </c>
      <c r="C3816" s="15" t="s">
        <v>56</v>
      </c>
      <c r="D3816" s="15" t="s">
        <v>42</v>
      </c>
      <c r="E3816" s="15" t="s">
        <v>38</v>
      </c>
      <c r="F3816" s="15" t="s">
        <v>16</v>
      </c>
      <c r="G3816" s="15" t="s">
        <v>27</v>
      </c>
      <c r="H3816" s="15" t="n">
        <v>4</v>
      </c>
      <c r="I3816" s="17" t="n">
        <v>0.05</v>
      </c>
      <c r="J3816" s="18" t="n">
        <v>188.4</v>
      </c>
      <c r="K3816" s="19" t="n">
        <v>23.16</v>
      </c>
      <c r="L3816" s="15" t="n">
        <f aca="false">YEAR(B3816)</f>
        <v>2024</v>
      </c>
      <c r="M3816" s="20" t="n">
        <f aca="false">IF(J3816&gt;0,K3816/J3816,0)</f>
        <v>0.122929936305732</v>
      </c>
    </row>
    <row r="3817" customFormat="false" ht="15" hidden="false" customHeight="false" outlineLevel="0" collapsed="false">
      <c r="A3817" s="15" t="s">
        <v>3874</v>
      </c>
      <c r="B3817" s="16" t="n">
        <v>44657</v>
      </c>
      <c r="C3817" s="15" t="s">
        <v>71</v>
      </c>
      <c r="D3817" s="15" t="s">
        <v>44</v>
      </c>
      <c r="E3817" s="15" t="s">
        <v>38</v>
      </c>
      <c r="F3817" s="15" t="s">
        <v>17</v>
      </c>
      <c r="G3817" s="15" t="s">
        <v>29</v>
      </c>
      <c r="H3817" s="15" t="n">
        <v>3</v>
      </c>
      <c r="I3817" s="17" t="n">
        <v>0</v>
      </c>
      <c r="J3817" s="18" t="n">
        <v>54.24</v>
      </c>
      <c r="K3817" s="19" t="n">
        <v>22.57</v>
      </c>
      <c r="L3817" s="15" t="n">
        <f aca="false">YEAR(B3817)</f>
        <v>2022</v>
      </c>
      <c r="M3817" s="20" t="n">
        <f aca="false">IF(J3817&gt;0,K3817/J3817,0)</f>
        <v>0.416113569321534</v>
      </c>
    </row>
    <row r="3818" customFormat="false" ht="15" hidden="false" customHeight="false" outlineLevel="0" collapsed="false">
      <c r="A3818" s="15" t="s">
        <v>3875</v>
      </c>
      <c r="B3818" s="16" t="n">
        <v>45389</v>
      </c>
      <c r="C3818" s="15" t="s">
        <v>71</v>
      </c>
      <c r="D3818" s="15" t="s">
        <v>44</v>
      </c>
      <c r="E3818" s="15" t="s">
        <v>39</v>
      </c>
      <c r="F3818" s="15" t="s">
        <v>17</v>
      </c>
      <c r="G3818" s="15" t="s">
        <v>29</v>
      </c>
      <c r="H3818" s="15" t="n">
        <v>5</v>
      </c>
      <c r="I3818" s="17" t="n">
        <v>0.2</v>
      </c>
      <c r="J3818" s="18" t="n">
        <v>85.84</v>
      </c>
      <c r="K3818" s="19" t="n">
        <v>23.63</v>
      </c>
      <c r="L3818" s="15" t="n">
        <f aca="false">YEAR(B3818)</f>
        <v>2024</v>
      </c>
      <c r="M3818" s="20" t="n">
        <f aca="false">IF(J3818&gt;0,K3818/J3818,0)</f>
        <v>0.275279589934762</v>
      </c>
    </row>
    <row r="3819" customFormat="false" ht="15" hidden="false" customHeight="false" outlineLevel="0" collapsed="false">
      <c r="A3819" s="15" t="s">
        <v>3876</v>
      </c>
      <c r="B3819" s="16" t="n">
        <v>45359</v>
      </c>
      <c r="C3819" s="15" t="s">
        <v>71</v>
      </c>
      <c r="D3819" s="15" t="s">
        <v>42</v>
      </c>
      <c r="E3819" s="15" t="s">
        <v>39</v>
      </c>
      <c r="F3819" s="15" t="s">
        <v>16</v>
      </c>
      <c r="G3819" s="15" t="s">
        <v>25</v>
      </c>
      <c r="H3819" s="15" t="n">
        <v>4</v>
      </c>
      <c r="I3819" s="17" t="n">
        <v>0.1</v>
      </c>
      <c r="J3819" s="18" t="n">
        <v>1136.25</v>
      </c>
      <c r="K3819" s="19" t="n">
        <v>29.37</v>
      </c>
      <c r="L3819" s="15" t="n">
        <f aca="false">YEAR(B3819)</f>
        <v>2024</v>
      </c>
      <c r="M3819" s="20" t="n">
        <f aca="false">IF(J3819&gt;0,K3819/J3819,0)</f>
        <v>0.0258481848184818</v>
      </c>
    </row>
    <row r="3820" customFormat="false" ht="15" hidden="false" customHeight="false" outlineLevel="0" collapsed="false">
      <c r="A3820" s="15" t="s">
        <v>3877</v>
      </c>
      <c r="B3820" s="16" t="n">
        <v>45479</v>
      </c>
      <c r="C3820" s="15" t="s">
        <v>68</v>
      </c>
      <c r="D3820" s="15" t="s">
        <v>42</v>
      </c>
      <c r="E3820" s="15" t="s">
        <v>38</v>
      </c>
      <c r="F3820" s="15" t="s">
        <v>17</v>
      </c>
      <c r="G3820" s="15" t="s">
        <v>29</v>
      </c>
      <c r="H3820" s="15" t="n">
        <v>5</v>
      </c>
      <c r="I3820" s="17" t="n">
        <v>0</v>
      </c>
      <c r="J3820" s="18" t="n">
        <v>89.52</v>
      </c>
      <c r="K3820" s="19" t="n">
        <v>37.04</v>
      </c>
      <c r="L3820" s="15" t="n">
        <f aca="false">YEAR(B3820)</f>
        <v>2024</v>
      </c>
      <c r="M3820" s="20" t="n">
        <f aca="false">IF(J3820&gt;0,K3820/J3820,0)</f>
        <v>0.413762287756926</v>
      </c>
    </row>
    <row r="3821" customFormat="false" ht="15" hidden="false" customHeight="false" outlineLevel="0" collapsed="false">
      <c r="A3821" s="15" t="s">
        <v>3878</v>
      </c>
      <c r="B3821" s="16" t="n">
        <v>45634</v>
      </c>
      <c r="C3821" s="15" t="s">
        <v>71</v>
      </c>
      <c r="D3821" s="15" t="s">
        <v>42</v>
      </c>
      <c r="E3821" s="15" t="s">
        <v>39</v>
      </c>
      <c r="F3821" s="15" t="s">
        <v>18</v>
      </c>
      <c r="G3821" s="15" t="s">
        <v>33</v>
      </c>
      <c r="H3821" s="15" t="n">
        <v>2</v>
      </c>
      <c r="I3821" s="17" t="n">
        <v>0.3</v>
      </c>
      <c r="J3821" s="18" t="n">
        <v>1445.82</v>
      </c>
      <c r="K3821" s="19" t="n">
        <v>-74.36</v>
      </c>
      <c r="L3821" s="15" t="n">
        <f aca="false">YEAR(B3821)</f>
        <v>2024</v>
      </c>
      <c r="M3821" s="20" t="n">
        <f aca="false">IF(J3821&gt;0,K3821/J3821,0)</f>
        <v>-0.0514310218422764</v>
      </c>
    </row>
    <row r="3822" customFormat="false" ht="15" hidden="false" customHeight="false" outlineLevel="0" collapsed="false">
      <c r="A3822" s="15" t="s">
        <v>3879</v>
      </c>
      <c r="B3822" s="16" t="n">
        <v>45048</v>
      </c>
      <c r="C3822" s="15" t="s">
        <v>71</v>
      </c>
      <c r="D3822" s="15" t="s">
        <v>44</v>
      </c>
      <c r="E3822" s="15" t="s">
        <v>38</v>
      </c>
      <c r="F3822" s="15" t="s">
        <v>17</v>
      </c>
      <c r="G3822" s="15" t="s">
        <v>28</v>
      </c>
      <c r="H3822" s="15" t="n">
        <v>4</v>
      </c>
      <c r="I3822" s="17" t="n">
        <v>0.2</v>
      </c>
      <c r="J3822" s="18" t="n">
        <v>84.54</v>
      </c>
      <c r="K3822" s="19" t="n">
        <v>10.11</v>
      </c>
      <c r="L3822" s="15" t="n">
        <f aca="false">YEAR(B3822)</f>
        <v>2023</v>
      </c>
      <c r="M3822" s="20" t="n">
        <f aca="false">IF(J3822&gt;0,K3822/J3822,0)</f>
        <v>0.11958836053939</v>
      </c>
    </row>
    <row r="3823" customFormat="false" ht="15" hidden="false" customHeight="false" outlineLevel="0" collapsed="false">
      <c r="A3823" s="15" t="s">
        <v>3880</v>
      </c>
      <c r="B3823" s="16" t="n">
        <v>45285</v>
      </c>
      <c r="C3823" s="15" t="s">
        <v>71</v>
      </c>
      <c r="D3823" s="15" t="s">
        <v>42</v>
      </c>
      <c r="E3823" s="15" t="s">
        <v>39</v>
      </c>
      <c r="F3823" s="15" t="s">
        <v>16</v>
      </c>
      <c r="G3823" s="15" t="s">
        <v>22</v>
      </c>
      <c r="H3823" s="15" t="n">
        <v>4</v>
      </c>
      <c r="I3823" s="17" t="n">
        <v>0.05</v>
      </c>
      <c r="J3823" s="18" t="n">
        <v>1810.34</v>
      </c>
      <c r="K3823" s="19" t="n">
        <v>-111.66</v>
      </c>
      <c r="L3823" s="15" t="n">
        <f aca="false">YEAR(B3823)</f>
        <v>2023</v>
      </c>
      <c r="M3823" s="20" t="n">
        <f aca="false">IF(J3823&gt;0,K3823/J3823,0)</f>
        <v>-0.0616790216202481</v>
      </c>
    </row>
    <row r="3824" customFormat="false" ht="15" hidden="false" customHeight="false" outlineLevel="0" collapsed="false">
      <c r="A3824" s="15" t="s">
        <v>3881</v>
      </c>
      <c r="B3824" s="16" t="n">
        <v>44680</v>
      </c>
      <c r="C3824" s="15" t="s">
        <v>56</v>
      </c>
      <c r="D3824" s="15" t="s">
        <v>42</v>
      </c>
      <c r="E3824" s="15" t="s">
        <v>36</v>
      </c>
      <c r="F3824" s="15" t="s">
        <v>18</v>
      </c>
      <c r="G3824" s="15" t="s">
        <v>30</v>
      </c>
      <c r="H3824" s="15" t="n">
        <v>2</v>
      </c>
      <c r="I3824" s="17" t="n">
        <v>0</v>
      </c>
      <c r="J3824" s="18" t="n">
        <v>88.49</v>
      </c>
      <c r="K3824" s="19" t="n">
        <v>27.32</v>
      </c>
      <c r="L3824" s="15" t="n">
        <f aca="false">YEAR(B3824)</f>
        <v>2022</v>
      </c>
      <c r="M3824" s="20" t="n">
        <f aca="false">IF(J3824&gt;0,K3824/J3824,0)</f>
        <v>0.308735450333371</v>
      </c>
    </row>
    <row r="3825" customFormat="false" ht="15" hidden="false" customHeight="false" outlineLevel="0" collapsed="false">
      <c r="A3825" s="15" t="s">
        <v>3882</v>
      </c>
      <c r="B3825" s="16" t="n">
        <v>44793</v>
      </c>
      <c r="C3825" s="15" t="s">
        <v>56</v>
      </c>
      <c r="D3825" s="15" t="s">
        <v>42</v>
      </c>
      <c r="E3825" s="15" t="s">
        <v>37</v>
      </c>
      <c r="F3825" s="15" t="s">
        <v>17</v>
      </c>
      <c r="G3825" s="15" t="s">
        <v>29</v>
      </c>
      <c r="H3825" s="15" t="n">
        <v>3</v>
      </c>
      <c r="I3825" s="17" t="n">
        <v>0.1</v>
      </c>
      <c r="J3825" s="18" t="n">
        <v>52.73</v>
      </c>
      <c r="K3825" s="19" t="n">
        <v>17.98</v>
      </c>
      <c r="L3825" s="15" t="n">
        <f aca="false">YEAR(B3825)</f>
        <v>2022</v>
      </c>
      <c r="M3825" s="20" t="n">
        <f aca="false">IF(J3825&gt;0,K3825/J3825,0)</f>
        <v>0.340982362981225</v>
      </c>
    </row>
    <row r="3826" customFormat="false" ht="15" hidden="false" customHeight="false" outlineLevel="0" collapsed="false">
      <c r="A3826" s="15" t="s">
        <v>3883</v>
      </c>
      <c r="B3826" s="16" t="n">
        <v>45720</v>
      </c>
      <c r="C3826" s="15" t="s">
        <v>68</v>
      </c>
      <c r="D3826" s="15" t="s">
        <v>43</v>
      </c>
      <c r="E3826" s="15" t="s">
        <v>38</v>
      </c>
      <c r="F3826" s="15" t="s">
        <v>18</v>
      </c>
      <c r="G3826" s="15" t="s">
        <v>32</v>
      </c>
      <c r="H3826" s="15" t="n">
        <v>2</v>
      </c>
      <c r="I3826" s="17" t="n">
        <v>0</v>
      </c>
      <c r="J3826" s="18" t="n">
        <v>725.16</v>
      </c>
      <c r="K3826" s="19" t="n">
        <v>92.82</v>
      </c>
      <c r="L3826" s="15" t="n">
        <f aca="false">YEAR(B3826)</f>
        <v>2025</v>
      </c>
      <c r="M3826" s="20" t="n">
        <f aca="false">IF(J3826&gt;0,K3826/J3826,0)</f>
        <v>0.127999338077114</v>
      </c>
    </row>
    <row r="3827" customFormat="false" ht="15" hidden="false" customHeight="false" outlineLevel="0" collapsed="false">
      <c r="A3827" s="15" t="s">
        <v>3884</v>
      </c>
      <c r="B3827" s="16" t="n">
        <v>45684</v>
      </c>
      <c r="C3827" s="15" t="s">
        <v>56</v>
      </c>
      <c r="D3827" s="15" t="s">
        <v>43</v>
      </c>
      <c r="E3827" s="15" t="s">
        <v>38</v>
      </c>
      <c r="F3827" s="15" t="s">
        <v>17</v>
      </c>
      <c r="G3827" s="15" t="s">
        <v>28</v>
      </c>
      <c r="H3827" s="15" t="n">
        <v>6</v>
      </c>
      <c r="I3827" s="17" t="n">
        <v>0</v>
      </c>
      <c r="J3827" s="18" t="n">
        <v>152.07</v>
      </c>
      <c r="K3827" s="19" t="n">
        <v>45.28</v>
      </c>
      <c r="L3827" s="15" t="n">
        <f aca="false">YEAR(B3827)</f>
        <v>2025</v>
      </c>
      <c r="M3827" s="20" t="n">
        <f aca="false">IF(J3827&gt;0,K3827/J3827,0)</f>
        <v>0.297757611626225</v>
      </c>
    </row>
    <row r="3828" customFormat="false" ht="15" hidden="false" customHeight="false" outlineLevel="0" collapsed="false">
      <c r="A3828" s="15" t="s">
        <v>3885</v>
      </c>
      <c r="B3828" s="16" t="n">
        <v>45090</v>
      </c>
      <c r="C3828" s="15" t="s">
        <v>58</v>
      </c>
      <c r="D3828" s="15" t="s">
        <v>43</v>
      </c>
      <c r="E3828" s="15" t="s">
        <v>36</v>
      </c>
      <c r="F3828" s="15" t="s">
        <v>16</v>
      </c>
      <c r="G3828" s="15" t="s">
        <v>22</v>
      </c>
      <c r="H3828" s="15" t="n">
        <v>4</v>
      </c>
      <c r="I3828" s="17" t="n">
        <v>0</v>
      </c>
      <c r="J3828" s="18" t="n">
        <v>2779.9</v>
      </c>
      <c r="K3828" s="19" t="n">
        <v>-114.11</v>
      </c>
      <c r="L3828" s="15" t="n">
        <f aca="false">YEAR(B3828)</f>
        <v>2023</v>
      </c>
      <c r="M3828" s="20" t="n">
        <f aca="false">IF(J3828&gt;0,K3828/J3828,0)</f>
        <v>-0.041048239145293</v>
      </c>
    </row>
    <row r="3829" customFormat="false" ht="15" hidden="false" customHeight="false" outlineLevel="0" collapsed="false">
      <c r="A3829" s="15" t="s">
        <v>3886</v>
      </c>
      <c r="B3829" s="16" t="n">
        <v>45741</v>
      </c>
      <c r="C3829" s="15" t="s">
        <v>58</v>
      </c>
      <c r="D3829" s="15" t="s">
        <v>44</v>
      </c>
      <c r="E3829" s="15" t="s">
        <v>37</v>
      </c>
      <c r="F3829" s="15" t="s">
        <v>17</v>
      </c>
      <c r="G3829" s="15" t="s">
        <v>28</v>
      </c>
      <c r="H3829" s="15" t="n">
        <v>4</v>
      </c>
      <c r="I3829" s="17" t="n">
        <v>0.1</v>
      </c>
      <c r="J3829" s="18" t="n">
        <v>91.65</v>
      </c>
      <c r="K3829" s="19" t="n">
        <v>15.78</v>
      </c>
      <c r="L3829" s="15" t="n">
        <f aca="false">YEAR(B3829)</f>
        <v>2025</v>
      </c>
      <c r="M3829" s="20" t="n">
        <f aca="false">IF(J3829&gt;0,K3829/J3829,0)</f>
        <v>0.172176759410802</v>
      </c>
    </row>
    <row r="3830" customFormat="false" ht="15" hidden="false" customHeight="false" outlineLevel="0" collapsed="false">
      <c r="A3830" s="15" t="s">
        <v>3887</v>
      </c>
      <c r="B3830" s="16" t="n">
        <v>44622</v>
      </c>
      <c r="C3830" s="15" t="s">
        <v>68</v>
      </c>
      <c r="D3830" s="15" t="s">
        <v>42</v>
      </c>
      <c r="E3830" s="15" t="s">
        <v>39</v>
      </c>
      <c r="F3830" s="15" t="s">
        <v>17</v>
      </c>
      <c r="G3830" s="15" t="s">
        <v>29</v>
      </c>
      <c r="H3830" s="15" t="n">
        <v>3</v>
      </c>
      <c r="I3830" s="17" t="n">
        <v>0.2</v>
      </c>
      <c r="J3830" s="18" t="n">
        <v>45.19</v>
      </c>
      <c r="K3830" s="19" t="n">
        <v>7.14</v>
      </c>
      <c r="L3830" s="15" t="n">
        <f aca="false">YEAR(B3830)</f>
        <v>2022</v>
      </c>
      <c r="M3830" s="20" t="n">
        <f aca="false">IF(J3830&gt;0,K3830/J3830,0)</f>
        <v>0.157999557424209</v>
      </c>
    </row>
    <row r="3831" customFormat="false" ht="15" hidden="false" customHeight="false" outlineLevel="0" collapsed="false">
      <c r="A3831" s="15" t="s">
        <v>3888</v>
      </c>
      <c r="B3831" s="16" t="n">
        <v>44955</v>
      </c>
      <c r="C3831" s="15" t="s">
        <v>56</v>
      </c>
      <c r="D3831" s="15" t="s">
        <v>42</v>
      </c>
      <c r="E3831" s="15" t="s">
        <v>39</v>
      </c>
      <c r="F3831" s="15" t="s">
        <v>18</v>
      </c>
      <c r="G3831" s="15" t="s">
        <v>30</v>
      </c>
      <c r="H3831" s="15" t="n">
        <v>5</v>
      </c>
      <c r="I3831" s="17" t="n">
        <v>0.1</v>
      </c>
      <c r="J3831" s="18" t="n">
        <v>211.71</v>
      </c>
      <c r="K3831" s="19" t="n">
        <v>48.69</v>
      </c>
      <c r="L3831" s="15" t="n">
        <f aca="false">YEAR(B3831)</f>
        <v>2023</v>
      </c>
      <c r="M3831" s="20" t="n">
        <f aca="false">IF(J3831&gt;0,K3831/J3831,0)</f>
        <v>0.229984412639932</v>
      </c>
    </row>
    <row r="3832" customFormat="false" ht="15" hidden="false" customHeight="false" outlineLevel="0" collapsed="false">
      <c r="A3832" s="15" t="s">
        <v>3889</v>
      </c>
      <c r="B3832" s="16" t="n">
        <v>44778</v>
      </c>
      <c r="C3832" s="15" t="s">
        <v>56</v>
      </c>
      <c r="D3832" s="15" t="s">
        <v>43</v>
      </c>
      <c r="E3832" s="15" t="s">
        <v>36</v>
      </c>
      <c r="F3832" s="15" t="s">
        <v>17</v>
      </c>
      <c r="G3832" s="15" t="s">
        <v>29</v>
      </c>
      <c r="H3832" s="15" t="n">
        <v>5</v>
      </c>
      <c r="I3832" s="17" t="n">
        <v>0.4</v>
      </c>
      <c r="J3832" s="18" t="n">
        <v>57.54</v>
      </c>
      <c r="K3832" s="19" t="n">
        <v>3.72</v>
      </c>
      <c r="L3832" s="15" t="n">
        <f aca="false">YEAR(B3832)</f>
        <v>2022</v>
      </c>
      <c r="M3832" s="20" t="n">
        <f aca="false">IF(J3832&gt;0,K3832/J3832,0)</f>
        <v>0.0646506777893639</v>
      </c>
    </row>
    <row r="3833" customFormat="false" ht="15" hidden="false" customHeight="false" outlineLevel="0" collapsed="false">
      <c r="A3833" s="15" t="s">
        <v>3890</v>
      </c>
      <c r="B3833" s="16" t="n">
        <v>45840</v>
      </c>
      <c r="C3833" s="15" t="s">
        <v>56</v>
      </c>
      <c r="D3833" s="15" t="s">
        <v>42</v>
      </c>
      <c r="E3833" s="15" t="s">
        <v>39</v>
      </c>
      <c r="F3833" s="15" t="s">
        <v>17</v>
      </c>
      <c r="G3833" s="15" t="s">
        <v>31</v>
      </c>
      <c r="H3833" s="15" t="n">
        <v>4</v>
      </c>
      <c r="I3833" s="17" t="n">
        <v>0.05</v>
      </c>
      <c r="J3833" s="18" t="n">
        <v>404.8</v>
      </c>
      <c r="K3833" s="19" t="n">
        <v>58.8</v>
      </c>
      <c r="L3833" s="15" t="n">
        <f aca="false">YEAR(B3833)</f>
        <v>2025</v>
      </c>
      <c r="M3833" s="20" t="n">
        <f aca="false">IF(J3833&gt;0,K3833/J3833,0)</f>
        <v>0.145256916996047</v>
      </c>
    </row>
    <row r="3834" customFormat="false" ht="15" hidden="false" customHeight="false" outlineLevel="0" collapsed="false">
      <c r="A3834" s="15" t="s">
        <v>3891</v>
      </c>
      <c r="B3834" s="16" t="n">
        <v>45520</v>
      </c>
      <c r="C3834" s="15" t="s">
        <v>71</v>
      </c>
      <c r="D3834" s="15" t="s">
        <v>42</v>
      </c>
      <c r="E3834" s="15" t="s">
        <v>39</v>
      </c>
      <c r="F3834" s="15" t="s">
        <v>17</v>
      </c>
      <c r="G3834" s="15" t="s">
        <v>29</v>
      </c>
      <c r="H3834" s="15" t="n">
        <v>1</v>
      </c>
      <c r="I3834" s="17" t="n">
        <v>0.4</v>
      </c>
      <c r="J3834" s="18" t="n">
        <v>12.09</v>
      </c>
      <c r="K3834" s="19" t="n">
        <v>0.21</v>
      </c>
      <c r="L3834" s="15" t="n">
        <f aca="false">YEAR(B3834)</f>
        <v>2024</v>
      </c>
      <c r="M3834" s="20" t="n">
        <f aca="false">IF(J3834&gt;0,K3834/J3834,0)</f>
        <v>0.0173697270471464</v>
      </c>
    </row>
    <row r="3835" customFormat="false" ht="15" hidden="false" customHeight="false" outlineLevel="0" collapsed="false">
      <c r="A3835" s="15" t="s">
        <v>3892</v>
      </c>
      <c r="B3835" s="16" t="n">
        <v>45620</v>
      </c>
      <c r="C3835" s="15" t="s">
        <v>71</v>
      </c>
      <c r="D3835" s="15" t="s">
        <v>42</v>
      </c>
      <c r="E3835" s="15" t="s">
        <v>39</v>
      </c>
      <c r="F3835" s="15" t="s">
        <v>17</v>
      </c>
      <c r="G3835" s="15" t="s">
        <v>26</v>
      </c>
      <c r="H3835" s="15" t="n">
        <v>2</v>
      </c>
      <c r="I3835" s="17" t="n">
        <v>0.1</v>
      </c>
      <c r="J3835" s="18" t="n">
        <v>183.17</v>
      </c>
      <c r="K3835" s="19" t="n">
        <v>-1.85</v>
      </c>
      <c r="L3835" s="15" t="n">
        <f aca="false">YEAR(B3835)</f>
        <v>2024</v>
      </c>
      <c r="M3835" s="20" t="n">
        <f aca="false">IF(J3835&gt;0,K3835/J3835,0)</f>
        <v>-0.010099907190042</v>
      </c>
    </row>
    <row r="3836" customFormat="false" ht="15" hidden="false" customHeight="false" outlineLevel="0" collapsed="false">
      <c r="A3836" s="15" t="s">
        <v>3893</v>
      </c>
      <c r="B3836" s="16" t="n">
        <v>44918</v>
      </c>
      <c r="C3836" s="15" t="s">
        <v>56</v>
      </c>
      <c r="D3836" s="15" t="s">
        <v>43</v>
      </c>
      <c r="E3836" s="15" t="s">
        <v>36</v>
      </c>
      <c r="F3836" s="15" t="s">
        <v>17</v>
      </c>
      <c r="G3836" s="15" t="s">
        <v>28</v>
      </c>
      <c r="H3836" s="15" t="n">
        <v>7</v>
      </c>
      <c r="I3836" s="17" t="n">
        <v>0.2</v>
      </c>
      <c r="J3836" s="18" t="n">
        <v>149.07</v>
      </c>
      <c r="K3836" s="19" t="n">
        <v>21.12</v>
      </c>
      <c r="L3836" s="15" t="n">
        <f aca="false">YEAR(B3836)</f>
        <v>2022</v>
      </c>
      <c r="M3836" s="20" t="n">
        <f aca="false">IF(J3836&gt;0,K3836/J3836,0)</f>
        <v>0.141678406117931</v>
      </c>
    </row>
    <row r="3837" customFormat="false" ht="15" hidden="false" customHeight="false" outlineLevel="0" collapsed="false">
      <c r="A3837" s="15" t="s">
        <v>3894</v>
      </c>
      <c r="B3837" s="16" t="n">
        <v>45908</v>
      </c>
      <c r="C3837" s="15" t="s">
        <v>56</v>
      </c>
      <c r="D3837" s="15" t="s">
        <v>42</v>
      </c>
      <c r="E3837" s="15" t="s">
        <v>39</v>
      </c>
      <c r="F3837" s="15" t="s">
        <v>17</v>
      </c>
      <c r="G3837" s="15" t="s">
        <v>26</v>
      </c>
      <c r="H3837" s="15" t="n">
        <v>1</v>
      </c>
      <c r="I3837" s="17" t="n">
        <v>0</v>
      </c>
      <c r="J3837" s="18" t="n">
        <v>107.42</v>
      </c>
      <c r="K3837" s="19" t="n">
        <v>10.16</v>
      </c>
      <c r="L3837" s="15" t="n">
        <f aca="false">YEAR(B3837)</f>
        <v>2025</v>
      </c>
      <c r="M3837" s="20" t="n">
        <f aca="false">IF(J3837&gt;0,K3837/J3837,0)</f>
        <v>0.0945820145224353</v>
      </c>
    </row>
    <row r="3838" customFormat="false" ht="15" hidden="false" customHeight="false" outlineLevel="0" collapsed="false">
      <c r="A3838" s="15" t="s">
        <v>3895</v>
      </c>
      <c r="B3838" s="16" t="n">
        <v>45026</v>
      </c>
      <c r="C3838" s="15" t="s">
        <v>56</v>
      </c>
      <c r="D3838" s="15" t="s">
        <v>44</v>
      </c>
      <c r="E3838" s="15" t="s">
        <v>39</v>
      </c>
      <c r="F3838" s="15" t="s">
        <v>17</v>
      </c>
      <c r="G3838" s="15" t="s">
        <v>29</v>
      </c>
      <c r="H3838" s="15" t="n">
        <v>4</v>
      </c>
      <c r="I3838" s="17" t="n">
        <v>0</v>
      </c>
      <c r="J3838" s="18" t="n">
        <v>77.86</v>
      </c>
      <c r="K3838" s="19" t="n">
        <v>30.86</v>
      </c>
      <c r="L3838" s="15" t="n">
        <f aca="false">YEAR(B3838)</f>
        <v>2023</v>
      </c>
      <c r="M3838" s="20" t="n">
        <f aca="false">IF(J3838&gt;0,K3838/J3838,0)</f>
        <v>0.396352427433856</v>
      </c>
    </row>
    <row r="3839" customFormat="false" ht="15" hidden="false" customHeight="false" outlineLevel="0" collapsed="false">
      <c r="A3839" s="15" t="s">
        <v>3896</v>
      </c>
      <c r="B3839" s="16" t="n">
        <v>44836</v>
      </c>
      <c r="C3839" s="15" t="s">
        <v>56</v>
      </c>
      <c r="D3839" s="15" t="s">
        <v>43</v>
      </c>
      <c r="E3839" s="15" t="s">
        <v>38</v>
      </c>
      <c r="F3839" s="15" t="s">
        <v>16</v>
      </c>
      <c r="G3839" s="15" t="s">
        <v>23</v>
      </c>
      <c r="H3839" s="15" t="n">
        <v>4</v>
      </c>
      <c r="I3839" s="17" t="n">
        <v>0.2</v>
      </c>
      <c r="J3839" s="18" t="n">
        <v>1058.44</v>
      </c>
      <c r="K3839" s="19" t="n">
        <v>-193.08</v>
      </c>
      <c r="L3839" s="15" t="n">
        <f aca="false">YEAR(B3839)</f>
        <v>2022</v>
      </c>
      <c r="M3839" s="20" t="n">
        <f aca="false">IF(J3839&gt;0,K3839/J3839,0)</f>
        <v>-0.18241940969729</v>
      </c>
    </row>
    <row r="3840" customFormat="false" ht="15" hidden="false" customHeight="false" outlineLevel="0" collapsed="false">
      <c r="A3840" s="15" t="s">
        <v>3897</v>
      </c>
      <c r="B3840" s="16" t="n">
        <v>45523</v>
      </c>
      <c r="C3840" s="15" t="s">
        <v>71</v>
      </c>
      <c r="D3840" s="15" t="s">
        <v>42</v>
      </c>
      <c r="E3840" s="15" t="s">
        <v>39</v>
      </c>
      <c r="F3840" s="15" t="s">
        <v>17</v>
      </c>
      <c r="G3840" s="15" t="s">
        <v>28</v>
      </c>
      <c r="H3840" s="15" t="n">
        <v>4</v>
      </c>
      <c r="I3840" s="17" t="n">
        <v>0</v>
      </c>
      <c r="J3840" s="18" t="n">
        <v>98.86</v>
      </c>
      <c r="K3840" s="19" t="n">
        <v>27.17</v>
      </c>
      <c r="L3840" s="15" t="n">
        <f aca="false">YEAR(B3840)</f>
        <v>2024</v>
      </c>
      <c r="M3840" s="20" t="n">
        <f aca="false">IF(J3840&gt;0,K3840/J3840,0)</f>
        <v>0.274833097309326</v>
      </c>
    </row>
    <row r="3841" customFormat="false" ht="15" hidden="false" customHeight="false" outlineLevel="0" collapsed="false">
      <c r="A3841" s="15" t="s">
        <v>3898</v>
      </c>
      <c r="B3841" s="16" t="n">
        <v>45697</v>
      </c>
      <c r="C3841" s="15" t="s">
        <v>56</v>
      </c>
      <c r="D3841" s="15" t="s">
        <v>42</v>
      </c>
      <c r="E3841" s="15" t="s">
        <v>37</v>
      </c>
      <c r="F3841" s="15" t="s">
        <v>17</v>
      </c>
      <c r="G3841" s="15" t="s">
        <v>28</v>
      </c>
      <c r="H3841" s="15" t="n">
        <v>5</v>
      </c>
      <c r="I3841" s="17" t="n">
        <v>0</v>
      </c>
      <c r="J3841" s="18" t="n">
        <v>123.64</v>
      </c>
      <c r="K3841" s="19" t="n">
        <v>48.9</v>
      </c>
      <c r="L3841" s="15" t="n">
        <f aca="false">YEAR(B3841)</f>
        <v>2025</v>
      </c>
      <c r="M3841" s="20" t="n">
        <f aca="false">IF(J3841&gt;0,K3841/J3841,0)</f>
        <v>0.395503073439017</v>
      </c>
    </row>
    <row r="3842" customFormat="false" ht="15" hidden="false" customHeight="false" outlineLevel="0" collapsed="false">
      <c r="A3842" s="15" t="s">
        <v>3899</v>
      </c>
      <c r="B3842" s="16" t="n">
        <v>44845</v>
      </c>
      <c r="C3842" s="15" t="s">
        <v>56</v>
      </c>
      <c r="D3842" s="15" t="s">
        <v>43</v>
      </c>
      <c r="E3842" s="15" t="s">
        <v>39</v>
      </c>
      <c r="F3842" s="15" t="s">
        <v>17</v>
      </c>
      <c r="G3842" s="15" t="s">
        <v>29</v>
      </c>
      <c r="H3842" s="15" t="n">
        <v>6</v>
      </c>
      <c r="I3842" s="17" t="n">
        <v>0.3</v>
      </c>
      <c r="J3842" s="18" t="n">
        <v>81.94</v>
      </c>
      <c r="K3842" s="19" t="n">
        <v>11.97</v>
      </c>
      <c r="L3842" s="15" t="n">
        <f aca="false">YEAR(B3842)</f>
        <v>2022</v>
      </c>
      <c r="M3842" s="20" t="n">
        <f aca="false">IF(J3842&gt;0,K3842/J3842,0)</f>
        <v>0.146082499389797</v>
      </c>
    </row>
    <row r="3843" customFormat="false" ht="15" hidden="false" customHeight="false" outlineLevel="0" collapsed="false">
      <c r="A3843" s="15" t="s">
        <v>3900</v>
      </c>
      <c r="B3843" s="16" t="n">
        <v>44842</v>
      </c>
      <c r="C3843" s="15" t="s">
        <v>56</v>
      </c>
      <c r="D3843" s="15" t="s">
        <v>43</v>
      </c>
      <c r="E3843" s="15" t="s">
        <v>39</v>
      </c>
      <c r="F3843" s="15" t="s">
        <v>17</v>
      </c>
      <c r="G3843" s="15" t="s">
        <v>31</v>
      </c>
      <c r="H3843" s="15" t="n">
        <v>4</v>
      </c>
      <c r="I3843" s="17" t="n">
        <v>0.3</v>
      </c>
      <c r="J3843" s="18" t="n">
        <v>404.2</v>
      </c>
      <c r="K3843" s="19" t="n">
        <v>-16.03</v>
      </c>
      <c r="L3843" s="15" t="n">
        <f aca="false">YEAR(B3843)</f>
        <v>2022</v>
      </c>
      <c r="M3843" s="20" t="n">
        <f aca="false">IF(J3843&gt;0,K3843/J3843,0)</f>
        <v>-0.0396585848589807</v>
      </c>
    </row>
    <row r="3844" customFormat="false" ht="15" hidden="false" customHeight="false" outlineLevel="0" collapsed="false">
      <c r="A3844" s="15" t="s">
        <v>3901</v>
      </c>
      <c r="B3844" s="16" t="n">
        <v>45182</v>
      </c>
      <c r="C3844" s="15" t="s">
        <v>56</v>
      </c>
      <c r="D3844" s="15" t="s">
        <v>44</v>
      </c>
      <c r="E3844" s="15" t="s">
        <v>39</v>
      </c>
      <c r="F3844" s="15" t="s">
        <v>16</v>
      </c>
      <c r="G3844" s="15" t="s">
        <v>27</v>
      </c>
      <c r="H3844" s="15" t="n">
        <v>3</v>
      </c>
      <c r="I3844" s="17" t="n">
        <v>0.1</v>
      </c>
      <c r="J3844" s="18" t="n">
        <v>184.76</v>
      </c>
      <c r="K3844" s="19" t="n">
        <v>26.95</v>
      </c>
      <c r="L3844" s="15" t="n">
        <f aca="false">YEAR(B3844)</f>
        <v>2023</v>
      </c>
      <c r="M3844" s="20" t="n">
        <f aca="false">IF(J3844&gt;0,K3844/J3844,0)</f>
        <v>0.145864905823771</v>
      </c>
    </row>
    <row r="3845" customFormat="false" ht="15" hidden="false" customHeight="false" outlineLevel="0" collapsed="false">
      <c r="A3845" s="15" t="s">
        <v>3902</v>
      </c>
      <c r="B3845" s="16" t="n">
        <v>45447</v>
      </c>
      <c r="C3845" s="15" t="s">
        <v>71</v>
      </c>
      <c r="D3845" s="15" t="s">
        <v>42</v>
      </c>
      <c r="E3845" s="15" t="s">
        <v>37</v>
      </c>
      <c r="F3845" s="15" t="s">
        <v>17</v>
      </c>
      <c r="G3845" s="15" t="s">
        <v>26</v>
      </c>
      <c r="H3845" s="15" t="n">
        <v>3</v>
      </c>
      <c r="I3845" s="17" t="n">
        <v>0.15</v>
      </c>
      <c r="J3845" s="18" t="n">
        <v>193.17</v>
      </c>
      <c r="K3845" s="19" t="n">
        <v>-13.62</v>
      </c>
      <c r="L3845" s="15" t="n">
        <f aca="false">YEAR(B3845)</f>
        <v>2024</v>
      </c>
      <c r="M3845" s="20" t="n">
        <f aca="false">IF(J3845&gt;0,K3845/J3845,0)</f>
        <v>-0.070507842832738</v>
      </c>
    </row>
    <row r="3846" customFormat="false" ht="15" hidden="false" customHeight="false" outlineLevel="0" collapsed="false">
      <c r="A3846" s="15" t="s">
        <v>3903</v>
      </c>
      <c r="B3846" s="16" t="n">
        <v>45648</v>
      </c>
      <c r="C3846" s="15" t="s">
        <v>56</v>
      </c>
      <c r="D3846" s="15" t="s">
        <v>43</v>
      </c>
      <c r="E3846" s="15" t="s">
        <v>39</v>
      </c>
      <c r="F3846" s="15" t="s">
        <v>18</v>
      </c>
      <c r="G3846" s="15" t="s">
        <v>30</v>
      </c>
      <c r="H3846" s="15" t="n">
        <v>3</v>
      </c>
      <c r="I3846" s="17" t="n">
        <v>0.05</v>
      </c>
      <c r="J3846" s="18" t="n">
        <v>137.76</v>
      </c>
      <c r="K3846" s="19" t="n">
        <v>43.02</v>
      </c>
      <c r="L3846" s="15" t="n">
        <f aca="false">YEAR(B3846)</f>
        <v>2024</v>
      </c>
      <c r="M3846" s="20" t="n">
        <f aca="false">IF(J3846&gt;0,K3846/J3846,0)</f>
        <v>0.312282229965157</v>
      </c>
    </row>
    <row r="3847" customFormat="false" ht="15" hidden="false" customHeight="false" outlineLevel="0" collapsed="false">
      <c r="A3847" s="15" t="s">
        <v>3904</v>
      </c>
      <c r="B3847" s="16" t="n">
        <v>45406</v>
      </c>
      <c r="C3847" s="15" t="s">
        <v>56</v>
      </c>
      <c r="D3847" s="15" t="s">
        <v>43</v>
      </c>
      <c r="E3847" s="15" t="s">
        <v>37</v>
      </c>
      <c r="F3847" s="15" t="s">
        <v>17</v>
      </c>
      <c r="G3847" s="15" t="s">
        <v>29</v>
      </c>
      <c r="H3847" s="15" t="n">
        <v>6</v>
      </c>
      <c r="I3847" s="17" t="n">
        <v>0.5</v>
      </c>
      <c r="J3847" s="18" t="n">
        <v>61.38</v>
      </c>
      <c r="K3847" s="19" t="n">
        <v>-4.41</v>
      </c>
      <c r="L3847" s="15" t="n">
        <f aca="false">YEAR(B3847)</f>
        <v>2024</v>
      </c>
      <c r="M3847" s="20" t="n">
        <f aca="false">IF(J3847&gt;0,K3847/J3847,0)</f>
        <v>-0.0718475073313783</v>
      </c>
    </row>
    <row r="3848" customFormat="false" ht="15" hidden="false" customHeight="false" outlineLevel="0" collapsed="false">
      <c r="A3848" s="15" t="s">
        <v>3905</v>
      </c>
      <c r="B3848" s="16" t="n">
        <v>45300</v>
      </c>
      <c r="C3848" s="15" t="s">
        <v>56</v>
      </c>
      <c r="D3848" s="15" t="s">
        <v>42</v>
      </c>
      <c r="E3848" s="15" t="s">
        <v>37</v>
      </c>
      <c r="F3848" s="15" t="s">
        <v>17</v>
      </c>
      <c r="G3848" s="15" t="s">
        <v>29</v>
      </c>
      <c r="H3848" s="15" t="n">
        <v>2</v>
      </c>
      <c r="I3848" s="17" t="n">
        <v>0.05</v>
      </c>
      <c r="J3848" s="18" t="n">
        <v>48.02</v>
      </c>
      <c r="K3848" s="19" t="n">
        <v>15.3</v>
      </c>
      <c r="L3848" s="15" t="n">
        <f aca="false">YEAR(B3848)</f>
        <v>2024</v>
      </c>
      <c r="M3848" s="20" t="n">
        <f aca="false">IF(J3848&gt;0,K3848/J3848,0)</f>
        <v>0.318617242815494</v>
      </c>
    </row>
    <row r="3849" customFormat="false" ht="15" hidden="false" customHeight="false" outlineLevel="0" collapsed="false">
      <c r="A3849" s="15" t="s">
        <v>3906</v>
      </c>
      <c r="B3849" s="16" t="n">
        <v>44850</v>
      </c>
      <c r="C3849" s="15" t="s">
        <v>56</v>
      </c>
      <c r="D3849" s="15" t="s">
        <v>43</v>
      </c>
      <c r="E3849" s="15" t="s">
        <v>37</v>
      </c>
      <c r="F3849" s="15" t="s">
        <v>17</v>
      </c>
      <c r="G3849" s="15" t="s">
        <v>26</v>
      </c>
      <c r="H3849" s="15" t="n">
        <v>3</v>
      </c>
      <c r="I3849" s="17" t="n">
        <v>0.1</v>
      </c>
      <c r="J3849" s="18" t="n">
        <v>265.75</v>
      </c>
      <c r="K3849" s="19" t="n">
        <v>8.57</v>
      </c>
      <c r="L3849" s="15" t="n">
        <f aca="false">YEAR(B3849)</f>
        <v>2022</v>
      </c>
      <c r="M3849" s="20" t="n">
        <f aca="false">IF(J3849&gt;0,K3849/J3849,0)</f>
        <v>0.0322483537158984</v>
      </c>
    </row>
    <row r="3850" customFormat="false" ht="15" hidden="false" customHeight="false" outlineLevel="0" collapsed="false">
      <c r="A3850" s="15" t="s">
        <v>3907</v>
      </c>
      <c r="B3850" s="16" t="n">
        <v>45611</v>
      </c>
      <c r="C3850" s="15" t="s">
        <v>71</v>
      </c>
      <c r="D3850" s="15" t="s">
        <v>43</v>
      </c>
      <c r="E3850" s="15" t="s">
        <v>37</v>
      </c>
      <c r="F3850" s="15" t="s">
        <v>16</v>
      </c>
      <c r="G3850" s="15" t="s">
        <v>27</v>
      </c>
      <c r="H3850" s="15" t="n">
        <v>2</v>
      </c>
      <c r="I3850" s="17" t="n">
        <v>0</v>
      </c>
      <c r="J3850" s="18" t="n">
        <v>112.58</v>
      </c>
      <c r="K3850" s="19" t="n">
        <v>27.62</v>
      </c>
      <c r="L3850" s="15" t="n">
        <f aca="false">YEAR(B3850)</f>
        <v>2024</v>
      </c>
      <c r="M3850" s="20" t="n">
        <f aca="false">IF(J3850&gt;0,K3850/J3850,0)</f>
        <v>0.245336649493693</v>
      </c>
    </row>
    <row r="3851" customFormat="false" ht="15" hidden="false" customHeight="false" outlineLevel="0" collapsed="false">
      <c r="A3851" s="15" t="s">
        <v>3908</v>
      </c>
      <c r="B3851" s="16" t="n">
        <v>45526</v>
      </c>
      <c r="C3851" s="15" t="s">
        <v>56</v>
      </c>
      <c r="D3851" s="15" t="s">
        <v>42</v>
      </c>
      <c r="E3851" s="15" t="s">
        <v>37</v>
      </c>
      <c r="F3851" s="15" t="s">
        <v>17</v>
      </c>
      <c r="G3851" s="15" t="s">
        <v>31</v>
      </c>
      <c r="H3851" s="15" t="n">
        <v>5</v>
      </c>
      <c r="I3851" s="17" t="n">
        <v>0</v>
      </c>
      <c r="J3851" s="18" t="n">
        <v>651.46</v>
      </c>
      <c r="K3851" s="19" t="n">
        <v>117.69</v>
      </c>
      <c r="L3851" s="15" t="n">
        <f aca="false">YEAR(B3851)</f>
        <v>2024</v>
      </c>
      <c r="M3851" s="20" t="n">
        <f aca="false">IF(J3851&gt;0,K3851/J3851,0)</f>
        <v>0.180655757836245</v>
      </c>
    </row>
    <row r="3852" customFormat="false" ht="15" hidden="false" customHeight="false" outlineLevel="0" collapsed="false">
      <c r="A3852" s="15" t="s">
        <v>3909</v>
      </c>
      <c r="B3852" s="16" t="n">
        <v>45214</v>
      </c>
      <c r="C3852" s="15" t="s">
        <v>56</v>
      </c>
      <c r="D3852" s="15" t="s">
        <v>43</v>
      </c>
      <c r="E3852" s="15" t="s">
        <v>37</v>
      </c>
      <c r="F3852" s="15" t="s">
        <v>17</v>
      </c>
      <c r="G3852" s="15" t="s">
        <v>26</v>
      </c>
      <c r="H3852" s="15" t="n">
        <v>3</v>
      </c>
      <c r="I3852" s="17" t="n">
        <v>0.05</v>
      </c>
      <c r="J3852" s="18" t="n">
        <v>219.84</v>
      </c>
      <c r="K3852" s="19" t="n">
        <v>20.25</v>
      </c>
      <c r="L3852" s="15" t="n">
        <f aca="false">YEAR(B3852)</f>
        <v>2023</v>
      </c>
      <c r="M3852" s="20" t="n">
        <f aca="false">IF(J3852&gt;0,K3852/J3852,0)</f>
        <v>0.0921124454148472</v>
      </c>
    </row>
    <row r="3853" customFormat="false" ht="15" hidden="false" customHeight="false" outlineLevel="0" collapsed="false">
      <c r="A3853" s="15" t="s">
        <v>3910</v>
      </c>
      <c r="B3853" s="16" t="n">
        <v>45679</v>
      </c>
      <c r="C3853" s="15" t="s">
        <v>56</v>
      </c>
      <c r="D3853" s="15" t="s">
        <v>42</v>
      </c>
      <c r="E3853" s="15" t="s">
        <v>37</v>
      </c>
      <c r="F3853" s="15" t="s">
        <v>17</v>
      </c>
      <c r="G3853" s="15" t="s">
        <v>26</v>
      </c>
      <c r="H3853" s="15" t="n">
        <v>3</v>
      </c>
      <c r="I3853" s="17" t="n">
        <v>0.05</v>
      </c>
      <c r="J3853" s="18" t="n">
        <v>248.21</v>
      </c>
      <c r="K3853" s="19" t="n">
        <v>20.3</v>
      </c>
      <c r="L3853" s="15" t="n">
        <f aca="false">YEAR(B3853)</f>
        <v>2025</v>
      </c>
      <c r="M3853" s="20" t="n">
        <f aca="false">IF(J3853&gt;0,K3853/J3853,0)</f>
        <v>0.0817855847870755</v>
      </c>
    </row>
    <row r="3854" customFormat="false" ht="15" hidden="false" customHeight="false" outlineLevel="0" collapsed="false">
      <c r="A3854" s="15" t="s">
        <v>3911</v>
      </c>
      <c r="B3854" s="16" t="n">
        <v>45201</v>
      </c>
      <c r="C3854" s="15" t="s">
        <v>68</v>
      </c>
      <c r="D3854" s="15" t="s">
        <v>42</v>
      </c>
      <c r="E3854" s="15" t="s">
        <v>37</v>
      </c>
      <c r="F3854" s="15" t="s">
        <v>16</v>
      </c>
      <c r="G3854" s="15" t="s">
        <v>22</v>
      </c>
      <c r="H3854" s="15" t="n">
        <v>3</v>
      </c>
      <c r="I3854" s="17" t="n">
        <v>0</v>
      </c>
      <c r="J3854" s="18" t="n">
        <v>1670.4</v>
      </c>
      <c r="K3854" s="19" t="n">
        <v>74.36</v>
      </c>
      <c r="L3854" s="15" t="n">
        <f aca="false">YEAR(B3854)</f>
        <v>2023</v>
      </c>
      <c r="M3854" s="20" t="n">
        <f aca="false">IF(J3854&gt;0,K3854/J3854,0)</f>
        <v>0.0445162835249042</v>
      </c>
    </row>
    <row r="3855" customFormat="false" ht="15" hidden="false" customHeight="false" outlineLevel="0" collapsed="false">
      <c r="A3855" s="15" t="s">
        <v>3912</v>
      </c>
      <c r="B3855" s="16" t="n">
        <v>45973</v>
      </c>
      <c r="C3855" s="15" t="s">
        <v>56</v>
      </c>
      <c r="D3855" s="15" t="s">
        <v>42</v>
      </c>
      <c r="E3855" s="15" t="s">
        <v>36</v>
      </c>
      <c r="F3855" s="15" t="s">
        <v>17</v>
      </c>
      <c r="G3855" s="15" t="s">
        <v>28</v>
      </c>
      <c r="H3855" s="15" t="n">
        <v>2</v>
      </c>
      <c r="I3855" s="17" t="n">
        <v>0</v>
      </c>
      <c r="J3855" s="18" t="n">
        <v>42.02</v>
      </c>
      <c r="K3855" s="19" t="n">
        <v>12.97</v>
      </c>
      <c r="L3855" s="15" t="n">
        <f aca="false">YEAR(B3855)</f>
        <v>2025</v>
      </c>
      <c r="M3855" s="20" t="n">
        <f aca="false">IF(J3855&gt;0,K3855/J3855,0)</f>
        <v>0.308662541646835</v>
      </c>
    </row>
    <row r="3856" customFormat="false" ht="15" hidden="false" customHeight="false" outlineLevel="0" collapsed="false">
      <c r="A3856" s="15" t="s">
        <v>3913</v>
      </c>
      <c r="B3856" s="16" t="n">
        <v>45252</v>
      </c>
      <c r="C3856" s="15" t="s">
        <v>56</v>
      </c>
      <c r="D3856" s="15" t="s">
        <v>43</v>
      </c>
      <c r="E3856" s="15" t="s">
        <v>37</v>
      </c>
      <c r="F3856" s="15" t="s">
        <v>17</v>
      </c>
      <c r="G3856" s="15" t="s">
        <v>29</v>
      </c>
      <c r="H3856" s="15" t="n">
        <v>4</v>
      </c>
      <c r="I3856" s="17" t="n">
        <v>0.15</v>
      </c>
      <c r="J3856" s="18" t="n">
        <v>52.75</v>
      </c>
      <c r="K3856" s="19" t="n">
        <v>14.45</v>
      </c>
      <c r="L3856" s="15" t="n">
        <f aca="false">YEAR(B3856)</f>
        <v>2023</v>
      </c>
      <c r="M3856" s="20" t="n">
        <f aca="false">IF(J3856&gt;0,K3856/J3856,0)</f>
        <v>0.2739336492891</v>
      </c>
    </row>
    <row r="3857" customFormat="false" ht="15" hidden="false" customHeight="false" outlineLevel="0" collapsed="false">
      <c r="A3857" s="15" t="s">
        <v>3914</v>
      </c>
      <c r="B3857" s="16" t="n">
        <v>45205</v>
      </c>
      <c r="C3857" s="15" t="s">
        <v>56</v>
      </c>
      <c r="D3857" s="15" t="s">
        <v>44</v>
      </c>
      <c r="E3857" s="15" t="s">
        <v>36</v>
      </c>
      <c r="F3857" s="15" t="s">
        <v>16</v>
      </c>
      <c r="G3857" s="15" t="s">
        <v>23</v>
      </c>
      <c r="H3857" s="15" t="n">
        <v>7</v>
      </c>
      <c r="I3857" s="17" t="n">
        <v>0.2</v>
      </c>
      <c r="J3857" s="18" t="n">
        <v>1884.76</v>
      </c>
      <c r="K3857" s="19" t="n">
        <v>-191.35</v>
      </c>
      <c r="L3857" s="15" t="n">
        <f aca="false">YEAR(B3857)</f>
        <v>2023</v>
      </c>
      <c r="M3857" s="20" t="n">
        <f aca="false">IF(J3857&gt;0,K3857/J3857,0)</f>
        <v>-0.101524862581973</v>
      </c>
    </row>
    <row r="3858" customFormat="false" ht="15" hidden="false" customHeight="false" outlineLevel="0" collapsed="false">
      <c r="A3858" s="15" t="s">
        <v>3915</v>
      </c>
      <c r="B3858" s="16" t="n">
        <v>45817</v>
      </c>
      <c r="C3858" s="15" t="s">
        <v>56</v>
      </c>
      <c r="D3858" s="15" t="s">
        <v>43</v>
      </c>
      <c r="E3858" s="15" t="s">
        <v>39</v>
      </c>
      <c r="F3858" s="15" t="s">
        <v>17</v>
      </c>
      <c r="G3858" s="15" t="s">
        <v>28</v>
      </c>
      <c r="H3858" s="15" t="n">
        <v>2</v>
      </c>
      <c r="I3858" s="17" t="n">
        <v>0.15</v>
      </c>
      <c r="J3858" s="18" t="n">
        <v>57.89</v>
      </c>
      <c r="K3858" s="19" t="n">
        <v>6.37</v>
      </c>
      <c r="L3858" s="15" t="n">
        <f aca="false">YEAR(B3858)</f>
        <v>2025</v>
      </c>
      <c r="M3858" s="20" t="n">
        <f aca="false">IF(J3858&gt;0,K3858/J3858,0)</f>
        <v>0.110036275695284</v>
      </c>
    </row>
    <row r="3859" customFormat="false" ht="15" hidden="false" customHeight="false" outlineLevel="0" collapsed="false">
      <c r="A3859" s="15" t="s">
        <v>3916</v>
      </c>
      <c r="B3859" s="16" t="n">
        <v>44641</v>
      </c>
      <c r="C3859" s="15" t="s">
        <v>58</v>
      </c>
      <c r="D3859" s="15" t="s">
        <v>42</v>
      </c>
      <c r="E3859" s="15" t="s">
        <v>38</v>
      </c>
      <c r="F3859" s="15" t="s">
        <v>17</v>
      </c>
      <c r="G3859" s="15" t="s">
        <v>29</v>
      </c>
      <c r="H3859" s="15" t="n">
        <v>3</v>
      </c>
      <c r="I3859" s="17" t="n">
        <v>0.2</v>
      </c>
      <c r="J3859" s="18" t="n">
        <v>40.71</v>
      </c>
      <c r="K3859" s="19" t="n">
        <v>7.76</v>
      </c>
      <c r="L3859" s="15" t="n">
        <f aca="false">YEAR(B3859)</f>
        <v>2022</v>
      </c>
      <c r="M3859" s="20" t="n">
        <f aca="false">IF(J3859&gt;0,K3859/J3859,0)</f>
        <v>0.190616556128715</v>
      </c>
    </row>
    <row r="3860" customFormat="false" ht="15" hidden="false" customHeight="false" outlineLevel="0" collapsed="false">
      <c r="A3860" s="15" t="s">
        <v>3917</v>
      </c>
      <c r="B3860" s="16" t="n">
        <v>45635</v>
      </c>
      <c r="C3860" s="15" t="s">
        <v>56</v>
      </c>
      <c r="D3860" s="15" t="s">
        <v>44</v>
      </c>
      <c r="E3860" s="15" t="s">
        <v>39</v>
      </c>
      <c r="F3860" s="15" t="s">
        <v>17</v>
      </c>
      <c r="G3860" s="15" t="s">
        <v>26</v>
      </c>
      <c r="H3860" s="15" t="n">
        <v>3</v>
      </c>
      <c r="I3860" s="17" t="n">
        <v>0</v>
      </c>
      <c r="J3860" s="18" t="n">
        <v>302.2</v>
      </c>
      <c r="K3860" s="19" t="n">
        <v>44.93</v>
      </c>
      <c r="L3860" s="15" t="n">
        <f aca="false">YEAR(B3860)</f>
        <v>2024</v>
      </c>
      <c r="M3860" s="20" t="n">
        <f aca="false">IF(J3860&gt;0,K3860/J3860,0)</f>
        <v>0.14867637326274</v>
      </c>
    </row>
    <row r="3861" customFormat="false" ht="15" hidden="false" customHeight="false" outlineLevel="0" collapsed="false">
      <c r="A3861" s="15" t="s">
        <v>3918</v>
      </c>
      <c r="B3861" s="16" t="n">
        <v>45770</v>
      </c>
      <c r="C3861" s="15" t="s">
        <v>68</v>
      </c>
      <c r="D3861" s="15" t="s">
        <v>43</v>
      </c>
      <c r="E3861" s="15" t="s">
        <v>39</v>
      </c>
      <c r="F3861" s="15" t="s">
        <v>17</v>
      </c>
      <c r="G3861" s="15" t="s">
        <v>29</v>
      </c>
      <c r="H3861" s="15" t="n">
        <v>4</v>
      </c>
      <c r="I3861" s="17" t="n">
        <v>0</v>
      </c>
      <c r="J3861" s="18" t="n">
        <v>86.78</v>
      </c>
      <c r="K3861" s="19" t="n">
        <v>29.44</v>
      </c>
      <c r="L3861" s="15" t="n">
        <f aca="false">YEAR(B3861)</f>
        <v>2025</v>
      </c>
      <c r="M3861" s="20" t="n">
        <f aca="false">IF(J3861&gt;0,K3861/J3861,0)</f>
        <v>0.339248674809864</v>
      </c>
    </row>
    <row r="3862" customFormat="false" ht="15" hidden="false" customHeight="false" outlineLevel="0" collapsed="false">
      <c r="A3862" s="15" t="s">
        <v>3919</v>
      </c>
      <c r="B3862" s="16" t="n">
        <v>44809</v>
      </c>
      <c r="C3862" s="15" t="s">
        <v>56</v>
      </c>
      <c r="D3862" s="15" t="s">
        <v>42</v>
      </c>
      <c r="E3862" s="15" t="s">
        <v>39</v>
      </c>
      <c r="F3862" s="15" t="s">
        <v>18</v>
      </c>
      <c r="G3862" s="15" t="s">
        <v>32</v>
      </c>
      <c r="H3862" s="15" t="n">
        <v>6</v>
      </c>
      <c r="I3862" s="17" t="n">
        <v>0</v>
      </c>
      <c r="J3862" s="18" t="n">
        <v>2954.31</v>
      </c>
      <c r="K3862" s="19" t="n">
        <v>360.35</v>
      </c>
      <c r="L3862" s="15" t="n">
        <f aca="false">YEAR(B3862)</f>
        <v>2022</v>
      </c>
      <c r="M3862" s="20" t="n">
        <f aca="false">IF(J3862&gt;0,K3862/J3862,0)</f>
        <v>0.121974335800915</v>
      </c>
    </row>
    <row r="3863" customFormat="false" ht="15" hidden="false" customHeight="false" outlineLevel="0" collapsed="false">
      <c r="A3863" s="15" t="s">
        <v>3920</v>
      </c>
      <c r="B3863" s="16" t="n">
        <v>45014</v>
      </c>
      <c r="C3863" s="15" t="s">
        <v>71</v>
      </c>
      <c r="D3863" s="15" t="s">
        <v>43</v>
      </c>
      <c r="E3863" s="15" t="s">
        <v>38</v>
      </c>
      <c r="F3863" s="15" t="s">
        <v>17</v>
      </c>
      <c r="G3863" s="15" t="s">
        <v>31</v>
      </c>
      <c r="H3863" s="15" t="n">
        <v>5</v>
      </c>
      <c r="I3863" s="17" t="n">
        <v>0</v>
      </c>
      <c r="J3863" s="18" t="n">
        <v>624.45</v>
      </c>
      <c r="K3863" s="19" t="n">
        <v>157.35</v>
      </c>
      <c r="L3863" s="15" t="n">
        <f aca="false">YEAR(B3863)</f>
        <v>2023</v>
      </c>
      <c r="M3863" s="20" t="n">
        <f aca="false">IF(J3863&gt;0,K3863/J3863,0)</f>
        <v>0.251981743934663</v>
      </c>
    </row>
    <row r="3864" customFormat="false" ht="15" hidden="false" customHeight="false" outlineLevel="0" collapsed="false">
      <c r="A3864" s="15" t="s">
        <v>3921</v>
      </c>
      <c r="B3864" s="16" t="n">
        <v>45779</v>
      </c>
      <c r="C3864" s="15" t="s">
        <v>56</v>
      </c>
      <c r="D3864" s="15" t="s">
        <v>42</v>
      </c>
      <c r="E3864" s="15" t="s">
        <v>37</v>
      </c>
      <c r="F3864" s="15" t="s">
        <v>16</v>
      </c>
      <c r="G3864" s="15" t="s">
        <v>27</v>
      </c>
      <c r="H3864" s="15" t="n">
        <v>5</v>
      </c>
      <c r="I3864" s="17" t="n">
        <v>0.1</v>
      </c>
      <c r="J3864" s="18" t="n">
        <v>235.07</v>
      </c>
      <c r="K3864" s="19" t="n">
        <v>23.5</v>
      </c>
      <c r="L3864" s="15" t="n">
        <f aca="false">YEAR(B3864)</f>
        <v>2025</v>
      </c>
      <c r="M3864" s="20" t="n">
        <f aca="false">IF(J3864&gt;0,K3864/J3864,0)</f>
        <v>0.0999702216361084</v>
      </c>
    </row>
    <row r="3865" customFormat="false" ht="15" hidden="false" customHeight="false" outlineLevel="0" collapsed="false">
      <c r="A3865" s="15" t="s">
        <v>3922</v>
      </c>
      <c r="B3865" s="16" t="n">
        <v>45397</v>
      </c>
      <c r="C3865" s="15" t="s">
        <v>56</v>
      </c>
      <c r="D3865" s="15" t="s">
        <v>42</v>
      </c>
      <c r="E3865" s="15" t="s">
        <v>38</v>
      </c>
      <c r="F3865" s="15" t="s">
        <v>16</v>
      </c>
      <c r="G3865" s="15" t="s">
        <v>23</v>
      </c>
      <c r="H3865" s="15" t="n">
        <v>5</v>
      </c>
      <c r="I3865" s="17" t="n">
        <v>0.05</v>
      </c>
      <c r="J3865" s="18" t="n">
        <v>1328.9</v>
      </c>
      <c r="K3865" s="19" t="n">
        <v>-11.89</v>
      </c>
      <c r="L3865" s="15" t="n">
        <f aca="false">YEAR(B3865)</f>
        <v>2024</v>
      </c>
      <c r="M3865" s="20" t="n">
        <f aca="false">IF(J3865&gt;0,K3865/J3865,0)</f>
        <v>-0.00894724960493641</v>
      </c>
    </row>
    <row r="3866" customFormat="false" ht="15" hidden="false" customHeight="false" outlineLevel="0" collapsed="false">
      <c r="A3866" s="15" t="s">
        <v>3923</v>
      </c>
      <c r="B3866" s="16" t="n">
        <v>44637</v>
      </c>
      <c r="C3866" s="15" t="s">
        <v>58</v>
      </c>
      <c r="D3866" s="15" t="s">
        <v>42</v>
      </c>
      <c r="E3866" s="15" t="s">
        <v>39</v>
      </c>
      <c r="F3866" s="15" t="s">
        <v>17</v>
      </c>
      <c r="G3866" s="15" t="s">
        <v>31</v>
      </c>
      <c r="H3866" s="15" t="n">
        <v>3</v>
      </c>
      <c r="I3866" s="17" t="n">
        <v>0.4</v>
      </c>
      <c r="J3866" s="18" t="n">
        <v>229.84</v>
      </c>
      <c r="K3866" s="19" t="n">
        <v>-48.91</v>
      </c>
      <c r="L3866" s="15" t="n">
        <f aca="false">YEAR(B3866)</f>
        <v>2022</v>
      </c>
      <c r="M3866" s="20" t="n">
        <f aca="false">IF(J3866&gt;0,K3866/J3866,0)</f>
        <v>-0.212800208840933</v>
      </c>
    </row>
    <row r="3867" customFormat="false" ht="15" hidden="false" customHeight="false" outlineLevel="0" collapsed="false">
      <c r="A3867" s="15" t="s">
        <v>3924</v>
      </c>
      <c r="B3867" s="16" t="n">
        <v>44974</v>
      </c>
      <c r="C3867" s="15" t="s">
        <v>56</v>
      </c>
      <c r="D3867" s="15" t="s">
        <v>43</v>
      </c>
      <c r="E3867" s="15" t="s">
        <v>38</v>
      </c>
      <c r="F3867" s="15" t="s">
        <v>17</v>
      </c>
      <c r="G3867" s="15" t="s">
        <v>29</v>
      </c>
      <c r="H3867" s="15" t="n">
        <v>1</v>
      </c>
      <c r="I3867" s="17" t="n">
        <v>0.05</v>
      </c>
      <c r="J3867" s="18" t="n">
        <v>15.64</v>
      </c>
      <c r="K3867" s="19" t="n">
        <v>6.01</v>
      </c>
      <c r="L3867" s="15" t="n">
        <f aca="false">YEAR(B3867)</f>
        <v>2023</v>
      </c>
      <c r="M3867" s="20" t="n">
        <f aca="false">IF(J3867&gt;0,K3867/J3867,0)</f>
        <v>0.384271099744246</v>
      </c>
    </row>
    <row r="3868" customFormat="false" ht="15" hidden="false" customHeight="false" outlineLevel="0" collapsed="false">
      <c r="A3868" s="15" t="s">
        <v>3925</v>
      </c>
      <c r="B3868" s="16" t="n">
        <v>45512</v>
      </c>
      <c r="C3868" s="15" t="s">
        <v>56</v>
      </c>
      <c r="D3868" s="15" t="s">
        <v>43</v>
      </c>
      <c r="E3868" s="15" t="s">
        <v>39</v>
      </c>
      <c r="F3868" s="15" t="s">
        <v>18</v>
      </c>
      <c r="G3868" s="15" t="s">
        <v>32</v>
      </c>
      <c r="H3868" s="15" t="n">
        <v>5</v>
      </c>
      <c r="I3868" s="17" t="n">
        <v>0</v>
      </c>
      <c r="J3868" s="18" t="n">
        <v>2309.91</v>
      </c>
      <c r="K3868" s="19" t="n">
        <v>419.4</v>
      </c>
      <c r="L3868" s="15" t="n">
        <f aca="false">YEAR(B3868)</f>
        <v>2024</v>
      </c>
      <c r="M3868" s="20" t="n">
        <f aca="false">IF(J3868&gt;0,K3868/J3868,0)</f>
        <v>0.181565515539566</v>
      </c>
    </row>
    <row r="3869" customFormat="false" ht="15" hidden="false" customHeight="false" outlineLevel="0" collapsed="false">
      <c r="A3869" s="15" t="s">
        <v>3926</v>
      </c>
      <c r="B3869" s="16" t="n">
        <v>45290</v>
      </c>
      <c r="C3869" s="15" t="s">
        <v>56</v>
      </c>
      <c r="D3869" s="15" t="s">
        <v>42</v>
      </c>
      <c r="E3869" s="15" t="s">
        <v>39</v>
      </c>
      <c r="F3869" s="15" t="s">
        <v>17</v>
      </c>
      <c r="G3869" s="15" t="s">
        <v>28</v>
      </c>
      <c r="H3869" s="15" t="n">
        <v>5</v>
      </c>
      <c r="I3869" s="17" t="n">
        <v>0</v>
      </c>
      <c r="J3869" s="18" t="n">
        <v>161.79</v>
      </c>
      <c r="K3869" s="19" t="n">
        <v>46.8</v>
      </c>
      <c r="L3869" s="15" t="n">
        <f aca="false">YEAR(B3869)</f>
        <v>2023</v>
      </c>
      <c r="M3869" s="20" t="n">
        <f aca="false">IF(J3869&gt;0,K3869/J3869,0)</f>
        <v>0.289263860559985</v>
      </c>
    </row>
    <row r="3870" customFormat="false" ht="15" hidden="false" customHeight="false" outlineLevel="0" collapsed="false">
      <c r="A3870" s="15" t="s">
        <v>3927</v>
      </c>
      <c r="B3870" s="16" t="n">
        <v>45340</v>
      </c>
      <c r="C3870" s="15" t="s">
        <v>68</v>
      </c>
      <c r="D3870" s="15" t="s">
        <v>42</v>
      </c>
      <c r="E3870" s="15" t="s">
        <v>39</v>
      </c>
      <c r="F3870" s="15" t="s">
        <v>17</v>
      </c>
      <c r="G3870" s="15" t="s">
        <v>29</v>
      </c>
      <c r="H3870" s="15" t="n">
        <v>3</v>
      </c>
      <c r="I3870" s="17" t="n">
        <v>0.2</v>
      </c>
      <c r="J3870" s="18" t="n">
        <v>44.27</v>
      </c>
      <c r="K3870" s="19" t="n">
        <v>10.59</v>
      </c>
      <c r="L3870" s="15" t="n">
        <f aca="false">YEAR(B3870)</f>
        <v>2024</v>
      </c>
      <c r="M3870" s="20" t="n">
        <f aca="false">IF(J3870&gt;0,K3870/J3870,0)</f>
        <v>0.239213914614863</v>
      </c>
    </row>
    <row r="3871" customFormat="false" ht="15" hidden="false" customHeight="false" outlineLevel="0" collapsed="false">
      <c r="A3871" s="15" t="s">
        <v>3928</v>
      </c>
      <c r="B3871" s="16" t="n">
        <v>44592</v>
      </c>
      <c r="C3871" s="15" t="s">
        <v>56</v>
      </c>
      <c r="D3871" s="15" t="s">
        <v>44</v>
      </c>
      <c r="E3871" s="15" t="s">
        <v>37</v>
      </c>
      <c r="F3871" s="15" t="s">
        <v>17</v>
      </c>
      <c r="G3871" s="15" t="s">
        <v>29</v>
      </c>
      <c r="H3871" s="15" t="n">
        <v>3</v>
      </c>
      <c r="I3871" s="17" t="n">
        <v>0.05</v>
      </c>
      <c r="J3871" s="18" t="n">
        <v>53.99</v>
      </c>
      <c r="K3871" s="19" t="n">
        <v>18.23</v>
      </c>
      <c r="L3871" s="15" t="n">
        <f aca="false">YEAR(B3871)</f>
        <v>2022</v>
      </c>
      <c r="M3871" s="20" t="n">
        <f aca="false">IF(J3871&gt;0,K3871/J3871,0)</f>
        <v>0.337655121318763</v>
      </c>
    </row>
    <row r="3872" customFormat="false" ht="15" hidden="false" customHeight="false" outlineLevel="0" collapsed="false">
      <c r="A3872" s="15" t="s">
        <v>3929</v>
      </c>
      <c r="B3872" s="16" t="n">
        <v>44816</v>
      </c>
      <c r="C3872" s="15" t="s">
        <v>71</v>
      </c>
      <c r="D3872" s="15" t="s">
        <v>42</v>
      </c>
      <c r="E3872" s="15" t="s">
        <v>37</v>
      </c>
      <c r="F3872" s="15" t="s">
        <v>17</v>
      </c>
      <c r="G3872" s="15" t="s">
        <v>29</v>
      </c>
      <c r="H3872" s="15" t="n">
        <v>1</v>
      </c>
      <c r="I3872" s="17" t="n">
        <v>0.2</v>
      </c>
      <c r="J3872" s="18" t="n">
        <v>15.42</v>
      </c>
      <c r="K3872" s="19" t="n">
        <v>3.14</v>
      </c>
      <c r="L3872" s="15" t="n">
        <f aca="false">YEAR(B3872)</f>
        <v>2022</v>
      </c>
      <c r="M3872" s="20" t="n">
        <f aca="false">IF(J3872&gt;0,K3872/J3872,0)</f>
        <v>0.203631647211414</v>
      </c>
    </row>
    <row r="3873" customFormat="false" ht="15" hidden="false" customHeight="false" outlineLevel="0" collapsed="false">
      <c r="A3873" s="15" t="s">
        <v>3930</v>
      </c>
      <c r="B3873" s="16" t="n">
        <v>45429</v>
      </c>
      <c r="C3873" s="15" t="s">
        <v>71</v>
      </c>
      <c r="D3873" s="15" t="s">
        <v>42</v>
      </c>
      <c r="E3873" s="15" t="s">
        <v>36</v>
      </c>
      <c r="F3873" s="15" t="s">
        <v>18</v>
      </c>
      <c r="G3873" s="15" t="s">
        <v>30</v>
      </c>
      <c r="H3873" s="15" t="n">
        <v>2</v>
      </c>
      <c r="I3873" s="17" t="n">
        <v>0.2</v>
      </c>
      <c r="J3873" s="18" t="n">
        <v>74.49</v>
      </c>
      <c r="K3873" s="19" t="n">
        <v>6.34</v>
      </c>
      <c r="L3873" s="15" t="n">
        <f aca="false">YEAR(B3873)</f>
        <v>2024</v>
      </c>
      <c r="M3873" s="20" t="n">
        <f aca="false">IF(J3873&gt;0,K3873/J3873,0)</f>
        <v>0.0851120955832998</v>
      </c>
    </row>
    <row r="3874" customFormat="false" ht="15" hidden="false" customHeight="false" outlineLevel="0" collapsed="false">
      <c r="A3874" s="15" t="s">
        <v>3931</v>
      </c>
      <c r="B3874" s="16" t="n">
        <v>45900</v>
      </c>
      <c r="C3874" s="15" t="s">
        <v>56</v>
      </c>
      <c r="D3874" s="15" t="s">
        <v>43</v>
      </c>
      <c r="E3874" s="15" t="s">
        <v>36</v>
      </c>
      <c r="F3874" s="15" t="s">
        <v>18</v>
      </c>
      <c r="G3874" s="15" t="s">
        <v>33</v>
      </c>
      <c r="H3874" s="15" t="n">
        <v>4</v>
      </c>
      <c r="I3874" s="17" t="n">
        <v>0.3</v>
      </c>
      <c r="J3874" s="18" t="n">
        <v>3022.34</v>
      </c>
      <c r="K3874" s="19" t="n">
        <v>94.27</v>
      </c>
      <c r="L3874" s="15" t="n">
        <f aca="false">YEAR(B3874)</f>
        <v>2025</v>
      </c>
      <c r="M3874" s="20" t="n">
        <f aca="false">IF(J3874&gt;0,K3874/J3874,0)</f>
        <v>0.0311910638776577</v>
      </c>
    </row>
    <row r="3875" customFormat="false" ht="15" hidden="false" customHeight="false" outlineLevel="0" collapsed="false">
      <c r="A3875" s="15" t="s">
        <v>3932</v>
      </c>
      <c r="B3875" s="16" t="n">
        <v>45731</v>
      </c>
      <c r="C3875" s="15" t="s">
        <v>56</v>
      </c>
      <c r="D3875" s="15" t="s">
        <v>43</v>
      </c>
      <c r="E3875" s="15" t="s">
        <v>38</v>
      </c>
      <c r="F3875" s="15" t="s">
        <v>16</v>
      </c>
      <c r="G3875" s="15" t="s">
        <v>27</v>
      </c>
      <c r="H3875" s="15" t="n">
        <v>4</v>
      </c>
      <c r="I3875" s="17" t="n">
        <v>0.15</v>
      </c>
      <c r="J3875" s="18" t="n">
        <v>217.73</v>
      </c>
      <c r="K3875" s="19" t="n">
        <v>33.29</v>
      </c>
      <c r="L3875" s="15" t="n">
        <f aca="false">YEAR(B3875)</f>
        <v>2025</v>
      </c>
      <c r="M3875" s="20" t="n">
        <f aca="false">IF(J3875&gt;0,K3875/J3875,0)</f>
        <v>0.152895788361732</v>
      </c>
    </row>
    <row r="3876" customFormat="false" ht="15" hidden="false" customHeight="false" outlineLevel="0" collapsed="false">
      <c r="A3876" s="15" t="s">
        <v>3933</v>
      </c>
      <c r="B3876" s="16" t="n">
        <v>45385</v>
      </c>
      <c r="C3876" s="15" t="s">
        <v>68</v>
      </c>
      <c r="D3876" s="15" t="s">
        <v>43</v>
      </c>
      <c r="E3876" s="15" t="s">
        <v>39</v>
      </c>
      <c r="F3876" s="15" t="s">
        <v>17</v>
      </c>
      <c r="G3876" s="15" t="s">
        <v>31</v>
      </c>
      <c r="H3876" s="15" t="n">
        <v>6</v>
      </c>
      <c r="I3876" s="17" t="n">
        <v>0</v>
      </c>
      <c r="J3876" s="18" t="n">
        <v>822.42</v>
      </c>
      <c r="K3876" s="19" t="n">
        <v>122.5</v>
      </c>
      <c r="L3876" s="15" t="n">
        <f aca="false">YEAR(B3876)</f>
        <v>2024</v>
      </c>
      <c r="M3876" s="20" t="n">
        <f aca="false">IF(J3876&gt;0,K3876/J3876,0)</f>
        <v>0.148950657814742</v>
      </c>
    </row>
    <row r="3877" customFormat="false" ht="15" hidden="false" customHeight="false" outlineLevel="0" collapsed="false">
      <c r="A3877" s="15" t="s">
        <v>3934</v>
      </c>
      <c r="B3877" s="16" t="n">
        <v>45139</v>
      </c>
      <c r="C3877" s="15" t="s">
        <v>71</v>
      </c>
      <c r="D3877" s="15" t="s">
        <v>42</v>
      </c>
      <c r="E3877" s="15" t="s">
        <v>36</v>
      </c>
      <c r="F3877" s="15" t="s">
        <v>16</v>
      </c>
      <c r="G3877" s="15" t="s">
        <v>25</v>
      </c>
      <c r="H3877" s="15" t="n">
        <v>3</v>
      </c>
      <c r="I3877" s="17" t="n">
        <v>0</v>
      </c>
      <c r="J3877" s="18" t="n">
        <v>908.38</v>
      </c>
      <c r="K3877" s="19" t="n">
        <v>133.04</v>
      </c>
      <c r="L3877" s="15" t="n">
        <f aca="false">YEAR(B3877)</f>
        <v>2023</v>
      </c>
      <c r="M3877" s="20" t="n">
        <f aca="false">IF(J3877&gt;0,K3877/J3877,0)</f>
        <v>0.146458530570906</v>
      </c>
    </row>
    <row r="3878" customFormat="false" ht="15" hidden="false" customHeight="false" outlineLevel="0" collapsed="false">
      <c r="A3878" s="15" t="s">
        <v>3935</v>
      </c>
      <c r="B3878" s="16" t="n">
        <v>45542</v>
      </c>
      <c r="C3878" s="15" t="s">
        <v>58</v>
      </c>
      <c r="D3878" s="15" t="s">
        <v>42</v>
      </c>
      <c r="E3878" s="15" t="s">
        <v>39</v>
      </c>
      <c r="F3878" s="15" t="s">
        <v>16</v>
      </c>
      <c r="G3878" s="15" t="s">
        <v>27</v>
      </c>
      <c r="H3878" s="15" t="n">
        <v>4</v>
      </c>
      <c r="I3878" s="17" t="n">
        <v>0.1</v>
      </c>
      <c r="J3878" s="18" t="n">
        <v>202.52</v>
      </c>
      <c r="K3878" s="19" t="n">
        <v>33.05</v>
      </c>
      <c r="L3878" s="15" t="n">
        <f aca="false">YEAR(B3878)</f>
        <v>2024</v>
      </c>
      <c r="M3878" s="20" t="n">
        <f aca="false">IF(J3878&gt;0,K3878/J3878,0)</f>
        <v>0.163193758641122</v>
      </c>
    </row>
    <row r="3879" customFormat="false" ht="15" hidden="false" customHeight="false" outlineLevel="0" collapsed="false">
      <c r="A3879" s="15" t="s">
        <v>3936</v>
      </c>
      <c r="B3879" s="16" t="n">
        <v>45780</v>
      </c>
      <c r="C3879" s="15" t="s">
        <v>56</v>
      </c>
      <c r="D3879" s="15" t="s">
        <v>42</v>
      </c>
      <c r="E3879" s="15" t="s">
        <v>37</v>
      </c>
      <c r="F3879" s="15" t="s">
        <v>17</v>
      </c>
      <c r="G3879" s="15" t="s">
        <v>29</v>
      </c>
      <c r="H3879" s="15" t="n">
        <v>3</v>
      </c>
      <c r="I3879" s="17" t="n">
        <v>0.2</v>
      </c>
      <c r="J3879" s="18" t="n">
        <v>34.22</v>
      </c>
      <c r="K3879" s="19" t="n">
        <v>7.29</v>
      </c>
      <c r="L3879" s="15" t="n">
        <f aca="false">YEAR(B3879)</f>
        <v>2025</v>
      </c>
      <c r="M3879" s="20" t="n">
        <f aca="false">IF(J3879&gt;0,K3879/J3879,0)</f>
        <v>0.213033313851549</v>
      </c>
    </row>
    <row r="3880" customFormat="false" ht="15" hidden="false" customHeight="false" outlineLevel="0" collapsed="false">
      <c r="A3880" s="15" t="s">
        <v>3937</v>
      </c>
      <c r="B3880" s="16" t="n">
        <v>45313</v>
      </c>
      <c r="C3880" s="15" t="s">
        <v>56</v>
      </c>
      <c r="D3880" s="15" t="s">
        <v>42</v>
      </c>
      <c r="E3880" s="15" t="s">
        <v>36</v>
      </c>
      <c r="F3880" s="15" t="s">
        <v>17</v>
      </c>
      <c r="G3880" s="15" t="s">
        <v>29</v>
      </c>
      <c r="H3880" s="15" t="n">
        <v>2</v>
      </c>
      <c r="I3880" s="17" t="n">
        <v>0.15</v>
      </c>
      <c r="J3880" s="18" t="n">
        <v>28.6</v>
      </c>
      <c r="K3880" s="19" t="n">
        <v>7.38</v>
      </c>
      <c r="L3880" s="15" t="n">
        <f aca="false">YEAR(B3880)</f>
        <v>2024</v>
      </c>
      <c r="M3880" s="20" t="n">
        <f aca="false">IF(J3880&gt;0,K3880/J3880,0)</f>
        <v>0.258041958041958</v>
      </c>
    </row>
    <row r="3881" customFormat="false" ht="15" hidden="false" customHeight="false" outlineLevel="0" collapsed="false">
      <c r="A3881" s="15" t="s">
        <v>3938</v>
      </c>
      <c r="B3881" s="16" t="n">
        <v>45855</v>
      </c>
      <c r="C3881" s="15" t="s">
        <v>56</v>
      </c>
      <c r="D3881" s="15" t="s">
        <v>42</v>
      </c>
      <c r="E3881" s="15" t="s">
        <v>37</v>
      </c>
      <c r="F3881" s="15" t="s">
        <v>17</v>
      </c>
      <c r="G3881" s="15" t="s">
        <v>31</v>
      </c>
      <c r="H3881" s="15" t="n">
        <v>4</v>
      </c>
      <c r="I3881" s="17" t="n">
        <v>0</v>
      </c>
      <c r="J3881" s="18" t="n">
        <v>470.99</v>
      </c>
      <c r="K3881" s="19" t="n">
        <v>107.41</v>
      </c>
      <c r="L3881" s="15" t="n">
        <f aca="false">YEAR(B3881)</f>
        <v>2025</v>
      </c>
      <c r="M3881" s="20" t="n">
        <f aca="false">IF(J3881&gt;0,K3881/J3881,0)</f>
        <v>0.228051550988344</v>
      </c>
    </row>
    <row r="3882" customFormat="false" ht="15" hidden="false" customHeight="false" outlineLevel="0" collapsed="false">
      <c r="A3882" s="15" t="s">
        <v>3939</v>
      </c>
      <c r="B3882" s="16" t="n">
        <v>45646</v>
      </c>
      <c r="C3882" s="15" t="s">
        <v>71</v>
      </c>
      <c r="D3882" s="15" t="s">
        <v>42</v>
      </c>
      <c r="E3882" s="15" t="s">
        <v>39</v>
      </c>
      <c r="F3882" s="15" t="s">
        <v>17</v>
      </c>
      <c r="G3882" s="15" t="s">
        <v>26</v>
      </c>
      <c r="H3882" s="15" t="n">
        <v>6</v>
      </c>
      <c r="I3882" s="17" t="n">
        <v>0.05</v>
      </c>
      <c r="J3882" s="18" t="n">
        <v>492.82</v>
      </c>
      <c r="K3882" s="19" t="n">
        <v>25.17</v>
      </c>
      <c r="L3882" s="15" t="n">
        <f aca="false">YEAR(B3882)</f>
        <v>2024</v>
      </c>
      <c r="M3882" s="20" t="n">
        <f aca="false">IF(J3882&gt;0,K3882/J3882,0)</f>
        <v>0.0510734142283187</v>
      </c>
    </row>
    <row r="3883" customFormat="false" ht="15" hidden="false" customHeight="false" outlineLevel="0" collapsed="false">
      <c r="A3883" s="15" t="s">
        <v>3940</v>
      </c>
      <c r="B3883" s="16" t="n">
        <v>45713</v>
      </c>
      <c r="C3883" s="15" t="s">
        <v>68</v>
      </c>
      <c r="D3883" s="15" t="s">
        <v>42</v>
      </c>
      <c r="E3883" s="15" t="s">
        <v>39</v>
      </c>
      <c r="F3883" s="15" t="s">
        <v>17</v>
      </c>
      <c r="G3883" s="15" t="s">
        <v>29</v>
      </c>
      <c r="H3883" s="15" t="n">
        <v>2</v>
      </c>
      <c r="I3883" s="17" t="n">
        <v>0.1</v>
      </c>
      <c r="J3883" s="18" t="n">
        <v>34.77</v>
      </c>
      <c r="K3883" s="19" t="n">
        <v>12.09</v>
      </c>
      <c r="L3883" s="15" t="n">
        <f aca="false">YEAR(B3883)</f>
        <v>2025</v>
      </c>
      <c r="M3883" s="20" t="n">
        <f aca="false">IF(J3883&gt;0,K3883/J3883,0)</f>
        <v>0.347713546160483</v>
      </c>
    </row>
    <row r="3884" customFormat="false" ht="15" hidden="false" customHeight="false" outlineLevel="0" collapsed="false">
      <c r="A3884" s="15" t="s">
        <v>3941</v>
      </c>
      <c r="B3884" s="16" t="n">
        <v>45745</v>
      </c>
      <c r="C3884" s="15" t="s">
        <v>71</v>
      </c>
      <c r="D3884" s="15" t="s">
        <v>42</v>
      </c>
      <c r="E3884" s="15" t="s">
        <v>36</v>
      </c>
      <c r="F3884" s="15" t="s">
        <v>18</v>
      </c>
      <c r="G3884" s="15" t="s">
        <v>30</v>
      </c>
      <c r="H3884" s="15" t="n">
        <v>7</v>
      </c>
      <c r="I3884" s="17" t="n">
        <v>0.2</v>
      </c>
      <c r="J3884" s="18" t="n">
        <v>189.41</v>
      </c>
      <c r="K3884" s="19" t="n">
        <v>16.74</v>
      </c>
      <c r="L3884" s="15" t="n">
        <f aca="false">YEAR(B3884)</f>
        <v>2025</v>
      </c>
      <c r="M3884" s="20" t="n">
        <f aca="false">IF(J3884&gt;0,K3884/J3884,0)</f>
        <v>0.088379705400982</v>
      </c>
    </row>
    <row r="3885" customFormat="false" ht="15" hidden="false" customHeight="false" outlineLevel="0" collapsed="false">
      <c r="A3885" s="15" t="s">
        <v>3942</v>
      </c>
      <c r="B3885" s="16" t="n">
        <v>45778</v>
      </c>
      <c r="C3885" s="15" t="s">
        <v>68</v>
      </c>
      <c r="D3885" s="15" t="s">
        <v>43</v>
      </c>
      <c r="E3885" s="15" t="s">
        <v>39</v>
      </c>
      <c r="F3885" s="15" t="s">
        <v>17</v>
      </c>
      <c r="G3885" s="15" t="s">
        <v>26</v>
      </c>
      <c r="H3885" s="15" t="n">
        <v>4</v>
      </c>
      <c r="I3885" s="17" t="n">
        <v>0</v>
      </c>
      <c r="J3885" s="18" t="n">
        <v>424.62</v>
      </c>
      <c r="K3885" s="19" t="n">
        <v>86.34</v>
      </c>
      <c r="L3885" s="15" t="n">
        <f aca="false">YEAR(B3885)</f>
        <v>2025</v>
      </c>
      <c r="M3885" s="20" t="n">
        <f aca="false">IF(J3885&gt;0,K3885/J3885,0)</f>
        <v>0.203334746361453</v>
      </c>
    </row>
    <row r="3886" customFormat="false" ht="15" hidden="false" customHeight="false" outlineLevel="0" collapsed="false">
      <c r="A3886" s="15" t="s">
        <v>3943</v>
      </c>
      <c r="B3886" s="16" t="n">
        <v>45325</v>
      </c>
      <c r="C3886" s="15" t="s">
        <v>56</v>
      </c>
      <c r="D3886" s="15" t="s">
        <v>42</v>
      </c>
      <c r="E3886" s="15" t="s">
        <v>39</v>
      </c>
      <c r="F3886" s="15" t="s">
        <v>16</v>
      </c>
      <c r="G3886" s="15" t="s">
        <v>27</v>
      </c>
      <c r="H3886" s="15" t="n">
        <v>6</v>
      </c>
      <c r="I3886" s="17" t="n">
        <v>0.3</v>
      </c>
      <c r="J3886" s="18" t="n">
        <v>270.48</v>
      </c>
      <c r="K3886" s="19" t="n">
        <v>-19.73</v>
      </c>
      <c r="L3886" s="15" t="n">
        <f aca="false">YEAR(B3886)</f>
        <v>2024</v>
      </c>
      <c r="M3886" s="20" t="n">
        <f aca="false">IF(J3886&gt;0,K3886/J3886,0)</f>
        <v>-0.0729443951493641</v>
      </c>
    </row>
    <row r="3887" customFormat="false" ht="15" hidden="false" customHeight="false" outlineLevel="0" collapsed="false">
      <c r="A3887" s="15" t="s">
        <v>3944</v>
      </c>
      <c r="B3887" s="16" t="n">
        <v>45479</v>
      </c>
      <c r="C3887" s="15" t="s">
        <v>56</v>
      </c>
      <c r="D3887" s="15" t="s">
        <v>43</v>
      </c>
      <c r="E3887" s="15" t="s">
        <v>36</v>
      </c>
      <c r="F3887" s="15" t="s">
        <v>17</v>
      </c>
      <c r="G3887" s="15" t="s">
        <v>29</v>
      </c>
      <c r="H3887" s="15" t="n">
        <v>4</v>
      </c>
      <c r="I3887" s="17" t="n">
        <v>0</v>
      </c>
      <c r="J3887" s="18" t="n">
        <v>57.96</v>
      </c>
      <c r="K3887" s="19" t="n">
        <v>27.07</v>
      </c>
      <c r="L3887" s="15" t="n">
        <f aca="false">YEAR(B3887)</f>
        <v>2024</v>
      </c>
      <c r="M3887" s="20" t="n">
        <f aca="false">IF(J3887&gt;0,K3887/J3887,0)</f>
        <v>0.467046238785369</v>
      </c>
    </row>
    <row r="3888" customFormat="false" ht="15" hidden="false" customHeight="false" outlineLevel="0" collapsed="false">
      <c r="A3888" s="15" t="s">
        <v>3945</v>
      </c>
      <c r="B3888" s="16" t="n">
        <v>44711</v>
      </c>
      <c r="C3888" s="15" t="s">
        <v>56</v>
      </c>
      <c r="D3888" s="15" t="s">
        <v>42</v>
      </c>
      <c r="E3888" s="15" t="s">
        <v>38</v>
      </c>
      <c r="F3888" s="15" t="s">
        <v>18</v>
      </c>
      <c r="G3888" s="15" t="s">
        <v>24</v>
      </c>
      <c r="H3888" s="15" t="n">
        <v>3</v>
      </c>
      <c r="I3888" s="17" t="n">
        <v>0.1</v>
      </c>
      <c r="J3888" s="18" t="n">
        <v>1461.16</v>
      </c>
      <c r="K3888" s="19" t="n">
        <v>-45.64</v>
      </c>
      <c r="L3888" s="15" t="n">
        <f aca="false">YEAR(B3888)</f>
        <v>2022</v>
      </c>
      <c r="M3888" s="20" t="n">
        <f aca="false">IF(J3888&gt;0,K3888/J3888,0)</f>
        <v>-0.0312354567603822</v>
      </c>
    </row>
    <row r="3889" customFormat="false" ht="15" hidden="false" customHeight="false" outlineLevel="0" collapsed="false">
      <c r="A3889" s="15" t="s">
        <v>3946</v>
      </c>
      <c r="B3889" s="16" t="n">
        <v>45388</v>
      </c>
      <c r="C3889" s="15" t="s">
        <v>71</v>
      </c>
      <c r="D3889" s="15" t="s">
        <v>42</v>
      </c>
      <c r="E3889" s="15" t="s">
        <v>38</v>
      </c>
      <c r="F3889" s="15" t="s">
        <v>16</v>
      </c>
      <c r="G3889" s="15" t="s">
        <v>25</v>
      </c>
      <c r="H3889" s="15" t="n">
        <v>5</v>
      </c>
      <c r="I3889" s="17" t="n">
        <v>0.2</v>
      </c>
      <c r="J3889" s="18" t="n">
        <v>906.71</v>
      </c>
      <c r="K3889" s="19" t="n">
        <v>-56.16</v>
      </c>
      <c r="L3889" s="15" t="n">
        <f aca="false">YEAR(B3889)</f>
        <v>2024</v>
      </c>
      <c r="M3889" s="20" t="n">
        <f aca="false">IF(J3889&gt;0,K3889/J3889,0)</f>
        <v>-0.0619382161881969</v>
      </c>
    </row>
    <row r="3890" customFormat="false" ht="15" hidden="false" customHeight="false" outlineLevel="0" collapsed="false">
      <c r="A3890" s="15" t="s">
        <v>3947</v>
      </c>
      <c r="B3890" s="16" t="n">
        <v>45452</v>
      </c>
      <c r="C3890" s="15" t="s">
        <v>68</v>
      </c>
      <c r="D3890" s="15" t="s">
        <v>42</v>
      </c>
      <c r="E3890" s="15" t="s">
        <v>37</v>
      </c>
      <c r="F3890" s="15" t="s">
        <v>17</v>
      </c>
      <c r="G3890" s="15" t="s">
        <v>28</v>
      </c>
      <c r="H3890" s="15" t="n">
        <v>4</v>
      </c>
      <c r="I3890" s="17" t="n">
        <v>0.1</v>
      </c>
      <c r="J3890" s="18" t="n">
        <v>100.17</v>
      </c>
      <c r="K3890" s="19" t="n">
        <v>27.07</v>
      </c>
      <c r="L3890" s="15" t="n">
        <f aca="false">YEAR(B3890)</f>
        <v>2024</v>
      </c>
      <c r="M3890" s="20" t="n">
        <f aca="false">IF(J3890&gt;0,K3890/J3890,0)</f>
        <v>0.270240590995308</v>
      </c>
    </row>
    <row r="3891" customFormat="false" ht="15" hidden="false" customHeight="false" outlineLevel="0" collapsed="false">
      <c r="A3891" s="15" t="s">
        <v>3948</v>
      </c>
      <c r="B3891" s="16" t="n">
        <v>45435</v>
      </c>
      <c r="C3891" s="15" t="s">
        <v>71</v>
      </c>
      <c r="D3891" s="15" t="s">
        <v>43</v>
      </c>
      <c r="E3891" s="15" t="s">
        <v>37</v>
      </c>
      <c r="F3891" s="15" t="s">
        <v>16</v>
      </c>
      <c r="G3891" s="15" t="s">
        <v>27</v>
      </c>
      <c r="H3891" s="15" t="n">
        <v>3</v>
      </c>
      <c r="I3891" s="17" t="n">
        <v>0</v>
      </c>
      <c r="J3891" s="18" t="n">
        <v>187.12</v>
      </c>
      <c r="K3891" s="19" t="n">
        <v>41.56</v>
      </c>
      <c r="L3891" s="15" t="n">
        <f aca="false">YEAR(B3891)</f>
        <v>2024</v>
      </c>
      <c r="M3891" s="20" t="n">
        <f aca="false">IF(J3891&gt;0,K3891/J3891,0)</f>
        <v>0.222103463018384</v>
      </c>
    </row>
    <row r="3892" customFormat="false" ht="15" hidden="false" customHeight="false" outlineLevel="0" collapsed="false">
      <c r="A3892" s="15" t="s">
        <v>3949</v>
      </c>
      <c r="B3892" s="16" t="n">
        <v>45552</v>
      </c>
      <c r="C3892" s="15" t="s">
        <v>56</v>
      </c>
      <c r="D3892" s="15" t="s">
        <v>43</v>
      </c>
      <c r="E3892" s="15" t="s">
        <v>39</v>
      </c>
      <c r="F3892" s="15" t="s">
        <v>18</v>
      </c>
      <c r="G3892" s="15" t="s">
        <v>32</v>
      </c>
      <c r="H3892" s="15" t="n">
        <v>5</v>
      </c>
      <c r="I3892" s="17" t="n">
        <v>0.1</v>
      </c>
      <c r="J3892" s="18" t="n">
        <v>2134.45</v>
      </c>
      <c r="K3892" s="19" t="n">
        <v>149.74</v>
      </c>
      <c r="L3892" s="15" t="n">
        <f aca="false">YEAR(B3892)</f>
        <v>2024</v>
      </c>
      <c r="M3892" s="20" t="n">
        <f aca="false">IF(J3892&gt;0,K3892/J3892,0)</f>
        <v>0.0701539038159713</v>
      </c>
    </row>
    <row r="3893" customFormat="false" ht="15" hidden="false" customHeight="false" outlineLevel="0" collapsed="false">
      <c r="A3893" s="15" t="s">
        <v>3950</v>
      </c>
      <c r="B3893" s="16" t="n">
        <v>45232</v>
      </c>
      <c r="C3893" s="15" t="s">
        <v>56</v>
      </c>
      <c r="D3893" s="15" t="s">
        <v>43</v>
      </c>
      <c r="E3893" s="15" t="s">
        <v>38</v>
      </c>
      <c r="F3893" s="15" t="s">
        <v>17</v>
      </c>
      <c r="G3893" s="15" t="s">
        <v>31</v>
      </c>
      <c r="H3893" s="15" t="n">
        <v>7</v>
      </c>
      <c r="I3893" s="17" t="n">
        <v>0.1</v>
      </c>
      <c r="J3893" s="18" t="n">
        <v>851.92</v>
      </c>
      <c r="K3893" s="19" t="n">
        <v>132.19</v>
      </c>
      <c r="L3893" s="15" t="n">
        <f aca="false">YEAR(B3893)</f>
        <v>2023</v>
      </c>
      <c r="M3893" s="20" t="n">
        <f aca="false">IF(J3893&gt;0,K3893/J3893,0)</f>
        <v>0.155167151845244</v>
      </c>
    </row>
    <row r="3894" customFormat="false" ht="15" hidden="false" customHeight="false" outlineLevel="0" collapsed="false">
      <c r="A3894" s="15" t="s">
        <v>3951</v>
      </c>
      <c r="B3894" s="16" t="n">
        <v>45684</v>
      </c>
      <c r="C3894" s="15" t="s">
        <v>56</v>
      </c>
      <c r="D3894" s="15" t="s">
        <v>43</v>
      </c>
      <c r="E3894" s="15" t="s">
        <v>38</v>
      </c>
      <c r="F3894" s="15" t="s">
        <v>17</v>
      </c>
      <c r="G3894" s="15" t="s">
        <v>29</v>
      </c>
      <c r="H3894" s="15" t="n">
        <v>4</v>
      </c>
      <c r="I3894" s="17" t="n">
        <v>0.15</v>
      </c>
      <c r="J3894" s="18" t="n">
        <v>64.45</v>
      </c>
      <c r="K3894" s="19" t="n">
        <v>17.9</v>
      </c>
      <c r="L3894" s="15" t="n">
        <f aca="false">YEAR(B3894)</f>
        <v>2025</v>
      </c>
      <c r="M3894" s="20" t="n">
        <f aca="false">IF(J3894&gt;0,K3894/J3894,0)</f>
        <v>0.277734678044996</v>
      </c>
    </row>
    <row r="3895" customFormat="false" ht="15" hidden="false" customHeight="false" outlineLevel="0" collapsed="false">
      <c r="A3895" s="15" t="s">
        <v>3952</v>
      </c>
      <c r="B3895" s="16" t="n">
        <v>44915</v>
      </c>
      <c r="C3895" s="15" t="s">
        <v>68</v>
      </c>
      <c r="D3895" s="15" t="s">
        <v>44</v>
      </c>
      <c r="E3895" s="15" t="s">
        <v>39</v>
      </c>
      <c r="F3895" s="15" t="s">
        <v>16</v>
      </c>
      <c r="G3895" s="15" t="s">
        <v>27</v>
      </c>
      <c r="H3895" s="15" t="n">
        <v>5</v>
      </c>
      <c r="I3895" s="17" t="n">
        <v>0.15</v>
      </c>
      <c r="J3895" s="18" t="n">
        <v>229.2</v>
      </c>
      <c r="K3895" s="19" t="n">
        <v>16.27</v>
      </c>
      <c r="L3895" s="15" t="n">
        <f aca="false">YEAR(B3895)</f>
        <v>2022</v>
      </c>
      <c r="M3895" s="20" t="n">
        <f aca="false">IF(J3895&gt;0,K3895/J3895,0)</f>
        <v>0.0709860383944154</v>
      </c>
    </row>
    <row r="3896" customFormat="false" ht="15" hidden="false" customHeight="false" outlineLevel="0" collapsed="false">
      <c r="A3896" s="15" t="s">
        <v>3953</v>
      </c>
      <c r="B3896" s="16" t="n">
        <v>44741</v>
      </c>
      <c r="C3896" s="15" t="s">
        <v>56</v>
      </c>
      <c r="D3896" s="15" t="s">
        <v>42</v>
      </c>
      <c r="E3896" s="15" t="s">
        <v>38</v>
      </c>
      <c r="F3896" s="15" t="s">
        <v>17</v>
      </c>
      <c r="G3896" s="15" t="s">
        <v>31</v>
      </c>
      <c r="H3896" s="15" t="n">
        <v>6</v>
      </c>
      <c r="I3896" s="17" t="n">
        <v>0.2</v>
      </c>
      <c r="J3896" s="18" t="n">
        <v>522.89</v>
      </c>
      <c r="K3896" s="19" t="n">
        <v>13.23</v>
      </c>
      <c r="L3896" s="15" t="n">
        <f aca="false">YEAR(B3896)</f>
        <v>2022</v>
      </c>
      <c r="M3896" s="20" t="n">
        <f aca="false">IF(J3896&gt;0,K3896/J3896,0)</f>
        <v>0.0253016886916942</v>
      </c>
    </row>
    <row r="3897" customFormat="false" ht="15" hidden="false" customHeight="false" outlineLevel="0" collapsed="false">
      <c r="A3897" s="15" t="s">
        <v>3954</v>
      </c>
      <c r="B3897" s="16" t="n">
        <v>45851</v>
      </c>
      <c r="C3897" s="15" t="s">
        <v>71</v>
      </c>
      <c r="D3897" s="15" t="s">
        <v>44</v>
      </c>
      <c r="E3897" s="15" t="s">
        <v>36</v>
      </c>
      <c r="F3897" s="15" t="s">
        <v>18</v>
      </c>
      <c r="G3897" s="15" t="s">
        <v>33</v>
      </c>
      <c r="H3897" s="15" t="n">
        <v>6</v>
      </c>
      <c r="I3897" s="17" t="n">
        <v>0</v>
      </c>
      <c r="J3897" s="18" t="n">
        <v>4800.75</v>
      </c>
      <c r="K3897" s="19" t="n">
        <v>1452.09</v>
      </c>
      <c r="L3897" s="15" t="n">
        <f aca="false">YEAR(B3897)</f>
        <v>2025</v>
      </c>
      <c r="M3897" s="20" t="n">
        <f aca="false">IF(J3897&gt;0,K3897/J3897,0)</f>
        <v>0.30247148882987</v>
      </c>
    </row>
    <row r="3898" customFormat="false" ht="15" hidden="false" customHeight="false" outlineLevel="0" collapsed="false">
      <c r="A3898" s="15" t="s">
        <v>3955</v>
      </c>
      <c r="B3898" s="16" t="n">
        <v>45383</v>
      </c>
      <c r="C3898" s="15" t="s">
        <v>56</v>
      </c>
      <c r="D3898" s="15" t="s">
        <v>43</v>
      </c>
      <c r="E3898" s="15" t="s">
        <v>39</v>
      </c>
      <c r="F3898" s="15" t="s">
        <v>16</v>
      </c>
      <c r="G3898" s="15" t="s">
        <v>22</v>
      </c>
      <c r="H3898" s="15" t="n">
        <v>4</v>
      </c>
      <c r="I3898" s="17" t="n">
        <v>0</v>
      </c>
      <c r="J3898" s="18" t="n">
        <v>2625.82</v>
      </c>
      <c r="K3898" s="19" t="n">
        <v>23.37</v>
      </c>
      <c r="L3898" s="15" t="n">
        <f aca="false">YEAR(B3898)</f>
        <v>2024</v>
      </c>
      <c r="M3898" s="20" t="n">
        <f aca="false">IF(J3898&gt;0,K3898/J3898,0)</f>
        <v>0.00890007692835</v>
      </c>
    </row>
    <row r="3899" customFormat="false" ht="15" hidden="false" customHeight="false" outlineLevel="0" collapsed="false">
      <c r="A3899" s="15" t="s">
        <v>3956</v>
      </c>
      <c r="B3899" s="16" t="n">
        <v>45285</v>
      </c>
      <c r="C3899" s="15" t="s">
        <v>56</v>
      </c>
      <c r="D3899" s="15" t="s">
        <v>42</v>
      </c>
      <c r="E3899" s="15" t="s">
        <v>37</v>
      </c>
      <c r="F3899" s="15" t="s">
        <v>17</v>
      </c>
      <c r="G3899" s="15" t="s">
        <v>28</v>
      </c>
      <c r="H3899" s="15" t="n">
        <v>2</v>
      </c>
      <c r="I3899" s="17" t="n">
        <v>0.5</v>
      </c>
      <c r="J3899" s="18" t="n">
        <v>29.92</v>
      </c>
      <c r="K3899" s="19" t="n">
        <v>-5.07</v>
      </c>
      <c r="L3899" s="15" t="n">
        <f aca="false">YEAR(B3899)</f>
        <v>2023</v>
      </c>
      <c r="M3899" s="20" t="n">
        <f aca="false">IF(J3899&gt;0,K3899/J3899,0)</f>
        <v>-0.169451871657754</v>
      </c>
    </row>
    <row r="3900" customFormat="false" ht="15" hidden="false" customHeight="false" outlineLevel="0" collapsed="false">
      <c r="A3900" s="15" t="s">
        <v>3957</v>
      </c>
      <c r="B3900" s="16" t="n">
        <v>45635</v>
      </c>
      <c r="C3900" s="15" t="s">
        <v>68</v>
      </c>
      <c r="D3900" s="15" t="s">
        <v>42</v>
      </c>
      <c r="E3900" s="15" t="s">
        <v>39</v>
      </c>
      <c r="F3900" s="15" t="s">
        <v>18</v>
      </c>
      <c r="G3900" s="15" t="s">
        <v>32</v>
      </c>
      <c r="H3900" s="15" t="n">
        <v>5</v>
      </c>
      <c r="I3900" s="17" t="n">
        <v>0</v>
      </c>
      <c r="J3900" s="18" t="n">
        <v>2128.6</v>
      </c>
      <c r="K3900" s="19" t="n">
        <v>333.48</v>
      </c>
      <c r="L3900" s="15" t="n">
        <f aca="false">YEAR(B3900)</f>
        <v>2024</v>
      </c>
      <c r="M3900" s="20" t="n">
        <f aca="false">IF(J3900&gt;0,K3900/J3900,0)</f>
        <v>0.156666353471766</v>
      </c>
    </row>
    <row r="3901" customFormat="false" ht="15" hidden="false" customHeight="false" outlineLevel="0" collapsed="false">
      <c r="A3901" s="15" t="s">
        <v>3958</v>
      </c>
      <c r="B3901" s="16" t="n">
        <v>45139</v>
      </c>
      <c r="C3901" s="15" t="s">
        <v>56</v>
      </c>
      <c r="D3901" s="15" t="s">
        <v>42</v>
      </c>
      <c r="E3901" s="15" t="s">
        <v>39</v>
      </c>
      <c r="F3901" s="15" t="s">
        <v>17</v>
      </c>
      <c r="G3901" s="15" t="s">
        <v>26</v>
      </c>
      <c r="H3901" s="15" t="n">
        <v>2</v>
      </c>
      <c r="I3901" s="17" t="n">
        <v>0</v>
      </c>
      <c r="J3901" s="18" t="n">
        <v>191.33</v>
      </c>
      <c r="K3901" s="19" t="n">
        <v>35.48</v>
      </c>
      <c r="L3901" s="15" t="n">
        <f aca="false">YEAR(B3901)</f>
        <v>2023</v>
      </c>
      <c r="M3901" s="20" t="n">
        <f aca="false">IF(J3901&gt;0,K3901/J3901,0)</f>
        <v>0.185438770710291</v>
      </c>
    </row>
    <row r="3902" customFormat="false" ht="15" hidden="false" customHeight="false" outlineLevel="0" collapsed="false">
      <c r="A3902" s="15" t="s">
        <v>3959</v>
      </c>
      <c r="B3902" s="16" t="n">
        <v>45644</v>
      </c>
      <c r="C3902" s="15" t="s">
        <v>56</v>
      </c>
      <c r="D3902" s="15" t="s">
        <v>43</v>
      </c>
      <c r="E3902" s="15" t="s">
        <v>37</v>
      </c>
      <c r="F3902" s="15" t="s">
        <v>17</v>
      </c>
      <c r="G3902" s="15" t="s">
        <v>29</v>
      </c>
      <c r="H3902" s="15" t="n">
        <v>3</v>
      </c>
      <c r="I3902" s="17" t="n">
        <v>0</v>
      </c>
      <c r="J3902" s="18" t="n">
        <v>65.18</v>
      </c>
      <c r="K3902" s="19" t="n">
        <v>30.42</v>
      </c>
      <c r="L3902" s="15" t="n">
        <f aca="false">YEAR(B3902)</f>
        <v>2024</v>
      </c>
      <c r="M3902" s="20" t="n">
        <f aca="false">IF(J3902&gt;0,K3902/J3902,0)</f>
        <v>0.466707579011967</v>
      </c>
    </row>
    <row r="3903" customFormat="false" ht="15" hidden="false" customHeight="false" outlineLevel="0" collapsed="false">
      <c r="A3903" s="15" t="s">
        <v>3960</v>
      </c>
      <c r="B3903" s="16" t="n">
        <v>45091</v>
      </c>
      <c r="C3903" s="15" t="s">
        <v>56</v>
      </c>
      <c r="D3903" s="15" t="s">
        <v>42</v>
      </c>
      <c r="E3903" s="15" t="s">
        <v>37</v>
      </c>
      <c r="F3903" s="15" t="s">
        <v>16</v>
      </c>
      <c r="G3903" s="15" t="s">
        <v>22</v>
      </c>
      <c r="H3903" s="15" t="n">
        <v>2</v>
      </c>
      <c r="I3903" s="17" t="n">
        <v>0.2</v>
      </c>
      <c r="J3903" s="18" t="n">
        <v>888.25</v>
      </c>
      <c r="K3903" s="19" t="n">
        <v>-196.83</v>
      </c>
      <c r="L3903" s="15" t="n">
        <f aca="false">YEAR(B3903)</f>
        <v>2023</v>
      </c>
      <c r="M3903" s="20" t="n">
        <f aca="false">IF(J3903&gt;0,K3903/J3903,0)</f>
        <v>-0.221593019983113</v>
      </c>
    </row>
    <row r="3904" customFormat="false" ht="15" hidden="false" customHeight="false" outlineLevel="0" collapsed="false">
      <c r="A3904" s="15" t="s">
        <v>3961</v>
      </c>
      <c r="B3904" s="16" t="n">
        <v>45543</v>
      </c>
      <c r="C3904" s="15" t="s">
        <v>68</v>
      </c>
      <c r="D3904" s="15" t="s">
        <v>43</v>
      </c>
      <c r="E3904" s="15" t="s">
        <v>36</v>
      </c>
      <c r="F3904" s="15" t="s">
        <v>18</v>
      </c>
      <c r="G3904" s="15" t="s">
        <v>32</v>
      </c>
      <c r="H3904" s="15" t="n">
        <v>2</v>
      </c>
      <c r="I3904" s="17" t="n">
        <v>0.4</v>
      </c>
      <c r="J3904" s="18" t="n">
        <v>510.32</v>
      </c>
      <c r="K3904" s="19" t="n">
        <v>-77.76</v>
      </c>
      <c r="L3904" s="15" t="n">
        <f aca="false">YEAR(B3904)</f>
        <v>2024</v>
      </c>
      <c r="M3904" s="20" t="n">
        <f aca="false">IF(J3904&gt;0,K3904/J3904,0)</f>
        <v>-0.152374980404452</v>
      </c>
    </row>
    <row r="3905" customFormat="false" ht="15" hidden="false" customHeight="false" outlineLevel="0" collapsed="false">
      <c r="A3905" s="15" t="s">
        <v>3962</v>
      </c>
      <c r="B3905" s="16" t="n">
        <v>45624</v>
      </c>
      <c r="C3905" s="15" t="s">
        <v>71</v>
      </c>
      <c r="D3905" s="15" t="s">
        <v>42</v>
      </c>
      <c r="E3905" s="15" t="s">
        <v>37</v>
      </c>
      <c r="F3905" s="15" t="s">
        <v>18</v>
      </c>
      <c r="G3905" s="15" t="s">
        <v>30</v>
      </c>
      <c r="H3905" s="15" t="n">
        <v>3</v>
      </c>
      <c r="I3905" s="17" t="n">
        <v>0.3</v>
      </c>
      <c r="J3905" s="18" t="n">
        <v>97.21</v>
      </c>
      <c r="K3905" s="19" t="n">
        <v>3.99</v>
      </c>
      <c r="L3905" s="15" t="n">
        <f aca="false">YEAR(B3905)</f>
        <v>2024</v>
      </c>
      <c r="M3905" s="20" t="n">
        <f aca="false">IF(J3905&gt;0,K3905/J3905,0)</f>
        <v>0.0410451599629668</v>
      </c>
    </row>
    <row r="3906" customFormat="false" ht="15" hidden="false" customHeight="false" outlineLevel="0" collapsed="false">
      <c r="A3906" s="15" t="s">
        <v>3963</v>
      </c>
      <c r="B3906" s="16" t="n">
        <v>45855</v>
      </c>
      <c r="C3906" s="15" t="s">
        <v>56</v>
      </c>
      <c r="D3906" s="15" t="s">
        <v>42</v>
      </c>
      <c r="E3906" s="15" t="s">
        <v>36</v>
      </c>
      <c r="F3906" s="15" t="s">
        <v>17</v>
      </c>
      <c r="G3906" s="15" t="s">
        <v>29</v>
      </c>
      <c r="H3906" s="15" t="n">
        <v>4</v>
      </c>
      <c r="I3906" s="17" t="n">
        <v>0.15</v>
      </c>
      <c r="J3906" s="18" t="n">
        <v>64.6</v>
      </c>
      <c r="K3906" s="19" t="n">
        <v>17.65</v>
      </c>
      <c r="L3906" s="15" t="n">
        <f aca="false">YEAR(B3906)</f>
        <v>2025</v>
      </c>
      <c r="M3906" s="20" t="n">
        <f aca="false">IF(J3906&gt;0,K3906/J3906,0)</f>
        <v>0.273219814241486</v>
      </c>
    </row>
    <row r="3907" customFormat="false" ht="15" hidden="false" customHeight="false" outlineLevel="0" collapsed="false">
      <c r="A3907" s="15" t="s">
        <v>3964</v>
      </c>
      <c r="B3907" s="16" t="n">
        <v>45172</v>
      </c>
      <c r="C3907" s="15" t="s">
        <v>56</v>
      </c>
      <c r="D3907" s="15" t="s">
        <v>43</v>
      </c>
      <c r="E3907" s="15" t="s">
        <v>36</v>
      </c>
      <c r="F3907" s="15" t="s">
        <v>18</v>
      </c>
      <c r="G3907" s="15" t="s">
        <v>30</v>
      </c>
      <c r="H3907" s="15" t="n">
        <v>3</v>
      </c>
      <c r="I3907" s="17" t="n">
        <v>0.1</v>
      </c>
      <c r="J3907" s="18" t="n">
        <v>102.33</v>
      </c>
      <c r="K3907" s="19" t="n">
        <v>18.7</v>
      </c>
      <c r="L3907" s="15" t="n">
        <f aca="false">YEAR(B3907)</f>
        <v>2023</v>
      </c>
      <c r="M3907" s="20" t="n">
        <f aca="false">IF(J3907&gt;0,K3907/J3907,0)</f>
        <v>0.182742108863481</v>
      </c>
    </row>
    <row r="3908" customFormat="false" ht="15" hidden="false" customHeight="false" outlineLevel="0" collapsed="false">
      <c r="A3908" s="15" t="s">
        <v>3965</v>
      </c>
      <c r="B3908" s="16" t="n">
        <v>45204</v>
      </c>
      <c r="C3908" s="15" t="s">
        <v>56</v>
      </c>
      <c r="D3908" s="15" t="s">
        <v>43</v>
      </c>
      <c r="E3908" s="15" t="s">
        <v>38</v>
      </c>
      <c r="F3908" s="15" t="s">
        <v>16</v>
      </c>
      <c r="G3908" s="15" t="s">
        <v>27</v>
      </c>
      <c r="H3908" s="15" t="n">
        <v>3</v>
      </c>
      <c r="I3908" s="17" t="n">
        <v>0</v>
      </c>
      <c r="J3908" s="18" t="n">
        <v>201.93</v>
      </c>
      <c r="K3908" s="19" t="n">
        <v>32.68</v>
      </c>
      <c r="L3908" s="15" t="n">
        <f aca="false">YEAR(B3908)</f>
        <v>2023</v>
      </c>
      <c r="M3908" s="20" t="n">
        <f aca="false">IF(J3908&gt;0,K3908/J3908,0)</f>
        <v>0.16183826078344</v>
      </c>
    </row>
    <row r="3909" customFormat="false" ht="15" hidden="false" customHeight="false" outlineLevel="0" collapsed="false">
      <c r="A3909" s="15" t="s">
        <v>3966</v>
      </c>
      <c r="B3909" s="16" t="n">
        <v>45000</v>
      </c>
      <c r="C3909" s="15" t="s">
        <v>68</v>
      </c>
      <c r="D3909" s="15" t="s">
        <v>43</v>
      </c>
      <c r="E3909" s="15" t="s">
        <v>36</v>
      </c>
      <c r="F3909" s="15" t="s">
        <v>18</v>
      </c>
      <c r="G3909" s="15" t="s">
        <v>33</v>
      </c>
      <c r="H3909" s="15" t="n">
        <v>3</v>
      </c>
      <c r="I3909" s="17" t="n">
        <v>0</v>
      </c>
      <c r="J3909" s="18" t="n">
        <v>2620.22</v>
      </c>
      <c r="K3909" s="19" t="n">
        <v>839.29</v>
      </c>
      <c r="L3909" s="15" t="n">
        <f aca="false">YEAR(B3909)</f>
        <v>2023</v>
      </c>
      <c r="M3909" s="20" t="n">
        <f aca="false">IF(J3909&gt;0,K3909/J3909,0)</f>
        <v>0.320312798161986</v>
      </c>
    </row>
    <row r="3910" customFormat="false" ht="15" hidden="false" customHeight="false" outlineLevel="0" collapsed="false">
      <c r="A3910" s="15" t="s">
        <v>3967</v>
      </c>
      <c r="B3910" s="16" t="n">
        <v>44860</v>
      </c>
      <c r="C3910" s="15" t="s">
        <v>56</v>
      </c>
      <c r="D3910" s="15" t="s">
        <v>42</v>
      </c>
      <c r="E3910" s="15" t="s">
        <v>36</v>
      </c>
      <c r="F3910" s="15" t="s">
        <v>16</v>
      </c>
      <c r="G3910" s="15" t="s">
        <v>27</v>
      </c>
      <c r="H3910" s="15" t="n">
        <v>4</v>
      </c>
      <c r="I3910" s="17" t="n">
        <v>0.3</v>
      </c>
      <c r="J3910" s="18" t="n">
        <v>173.53</v>
      </c>
      <c r="K3910" s="19" t="n">
        <v>-6.11</v>
      </c>
      <c r="L3910" s="15" t="n">
        <f aca="false">YEAR(B3910)</f>
        <v>2022</v>
      </c>
      <c r="M3910" s="20" t="n">
        <f aca="false">IF(J3910&gt;0,K3910/J3910,0)</f>
        <v>-0.0352100501354233</v>
      </c>
    </row>
    <row r="3911" customFormat="false" ht="15" hidden="false" customHeight="false" outlineLevel="0" collapsed="false">
      <c r="A3911" s="15" t="s">
        <v>3968</v>
      </c>
      <c r="B3911" s="16" t="n">
        <v>46013</v>
      </c>
      <c r="C3911" s="15" t="s">
        <v>56</v>
      </c>
      <c r="D3911" s="15" t="s">
        <v>42</v>
      </c>
      <c r="E3911" s="15" t="s">
        <v>37</v>
      </c>
      <c r="F3911" s="15" t="s">
        <v>17</v>
      </c>
      <c r="G3911" s="15" t="s">
        <v>26</v>
      </c>
      <c r="H3911" s="15" t="n">
        <v>4</v>
      </c>
      <c r="I3911" s="17" t="n">
        <v>0</v>
      </c>
      <c r="J3911" s="18" t="n">
        <v>372.99</v>
      </c>
      <c r="K3911" s="19" t="n">
        <v>40.18</v>
      </c>
      <c r="L3911" s="15" t="n">
        <f aca="false">YEAR(B3911)</f>
        <v>2025</v>
      </c>
      <c r="M3911" s="20" t="n">
        <f aca="false">IF(J3911&gt;0,K3911/J3911,0)</f>
        <v>0.107724067669375</v>
      </c>
    </row>
    <row r="3912" customFormat="false" ht="15" hidden="false" customHeight="false" outlineLevel="0" collapsed="false">
      <c r="A3912" s="15" t="s">
        <v>3969</v>
      </c>
      <c r="B3912" s="16" t="n">
        <v>45196</v>
      </c>
      <c r="C3912" s="15" t="s">
        <v>56</v>
      </c>
      <c r="D3912" s="15" t="s">
        <v>42</v>
      </c>
      <c r="E3912" s="15" t="s">
        <v>37</v>
      </c>
      <c r="F3912" s="15" t="s">
        <v>17</v>
      </c>
      <c r="G3912" s="15" t="s">
        <v>28</v>
      </c>
      <c r="H3912" s="15" t="n">
        <v>5</v>
      </c>
      <c r="I3912" s="17" t="n">
        <v>0.1</v>
      </c>
      <c r="J3912" s="18" t="n">
        <v>121.47</v>
      </c>
      <c r="K3912" s="19" t="n">
        <v>34.12</v>
      </c>
      <c r="L3912" s="15" t="n">
        <f aca="false">YEAR(B3912)</f>
        <v>2023</v>
      </c>
      <c r="M3912" s="20" t="n">
        <f aca="false">IF(J3912&gt;0,K3912/J3912,0)</f>
        <v>0.280892401415988</v>
      </c>
    </row>
    <row r="3913" customFormat="false" ht="15" hidden="false" customHeight="false" outlineLevel="0" collapsed="false">
      <c r="A3913" s="15" t="s">
        <v>3970</v>
      </c>
      <c r="B3913" s="16" t="n">
        <v>45989</v>
      </c>
      <c r="C3913" s="15" t="s">
        <v>56</v>
      </c>
      <c r="D3913" s="15" t="s">
        <v>43</v>
      </c>
      <c r="E3913" s="15" t="s">
        <v>38</v>
      </c>
      <c r="F3913" s="15" t="s">
        <v>18</v>
      </c>
      <c r="G3913" s="15" t="s">
        <v>33</v>
      </c>
      <c r="H3913" s="15" t="n">
        <v>5</v>
      </c>
      <c r="I3913" s="17" t="n">
        <v>0.05</v>
      </c>
      <c r="J3913" s="18" t="n">
        <v>4360.41</v>
      </c>
      <c r="K3913" s="19" t="n">
        <v>1000.92</v>
      </c>
      <c r="L3913" s="15" t="n">
        <f aca="false">YEAR(B3913)</f>
        <v>2025</v>
      </c>
      <c r="M3913" s="20" t="n">
        <f aca="false">IF(J3913&gt;0,K3913/J3913,0)</f>
        <v>0.229547221476879</v>
      </c>
    </row>
    <row r="3914" customFormat="false" ht="15" hidden="false" customHeight="false" outlineLevel="0" collapsed="false">
      <c r="A3914" s="15" t="s">
        <v>3971</v>
      </c>
      <c r="B3914" s="16" t="n">
        <v>45304</v>
      </c>
      <c r="C3914" s="15" t="s">
        <v>56</v>
      </c>
      <c r="D3914" s="15" t="s">
        <v>43</v>
      </c>
      <c r="E3914" s="15" t="s">
        <v>38</v>
      </c>
      <c r="F3914" s="15" t="s">
        <v>16</v>
      </c>
      <c r="G3914" s="15" t="s">
        <v>25</v>
      </c>
      <c r="H3914" s="15" t="n">
        <v>2</v>
      </c>
      <c r="I3914" s="17" t="n">
        <v>0.05</v>
      </c>
      <c r="J3914" s="18" t="n">
        <v>529.01</v>
      </c>
      <c r="K3914" s="19" t="n">
        <v>3.68</v>
      </c>
      <c r="L3914" s="15" t="n">
        <f aca="false">YEAR(B3914)</f>
        <v>2024</v>
      </c>
      <c r="M3914" s="20" t="n">
        <f aca="false">IF(J3914&gt;0,K3914/J3914,0)</f>
        <v>0.00695639023836979</v>
      </c>
    </row>
    <row r="3915" customFormat="false" ht="15" hidden="false" customHeight="false" outlineLevel="0" collapsed="false">
      <c r="A3915" s="15" t="s">
        <v>3972</v>
      </c>
      <c r="B3915" s="16" t="n">
        <v>45521</v>
      </c>
      <c r="C3915" s="15" t="s">
        <v>56</v>
      </c>
      <c r="D3915" s="15" t="s">
        <v>43</v>
      </c>
      <c r="E3915" s="15" t="s">
        <v>37</v>
      </c>
      <c r="F3915" s="15" t="s">
        <v>16</v>
      </c>
      <c r="G3915" s="15" t="s">
        <v>27</v>
      </c>
      <c r="H3915" s="15" t="n">
        <v>2</v>
      </c>
      <c r="I3915" s="17" t="n">
        <v>0.1</v>
      </c>
      <c r="J3915" s="18" t="n">
        <v>128.1</v>
      </c>
      <c r="K3915" s="19" t="n">
        <v>15.77</v>
      </c>
      <c r="L3915" s="15" t="n">
        <f aca="false">YEAR(B3915)</f>
        <v>2024</v>
      </c>
      <c r="M3915" s="20" t="n">
        <f aca="false">IF(J3915&gt;0,K3915/J3915,0)</f>
        <v>0.123106947697112</v>
      </c>
    </row>
    <row r="3916" customFormat="false" ht="15" hidden="false" customHeight="false" outlineLevel="0" collapsed="false">
      <c r="A3916" s="15" t="s">
        <v>3973</v>
      </c>
      <c r="B3916" s="16" t="n">
        <v>44790</v>
      </c>
      <c r="C3916" s="15" t="s">
        <v>56</v>
      </c>
      <c r="D3916" s="15" t="s">
        <v>44</v>
      </c>
      <c r="E3916" s="15" t="s">
        <v>38</v>
      </c>
      <c r="F3916" s="15" t="s">
        <v>17</v>
      </c>
      <c r="G3916" s="15" t="s">
        <v>26</v>
      </c>
      <c r="H3916" s="15" t="n">
        <v>2</v>
      </c>
      <c r="I3916" s="17" t="n">
        <v>0</v>
      </c>
      <c r="J3916" s="18" t="n">
        <v>162.28</v>
      </c>
      <c r="K3916" s="19" t="n">
        <v>20.23</v>
      </c>
      <c r="L3916" s="15" t="n">
        <f aca="false">YEAR(B3916)</f>
        <v>2022</v>
      </c>
      <c r="M3916" s="20" t="n">
        <f aca="false">IF(J3916&gt;0,K3916/J3916,0)</f>
        <v>0.124661079615479</v>
      </c>
    </row>
    <row r="3917" customFormat="false" ht="15" hidden="false" customHeight="false" outlineLevel="0" collapsed="false">
      <c r="A3917" s="15" t="s">
        <v>3974</v>
      </c>
      <c r="B3917" s="16" t="n">
        <v>45591</v>
      </c>
      <c r="C3917" s="15" t="s">
        <v>56</v>
      </c>
      <c r="D3917" s="15" t="s">
        <v>42</v>
      </c>
      <c r="E3917" s="15" t="s">
        <v>39</v>
      </c>
      <c r="F3917" s="15" t="s">
        <v>17</v>
      </c>
      <c r="G3917" s="15" t="s">
        <v>29</v>
      </c>
      <c r="H3917" s="15" t="n">
        <v>5</v>
      </c>
      <c r="I3917" s="17" t="n">
        <v>0.2</v>
      </c>
      <c r="J3917" s="18" t="n">
        <v>71.23</v>
      </c>
      <c r="K3917" s="19" t="n">
        <v>12.06</v>
      </c>
      <c r="L3917" s="15" t="n">
        <f aca="false">YEAR(B3917)</f>
        <v>2024</v>
      </c>
      <c r="M3917" s="20" t="n">
        <f aca="false">IF(J3917&gt;0,K3917/J3917,0)</f>
        <v>0.169310683700688</v>
      </c>
    </row>
    <row r="3918" customFormat="false" ht="15" hidden="false" customHeight="false" outlineLevel="0" collapsed="false">
      <c r="A3918" s="15" t="s">
        <v>3975</v>
      </c>
      <c r="B3918" s="16" t="n">
        <v>45157</v>
      </c>
      <c r="C3918" s="15" t="s">
        <v>56</v>
      </c>
      <c r="D3918" s="15" t="s">
        <v>42</v>
      </c>
      <c r="E3918" s="15" t="s">
        <v>38</v>
      </c>
      <c r="F3918" s="15" t="s">
        <v>16</v>
      </c>
      <c r="G3918" s="15" t="s">
        <v>27</v>
      </c>
      <c r="H3918" s="15" t="n">
        <v>2</v>
      </c>
      <c r="I3918" s="17" t="n">
        <v>0</v>
      </c>
      <c r="J3918" s="18" t="n">
        <v>91.55</v>
      </c>
      <c r="K3918" s="19" t="n">
        <v>24.35</v>
      </c>
      <c r="L3918" s="15" t="n">
        <f aca="false">YEAR(B3918)</f>
        <v>2023</v>
      </c>
      <c r="M3918" s="20" t="n">
        <f aca="false">IF(J3918&gt;0,K3918/J3918,0)</f>
        <v>0.26597487711633</v>
      </c>
    </row>
    <row r="3919" customFormat="false" ht="15" hidden="false" customHeight="false" outlineLevel="0" collapsed="false">
      <c r="A3919" s="15" t="s">
        <v>3976</v>
      </c>
      <c r="B3919" s="16" t="n">
        <v>45205</v>
      </c>
      <c r="C3919" s="15" t="s">
        <v>56</v>
      </c>
      <c r="D3919" s="15" t="s">
        <v>42</v>
      </c>
      <c r="E3919" s="15" t="s">
        <v>38</v>
      </c>
      <c r="F3919" s="15" t="s">
        <v>17</v>
      </c>
      <c r="G3919" s="15" t="s">
        <v>29</v>
      </c>
      <c r="H3919" s="15" t="n">
        <v>2</v>
      </c>
      <c r="I3919" s="17" t="n">
        <v>0.15</v>
      </c>
      <c r="J3919" s="18" t="n">
        <v>25.2</v>
      </c>
      <c r="K3919" s="19" t="n">
        <v>4.87</v>
      </c>
      <c r="L3919" s="15" t="n">
        <f aca="false">YEAR(B3919)</f>
        <v>2023</v>
      </c>
      <c r="M3919" s="20" t="n">
        <f aca="false">IF(J3919&gt;0,K3919/J3919,0)</f>
        <v>0.193253968253968</v>
      </c>
    </row>
    <row r="3920" customFormat="false" ht="15" hidden="false" customHeight="false" outlineLevel="0" collapsed="false">
      <c r="A3920" s="15" t="s">
        <v>3977</v>
      </c>
      <c r="B3920" s="16" t="n">
        <v>44881</v>
      </c>
      <c r="C3920" s="15" t="s">
        <v>71</v>
      </c>
      <c r="D3920" s="15" t="s">
        <v>42</v>
      </c>
      <c r="E3920" s="15" t="s">
        <v>38</v>
      </c>
      <c r="F3920" s="15" t="s">
        <v>17</v>
      </c>
      <c r="G3920" s="15" t="s">
        <v>29</v>
      </c>
      <c r="H3920" s="15" t="n">
        <v>3</v>
      </c>
      <c r="I3920" s="17" t="n">
        <v>0</v>
      </c>
      <c r="J3920" s="18" t="n">
        <v>40.7</v>
      </c>
      <c r="K3920" s="19" t="n">
        <v>15.11</v>
      </c>
      <c r="L3920" s="15" t="n">
        <f aca="false">YEAR(B3920)</f>
        <v>2022</v>
      </c>
      <c r="M3920" s="20" t="n">
        <f aca="false">IF(J3920&gt;0,K3920/J3920,0)</f>
        <v>0.371253071253071</v>
      </c>
    </row>
    <row r="3921" customFormat="false" ht="15" hidden="false" customHeight="false" outlineLevel="0" collapsed="false">
      <c r="A3921" s="15" t="s">
        <v>3978</v>
      </c>
      <c r="B3921" s="16" t="n">
        <v>45657</v>
      </c>
      <c r="C3921" s="15" t="s">
        <v>56</v>
      </c>
      <c r="D3921" s="15" t="s">
        <v>42</v>
      </c>
      <c r="E3921" s="15" t="s">
        <v>39</v>
      </c>
      <c r="F3921" s="15" t="s">
        <v>17</v>
      </c>
      <c r="G3921" s="15" t="s">
        <v>26</v>
      </c>
      <c r="H3921" s="15" t="n">
        <v>2</v>
      </c>
      <c r="I3921" s="17" t="n">
        <v>0.15</v>
      </c>
      <c r="J3921" s="18" t="n">
        <v>149.37</v>
      </c>
      <c r="K3921" s="19" t="n">
        <v>-7.62</v>
      </c>
      <c r="L3921" s="15" t="n">
        <f aca="false">YEAR(B3921)</f>
        <v>2024</v>
      </c>
      <c r="M3921" s="20" t="n">
        <f aca="false">IF(J3921&gt;0,K3921/J3921,0)</f>
        <v>-0.0510142598915445</v>
      </c>
    </row>
    <row r="3922" customFormat="false" ht="15" hidden="false" customHeight="false" outlineLevel="0" collapsed="false">
      <c r="A3922" s="15" t="s">
        <v>3979</v>
      </c>
      <c r="B3922" s="16" t="n">
        <v>44921</v>
      </c>
      <c r="C3922" s="15" t="s">
        <v>56</v>
      </c>
      <c r="D3922" s="15" t="s">
        <v>42</v>
      </c>
      <c r="E3922" s="15" t="s">
        <v>39</v>
      </c>
      <c r="F3922" s="15" t="s">
        <v>16</v>
      </c>
      <c r="G3922" s="15" t="s">
        <v>25</v>
      </c>
      <c r="H3922" s="15" t="n">
        <v>1</v>
      </c>
      <c r="I3922" s="17" t="n">
        <v>0.4</v>
      </c>
      <c r="J3922" s="18" t="n">
        <v>205.75</v>
      </c>
      <c r="K3922" s="19" t="n">
        <v>-47.67</v>
      </c>
      <c r="L3922" s="15" t="n">
        <f aca="false">YEAR(B3922)</f>
        <v>2022</v>
      </c>
      <c r="M3922" s="20" t="n">
        <f aca="false">IF(J3922&gt;0,K3922/J3922,0)</f>
        <v>-0.231688942891859</v>
      </c>
    </row>
    <row r="3923" customFormat="false" ht="15" hidden="false" customHeight="false" outlineLevel="0" collapsed="false">
      <c r="A3923" s="15" t="s">
        <v>3980</v>
      </c>
      <c r="B3923" s="16" t="n">
        <v>45484</v>
      </c>
      <c r="C3923" s="15" t="s">
        <v>71</v>
      </c>
      <c r="D3923" s="15" t="s">
        <v>42</v>
      </c>
      <c r="E3923" s="15" t="s">
        <v>39</v>
      </c>
      <c r="F3923" s="15" t="s">
        <v>16</v>
      </c>
      <c r="G3923" s="15" t="s">
        <v>27</v>
      </c>
      <c r="H3923" s="15" t="n">
        <v>3</v>
      </c>
      <c r="I3923" s="17" t="n">
        <v>0.05</v>
      </c>
      <c r="J3923" s="18" t="n">
        <v>242.14</v>
      </c>
      <c r="K3923" s="19" t="n">
        <v>56.77</v>
      </c>
      <c r="L3923" s="15" t="n">
        <f aca="false">YEAR(B3923)</f>
        <v>2024</v>
      </c>
      <c r="M3923" s="20" t="n">
        <f aca="false">IF(J3923&gt;0,K3923/J3923,0)</f>
        <v>0.234451143966301</v>
      </c>
    </row>
    <row r="3924" customFormat="false" ht="15" hidden="false" customHeight="false" outlineLevel="0" collapsed="false">
      <c r="A3924" s="15" t="s">
        <v>3981</v>
      </c>
      <c r="B3924" s="16" t="n">
        <v>45367</v>
      </c>
      <c r="C3924" s="15" t="s">
        <v>56</v>
      </c>
      <c r="D3924" s="15" t="s">
        <v>42</v>
      </c>
      <c r="E3924" s="15" t="s">
        <v>39</v>
      </c>
      <c r="F3924" s="15" t="s">
        <v>16</v>
      </c>
      <c r="G3924" s="15" t="s">
        <v>22</v>
      </c>
      <c r="H3924" s="15" t="n">
        <v>1</v>
      </c>
      <c r="I3924" s="17" t="n">
        <v>0.15</v>
      </c>
      <c r="J3924" s="18" t="n">
        <v>426.19</v>
      </c>
      <c r="K3924" s="19" t="n">
        <v>-97.35</v>
      </c>
      <c r="L3924" s="15" t="n">
        <f aca="false">YEAR(B3924)</f>
        <v>2024</v>
      </c>
      <c r="M3924" s="20" t="n">
        <f aca="false">IF(J3924&gt;0,K3924/J3924,0)</f>
        <v>-0.228419249630447</v>
      </c>
    </row>
    <row r="3925" customFormat="false" ht="15" hidden="false" customHeight="false" outlineLevel="0" collapsed="false">
      <c r="A3925" s="15" t="s">
        <v>3982</v>
      </c>
      <c r="B3925" s="16" t="n">
        <v>45269</v>
      </c>
      <c r="C3925" s="15" t="s">
        <v>68</v>
      </c>
      <c r="D3925" s="15" t="s">
        <v>42</v>
      </c>
      <c r="E3925" s="15" t="s">
        <v>37</v>
      </c>
      <c r="F3925" s="15" t="s">
        <v>18</v>
      </c>
      <c r="G3925" s="15" t="s">
        <v>30</v>
      </c>
      <c r="H3925" s="15" t="n">
        <v>3</v>
      </c>
      <c r="I3925" s="17" t="n">
        <v>0</v>
      </c>
      <c r="J3925" s="18" t="n">
        <v>159.69</v>
      </c>
      <c r="K3925" s="19" t="n">
        <v>48.45</v>
      </c>
      <c r="L3925" s="15" t="n">
        <f aca="false">YEAR(B3925)</f>
        <v>2023</v>
      </c>
      <c r="M3925" s="20" t="n">
        <f aca="false">IF(J3925&gt;0,K3925/J3925,0)</f>
        <v>0.303400338155176</v>
      </c>
    </row>
    <row r="3926" customFormat="false" ht="15" hidden="false" customHeight="false" outlineLevel="0" collapsed="false">
      <c r="A3926" s="15" t="s">
        <v>3983</v>
      </c>
      <c r="B3926" s="16" t="n">
        <v>44821</v>
      </c>
      <c r="C3926" s="15" t="s">
        <v>71</v>
      </c>
      <c r="D3926" s="15" t="s">
        <v>42</v>
      </c>
      <c r="E3926" s="15" t="s">
        <v>39</v>
      </c>
      <c r="F3926" s="15" t="s">
        <v>18</v>
      </c>
      <c r="G3926" s="15" t="s">
        <v>24</v>
      </c>
      <c r="H3926" s="15" t="n">
        <v>4</v>
      </c>
      <c r="I3926" s="17" t="n">
        <v>0.2</v>
      </c>
      <c r="J3926" s="18" t="n">
        <v>2557.33</v>
      </c>
      <c r="K3926" s="19" t="n">
        <v>-315.19</v>
      </c>
      <c r="L3926" s="15" t="n">
        <f aca="false">YEAR(B3926)</f>
        <v>2022</v>
      </c>
      <c r="M3926" s="20" t="n">
        <f aca="false">IF(J3926&gt;0,K3926/J3926,0)</f>
        <v>-0.12324963927221</v>
      </c>
    </row>
    <row r="3927" customFormat="false" ht="15" hidden="false" customHeight="false" outlineLevel="0" collapsed="false">
      <c r="A3927" s="15" t="s">
        <v>3984</v>
      </c>
      <c r="B3927" s="16" t="n">
        <v>45560</v>
      </c>
      <c r="C3927" s="15" t="s">
        <v>56</v>
      </c>
      <c r="D3927" s="15" t="s">
        <v>44</v>
      </c>
      <c r="E3927" s="15" t="s">
        <v>36</v>
      </c>
      <c r="F3927" s="15" t="s">
        <v>16</v>
      </c>
      <c r="G3927" s="15" t="s">
        <v>25</v>
      </c>
      <c r="H3927" s="15" t="n">
        <v>4</v>
      </c>
      <c r="I3927" s="17" t="n">
        <v>0.1</v>
      </c>
      <c r="J3927" s="18" t="n">
        <v>1241.8</v>
      </c>
      <c r="K3927" s="19" t="n">
        <v>-4.05</v>
      </c>
      <c r="L3927" s="15" t="n">
        <f aca="false">YEAR(B3927)</f>
        <v>2024</v>
      </c>
      <c r="M3927" s="20" t="n">
        <f aca="false">IF(J3927&gt;0,K3927/J3927,0)</f>
        <v>-0.00326139474955709</v>
      </c>
    </row>
    <row r="3928" customFormat="false" ht="15" hidden="false" customHeight="false" outlineLevel="0" collapsed="false">
      <c r="A3928" s="15" t="s">
        <v>3985</v>
      </c>
      <c r="B3928" s="16" t="n">
        <v>45985</v>
      </c>
      <c r="C3928" s="15" t="s">
        <v>71</v>
      </c>
      <c r="D3928" s="15" t="s">
        <v>42</v>
      </c>
      <c r="E3928" s="15" t="s">
        <v>39</v>
      </c>
      <c r="F3928" s="15" t="s">
        <v>17</v>
      </c>
      <c r="G3928" s="15" t="s">
        <v>26</v>
      </c>
      <c r="H3928" s="15" t="n">
        <v>5</v>
      </c>
      <c r="I3928" s="17" t="n">
        <v>0</v>
      </c>
      <c r="J3928" s="18" t="n">
        <v>487.64</v>
      </c>
      <c r="K3928" s="19" t="n">
        <v>52.55</v>
      </c>
      <c r="L3928" s="15" t="n">
        <f aca="false">YEAR(B3928)</f>
        <v>2025</v>
      </c>
      <c r="M3928" s="20" t="n">
        <f aca="false">IF(J3928&gt;0,K3928/J3928,0)</f>
        <v>0.107763924206382</v>
      </c>
    </row>
    <row r="3929" customFormat="false" ht="15" hidden="false" customHeight="false" outlineLevel="0" collapsed="false">
      <c r="A3929" s="15" t="s">
        <v>3986</v>
      </c>
      <c r="B3929" s="16" t="n">
        <v>45766</v>
      </c>
      <c r="C3929" s="15" t="s">
        <v>58</v>
      </c>
      <c r="D3929" s="15" t="s">
        <v>42</v>
      </c>
      <c r="E3929" s="15" t="s">
        <v>39</v>
      </c>
      <c r="F3929" s="15" t="s">
        <v>17</v>
      </c>
      <c r="G3929" s="15" t="s">
        <v>28</v>
      </c>
      <c r="H3929" s="15" t="n">
        <v>4</v>
      </c>
      <c r="I3929" s="17" t="n">
        <v>0.2</v>
      </c>
      <c r="J3929" s="18" t="n">
        <v>86.15</v>
      </c>
      <c r="K3929" s="19" t="n">
        <v>15.56</v>
      </c>
      <c r="L3929" s="15" t="n">
        <f aca="false">YEAR(B3929)</f>
        <v>2025</v>
      </c>
      <c r="M3929" s="20" t="n">
        <f aca="false">IF(J3929&gt;0,K3929/J3929,0)</f>
        <v>0.180615206035984</v>
      </c>
    </row>
    <row r="3930" customFormat="false" ht="15" hidden="false" customHeight="false" outlineLevel="0" collapsed="false">
      <c r="A3930" s="15" t="s">
        <v>3987</v>
      </c>
      <c r="B3930" s="16" t="n">
        <v>45572</v>
      </c>
      <c r="C3930" s="15" t="s">
        <v>56</v>
      </c>
      <c r="D3930" s="15" t="s">
        <v>43</v>
      </c>
      <c r="E3930" s="15" t="s">
        <v>36</v>
      </c>
      <c r="F3930" s="15" t="s">
        <v>17</v>
      </c>
      <c r="G3930" s="15" t="s">
        <v>28</v>
      </c>
      <c r="H3930" s="15" t="n">
        <v>5</v>
      </c>
      <c r="I3930" s="17" t="n">
        <v>0</v>
      </c>
      <c r="J3930" s="18" t="n">
        <v>93.44</v>
      </c>
      <c r="K3930" s="19" t="n">
        <v>25.04</v>
      </c>
      <c r="L3930" s="15" t="n">
        <f aca="false">YEAR(B3930)</f>
        <v>2024</v>
      </c>
      <c r="M3930" s="20" t="n">
        <f aca="false">IF(J3930&gt;0,K3930/J3930,0)</f>
        <v>0.267979452054795</v>
      </c>
    </row>
    <row r="3931" customFormat="false" ht="15" hidden="false" customHeight="false" outlineLevel="0" collapsed="false">
      <c r="A3931" s="15" t="s">
        <v>3988</v>
      </c>
      <c r="B3931" s="16" t="n">
        <v>45456</v>
      </c>
      <c r="C3931" s="15" t="s">
        <v>56</v>
      </c>
      <c r="D3931" s="15" t="s">
        <v>43</v>
      </c>
      <c r="E3931" s="15" t="s">
        <v>37</v>
      </c>
      <c r="F3931" s="15" t="s">
        <v>16</v>
      </c>
      <c r="G3931" s="15" t="s">
        <v>22</v>
      </c>
      <c r="H3931" s="15" t="n">
        <v>5</v>
      </c>
      <c r="I3931" s="17" t="n">
        <v>0.15</v>
      </c>
      <c r="J3931" s="18" t="n">
        <v>2023.93</v>
      </c>
      <c r="K3931" s="19" t="n">
        <v>-517.43</v>
      </c>
      <c r="L3931" s="15" t="n">
        <f aca="false">YEAR(B3931)</f>
        <v>2024</v>
      </c>
      <c r="M3931" s="20" t="n">
        <f aca="false">IF(J3931&gt;0,K3931/J3931,0)</f>
        <v>-0.255656075061885</v>
      </c>
    </row>
    <row r="3932" customFormat="false" ht="15" hidden="false" customHeight="false" outlineLevel="0" collapsed="false">
      <c r="A3932" s="15" t="s">
        <v>3989</v>
      </c>
      <c r="B3932" s="16" t="n">
        <v>45406</v>
      </c>
      <c r="C3932" s="15" t="s">
        <v>56</v>
      </c>
      <c r="D3932" s="15" t="s">
        <v>42</v>
      </c>
      <c r="E3932" s="15" t="s">
        <v>38</v>
      </c>
      <c r="F3932" s="15" t="s">
        <v>16</v>
      </c>
      <c r="G3932" s="15" t="s">
        <v>27</v>
      </c>
      <c r="H3932" s="15" t="n">
        <v>5</v>
      </c>
      <c r="I3932" s="17" t="n">
        <v>0.2</v>
      </c>
      <c r="J3932" s="18" t="n">
        <v>256.26</v>
      </c>
      <c r="K3932" s="19" t="n">
        <v>-1.62</v>
      </c>
      <c r="L3932" s="15" t="n">
        <f aca="false">YEAR(B3932)</f>
        <v>2024</v>
      </c>
      <c r="M3932" s="20" t="n">
        <f aca="false">IF(J3932&gt;0,K3932/J3932,0)</f>
        <v>-0.00632170451884805</v>
      </c>
    </row>
    <row r="3933" customFormat="false" ht="15" hidden="false" customHeight="false" outlineLevel="0" collapsed="false">
      <c r="A3933" s="15" t="s">
        <v>3990</v>
      </c>
      <c r="B3933" s="16" t="n">
        <v>45606</v>
      </c>
      <c r="C3933" s="15" t="s">
        <v>56</v>
      </c>
      <c r="D3933" s="15" t="s">
        <v>42</v>
      </c>
      <c r="E3933" s="15" t="s">
        <v>38</v>
      </c>
      <c r="F3933" s="15" t="s">
        <v>18</v>
      </c>
      <c r="G3933" s="15" t="s">
        <v>32</v>
      </c>
      <c r="H3933" s="15" t="n">
        <v>4</v>
      </c>
      <c r="I3933" s="17" t="n">
        <v>0.15</v>
      </c>
      <c r="J3933" s="18" t="n">
        <v>1309.07</v>
      </c>
      <c r="K3933" s="19" t="n">
        <v>182.93</v>
      </c>
      <c r="L3933" s="15" t="n">
        <f aca="false">YEAR(B3933)</f>
        <v>2024</v>
      </c>
      <c r="M3933" s="20" t="n">
        <f aca="false">IF(J3933&gt;0,K3933/J3933,0)</f>
        <v>0.139740426409589</v>
      </c>
    </row>
    <row r="3934" customFormat="false" ht="15" hidden="false" customHeight="false" outlineLevel="0" collapsed="false">
      <c r="A3934" s="15" t="s">
        <v>3991</v>
      </c>
      <c r="B3934" s="16" t="n">
        <v>45682</v>
      </c>
      <c r="C3934" s="15" t="s">
        <v>56</v>
      </c>
      <c r="D3934" s="15" t="s">
        <v>42</v>
      </c>
      <c r="E3934" s="15" t="s">
        <v>39</v>
      </c>
      <c r="F3934" s="15" t="s">
        <v>17</v>
      </c>
      <c r="G3934" s="15" t="s">
        <v>29</v>
      </c>
      <c r="H3934" s="15" t="n">
        <v>2</v>
      </c>
      <c r="I3934" s="17" t="n">
        <v>0</v>
      </c>
      <c r="J3934" s="18" t="n">
        <v>33.47</v>
      </c>
      <c r="K3934" s="19" t="n">
        <v>13.41</v>
      </c>
      <c r="L3934" s="15" t="n">
        <f aca="false">YEAR(B3934)</f>
        <v>2025</v>
      </c>
      <c r="M3934" s="20" t="n">
        <f aca="false">IF(J3934&gt;0,K3934/J3934,0)</f>
        <v>0.400657305049298</v>
      </c>
    </row>
    <row r="3935" customFormat="false" ht="15" hidden="false" customHeight="false" outlineLevel="0" collapsed="false">
      <c r="A3935" s="15" t="s">
        <v>3992</v>
      </c>
      <c r="B3935" s="16" t="n">
        <v>44927</v>
      </c>
      <c r="C3935" s="15" t="s">
        <v>68</v>
      </c>
      <c r="D3935" s="15" t="s">
        <v>44</v>
      </c>
      <c r="E3935" s="15" t="s">
        <v>36</v>
      </c>
      <c r="F3935" s="15" t="s">
        <v>17</v>
      </c>
      <c r="G3935" s="15" t="s">
        <v>29</v>
      </c>
      <c r="H3935" s="15" t="n">
        <v>7</v>
      </c>
      <c r="I3935" s="17" t="n">
        <v>0.1</v>
      </c>
      <c r="J3935" s="18" t="n">
        <v>129.22</v>
      </c>
      <c r="K3935" s="19" t="n">
        <v>40.59</v>
      </c>
      <c r="L3935" s="15" t="n">
        <f aca="false">YEAR(B3935)</f>
        <v>2023</v>
      </c>
      <c r="M3935" s="20" t="n">
        <f aca="false">IF(J3935&gt;0,K3935/J3935,0)</f>
        <v>0.314115462002786</v>
      </c>
    </row>
    <row r="3936" customFormat="false" ht="15" hidden="false" customHeight="false" outlineLevel="0" collapsed="false">
      <c r="A3936" s="15" t="s">
        <v>3993</v>
      </c>
      <c r="B3936" s="16" t="n">
        <v>44668</v>
      </c>
      <c r="C3936" s="15" t="s">
        <v>71</v>
      </c>
      <c r="D3936" s="15" t="s">
        <v>42</v>
      </c>
      <c r="E3936" s="15" t="s">
        <v>39</v>
      </c>
      <c r="F3936" s="15" t="s">
        <v>16</v>
      </c>
      <c r="G3936" s="15" t="s">
        <v>27</v>
      </c>
      <c r="H3936" s="15" t="n">
        <v>5</v>
      </c>
      <c r="I3936" s="17" t="n">
        <v>0</v>
      </c>
      <c r="J3936" s="18" t="n">
        <v>381.25</v>
      </c>
      <c r="K3936" s="19" t="n">
        <v>68.88</v>
      </c>
      <c r="L3936" s="15" t="n">
        <f aca="false">YEAR(B3936)</f>
        <v>2022</v>
      </c>
      <c r="M3936" s="20" t="n">
        <f aca="false">IF(J3936&gt;0,K3936/J3936,0)</f>
        <v>0.180668852459016</v>
      </c>
    </row>
    <row r="3937" customFormat="false" ht="15" hidden="false" customHeight="false" outlineLevel="0" collapsed="false">
      <c r="A3937" s="15" t="s">
        <v>3994</v>
      </c>
      <c r="B3937" s="16" t="n">
        <v>45150</v>
      </c>
      <c r="C3937" s="15" t="s">
        <v>56</v>
      </c>
      <c r="D3937" s="15" t="s">
        <v>43</v>
      </c>
      <c r="E3937" s="15" t="s">
        <v>37</v>
      </c>
      <c r="F3937" s="15" t="s">
        <v>16</v>
      </c>
      <c r="G3937" s="15" t="s">
        <v>22</v>
      </c>
      <c r="H3937" s="15" t="n">
        <v>6</v>
      </c>
      <c r="I3937" s="17" t="n">
        <v>0</v>
      </c>
      <c r="J3937" s="18" t="n">
        <v>3898.55</v>
      </c>
      <c r="K3937" s="19" t="n">
        <v>-111.48</v>
      </c>
      <c r="L3937" s="15" t="n">
        <f aca="false">YEAR(B3937)</f>
        <v>2023</v>
      </c>
      <c r="M3937" s="20" t="n">
        <f aca="false">IF(J3937&gt;0,K3937/J3937,0)</f>
        <v>-0.0285952469507894</v>
      </c>
    </row>
    <row r="3938" customFormat="false" ht="15" hidden="false" customHeight="false" outlineLevel="0" collapsed="false">
      <c r="A3938" s="15" t="s">
        <v>3995</v>
      </c>
      <c r="B3938" s="16" t="n">
        <v>45600</v>
      </c>
      <c r="C3938" s="15" t="s">
        <v>56</v>
      </c>
      <c r="D3938" s="15" t="s">
        <v>43</v>
      </c>
      <c r="E3938" s="15" t="s">
        <v>37</v>
      </c>
      <c r="F3938" s="15" t="s">
        <v>16</v>
      </c>
      <c r="G3938" s="15" t="s">
        <v>22</v>
      </c>
      <c r="H3938" s="15" t="n">
        <v>5</v>
      </c>
      <c r="I3938" s="17" t="n">
        <v>0.05</v>
      </c>
      <c r="J3938" s="18" t="n">
        <v>2662.53</v>
      </c>
      <c r="K3938" s="19" t="n">
        <v>-262.84</v>
      </c>
      <c r="L3938" s="15" t="n">
        <f aca="false">YEAR(B3938)</f>
        <v>2024</v>
      </c>
      <c r="M3938" s="20" t="n">
        <f aca="false">IF(J3938&gt;0,K3938/J3938,0)</f>
        <v>-0.09871813650926</v>
      </c>
    </row>
    <row r="3939" customFormat="false" ht="15" hidden="false" customHeight="false" outlineLevel="0" collapsed="false">
      <c r="A3939" s="15" t="s">
        <v>3996</v>
      </c>
      <c r="B3939" s="16" t="n">
        <v>45051</v>
      </c>
      <c r="C3939" s="15" t="s">
        <v>58</v>
      </c>
      <c r="D3939" s="15" t="s">
        <v>42</v>
      </c>
      <c r="E3939" s="15" t="s">
        <v>38</v>
      </c>
      <c r="F3939" s="15" t="s">
        <v>18</v>
      </c>
      <c r="G3939" s="15" t="s">
        <v>32</v>
      </c>
      <c r="H3939" s="15" t="n">
        <v>3</v>
      </c>
      <c r="I3939" s="17" t="n">
        <v>0</v>
      </c>
      <c r="J3939" s="18" t="n">
        <v>852.53</v>
      </c>
      <c r="K3939" s="19" t="n">
        <v>151.4</v>
      </c>
      <c r="L3939" s="15" t="n">
        <f aca="false">YEAR(B3939)</f>
        <v>2023</v>
      </c>
      <c r="M3939" s="20" t="n">
        <f aca="false">IF(J3939&gt;0,K3939/J3939,0)</f>
        <v>0.177589058449556</v>
      </c>
    </row>
    <row r="3940" customFormat="false" ht="15" hidden="false" customHeight="false" outlineLevel="0" collapsed="false">
      <c r="A3940" s="15" t="s">
        <v>3997</v>
      </c>
      <c r="B3940" s="16" t="n">
        <v>45066</v>
      </c>
      <c r="C3940" s="15" t="s">
        <v>68</v>
      </c>
      <c r="D3940" s="15" t="s">
        <v>42</v>
      </c>
      <c r="E3940" s="15" t="s">
        <v>38</v>
      </c>
      <c r="F3940" s="15" t="s">
        <v>18</v>
      </c>
      <c r="G3940" s="15" t="s">
        <v>24</v>
      </c>
      <c r="H3940" s="15" t="n">
        <v>3</v>
      </c>
      <c r="I3940" s="17" t="n">
        <v>0.4</v>
      </c>
      <c r="J3940" s="18" t="n">
        <v>1041.26</v>
      </c>
      <c r="K3940" s="19" t="n">
        <v>-426.59</v>
      </c>
      <c r="L3940" s="15" t="n">
        <f aca="false">YEAR(B3940)</f>
        <v>2023</v>
      </c>
      <c r="M3940" s="20" t="n">
        <f aca="false">IF(J3940&gt;0,K3940/J3940,0)</f>
        <v>-0.40968634154774</v>
      </c>
    </row>
    <row r="3941" customFormat="false" ht="15" hidden="false" customHeight="false" outlineLevel="0" collapsed="false">
      <c r="A3941" s="15" t="s">
        <v>3998</v>
      </c>
      <c r="B3941" s="16" t="n">
        <v>44700</v>
      </c>
      <c r="C3941" s="15" t="s">
        <v>56</v>
      </c>
      <c r="D3941" s="15" t="s">
        <v>42</v>
      </c>
      <c r="E3941" s="15" t="s">
        <v>36</v>
      </c>
      <c r="F3941" s="15" t="s">
        <v>17</v>
      </c>
      <c r="G3941" s="15" t="s">
        <v>29</v>
      </c>
      <c r="H3941" s="15" t="n">
        <v>2</v>
      </c>
      <c r="I3941" s="17" t="n">
        <v>0</v>
      </c>
      <c r="J3941" s="18" t="n">
        <v>29.8</v>
      </c>
      <c r="K3941" s="19" t="n">
        <v>11.74</v>
      </c>
      <c r="L3941" s="15" t="n">
        <f aca="false">YEAR(B3941)</f>
        <v>2022</v>
      </c>
      <c r="M3941" s="20" t="n">
        <f aca="false">IF(J3941&gt;0,K3941/J3941,0)</f>
        <v>0.393959731543624</v>
      </c>
    </row>
    <row r="3942" customFormat="false" ht="15" hidden="false" customHeight="false" outlineLevel="0" collapsed="false">
      <c r="A3942" s="15" t="s">
        <v>3999</v>
      </c>
      <c r="B3942" s="16" t="n">
        <v>45067</v>
      </c>
      <c r="C3942" s="15" t="s">
        <v>56</v>
      </c>
      <c r="D3942" s="15" t="s">
        <v>44</v>
      </c>
      <c r="E3942" s="15" t="s">
        <v>38</v>
      </c>
      <c r="F3942" s="15" t="s">
        <v>18</v>
      </c>
      <c r="G3942" s="15" t="s">
        <v>30</v>
      </c>
      <c r="H3942" s="15" t="n">
        <v>4</v>
      </c>
      <c r="I3942" s="17" t="n">
        <v>0</v>
      </c>
      <c r="J3942" s="18" t="n">
        <v>182.21</v>
      </c>
      <c r="K3942" s="19" t="n">
        <v>46.86</v>
      </c>
      <c r="L3942" s="15" t="n">
        <f aca="false">YEAR(B3942)</f>
        <v>2023</v>
      </c>
      <c r="M3942" s="20" t="n">
        <f aca="false">IF(J3942&gt;0,K3942/J3942,0)</f>
        <v>0.25717578618078</v>
      </c>
    </row>
    <row r="3943" customFormat="false" ht="15" hidden="false" customHeight="false" outlineLevel="0" collapsed="false">
      <c r="A3943" s="15" t="s">
        <v>4000</v>
      </c>
      <c r="B3943" s="16" t="n">
        <v>45555</v>
      </c>
      <c r="C3943" s="15" t="s">
        <v>56</v>
      </c>
      <c r="D3943" s="15" t="s">
        <v>42</v>
      </c>
      <c r="E3943" s="15" t="s">
        <v>37</v>
      </c>
      <c r="F3943" s="15" t="s">
        <v>18</v>
      </c>
      <c r="G3943" s="15" t="s">
        <v>30</v>
      </c>
      <c r="H3943" s="15" t="n">
        <v>4</v>
      </c>
      <c r="I3943" s="17" t="n">
        <v>0</v>
      </c>
      <c r="J3943" s="18" t="n">
        <v>198.63</v>
      </c>
      <c r="K3943" s="19" t="n">
        <v>55.51</v>
      </c>
      <c r="L3943" s="15" t="n">
        <f aca="false">YEAR(B3943)</f>
        <v>2024</v>
      </c>
      <c r="M3943" s="20" t="n">
        <f aca="false">IF(J3943&gt;0,K3943/J3943,0)</f>
        <v>0.279464330665056</v>
      </c>
    </row>
    <row r="3944" customFormat="false" ht="15" hidden="false" customHeight="false" outlineLevel="0" collapsed="false">
      <c r="A3944" s="15" t="s">
        <v>4001</v>
      </c>
      <c r="B3944" s="16" t="n">
        <v>45943</v>
      </c>
      <c r="C3944" s="15" t="s">
        <v>71</v>
      </c>
      <c r="D3944" s="15" t="s">
        <v>44</v>
      </c>
      <c r="E3944" s="15" t="s">
        <v>39</v>
      </c>
      <c r="F3944" s="15" t="s">
        <v>17</v>
      </c>
      <c r="G3944" s="15" t="s">
        <v>26</v>
      </c>
      <c r="H3944" s="15" t="n">
        <v>3</v>
      </c>
      <c r="I3944" s="17" t="n">
        <v>0.15</v>
      </c>
      <c r="J3944" s="18" t="n">
        <v>222.84</v>
      </c>
      <c r="K3944" s="19" t="n">
        <v>-4.13</v>
      </c>
      <c r="L3944" s="15" t="n">
        <f aca="false">YEAR(B3944)</f>
        <v>2025</v>
      </c>
      <c r="M3944" s="20" t="n">
        <f aca="false">IF(J3944&gt;0,K3944/J3944,0)</f>
        <v>-0.0185334769341231</v>
      </c>
    </row>
    <row r="3945" customFormat="false" ht="15" hidden="false" customHeight="false" outlineLevel="0" collapsed="false">
      <c r="A3945" s="15" t="s">
        <v>4002</v>
      </c>
      <c r="B3945" s="16" t="n">
        <v>45195</v>
      </c>
      <c r="C3945" s="15" t="s">
        <v>68</v>
      </c>
      <c r="D3945" s="15" t="s">
        <v>42</v>
      </c>
      <c r="E3945" s="15" t="s">
        <v>37</v>
      </c>
      <c r="F3945" s="15" t="s">
        <v>18</v>
      </c>
      <c r="G3945" s="15" t="s">
        <v>30</v>
      </c>
      <c r="H3945" s="15" t="n">
        <v>4</v>
      </c>
      <c r="I3945" s="17" t="n">
        <v>0.2</v>
      </c>
      <c r="J3945" s="18" t="n">
        <v>126.01</v>
      </c>
      <c r="K3945" s="19" t="n">
        <v>10.38</v>
      </c>
      <c r="L3945" s="15" t="n">
        <f aca="false">YEAR(B3945)</f>
        <v>2023</v>
      </c>
      <c r="M3945" s="20" t="n">
        <f aca="false">IF(J3945&gt;0,K3945/J3945,0)</f>
        <v>0.0823744147289898</v>
      </c>
    </row>
    <row r="3946" customFormat="false" ht="15" hidden="false" customHeight="false" outlineLevel="0" collapsed="false">
      <c r="A3946" s="15" t="s">
        <v>4003</v>
      </c>
      <c r="B3946" s="16" t="n">
        <v>44838</v>
      </c>
      <c r="C3946" s="15" t="s">
        <v>68</v>
      </c>
      <c r="D3946" s="15" t="s">
        <v>42</v>
      </c>
      <c r="E3946" s="15" t="s">
        <v>39</v>
      </c>
      <c r="F3946" s="15" t="s">
        <v>17</v>
      </c>
      <c r="G3946" s="15" t="s">
        <v>29</v>
      </c>
      <c r="H3946" s="15" t="n">
        <v>2</v>
      </c>
      <c r="I3946" s="17" t="n">
        <v>0</v>
      </c>
      <c r="J3946" s="18" t="n">
        <v>42.59</v>
      </c>
      <c r="K3946" s="19" t="n">
        <v>17.16</v>
      </c>
      <c r="L3946" s="15" t="n">
        <f aca="false">YEAR(B3946)</f>
        <v>2022</v>
      </c>
      <c r="M3946" s="20" t="n">
        <f aca="false">IF(J3946&gt;0,K3946/J3946,0)</f>
        <v>0.402911481568443</v>
      </c>
    </row>
    <row r="3947" customFormat="false" ht="15" hidden="false" customHeight="false" outlineLevel="0" collapsed="false">
      <c r="A3947" s="15" t="s">
        <v>4004</v>
      </c>
      <c r="B3947" s="16" t="n">
        <v>44603</v>
      </c>
      <c r="C3947" s="15" t="s">
        <v>56</v>
      </c>
      <c r="D3947" s="15" t="s">
        <v>43</v>
      </c>
      <c r="E3947" s="15" t="s">
        <v>38</v>
      </c>
      <c r="F3947" s="15" t="s">
        <v>18</v>
      </c>
      <c r="G3947" s="15" t="s">
        <v>24</v>
      </c>
      <c r="H3947" s="15" t="n">
        <v>1</v>
      </c>
      <c r="I3947" s="17" t="n">
        <v>0.2</v>
      </c>
      <c r="J3947" s="18" t="n">
        <v>551.04</v>
      </c>
      <c r="K3947" s="19" t="n">
        <v>-39.94</v>
      </c>
      <c r="L3947" s="15" t="n">
        <f aca="false">YEAR(B3947)</f>
        <v>2022</v>
      </c>
      <c r="M3947" s="20" t="n">
        <f aca="false">IF(J3947&gt;0,K3947/J3947,0)</f>
        <v>-0.0724811265969803</v>
      </c>
    </row>
    <row r="3948" customFormat="false" ht="15" hidden="false" customHeight="false" outlineLevel="0" collapsed="false">
      <c r="A3948" s="15" t="s">
        <v>4005</v>
      </c>
      <c r="B3948" s="16" t="n">
        <v>45459</v>
      </c>
      <c r="C3948" s="15" t="s">
        <v>56</v>
      </c>
      <c r="D3948" s="15" t="s">
        <v>42</v>
      </c>
      <c r="E3948" s="15" t="s">
        <v>37</v>
      </c>
      <c r="F3948" s="15" t="s">
        <v>18</v>
      </c>
      <c r="G3948" s="15" t="s">
        <v>30</v>
      </c>
      <c r="H3948" s="15" t="n">
        <v>3</v>
      </c>
      <c r="I3948" s="17" t="n">
        <v>0</v>
      </c>
      <c r="J3948" s="18" t="n">
        <v>160.66</v>
      </c>
      <c r="K3948" s="19" t="n">
        <v>45.53</v>
      </c>
      <c r="L3948" s="15" t="n">
        <f aca="false">YEAR(B3948)</f>
        <v>2024</v>
      </c>
      <c r="M3948" s="20" t="n">
        <f aca="false">IF(J3948&gt;0,K3948/J3948,0)</f>
        <v>0.283393501805054</v>
      </c>
    </row>
    <row r="3949" customFormat="false" ht="15" hidden="false" customHeight="false" outlineLevel="0" collapsed="false">
      <c r="A3949" s="15" t="s">
        <v>4006</v>
      </c>
      <c r="B3949" s="16" t="n">
        <v>44878</v>
      </c>
      <c r="C3949" s="15" t="s">
        <v>71</v>
      </c>
      <c r="D3949" s="15" t="s">
        <v>42</v>
      </c>
      <c r="E3949" s="15" t="s">
        <v>37</v>
      </c>
      <c r="F3949" s="15" t="s">
        <v>16</v>
      </c>
      <c r="G3949" s="15" t="s">
        <v>25</v>
      </c>
      <c r="H3949" s="15" t="n">
        <v>2</v>
      </c>
      <c r="I3949" s="17" t="n">
        <v>0.05</v>
      </c>
      <c r="J3949" s="18" t="n">
        <v>445.63</v>
      </c>
      <c r="K3949" s="19" t="n">
        <v>36.62</v>
      </c>
      <c r="L3949" s="15" t="n">
        <f aca="false">YEAR(B3949)</f>
        <v>2022</v>
      </c>
      <c r="M3949" s="20" t="n">
        <f aca="false">IF(J3949&gt;0,K3949/J3949,0)</f>
        <v>0.0821757960639993</v>
      </c>
    </row>
    <row r="3950" customFormat="false" ht="15" hidden="false" customHeight="false" outlineLevel="0" collapsed="false">
      <c r="A3950" s="15" t="s">
        <v>4007</v>
      </c>
      <c r="B3950" s="16" t="n">
        <v>45939</v>
      </c>
      <c r="C3950" s="15" t="s">
        <v>68</v>
      </c>
      <c r="D3950" s="15" t="s">
        <v>43</v>
      </c>
      <c r="E3950" s="15" t="s">
        <v>39</v>
      </c>
      <c r="F3950" s="15" t="s">
        <v>18</v>
      </c>
      <c r="G3950" s="15" t="s">
        <v>30</v>
      </c>
      <c r="H3950" s="15" t="n">
        <v>3</v>
      </c>
      <c r="I3950" s="17" t="n">
        <v>0</v>
      </c>
      <c r="J3950" s="18" t="n">
        <v>132.92</v>
      </c>
      <c r="K3950" s="19" t="n">
        <v>47.66</v>
      </c>
      <c r="L3950" s="15" t="n">
        <f aca="false">YEAR(B3950)</f>
        <v>2025</v>
      </c>
      <c r="M3950" s="20" t="n">
        <f aca="false">IF(J3950&gt;0,K3950/J3950,0)</f>
        <v>0.358561540776407</v>
      </c>
    </row>
    <row r="3951" customFormat="false" ht="15" hidden="false" customHeight="false" outlineLevel="0" collapsed="false">
      <c r="A3951" s="15" t="s">
        <v>4008</v>
      </c>
      <c r="B3951" s="16" t="n">
        <v>45316</v>
      </c>
      <c r="C3951" s="15" t="s">
        <v>56</v>
      </c>
      <c r="D3951" s="15" t="s">
        <v>44</v>
      </c>
      <c r="E3951" s="15" t="s">
        <v>39</v>
      </c>
      <c r="F3951" s="15" t="s">
        <v>18</v>
      </c>
      <c r="G3951" s="15" t="s">
        <v>32</v>
      </c>
      <c r="H3951" s="15" t="n">
        <v>2</v>
      </c>
      <c r="I3951" s="17" t="n">
        <v>0</v>
      </c>
      <c r="J3951" s="18" t="n">
        <v>819.19</v>
      </c>
      <c r="K3951" s="19" t="n">
        <v>211.74</v>
      </c>
      <c r="L3951" s="15" t="n">
        <f aca="false">YEAR(B3951)</f>
        <v>2024</v>
      </c>
      <c r="M3951" s="20" t="n">
        <f aca="false">IF(J3951&gt;0,K3951/J3951,0)</f>
        <v>0.258474834897887</v>
      </c>
    </row>
    <row r="3952" customFormat="false" ht="15" hidden="false" customHeight="false" outlineLevel="0" collapsed="false">
      <c r="A3952" s="15" t="s">
        <v>4009</v>
      </c>
      <c r="B3952" s="16" t="n">
        <v>44893</v>
      </c>
      <c r="C3952" s="15" t="s">
        <v>71</v>
      </c>
      <c r="D3952" s="15" t="s">
        <v>43</v>
      </c>
      <c r="E3952" s="15" t="s">
        <v>39</v>
      </c>
      <c r="F3952" s="15" t="s">
        <v>18</v>
      </c>
      <c r="G3952" s="15" t="s">
        <v>32</v>
      </c>
      <c r="H3952" s="15" t="n">
        <v>2</v>
      </c>
      <c r="I3952" s="17" t="n">
        <v>0</v>
      </c>
      <c r="J3952" s="18" t="n">
        <v>964.46</v>
      </c>
      <c r="K3952" s="19" t="n">
        <v>192.08</v>
      </c>
      <c r="L3952" s="15" t="n">
        <f aca="false">YEAR(B3952)</f>
        <v>2022</v>
      </c>
      <c r="M3952" s="20" t="n">
        <f aca="false">IF(J3952&gt;0,K3952/J3952,0)</f>
        <v>0.199158078095515</v>
      </c>
    </row>
    <row r="3953" customFormat="false" ht="15" hidden="false" customHeight="false" outlineLevel="0" collapsed="false">
      <c r="A3953" s="15" t="s">
        <v>4010</v>
      </c>
      <c r="B3953" s="16" t="n">
        <v>45537</v>
      </c>
      <c r="C3953" s="15" t="s">
        <v>56</v>
      </c>
      <c r="D3953" s="15" t="s">
        <v>42</v>
      </c>
      <c r="E3953" s="15" t="s">
        <v>37</v>
      </c>
      <c r="F3953" s="15" t="s">
        <v>17</v>
      </c>
      <c r="G3953" s="15" t="s">
        <v>28</v>
      </c>
      <c r="H3953" s="15" t="n">
        <v>5</v>
      </c>
      <c r="I3953" s="17" t="n">
        <v>0.2</v>
      </c>
      <c r="J3953" s="18" t="n">
        <v>97.26</v>
      </c>
      <c r="K3953" s="19" t="n">
        <v>12.33</v>
      </c>
      <c r="L3953" s="15" t="n">
        <f aca="false">YEAR(B3953)</f>
        <v>2024</v>
      </c>
      <c r="M3953" s="20" t="n">
        <f aca="false">IF(J3953&gt;0,K3953/J3953,0)</f>
        <v>0.126773596545342</v>
      </c>
    </row>
    <row r="3954" customFormat="false" ht="15" hidden="false" customHeight="false" outlineLevel="0" collapsed="false">
      <c r="A3954" s="15" t="s">
        <v>4011</v>
      </c>
      <c r="B3954" s="16" t="n">
        <v>45448</v>
      </c>
      <c r="C3954" s="15" t="s">
        <v>58</v>
      </c>
      <c r="D3954" s="15" t="s">
        <v>42</v>
      </c>
      <c r="E3954" s="15" t="s">
        <v>39</v>
      </c>
      <c r="F3954" s="15" t="s">
        <v>17</v>
      </c>
      <c r="G3954" s="15" t="s">
        <v>29</v>
      </c>
      <c r="H3954" s="15" t="n">
        <v>3</v>
      </c>
      <c r="I3954" s="17" t="n">
        <v>0</v>
      </c>
      <c r="J3954" s="18" t="n">
        <v>58.07</v>
      </c>
      <c r="K3954" s="19" t="n">
        <v>18.38</v>
      </c>
      <c r="L3954" s="15" t="n">
        <f aca="false">YEAR(B3954)</f>
        <v>2024</v>
      </c>
      <c r="M3954" s="20" t="n">
        <f aca="false">IF(J3954&gt;0,K3954/J3954,0)</f>
        <v>0.316514551403479</v>
      </c>
    </row>
    <row r="3955" customFormat="false" ht="15" hidden="false" customHeight="false" outlineLevel="0" collapsed="false">
      <c r="A3955" s="15" t="s">
        <v>4012</v>
      </c>
      <c r="B3955" s="16" t="n">
        <v>45089</v>
      </c>
      <c r="C3955" s="15" t="s">
        <v>58</v>
      </c>
      <c r="D3955" s="15" t="s">
        <v>42</v>
      </c>
      <c r="E3955" s="15" t="s">
        <v>36</v>
      </c>
      <c r="F3955" s="15" t="s">
        <v>17</v>
      </c>
      <c r="G3955" s="15" t="s">
        <v>28</v>
      </c>
      <c r="H3955" s="15" t="n">
        <v>4</v>
      </c>
      <c r="I3955" s="17" t="n">
        <v>0.1</v>
      </c>
      <c r="J3955" s="18" t="n">
        <v>89.55</v>
      </c>
      <c r="K3955" s="19" t="n">
        <v>14.55</v>
      </c>
      <c r="L3955" s="15" t="n">
        <f aca="false">YEAR(B3955)</f>
        <v>2023</v>
      </c>
      <c r="M3955" s="20" t="n">
        <f aca="false">IF(J3955&gt;0,K3955/J3955,0)</f>
        <v>0.162479061976549</v>
      </c>
    </row>
    <row r="3956" customFormat="false" ht="15" hidden="false" customHeight="false" outlineLevel="0" collapsed="false">
      <c r="A3956" s="15" t="s">
        <v>4013</v>
      </c>
      <c r="B3956" s="16" t="n">
        <v>44965</v>
      </c>
      <c r="C3956" s="15" t="s">
        <v>71</v>
      </c>
      <c r="D3956" s="15" t="s">
        <v>44</v>
      </c>
      <c r="E3956" s="15" t="s">
        <v>37</v>
      </c>
      <c r="F3956" s="15" t="s">
        <v>17</v>
      </c>
      <c r="G3956" s="15" t="s">
        <v>29</v>
      </c>
      <c r="H3956" s="15" t="n">
        <v>3</v>
      </c>
      <c r="I3956" s="17" t="n">
        <v>0.3</v>
      </c>
      <c r="J3956" s="18" t="n">
        <v>41.22</v>
      </c>
      <c r="K3956" s="19" t="n">
        <v>2.98</v>
      </c>
      <c r="L3956" s="15" t="n">
        <f aca="false">YEAR(B3956)</f>
        <v>2023</v>
      </c>
      <c r="M3956" s="20" t="n">
        <f aca="false">IF(J3956&gt;0,K3956/J3956,0)</f>
        <v>0.0722950024260068</v>
      </c>
    </row>
    <row r="3957" customFormat="false" ht="15" hidden="false" customHeight="false" outlineLevel="0" collapsed="false">
      <c r="A3957" s="15" t="s">
        <v>4014</v>
      </c>
      <c r="B3957" s="16" t="n">
        <v>44833</v>
      </c>
      <c r="C3957" s="15" t="s">
        <v>68</v>
      </c>
      <c r="D3957" s="15" t="s">
        <v>44</v>
      </c>
      <c r="E3957" s="15" t="s">
        <v>38</v>
      </c>
      <c r="F3957" s="15" t="s">
        <v>18</v>
      </c>
      <c r="G3957" s="15" t="s">
        <v>32</v>
      </c>
      <c r="H3957" s="15" t="n">
        <v>4</v>
      </c>
      <c r="I3957" s="17" t="n">
        <v>0</v>
      </c>
      <c r="J3957" s="18" t="n">
        <v>1766.9</v>
      </c>
      <c r="K3957" s="19" t="n">
        <v>302.94</v>
      </c>
      <c r="L3957" s="15" t="n">
        <f aca="false">YEAR(B3957)</f>
        <v>2022</v>
      </c>
      <c r="M3957" s="20" t="n">
        <f aca="false">IF(J3957&gt;0,K3957/J3957,0)</f>
        <v>0.171452826985115</v>
      </c>
    </row>
    <row r="3958" customFormat="false" ht="15" hidden="false" customHeight="false" outlineLevel="0" collapsed="false">
      <c r="A3958" s="15" t="s">
        <v>4015</v>
      </c>
      <c r="B3958" s="16" t="n">
        <v>45614</v>
      </c>
      <c r="C3958" s="15" t="s">
        <v>56</v>
      </c>
      <c r="D3958" s="15" t="s">
        <v>44</v>
      </c>
      <c r="E3958" s="15" t="s">
        <v>37</v>
      </c>
      <c r="F3958" s="15" t="s">
        <v>16</v>
      </c>
      <c r="G3958" s="15" t="s">
        <v>23</v>
      </c>
      <c r="H3958" s="15" t="n">
        <v>3</v>
      </c>
      <c r="I3958" s="17" t="n">
        <v>0.2</v>
      </c>
      <c r="J3958" s="18" t="n">
        <v>633.98</v>
      </c>
      <c r="K3958" s="19" t="n">
        <v>-90.75</v>
      </c>
      <c r="L3958" s="15" t="n">
        <f aca="false">YEAR(B3958)</f>
        <v>2024</v>
      </c>
      <c r="M3958" s="20" t="n">
        <f aca="false">IF(J3958&gt;0,K3958/J3958,0)</f>
        <v>-0.143143316823875</v>
      </c>
    </row>
    <row r="3959" customFormat="false" ht="15" hidden="false" customHeight="false" outlineLevel="0" collapsed="false">
      <c r="A3959" s="15" t="s">
        <v>4016</v>
      </c>
      <c r="B3959" s="16" t="n">
        <v>45221</v>
      </c>
      <c r="C3959" s="15" t="s">
        <v>71</v>
      </c>
      <c r="D3959" s="15" t="s">
        <v>42</v>
      </c>
      <c r="E3959" s="15" t="s">
        <v>37</v>
      </c>
      <c r="F3959" s="15" t="s">
        <v>17</v>
      </c>
      <c r="G3959" s="15" t="s">
        <v>28</v>
      </c>
      <c r="H3959" s="15" t="n">
        <v>2</v>
      </c>
      <c r="I3959" s="17" t="n">
        <v>0.2</v>
      </c>
      <c r="J3959" s="18" t="n">
        <v>36.46</v>
      </c>
      <c r="K3959" s="19" t="n">
        <v>4.63</v>
      </c>
      <c r="L3959" s="15" t="n">
        <f aca="false">YEAR(B3959)</f>
        <v>2023</v>
      </c>
      <c r="M3959" s="20" t="n">
        <f aca="false">IF(J3959&gt;0,K3959/J3959,0)</f>
        <v>0.126988480526605</v>
      </c>
    </row>
    <row r="3960" customFormat="false" ht="15" hidden="false" customHeight="false" outlineLevel="0" collapsed="false">
      <c r="A3960" s="15" t="s">
        <v>4017</v>
      </c>
      <c r="B3960" s="16" t="n">
        <v>44821</v>
      </c>
      <c r="C3960" s="15" t="s">
        <v>71</v>
      </c>
      <c r="D3960" s="15" t="s">
        <v>43</v>
      </c>
      <c r="E3960" s="15" t="s">
        <v>39</v>
      </c>
      <c r="F3960" s="15" t="s">
        <v>17</v>
      </c>
      <c r="G3960" s="15" t="s">
        <v>28</v>
      </c>
      <c r="H3960" s="15" t="n">
        <v>4</v>
      </c>
      <c r="I3960" s="17" t="n">
        <v>0.2</v>
      </c>
      <c r="J3960" s="18" t="n">
        <v>91.29</v>
      </c>
      <c r="K3960" s="19" t="n">
        <v>13.81</v>
      </c>
      <c r="L3960" s="15" t="n">
        <f aca="false">YEAR(B3960)</f>
        <v>2022</v>
      </c>
      <c r="M3960" s="20" t="n">
        <f aca="false">IF(J3960&gt;0,K3960/J3960,0)</f>
        <v>0.151276152919268</v>
      </c>
    </row>
    <row r="3961" customFormat="false" ht="15" hidden="false" customHeight="false" outlineLevel="0" collapsed="false">
      <c r="A3961" s="15" t="s">
        <v>4018</v>
      </c>
      <c r="B3961" s="16" t="n">
        <v>45721</v>
      </c>
      <c r="C3961" s="15" t="s">
        <v>56</v>
      </c>
      <c r="D3961" s="15" t="s">
        <v>44</v>
      </c>
      <c r="E3961" s="15" t="s">
        <v>38</v>
      </c>
      <c r="F3961" s="15" t="s">
        <v>17</v>
      </c>
      <c r="G3961" s="15" t="s">
        <v>26</v>
      </c>
      <c r="H3961" s="15" t="n">
        <v>4</v>
      </c>
      <c r="I3961" s="17" t="n">
        <v>0</v>
      </c>
      <c r="J3961" s="18" t="n">
        <v>372.08</v>
      </c>
      <c r="K3961" s="19" t="n">
        <v>51.73</v>
      </c>
      <c r="L3961" s="15" t="n">
        <f aca="false">YEAR(B3961)</f>
        <v>2025</v>
      </c>
      <c r="M3961" s="20" t="n">
        <f aca="false">IF(J3961&gt;0,K3961/J3961,0)</f>
        <v>0.139029241023436</v>
      </c>
    </row>
    <row r="3962" customFormat="false" ht="15" hidden="false" customHeight="false" outlineLevel="0" collapsed="false">
      <c r="A3962" s="15" t="s">
        <v>4019</v>
      </c>
      <c r="B3962" s="16" t="n">
        <v>44916</v>
      </c>
      <c r="C3962" s="15" t="s">
        <v>56</v>
      </c>
      <c r="D3962" s="15" t="s">
        <v>44</v>
      </c>
      <c r="E3962" s="15" t="s">
        <v>39</v>
      </c>
      <c r="F3962" s="15" t="s">
        <v>17</v>
      </c>
      <c r="G3962" s="15" t="s">
        <v>26</v>
      </c>
      <c r="H3962" s="15" t="n">
        <v>1</v>
      </c>
      <c r="I3962" s="17" t="n">
        <v>0</v>
      </c>
      <c r="J3962" s="18" t="n">
        <v>90.17</v>
      </c>
      <c r="K3962" s="19" t="n">
        <v>14.85</v>
      </c>
      <c r="L3962" s="15" t="n">
        <f aca="false">YEAR(B3962)</f>
        <v>2022</v>
      </c>
      <c r="M3962" s="20" t="n">
        <f aca="false">IF(J3962&gt;0,K3962/J3962,0)</f>
        <v>0.164688920927138</v>
      </c>
    </row>
    <row r="3963" customFormat="false" ht="15" hidden="false" customHeight="false" outlineLevel="0" collapsed="false">
      <c r="A3963" s="15" t="s">
        <v>4020</v>
      </c>
      <c r="B3963" s="16" t="n">
        <v>44685</v>
      </c>
      <c r="C3963" s="15" t="s">
        <v>68</v>
      </c>
      <c r="D3963" s="15" t="s">
        <v>43</v>
      </c>
      <c r="E3963" s="15" t="s">
        <v>36</v>
      </c>
      <c r="F3963" s="15" t="s">
        <v>18</v>
      </c>
      <c r="G3963" s="15" t="s">
        <v>30</v>
      </c>
      <c r="H3963" s="15" t="n">
        <v>3</v>
      </c>
      <c r="I3963" s="17" t="n">
        <v>0.15</v>
      </c>
      <c r="J3963" s="18" t="n">
        <v>87.16</v>
      </c>
      <c r="K3963" s="19" t="n">
        <v>13.38</v>
      </c>
      <c r="L3963" s="15" t="n">
        <f aca="false">YEAR(B3963)</f>
        <v>2022</v>
      </c>
      <c r="M3963" s="20" t="n">
        <f aca="false">IF(J3963&gt;0,K3963/J3963,0)</f>
        <v>0.153510784763653</v>
      </c>
    </row>
    <row r="3964" customFormat="false" ht="15" hidden="false" customHeight="false" outlineLevel="0" collapsed="false">
      <c r="A3964" s="15" t="s">
        <v>4021</v>
      </c>
      <c r="B3964" s="16" t="n">
        <v>45977</v>
      </c>
      <c r="C3964" s="15" t="s">
        <v>56</v>
      </c>
      <c r="D3964" s="15" t="s">
        <v>42</v>
      </c>
      <c r="E3964" s="15" t="s">
        <v>39</v>
      </c>
      <c r="F3964" s="15" t="s">
        <v>16</v>
      </c>
      <c r="G3964" s="15" t="s">
        <v>27</v>
      </c>
      <c r="H3964" s="15" t="n">
        <v>3</v>
      </c>
      <c r="I3964" s="17" t="n">
        <v>0.1</v>
      </c>
      <c r="J3964" s="18" t="n">
        <v>176.42</v>
      </c>
      <c r="K3964" s="19" t="n">
        <v>31.26</v>
      </c>
      <c r="L3964" s="15" t="n">
        <f aca="false">YEAR(B3964)</f>
        <v>2025</v>
      </c>
      <c r="M3964" s="20" t="n">
        <f aca="false">IF(J3964&gt;0,K3964/J3964,0)</f>
        <v>0.177190794694479</v>
      </c>
    </row>
    <row r="3965" customFormat="false" ht="15" hidden="false" customHeight="false" outlineLevel="0" collapsed="false">
      <c r="A3965" s="15" t="s">
        <v>4022</v>
      </c>
      <c r="B3965" s="16" t="n">
        <v>44564</v>
      </c>
      <c r="C3965" s="15" t="s">
        <v>56</v>
      </c>
      <c r="D3965" s="15" t="s">
        <v>42</v>
      </c>
      <c r="E3965" s="15" t="s">
        <v>37</v>
      </c>
      <c r="F3965" s="15" t="s">
        <v>17</v>
      </c>
      <c r="G3965" s="15" t="s">
        <v>26</v>
      </c>
      <c r="H3965" s="15" t="n">
        <v>4</v>
      </c>
      <c r="I3965" s="17" t="n">
        <v>0</v>
      </c>
      <c r="J3965" s="18" t="n">
        <v>360.14</v>
      </c>
      <c r="K3965" s="19" t="n">
        <v>33.49</v>
      </c>
      <c r="L3965" s="15" t="n">
        <f aca="false">YEAR(B3965)</f>
        <v>2022</v>
      </c>
      <c r="M3965" s="20" t="n">
        <f aca="false">IF(J3965&gt;0,K3965/J3965,0)</f>
        <v>0.0929916143721886</v>
      </c>
    </row>
    <row r="3966" customFormat="false" ht="15" hidden="false" customHeight="false" outlineLevel="0" collapsed="false">
      <c r="A3966" s="15" t="s">
        <v>4023</v>
      </c>
      <c r="B3966" s="16" t="n">
        <v>44773</v>
      </c>
      <c r="C3966" s="15" t="s">
        <v>56</v>
      </c>
      <c r="D3966" s="15" t="s">
        <v>42</v>
      </c>
      <c r="E3966" s="15" t="s">
        <v>37</v>
      </c>
      <c r="F3966" s="15" t="s">
        <v>18</v>
      </c>
      <c r="G3966" s="15" t="s">
        <v>32</v>
      </c>
      <c r="H3966" s="15" t="n">
        <v>6</v>
      </c>
      <c r="I3966" s="17" t="n">
        <v>0</v>
      </c>
      <c r="J3966" s="18" t="n">
        <v>2470.75</v>
      </c>
      <c r="K3966" s="19" t="n">
        <v>427.15</v>
      </c>
      <c r="L3966" s="15" t="n">
        <f aca="false">YEAR(B3966)</f>
        <v>2022</v>
      </c>
      <c r="M3966" s="20" t="n">
        <f aca="false">IF(J3966&gt;0,K3966/J3966,0)</f>
        <v>0.172882727916624</v>
      </c>
    </row>
    <row r="3967" customFormat="false" ht="15" hidden="false" customHeight="false" outlineLevel="0" collapsed="false">
      <c r="A3967" s="15" t="s">
        <v>4024</v>
      </c>
      <c r="B3967" s="16" t="n">
        <v>45212</v>
      </c>
      <c r="C3967" s="15" t="s">
        <v>58</v>
      </c>
      <c r="D3967" s="15" t="s">
        <v>42</v>
      </c>
      <c r="E3967" s="15" t="s">
        <v>36</v>
      </c>
      <c r="F3967" s="15" t="s">
        <v>18</v>
      </c>
      <c r="G3967" s="15" t="s">
        <v>24</v>
      </c>
      <c r="H3967" s="15" t="n">
        <v>1</v>
      </c>
      <c r="I3967" s="17" t="n">
        <v>0.1</v>
      </c>
      <c r="J3967" s="18" t="n">
        <v>459.44</v>
      </c>
      <c r="K3967" s="19" t="n">
        <v>0.46</v>
      </c>
      <c r="L3967" s="15" t="n">
        <f aca="false">YEAR(B3967)</f>
        <v>2023</v>
      </c>
      <c r="M3967" s="20" t="n">
        <f aca="false">IF(J3967&gt;0,K3967/J3967,0)</f>
        <v>0.00100121887515236</v>
      </c>
    </row>
    <row r="3968" customFormat="false" ht="15" hidden="false" customHeight="false" outlineLevel="0" collapsed="false">
      <c r="A3968" s="15" t="s">
        <v>4025</v>
      </c>
      <c r="B3968" s="16" t="n">
        <v>44782</v>
      </c>
      <c r="C3968" s="15" t="s">
        <v>56</v>
      </c>
      <c r="D3968" s="15" t="s">
        <v>44</v>
      </c>
      <c r="E3968" s="15" t="s">
        <v>38</v>
      </c>
      <c r="F3968" s="15" t="s">
        <v>17</v>
      </c>
      <c r="G3968" s="15" t="s">
        <v>26</v>
      </c>
      <c r="H3968" s="15" t="n">
        <v>4</v>
      </c>
      <c r="I3968" s="17" t="n">
        <v>0.1</v>
      </c>
      <c r="J3968" s="18" t="n">
        <v>264.22</v>
      </c>
      <c r="K3968" s="19" t="n">
        <v>12.09</v>
      </c>
      <c r="L3968" s="15" t="n">
        <f aca="false">YEAR(B3968)</f>
        <v>2022</v>
      </c>
      <c r="M3968" s="20" t="n">
        <f aca="false">IF(J3968&gt;0,K3968/J3968,0)</f>
        <v>0.0457573234425857</v>
      </c>
    </row>
    <row r="3969" customFormat="false" ht="15" hidden="false" customHeight="false" outlineLevel="0" collapsed="false">
      <c r="A3969" s="15" t="s">
        <v>4026</v>
      </c>
      <c r="B3969" s="16" t="n">
        <v>45244</v>
      </c>
      <c r="C3969" s="15" t="s">
        <v>56</v>
      </c>
      <c r="D3969" s="15" t="s">
        <v>42</v>
      </c>
      <c r="E3969" s="15" t="s">
        <v>38</v>
      </c>
      <c r="F3969" s="15" t="s">
        <v>17</v>
      </c>
      <c r="G3969" s="15" t="s">
        <v>28</v>
      </c>
      <c r="H3969" s="15" t="n">
        <v>5</v>
      </c>
      <c r="I3969" s="17" t="n">
        <v>0.05</v>
      </c>
      <c r="J3969" s="18" t="n">
        <v>100.98</v>
      </c>
      <c r="K3969" s="19" t="n">
        <v>21.85</v>
      </c>
      <c r="L3969" s="15" t="n">
        <f aca="false">YEAR(B3969)</f>
        <v>2023</v>
      </c>
      <c r="M3969" s="20" t="n">
        <f aca="false">IF(J3969&gt;0,K3969/J3969,0)</f>
        <v>0.216379481085363</v>
      </c>
    </row>
    <row r="3970" customFormat="false" ht="15" hidden="false" customHeight="false" outlineLevel="0" collapsed="false">
      <c r="A3970" s="15" t="s">
        <v>4027</v>
      </c>
      <c r="B3970" s="16" t="n">
        <v>44737</v>
      </c>
      <c r="C3970" s="15" t="s">
        <v>58</v>
      </c>
      <c r="D3970" s="15" t="s">
        <v>43</v>
      </c>
      <c r="E3970" s="15" t="s">
        <v>36</v>
      </c>
      <c r="F3970" s="15" t="s">
        <v>17</v>
      </c>
      <c r="G3970" s="15" t="s">
        <v>31</v>
      </c>
      <c r="H3970" s="15" t="n">
        <v>4</v>
      </c>
      <c r="I3970" s="17" t="n">
        <v>0.05</v>
      </c>
      <c r="J3970" s="18" t="n">
        <v>458.14</v>
      </c>
      <c r="K3970" s="19" t="n">
        <v>31.49</v>
      </c>
      <c r="L3970" s="15" t="n">
        <f aca="false">YEAR(B3970)</f>
        <v>2022</v>
      </c>
      <c r="M3970" s="20" t="n">
        <f aca="false">IF(J3970&gt;0,K3970/J3970,0)</f>
        <v>0.068734447985332</v>
      </c>
    </row>
    <row r="3971" customFormat="false" ht="15" hidden="false" customHeight="false" outlineLevel="0" collapsed="false">
      <c r="A3971" s="15" t="s">
        <v>4028</v>
      </c>
      <c r="B3971" s="16" t="n">
        <v>45876</v>
      </c>
      <c r="C3971" s="15" t="s">
        <v>71</v>
      </c>
      <c r="D3971" s="15" t="s">
        <v>42</v>
      </c>
      <c r="E3971" s="15" t="s">
        <v>36</v>
      </c>
      <c r="F3971" s="15" t="s">
        <v>16</v>
      </c>
      <c r="G3971" s="15" t="s">
        <v>27</v>
      </c>
      <c r="H3971" s="15" t="n">
        <v>4</v>
      </c>
      <c r="I3971" s="17" t="n">
        <v>0</v>
      </c>
      <c r="J3971" s="18" t="n">
        <v>299.11</v>
      </c>
      <c r="K3971" s="19" t="n">
        <v>56.71</v>
      </c>
      <c r="L3971" s="15" t="n">
        <f aca="false">YEAR(B3971)</f>
        <v>2025</v>
      </c>
      <c r="M3971" s="20" t="n">
        <f aca="false">IF(J3971&gt;0,K3971/J3971,0)</f>
        <v>0.189595800875932</v>
      </c>
    </row>
    <row r="3972" customFormat="false" ht="15" hidden="false" customHeight="false" outlineLevel="0" collapsed="false">
      <c r="A3972" s="15" t="s">
        <v>4029</v>
      </c>
      <c r="B3972" s="16" t="n">
        <v>46022</v>
      </c>
      <c r="C3972" s="15" t="s">
        <v>56</v>
      </c>
      <c r="D3972" s="15" t="s">
        <v>42</v>
      </c>
      <c r="E3972" s="15" t="s">
        <v>36</v>
      </c>
      <c r="F3972" s="15" t="s">
        <v>17</v>
      </c>
      <c r="G3972" s="15" t="s">
        <v>29</v>
      </c>
      <c r="H3972" s="15" t="n">
        <v>3</v>
      </c>
      <c r="I3972" s="17" t="n">
        <v>0.05</v>
      </c>
      <c r="J3972" s="18" t="n">
        <v>50.78</v>
      </c>
      <c r="K3972" s="19" t="n">
        <v>18.84</v>
      </c>
      <c r="L3972" s="15" t="n">
        <f aca="false">YEAR(B3972)</f>
        <v>2025</v>
      </c>
      <c r="M3972" s="20" t="n">
        <f aca="false">IF(J3972&gt;0,K3972/J3972,0)</f>
        <v>0.371012209531312</v>
      </c>
    </row>
    <row r="3973" customFormat="false" ht="15" hidden="false" customHeight="false" outlineLevel="0" collapsed="false">
      <c r="A3973" s="15" t="s">
        <v>4030</v>
      </c>
      <c r="B3973" s="16" t="n">
        <v>45797</v>
      </c>
      <c r="C3973" s="15" t="s">
        <v>56</v>
      </c>
      <c r="D3973" s="15" t="s">
        <v>44</v>
      </c>
      <c r="E3973" s="15" t="s">
        <v>36</v>
      </c>
      <c r="F3973" s="15" t="s">
        <v>17</v>
      </c>
      <c r="G3973" s="15" t="s">
        <v>29</v>
      </c>
      <c r="H3973" s="15" t="n">
        <v>2</v>
      </c>
      <c r="I3973" s="17" t="n">
        <v>0</v>
      </c>
      <c r="J3973" s="18" t="n">
        <v>31.89</v>
      </c>
      <c r="K3973" s="19" t="n">
        <v>11.34</v>
      </c>
      <c r="L3973" s="15" t="n">
        <f aca="false">YEAR(B3973)</f>
        <v>2025</v>
      </c>
      <c r="M3973" s="20" t="n">
        <f aca="false">IF(J3973&gt;0,K3973/J3973,0)</f>
        <v>0.355597365945437</v>
      </c>
    </row>
    <row r="3974" customFormat="false" ht="15" hidden="false" customHeight="false" outlineLevel="0" collapsed="false">
      <c r="A3974" s="15" t="s">
        <v>4031</v>
      </c>
      <c r="B3974" s="16" t="n">
        <v>45991</v>
      </c>
      <c r="C3974" s="15" t="s">
        <v>71</v>
      </c>
      <c r="D3974" s="15" t="s">
        <v>42</v>
      </c>
      <c r="E3974" s="15" t="s">
        <v>37</v>
      </c>
      <c r="F3974" s="15" t="s">
        <v>17</v>
      </c>
      <c r="G3974" s="15" t="s">
        <v>28</v>
      </c>
      <c r="H3974" s="15" t="n">
        <v>3</v>
      </c>
      <c r="I3974" s="17" t="n">
        <v>0.2</v>
      </c>
      <c r="J3974" s="18" t="n">
        <v>51.02</v>
      </c>
      <c r="K3974" s="19" t="n">
        <v>6.61</v>
      </c>
      <c r="L3974" s="15" t="n">
        <f aca="false">YEAR(B3974)</f>
        <v>2025</v>
      </c>
      <c r="M3974" s="20" t="n">
        <f aca="false">IF(J3974&gt;0,K3974/J3974,0)</f>
        <v>0.129557036456292</v>
      </c>
    </row>
    <row r="3975" customFormat="false" ht="15" hidden="false" customHeight="false" outlineLevel="0" collapsed="false">
      <c r="A3975" s="15" t="s">
        <v>4032</v>
      </c>
      <c r="B3975" s="16" t="n">
        <v>45533</v>
      </c>
      <c r="C3975" s="15" t="s">
        <v>56</v>
      </c>
      <c r="D3975" s="15" t="s">
        <v>44</v>
      </c>
      <c r="E3975" s="15" t="s">
        <v>36</v>
      </c>
      <c r="F3975" s="15" t="s">
        <v>18</v>
      </c>
      <c r="G3975" s="15" t="s">
        <v>32</v>
      </c>
      <c r="H3975" s="15" t="n">
        <v>5</v>
      </c>
      <c r="I3975" s="17" t="n">
        <v>0.1</v>
      </c>
      <c r="J3975" s="18" t="n">
        <v>1989.19</v>
      </c>
      <c r="K3975" s="19" t="n">
        <v>275.64</v>
      </c>
      <c r="L3975" s="15" t="n">
        <f aca="false">YEAR(B3975)</f>
        <v>2024</v>
      </c>
      <c r="M3975" s="20" t="n">
        <f aca="false">IF(J3975&gt;0,K3975/J3975,0)</f>
        <v>0.138568965257215</v>
      </c>
    </row>
    <row r="3976" customFormat="false" ht="15" hidden="false" customHeight="false" outlineLevel="0" collapsed="false">
      <c r="A3976" s="15" t="s">
        <v>4033</v>
      </c>
      <c r="B3976" s="16" t="n">
        <v>44880</v>
      </c>
      <c r="C3976" s="15" t="s">
        <v>56</v>
      </c>
      <c r="D3976" s="15" t="s">
        <v>43</v>
      </c>
      <c r="E3976" s="15" t="s">
        <v>39</v>
      </c>
      <c r="F3976" s="15" t="s">
        <v>16</v>
      </c>
      <c r="G3976" s="15" t="s">
        <v>23</v>
      </c>
      <c r="H3976" s="15" t="n">
        <v>4</v>
      </c>
      <c r="I3976" s="17" t="n">
        <v>0.1</v>
      </c>
      <c r="J3976" s="18" t="n">
        <v>1132.89</v>
      </c>
      <c r="K3976" s="19" t="n">
        <v>-99.13</v>
      </c>
      <c r="L3976" s="15" t="n">
        <f aca="false">YEAR(B3976)</f>
        <v>2022</v>
      </c>
      <c r="M3976" s="20" t="n">
        <f aca="false">IF(J3976&gt;0,K3976/J3976,0)</f>
        <v>-0.0875018757337429</v>
      </c>
    </row>
    <row r="3977" customFormat="false" ht="15" hidden="false" customHeight="false" outlineLevel="0" collapsed="false">
      <c r="A3977" s="15" t="s">
        <v>4034</v>
      </c>
      <c r="B3977" s="16" t="n">
        <v>45598</v>
      </c>
      <c r="C3977" s="15" t="s">
        <v>56</v>
      </c>
      <c r="D3977" s="15" t="s">
        <v>43</v>
      </c>
      <c r="E3977" s="15" t="s">
        <v>37</v>
      </c>
      <c r="F3977" s="15" t="s">
        <v>16</v>
      </c>
      <c r="G3977" s="15" t="s">
        <v>27</v>
      </c>
      <c r="H3977" s="15" t="n">
        <v>1</v>
      </c>
      <c r="I3977" s="17" t="n">
        <v>0.3</v>
      </c>
      <c r="J3977" s="18" t="n">
        <v>34.62</v>
      </c>
      <c r="K3977" s="19" t="n">
        <v>-3.83</v>
      </c>
      <c r="L3977" s="15" t="n">
        <f aca="false">YEAR(B3977)</f>
        <v>2024</v>
      </c>
      <c r="M3977" s="20" t="n">
        <f aca="false">IF(J3977&gt;0,K3977/J3977,0)</f>
        <v>-0.110629693818602</v>
      </c>
    </row>
    <row r="3978" customFormat="false" ht="15" hidden="false" customHeight="false" outlineLevel="0" collapsed="false">
      <c r="A3978" s="15" t="s">
        <v>4035</v>
      </c>
      <c r="B3978" s="16" t="n">
        <v>44883</v>
      </c>
      <c r="C3978" s="15" t="s">
        <v>56</v>
      </c>
      <c r="D3978" s="15" t="s">
        <v>44</v>
      </c>
      <c r="E3978" s="15" t="s">
        <v>39</v>
      </c>
      <c r="F3978" s="15" t="s">
        <v>17</v>
      </c>
      <c r="G3978" s="15" t="s">
        <v>26</v>
      </c>
      <c r="H3978" s="15" t="n">
        <v>4</v>
      </c>
      <c r="I3978" s="17" t="n">
        <v>0.15</v>
      </c>
      <c r="J3978" s="18" t="n">
        <v>293.79</v>
      </c>
      <c r="K3978" s="19" t="n">
        <v>-21.71</v>
      </c>
      <c r="L3978" s="15" t="n">
        <f aca="false">YEAR(B3978)</f>
        <v>2022</v>
      </c>
      <c r="M3978" s="20" t="n">
        <f aca="false">IF(J3978&gt;0,K3978/J3978,0)</f>
        <v>-0.0738963205010382</v>
      </c>
    </row>
    <row r="3979" customFormat="false" ht="15" hidden="false" customHeight="false" outlineLevel="0" collapsed="false">
      <c r="A3979" s="15" t="s">
        <v>4036</v>
      </c>
      <c r="B3979" s="16" t="n">
        <v>45786</v>
      </c>
      <c r="C3979" s="15" t="s">
        <v>71</v>
      </c>
      <c r="D3979" s="15" t="s">
        <v>42</v>
      </c>
      <c r="E3979" s="15" t="s">
        <v>39</v>
      </c>
      <c r="F3979" s="15" t="s">
        <v>16</v>
      </c>
      <c r="G3979" s="15" t="s">
        <v>25</v>
      </c>
      <c r="H3979" s="15" t="n">
        <v>2</v>
      </c>
      <c r="I3979" s="17" t="n">
        <v>0</v>
      </c>
      <c r="J3979" s="18" t="n">
        <v>552.63</v>
      </c>
      <c r="K3979" s="19" t="n">
        <v>69.92</v>
      </c>
      <c r="L3979" s="15" t="n">
        <f aca="false">YEAR(B3979)</f>
        <v>2025</v>
      </c>
      <c r="M3979" s="20" t="n">
        <f aca="false">IF(J3979&gt;0,K3979/J3979,0)</f>
        <v>0.126522266254094</v>
      </c>
    </row>
    <row r="3980" customFormat="false" ht="15" hidden="false" customHeight="false" outlineLevel="0" collapsed="false">
      <c r="A3980" s="15" t="s">
        <v>4037</v>
      </c>
      <c r="B3980" s="16" t="n">
        <v>45650</v>
      </c>
      <c r="C3980" s="15" t="s">
        <v>56</v>
      </c>
      <c r="D3980" s="15" t="s">
        <v>44</v>
      </c>
      <c r="E3980" s="15" t="s">
        <v>39</v>
      </c>
      <c r="F3980" s="15" t="s">
        <v>18</v>
      </c>
      <c r="G3980" s="15" t="s">
        <v>32</v>
      </c>
      <c r="H3980" s="15" t="n">
        <v>4</v>
      </c>
      <c r="I3980" s="17" t="n">
        <v>0</v>
      </c>
      <c r="J3980" s="18" t="n">
        <v>2126.04</v>
      </c>
      <c r="K3980" s="19" t="n">
        <v>395.94</v>
      </c>
      <c r="L3980" s="15" t="n">
        <f aca="false">YEAR(B3980)</f>
        <v>2024</v>
      </c>
      <c r="M3980" s="20" t="n">
        <f aca="false">IF(J3980&gt;0,K3980/J3980,0)</f>
        <v>0.186233560986623</v>
      </c>
    </row>
    <row r="3981" customFormat="false" ht="15" hidden="false" customHeight="false" outlineLevel="0" collapsed="false">
      <c r="A3981" s="15" t="s">
        <v>4038</v>
      </c>
      <c r="B3981" s="16" t="n">
        <v>45107</v>
      </c>
      <c r="C3981" s="15" t="s">
        <v>56</v>
      </c>
      <c r="D3981" s="15" t="s">
        <v>44</v>
      </c>
      <c r="E3981" s="15" t="s">
        <v>39</v>
      </c>
      <c r="F3981" s="15" t="s">
        <v>16</v>
      </c>
      <c r="G3981" s="15" t="s">
        <v>25</v>
      </c>
      <c r="H3981" s="15" t="n">
        <v>1</v>
      </c>
      <c r="I3981" s="17" t="n">
        <v>0</v>
      </c>
      <c r="J3981" s="18" t="n">
        <v>300.45</v>
      </c>
      <c r="K3981" s="19" t="n">
        <v>32.81</v>
      </c>
      <c r="L3981" s="15" t="n">
        <f aca="false">YEAR(B3981)</f>
        <v>2023</v>
      </c>
      <c r="M3981" s="20" t="n">
        <f aca="false">IF(J3981&gt;0,K3981/J3981,0)</f>
        <v>0.109202862373107</v>
      </c>
    </row>
    <row r="3982" customFormat="false" ht="15" hidden="false" customHeight="false" outlineLevel="0" collapsed="false">
      <c r="A3982" s="15" t="s">
        <v>4039</v>
      </c>
      <c r="B3982" s="16" t="n">
        <v>45411</v>
      </c>
      <c r="C3982" s="15" t="s">
        <v>56</v>
      </c>
      <c r="D3982" s="15" t="s">
        <v>42</v>
      </c>
      <c r="E3982" s="15" t="s">
        <v>38</v>
      </c>
      <c r="F3982" s="15" t="s">
        <v>17</v>
      </c>
      <c r="G3982" s="15" t="s">
        <v>31</v>
      </c>
      <c r="H3982" s="15" t="n">
        <v>4</v>
      </c>
      <c r="I3982" s="17" t="n">
        <v>0</v>
      </c>
      <c r="J3982" s="18" t="n">
        <v>532.89</v>
      </c>
      <c r="K3982" s="19" t="n">
        <v>130.6</v>
      </c>
      <c r="L3982" s="15" t="n">
        <f aca="false">YEAR(B3982)</f>
        <v>2024</v>
      </c>
      <c r="M3982" s="20" t="n">
        <f aca="false">IF(J3982&gt;0,K3982/J3982,0)</f>
        <v>0.245078721687403</v>
      </c>
    </row>
    <row r="3983" customFormat="false" ht="15" hidden="false" customHeight="false" outlineLevel="0" collapsed="false">
      <c r="A3983" s="15" t="s">
        <v>4040</v>
      </c>
      <c r="B3983" s="16" t="n">
        <v>45424</v>
      </c>
      <c r="C3983" s="15" t="s">
        <v>56</v>
      </c>
      <c r="D3983" s="15" t="s">
        <v>43</v>
      </c>
      <c r="E3983" s="15" t="s">
        <v>38</v>
      </c>
      <c r="F3983" s="15" t="s">
        <v>18</v>
      </c>
      <c r="G3983" s="15" t="s">
        <v>30</v>
      </c>
      <c r="H3983" s="15" t="n">
        <v>3</v>
      </c>
      <c r="I3983" s="17" t="n">
        <v>0.15</v>
      </c>
      <c r="J3983" s="18" t="n">
        <v>108.39</v>
      </c>
      <c r="K3983" s="19" t="n">
        <v>27</v>
      </c>
      <c r="L3983" s="15" t="n">
        <f aca="false">YEAR(B3983)</f>
        <v>2024</v>
      </c>
      <c r="M3983" s="20" t="n">
        <f aca="false">IF(J3983&gt;0,K3983/J3983,0)</f>
        <v>0.249100470523111</v>
      </c>
    </row>
    <row r="3984" customFormat="false" ht="15" hidden="false" customHeight="false" outlineLevel="0" collapsed="false">
      <c r="A3984" s="15" t="s">
        <v>4041</v>
      </c>
      <c r="B3984" s="16" t="n">
        <v>44647</v>
      </c>
      <c r="C3984" s="15" t="s">
        <v>56</v>
      </c>
      <c r="D3984" s="15" t="s">
        <v>44</v>
      </c>
      <c r="E3984" s="15" t="s">
        <v>39</v>
      </c>
      <c r="F3984" s="15" t="s">
        <v>18</v>
      </c>
      <c r="G3984" s="15" t="s">
        <v>30</v>
      </c>
      <c r="H3984" s="15" t="n">
        <v>3</v>
      </c>
      <c r="I3984" s="17" t="n">
        <v>0.5</v>
      </c>
      <c r="J3984" s="18" t="n">
        <v>65.42</v>
      </c>
      <c r="K3984" s="19" t="n">
        <v>-5.59</v>
      </c>
      <c r="L3984" s="15" t="n">
        <f aca="false">YEAR(B3984)</f>
        <v>2022</v>
      </c>
      <c r="M3984" s="20" t="n">
        <f aca="false">IF(J3984&gt;0,K3984/J3984,0)</f>
        <v>-0.0854478752675023</v>
      </c>
    </row>
    <row r="3985" customFormat="false" ht="15" hidden="false" customHeight="false" outlineLevel="0" collapsed="false">
      <c r="A3985" s="15" t="s">
        <v>4042</v>
      </c>
      <c r="B3985" s="16" t="n">
        <v>45755</v>
      </c>
      <c r="C3985" s="15" t="s">
        <v>71</v>
      </c>
      <c r="D3985" s="15" t="s">
        <v>42</v>
      </c>
      <c r="E3985" s="15" t="s">
        <v>37</v>
      </c>
      <c r="F3985" s="15" t="s">
        <v>18</v>
      </c>
      <c r="G3985" s="15" t="s">
        <v>32</v>
      </c>
      <c r="H3985" s="15" t="n">
        <v>3</v>
      </c>
      <c r="I3985" s="17" t="n">
        <v>0.1</v>
      </c>
      <c r="J3985" s="18" t="n">
        <v>961.34</v>
      </c>
      <c r="K3985" s="19" t="n">
        <v>128.39</v>
      </c>
      <c r="L3985" s="15" t="n">
        <f aca="false">YEAR(B3985)</f>
        <v>2025</v>
      </c>
      <c r="M3985" s="20" t="n">
        <f aca="false">IF(J3985&gt;0,K3985/J3985,0)</f>
        <v>0.133553165373333</v>
      </c>
    </row>
    <row r="3986" customFormat="false" ht="15" hidden="false" customHeight="false" outlineLevel="0" collapsed="false">
      <c r="A3986" s="15" t="s">
        <v>4043</v>
      </c>
      <c r="B3986" s="16" t="n">
        <v>45908</v>
      </c>
      <c r="C3986" s="15" t="s">
        <v>71</v>
      </c>
      <c r="D3986" s="15" t="s">
        <v>44</v>
      </c>
      <c r="E3986" s="15" t="s">
        <v>38</v>
      </c>
      <c r="F3986" s="15" t="s">
        <v>16</v>
      </c>
      <c r="G3986" s="15" t="s">
        <v>22</v>
      </c>
      <c r="H3986" s="15" t="n">
        <v>4</v>
      </c>
      <c r="I3986" s="17" t="n">
        <v>0</v>
      </c>
      <c r="J3986" s="18" t="n">
        <v>1871.75</v>
      </c>
      <c r="K3986" s="19" t="n">
        <v>-61.41</v>
      </c>
      <c r="L3986" s="15" t="n">
        <f aca="false">YEAR(B3986)</f>
        <v>2025</v>
      </c>
      <c r="M3986" s="20" t="n">
        <f aca="false">IF(J3986&gt;0,K3986/J3986,0)</f>
        <v>-0.0328088687057566</v>
      </c>
    </row>
    <row r="3987" customFormat="false" ht="15" hidden="false" customHeight="false" outlineLevel="0" collapsed="false">
      <c r="A3987" s="15" t="s">
        <v>4044</v>
      </c>
      <c r="B3987" s="16" t="n">
        <v>45695</v>
      </c>
      <c r="C3987" s="15" t="s">
        <v>68</v>
      </c>
      <c r="D3987" s="15" t="s">
        <v>42</v>
      </c>
      <c r="E3987" s="15" t="s">
        <v>39</v>
      </c>
      <c r="F3987" s="15" t="s">
        <v>17</v>
      </c>
      <c r="G3987" s="15" t="s">
        <v>28</v>
      </c>
      <c r="H3987" s="15" t="n">
        <v>4</v>
      </c>
      <c r="I3987" s="17" t="n">
        <v>0</v>
      </c>
      <c r="J3987" s="18" t="n">
        <v>96.45</v>
      </c>
      <c r="K3987" s="19" t="n">
        <v>27.97</v>
      </c>
      <c r="L3987" s="15" t="n">
        <f aca="false">YEAR(B3987)</f>
        <v>2025</v>
      </c>
      <c r="M3987" s="20" t="n">
        <f aca="false">IF(J3987&gt;0,K3987/J3987,0)</f>
        <v>0.289994815966822</v>
      </c>
    </row>
    <row r="3988" customFormat="false" ht="15" hidden="false" customHeight="false" outlineLevel="0" collapsed="false">
      <c r="A3988" s="15" t="s">
        <v>4045</v>
      </c>
      <c r="B3988" s="16" t="n">
        <v>45211</v>
      </c>
      <c r="C3988" s="15" t="s">
        <v>56</v>
      </c>
      <c r="D3988" s="15" t="s">
        <v>42</v>
      </c>
      <c r="E3988" s="15" t="s">
        <v>39</v>
      </c>
      <c r="F3988" s="15" t="s">
        <v>17</v>
      </c>
      <c r="G3988" s="15" t="s">
        <v>26</v>
      </c>
      <c r="H3988" s="15" t="n">
        <v>4</v>
      </c>
      <c r="I3988" s="17" t="n">
        <v>0</v>
      </c>
      <c r="J3988" s="18" t="n">
        <v>330.42</v>
      </c>
      <c r="K3988" s="19" t="n">
        <v>16.49</v>
      </c>
      <c r="L3988" s="15" t="n">
        <f aca="false">YEAR(B3988)</f>
        <v>2023</v>
      </c>
      <c r="M3988" s="20" t="n">
        <f aca="false">IF(J3988&gt;0,K3988/J3988,0)</f>
        <v>0.0499061800133164</v>
      </c>
    </row>
    <row r="3989" customFormat="false" ht="15" hidden="false" customHeight="false" outlineLevel="0" collapsed="false">
      <c r="A3989" s="15" t="s">
        <v>4046</v>
      </c>
      <c r="B3989" s="16" t="n">
        <v>44592</v>
      </c>
      <c r="C3989" s="15" t="s">
        <v>56</v>
      </c>
      <c r="D3989" s="15" t="s">
        <v>44</v>
      </c>
      <c r="E3989" s="15" t="s">
        <v>37</v>
      </c>
      <c r="F3989" s="15" t="s">
        <v>17</v>
      </c>
      <c r="G3989" s="15" t="s">
        <v>26</v>
      </c>
      <c r="H3989" s="15" t="n">
        <v>3</v>
      </c>
      <c r="I3989" s="17" t="n">
        <v>0</v>
      </c>
      <c r="J3989" s="18" t="n">
        <v>277.8</v>
      </c>
      <c r="K3989" s="19" t="n">
        <v>18.66</v>
      </c>
      <c r="L3989" s="15" t="n">
        <f aca="false">YEAR(B3989)</f>
        <v>2022</v>
      </c>
      <c r="M3989" s="20" t="n">
        <f aca="false">IF(J3989&gt;0,K3989/J3989,0)</f>
        <v>0.067170626349892</v>
      </c>
    </row>
    <row r="3990" customFormat="false" ht="15" hidden="false" customHeight="false" outlineLevel="0" collapsed="false">
      <c r="A3990" s="15" t="s">
        <v>4047</v>
      </c>
      <c r="B3990" s="16" t="n">
        <v>44915</v>
      </c>
      <c r="C3990" s="15" t="s">
        <v>56</v>
      </c>
      <c r="D3990" s="15" t="s">
        <v>43</v>
      </c>
      <c r="E3990" s="15" t="s">
        <v>37</v>
      </c>
      <c r="F3990" s="15" t="s">
        <v>17</v>
      </c>
      <c r="G3990" s="15" t="s">
        <v>29</v>
      </c>
      <c r="H3990" s="15" t="n">
        <v>4</v>
      </c>
      <c r="I3990" s="17" t="n">
        <v>0.2</v>
      </c>
      <c r="J3990" s="18" t="n">
        <v>60.97</v>
      </c>
      <c r="K3990" s="19" t="n">
        <v>13.36</v>
      </c>
      <c r="L3990" s="15" t="n">
        <f aca="false">YEAR(B3990)</f>
        <v>2022</v>
      </c>
      <c r="M3990" s="20" t="n">
        <f aca="false">IF(J3990&gt;0,K3990/J3990,0)</f>
        <v>0.219124159422667</v>
      </c>
    </row>
    <row r="3991" customFormat="false" ht="15" hidden="false" customHeight="false" outlineLevel="0" collapsed="false">
      <c r="A3991" s="15" t="s">
        <v>4048</v>
      </c>
      <c r="B3991" s="16" t="n">
        <v>45756</v>
      </c>
      <c r="C3991" s="15" t="s">
        <v>56</v>
      </c>
      <c r="D3991" s="15" t="s">
        <v>44</v>
      </c>
      <c r="E3991" s="15" t="s">
        <v>37</v>
      </c>
      <c r="F3991" s="15" t="s">
        <v>18</v>
      </c>
      <c r="G3991" s="15" t="s">
        <v>30</v>
      </c>
      <c r="H3991" s="15" t="n">
        <v>3</v>
      </c>
      <c r="I3991" s="17" t="n">
        <v>0.15</v>
      </c>
      <c r="J3991" s="18" t="n">
        <v>125.6</v>
      </c>
      <c r="K3991" s="19" t="n">
        <v>13.99</v>
      </c>
      <c r="L3991" s="15" t="n">
        <f aca="false">YEAR(B3991)</f>
        <v>2025</v>
      </c>
      <c r="M3991" s="20" t="n">
        <f aca="false">IF(J3991&gt;0,K3991/J3991,0)</f>
        <v>0.111385350318471</v>
      </c>
    </row>
    <row r="3992" customFormat="false" ht="15" hidden="false" customHeight="false" outlineLevel="0" collapsed="false">
      <c r="A3992" s="15" t="s">
        <v>4049</v>
      </c>
      <c r="B3992" s="16" t="n">
        <v>44861</v>
      </c>
      <c r="C3992" s="15" t="s">
        <v>68</v>
      </c>
      <c r="D3992" s="15" t="s">
        <v>42</v>
      </c>
      <c r="E3992" s="15" t="s">
        <v>39</v>
      </c>
      <c r="F3992" s="15" t="s">
        <v>17</v>
      </c>
      <c r="G3992" s="15" t="s">
        <v>28</v>
      </c>
      <c r="H3992" s="15" t="n">
        <v>7</v>
      </c>
      <c r="I3992" s="17" t="n">
        <v>0.5</v>
      </c>
      <c r="J3992" s="18" t="n">
        <v>84.32</v>
      </c>
      <c r="K3992" s="19" t="n">
        <v>-16.37</v>
      </c>
      <c r="L3992" s="15" t="n">
        <f aca="false">YEAR(B3992)</f>
        <v>2022</v>
      </c>
      <c r="M3992" s="20" t="n">
        <f aca="false">IF(J3992&gt;0,K3992/J3992,0)</f>
        <v>-0.194141366223909</v>
      </c>
    </row>
    <row r="3993" customFormat="false" ht="15" hidden="false" customHeight="false" outlineLevel="0" collapsed="false">
      <c r="A3993" s="15" t="s">
        <v>4050</v>
      </c>
      <c r="B3993" s="16" t="n">
        <v>45175</v>
      </c>
      <c r="C3993" s="15" t="s">
        <v>56</v>
      </c>
      <c r="D3993" s="15" t="s">
        <v>43</v>
      </c>
      <c r="E3993" s="15" t="s">
        <v>39</v>
      </c>
      <c r="F3993" s="15" t="s">
        <v>17</v>
      </c>
      <c r="G3993" s="15" t="s">
        <v>26</v>
      </c>
      <c r="H3993" s="15" t="n">
        <v>3</v>
      </c>
      <c r="I3993" s="17" t="n">
        <v>0.1</v>
      </c>
      <c r="J3993" s="18" t="n">
        <v>239.99</v>
      </c>
      <c r="K3993" s="19" t="n">
        <v>-8.34</v>
      </c>
      <c r="L3993" s="15" t="n">
        <f aca="false">YEAR(B3993)</f>
        <v>2023</v>
      </c>
      <c r="M3993" s="20" t="n">
        <f aca="false">IF(J3993&gt;0,K3993/J3993,0)</f>
        <v>-0.034751447976999</v>
      </c>
    </row>
    <row r="3994" customFormat="false" ht="15" hidden="false" customHeight="false" outlineLevel="0" collapsed="false">
      <c r="A3994" s="15" t="s">
        <v>4051</v>
      </c>
      <c r="B3994" s="16" t="n">
        <v>45291</v>
      </c>
      <c r="C3994" s="15" t="s">
        <v>56</v>
      </c>
      <c r="D3994" s="15" t="s">
        <v>42</v>
      </c>
      <c r="E3994" s="15" t="s">
        <v>39</v>
      </c>
      <c r="F3994" s="15" t="s">
        <v>16</v>
      </c>
      <c r="G3994" s="15" t="s">
        <v>27</v>
      </c>
      <c r="H3994" s="15" t="n">
        <v>2</v>
      </c>
      <c r="I3994" s="17" t="n">
        <v>0</v>
      </c>
      <c r="J3994" s="18" t="n">
        <v>111.1</v>
      </c>
      <c r="K3994" s="19" t="n">
        <v>20.6</v>
      </c>
      <c r="L3994" s="15" t="n">
        <f aca="false">YEAR(B3994)</f>
        <v>2023</v>
      </c>
      <c r="M3994" s="20" t="n">
        <f aca="false">IF(J3994&gt;0,K3994/J3994,0)</f>
        <v>0.185418541854185</v>
      </c>
    </row>
    <row r="3995" customFormat="false" ht="15" hidden="false" customHeight="false" outlineLevel="0" collapsed="false">
      <c r="A3995" s="15" t="s">
        <v>4052</v>
      </c>
      <c r="B3995" s="16" t="n">
        <v>45560</v>
      </c>
      <c r="C3995" s="15" t="s">
        <v>56</v>
      </c>
      <c r="D3995" s="15" t="s">
        <v>42</v>
      </c>
      <c r="E3995" s="15" t="s">
        <v>38</v>
      </c>
      <c r="F3995" s="15" t="s">
        <v>16</v>
      </c>
      <c r="G3995" s="15" t="s">
        <v>22</v>
      </c>
      <c r="H3995" s="15" t="n">
        <v>5</v>
      </c>
      <c r="I3995" s="17" t="n">
        <v>0</v>
      </c>
      <c r="J3995" s="18" t="n">
        <v>2315.86</v>
      </c>
      <c r="K3995" s="19" t="n">
        <v>-258.31</v>
      </c>
      <c r="L3995" s="15" t="n">
        <f aca="false">YEAR(B3995)</f>
        <v>2024</v>
      </c>
      <c r="M3995" s="20" t="n">
        <f aca="false">IF(J3995&gt;0,K3995/J3995,0)</f>
        <v>-0.111539557658926</v>
      </c>
    </row>
    <row r="3996" customFormat="false" ht="15" hidden="false" customHeight="false" outlineLevel="0" collapsed="false">
      <c r="A3996" s="15" t="s">
        <v>4053</v>
      </c>
      <c r="B3996" s="16" t="n">
        <v>45547</v>
      </c>
      <c r="C3996" s="15" t="s">
        <v>56</v>
      </c>
      <c r="D3996" s="15" t="s">
        <v>42</v>
      </c>
      <c r="E3996" s="15" t="s">
        <v>39</v>
      </c>
      <c r="F3996" s="15" t="s">
        <v>18</v>
      </c>
      <c r="G3996" s="15" t="s">
        <v>32</v>
      </c>
      <c r="H3996" s="15" t="n">
        <v>3</v>
      </c>
      <c r="I3996" s="17" t="n">
        <v>0.1</v>
      </c>
      <c r="J3996" s="18" t="n">
        <v>1206.31</v>
      </c>
      <c r="K3996" s="19" t="n">
        <v>-1.91</v>
      </c>
      <c r="L3996" s="15" t="n">
        <f aca="false">YEAR(B3996)</f>
        <v>2024</v>
      </c>
      <c r="M3996" s="20" t="n">
        <f aca="false">IF(J3996&gt;0,K3996/J3996,0)</f>
        <v>-0.00158334093226451</v>
      </c>
    </row>
    <row r="3997" customFormat="false" ht="15" hidden="false" customHeight="false" outlineLevel="0" collapsed="false">
      <c r="A3997" s="15" t="s">
        <v>4054</v>
      </c>
      <c r="B3997" s="16" t="n">
        <v>45289</v>
      </c>
      <c r="C3997" s="15" t="s">
        <v>58</v>
      </c>
      <c r="D3997" s="15" t="s">
        <v>42</v>
      </c>
      <c r="E3997" s="15" t="s">
        <v>37</v>
      </c>
      <c r="F3997" s="15" t="s">
        <v>18</v>
      </c>
      <c r="G3997" s="15" t="s">
        <v>32</v>
      </c>
      <c r="H3997" s="15" t="n">
        <v>2</v>
      </c>
      <c r="I3997" s="17" t="n">
        <v>0.2</v>
      </c>
      <c r="J3997" s="18" t="n">
        <v>619.41</v>
      </c>
      <c r="K3997" s="19" t="n">
        <v>-1.22</v>
      </c>
      <c r="L3997" s="15" t="n">
        <f aca="false">YEAR(B3997)</f>
        <v>2023</v>
      </c>
      <c r="M3997" s="20" t="n">
        <f aca="false">IF(J3997&gt;0,K3997/J3997,0)</f>
        <v>-0.0019696162477196</v>
      </c>
    </row>
    <row r="3998" customFormat="false" ht="15" hidden="false" customHeight="false" outlineLevel="0" collapsed="false">
      <c r="A3998" s="15" t="s">
        <v>4055</v>
      </c>
      <c r="B3998" s="16" t="n">
        <v>44683</v>
      </c>
      <c r="C3998" s="15" t="s">
        <v>68</v>
      </c>
      <c r="D3998" s="15" t="s">
        <v>44</v>
      </c>
      <c r="E3998" s="15" t="s">
        <v>36</v>
      </c>
      <c r="F3998" s="15" t="s">
        <v>17</v>
      </c>
      <c r="G3998" s="15" t="s">
        <v>31</v>
      </c>
      <c r="H3998" s="15" t="n">
        <v>3</v>
      </c>
      <c r="I3998" s="17" t="n">
        <v>0.1</v>
      </c>
      <c r="J3998" s="18" t="n">
        <v>379</v>
      </c>
      <c r="K3998" s="19" t="n">
        <v>48.8</v>
      </c>
      <c r="L3998" s="15" t="n">
        <f aca="false">YEAR(B3998)</f>
        <v>2022</v>
      </c>
      <c r="M3998" s="20" t="n">
        <f aca="false">IF(J3998&gt;0,K3998/J3998,0)</f>
        <v>0.128759894459103</v>
      </c>
    </row>
    <row r="3999" customFormat="false" ht="15" hidden="false" customHeight="false" outlineLevel="0" collapsed="false">
      <c r="A3999" s="15" t="s">
        <v>4056</v>
      </c>
      <c r="B3999" s="16" t="n">
        <v>45671</v>
      </c>
      <c r="C3999" s="15" t="s">
        <v>56</v>
      </c>
      <c r="D3999" s="15" t="s">
        <v>42</v>
      </c>
      <c r="E3999" s="15" t="s">
        <v>38</v>
      </c>
      <c r="F3999" s="15" t="s">
        <v>17</v>
      </c>
      <c r="G3999" s="15" t="s">
        <v>31</v>
      </c>
      <c r="H3999" s="15" t="n">
        <v>7</v>
      </c>
      <c r="I3999" s="17" t="n">
        <v>0.2</v>
      </c>
      <c r="J3999" s="18" t="n">
        <v>504.25</v>
      </c>
      <c r="K3999" s="19" t="n">
        <v>9.14</v>
      </c>
      <c r="L3999" s="15" t="n">
        <f aca="false">YEAR(B3999)</f>
        <v>2025</v>
      </c>
      <c r="M3999" s="20" t="n">
        <f aca="false">IF(J3999&gt;0,K3999/J3999,0)</f>
        <v>0.0181259295984135</v>
      </c>
    </row>
    <row r="4000" customFormat="false" ht="15" hidden="false" customHeight="false" outlineLevel="0" collapsed="false">
      <c r="A4000" s="15" t="s">
        <v>4057</v>
      </c>
      <c r="B4000" s="16" t="n">
        <v>44957</v>
      </c>
      <c r="C4000" s="15" t="s">
        <v>56</v>
      </c>
      <c r="D4000" s="15" t="s">
        <v>42</v>
      </c>
      <c r="E4000" s="15" t="s">
        <v>36</v>
      </c>
      <c r="F4000" s="15" t="s">
        <v>16</v>
      </c>
      <c r="G4000" s="15" t="s">
        <v>27</v>
      </c>
      <c r="H4000" s="15" t="n">
        <v>2</v>
      </c>
      <c r="I4000" s="17" t="n">
        <v>0</v>
      </c>
      <c r="J4000" s="18" t="n">
        <v>130.28</v>
      </c>
      <c r="K4000" s="19" t="n">
        <v>26.01</v>
      </c>
      <c r="L4000" s="15" t="n">
        <f aca="false">YEAR(B4000)</f>
        <v>2023</v>
      </c>
      <c r="M4000" s="20" t="n">
        <f aca="false">IF(J4000&gt;0,K4000/J4000,0)</f>
        <v>0.199646914338348</v>
      </c>
    </row>
    <row r="4001" customFormat="false" ht="15" hidden="false" customHeight="false" outlineLevel="0" collapsed="false">
      <c r="A4001" s="15" t="s">
        <v>4058</v>
      </c>
      <c r="B4001" s="16" t="n">
        <v>44651</v>
      </c>
      <c r="C4001" s="15" t="s">
        <v>56</v>
      </c>
      <c r="D4001" s="15" t="s">
        <v>43</v>
      </c>
      <c r="E4001" s="15" t="s">
        <v>39</v>
      </c>
      <c r="F4001" s="15" t="s">
        <v>16</v>
      </c>
      <c r="G4001" s="15" t="s">
        <v>27</v>
      </c>
      <c r="H4001" s="15" t="n">
        <v>1</v>
      </c>
      <c r="I4001" s="17" t="n">
        <v>0</v>
      </c>
      <c r="J4001" s="18" t="n">
        <v>75.72</v>
      </c>
      <c r="K4001" s="19" t="n">
        <v>20.09</v>
      </c>
      <c r="L4001" s="15" t="n">
        <f aca="false">YEAR(B4001)</f>
        <v>2022</v>
      </c>
      <c r="M4001" s="20" t="n">
        <f aca="false">IF(J4001&gt;0,K4001/J4001,0)</f>
        <v>0.265319598520866</v>
      </c>
    </row>
    <row r="4002" customFormat="false" ht="15" hidden="false" customHeight="false" outlineLevel="0" collapsed="false">
      <c r="A4002" s="15" t="s">
        <v>4059</v>
      </c>
      <c r="B4002" s="16" t="n">
        <v>45111</v>
      </c>
      <c r="C4002" s="15" t="s">
        <v>56</v>
      </c>
      <c r="D4002" s="15" t="s">
        <v>43</v>
      </c>
      <c r="E4002" s="15" t="s">
        <v>39</v>
      </c>
      <c r="F4002" s="15" t="s">
        <v>17</v>
      </c>
      <c r="G4002" s="15" t="s">
        <v>31</v>
      </c>
      <c r="H4002" s="15" t="n">
        <v>3</v>
      </c>
      <c r="I4002" s="17" t="n">
        <v>0.1</v>
      </c>
      <c r="J4002" s="18" t="n">
        <v>399.52</v>
      </c>
      <c r="K4002" s="19" t="n">
        <v>63.63</v>
      </c>
      <c r="L4002" s="15" t="n">
        <f aca="false">YEAR(B4002)</f>
        <v>2023</v>
      </c>
      <c r="M4002" s="20" t="n">
        <f aca="false">IF(J4002&gt;0,K4002/J4002,0)</f>
        <v>0.159266119343212</v>
      </c>
    </row>
    <row r="4003" customFormat="false" ht="15" hidden="false" customHeight="false" outlineLevel="0" collapsed="false">
      <c r="A4003" s="15" t="s">
        <v>4060</v>
      </c>
      <c r="B4003" s="16" t="n">
        <v>45885</v>
      </c>
      <c r="C4003" s="15" t="s">
        <v>56</v>
      </c>
      <c r="D4003" s="15" t="s">
        <v>42</v>
      </c>
      <c r="E4003" s="15" t="s">
        <v>36</v>
      </c>
      <c r="F4003" s="15" t="s">
        <v>17</v>
      </c>
      <c r="G4003" s="15" t="s">
        <v>29</v>
      </c>
      <c r="H4003" s="15" t="n">
        <v>6</v>
      </c>
      <c r="I4003" s="17" t="n">
        <v>0.15</v>
      </c>
      <c r="J4003" s="18" t="n">
        <v>88.02</v>
      </c>
      <c r="K4003" s="19" t="n">
        <v>20.82</v>
      </c>
      <c r="L4003" s="15" t="n">
        <f aca="false">YEAR(B4003)</f>
        <v>2025</v>
      </c>
      <c r="M4003" s="20" t="n">
        <f aca="false">IF(J4003&gt;0,K4003/J4003,0)</f>
        <v>0.23653715064758</v>
      </c>
    </row>
    <row r="4004" customFormat="false" ht="15" hidden="false" customHeight="false" outlineLevel="0" collapsed="false">
      <c r="A4004" s="15" t="s">
        <v>4061</v>
      </c>
      <c r="B4004" s="16" t="n">
        <v>45762</v>
      </c>
      <c r="C4004" s="15" t="s">
        <v>56</v>
      </c>
      <c r="D4004" s="15" t="s">
        <v>44</v>
      </c>
      <c r="E4004" s="15" t="s">
        <v>36</v>
      </c>
      <c r="F4004" s="15" t="s">
        <v>17</v>
      </c>
      <c r="G4004" s="15" t="s">
        <v>26</v>
      </c>
      <c r="H4004" s="15" t="n">
        <v>3</v>
      </c>
      <c r="I4004" s="17" t="n">
        <v>0.1</v>
      </c>
      <c r="J4004" s="18" t="n">
        <v>193.32</v>
      </c>
      <c r="K4004" s="19" t="n">
        <v>1.22</v>
      </c>
      <c r="L4004" s="15" t="n">
        <f aca="false">YEAR(B4004)</f>
        <v>2025</v>
      </c>
      <c r="M4004" s="20" t="n">
        <f aca="false">IF(J4004&gt;0,K4004/J4004,0)</f>
        <v>0.00631078005379681</v>
      </c>
    </row>
    <row r="4005" customFormat="false" ht="15" hidden="false" customHeight="false" outlineLevel="0" collapsed="false">
      <c r="A4005" s="15" t="s">
        <v>4062</v>
      </c>
      <c r="B4005" s="16" t="n">
        <v>45732</v>
      </c>
      <c r="C4005" s="15" t="s">
        <v>71</v>
      </c>
      <c r="D4005" s="15" t="s">
        <v>42</v>
      </c>
      <c r="E4005" s="15" t="s">
        <v>37</v>
      </c>
      <c r="F4005" s="15" t="s">
        <v>17</v>
      </c>
      <c r="G4005" s="15" t="s">
        <v>28</v>
      </c>
      <c r="H4005" s="15" t="n">
        <v>3</v>
      </c>
      <c r="I4005" s="17" t="n">
        <v>0.05</v>
      </c>
      <c r="J4005" s="18" t="n">
        <v>89.97</v>
      </c>
      <c r="K4005" s="19" t="n">
        <v>25.23</v>
      </c>
      <c r="L4005" s="15" t="n">
        <f aca="false">YEAR(B4005)</f>
        <v>2025</v>
      </c>
      <c r="M4005" s="20" t="n">
        <f aca="false">IF(J4005&gt;0,K4005/J4005,0)</f>
        <v>0.280426808936312</v>
      </c>
    </row>
    <row r="4006" customFormat="false" ht="15" hidden="false" customHeight="false" outlineLevel="0" collapsed="false">
      <c r="A4006" s="15" t="s">
        <v>4063</v>
      </c>
      <c r="B4006" s="16" t="n">
        <v>45405</v>
      </c>
      <c r="C4006" s="15" t="s">
        <v>56</v>
      </c>
      <c r="D4006" s="15" t="s">
        <v>43</v>
      </c>
      <c r="E4006" s="15" t="s">
        <v>36</v>
      </c>
      <c r="F4006" s="15" t="s">
        <v>17</v>
      </c>
      <c r="G4006" s="15" t="s">
        <v>28</v>
      </c>
      <c r="H4006" s="15" t="n">
        <v>3</v>
      </c>
      <c r="I4006" s="17" t="n">
        <v>0</v>
      </c>
      <c r="J4006" s="18" t="n">
        <v>76.51</v>
      </c>
      <c r="K4006" s="19" t="n">
        <v>20.95</v>
      </c>
      <c r="L4006" s="15" t="n">
        <f aca="false">YEAR(B4006)</f>
        <v>2024</v>
      </c>
      <c r="M4006" s="20" t="n">
        <f aca="false">IF(J4006&gt;0,K4006/J4006,0)</f>
        <v>0.273820415631944</v>
      </c>
    </row>
    <row r="4007" customFormat="false" ht="15" hidden="false" customHeight="false" outlineLevel="0" collapsed="false">
      <c r="A4007" s="15" t="s">
        <v>4064</v>
      </c>
      <c r="B4007" s="16" t="n">
        <v>45152</v>
      </c>
      <c r="C4007" s="15" t="s">
        <v>56</v>
      </c>
      <c r="D4007" s="15" t="s">
        <v>42</v>
      </c>
      <c r="E4007" s="15" t="s">
        <v>36</v>
      </c>
      <c r="F4007" s="15" t="s">
        <v>16</v>
      </c>
      <c r="G4007" s="15" t="s">
        <v>22</v>
      </c>
      <c r="H4007" s="15" t="n">
        <v>2</v>
      </c>
      <c r="I4007" s="17" t="n">
        <v>0</v>
      </c>
      <c r="J4007" s="18" t="n">
        <v>893.68</v>
      </c>
      <c r="K4007" s="19" t="n">
        <v>-52.87</v>
      </c>
      <c r="L4007" s="15" t="n">
        <f aca="false">YEAR(B4007)</f>
        <v>2023</v>
      </c>
      <c r="M4007" s="20" t="n">
        <f aca="false">IF(J4007&gt;0,K4007/J4007,0)</f>
        <v>-0.0591598782561991</v>
      </c>
    </row>
    <row r="4008" customFormat="false" ht="15" hidden="false" customHeight="false" outlineLevel="0" collapsed="false">
      <c r="A4008" s="15" t="s">
        <v>4065</v>
      </c>
      <c r="B4008" s="16" t="n">
        <v>45409</v>
      </c>
      <c r="C4008" s="15" t="s">
        <v>56</v>
      </c>
      <c r="D4008" s="15" t="s">
        <v>42</v>
      </c>
      <c r="E4008" s="15" t="s">
        <v>37</v>
      </c>
      <c r="F4008" s="15" t="s">
        <v>17</v>
      </c>
      <c r="G4008" s="15" t="s">
        <v>29</v>
      </c>
      <c r="H4008" s="15" t="n">
        <v>6</v>
      </c>
      <c r="I4008" s="17" t="n">
        <v>0</v>
      </c>
      <c r="J4008" s="18" t="n">
        <v>134.73</v>
      </c>
      <c r="K4008" s="19" t="n">
        <v>49.98</v>
      </c>
      <c r="L4008" s="15" t="n">
        <f aca="false">YEAR(B4008)</f>
        <v>2024</v>
      </c>
      <c r="M4008" s="20" t="n">
        <f aca="false">IF(J4008&gt;0,K4008/J4008,0)</f>
        <v>0.370964150523269</v>
      </c>
    </row>
    <row r="4009" customFormat="false" ht="15" hidden="false" customHeight="false" outlineLevel="0" collapsed="false">
      <c r="A4009" s="15" t="s">
        <v>4066</v>
      </c>
      <c r="B4009" s="16" t="n">
        <v>45901</v>
      </c>
      <c r="C4009" s="15" t="s">
        <v>68</v>
      </c>
      <c r="D4009" s="15" t="s">
        <v>42</v>
      </c>
      <c r="E4009" s="15" t="s">
        <v>36</v>
      </c>
      <c r="F4009" s="15" t="s">
        <v>18</v>
      </c>
      <c r="G4009" s="15" t="s">
        <v>30</v>
      </c>
      <c r="H4009" s="15" t="n">
        <v>6</v>
      </c>
      <c r="I4009" s="17" t="n">
        <v>0</v>
      </c>
      <c r="J4009" s="18" t="n">
        <v>226.74</v>
      </c>
      <c r="K4009" s="19" t="n">
        <v>50.09</v>
      </c>
      <c r="L4009" s="15" t="n">
        <f aca="false">YEAR(B4009)</f>
        <v>2025</v>
      </c>
      <c r="M4009" s="20" t="n">
        <f aca="false">IF(J4009&gt;0,K4009/J4009,0)</f>
        <v>0.220913821998765</v>
      </c>
    </row>
    <row r="4010" customFormat="false" ht="15" hidden="false" customHeight="false" outlineLevel="0" collapsed="false">
      <c r="A4010" s="15" t="s">
        <v>4067</v>
      </c>
      <c r="B4010" s="16" t="n">
        <v>44691</v>
      </c>
      <c r="C4010" s="15" t="s">
        <v>71</v>
      </c>
      <c r="D4010" s="15" t="s">
        <v>44</v>
      </c>
      <c r="E4010" s="15" t="s">
        <v>37</v>
      </c>
      <c r="F4010" s="15" t="s">
        <v>18</v>
      </c>
      <c r="G4010" s="15" t="s">
        <v>30</v>
      </c>
      <c r="H4010" s="15" t="n">
        <v>4</v>
      </c>
      <c r="I4010" s="17" t="n">
        <v>0</v>
      </c>
      <c r="J4010" s="18" t="n">
        <v>191.54</v>
      </c>
      <c r="K4010" s="19" t="n">
        <v>72.5</v>
      </c>
      <c r="L4010" s="15" t="n">
        <f aca="false">YEAR(B4010)</f>
        <v>2022</v>
      </c>
      <c r="M4010" s="20" t="n">
        <f aca="false">IF(J4010&gt;0,K4010/J4010,0)</f>
        <v>0.378511015975775</v>
      </c>
    </row>
    <row r="4011" customFormat="false" ht="15" hidden="false" customHeight="false" outlineLevel="0" collapsed="false">
      <c r="A4011" s="15" t="s">
        <v>4068</v>
      </c>
      <c r="B4011" s="16" t="n">
        <v>45358</v>
      </c>
      <c r="C4011" s="15" t="s">
        <v>71</v>
      </c>
      <c r="D4011" s="15" t="s">
        <v>44</v>
      </c>
      <c r="E4011" s="15" t="s">
        <v>36</v>
      </c>
      <c r="F4011" s="15" t="s">
        <v>16</v>
      </c>
      <c r="G4011" s="15" t="s">
        <v>22</v>
      </c>
      <c r="H4011" s="15" t="n">
        <v>2</v>
      </c>
      <c r="I4011" s="17" t="n">
        <v>0</v>
      </c>
      <c r="J4011" s="18" t="n">
        <v>902.76</v>
      </c>
      <c r="K4011" s="19" t="n">
        <v>6.69</v>
      </c>
      <c r="L4011" s="15" t="n">
        <f aca="false">YEAR(B4011)</f>
        <v>2024</v>
      </c>
      <c r="M4011" s="20" t="n">
        <f aca="false">IF(J4011&gt;0,K4011/J4011,0)</f>
        <v>0.00741060747042403</v>
      </c>
    </row>
    <row r="4012" customFormat="false" ht="15" hidden="false" customHeight="false" outlineLevel="0" collapsed="false">
      <c r="A4012" s="15" t="s">
        <v>4069</v>
      </c>
      <c r="B4012" s="16" t="n">
        <v>45232</v>
      </c>
      <c r="C4012" s="15" t="s">
        <v>58</v>
      </c>
      <c r="D4012" s="15" t="s">
        <v>42</v>
      </c>
      <c r="E4012" s="15" t="s">
        <v>39</v>
      </c>
      <c r="F4012" s="15" t="s">
        <v>17</v>
      </c>
      <c r="G4012" s="15" t="s">
        <v>28</v>
      </c>
      <c r="H4012" s="15" t="n">
        <v>2</v>
      </c>
      <c r="I4012" s="17" t="n">
        <v>0</v>
      </c>
      <c r="J4012" s="18" t="n">
        <v>45.83</v>
      </c>
      <c r="K4012" s="19" t="n">
        <v>12.67</v>
      </c>
      <c r="L4012" s="15" t="n">
        <f aca="false">YEAR(B4012)</f>
        <v>2023</v>
      </c>
      <c r="M4012" s="20" t="n">
        <f aca="false">IF(J4012&gt;0,K4012/J4012,0)</f>
        <v>0.276456469561423</v>
      </c>
    </row>
    <row r="4013" customFormat="false" ht="15" hidden="false" customHeight="false" outlineLevel="0" collapsed="false">
      <c r="A4013" s="15" t="s">
        <v>4070</v>
      </c>
      <c r="B4013" s="16" t="n">
        <v>45544</v>
      </c>
      <c r="C4013" s="15" t="s">
        <v>56</v>
      </c>
      <c r="D4013" s="15" t="s">
        <v>42</v>
      </c>
      <c r="E4013" s="15" t="s">
        <v>37</v>
      </c>
      <c r="F4013" s="15" t="s">
        <v>16</v>
      </c>
      <c r="G4013" s="15" t="s">
        <v>23</v>
      </c>
      <c r="H4013" s="15" t="n">
        <v>2</v>
      </c>
      <c r="I4013" s="17" t="n">
        <v>0.2</v>
      </c>
      <c r="J4013" s="18" t="n">
        <v>467.45</v>
      </c>
      <c r="K4013" s="19" t="n">
        <v>-42.2</v>
      </c>
      <c r="L4013" s="15" t="n">
        <f aca="false">YEAR(B4013)</f>
        <v>2024</v>
      </c>
      <c r="M4013" s="20" t="n">
        <f aca="false">IF(J4013&gt;0,K4013/J4013,0)</f>
        <v>-0.0902770349770029</v>
      </c>
    </row>
    <row r="4014" customFormat="false" ht="15" hidden="false" customHeight="false" outlineLevel="0" collapsed="false">
      <c r="A4014" s="15" t="s">
        <v>4071</v>
      </c>
      <c r="B4014" s="16" t="n">
        <v>45242</v>
      </c>
      <c r="C4014" s="15" t="s">
        <v>56</v>
      </c>
      <c r="D4014" s="15" t="s">
        <v>42</v>
      </c>
      <c r="E4014" s="15" t="s">
        <v>36</v>
      </c>
      <c r="F4014" s="15" t="s">
        <v>17</v>
      </c>
      <c r="G4014" s="15" t="s">
        <v>28</v>
      </c>
      <c r="H4014" s="15" t="n">
        <v>5</v>
      </c>
      <c r="I4014" s="17" t="n">
        <v>0.3</v>
      </c>
      <c r="J4014" s="18" t="n">
        <v>92.51</v>
      </c>
      <c r="K4014" s="19" t="n">
        <v>4.58</v>
      </c>
      <c r="L4014" s="15" t="n">
        <f aca="false">YEAR(B4014)</f>
        <v>2023</v>
      </c>
      <c r="M4014" s="20" t="n">
        <f aca="false">IF(J4014&gt;0,K4014/J4014,0)</f>
        <v>0.0495081612798616</v>
      </c>
    </row>
    <row r="4015" customFormat="false" ht="15" hidden="false" customHeight="false" outlineLevel="0" collapsed="false">
      <c r="A4015" s="15" t="s">
        <v>4072</v>
      </c>
      <c r="B4015" s="16" t="n">
        <v>45623</v>
      </c>
      <c r="C4015" s="15" t="s">
        <v>68</v>
      </c>
      <c r="D4015" s="15" t="s">
        <v>43</v>
      </c>
      <c r="E4015" s="15" t="s">
        <v>37</v>
      </c>
      <c r="F4015" s="15" t="s">
        <v>17</v>
      </c>
      <c r="G4015" s="15" t="s">
        <v>26</v>
      </c>
      <c r="H4015" s="15" t="n">
        <v>7</v>
      </c>
      <c r="I4015" s="17" t="n">
        <v>0</v>
      </c>
      <c r="J4015" s="18" t="n">
        <v>573.52</v>
      </c>
      <c r="K4015" s="19" t="n">
        <v>68.1</v>
      </c>
      <c r="L4015" s="15" t="n">
        <f aca="false">YEAR(B4015)</f>
        <v>2024</v>
      </c>
      <c r="M4015" s="20" t="n">
        <f aca="false">IF(J4015&gt;0,K4015/J4015,0)</f>
        <v>0.118740410099038</v>
      </c>
    </row>
    <row r="4016" customFormat="false" ht="15" hidden="false" customHeight="false" outlineLevel="0" collapsed="false">
      <c r="A4016" s="15" t="s">
        <v>4073</v>
      </c>
      <c r="B4016" s="16" t="n">
        <v>45120</v>
      </c>
      <c r="C4016" s="15" t="s">
        <v>68</v>
      </c>
      <c r="D4016" s="15" t="s">
        <v>43</v>
      </c>
      <c r="E4016" s="15" t="s">
        <v>39</v>
      </c>
      <c r="F4016" s="15" t="s">
        <v>17</v>
      </c>
      <c r="G4016" s="15" t="s">
        <v>26</v>
      </c>
      <c r="H4016" s="15" t="n">
        <v>3</v>
      </c>
      <c r="I4016" s="17" t="n">
        <v>0.3</v>
      </c>
      <c r="J4016" s="18" t="n">
        <v>204.24</v>
      </c>
      <c r="K4016" s="19" t="n">
        <v>-30.68</v>
      </c>
      <c r="L4016" s="15" t="n">
        <f aca="false">YEAR(B4016)</f>
        <v>2023</v>
      </c>
      <c r="M4016" s="20" t="n">
        <f aca="false">IF(J4016&gt;0,K4016/J4016,0)</f>
        <v>-0.150215432824128</v>
      </c>
    </row>
    <row r="4017" customFormat="false" ht="15" hidden="false" customHeight="false" outlineLevel="0" collapsed="false">
      <c r="A4017" s="15" t="s">
        <v>4074</v>
      </c>
      <c r="B4017" s="16" t="n">
        <v>44738</v>
      </c>
      <c r="C4017" s="15" t="s">
        <v>68</v>
      </c>
      <c r="D4017" s="15" t="s">
        <v>43</v>
      </c>
      <c r="E4017" s="15" t="s">
        <v>39</v>
      </c>
      <c r="F4017" s="15" t="s">
        <v>17</v>
      </c>
      <c r="G4017" s="15" t="s">
        <v>28</v>
      </c>
      <c r="H4017" s="15" t="n">
        <v>3</v>
      </c>
      <c r="I4017" s="17" t="n">
        <v>0</v>
      </c>
      <c r="J4017" s="18" t="n">
        <v>79.12</v>
      </c>
      <c r="K4017" s="19" t="n">
        <v>30.44</v>
      </c>
      <c r="L4017" s="15" t="n">
        <f aca="false">YEAR(B4017)</f>
        <v>2022</v>
      </c>
      <c r="M4017" s="20" t="n">
        <f aca="false">IF(J4017&gt;0,K4017/J4017,0)</f>
        <v>0.384732052578362</v>
      </c>
    </row>
    <row r="4018" customFormat="false" ht="15" hidden="false" customHeight="false" outlineLevel="0" collapsed="false">
      <c r="A4018" s="15" t="s">
        <v>4075</v>
      </c>
      <c r="B4018" s="16" t="n">
        <v>44749</v>
      </c>
      <c r="C4018" s="15" t="s">
        <v>71</v>
      </c>
      <c r="D4018" s="15" t="s">
        <v>43</v>
      </c>
      <c r="E4018" s="15" t="s">
        <v>37</v>
      </c>
      <c r="F4018" s="15" t="s">
        <v>17</v>
      </c>
      <c r="G4018" s="15" t="s">
        <v>28</v>
      </c>
      <c r="H4018" s="15" t="n">
        <v>2</v>
      </c>
      <c r="I4018" s="17" t="n">
        <v>0.1</v>
      </c>
      <c r="J4018" s="18" t="n">
        <v>50.46</v>
      </c>
      <c r="K4018" s="19" t="n">
        <v>11.38</v>
      </c>
      <c r="L4018" s="15" t="n">
        <f aca="false">YEAR(B4018)</f>
        <v>2022</v>
      </c>
      <c r="M4018" s="20" t="n">
        <f aca="false">IF(J4018&gt;0,K4018/J4018,0)</f>
        <v>0.225525168450258</v>
      </c>
    </row>
    <row r="4019" customFormat="false" ht="15" hidden="false" customHeight="false" outlineLevel="0" collapsed="false">
      <c r="A4019" s="15" t="s">
        <v>4076</v>
      </c>
      <c r="B4019" s="16" t="n">
        <v>45533</v>
      </c>
      <c r="C4019" s="15" t="s">
        <v>68</v>
      </c>
      <c r="D4019" s="15" t="s">
        <v>42</v>
      </c>
      <c r="E4019" s="15" t="s">
        <v>39</v>
      </c>
      <c r="F4019" s="15" t="s">
        <v>17</v>
      </c>
      <c r="G4019" s="15" t="s">
        <v>26</v>
      </c>
      <c r="H4019" s="15" t="n">
        <v>3</v>
      </c>
      <c r="I4019" s="17" t="n">
        <v>0</v>
      </c>
      <c r="J4019" s="18" t="n">
        <v>285.18</v>
      </c>
      <c r="K4019" s="19" t="n">
        <v>31.89</v>
      </c>
      <c r="L4019" s="15" t="n">
        <f aca="false">YEAR(B4019)</f>
        <v>2024</v>
      </c>
      <c r="M4019" s="20" t="n">
        <f aca="false">IF(J4019&gt;0,K4019/J4019,0)</f>
        <v>0.111824111087734</v>
      </c>
    </row>
    <row r="4020" customFormat="false" ht="15" hidden="false" customHeight="false" outlineLevel="0" collapsed="false">
      <c r="A4020" s="15" t="s">
        <v>4077</v>
      </c>
      <c r="B4020" s="16" t="n">
        <v>45578</v>
      </c>
      <c r="C4020" s="15" t="s">
        <v>58</v>
      </c>
      <c r="D4020" s="15" t="s">
        <v>43</v>
      </c>
      <c r="E4020" s="15" t="s">
        <v>36</v>
      </c>
      <c r="F4020" s="15" t="s">
        <v>17</v>
      </c>
      <c r="G4020" s="15" t="s">
        <v>26</v>
      </c>
      <c r="H4020" s="15" t="n">
        <v>4</v>
      </c>
      <c r="I4020" s="17" t="n">
        <v>0.3</v>
      </c>
      <c r="J4020" s="18" t="n">
        <v>299</v>
      </c>
      <c r="K4020" s="19" t="n">
        <v>-59</v>
      </c>
      <c r="L4020" s="15" t="n">
        <f aca="false">YEAR(B4020)</f>
        <v>2024</v>
      </c>
      <c r="M4020" s="20" t="n">
        <f aca="false">IF(J4020&gt;0,K4020/J4020,0)</f>
        <v>-0.197324414715719</v>
      </c>
    </row>
    <row r="4021" customFormat="false" ht="15" hidden="false" customHeight="false" outlineLevel="0" collapsed="false">
      <c r="A4021" s="15" t="s">
        <v>4078</v>
      </c>
      <c r="B4021" s="16" t="n">
        <v>45557</v>
      </c>
      <c r="C4021" s="15" t="s">
        <v>56</v>
      </c>
      <c r="D4021" s="15" t="s">
        <v>43</v>
      </c>
      <c r="E4021" s="15" t="s">
        <v>38</v>
      </c>
      <c r="F4021" s="15" t="s">
        <v>18</v>
      </c>
      <c r="G4021" s="15" t="s">
        <v>32</v>
      </c>
      <c r="H4021" s="15" t="n">
        <v>4</v>
      </c>
      <c r="I4021" s="17" t="n">
        <v>0</v>
      </c>
      <c r="J4021" s="18" t="n">
        <v>1548.58</v>
      </c>
      <c r="K4021" s="19" t="n">
        <v>283.24</v>
      </c>
      <c r="L4021" s="15" t="n">
        <f aca="false">YEAR(B4021)</f>
        <v>2024</v>
      </c>
      <c r="M4021" s="20" t="n">
        <f aca="false">IF(J4021&gt;0,K4021/J4021,0)</f>
        <v>0.182903046662103</v>
      </c>
    </row>
    <row r="4022" customFormat="false" ht="15" hidden="false" customHeight="false" outlineLevel="0" collapsed="false">
      <c r="A4022" s="15" t="s">
        <v>4079</v>
      </c>
      <c r="B4022" s="16" t="n">
        <v>45732</v>
      </c>
      <c r="C4022" s="15" t="s">
        <v>56</v>
      </c>
      <c r="D4022" s="15" t="s">
        <v>43</v>
      </c>
      <c r="E4022" s="15" t="s">
        <v>39</v>
      </c>
      <c r="F4022" s="15" t="s">
        <v>16</v>
      </c>
      <c r="G4022" s="15" t="s">
        <v>27</v>
      </c>
      <c r="H4022" s="15" t="n">
        <v>3</v>
      </c>
      <c r="I4022" s="17" t="n">
        <v>0</v>
      </c>
      <c r="J4022" s="18" t="n">
        <v>202.88</v>
      </c>
      <c r="K4022" s="19" t="n">
        <v>54.48</v>
      </c>
      <c r="L4022" s="15" t="n">
        <f aca="false">YEAR(B4022)</f>
        <v>2025</v>
      </c>
      <c r="M4022" s="20" t="n">
        <f aca="false">IF(J4022&gt;0,K4022/J4022,0)</f>
        <v>0.268533123028391</v>
      </c>
    </row>
    <row r="4023" customFormat="false" ht="15" hidden="false" customHeight="false" outlineLevel="0" collapsed="false">
      <c r="A4023" s="15" t="s">
        <v>4080</v>
      </c>
      <c r="B4023" s="16" t="n">
        <v>44645</v>
      </c>
      <c r="C4023" s="15" t="s">
        <v>68</v>
      </c>
      <c r="D4023" s="15" t="s">
        <v>42</v>
      </c>
      <c r="E4023" s="15" t="s">
        <v>39</v>
      </c>
      <c r="F4023" s="15" t="s">
        <v>17</v>
      </c>
      <c r="G4023" s="15" t="s">
        <v>31</v>
      </c>
      <c r="H4023" s="15" t="n">
        <v>3</v>
      </c>
      <c r="I4023" s="17" t="n">
        <v>0.1</v>
      </c>
      <c r="J4023" s="18" t="n">
        <v>386.51</v>
      </c>
      <c r="K4023" s="19" t="n">
        <v>56.23</v>
      </c>
      <c r="L4023" s="15" t="n">
        <f aca="false">YEAR(B4023)</f>
        <v>2022</v>
      </c>
      <c r="M4023" s="20" t="n">
        <f aca="false">IF(J4023&gt;0,K4023/J4023,0)</f>
        <v>0.145481358826421</v>
      </c>
    </row>
    <row r="4024" customFormat="false" ht="15" hidden="false" customHeight="false" outlineLevel="0" collapsed="false">
      <c r="A4024" s="15" t="s">
        <v>4081</v>
      </c>
      <c r="B4024" s="16" t="n">
        <v>45267</v>
      </c>
      <c r="C4024" s="15" t="s">
        <v>56</v>
      </c>
      <c r="D4024" s="15" t="s">
        <v>43</v>
      </c>
      <c r="E4024" s="15" t="s">
        <v>39</v>
      </c>
      <c r="F4024" s="15" t="s">
        <v>18</v>
      </c>
      <c r="G4024" s="15" t="s">
        <v>32</v>
      </c>
      <c r="H4024" s="15" t="n">
        <v>4</v>
      </c>
      <c r="I4024" s="17" t="n">
        <v>0</v>
      </c>
      <c r="J4024" s="18" t="n">
        <v>1726.81</v>
      </c>
      <c r="K4024" s="19" t="n">
        <v>328.3</v>
      </c>
      <c r="L4024" s="15" t="n">
        <f aca="false">YEAR(B4024)</f>
        <v>2023</v>
      </c>
      <c r="M4024" s="20" t="n">
        <f aca="false">IF(J4024&gt;0,K4024/J4024,0)</f>
        <v>0.190119353026679</v>
      </c>
    </row>
    <row r="4025" customFormat="false" ht="15" hidden="false" customHeight="false" outlineLevel="0" collapsed="false">
      <c r="A4025" s="15" t="s">
        <v>4082</v>
      </c>
      <c r="B4025" s="16" t="n">
        <v>45282</v>
      </c>
      <c r="C4025" s="15" t="s">
        <v>56</v>
      </c>
      <c r="D4025" s="15" t="s">
        <v>42</v>
      </c>
      <c r="E4025" s="15" t="s">
        <v>36</v>
      </c>
      <c r="F4025" s="15" t="s">
        <v>16</v>
      </c>
      <c r="G4025" s="15" t="s">
        <v>22</v>
      </c>
      <c r="H4025" s="15" t="n">
        <v>3</v>
      </c>
      <c r="I4025" s="17" t="n">
        <v>0.3</v>
      </c>
      <c r="J4025" s="18" t="n">
        <v>1099.46</v>
      </c>
      <c r="K4025" s="19" t="n">
        <v>-272.04</v>
      </c>
      <c r="L4025" s="15" t="n">
        <f aca="false">YEAR(B4025)</f>
        <v>2023</v>
      </c>
      <c r="M4025" s="20" t="n">
        <f aca="false">IF(J4025&gt;0,K4025/J4025,0)</f>
        <v>-0.247430556818802</v>
      </c>
    </row>
    <row r="4026" customFormat="false" ht="15" hidden="false" customHeight="false" outlineLevel="0" collapsed="false">
      <c r="A4026" s="15" t="s">
        <v>4083</v>
      </c>
      <c r="B4026" s="16" t="n">
        <v>44847</v>
      </c>
      <c r="C4026" s="15" t="s">
        <v>71</v>
      </c>
      <c r="D4026" s="15" t="s">
        <v>44</v>
      </c>
      <c r="E4026" s="15" t="s">
        <v>37</v>
      </c>
      <c r="F4026" s="15" t="s">
        <v>18</v>
      </c>
      <c r="G4026" s="15" t="s">
        <v>32</v>
      </c>
      <c r="H4026" s="15" t="n">
        <v>3</v>
      </c>
      <c r="I4026" s="17" t="n">
        <v>0.15</v>
      </c>
      <c r="J4026" s="18" t="n">
        <v>1012.78</v>
      </c>
      <c r="K4026" s="19" t="n">
        <v>66.88</v>
      </c>
      <c r="L4026" s="15" t="n">
        <f aca="false">YEAR(B4026)</f>
        <v>2022</v>
      </c>
      <c r="M4026" s="20" t="n">
        <f aca="false">IF(J4026&gt;0,K4026/J4026,0)</f>
        <v>0.0660360591638855</v>
      </c>
    </row>
    <row r="4027" customFormat="false" ht="15" hidden="false" customHeight="false" outlineLevel="0" collapsed="false">
      <c r="A4027" s="15" t="s">
        <v>4084</v>
      </c>
      <c r="B4027" s="16" t="n">
        <v>44654</v>
      </c>
      <c r="C4027" s="15" t="s">
        <v>68</v>
      </c>
      <c r="D4027" s="15" t="s">
        <v>44</v>
      </c>
      <c r="E4027" s="15" t="s">
        <v>39</v>
      </c>
      <c r="F4027" s="15" t="s">
        <v>17</v>
      </c>
      <c r="G4027" s="15" t="s">
        <v>29</v>
      </c>
      <c r="H4027" s="15" t="n">
        <v>1</v>
      </c>
      <c r="I4027" s="17" t="n">
        <v>0</v>
      </c>
      <c r="J4027" s="18" t="n">
        <v>20.2</v>
      </c>
      <c r="K4027" s="19" t="n">
        <v>7.92</v>
      </c>
      <c r="L4027" s="15" t="n">
        <f aca="false">YEAR(B4027)</f>
        <v>2022</v>
      </c>
      <c r="M4027" s="20" t="n">
        <f aca="false">IF(J4027&gt;0,K4027/J4027,0)</f>
        <v>0.392079207920792</v>
      </c>
    </row>
    <row r="4028" customFormat="false" ht="15" hidden="false" customHeight="false" outlineLevel="0" collapsed="false">
      <c r="A4028" s="15" t="s">
        <v>4085</v>
      </c>
      <c r="B4028" s="16" t="n">
        <v>45937</v>
      </c>
      <c r="C4028" s="15" t="s">
        <v>56</v>
      </c>
      <c r="D4028" s="15" t="s">
        <v>42</v>
      </c>
      <c r="E4028" s="15" t="s">
        <v>38</v>
      </c>
      <c r="F4028" s="15" t="s">
        <v>18</v>
      </c>
      <c r="G4028" s="15" t="s">
        <v>30</v>
      </c>
      <c r="H4028" s="15" t="n">
        <v>5</v>
      </c>
      <c r="I4028" s="17" t="n">
        <v>0</v>
      </c>
      <c r="J4028" s="18" t="n">
        <v>204.07</v>
      </c>
      <c r="K4028" s="19" t="n">
        <v>52.16</v>
      </c>
      <c r="L4028" s="15" t="n">
        <f aca="false">YEAR(B4028)</f>
        <v>2025</v>
      </c>
      <c r="M4028" s="20" t="n">
        <f aca="false">IF(J4028&gt;0,K4028/J4028,0)</f>
        <v>0.25559856911844</v>
      </c>
    </row>
    <row r="4029" customFormat="false" ht="15" hidden="false" customHeight="false" outlineLevel="0" collapsed="false">
      <c r="A4029" s="15" t="s">
        <v>4086</v>
      </c>
      <c r="B4029" s="16" t="n">
        <v>45871</v>
      </c>
      <c r="C4029" s="15" t="s">
        <v>58</v>
      </c>
      <c r="D4029" s="15" t="s">
        <v>43</v>
      </c>
      <c r="E4029" s="15" t="s">
        <v>37</v>
      </c>
      <c r="F4029" s="15" t="s">
        <v>18</v>
      </c>
      <c r="G4029" s="15" t="s">
        <v>30</v>
      </c>
      <c r="H4029" s="15" t="n">
        <v>6</v>
      </c>
      <c r="I4029" s="17" t="n">
        <v>0.1</v>
      </c>
      <c r="J4029" s="18" t="n">
        <v>261.02</v>
      </c>
      <c r="K4029" s="19" t="n">
        <v>54.57</v>
      </c>
      <c r="L4029" s="15" t="n">
        <f aca="false">YEAR(B4029)</f>
        <v>2025</v>
      </c>
      <c r="M4029" s="20" t="n">
        <f aca="false">IF(J4029&gt;0,K4029/J4029,0)</f>
        <v>0.209064439506551</v>
      </c>
    </row>
    <row r="4030" customFormat="false" ht="15" hidden="false" customHeight="false" outlineLevel="0" collapsed="false">
      <c r="A4030" s="15" t="s">
        <v>4087</v>
      </c>
      <c r="B4030" s="16" t="n">
        <v>45742</v>
      </c>
      <c r="C4030" s="15" t="s">
        <v>68</v>
      </c>
      <c r="D4030" s="15" t="s">
        <v>42</v>
      </c>
      <c r="E4030" s="15" t="s">
        <v>39</v>
      </c>
      <c r="F4030" s="15" t="s">
        <v>17</v>
      </c>
      <c r="G4030" s="15" t="s">
        <v>28</v>
      </c>
      <c r="H4030" s="15" t="n">
        <v>4</v>
      </c>
      <c r="I4030" s="17" t="n">
        <v>0.05</v>
      </c>
      <c r="J4030" s="18" t="n">
        <v>120.1</v>
      </c>
      <c r="K4030" s="19" t="n">
        <v>35.17</v>
      </c>
      <c r="L4030" s="15" t="n">
        <f aca="false">YEAR(B4030)</f>
        <v>2025</v>
      </c>
      <c r="M4030" s="20" t="n">
        <f aca="false">IF(J4030&gt;0,K4030/J4030,0)</f>
        <v>0.292839300582848</v>
      </c>
    </row>
    <row r="4031" customFormat="false" ht="15" hidden="false" customHeight="false" outlineLevel="0" collapsed="false">
      <c r="A4031" s="15" t="s">
        <v>4088</v>
      </c>
      <c r="B4031" s="16" t="n">
        <v>45745</v>
      </c>
      <c r="C4031" s="15" t="s">
        <v>68</v>
      </c>
      <c r="D4031" s="15" t="s">
        <v>43</v>
      </c>
      <c r="E4031" s="15" t="s">
        <v>39</v>
      </c>
      <c r="F4031" s="15" t="s">
        <v>18</v>
      </c>
      <c r="G4031" s="15" t="s">
        <v>32</v>
      </c>
      <c r="H4031" s="15" t="n">
        <v>4</v>
      </c>
      <c r="I4031" s="17" t="n">
        <v>0.1</v>
      </c>
      <c r="J4031" s="18" t="n">
        <v>1997.97</v>
      </c>
      <c r="K4031" s="19" t="n">
        <v>326.49</v>
      </c>
      <c r="L4031" s="15" t="n">
        <f aca="false">YEAR(B4031)</f>
        <v>2025</v>
      </c>
      <c r="M4031" s="20" t="n">
        <f aca="false">IF(J4031&gt;0,K4031/J4031,0)</f>
        <v>0.163410862024955</v>
      </c>
    </row>
    <row r="4032" customFormat="false" ht="15" hidden="false" customHeight="false" outlineLevel="0" collapsed="false">
      <c r="A4032" s="15" t="s">
        <v>4089</v>
      </c>
      <c r="B4032" s="16" t="n">
        <v>45982</v>
      </c>
      <c r="C4032" s="15" t="s">
        <v>68</v>
      </c>
      <c r="D4032" s="15" t="s">
        <v>44</v>
      </c>
      <c r="E4032" s="15" t="s">
        <v>39</v>
      </c>
      <c r="F4032" s="15" t="s">
        <v>17</v>
      </c>
      <c r="G4032" s="15" t="s">
        <v>28</v>
      </c>
      <c r="H4032" s="15" t="n">
        <v>3</v>
      </c>
      <c r="I4032" s="17" t="n">
        <v>0.2</v>
      </c>
      <c r="J4032" s="18" t="n">
        <v>76.51</v>
      </c>
      <c r="K4032" s="19" t="n">
        <v>11.72</v>
      </c>
      <c r="L4032" s="15" t="n">
        <f aca="false">YEAR(B4032)</f>
        <v>2025</v>
      </c>
      <c r="M4032" s="20" t="n">
        <f aca="false">IF(J4032&gt;0,K4032/J4032,0)</f>
        <v>0.153182590511044</v>
      </c>
    </row>
    <row r="4033" customFormat="false" ht="15" hidden="false" customHeight="false" outlineLevel="0" collapsed="false">
      <c r="A4033" s="15" t="s">
        <v>4090</v>
      </c>
      <c r="B4033" s="16" t="n">
        <v>44919</v>
      </c>
      <c r="C4033" s="15" t="s">
        <v>56</v>
      </c>
      <c r="D4033" s="15" t="s">
        <v>43</v>
      </c>
      <c r="E4033" s="15" t="s">
        <v>36</v>
      </c>
      <c r="F4033" s="15" t="s">
        <v>17</v>
      </c>
      <c r="G4033" s="15" t="s">
        <v>26</v>
      </c>
      <c r="H4033" s="15" t="n">
        <v>5</v>
      </c>
      <c r="I4033" s="17" t="n">
        <v>0.1</v>
      </c>
      <c r="J4033" s="18" t="n">
        <v>363.02</v>
      </c>
      <c r="K4033" s="19" t="n">
        <v>6.49</v>
      </c>
      <c r="L4033" s="15" t="n">
        <f aca="false">YEAR(B4033)</f>
        <v>2022</v>
      </c>
      <c r="M4033" s="20" t="n">
        <f aca="false">IF(J4033&gt;0,K4033/J4033,0)</f>
        <v>0.0178778028758746</v>
      </c>
    </row>
    <row r="4034" customFormat="false" ht="15" hidden="false" customHeight="false" outlineLevel="0" collapsed="false">
      <c r="A4034" s="15" t="s">
        <v>4091</v>
      </c>
      <c r="B4034" s="16" t="n">
        <v>46017</v>
      </c>
      <c r="C4034" s="15" t="s">
        <v>56</v>
      </c>
      <c r="D4034" s="15" t="s">
        <v>43</v>
      </c>
      <c r="E4034" s="15" t="s">
        <v>36</v>
      </c>
      <c r="F4034" s="15" t="s">
        <v>17</v>
      </c>
      <c r="G4034" s="15" t="s">
        <v>28</v>
      </c>
      <c r="H4034" s="15" t="n">
        <v>2</v>
      </c>
      <c r="I4034" s="17" t="n">
        <v>0</v>
      </c>
      <c r="J4034" s="18" t="n">
        <v>57.6</v>
      </c>
      <c r="K4034" s="19" t="n">
        <v>16.19</v>
      </c>
      <c r="L4034" s="15" t="n">
        <f aca="false">YEAR(B4034)</f>
        <v>2025</v>
      </c>
      <c r="M4034" s="20" t="n">
        <f aca="false">IF(J4034&gt;0,K4034/J4034,0)</f>
        <v>0.281076388888889</v>
      </c>
    </row>
    <row r="4035" customFormat="false" ht="15" hidden="false" customHeight="false" outlineLevel="0" collapsed="false">
      <c r="A4035" s="15" t="s">
        <v>4092</v>
      </c>
      <c r="B4035" s="16" t="n">
        <v>45532</v>
      </c>
      <c r="C4035" s="15" t="s">
        <v>56</v>
      </c>
      <c r="D4035" s="15" t="s">
        <v>42</v>
      </c>
      <c r="E4035" s="15" t="s">
        <v>36</v>
      </c>
      <c r="F4035" s="15" t="s">
        <v>17</v>
      </c>
      <c r="G4035" s="15" t="s">
        <v>28</v>
      </c>
      <c r="H4035" s="15" t="n">
        <v>5</v>
      </c>
      <c r="I4035" s="17" t="n">
        <v>0.4</v>
      </c>
      <c r="J4035" s="18" t="n">
        <v>65.97</v>
      </c>
      <c r="K4035" s="19" t="n">
        <v>0.16</v>
      </c>
      <c r="L4035" s="15" t="n">
        <f aca="false">YEAR(B4035)</f>
        <v>2024</v>
      </c>
      <c r="M4035" s="20" t="n">
        <f aca="false">IF(J4035&gt;0,K4035/J4035,0)</f>
        <v>0.00242534485372139</v>
      </c>
    </row>
    <row r="4036" customFormat="false" ht="15" hidden="false" customHeight="false" outlineLevel="0" collapsed="false">
      <c r="A4036" s="15" t="s">
        <v>4093</v>
      </c>
      <c r="B4036" s="16" t="n">
        <v>45256</v>
      </c>
      <c r="C4036" s="15" t="s">
        <v>68</v>
      </c>
      <c r="D4036" s="15" t="s">
        <v>44</v>
      </c>
      <c r="E4036" s="15" t="s">
        <v>37</v>
      </c>
      <c r="F4036" s="15" t="s">
        <v>18</v>
      </c>
      <c r="G4036" s="15" t="s">
        <v>32</v>
      </c>
      <c r="H4036" s="15" t="n">
        <v>2</v>
      </c>
      <c r="I4036" s="17" t="n">
        <v>0</v>
      </c>
      <c r="J4036" s="18" t="n">
        <v>854.61</v>
      </c>
      <c r="K4036" s="19" t="n">
        <v>152.78</v>
      </c>
      <c r="L4036" s="15" t="n">
        <f aca="false">YEAR(B4036)</f>
        <v>2023</v>
      </c>
      <c r="M4036" s="20" t="n">
        <f aca="false">IF(J4036&gt;0,K4036/J4036,0)</f>
        <v>0.178771603421444</v>
      </c>
    </row>
    <row r="4037" customFormat="false" ht="15" hidden="false" customHeight="false" outlineLevel="0" collapsed="false">
      <c r="A4037" s="15" t="s">
        <v>4094</v>
      </c>
      <c r="B4037" s="16" t="n">
        <v>45438</v>
      </c>
      <c r="C4037" s="15" t="s">
        <v>68</v>
      </c>
      <c r="D4037" s="15" t="s">
        <v>43</v>
      </c>
      <c r="E4037" s="15" t="s">
        <v>36</v>
      </c>
      <c r="F4037" s="15" t="s">
        <v>17</v>
      </c>
      <c r="G4037" s="15" t="s">
        <v>29</v>
      </c>
      <c r="H4037" s="15" t="n">
        <v>3</v>
      </c>
      <c r="I4037" s="17" t="n">
        <v>0</v>
      </c>
      <c r="J4037" s="18" t="n">
        <v>65.03</v>
      </c>
      <c r="K4037" s="19" t="n">
        <v>21.53</v>
      </c>
      <c r="L4037" s="15" t="n">
        <f aca="false">YEAR(B4037)</f>
        <v>2024</v>
      </c>
      <c r="M4037" s="20" t="n">
        <f aca="false">IF(J4037&gt;0,K4037/J4037,0)</f>
        <v>0.331077964016608</v>
      </c>
    </row>
    <row r="4038" customFormat="false" ht="15" hidden="false" customHeight="false" outlineLevel="0" collapsed="false">
      <c r="A4038" s="15" t="s">
        <v>4095</v>
      </c>
      <c r="B4038" s="16" t="n">
        <v>45762</v>
      </c>
      <c r="C4038" s="15" t="s">
        <v>71</v>
      </c>
      <c r="D4038" s="15" t="s">
        <v>43</v>
      </c>
      <c r="E4038" s="15" t="s">
        <v>38</v>
      </c>
      <c r="F4038" s="15" t="s">
        <v>18</v>
      </c>
      <c r="G4038" s="15" t="s">
        <v>32</v>
      </c>
      <c r="H4038" s="15" t="n">
        <v>4</v>
      </c>
      <c r="I4038" s="17" t="n">
        <v>0.1</v>
      </c>
      <c r="J4038" s="18" t="n">
        <v>1575.7</v>
      </c>
      <c r="K4038" s="19" t="n">
        <v>74.84</v>
      </c>
      <c r="L4038" s="15" t="n">
        <f aca="false">YEAR(B4038)</f>
        <v>2025</v>
      </c>
      <c r="M4038" s="20" t="n">
        <f aca="false">IF(J4038&gt;0,K4038/J4038,0)</f>
        <v>0.0474963508282033</v>
      </c>
    </row>
    <row r="4039" customFormat="false" ht="15" hidden="false" customHeight="false" outlineLevel="0" collapsed="false">
      <c r="A4039" s="15" t="s">
        <v>4096</v>
      </c>
      <c r="B4039" s="16" t="n">
        <v>44977</v>
      </c>
      <c r="C4039" s="15" t="s">
        <v>58</v>
      </c>
      <c r="D4039" s="15" t="s">
        <v>44</v>
      </c>
      <c r="E4039" s="15" t="s">
        <v>39</v>
      </c>
      <c r="F4039" s="15" t="s">
        <v>16</v>
      </c>
      <c r="G4039" s="15" t="s">
        <v>27</v>
      </c>
      <c r="H4039" s="15" t="n">
        <v>1</v>
      </c>
      <c r="I4039" s="17" t="n">
        <v>0.05</v>
      </c>
      <c r="J4039" s="18" t="n">
        <v>78.08</v>
      </c>
      <c r="K4039" s="19" t="n">
        <v>9.49</v>
      </c>
      <c r="L4039" s="15" t="n">
        <f aca="false">YEAR(B4039)</f>
        <v>2023</v>
      </c>
      <c r="M4039" s="20" t="n">
        <f aca="false">IF(J4039&gt;0,K4039/J4039,0)</f>
        <v>0.121542008196721</v>
      </c>
    </row>
    <row r="4040" customFormat="false" ht="15" hidden="false" customHeight="false" outlineLevel="0" collapsed="false">
      <c r="A4040" s="15" t="s">
        <v>4097</v>
      </c>
      <c r="B4040" s="16" t="n">
        <v>45014</v>
      </c>
      <c r="C4040" s="15" t="s">
        <v>68</v>
      </c>
      <c r="D4040" s="15" t="s">
        <v>43</v>
      </c>
      <c r="E4040" s="15" t="s">
        <v>36</v>
      </c>
      <c r="F4040" s="15" t="s">
        <v>18</v>
      </c>
      <c r="G4040" s="15" t="s">
        <v>32</v>
      </c>
      <c r="H4040" s="15" t="n">
        <v>4</v>
      </c>
      <c r="I4040" s="17" t="n">
        <v>0</v>
      </c>
      <c r="J4040" s="18" t="n">
        <v>2472.49</v>
      </c>
      <c r="K4040" s="19" t="n">
        <v>427.79</v>
      </c>
      <c r="L4040" s="15" t="n">
        <f aca="false">YEAR(B4040)</f>
        <v>2023</v>
      </c>
      <c r="M4040" s="20" t="n">
        <f aca="false">IF(J4040&gt;0,K4040/J4040,0)</f>
        <v>0.173019911101764</v>
      </c>
    </row>
    <row r="4041" customFormat="false" ht="15" hidden="false" customHeight="false" outlineLevel="0" collapsed="false">
      <c r="A4041" s="15" t="s">
        <v>4098</v>
      </c>
      <c r="B4041" s="16" t="n">
        <v>45369</v>
      </c>
      <c r="C4041" s="15" t="s">
        <v>68</v>
      </c>
      <c r="D4041" s="15" t="s">
        <v>42</v>
      </c>
      <c r="E4041" s="15" t="s">
        <v>39</v>
      </c>
      <c r="F4041" s="15" t="s">
        <v>17</v>
      </c>
      <c r="G4041" s="15" t="s">
        <v>29</v>
      </c>
      <c r="H4041" s="15" t="n">
        <v>1</v>
      </c>
      <c r="I4041" s="17" t="n">
        <v>0.3</v>
      </c>
      <c r="J4041" s="18" t="n">
        <v>12.15</v>
      </c>
      <c r="K4041" s="19" t="n">
        <v>1.4</v>
      </c>
      <c r="L4041" s="15" t="n">
        <f aca="false">YEAR(B4041)</f>
        <v>2024</v>
      </c>
      <c r="M4041" s="20" t="n">
        <f aca="false">IF(J4041&gt;0,K4041/J4041,0)</f>
        <v>0.11522633744856</v>
      </c>
    </row>
    <row r="4042" customFormat="false" ht="15" hidden="false" customHeight="false" outlineLevel="0" collapsed="false">
      <c r="A4042" s="15" t="s">
        <v>4099</v>
      </c>
      <c r="B4042" s="16" t="n">
        <v>44580</v>
      </c>
      <c r="C4042" s="15" t="s">
        <v>56</v>
      </c>
      <c r="D4042" s="15" t="s">
        <v>44</v>
      </c>
      <c r="E4042" s="15" t="s">
        <v>38</v>
      </c>
      <c r="F4042" s="15" t="s">
        <v>16</v>
      </c>
      <c r="G4042" s="15" t="s">
        <v>22</v>
      </c>
      <c r="H4042" s="15" t="n">
        <v>4</v>
      </c>
      <c r="I4042" s="17" t="n">
        <v>0.3</v>
      </c>
      <c r="J4042" s="18" t="n">
        <v>1161.75</v>
      </c>
      <c r="K4042" s="19" t="n">
        <v>-427.51</v>
      </c>
      <c r="L4042" s="15" t="n">
        <f aca="false">YEAR(B4042)</f>
        <v>2022</v>
      </c>
      <c r="M4042" s="20" t="n">
        <f aca="false">IF(J4042&gt;0,K4042/J4042,0)</f>
        <v>-0.367987949214547</v>
      </c>
    </row>
    <row r="4043" customFormat="false" ht="15" hidden="false" customHeight="false" outlineLevel="0" collapsed="false">
      <c r="A4043" s="15" t="s">
        <v>4100</v>
      </c>
      <c r="B4043" s="16" t="n">
        <v>45390</v>
      </c>
      <c r="C4043" s="15" t="s">
        <v>71</v>
      </c>
      <c r="D4043" s="15" t="s">
        <v>43</v>
      </c>
      <c r="E4043" s="15" t="s">
        <v>37</v>
      </c>
      <c r="F4043" s="15" t="s">
        <v>17</v>
      </c>
      <c r="G4043" s="15" t="s">
        <v>29</v>
      </c>
      <c r="H4043" s="15" t="n">
        <v>3</v>
      </c>
      <c r="I4043" s="17" t="n">
        <v>0.2</v>
      </c>
      <c r="J4043" s="18" t="n">
        <v>50.75</v>
      </c>
      <c r="K4043" s="19" t="n">
        <v>6.47</v>
      </c>
      <c r="L4043" s="15" t="n">
        <f aca="false">YEAR(B4043)</f>
        <v>2024</v>
      </c>
      <c r="M4043" s="20" t="n">
        <f aca="false">IF(J4043&gt;0,K4043/J4043,0)</f>
        <v>0.127487684729064</v>
      </c>
    </row>
    <row r="4044" customFormat="false" ht="15" hidden="false" customHeight="false" outlineLevel="0" collapsed="false">
      <c r="A4044" s="15" t="s">
        <v>4101</v>
      </c>
      <c r="B4044" s="16" t="n">
        <v>45110</v>
      </c>
      <c r="C4044" s="15" t="s">
        <v>56</v>
      </c>
      <c r="D4044" s="15" t="s">
        <v>44</v>
      </c>
      <c r="E4044" s="15" t="s">
        <v>39</v>
      </c>
      <c r="F4044" s="15" t="s">
        <v>17</v>
      </c>
      <c r="G4044" s="15" t="s">
        <v>28</v>
      </c>
      <c r="H4044" s="15" t="n">
        <v>10</v>
      </c>
      <c r="I4044" s="17" t="n">
        <v>0.1</v>
      </c>
      <c r="J4044" s="18" t="n">
        <v>195.17</v>
      </c>
      <c r="K4044" s="19" t="n">
        <v>55.19</v>
      </c>
      <c r="L4044" s="15" t="n">
        <f aca="false">YEAR(B4044)</f>
        <v>2023</v>
      </c>
      <c r="M4044" s="20" t="n">
        <f aca="false">IF(J4044&gt;0,K4044/J4044,0)</f>
        <v>0.282779115642773</v>
      </c>
    </row>
    <row r="4045" customFormat="false" ht="15" hidden="false" customHeight="false" outlineLevel="0" collapsed="false">
      <c r="A4045" s="15" t="s">
        <v>4102</v>
      </c>
      <c r="B4045" s="16" t="n">
        <v>45481</v>
      </c>
      <c r="C4045" s="15" t="s">
        <v>71</v>
      </c>
      <c r="D4045" s="15" t="s">
        <v>42</v>
      </c>
      <c r="E4045" s="15" t="s">
        <v>39</v>
      </c>
      <c r="F4045" s="15" t="s">
        <v>17</v>
      </c>
      <c r="G4045" s="15" t="s">
        <v>29</v>
      </c>
      <c r="H4045" s="15" t="n">
        <v>5</v>
      </c>
      <c r="I4045" s="17" t="n">
        <v>0</v>
      </c>
      <c r="J4045" s="18" t="n">
        <v>100</v>
      </c>
      <c r="K4045" s="19" t="n">
        <v>40.75</v>
      </c>
      <c r="L4045" s="15" t="n">
        <f aca="false">YEAR(B4045)</f>
        <v>2024</v>
      </c>
      <c r="M4045" s="20" t="n">
        <f aca="false">IF(J4045&gt;0,K4045/J4045,0)</f>
        <v>0.4075</v>
      </c>
    </row>
    <row r="4046" customFormat="false" ht="15" hidden="false" customHeight="false" outlineLevel="0" collapsed="false">
      <c r="A4046" s="15" t="s">
        <v>4103</v>
      </c>
      <c r="B4046" s="16" t="n">
        <v>45165</v>
      </c>
      <c r="C4046" s="15" t="s">
        <v>71</v>
      </c>
      <c r="D4046" s="15" t="s">
        <v>42</v>
      </c>
      <c r="E4046" s="15" t="s">
        <v>39</v>
      </c>
      <c r="F4046" s="15" t="s">
        <v>18</v>
      </c>
      <c r="G4046" s="15" t="s">
        <v>30</v>
      </c>
      <c r="H4046" s="15" t="n">
        <v>5</v>
      </c>
      <c r="I4046" s="17" t="n">
        <v>0</v>
      </c>
      <c r="J4046" s="18" t="n">
        <v>222.38</v>
      </c>
      <c r="K4046" s="19" t="n">
        <v>57.91</v>
      </c>
      <c r="L4046" s="15" t="n">
        <f aca="false">YEAR(B4046)</f>
        <v>2023</v>
      </c>
      <c r="M4046" s="20" t="n">
        <f aca="false">IF(J4046&gt;0,K4046/J4046,0)</f>
        <v>0.260410108822736</v>
      </c>
    </row>
    <row r="4047" customFormat="false" ht="15" hidden="false" customHeight="false" outlineLevel="0" collapsed="false">
      <c r="A4047" s="15" t="s">
        <v>4104</v>
      </c>
      <c r="B4047" s="16" t="n">
        <v>45627</v>
      </c>
      <c r="C4047" s="15" t="s">
        <v>71</v>
      </c>
      <c r="D4047" s="15" t="s">
        <v>42</v>
      </c>
      <c r="E4047" s="15" t="s">
        <v>39</v>
      </c>
      <c r="F4047" s="15" t="s">
        <v>17</v>
      </c>
      <c r="G4047" s="15" t="s">
        <v>29</v>
      </c>
      <c r="H4047" s="15" t="n">
        <v>4</v>
      </c>
      <c r="I4047" s="17" t="n">
        <v>0.05</v>
      </c>
      <c r="J4047" s="18" t="n">
        <v>89.72</v>
      </c>
      <c r="K4047" s="19" t="n">
        <v>25.02</v>
      </c>
      <c r="L4047" s="15" t="n">
        <f aca="false">YEAR(B4047)</f>
        <v>2024</v>
      </c>
      <c r="M4047" s="20" t="n">
        <f aca="false">IF(J4047&gt;0,K4047/J4047,0)</f>
        <v>0.278867588051716</v>
      </c>
    </row>
    <row r="4048" customFormat="false" ht="15" hidden="false" customHeight="false" outlineLevel="0" collapsed="false">
      <c r="A4048" s="15" t="s">
        <v>4105</v>
      </c>
      <c r="B4048" s="16" t="n">
        <v>45578</v>
      </c>
      <c r="C4048" s="15" t="s">
        <v>68</v>
      </c>
      <c r="D4048" s="15" t="s">
        <v>43</v>
      </c>
      <c r="E4048" s="15" t="s">
        <v>37</v>
      </c>
      <c r="F4048" s="15" t="s">
        <v>18</v>
      </c>
      <c r="G4048" s="15" t="s">
        <v>30</v>
      </c>
      <c r="H4048" s="15" t="n">
        <v>5</v>
      </c>
      <c r="I4048" s="17" t="n">
        <v>0.2</v>
      </c>
      <c r="J4048" s="18" t="n">
        <v>195.8</v>
      </c>
      <c r="K4048" s="19" t="n">
        <v>16.53</v>
      </c>
      <c r="L4048" s="15" t="n">
        <f aca="false">YEAR(B4048)</f>
        <v>2024</v>
      </c>
      <c r="M4048" s="20" t="n">
        <f aca="false">IF(J4048&gt;0,K4048/J4048,0)</f>
        <v>0.0844228804902962</v>
      </c>
    </row>
    <row r="4049" customFormat="false" ht="15" hidden="false" customHeight="false" outlineLevel="0" collapsed="false">
      <c r="A4049" s="15" t="s">
        <v>4106</v>
      </c>
      <c r="B4049" s="16" t="n">
        <v>45492</v>
      </c>
      <c r="C4049" s="15" t="s">
        <v>71</v>
      </c>
      <c r="D4049" s="15" t="s">
        <v>42</v>
      </c>
      <c r="E4049" s="15" t="s">
        <v>38</v>
      </c>
      <c r="F4049" s="15" t="s">
        <v>17</v>
      </c>
      <c r="G4049" s="15" t="s">
        <v>29</v>
      </c>
      <c r="H4049" s="15" t="n">
        <v>4</v>
      </c>
      <c r="I4049" s="17" t="n">
        <v>0.05</v>
      </c>
      <c r="J4049" s="18" t="n">
        <v>61.35</v>
      </c>
      <c r="K4049" s="19" t="n">
        <v>19.28</v>
      </c>
      <c r="L4049" s="15" t="n">
        <f aca="false">YEAR(B4049)</f>
        <v>2024</v>
      </c>
      <c r="M4049" s="20" t="n">
        <f aca="false">IF(J4049&gt;0,K4049/J4049,0)</f>
        <v>0.314262428687857</v>
      </c>
    </row>
    <row r="4050" customFormat="false" ht="15" hidden="false" customHeight="false" outlineLevel="0" collapsed="false">
      <c r="A4050" s="15" t="s">
        <v>4107</v>
      </c>
      <c r="B4050" s="16" t="n">
        <v>45967</v>
      </c>
      <c r="C4050" s="15" t="s">
        <v>56</v>
      </c>
      <c r="D4050" s="15" t="s">
        <v>43</v>
      </c>
      <c r="E4050" s="15" t="s">
        <v>39</v>
      </c>
      <c r="F4050" s="15" t="s">
        <v>17</v>
      </c>
      <c r="G4050" s="15" t="s">
        <v>28</v>
      </c>
      <c r="H4050" s="15" t="n">
        <v>6</v>
      </c>
      <c r="I4050" s="17" t="n">
        <v>0.3</v>
      </c>
      <c r="J4050" s="18" t="n">
        <v>116.1</v>
      </c>
      <c r="K4050" s="19" t="n">
        <v>1.89</v>
      </c>
      <c r="L4050" s="15" t="n">
        <f aca="false">YEAR(B4050)</f>
        <v>2025</v>
      </c>
      <c r="M4050" s="20" t="n">
        <f aca="false">IF(J4050&gt;0,K4050/J4050,0)</f>
        <v>0.0162790697674419</v>
      </c>
    </row>
    <row r="4051" customFormat="false" ht="15" hidden="false" customHeight="false" outlineLevel="0" collapsed="false">
      <c r="A4051" s="15" t="s">
        <v>4108</v>
      </c>
      <c r="B4051" s="16" t="n">
        <v>45119</v>
      </c>
      <c r="C4051" s="15" t="s">
        <v>68</v>
      </c>
      <c r="D4051" s="15" t="s">
        <v>42</v>
      </c>
      <c r="E4051" s="15" t="s">
        <v>38</v>
      </c>
      <c r="F4051" s="15" t="s">
        <v>17</v>
      </c>
      <c r="G4051" s="15" t="s">
        <v>29</v>
      </c>
      <c r="H4051" s="15" t="n">
        <v>4</v>
      </c>
      <c r="I4051" s="17" t="n">
        <v>0</v>
      </c>
      <c r="J4051" s="18" t="n">
        <v>64.27</v>
      </c>
      <c r="K4051" s="19" t="n">
        <v>22.84</v>
      </c>
      <c r="L4051" s="15" t="n">
        <f aca="false">YEAR(B4051)</f>
        <v>2023</v>
      </c>
      <c r="M4051" s="20" t="n">
        <f aca="false">IF(J4051&gt;0,K4051/J4051,0)</f>
        <v>0.355375758518749</v>
      </c>
    </row>
    <row r="4052" customFormat="false" ht="15" hidden="false" customHeight="false" outlineLevel="0" collapsed="false">
      <c r="A4052" s="15" t="s">
        <v>4109</v>
      </c>
      <c r="B4052" s="16" t="n">
        <v>44843</v>
      </c>
      <c r="C4052" s="15" t="s">
        <v>56</v>
      </c>
      <c r="D4052" s="15" t="s">
        <v>42</v>
      </c>
      <c r="E4052" s="15" t="s">
        <v>37</v>
      </c>
      <c r="F4052" s="15" t="s">
        <v>17</v>
      </c>
      <c r="G4052" s="15" t="s">
        <v>26</v>
      </c>
      <c r="H4052" s="15" t="n">
        <v>3</v>
      </c>
      <c r="I4052" s="17" t="n">
        <v>0</v>
      </c>
      <c r="J4052" s="18" t="n">
        <v>307.88</v>
      </c>
      <c r="K4052" s="19" t="n">
        <v>48.68</v>
      </c>
      <c r="L4052" s="15" t="n">
        <f aca="false">YEAR(B4052)</f>
        <v>2022</v>
      </c>
      <c r="M4052" s="20" t="n">
        <f aca="false">IF(J4052&gt;0,K4052/J4052,0)</f>
        <v>0.158113550734052</v>
      </c>
    </row>
    <row r="4053" customFormat="false" ht="15" hidden="false" customHeight="false" outlineLevel="0" collapsed="false">
      <c r="A4053" s="15" t="s">
        <v>4110</v>
      </c>
      <c r="B4053" s="16" t="n">
        <v>44903</v>
      </c>
      <c r="C4053" s="15" t="s">
        <v>56</v>
      </c>
      <c r="D4053" s="15" t="s">
        <v>42</v>
      </c>
      <c r="E4053" s="15" t="s">
        <v>38</v>
      </c>
      <c r="F4053" s="15" t="s">
        <v>16</v>
      </c>
      <c r="G4053" s="15" t="s">
        <v>25</v>
      </c>
      <c r="H4053" s="15" t="n">
        <v>2</v>
      </c>
      <c r="I4053" s="17" t="n">
        <v>0</v>
      </c>
      <c r="J4053" s="18" t="n">
        <v>454.42</v>
      </c>
      <c r="K4053" s="19" t="n">
        <v>45.6</v>
      </c>
      <c r="L4053" s="15" t="n">
        <f aca="false">YEAR(B4053)</f>
        <v>2022</v>
      </c>
      <c r="M4053" s="20" t="n">
        <f aca="false">IF(J4053&gt;0,K4053/J4053,0)</f>
        <v>0.100347695964086</v>
      </c>
    </row>
    <row r="4054" customFormat="false" ht="15" hidden="false" customHeight="false" outlineLevel="0" collapsed="false">
      <c r="A4054" s="15" t="s">
        <v>4111</v>
      </c>
      <c r="B4054" s="16" t="n">
        <v>46021</v>
      </c>
      <c r="C4054" s="15" t="s">
        <v>68</v>
      </c>
      <c r="D4054" s="15" t="s">
        <v>43</v>
      </c>
      <c r="E4054" s="15" t="s">
        <v>37</v>
      </c>
      <c r="F4054" s="15" t="s">
        <v>17</v>
      </c>
      <c r="G4054" s="15" t="s">
        <v>29</v>
      </c>
      <c r="H4054" s="15" t="n">
        <v>2</v>
      </c>
      <c r="I4054" s="17" t="n">
        <v>0</v>
      </c>
      <c r="J4054" s="18" t="n">
        <v>36.43</v>
      </c>
      <c r="K4054" s="19" t="n">
        <v>14.67</v>
      </c>
      <c r="L4054" s="15" t="n">
        <f aca="false">YEAR(B4054)</f>
        <v>2025</v>
      </c>
      <c r="M4054" s="20" t="n">
        <f aca="false">IF(J4054&gt;0,K4054/J4054,0)</f>
        <v>0.402690090584683</v>
      </c>
    </row>
    <row r="4055" customFormat="false" ht="15" hidden="false" customHeight="false" outlineLevel="0" collapsed="false">
      <c r="A4055" s="15" t="s">
        <v>4112</v>
      </c>
      <c r="B4055" s="16" t="n">
        <v>45351</v>
      </c>
      <c r="C4055" s="15" t="s">
        <v>68</v>
      </c>
      <c r="D4055" s="15" t="s">
        <v>43</v>
      </c>
      <c r="E4055" s="15" t="s">
        <v>38</v>
      </c>
      <c r="F4055" s="15" t="s">
        <v>17</v>
      </c>
      <c r="G4055" s="15" t="s">
        <v>31</v>
      </c>
      <c r="H4055" s="15" t="n">
        <v>3</v>
      </c>
      <c r="I4055" s="17" t="n">
        <v>0.2</v>
      </c>
      <c r="J4055" s="18" t="n">
        <v>321.2</v>
      </c>
      <c r="K4055" s="19" t="n">
        <v>14.67</v>
      </c>
      <c r="L4055" s="15" t="n">
        <f aca="false">YEAR(B4055)</f>
        <v>2024</v>
      </c>
      <c r="M4055" s="20" t="n">
        <f aca="false">IF(J4055&gt;0,K4055/J4055,0)</f>
        <v>0.0456724782067248</v>
      </c>
    </row>
    <row r="4056" customFormat="false" ht="15" hidden="false" customHeight="false" outlineLevel="0" collapsed="false">
      <c r="A4056" s="15" t="s">
        <v>4113</v>
      </c>
      <c r="B4056" s="16" t="n">
        <v>45510</v>
      </c>
      <c r="C4056" s="15" t="s">
        <v>56</v>
      </c>
      <c r="D4056" s="15" t="s">
        <v>44</v>
      </c>
      <c r="E4056" s="15" t="s">
        <v>36</v>
      </c>
      <c r="F4056" s="15" t="s">
        <v>17</v>
      </c>
      <c r="G4056" s="15" t="s">
        <v>28</v>
      </c>
      <c r="H4056" s="15" t="n">
        <v>2</v>
      </c>
      <c r="I4056" s="17" t="n">
        <v>0.5</v>
      </c>
      <c r="J4056" s="18" t="n">
        <v>22.49</v>
      </c>
      <c r="K4056" s="19" t="n">
        <v>-4.34</v>
      </c>
      <c r="L4056" s="15" t="n">
        <f aca="false">YEAR(B4056)</f>
        <v>2024</v>
      </c>
      <c r="M4056" s="20" t="n">
        <f aca="false">IF(J4056&gt;0,K4056/J4056,0)</f>
        <v>-0.192974655402401</v>
      </c>
    </row>
    <row r="4057" customFormat="false" ht="15" hidden="false" customHeight="false" outlineLevel="0" collapsed="false">
      <c r="A4057" s="15" t="s">
        <v>4114</v>
      </c>
      <c r="B4057" s="16" t="n">
        <v>45781</v>
      </c>
      <c r="C4057" s="15" t="s">
        <v>56</v>
      </c>
      <c r="D4057" s="15" t="s">
        <v>42</v>
      </c>
      <c r="E4057" s="15" t="s">
        <v>39</v>
      </c>
      <c r="F4057" s="15" t="s">
        <v>18</v>
      </c>
      <c r="G4057" s="15" t="s">
        <v>32</v>
      </c>
      <c r="H4057" s="15" t="n">
        <v>1</v>
      </c>
      <c r="I4057" s="17" t="n">
        <v>0</v>
      </c>
      <c r="J4057" s="18" t="n">
        <v>453.08</v>
      </c>
      <c r="K4057" s="19" t="n">
        <v>70.96</v>
      </c>
      <c r="L4057" s="15" t="n">
        <f aca="false">YEAR(B4057)</f>
        <v>2025</v>
      </c>
      <c r="M4057" s="20" t="n">
        <f aca="false">IF(J4057&gt;0,K4057/J4057,0)</f>
        <v>0.156616932991966</v>
      </c>
    </row>
    <row r="4058" customFormat="false" ht="15" hidden="false" customHeight="false" outlineLevel="0" collapsed="false">
      <c r="A4058" s="15" t="s">
        <v>4115</v>
      </c>
      <c r="B4058" s="16" t="n">
        <v>45982</v>
      </c>
      <c r="C4058" s="15" t="s">
        <v>58</v>
      </c>
      <c r="D4058" s="15" t="s">
        <v>42</v>
      </c>
      <c r="E4058" s="15" t="s">
        <v>39</v>
      </c>
      <c r="F4058" s="15" t="s">
        <v>16</v>
      </c>
      <c r="G4058" s="15" t="s">
        <v>27</v>
      </c>
      <c r="H4058" s="15" t="n">
        <v>9</v>
      </c>
      <c r="I4058" s="17" t="n">
        <v>0.15</v>
      </c>
      <c r="J4058" s="18" t="n">
        <v>442.55</v>
      </c>
      <c r="K4058" s="19" t="n">
        <v>26.56</v>
      </c>
      <c r="L4058" s="15" t="n">
        <f aca="false">YEAR(B4058)</f>
        <v>2025</v>
      </c>
      <c r="M4058" s="20" t="n">
        <f aca="false">IF(J4058&gt;0,K4058/J4058,0)</f>
        <v>0.0600158174217603</v>
      </c>
    </row>
    <row r="4059" customFormat="false" ht="15" hidden="false" customHeight="false" outlineLevel="0" collapsed="false">
      <c r="A4059" s="15" t="s">
        <v>4116</v>
      </c>
      <c r="B4059" s="16" t="n">
        <v>45002</v>
      </c>
      <c r="C4059" s="15" t="s">
        <v>56</v>
      </c>
      <c r="D4059" s="15" t="s">
        <v>44</v>
      </c>
      <c r="E4059" s="15" t="s">
        <v>39</v>
      </c>
      <c r="F4059" s="15" t="s">
        <v>17</v>
      </c>
      <c r="G4059" s="15" t="s">
        <v>26</v>
      </c>
      <c r="H4059" s="15" t="n">
        <v>4</v>
      </c>
      <c r="I4059" s="17" t="n">
        <v>0.1</v>
      </c>
      <c r="J4059" s="18" t="n">
        <v>345.33</v>
      </c>
      <c r="K4059" s="19" t="n">
        <v>13.7</v>
      </c>
      <c r="L4059" s="15" t="n">
        <f aca="false">YEAR(B4059)</f>
        <v>2023</v>
      </c>
      <c r="M4059" s="20" t="n">
        <f aca="false">IF(J4059&gt;0,K4059/J4059,0)</f>
        <v>0.039672197608085</v>
      </c>
    </row>
    <row r="4060" customFormat="false" ht="15" hidden="false" customHeight="false" outlineLevel="0" collapsed="false">
      <c r="A4060" s="15" t="s">
        <v>4117</v>
      </c>
      <c r="B4060" s="16" t="n">
        <v>44874</v>
      </c>
      <c r="C4060" s="15" t="s">
        <v>71</v>
      </c>
      <c r="D4060" s="15" t="s">
        <v>43</v>
      </c>
      <c r="E4060" s="15" t="s">
        <v>37</v>
      </c>
      <c r="F4060" s="15" t="s">
        <v>18</v>
      </c>
      <c r="G4060" s="15" t="s">
        <v>32</v>
      </c>
      <c r="H4060" s="15" t="n">
        <v>4</v>
      </c>
      <c r="I4060" s="17" t="n">
        <v>0.4</v>
      </c>
      <c r="J4060" s="18" t="n">
        <v>1046.91</v>
      </c>
      <c r="K4060" s="19" t="n">
        <v>-150.89</v>
      </c>
      <c r="L4060" s="15" t="n">
        <f aca="false">YEAR(B4060)</f>
        <v>2022</v>
      </c>
      <c r="M4060" s="20" t="n">
        <f aca="false">IF(J4060&gt;0,K4060/J4060,0)</f>
        <v>-0.144128912705008</v>
      </c>
    </row>
    <row r="4061" customFormat="false" ht="15" hidden="false" customHeight="false" outlineLevel="0" collapsed="false">
      <c r="A4061" s="15" t="s">
        <v>4118</v>
      </c>
      <c r="B4061" s="16" t="n">
        <v>45904</v>
      </c>
      <c r="C4061" s="15" t="s">
        <v>56</v>
      </c>
      <c r="D4061" s="15" t="s">
        <v>44</v>
      </c>
      <c r="E4061" s="15" t="s">
        <v>36</v>
      </c>
      <c r="F4061" s="15" t="s">
        <v>17</v>
      </c>
      <c r="G4061" s="15" t="s">
        <v>31</v>
      </c>
      <c r="H4061" s="15" t="n">
        <v>1</v>
      </c>
      <c r="I4061" s="17" t="n">
        <v>0</v>
      </c>
      <c r="J4061" s="18" t="n">
        <v>145.09</v>
      </c>
      <c r="K4061" s="19" t="n">
        <v>30.89</v>
      </c>
      <c r="L4061" s="15" t="n">
        <f aca="false">YEAR(B4061)</f>
        <v>2025</v>
      </c>
      <c r="M4061" s="20" t="n">
        <f aca="false">IF(J4061&gt;0,K4061/J4061,0)</f>
        <v>0.212902336480805</v>
      </c>
    </row>
    <row r="4062" customFormat="false" ht="15" hidden="false" customHeight="false" outlineLevel="0" collapsed="false">
      <c r="A4062" s="15" t="s">
        <v>4119</v>
      </c>
      <c r="B4062" s="16" t="n">
        <v>45068</v>
      </c>
      <c r="C4062" s="15" t="s">
        <v>56</v>
      </c>
      <c r="D4062" s="15" t="s">
        <v>42</v>
      </c>
      <c r="E4062" s="15" t="s">
        <v>37</v>
      </c>
      <c r="F4062" s="15" t="s">
        <v>17</v>
      </c>
      <c r="G4062" s="15" t="s">
        <v>29</v>
      </c>
      <c r="H4062" s="15" t="n">
        <v>6</v>
      </c>
      <c r="I4062" s="17" t="n">
        <v>0.1</v>
      </c>
      <c r="J4062" s="18" t="n">
        <v>109.2</v>
      </c>
      <c r="K4062" s="19" t="n">
        <v>24.41</v>
      </c>
      <c r="L4062" s="15" t="n">
        <f aca="false">YEAR(B4062)</f>
        <v>2023</v>
      </c>
      <c r="M4062" s="20" t="n">
        <f aca="false">IF(J4062&gt;0,K4062/J4062,0)</f>
        <v>0.223534798534799</v>
      </c>
    </row>
    <row r="4063" customFormat="false" ht="15" hidden="false" customHeight="false" outlineLevel="0" collapsed="false">
      <c r="A4063" s="15" t="s">
        <v>4120</v>
      </c>
      <c r="B4063" s="16" t="n">
        <v>45735</v>
      </c>
      <c r="C4063" s="15" t="s">
        <v>56</v>
      </c>
      <c r="D4063" s="15" t="s">
        <v>42</v>
      </c>
      <c r="E4063" s="15" t="s">
        <v>39</v>
      </c>
      <c r="F4063" s="15" t="s">
        <v>17</v>
      </c>
      <c r="G4063" s="15" t="s">
        <v>29</v>
      </c>
      <c r="H4063" s="15" t="n">
        <v>6</v>
      </c>
      <c r="I4063" s="17" t="n">
        <v>0.2</v>
      </c>
      <c r="J4063" s="18" t="n">
        <v>90.58</v>
      </c>
      <c r="K4063" s="19" t="n">
        <v>18.9</v>
      </c>
      <c r="L4063" s="15" t="n">
        <f aca="false">YEAR(B4063)</f>
        <v>2025</v>
      </c>
      <c r="M4063" s="20" t="n">
        <f aca="false">IF(J4063&gt;0,K4063/J4063,0)</f>
        <v>0.208655332302937</v>
      </c>
    </row>
    <row r="4064" customFormat="false" ht="15" hidden="false" customHeight="false" outlineLevel="0" collapsed="false">
      <c r="A4064" s="15" t="s">
        <v>4121</v>
      </c>
      <c r="B4064" s="16" t="n">
        <v>44908</v>
      </c>
      <c r="C4064" s="15" t="s">
        <v>56</v>
      </c>
      <c r="D4064" s="15" t="s">
        <v>43</v>
      </c>
      <c r="E4064" s="15" t="s">
        <v>39</v>
      </c>
      <c r="F4064" s="15" t="s">
        <v>18</v>
      </c>
      <c r="G4064" s="15" t="s">
        <v>30</v>
      </c>
      <c r="H4064" s="15" t="n">
        <v>4</v>
      </c>
      <c r="I4064" s="17" t="n">
        <v>0</v>
      </c>
      <c r="J4064" s="18" t="n">
        <v>171.44</v>
      </c>
      <c r="K4064" s="19" t="n">
        <v>59.02</v>
      </c>
      <c r="L4064" s="15" t="n">
        <f aca="false">YEAR(B4064)</f>
        <v>2022</v>
      </c>
      <c r="M4064" s="20" t="n">
        <f aca="false">IF(J4064&gt;0,K4064/J4064,0)</f>
        <v>0.344260382641157</v>
      </c>
    </row>
    <row r="4065" customFormat="false" ht="15" hidden="false" customHeight="false" outlineLevel="0" collapsed="false">
      <c r="A4065" s="15" t="s">
        <v>4122</v>
      </c>
      <c r="B4065" s="16" t="n">
        <v>45137</v>
      </c>
      <c r="C4065" s="15" t="s">
        <v>68</v>
      </c>
      <c r="D4065" s="15" t="s">
        <v>43</v>
      </c>
      <c r="E4065" s="15" t="s">
        <v>39</v>
      </c>
      <c r="F4065" s="15" t="s">
        <v>17</v>
      </c>
      <c r="G4065" s="15" t="s">
        <v>28</v>
      </c>
      <c r="H4065" s="15" t="n">
        <v>4</v>
      </c>
      <c r="I4065" s="17" t="n">
        <v>0</v>
      </c>
      <c r="J4065" s="18" t="n">
        <v>102.74</v>
      </c>
      <c r="K4065" s="19" t="n">
        <v>27.85</v>
      </c>
      <c r="L4065" s="15" t="n">
        <f aca="false">YEAR(B4065)</f>
        <v>2023</v>
      </c>
      <c r="M4065" s="20" t="n">
        <f aca="false">IF(J4065&gt;0,K4065/J4065,0)</f>
        <v>0.271072610473039</v>
      </c>
    </row>
    <row r="4066" customFormat="false" ht="15" hidden="false" customHeight="false" outlineLevel="0" collapsed="false">
      <c r="A4066" s="15" t="s">
        <v>4123</v>
      </c>
      <c r="B4066" s="16" t="n">
        <v>45604</v>
      </c>
      <c r="C4066" s="15" t="s">
        <v>56</v>
      </c>
      <c r="D4066" s="15" t="s">
        <v>42</v>
      </c>
      <c r="E4066" s="15" t="s">
        <v>38</v>
      </c>
      <c r="F4066" s="15" t="s">
        <v>17</v>
      </c>
      <c r="G4066" s="15" t="s">
        <v>29</v>
      </c>
      <c r="H4066" s="15" t="n">
        <v>1</v>
      </c>
      <c r="I4066" s="17" t="n">
        <v>0.2</v>
      </c>
      <c r="J4066" s="18" t="n">
        <v>12.86</v>
      </c>
      <c r="K4066" s="19" t="n">
        <v>2.57</v>
      </c>
      <c r="L4066" s="15" t="n">
        <f aca="false">YEAR(B4066)</f>
        <v>2024</v>
      </c>
      <c r="M4066" s="20" t="n">
        <f aca="false">IF(J4066&gt;0,K4066/J4066,0)</f>
        <v>0.199844479004666</v>
      </c>
    </row>
    <row r="4067" customFormat="false" ht="15" hidden="false" customHeight="false" outlineLevel="0" collapsed="false">
      <c r="A4067" s="15" t="s">
        <v>4124</v>
      </c>
      <c r="B4067" s="16" t="n">
        <v>44816</v>
      </c>
      <c r="C4067" s="15" t="s">
        <v>56</v>
      </c>
      <c r="D4067" s="15" t="s">
        <v>42</v>
      </c>
      <c r="E4067" s="15" t="s">
        <v>37</v>
      </c>
      <c r="F4067" s="15" t="s">
        <v>17</v>
      </c>
      <c r="G4067" s="15" t="s">
        <v>29</v>
      </c>
      <c r="H4067" s="15" t="n">
        <v>4</v>
      </c>
      <c r="I4067" s="17" t="n">
        <v>0</v>
      </c>
      <c r="J4067" s="18" t="n">
        <v>72.29</v>
      </c>
      <c r="K4067" s="19" t="n">
        <v>24.51</v>
      </c>
      <c r="L4067" s="15" t="n">
        <f aca="false">YEAR(B4067)</f>
        <v>2022</v>
      </c>
      <c r="M4067" s="20" t="n">
        <f aca="false">IF(J4067&gt;0,K4067/J4067,0)</f>
        <v>0.339051044404482</v>
      </c>
    </row>
    <row r="4068" customFormat="false" ht="15" hidden="false" customHeight="false" outlineLevel="0" collapsed="false">
      <c r="A4068" s="15" t="s">
        <v>4125</v>
      </c>
      <c r="B4068" s="16" t="n">
        <v>45833</v>
      </c>
      <c r="C4068" s="15" t="s">
        <v>56</v>
      </c>
      <c r="D4068" s="15" t="s">
        <v>43</v>
      </c>
      <c r="E4068" s="15" t="s">
        <v>36</v>
      </c>
      <c r="F4068" s="15" t="s">
        <v>18</v>
      </c>
      <c r="G4068" s="15" t="s">
        <v>30</v>
      </c>
      <c r="H4068" s="15" t="n">
        <v>4</v>
      </c>
      <c r="I4068" s="17" t="n">
        <v>0.15</v>
      </c>
      <c r="J4068" s="18" t="n">
        <v>168.87</v>
      </c>
      <c r="K4068" s="19" t="n">
        <v>39.86</v>
      </c>
      <c r="L4068" s="15" t="n">
        <f aca="false">YEAR(B4068)</f>
        <v>2025</v>
      </c>
      <c r="M4068" s="20" t="n">
        <f aca="false">IF(J4068&gt;0,K4068/J4068,0)</f>
        <v>0.236039557055723</v>
      </c>
    </row>
    <row r="4069" customFormat="false" ht="15" hidden="false" customHeight="false" outlineLevel="0" collapsed="false">
      <c r="A4069" s="15" t="s">
        <v>4126</v>
      </c>
      <c r="B4069" s="16" t="n">
        <v>45802</v>
      </c>
      <c r="C4069" s="15" t="s">
        <v>56</v>
      </c>
      <c r="D4069" s="15" t="s">
        <v>42</v>
      </c>
      <c r="E4069" s="15" t="s">
        <v>36</v>
      </c>
      <c r="F4069" s="15" t="s">
        <v>18</v>
      </c>
      <c r="G4069" s="15" t="s">
        <v>30</v>
      </c>
      <c r="H4069" s="15" t="n">
        <v>6</v>
      </c>
      <c r="I4069" s="17" t="n">
        <v>0</v>
      </c>
      <c r="J4069" s="18" t="n">
        <v>267.79</v>
      </c>
      <c r="K4069" s="19" t="n">
        <v>67.32</v>
      </c>
      <c r="L4069" s="15" t="n">
        <f aca="false">YEAR(B4069)</f>
        <v>2025</v>
      </c>
      <c r="M4069" s="20" t="n">
        <f aca="false">IF(J4069&gt;0,K4069/J4069,0)</f>
        <v>0.251391015347847</v>
      </c>
    </row>
    <row r="4070" customFormat="false" ht="15" hidden="false" customHeight="false" outlineLevel="0" collapsed="false">
      <c r="A4070" s="15" t="s">
        <v>4127</v>
      </c>
      <c r="B4070" s="16" t="n">
        <v>45186</v>
      </c>
      <c r="C4070" s="15" t="s">
        <v>56</v>
      </c>
      <c r="D4070" s="15" t="s">
        <v>42</v>
      </c>
      <c r="E4070" s="15" t="s">
        <v>37</v>
      </c>
      <c r="F4070" s="15" t="s">
        <v>17</v>
      </c>
      <c r="G4070" s="15" t="s">
        <v>26</v>
      </c>
      <c r="H4070" s="15" t="n">
        <v>5</v>
      </c>
      <c r="I4070" s="17" t="n">
        <v>0</v>
      </c>
      <c r="J4070" s="18" t="n">
        <v>346.23</v>
      </c>
      <c r="K4070" s="19" t="n">
        <v>43.82</v>
      </c>
      <c r="L4070" s="15" t="n">
        <f aca="false">YEAR(B4070)</f>
        <v>2023</v>
      </c>
      <c r="M4070" s="20" t="n">
        <f aca="false">IF(J4070&gt;0,K4070/J4070,0)</f>
        <v>0.126563267192329</v>
      </c>
    </row>
    <row r="4071" customFormat="false" ht="15" hidden="false" customHeight="false" outlineLevel="0" collapsed="false">
      <c r="A4071" s="15" t="s">
        <v>4128</v>
      </c>
      <c r="B4071" s="16" t="n">
        <v>45448</v>
      </c>
      <c r="C4071" s="15" t="s">
        <v>56</v>
      </c>
      <c r="D4071" s="15" t="s">
        <v>44</v>
      </c>
      <c r="E4071" s="15" t="s">
        <v>37</v>
      </c>
      <c r="F4071" s="15" t="s">
        <v>16</v>
      </c>
      <c r="G4071" s="15" t="s">
        <v>27</v>
      </c>
      <c r="H4071" s="15" t="n">
        <v>2</v>
      </c>
      <c r="I4071" s="17" t="n">
        <v>0.1</v>
      </c>
      <c r="J4071" s="18" t="n">
        <v>95.7</v>
      </c>
      <c r="K4071" s="19" t="n">
        <v>11.31</v>
      </c>
      <c r="L4071" s="15" t="n">
        <f aca="false">YEAR(B4071)</f>
        <v>2024</v>
      </c>
      <c r="M4071" s="20" t="n">
        <f aca="false">IF(J4071&gt;0,K4071/J4071,0)</f>
        <v>0.118181818181818</v>
      </c>
    </row>
    <row r="4072" customFormat="false" ht="15" hidden="false" customHeight="false" outlineLevel="0" collapsed="false">
      <c r="A4072" s="15" t="s">
        <v>4129</v>
      </c>
      <c r="B4072" s="16" t="n">
        <v>44897</v>
      </c>
      <c r="C4072" s="15" t="s">
        <v>58</v>
      </c>
      <c r="D4072" s="15" t="s">
        <v>42</v>
      </c>
      <c r="E4072" s="15" t="s">
        <v>36</v>
      </c>
      <c r="F4072" s="15" t="s">
        <v>18</v>
      </c>
      <c r="G4072" s="15" t="s">
        <v>30</v>
      </c>
      <c r="H4072" s="15" t="n">
        <v>4</v>
      </c>
      <c r="I4072" s="17" t="n">
        <v>0.3</v>
      </c>
      <c r="J4072" s="18" t="n">
        <v>123.89</v>
      </c>
      <c r="K4072" s="19" t="n">
        <v>3.69</v>
      </c>
      <c r="L4072" s="15" t="n">
        <f aca="false">YEAR(B4072)</f>
        <v>2022</v>
      </c>
      <c r="M4072" s="20" t="n">
        <f aca="false">IF(J4072&gt;0,K4072/J4072,0)</f>
        <v>0.0297844862377916</v>
      </c>
    </row>
    <row r="4073" customFormat="false" ht="15" hidden="false" customHeight="false" outlineLevel="0" collapsed="false">
      <c r="A4073" s="15" t="s">
        <v>4130</v>
      </c>
      <c r="B4073" s="16" t="n">
        <v>45624</v>
      </c>
      <c r="C4073" s="15" t="s">
        <v>71</v>
      </c>
      <c r="D4073" s="15" t="s">
        <v>42</v>
      </c>
      <c r="E4073" s="15" t="s">
        <v>37</v>
      </c>
      <c r="F4073" s="15" t="s">
        <v>18</v>
      </c>
      <c r="G4073" s="15" t="s">
        <v>30</v>
      </c>
      <c r="H4073" s="15" t="n">
        <v>3</v>
      </c>
      <c r="I4073" s="17" t="n">
        <v>0</v>
      </c>
      <c r="J4073" s="18" t="n">
        <v>123.02</v>
      </c>
      <c r="K4073" s="19" t="n">
        <v>35.27</v>
      </c>
      <c r="L4073" s="15" t="n">
        <f aca="false">YEAR(B4073)</f>
        <v>2024</v>
      </c>
      <c r="M4073" s="20" t="n">
        <f aca="false">IF(J4073&gt;0,K4073/J4073,0)</f>
        <v>0.286701349374086</v>
      </c>
    </row>
    <row r="4074" customFormat="false" ht="15" hidden="false" customHeight="false" outlineLevel="0" collapsed="false">
      <c r="A4074" s="15" t="s">
        <v>4131</v>
      </c>
      <c r="B4074" s="16" t="n">
        <v>44934</v>
      </c>
      <c r="C4074" s="15" t="s">
        <v>56</v>
      </c>
      <c r="D4074" s="15" t="s">
        <v>43</v>
      </c>
      <c r="E4074" s="15" t="s">
        <v>39</v>
      </c>
      <c r="F4074" s="15" t="s">
        <v>17</v>
      </c>
      <c r="G4074" s="15" t="s">
        <v>26</v>
      </c>
      <c r="H4074" s="15" t="n">
        <v>5</v>
      </c>
      <c r="I4074" s="17" t="n">
        <v>0</v>
      </c>
      <c r="J4074" s="18" t="n">
        <v>456.24</v>
      </c>
      <c r="K4074" s="19" t="n">
        <v>67.95</v>
      </c>
      <c r="L4074" s="15" t="n">
        <f aca="false">YEAR(B4074)</f>
        <v>2023</v>
      </c>
      <c r="M4074" s="20" t="n">
        <f aca="false">IF(J4074&gt;0,K4074/J4074,0)</f>
        <v>0.148934771173067</v>
      </c>
    </row>
    <row r="4075" customFormat="false" ht="15" hidden="false" customHeight="false" outlineLevel="0" collapsed="false">
      <c r="A4075" s="15" t="s">
        <v>4132</v>
      </c>
      <c r="B4075" s="16" t="n">
        <v>45706</v>
      </c>
      <c r="C4075" s="15" t="s">
        <v>71</v>
      </c>
      <c r="D4075" s="15" t="s">
        <v>42</v>
      </c>
      <c r="E4075" s="15" t="s">
        <v>37</v>
      </c>
      <c r="F4075" s="15" t="s">
        <v>16</v>
      </c>
      <c r="G4075" s="15" t="s">
        <v>25</v>
      </c>
      <c r="H4075" s="15" t="n">
        <v>1</v>
      </c>
      <c r="I4075" s="17" t="n">
        <v>0.1</v>
      </c>
      <c r="J4075" s="18" t="n">
        <v>250.75</v>
      </c>
      <c r="K4075" s="19" t="n">
        <v>5.07</v>
      </c>
      <c r="L4075" s="15" t="n">
        <f aca="false">YEAR(B4075)</f>
        <v>2025</v>
      </c>
      <c r="M4075" s="20" t="n">
        <f aca="false">IF(J4075&gt;0,K4075/J4075,0)</f>
        <v>0.0202193419740778</v>
      </c>
    </row>
    <row r="4076" customFormat="false" ht="15" hidden="false" customHeight="false" outlineLevel="0" collapsed="false">
      <c r="A4076" s="15" t="s">
        <v>4133</v>
      </c>
      <c r="B4076" s="16" t="n">
        <v>44895</v>
      </c>
      <c r="C4076" s="15" t="s">
        <v>56</v>
      </c>
      <c r="D4076" s="15" t="s">
        <v>42</v>
      </c>
      <c r="E4076" s="15" t="s">
        <v>37</v>
      </c>
      <c r="F4076" s="15" t="s">
        <v>17</v>
      </c>
      <c r="G4076" s="15" t="s">
        <v>26</v>
      </c>
      <c r="H4076" s="15" t="n">
        <v>7</v>
      </c>
      <c r="I4076" s="17" t="n">
        <v>0.3</v>
      </c>
      <c r="J4076" s="18" t="n">
        <v>400.27</v>
      </c>
      <c r="K4076" s="19" t="n">
        <v>-45.26</v>
      </c>
      <c r="L4076" s="15" t="n">
        <f aca="false">YEAR(B4076)</f>
        <v>2022</v>
      </c>
      <c r="M4076" s="20" t="n">
        <f aca="false">IF(J4076&gt;0,K4076/J4076,0)</f>
        <v>-0.113073675269193</v>
      </c>
    </row>
    <row r="4077" customFormat="false" ht="15" hidden="false" customHeight="false" outlineLevel="0" collapsed="false">
      <c r="A4077" s="15" t="s">
        <v>4134</v>
      </c>
      <c r="B4077" s="16" t="n">
        <v>44794</v>
      </c>
      <c r="C4077" s="15" t="s">
        <v>56</v>
      </c>
      <c r="D4077" s="15" t="s">
        <v>42</v>
      </c>
      <c r="E4077" s="15" t="s">
        <v>39</v>
      </c>
      <c r="F4077" s="15" t="s">
        <v>18</v>
      </c>
      <c r="G4077" s="15" t="s">
        <v>30</v>
      </c>
      <c r="H4077" s="15" t="n">
        <v>3</v>
      </c>
      <c r="I4077" s="17" t="n">
        <v>0.2</v>
      </c>
      <c r="J4077" s="18" t="n">
        <v>100.83</v>
      </c>
      <c r="K4077" s="19" t="n">
        <v>10.16</v>
      </c>
      <c r="L4077" s="15" t="n">
        <f aca="false">YEAR(B4077)</f>
        <v>2022</v>
      </c>
      <c r="M4077" s="20" t="n">
        <f aca="false">IF(J4077&gt;0,K4077/J4077,0)</f>
        <v>0.100763661608648</v>
      </c>
    </row>
    <row r="4078" customFormat="false" ht="15" hidden="false" customHeight="false" outlineLevel="0" collapsed="false">
      <c r="A4078" s="15" t="s">
        <v>4135</v>
      </c>
      <c r="B4078" s="16" t="n">
        <v>44869</v>
      </c>
      <c r="C4078" s="15" t="s">
        <v>71</v>
      </c>
      <c r="D4078" s="15" t="s">
        <v>43</v>
      </c>
      <c r="E4078" s="15" t="s">
        <v>37</v>
      </c>
      <c r="F4078" s="15" t="s">
        <v>17</v>
      </c>
      <c r="G4078" s="15" t="s">
        <v>28</v>
      </c>
      <c r="H4078" s="15" t="n">
        <v>1</v>
      </c>
      <c r="I4078" s="17" t="n">
        <v>0</v>
      </c>
      <c r="J4078" s="18" t="n">
        <v>27.14</v>
      </c>
      <c r="K4078" s="19" t="n">
        <v>8.74</v>
      </c>
      <c r="L4078" s="15" t="n">
        <f aca="false">YEAR(B4078)</f>
        <v>2022</v>
      </c>
      <c r="M4078" s="20" t="n">
        <f aca="false">IF(J4078&gt;0,K4078/J4078,0)</f>
        <v>0.322033898305085</v>
      </c>
    </row>
    <row r="4079" customFormat="false" ht="15" hidden="false" customHeight="false" outlineLevel="0" collapsed="false">
      <c r="A4079" s="15" t="s">
        <v>4136</v>
      </c>
      <c r="B4079" s="16" t="n">
        <v>46016</v>
      </c>
      <c r="C4079" s="15" t="s">
        <v>71</v>
      </c>
      <c r="D4079" s="15" t="s">
        <v>44</v>
      </c>
      <c r="E4079" s="15" t="s">
        <v>38</v>
      </c>
      <c r="F4079" s="15" t="s">
        <v>18</v>
      </c>
      <c r="G4079" s="15" t="s">
        <v>30</v>
      </c>
      <c r="H4079" s="15" t="n">
        <v>2</v>
      </c>
      <c r="I4079" s="17" t="n">
        <v>0.2</v>
      </c>
      <c r="J4079" s="18" t="n">
        <v>60.18</v>
      </c>
      <c r="K4079" s="19" t="n">
        <v>7.18</v>
      </c>
      <c r="L4079" s="15" t="n">
        <f aca="false">YEAR(B4079)</f>
        <v>2025</v>
      </c>
      <c r="M4079" s="20" t="n">
        <f aca="false">IF(J4079&gt;0,K4079/J4079,0)</f>
        <v>0.119308740445331</v>
      </c>
    </row>
    <row r="4080" customFormat="false" ht="15" hidden="false" customHeight="false" outlineLevel="0" collapsed="false">
      <c r="A4080" s="15" t="s">
        <v>4137</v>
      </c>
      <c r="B4080" s="16" t="n">
        <v>45401</v>
      </c>
      <c r="C4080" s="15" t="s">
        <v>68</v>
      </c>
      <c r="D4080" s="15" t="s">
        <v>42</v>
      </c>
      <c r="E4080" s="15" t="s">
        <v>38</v>
      </c>
      <c r="F4080" s="15" t="s">
        <v>17</v>
      </c>
      <c r="G4080" s="15" t="s">
        <v>26</v>
      </c>
      <c r="H4080" s="15" t="n">
        <v>2</v>
      </c>
      <c r="I4080" s="17" t="n">
        <v>0</v>
      </c>
      <c r="J4080" s="18" t="n">
        <v>149.28</v>
      </c>
      <c r="K4080" s="19" t="n">
        <v>19.98</v>
      </c>
      <c r="L4080" s="15" t="n">
        <f aca="false">YEAR(B4080)</f>
        <v>2024</v>
      </c>
      <c r="M4080" s="20" t="n">
        <f aca="false">IF(J4080&gt;0,K4080/J4080,0)</f>
        <v>0.133842443729904</v>
      </c>
    </row>
    <row r="4081" customFormat="false" ht="15" hidden="false" customHeight="false" outlineLevel="0" collapsed="false">
      <c r="A4081" s="15" t="s">
        <v>4138</v>
      </c>
      <c r="B4081" s="16" t="n">
        <v>44767</v>
      </c>
      <c r="C4081" s="15" t="s">
        <v>58</v>
      </c>
      <c r="D4081" s="15" t="s">
        <v>44</v>
      </c>
      <c r="E4081" s="15" t="s">
        <v>38</v>
      </c>
      <c r="F4081" s="15" t="s">
        <v>16</v>
      </c>
      <c r="G4081" s="15" t="s">
        <v>23</v>
      </c>
      <c r="H4081" s="15" t="n">
        <v>3</v>
      </c>
      <c r="I4081" s="17" t="n">
        <v>0.05</v>
      </c>
      <c r="J4081" s="18" t="n">
        <v>776.16</v>
      </c>
      <c r="K4081" s="19" t="n">
        <v>-15.68</v>
      </c>
      <c r="L4081" s="15" t="n">
        <f aca="false">YEAR(B4081)</f>
        <v>2022</v>
      </c>
      <c r="M4081" s="20" t="n">
        <f aca="false">IF(J4081&gt;0,K4081/J4081,0)</f>
        <v>-0.0202020202020202</v>
      </c>
    </row>
    <row r="4082" customFormat="false" ht="15" hidden="false" customHeight="false" outlineLevel="0" collapsed="false">
      <c r="A4082" s="15" t="s">
        <v>4139</v>
      </c>
      <c r="B4082" s="16" t="n">
        <v>45853</v>
      </c>
      <c r="C4082" s="15" t="s">
        <v>56</v>
      </c>
      <c r="D4082" s="15" t="s">
        <v>42</v>
      </c>
      <c r="E4082" s="15" t="s">
        <v>39</v>
      </c>
      <c r="F4082" s="15" t="s">
        <v>17</v>
      </c>
      <c r="G4082" s="15" t="s">
        <v>29</v>
      </c>
      <c r="H4082" s="15" t="n">
        <v>4</v>
      </c>
      <c r="I4082" s="17" t="n">
        <v>0</v>
      </c>
      <c r="J4082" s="18" t="n">
        <v>80.74</v>
      </c>
      <c r="K4082" s="19" t="n">
        <v>29.28</v>
      </c>
      <c r="L4082" s="15" t="n">
        <f aca="false">YEAR(B4082)</f>
        <v>2025</v>
      </c>
      <c r="M4082" s="20" t="n">
        <f aca="false">IF(J4082&gt;0,K4082/J4082,0)</f>
        <v>0.362645528858063</v>
      </c>
    </row>
    <row r="4083" customFormat="false" ht="15" hidden="false" customHeight="false" outlineLevel="0" collapsed="false">
      <c r="A4083" s="15" t="s">
        <v>4140</v>
      </c>
      <c r="B4083" s="16" t="n">
        <v>45480</v>
      </c>
      <c r="C4083" s="15" t="s">
        <v>68</v>
      </c>
      <c r="D4083" s="15" t="s">
        <v>42</v>
      </c>
      <c r="E4083" s="15" t="s">
        <v>39</v>
      </c>
      <c r="F4083" s="15" t="s">
        <v>17</v>
      </c>
      <c r="G4083" s="15" t="s">
        <v>28</v>
      </c>
      <c r="H4083" s="15" t="n">
        <v>8</v>
      </c>
      <c r="I4083" s="17" t="n">
        <v>0</v>
      </c>
      <c r="J4083" s="18" t="n">
        <v>207.59</v>
      </c>
      <c r="K4083" s="19" t="n">
        <v>54.28</v>
      </c>
      <c r="L4083" s="15" t="n">
        <f aca="false">YEAR(B4083)</f>
        <v>2024</v>
      </c>
      <c r="M4083" s="20" t="n">
        <f aca="false">IF(J4083&gt;0,K4083/J4083,0)</f>
        <v>0.261476949756732</v>
      </c>
    </row>
    <row r="4084" customFormat="false" ht="15" hidden="false" customHeight="false" outlineLevel="0" collapsed="false">
      <c r="A4084" s="15" t="s">
        <v>4141</v>
      </c>
      <c r="B4084" s="16" t="n">
        <v>45493</v>
      </c>
      <c r="C4084" s="15" t="s">
        <v>71</v>
      </c>
      <c r="D4084" s="15" t="s">
        <v>43</v>
      </c>
      <c r="E4084" s="15" t="s">
        <v>36</v>
      </c>
      <c r="F4084" s="15" t="s">
        <v>17</v>
      </c>
      <c r="G4084" s="15" t="s">
        <v>31</v>
      </c>
      <c r="H4084" s="15" t="n">
        <v>3</v>
      </c>
      <c r="I4084" s="17" t="n">
        <v>0.15</v>
      </c>
      <c r="J4084" s="18" t="n">
        <v>322.03</v>
      </c>
      <c r="K4084" s="19" t="n">
        <v>-8.82</v>
      </c>
      <c r="L4084" s="15" t="n">
        <f aca="false">YEAR(B4084)</f>
        <v>2024</v>
      </c>
      <c r="M4084" s="20" t="n">
        <f aca="false">IF(J4084&gt;0,K4084/J4084,0)</f>
        <v>-0.0273887526006894</v>
      </c>
    </row>
    <row r="4085" customFormat="false" ht="15" hidden="false" customHeight="false" outlineLevel="0" collapsed="false">
      <c r="A4085" s="15" t="s">
        <v>4142</v>
      </c>
      <c r="B4085" s="16" t="n">
        <v>45134</v>
      </c>
      <c r="C4085" s="15" t="s">
        <v>68</v>
      </c>
      <c r="D4085" s="15" t="s">
        <v>43</v>
      </c>
      <c r="E4085" s="15" t="s">
        <v>38</v>
      </c>
      <c r="F4085" s="15" t="s">
        <v>18</v>
      </c>
      <c r="G4085" s="15" t="s">
        <v>32</v>
      </c>
      <c r="H4085" s="15" t="n">
        <v>6</v>
      </c>
      <c r="I4085" s="17" t="n">
        <v>0</v>
      </c>
      <c r="J4085" s="18" t="n">
        <v>2487.75</v>
      </c>
      <c r="K4085" s="19" t="n">
        <v>444.53</v>
      </c>
      <c r="L4085" s="15" t="n">
        <f aca="false">YEAR(B4085)</f>
        <v>2023</v>
      </c>
      <c r="M4085" s="20" t="n">
        <f aca="false">IF(J4085&gt;0,K4085/J4085,0)</f>
        <v>0.178687569088534</v>
      </c>
    </row>
    <row r="4086" customFormat="false" ht="15" hidden="false" customHeight="false" outlineLevel="0" collapsed="false">
      <c r="A4086" s="15" t="s">
        <v>4143</v>
      </c>
      <c r="B4086" s="16" t="n">
        <v>45887</v>
      </c>
      <c r="C4086" s="15" t="s">
        <v>56</v>
      </c>
      <c r="D4086" s="15" t="s">
        <v>43</v>
      </c>
      <c r="E4086" s="15" t="s">
        <v>37</v>
      </c>
      <c r="F4086" s="15" t="s">
        <v>17</v>
      </c>
      <c r="G4086" s="15" t="s">
        <v>28</v>
      </c>
      <c r="H4086" s="15" t="n">
        <v>3</v>
      </c>
      <c r="I4086" s="17" t="n">
        <v>0.5</v>
      </c>
      <c r="J4086" s="18" t="n">
        <v>38.7</v>
      </c>
      <c r="K4086" s="19" t="n">
        <v>-5.41</v>
      </c>
      <c r="L4086" s="15" t="n">
        <f aca="false">YEAR(B4086)</f>
        <v>2025</v>
      </c>
      <c r="M4086" s="20" t="n">
        <f aca="false">IF(J4086&gt;0,K4086/J4086,0)</f>
        <v>-0.139793281653747</v>
      </c>
    </row>
    <row r="4087" customFormat="false" ht="15" hidden="false" customHeight="false" outlineLevel="0" collapsed="false">
      <c r="A4087" s="15" t="s">
        <v>4144</v>
      </c>
      <c r="B4087" s="16" t="n">
        <v>45268</v>
      </c>
      <c r="C4087" s="15" t="s">
        <v>71</v>
      </c>
      <c r="D4087" s="15" t="s">
        <v>42</v>
      </c>
      <c r="E4087" s="15" t="s">
        <v>37</v>
      </c>
      <c r="F4087" s="15" t="s">
        <v>17</v>
      </c>
      <c r="G4087" s="15" t="s">
        <v>29</v>
      </c>
      <c r="H4087" s="15" t="n">
        <v>2</v>
      </c>
      <c r="I4087" s="17" t="n">
        <v>0</v>
      </c>
      <c r="J4087" s="18" t="n">
        <v>37.12</v>
      </c>
      <c r="K4087" s="19" t="n">
        <v>14.86</v>
      </c>
      <c r="L4087" s="15" t="n">
        <f aca="false">YEAR(B4087)</f>
        <v>2023</v>
      </c>
      <c r="M4087" s="20" t="n">
        <f aca="false">IF(J4087&gt;0,K4087/J4087,0)</f>
        <v>0.400323275862069</v>
      </c>
    </row>
    <row r="4088" customFormat="false" ht="15" hidden="false" customHeight="false" outlineLevel="0" collapsed="false">
      <c r="A4088" s="15" t="s">
        <v>4145</v>
      </c>
      <c r="B4088" s="16" t="n">
        <v>44925</v>
      </c>
      <c r="C4088" s="15" t="s">
        <v>56</v>
      </c>
      <c r="D4088" s="15" t="s">
        <v>44</v>
      </c>
      <c r="E4088" s="15" t="s">
        <v>36</v>
      </c>
      <c r="F4088" s="15" t="s">
        <v>17</v>
      </c>
      <c r="G4088" s="15" t="s">
        <v>29</v>
      </c>
      <c r="H4088" s="15" t="n">
        <v>1</v>
      </c>
      <c r="I4088" s="17" t="n">
        <v>0</v>
      </c>
      <c r="J4088" s="18" t="n">
        <v>15.57</v>
      </c>
      <c r="K4088" s="19" t="n">
        <v>5.93</v>
      </c>
      <c r="L4088" s="15" t="n">
        <f aca="false">YEAR(B4088)</f>
        <v>2022</v>
      </c>
      <c r="M4088" s="20" t="n">
        <f aca="false">IF(J4088&gt;0,K4088/J4088,0)</f>
        <v>0.380860629415543</v>
      </c>
    </row>
    <row r="4089" customFormat="false" ht="15" hidden="false" customHeight="false" outlineLevel="0" collapsed="false">
      <c r="A4089" s="15" t="s">
        <v>4146</v>
      </c>
      <c r="B4089" s="16" t="n">
        <v>45705</v>
      </c>
      <c r="C4089" s="15" t="s">
        <v>56</v>
      </c>
      <c r="D4089" s="15" t="s">
        <v>44</v>
      </c>
      <c r="E4089" s="15" t="s">
        <v>36</v>
      </c>
      <c r="F4089" s="15" t="s">
        <v>17</v>
      </c>
      <c r="G4089" s="15" t="s">
        <v>29</v>
      </c>
      <c r="H4089" s="15" t="n">
        <v>1</v>
      </c>
      <c r="I4089" s="17" t="n">
        <v>0</v>
      </c>
      <c r="J4089" s="18" t="n">
        <v>19.86</v>
      </c>
      <c r="K4089" s="19" t="n">
        <v>8.87</v>
      </c>
      <c r="L4089" s="15" t="n">
        <f aca="false">YEAR(B4089)</f>
        <v>2025</v>
      </c>
      <c r="M4089" s="20" t="n">
        <f aca="false">IF(J4089&gt;0,K4089/J4089,0)</f>
        <v>0.44662638469285</v>
      </c>
    </row>
    <row r="4090" customFormat="false" ht="15" hidden="false" customHeight="false" outlineLevel="0" collapsed="false">
      <c r="A4090" s="15" t="s">
        <v>4147</v>
      </c>
      <c r="B4090" s="16" t="n">
        <v>45522</v>
      </c>
      <c r="C4090" s="15" t="s">
        <v>68</v>
      </c>
      <c r="D4090" s="15" t="s">
        <v>42</v>
      </c>
      <c r="E4090" s="15" t="s">
        <v>36</v>
      </c>
      <c r="F4090" s="15" t="s">
        <v>17</v>
      </c>
      <c r="G4090" s="15" t="s">
        <v>29</v>
      </c>
      <c r="H4090" s="15" t="n">
        <v>2</v>
      </c>
      <c r="I4090" s="17" t="n">
        <v>0</v>
      </c>
      <c r="J4090" s="18" t="n">
        <v>34.61</v>
      </c>
      <c r="K4090" s="19" t="n">
        <v>13.19</v>
      </c>
      <c r="L4090" s="15" t="n">
        <f aca="false">YEAR(B4090)</f>
        <v>2024</v>
      </c>
      <c r="M4090" s="20" t="n">
        <f aca="false">IF(J4090&gt;0,K4090/J4090,0)</f>
        <v>0.381103727246461</v>
      </c>
    </row>
    <row r="4091" customFormat="false" ht="15" hidden="false" customHeight="false" outlineLevel="0" collapsed="false">
      <c r="A4091" s="15" t="s">
        <v>4148</v>
      </c>
      <c r="B4091" s="16" t="n">
        <v>44839</v>
      </c>
      <c r="C4091" s="15" t="s">
        <v>58</v>
      </c>
      <c r="D4091" s="15" t="s">
        <v>44</v>
      </c>
      <c r="E4091" s="15" t="s">
        <v>38</v>
      </c>
      <c r="F4091" s="15" t="s">
        <v>17</v>
      </c>
      <c r="G4091" s="15" t="s">
        <v>29</v>
      </c>
      <c r="H4091" s="15" t="n">
        <v>2</v>
      </c>
      <c r="I4091" s="17" t="n">
        <v>0.3</v>
      </c>
      <c r="J4091" s="18" t="n">
        <v>23.49</v>
      </c>
      <c r="K4091" s="19" t="n">
        <v>3.26</v>
      </c>
      <c r="L4091" s="15" t="n">
        <f aca="false">YEAR(B4091)</f>
        <v>2022</v>
      </c>
      <c r="M4091" s="20" t="n">
        <f aca="false">IF(J4091&gt;0,K4091/J4091,0)</f>
        <v>0.138782460621541</v>
      </c>
    </row>
    <row r="4092" customFormat="false" ht="15" hidden="false" customHeight="false" outlineLevel="0" collapsed="false">
      <c r="A4092" s="15" t="s">
        <v>4149</v>
      </c>
      <c r="B4092" s="16" t="n">
        <v>45451</v>
      </c>
      <c r="C4092" s="15" t="s">
        <v>56</v>
      </c>
      <c r="D4092" s="15" t="s">
        <v>44</v>
      </c>
      <c r="E4092" s="15" t="s">
        <v>38</v>
      </c>
      <c r="F4092" s="15" t="s">
        <v>17</v>
      </c>
      <c r="G4092" s="15" t="s">
        <v>26</v>
      </c>
      <c r="H4092" s="15" t="n">
        <v>6</v>
      </c>
      <c r="I4092" s="17" t="n">
        <v>0</v>
      </c>
      <c r="J4092" s="18" t="n">
        <v>464.7</v>
      </c>
      <c r="K4092" s="19" t="n">
        <v>77.49</v>
      </c>
      <c r="L4092" s="15" t="n">
        <f aca="false">YEAR(B4092)</f>
        <v>2024</v>
      </c>
      <c r="M4092" s="20" t="n">
        <f aca="false">IF(J4092&gt;0,K4092/J4092,0)</f>
        <v>0.166752743705617</v>
      </c>
    </row>
    <row r="4093" customFormat="false" ht="15" hidden="false" customHeight="false" outlineLevel="0" collapsed="false">
      <c r="A4093" s="15" t="s">
        <v>4150</v>
      </c>
      <c r="B4093" s="16" t="n">
        <v>45283</v>
      </c>
      <c r="C4093" s="15" t="s">
        <v>56</v>
      </c>
      <c r="D4093" s="15" t="s">
        <v>44</v>
      </c>
      <c r="E4093" s="15" t="s">
        <v>39</v>
      </c>
      <c r="F4093" s="15" t="s">
        <v>17</v>
      </c>
      <c r="G4093" s="15" t="s">
        <v>31</v>
      </c>
      <c r="H4093" s="15" t="n">
        <v>2</v>
      </c>
      <c r="I4093" s="17" t="n">
        <v>0.2</v>
      </c>
      <c r="J4093" s="18" t="n">
        <v>168.5</v>
      </c>
      <c r="K4093" s="19" t="n">
        <v>5.82</v>
      </c>
      <c r="L4093" s="15" t="n">
        <f aca="false">YEAR(B4093)</f>
        <v>2023</v>
      </c>
      <c r="M4093" s="20" t="n">
        <f aca="false">IF(J4093&gt;0,K4093/J4093,0)</f>
        <v>0.034540059347181</v>
      </c>
    </row>
    <row r="4094" customFormat="false" ht="15" hidden="false" customHeight="false" outlineLevel="0" collapsed="false">
      <c r="A4094" s="15" t="s">
        <v>4151</v>
      </c>
      <c r="B4094" s="16" t="n">
        <v>44674</v>
      </c>
      <c r="C4094" s="15" t="s">
        <v>56</v>
      </c>
      <c r="D4094" s="15" t="s">
        <v>42</v>
      </c>
      <c r="E4094" s="15" t="s">
        <v>37</v>
      </c>
      <c r="F4094" s="15" t="s">
        <v>17</v>
      </c>
      <c r="G4094" s="15" t="s">
        <v>28</v>
      </c>
      <c r="H4094" s="15" t="n">
        <v>6</v>
      </c>
      <c r="I4094" s="17" t="n">
        <v>0</v>
      </c>
      <c r="J4094" s="18" t="n">
        <v>144.44</v>
      </c>
      <c r="K4094" s="19" t="n">
        <v>41.46</v>
      </c>
      <c r="L4094" s="15" t="n">
        <f aca="false">YEAR(B4094)</f>
        <v>2022</v>
      </c>
      <c r="M4094" s="20" t="n">
        <f aca="false">IF(J4094&gt;0,K4094/J4094,0)</f>
        <v>0.287039601218499</v>
      </c>
    </row>
    <row r="4095" customFormat="false" ht="15" hidden="false" customHeight="false" outlineLevel="0" collapsed="false">
      <c r="A4095" s="15" t="s">
        <v>4152</v>
      </c>
      <c r="B4095" s="16" t="n">
        <v>44766</v>
      </c>
      <c r="C4095" s="15" t="s">
        <v>56</v>
      </c>
      <c r="D4095" s="15" t="s">
        <v>42</v>
      </c>
      <c r="E4095" s="15" t="s">
        <v>39</v>
      </c>
      <c r="F4095" s="15" t="s">
        <v>18</v>
      </c>
      <c r="G4095" s="15" t="s">
        <v>33</v>
      </c>
      <c r="H4095" s="15" t="n">
        <v>3</v>
      </c>
      <c r="I4095" s="17" t="n">
        <v>0</v>
      </c>
      <c r="J4095" s="18" t="n">
        <v>3182.49</v>
      </c>
      <c r="K4095" s="19" t="n">
        <v>1001.54</v>
      </c>
      <c r="L4095" s="15" t="n">
        <f aca="false">YEAR(B4095)</f>
        <v>2022</v>
      </c>
      <c r="M4095" s="20" t="n">
        <f aca="false">IF(J4095&gt;0,K4095/J4095,0)</f>
        <v>0.314703266938781</v>
      </c>
    </row>
    <row r="4096" customFormat="false" ht="15" hidden="false" customHeight="false" outlineLevel="0" collapsed="false">
      <c r="A4096" s="15" t="s">
        <v>4153</v>
      </c>
      <c r="B4096" s="16" t="n">
        <v>45613</v>
      </c>
      <c r="C4096" s="15" t="s">
        <v>56</v>
      </c>
      <c r="D4096" s="15" t="s">
        <v>42</v>
      </c>
      <c r="E4096" s="15" t="s">
        <v>38</v>
      </c>
      <c r="F4096" s="15" t="s">
        <v>18</v>
      </c>
      <c r="G4096" s="15" t="s">
        <v>30</v>
      </c>
      <c r="H4096" s="15" t="n">
        <v>5</v>
      </c>
      <c r="I4096" s="17" t="n">
        <v>0</v>
      </c>
      <c r="J4096" s="18" t="n">
        <v>178.61</v>
      </c>
      <c r="K4096" s="19" t="n">
        <v>57.17</v>
      </c>
      <c r="L4096" s="15" t="n">
        <f aca="false">YEAR(B4096)</f>
        <v>2024</v>
      </c>
      <c r="M4096" s="20" t="n">
        <f aca="false">IF(J4096&gt;0,K4096/J4096,0)</f>
        <v>0.320082862101786</v>
      </c>
    </row>
    <row r="4097" customFormat="false" ht="15" hidden="false" customHeight="false" outlineLevel="0" collapsed="false">
      <c r="A4097" s="15" t="s">
        <v>4154</v>
      </c>
      <c r="B4097" s="16" t="n">
        <v>45053</v>
      </c>
      <c r="C4097" s="15" t="s">
        <v>56</v>
      </c>
      <c r="D4097" s="15" t="s">
        <v>42</v>
      </c>
      <c r="E4097" s="15" t="s">
        <v>38</v>
      </c>
      <c r="F4097" s="15" t="s">
        <v>16</v>
      </c>
      <c r="G4097" s="15" t="s">
        <v>22</v>
      </c>
      <c r="H4097" s="15" t="n">
        <v>5</v>
      </c>
      <c r="I4097" s="17" t="n">
        <v>0</v>
      </c>
      <c r="J4097" s="18" t="n">
        <v>2481.76</v>
      </c>
      <c r="K4097" s="19" t="n">
        <v>-167.49</v>
      </c>
      <c r="L4097" s="15" t="n">
        <f aca="false">YEAR(B4097)</f>
        <v>2023</v>
      </c>
      <c r="M4097" s="20" t="n">
        <f aca="false">IF(J4097&gt;0,K4097/J4097,0)</f>
        <v>-0.0674883953323448</v>
      </c>
    </row>
    <row r="4098" customFormat="false" ht="15" hidden="false" customHeight="false" outlineLevel="0" collapsed="false">
      <c r="A4098" s="15" t="s">
        <v>4155</v>
      </c>
      <c r="B4098" s="16" t="n">
        <v>45171</v>
      </c>
      <c r="C4098" s="15" t="s">
        <v>68</v>
      </c>
      <c r="D4098" s="15" t="s">
        <v>44</v>
      </c>
      <c r="E4098" s="15" t="s">
        <v>39</v>
      </c>
      <c r="F4098" s="15" t="s">
        <v>17</v>
      </c>
      <c r="G4098" s="15" t="s">
        <v>28</v>
      </c>
      <c r="H4098" s="15" t="n">
        <v>5</v>
      </c>
      <c r="I4098" s="17" t="n">
        <v>0.05</v>
      </c>
      <c r="J4098" s="18" t="n">
        <v>182.24</v>
      </c>
      <c r="K4098" s="19" t="n">
        <v>44.01</v>
      </c>
      <c r="L4098" s="15" t="n">
        <f aca="false">YEAR(B4098)</f>
        <v>2023</v>
      </c>
      <c r="M4098" s="20" t="n">
        <f aca="false">IF(J4098&gt;0,K4098/J4098,0)</f>
        <v>0.241494732221247</v>
      </c>
    </row>
    <row r="4099" customFormat="false" ht="15" hidden="false" customHeight="false" outlineLevel="0" collapsed="false">
      <c r="A4099" s="15" t="s">
        <v>4156</v>
      </c>
      <c r="B4099" s="16" t="n">
        <v>45867</v>
      </c>
      <c r="C4099" s="15" t="s">
        <v>71</v>
      </c>
      <c r="D4099" s="15" t="s">
        <v>42</v>
      </c>
      <c r="E4099" s="15" t="s">
        <v>39</v>
      </c>
      <c r="F4099" s="15" t="s">
        <v>17</v>
      </c>
      <c r="G4099" s="15" t="s">
        <v>28</v>
      </c>
      <c r="H4099" s="15" t="n">
        <v>4</v>
      </c>
      <c r="I4099" s="17" t="n">
        <v>0</v>
      </c>
      <c r="J4099" s="18" t="n">
        <v>116.37</v>
      </c>
      <c r="K4099" s="19" t="n">
        <v>40.56</v>
      </c>
      <c r="L4099" s="15" t="n">
        <f aca="false">YEAR(B4099)</f>
        <v>2025</v>
      </c>
      <c r="M4099" s="20" t="n">
        <f aca="false">IF(J4099&gt;0,K4099/J4099,0)</f>
        <v>0.348543439030678</v>
      </c>
    </row>
    <row r="4100" customFormat="false" ht="15" hidden="false" customHeight="false" outlineLevel="0" collapsed="false">
      <c r="A4100" s="15" t="s">
        <v>4157</v>
      </c>
      <c r="B4100" s="16" t="n">
        <v>45668</v>
      </c>
      <c r="C4100" s="15" t="s">
        <v>56</v>
      </c>
      <c r="D4100" s="15" t="s">
        <v>43</v>
      </c>
      <c r="E4100" s="15" t="s">
        <v>38</v>
      </c>
      <c r="F4100" s="15" t="s">
        <v>16</v>
      </c>
      <c r="G4100" s="15" t="s">
        <v>27</v>
      </c>
      <c r="H4100" s="15" t="n">
        <v>4</v>
      </c>
      <c r="I4100" s="17" t="n">
        <v>0.2</v>
      </c>
      <c r="J4100" s="18" t="n">
        <v>175.8</v>
      </c>
      <c r="K4100" s="19" t="n">
        <v>5.66</v>
      </c>
      <c r="L4100" s="15" t="n">
        <f aca="false">YEAR(B4100)</f>
        <v>2025</v>
      </c>
      <c r="M4100" s="20" t="n">
        <f aca="false">IF(J4100&gt;0,K4100/J4100,0)</f>
        <v>0.0321956769055745</v>
      </c>
    </row>
    <row r="4101" customFormat="false" ht="15" hidden="false" customHeight="false" outlineLevel="0" collapsed="false">
      <c r="A4101" s="15" t="s">
        <v>4158</v>
      </c>
      <c r="B4101" s="16" t="n">
        <v>44850</v>
      </c>
      <c r="C4101" s="15" t="s">
        <v>68</v>
      </c>
      <c r="D4101" s="15" t="s">
        <v>42</v>
      </c>
      <c r="E4101" s="15" t="s">
        <v>39</v>
      </c>
      <c r="F4101" s="15" t="s">
        <v>18</v>
      </c>
      <c r="G4101" s="15" t="s">
        <v>32</v>
      </c>
      <c r="H4101" s="15" t="n">
        <v>2</v>
      </c>
      <c r="I4101" s="17" t="n">
        <v>0.15</v>
      </c>
      <c r="J4101" s="18" t="n">
        <v>711.89</v>
      </c>
      <c r="K4101" s="19" t="n">
        <v>28.19</v>
      </c>
      <c r="L4101" s="15" t="n">
        <f aca="false">YEAR(B4101)</f>
        <v>2022</v>
      </c>
      <c r="M4101" s="20" t="n">
        <f aca="false">IF(J4101&gt;0,K4101/J4101,0)</f>
        <v>0.0395988144235767</v>
      </c>
    </row>
    <row r="4102" customFormat="false" ht="15" hidden="false" customHeight="false" outlineLevel="0" collapsed="false">
      <c r="A4102" s="15" t="s">
        <v>4159</v>
      </c>
      <c r="B4102" s="16" t="n">
        <v>45317</v>
      </c>
      <c r="C4102" s="15" t="s">
        <v>71</v>
      </c>
      <c r="D4102" s="15" t="s">
        <v>42</v>
      </c>
      <c r="E4102" s="15" t="s">
        <v>38</v>
      </c>
      <c r="F4102" s="15" t="s">
        <v>16</v>
      </c>
      <c r="G4102" s="15" t="s">
        <v>27</v>
      </c>
      <c r="H4102" s="15" t="n">
        <v>4</v>
      </c>
      <c r="I4102" s="17" t="n">
        <v>0</v>
      </c>
      <c r="J4102" s="18" t="n">
        <v>235.48</v>
      </c>
      <c r="K4102" s="19" t="n">
        <v>38.47</v>
      </c>
      <c r="L4102" s="15" t="n">
        <f aca="false">YEAR(B4102)</f>
        <v>2024</v>
      </c>
      <c r="M4102" s="20" t="n">
        <f aca="false">IF(J4102&gt;0,K4102/J4102,0)</f>
        <v>0.163368438933243</v>
      </c>
    </row>
    <row r="4103" customFormat="false" ht="15" hidden="false" customHeight="false" outlineLevel="0" collapsed="false">
      <c r="A4103" s="15" t="s">
        <v>4160</v>
      </c>
      <c r="B4103" s="16" t="n">
        <v>45226</v>
      </c>
      <c r="C4103" s="15" t="s">
        <v>56</v>
      </c>
      <c r="D4103" s="15" t="s">
        <v>42</v>
      </c>
      <c r="E4103" s="15" t="s">
        <v>39</v>
      </c>
      <c r="F4103" s="15" t="s">
        <v>16</v>
      </c>
      <c r="G4103" s="15" t="s">
        <v>27</v>
      </c>
      <c r="H4103" s="15" t="n">
        <v>5</v>
      </c>
      <c r="I4103" s="17" t="n">
        <v>0</v>
      </c>
      <c r="J4103" s="18" t="n">
        <v>255.18</v>
      </c>
      <c r="K4103" s="19" t="n">
        <v>52.59</v>
      </c>
      <c r="L4103" s="15" t="n">
        <f aca="false">YEAR(B4103)</f>
        <v>2023</v>
      </c>
      <c r="M4103" s="20" t="n">
        <f aca="false">IF(J4103&gt;0,K4103/J4103,0)</f>
        <v>0.206089818951328</v>
      </c>
    </row>
    <row r="4104" customFormat="false" ht="15" hidden="false" customHeight="false" outlineLevel="0" collapsed="false">
      <c r="A4104" s="15" t="s">
        <v>4161</v>
      </c>
      <c r="B4104" s="16" t="n">
        <v>45779</v>
      </c>
      <c r="C4104" s="15" t="s">
        <v>56</v>
      </c>
      <c r="D4104" s="15" t="s">
        <v>42</v>
      </c>
      <c r="E4104" s="15" t="s">
        <v>37</v>
      </c>
      <c r="F4104" s="15" t="s">
        <v>18</v>
      </c>
      <c r="G4104" s="15" t="s">
        <v>30</v>
      </c>
      <c r="H4104" s="15" t="n">
        <v>3</v>
      </c>
      <c r="I4104" s="17" t="n">
        <v>0.15</v>
      </c>
      <c r="J4104" s="18" t="n">
        <v>122.04</v>
      </c>
      <c r="K4104" s="19" t="n">
        <v>18.63</v>
      </c>
      <c r="L4104" s="15" t="n">
        <f aca="false">YEAR(B4104)</f>
        <v>2025</v>
      </c>
      <c r="M4104" s="20" t="n">
        <f aca="false">IF(J4104&gt;0,K4104/J4104,0)</f>
        <v>0.152654867256637</v>
      </c>
    </row>
    <row r="4105" customFormat="false" ht="15" hidden="false" customHeight="false" outlineLevel="0" collapsed="false">
      <c r="A4105" s="15" t="s">
        <v>4162</v>
      </c>
      <c r="B4105" s="16" t="n">
        <v>45607</v>
      </c>
      <c r="C4105" s="15" t="s">
        <v>71</v>
      </c>
      <c r="D4105" s="15" t="s">
        <v>42</v>
      </c>
      <c r="E4105" s="15" t="s">
        <v>38</v>
      </c>
      <c r="F4105" s="15" t="s">
        <v>16</v>
      </c>
      <c r="G4105" s="15" t="s">
        <v>23</v>
      </c>
      <c r="H4105" s="15" t="n">
        <v>4</v>
      </c>
      <c r="I4105" s="17" t="n">
        <v>0</v>
      </c>
      <c r="J4105" s="18" t="n">
        <v>1238.95</v>
      </c>
      <c r="K4105" s="19" t="n">
        <v>70.65</v>
      </c>
      <c r="L4105" s="15" t="n">
        <f aca="false">YEAR(B4105)</f>
        <v>2024</v>
      </c>
      <c r="M4105" s="20" t="n">
        <f aca="false">IF(J4105&gt;0,K4105/J4105,0)</f>
        <v>0.0570240929819605</v>
      </c>
    </row>
    <row r="4106" customFormat="false" ht="15" hidden="false" customHeight="false" outlineLevel="0" collapsed="false">
      <c r="A4106" s="15" t="s">
        <v>4163</v>
      </c>
      <c r="B4106" s="16" t="n">
        <v>45980</v>
      </c>
      <c r="C4106" s="15" t="s">
        <v>68</v>
      </c>
      <c r="D4106" s="15" t="s">
        <v>43</v>
      </c>
      <c r="E4106" s="15" t="s">
        <v>38</v>
      </c>
      <c r="F4106" s="15" t="s">
        <v>18</v>
      </c>
      <c r="G4106" s="15" t="s">
        <v>30</v>
      </c>
      <c r="H4106" s="15" t="n">
        <v>5</v>
      </c>
      <c r="I4106" s="17" t="n">
        <v>0.1</v>
      </c>
      <c r="J4106" s="18" t="n">
        <v>193.64</v>
      </c>
      <c r="K4106" s="19" t="n">
        <v>30.53</v>
      </c>
      <c r="L4106" s="15" t="n">
        <f aca="false">YEAR(B4106)</f>
        <v>2025</v>
      </c>
      <c r="M4106" s="20" t="n">
        <f aca="false">IF(J4106&gt;0,K4106/J4106,0)</f>
        <v>0.1576637058459</v>
      </c>
    </row>
    <row r="4107" customFormat="false" ht="15" hidden="false" customHeight="false" outlineLevel="0" collapsed="false">
      <c r="A4107" s="15" t="s">
        <v>4164</v>
      </c>
      <c r="B4107" s="16" t="n">
        <v>44751</v>
      </c>
      <c r="C4107" s="15" t="s">
        <v>58</v>
      </c>
      <c r="D4107" s="15" t="s">
        <v>44</v>
      </c>
      <c r="E4107" s="15" t="s">
        <v>39</v>
      </c>
      <c r="F4107" s="15" t="s">
        <v>18</v>
      </c>
      <c r="G4107" s="15" t="s">
        <v>30</v>
      </c>
      <c r="H4107" s="15" t="n">
        <v>5</v>
      </c>
      <c r="I4107" s="17" t="n">
        <v>0</v>
      </c>
      <c r="J4107" s="18" t="n">
        <v>248.99</v>
      </c>
      <c r="K4107" s="19" t="n">
        <v>90.5</v>
      </c>
      <c r="L4107" s="15" t="n">
        <f aca="false">YEAR(B4107)</f>
        <v>2022</v>
      </c>
      <c r="M4107" s="20" t="n">
        <f aca="false">IF(J4107&gt;0,K4107/J4107,0)</f>
        <v>0.36346841238604</v>
      </c>
    </row>
    <row r="4108" customFormat="false" ht="15" hidden="false" customHeight="false" outlineLevel="0" collapsed="false">
      <c r="A4108" s="15" t="s">
        <v>4165</v>
      </c>
      <c r="B4108" s="16" t="n">
        <v>46002</v>
      </c>
      <c r="C4108" s="15" t="s">
        <v>58</v>
      </c>
      <c r="D4108" s="15" t="s">
        <v>44</v>
      </c>
      <c r="E4108" s="15" t="s">
        <v>37</v>
      </c>
      <c r="F4108" s="15" t="s">
        <v>17</v>
      </c>
      <c r="G4108" s="15" t="s">
        <v>28</v>
      </c>
      <c r="H4108" s="15" t="n">
        <v>4</v>
      </c>
      <c r="I4108" s="17" t="n">
        <v>0</v>
      </c>
      <c r="J4108" s="18" t="n">
        <v>90.48</v>
      </c>
      <c r="K4108" s="19" t="n">
        <v>19</v>
      </c>
      <c r="L4108" s="15" t="n">
        <f aca="false">YEAR(B4108)</f>
        <v>2025</v>
      </c>
      <c r="M4108" s="20" t="n">
        <f aca="false">IF(J4108&gt;0,K4108/J4108,0)</f>
        <v>0.20999115826702</v>
      </c>
    </row>
    <row r="4109" customFormat="false" ht="15" hidden="false" customHeight="false" outlineLevel="0" collapsed="false">
      <c r="A4109" s="15" t="s">
        <v>4166</v>
      </c>
      <c r="B4109" s="16" t="n">
        <v>44999</v>
      </c>
      <c r="C4109" s="15" t="s">
        <v>68</v>
      </c>
      <c r="D4109" s="15" t="s">
        <v>42</v>
      </c>
      <c r="E4109" s="15" t="s">
        <v>38</v>
      </c>
      <c r="F4109" s="15" t="s">
        <v>17</v>
      </c>
      <c r="G4109" s="15" t="s">
        <v>29</v>
      </c>
      <c r="H4109" s="15" t="n">
        <v>3</v>
      </c>
      <c r="I4109" s="17" t="n">
        <v>0</v>
      </c>
      <c r="J4109" s="18" t="n">
        <v>44.66</v>
      </c>
      <c r="K4109" s="19" t="n">
        <v>19.91</v>
      </c>
      <c r="L4109" s="15" t="n">
        <f aca="false">YEAR(B4109)</f>
        <v>2023</v>
      </c>
      <c r="M4109" s="20" t="n">
        <f aca="false">IF(J4109&gt;0,K4109/J4109,0)</f>
        <v>0.445812807881773</v>
      </c>
    </row>
    <row r="4110" customFormat="false" ht="15" hidden="false" customHeight="false" outlineLevel="0" collapsed="false">
      <c r="A4110" s="15" t="s">
        <v>4167</v>
      </c>
      <c r="B4110" s="16" t="n">
        <v>45366</v>
      </c>
      <c r="C4110" s="15" t="s">
        <v>56</v>
      </c>
      <c r="D4110" s="15" t="s">
        <v>43</v>
      </c>
      <c r="E4110" s="15" t="s">
        <v>38</v>
      </c>
      <c r="F4110" s="15" t="s">
        <v>17</v>
      </c>
      <c r="G4110" s="15" t="s">
        <v>29</v>
      </c>
      <c r="H4110" s="15" t="n">
        <v>3</v>
      </c>
      <c r="I4110" s="17" t="n">
        <v>0</v>
      </c>
      <c r="J4110" s="18" t="n">
        <v>42.54</v>
      </c>
      <c r="K4110" s="19" t="n">
        <v>14.83</v>
      </c>
      <c r="L4110" s="15" t="n">
        <f aca="false">YEAR(B4110)</f>
        <v>2024</v>
      </c>
      <c r="M4110" s="20" t="n">
        <f aca="false">IF(J4110&gt;0,K4110/J4110,0)</f>
        <v>0.348613070051716</v>
      </c>
    </row>
    <row r="4111" customFormat="false" ht="15" hidden="false" customHeight="false" outlineLevel="0" collapsed="false">
      <c r="A4111" s="15" t="s">
        <v>4168</v>
      </c>
      <c r="B4111" s="16" t="n">
        <v>45982</v>
      </c>
      <c r="C4111" s="15" t="s">
        <v>56</v>
      </c>
      <c r="D4111" s="15" t="s">
        <v>44</v>
      </c>
      <c r="E4111" s="15" t="s">
        <v>36</v>
      </c>
      <c r="F4111" s="15" t="s">
        <v>16</v>
      </c>
      <c r="G4111" s="15" t="s">
        <v>27</v>
      </c>
      <c r="H4111" s="15" t="n">
        <v>3</v>
      </c>
      <c r="I4111" s="17" t="n">
        <v>0</v>
      </c>
      <c r="J4111" s="18" t="n">
        <v>178.21</v>
      </c>
      <c r="K4111" s="19" t="n">
        <v>33.41</v>
      </c>
      <c r="L4111" s="15" t="n">
        <f aca="false">YEAR(B4111)</f>
        <v>2025</v>
      </c>
      <c r="M4111" s="20" t="n">
        <f aca="false">IF(J4111&gt;0,K4111/J4111,0)</f>
        <v>0.18747545031143</v>
      </c>
    </row>
    <row r="4112" customFormat="false" ht="15" hidden="false" customHeight="false" outlineLevel="0" collapsed="false">
      <c r="A4112" s="15" t="s">
        <v>4169</v>
      </c>
      <c r="B4112" s="16" t="n">
        <v>45877</v>
      </c>
      <c r="C4112" s="15" t="s">
        <v>56</v>
      </c>
      <c r="D4112" s="15" t="s">
        <v>42</v>
      </c>
      <c r="E4112" s="15" t="s">
        <v>39</v>
      </c>
      <c r="F4112" s="15" t="s">
        <v>17</v>
      </c>
      <c r="G4112" s="15" t="s">
        <v>26</v>
      </c>
      <c r="H4112" s="15" t="n">
        <v>6</v>
      </c>
      <c r="I4112" s="17" t="n">
        <v>0</v>
      </c>
      <c r="J4112" s="18" t="n">
        <v>522.47</v>
      </c>
      <c r="K4112" s="19" t="n">
        <v>65.59</v>
      </c>
      <c r="L4112" s="15" t="n">
        <f aca="false">YEAR(B4112)</f>
        <v>2025</v>
      </c>
      <c r="M4112" s="20" t="n">
        <f aca="false">IF(J4112&gt;0,K4112/J4112,0)</f>
        <v>0.125538308419622</v>
      </c>
    </row>
    <row r="4113" customFormat="false" ht="15" hidden="false" customHeight="false" outlineLevel="0" collapsed="false">
      <c r="A4113" s="15" t="s">
        <v>4170</v>
      </c>
      <c r="B4113" s="16" t="n">
        <v>45580</v>
      </c>
      <c r="C4113" s="15" t="s">
        <v>58</v>
      </c>
      <c r="D4113" s="15" t="s">
        <v>42</v>
      </c>
      <c r="E4113" s="15" t="s">
        <v>39</v>
      </c>
      <c r="F4113" s="15" t="s">
        <v>16</v>
      </c>
      <c r="G4113" s="15" t="s">
        <v>23</v>
      </c>
      <c r="H4113" s="15" t="n">
        <v>3</v>
      </c>
      <c r="I4113" s="17" t="n">
        <v>0.3</v>
      </c>
      <c r="J4113" s="18" t="n">
        <v>759.58</v>
      </c>
      <c r="K4113" s="19" t="n">
        <v>-211.02</v>
      </c>
      <c r="L4113" s="15" t="n">
        <f aca="false">YEAR(B4113)</f>
        <v>2024</v>
      </c>
      <c r="M4113" s="20" t="n">
        <f aca="false">IF(J4113&gt;0,K4113/J4113,0)</f>
        <v>-0.277811422101688</v>
      </c>
    </row>
    <row r="4114" customFormat="false" ht="15" hidden="false" customHeight="false" outlineLevel="0" collapsed="false">
      <c r="A4114" s="15" t="s">
        <v>4171</v>
      </c>
      <c r="B4114" s="16" t="n">
        <v>45946</v>
      </c>
      <c r="C4114" s="15" t="s">
        <v>68</v>
      </c>
      <c r="D4114" s="15" t="s">
        <v>43</v>
      </c>
      <c r="E4114" s="15" t="s">
        <v>36</v>
      </c>
      <c r="F4114" s="15" t="s">
        <v>17</v>
      </c>
      <c r="G4114" s="15" t="s">
        <v>28</v>
      </c>
      <c r="H4114" s="15" t="n">
        <v>4</v>
      </c>
      <c r="I4114" s="17" t="n">
        <v>0</v>
      </c>
      <c r="J4114" s="18" t="n">
        <v>104.81</v>
      </c>
      <c r="K4114" s="19" t="n">
        <v>30.08</v>
      </c>
      <c r="L4114" s="15" t="n">
        <f aca="false">YEAR(B4114)</f>
        <v>2025</v>
      </c>
      <c r="M4114" s="20" t="n">
        <f aca="false">IF(J4114&gt;0,K4114/J4114,0)</f>
        <v>0.286995515695067</v>
      </c>
    </row>
    <row r="4115" customFormat="false" ht="15" hidden="false" customHeight="false" outlineLevel="0" collapsed="false">
      <c r="A4115" s="15" t="s">
        <v>4172</v>
      </c>
      <c r="B4115" s="16" t="n">
        <v>45183</v>
      </c>
      <c r="C4115" s="15" t="s">
        <v>56</v>
      </c>
      <c r="D4115" s="15" t="s">
        <v>44</v>
      </c>
      <c r="E4115" s="15" t="s">
        <v>39</v>
      </c>
      <c r="F4115" s="15" t="s">
        <v>17</v>
      </c>
      <c r="G4115" s="15" t="s">
        <v>29</v>
      </c>
      <c r="H4115" s="15" t="n">
        <v>3</v>
      </c>
      <c r="I4115" s="17" t="n">
        <v>0.05</v>
      </c>
      <c r="J4115" s="18" t="n">
        <v>45.53</v>
      </c>
      <c r="K4115" s="19" t="n">
        <v>15.79</v>
      </c>
      <c r="L4115" s="15" t="n">
        <f aca="false">YEAR(B4115)</f>
        <v>2023</v>
      </c>
      <c r="M4115" s="20" t="n">
        <f aca="false">IF(J4115&gt;0,K4115/J4115,0)</f>
        <v>0.346804304853942</v>
      </c>
    </row>
    <row r="4116" customFormat="false" ht="15" hidden="false" customHeight="false" outlineLevel="0" collapsed="false">
      <c r="A4116" s="15" t="s">
        <v>4173</v>
      </c>
      <c r="B4116" s="16" t="n">
        <v>45553</v>
      </c>
      <c r="C4116" s="15" t="s">
        <v>68</v>
      </c>
      <c r="D4116" s="15" t="s">
        <v>44</v>
      </c>
      <c r="E4116" s="15" t="s">
        <v>39</v>
      </c>
      <c r="F4116" s="15" t="s">
        <v>17</v>
      </c>
      <c r="G4116" s="15" t="s">
        <v>29</v>
      </c>
      <c r="H4116" s="15" t="n">
        <v>4</v>
      </c>
      <c r="I4116" s="17" t="n">
        <v>0</v>
      </c>
      <c r="J4116" s="18" t="n">
        <v>66.89</v>
      </c>
      <c r="K4116" s="19" t="n">
        <v>27.08</v>
      </c>
      <c r="L4116" s="15" t="n">
        <f aca="false">YEAR(B4116)</f>
        <v>2024</v>
      </c>
      <c r="M4116" s="20" t="n">
        <f aca="false">IF(J4116&gt;0,K4116/J4116,0)</f>
        <v>0.404843773359247</v>
      </c>
    </row>
    <row r="4117" customFormat="false" ht="15" hidden="false" customHeight="false" outlineLevel="0" collapsed="false">
      <c r="A4117" s="15" t="s">
        <v>4174</v>
      </c>
      <c r="B4117" s="16" t="n">
        <v>45185</v>
      </c>
      <c r="C4117" s="15" t="s">
        <v>56</v>
      </c>
      <c r="D4117" s="15" t="s">
        <v>42</v>
      </c>
      <c r="E4117" s="15" t="s">
        <v>36</v>
      </c>
      <c r="F4117" s="15" t="s">
        <v>17</v>
      </c>
      <c r="G4117" s="15" t="s">
        <v>29</v>
      </c>
      <c r="H4117" s="15" t="n">
        <v>3</v>
      </c>
      <c r="I4117" s="17" t="n">
        <v>0</v>
      </c>
      <c r="J4117" s="18" t="n">
        <v>48.78</v>
      </c>
      <c r="K4117" s="19" t="n">
        <v>19.97</v>
      </c>
      <c r="L4117" s="15" t="n">
        <f aca="false">YEAR(B4117)</f>
        <v>2023</v>
      </c>
      <c r="M4117" s="20" t="n">
        <f aca="false">IF(J4117&gt;0,K4117/J4117,0)</f>
        <v>0.409389093890939</v>
      </c>
    </row>
    <row r="4118" customFormat="false" ht="15" hidden="false" customHeight="false" outlineLevel="0" collapsed="false">
      <c r="A4118" s="15" t="s">
        <v>4175</v>
      </c>
      <c r="B4118" s="16" t="n">
        <v>45750</v>
      </c>
      <c r="C4118" s="15" t="s">
        <v>71</v>
      </c>
      <c r="D4118" s="15" t="s">
        <v>42</v>
      </c>
      <c r="E4118" s="15" t="s">
        <v>39</v>
      </c>
      <c r="F4118" s="15" t="s">
        <v>18</v>
      </c>
      <c r="G4118" s="15" t="s">
        <v>30</v>
      </c>
      <c r="H4118" s="15" t="n">
        <v>6</v>
      </c>
      <c r="I4118" s="17" t="n">
        <v>0.05</v>
      </c>
      <c r="J4118" s="18" t="n">
        <v>299.39</v>
      </c>
      <c r="K4118" s="19" t="n">
        <v>60.62</v>
      </c>
      <c r="L4118" s="15" t="n">
        <f aca="false">YEAR(B4118)</f>
        <v>2025</v>
      </c>
      <c r="M4118" s="20" t="n">
        <f aca="false">IF(J4118&gt;0,K4118/J4118,0)</f>
        <v>0.202478372691139</v>
      </c>
    </row>
    <row r="4119" customFormat="false" ht="15" hidden="false" customHeight="false" outlineLevel="0" collapsed="false">
      <c r="A4119" s="15" t="s">
        <v>4176</v>
      </c>
      <c r="B4119" s="16" t="n">
        <v>44849</v>
      </c>
      <c r="C4119" s="15" t="s">
        <v>68</v>
      </c>
      <c r="D4119" s="15" t="s">
        <v>44</v>
      </c>
      <c r="E4119" s="15" t="s">
        <v>39</v>
      </c>
      <c r="F4119" s="15" t="s">
        <v>18</v>
      </c>
      <c r="G4119" s="15" t="s">
        <v>30</v>
      </c>
      <c r="H4119" s="15" t="n">
        <v>1</v>
      </c>
      <c r="I4119" s="17" t="n">
        <v>0</v>
      </c>
      <c r="J4119" s="18" t="n">
        <v>58.48</v>
      </c>
      <c r="K4119" s="19" t="n">
        <v>20.93</v>
      </c>
      <c r="L4119" s="15" t="n">
        <f aca="false">YEAR(B4119)</f>
        <v>2022</v>
      </c>
      <c r="M4119" s="20" t="n">
        <f aca="false">IF(J4119&gt;0,K4119/J4119,0)</f>
        <v>0.357900136798906</v>
      </c>
    </row>
    <row r="4120" customFormat="false" ht="15" hidden="false" customHeight="false" outlineLevel="0" collapsed="false">
      <c r="A4120" s="15" t="s">
        <v>4177</v>
      </c>
      <c r="B4120" s="16" t="n">
        <v>45480</v>
      </c>
      <c r="C4120" s="15" t="s">
        <v>56</v>
      </c>
      <c r="D4120" s="15" t="s">
        <v>42</v>
      </c>
      <c r="E4120" s="15" t="s">
        <v>38</v>
      </c>
      <c r="F4120" s="15" t="s">
        <v>16</v>
      </c>
      <c r="G4120" s="15" t="s">
        <v>27</v>
      </c>
      <c r="H4120" s="15" t="n">
        <v>12</v>
      </c>
      <c r="I4120" s="17" t="n">
        <v>0.15</v>
      </c>
      <c r="J4120" s="18" t="n">
        <v>526.24</v>
      </c>
      <c r="K4120" s="19" t="n">
        <v>24.38</v>
      </c>
      <c r="L4120" s="15" t="n">
        <f aca="false">YEAR(B4120)</f>
        <v>2024</v>
      </c>
      <c r="M4120" s="20" t="n">
        <f aca="false">IF(J4120&gt;0,K4120/J4120,0)</f>
        <v>0.0463286713286713</v>
      </c>
    </row>
    <row r="4121" customFormat="false" ht="15" hidden="false" customHeight="false" outlineLevel="0" collapsed="false">
      <c r="A4121" s="15" t="s">
        <v>4178</v>
      </c>
      <c r="B4121" s="16" t="n">
        <v>45906</v>
      </c>
      <c r="C4121" s="15" t="s">
        <v>68</v>
      </c>
      <c r="D4121" s="15" t="s">
        <v>43</v>
      </c>
      <c r="E4121" s="15" t="s">
        <v>37</v>
      </c>
      <c r="F4121" s="15" t="s">
        <v>17</v>
      </c>
      <c r="G4121" s="15" t="s">
        <v>26</v>
      </c>
      <c r="H4121" s="15" t="n">
        <v>5</v>
      </c>
      <c r="I4121" s="17" t="n">
        <v>0.15</v>
      </c>
      <c r="J4121" s="18" t="n">
        <v>414.17</v>
      </c>
      <c r="K4121" s="19" t="n">
        <v>9.67</v>
      </c>
      <c r="L4121" s="15" t="n">
        <f aca="false">YEAR(B4121)</f>
        <v>2025</v>
      </c>
      <c r="M4121" s="20" t="n">
        <f aca="false">IF(J4121&gt;0,K4121/J4121,0)</f>
        <v>0.0233479006205181</v>
      </c>
    </row>
    <row r="4122" customFormat="false" ht="15" hidden="false" customHeight="false" outlineLevel="0" collapsed="false">
      <c r="A4122" s="15" t="s">
        <v>4179</v>
      </c>
      <c r="B4122" s="16" t="n">
        <v>45811</v>
      </c>
      <c r="C4122" s="15" t="s">
        <v>56</v>
      </c>
      <c r="D4122" s="15" t="s">
        <v>44</v>
      </c>
      <c r="E4122" s="15" t="s">
        <v>36</v>
      </c>
      <c r="F4122" s="15" t="s">
        <v>17</v>
      </c>
      <c r="G4122" s="15" t="s">
        <v>28</v>
      </c>
      <c r="H4122" s="15" t="n">
        <v>2</v>
      </c>
      <c r="I4122" s="17" t="n">
        <v>0.1</v>
      </c>
      <c r="J4122" s="18" t="n">
        <v>36.86</v>
      </c>
      <c r="K4122" s="19" t="n">
        <v>4.87</v>
      </c>
      <c r="L4122" s="15" t="n">
        <f aca="false">YEAR(B4122)</f>
        <v>2025</v>
      </c>
      <c r="M4122" s="20" t="n">
        <f aca="false">IF(J4122&gt;0,K4122/J4122,0)</f>
        <v>0.132121540965817</v>
      </c>
    </row>
    <row r="4123" customFormat="false" ht="15" hidden="false" customHeight="false" outlineLevel="0" collapsed="false">
      <c r="A4123" s="15" t="s">
        <v>4180</v>
      </c>
      <c r="B4123" s="16" t="n">
        <v>45550</v>
      </c>
      <c r="C4123" s="15" t="s">
        <v>56</v>
      </c>
      <c r="D4123" s="15" t="s">
        <v>43</v>
      </c>
      <c r="E4123" s="15" t="s">
        <v>37</v>
      </c>
      <c r="F4123" s="15" t="s">
        <v>18</v>
      </c>
      <c r="G4123" s="15" t="s">
        <v>30</v>
      </c>
      <c r="H4123" s="15" t="n">
        <v>3</v>
      </c>
      <c r="I4123" s="17" t="n">
        <v>0</v>
      </c>
      <c r="J4123" s="18" t="n">
        <v>125.99</v>
      </c>
      <c r="K4123" s="19" t="n">
        <v>39.4</v>
      </c>
      <c r="L4123" s="15" t="n">
        <f aca="false">YEAR(B4123)</f>
        <v>2024</v>
      </c>
      <c r="M4123" s="20" t="n">
        <f aca="false">IF(J4123&gt;0,K4123/J4123,0)</f>
        <v>0.31272323200254</v>
      </c>
    </row>
    <row r="4124" customFormat="false" ht="15" hidden="false" customHeight="false" outlineLevel="0" collapsed="false">
      <c r="A4124" s="15" t="s">
        <v>4181</v>
      </c>
      <c r="B4124" s="16" t="n">
        <v>45933</v>
      </c>
      <c r="C4124" s="15" t="s">
        <v>56</v>
      </c>
      <c r="D4124" s="15" t="s">
        <v>43</v>
      </c>
      <c r="E4124" s="15" t="s">
        <v>36</v>
      </c>
      <c r="F4124" s="15" t="s">
        <v>16</v>
      </c>
      <c r="G4124" s="15" t="s">
        <v>23</v>
      </c>
      <c r="H4124" s="15" t="n">
        <v>6</v>
      </c>
      <c r="I4124" s="17" t="n">
        <v>0</v>
      </c>
      <c r="J4124" s="18" t="n">
        <v>2144.35</v>
      </c>
      <c r="K4124" s="19" t="n">
        <v>30.5</v>
      </c>
      <c r="L4124" s="15" t="n">
        <f aca="false">YEAR(B4124)</f>
        <v>2025</v>
      </c>
      <c r="M4124" s="20" t="n">
        <f aca="false">IF(J4124&gt;0,K4124/J4124,0)</f>
        <v>0.0142234243477044</v>
      </c>
    </row>
    <row r="4125" customFormat="false" ht="15" hidden="false" customHeight="false" outlineLevel="0" collapsed="false">
      <c r="A4125" s="15" t="s">
        <v>4182</v>
      </c>
      <c r="B4125" s="16" t="n">
        <v>45318</v>
      </c>
      <c r="C4125" s="15" t="s">
        <v>56</v>
      </c>
      <c r="D4125" s="15" t="s">
        <v>42</v>
      </c>
      <c r="E4125" s="15" t="s">
        <v>39</v>
      </c>
      <c r="F4125" s="15" t="s">
        <v>17</v>
      </c>
      <c r="G4125" s="15" t="s">
        <v>29</v>
      </c>
      <c r="H4125" s="15" t="n">
        <v>7</v>
      </c>
      <c r="I4125" s="17" t="n">
        <v>0</v>
      </c>
      <c r="J4125" s="18" t="n">
        <v>155.28</v>
      </c>
      <c r="K4125" s="19" t="n">
        <v>60.8</v>
      </c>
      <c r="L4125" s="15" t="n">
        <f aca="false">YEAR(B4125)</f>
        <v>2024</v>
      </c>
      <c r="M4125" s="20" t="n">
        <f aca="false">IF(J4125&gt;0,K4125/J4125,0)</f>
        <v>0.391550747037609</v>
      </c>
    </row>
    <row r="4126" customFormat="false" ht="15" hidden="false" customHeight="false" outlineLevel="0" collapsed="false">
      <c r="A4126" s="15" t="s">
        <v>4183</v>
      </c>
      <c r="B4126" s="16" t="n">
        <v>45715</v>
      </c>
      <c r="C4126" s="15" t="s">
        <v>56</v>
      </c>
      <c r="D4126" s="15" t="s">
        <v>44</v>
      </c>
      <c r="E4126" s="15" t="s">
        <v>38</v>
      </c>
      <c r="F4126" s="15" t="s">
        <v>18</v>
      </c>
      <c r="G4126" s="15" t="s">
        <v>32</v>
      </c>
      <c r="H4126" s="15" t="n">
        <v>1</v>
      </c>
      <c r="I4126" s="17" t="n">
        <v>0</v>
      </c>
      <c r="J4126" s="18" t="n">
        <v>310.19</v>
      </c>
      <c r="K4126" s="19" t="n">
        <v>52.86</v>
      </c>
      <c r="L4126" s="15" t="n">
        <f aca="false">YEAR(B4126)</f>
        <v>2025</v>
      </c>
      <c r="M4126" s="20" t="n">
        <f aca="false">IF(J4126&gt;0,K4126/J4126,0)</f>
        <v>0.170411683161933</v>
      </c>
    </row>
    <row r="4127" customFormat="false" ht="15" hidden="false" customHeight="false" outlineLevel="0" collapsed="false">
      <c r="A4127" s="15" t="s">
        <v>4184</v>
      </c>
      <c r="B4127" s="16" t="n">
        <v>45288</v>
      </c>
      <c r="C4127" s="15" t="s">
        <v>56</v>
      </c>
      <c r="D4127" s="15" t="s">
        <v>42</v>
      </c>
      <c r="E4127" s="15" t="s">
        <v>36</v>
      </c>
      <c r="F4127" s="15" t="s">
        <v>17</v>
      </c>
      <c r="G4127" s="15" t="s">
        <v>28</v>
      </c>
      <c r="H4127" s="15" t="n">
        <v>5</v>
      </c>
      <c r="I4127" s="17" t="n">
        <v>0</v>
      </c>
      <c r="J4127" s="18" t="n">
        <v>111.53</v>
      </c>
      <c r="K4127" s="19" t="n">
        <v>40.24</v>
      </c>
      <c r="L4127" s="15" t="n">
        <f aca="false">YEAR(B4127)</f>
        <v>2023</v>
      </c>
      <c r="M4127" s="20" t="n">
        <f aca="false">IF(J4127&gt;0,K4127/J4127,0)</f>
        <v>0.360799784811262</v>
      </c>
    </row>
    <row r="4128" customFormat="false" ht="15" hidden="false" customHeight="false" outlineLevel="0" collapsed="false">
      <c r="A4128" s="15" t="s">
        <v>4185</v>
      </c>
      <c r="B4128" s="16" t="n">
        <v>44933</v>
      </c>
      <c r="C4128" s="15" t="s">
        <v>56</v>
      </c>
      <c r="D4128" s="15" t="s">
        <v>43</v>
      </c>
      <c r="E4128" s="15" t="s">
        <v>36</v>
      </c>
      <c r="F4128" s="15" t="s">
        <v>17</v>
      </c>
      <c r="G4128" s="15" t="s">
        <v>29</v>
      </c>
      <c r="H4128" s="15" t="n">
        <v>3</v>
      </c>
      <c r="I4128" s="17" t="n">
        <v>0</v>
      </c>
      <c r="J4128" s="18" t="n">
        <v>51.72</v>
      </c>
      <c r="K4128" s="19" t="n">
        <v>21.4</v>
      </c>
      <c r="L4128" s="15" t="n">
        <f aca="false">YEAR(B4128)</f>
        <v>2023</v>
      </c>
      <c r="M4128" s="20" t="n">
        <f aca="false">IF(J4128&gt;0,K4128/J4128,0)</f>
        <v>0.413766434648105</v>
      </c>
    </row>
    <row r="4129" customFormat="false" ht="15" hidden="false" customHeight="false" outlineLevel="0" collapsed="false">
      <c r="A4129" s="15" t="s">
        <v>4186</v>
      </c>
      <c r="B4129" s="16" t="n">
        <v>45793</v>
      </c>
      <c r="C4129" s="15" t="s">
        <v>56</v>
      </c>
      <c r="D4129" s="15" t="s">
        <v>42</v>
      </c>
      <c r="E4129" s="15" t="s">
        <v>37</v>
      </c>
      <c r="F4129" s="15" t="s">
        <v>16</v>
      </c>
      <c r="G4129" s="15" t="s">
        <v>25</v>
      </c>
      <c r="H4129" s="15" t="n">
        <v>5</v>
      </c>
      <c r="I4129" s="17" t="n">
        <v>0</v>
      </c>
      <c r="J4129" s="18" t="n">
        <v>1313.94</v>
      </c>
      <c r="K4129" s="19" t="n">
        <v>82.09</v>
      </c>
      <c r="L4129" s="15" t="n">
        <f aca="false">YEAR(B4129)</f>
        <v>2025</v>
      </c>
      <c r="M4129" s="20" t="n">
        <f aca="false">IF(J4129&gt;0,K4129/J4129,0)</f>
        <v>0.0624762165700108</v>
      </c>
    </row>
    <row r="4130" customFormat="false" ht="15" hidden="false" customHeight="false" outlineLevel="0" collapsed="false">
      <c r="A4130" s="15" t="s">
        <v>4187</v>
      </c>
      <c r="B4130" s="16" t="n">
        <v>45330</v>
      </c>
      <c r="C4130" s="15" t="s">
        <v>71</v>
      </c>
      <c r="D4130" s="15" t="s">
        <v>43</v>
      </c>
      <c r="E4130" s="15" t="s">
        <v>38</v>
      </c>
      <c r="F4130" s="15" t="s">
        <v>17</v>
      </c>
      <c r="G4130" s="15" t="s">
        <v>28</v>
      </c>
      <c r="H4130" s="15" t="n">
        <v>3</v>
      </c>
      <c r="I4130" s="17" t="n">
        <v>0.1</v>
      </c>
      <c r="J4130" s="18" t="n">
        <v>62.29</v>
      </c>
      <c r="K4130" s="19" t="n">
        <v>13.2</v>
      </c>
      <c r="L4130" s="15" t="n">
        <f aca="false">YEAR(B4130)</f>
        <v>2024</v>
      </c>
      <c r="M4130" s="20" t="n">
        <f aca="false">IF(J4130&gt;0,K4130/J4130,0)</f>
        <v>0.211912024401991</v>
      </c>
    </row>
    <row r="4131" customFormat="false" ht="15" hidden="false" customHeight="false" outlineLevel="0" collapsed="false">
      <c r="A4131" s="15" t="s">
        <v>4188</v>
      </c>
      <c r="B4131" s="16" t="n">
        <v>45868</v>
      </c>
      <c r="C4131" s="15" t="s">
        <v>56</v>
      </c>
      <c r="D4131" s="15" t="s">
        <v>43</v>
      </c>
      <c r="E4131" s="15" t="s">
        <v>36</v>
      </c>
      <c r="F4131" s="15" t="s">
        <v>16</v>
      </c>
      <c r="G4131" s="15" t="s">
        <v>27</v>
      </c>
      <c r="H4131" s="15" t="n">
        <v>4</v>
      </c>
      <c r="I4131" s="17" t="n">
        <v>0.1</v>
      </c>
      <c r="J4131" s="18" t="n">
        <v>234.55</v>
      </c>
      <c r="K4131" s="19" t="n">
        <v>21.16</v>
      </c>
      <c r="L4131" s="15" t="n">
        <f aca="false">YEAR(B4131)</f>
        <v>2025</v>
      </c>
      <c r="M4131" s="20" t="n">
        <f aca="false">IF(J4131&gt;0,K4131/J4131,0)</f>
        <v>0.0902153059049243</v>
      </c>
    </row>
    <row r="4132" customFormat="false" ht="15" hidden="false" customHeight="false" outlineLevel="0" collapsed="false">
      <c r="A4132" s="15" t="s">
        <v>4189</v>
      </c>
      <c r="B4132" s="16" t="n">
        <v>46003</v>
      </c>
      <c r="C4132" s="15" t="s">
        <v>56</v>
      </c>
      <c r="D4132" s="15" t="s">
        <v>42</v>
      </c>
      <c r="E4132" s="15" t="s">
        <v>37</v>
      </c>
      <c r="F4132" s="15" t="s">
        <v>18</v>
      </c>
      <c r="G4132" s="15" t="s">
        <v>30</v>
      </c>
      <c r="H4132" s="15" t="n">
        <v>1</v>
      </c>
      <c r="I4132" s="17" t="n">
        <v>0</v>
      </c>
      <c r="J4132" s="18" t="n">
        <v>43.84</v>
      </c>
      <c r="K4132" s="19" t="n">
        <v>11.51</v>
      </c>
      <c r="L4132" s="15" t="n">
        <f aca="false">YEAR(B4132)</f>
        <v>2025</v>
      </c>
      <c r="M4132" s="20" t="n">
        <f aca="false">IF(J4132&gt;0,K4132/J4132,0)</f>
        <v>0.262545620437956</v>
      </c>
    </row>
    <row r="4133" customFormat="false" ht="15" hidden="false" customHeight="false" outlineLevel="0" collapsed="false">
      <c r="A4133" s="15" t="s">
        <v>4190</v>
      </c>
      <c r="B4133" s="16" t="n">
        <v>45742</v>
      </c>
      <c r="C4133" s="15" t="s">
        <v>71</v>
      </c>
      <c r="D4133" s="15" t="s">
        <v>42</v>
      </c>
      <c r="E4133" s="15" t="s">
        <v>37</v>
      </c>
      <c r="F4133" s="15" t="s">
        <v>16</v>
      </c>
      <c r="G4133" s="15" t="s">
        <v>27</v>
      </c>
      <c r="H4133" s="15" t="n">
        <v>5</v>
      </c>
      <c r="I4133" s="17" t="n">
        <v>0.1</v>
      </c>
      <c r="J4133" s="18" t="n">
        <v>240.06</v>
      </c>
      <c r="K4133" s="19" t="n">
        <v>35.31</v>
      </c>
      <c r="L4133" s="15" t="n">
        <f aca="false">YEAR(B4133)</f>
        <v>2025</v>
      </c>
      <c r="M4133" s="20" t="n">
        <f aca="false">IF(J4133&gt;0,K4133/J4133,0)</f>
        <v>0.147088227943014</v>
      </c>
    </row>
    <row r="4134" customFormat="false" ht="15" hidden="false" customHeight="false" outlineLevel="0" collapsed="false">
      <c r="A4134" s="15" t="s">
        <v>4191</v>
      </c>
      <c r="B4134" s="16" t="n">
        <v>45659</v>
      </c>
      <c r="C4134" s="15" t="s">
        <v>56</v>
      </c>
      <c r="D4134" s="15" t="s">
        <v>42</v>
      </c>
      <c r="E4134" s="15" t="s">
        <v>37</v>
      </c>
      <c r="F4134" s="15" t="s">
        <v>17</v>
      </c>
      <c r="G4134" s="15" t="s">
        <v>26</v>
      </c>
      <c r="H4134" s="15" t="n">
        <v>4</v>
      </c>
      <c r="I4134" s="17" t="n">
        <v>0</v>
      </c>
      <c r="J4134" s="18" t="n">
        <v>276.2</v>
      </c>
      <c r="K4134" s="19" t="n">
        <v>33.16</v>
      </c>
      <c r="L4134" s="15" t="n">
        <f aca="false">YEAR(B4134)</f>
        <v>2025</v>
      </c>
      <c r="M4134" s="20" t="n">
        <f aca="false">IF(J4134&gt;0,K4134/J4134,0)</f>
        <v>0.12005792903693</v>
      </c>
    </row>
    <row r="4135" customFormat="false" ht="15" hidden="false" customHeight="false" outlineLevel="0" collapsed="false">
      <c r="A4135" s="15" t="s">
        <v>4192</v>
      </c>
      <c r="B4135" s="16" t="n">
        <v>45717</v>
      </c>
      <c r="C4135" s="15" t="s">
        <v>56</v>
      </c>
      <c r="D4135" s="15" t="s">
        <v>42</v>
      </c>
      <c r="E4135" s="15" t="s">
        <v>37</v>
      </c>
      <c r="F4135" s="15" t="s">
        <v>18</v>
      </c>
      <c r="G4135" s="15" t="s">
        <v>30</v>
      </c>
      <c r="H4135" s="15" t="n">
        <v>3</v>
      </c>
      <c r="I4135" s="17" t="n">
        <v>0</v>
      </c>
      <c r="J4135" s="18" t="n">
        <v>113.4</v>
      </c>
      <c r="K4135" s="19" t="n">
        <v>25.62</v>
      </c>
      <c r="L4135" s="15" t="n">
        <f aca="false">YEAR(B4135)</f>
        <v>2025</v>
      </c>
      <c r="M4135" s="20" t="n">
        <f aca="false">IF(J4135&gt;0,K4135/J4135,0)</f>
        <v>0.225925925925926</v>
      </c>
    </row>
    <row r="4136" customFormat="false" ht="15" hidden="false" customHeight="false" outlineLevel="0" collapsed="false">
      <c r="A4136" s="15" t="s">
        <v>4193</v>
      </c>
      <c r="B4136" s="16" t="n">
        <v>44806</v>
      </c>
      <c r="C4136" s="15" t="s">
        <v>56</v>
      </c>
      <c r="D4136" s="15" t="s">
        <v>43</v>
      </c>
      <c r="E4136" s="15" t="s">
        <v>39</v>
      </c>
      <c r="F4136" s="15" t="s">
        <v>17</v>
      </c>
      <c r="G4136" s="15" t="s">
        <v>26</v>
      </c>
      <c r="H4136" s="15" t="n">
        <v>2</v>
      </c>
      <c r="I4136" s="17" t="n">
        <v>0.2</v>
      </c>
      <c r="J4136" s="18" t="n">
        <v>129.43</v>
      </c>
      <c r="K4136" s="19" t="n">
        <v>-0.83</v>
      </c>
      <c r="L4136" s="15" t="n">
        <f aca="false">YEAR(B4136)</f>
        <v>2022</v>
      </c>
      <c r="M4136" s="20" t="n">
        <f aca="false">IF(J4136&gt;0,K4136/J4136,0)</f>
        <v>-0.00641273275129414</v>
      </c>
    </row>
    <row r="4137" customFormat="false" ht="15" hidden="false" customHeight="false" outlineLevel="0" collapsed="false">
      <c r="A4137" s="15" t="s">
        <v>4194</v>
      </c>
      <c r="B4137" s="16" t="n">
        <v>44716</v>
      </c>
      <c r="C4137" s="15" t="s">
        <v>71</v>
      </c>
      <c r="D4137" s="15" t="s">
        <v>42</v>
      </c>
      <c r="E4137" s="15" t="s">
        <v>36</v>
      </c>
      <c r="F4137" s="15" t="s">
        <v>17</v>
      </c>
      <c r="G4137" s="15" t="s">
        <v>28</v>
      </c>
      <c r="H4137" s="15" t="n">
        <v>2</v>
      </c>
      <c r="I4137" s="17" t="n">
        <v>0.15</v>
      </c>
      <c r="J4137" s="18" t="n">
        <v>39.47</v>
      </c>
      <c r="K4137" s="19" t="n">
        <v>3.26</v>
      </c>
      <c r="L4137" s="15" t="n">
        <f aca="false">YEAR(B4137)</f>
        <v>2022</v>
      </c>
      <c r="M4137" s="20" t="n">
        <f aca="false">IF(J4137&gt;0,K4137/J4137,0)</f>
        <v>0.0825943754750443</v>
      </c>
    </row>
    <row r="4138" customFormat="false" ht="15" hidden="false" customHeight="false" outlineLevel="0" collapsed="false">
      <c r="A4138" s="15" t="s">
        <v>4195</v>
      </c>
      <c r="B4138" s="16" t="n">
        <v>45670</v>
      </c>
      <c r="C4138" s="15" t="s">
        <v>71</v>
      </c>
      <c r="D4138" s="15" t="s">
        <v>43</v>
      </c>
      <c r="E4138" s="15" t="s">
        <v>38</v>
      </c>
      <c r="F4138" s="15" t="s">
        <v>16</v>
      </c>
      <c r="G4138" s="15" t="s">
        <v>22</v>
      </c>
      <c r="H4138" s="15" t="n">
        <v>3</v>
      </c>
      <c r="I4138" s="17" t="n">
        <v>0.4</v>
      </c>
      <c r="J4138" s="18" t="n">
        <v>902.2</v>
      </c>
      <c r="K4138" s="19" t="n">
        <v>-402.4</v>
      </c>
      <c r="L4138" s="15" t="n">
        <f aca="false">YEAR(B4138)</f>
        <v>2025</v>
      </c>
      <c r="M4138" s="20" t="n">
        <f aca="false">IF(J4138&gt;0,K4138/J4138,0)</f>
        <v>-0.446020837951674</v>
      </c>
    </row>
    <row r="4139" customFormat="false" ht="15" hidden="false" customHeight="false" outlineLevel="0" collapsed="false">
      <c r="A4139" s="15" t="s">
        <v>4196</v>
      </c>
      <c r="B4139" s="16" t="n">
        <v>45320</v>
      </c>
      <c r="C4139" s="15" t="s">
        <v>56</v>
      </c>
      <c r="D4139" s="15" t="s">
        <v>43</v>
      </c>
      <c r="E4139" s="15" t="s">
        <v>39</v>
      </c>
      <c r="F4139" s="15" t="s">
        <v>18</v>
      </c>
      <c r="G4139" s="15" t="s">
        <v>30</v>
      </c>
      <c r="H4139" s="15" t="n">
        <v>3</v>
      </c>
      <c r="I4139" s="17" t="n">
        <v>0.1</v>
      </c>
      <c r="J4139" s="18" t="n">
        <v>137.38</v>
      </c>
      <c r="K4139" s="19" t="n">
        <v>24.72</v>
      </c>
      <c r="L4139" s="15" t="n">
        <f aca="false">YEAR(B4139)</f>
        <v>2024</v>
      </c>
      <c r="M4139" s="20" t="n">
        <f aca="false">IF(J4139&gt;0,K4139/J4139,0)</f>
        <v>0.179938855728636</v>
      </c>
    </row>
    <row r="4140" customFormat="false" ht="15" hidden="false" customHeight="false" outlineLevel="0" collapsed="false">
      <c r="A4140" s="15" t="s">
        <v>4197</v>
      </c>
      <c r="B4140" s="16" t="n">
        <v>45362</v>
      </c>
      <c r="C4140" s="15" t="s">
        <v>58</v>
      </c>
      <c r="D4140" s="15" t="s">
        <v>43</v>
      </c>
      <c r="E4140" s="15" t="s">
        <v>37</v>
      </c>
      <c r="F4140" s="15" t="s">
        <v>16</v>
      </c>
      <c r="G4140" s="15" t="s">
        <v>22</v>
      </c>
      <c r="H4140" s="15" t="n">
        <v>1</v>
      </c>
      <c r="I4140" s="17" t="n">
        <v>0</v>
      </c>
      <c r="J4140" s="18" t="n">
        <v>668.63</v>
      </c>
      <c r="K4140" s="19" t="n">
        <v>-33.55</v>
      </c>
      <c r="L4140" s="15" t="n">
        <f aca="false">YEAR(B4140)</f>
        <v>2024</v>
      </c>
      <c r="M4140" s="20" t="n">
        <f aca="false">IF(J4140&gt;0,K4140/J4140,0)</f>
        <v>-0.0501772280633534</v>
      </c>
    </row>
    <row r="4141" customFormat="false" ht="15" hidden="false" customHeight="false" outlineLevel="0" collapsed="false">
      <c r="A4141" s="15" t="s">
        <v>4198</v>
      </c>
      <c r="B4141" s="16" t="n">
        <v>44815</v>
      </c>
      <c r="C4141" s="15" t="s">
        <v>71</v>
      </c>
      <c r="D4141" s="15" t="s">
        <v>43</v>
      </c>
      <c r="E4141" s="15" t="s">
        <v>39</v>
      </c>
      <c r="F4141" s="15" t="s">
        <v>17</v>
      </c>
      <c r="G4141" s="15" t="s">
        <v>31</v>
      </c>
      <c r="H4141" s="15" t="n">
        <v>3</v>
      </c>
      <c r="I4141" s="17" t="n">
        <v>0</v>
      </c>
      <c r="J4141" s="18" t="n">
        <v>460.86</v>
      </c>
      <c r="K4141" s="19" t="n">
        <v>139.74</v>
      </c>
      <c r="L4141" s="15" t="n">
        <f aca="false">YEAR(B4141)</f>
        <v>2022</v>
      </c>
      <c r="M4141" s="20" t="n">
        <f aca="false">IF(J4141&gt;0,K4141/J4141,0)</f>
        <v>0.303215727118865</v>
      </c>
    </row>
    <row r="4142" customFormat="false" ht="15" hidden="false" customHeight="false" outlineLevel="0" collapsed="false">
      <c r="A4142" s="15" t="s">
        <v>4199</v>
      </c>
      <c r="B4142" s="16" t="n">
        <v>44770</v>
      </c>
      <c r="C4142" s="15" t="s">
        <v>56</v>
      </c>
      <c r="D4142" s="15" t="s">
        <v>42</v>
      </c>
      <c r="E4142" s="15" t="s">
        <v>39</v>
      </c>
      <c r="F4142" s="15" t="s">
        <v>17</v>
      </c>
      <c r="G4142" s="15" t="s">
        <v>28</v>
      </c>
      <c r="H4142" s="15" t="n">
        <v>3</v>
      </c>
      <c r="I4142" s="17" t="n">
        <v>0.05</v>
      </c>
      <c r="J4142" s="18" t="n">
        <v>65.74</v>
      </c>
      <c r="K4142" s="19" t="n">
        <v>15.78</v>
      </c>
      <c r="L4142" s="15" t="n">
        <f aca="false">YEAR(B4142)</f>
        <v>2022</v>
      </c>
      <c r="M4142" s="20" t="n">
        <f aca="false">IF(J4142&gt;0,K4142/J4142,0)</f>
        <v>0.240036507453605</v>
      </c>
    </row>
    <row r="4143" customFormat="false" ht="15" hidden="false" customHeight="false" outlineLevel="0" collapsed="false">
      <c r="A4143" s="15" t="s">
        <v>4200</v>
      </c>
      <c r="B4143" s="16" t="n">
        <v>44780</v>
      </c>
      <c r="C4143" s="15" t="s">
        <v>56</v>
      </c>
      <c r="D4143" s="15" t="s">
        <v>44</v>
      </c>
      <c r="E4143" s="15" t="s">
        <v>38</v>
      </c>
      <c r="F4143" s="15" t="s">
        <v>17</v>
      </c>
      <c r="G4143" s="15" t="s">
        <v>28</v>
      </c>
      <c r="H4143" s="15" t="n">
        <v>3</v>
      </c>
      <c r="I4143" s="17" t="n">
        <v>0.5</v>
      </c>
      <c r="J4143" s="18" t="n">
        <v>26.2</v>
      </c>
      <c r="K4143" s="19" t="n">
        <v>-4.74</v>
      </c>
      <c r="L4143" s="15" t="n">
        <f aca="false">YEAR(B4143)</f>
        <v>2022</v>
      </c>
      <c r="M4143" s="20" t="n">
        <f aca="false">IF(J4143&gt;0,K4143/J4143,0)</f>
        <v>-0.180916030534351</v>
      </c>
    </row>
    <row r="4144" customFormat="false" ht="15" hidden="false" customHeight="false" outlineLevel="0" collapsed="false">
      <c r="A4144" s="15" t="s">
        <v>4201</v>
      </c>
      <c r="B4144" s="16" t="n">
        <v>44618</v>
      </c>
      <c r="C4144" s="15" t="s">
        <v>56</v>
      </c>
      <c r="D4144" s="15" t="s">
        <v>43</v>
      </c>
      <c r="E4144" s="15" t="s">
        <v>39</v>
      </c>
      <c r="F4144" s="15" t="s">
        <v>16</v>
      </c>
      <c r="G4144" s="15" t="s">
        <v>25</v>
      </c>
      <c r="H4144" s="15" t="n">
        <v>3</v>
      </c>
      <c r="I4144" s="17" t="n">
        <v>0</v>
      </c>
      <c r="J4144" s="18" t="n">
        <v>769.02</v>
      </c>
      <c r="K4144" s="19" t="n">
        <v>54.79</v>
      </c>
      <c r="L4144" s="15" t="n">
        <f aca="false">YEAR(B4144)</f>
        <v>2022</v>
      </c>
      <c r="M4144" s="20" t="n">
        <f aca="false">IF(J4144&gt;0,K4144/J4144,0)</f>
        <v>0.0712465215469039</v>
      </c>
    </row>
    <row r="4145" customFormat="false" ht="15" hidden="false" customHeight="false" outlineLevel="0" collapsed="false">
      <c r="A4145" s="15" t="s">
        <v>4202</v>
      </c>
      <c r="B4145" s="16" t="n">
        <v>44592</v>
      </c>
      <c r="C4145" s="15" t="s">
        <v>68</v>
      </c>
      <c r="D4145" s="15" t="s">
        <v>42</v>
      </c>
      <c r="E4145" s="15" t="s">
        <v>38</v>
      </c>
      <c r="F4145" s="15" t="s">
        <v>16</v>
      </c>
      <c r="G4145" s="15" t="s">
        <v>27</v>
      </c>
      <c r="H4145" s="15" t="n">
        <v>6</v>
      </c>
      <c r="I4145" s="17" t="n">
        <v>0</v>
      </c>
      <c r="J4145" s="18" t="n">
        <v>310.74</v>
      </c>
      <c r="K4145" s="19" t="n">
        <v>46.85</v>
      </c>
      <c r="L4145" s="15" t="n">
        <f aca="false">YEAR(B4145)</f>
        <v>2022</v>
      </c>
      <c r="M4145" s="20" t="n">
        <f aca="false">IF(J4145&gt;0,K4145/J4145,0)</f>
        <v>0.150769131750016</v>
      </c>
    </row>
    <row r="4146" customFormat="false" ht="15" hidden="false" customHeight="false" outlineLevel="0" collapsed="false">
      <c r="A4146" s="15" t="s">
        <v>4203</v>
      </c>
      <c r="B4146" s="16" t="n">
        <v>44949</v>
      </c>
      <c r="C4146" s="15" t="s">
        <v>56</v>
      </c>
      <c r="D4146" s="15" t="s">
        <v>42</v>
      </c>
      <c r="E4146" s="15" t="s">
        <v>39</v>
      </c>
      <c r="F4146" s="15" t="s">
        <v>17</v>
      </c>
      <c r="G4146" s="15" t="s">
        <v>28</v>
      </c>
      <c r="H4146" s="15" t="n">
        <v>4</v>
      </c>
      <c r="I4146" s="17" t="n">
        <v>0</v>
      </c>
      <c r="J4146" s="18" t="n">
        <v>117.29</v>
      </c>
      <c r="K4146" s="19" t="n">
        <v>39.02</v>
      </c>
      <c r="L4146" s="15" t="n">
        <f aca="false">YEAR(B4146)</f>
        <v>2023</v>
      </c>
      <c r="M4146" s="20" t="n">
        <f aca="false">IF(J4146&gt;0,K4146/J4146,0)</f>
        <v>0.332679682837412</v>
      </c>
    </row>
    <row r="4147" customFormat="false" ht="15" hidden="false" customHeight="false" outlineLevel="0" collapsed="false">
      <c r="A4147" s="15" t="s">
        <v>4204</v>
      </c>
      <c r="B4147" s="16" t="n">
        <v>46020</v>
      </c>
      <c r="C4147" s="15" t="s">
        <v>56</v>
      </c>
      <c r="D4147" s="15" t="s">
        <v>44</v>
      </c>
      <c r="E4147" s="15" t="s">
        <v>38</v>
      </c>
      <c r="F4147" s="15" t="s">
        <v>17</v>
      </c>
      <c r="G4147" s="15" t="s">
        <v>26</v>
      </c>
      <c r="H4147" s="15" t="n">
        <v>4</v>
      </c>
      <c r="I4147" s="17" t="n">
        <v>0.1</v>
      </c>
      <c r="J4147" s="18" t="n">
        <v>237.96</v>
      </c>
      <c r="K4147" s="19" t="n">
        <v>-2.9</v>
      </c>
      <c r="L4147" s="15" t="n">
        <f aca="false">YEAR(B4147)</f>
        <v>2025</v>
      </c>
      <c r="M4147" s="20" t="n">
        <f aca="false">IF(J4147&gt;0,K4147/J4147,0)</f>
        <v>-0.0121869221717936</v>
      </c>
    </row>
    <row r="4148" customFormat="false" ht="15" hidden="false" customHeight="false" outlineLevel="0" collapsed="false">
      <c r="A4148" s="15" t="s">
        <v>4205</v>
      </c>
      <c r="B4148" s="16" t="n">
        <v>45804</v>
      </c>
      <c r="C4148" s="15" t="s">
        <v>68</v>
      </c>
      <c r="D4148" s="15" t="s">
        <v>42</v>
      </c>
      <c r="E4148" s="15" t="s">
        <v>39</v>
      </c>
      <c r="F4148" s="15" t="s">
        <v>18</v>
      </c>
      <c r="G4148" s="15" t="s">
        <v>30</v>
      </c>
      <c r="H4148" s="15" t="n">
        <v>3</v>
      </c>
      <c r="I4148" s="17" t="n">
        <v>0.05</v>
      </c>
      <c r="J4148" s="18" t="n">
        <v>151.15</v>
      </c>
      <c r="K4148" s="19" t="n">
        <v>31.49</v>
      </c>
      <c r="L4148" s="15" t="n">
        <f aca="false">YEAR(B4148)</f>
        <v>2025</v>
      </c>
      <c r="M4148" s="20" t="n">
        <f aca="false">IF(J4148&gt;0,K4148/J4148,0)</f>
        <v>0.208336089976844</v>
      </c>
    </row>
    <row r="4149" customFormat="false" ht="15" hidden="false" customHeight="false" outlineLevel="0" collapsed="false">
      <c r="A4149" s="15" t="s">
        <v>4206</v>
      </c>
      <c r="B4149" s="16" t="n">
        <v>45773</v>
      </c>
      <c r="C4149" s="15" t="s">
        <v>71</v>
      </c>
      <c r="D4149" s="15" t="s">
        <v>42</v>
      </c>
      <c r="E4149" s="15" t="s">
        <v>39</v>
      </c>
      <c r="F4149" s="15" t="s">
        <v>17</v>
      </c>
      <c r="G4149" s="15" t="s">
        <v>28</v>
      </c>
      <c r="H4149" s="15" t="n">
        <v>2</v>
      </c>
      <c r="I4149" s="17" t="n">
        <v>0</v>
      </c>
      <c r="J4149" s="18" t="n">
        <v>59.83</v>
      </c>
      <c r="K4149" s="19" t="n">
        <v>19.24</v>
      </c>
      <c r="L4149" s="15" t="n">
        <f aca="false">YEAR(B4149)</f>
        <v>2025</v>
      </c>
      <c r="M4149" s="20" t="n">
        <f aca="false">IF(J4149&gt;0,K4149/J4149,0)</f>
        <v>0.321577803777369</v>
      </c>
    </row>
    <row r="4150" customFormat="false" ht="15" hidden="false" customHeight="false" outlineLevel="0" collapsed="false">
      <c r="A4150" s="15" t="s">
        <v>4207</v>
      </c>
      <c r="B4150" s="16" t="n">
        <v>45610</v>
      </c>
      <c r="C4150" s="15" t="s">
        <v>56</v>
      </c>
      <c r="D4150" s="15" t="s">
        <v>42</v>
      </c>
      <c r="E4150" s="15" t="s">
        <v>39</v>
      </c>
      <c r="F4150" s="15" t="s">
        <v>16</v>
      </c>
      <c r="G4150" s="15" t="s">
        <v>27</v>
      </c>
      <c r="H4150" s="15" t="n">
        <v>4</v>
      </c>
      <c r="I4150" s="17" t="n">
        <v>0.2</v>
      </c>
      <c r="J4150" s="18" t="n">
        <v>151.72</v>
      </c>
      <c r="K4150" s="19" t="n">
        <v>10.36</v>
      </c>
      <c r="L4150" s="15" t="n">
        <f aca="false">YEAR(B4150)</f>
        <v>2024</v>
      </c>
      <c r="M4150" s="20" t="n">
        <f aca="false">IF(J4150&gt;0,K4150/J4150,0)</f>
        <v>0.0682836804640127</v>
      </c>
    </row>
    <row r="4151" customFormat="false" ht="15" hidden="false" customHeight="false" outlineLevel="0" collapsed="false">
      <c r="A4151" s="15" t="s">
        <v>4208</v>
      </c>
      <c r="B4151" s="16" t="n">
        <v>45560</v>
      </c>
      <c r="C4151" s="15" t="s">
        <v>71</v>
      </c>
      <c r="D4151" s="15" t="s">
        <v>44</v>
      </c>
      <c r="E4151" s="15" t="s">
        <v>38</v>
      </c>
      <c r="F4151" s="15" t="s">
        <v>17</v>
      </c>
      <c r="G4151" s="15" t="s">
        <v>29</v>
      </c>
      <c r="H4151" s="15" t="n">
        <v>6</v>
      </c>
      <c r="I4151" s="17" t="n">
        <v>0</v>
      </c>
      <c r="J4151" s="18" t="n">
        <v>83.99</v>
      </c>
      <c r="K4151" s="19" t="n">
        <v>30.91</v>
      </c>
      <c r="L4151" s="15" t="n">
        <f aca="false">YEAR(B4151)</f>
        <v>2024</v>
      </c>
      <c r="M4151" s="20" t="n">
        <f aca="false">IF(J4151&gt;0,K4151/J4151,0)</f>
        <v>0.368020002381236</v>
      </c>
    </row>
    <row r="4152" customFormat="false" ht="15" hidden="false" customHeight="false" outlineLevel="0" collapsed="false">
      <c r="A4152" s="15" t="s">
        <v>4209</v>
      </c>
      <c r="B4152" s="16" t="n">
        <v>45113</v>
      </c>
      <c r="C4152" s="15" t="s">
        <v>58</v>
      </c>
      <c r="D4152" s="15" t="s">
        <v>42</v>
      </c>
      <c r="E4152" s="15" t="s">
        <v>38</v>
      </c>
      <c r="F4152" s="15" t="s">
        <v>18</v>
      </c>
      <c r="G4152" s="15" t="s">
        <v>32</v>
      </c>
      <c r="H4152" s="15" t="n">
        <v>7</v>
      </c>
      <c r="I4152" s="17" t="n">
        <v>0</v>
      </c>
      <c r="J4152" s="18" t="n">
        <v>3310.51</v>
      </c>
      <c r="K4152" s="19" t="n">
        <v>321.26</v>
      </c>
      <c r="L4152" s="15" t="n">
        <f aca="false">YEAR(B4152)</f>
        <v>2023</v>
      </c>
      <c r="M4152" s="20" t="n">
        <f aca="false">IF(J4152&gt;0,K4152/J4152,0)</f>
        <v>0.0970424496527725</v>
      </c>
    </row>
    <row r="4153" customFormat="false" ht="15" hidden="false" customHeight="false" outlineLevel="0" collapsed="false">
      <c r="A4153" s="15" t="s">
        <v>4210</v>
      </c>
      <c r="B4153" s="16" t="n">
        <v>45726</v>
      </c>
      <c r="C4153" s="15" t="s">
        <v>56</v>
      </c>
      <c r="D4153" s="15" t="s">
        <v>42</v>
      </c>
      <c r="E4153" s="15" t="s">
        <v>39</v>
      </c>
      <c r="F4153" s="15" t="s">
        <v>17</v>
      </c>
      <c r="G4153" s="15" t="s">
        <v>26</v>
      </c>
      <c r="H4153" s="15" t="n">
        <v>6</v>
      </c>
      <c r="I4153" s="17" t="n">
        <v>0.4</v>
      </c>
      <c r="J4153" s="18" t="n">
        <v>288.78</v>
      </c>
      <c r="K4153" s="19" t="n">
        <v>-69.21</v>
      </c>
      <c r="L4153" s="15" t="n">
        <f aca="false">YEAR(B4153)</f>
        <v>2025</v>
      </c>
      <c r="M4153" s="20" t="n">
        <f aca="false">IF(J4153&gt;0,K4153/J4153,0)</f>
        <v>-0.239663411593601</v>
      </c>
    </row>
    <row r="4154" customFormat="false" ht="15" hidden="false" customHeight="false" outlineLevel="0" collapsed="false">
      <c r="A4154" s="15" t="s">
        <v>4211</v>
      </c>
      <c r="B4154" s="16" t="n">
        <v>45032</v>
      </c>
      <c r="C4154" s="15" t="s">
        <v>56</v>
      </c>
      <c r="D4154" s="15" t="s">
        <v>42</v>
      </c>
      <c r="E4154" s="15" t="s">
        <v>37</v>
      </c>
      <c r="F4154" s="15" t="s">
        <v>17</v>
      </c>
      <c r="G4154" s="15" t="s">
        <v>26</v>
      </c>
      <c r="H4154" s="15" t="n">
        <v>3</v>
      </c>
      <c r="I4154" s="17" t="n">
        <v>0</v>
      </c>
      <c r="J4154" s="18" t="n">
        <v>208.33</v>
      </c>
      <c r="K4154" s="19" t="n">
        <v>18.65</v>
      </c>
      <c r="L4154" s="15" t="n">
        <f aca="false">YEAR(B4154)</f>
        <v>2023</v>
      </c>
      <c r="M4154" s="20" t="n">
        <f aca="false">IF(J4154&gt;0,K4154/J4154,0)</f>
        <v>0.0895214323429175</v>
      </c>
    </row>
    <row r="4155" customFormat="false" ht="15" hidden="false" customHeight="false" outlineLevel="0" collapsed="false">
      <c r="A4155" s="15" t="s">
        <v>4212</v>
      </c>
      <c r="B4155" s="16" t="n">
        <v>45823</v>
      </c>
      <c r="C4155" s="15" t="s">
        <v>68</v>
      </c>
      <c r="D4155" s="15" t="s">
        <v>43</v>
      </c>
      <c r="E4155" s="15" t="s">
        <v>38</v>
      </c>
      <c r="F4155" s="15" t="s">
        <v>16</v>
      </c>
      <c r="G4155" s="15" t="s">
        <v>25</v>
      </c>
      <c r="H4155" s="15" t="n">
        <v>2</v>
      </c>
      <c r="I4155" s="17" t="n">
        <v>0.1</v>
      </c>
      <c r="J4155" s="18" t="n">
        <v>414.2</v>
      </c>
      <c r="K4155" s="19" t="n">
        <v>38.98</v>
      </c>
      <c r="L4155" s="15" t="n">
        <f aca="false">YEAR(B4155)</f>
        <v>2025</v>
      </c>
      <c r="M4155" s="20" t="n">
        <f aca="false">IF(J4155&gt;0,K4155/J4155,0)</f>
        <v>0.0941091260260744</v>
      </c>
    </row>
    <row r="4156" customFormat="false" ht="15" hidden="false" customHeight="false" outlineLevel="0" collapsed="false">
      <c r="A4156" s="15" t="s">
        <v>4213</v>
      </c>
      <c r="B4156" s="16" t="n">
        <v>45083</v>
      </c>
      <c r="C4156" s="15" t="s">
        <v>56</v>
      </c>
      <c r="D4156" s="15" t="s">
        <v>42</v>
      </c>
      <c r="E4156" s="15" t="s">
        <v>38</v>
      </c>
      <c r="F4156" s="15" t="s">
        <v>18</v>
      </c>
      <c r="G4156" s="15" t="s">
        <v>30</v>
      </c>
      <c r="H4156" s="15" t="n">
        <v>4</v>
      </c>
      <c r="I4156" s="17" t="n">
        <v>0.1</v>
      </c>
      <c r="J4156" s="18" t="n">
        <v>177.85</v>
      </c>
      <c r="K4156" s="19" t="n">
        <v>33.19</v>
      </c>
      <c r="L4156" s="15" t="n">
        <f aca="false">YEAR(B4156)</f>
        <v>2023</v>
      </c>
      <c r="M4156" s="20" t="n">
        <f aca="false">IF(J4156&gt;0,K4156/J4156,0)</f>
        <v>0.186617936463312</v>
      </c>
    </row>
    <row r="4157" customFormat="false" ht="15" hidden="false" customHeight="false" outlineLevel="0" collapsed="false">
      <c r="A4157" s="15" t="s">
        <v>4214</v>
      </c>
      <c r="B4157" s="16" t="n">
        <v>45738</v>
      </c>
      <c r="C4157" s="15" t="s">
        <v>56</v>
      </c>
      <c r="D4157" s="15" t="s">
        <v>43</v>
      </c>
      <c r="E4157" s="15" t="s">
        <v>36</v>
      </c>
      <c r="F4157" s="15" t="s">
        <v>17</v>
      </c>
      <c r="G4157" s="15" t="s">
        <v>29</v>
      </c>
      <c r="H4157" s="15" t="n">
        <v>1</v>
      </c>
      <c r="I4157" s="17" t="n">
        <v>0</v>
      </c>
      <c r="J4157" s="18" t="n">
        <v>17.74</v>
      </c>
      <c r="K4157" s="19" t="n">
        <v>6.58</v>
      </c>
      <c r="L4157" s="15" t="n">
        <f aca="false">YEAR(B4157)</f>
        <v>2025</v>
      </c>
      <c r="M4157" s="20" t="n">
        <f aca="false">IF(J4157&gt;0,K4157/J4157,0)</f>
        <v>0.370913190529876</v>
      </c>
    </row>
    <row r="4158" customFormat="false" ht="15" hidden="false" customHeight="false" outlineLevel="0" collapsed="false">
      <c r="A4158" s="15" t="s">
        <v>4215</v>
      </c>
      <c r="B4158" s="16" t="n">
        <v>44816</v>
      </c>
      <c r="C4158" s="15" t="s">
        <v>56</v>
      </c>
      <c r="D4158" s="15" t="s">
        <v>42</v>
      </c>
      <c r="E4158" s="15" t="s">
        <v>39</v>
      </c>
      <c r="F4158" s="15" t="s">
        <v>17</v>
      </c>
      <c r="G4158" s="15" t="s">
        <v>26</v>
      </c>
      <c r="H4158" s="15" t="n">
        <v>4</v>
      </c>
      <c r="I4158" s="17" t="n">
        <v>0.2</v>
      </c>
      <c r="J4158" s="18" t="n">
        <v>230.7</v>
      </c>
      <c r="K4158" s="19" t="n">
        <v>-18.61</v>
      </c>
      <c r="L4158" s="15" t="n">
        <f aca="false">YEAR(B4158)</f>
        <v>2022</v>
      </c>
      <c r="M4158" s="20" t="n">
        <f aca="false">IF(J4158&gt;0,K4158/J4158,0)</f>
        <v>-0.0806675335934114</v>
      </c>
    </row>
    <row r="4159" customFormat="false" ht="15" hidden="false" customHeight="false" outlineLevel="0" collapsed="false">
      <c r="A4159" s="15" t="s">
        <v>4216</v>
      </c>
      <c r="B4159" s="16" t="n">
        <v>45479</v>
      </c>
      <c r="C4159" s="15" t="s">
        <v>56</v>
      </c>
      <c r="D4159" s="15" t="s">
        <v>42</v>
      </c>
      <c r="E4159" s="15" t="s">
        <v>39</v>
      </c>
      <c r="F4159" s="15" t="s">
        <v>17</v>
      </c>
      <c r="G4159" s="15" t="s">
        <v>29</v>
      </c>
      <c r="H4159" s="15" t="n">
        <v>4</v>
      </c>
      <c r="I4159" s="17" t="n">
        <v>0.1</v>
      </c>
      <c r="J4159" s="18" t="n">
        <v>54.96</v>
      </c>
      <c r="K4159" s="19" t="n">
        <v>15.6</v>
      </c>
      <c r="L4159" s="15" t="n">
        <f aca="false">YEAR(B4159)</f>
        <v>2024</v>
      </c>
      <c r="M4159" s="20" t="n">
        <f aca="false">IF(J4159&gt;0,K4159/J4159,0)</f>
        <v>0.283842794759825</v>
      </c>
    </row>
    <row r="4160" customFormat="false" ht="15" hidden="false" customHeight="false" outlineLevel="0" collapsed="false">
      <c r="A4160" s="15" t="s">
        <v>4217</v>
      </c>
      <c r="B4160" s="16" t="n">
        <v>45402</v>
      </c>
      <c r="C4160" s="15" t="s">
        <v>56</v>
      </c>
      <c r="D4160" s="15" t="s">
        <v>43</v>
      </c>
      <c r="E4160" s="15" t="s">
        <v>36</v>
      </c>
      <c r="F4160" s="15" t="s">
        <v>17</v>
      </c>
      <c r="G4160" s="15" t="s">
        <v>31</v>
      </c>
      <c r="H4160" s="15" t="n">
        <v>3</v>
      </c>
      <c r="I4160" s="17" t="n">
        <v>0.05</v>
      </c>
      <c r="J4160" s="18" t="n">
        <v>408.07</v>
      </c>
      <c r="K4160" s="19" t="n">
        <v>36.6</v>
      </c>
      <c r="L4160" s="15" t="n">
        <f aca="false">YEAR(B4160)</f>
        <v>2024</v>
      </c>
      <c r="M4160" s="20" t="n">
        <f aca="false">IF(J4160&gt;0,K4160/J4160,0)</f>
        <v>0.0896904942779425</v>
      </c>
    </row>
    <row r="4161" customFormat="false" ht="15" hidden="false" customHeight="false" outlineLevel="0" collapsed="false">
      <c r="A4161" s="15" t="s">
        <v>4218</v>
      </c>
      <c r="B4161" s="16" t="n">
        <v>45176</v>
      </c>
      <c r="C4161" s="15" t="s">
        <v>71</v>
      </c>
      <c r="D4161" s="15" t="s">
        <v>42</v>
      </c>
      <c r="E4161" s="15" t="s">
        <v>37</v>
      </c>
      <c r="F4161" s="15" t="s">
        <v>17</v>
      </c>
      <c r="G4161" s="15" t="s">
        <v>28</v>
      </c>
      <c r="H4161" s="15" t="n">
        <v>5</v>
      </c>
      <c r="I4161" s="17" t="n">
        <v>0.05</v>
      </c>
      <c r="J4161" s="18" t="n">
        <v>119.97</v>
      </c>
      <c r="K4161" s="19" t="n">
        <v>36.71</v>
      </c>
      <c r="L4161" s="15" t="n">
        <f aca="false">YEAR(B4161)</f>
        <v>2023</v>
      </c>
      <c r="M4161" s="20" t="n">
        <f aca="false">IF(J4161&gt;0,K4161/J4161,0)</f>
        <v>0.305993164957906</v>
      </c>
    </row>
    <row r="4162" customFormat="false" ht="15" hidden="false" customHeight="false" outlineLevel="0" collapsed="false">
      <c r="A4162" s="15" t="s">
        <v>4219</v>
      </c>
      <c r="B4162" s="16" t="n">
        <v>45413</v>
      </c>
      <c r="C4162" s="15" t="s">
        <v>56</v>
      </c>
      <c r="D4162" s="15" t="s">
        <v>43</v>
      </c>
      <c r="E4162" s="15" t="s">
        <v>36</v>
      </c>
      <c r="F4162" s="15" t="s">
        <v>17</v>
      </c>
      <c r="G4162" s="15" t="s">
        <v>29</v>
      </c>
      <c r="H4162" s="15" t="n">
        <v>1</v>
      </c>
      <c r="I4162" s="17" t="n">
        <v>0</v>
      </c>
      <c r="J4162" s="18" t="n">
        <v>15.09</v>
      </c>
      <c r="K4162" s="19" t="n">
        <v>6.45</v>
      </c>
      <c r="L4162" s="15" t="n">
        <f aca="false">YEAR(B4162)</f>
        <v>2024</v>
      </c>
      <c r="M4162" s="20" t="n">
        <f aca="false">IF(J4162&gt;0,K4162/J4162,0)</f>
        <v>0.427435387673956</v>
      </c>
    </row>
    <row r="4163" customFormat="false" ht="15" hidden="false" customHeight="false" outlineLevel="0" collapsed="false">
      <c r="A4163" s="15" t="s">
        <v>4220</v>
      </c>
      <c r="B4163" s="16" t="n">
        <v>45271</v>
      </c>
      <c r="C4163" s="15" t="s">
        <v>56</v>
      </c>
      <c r="D4163" s="15" t="s">
        <v>42</v>
      </c>
      <c r="E4163" s="15" t="s">
        <v>36</v>
      </c>
      <c r="F4163" s="15" t="s">
        <v>18</v>
      </c>
      <c r="G4163" s="15" t="s">
        <v>33</v>
      </c>
      <c r="H4163" s="15" t="n">
        <v>2</v>
      </c>
      <c r="I4163" s="17" t="n">
        <v>0.2</v>
      </c>
      <c r="J4163" s="18" t="n">
        <v>1392.31</v>
      </c>
      <c r="K4163" s="19" t="n">
        <v>140.39</v>
      </c>
      <c r="L4163" s="15" t="n">
        <f aca="false">YEAR(B4163)</f>
        <v>2023</v>
      </c>
      <c r="M4163" s="20" t="n">
        <f aca="false">IF(J4163&gt;0,K4163/J4163,0)</f>
        <v>0.100832429559509</v>
      </c>
    </row>
    <row r="4164" customFormat="false" ht="15" hidden="false" customHeight="false" outlineLevel="0" collapsed="false">
      <c r="A4164" s="15" t="s">
        <v>4221</v>
      </c>
      <c r="B4164" s="16" t="n">
        <v>45853</v>
      </c>
      <c r="C4164" s="15" t="s">
        <v>56</v>
      </c>
      <c r="D4164" s="15" t="s">
        <v>42</v>
      </c>
      <c r="E4164" s="15" t="s">
        <v>39</v>
      </c>
      <c r="F4164" s="15" t="s">
        <v>17</v>
      </c>
      <c r="G4164" s="15" t="s">
        <v>28</v>
      </c>
      <c r="H4164" s="15" t="n">
        <v>4</v>
      </c>
      <c r="I4164" s="17" t="n">
        <v>0.3</v>
      </c>
      <c r="J4164" s="18" t="n">
        <v>82.83</v>
      </c>
      <c r="K4164" s="19" t="n">
        <v>3.64</v>
      </c>
      <c r="L4164" s="15" t="n">
        <f aca="false">YEAR(B4164)</f>
        <v>2025</v>
      </c>
      <c r="M4164" s="20" t="n">
        <f aca="false">IF(J4164&gt;0,K4164/J4164,0)</f>
        <v>0.0439454303996137</v>
      </c>
    </row>
    <row r="4165" customFormat="false" ht="15" hidden="false" customHeight="false" outlineLevel="0" collapsed="false">
      <c r="A4165" s="15" t="s">
        <v>4222</v>
      </c>
      <c r="B4165" s="16" t="n">
        <v>45089</v>
      </c>
      <c r="C4165" s="15" t="s">
        <v>68</v>
      </c>
      <c r="D4165" s="15" t="s">
        <v>44</v>
      </c>
      <c r="E4165" s="15" t="s">
        <v>37</v>
      </c>
      <c r="F4165" s="15" t="s">
        <v>18</v>
      </c>
      <c r="G4165" s="15" t="s">
        <v>33</v>
      </c>
      <c r="H4165" s="15" t="n">
        <v>2</v>
      </c>
      <c r="I4165" s="17" t="n">
        <v>0</v>
      </c>
      <c r="J4165" s="18" t="n">
        <v>1860.16</v>
      </c>
      <c r="K4165" s="19" t="n">
        <v>508.56</v>
      </c>
      <c r="L4165" s="15" t="n">
        <f aca="false">YEAR(B4165)</f>
        <v>2023</v>
      </c>
      <c r="M4165" s="20" t="n">
        <f aca="false">IF(J4165&gt;0,K4165/J4165,0)</f>
        <v>0.273395836917254</v>
      </c>
    </row>
    <row r="4166" customFormat="false" ht="15" hidden="false" customHeight="false" outlineLevel="0" collapsed="false">
      <c r="A4166" s="15" t="s">
        <v>4223</v>
      </c>
      <c r="B4166" s="16" t="n">
        <v>45427</v>
      </c>
      <c r="C4166" s="15" t="s">
        <v>68</v>
      </c>
      <c r="D4166" s="15" t="s">
        <v>42</v>
      </c>
      <c r="E4166" s="15" t="s">
        <v>39</v>
      </c>
      <c r="F4166" s="15" t="s">
        <v>16</v>
      </c>
      <c r="G4166" s="15" t="s">
        <v>25</v>
      </c>
      <c r="H4166" s="15" t="n">
        <v>4</v>
      </c>
      <c r="I4166" s="17" t="n">
        <v>0.1</v>
      </c>
      <c r="J4166" s="18" t="n">
        <v>1220.08</v>
      </c>
      <c r="K4166" s="19" t="n">
        <v>-20.66</v>
      </c>
      <c r="L4166" s="15" t="n">
        <f aca="false">YEAR(B4166)</f>
        <v>2024</v>
      </c>
      <c r="M4166" s="20" t="n">
        <f aca="false">IF(J4166&gt;0,K4166/J4166,0)</f>
        <v>-0.0169333158481411</v>
      </c>
    </row>
    <row r="4167" customFormat="false" ht="15" hidden="false" customHeight="false" outlineLevel="0" collapsed="false">
      <c r="A4167" s="15" t="s">
        <v>4224</v>
      </c>
      <c r="B4167" s="16" t="n">
        <v>45604</v>
      </c>
      <c r="C4167" s="15" t="s">
        <v>71</v>
      </c>
      <c r="D4167" s="15" t="s">
        <v>42</v>
      </c>
      <c r="E4167" s="15" t="s">
        <v>39</v>
      </c>
      <c r="F4167" s="15" t="s">
        <v>17</v>
      </c>
      <c r="G4167" s="15" t="s">
        <v>28</v>
      </c>
      <c r="H4167" s="15" t="n">
        <v>5</v>
      </c>
      <c r="I4167" s="17" t="n">
        <v>0.2</v>
      </c>
      <c r="J4167" s="18" t="n">
        <v>104.68</v>
      </c>
      <c r="K4167" s="19" t="n">
        <v>11.7</v>
      </c>
      <c r="L4167" s="15" t="n">
        <f aca="false">YEAR(B4167)</f>
        <v>2024</v>
      </c>
      <c r="M4167" s="20" t="n">
        <f aca="false">IF(J4167&gt;0,K4167/J4167,0)</f>
        <v>0.111769201375621</v>
      </c>
    </row>
    <row r="4168" customFormat="false" ht="15" hidden="false" customHeight="false" outlineLevel="0" collapsed="false">
      <c r="A4168" s="15" t="s">
        <v>4225</v>
      </c>
      <c r="B4168" s="16" t="n">
        <v>45668</v>
      </c>
      <c r="C4168" s="15" t="s">
        <v>71</v>
      </c>
      <c r="D4168" s="15" t="s">
        <v>42</v>
      </c>
      <c r="E4168" s="15" t="s">
        <v>39</v>
      </c>
      <c r="F4168" s="15" t="s">
        <v>17</v>
      </c>
      <c r="G4168" s="15" t="s">
        <v>28</v>
      </c>
      <c r="H4168" s="15" t="n">
        <v>3</v>
      </c>
      <c r="I4168" s="17" t="n">
        <v>0.15</v>
      </c>
      <c r="J4168" s="18" t="n">
        <v>71.45</v>
      </c>
      <c r="K4168" s="19" t="n">
        <v>10.3</v>
      </c>
      <c r="L4168" s="15" t="n">
        <f aca="false">YEAR(B4168)</f>
        <v>2025</v>
      </c>
      <c r="M4168" s="20" t="n">
        <f aca="false">IF(J4168&gt;0,K4168/J4168,0)</f>
        <v>0.144156752974108</v>
      </c>
    </row>
    <row r="4169" customFormat="false" ht="15" hidden="false" customHeight="false" outlineLevel="0" collapsed="false">
      <c r="A4169" s="15" t="s">
        <v>4226</v>
      </c>
      <c r="B4169" s="16" t="n">
        <v>45894</v>
      </c>
      <c r="C4169" s="15" t="s">
        <v>56</v>
      </c>
      <c r="D4169" s="15" t="s">
        <v>43</v>
      </c>
      <c r="E4169" s="15" t="s">
        <v>36</v>
      </c>
      <c r="F4169" s="15" t="s">
        <v>18</v>
      </c>
      <c r="G4169" s="15" t="s">
        <v>32</v>
      </c>
      <c r="H4169" s="15" t="n">
        <v>5</v>
      </c>
      <c r="I4169" s="17" t="n">
        <v>0</v>
      </c>
      <c r="J4169" s="18" t="n">
        <v>1711.4</v>
      </c>
      <c r="K4169" s="19" t="n">
        <v>293.14</v>
      </c>
      <c r="L4169" s="15" t="n">
        <f aca="false">YEAR(B4169)</f>
        <v>2025</v>
      </c>
      <c r="M4169" s="20" t="n">
        <f aca="false">IF(J4169&gt;0,K4169/J4169,0)</f>
        <v>0.171286665887577</v>
      </c>
    </row>
    <row r="4170" customFormat="false" ht="15" hidden="false" customHeight="false" outlineLevel="0" collapsed="false">
      <c r="A4170" s="15" t="s">
        <v>4227</v>
      </c>
      <c r="B4170" s="16" t="n">
        <v>45881</v>
      </c>
      <c r="C4170" s="15" t="s">
        <v>71</v>
      </c>
      <c r="D4170" s="15" t="s">
        <v>42</v>
      </c>
      <c r="E4170" s="15" t="s">
        <v>39</v>
      </c>
      <c r="F4170" s="15" t="s">
        <v>17</v>
      </c>
      <c r="G4170" s="15" t="s">
        <v>28</v>
      </c>
      <c r="H4170" s="15" t="n">
        <v>3</v>
      </c>
      <c r="I4170" s="17" t="n">
        <v>0</v>
      </c>
      <c r="J4170" s="18" t="n">
        <v>67.63</v>
      </c>
      <c r="K4170" s="19" t="n">
        <v>20.28</v>
      </c>
      <c r="L4170" s="15" t="n">
        <f aca="false">YEAR(B4170)</f>
        <v>2025</v>
      </c>
      <c r="M4170" s="20" t="n">
        <f aca="false">IF(J4170&gt;0,K4170/J4170,0)</f>
        <v>0.299866922963182</v>
      </c>
    </row>
    <row r="4171" customFormat="false" ht="15" hidden="false" customHeight="false" outlineLevel="0" collapsed="false">
      <c r="A4171" s="15" t="s">
        <v>4228</v>
      </c>
      <c r="B4171" s="16" t="n">
        <v>45412</v>
      </c>
      <c r="C4171" s="15" t="s">
        <v>56</v>
      </c>
      <c r="D4171" s="15" t="s">
        <v>42</v>
      </c>
      <c r="E4171" s="15" t="s">
        <v>38</v>
      </c>
      <c r="F4171" s="15" t="s">
        <v>17</v>
      </c>
      <c r="G4171" s="15" t="s">
        <v>29</v>
      </c>
      <c r="H4171" s="15" t="n">
        <v>2</v>
      </c>
      <c r="I4171" s="17" t="n">
        <v>0.2</v>
      </c>
      <c r="J4171" s="18" t="n">
        <v>25.71</v>
      </c>
      <c r="K4171" s="19" t="n">
        <v>4.5</v>
      </c>
      <c r="L4171" s="15" t="n">
        <f aca="false">YEAR(B4171)</f>
        <v>2024</v>
      </c>
      <c r="M4171" s="20" t="n">
        <f aca="false">IF(J4171&gt;0,K4171/J4171,0)</f>
        <v>0.175029171528588</v>
      </c>
    </row>
    <row r="4172" customFormat="false" ht="15" hidden="false" customHeight="false" outlineLevel="0" collapsed="false">
      <c r="A4172" s="15" t="s">
        <v>4229</v>
      </c>
      <c r="B4172" s="16" t="n">
        <v>46000</v>
      </c>
      <c r="C4172" s="15" t="s">
        <v>56</v>
      </c>
      <c r="D4172" s="15" t="s">
        <v>42</v>
      </c>
      <c r="E4172" s="15" t="s">
        <v>36</v>
      </c>
      <c r="F4172" s="15" t="s">
        <v>16</v>
      </c>
      <c r="G4172" s="15" t="s">
        <v>25</v>
      </c>
      <c r="H4172" s="15" t="n">
        <v>4</v>
      </c>
      <c r="I4172" s="17" t="n">
        <v>0.2</v>
      </c>
      <c r="J4172" s="18" t="n">
        <v>733.34</v>
      </c>
      <c r="K4172" s="19" t="n">
        <v>-52.47</v>
      </c>
      <c r="L4172" s="15" t="n">
        <f aca="false">YEAR(B4172)</f>
        <v>2025</v>
      </c>
      <c r="M4172" s="20" t="n">
        <f aca="false">IF(J4172&gt;0,K4172/J4172,0)</f>
        <v>-0.0715493495513677</v>
      </c>
    </row>
    <row r="4173" customFormat="false" ht="15" hidden="false" customHeight="false" outlineLevel="0" collapsed="false">
      <c r="A4173" s="15" t="s">
        <v>4230</v>
      </c>
      <c r="B4173" s="16" t="n">
        <v>45008</v>
      </c>
      <c r="C4173" s="15" t="s">
        <v>56</v>
      </c>
      <c r="D4173" s="15" t="s">
        <v>43</v>
      </c>
      <c r="E4173" s="15" t="s">
        <v>38</v>
      </c>
      <c r="F4173" s="15" t="s">
        <v>17</v>
      </c>
      <c r="G4173" s="15" t="s">
        <v>29</v>
      </c>
      <c r="H4173" s="15" t="n">
        <v>4</v>
      </c>
      <c r="I4173" s="17" t="n">
        <v>0.1</v>
      </c>
      <c r="J4173" s="18" t="n">
        <v>66.3</v>
      </c>
      <c r="K4173" s="19" t="n">
        <v>19.81</v>
      </c>
      <c r="L4173" s="15" t="n">
        <f aca="false">YEAR(B4173)</f>
        <v>2023</v>
      </c>
      <c r="M4173" s="20" t="n">
        <f aca="false">IF(J4173&gt;0,K4173/J4173,0)</f>
        <v>0.298793363499246</v>
      </c>
    </row>
    <row r="4174" customFormat="false" ht="15" hidden="false" customHeight="false" outlineLevel="0" collapsed="false">
      <c r="A4174" s="15" t="s">
        <v>4231</v>
      </c>
      <c r="B4174" s="16" t="n">
        <v>45472</v>
      </c>
      <c r="C4174" s="15" t="s">
        <v>71</v>
      </c>
      <c r="D4174" s="15" t="s">
        <v>43</v>
      </c>
      <c r="E4174" s="15" t="s">
        <v>39</v>
      </c>
      <c r="F4174" s="15" t="s">
        <v>17</v>
      </c>
      <c r="G4174" s="15" t="s">
        <v>28</v>
      </c>
      <c r="H4174" s="15" t="n">
        <v>3</v>
      </c>
      <c r="I4174" s="17" t="n">
        <v>0</v>
      </c>
      <c r="J4174" s="18" t="n">
        <v>88.62</v>
      </c>
      <c r="K4174" s="19" t="n">
        <v>24.41</v>
      </c>
      <c r="L4174" s="15" t="n">
        <f aca="false">YEAR(B4174)</f>
        <v>2024</v>
      </c>
      <c r="M4174" s="20" t="n">
        <f aca="false">IF(J4174&gt;0,K4174/J4174,0)</f>
        <v>0.275445723313022</v>
      </c>
    </row>
    <row r="4175" customFormat="false" ht="15" hidden="false" customHeight="false" outlineLevel="0" collapsed="false">
      <c r="A4175" s="15" t="s">
        <v>4232</v>
      </c>
      <c r="B4175" s="16" t="n">
        <v>45861</v>
      </c>
      <c r="C4175" s="15" t="s">
        <v>56</v>
      </c>
      <c r="D4175" s="15" t="s">
        <v>42</v>
      </c>
      <c r="E4175" s="15" t="s">
        <v>39</v>
      </c>
      <c r="F4175" s="15" t="s">
        <v>17</v>
      </c>
      <c r="G4175" s="15" t="s">
        <v>29</v>
      </c>
      <c r="H4175" s="15" t="n">
        <v>4</v>
      </c>
      <c r="I4175" s="17" t="n">
        <v>0.3</v>
      </c>
      <c r="J4175" s="18" t="n">
        <v>57.97</v>
      </c>
      <c r="K4175" s="19" t="n">
        <v>6.54</v>
      </c>
      <c r="L4175" s="15" t="n">
        <f aca="false">YEAR(B4175)</f>
        <v>2025</v>
      </c>
      <c r="M4175" s="20" t="n">
        <f aca="false">IF(J4175&gt;0,K4175/J4175,0)</f>
        <v>0.11281697429705</v>
      </c>
    </row>
    <row r="4176" customFormat="false" ht="15" hidden="false" customHeight="false" outlineLevel="0" collapsed="false">
      <c r="A4176" s="15" t="s">
        <v>4233</v>
      </c>
      <c r="B4176" s="16" t="n">
        <v>45800</v>
      </c>
      <c r="C4176" s="15" t="s">
        <v>68</v>
      </c>
      <c r="D4176" s="15" t="s">
        <v>42</v>
      </c>
      <c r="E4176" s="15" t="s">
        <v>39</v>
      </c>
      <c r="F4176" s="15" t="s">
        <v>18</v>
      </c>
      <c r="G4176" s="15" t="s">
        <v>32</v>
      </c>
      <c r="H4176" s="15" t="n">
        <v>3</v>
      </c>
      <c r="I4176" s="17" t="n">
        <v>0.15</v>
      </c>
      <c r="J4176" s="18" t="n">
        <v>1219.35</v>
      </c>
      <c r="K4176" s="19" t="n">
        <v>70.57</v>
      </c>
      <c r="L4176" s="15" t="n">
        <f aca="false">YEAR(B4176)</f>
        <v>2025</v>
      </c>
      <c r="M4176" s="20" t="n">
        <f aca="false">IF(J4176&gt;0,K4176/J4176,0)</f>
        <v>0.0578750973879526</v>
      </c>
    </row>
    <row r="4177" customFormat="false" ht="15" hidden="false" customHeight="false" outlineLevel="0" collapsed="false">
      <c r="A4177" s="15" t="s">
        <v>4234</v>
      </c>
      <c r="B4177" s="16" t="n">
        <v>44794</v>
      </c>
      <c r="C4177" s="15" t="s">
        <v>56</v>
      </c>
      <c r="D4177" s="15" t="s">
        <v>43</v>
      </c>
      <c r="E4177" s="15" t="s">
        <v>39</v>
      </c>
      <c r="F4177" s="15" t="s">
        <v>18</v>
      </c>
      <c r="G4177" s="15" t="s">
        <v>30</v>
      </c>
      <c r="H4177" s="15" t="n">
        <v>8</v>
      </c>
      <c r="I4177" s="17" t="n">
        <v>0.15</v>
      </c>
      <c r="J4177" s="18" t="n">
        <v>287.58</v>
      </c>
      <c r="K4177" s="19" t="n">
        <v>35.05</v>
      </c>
      <c r="L4177" s="15" t="n">
        <f aca="false">YEAR(B4177)</f>
        <v>2022</v>
      </c>
      <c r="M4177" s="20" t="n">
        <f aca="false">IF(J4177&gt;0,K4177/J4177,0)</f>
        <v>0.121879129285764</v>
      </c>
    </row>
    <row r="4178" customFormat="false" ht="15" hidden="false" customHeight="false" outlineLevel="0" collapsed="false">
      <c r="A4178" s="15" t="s">
        <v>4235</v>
      </c>
      <c r="B4178" s="16" t="n">
        <v>45432</v>
      </c>
      <c r="C4178" s="15" t="s">
        <v>56</v>
      </c>
      <c r="D4178" s="15" t="s">
        <v>43</v>
      </c>
      <c r="E4178" s="15" t="s">
        <v>39</v>
      </c>
      <c r="F4178" s="15" t="s">
        <v>17</v>
      </c>
      <c r="G4178" s="15" t="s">
        <v>28</v>
      </c>
      <c r="H4178" s="15" t="n">
        <v>4</v>
      </c>
      <c r="I4178" s="17" t="n">
        <v>0.2</v>
      </c>
      <c r="J4178" s="18" t="n">
        <v>90.5</v>
      </c>
      <c r="K4178" s="19" t="n">
        <v>9.51</v>
      </c>
      <c r="L4178" s="15" t="n">
        <f aca="false">YEAR(B4178)</f>
        <v>2024</v>
      </c>
      <c r="M4178" s="20" t="n">
        <f aca="false">IF(J4178&gt;0,K4178/J4178,0)</f>
        <v>0.105082872928177</v>
      </c>
    </row>
    <row r="4179" customFormat="false" ht="15" hidden="false" customHeight="false" outlineLevel="0" collapsed="false">
      <c r="A4179" s="15" t="s">
        <v>4236</v>
      </c>
      <c r="B4179" s="16" t="n">
        <v>44788</v>
      </c>
      <c r="C4179" s="15" t="s">
        <v>56</v>
      </c>
      <c r="D4179" s="15" t="s">
        <v>42</v>
      </c>
      <c r="E4179" s="15" t="s">
        <v>39</v>
      </c>
      <c r="F4179" s="15" t="s">
        <v>18</v>
      </c>
      <c r="G4179" s="15" t="s">
        <v>24</v>
      </c>
      <c r="H4179" s="15" t="n">
        <v>6</v>
      </c>
      <c r="I4179" s="17" t="n">
        <v>0</v>
      </c>
      <c r="J4179" s="18" t="n">
        <v>4017.79</v>
      </c>
      <c r="K4179" s="19" t="n">
        <v>25.51</v>
      </c>
      <c r="L4179" s="15" t="n">
        <f aca="false">YEAR(B4179)</f>
        <v>2022</v>
      </c>
      <c r="M4179" s="20" t="n">
        <f aca="false">IF(J4179&gt;0,K4179/J4179,0)</f>
        <v>0.00634926165877261</v>
      </c>
    </row>
    <row r="4180" customFormat="false" ht="15" hidden="false" customHeight="false" outlineLevel="0" collapsed="false">
      <c r="A4180" s="15" t="s">
        <v>4237</v>
      </c>
      <c r="B4180" s="16" t="n">
        <v>45043</v>
      </c>
      <c r="C4180" s="15" t="s">
        <v>56</v>
      </c>
      <c r="D4180" s="15" t="s">
        <v>42</v>
      </c>
      <c r="E4180" s="15" t="s">
        <v>39</v>
      </c>
      <c r="F4180" s="15" t="s">
        <v>17</v>
      </c>
      <c r="G4180" s="15" t="s">
        <v>29</v>
      </c>
      <c r="H4180" s="15" t="n">
        <v>6</v>
      </c>
      <c r="I4180" s="17" t="n">
        <v>0.4</v>
      </c>
      <c r="J4180" s="18" t="n">
        <v>80.92</v>
      </c>
      <c r="K4180" s="19" t="n">
        <v>0.86</v>
      </c>
      <c r="L4180" s="15" t="n">
        <f aca="false">YEAR(B4180)</f>
        <v>2023</v>
      </c>
      <c r="M4180" s="20" t="n">
        <f aca="false">IF(J4180&gt;0,K4180/J4180,0)</f>
        <v>0.0106277805239743</v>
      </c>
    </row>
    <row r="4181" customFormat="false" ht="15" hidden="false" customHeight="false" outlineLevel="0" collapsed="false">
      <c r="A4181" s="15" t="s">
        <v>4238</v>
      </c>
      <c r="B4181" s="16" t="n">
        <v>45189</v>
      </c>
      <c r="C4181" s="15" t="s">
        <v>68</v>
      </c>
      <c r="D4181" s="15" t="s">
        <v>43</v>
      </c>
      <c r="E4181" s="15" t="s">
        <v>39</v>
      </c>
      <c r="F4181" s="15" t="s">
        <v>17</v>
      </c>
      <c r="G4181" s="15" t="s">
        <v>28</v>
      </c>
      <c r="H4181" s="15" t="n">
        <v>6</v>
      </c>
      <c r="I4181" s="17" t="n">
        <v>0.1</v>
      </c>
      <c r="J4181" s="18" t="n">
        <v>155.6</v>
      </c>
      <c r="K4181" s="19" t="n">
        <v>37.94</v>
      </c>
      <c r="L4181" s="15" t="n">
        <f aca="false">YEAR(B4181)</f>
        <v>2023</v>
      </c>
      <c r="M4181" s="20" t="n">
        <f aca="false">IF(J4181&gt;0,K4181/J4181,0)</f>
        <v>0.243830334190231</v>
      </c>
    </row>
    <row r="4182" customFormat="false" ht="15" hidden="false" customHeight="false" outlineLevel="0" collapsed="false">
      <c r="A4182" s="15" t="s">
        <v>4239</v>
      </c>
      <c r="B4182" s="16" t="n">
        <v>45279</v>
      </c>
      <c r="C4182" s="15" t="s">
        <v>71</v>
      </c>
      <c r="D4182" s="15" t="s">
        <v>42</v>
      </c>
      <c r="E4182" s="15" t="s">
        <v>36</v>
      </c>
      <c r="F4182" s="15" t="s">
        <v>16</v>
      </c>
      <c r="G4182" s="15" t="s">
        <v>22</v>
      </c>
      <c r="H4182" s="15" t="n">
        <v>2</v>
      </c>
      <c r="I4182" s="17" t="n">
        <v>0.15</v>
      </c>
      <c r="J4182" s="18" t="n">
        <v>864.02</v>
      </c>
      <c r="K4182" s="19" t="n">
        <v>-173</v>
      </c>
      <c r="L4182" s="15" t="n">
        <f aca="false">YEAR(B4182)</f>
        <v>2023</v>
      </c>
      <c r="M4182" s="20" t="n">
        <f aca="false">IF(J4182&gt;0,K4182/J4182,0)</f>
        <v>-0.200226846600773</v>
      </c>
    </row>
    <row r="4183" customFormat="false" ht="15" hidden="false" customHeight="false" outlineLevel="0" collapsed="false">
      <c r="A4183" s="15" t="s">
        <v>4240</v>
      </c>
      <c r="B4183" s="16" t="n">
        <v>45978</v>
      </c>
      <c r="C4183" s="15" t="s">
        <v>71</v>
      </c>
      <c r="D4183" s="15" t="s">
        <v>42</v>
      </c>
      <c r="E4183" s="15" t="s">
        <v>39</v>
      </c>
      <c r="F4183" s="15" t="s">
        <v>17</v>
      </c>
      <c r="G4183" s="15" t="s">
        <v>29</v>
      </c>
      <c r="H4183" s="15" t="n">
        <v>1</v>
      </c>
      <c r="I4183" s="17" t="n">
        <v>0.05</v>
      </c>
      <c r="J4183" s="18" t="n">
        <v>19.8</v>
      </c>
      <c r="K4183" s="19" t="n">
        <v>7.26</v>
      </c>
      <c r="L4183" s="15" t="n">
        <f aca="false">YEAR(B4183)</f>
        <v>2025</v>
      </c>
      <c r="M4183" s="20" t="n">
        <f aca="false">IF(J4183&gt;0,K4183/J4183,0)</f>
        <v>0.366666666666667</v>
      </c>
    </row>
    <row r="4184" customFormat="false" ht="15" hidden="false" customHeight="false" outlineLevel="0" collapsed="false">
      <c r="A4184" s="15" t="s">
        <v>4241</v>
      </c>
      <c r="B4184" s="16" t="n">
        <v>45537</v>
      </c>
      <c r="C4184" s="15" t="s">
        <v>56</v>
      </c>
      <c r="D4184" s="15" t="s">
        <v>42</v>
      </c>
      <c r="E4184" s="15" t="s">
        <v>38</v>
      </c>
      <c r="F4184" s="15" t="s">
        <v>16</v>
      </c>
      <c r="G4184" s="15" t="s">
        <v>27</v>
      </c>
      <c r="H4184" s="15" t="n">
        <v>4</v>
      </c>
      <c r="I4184" s="17" t="n">
        <v>0</v>
      </c>
      <c r="J4184" s="18" t="n">
        <v>210.47</v>
      </c>
      <c r="K4184" s="19" t="n">
        <v>50.06</v>
      </c>
      <c r="L4184" s="15" t="n">
        <f aca="false">YEAR(B4184)</f>
        <v>2024</v>
      </c>
      <c r="M4184" s="20" t="n">
        <f aca="false">IF(J4184&gt;0,K4184/J4184,0)</f>
        <v>0.237848624507056</v>
      </c>
    </row>
    <row r="4185" customFormat="false" ht="15" hidden="false" customHeight="false" outlineLevel="0" collapsed="false">
      <c r="A4185" s="15" t="s">
        <v>4242</v>
      </c>
      <c r="B4185" s="16" t="n">
        <v>45444</v>
      </c>
      <c r="C4185" s="15" t="s">
        <v>56</v>
      </c>
      <c r="D4185" s="15" t="s">
        <v>42</v>
      </c>
      <c r="E4185" s="15" t="s">
        <v>38</v>
      </c>
      <c r="F4185" s="15" t="s">
        <v>17</v>
      </c>
      <c r="G4185" s="15" t="s">
        <v>28</v>
      </c>
      <c r="H4185" s="15" t="n">
        <v>3</v>
      </c>
      <c r="I4185" s="17" t="n">
        <v>0</v>
      </c>
      <c r="J4185" s="18" t="n">
        <v>79.48</v>
      </c>
      <c r="K4185" s="19" t="n">
        <v>22.74</v>
      </c>
      <c r="L4185" s="15" t="n">
        <f aca="false">YEAR(B4185)</f>
        <v>2024</v>
      </c>
      <c r="M4185" s="20" t="n">
        <f aca="false">IF(J4185&gt;0,K4185/J4185,0)</f>
        <v>0.28610971313538</v>
      </c>
    </row>
    <row r="4186" customFormat="false" ht="15" hidden="false" customHeight="false" outlineLevel="0" collapsed="false">
      <c r="A4186" s="15" t="s">
        <v>4243</v>
      </c>
      <c r="B4186" s="16" t="n">
        <v>45115</v>
      </c>
      <c r="C4186" s="15" t="s">
        <v>56</v>
      </c>
      <c r="D4186" s="15" t="s">
        <v>42</v>
      </c>
      <c r="E4186" s="15" t="s">
        <v>37</v>
      </c>
      <c r="F4186" s="15" t="s">
        <v>18</v>
      </c>
      <c r="G4186" s="15" t="s">
        <v>30</v>
      </c>
      <c r="H4186" s="15" t="n">
        <v>2</v>
      </c>
      <c r="I4186" s="17" t="n">
        <v>0</v>
      </c>
      <c r="J4186" s="18" t="n">
        <v>78.81</v>
      </c>
      <c r="K4186" s="19" t="n">
        <v>22.74</v>
      </c>
      <c r="L4186" s="15" t="n">
        <f aca="false">YEAR(B4186)</f>
        <v>2023</v>
      </c>
      <c r="M4186" s="20" t="n">
        <f aca="false">IF(J4186&gt;0,K4186/J4186,0)</f>
        <v>0.28854206318995</v>
      </c>
    </row>
    <row r="4187" customFormat="false" ht="15" hidden="false" customHeight="false" outlineLevel="0" collapsed="false">
      <c r="A4187" s="15" t="s">
        <v>4244</v>
      </c>
      <c r="B4187" s="16" t="n">
        <v>44789</v>
      </c>
      <c r="C4187" s="15" t="s">
        <v>56</v>
      </c>
      <c r="D4187" s="15" t="s">
        <v>42</v>
      </c>
      <c r="E4187" s="15" t="s">
        <v>37</v>
      </c>
      <c r="F4187" s="15" t="s">
        <v>16</v>
      </c>
      <c r="G4187" s="15" t="s">
        <v>22</v>
      </c>
      <c r="H4187" s="15" t="n">
        <v>9</v>
      </c>
      <c r="I4187" s="17" t="n">
        <v>0.3</v>
      </c>
      <c r="J4187" s="18" t="n">
        <v>2913.67</v>
      </c>
      <c r="K4187" s="19" t="n">
        <v>-886.89</v>
      </c>
      <c r="L4187" s="15" t="n">
        <f aca="false">YEAR(B4187)</f>
        <v>2022</v>
      </c>
      <c r="M4187" s="20" t="n">
        <f aca="false">IF(J4187&gt;0,K4187/J4187,0)</f>
        <v>-0.304389309702197</v>
      </c>
    </row>
    <row r="4188" customFormat="false" ht="15" hidden="false" customHeight="false" outlineLevel="0" collapsed="false">
      <c r="A4188" s="15" t="s">
        <v>4245</v>
      </c>
      <c r="B4188" s="16" t="n">
        <v>45896</v>
      </c>
      <c r="C4188" s="15" t="s">
        <v>56</v>
      </c>
      <c r="D4188" s="15" t="s">
        <v>42</v>
      </c>
      <c r="E4188" s="15" t="s">
        <v>36</v>
      </c>
      <c r="F4188" s="15" t="s">
        <v>17</v>
      </c>
      <c r="G4188" s="15" t="s">
        <v>26</v>
      </c>
      <c r="H4188" s="15" t="n">
        <v>2</v>
      </c>
      <c r="I4188" s="17" t="n">
        <v>0.05</v>
      </c>
      <c r="J4188" s="18" t="n">
        <v>147.8</v>
      </c>
      <c r="K4188" s="19" t="n">
        <v>7.42</v>
      </c>
      <c r="L4188" s="15" t="n">
        <f aca="false">YEAR(B4188)</f>
        <v>2025</v>
      </c>
      <c r="M4188" s="20" t="n">
        <f aca="false">IF(J4188&gt;0,K4188/J4188,0)</f>
        <v>0.0502029769959405</v>
      </c>
    </row>
    <row r="4189" customFormat="false" ht="15" hidden="false" customHeight="false" outlineLevel="0" collapsed="false">
      <c r="A4189" s="15" t="s">
        <v>4246</v>
      </c>
      <c r="B4189" s="16" t="n">
        <v>45937</v>
      </c>
      <c r="C4189" s="15" t="s">
        <v>58</v>
      </c>
      <c r="D4189" s="15" t="s">
        <v>43</v>
      </c>
      <c r="E4189" s="15" t="s">
        <v>37</v>
      </c>
      <c r="F4189" s="15" t="s">
        <v>17</v>
      </c>
      <c r="G4189" s="15" t="s">
        <v>29</v>
      </c>
      <c r="H4189" s="15" t="n">
        <v>2</v>
      </c>
      <c r="I4189" s="17" t="n">
        <v>0.05</v>
      </c>
      <c r="J4189" s="18" t="n">
        <v>40.25</v>
      </c>
      <c r="K4189" s="19" t="n">
        <v>12.44</v>
      </c>
      <c r="L4189" s="15" t="n">
        <f aca="false">YEAR(B4189)</f>
        <v>2025</v>
      </c>
      <c r="M4189" s="20" t="n">
        <f aca="false">IF(J4189&gt;0,K4189/J4189,0)</f>
        <v>0.309068322981366</v>
      </c>
    </row>
    <row r="4190" customFormat="false" ht="15" hidden="false" customHeight="false" outlineLevel="0" collapsed="false">
      <c r="A4190" s="15" t="s">
        <v>4247</v>
      </c>
      <c r="B4190" s="16" t="n">
        <v>45840</v>
      </c>
      <c r="C4190" s="15" t="s">
        <v>58</v>
      </c>
      <c r="D4190" s="15" t="s">
        <v>42</v>
      </c>
      <c r="E4190" s="15" t="s">
        <v>39</v>
      </c>
      <c r="F4190" s="15" t="s">
        <v>17</v>
      </c>
      <c r="G4190" s="15" t="s">
        <v>28</v>
      </c>
      <c r="H4190" s="15" t="n">
        <v>2</v>
      </c>
      <c r="I4190" s="17" t="n">
        <v>0</v>
      </c>
      <c r="J4190" s="18" t="n">
        <v>53.33</v>
      </c>
      <c r="K4190" s="19" t="n">
        <v>17.49</v>
      </c>
      <c r="L4190" s="15" t="n">
        <f aca="false">YEAR(B4190)</f>
        <v>2025</v>
      </c>
      <c r="M4190" s="20" t="n">
        <f aca="false">IF(J4190&gt;0,K4190/J4190,0)</f>
        <v>0.327957997374836</v>
      </c>
    </row>
    <row r="4191" customFormat="false" ht="15" hidden="false" customHeight="false" outlineLevel="0" collapsed="false">
      <c r="A4191" s="15" t="s">
        <v>4248</v>
      </c>
      <c r="B4191" s="16" t="n">
        <v>45315</v>
      </c>
      <c r="C4191" s="15" t="s">
        <v>71</v>
      </c>
      <c r="D4191" s="15" t="s">
        <v>42</v>
      </c>
      <c r="E4191" s="15" t="s">
        <v>36</v>
      </c>
      <c r="F4191" s="15" t="s">
        <v>17</v>
      </c>
      <c r="G4191" s="15" t="s">
        <v>26</v>
      </c>
      <c r="H4191" s="15" t="n">
        <v>3</v>
      </c>
      <c r="I4191" s="17" t="n">
        <v>0</v>
      </c>
      <c r="J4191" s="18" t="n">
        <v>261.91</v>
      </c>
      <c r="K4191" s="19" t="n">
        <v>35.92</v>
      </c>
      <c r="L4191" s="15" t="n">
        <f aca="false">YEAR(B4191)</f>
        <v>2024</v>
      </c>
      <c r="M4191" s="20" t="n">
        <f aca="false">IF(J4191&gt;0,K4191/J4191,0)</f>
        <v>0.137146347982131</v>
      </c>
    </row>
    <row r="4192" customFormat="false" ht="15" hidden="false" customHeight="false" outlineLevel="0" collapsed="false">
      <c r="A4192" s="15" t="s">
        <v>4249</v>
      </c>
      <c r="B4192" s="16" t="n">
        <v>45797</v>
      </c>
      <c r="C4192" s="15" t="s">
        <v>68</v>
      </c>
      <c r="D4192" s="15" t="s">
        <v>42</v>
      </c>
      <c r="E4192" s="15" t="s">
        <v>39</v>
      </c>
      <c r="F4192" s="15" t="s">
        <v>16</v>
      </c>
      <c r="G4192" s="15" t="s">
        <v>25</v>
      </c>
      <c r="H4192" s="15" t="n">
        <v>4</v>
      </c>
      <c r="I4192" s="17" t="n">
        <v>0</v>
      </c>
      <c r="J4192" s="18" t="n">
        <v>1241.53</v>
      </c>
      <c r="K4192" s="19" t="n">
        <v>94.22</v>
      </c>
      <c r="L4192" s="15" t="n">
        <f aca="false">YEAR(B4192)</f>
        <v>2025</v>
      </c>
      <c r="M4192" s="20" t="n">
        <f aca="false">IF(J4192&gt;0,K4192/J4192,0)</f>
        <v>0.0758902322134785</v>
      </c>
    </row>
    <row r="4193" customFormat="false" ht="15" hidden="false" customHeight="false" outlineLevel="0" collapsed="false">
      <c r="A4193" s="15" t="s">
        <v>4250</v>
      </c>
      <c r="B4193" s="16" t="n">
        <v>45195</v>
      </c>
      <c r="C4193" s="15" t="s">
        <v>56</v>
      </c>
      <c r="D4193" s="15" t="s">
        <v>44</v>
      </c>
      <c r="E4193" s="15" t="s">
        <v>39</v>
      </c>
      <c r="F4193" s="15" t="s">
        <v>17</v>
      </c>
      <c r="G4193" s="15" t="s">
        <v>26</v>
      </c>
      <c r="H4193" s="15" t="n">
        <v>3</v>
      </c>
      <c r="I4193" s="17" t="n">
        <v>0</v>
      </c>
      <c r="J4193" s="18" t="n">
        <v>260.98</v>
      </c>
      <c r="K4193" s="19" t="n">
        <v>30.01</v>
      </c>
      <c r="L4193" s="15" t="n">
        <f aca="false">YEAR(B4193)</f>
        <v>2023</v>
      </c>
      <c r="M4193" s="20" t="n">
        <f aca="false">IF(J4193&gt;0,K4193/J4193,0)</f>
        <v>0.114989654379646</v>
      </c>
    </row>
    <row r="4194" customFormat="false" ht="15" hidden="false" customHeight="false" outlineLevel="0" collapsed="false">
      <c r="A4194" s="15" t="s">
        <v>4251</v>
      </c>
      <c r="B4194" s="16" t="n">
        <v>45097</v>
      </c>
      <c r="C4194" s="15" t="s">
        <v>56</v>
      </c>
      <c r="D4194" s="15" t="s">
        <v>42</v>
      </c>
      <c r="E4194" s="15" t="s">
        <v>38</v>
      </c>
      <c r="F4194" s="15" t="s">
        <v>18</v>
      </c>
      <c r="G4194" s="15" t="s">
        <v>33</v>
      </c>
      <c r="H4194" s="15" t="n">
        <v>4</v>
      </c>
      <c r="I4194" s="17" t="n">
        <v>0.1</v>
      </c>
      <c r="J4194" s="18" t="n">
        <v>2715.39</v>
      </c>
      <c r="K4194" s="19" t="n">
        <v>558.04</v>
      </c>
      <c r="L4194" s="15" t="n">
        <f aca="false">YEAR(B4194)</f>
        <v>2023</v>
      </c>
      <c r="M4194" s="20" t="n">
        <f aca="false">IF(J4194&gt;0,K4194/J4194,0)</f>
        <v>0.205510074059343</v>
      </c>
    </row>
    <row r="4195" customFormat="false" ht="15" hidden="false" customHeight="false" outlineLevel="0" collapsed="false">
      <c r="A4195" s="15" t="s">
        <v>4252</v>
      </c>
      <c r="B4195" s="16" t="n">
        <v>45553</v>
      </c>
      <c r="C4195" s="15" t="s">
        <v>56</v>
      </c>
      <c r="D4195" s="15" t="s">
        <v>44</v>
      </c>
      <c r="E4195" s="15" t="s">
        <v>39</v>
      </c>
      <c r="F4195" s="15" t="s">
        <v>18</v>
      </c>
      <c r="G4195" s="15" t="s">
        <v>32</v>
      </c>
      <c r="H4195" s="15" t="n">
        <v>2</v>
      </c>
      <c r="I4195" s="17" t="n">
        <v>0</v>
      </c>
      <c r="J4195" s="18" t="n">
        <v>972.52</v>
      </c>
      <c r="K4195" s="19" t="n">
        <v>257.49</v>
      </c>
      <c r="L4195" s="15" t="n">
        <f aca="false">YEAR(B4195)</f>
        <v>2024</v>
      </c>
      <c r="M4195" s="20" t="n">
        <f aca="false">IF(J4195&gt;0,K4195/J4195,0)</f>
        <v>0.264765763171966</v>
      </c>
    </row>
    <row r="4196" customFormat="false" ht="15" hidden="false" customHeight="false" outlineLevel="0" collapsed="false">
      <c r="A4196" s="15" t="s">
        <v>4253</v>
      </c>
      <c r="B4196" s="16" t="n">
        <v>44855</v>
      </c>
      <c r="C4196" s="15" t="s">
        <v>68</v>
      </c>
      <c r="D4196" s="15" t="s">
        <v>42</v>
      </c>
      <c r="E4196" s="15" t="s">
        <v>39</v>
      </c>
      <c r="F4196" s="15" t="s">
        <v>16</v>
      </c>
      <c r="G4196" s="15" t="s">
        <v>27</v>
      </c>
      <c r="H4196" s="15" t="n">
        <v>3</v>
      </c>
      <c r="I4196" s="17" t="n">
        <v>0.15</v>
      </c>
      <c r="J4196" s="18" t="n">
        <v>136.37</v>
      </c>
      <c r="K4196" s="19" t="n">
        <v>17.78</v>
      </c>
      <c r="L4196" s="15" t="n">
        <f aca="false">YEAR(B4196)</f>
        <v>2022</v>
      </c>
      <c r="M4196" s="20" t="n">
        <f aca="false">IF(J4196&gt;0,K4196/J4196,0)</f>
        <v>0.130380582239496</v>
      </c>
    </row>
    <row r="4197" customFormat="false" ht="15" hidden="false" customHeight="false" outlineLevel="0" collapsed="false">
      <c r="A4197" s="15" t="s">
        <v>4254</v>
      </c>
      <c r="B4197" s="16" t="n">
        <v>46017</v>
      </c>
      <c r="C4197" s="15" t="s">
        <v>56</v>
      </c>
      <c r="D4197" s="15" t="s">
        <v>43</v>
      </c>
      <c r="E4197" s="15" t="s">
        <v>37</v>
      </c>
      <c r="F4197" s="15" t="s">
        <v>18</v>
      </c>
      <c r="G4197" s="15" t="s">
        <v>30</v>
      </c>
      <c r="H4197" s="15" t="n">
        <v>3</v>
      </c>
      <c r="I4197" s="17" t="n">
        <v>0.4</v>
      </c>
      <c r="J4197" s="18" t="n">
        <v>116.51</v>
      </c>
      <c r="K4197" s="19" t="n">
        <v>3.59</v>
      </c>
      <c r="L4197" s="15" t="n">
        <f aca="false">YEAR(B4197)</f>
        <v>2025</v>
      </c>
      <c r="M4197" s="20" t="n">
        <f aca="false">IF(J4197&gt;0,K4197/J4197,0)</f>
        <v>0.0308128057677453</v>
      </c>
    </row>
    <row r="4198" customFormat="false" ht="15" hidden="false" customHeight="false" outlineLevel="0" collapsed="false">
      <c r="A4198" s="15" t="s">
        <v>4255</v>
      </c>
      <c r="B4198" s="16" t="n">
        <v>45511</v>
      </c>
      <c r="C4198" s="15" t="s">
        <v>56</v>
      </c>
      <c r="D4198" s="15" t="s">
        <v>42</v>
      </c>
      <c r="E4198" s="15" t="s">
        <v>39</v>
      </c>
      <c r="F4198" s="15" t="s">
        <v>17</v>
      </c>
      <c r="G4198" s="15" t="s">
        <v>31</v>
      </c>
      <c r="H4198" s="15" t="n">
        <v>4</v>
      </c>
      <c r="I4198" s="17" t="n">
        <v>0</v>
      </c>
      <c r="J4198" s="18" t="n">
        <v>577.04</v>
      </c>
      <c r="K4198" s="19" t="n">
        <v>116</v>
      </c>
      <c r="L4198" s="15" t="n">
        <f aca="false">YEAR(B4198)</f>
        <v>2024</v>
      </c>
      <c r="M4198" s="20" t="n">
        <f aca="false">IF(J4198&gt;0,K4198/J4198,0)</f>
        <v>0.20102592541245</v>
      </c>
    </row>
    <row r="4199" customFormat="false" ht="15" hidden="false" customHeight="false" outlineLevel="0" collapsed="false">
      <c r="A4199" s="15" t="s">
        <v>4256</v>
      </c>
      <c r="B4199" s="16" t="n">
        <v>45666</v>
      </c>
      <c r="C4199" s="15" t="s">
        <v>68</v>
      </c>
      <c r="D4199" s="15" t="s">
        <v>42</v>
      </c>
      <c r="E4199" s="15" t="s">
        <v>36</v>
      </c>
      <c r="F4199" s="15" t="s">
        <v>16</v>
      </c>
      <c r="G4199" s="15" t="s">
        <v>22</v>
      </c>
      <c r="H4199" s="15" t="n">
        <v>3</v>
      </c>
      <c r="I4199" s="17" t="n">
        <v>0</v>
      </c>
      <c r="J4199" s="18" t="n">
        <v>1574.75</v>
      </c>
      <c r="K4199" s="19" t="n">
        <v>-29.11</v>
      </c>
      <c r="L4199" s="15" t="n">
        <f aca="false">YEAR(B4199)</f>
        <v>2025</v>
      </c>
      <c r="M4199" s="20" t="n">
        <f aca="false">IF(J4199&gt;0,K4199/J4199,0)</f>
        <v>-0.0184854738847436</v>
      </c>
    </row>
    <row r="4200" customFormat="false" ht="15" hidden="false" customHeight="false" outlineLevel="0" collapsed="false">
      <c r="A4200" s="15" t="s">
        <v>4257</v>
      </c>
      <c r="B4200" s="16" t="n">
        <v>45671</v>
      </c>
      <c r="C4200" s="15" t="s">
        <v>56</v>
      </c>
      <c r="D4200" s="15" t="s">
        <v>42</v>
      </c>
      <c r="E4200" s="15" t="s">
        <v>39</v>
      </c>
      <c r="F4200" s="15" t="s">
        <v>17</v>
      </c>
      <c r="G4200" s="15" t="s">
        <v>26</v>
      </c>
      <c r="H4200" s="15" t="n">
        <v>4</v>
      </c>
      <c r="I4200" s="17" t="n">
        <v>0.15</v>
      </c>
      <c r="J4200" s="18" t="n">
        <v>238.32</v>
      </c>
      <c r="K4200" s="19" t="n">
        <v>-6.85</v>
      </c>
      <c r="L4200" s="15" t="n">
        <f aca="false">YEAR(B4200)</f>
        <v>2025</v>
      </c>
      <c r="M4200" s="20" t="n">
        <f aca="false">IF(J4200&gt;0,K4200/J4200,0)</f>
        <v>-0.0287428667338033</v>
      </c>
    </row>
    <row r="4201" customFormat="false" ht="15" hidden="false" customHeight="false" outlineLevel="0" collapsed="false">
      <c r="A4201" s="15" t="s">
        <v>4258</v>
      </c>
      <c r="B4201" s="16" t="n">
        <v>45231</v>
      </c>
      <c r="C4201" s="15" t="s">
        <v>56</v>
      </c>
      <c r="D4201" s="15" t="s">
        <v>43</v>
      </c>
      <c r="E4201" s="15" t="s">
        <v>39</v>
      </c>
      <c r="F4201" s="15" t="s">
        <v>17</v>
      </c>
      <c r="G4201" s="15" t="s">
        <v>29</v>
      </c>
      <c r="H4201" s="15" t="n">
        <v>3</v>
      </c>
      <c r="I4201" s="17" t="n">
        <v>0.2</v>
      </c>
      <c r="J4201" s="18" t="n">
        <v>43.31</v>
      </c>
      <c r="K4201" s="19" t="n">
        <v>7.48</v>
      </c>
      <c r="L4201" s="15" t="n">
        <f aca="false">YEAR(B4201)</f>
        <v>2023</v>
      </c>
      <c r="M4201" s="20" t="n">
        <f aca="false">IF(J4201&gt;0,K4201/J4201,0)</f>
        <v>0.172708381436158</v>
      </c>
    </row>
    <row r="4202" customFormat="false" ht="15" hidden="false" customHeight="false" outlineLevel="0" collapsed="false">
      <c r="A4202" s="15" t="s">
        <v>4259</v>
      </c>
      <c r="B4202" s="16" t="n">
        <v>45235</v>
      </c>
      <c r="C4202" s="15" t="s">
        <v>56</v>
      </c>
      <c r="D4202" s="15" t="s">
        <v>42</v>
      </c>
      <c r="E4202" s="15" t="s">
        <v>39</v>
      </c>
      <c r="F4202" s="15" t="s">
        <v>18</v>
      </c>
      <c r="G4202" s="15" t="s">
        <v>32</v>
      </c>
      <c r="H4202" s="15" t="n">
        <v>3</v>
      </c>
      <c r="I4202" s="17" t="n">
        <v>0</v>
      </c>
      <c r="J4202" s="18" t="n">
        <v>1296.58</v>
      </c>
      <c r="K4202" s="19" t="n">
        <v>281.38</v>
      </c>
      <c r="L4202" s="15" t="n">
        <f aca="false">YEAR(B4202)</f>
        <v>2023</v>
      </c>
      <c r="M4202" s="20" t="n">
        <f aca="false">IF(J4202&gt;0,K4202/J4202,0)</f>
        <v>0.217017075691434</v>
      </c>
    </row>
    <row r="4203" customFormat="false" ht="15" hidden="false" customHeight="false" outlineLevel="0" collapsed="false">
      <c r="A4203" s="15" t="s">
        <v>4260</v>
      </c>
      <c r="B4203" s="16" t="n">
        <v>45060</v>
      </c>
      <c r="C4203" s="15" t="s">
        <v>56</v>
      </c>
      <c r="D4203" s="15" t="s">
        <v>42</v>
      </c>
      <c r="E4203" s="15" t="s">
        <v>36</v>
      </c>
      <c r="F4203" s="15" t="s">
        <v>17</v>
      </c>
      <c r="G4203" s="15" t="s">
        <v>26</v>
      </c>
      <c r="H4203" s="15" t="n">
        <v>6</v>
      </c>
      <c r="I4203" s="17" t="n">
        <v>0</v>
      </c>
      <c r="J4203" s="18" t="n">
        <v>450.68</v>
      </c>
      <c r="K4203" s="19" t="n">
        <v>68.28</v>
      </c>
      <c r="L4203" s="15" t="n">
        <f aca="false">YEAR(B4203)</f>
        <v>2023</v>
      </c>
      <c r="M4203" s="20" t="n">
        <f aca="false">IF(J4203&gt;0,K4203/J4203,0)</f>
        <v>0.151504393361143</v>
      </c>
    </row>
    <row r="4204" customFormat="false" ht="15" hidden="false" customHeight="false" outlineLevel="0" collapsed="false">
      <c r="A4204" s="15" t="s">
        <v>4261</v>
      </c>
      <c r="B4204" s="16" t="n">
        <v>45868</v>
      </c>
      <c r="C4204" s="15" t="s">
        <v>56</v>
      </c>
      <c r="D4204" s="15" t="s">
        <v>44</v>
      </c>
      <c r="E4204" s="15" t="s">
        <v>38</v>
      </c>
      <c r="F4204" s="15" t="s">
        <v>17</v>
      </c>
      <c r="G4204" s="15" t="s">
        <v>28</v>
      </c>
      <c r="H4204" s="15" t="n">
        <v>4</v>
      </c>
      <c r="I4204" s="17" t="n">
        <v>0.15</v>
      </c>
      <c r="J4204" s="18" t="n">
        <v>75.01</v>
      </c>
      <c r="K4204" s="19" t="n">
        <v>16.28</v>
      </c>
      <c r="L4204" s="15" t="n">
        <f aca="false">YEAR(B4204)</f>
        <v>2025</v>
      </c>
      <c r="M4204" s="20" t="n">
        <f aca="false">IF(J4204&gt;0,K4204/J4204,0)</f>
        <v>0.217037728302893</v>
      </c>
    </row>
    <row r="4205" customFormat="false" ht="15" hidden="false" customHeight="false" outlineLevel="0" collapsed="false">
      <c r="A4205" s="15" t="s">
        <v>4262</v>
      </c>
      <c r="B4205" s="16" t="n">
        <v>45680</v>
      </c>
      <c r="C4205" s="15" t="s">
        <v>56</v>
      </c>
      <c r="D4205" s="15" t="s">
        <v>43</v>
      </c>
      <c r="E4205" s="15" t="s">
        <v>36</v>
      </c>
      <c r="F4205" s="15" t="s">
        <v>17</v>
      </c>
      <c r="G4205" s="15" t="s">
        <v>28</v>
      </c>
      <c r="H4205" s="15" t="n">
        <v>3</v>
      </c>
      <c r="I4205" s="17" t="n">
        <v>0.1</v>
      </c>
      <c r="J4205" s="18" t="n">
        <v>66.2</v>
      </c>
      <c r="K4205" s="19" t="n">
        <v>14.03</v>
      </c>
      <c r="L4205" s="15" t="n">
        <f aca="false">YEAR(B4205)</f>
        <v>2025</v>
      </c>
      <c r="M4205" s="20" t="n">
        <f aca="false">IF(J4205&gt;0,K4205/J4205,0)</f>
        <v>0.211933534743202</v>
      </c>
    </row>
    <row r="4206" customFormat="false" ht="15" hidden="false" customHeight="false" outlineLevel="0" collapsed="false">
      <c r="A4206" s="15" t="s">
        <v>4263</v>
      </c>
      <c r="B4206" s="16" t="n">
        <v>45611</v>
      </c>
      <c r="C4206" s="15" t="s">
        <v>56</v>
      </c>
      <c r="D4206" s="15" t="s">
        <v>43</v>
      </c>
      <c r="E4206" s="15" t="s">
        <v>37</v>
      </c>
      <c r="F4206" s="15" t="s">
        <v>18</v>
      </c>
      <c r="G4206" s="15" t="s">
        <v>30</v>
      </c>
      <c r="H4206" s="15" t="n">
        <v>5</v>
      </c>
      <c r="I4206" s="17" t="n">
        <v>0.2</v>
      </c>
      <c r="J4206" s="18" t="n">
        <v>191.71</v>
      </c>
      <c r="K4206" s="19" t="n">
        <v>44.49</v>
      </c>
      <c r="L4206" s="15" t="n">
        <f aca="false">YEAR(B4206)</f>
        <v>2024</v>
      </c>
      <c r="M4206" s="20" t="n">
        <f aca="false">IF(J4206&gt;0,K4206/J4206,0)</f>
        <v>0.232069271295185</v>
      </c>
    </row>
    <row r="4207" customFormat="false" ht="15" hidden="false" customHeight="false" outlineLevel="0" collapsed="false">
      <c r="A4207" s="15" t="s">
        <v>4264</v>
      </c>
      <c r="B4207" s="16" t="n">
        <v>45363</v>
      </c>
      <c r="C4207" s="15" t="s">
        <v>71</v>
      </c>
      <c r="D4207" s="15" t="s">
        <v>43</v>
      </c>
      <c r="E4207" s="15" t="s">
        <v>39</v>
      </c>
      <c r="F4207" s="15" t="s">
        <v>17</v>
      </c>
      <c r="G4207" s="15" t="s">
        <v>29</v>
      </c>
      <c r="H4207" s="15" t="n">
        <v>2</v>
      </c>
      <c r="I4207" s="17" t="n">
        <v>0</v>
      </c>
      <c r="J4207" s="18" t="n">
        <v>37.64</v>
      </c>
      <c r="K4207" s="19" t="n">
        <v>13.05</v>
      </c>
      <c r="L4207" s="15" t="n">
        <f aca="false">YEAR(B4207)</f>
        <v>2024</v>
      </c>
      <c r="M4207" s="20" t="n">
        <f aca="false">IF(J4207&gt;0,K4207/J4207,0)</f>
        <v>0.346705632306057</v>
      </c>
    </row>
    <row r="4208" customFormat="false" ht="15" hidden="false" customHeight="false" outlineLevel="0" collapsed="false">
      <c r="A4208" s="15" t="s">
        <v>4265</v>
      </c>
      <c r="B4208" s="16" t="n">
        <v>46015</v>
      </c>
      <c r="C4208" s="15" t="s">
        <v>68</v>
      </c>
      <c r="D4208" s="15" t="s">
        <v>42</v>
      </c>
      <c r="E4208" s="15" t="s">
        <v>38</v>
      </c>
      <c r="F4208" s="15" t="s">
        <v>16</v>
      </c>
      <c r="G4208" s="15" t="s">
        <v>23</v>
      </c>
      <c r="H4208" s="15" t="n">
        <v>1</v>
      </c>
      <c r="I4208" s="17" t="n">
        <v>0.1</v>
      </c>
      <c r="J4208" s="18" t="n">
        <v>245.98</v>
      </c>
      <c r="K4208" s="19" t="n">
        <v>-36.71</v>
      </c>
      <c r="L4208" s="15" t="n">
        <f aca="false">YEAR(B4208)</f>
        <v>2025</v>
      </c>
      <c r="M4208" s="20" t="n">
        <f aca="false">IF(J4208&gt;0,K4208/J4208,0)</f>
        <v>-0.149239775591512</v>
      </c>
    </row>
    <row r="4209" customFormat="false" ht="15" hidden="false" customHeight="false" outlineLevel="0" collapsed="false">
      <c r="A4209" s="15" t="s">
        <v>4266</v>
      </c>
      <c r="B4209" s="16" t="n">
        <v>44932</v>
      </c>
      <c r="C4209" s="15" t="s">
        <v>58</v>
      </c>
      <c r="D4209" s="15" t="s">
        <v>42</v>
      </c>
      <c r="E4209" s="15" t="s">
        <v>39</v>
      </c>
      <c r="F4209" s="15" t="s">
        <v>17</v>
      </c>
      <c r="G4209" s="15" t="s">
        <v>31</v>
      </c>
      <c r="H4209" s="15" t="n">
        <v>2</v>
      </c>
      <c r="I4209" s="17" t="n">
        <v>0.05</v>
      </c>
      <c r="J4209" s="18" t="n">
        <v>288.28</v>
      </c>
      <c r="K4209" s="19" t="n">
        <v>27.81</v>
      </c>
      <c r="L4209" s="15" t="n">
        <f aca="false">YEAR(B4209)</f>
        <v>2023</v>
      </c>
      <c r="M4209" s="20" t="n">
        <f aca="false">IF(J4209&gt;0,K4209/J4209,0)</f>
        <v>0.0964687109754406</v>
      </c>
    </row>
    <row r="4210" customFormat="false" ht="15" hidden="false" customHeight="false" outlineLevel="0" collapsed="false">
      <c r="A4210" s="15" t="s">
        <v>4267</v>
      </c>
      <c r="B4210" s="16" t="n">
        <v>45798</v>
      </c>
      <c r="C4210" s="15" t="s">
        <v>71</v>
      </c>
      <c r="D4210" s="15" t="s">
        <v>43</v>
      </c>
      <c r="E4210" s="15" t="s">
        <v>36</v>
      </c>
      <c r="F4210" s="15" t="s">
        <v>17</v>
      </c>
      <c r="G4210" s="15" t="s">
        <v>29</v>
      </c>
      <c r="H4210" s="15" t="n">
        <v>3</v>
      </c>
      <c r="I4210" s="17" t="n">
        <v>0.15</v>
      </c>
      <c r="J4210" s="18" t="n">
        <v>47.75</v>
      </c>
      <c r="K4210" s="19" t="n">
        <v>11.41</v>
      </c>
      <c r="L4210" s="15" t="n">
        <f aca="false">YEAR(B4210)</f>
        <v>2025</v>
      </c>
      <c r="M4210" s="20" t="n">
        <f aca="false">IF(J4210&gt;0,K4210/J4210,0)</f>
        <v>0.238952879581152</v>
      </c>
    </row>
    <row r="4211" customFormat="false" ht="15" hidden="false" customHeight="false" outlineLevel="0" collapsed="false">
      <c r="A4211" s="15" t="s">
        <v>4268</v>
      </c>
      <c r="B4211" s="16" t="n">
        <v>45453</v>
      </c>
      <c r="C4211" s="15" t="s">
        <v>68</v>
      </c>
      <c r="D4211" s="15" t="s">
        <v>42</v>
      </c>
      <c r="E4211" s="15" t="s">
        <v>37</v>
      </c>
      <c r="F4211" s="15" t="s">
        <v>18</v>
      </c>
      <c r="G4211" s="15" t="s">
        <v>30</v>
      </c>
      <c r="H4211" s="15" t="n">
        <v>3</v>
      </c>
      <c r="I4211" s="17" t="n">
        <v>0.1</v>
      </c>
      <c r="J4211" s="18" t="n">
        <v>140.35</v>
      </c>
      <c r="K4211" s="19" t="n">
        <v>30.94</v>
      </c>
      <c r="L4211" s="15" t="n">
        <f aca="false">YEAR(B4211)</f>
        <v>2024</v>
      </c>
      <c r="M4211" s="20" t="n">
        <f aca="false">IF(J4211&gt;0,K4211/J4211,0)</f>
        <v>0.220448877805486</v>
      </c>
    </row>
    <row r="4212" customFormat="false" ht="15" hidden="false" customHeight="false" outlineLevel="0" collapsed="false">
      <c r="A4212" s="15" t="s">
        <v>4269</v>
      </c>
      <c r="B4212" s="16" t="n">
        <v>45139</v>
      </c>
      <c r="C4212" s="15" t="s">
        <v>71</v>
      </c>
      <c r="D4212" s="15" t="s">
        <v>43</v>
      </c>
      <c r="E4212" s="15" t="s">
        <v>39</v>
      </c>
      <c r="F4212" s="15" t="s">
        <v>16</v>
      </c>
      <c r="G4212" s="15" t="s">
        <v>25</v>
      </c>
      <c r="H4212" s="15" t="n">
        <v>1</v>
      </c>
      <c r="I4212" s="17" t="n">
        <v>0</v>
      </c>
      <c r="J4212" s="18" t="n">
        <v>336.32</v>
      </c>
      <c r="K4212" s="19" t="n">
        <v>39.03</v>
      </c>
      <c r="L4212" s="15" t="n">
        <f aca="false">YEAR(B4212)</f>
        <v>2023</v>
      </c>
      <c r="M4212" s="20" t="n">
        <f aca="false">IF(J4212&gt;0,K4212/J4212,0)</f>
        <v>0.116050190294957</v>
      </c>
    </row>
    <row r="4213" customFormat="false" ht="15" hidden="false" customHeight="false" outlineLevel="0" collapsed="false">
      <c r="A4213" s="15" t="s">
        <v>4270</v>
      </c>
      <c r="B4213" s="16" t="n">
        <v>44702</v>
      </c>
      <c r="C4213" s="15" t="s">
        <v>68</v>
      </c>
      <c r="D4213" s="15" t="s">
        <v>44</v>
      </c>
      <c r="E4213" s="15" t="s">
        <v>36</v>
      </c>
      <c r="F4213" s="15" t="s">
        <v>18</v>
      </c>
      <c r="G4213" s="15" t="s">
        <v>30</v>
      </c>
      <c r="H4213" s="15" t="n">
        <v>3</v>
      </c>
      <c r="I4213" s="17" t="n">
        <v>0.05</v>
      </c>
      <c r="J4213" s="18" t="n">
        <v>118.57</v>
      </c>
      <c r="K4213" s="19" t="n">
        <v>23.93</v>
      </c>
      <c r="L4213" s="15" t="n">
        <f aca="false">YEAR(B4213)</f>
        <v>2022</v>
      </c>
      <c r="M4213" s="20" t="n">
        <f aca="false">IF(J4213&gt;0,K4213/J4213,0)</f>
        <v>0.201821708695285</v>
      </c>
    </row>
    <row r="4214" customFormat="false" ht="15" hidden="false" customHeight="false" outlineLevel="0" collapsed="false">
      <c r="A4214" s="15" t="s">
        <v>4271</v>
      </c>
      <c r="B4214" s="16" t="n">
        <v>44874</v>
      </c>
      <c r="C4214" s="15" t="s">
        <v>58</v>
      </c>
      <c r="D4214" s="15" t="s">
        <v>43</v>
      </c>
      <c r="E4214" s="15" t="s">
        <v>38</v>
      </c>
      <c r="F4214" s="15" t="s">
        <v>18</v>
      </c>
      <c r="G4214" s="15" t="s">
        <v>32</v>
      </c>
      <c r="H4214" s="15" t="n">
        <v>1</v>
      </c>
      <c r="I4214" s="17" t="n">
        <v>0.1</v>
      </c>
      <c r="J4214" s="18" t="n">
        <v>447.91</v>
      </c>
      <c r="K4214" s="19" t="n">
        <v>45.68</v>
      </c>
      <c r="L4214" s="15" t="n">
        <f aca="false">YEAR(B4214)</f>
        <v>2022</v>
      </c>
      <c r="M4214" s="20" t="n">
        <f aca="false">IF(J4214&gt;0,K4214/J4214,0)</f>
        <v>0.101984773726865</v>
      </c>
    </row>
    <row r="4215" customFormat="false" ht="15" hidden="false" customHeight="false" outlineLevel="0" collapsed="false">
      <c r="A4215" s="15" t="s">
        <v>4272</v>
      </c>
      <c r="B4215" s="16" t="n">
        <v>45450</v>
      </c>
      <c r="C4215" s="15" t="s">
        <v>56</v>
      </c>
      <c r="D4215" s="15" t="s">
        <v>42</v>
      </c>
      <c r="E4215" s="15" t="s">
        <v>36</v>
      </c>
      <c r="F4215" s="15" t="s">
        <v>17</v>
      </c>
      <c r="G4215" s="15" t="s">
        <v>29</v>
      </c>
      <c r="H4215" s="15" t="n">
        <v>3</v>
      </c>
      <c r="I4215" s="17" t="n">
        <v>0.1</v>
      </c>
      <c r="J4215" s="18" t="n">
        <v>39.94</v>
      </c>
      <c r="K4215" s="19" t="n">
        <v>12.59</v>
      </c>
      <c r="L4215" s="15" t="n">
        <f aca="false">YEAR(B4215)</f>
        <v>2024</v>
      </c>
      <c r="M4215" s="20" t="n">
        <f aca="false">IF(J4215&gt;0,K4215/J4215,0)</f>
        <v>0.315222834251377</v>
      </c>
    </row>
    <row r="4216" customFormat="false" ht="15" hidden="false" customHeight="false" outlineLevel="0" collapsed="false">
      <c r="A4216" s="15" t="s">
        <v>4273</v>
      </c>
      <c r="B4216" s="16" t="n">
        <v>45485</v>
      </c>
      <c r="C4216" s="15" t="s">
        <v>56</v>
      </c>
      <c r="D4216" s="15" t="s">
        <v>42</v>
      </c>
      <c r="E4216" s="15" t="s">
        <v>36</v>
      </c>
      <c r="F4216" s="15" t="s">
        <v>17</v>
      </c>
      <c r="G4216" s="15" t="s">
        <v>29</v>
      </c>
      <c r="H4216" s="15" t="n">
        <v>2</v>
      </c>
      <c r="I4216" s="17" t="n">
        <v>0</v>
      </c>
      <c r="J4216" s="18" t="n">
        <v>32.39</v>
      </c>
      <c r="K4216" s="19" t="n">
        <v>12.01</v>
      </c>
      <c r="L4216" s="15" t="n">
        <f aca="false">YEAR(B4216)</f>
        <v>2024</v>
      </c>
      <c r="M4216" s="20" t="n">
        <f aca="false">IF(J4216&gt;0,K4216/J4216,0)</f>
        <v>0.370793454769991</v>
      </c>
    </row>
    <row r="4217" customFormat="false" ht="15" hidden="false" customHeight="false" outlineLevel="0" collapsed="false">
      <c r="A4217" s="15" t="s">
        <v>4274</v>
      </c>
      <c r="B4217" s="16" t="n">
        <v>45501</v>
      </c>
      <c r="C4217" s="15" t="s">
        <v>56</v>
      </c>
      <c r="D4217" s="15" t="s">
        <v>42</v>
      </c>
      <c r="E4217" s="15" t="s">
        <v>39</v>
      </c>
      <c r="F4217" s="15" t="s">
        <v>17</v>
      </c>
      <c r="G4217" s="15" t="s">
        <v>31</v>
      </c>
      <c r="H4217" s="15" t="n">
        <v>1</v>
      </c>
      <c r="I4217" s="17" t="n">
        <v>0</v>
      </c>
      <c r="J4217" s="18" t="n">
        <v>141.07</v>
      </c>
      <c r="K4217" s="19" t="n">
        <v>40.17</v>
      </c>
      <c r="L4217" s="15" t="n">
        <f aca="false">YEAR(B4217)</f>
        <v>2024</v>
      </c>
      <c r="M4217" s="20" t="n">
        <f aca="false">IF(J4217&gt;0,K4217/J4217,0)</f>
        <v>0.284752250655703</v>
      </c>
    </row>
    <row r="4218" customFormat="false" ht="15" hidden="false" customHeight="false" outlineLevel="0" collapsed="false">
      <c r="A4218" s="15" t="s">
        <v>4275</v>
      </c>
      <c r="B4218" s="16" t="n">
        <v>45556</v>
      </c>
      <c r="C4218" s="15" t="s">
        <v>56</v>
      </c>
      <c r="D4218" s="15" t="s">
        <v>43</v>
      </c>
      <c r="E4218" s="15" t="s">
        <v>38</v>
      </c>
      <c r="F4218" s="15" t="s">
        <v>17</v>
      </c>
      <c r="G4218" s="15" t="s">
        <v>29</v>
      </c>
      <c r="H4218" s="15" t="n">
        <v>3</v>
      </c>
      <c r="I4218" s="17" t="n">
        <v>0.2</v>
      </c>
      <c r="J4218" s="18" t="n">
        <v>42.29</v>
      </c>
      <c r="K4218" s="19" t="n">
        <v>7.29</v>
      </c>
      <c r="L4218" s="15" t="n">
        <f aca="false">YEAR(B4218)</f>
        <v>2024</v>
      </c>
      <c r="M4218" s="20" t="n">
        <f aca="false">IF(J4218&gt;0,K4218/J4218,0)</f>
        <v>0.172381177583353</v>
      </c>
    </row>
    <row r="4219" customFormat="false" ht="15" hidden="false" customHeight="false" outlineLevel="0" collapsed="false">
      <c r="A4219" s="15" t="s">
        <v>4276</v>
      </c>
      <c r="B4219" s="16" t="n">
        <v>45524</v>
      </c>
      <c r="C4219" s="15" t="s">
        <v>68</v>
      </c>
      <c r="D4219" s="15" t="s">
        <v>43</v>
      </c>
      <c r="E4219" s="15" t="s">
        <v>37</v>
      </c>
      <c r="F4219" s="15" t="s">
        <v>18</v>
      </c>
      <c r="G4219" s="15" t="s">
        <v>30</v>
      </c>
      <c r="H4219" s="15" t="n">
        <v>4</v>
      </c>
      <c r="I4219" s="17" t="n">
        <v>0.05</v>
      </c>
      <c r="J4219" s="18" t="n">
        <v>218.18</v>
      </c>
      <c r="K4219" s="19" t="n">
        <v>49.74</v>
      </c>
      <c r="L4219" s="15" t="n">
        <f aca="false">YEAR(B4219)</f>
        <v>2024</v>
      </c>
      <c r="M4219" s="20" t="n">
        <f aca="false">IF(J4219&gt;0,K4219/J4219,0)</f>
        <v>0.227976899807498</v>
      </c>
    </row>
    <row r="4220" customFormat="false" ht="15" hidden="false" customHeight="false" outlineLevel="0" collapsed="false">
      <c r="A4220" s="15" t="s">
        <v>4277</v>
      </c>
      <c r="B4220" s="16" t="n">
        <v>45190</v>
      </c>
      <c r="C4220" s="15" t="s">
        <v>56</v>
      </c>
      <c r="D4220" s="15" t="s">
        <v>42</v>
      </c>
      <c r="E4220" s="15" t="s">
        <v>37</v>
      </c>
      <c r="F4220" s="15" t="s">
        <v>18</v>
      </c>
      <c r="G4220" s="15" t="s">
        <v>32</v>
      </c>
      <c r="H4220" s="15" t="n">
        <v>5</v>
      </c>
      <c r="I4220" s="17" t="n">
        <v>0.15</v>
      </c>
      <c r="J4220" s="18" t="n">
        <v>2384.29</v>
      </c>
      <c r="K4220" s="19" t="n">
        <v>27.07</v>
      </c>
      <c r="L4220" s="15" t="n">
        <f aca="false">YEAR(B4220)</f>
        <v>2023</v>
      </c>
      <c r="M4220" s="20" t="n">
        <f aca="false">IF(J4220&gt;0,K4220/J4220,0)</f>
        <v>0.0113534846851683</v>
      </c>
    </row>
    <row r="4221" customFormat="false" ht="15" hidden="false" customHeight="false" outlineLevel="0" collapsed="false">
      <c r="A4221" s="15" t="s">
        <v>4278</v>
      </c>
      <c r="B4221" s="16" t="n">
        <v>46005</v>
      </c>
      <c r="C4221" s="15" t="s">
        <v>56</v>
      </c>
      <c r="D4221" s="15" t="s">
        <v>42</v>
      </c>
      <c r="E4221" s="15" t="s">
        <v>36</v>
      </c>
      <c r="F4221" s="15" t="s">
        <v>17</v>
      </c>
      <c r="G4221" s="15" t="s">
        <v>29</v>
      </c>
      <c r="H4221" s="15" t="n">
        <v>2</v>
      </c>
      <c r="I4221" s="17" t="n">
        <v>0</v>
      </c>
      <c r="J4221" s="18" t="n">
        <v>33.99</v>
      </c>
      <c r="K4221" s="19" t="n">
        <v>12.32</v>
      </c>
      <c r="L4221" s="15" t="n">
        <f aca="false">YEAR(B4221)</f>
        <v>2025</v>
      </c>
      <c r="M4221" s="20" t="n">
        <f aca="false">IF(J4221&gt;0,K4221/J4221,0)</f>
        <v>0.362459546925566</v>
      </c>
    </row>
    <row r="4222" customFormat="false" ht="15" hidden="false" customHeight="false" outlineLevel="0" collapsed="false">
      <c r="A4222" s="15" t="s">
        <v>4279</v>
      </c>
      <c r="B4222" s="16" t="n">
        <v>45290</v>
      </c>
      <c r="C4222" s="15" t="s">
        <v>71</v>
      </c>
      <c r="D4222" s="15" t="s">
        <v>42</v>
      </c>
      <c r="E4222" s="15" t="s">
        <v>39</v>
      </c>
      <c r="F4222" s="15" t="s">
        <v>18</v>
      </c>
      <c r="G4222" s="15" t="s">
        <v>30</v>
      </c>
      <c r="H4222" s="15" t="n">
        <v>2</v>
      </c>
      <c r="I4222" s="17" t="n">
        <v>0.05</v>
      </c>
      <c r="J4222" s="18" t="n">
        <v>77.86</v>
      </c>
      <c r="K4222" s="19" t="n">
        <v>14.52</v>
      </c>
      <c r="L4222" s="15" t="n">
        <f aca="false">YEAR(B4222)</f>
        <v>2023</v>
      </c>
      <c r="M4222" s="20" t="n">
        <f aca="false">IF(J4222&gt;0,K4222/J4222,0)</f>
        <v>0.186488569226817</v>
      </c>
    </row>
    <row r="4223" customFormat="false" ht="15" hidden="false" customHeight="false" outlineLevel="0" collapsed="false">
      <c r="A4223" s="15" t="s">
        <v>4280</v>
      </c>
      <c r="B4223" s="16" t="n">
        <v>45638</v>
      </c>
      <c r="C4223" s="15" t="s">
        <v>68</v>
      </c>
      <c r="D4223" s="15" t="s">
        <v>43</v>
      </c>
      <c r="E4223" s="15" t="s">
        <v>39</v>
      </c>
      <c r="F4223" s="15" t="s">
        <v>17</v>
      </c>
      <c r="G4223" s="15" t="s">
        <v>29</v>
      </c>
      <c r="H4223" s="15" t="n">
        <v>2</v>
      </c>
      <c r="I4223" s="17" t="n">
        <v>0.05</v>
      </c>
      <c r="J4223" s="18" t="n">
        <v>37.27</v>
      </c>
      <c r="K4223" s="19" t="n">
        <v>12.87</v>
      </c>
      <c r="L4223" s="15" t="n">
        <f aca="false">YEAR(B4223)</f>
        <v>2024</v>
      </c>
      <c r="M4223" s="20" t="n">
        <f aca="false">IF(J4223&gt;0,K4223/J4223,0)</f>
        <v>0.345317950093909</v>
      </c>
    </row>
    <row r="4224" customFormat="false" ht="15" hidden="false" customHeight="false" outlineLevel="0" collapsed="false">
      <c r="A4224" s="15" t="s">
        <v>4281</v>
      </c>
      <c r="B4224" s="16" t="n">
        <v>45240</v>
      </c>
      <c r="C4224" s="15" t="s">
        <v>68</v>
      </c>
      <c r="D4224" s="15" t="s">
        <v>44</v>
      </c>
      <c r="E4224" s="15" t="s">
        <v>39</v>
      </c>
      <c r="F4224" s="15" t="s">
        <v>17</v>
      </c>
      <c r="G4224" s="15" t="s">
        <v>29</v>
      </c>
      <c r="H4224" s="15" t="n">
        <v>4</v>
      </c>
      <c r="I4224" s="17" t="n">
        <v>0</v>
      </c>
      <c r="J4224" s="18" t="n">
        <v>73.35</v>
      </c>
      <c r="K4224" s="19" t="n">
        <v>25.38</v>
      </c>
      <c r="L4224" s="15" t="n">
        <f aca="false">YEAR(B4224)</f>
        <v>2023</v>
      </c>
      <c r="M4224" s="20" t="n">
        <f aca="false">IF(J4224&gt;0,K4224/J4224,0)</f>
        <v>0.34601226993865</v>
      </c>
    </row>
    <row r="4225" customFormat="false" ht="15" hidden="false" customHeight="false" outlineLevel="0" collapsed="false">
      <c r="A4225" s="15" t="s">
        <v>4282</v>
      </c>
      <c r="B4225" s="16" t="n">
        <v>45876</v>
      </c>
      <c r="C4225" s="15" t="s">
        <v>56</v>
      </c>
      <c r="D4225" s="15" t="s">
        <v>44</v>
      </c>
      <c r="E4225" s="15" t="s">
        <v>36</v>
      </c>
      <c r="F4225" s="15" t="s">
        <v>17</v>
      </c>
      <c r="G4225" s="15" t="s">
        <v>26</v>
      </c>
      <c r="H4225" s="15" t="n">
        <v>2</v>
      </c>
      <c r="I4225" s="17" t="n">
        <v>0</v>
      </c>
      <c r="J4225" s="18" t="n">
        <v>127.91</v>
      </c>
      <c r="K4225" s="19" t="n">
        <v>11.78</v>
      </c>
      <c r="L4225" s="15" t="n">
        <f aca="false">YEAR(B4225)</f>
        <v>2025</v>
      </c>
      <c r="M4225" s="20" t="n">
        <f aca="false">IF(J4225&gt;0,K4225/J4225,0)</f>
        <v>0.0920960050035181</v>
      </c>
    </row>
    <row r="4226" customFormat="false" ht="15" hidden="false" customHeight="false" outlineLevel="0" collapsed="false">
      <c r="A4226" s="15" t="s">
        <v>4283</v>
      </c>
      <c r="B4226" s="16" t="n">
        <v>45124</v>
      </c>
      <c r="C4226" s="15" t="s">
        <v>56</v>
      </c>
      <c r="D4226" s="15" t="s">
        <v>44</v>
      </c>
      <c r="E4226" s="15" t="s">
        <v>38</v>
      </c>
      <c r="F4226" s="15" t="s">
        <v>18</v>
      </c>
      <c r="G4226" s="15" t="s">
        <v>30</v>
      </c>
      <c r="H4226" s="15" t="n">
        <v>3</v>
      </c>
      <c r="I4226" s="17" t="n">
        <v>0.15</v>
      </c>
      <c r="J4226" s="18" t="n">
        <v>91.19</v>
      </c>
      <c r="K4226" s="19" t="n">
        <v>13.75</v>
      </c>
      <c r="L4226" s="15" t="n">
        <f aca="false">YEAR(B4226)</f>
        <v>2023</v>
      </c>
      <c r="M4226" s="20" t="n">
        <f aca="false">IF(J4226&gt;0,K4226/J4226,0)</f>
        <v>0.150784077201448</v>
      </c>
    </row>
    <row r="4227" customFormat="false" ht="15" hidden="false" customHeight="false" outlineLevel="0" collapsed="false">
      <c r="A4227" s="15" t="s">
        <v>4284</v>
      </c>
      <c r="B4227" s="16" t="n">
        <v>45547</v>
      </c>
      <c r="C4227" s="15" t="s">
        <v>56</v>
      </c>
      <c r="D4227" s="15" t="s">
        <v>43</v>
      </c>
      <c r="E4227" s="15" t="s">
        <v>39</v>
      </c>
      <c r="F4227" s="15" t="s">
        <v>16</v>
      </c>
      <c r="G4227" s="15" t="s">
        <v>27</v>
      </c>
      <c r="H4227" s="15" t="n">
        <v>3</v>
      </c>
      <c r="I4227" s="17" t="n">
        <v>0</v>
      </c>
      <c r="J4227" s="18" t="n">
        <v>210.08</v>
      </c>
      <c r="K4227" s="19" t="n">
        <v>57.96</v>
      </c>
      <c r="L4227" s="15" t="n">
        <f aca="false">YEAR(B4227)</f>
        <v>2024</v>
      </c>
      <c r="M4227" s="20" t="n">
        <f aca="false">IF(J4227&gt;0,K4227/J4227,0)</f>
        <v>0.275894897182026</v>
      </c>
    </row>
    <row r="4228" customFormat="false" ht="15" hidden="false" customHeight="false" outlineLevel="0" collapsed="false">
      <c r="A4228" s="15" t="s">
        <v>4285</v>
      </c>
      <c r="B4228" s="16" t="n">
        <v>44859</v>
      </c>
      <c r="C4228" s="15" t="s">
        <v>56</v>
      </c>
      <c r="D4228" s="15" t="s">
        <v>42</v>
      </c>
      <c r="E4228" s="15" t="s">
        <v>38</v>
      </c>
      <c r="F4228" s="15" t="s">
        <v>16</v>
      </c>
      <c r="G4228" s="15" t="s">
        <v>22</v>
      </c>
      <c r="H4228" s="15" t="n">
        <v>3</v>
      </c>
      <c r="I4228" s="17" t="n">
        <v>0.05</v>
      </c>
      <c r="J4228" s="18" t="n">
        <v>1441.11</v>
      </c>
      <c r="K4228" s="19" t="n">
        <v>-141.36</v>
      </c>
      <c r="L4228" s="15" t="n">
        <f aca="false">YEAR(B4228)</f>
        <v>2022</v>
      </c>
      <c r="M4228" s="20" t="n">
        <f aca="false">IF(J4228&gt;0,K4228/J4228,0)</f>
        <v>-0.0980910548119158</v>
      </c>
    </row>
    <row r="4229" customFormat="false" ht="15" hidden="false" customHeight="false" outlineLevel="0" collapsed="false">
      <c r="A4229" s="15" t="s">
        <v>4286</v>
      </c>
      <c r="B4229" s="16" t="n">
        <v>45197</v>
      </c>
      <c r="C4229" s="15" t="s">
        <v>68</v>
      </c>
      <c r="D4229" s="15" t="s">
        <v>44</v>
      </c>
      <c r="E4229" s="15" t="s">
        <v>39</v>
      </c>
      <c r="F4229" s="15" t="s">
        <v>16</v>
      </c>
      <c r="G4229" s="15" t="s">
        <v>27</v>
      </c>
      <c r="H4229" s="15" t="n">
        <v>4</v>
      </c>
      <c r="I4229" s="17" t="n">
        <v>0.15</v>
      </c>
      <c r="J4229" s="18" t="n">
        <v>220.29</v>
      </c>
      <c r="K4229" s="19" t="n">
        <v>17.94</v>
      </c>
      <c r="L4229" s="15" t="n">
        <f aca="false">YEAR(B4229)</f>
        <v>2023</v>
      </c>
      <c r="M4229" s="20" t="n">
        <f aca="false">IF(J4229&gt;0,K4229/J4229,0)</f>
        <v>0.0814381043170366</v>
      </c>
    </row>
    <row r="4230" customFormat="false" ht="15" hidden="false" customHeight="false" outlineLevel="0" collapsed="false">
      <c r="A4230" s="15" t="s">
        <v>4287</v>
      </c>
      <c r="B4230" s="16" t="n">
        <v>45506</v>
      </c>
      <c r="C4230" s="15" t="s">
        <v>56</v>
      </c>
      <c r="D4230" s="15" t="s">
        <v>44</v>
      </c>
      <c r="E4230" s="15" t="s">
        <v>37</v>
      </c>
      <c r="F4230" s="15" t="s">
        <v>18</v>
      </c>
      <c r="G4230" s="15" t="s">
        <v>32</v>
      </c>
      <c r="H4230" s="15" t="n">
        <v>3</v>
      </c>
      <c r="I4230" s="17" t="n">
        <v>0.3</v>
      </c>
      <c r="J4230" s="18" t="n">
        <v>784.36</v>
      </c>
      <c r="K4230" s="19" t="n">
        <v>-50.35</v>
      </c>
      <c r="L4230" s="15" t="n">
        <f aca="false">YEAR(B4230)</f>
        <v>2024</v>
      </c>
      <c r="M4230" s="20" t="n">
        <f aca="false">IF(J4230&gt;0,K4230/J4230,0)</f>
        <v>-0.064192462644704</v>
      </c>
    </row>
    <row r="4231" customFormat="false" ht="15" hidden="false" customHeight="false" outlineLevel="0" collapsed="false">
      <c r="A4231" s="15" t="s">
        <v>4288</v>
      </c>
      <c r="B4231" s="16" t="n">
        <v>44719</v>
      </c>
      <c r="C4231" s="15" t="s">
        <v>56</v>
      </c>
      <c r="D4231" s="15" t="s">
        <v>42</v>
      </c>
      <c r="E4231" s="15" t="s">
        <v>36</v>
      </c>
      <c r="F4231" s="15" t="s">
        <v>17</v>
      </c>
      <c r="G4231" s="15" t="s">
        <v>26</v>
      </c>
      <c r="H4231" s="15" t="n">
        <v>3</v>
      </c>
      <c r="I4231" s="17" t="n">
        <v>0.15</v>
      </c>
      <c r="J4231" s="18" t="n">
        <v>233.2</v>
      </c>
      <c r="K4231" s="19" t="n">
        <v>7.97</v>
      </c>
      <c r="L4231" s="15" t="n">
        <f aca="false">YEAR(B4231)</f>
        <v>2022</v>
      </c>
      <c r="M4231" s="20" t="n">
        <f aca="false">IF(J4231&gt;0,K4231/J4231,0)</f>
        <v>0.0341766723842196</v>
      </c>
    </row>
    <row r="4232" customFormat="false" ht="15" hidden="false" customHeight="false" outlineLevel="0" collapsed="false">
      <c r="A4232" s="15" t="s">
        <v>4289</v>
      </c>
      <c r="B4232" s="16" t="n">
        <v>45139</v>
      </c>
      <c r="C4232" s="15" t="s">
        <v>56</v>
      </c>
      <c r="D4232" s="15" t="s">
        <v>42</v>
      </c>
      <c r="E4232" s="15" t="s">
        <v>39</v>
      </c>
      <c r="F4232" s="15" t="s">
        <v>16</v>
      </c>
      <c r="G4232" s="15" t="s">
        <v>27</v>
      </c>
      <c r="H4232" s="15" t="n">
        <v>4</v>
      </c>
      <c r="I4232" s="17" t="n">
        <v>0.1</v>
      </c>
      <c r="J4232" s="18" t="n">
        <v>175.29</v>
      </c>
      <c r="K4232" s="19" t="n">
        <v>29.18</v>
      </c>
      <c r="L4232" s="15" t="n">
        <f aca="false">YEAR(B4232)</f>
        <v>2023</v>
      </c>
      <c r="M4232" s="20" t="n">
        <f aca="false">IF(J4232&gt;0,K4232/J4232,0)</f>
        <v>0.166466997546922</v>
      </c>
    </row>
    <row r="4233" customFormat="false" ht="15" hidden="false" customHeight="false" outlineLevel="0" collapsed="false">
      <c r="A4233" s="15" t="s">
        <v>4290</v>
      </c>
      <c r="B4233" s="16" t="n">
        <v>45018</v>
      </c>
      <c r="C4233" s="15" t="s">
        <v>56</v>
      </c>
      <c r="D4233" s="15" t="s">
        <v>44</v>
      </c>
      <c r="E4233" s="15" t="s">
        <v>39</v>
      </c>
      <c r="F4233" s="15" t="s">
        <v>17</v>
      </c>
      <c r="G4233" s="15" t="s">
        <v>28</v>
      </c>
      <c r="H4233" s="15" t="n">
        <v>2</v>
      </c>
      <c r="I4233" s="17" t="n">
        <v>0</v>
      </c>
      <c r="J4233" s="18" t="n">
        <v>53.54</v>
      </c>
      <c r="K4233" s="19" t="n">
        <v>15.66</v>
      </c>
      <c r="L4233" s="15" t="n">
        <f aca="false">YEAR(B4233)</f>
        <v>2023</v>
      </c>
      <c r="M4233" s="20" t="n">
        <f aca="false">IF(J4233&gt;0,K4233/J4233,0)</f>
        <v>0.292491595069107</v>
      </c>
    </row>
    <row r="4234" customFormat="false" ht="15" hidden="false" customHeight="false" outlineLevel="0" collapsed="false">
      <c r="A4234" s="15" t="s">
        <v>4291</v>
      </c>
      <c r="B4234" s="16" t="n">
        <v>45633</v>
      </c>
      <c r="C4234" s="15" t="s">
        <v>56</v>
      </c>
      <c r="D4234" s="15" t="s">
        <v>43</v>
      </c>
      <c r="E4234" s="15" t="s">
        <v>38</v>
      </c>
      <c r="F4234" s="15" t="s">
        <v>18</v>
      </c>
      <c r="G4234" s="15" t="s">
        <v>33</v>
      </c>
      <c r="H4234" s="15" t="n">
        <v>4</v>
      </c>
      <c r="I4234" s="17" t="n">
        <v>0.05</v>
      </c>
      <c r="J4234" s="18" t="n">
        <v>3123.9</v>
      </c>
      <c r="K4234" s="19" t="n">
        <v>743.49</v>
      </c>
      <c r="L4234" s="15" t="n">
        <f aca="false">YEAR(B4234)</f>
        <v>2024</v>
      </c>
      <c r="M4234" s="20" t="n">
        <f aca="false">IF(J4234&gt;0,K4234/J4234,0)</f>
        <v>0.238000576202823</v>
      </c>
    </row>
    <row r="4235" customFormat="false" ht="15" hidden="false" customHeight="false" outlineLevel="0" collapsed="false">
      <c r="A4235" s="15" t="s">
        <v>4292</v>
      </c>
      <c r="B4235" s="16" t="n">
        <v>45866</v>
      </c>
      <c r="C4235" s="15" t="s">
        <v>58</v>
      </c>
      <c r="D4235" s="15" t="s">
        <v>42</v>
      </c>
      <c r="E4235" s="15" t="s">
        <v>37</v>
      </c>
      <c r="F4235" s="15" t="s">
        <v>16</v>
      </c>
      <c r="G4235" s="15" t="s">
        <v>25</v>
      </c>
      <c r="H4235" s="15" t="n">
        <v>3</v>
      </c>
      <c r="I4235" s="17" t="n">
        <v>0.2</v>
      </c>
      <c r="J4235" s="18" t="n">
        <v>528.88</v>
      </c>
      <c r="K4235" s="19" t="n">
        <v>-2.08</v>
      </c>
      <c r="L4235" s="15" t="n">
        <f aca="false">YEAR(B4235)</f>
        <v>2025</v>
      </c>
      <c r="M4235" s="20" t="n">
        <f aca="false">IF(J4235&gt;0,K4235/J4235,0)</f>
        <v>-0.00393283920738164</v>
      </c>
    </row>
    <row r="4236" customFormat="false" ht="15" hidden="false" customHeight="false" outlineLevel="0" collapsed="false">
      <c r="A4236" s="15" t="s">
        <v>4293</v>
      </c>
      <c r="B4236" s="16" t="n">
        <v>45777</v>
      </c>
      <c r="C4236" s="15" t="s">
        <v>56</v>
      </c>
      <c r="D4236" s="15" t="s">
        <v>44</v>
      </c>
      <c r="E4236" s="15" t="s">
        <v>38</v>
      </c>
      <c r="F4236" s="15" t="s">
        <v>17</v>
      </c>
      <c r="G4236" s="15" t="s">
        <v>28</v>
      </c>
      <c r="H4236" s="15" t="n">
        <v>4</v>
      </c>
      <c r="I4236" s="17" t="n">
        <v>0.2</v>
      </c>
      <c r="J4236" s="18" t="n">
        <v>58.17</v>
      </c>
      <c r="K4236" s="19" t="n">
        <v>4.25</v>
      </c>
      <c r="L4236" s="15" t="n">
        <f aca="false">YEAR(B4236)</f>
        <v>2025</v>
      </c>
      <c r="M4236" s="20" t="n">
        <f aca="false">IF(J4236&gt;0,K4236/J4236,0)</f>
        <v>0.0730617156609936</v>
      </c>
    </row>
    <row r="4237" customFormat="false" ht="15" hidden="false" customHeight="false" outlineLevel="0" collapsed="false">
      <c r="A4237" s="15" t="s">
        <v>4294</v>
      </c>
      <c r="B4237" s="16" t="n">
        <v>45389</v>
      </c>
      <c r="C4237" s="15" t="s">
        <v>56</v>
      </c>
      <c r="D4237" s="15" t="s">
        <v>44</v>
      </c>
      <c r="E4237" s="15" t="s">
        <v>39</v>
      </c>
      <c r="F4237" s="15" t="s">
        <v>17</v>
      </c>
      <c r="G4237" s="15" t="s">
        <v>29</v>
      </c>
      <c r="H4237" s="15" t="n">
        <v>4</v>
      </c>
      <c r="I4237" s="17" t="n">
        <v>0</v>
      </c>
      <c r="J4237" s="18" t="n">
        <v>77.05</v>
      </c>
      <c r="K4237" s="19" t="n">
        <v>28.94</v>
      </c>
      <c r="L4237" s="15" t="n">
        <f aca="false">YEAR(B4237)</f>
        <v>2024</v>
      </c>
      <c r="M4237" s="20" t="n">
        <f aca="false">IF(J4237&gt;0,K4237/J4237,0)</f>
        <v>0.375600259571707</v>
      </c>
    </row>
    <row r="4238" customFormat="false" ht="15" hidden="false" customHeight="false" outlineLevel="0" collapsed="false">
      <c r="A4238" s="15" t="s">
        <v>4295</v>
      </c>
      <c r="B4238" s="16" t="n">
        <v>45850</v>
      </c>
      <c r="C4238" s="15" t="s">
        <v>58</v>
      </c>
      <c r="D4238" s="15" t="s">
        <v>44</v>
      </c>
      <c r="E4238" s="15" t="s">
        <v>39</v>
      </c>
      <c r="F4238" s="15" t="s">
        <v>16</v>
      </c>
      <c r="G4238" s="15" t="s">
        <v>23</v>
      </c>
      <c r="H4238" s="15" t="n">
        <v>3</v>
      </c>
      <c r="I4238" s="17" t="n">
        <v>0</v>
      </c>
      <c r="J4238" s="18" t="n">
        <v>1015.16</v>
      </c>
      <c r="K4238" s="19" t="n">
        <v>-43</v>
      </c>
      <c r="L4238" s="15" t="n">
        <f aca="false">YEAR(B4238)</f>
        <v>2025</v>
      </c>
      <c r="M4238" s="20" t="n">
        <f aca="false">IF(J4238&gt;0,K4238/J4238,0)</f>
        <v>-0.0423578549194216</v>
      </c>
    </row>
    <row r="4239" customFormat="false" ht="15" hidden="false" customHeight="false" outlineLevel="0" collapsed="false">
      <c r="A4239" s="15" t="s">
        <v>4296</v>
      </c>
      <c r="B4239" s="16" t="n">
        <v>45953</v>
      </c>
      <c r="C4239" s="15" t="s">
        <v>56</v>
      </c>
      <c r="D4239" s="15" t="s">
        <v>42</v>
      </c>
      <c r="E4239" s="15" t="s">
        <v>36</v>
      </c>
      <c r="F4239" s="15" t="s">
        <v>17</v>
      </c>
      <c r="G4239" s="15" t="s">
        <v>31</v>
      </c>
      <c r="H4239" s="15" t="n">
        <v>9</v>
      </c>
      <c r="I4239" s="17" t="n">
        <v>0</v>
      </c>
      <c r="J4239" s="18" t="n">
        <v>1295.38</v>
      </c>
      <c r="K4239" s="19" t="n">
        <v>214.72</v>
      </c>
      <c r="L4239" s="15" t="n">
        <f aca="false">YEAR(B4239)</f>
        <v>2025</v>
      </c>
      <c r="M4239" s="20" t="n">
        <f aca="false">IF(J4239&gt;0,K4239/J4239,0)</f>
        <v>0.165758310302768</v>
      </c>
    </row>
    <row r="4240" customFormat="false" ht="15" hidden="false" customHeight="false" outlineLevel="0" collapsed="false">
      <c r="A4240" s="15" t="s">
        <v>4297</v>
      </c>
      <c r="B4240" s="16" t="n">
        <v>45077</v>
      </c>
      <c r="C4240" s="15" t="s">
        <v>68</v>
      </c>
      <c r="D4240" s="15" t="s">
        <v>44</v>
      </c>
      <c r="E4240" s="15" t="s">
        <v>36</v>
      </c>
      <c r="F4240" s="15" t="s">
        <v>17</v>
      </c>
      <c r="G4240" s="15" t="s">
        <v>26</v>
      </c>
      <c r="H4240" s="15" t="n">
        <v>2</v>
      </c>
      <c r="I4240" s="17" t="n">
        <v>0</v>
      </c>
      <c r="J4240" s="18" t="n">
        <v>181.92</v>
      </c>
      <c r="K4240" s="19" t="n">
        <v>22.91</v>
      </c>
      <c r="L4240" s="15" t="n">
        <f aca="false">YEAR(B4240)</f>
        <v>2023</v>
      </c>
      <c r="M4240" s="20" t="n">
        <f aca="false">IF(J4240&gt;0,K4240/J4240,0)</f>
        <v>0.125934476693052</v>
      </c>
    </row>
    <row r="4241" customFormat="false" ht="15" hidden="false" customHeight="false" outlineLevel="0" collapsed="false">
      <c r="A4241" s="15" t="s">
        <v>4298</v>
      </c>
      <c r="B4241" s="16" t="n">
        <v>45185</v>
      </c>
      <c r="C4241" s="15" t="s">
        <v>71</v>
      </c>
      <c r="D4241" s="15" t="s">
        <v>43</v>
      </c>
      <c r="E4241" s="15" t="s">
        <v>39</v>
      </c>
      <c r="F4241" s="15" t="s">
        <v>18</v>
      </c>
      <c r="G4241" s="15" t="s">
        <v>30</v>
      </c>
      <c r="H4241" s="15" t="n">
        <v>4</v>
      </c>
      <c r="I4241" s="17" t="n">
        <v>0</v>
      </c>
      <c r="J4241" s="18" t="n">
        <v>202.06</v>
      </c>
      <c r="K4241" s="19" t="n">
        <v>61.04</v>
      </c>
      <c r="L4241" s="15" t="n">
        <f aca="false">YEAR(B4241)</f>
        <v>2023</v>
      </c>
      <c r="M4241" s="20" t="n">
        <f aca="false">IF(J4241&gt;0,K4241/J4241,0)</f>
        <v>0.302088488567752</v>
      </c>
    </row>
    <row r="4242" customFormat="false" ht="15" hidden="false" customHeight="false" outlineLevel="0" collapsed="false">
      <c r="A4242" s="15" t="s">
        <v>4299</v>
      </c>
      <c r="B4242" s="16" t="n">
        <v>45659</v>
      </c>
      <c r="C4242" s="15" t="s">
        <v>56</v>
      </c>
      <c r="D4242" s="15" t="s">
        <v>42</v>
      </c>
      <c r="E4242" s="15" t="s">
        <v>37</v>
      </c>
      <c r="F4242" s="15" t="s">
        <v>17</v>
      </c>
      <c r="G4242" s="15" t="s">
        <v>26</v>
      </c>
      <c r="H4242" s="15" t="n">
        <v>2</v>
      </c>
      <c r="I4242" s="17" t="n">
        <v>0</v>
      </c>
      <c r="J4242" s="18" t="n">
        <v>159.65</v>
      </c>
      <c r="K4242" s="19" t="n">
        <v>19.11</v>
      </c>
      <c r="L4242" s="15" t="n">
        <f aca="false">YEAR(B4242)</f>
        <v>2025</v>
      </c>
      <c r="M4242" s="20" t="n">
        <f aca="false">IF(J4242&gt;0,K4242/J4242,0)</f>
        <v>0.119699342311306</v>
      </c>
    </row>
    <row r="4243" customFormat="false" ht="15" hidden="false" customHeight="false" outlineLevel="0" collapsed="false">
      <c r="A4243" s="15" t="s">
        <v>4300</v>
      </c>
      <c r="B4243" s="16" t="n">
        <v>45368</v>
      </c>
      <c r="C4243" s="15" t="s">
        <v>71</v>
      </c>
      <c r="D4243" s="15" t="s">
        <v>42</v>
      </c>
      <c r="E4243" s="15" t="s">
        <v>39</v>
      </c>
      <c r="F4243" s="15" t="s">
        <v>16</v>
      </c>
      <c r="G4243" s="15" t="s">
        <v>22</v>
      </c>
      <c r="H4243" s="15" t="n">
        <v>3</v>
      </c>
      <c r="I4243" s="17" t="n">
        <v>0.05</v>
      </c>
      <c r="J4243" s="18" t="n">
        <v>1239.98</v>
      </c>
      <c r="K4243" s="19" t="n">
        <v>-119.51</v>
      </c>
      <c r="L4243" s="15" t="n">
        <f aca="false">YEAR(B4243)</f>
        <v>2024</v>
      </c>
      <c r="M4243" s="20" t="n">
        <f aca="false">IF(J4243&gt;0,K4243/J4243,0)</f>
        <v>-0.0963805867836578</v>
      </c>
    </row>
    <row r="4244" customFormat="false" ht="15" hidden="false" customHeight="false" outlineLevel="0" collapsed="false">
      <c r="A4244" s="15" t="s">
        <v>4301</v>
      </c>
      <c r="B4244" s="16" t="n">
        <v>44843</v>
      </c>
      <c r="C4244" s="15" t="s">
        <v>68</v>
      </c>
      <c r="D4244" s="15" t="s">
        <v>42</v>
      </c>
      <c r="E4244" s="15" t="s">
        <v>38</v>
      </c>
      <c r="F4244" s="15" t="s">
        <v>16</v>
      </c>
      <c r="G4244" s="15" t="s">
        <v>23</v>
      </c>
      <c r="H4244" s="15" t="n">
        <v>4</v>
      </c>
      <c r="I4244" s="17" t="n">
        <v>0.2</v>
      </c>
      <c r="J4244" s="18" t="n">
        <v>949.54</v>
      </c>
      <c r="K4244" s="19" t="n">
        <v>-167.49</v>
      </c>
      <c r="L4244" s="15" t="n">
        <f aca="false">YEAR(B4244)</f>
        <v>2022</v>
      </c>
      <c r="M4244" s="20" t="n">
        <f aca="false">IF(J4244&gt;0,K4244/J4244,0)</f>
        <v>-0.176390673378689</v>
      </c>
    </row>
    <row r="4245" customFormat="false" ht="15" hidden="false" customHeight="false" outlineLevel="0" collapsed="false">
      <c r="A4245" s="15" t="s">
        <v>4302</v>
      </c>
      <c r="B4245" s="16" t="n">
        <v>45623</v>
      </c>
      <c r="C4245" s="15" t="s">
        <v>56</v>
      </c>
      <c r="D4245" s="15" t="s">
        <v>42</v>
      </c>
      <c r="E4245" s="15" t="s">
        <v>39</v>
      </c>
      <c r="F4245" s="15" t="s">
        <v>17</v>
      </c>
      <c r="G4245" s="15" t="s">
        <v>26</v>
      </c>
      <c r="H4245" s="15" t="n">
        <v>4</v>
      </c>
      <c r="I4245" s="17" t="n">
        <v>0.5</v>
      </c>
      <c r="J4245" s="18" t="n">
        <v>230.74</v>
      </c>
      <c r="K4245" s="19" t="n">
        <v>-86.21</v>
      </c>
      <c r="L4245" s="15" t="n">
        <f aca="false">YEAR(B4245)</f>
        <v>2024</v>
      </c>
      <c r="M4245" s="20" t="n">
        <f aca="false">IF(J4245&gt;0,K4245/J4245,0)</f>
        <v>-0.373623992372367</v>
      </c>
    </row>
    <row r="4246" customFormat="false" ht="15" hidden="false" customHeight="false" outlineLevel="0" collapsed="false">
      <c r="A4246" s="15" t="s">
        <v>4303</v>
      </c>
      <c r="B4246" s="16" t="n">
        <v>44797</v>
      </c>
      <c r="C4246" s="15" t="s">
        <v>68</v>
      </c>
      <c r="D4246" s="15" t="s">
        <v>43</v>
      </c>
      <c r="E4246" s="15" t="s">
        <v>37</v>
      </c>
      <c r="F4246" s="15" t="s">
        <v>16</v>
      </c>
      <c r="G4246" s="15" t="s">
        <v>23</v>
      </c>
      <c r="H4246" s="15" t="n">
        <v>2</v>
      </c>
      <c r="I4246" s="17" t="n">
        <v>0.3</v>
      </c>
      <c r="J4246" s="18" t="n">
        <v>528.04</v>
      </c>
      <c r="K4246" s="19" t="n">
        <v>-111.18</v>
      </c>
      <c r="L4246" s="15" t="n">
        <f aca="false">YEAR(B4246)</f>
        <v>2022</v>
      </c>
      <c r="M4246" s="20" t="n">
        <f aca="false">IF(J4246&gt;0,K4246/J4246,0)</f>
        <v>-0.210552230891599</v>
      </c>
    </row>
    <row r="4247" customFormat="false" ht="15" hidden="false" customHeight="false" outlineLevel="0" collapsed="false">
      <c r="A4247" s="15" t="s">
        <v>4304</v>
      </c>
      <c r="B4247" s="16" t="n">
        <v>45235</v>
      </c>
      <c r="C4247" s="15" t="s">
        <v>68</v>
      </c>
      <c r="D4247" s="15" t="s">
        <v>42</v>
      </c>
      <c r="E4247" s="15" t="s">
        <v>37</v>
      </c>
      <c r="F4247" s="15" t="s">
        <v>17</v>
      </c>
      <c r="G4247" s="15" t="s">
        <v>28</v>
      </c>
      <c r="H4247" s="15" t="n">
        <v>3</v>
      </c>
      <c r="I4247" s="17" t="n">
        <v>0.05</v>
      </c>
      <c r="J4247" s="18" t="n">
        <v>58.52</v>
      </c>
      <c r="K4247" s="19" t="n">
        <v>13.57</v>
      </c>
      <c r="L4247" s="15" t="n">
        <f aca="false">YEAR(B4247)</f>
        <v>2023</v>
      </c>
      <c r="M4247" s="20" t="n">
        <f aca="false">IF(J4247&gt;0,K4247/J4247,0)</f>
        <v>0.231886534518113</v>
      </c>
    </row>
    <row r="4248" customFormat="false" ht="15" hidden="false" customHeight="false" outlineLevel="0" collapsed="false">
      <c r="A4248" s="15" t="s">
        <v>4305</v>
      </c>
      <c r="B4248" s="16" t="n">
        <v>44593</v>
      </c>
      <c r="C4248" s="15" t="s">
        <v>71</v>
      </c>
      <c r="D4248" s="15" t="s">
        <v>43</v>
      </c>
      <c r="E4248" s="15" t="s">
        <v>37</v>
      </c>
      <c r="F4248" s="15" t="s">
        <v>17</v>
      </c>
      <c r="G4248" s="15" t="s">
        <v>28</v>
      </c>
      <c r="H4248" s="15" t="n">
        <v>4</v>
      </c>
      <c r="I4248" s="17" t="n">
        <v>0.2</v>
      </c>
      <c r="J4248" s="18" t="n">
        <v>91.38</v>
      </c>
      <c r="K4248" s="19" t="n">
        <v>12.51</v>
      </c>
      <c r="L4248" s="15" t="n">
        <f aca="false">YEAR(B4248)</f>
        <v>2022</v>
      </c>
      <c r="M4248" s="20" t="n">
        <f aca="false">IF(J4248&gt;0,K4248/J4248,0)</f>
        <v>0.136900853578464</v>
      </c>
    </row>
    <row r="4249" customFormat="false" ht="15" hidden="false" customHeight="false" outlineLevel="0" collapsed="false">
      <c r="A4249" s="15" t="s">
        <v>4306</v>
      </c>
      <c r="B4249" s="16" t="n">
        <v>44784</v>
      </c>
      <c r="C4249" s="15" t="s">
        <v>71</v>
      </c>
      <c r="D4249" s="15" t="s">
        <v>42</v>
      </c>
      <c r="E4249" s="15" t="s">
        <v>37</v>
      </c>
      <c r="F4249" s="15" t="s">
        <v>17</v>
      </c>
      <c r="G4249" s="15" t="s">
        <v>26</v>
      </c>
      <c r="H4249" s="15" t="n">
        <v>4</v>
      </c>
      <c r="I4249" s="17" t="n">
        <v>0.1</v>
      </c>
      <c r="J4249" s="18" t="n">
        <v>326.1</v>
      </c>
      <c r="K4249" s="19" t="n">
        <v>-7.52</v>
      </c>
      <c r="L4249" s="15" t="n">
        <f aca="false">YEAR(B4249)</f>
        <v>2022</v>
      </c>
      <c r="M4249" s="20" t="n">
        <f aca="false">IF(J4249&gt;0,K4249/J4249,0)</f>
        <v>-0.0230604109168967</v>
      </c>
    </row>
    <row r="4250" customFormat="false" ht="15" hidden="false" customHeight="false" outlineLevel="0" collapsed="false">
      <c r="A4250" s="15" t="s">
        <v>4307</v>
      </c>
      <c r="B4250" s="16" t="n">
        <v>45065</v>
      </c>
      <c r="C4250" s="15" t="s">
        <v>58</v>
      </c>
      <c r="D4250" s="15" t="s">
        <v>42</v>
      </c>
      <c r="E4250" s="15" t="s">
        <v>37</v>
      </c>
      <c r="F4250" s="15" t="s">
        <v>16</v>
      </c>
      <c r="G4250" s="15" t="s">
        <v>22</v>
      </c>
      <c r="H4250" s="15" t="n">
        <v>2</v>
      </c>
      <c r="I4250" s="17" t="n">
        <v>0</v>
      </c>
      <c r="J4250" s="18" t="n">
        <v>1060.28</v>
      </c>
      <c r="K4250" s="19" t="n">
        <v>40.72</v>
      </c>
      <c r="L4250" s="15" t="n">
        <f aca="false">YEAR(B4250)</f>
        <v>2023</v>
      </c>
      <c r="M4250" s="20" t="n">
        <f aca="false">IF(J4250&gt;0,K4250/J4250,0)</f>
        <v>0.0384049496359452</v>
      </c>
    </row>
    <row r="4251" customFormat="false" ht="15" hidden="false" customHeight="false" outlineLevel="0" collapsed="false">
      <c r="A4251" s="15" t="s">
        <v>4308</v>
      </c>
      <c r="B4251" s="16" t="n">
        <v>45974</v>
      </c>
      <c r="C4251" s="15" t="s">
        <v>56</v>
      </c>
      <c r="D4251" s="15" t="s">
        <v>44</v>
      </c>
      <c r="E4251" s="15" t="s">
        <v>37</v>
      </c>
      <c r="F4251" s="15" t="s">
        <v>17</v>
      </c>
      <c r="G4251" s="15" t="s">
        <v>31</v>
      </c>
      <c r="H4251" s="15" t="n">
        <v>2</v>
      </c>
      <c r="I4251" s="17" t="n">
        <v>0.15</v>
      </c>
      <c r="J4251" s="18" t="n">
        <v>264.12</v>
      </c>
      <c r="K4251" s="19" t="n">
        <v>21.52</v>
      </c>
      <c r="L4251" s="15" t="n">
        <f aca="false">YEAR(B4251)</f>
        <v>2025</v>
      </c>
      <c r="M4251" s="20" t="n">
        <f aca="false">IF(J4251&gt;0,K4251/J4251,0)</f>
        <v>0.0814781160078752</v>
      </c>
    </row>
    <row r="4252" customFormat="false" ht="15" hidden="false" customHeight="false" outlineLevel="0" collapsed="false">
      <c r="A4252" s="15" t="s">
        <v>4309</v>
      </c>
      <c r="B4252" s="16" t="n">
        <v>45979</v>
      </c>
      <c r="C4252" s="15" t="s">
        <v>56</v>
      </c>
      <c r="D4252" s="15" t="s">
        <v>42</v>
      </c>
      <c r="E4252" s="15" t="s">
        <v>37</v>
      </c>
      <c r="F4252" s="15" t="s">
        <v>16</v>
      </c>
      <c r="G4252" s="15" t="s">
        <v>27</v>
      </c>
      <c r="H4252" s="15" t="n">
        <v>3</v>
      </c>
      <c r="I4252" s="17" t="n">
        <v>0.5</v>
      </c>
      <c r="J4252" s="18" t="n">
        <v>85.71</v>
      </c>
      <c r="K4252" s="19" t="n">
        <v>-20.41</v>
      </c>
      <c r="L4252" s="15" t="n">
        <f aca="false">YEAR(B4252)</f>
        <v>2025</v>
      </c>
      <c r="M4252" s="20" t="n">
        <f aca="false">IF(J4252&gt;0,K4252/J4252,0)</f>
        <v>-0.238128573095321</v>
      </c>
    </row>
    <row r="4253" customFormat="false" ht="15" hidden="false" customHeight="false" outlineLevel="0" collapsed="false">
      <c r="A4253" s="15" t="s">
        <v>4310</v>
      </c>
      <c r="B4253" s="16" t="n">
        <v>45350</v>
      </c>
      <c r="C4253" s="15" t="s">
        <v>71</v>
      </c>
      <c r="D4253" s="15" t="s">
        <v>43</v>
      </c>
      <c r="E4253" s="15" t="s">
        <v>39</v>
      </c>
      <c r="F4253" s="15" t="s">
        <v>17</v>
      </c>
      <c r="G4253" s="15" t="s">
        <v>29</v>
      </c>
      <c r="H4253" s="15" t="n">
        <v>1</v>
      </c>
      <c r="I4253" s="17" t="n">
        <v>0</v>
      </c>
      <c r="J4253" s="18" t="n">
        <v>22.21</v>
      </c>
      <c r="K4253" s="19" t="n">
        <v>9.4</v>
      </c>
      <c r="L4253" s="15" t="n">
        <f aca="false">YEAR(B4253)</f>
        <v>2024</v>
      </c>
      <c r="M4253" s="20" t="n">
        <f aca="false">IF(J4253&gt;0,K4253/J4253,0)</f>
        <v>0.423232778027915</v>
      </c>
    </row>
    <row r="4254" customFormat="false" ht="15" hidden="false" customHeight="false" outlineLevel="0" collapsed="false">
      <c r="A4254" s="15" t="s">
        <v>4311</v>
      </c>
      <c r="B4254" s="16" t="n">
        <v>44789</v>
      </c>
      <c r="C4254" s="15" t="s">
        <v>56</v>
      </c>
      <c r="D4254" s="15" t="s">
        <v>42</v>
      </c>
      <c r="E4254" s="15" t="s">
        <v>36</v>
      </c>
      <c r="F4254" s="15" t="s">
        <v>17</v>
      </c>
      <c r="G4254" s="15" t="s">
        <v>28</v>
      </c>
      <c r="H4254" s="15" t="n">
        <v>5</v>
      </c>
      <c r="I4254" s="17" t="n">
        <v>0</v>
      </c>
      <c r="J4254" s="18" t="n">
        <v>113.55</v>
      </c>
      <c r="K4254" s="19" t="n">
        <v>40.29</v>
      </c>
      <c r="L4254" s="15" t="n">
        <f aca="false">YEAR(B4254)</f>
        <v>2022</v>
      </c>
      <c r="M4254" s="20" t="n">
        <f aca="false">IF(J4254&gt;0,K4254/J4254,0)</f>
        <v>0.354821664464993</v>
      </c>
    </row>
    <row r="4255" customFormat="false" ht="15" hidden="false" customHeight="false" outlineLevel="0" collapsed="false">
      <c r="A4255" s="15" t="s">
        <v>4312</v>
      </c>
      <c r="B4255" s="16" t="n">
        <v>45418</v>
      </c>
      <c r="C4255" s="15" t="s">
        <v>56</v>
      </c>
      <c r="D4255" s="15" t="s">
        <v>44</v>
      </c>
      <c r="E4255" s="15" t="s">
        <v>39</v>
      </c>
      <c r="F4255" s="15" t="s">
        <v>16</v>
      </c>
      <c r="G4255" s="15" t="s">
        <v>25</v>
      </c>
      <c r="H4255" s="15" t="n">
        <v>4</v>
      </c>
      <c r="I4255" s="17" t="n">
        <v>0.15</v>
      </c>
      <c r="J4255" s="18" t="n">
        <v>1006.26</v>
      </c>
      <c r="K4255" s="19" t="n">
        <v>0.45</v>
      </c>
      <c r="L4255" s="15" t="n">
        <f aca="false">YEAR(B4255)</f>
        <v>2024</v>
      </c>
      <c r="M4255" s="20" t="n">
        <f aca="false">IF(J4255&gt;0,K4255/J4255,0)</f>
        <v>0.000447200524715282</v>
      </c>
    </row>
    <row r="4256" customFormat="false" ht="15" hidden="false" customHeight="false" outlineLevel="0" collapsed="false">
      <c r="A4256" s="15" t="s">
        <v>4313</v>
      </c>
      <c r="B4256" s="16" t="n">
        <v>45267</v>
      </c>
      <c r="C4256" s="15" t="s">
        <v>56</v>
      </c>
      <c r="D4256" s="15" t="s">
        <v>42</v>
      </c>
      <c r="E4256" s="15" t="s">
        <v>38</v>
      </c>
      <c r="F4256" s="15" t="s">
        <v>17</v>
      </c>
      <c r="G4256" s="15" t="s">
        <v>28</v>
      </c>
      <c r="H4256" s="15" t="n">
        <v>5</v>
      </c>
      <c r="I4256" s="17" t="n">
        <v>0.1</v>
      </c>
      <c r="J4256" s="18" t="n">
        <v>107.77</v>
      </c>
      <c r="K4256" s="19" t="n">
        <v>22.52</v>
      </c>
      <c r="L4256" s="15" t="n">
        <f aca="false">YEAR(B4256)</f>
        <v>2023</v>
      </c>
      <c r="M4256" s="20" t="n">
        <f aca="false">IF(J4256&gt;0,K4256/J4256,0)</f>
        <v>0.208963533450868</v>
      </c>
    </row>
    <row r="4257" customFormat="false" ht="15" hidden="false" customHeight="false" outlineLevel="0" collapsed="false">
      <c r="A4257" s="15" t="s">
        <v>4314</v>
      </c>
      <c r="B4257" s="16" t="n">
        <v>45822</v>
      </c>
      <c r="C4257" s="15" t="s">
        <v>56</v>
      </c>
      <c r="D4257" s="15" t="s">
        <v>42</v>
      </c>
      <c r="E4257" s="15" t="s">
        <v>39</v>
      </c>
      <c r="F4257" s="15" t="s">
        <v>17</v>
      </c>
      <c r="G4257" s="15" t="s">
        <v>29</v>
      </c>
      <c r="H4257" s="15" t="n">
        <v>6</v>
      </c>
      <c r="I4257" s="17" t="n">
        <v>0</v>
      </c>
      <c r="J4257" s="18" t="n">
        <v>100.09</v>
      </c>
      <c r="K4257" s="19" t="n">
        <v>34.31</v>
      </c>
      <c r="L4257" s="15" t="n">
        <f aca="false">YEAR(B4257)</f>
        <v>2025</v>
      </c>
      <c r="M4257" s="20" t="n">
        <f aca="false">IF(J4257&gt;0,K4257/J4257,0)</f>
        <v>0.342791487661105</v>
      </c>
    </row>
    <row r="4258" customFormat="false" ht="15" hidden="false" customHeight="false" outlineLevel="0" collapsed="false">
      <c r="A4258" s="15" t="s">
        <v>4315</v>
      </c>
      <c r="B4258" s="16" t="n">
        <v>45129</v>
      </c>
      <c r="C4258" s="15" t="s">
        <v>71</v>
      </c>
      <c r="D4258" s="15" t="s">
        <v>42</v>
      </c>
      <c r="E4258" s="15" t="s">
        <v>37</v>
      </c>
      <c r="F4258" s="15" t="s">
        <v>18</v>
      </c>
      <c r="G4258" s="15" t="s">
        <v>30</v>
      </c>
      <c r="H4258" s="15" t="n">
        <v>3</v>
      </c>
      <c r="I4258" s="17" t="n">
        <v>0</v>
      </c>
      <c r="J4258" s="18" t="n">
        <v>115.08</v>
      </c>
      <c r="K4258" s="19" t="n">
        <v>39.54</v>
      </c>
      <c r="L4258" s="15" t="n">
        <f aca="false">YEAR(B4258)</f>
        <v>2023</v>
      </c>
      <c r="M4258" s="20" t="n">
        <f aca="false">IF(J4258&gt;0,K4258/J4258,0)</f>
        <v>0.343587069864442</v>
      </c>
    </row>
    <row r="4259" customFormat="false" ht="15" hidden="false" customHeight="false" outlineLevel="0" collapsed="false">
      <c r="A4259" s="15" t="s">
        <v>4316</v>
      </c>
      <c r="B4259" s="16" t="n">
        <v>45519</v>
      </c>
      <c r="C4259" s="15" t="s">
        <v>56</v>
      </c>
      <c r="D4259" s="15" t="s">
        <v>43</v>
      </c>
      <c r="E4259" s="15" t="s">
        <v>37</v>
      </c>
      <c r="F4259" s="15" t="s">
        <v>18</v>
      </c>
      <c r="G4259" s="15" t="s">
        <v>33</v>
      </c>
      <c r="H4259" s="15" t="n">
        <v>6</v>
      </c>
      <c r="I4259" s="17" t="n">
        <v>0</v>
      </c>
      <c r="J4259" s="18" t="n">
        <v>4736.68</v>
      </c>
      <c r="K4259" s="19" t="n">
        <v>1463.11</v>
      </c>
      <c r="L4259" s="15" t="n">
        <f aca="false">YEAR(B4259)</f>
        <v>2024</v>
      </c>
      <c r="M4259" s="20" t="n">
        <f aca="false">IF(J4259&gt;0,K4259/J4259,0)</f>
        <v>0.30888934865771</v>
      </c>
    </row>
    <row r="4260" customFormat="false" ht="15" hidden="false" customHeight="false" outlineLevel="0" collapsed="false">
      <c r="A4260" s="15" t="s">
        <v>4317</v>
      </c>
      <c r="B4260" s="16" t="n">
        <v>45366</v>
      </c>
      <c r="C4260" s="15" t="s">
        <v>56</v>
      </c>
      <c r="D4260" s="15" t="s">
        <v>42</v>
      </c>
      <c r="E4260" s="15" t="s">
        <v>39</v>
      </c>
      <c r="F4260" s="15" t="s">
        <v>17</v>
      </c>
      <c r="G4260" s="15" t="s">
        <v>28</v>
      </c>
      <c r="H4260" s="15" t="n">
        <v>1</v>
      </c>
      <c r="I4260" s="17" t="n">
        <v>0</v>
      </c>
      <c r="J4260" s="18" t="n">
        <v>27.4</v>
      </c>
      <c r="K4260" s="19" t="n">
        <v>6.84</v>
      </c>
      <c r="L4260" s="15" t="n">
        <f aca="false">YEAR(B4260)</f>
        <v>2024</v>
      </c>
      <c r="M4260" s="20" t="n">
        <f aca="false">IF(J4260&gt;0,K4260/J4260,0)</f>
        <v>0.24963503649635</v>
      </c>
    </row>
    <row r="4261" customFormat="false" ht="15" hidden="false" customHeight="false" outlineLevel="0" collapsed="false">
      <c r="A4261" s="15" t="s">
        <v>4318</v>
      </c>
      <c r="B4261" s="16" t="n">
        <v>45618</v>
      </c>
      <c r="C4261" s="15" t="s">
        <v>56</v>
      </c>
      <c r="D4261" s="15" t="s">
        <v>43</v>
      </c>
      <c r="E4261" s="15" t="s">
        <v>37</v>
      </c>
      <c r="F4261" s="15" t="s">
        <v>16</v>
      </c>
      <c r="G4261" s="15" t="s">
        <v>25</v>
      </c>
      <c r="H4261" s="15" t="n">
        <v>2</v>
      </c>
      <c r="I4261" s="17" t="n">
        <v>0</v>
      </c>
      <c r="J4261" s="18" t="n">
        <v>598.08</v>
      </c>
      <c r="K4261" s="19" t="n">
        <v>83.12</v>
      </c>
      <c r="L4261" s="15" t="n">
        <f aca="false">YEAR(B4261)</f>
        <v>2024</v>
      </c>
      <c r="M4261" s="20" t="n">
        <f aca="false">IF(J4261&gt;0,K4261/J4261,0)</f>
        <v>0.138978063135367</v>
      </c>
    </row>
    <row r="4262" customFormat="false" ht="15" hidden="false" customHeight="false" outlineLevel="0" collapsed="false">
      <c r="A4262" s="15" t="s">
        <v>4319</v>
      </c>
      <c r="B4262" s="16" t="n">
        <v>45644</v>
      </c>
      <c r="C4262" s="15" t="s">
        <v>68</v>
      </c>
      <c r="D4262" s="15" t="s">
        <v>44</v>
      </c>
      <c r="E4262" s="15" t="s">
        <v>37</v>
      </c>
      <c r="F4262" s="15" t="s">
        <v>18</v>
      </c>
      <c r="G4262" s="15" t="s">
        <v>30</v>
      </c>
      <c r="H4262" s="15" t="n">
        <v>2</v>
      </c>
      <c r="I4262" s="17" t="n">
        <v>0</v>
      </c>
      <c r="J4262" s="18" t="n">
        <v>100.92</v>
      </c>
      <c r="K4262" s="19" t="n">
        <v>23.79</v>
      </c>
      <c r="L4262" s="15" t="n">
        <f aca="false">YEAR(B4262)</f>
        <v>2024</v>
      </c>
      <c r="M4262" s="20" t="n">
        <f aca="false">IF(J4262&gt;0,K4262/J4262,0)</f>
        <v>0.235731272294887</v>
      </c>
    </row>
    <row r="4263" customFormat="false" ht="15" hidden="false" customHeight="false" outlineLevel="0" collapsed="false">
      <c r="A4263" s="15" t="s">
        <v>4320</v>
      </c>
      <c r="B4263" s="16" t="n">
        <v>45064</v>
      </c>
      <c r="C4263" s="15" t="s">
        <v>71</v>
      </c>
      <c r="D4263" s="15" t="s">
        <v>43</v>
      </c>
      <c r="E4263" s="15" t="s">
        <v>36</v>
      </c>
      <c r="F4263" s="15" t="s">
        <v>16</v>
      </c>
      <c r="G4263" s="15" t="s">
        <v>22</v>
      </c>
      <c r="H4263" s="15" t="n">
        <v>4</v>
      </c>
      <c r="I4263" s="17" t="n">
        <v>0.05</v>
      </c>
      <c r="J4263" s="18" t="n">
        <v>1981.09</v>
      </c>
      <c r="K4263" s="19" t="n">
        <v>-212.22</v>
      </c>
      <c r="L4263" s="15" t="n">
        <f aca="false">YEAR(B4263)</f>
        <v>2023</v>
      </c>
      <c r="M4263" s="20" t="n">
        <f aca="false">IF(J4263&gt;0,K4263/J4263,0)</f>
        <v>-0.107122846513788</v>
      </c>
    </row>
    <row r="4264" customFormat="false" ht="15" hidden="false" customHeight="false" outlineLevel="0" collapsed="false">
      <c r="A4264" s="15" t="s">
        <v>4321</v>
      </c>
      <c r="B4264" s="16" t="n">
        <v>44820</v>
      </c>
      <c r="C4264" s="15" t="s">
        <v>68</v>
      </c>
      <c r="D4264" s="15" t="s">
        <v>42</v>
      </c>
      <c r="E4264" s="15" t="s">
        <v>39</v>
      </c>
      <c r="F4264" s="15" t="s">
        <v>18</v>
      </c>
      <c r="G4264" s="15" t="s">
        <v>32</v>
      </c>
      <c r="H4264" s="15" t="n">
        <v>5</v>
      </c>
      <c r="I4264" s="17" t="n">
        <v>0</v>
      </c>
      <c r="J4264" s="18" t="n">
        <v>2053.48</v>
      </c>
      <c r="K4264" s="19" t="n">
        <v>432.52</v>
      </c>
      <c r="L4264" s="15" t="n">
        <f aca="false">YEAR(B4264)</f>
        <v>2022</v>
      </c>
      <c r="M4264" s="20" t="n">
        <f aca="false">IF(J4264&gt;0,K4264/J4264,0)</f>
        <v>0.210627812299121</v>
      </c>
    </row>
    <row r="4265" customFormat="false" ht="15" hidden="false" customHeight="false" outlineLevel="0" collapsed="false">
      <c r="A4265" s="15" t="s">
        <v>4322</v>
      </c>
      <c r="B4265" s="16" t="n">
        <v>45765</v>
      </c>
      <c r="C4265" s="15" t="s">
        <v>58</v>
      </c>
      <c r="D4265" s="15" t="s">
        <v>42</v>
      </c>
      <c r="E4265" s="15" t="s">
        <v>36</v>
      </c>
      <c r="F4265" s="15" t="s">
        <v>17</v>
      </c>
      <c r="G4265" s="15" t="s">
        <v>28</v>
      </c>
      <c r="H4265" s="15" t="n">
        <v>6</v>
      </c>
      <c r="I4265" s="17" t="n">
        <v>0.15</v>
      </c>
      <c r="J4265" s="18" t="n">
        <v>116.72</v>
      </c>
      <c r="K4265" s="19" t="n">
        <v>23.11</v>
      </c>
      <c r="L4265" s="15" t="n">
        <f aca="false">YEAR(B4265)</f>
        <v>2025</v>
      </c>
      <c r="M4265" s="20" t="n">
        <f aca="false">IF(J4265&gt;0,K4265/J4265,0)</f>
        <v>0.197995202193283</v>
      </c>
    </row>
    <row r="4266" customFormat="false" ht="15" hidden="false" customHeight="false" outlineLevel="0" collapsed="false">
      <c r="A4266" s="15" t="s">
        <v>4323</v>
      </c>
      <c r="B4266" s="16" t="n">
        <v>44643</v>
      </c>
      <c r="C4266" s="15" t="s">
        <v>56</v>
      </c>
      <c r="D4266" s="15" t="s">
        <v>42</v>
      </c>
      <c r="E4266" s="15" t="s">
        <v>36</v>
      </c>
      <c r="F4266" s="15" t="s">
        <v>17</v>
      </c>
      <c r="G4266" s="15" t="s">
        <v>29</v>
      </c>
      <c r="H4266" s="15" t="n">
        <v>1</v>
      </c>
      <c r="I4266" s="17" t="n">
        <v>0</v>
      </c>
      <c r="J4266" s="18" t="n">
        <v>18</v>
      </c>
      <c r="K4266" s="19" t="n">
        <v>6.19</v>
      </c>
      <c r="L4266" s="15" t="n">
        <f aca="false">YEAR(B4266)</f>
        <v>2022</v>
      </c>
      <c r="M4266" s="20" t="n">
        <f aca="false">IF(J4266&gt;0,K4266/J4266,0)</f>
        <v>0.343888888888889</v>
      </c>
    </row>
    <row r="4267" customFormat="false" ht="15" hidden="false" customHeight="false" outlineLevel="0" collapsed="false">
      <c r="A4267" s="15" t="s">
        <v>4324</v>
      </c>
      <c r="B4267" s="16" t="n">
        <v>44905</v>
      </c>
      <c r="C4267" s="15" t="s">
        <v>71</v>
      </c>
      <c r="D4267" s="15" t="s">
        <v>44</v>
      </c>
      <c r="E4267" s="15" t="s">
        <v>39</v>
      </c>
      <c r="F4267" s="15" t="s">
        <v>17</v>
      </c>
      <c r="G4267" s="15" t="s">
        <v>28</v>
      </c>
      <c r="H4267" s="15" t="n">
        <v>5</v>
      </c>
      <c r="I4267" s="17" t="n">
        <v>0.05</v>
      </c>
      <c r="J4267" s="18" t="n">
        <v>116.3</v>
      </c>
      <c r="K4267" s="19" t="n">
        <v>28.15</v>
      </c>
      <c r="L4267" s="15" t="n">
        <f aca="false">YEAR(B4267)</f>
        <v>2022</v>
      </c>
      <c r="M4267" s="20" t="n">
        <f aca="false">IF(J4267&gt;0,K4267/J4267,0)</f>
        <v>0.242046431642304</v>
      </c>
    </row>
    <row r="4268" customFormat="false" ht="15" hidden="false" customHeight="false" outlineLevel="0" collapsed="false">
      <c r="A4268" s="15" t="s">
        <v>4325</v>
      </c>
      <c r="B4268" s="16" t="n">
        <v>45211</v>
      </c>
      <c r="C4268" s="15" t="s">
        <v>56</v>
      </c>
      <c r="D4268" s="15" t="s">
        <v>44</v>
      </c>
      <c r="E4268" s="15" t="s">
        <v>38</v>
      </c>
      <c r="F4268" s="15" t="s">
        <v>18</v>
      </c>
      <c r="G4268" s="15" t="s">
        <v>30</v>
      </c>
      <c r="H4268" s="15" t="n">
        <v>5</v>
      </c>
      <c r="I4268" s="17" t="n">
        <v>0.2</v>
      </c>
      <c r="J4268" s="18" t="n">
        <v>151.6</v>
      </c>
      <c r="K4268" s="19" t="n">
        <v>10.49</v>
      </c>
      <c r="L4268" s="15" t="n">
        <f aca="false">YEAR(B4268)</f>
        <v>2023</v>
      </c>
      <c r="M4268" s="20" t="n">
        <f aca="false">IF(J4268&gt;0,K4268/J4268,0)</f>
        <v>0.0691952506596306</v>
      </c>
    </row>
    <row r="4269" customFormat="false" ht="15" hidden="false" customHeight="false" outlineLevel="0" collapsed="false">
      <c r="A4269" s="15" t="s">
        <v>4326</v>
      </c>
      <c r="B4269" s="16" t="n">
        <v>45106</v>
      </c>
      <c r="C4269" s="15" t="s">
        <v>68</v>
      </c>
      <c r="D4269" s="15" t="s">
        <v>42</v>
      </c>
      <c r="E4269" s="15" t="s">
        <v>36</v>
      </c>
      <c r="F4269" s="15" t="s">
        <v>17</v>
      </c>
      <c r="G4269" s="15" t="s">
        <v>26</v>
      </c>
      <c r="H4269" s="15" t="n">
        <v>2</v>
      </c>
      <c r="I4269" s="17" t="n">
        <v>0</v>
      </c>
      <c r="J4269" s="18" t="n">
        <v>142.05</v>
      </c>
      <c r="K4269" s="19" t="n">
        <v>14.55</v>
      </c>
      <c r="L4269" s="15" t="n">
        <f aca="false">YEAR(B4269)</f>
        <v>2023</v>
      </c>
      <c r="M4269" s="20" t="n">
        <f aca="false">IF(J4269&gt;0,K4269/J4269,0)</f>
        <v>0.102428722280887</v>
      </c>
    </row>
    <row r="4270" customFormat="false" ht="15" hidden="false" customHeight="false" outlineLevel="0" collapsed="false">
      <c r="A4270" s="15" t="s">
        <v>4327</v>
      </c>
      <c r="B4270" s="16" t="n">
        <v>45810</v>
      </c>
      <c r="C4270" s="15" t="s">
        <v>56</v>
      </c>
      <c r="D4270" s="15" t="s">
        <v>43</v>
      </c>
      <c r="E4270" s="15" t="s">
        <v>36</v>
      </c>
      <c r="F4270" s="15" t="s">
        <v>17</v>
      </c>
      <c r="G4270" s="15" t="s">
        <v>28</v>
      </c>
      <c r="H4270" s="15" t="n">
        <v>6</v>
      </c>
      <c r="I4270" s="17" t="n">
        <v>0</v>
      </c>
      <c r="J4270" s="18" t="n">
        <v>156.34</v>
      </c>
      <c r="K4270" s="19" t="n">
        <v>37.39</v>
      </c>
      <c r="L4270" s="15" t="n">
        <f aca="false">YEAR(B4270)</f>
        <v>2025</v>
      </c>
      <c r="M4270" s="20" t="n">
        <f aca="false">IF(J4270&gt;0,K4270/J4270,0)</f>
        <v>0.239158244850966</v>
      </c>
    </row>
    <row r="4271" customFormat="false" ht="15" hidden="false" customHeight="false" outlineLevel="0" collapsed="false">
      <c r="A4271" s="15" t="s">
        <v>4328</v>
      </c>
      <c r="B4271" s="16" t="n">
        <v>45919</v>
      </c>
      <c r="C4271" s="15" t="s">
        <v>68</v>
      </c>
      <c r="D4271" s="15" t="s">
        <v>42</v>
      </c>
      <c r="E4271" s="15" t="s">
        <v>39</v>
      </c>
      <c r="F4271" s="15" t="s">
        <v>17</v>
      </c>
      <c r="G4271" s="15" t="s">
        <v>31</v>
      </c>
      <c r="H4271" s="15" t="n">
        <v>4</v>
      </c>
      <c r="I4271" s="17" t="n">
        <v>0</v>
      </c>
      <c r="J4271" s="18" t="n">
        <v>499.08</v>
      </c>
      <c r="K4271" s="19" t="n">
        <v>92.99</v>
      </c>
      <c r="L4271" s="15" t="n">
        <f aca="false">YEAR(B4271)</f>
        <v>2025</v>
      </c>
      <c r="M4271" s="20" t="n">
        <f aca="false">IF(J4271&gt;0,K4271/J4271,0)</f>
        <v>0.186322834014587</v>
      </c>
    </row>
    <row r="4272" customFormat="false" ht="15" hidden="false" customHeight="false" outlineLevel="0" collapsed="false">
      <c r="A4272" s="15" t="s">
        <v>4329</v>
      </c>
      <c r="B4272" s="16" t="n">
        <v>45431</v>
      </c>
      <c r="C4272" s="15" t="s">
        <v>56</v>
      </c>
      <c r="D4272" s="15" t="s">
        <v>43</v>
      </c>
      <c r="E4272" s="15" t="s">
        <v>39</v>
      </c>
      <c r="F4272" s="15" t="s">
        <v>17</v>
      </c>
      <c r="G4272" s="15" t="s">
        <v>28</v>
      </c>
      <c r="H4272" s="15" t="n">
        <v>4</v>
      </c>
      <c r="I4272" s="17" t="n">
        <v>0.1</v>
      </c>
      <c r="J4272" s="18" t="n">
        <v>95.37</v>
      </c>
      <c r="K4272" s="19" t="n">
        <v>22.27</v>
      </c>
      <c r="L4272" s="15" t="n">
        <f aca="false">YEAR(B4272)</f>
        <v>2024</v>
      </c>
      <c r="M4272" s="20" t="n">
        <f aca="false">IF(J4272&gt;0,K4272/J4272,0)</f>
        <v>0.233511586452763</v>
      </c>
    </row>
    <row r="4273" customFormat="false" ht="15" hidden="false" customHeight="false" outlineLevel="0" collapsed="false">
      <c r="A4273" s="15" t="s">
        <v>4330</v>
      </c>
      <c r="B4273" s="16" t="n">
        <v>45546</v>
      </c>
      <c r="C4273" s="15" t="s">
        <v>58</v>
      </c>
      <c r="D4273" s="15" t="s">
        <v>43</v>
      </c>
      <c r="E4273" s="15" t="s">
        <v>37</v>
      </c>
      <c r="F4273" s="15" t="s">
        <v>17</v>
      </c>
      <c r="G4273" s="15" t="s">
        <v>29</v>
      </c>
      <c r="H4273" s="15" t="n">
        <v>2</v>
      </c>
      <c r="I4273" s="17" t="n">
        <v>0</v>
      </c>
      <c r="J4273" s="18" t="n">
        <v>39.12</v>
      </c>
      <c r="K4273" s="19" t="n">
        <v>14.01</v>
      </c>
      <c r="L4273" s="15" t="n">
        <f aca="false">YEAR(B4273)</f>
        <v>2024</v>
      </c>
      <c r="M4273" s="20" t="n">
        <f aca="false">IF(J4273&gt;0,K4273/J4273,0)</f>
        <v>0.358128834355828</v>
      </c>
    </row>
    <row r="4274" customFormat="false" ht="15" hidden="false" customHeight="false" outlineLevel="0" collapsed="false">
      <c r="A4274" s="15" t="s">
        <v>4331</v>
      </c>
      <c r="B4274" s="16" t="n">
        <v>45444</v>
      </c>
      <c r="C4274" s="15" t="s">
        <v>56</v>
      </c>
      <c r="D4274" s="15" t="s">
        <v>42</v>
      </c>
      <c r="E4274" s="15" t="s">
        <v>39</v>
      </c>
      <c r="F4274" s="15" t="s">
        <v>16</v>
      </c>
      <c r="G4274" s="15" t="s">
        <v>22</v>
      </c>
      <c r="H4274" s="15" t="n">
        <v>5</v>
      </c>
      <c r="I4274" s="17" t="n">
        <v>0.3</v>
      </c>
      <c r="J4274" s="18" t="n">
        <v>1666</v>
      </c>
      <c r="K4274" s="19" t="n">
        <v>-598.83</v>
      </c>
      <c r="L4274" s="15" t="n">
        <f aca="false">YEAR(B4274)</f>
        <v>2024</v>
      </c>
      <c r="M4274" s="20" t="n">
        <f aca="false">IF(J4274&gt;0,K4274/J4274,0)</f>
        <v>-0.359441776710684</v>
      </c>
    </row>
    <row r="4275" customFormat="false" ht="15" hidden="false" customHeight="false" outlineLevel="0" collapsed="false">
      <c r="A4275" s="15" t="s">
        <v>4332</v>
      </c>
      <c r="B4275" s="16" t="n">
        <v>45573</v>
      </c>
      <c r="C4275" s="15" t="s">
        <v>56</v>
      </c>
      <c r="D4275" s="15" t="s">
        <v>43</v>
      </c>
      <c r="E4275" s="15" t="s">
        <v>36</v>
      </c>
      <c r="F4275" s="15" t="s">
        <v>18</v>
      </c>
      <c r="G4275" s="15" t="s">
        <v>32</v>
      </c>
      <c r="H4275" s="15" t="n">
        <v>6</v>
      </c>
      <c r="I4275" s="17" t="n">
        <v>0.5</v>
      </c>
      <c r="J4275" s="18" t="n">
        <v>1359.35</v>
      </c>
      <c r="K4275" s="19" t="n">
        <v>-424.55</v>
      </c>
      <c r="L4275" s="15" t="n">
        <f aca="false">YEAR(B4275)</f>
        <v>2024</v>
      </c>
      <c r="M4275" s="20" t="n">
        <f aca="false">IF(J4275&gt;0,K4275/J4275,0)</f>
        <v>-0.312318387464597</v>
      </c>
    </row>
    <row r="4276" customFormat="false" ht="15" hidden="false" customHeight="false" outlineLevel="0" collapsed="false">
      <c r="A4276" s="15" t="s">
        <v>4333</v>
      </c>
      <c r="B4276" s="16" t="n">
        <v>45657</v>
      </c>
      <c r="C4276" s="15" t="s">
        <v>58</v>
      </c>
      <c r="D4276" s="15" t="s">
        <v>42</v>
      </c>
      <c r="E4276" s="15" t="s">
        <v>39</v>
      </c>
      <c r="F4276" s="15" t="s">
        <v>17</v>
      </c>
      <c r="G4276" s="15" t="s">
        <v>26</v>
      </c>
      <c r="H4276" s="15" t="n">
        <v>2</v>
      </c>
      <c r="I4276" s="17" t="n">
        <v>0.05</v>
      </c>
      <c r="J4276" s="18" t="n">
        <v>208</v>
      </c>
      <c r="K4276" s="19" t="n">
        <v>17.72</v>
      </c>
      <c r="L4276" s="15" t="n">
        <f aca="false">YEAR(B4276)</f>
        <v>2024</v>
      </c>
      <c r="M4276" s="20" t="n">
        <f aca="false">IF(J4276&gt;0,K4276/J4276,0)</f>
        <v>0.0851923076923077</v>
      </c>
    </row>
    <row r="4277" customFormat="false" ht="15" hidden="false" customHeight="false" outlineLevel="0" collapsed="false">
      <c r="A4277" s="15" t="s">
        <v>4334</v>
      </c>
      <c r="B4277" s="16" t="n">
        <v>44989</v>
      </c>
      <c r="C4277" s="15" t="s">
        <v>56</v>
      </c>
      <c r="D4277" s="15" t="s">
        <v>43</v>
      </c>
      <c r="E4277" s="15" t="s">
        <v>38</v>
      </c>
      <c r="F4277" s="15" t="s">
        <v>17</v>
      </c>
      <c r="G4277" s="15" t="s">
        <v>28</v>
      </c>
      <c r="H4277" s="15" t="n">
        <v>4</v>
      </c>
      <c r="I4277" s="17" t="n">
        <v>0</v>
      </c>
      <c r="J4277" s="18" t="n">
        <v>121.85</v>
      </c>
      <c r="K4277" s="19" t="n">
        <v>32.9</v>
      </c>
      <c r="L4277" s="15" t="n">
        <f aca="false">YEAR(B4277)</f>
        <v>2023</v>
      </c>
      <c r="M4277" s="20" t="n">
        <f aca="false">IF(J4277&gt;0,K4277/J4277,0)</f>
        <v>0.270004103405827</v>
      </c>
    </row>
    <row r="4278" customFormat="false" ht="15" hidden="false" customHeight="false" outlineLevel="0" collapsed="false">
      <c r="A4278" s="15" t="s">
        <v>4335</v>
      </c>
      <c r="B4278" s="16" t="n">
        <v>45475</v>
      </c>
      <c r="C4278" s="15" t="s">
        <v>56</v>
      </c>
      <c r="D4278" s="15" t="s">
        <v>43</v>
      </c>
      <c r="E4278" s="15" t="s">
        <v>39</v>
      </c>
      <c r="F4278" s="15" t="s">
        <v>16</v>
      </c>
      <c r="G4278" s="15" t="s">
        <v>23</v>
      </c>
      <c r="H4278" s="15" t="n">
        <v>5</v>
      </c>
      <c r="I4278" s="17" t="n">
        <v>0</v>
      </c>
      <c r="J4278" s="18" t="n">
        <v>1826.88</v>
      </c>
      <c r="K4278" s="19" t="n">
        <v>-46.81</v>
      </c>
      <c r="L4278" s="15" t="n">
        <f aca="false">YEAR(B4278)</f>
        <v>2024</v>
      </c>
      <c r="M4278" s="20" t="n">
        <f aca="false">IF(J4278&gt;0,K4278/J4278,0)</f>
        <v>-0.0256229199509546</v>
      </c>
    </row>
    <row r="4279" customFormat="false" ht="15" hidden="false" customHeight="false" outlineLevel="0" collapsed="false">
      <c r="A4279" s="15" t="s">
        <v>4336</v>
      </c>
      <c r="B4279" s="16" t="n">
        <v>45888</v>
      </c>
      <c r="C4279" s="15" t="s">
        <v>56</v>
      </c>
      <c r="D4279" s="15" t="s">
        <v>42</v>
      </c>
      <c r="E4279" s="15" t="s">
        <v>37</v>
      </c>
      <c r="F4279" s="15" t="s">
        <v>16</v>
      </c>
      <c r="G4279" s="15" t="s">
        <v>23</v>
      </c>
      <c r="H4279" s="15" t="n">
        <v>4</v>
      </c>
      <c r="I4279" s="17" t="n">
        <v>0</v>
      </c>
      <c r="J4279" s="18" t="n">
        <v>1540.17</v>
      </c>
      <c r="K4279" s="19" t="n">
        <v>4.23</v>
      </c>
      <c r="L4279" s="15" t="n">
        <f aca="false">YEAR(B4279)</f>
        <v>2025</v>
      </c>
      <c r="M4279" s="20" t="n">
        <f aca="false">IF(J4279&gt;0,K4279/J4279,0)</f>
        <v>0.00274645006720037</v>
      </c>
    </row>
    <row r="4280" customFormat="false" ht="15" hidden="false" customHeight="false" outlineLevel="0" collapsed="false">
      <c r="A4280" s="15" t="s">
        <v>4337</v>
      </c>
      <c r="B4280" s="16" t="n">
        <v>45618</v>
      </c>
      <c r="C4280" s="15" t="s">
        <v>56</v>
      </c>
      <c r="D4280" s="15" t="s">
        <v>44</v>
      </c>
      <c r="E4280" s="15" t="s">
        <v>37</v>
      </c>
      <c r="F4280" s="15" t="s">
        <v>18</v>
      </c>
      <c r="G4280" s="15" t="s">
        <v>33</v>
      </c>
      <c r="H4280" s="15" t="n">
        <v>4</v>
      </c>
      <c r="I4280" s="17" t="n">
        <v>0.4</v>
      </c>
      <c r="J4280" s="18" t="n">
        <v>2573.37</v>
      </c>
      <c r="K4280" s="19" t="n">
        <v>-72.58</v>
      </c>
      <c r="L4280" s="15" t="n">
        <f aca="false">YEAR(B4280)</f>
        <v>2024</v>
      </c>
      <c r="M4280" s="20" t="n">
        <f aca="false">IF(J4280&gt;0,K4280/J4280,0)</f>
        <v>-0.0282042613382452</v>
      </c>
    </row>
    <row r="4281" customFormat="false" ht="15" hidden="false" customHeight="false" outlineLevel="0" collapsed="false">
      <c r="A4281" s="15" t="s">
        <v>4338</v>
      </c>
      <c r="B4281" s="16" t="n">
        <v>44926</v>
      </c>
      <c r="C4281" s="15" t="s">
        <v>56</v>
      </c>
      <c r="D4281" s="15" t="s">
        <v>42</v>
      </c>
      <c r="E4281" s="15" t="s">
        <v>37</v>
      </c>
      <c r="F4281" s="15" t="s">
        <v>17</v>
      </c>
      <c r="G4281" s="15" t="s">
        <v>29</v>
      </c>
      <c r="H4281" s="15" t="n">
        <v>3</v>
      </c>
      <c r="I4281" s="17" t="n">
        <v>0</v>
      </c>
      <c r="J4281" s="18" t="n">
        <v>65.77</v>
      </c>
      <c r="K4281" s="19" t="n">
        <v>27.41</v>
      </c>
      <c r="L4281" s="15" t="n">
        <f aca="false">YEAR(B4281)</f>
        <v>2022</v>
      </c>
      <c r="M4281" s="20" t="n">
        <f aca="false">IF(J4281&gt;0,K4281/J4281,0)</f>
        <v>0.416755359586438</v>
      </c>
    </row>
    <row r="4282" customFormat="false" ht="15" hidden="false" customHeight="false" outlineLevel="0" collapsed="false">
      <c r="A4282" s="15" t="s">
        <v>4339</v>
      </c>
      <c r="B4282" s="16" t="n">
        <v>45678</v>
      </c>
      <c r="C4282" s="15" t="s">
        <v>56</v>
      </c>
      <c r="D4282" s="15" t="s">
        <v>42</v>
      </c>
      <c r="E4282" s="15" t="s">
        <v>39</v>
      </c>
      <c r="F4282" s="15" t="s">
        <v>17</v>
      </c>
      <c r="G4282" s="15" t="s">
        <v>26</v>
      </c>
      <c r="H4282" s="15" t="n">
        <v>4</v>
      </c>
      <c r="I4282" s="17" t="n">
        <v>0</v>
      </c>
      <c r="J4282" s="18" t="n">
        <v>358.89</v>
      </c>
      <c r="K4282" s="19" t="n">
        <v>47.75</v>
      </c>
      <c r="L4282" s="15" t="n">
        <f aca="false">YEAR(B4282)</f>
        <v>2025</v>
      </c>
      <c r="M4282" s="20" t="n">
        <f aca="false">IF(J4282&gt;0,K4282/J4282,0)</f>
        <v>0.133049123686924</v>
      </c>
    </row>
    <row r="4283" customFormat="false" ht="15" hidden="false" customHeight="false" outlineLevel="0" collapsed="false">
      <c r="A4283" s="15" t="s">
        <v>4340</v>
      </c>
      <c r="B4283" s="16" t="n">
        <v>45744</v>
      </c>
      <c r="C4283" s="15" t="s">
        <v>56</v>
      </c>
      <c r="D4283" s="15" t="s">
        <v>42</v>
      </c>
      <c r="E4283" s="15" t="s">
        <v>39</v>
      </c>
      <c r="F4283" s="15" t="s">
        <v>17</v>
      </c>
      <c r="G4283" s="15" t="s">
        <v>26</v>
      </c>
      <c r="H4283" s="15" t="n">
        <v>4</v>
      </c>
      <c r="I4283" s="17" t="n">
        <v>0.3</v>
      </c>
      <c r="J4283" s="18" t="n">
        <v>273.91</v>
      </c>
      <c r="K4283" s="19" t="n">
        <v>-44.87</v>
      </c>
      <c r="L4283" s="15" t="n">
        <f aca="false">YEAR(B4283)</f>
        <v>2025</v>
      </c>
      <c r="M4283" s="20" t="n">
        <f aca="false">IF(J4283&gt;0,K4283/J4283,0)</f>
        <v>-0.163812931254792</v>
      </c>
    </row>
    <row r="4284" customFormat="false" ht="15" hidden="false" customHeight="false" outlineLevel="0" collapsed="false">
      <c r="A4284" s="15" t="s">
        <v>4341</v>
      </c>
      <c r="B4284" s="16" t="n">
        <v>45915</v>
      </c>
      <c r="C4284" s="15" t="s">
        <v>68</v>
      </c>
      <c r="D4284" s="15" t="s">
        <v>43</v>
      </c>
      <c r="E4284" s="15" t="s">
        <v>39</v>
      </c>
      <c r="F4284" s="15" t="s">
        <v>18</v>
      </c>
      <c r="G4284" s="15" t="s">
        <v>32</v>
      </c>
      <c r="H4284" s="15" t="n">
        <v>2</v>
      </c>
      <c r="I4284" s="17" t="n">
        <v>0</v>
      </c>
      <c r="J4284" s="18" t="n">
        <v>928.59</v>
      </c>
      <c r="K4284" s="19" t="n">
        <v>269.52</v>
      </c>
      <c r="L4284" s="15" t="n">
        <f aca="false">YEAR(B4284)</f>
        <v>2025</v>
      </c>
      <c r="M4284" s="20" t="n">
        <f aca="false">IF(J4284&gt;0,K4284/J4284,0)</f>
        <v>0.290246502762252</v>
      </c>
    </row>
    <row r="4285" customFormat="false" ht="15" hidden="false" customHeight="false" outlineLevel="0" collapsed="false">
      <c r="A4285" s="15" t="s">
        <v>4342</v>
      </c>
      <c r="B4285" s="16" t="n">
        <v>44710</v>
      </c>
      <c r="C4285" s="15" t="s">
        <v>56</v>
      </c>
      <c r="D4285" s="15" t="s">
        <v>42</v>
      </c>
      <c r="E4285" s="15" t="s">
        <v>36</v>
      </c>
      <c r="F4285" s="15" t="s">
        <v>17</v>
      </c>
      <c r="G4285" s="15" t="s">
        <v>28</v>
      </c>
      <c r="H4285" s="15" t="n">
        <v>2</v>
      </c>
      <c r="I4285" s="17" t="n">
        <v>0</v>
      </c>
      <c r="J4285" s="18" t="n">
        <v>53.37</v>
      </c>
      <c r="K4285" s="19" t="n">
        <v>17.43</v>
      </c>
      <c r="L4285" s="15" t="n">
        <f aca="false">YEAR(B4285)</f>
        <v>2022</v>
      </c>
      <c r="M4285" s="20" t="n">
        <f aca="false">IF(J4285&gt;0,K4285/J4285,0)</f>
        <v>0.326587970770096</v>
      </c>
    </row>
    <row r="4286" customFormat="false" ht="15" hidden="false" customHeight="false" outlineLevel="0" collapsed="false">
      <c r="A4286" s="15" t="s">
        <v>4343</v>
      </c>
      <c r="B4286" s="16" t="n">
        <v>44816</v>
      </c>
      <c r="C4286" s="15" t="s">
        <v>56</v>
      </c>
      <c r="D4286" s="15" t="s">
        <v>42</v>
      </c>
      <c r="E4286" s="15" t="s">
        <v>36</v>
      </c>
      <c r="F4286" s="15" t="s">
        <v>17</v>
      </c>
      <c r="G4286" s="15" t="s">
        <v>29</v>
      </c>
      <c r="H4286" s="15" t="n">
        <v>6</v>
      </c>
      <c r="I4286" s="17" t="n">
        <v>0.15</v>
      </c>
      <c r="J4286" s="18" t="n">
        <v>76.94</v>
      </c>
      <c r="K4286" s="19" t="n">
        <v>18.4</v>
      </c>
      <c r="L4286" s="15" t="n">
        <f aca="false">YEAR(B4286)</f>
        <v>2022</v>
      </c>
      <c r="M4286" s="20" t="n">
        <f aca="false">IF(J4286&gt;0,K4286/J4286,0)</f>
        <v>0.239147387574734</v>
      </c>
    </row>
    <row r="4287" customFormat="false" ht="15" hidden="false" customHeight="false" outlineLevel="0" collapsed="false">
      <c r="A4287" s="15" t="s">
        <v>4344</v>
      </c>
      <c r="B4287" s="16" t="n">
        <v>45398</v>
      </c>
      <c r="C4287" s="15" t="s">
        <v>71</v>
      </c>
      <c r="D4287" s="15" t="s">
        <v>42</v>
      </c>
      <c r="E4287" s="15" t="s">
        <v>36</v>
      </c>
      <c r="F4287" s="15" t="s">
        <v>16</v>
      </c>
      <c r="G4287" s="15" t="s">
        <v>23</v>
      </c>
      <c r="H4287" s="15" t="n">
        <v>1</v>
      </c>
      <c r="I4287" s="17" t="n">
        <v>0.05</v>
      </c>
      <c r="J4287" s="18" t="n">
        <v>264.25</v>
      </c>
      <c r="K4287" s="19" t="n">
        <v>-4.49</v>
      </c>
      <c r="L4287" s="15" t="n">
        <f aca="false">YEAR(B4287)</f>
        <v>2024</v>
      </c>
      <c r="M4287" s="20" t="n">
        <f aca="false">IF(J4287&gt;0,K4287/J4287,0)</f>
        <v>-0.0169914853358562</v>
      </c>
    </row>
    <row r="4288" customFormat="false" ht="15" hidden="false" customHeight="false" outlineLevel="0" collapsed="false">
      <c r="A4288" s="15" t="s">
        <v>4345</v>
      </c>
      <c r="B4288" s="16" t="n">
        <v>45606</v>
      </c>
      <c r="C4288" s="15" t="s">
        <v>56</v>
      </c>
      <c r="D4288" s="15" t="s">
        <v>44</v>
      </c>
      <c r="E4288" s="15" t="s">
        <v>37</v>
      </c>
      <c r="F4288" s="15" t="s">
        <v>17</v>
      </c>
      <c r="G4288" s="15" t="s">
        <v>26</v>
      </c>
      <c r="H4288" s="15" t="n">
        <v>3</v>
      </c>
      <c r="I4288" s="17" t="n">
        <v>0.15</v>
      </c>
      <c r="J4288" s="18" t="n">
        <v>221.71</v>
      </c>
      <c r="K4288" s="19" t="n">
        <v>-5.69</v>
      </c>
      <c r="L4288" s="15" t="n">
        <f aca="false">YEAR(B4288)</f>
        <v>2024</v>
      </c>
      <c r="M4288" s="20" t="n">
        <f aca="false">IF(J4288&gt;0,K4288/J4288,0)</f>
        <v>-0.0256641558793018</v>
      </c>
    </row>
    <row r="4289" customFormat="false" ht="15" hidden="false" customHeight="false" outlineLevel="0" collapsed="false">
      <c r="A4289" s="15" t="s">
        <v>4346</v>
      </c>
      <c r="B4289" s="16" t="n">
        <v>45912</v>
      </c>
      <c r="C4289" s="15" t="s">
        <v>71</v>
      </c>
      <c r="D4289" s="15" t="s">
        <v>44</v>
      </c>
      <c r="E4289" s="15" t="s">
        <v>39</v>
      </c>
      <c r="F4289" s="15" t="s">
        <v>18</v>
      </c>
      <c r="G4289" s="15" t="s">
        <v>33</v>
      </c>
      <c r="H4289" s="15" t="n">
        <v>3</v>
      </c>
      <c r="I4289" s="17" t="n">
        <v>0</v>
      </c>
      <c r="J4289" s="18" t="n">
        <v>3155.3</v>
      </c>
      <c r="K4289" s="19" t="n">
        <v>1034.69</v>
      </c>
      <c r="L4289" s="15" t="n">
        <f aca="false">YEAR(B4289)</f>
        <v>2025</v>
      </c>
      <c r="M4289" s="20" t="n">
        <f aca="false">IF(J4289&gt;0,K4289/J4289,0)</f>
        <v>0.32792127531455</v>
      </c>
    </row>
    <row r="4290" customFormat="false" ht="15" hidden="false" customHeight="false" outlineLevel="0" collapsed="false">
      <c r="A4290" s="15" t="s">
        <v>4347</v>
      </c>
      <c r="B4290" s="16" t="n">
        <v>44610</v>
      </c>
      <c r="C4290" s="15" t="s">
        <v>68</v>
      </c>
      <c r="D4290" s="15" t="s">
        <v>42</v>
      </c>
      <c r="E4290" s="15" t="s">
        <v>36</v>
      </c>
      <c r="F4290" s="15" t="s">
        <v>16</v>
      </c>
      <c r="G4290" s="15" t="s">
        <v>22</v>
      </c>
      <c r="H4290" s="15" t="n">
        <v>4</v>
      </c>
      <c r="I4290" s="17" t="n">
        <v>0.1</v>
      </c>
      <c r="J4290" s="18" t="n">
        <v>1581.48</v>
      </c>
      <c r="K4290" s="19" t="n">
        <v>-181.49</v>
      </c>
      <c r="L4290" s="15" t="n">
        <f aca="false">YEAR(B4290)</f>
        <v>2022</v>
      </c>
      <c r="M4290" s="20" t="n">
        <f aca="false">IF(J4290&gt;0,K4290/J4290,0)</f>
        <v>-0.114759592280649</v>
      </c>
    </row>
    <row r="4291" customFormat="false" ht="15" hidden="false" customHeight="false" outlineLevel="0" collapsed="false">
      <c r="A4291" s="15" t="s">
        <v>4348</v>
      </c>
      <c r="B4291" s="16" t="n">
        <v>44621</v>
      </c>
      <c r="C4291" s="15" t="s">
        <v>56</v>
      </c>
      <c r="D4291" s="15" t="s">
        <v>42</v>
      </c>
      <c r="E4291" s="15" t="s">
        <v>39</v>
      </c>
      <c r="F4291" s="15" t="s">
        <v>16</v>
      </c>
      <c r="G4291" s="15" t="s">
        <v>23</v>
      </c>
      <c r="H4291" s="15" t="n">
        <v>3</v>
      </c>
      <c r="I4291" s="17" t="n">
        <v>0</v>
      </c>
      <c r="J4291" s="18" t="n">
        <v>891.01</v>
      </c>
      <c r="K4291" s="19" t="n">
        <v>22.19</v>
      </c>
      <c r="L4291" s="15" t="n">
        <f aca="false">YEAR(B4291)</f>
        <v>2022</v>
      </c>
      <c r="M4291" s="20" t="n">
        <f aca="false">IF(J4291&gt;0,K4291/J4291,0)</f>
        <v>0.0249043220614808</v>
      </c>
    </row>
    <row r="4292" customFormat="false" ht="15" hidden="false" customHeight="false" outlineLevel="0" collapsed="false">
      <c r="A4292" s="15" t="s">
        <v>4349</v>
      </c>
      <c r="B4292" s="16" t="n">
        <v>45585</v>
      </c>
      <c r="C4292" s="15" t="s">
        <v>58</v>
      </c>
      <c r="D4292" s="15" t="s">
        <v>43</v>
      </c>
      <c r="E4292" s="15" t="s">
        <v>38</v>
      </c>
      <c r="F4292" s="15" t="s">
        <v>17</v>
      </c>
      <c r="G4292" s="15" t="s">
        <v>29</v>
      </c>
      <c r="H4292" s="15" t="n">
        <v>4</v>
      </c>
      <c r="I4292" s="17" t="n">
        <v>0.15</v>
      </c>
      <c r="J4292" s="18" t="n">
        <v>57.86</v>
      </c>
      <c r="K4292" s="19" t="n">
        <v>15.64</v>
      </c>
      <c r="L4292" s="15" t="n">
        <f aca="false">YEAR(B4292)</f>
        <v>2024</v>
      </c>
      <c r="M4292" s="20" t="n">
        <f aca="false">IF(J4292&gt;0,K4292/J4292,0)</f>
        <v>0.270307639128932</v>
      </c>
    </row>
    <row r="4293" customFormat="false" ht="15" hidden="false" customHeight="false" outlineLevel="0" collapsed="false">
      <c r="A4293" s="15" t="s">
        <v>4350</v>
      </c>
      <c r="B4293" s="16" t="n">
        <v>46003</v>
      </c>
      <c r="C4293" s="15" t="s">
        <v>56</v>
      </c>
      <c r="D4293" s="15" t="s">
        <v>43</v>
      </c>
      <c r="E4293" s="15" t="s">
        <v>36</v>
      </c>
      <c r="F4293" s="15" t="s">
        <v>17</v>
      </c>
      <c r="G4293" s="15" t="s">
        <v>26</v>
      </c>
      <c r="H4293" s="15" t="n">
        <v>5</v>
      </c>
      <c r="I4293" s="17" t="n">
        <v>0.2</v>
      </c>
      <c r="J4293" s="18" t="n">
        <v>321.66</v>
      </c>
      <c r="K4293" s="19" t="n">
        <v>-18.66</v>
      </c>
      <c r="L4293" s="15" t="n">
        <f aca="false">YEAR(B4293)</f>
        <v>2025</v>
      </c>
      <c r="M4293" s="20" t="n">
        <f aca="false">IF(J4293&gt;0,K4293/J4293,0)</f>
        <v>-0.0580115650065286</v>
      </c>
    </row>
    <row r="4294" customFormat="false" ht="15" hidden="false" customHeight="false" outlineLevel="0" collapsed="false">
      <c r="A4294" s="15" t="s">
        <v>4351</v>
      </c>
      <c r="B4294" s="16" t="n">
        <v>45143</v>
      </c>
      <c r="C4294" s="15" t="s">
        <v>56</v>
      </c>
      <c r="D4294" s="15" t="s">
        <v>42</v>
      </c>
      <c r="E4294" s="15" t="s">
        <v>37</v>
      </c>
      <c r="F4294" s="15" t="s">
        <v>17</v>
      </c>
      <c r="G4294" s="15" t="s">
        <v>26</v>
      </c>
      <c r="H4294" s="15" t="n">
        <v>6</v>
      </c>
      <c r="I4294" s="17" t="n">
        <v>0</v>
      </c>
      <c r="J4294" s="18" t="n">
        <v>535.67</v>
      </c>
      <c r="K4294" s="19" t="n">
        <v>36.87</v>
      </c>
      <c r="L4294" s="15" t="n">
        <f aca="false">YEAR(B4294)</f>
        <v>2023</v>
      </c>
      <c r="M4294" s="20" t="n">
        <f aca="false">IF(J4294&gt;0,K4294/J4294,0)</f>
        <v>0.0688296899210335</v>
      </c>
    </row>
    <row r="4295" customFormat="false" ht="15" hidden="false" customHeight="false" outlineLevel="0" collapsed="false">
      <c r="A4295" s="15" t="s">
        <v>4352</v>
      </c>
      <c r="B4295" s="16" t="n">
        <v>45609</v>
      </c>
      <c r="C4295" s="15" t="s">
        <v>58</v>
      </c>
      <c r="D4295" s="15" t="s">
        <v>43</v>
      </c>
      <c r="E4295" s="15" t="s">
        <v>36</v>
      </c>
      <c r="F4295" s="15" t="s">
        <v>17</v>
      </c>
      <c r="G4295" s="15" t="s">
        <v>29</v>
      </c>
      <c r="H4295" s="15" t="n">
        <v>4</v>
      </c>
      <c r="I4295" s="17" t="n">
        <v>0.1</v>
      </c>
      <c r="J4295" s="18" t="n">
        <v>62.9</v>
      </c>
      <c r="K4295" s="19" t="n">
        <v>17.81</v>
      </c>
      <c r="L4295" s="15" t="n">
        <f aca="false">YEAR(B4295)</f>
        <v>2024</v>
      </c>
      <c r="M4295" s="20" t="n">
        <f aca="false">IF(J4295&gt;0,K4295/J4295,0)</f>
        <v>0.283147853736089</v>
      </c>
    </row>
    <row r="4296" customFormat="false" ht="15" hidden="false" customHeight="false" outlineLevel="0" collapsed="false">
      <c r="A4296" s="15" t="s">
        <v>4353</v>
      </c>
      <c r="B4296" s="16" t="n">
        <v>45052</v>
      </c>
      <c r="C4296" s="15" t="s">
        <v>71</v>
      </c>
      <c r="D4296" s="15" t="s">
        <v>44</v>
      </c>
      <c r="E4296" s="15" t="s">
        <v>37</v>
      </c>
      <c r="F4296" s="15" t="s">
        <v>17</v>
      </c>
      <c r="G4296" s="15" t="s">
        <v>28</v>
      </c>
      <c r="H4296" s="15" t="n">
        <v>3</v>
      </c>
      <c r="I4296" s="17" t="n">
        <v>0</v>
      </c>
      <c r="J4296" s="18" t="n">
        <v>83.22</v>
      </c>
      <c r="K4296" s="19" t="n">
        <v>20.99</v>
      </c>
      <c r="L4296" s="15" t="n">
        <f aca="false">YEAR(B4296)</f>
        <v>2023</v>
      </c>
      <c r="M4296" s="20" t="n">
        <f aca="false">IF(J4296&gt;0,K4296/J4296,0)</f>
        <v>0.252223023311704</v>
      </c>
    </row>
    <row r="4297" customFormat="false" ht="15" hidden="false" customHeight="false" outlineLevel="0" collapsed="false">
      <c r="A4297" s="15" t="s">
        <v>4354</v>
      </c>
      <c r="B4297" s="16" t="n">
        <v>44839</v>
      </c>
      <c r="C4297" s="15" t="s">
        <v>68</v>
      </c>
      <c r="D4297" s="15" t="s">
        <v>43</v>
      </c>
      <c r="E4297" s="15" t="s">
        <v>36</v>
      </c>
      <c r="F4297" s="15" t="s">
        <v>17</v>
      </c>
      <c r="G4297" s="15" t="s">
        <v>28</v>
      </c>
      <c r="H4297" s="15" t="n">
        <v>1</v>
      </c>
      <c r="I4297" s="17" t="n">
        <v>0.05</v>
      </c>
      <c r="J4297" s="18" t="n">
        <v>19.32</v>
      </c>
      <c r="K4297" s="19" t="n">
        <v>6.39</v>
      </c>
      <c r="L4297" s="15" t="n">
        <f aca="false">YEAR(B4297)</f>
        <v>2022</v>
      </c>
      <c r="M4297" s="20" t="n">
        <f aca="false">IF(J4297&gt;0,K4297/J4297,0)</f>
        <v>0.330745341614907</v>
      </c>
    </row>
    <row r="4298" customFormat="false" ht="15" hidden="false" customHeight="false" outlineLevel="0" collapsed="false">
      <c r="A4298" s="15" t="s">
        <v>4355</v>
      </c>
      <c r="B4298" s="16" t="n">
        <v>45841</v>
      </c>
      <c r="C4298" s="15" t="s">
        <v>56</v>
      </c>
      <c r="D4298" s="15" t="s">
        <v>43</v>
      </c>
      <c r="E4298" s="15" t="s">
        <v>38</v>
      </c>
      <c r="F4298" s="15" t="s">
        <v>17</v>
      </c>
      <c r="G4298" s="15" t="s">
        <v>26</v>
      </c>
      <c r="H4298" s="15" t="n">
        <v>3</v>
      </c>
      <c r="I4298" s="17" t="n">
        <v>0.05</v>
      </c>
      <c r="J4298" s="18" t="n">
        <v>244.94</v>
      </c>
      <c r="K4298" s="19" t="n">
        <v>16.22</v>
      </c>
      <c r="L4298" s="15" t="n">
        <f aca="false">YEAR(B4298)</f>
        <v>2025</v>
      </c>
      <c r="M4298" s="20" t="n">
        <f aca="false">IF(J4298&gt;0,K4298/J4298,0)</f>
        <v>0.0662202988486976</v>
      </c>
    </row>
    <row r="4299" customFormat="false" ht="15" hidden="false" customHeight="false" outlineLevel="0" collapsed="false">
      <c r="A4299" s="15" t="s">
        <v>4356</v>
      </c>
      <c r="B4299" s="16" t="n">
        <v>46010</v>
      </c>
      <c r="C4299" s="15" t="s">
        <v>71</v>
      </c>
      <c r="D4299" s="15" t="s">
        <v>42</v>
      </c>
      <c r="E4299" s="15" t="s">
        <v>37</v>
      </c>
      <c r="F4299" s="15" t="s">
        <v>17</v>
      </c>
      <c r="G4299" s="15" t="s">
        <v>26</v>
      </c>
      <c r="H4299" s="15" t="n">
        <v>3</v>
      </c>
      <c r="I4299" s="17" t="n">
        <v>0</v>
      </c>
      <c r="J4299" s="18" t="n">
        <v>249.03</v>
      </c>
      <c r="K4299" s="19" t="n">
        <v>52.27</v>
      </c>
      <c r="L4299" s="15" t="n">
        <f aca="false">YEAR(B4299)</f>
        <v>2025</v>
      </c>
      <c r="M4299" s="20" t="n">
        <f aca="false">IF(J4299&gt;0,K4299/J4299,0)</f>
        <v>0.209894390234108</v>
      </c>
    </row>
    <row r="4300" customFormat="false" ht="15" hidden="false" customHeight="false" outlineLevel="0" collapsed="false">
      <c r="A4300" s="15" t="s">
        <v>4357</v>
      </c>
      <c r="B4300" s="16" t="n">
        <v>45997</v>
      </c>
      <c r="C4300" s="15" t="s">
        <v>56</v>
      </c>
      <c r="D4300" s="15" t="s">
        <v>43</v>
      </c>
      <c r="E4300" s="15" t="s">
        <v>37</v>
      </c>
      <c r="F4300" s="15" t="s">
        <v>18</v>
      </c>
      <c r="G4300" s="15" t="s">
        <v>33</v>
      </c>
      <c r="H4300" s="15" t="n">
        <v>2</v>
      </c>
      <c r="I4300" s="17" t="n">
        <v>0</v>
      </c>
      <c r="J4300" s="18" t="n">
        <v>2159.61</v>
      </c>
      <c r="K4300" s="19" t="n">
        <v>562.14</v>
      </c>
      <c r="L4300" s="15" t="n">
        <f aca="false">YEAR(B4300)</f>
        <v>2025</v>
      </c>
      <c r="M4300" s="20" t="n">
        <f aca="false">IF(J4300&gt;0,K4300/J4300,0)</f>
        <v>0.260296998069096</v>
      </c>
    </row>
    <row r="4301" customFormat="false" ht="15" hidden="false" customHeight="false" outlineLevel="0" collapsed="false">
      <c r="A4301" s="15" t="s">
        <v>4358</v>
      </c>
      <c r="B4301" s="16" t="n">
        <v>45569</v>
      </c>
      <c r="C4301" s="15" t="s">
        <v>71</v>
      </c>
      <c r="D4301" s="15" t="s">
        <v>42</v>
      </c>
      <c r="E4301" s="15" t="s">
        <v>38</v>
      </c>
      <c r="F4301" s="15" t="s">
        <v>17</v>
      </c>
      <c r="G4301" s="15" t="s">
        <v>26</v>
      </c>
      <c r="H4301" s="15" t="n">
        <v>7</v>
      </c>
      <c r="I4301" s="17" t="n">
        <v>0</v>
      </c>
      <c r="J4301" s="18" t="n">
        <v>496.88</v>
      </c>
      <c r="K4301" s="19" t="n">
        <v>59.95</v>
      </c>
      <c r="L4301" s="15" t="n">
        <f aca="false">YEAR(B4301)</f>
        <v>2024</v>
      </c>
      <c r="M4301" s="20" t="n">
        <f aca="false">IF(J4301&gt;0,K4301/J4301,0)</f>
        <v>0.120652873933344</v>
      </c>
    </row>
    <row r="4302" customFormat="false" ht="15" hidden="false" customHeight="false" outlineLevel="0" collapsed="false">
      <c r="A4302" s="15" t="s">
        <v>4359</v>
      </c>
      <c r="B4302" s="16" t="n">
        <v>45640</v>
      </c>
      <c r="C4302" s="15" t="s">
        <v>58</v>
      </c>
      <c r="D4302" s="15" t="s">
        <v>43</v>
      </c>
      <c r="E4302" s="15" t="s">
        <v>37</v>
      </c>
      <c r="F4302" s="15" t="s">
        <v>17</v>
      </c>
      <c r="G4302" s="15" t="s">
        <v>29</v>
      </c>
      <c r="H4302" s="15" t="n">
        <v>2</v>
      </c>
      <c r="I4302" s="17" t="n">
        <v>0</v>
      </c>
      <c r="J4302" s="18" t="n">
        <v>49.3</v>
      </c>
      <c r="K4302" s="19" t="n">
        <v>15.93</v>
      </c>
      <c r="L4302" s="15" t="n">
        <f aca="false">YEAR(B4302)</f>
        <v>2024</v>
      </c>
      <c r="M4302" s="20" t="n">
        <f aca="false">IF(J4302&gt;0,K4302/J4302,0)</f>
        <v>0.323123732251521</v>
      </c>
    </row>
    <row r="4303" customFormat="false" ht="15" hidden="false" customHeight="false" outlineLevel="0" collapsed="false">
      <c r="A4303" s="15" t="s">
        <v>4360</v>
      </c>
      <c r="B4303" s="16" t="n">
        <v>45508</v>
      </c>
      <c r="C4303" s="15" t="s">
        <v>56</v>
      </c>
      <c r="D4303" s="15" t="s">
        <v>43</v>
      </c>
      <c r="E4303" s="15" t="s">
        <v>38</v>
      </c>
      <c r="F4303" s="15" t="s">
        <v>17</v>
      </c>
      <c r="G4303" s="15" t="s">
        <v>26</v>
      </c>
      <c r="H4303" s="15" t="n">
        <v>3</v>
      </c>
      <c r="I4303" s="17" t="n">
        <v>0</v>
      </c>
      <c r="J4303" s="18" t="n">
        <v>248.49</v>
      </c>
      <c r="K4303" s="19" t="n">
        <v>21.25</v>
      </c>
      <c r="L4303" s="15" t="n">
        <f aca="false">YEAR(B4303)</f>
        <v>2024</v>
      </c>
      <c r="M4303" s="20" t="n">
        <f aca="false">IF(J4303&gt;0,K4303/J4303,0)</f>
        <v>0.085516519779468</v>
      </c>
    </row>
    <row r="4304" customFormat="false" ht="15" hidden="false" customHeight="false" outlineLevel="0" collapsed="false">
      <c r="A4304" s="15" t="s">
        <v>4361</v>
      </c>
      <c r="B4304" s="16" t="n">
        <v>45346</v>
      </c>
      <c r="C4304" s="15" t="s">
        <v>71</v>
      </c>
      <c r="D4304" s="15" t="s">
        <v>42</v>
      </c>
      <c r="E4304" s="15" t="s">
        <v>38</v>
      </c>
      <c r="F4304" s="15" t="s">
        <v>18</v>
      </c>
      <c r="G4304" s="15" t="s">
        <v>32</v>
      </c>
      <c r="H4304" s="15" t="n">
        <v>5</v>
      </c>
      <c r="I4304" s="17" t="n">
        <v>0</v>
      </c>
      <c r="J4304" s="18" t="n">
        <v>1995.61</v>
      </c>
      <c r="K4304" s="19" t="n">
        <v>278.67</v>
      </c>
      <c r="L4304" s="15" t="n">
        <f aca="false">YEAR(B4304)</f>
        <v>2024</v>
      </c>
      <c r="M4304" s="20" t="n">
        <f aca="false">IF(J4304&gt;0,K4304/J4304,0)</f>
        <v>0.139641513121301</v>
      </c>
    </row>
    <row r="4305" customFormat="false" ht="15" hidden="false" customHeight="false" outlineLevel="0" collapsed="false">
      <c r="A4305" s="15" t="s">
        <v>4362</v>
      </c>
      <c r="B4305" s="16" t="n">
        <v>45911</v>
      </c>
      <c r="C4305" s="15" t="s">
        <v>58</v>
      </c>
      <c r="D4305" s="15" t="s">
        <v>43</v>
      </c>
      <c r="E4305" s="15" t="s">
        <v>39</v>
      </c>
      <c r="F4305" s="15" t="s">
        <v>18</v>
      </c>
      <c r="G4305" s="15" t="s">
        <v>32</v>
      </c>
      <c r="H4305" s="15" t="n">
        <v>1</v>
      </c>
      <c r="I4305" s="17" t="n">
        <v>0</v>
      </c>
      <c r="J4305" s="18" t="n">
        <v>476.26</v>
      </c>
      <c r="K4305" s="19" t="n">
        <v>60.52</v>
      </c>
      <c r="L4305" s="15" t="n">
        <f aca="false">YEAR(B4305)</f>
        <v>2025</v>
      </c>
      <c r="M4305" s="20" t="n">
        <f aca="false">IF(J4305&gt;0,K4305/J4305,0)</f>
        <v>0.127073447276698</v>
      </c>
    </row>
    <row r="4306" customFormat="false" ht="15" hidden="false" customHeight="false" outlineLevel="0" collapsed="false">
      <c r="A4306" s="15" t="s">
        <v>4363</v>
      </c>
      <c r="B4306" s="16" t="n">
        <v>45299</v>
      </c>
      <c r="C4306" s="15" t="s">
        <v>71</v>
      </c>
      <c r="D4306" s="15" t="s">
        <v>43</v>
      </c>
      <c r="E4306" s="15" t="s">
        <v>37</v>
      </c>
      <c r="F4306" s="15" t="s">
        <v>18</v>
      </c>
      <c r="G4306" s="15" t="s">
        <v>32</v>
      </c>
      <c r="H4306" s="15" t="n">
        <v>4</v>
      </c>
      <c r="I4306" s="17" t="n">
        <v>0.15</v>
      </c>
      <c r="J4306" s="18" t="n">
        <v>1629.22</v>
      </c>
      <c r="K4306" s="19" t="n">
        <v>11.39</v>
      </c>
      <c r="L4306" s="15" t="n">
        <f aca="false">YEAR(B4306)</f>
        <v>2024</v>
      </c>
      <c r="M4306" s="20" t="n">
        <f aca="false">IF(J4306&gt;0,K4306/J4306,0)</f>
        <v>0.00699107548397393</v>
      </c>
    </row>
    <row r="4307" customFormat="false" ht="15" hidden="false" customHeight="false" outlineLevel="0" collapsed="false">
      <c r="A4307" s="15" t="s">
        <v>4364</v>
      </c>
      <c r="B4307" s="16" t="n">
        <v>45737</v>
      </c>
      <c r="C4307" s="15" t="s">
        <v>71</v>
      </c>
      <c r="D4307" s="15" t="s">
        <v>42</v>
      </c>
      <c r="E4307" s="15" t="s">
        <v>37</v>
      </c>
      <c r="F4307" s="15" t="s">
        <v>18</v>
      </c>
      <c r="G4307" s="15" t="s">
        <v>32</v>
      </c>
      <c r="H4307" s="15" t="n">
        <v>5</v>
      </c>
      <c r="I4307" s="17" t="n">
        <v>0.15</v>
      </c>
      <c r="J4307" s="18" t="n">
        <v>1811.21</v>
      </c>
      <c r="K4307" s="19" t="n">
        <v>91.17</v>
      </c>
      <c r="L4307" s="15" t="n">
        <f aca="false">YEAR(B4307)</f>
        <v>2025</v>
      </c>
      <c r="M4307" s="20" t="n">
        <f aca="false">IF(J4307&gt;0,K4307/J4307,0)</f>
        <v>0.0503365153681793</v>
      </c>
    </row>
    <row r="4308" customFormat="false" ht="15" hidden="false" customHeight="false" outlineLevel="0" collapsed="false">
      <c r="A4308" s="15" t="s">
        <v>4365</v>
      </c>
      <c r="B4308" s="16" t="n">
        <v>45355</v>
      </c>
      <c r="C4308" s="15" t="s">
        <v>56</v>
      </c>
      <c r="D4308" s="15" t="s">
        <v>42</v>
      </c>
      <c r="E4308" s="15" t="s">
        <v>39</v>
      </c>
      <c r="F4308" s="15" t="s">
        <v>17</v>
      </c>
      <c r="G4308" s="15" t="s">
        <v>29</v>
      </c>
      <c r="H4308" s="15" t="n">
        <v>5</v>
      </c>
      <c r="I4308" s="17" t="n">
        <v>0</v>
      </c>
      <c r="J4308" s="18" t="n">
        <v>105.89</v>
      </c>
      <c r="K4308" s="19" t="n">
        <v>47.53</v>
      </c>
      <c r="L4308" s="15" t="n">
        <f aca="false">YEAR(B4308)</f>
        <v>2024</v>
      </c>
      <c r="M4308" s="20" t="n">
        <f aca="false">IF(J4308&gt;0,K4308/J4308,0)</f>
        <v>0.44886202663141</v>
      </c>
    </row>
    <row r="4309" customFormat="false" ht="15" hidden="false" customHeight="false" outlineLevel="0" collapsed="false">
      <c r="A4309" s="15" t="s">
        <v>4366</v>
      </c>
      <c r="B4309" s="16" t="n">
        <v>45446</v>
      </c>
      <c r="C4309" s="15" t="s">
        <v>56</v>
      </c>
      <c r="D4309" s="15" t="s">
        <v>43</v>
      </c>
      <c r="E4309" s="15" t="s">
        <v>36</v>
      </c>
      <c r="F4309" s="15" t="s">
        <v>17</v>
      </c>
      <c r="G4309" s="15" t="s">
        <v>29</v>
      </c>
      <c r="H4309" s="15" t="n">
        <v>4</v>
      </c>
      <c r="I4309" s="17" t="n">
        <v>0</v>
      </c>
      <c r="J4309" s="18" t="n">
        <v>87.91</v>
      </c>
      <c r="K4309" s="19" t="n">
        <v>37.64</v>
      </c>
      <c r="L4309" s="15" t="n">
        <f aca="false">YEAR(B4309)</f>
        <v>2024</v>
      </c>
      <c r="M4309" s="20" t="n">
        <f aca="false">IF(J4309&gt;0,K4309/J4309,0)</f>
        <v>0.428165168922762</v>
      </c>
    </row>
    <row r="4310" customFormat="false" ht="15" hidden="false" customHeight="false" outlineLevel="0" collapsed="false">
      <c r="A4310" s="15" t="s">
        <v>4367</v>
      </c>
      <c r="B4310" s="16" t="n">
        <v>45279</v>
      </c>
      <c r="C4310" s="15" t="s">
        <v>56</v>
      </c>
      <c r="D4310" s="15" t="s">
        <v>43</v>
      </c>
      <c r="E4310" s="15" t="s">
        <v>39</v>
      </c>
      <c r="F4310" s="15" t="s">
        <v>18</v>
      </c>
      <c r="G4310" s="15" t="s">
        <v>30</v>
      </c>
      <c r="H4310" s="15" t="n">
        <v>1</v>
      </c>
      <c r="I4310" s="17" t="n">
        <v>0</v>
      </c>
      <c r="J4310" s="18" t="n">
        <v>46.38</v>
      </c>
      <c r="K4310" s="19" t="n">
        <v>14.87</v>
      </c>
      <c r="L4310" s="15" t="n">
        <f aca="false">YEAR(B4310)</f>
        <v>2023</v>
      </c>
      <c r="M4310" s="20" t="n">
        <f aca="false">IF(J4310&gt;0,K4310/J4310,0)</f>
        <v>0.320612332902113</v>
      </c>
    </row>
    <row r="4311" customFormat="false" ht="15" hidden="false" customHeight="false" outlineLevel="0" collapsed="false">
      <c r="A4311" s="15" t="s">
        <v>4368</v>
      </c>
      <c r="B4311" s="16" t="n">
        <v>45378</v>
      </c>
      <c r="C4311" s="15" t="s">
        <v>56</v>
      </c>
      <c r="D4311" s="15" t="s">
        <v>43</v>
      </c>
      <c r="E4311" s="15" t="s">
        <v>39</v>
      </c>
      <c r="F4311" s="15" t="s">
        <v>18</v>
      </c>
      <c r="G4311" s="15" t="s">
        <v>24</v>
      </c>
      <c r="H4311" s="15" t="n">
        <v>1</v>
      </c>
      <c r="I4311" s="17" t="n">
        <v>0.2</v>
      </c>
      <c r="J4311" s="18" t="n">
        <v>557.44</v>
      </c>
      <c r="K4311" s="19" t="n">
        <v>-58.35</v>
      </c>
      <c r="L4311" s="15" t="n">
        <f aca="false">YEAR(B4311)</f>
        <v>2024</v>
      </c>
      <c r="M4311" s="20" t="n">
        <f aca="false">IF(J4311&gt;0,K4311/J4311,0)</f>
        <v>-0.104674942594719</v>
      </c>
    </row>
    <row r="4312" customFormat="false" ht="15" hidden="false" customHeight="false" outlineLevel="0" collapsed="false">
      <c r="A4312" s="15" t="s">
        <v>4369</v>
      </c>
      <c r="B4312" s="16" t="n">
        <v>44769</v>
      </c>
      <c r="C4312" s="15" t="s">
        <v>71</v>
      </c>
      <c r="D4312" s="15" t="s">
        <v>42</v>
      </c>
      <c r="E4312" s="15" t="s">
        <v>38</v>
      </c>
      <c r="F4312" s="15" t="s">
        <v>17</v>
      </c>
      <c r="G4312" s="15" t="s">
        <v>28</v>
      </c>
      <c r="H4312" s="15" t="n">
        <v>2</v>
      </c>
      <c r="I4312" s="17" t="n">
        <v>0.3</v>
      </c>
      <c r="J4312" s="18" t="n">
        <v>32.04</v>
      </c>
      <c r="K4312" s="19" t="n">
        <v>2.93</v>
      </c>
      <c r="L4312" s="15" t="n">
        <f aca="false">YEAR(B4312)</f>
        <v>2022</v>
      </c>
      <c r="M4312" s="20" t="n">
        <f aca="false">IF(J4312&gt;0,K4312/J4312,0)</f>
        <v>0.0914481897627965</v>
      </c>
    </row>
    <row r="4313" customFormat="false" ht="15" hidden="false" customHeight="false" outlineLevel="0" collapsed="false">
      <c r="A4313" s="15" t="s">
        <v>4370</v>
      </c>
      <c r="B4313" s="16" t="n">
        <v>45864</v>
      </c>
      <c r="C4313" s="15" t="s">
        <v>56</v>
      </c>
      <c r="D4313" s="15" t="s">
        <v>44</v>
      </c>
      <c r="E4313" s="15" t="s">
        <v>36</v>
      </c>
      <c r="F4313" s="15" t="s">
        <v>18</v>
      </c>
      <c r="G4313" s="15" t="s">
        <v>30</v>
      </c>
      <c r="H4313" s="15" t="n">
        <v>5</v>
      </c>
      <c r="I4313" s="17" t="n">
        <v>0.15</v>
      </c>
      <c r="J4313" s="18" t="n">
        <v>188.91</v>
      </c>
      <c r="K4313" s="19" t="n">
        <v>30.71</v>
      </c>
      <c r="L4313" s="15" t="n">
        <f aca="false">YEAR(B4313)</f>
        <v>2025</v>
      </c>
      <c r="M4313" s="20" t="n">
        <f aca="false">IF(J4313&gt;0,K4313/J4313,0)</f>
        <v>0.162564184002964</v>
      </c>
    </row>
    <row r="4314" customFormat="false" ht="15" hidden="false" customHeight="false" outlineLevel="0" collapsed="false">
      <c r="A4314" s="15" t="s">
        <v>4371</v>
      </c>
      <c r="B4314" s="16" t="n">
        <v>45760</v>
      </c>
      <c r="C4314" s="15" t="s">
        <v>56</v>
      </c>
      <c r="D4314" s="15" t="s">
        <v>44</v>
      </c>
      <c r="E4314" s="15" t="s">
        <v>37</v>
      </c>
      <c r="F4314" s="15" t="s">
        <v>17</v>
      </c>
      <c r="G4314" s="15" t="s">
        <v>28</v>
      </c>
      <c r="H4314" s="15" t="n">
        <v>2</v>
      </c>
      <c r="I4314" s="17" t="n">
        <v>0.1</v>
      </c>
      <c r="J4314" s="18" t="n">
        <v>40.61</v>
      </c>
      <c r="K4314" s="19" t="n">
        <v>9.11</v>
      </c>
      <c r="L4314" s="15" t="n">
        <f aca="false">YEAR(B4314)</f>
        <v>2025</v>
      </c>
      <c r="M4314" s="20" t="n">
        <f aca="false">IF(J4314&gt;0,K4314/J4314,0)</f>
        <v>0.224328983009111</v>
      </c>
    </row>
    <row r="4315" customFormat="false" ht="15" hidden="false" customHeight="false" outlineLevel="0" collapsed="false">
      <c r="A4315" s="15" t="s">
        <v>4372</v>
      </c>
      <c r="B4315" s="16" t="n">
        <v>45074</v>
      </c>
      <c r="C4315" s="15" t="s">
        <v>56</v>
      </c>
      <c r="D4315" s="15" t="s">
        <v>43</v>
      </c>
      <c r="E4315" s="15" t="s">
        <v>38</v>
      </c>
      <c r="F4315" s="15" t="s">
        <v>17</v>
      </c>
      <c r="G4315" s="15" t="s">
        <v>28</v>
      </c>
      <c r="H4315" s="15" t="n">
        <v>2</v>
      </c>
      <c r="I4315" s="17" t="n">
        <v>0.2</v>
      </c>
      <c r="J4315" s="18" t="n">
        <v>40.89</v>
      </c>
      <c r="K4315" s="19" t="n">
        <v>2.83</v>
      </c>
      <c r="L4315" s="15" t="n">
        <f aca="false">YEAR(B4315)</f>
        <v>2023</v>
      </c>
      <c r="M4315" s="20" t="n">
        <f aca="false">IF(J4315&gt;0,K4315/J4315,0)</f>
        <v>0.0692100758131573</v>
      </c>
    </row>
    <row r="4316" customFormat="false" ht="15" hidden="false" customHeight="false" outlineLevel="0" collapsed="false">
      <c r="A4316" s="15" t="s">
        <v>4373</v>
      </c>
      <c r="B4316" s="16" t="n">
        <v>45270</v>
      </c>
      <c r="C4316" s="15" t="s">
        <v>68</v>
      </c>
      <c r="D4316" s="15" t="s">
        <v>43</v>
      </c>
      <c r="E4316" s="15" t="s">
        <v>36</v>
      </c>
      <c r="F4316" s="15" t="s">
        <v>17</v>
      </c>
      <c r="G4316" s="15" t="s">
        <v>29</v>
      </c>
      <c r="H4316" s="15" t="n">
        <v>3</v>
      </c>
      <c r="I4316" s="17" t="n">
        <v>0</v>
      </c>
      <c r="J4316" s="18" t="n">
        <v>48.77</v>
      </c>
      <c r="K4316" s="19" t="n">
        <v>17.91</v>
      </c>
      <c r="L4316" s="15" t="n">
        <f aca="false">YEAR(B4316)</f>
        <v>2023</v>
      </c>
      <c r="M4316" s="20" t="n">
        <f aca="false">IF(J4316&gt;0,K4316/J4316,0)</f>
        <v>0.36723395530039</v>
      </c>
    </row>
    <row r="4317" customFormat="false" ht="15" hidden="false" customHeight="false" outlineLevel="0" collapsed="false">
      <c r="A4317" s="15" t="s">
        <v>4374</v>
      </c>
      <c r="B4317" s="16" t="n">
        <v>45088</v>
      </c>
      <c r="C4317" s="15" t="s">
        <v>56</v>
      </c>
      <c r="D4317" s="15" t="s">
        <v>42</v>
      </c>
      <c r="E4317" s="15" t="s">
        <v>38</v>
      </c>
      <c r="F4317" s="15" t="s">
        <v>17</v>
      </c>
      <c r="G4317" s="15" t="s">
        <v>29</v>
      </c>
      <c r="H4317" s="15" t="n">
        <v>1</v>
      </c>
      <c r="I4317" s="17" t="n">
        <v>0</v>
      </c>
      <c r="J4317" s="18" t="n">
        <v>16.41</v>
      </c>
      <c r="K4317" s="19" t="n">
        <v>6.7</v>
      </c>
      <c r="L4317" s="15" t="n">
        <f aca="false">YEAR(B4317)</f>
        <v>2023</v>
      </c>
      <c r="M4317" s="20" t="n">
        <f aca="false">IF(J4317&gt;0,K4317/J4317,0)</f>
        <v>0.408287629494211</v>
      </c>
    </row>
    <row r="4318" customFormat="false" ht="15" hidden="false" customHeight="false" outlineLevel="0" collapsed="false">
      <c r="A4318" s="15" t="s">
        <v>4375</v>
      </c>
      <c r="B4318" s="16" t="n">
        <v>45905</v>
      </c>
      <c r="C4318" s="15" t="s">
        <v>56</v>
      </c>
      <c r="D4318" s="15" t="s">
        <v>43</v>
      </c>
      <c r="E4318" s="15" t="s">
        <v>39</v>
      </c>
      <c r="F4318" s="15" t="s">
        <v>18</v>
      </c>
      <c r="G4318" s="15" t="s">
        <v>24</v>
      </c>
      <c r="H4318" s="15" t="n">
        <v>2</v>
      </c>
      <c r="I4318" s="17" t="n">
        <v>0</v>
      </c>
      <c r="J4318" s="18" t="n">
        <v>1411.16</v>
      </c>
      <c r="K4318" s="19" t="n">
        <v>70.83</v>
      </c>
      <c r="L4318" s="15" t="n">
        <f aca="false">YEAR(B4318)</f>
        <v>2025</v>
      </c>
      <c r="M4318" s="20" t="n">
        <f aca="false">IF(J4318&gt;0,K4318/J4318,0)</f>
        <v>0.0501927492275858</v>
      </c>
    </row>
    <row r="4319" customFormat="false" ht="15" hidden="false" customHeight="false" outlineLevel="0" collapsed="false">
      <c r="A4319" s="15" t="s">
        <v>4376</v>
      </c>
      <c r="B4319" s="16" t="n">
        <v>45036</v>
      </c>
      <c r="C4319" s="15" t="s">
        <v>56</v>
      </c>
      <c r="D4319" s="15" t="s">
        <v>42</v>
      </c>
      <c r="E4319" s="15" t="s">
        <v>38</v>
      </c>
      <c r="F4319" s="15" t="s">
        <v>18</v>
      </c>
      <c r="G4319" s="15" t="s">
        <v>32</v>
      </c>
      <c r="H4319" s="15" t="n">
        <v>4</v>
      </c>
      <c r="I4319" s="17" t="n">
        <v>0.1</v>
      </c>
      <c r="J4319" s="18" t="n">
        <v>1642.86</v>
      </c>
      <c r="K4319" s="19" t="n">
        <v>120.51</v>
      </c>
      <c r="L4319" s="15" t="n">
        <f aca="false">YEAR(B4319)</f>
        <v>2023</v>
      </c>
      <c r="M4319" s="20" t="n">
        <f aca="false">IF(J4319&gt;0,K4319/J4319,0)</f>
        <v>0.0733537854716775</v>
      </c>
    </row>
    <row r="4320" customFormat="false" ht="15" hidden="false" customHeight="false" outlineLevel="0" collapsed="false">
      <c r="A4320" s="15" t="s">
        <v>4377</v>
      </c>
      <c r="B4320" s="16" t="n">
        <v>45723</v>
      </c>
      <c r="C4320" s="15" t="s">
        <v>56</v>
      </c>
      <c r="D4320" s="15" t="s">
        <v>42</v>
      </c>
      <c r="E4320" s="15" t="s">
        <v>37</v>
      </c>
      <c r="F4320" s="15" t="s">
        <v>16</v>
      </c>
      <c r="G4320" s="15" t="s">
        <v>27</v>
      </c>
      <c r="H4320" s="15" t="n">
        <v>4</v>
      </c>
      <c r="I4320" s="17" t="n">
        <v>0.1</v>
      </c>
      <c r="J4320" s="18" t="n">
        <v>225.43</v>
      </c>
      <c r="K4320" s="19" t="n">
        <v>31.5</v>
      </c>
      <c r="L4320" s="15" t="n">
        <f aca="false">YEAR(B4320)</f>
        <v>2025</v>
      </c>
      <c r="M4320" s="20" t="n">
        <f aca="false">IF(J4320&gt;0,K4320/J4320,0)</f>
        <v>0.139732954797498</v>
      </c>
    </row>
    <row r="4321" customFormat="false" ht="15" hidden="false" customHeight="false" outlineLevel="0" collapsed="false">
      <c r="A4321" s="15" t="s">
        <v>4378</v>
      </c>
      <c r="B4321" s="16" t="n">
        <v>45114</v>
      </c>
      <c r="C4321" s="15" t="s">
        <v>71</v>
      </c>
      <c r="D4321" s="15" t="s">
        <v>42</v>
      </c>
      <c r="E4321" s="15" t="s">
        <v>37</v>
      </c>
      <c r="F4321" s="15" t="s">
        <v>17</v>
      </c>
      <c r="G4321" s="15" t="s">
        <v>28</v>
      </c>
      <c r="H4321" s="15" t="n">
        <v>1</v>
      </c>
      <c r="I4321" s="17" t="n">
        <v>0.3</v>
      </c>
      <c r="J4321" s="18" t="n">
        <v>16.09</v>
      </c>
      <c r="K4321" s="19" t="n">
        <v>-0.02</v>
      </c>
      <c r="L4321" s="15" t="n">
        <f aca="false">YEAR(B4321)</f>
        <v>2023</v>
      </c>
      <c r="M4321" s="20" t="n">
        <f aca="false">IF(J4321&gt;0,K4321/J4321,0)</f>
        <v>-0.00124300807955252</v>
      </c>
    </row>
    <row r="4322" customFormat="false" ht="15" hidden="false" customHeight="false" outlineLevel="0" collapsed="false">
      <c r="A4322" s="15" t="s">
        <v>4379</v>
      </c>
      <c r="B4322" s="16" t="n">
        <v>45409</v>
      </c>
      <c r="C4322" s="15" t="s">
        <v>56</v>
      </c>
      <c r="D4322" s="15" t="s">
        <v>42</v>
      </c>
      <c r="E4322" s="15" t="s">
        <v>37</v>
      </c>
      <c r="F4322" s="15" t="s">
        <v>17</v>
      </c>
      <c r="G4322" s="15" t="s">
        <v>29</v>
      </c>
      <c r="H4322" s="15" t="n">
        <v>1</v>
      </c>
      <c r="I4322" s="17" t="n">
        <v>0.1</v>
      </c>
      <c r="J4322" s="18" t="n">
        <v>15.88</v>
      </c>
      <c r="K4322" s="19" t="n">
        <v>4.83</v>
      </c>
      <c r="L4322" s="15" t="n">
        <f aca="false">YEAR(B4322)</f>
        <v>2024</v>
      </c>
      <c r="M4322" s="20" t="n">
        <f aca="false">IF(J4322&gt;0,K4322/J4322,0)</f>
        <v>0.304156171284635</v>
      </c>
    </row>
    <row r="4323" customFormat="false" ht="15" hidden="false" customHeight="false" outlineLevel="0" collapsed="false">
      <c r="A4323" s="15" t="s">
        <v>4380</v>
      </c>
      <c r="B4323" s="16" t="n">
        <v>45805</v>
      </c>
      <c r="C4323" s="15" t="s">
        <v>56</v>
      </c>
      <c r="D4323" s="15" t="s">
        <v>42</v>
      </c>
      <c r="E4323" s="15" t="s">
        <v>39</v>
      </c>
      <c r="F4323" s="15" t="s">
        <v>18</v>
      </c>
      <c r="G4323" s="15" t="s">
        <v>30</v>
      </c>
      <c r="H4323" s="15" t="n">
        <v>2</v>
      </c>
      <c r="I4323" s="17" t="n">
        <v>0.3</v>
      </c>
      <c r="J4323" s="18" t="n">
        <v>67.97</v>
      </c>
      <c r="K4323" s="19" t="n">
        <v>1.17</v>
      </c>
      <c r="L4323" s="15" t="n">
        <f aca="false">YEAR(B4323)</f>
        <v>2025</v>
      </c>
      <c r="M4323" s="20" t="n">
        <f aca="false">IF(J4323&gt;0,K4323/J4323,0)</f>
        <v>0.0172134765337649</v>
      </c>
    </row>
    <row r="4324" customFormat="false" ht="15" hidden="false" customHeight="false" outlineLevel="0" collapsed="false">
      <c r="A4324" s="15" t="s">
        <v>4381</v>
      </c>
      <c r="B4324" s="16" t="n">
        <v>45842</v>
      </c>
      <c r="C4324" s="15" t="s">
        <v>56</v>
      </c>
      <c r="D4324" s="15" t="s">
        <v>44</v>
      </c>
      <c r="E4324" s="15" t="s">
        <v>37</v>
      </c>
      <c r="F4324" s="15" t="s">
        <v>16</v>
      </c>
      <c r="G4324" s="15" t="s">
        <v>27</v>
      </c>
      <c r="H4324" s="15" t="n">
        <v>2</v>
      </c>
      <c r="I4324" s="17" t="n">
        <v>0.5</v>
      </c>
      <c r="J4324" s="18" t="n">
        <v>71.54</v>
      </c>
      <c r="K4324" s="19" t="n">
        <v>-12.68</v>
      </c>
      <c r="L4324" s="15" t="n">
        <f aca="false">YEAR(B4324)</f>
        <v>2025</v>
      </c>
      <c r="M4324" s="20" t="n">
        <f aca="false">IF(J4324&gt;0,K4324/J4324,0)</f>
        <v>-0.177243500139782</v>
      </c>
    </row>
    <row r="4325" customFormat="false" ht="15" hidden="false" customHeight="false" outlineLevel="0" collapsed="false">
      <c r="A4325" s="15" t="s">
        <v>4382</v>
      </c>
      <c r="B4325" s="16" t="n">
        <v>44711</v>
      </c>
      <c r="C4325" s="15" t="s">
        <v>68</v>
      </c>
      <c r="D4325" s="15" t="s">
        <v>42</v>
      </c>
      <c r="E4325" s="15" t="s">
        <v>37</v>
      </c>
      <c r="F4325" s="15" t="s">
        <v>16</v>
      </c>
      <c r="G4325" s="15" t="s">
        <v>27</v>
      </c>
      <c r="H4325" s="15" t="n">
        <v>4</v>
      </c>
      <c r="I4325" s="17" t="n">
        <v>0</v>
      </c>
      <c r="J4325" s="18" t="n">
        <v>275.45</v>
      </c>
      <c r="K4325" s="19" t="n">
        <v>66.31</v>
      </c>
      <c r="L4325" s="15" t="n">
        <f aca="false">YEAR(B4325)</f>
        <v>2022</v>
      </c>
      <c r="M4325" s="20" t="n">
        <f aca="false">IF(J4325&gt;0,K4325/J4325,0)</f>
        <v>0.240733345434743</v>
      </c>
    </row>
    <row r="4326" customFormat="false" ht="15" hidden="false" customHeight="false" outlineLevel="0" collapsed="false">
      <c r="A4326" s="15" t="s">
        <v>4383</v>
      </c>
      <c r="B4326" s="16" t="n">
        <v>45779</v>
      </c>
      <c r="C4326" s="15" t="s">
        <v>71</v>
      </c>
      <c r="D4326" s="15" t="s">
        <v>43</v>
      </c>
      <c r="E4326" s="15" t="s">
        <v>39</v>
      </c>
      <c r="F4326" s="15" t="s">
        <v>18</v>
      </c>
      <c r="G4326" s="15" t="s">
        <v>32</v>
      </c>
      <c r="H4326" s="15" t="n">
        <v>7</v>
      </c>
      <c r="I4326" s="17" t="n">
        <v>0.3</v>
      </c>
      <c r="J4326" s="18" t="n">
        <v>2195.63</v>
      </c>
      <c r="K4326" s="19" t="n">
        <v>-206.02</v>
      </c>
      <c r="L4326" s="15" t="n">
        <f aca="false">YEAR(B4326)</f>
        <v>2025</v>
      </c>
      <c r="M4326" s="20" t="n">
        <f aca="false">IF(J4326&gt;0,K4326/J4326,0)</f>
        <v>-0.093831838697777</v>
      </c>
    </row>
    <row r="4327" customFormat="false" ht="15" hidden="false" customHeight="false" outlineLevel="0" collapsed="false">
      <c r="A4327" s="15" t="s">
        <v>4384</v>
      </c>
      <c r="B4327" s="16" t="n">
        <v>45076</v>
      </c>
      <c r="C4327" s="15" t="s">
        <v>68</v>
      </c>
      <c r="D4327" s="15" t="s">
        <v>44</v>
      </c>
      <c r="E4327" s="15" t="s">
        <v>39</v>
      </c>
      <c r="F4327" s="15" t="s">
        <v>18</v>
      </c>
      <c r="G4327" s="15" t="s">
        <v>32</v>
      </c>
      <c r="H4327" s="15" t="n">
        <v>6</v>
      </c>
      <c r="I4327" s="17" t="n">
        <v>0.1</v>
      </c>
      <c r="J4327" s="18" t="n">
        <v>2414.67</v>
      </c>
      <c r="K4327" s="19" t="n">
        <v>364.38</v>
      </c>
      <c r="L4327" s="15" t="n">
        <f aca="false">YEAR(B4327)</f>
        <v>2023</v>
      </c>
      <c r="M4327" s="20" t="n">
        <f aca="false">IF(J4327&gt;0,K4327/J4327,0)</f>
        <v>0.150902607809763</v>
      </c>
    </row>
    <row r="4328" customFormat="false" ht="15" hidden="false" customHeight="false" outlineLevel="0" collapsed="false">
      <c r="A4328" s="15" t="s">
        <v>4385</v>
      </c>
      <c r="B4328" s="16" t="n">
        <v>45851</v>
      </c>
      <c r="C4328" s="15" t="s">
        <v>56</v>
      </c>
      <c r="D4328" s="15" t="s">
        <v>43</v>
      </c>
      <c r="E4328" s="15" t="s">
        <v>39</v>
      </c>
      <c r="F4328" s="15" t="s">
        <v>17</v>
      </c>
      <c r="G4328" s="15" t="s">
        <v>29</v>
      </c>
      <c r="H4328" s="15" t="n">
        <v>4</v>
      </c>
      <c r="I4328" s="17" t="n">
        <v>0.5</v>
      </c>
      <c r="J4328" s="18" t="n">
        <v>40.15</v>
      </c>
      <c r="K4328" s="19" t="n">
        <v>-3.12</v>
      </c>
      <c r="L4328" s="15" t="n">
        <f aca="false">YEAR(B4328)</f>
        <v>2025</v>
      </c>
      <c r="M4328" s="20" t="n">
        <f aca="false">IF(J4328&gt;0,K4328/J4328,0)</f>
        <v>-0.0777085927770859</v>
      </c>
    </row>
    <row r="4329" customFormat="false" ht="15" hidden="false" customHeight="false" outlineLevel="0" collapsed="false">
      <c r="A4329" s="15" t="s">
        <v>4386</v>
      </c>
      <c r="B4329" s="16" t="n">
        <v>45210</v>
      </c>
      <c r="C4329" s="15" t="s">
        <v>56</v>
      </c>
      <c r="D4329" s="15" t="s">
        <v>44</v>
      </c>
      <c r="E4329" s="15" t="s">
        <v>38</v>
      </c>
      <c r="F4329" s="15" t="s">
        <v>16</v>
      </c>
      <c r="G4329" s="15" t="s">
        <v>27</v>
      </c>
      <c r="H4329" s="15" t="n">
        <v>4</v>
      </c>
      <c r="I4329" s="17" t="n">
        <v>0.2</v>
      </c>
      <c r="J4329" s="18" t="n">
        <v>168.19</v>
      </c>
      <c r="K4329" s="19" t="n">
        <v>-0.74</v>
      </c>
      <c r="L4329" s="15" t="n">
        <f aca="false">YEAR(B4329)</f>
        <v>2023</v>
      </c>
      <c r="M4329" s="20" t="n">
        <f aca="false">IF(J4329&gt;0,K4329/J4329,0)</f>
        <v>-0.00439978595635888</v>
      </c>
    </row>
    <row r="4330" customFormat="false" ht="15" hidden="false" customHeight="false" outlineLevel="0" collapsed="false">
      <c r="A4330" s="15" t="s">
        <v>4387</v>
      </c>
      <c r="B4330" s="16" t="n">
        <v>45582</v>
      </c>
      <c r="C4330" s="15" t="s">
        <v>56</v>
      </c>
      <c r="D4330" s="15" t="s">
        <v>43</v>
      </c>
      <c r="E4330" s="15" t="s">
        <v>39</v>
      </c>
      <c r="F4330" s="15" t="s">
        <v>17</v>
      </c>
      <c r="G4330" s="15" t="s">
        <v>29</v>
      </c>
      <c r="H4330" s="15" t="n">
        <v>3</v>
      </c>
      <c r="I4330" s="17" t="n">
        <v>0.2</v>
      </c>
      <c r="J4330" s="18" t="n">
        <v>53.92</v>
      </c>
      <c r="K4330" s="19" t="n">
        <v>6.94</v>
      </c>
      <c r="L4330" s="15" t="n">
        <f aca="false">YEAR(B4330)</f>
        <v>2024</v>
      </c>
      <c r="M4330" s="20" t="n">
        <f aca="false">IF(J4330&gt;0,K4330/J4330,0)</f>
        <v>0.128709198813056</v>
      </c>
    </row>
    <row r="4331" customFormat="false" ht="15" hidden="false" customHeight="false" outlineLevel="0" collapsed="false">
      <c r="A4331" s="15" t="s">
        <v>4388</v>
      </c>
      <c r="B4331" s="16" t="n">
        <v>44909</v>
      </c>
      <c r="C4331" s="15" t="s">
        <v>56</v>
      </c>
      <c r="D4331" s="15" t="s">
        <v>43</v>
      </c>
      <c r="E4331" s="15" t="s">
        <v>36</v>
      </c>
      <c r="F4331" s="15" t="s">
        <v>17</v>
      </c>
      <c r="G4331" s="15" t="s">
        <v>28</v>
      </c>
      <c r="H4331" s="15" t="n">
        <v>4</v>
      </c>
      <c r="I4331" s="17" t="n">
        <v>0.05</v>
      </c>
      <c r="J4331" s="18" t="n">
        <v>83.08</v>
      </c>
      <c r="K4331" s="19" t="n">
        <v>18.15</v>
      </c>
      <c r="L4331" s="15" t="n">
        <f aca="false">YEAR(B4331)</f>
        <v>2022</v>
      </c>
      <c r="M4331" s="20" t="n">
        <f aca="false">IF(J4331&gt;0,K4331/J4331,0)</f>
        <v>0.218464130958113</v>
      </c>
    </row>
    <row r="4332" customFormat="false" ht="15" hidden="false" customHeight="false" outlineLevel="0" collapsed="false">
      <c r="A4332" s="15" t="s">
        <v>4389</v>
      </c>
      <c r="B4332" s="16" t="n">
        <v>45770</v>
      </c>
      <c r="C4332" s="15" t="s">
        <v>56</v>
      </c>
      <c r="D4332" s="15" t="s">
        <v>44</v>
      </c>
      <c r="E4332" s="15" t="s">
        <v>36</v>
      </c>
      <c r="F4332" s="15" t="s">
        <v>18</v>
      </c>
      <c r="G4332" s="15" t="s">
        <v>32</v>
      </c>
      <c r="H4332" s="15" t="n">
        <v>5</v>
      </c>
      <c r="I4332" s="17" t="n">
        <v>0</v>
      </c>
      <c r="J4332" s="18" t="n">
        <v>2200.98</v>
      </c>
      <c r="K4332" s="19" t="n">
        <v>394.16</v>
      </c>
      <c r="L4332" s="15" t="n">
        <f aca="false">YEAR(B4332)</f>
        <v>2025</v>
      </c>
      <c r="M4332" s="20" t="n">
        <f aca="false">IF(J4332&gt;0,K4332/J4332,0)</f>
        <v>0.179083862643005</v>
      </c>
    </row>
    <row r="4333" customFormat="false" ht="15" hidden="false" customHeight="false" outlineLevel="0" collapsed="false">
      <c r="A4333" s="15" t="s">
        <v>4390</v>
      </c>
      <c r="B4333" s="16" t="n">
        <v>45384</v>
      </c>
      <c r="C4333" s="15" t="s">
        <v>56</v>
      </c>
      <c r="D4333" s="15" t="s">
        <v>42</v>
      </c>
      <c r="E4333" s="15" t="s">
        <v>36</v>
      </c>
      <c r="F4333" s="15" t="s">
        <v>16</v>
      </c>
      <c r="G4333" s="15" t="s">
        <v>27</v>
      </c>
      <c r="H4333" s="15" t="n">
        <v>4</v>
      </c>
      <c r="I4333" s="17" t="n">
        <v>0</v>
      </c>
      <c r="J4333" s="18" t="n">
        <v>182.64</v>
      </c>
      <c r="K4333" s="19" t="n">
        <v>31.13</v>
      </c>
      <c r="L4333" s="15" t="n">
        <f aca="false">YEAR(B4333)</f>
        <v>2024</v>
      </c>
      <c r="M4333" s="20" t="n">
        <f aca="false">IF(J4333&gt;0,K4333/J4333,0)</f>
        <v>0.170444590451161</v>
      </c>
    </row>
    <row r="4334" customFormat="false" ht="15" hidden="false" customHeight="false" outlineLevel="0" collapsed="false">
      <c r="A4334" s="15" t="s">
        <v>4391</v>
      </c>
      <c r="B4334" s="16" t="n">
        <v>44879</v>
      </c>
      <c r="C4334" s="15" t="s">
        <v>71</v>
      </c>
      <c r="D4334" s="15" t="s">
        <v>43</v>
      </c>
      <c r="E4334" s="15" t="s">
        <v>39</v>
      </c>
      <c r="F4334" s="15" t="s">
        <v>16</v>
      </c>
      <c r="G4334" s="15" t="s">
        <v>27</v>
      </c>
      <c r="H4334" s="15" t="n">
        <v>2</v>
      </c>
      <c r="I4334" s="17" t="n">
        <v>0</v>
      </c>
      <c r="J4334" s="18" t="n">
        <v>128.06</v>
      </c>
      <c r="K4334" s="19" t="n">
        <v>25.3</v>
      </c>
      <c r="L4334" s="15" t="n">
        <f aca="false">YEAR(B4334)</f>
        <v>2022</v>
      </c>
      <c r="M4334" s="20" t="n">
        <f aca="false">IF(J4334&gt;0,K4334/J4334,0)</f>
        <v>0.197563642042792</v>
      </c>
    </row>
    <row r="4335" customFormat="false" ht="15" hidden="false" customHeight="false" outlineLevel="0" collapsed="false">
      <c r="A4335" s="15" t="s">
        <v>4392</v>
      </c>
      <c r="B4335" s="16" t="n">
        <v>45407</v>
      </c>
      <c r="C4335" s="15" t="s">
        <v>58</v>
      </c>
      <c r="D4335" s="15" t="s">
        <v>44</v>
      </c>
      <c r="E4335" s="15" t="s">
        <v>36</v>
      </c>
      <c r="F4335" s="15" t="s">
        <v>17</v>
      </c>
      <c r="G4335" s="15" t="s">
        <v>26</v>
      </c>
      <c r="H4335" s="15" t="n">
        <v>2</v>
      </c>
      <c r="I4335" s="17" t="n">
        <v>0.2</v>
      </c>
      <c r="J4335" s="18" t="n">
        <v>130.31</v>
      </c>
      <c r="K4335" s="19" t="n">
        <v>-3.72</v>
      </c>
      <c r="L4335" s="15" t="n">
        <f aca="false">YEAR(B4335)</f>
        <v>2024</v>
      </c>
      <c r="M4335" s="20" t="n">
        <f aca="false">IF(J4335&gt;0,K4335/J4335,0)</f>
        <v>-0.0285473102601489</v>
      </c>
    </row>
    <row r="4336" customFormat="false" ht="15" hidden="false" customHeight="false" outlineLevel="0" collapsed="false">
      <c r="A4336" s="15" t="s">
        <v>4393</v>
      </c>
      <c r="B4336" s="16" t="n">
        <v>44757</v>
      </c>
      <c r="C4336" s="15" t="s">
        <v>56</v>
      </c>
      <c r="D4336" s="15" t="s">
        <v>42</v>
      </c>
      <c r="E4336" s="15" t="s">
        <v>37</v>
      </c>
      <c r="F4336" s="15" t="s">
        <v>17</v>
      </c>
      <c r="G4336" s="15" t="s">
        <v>29</v>
      </c>
      <c r="H4336" s="15" t="n">
        <v>4</v>
      </c>
      <c r="I4336" s="17" t="n">
        <v>0.3</v>
      </c>
      <c r="J4336" s="18" t="n">
        <v>57.44</v>
      </c>
      <c r="K4336" s="19" t="n">
        <v>8.81</v>
      </c>
      <c r="L4336" s="15" t="n">
        <f aca="false">YEAR(B4336)</f>
        <v>2022</v>
      </c>
      <c r="M4336" s="20" t="n">
        <f aca="false">IF(J4336&gt;0,K4336/J4336,0)</f>
        <v>0.153377437325905</v>
      </c>
    </row>
    <row r="4337" customFormat="false" ht="15" hidden="false" customHeight="false" outlineLevel="0" collapsed="false">
      <c r="A4337" s="15" t="s">
        <v>4394</v>
      </c>
      <c r="B4337" s="16" t="n">
        <v>45569</v>
      </c>
      <c r="C4337" s="15" t="s">
        <v>56</v>
      </c>
      <c r="D4337" s="15" t="s">
        <v>43</v>
      </c>
      <c r="E4337" s="15" t="s">
        <v>37</v>
      </c>
      <c r="F4337" s="15" t="s">
        <v>18</v>
      </c>
      <c r="G4337" s="15" t="s">
        <v>33</v>
      </c>
      <c r="H4337" s="15" t="n">
        <v>4</v>
      </c>
      <c r="I4337" s="17" t="n">
        <v>0.15</v>
      </c>
      <c r="J4337" s="18" t="n">
        <v>2805.77</v>
      </c>
      <c r="K4337" s="19" t="n">
        <v>342.77</v>
      </c>
      <c r="L4337" s="15" t="n">
        <f aca="false">YEAR(B4337)</f>
        <v>2024</v>
      </c>
      <c r="M4337" s="20" t="n">
        <f aca="false">IF(J4337&gt;0,K4337/J4337,0)</f>
        <v>0.122166107699491</v>
      </c>
    </row>
    <row r="4338" customFormat="false" ht="15" hidden="false" customHeight="false" outlineLevel="0" collapsed="false">
      <c r="A4338" s="15" t="s">
        <v>4395</v>
      </c>
      <c r="B4338" s="16" t="n">
        <v>45591</v>
      </c>
      <c r="C4338" s="15" t="s">
        <v>56</v>
      </c>
      <c r="D4338" s="15" t="s">
        <v>42</v>
      </c>
      <c r="E4338" s="15" t="s">
        <v>38</v>
      </c>
      <c r="F4338" s="15" t="s">
        <v>16</v>
      </c>
      <c r="G4338" s="15" t="s">
        <v>22</v>
      </c>
      <c r="H4338" s="15" t="n">
        <v>6</v>
      </c>
      <c r="I4338" s="17" t="n">
        <v>0.2</v>
      </c>
      <c r="J4338" s="18" t="n">
        <v>1990.22</v>
      </c>
      <c r="K4338" s="19" t="n">
        <v>-338.09</v>
      </c>
      <c r="L4338" s="15" t="n">
        <f aca="false">YEAR(B4338)</f>
        <v>2024</v>
      </c>
      <c r="M4338" s="20" t="n">
        <f aca="false">IF(J4338&gt;0,K4338/J4338,0)</f>
        <v>-0.169875692134538</v>
      </c>
    </row>
    <row r="4339" customFormat="false" ht="15" hidden="false" customHeight="false" outlineLevel="0" collapsed="false">
      <c r="A4339" s="15" t="s">
        <v>4396</v>
      </c>
      <c r="B4339" s="16" t="n">
        <v>44797</v>
      </c>
      <c r="C4339" s="15" t="s">
        <v>71</v>
      </c>
      <c r="D4339" s="15" t="s">
        <v>43</v>
      </c>
      <c r="E4339" s="15" t="s">
        <v>37</v>
      </c>
      <c r="F4339" s="15" t="s">
        <v>16</v>
      </c>
      <c r="G4339" s="15" t="s">
        <v>25</v>
      </c>
      <c r="H4339" s="15" t="n">
        <v>2</v>
      </c>
      <c r="I4339" s="17" t="n">
        <v>0.5</v>
      </c>
      <c r="J4339" s="18" t="n">
        <v>321.68</v>
      </c>
      <c r="K4339" s="19" t="n">
        <v>-107.53</v>
      </c>
      <c r="L4339" s="15" t="n">
        <f aca="false">YEAR(B4339)</f>
        <v>2022</v>
      </c>
      <c r="M4339" s="20" t="n">
        <f aca="false">IF(J4339&gt;0,K4339/J4339,0)</f>
        <v>-0.334276299428003</v>
      </c>
    </row>
    <row r="4340" customFormat="false" ht="15" hidden="false" customHeight="false" outlineLevel="0" collapsed="false">
      <c r="A4340" s="15" t="s">
        <v>4397</v>
      </c>
      <c r="B4340" s="16" t="n">
        <v>45996</v>
      </c>
      <c r="C4340" s="15" t="s">
        <v>56</v>
      </c>
      <c r="D4340" s="15" t="s">
        <v>42</v>
      </c>
      <c r="E4340" s="15" t="s">
        <v>37</v>
      </c>
      <c r="F4340" s="15" t="s">
        <v>17</v>
      </c>
      <c r="G4340" s="15" t="s">
        <v>29</v>
      </c>
      <c r="H4340" s="15" t="n">
        <v>2</v>
      </c>
      <c r="I4340" s="17" t="n">
        <v>0</v>
      </c>
      <c r="J4340" s="18" t="n">
        <v>30.89</v>
      </c>
      <c r="K4340" s="19" t="n">
        <v>12.39</v>
      </c>
      <c r="L4340" s="15" t="n">
        <f aca="false">YEAR(B4340)</f>
        <v>2025</v>
      </c>
      <c r="M4340" s="20" t="n">
        <f aca="false">IF(J4340&gt;0,K4340/J4340,0)</f>
        <v>0.401100679831661</v>
      </c>
    </row>
    <row r="4341" customFormat="false" ht="15" hidden="false" customHeight="false" outlineLevel="0" collapsed="false">
      <c r="A4341" s="15" t="s">
        <v>4398</v>
      </c>
      <c r="B4341" s="16" t="n">
        <v>45621</v>
      </c>
      <c r="C4341" s="15" t="s">
        <v>56</v>
      </c>
      <c r="D4341" s="15" t="s">
        <v>43</v>
      </c>
      <c r="E4341" s="15" t="s">
        <v>39</v>
      </c>
      <c r="F4341" s="15" t="s">
        <v>17</v>
      </c>
      <c r="G4341" s="15" t="s">
        <v>31</v>
      </c>
      <c r="H4341" s="15" t="n">
        <v>3</v>
      </c>
      <c r="I4341" s="17" t="n">
        <v>0.05</v>
      </c>
      <c r="J4341" s="18" t="n">
        <v>459.96</v>
      </c>
      <c r="K4341" s="19" t="n">
        <v>56.83</v>
      </c>
      <c r="L4341" s="15" t="n">
        <f aca="false">YEAR(B4341)</f>
        <v>2024</v>
      </c>
      <c r="M4341" s="20" t="n">
        <f aca="false">IF(J4341&gt;0,K4341/J4341,0)</f>
        <v>0.12355422210627</v>
      </c>
    </row>
    <row r="4342" customFormat="false" ht="15" hidden="false" customHeight="false" outlineLevel="0" collapsed="false">
      <c r="A4342" s="15" t="s">
        <v>4399</v>
      </c>
      <c r="B4342" s="16" t="n">
        <v>45510</v>
      </c>
      <c r="C4342" s="15" t="s">
        <v>71</v>
      </c>
      <c r="D4342" s="15" t="s">
        <v>43</v>
      </c>
      <c r="E4342" s="15" t="s">
        <v>37</v>
      </c>
      <c r="F4342" s="15" t="s">
        <v>16</v>
      </c>
      <c r="G4342" s="15" t="s">
        <v>22</v>
      </c>
      <c r="H4342" s="15" t="n">
        <v>5</v>
      </c>
      <c r="I4342" s="17" t="n">
        <v>0.1</v>
      </c>
      <c r="J4342" s="18" t="n">
        <v>2733.16</v>
      </c>
      <c r="K4342" s="19" t="n">
        <v>-349.21</v>
      </c>
      <c r="L4342" s="15" t="n">
        <f aca="false">YEAR(B4342)</f>
        <v>2024</v>
      </c>
      <c r="M4342" s="20" t="n">
        <f aca="false">IF(J4342&gt;0,K4342/J4342,0)</f>
        <v>-0.12776785844956</v>
      </c>
    </row>
    <row r="4343" customFormat="false" ht="15" hidden="false" customHeight="false" outlineLevel="0" collapsed="false">
      <c r="A4343" s="15" t="s">
        <v>4400</v>
      </c>
      <c r="B4343" s="16" t="n">
        <v>45237</v>
      </c>
      <c r="C4343" s="15" t="s">
        <v>56</v>
      </c>
      <c r="D4343" s="15" t="s">
        <v>44</v>
      </c>
      <c r="E4343" s="15" t="s">
        <v>39</v>
      </c>
      <c r="F4343" s="15" t="s">
        <v>17</v>
      </c>
      <c r="G4343" s="15" t="s">
        <v>29</v>
      </c>
      <c r="H4343" s="15" t="n">
        <v>3</v>
      </c>
      <c r="I4343" s="17" t="n">
        <v>0.2</v>
      </c>
      <c r="J4343" s="18" t="n">
        <v>39</v>
      </c>
      <c r="K4343" s="19" t="n">
        <v>8.38</v>
      </c>
      <c r="L4343" s="15" t="n">
        <f aca="false">YEAR(B4343)</f>
        <v>2023</v>
      </c>
      <c r="M4343" s="20" t="n">
        <f aca="false">IF(J4343&gt;0,K4343/J4343,0)</f>
        <v>0.214871794871795</v>
      </c>
    </row>
    <row r="4344" customFormat="false" ht="15" hidden="false" customHeight="false" outlineLevel="0" collapsed="false">
      <c r="A4344" s="15" t="s">
        <v>4401</v>
      </c>
      <c r="B4344" s="16" t="n">
        <v>45989</v>
      </c>
      <c r="C4344" s="15" t="s">
        <v>71</v>
      </c>
      <c r="D4344" s="15" t="s">
        <v>43</v>
      </c>
      <c r="E4344" s="15" t="s">
        <v>39</v>
      </c>
      <c r="F4344" s="15" t="s">
        <v>17</v>
      </c>
      <c r="G4344" s="15" t="s">
        <v>26</v>
      </c>
      <c r="H4344" s="15" t="n">
        <v>5</v>
      </c>
      <c r="I4344" s="17" t="n">
        <v>0.1</v>
      </c>
      <c r="J4344" s="18" t="n">
        <v>379.12</v>
      </c>
      <c r="K4344" s="19" t="n">
        <v>29.27</v>
      </c>
      <c r="L4344" s="15" t="n">
        <f aca="false">YEAR(B4344)</f>
        <v>2025</v>
      </c>
      <c r="M4344" s="20" t="n">
        <f aca="false">IF(J4344&gt;0,K4344/J4344,0)</f>
        <v>0.0772051065625659</v>
      </c>
    </row>
    <row r="4345" customFormat="false" ht="15" hidden="false" customHeight="false" outlineLevel="0" collapsed="false">
      <c r="A4345" s="15" t="s">
        <v>4402</v>
      </c>
      <c r="B4345" s="16" t="n">
        <v>45766</v>
      </c>
      <c r="C4345" s="15" t="s">
        <v>56</v>
      </c>
      <c r="D4345" s="15" t="s">
        <v>43</v>
      </c>
      <c r="E4345" s="15" t="s">
        <v>38</v>
      </c>
      <c r="F4345" s="15" t="s">
        <v>18</v>
      </c>
      <c r="G4345" s="15" t="s">
        <v>33</v>
      </c>
      <c r="H4345" s="15" t="n">
        <v>7</v>
      </c>
      <c r="I4345" s="17" t="n">
        <v>0</v>
      </c>
      <c r="J4345" s="18" t="n">
        <v>6468.3</v>
      </c>
      <c r="K4345" s="19" t="n">
        <v>1601.85</v>
      </c>
      <c r="L4345" s="15" t="n">
        <f aca="false">YEAR(B4345)</f>
        <v>2025</v>
      </c>
      <c r="M4345" s="20" t="n">
        <f aca="false">IF(J4345&gt;0,K4345/J4345,0)</f>
        <v>0.247646213069895</v>
      </c>
    </row>
    <row r="4346" customFormat="false" ht="15" hidden="false" customHeight="false" outlineLevel="0" collapsed="false">
      <c r="A4346" s="15" t="s">
        <v>4403</v>
      </c>
      <c r="B4346" s="16" t="n">
        <v>44625</v>
      </c>
      <c r="C4346" s="15" t="s">
        <v>71</v>
      </c>
      <c r="D4346" s="15" t="s">
        <v>43</v>
      </c>
      <c r="E4346" s="15" t="s">
        <v>39</v>
      </c>
      <c r="F4346" s="15" t="s">
        <v>18</v>
      </c>
      <c r="G4346" s="15" t="s">
        <v>30</v>
      </c>
      <c r="H4346" s="15" t="n">
        <v>6</v>
      </c>
      <c r="I4346" s="17" t="n">
        <v>0</v>
      </c>
      <c r="J4346" s="18" t="n">
        <v>328.3</v>
      </c>
      <c r="K4346" s="19" t="n">
        <v>105.93</v>
      </c>
      <c r="L4346" s="15" t="n">
        <f aca="false">YEAR(B4346)</f>
        <v>2022</v>
      </c>
      <c r="M4346" s="20" t="n">
        <f aca="false">IF(J4346&gt;0,K4346/J4346,0)</f>
        <v>0.322662199208041</v>
      </c>
    </row>
    <row r="4347" customFormat="false" ht="15" hidden="false" customHeight="false" outlineLevel="0" collapsed="false">
      <c r="A4347" s="15" t="s">
        <v>4404</v>
      </c>
      <c r="B4347" s="16" t="n">
        <v>45395</v>
      </c>
      <c r="C4347" s="15" t="s">
        <v>56</v>
      </c>
      <c r="D4347" s="15" t="s">
        <v>42</v>
      </c>
      <c r="E4347" s="15" t="s">
        <v>39</v>
      </c>
      <c r="F4347" s="15" t="s">
        <v>17</v>
      </c>
      <c r="G4347" s="15" t="s">
        <v>28</v>
      </c>
      <c r="H4347" s="15" t="n">
        <v>7</v>
      </c>
      <c r="I4347" s="17" t="n">
        <v>0</v>
      </c>
      <c r="J4347" s="18" t="n">
        <v>184.45</v>
      </c>
      <c r="K4347" s="19" t="n">
        <v>51.44</v>
      </c>
      <c r="L4347" s="15" t="n">
        <f aca="false">YEAR(B4347)</f>
        <v>2024</v>
      </c>
      <c r="M4347" s="20" t="n">
        <f aca="false">IF(J4347&gt;0,K4347/J4347,0)</f>
        <v>0.278883166169694</v>
      </c>
    </row>
    <row r="4348" customFormat="false" ht="15" hidden="false" customHeight="false" outlineLevel="0" collapsed="false">
      <c r="A4348" s="15" t="s">
        <v>4405</v>
      </c>
      <c r="B4348" s="16" t="n">
        <v>44849</v>
      </c>
      <c r="C4348" s="15" t="s">
        <v>56</v>
      </c>
      <c r="D4348" s="15" t="s">
        <v>43</v>
      </c>
      <c r="E4348" s="15" t="s">
        <v>39</v>
      </c>
      <c r="F4348" s="15" t="s">
        <v>17</v>
      </c>
      <c r="G4348" s="15" t="s">
        <v>28</v>
      </c>
      <c r="H4348" s="15" t="n">
        <v>4</v>
      </c>
      <c r="I4348" s="17" t="n">
        <v>0.05</v>
      </c>
      <c r="J4348" s="18" t="n">
        <v>101.9</v>
      </c>
      <c r="K4348" s="19" t="n">
        <v>31.6</v>
      </c>
      <c r="L4348" s="15" t="n">
        <f aca="false">YEAR(B4348)</f>
        <v>2022</v>
      </c>
      <c r="M4348" s="20" t="n">
        <f aca="false">IF(J4348&gt;0,K4348/J4348,0)</f>
        <v>0.310107948969578</v>
      </c>
    </row>
    <row r="4349" customFormat="false" ht="15" hidden="false" customHeight="false" outlineLevel="0" collapsed="false">
      <c r="A4349" s="15" t="s">
        <v>4406</v>
      </c>
      <c r="B4349" s="16" t="n">
        <v>45180</v>
      </c>
      <c r="C4349" s="15" t="s">
        <v>58</v>
      </c>
      <c r="D4349" s="15" t="s">
        <v>42</v>
      </c>
      <c r="E4349" s="15" t="s">
        <v>39</v>
      </c>
      <c r="F4349" s="15" t="s">
        <v>17</v>
      </c>
      <c r="G4349" s="15" t="s">
        <v>29</v>
      </c>
      <c r="H4349" s="15" t="n">
        <v>6</v>
      </c>
      <c r="I4349" s="17" t="n">
        <v>0.05</v>
      </c>
      <c r="J4349" s="18" t="n">
        <v>92.97</v>
      </c>
      <c r="K4349" s="19" t="n">
        <v>35.96</v>
      </c>
      <c r="L4349" s="15" t="n">
        <f aca="false">YEAR(B4349)</f>
        <v>2023</v>
      </c>
      <c r="M4349" s="20" t="n">
        <f aca="false">IF(J4349&gt;0,K4349/J4349,0)</f>
        <v>0.386791438098311</v>
      </c>
    </row>
    <row r="4350" customFormat="false" ht="15" hidden="false" customHeight="false" outlineLevel="0" collapsed="false">
      <c r="A4350" s="15" t="s">
        <v>4407</v>
      </c>
      <c r="B4350" s="16" t="n">
        <v>45083</v>
      </c>
      <c r="C4350" s="15" t="s">
        <v>56</v>
      </c>
      <c r="D4350" s="15" t="s">
        <v>44</v>
      </c>
      <c r="E4350" s="15" t="s">
        <v>38</v>
      </c>
      <c r="F4350" s="15" t="s">
        <v>16</v>
      </c>
      <c r="G4350" s="15" t="s">
        <v>25</v>
      </c>
      <c r="H4350" s="15" t="n">
        <v>6</v>
      </c>
      <c r="I4350" s="17" t="n">
        <v>0</v>
      </c>
      <c r="J4350" s="18" t="n">
        <v>1317.79</v>
      </c>
      <c r="K4350" s="19" t="n">
        <v>181.69</v>
      </c>
      <c r="L4350" s="15" t="n">
        <f aca="false">YEAR(B4350)</f>
        <v>2023</v>
      </c>
      <c r="M4350" s="20" t="n">
        <f aca="false">IF(J4350&gt;0,K4350/J4350,0)</f>
        <v>0.137874775191798</v>
      </c>
    </row>
    <row r="4351" customFormat="false" ht="15" hidden="false" customHeight="false" outlineLevel="0" collapsed="false">
      <c r="A4351" s="15" t="s">
        <v>4408</v>
      </c>
      <c r="B4351" s="16" t="n">
        <v>45247</v>
      </c>
      <c r="C4351" s="15" t="s">
        <v>71</v>
      </c>
      <c r="D4351" s="15" t="s">
        <v>44</v>
      </c>
      <c r="E4351" s="15" t="s">
        <v>37</v>
      </c>
      <c r="F4351" s="15" t="s">
        <v>18</v>
      </c>
      <c r="G4351" s="15" t="s">
        <v>30</v>
      </c>
      <c r="H4351" s="15" t="n">
        <v>3</v>
      </c>
      <c r="I4351" s="17" t="n">
        <v>0.15</v>
      </c>
      <c r="J4351" s="18" t="n">
        <v>122.24</v>
      </c>
      <c r="K4351" s="19" t="n">
        <v>20.9</v>
      </c>
      <c r="L4351" s="15" t="n">
        <f aca="false">YEAR(B4351)</f>
        <v>2023</v>
      </c>
      <c r="M4351" s="20" t="n">
        <f aca="false">IF(J4351&gt;0,K4351/J4351,0)</f>
        <v>0.170975130890052</v>
      </c>
    </row>
    <row r="4352" customFormat="false" ht="15" hidden="false" customHeight="false" outlineLevel="0" collapsed="false">
      <c r="A4352" s="15" t="s">
        <v>4409</v>
      </c>
      <c r="B4352" s="16" t="n">
        <v>44572</v>
      </c>
      <c r="C4352" s="15" t="s">
        <v>56</v>
      </c>
      <c r="D4352" s="15" t="s">
        <v>42</v>
      </c>
      <c r="E4352" s="15" t="s">
        <v>39</v>
      </c>
      <c r="F4352" s="15" t="s">
        <v>17</v>
      </c>
      <c r="G4352" s="15" t="s">
        <v>28</v>
      </c>
      <c r="H4352" s="15" t="n">
        <v>1</v>
      </c>
      <c r="I4352" s="17" t="n">
        <v>0.2</v>
      </c>
      <c r="J4352" s="18" t="n">
        <v>27.98</v>
      </c>
      <c r="K4352" s="19" t="n">
        <v>2.84</v>
      </c>
      <c r="L4352" s="15" t="n">
        <f aca="false">YEAR(B4352)</f>
        <v>2022</v>
      </c>
      <c r="M4352" s="20" t="n">
        <f aca="false">IF(J4352&gt;0,K4352/J4352,0)</f>
        <v>0.101501072194425</v>
      </c>
    </row>
    <row r="4353" customFormat="false" ht="15" hidden="false" customHeight="false" outlineLevel="0" collapsed="false">
      <c r="A4353" s="15" t="s">
        <v>4410</v>
      </c>
      <c r="B4353" s="16" t="n">
        <v>45841</v>
      </c>
      <c r="C4353" s="15" t="s">
        <v>56</v>
      </c>
      <c r="D4353" s="15" t="s">
        <v>43</v>
      </c>
      <c r="E4353" s="15" t="s">
        <v>39</v>
      </c>
      <c r="F4353" s="15" t="s">
        <v>16</v>
      </c>
      <c r="G4353" s="15" t="s">
        <v>25</v>
      </c>
      <c r="H4353" s="15" t="n">
        <v>2</v>
      </c>
      <c r="I4353" s="17" t="n">
        <v>0.3</v>
      </c>
      <c r="J4353" s="18" t="n">
        <v>493.23</v>
      </c>
      <c r="K4353" s="19" t="n">
        <v>-72.44</v>
      </c>
      <c r="L4353" s="15" t="n">
        <f aca="false">YEAR(B4353)</f>
        <v>2025</v>
      </c>
      <c r="M4353" s="20" t="n">
        <f aca="false">IF(J4353&gt;0,K4353/J4353,0)</f>
        <v>-0.146868600855585</v>
      </c>
    </row>
    <row r="4354" customFormat="false" ht="15" hidden="false" customHeight="false" outlineLevel="0" collapsed="false">
      <c r="A4354" s="15" t="s">
        <v>4411</v>
      </c>
      <c r="B4354" s="16" t="n">
        <v>45269</v>
      </c>
      <c r="C4354" s="15" t="s">
        <v>56</v>
      </c>
      <c r="D4354" s="15" t="s">
        <v>43</v>
      </c>
      <c r="E4354" s="15" t="s">
        <v>36</v>
      </c>
      <c r="F4354" s="15" t="s">
        <v>17</v>
      </c>
      <c r="G4354" s="15" t="s">
        <v>28</v>
      </c>
      <c r="H4354" s="15" t="n">
        <v>3</v>
      </c>
      <c r="I4354" s="17" t="n">
        <v>0.15</v>
      </c>
      <c r="J4354" s="18" t="n">
        <v>73.29</v>
      </c>
      <c r="K4354" s="19" t="n">
        <v>14.27</v>
      </c>
      <c r="L4354" s="15" t="n">
        <f aca="false">YEAR(B4354)</f>
        <v>2023</v>
      </c>
      <c r="M4354" s="20" t="n">
        <f aca="false">IF(J4354&gt;0,K4354/J4354,0)</f>
        <v>0.194705962614272</v>
      </c>
    </row>
    <row r="4355" customFormat="false" ht="15" hidden="false" customHeight="false" outlineLevel="0" collapsed="false">
      <c r="A4355" s="15" t="s">
        <v>4412</v>
      </c>
      <c r="B4355" s="16" t="n">
        <v>45243</v>
      </c>
      <c r="C4355" s="15" t="s">
        <v>71</v>
      </c>
      <c r="D4355" s="15" t="s">
        <v>43</v>
      </c>
      <c r="E4355" s="15" t="s">
        <v>37</v>
      </c>
      <c r="F4355" s="15" t="s">
        <v>17</v>
      </c>
      <c r="G4355" s="15" t="s">
        <v>26</v>
      </c>
      <c r="H4355" s="15" t="n">
        <v>1</v>
      </c>
      <c r="I4355" s="17" t="n">
        <v>0.2</v>
      </c>
      <c r="J4355" s="18" t="n">
        <v>74.1</v>
      </c>
      <c r="K4355" s="19" t="n">
        <v>-8.14</v>
      </c>
      <c r="L4355" s="15" t="n">
        <f aca="false">YEAR(B4355)</f>
        <v>2023</v>
      </c>
      <c r="M4355" s="20" t="n">
        <f aca="false">IF(J4355&gt;0,K4355/J4355,0)</f>
        <v>-0.109851551956815</v>
      </c>
    </row>
    <row r="4356" customFormat="false" ht="15" hidden="false" customHeight="false" outlineLevel="0" collapsed="false">
      <c r="A4356" s="15" t="s">
        <v>4413</v>
      </c>
      <c r="B4356" s="16" t="n">
        <v>45792</v>
      </c>
      <c r="C4356" s="15" t="s">
        <v>56</v>
      </c>
      <c r="D4356" s="15" t="s">
        <v>44</v>
      </c>
      <c r="E4356" s="15" t="s">
        <v>36</v>
      </c>
      <c r="F4356" s="15" t="s">
        <v>16</v>
      </c>
      <c r="G4356" s="15" t="s">
        <v>25</v>
      </c>
      <c r="H4356" s="15" t="n">
        <v>4</v>
      </c>
      <c r="I4356" s="17" t="n">
        <v>0.2</v>
      </c>
      <c r="J4356" s="18" t="n">
        <v>876.69</v>
      </c>
      <c r="K4356" s="19" t="n">
        <v>-63.47</v>
      </c>
      <c r="L4356" s="15" t="n">
        <f aca="false">YEAR(B4356)</f>
        <v>2025</v>
      </c>
      <c r="M4356" s="20" t="n">
        <f aca="false">IF(J4356&gt;0,K4356/J4356,0)</f>
        <v>-0.0723973126190558</v>
      </c>
    </row>
    <row r="4357" customFormat="false" ht="15" hidden="false" customHeight="false" outlineLevel="0" collapsed="false">
      <c r="A4357" s="15" t="s">
        <v>4414</v>
      </c>
      <c r="B4357" s="16" t="n">
        <v>44881</v>
      </c>
      <c r="C4357" s="15" t="s">
        <v>71</v>
      </c>
      <c r="D4357" s="15" t="s">
        <v>43</v>
      </c>
      <c r="E4357" s="15" t="s">
        <v>38</v>
      </c>
      <c r="F4357" s="15" t="s">
        <v>17</v>
      </c>
      <c r="G4357" s="15" t="s">
        <v>28</v>
      </c>
      <c r="H4357" s="15" t="n">
        <v>5</v>
      </c>
      <c r="I4357" s="17" t="n">
        <v>0</v>
      </c>
      <c r="J4357" s="18" t="n">
        <v>121.9</v>
      </c>
      <c r="K4357" s="19" t="n">
        <v>38.93</v>
      </c>
      <c r="L4357" s="15" t="n">
        <f aca="false">YEAR(B4357)</f>
        <v>2022</v>
      </c>
      <c r="M4357" s="20" t="n">
        <f aca="false">IF(J4357&gt;0,K4357/J4357,0)</f>
        <v>0.319360131255127</v>
      </c>
    </row>
    <row r="4358" customFormat="false" ht="15" hidden="false" customHeight="false" outlineLevel="0" collapsed="false">
      <c r="A4358" s="15" t="s">
        <v>4415</v>
      </c>
      <c r="B4358" s="16" t="n">
        <v>45979</v>
      </c>
      <c r="C4358" s="15" t="s">
        <v>71</v>
      </c>
      <c r="D4358" s="15" t="s">
        <v>42</v>
      </c>
      <c r="E4358" s="15" t="s">
        <v>37</v>
      </c>
      <c r="F4358" s="15" t="s">
        <v>18</v>
      </c>
      <c r="G4358" s="15" t="s">
        <v>32</v>
      </c>
      <c r="H4358" s="15" t="n">
        <v>2</v>
      </c>
      <c r="I4358" s="17" t="n">
        <v>0.3</v>
      </c>
      <c r="J4358" s="18" t="n">
        <v>625.91</v>
      </c>
      <c r="K4358" s="19" t="n">
        <v>-18.47</v>
      </c>
      <c r="L4358" s="15" t="n">
        <f aca="false">YEAR(B4358)</f>
        <v>2025</v>
      </c>
      <c r="M4358" s="20" t="n">
        <f aca="false">IF(J4358&gt;0,K4358/J4358,0)</f>
        <v>-0.0295090348452653</v>
      </c>
    </row>
    <row r="4359" customFormat="false" ht="15" hidden="false" customHeight="false" outlineLevel="0" collapsed="false">
      <c r="A4359" s="15" t="s">
        <v>4416</v>
      </c>
      <c r="B4359" s="16" t="n">
        <v>46013</v>
      </c>
      <c r="C4359" s="15" t="s">
        <v>71</v>
      </c>
      <c r="D4359" s="15" t="s">
        <v>44</v>
      </c>
      <c r="E4359" s="15" t="s">
        <v>37</v>
      </c>
      <c r="F4359" s="15" t="s">
        <v>18</v>
      </c>
      <c r="G4359" s="15" t="s">
        <v>30</v>
      </c>
      <c r="H4359" s="15" t="n">
        <v>3</v>
      </c>
      <c r="I4359" s="17" t="n">
        <v>0.2</v>
      </c>
      <c r="J4359" s="18" t="n">
        <v>119.07</v>
      </c>
      <c r="K4359" s="19" t="n">
        <v>8.95</v>
      </c>
      <c r="L4359" s="15" t="n">
        <f aca="false">YEAR(B4359)</f>
        <v>2025</v>
      </c>
      <c r="M4359" s="20" t="n">
        <f aca="false">IF(J4359&gt;0,K4359/J4359,0)</f>
        <v>0.0751658688166625</v>
      </c>
    </row>
    <row r="4360" customFormat="false" ht="15" hidden="false" customHeight="false" outlineLevel="0" collapsed="false">
      <c r="A4360" s="15" t="s">
        <v>4417</v>
      </c>
      <c r="B4360" s="16" t="n">
        <v>45226</v>
      </c>
      <c r="C4360" s="15" t="s">
        <v>56</v>
      </c>
      <c r="D4360" s="15" t="s">
        <v>44</v>
      </c>
      <c r="E4360" s="15" t="s">
        <v>37</v>
      </c>
      <c r="F4360" s="15" t="s">
        <v>16</v>
      </c>
      <c r="G4360" s="15" t="s">
        <v>27</v>
      </c>
      <c r="H4360" s="15" t="n">
        <v>5</v>
      </c>
      <c r="I4360" s="17" t="n">
        <v>0</v>
      </c>
      <c r="J4360" s="18" t="n">
        <v>393.34</v>
      </c>
      <c r="K4360" s="19" t="n">
        <v>104.97</v>
      </c>
      <c r="L4360" s="15" t="n">
        <f aca="false">YEAR(B4360)</f>
        <v>2023</v>
      </c>
      <c r="M4360" s="20" t="n">
        <f aca="false">IF(J4360&gt;0,K4360/J4360,0)</f>
        <v>0.266868358163421</v>
      </c>
    </row>
    <row r="4361" customFormat="false" ht="15" hidden="false" customHeight="false" outlineLevel="0" collapsed="false">
      <c r="A4361" s="15" t="s">
        <v>4418</v>
      </c>
      <c r="B4361" s="16" t="n">
        <v>44937</v>
      </c>
      <c r="C4361" s="15" t="s">
        <v>56</v>
      </c>
      <c r="D4361" s="15" t="s">
        <v>42</v>
      </c>
      <c r="E4361" s="15" t="s">
        <v>38</v>
      </c>
      <c r="F4361" s="15" t="s">
        <v>17</v>
      </c>
      <c r="G4361" s="15" t="s">
        <v>26</v>
      </c>
      <c r="H4361" s="15" t="n">
        <v>5</v>
      </c>
      <c r="I4361" s="17" t="n">
        <v>0.2</v>
      </c>
      <c r="J4361" s="18" t="n">
        <v>284.08</v>
      </c>
      <c r="K4361" s="19" t="n">
        <v>-12.25</v>
      </c>
      <c r="L4361" s="15" t="n">
        <f aca="false">YEAR(B4361)</f>
        <v>2023</v>
      </c>
      <c r="M4361" s="20" t="n">
        <f aca="false">IF(J4361&gt;0,K4361/J4361,0)</f>
        <v>-0.0431216558715855</v>
      </c>
    </row>
    <row r="4362" customFormat="false" ht="15" hidden="false" customHeight="false" outlineLevel="0" collapsed="false">
      <c r="A4362" s="15" t="s">
        <v>4419</v>
      </c>
      <c r="B4362" s="16" t="n">
        <v>45967</v>
      </c>
      <c r="C4362" s="15" t="s">
        <v>71</v>
      </c>
      <c r="D4362" s="15" t="s">
        <v>43</v>
      </c>
      <c r="E4362" s="15" t="s">
        <v>37</v>
      </c>
      <c r="F4362" s="15" t="s">
        <v>17</v>
      </c>
      <c r="G4362" s="15" t="s">
        <v>31</v>
      </c>
      <c r="H4362" s="15" t="n">
        <v>1</v>
      </c>
      <c r="I4362" s="17" t="n">
        <v>0</v>
      </c>
      <c r="J4362" s="18" t="n">
        <v>139.38</v>
      </c>
      <c r="K4362" s="19" t="n">
        <v>26.46</v>
      </c>
      <c r="L4362" s="15" t="n">
        <f aca="false">YEAR(B4362)</f>
        <v>2025</v>
      </c>
      <c r="M4362" s="20" t="n">
        <f aca="false">IF(J4362&gt;0,K4362/J4362,0)</f>
        <v>0.189840723202755</v>
      </c>
    </row>
    <row r="4363" customFormat="false" ht="15" hidden="false" customHeight="false" outlineLevel="0" collapsed="false">
      <c r="A4363" s="15" t="s">
        <v>4420</v>
      </c>
      <c r="B4363" s="16" t="n">
        <v>45934</v>
      </c>
      <c r="C4363" s="15" t="s">
        <v>56</v>
      </c>
      <c r="D4363" s="15" t="s">
        <v>42</v>
      </c>
      <c r="E4363" s="15" t="s">
        <v>37</v>
      </c>
      <c r="F4363" s="15" t="s">
        <v>17</v>
      </c>
      <c r="G4363" s="15" t="s">
        <v>29</v>
      </c>
      <c r="H4363" s="15" t="n">
        <v>3</v>
      </c>
      <c r="I4363" s="17" t="n">
        <v>0.2</v>
      </c>
      <c r="J4363" s="18" t="n">
        <v>47.9</v>
      </c>
      <c r="K4363" s="19" t="n">
        <v>7.08</v>
      </c>
      <c r="L4363" s="15" t="n">
        <f aca="false">YEAR(B4363)</f>
        <v>2025</v>
      </c>
      <c r="M4363" s="20" t="n">
        <f aca="false">IF(J4363&gt;0,K4363/J4363,0)</f>
        <v>0.147807933194155</v>
      </c>
    </row>
    <row r="4364" customFormat="false" ht="15" hidden="false" customHeight="false" outlineLevel="0" collapsed="false">
      <c r="A4364" s="15" t="s">
        <v>4421</v>
      </c>
      <c r="B4364" s="16" t="n">
        <v>45754</v>
      </c>
      <c r="C4364" s="15" t="s">
        <v>58</v>
      </c>
      <c r="D4364" s="15" t="s">
        <v>42</v>
      </c>
      <c r="E4364" s="15" t="s">
        <v>39</v>
      </c>
      <c r="F4364" s="15" t="s">
        <v>17</v>
      </c>
      <c r="G4364" s="15" t="s">
        <v>26</v>
      </c>
      <c r="H4364" s="15" t="n">
        <v>3</v>
      </c>
      <c r="I4364" s="17" t="n">
        <v>0.2</v>
      </c>
      <c r="J4364" s="18" t="n">
        <v>220.34</v>
      </c>
      <c r="K4364" s="19" t="n">
        <v>-22.63</v>
      </c>
      <c r="L4364" s="15" t="n">
        <f aca="false">YEAR(B4364)</f>
        <v>2025</v>
      </c>
      <c r="M4364" s="20" t="n">
        <f aca="false">IF(J4364&gt;0,K4364/J4364,0)</f>
        <v>-0.10270491059272</v>
      </c>
    </row>
    <row r="4365" customFormat="false" ht="15" hidden="false" customHeight="false" outlineLevel="0" collapsed="false">
      <c r="A4365" s="15" t="s">
        <v>4422</v>
      </c>
      <c r="B4365" s="16" t="n">
        <v>44881</v>
      </c>
      <c r="C4365" s="15" t="s">
        <v>58</v>
      </c>
      <c r="D4365" s="15" t="s">
        <v>43</v>
      </c>
      <c r="E4365" s="15" t="s">
        <v>37</v>
      </c>
      <c r="F4365" s="15" t="s">
        <v>17</v>
      </c>
      <c r="G4365" s="15" t="s">
        <v>29</v>
      </c>
      <c r="H4365" s="15" t="n">
        <v>3</v>
      </c>
      <c r="I4365" s="17" t="n">
        <v>0.05</v>
      </c>
      <c r="J4365" s="18" t="n">
        <v>58.09</v>
      </c>
      <c r="K4365" s="19" t="n">
        <v>21.67</v>
      </c>
      <c r="L4365" s="15" t="n">
        <f aca="false">YEAR(B4365)</f>
        <v>2022</v>
      </c>
      <c r="M4365" s="20" t="n">
        <f aca="false">IF(J4365&gt;0,K4365/J4365,0)</f>
        <v>0.373041831640558</v>
      </c>
    </row>
    <row r="4366" customFormat="false" ht="15" hidden="false" customHeight="false" outlineLevel="0" collapsed="false">
      <c r="A4366" s="15" t="s">
        <v>4423</v>
      </c>
      <c r="B4366" s="16" t="n">
        <v>44723</v>
      </c>
      <c r="C4366" s="15" t="s">
        <v>71</v>
      </c>
      <c r="D4366" s="15" t="s">
        <v>42</v>
      </c>
      <c r="E4366" s="15" t="s">
        <v>38</v>
      </c>
      <c r="F4366" s="15" t="s">
        <v>16</v>
      </c>
      <c r="G4366" s="15" t="s">
        <v>25</v>
      </c>
      <c r="H4366" s="15" t="n">
        <v>4</v>
      </c>
      <c r="I4366" s="17" t="n">
        <v>0.2</v>
      </c>
      <c r="J4366" s="18" t="n">
        <v>945.05</v>
      </c>
      <c r="K4366" s="19" t="n">
        <v>-84.93</v>
      </c>
      <c r="L4366" s="15" t="n">
        <f aca="false">YEAR(B4366)</f>
        <v>2022</v>
      </c>
      <c r="M4366" s="20" t="n">
        <f aca="false">IF(J4366&gt;0,K4366/J4366,0)</f>
        <v>-0.0898682609385747</v>
      </c>
    </row>
    <row r="4367" customFormat="false" ht="15" hidden="false" customHeight="false" outlineLevel="0" collapsed="false">
      <c r="A4367" s="15" t="s">
        <v>4424</v>
      </c>
      <c r="B4367" s="16" t="n">
        <v>45966</v>
      </c>
      <c r="C4367" s="15" t="s">
        <v>56</v>
      </c>
      <c r="D4367" s="15" t="s">
        <v>42</v>
      </c>
      <c r="E4367" s="15" t="s">
        <v>38</v>
      </c>
      <c r="F4367" s="15" t="s">
        <v>17</v>
      </c>
      <c r="G4367" s="15" t="s">
        <v>29</v>
      </c>
      <c r="H4367" s="15" t="n">
        <v>3</v>
      </c>
      <c r="I4367" s="17" t="n">
        <v>0.1</v>
      </c>
      <c r="J4367" s="18" t="n">
        <v>43.61</v>
      </c>
      <c r="K4367" s="19" t="n">
        <v>13.04</v>
      </c>
      <c r="L4367" s="15" t="n">
        <f aca="false">YEAR(B4367)</f>
        <v>2025</v>
      </c>
      <c r="M4367" s="20" t="n">
        <f aca="false">IF(J4367&gt;0,K4367/J4367,0)</f>
        <v>0.299013987617519</v>
      </c>
    </row>
    <row r="4368" customFormat="false" ht="15" hidden="false" customHeight="false" outlineLevel="0" collapsed="false">
      <c r="A4368" s="15" t="s">
        <v>4425</v>
      </c>
      <c r="B4368" s="16" t="n">
        <v>45584</v>
      </c>
      <c r="C4368" s="15" t="s">
        <v>56</v>
      </c>
      <c r="D4368" s="15" t="s">
        <v>44</v>
      </c>
      <c r="E4368" s="15" t="s">
        <v>37</v>
      </c>
      <c r="F4368" s="15" t="s">
        <v>17</v>
      </c>
      <c r="G4368" s="15" t="s">
        <v>29</v>
      </c>
      <c r="H4368" s="15" t="n">
        <v>7</v>
      </c>
      <c r="I4368" s="17" t="n">
        <v>0.1</v>
      </c>
      <c r="J4368" s="18" t="n">
        <v>109.75</v>
      </c>
      <c r="K4368" s="19" t="n">
        <v>29.38</v>
      </c>
      <c r="L4368" s="15" t="n">
        <f aca="false">YEAR(B4368)</f>
        <v>2024</v>
      </c>
      <c r="M4368" s="20" t="n">
        <f aca="false">IF(J4368&gt;0,K4368/J4368,0)</f>
        <v>0.267699316628702</v>
      </c>
    </row>
    <row r="4369" customFormat="false" ht="15" hidden="false" customHeight="false" outlineLevel="0" collapsed="false">
      <c r="A4369" s="15" t="s">
        <v>4426</v>
      </c>
      <c r="B4369" s="16" t="n">
        <v>44779</v>
      </c>
      <c r="C4369" s="15" t="s">
        <v>71</v>
      </c>
      <c r="D4369" s="15" t="s">
        <v>42</v>
      </c>
      <c r="E4369" s="15" t="s">
        <v>38</v>
      </c>
      <c r="F4369" s="15" t="s">
        <v>17</v>
      </c>
      <c r="G4369" s="15" t="s">
        <v>29</v>
      </c>
      <c r="H4369" s="15" t="n">
        <v>4</v>
      </c>
      <c r="I4369" s="17" t="n">
        <v>0.1</v>
      </c>
      <c r="J4369" s="18" t="n">
        <v>54.56</v>
      </c>
      <c r="K4369" s="19" t="n">
        <v>14.98</v>
      </c>
      <c r="L4369" s="15" t="n">
        <f aca="false">YEAR(B4369)</f>
        <v>2022</v>
      </c>
      <c r="M4369" s="20" t="n">
        <f aca="false">IF(J4369&gt;0,K4369/J4369,0)</f>
        <v>0.274560117302053</v>
      </c>
    </row>
    <row r="4370" customFormat="false" ht="15" hidden="false" customHeight="false" outlineLevel="0" collapsed="false">
      <c r="A4370" s="15" t="s">
        <v>4427</v>
      </c>
      <c r="B4370" s="16" t="n">
        <v>45479</v>
      </c>
      <c r="C4370" s="15" t="s">
        <v>56</v>
      </c>
      <c r="D4370" s="15" t="s">
        <v>44</v>
      </c>
      <c r="E4370" s="15" t="s">
        <v>39</v>
      </c>
      <c r="F4370" s="15" t="s">
        <v>17</v>
      </c>
      <c r="G4370" s="15" t="s">
        <v>26</v>
      </c>
      <c r="H4370" s="15" t="n">
        <v>4</v>
      </c>
      <c r="I4370" s="17" t="n">
        <v>0</v>
      </c>
      <c r="J4370" s="18" t="n">
        <v>314.83</v>
      </c>
      <c r="K4370" s="19" t="n">
        <v>39.01</v>
      </c>
      <c r="L4370" s="15" t="n">
        <f aca="false">YEAR(B4370)</f>
        <v>2024</v>
      </c>
      <c r="M4370" s="20" t="n">
        <f aca="false">IF(J4370&gt;0,K4370/J4370,0)</f>
        <v>0.123908140901439</v>
      </c>
    </row>
    <row r="4371" customFormat="false" ht="15" hidden="false" customHeight="false" outlineLevel="0" collapsed="false">
      <c r="A4371" s="15" t="s">
        <v>4428</v>
      </c>
      <c r="B4371" s="16" t="n">
        <v>45092</v>
      </c>
      <c r="C4371" s="15" t="s">
        <v>68</v>
      </c>
      <c r="D4371" s="15" t="s">
        <v>44</v>
      </c>
      <c r="E4371" s="15" t="s">
        <v>38</v>
      </c>
      <c r="F4371" s="15" t="s">
        <v>17</v>
      </c>
      <c r="G4371" s="15" t="s">
        <v>29</v>
      </c>
      <c r="H4371" s="15" t="n">
        <v>4</v>
      </c>
      <c r="I4371" s="17" t="n">
        <v>0</v>
      </c>
      <c r="J4371" s="18" t="n">
        <v>67.31</v>
      </c>
      <c r="K4371" s="19" t="n">
        <v>23.55</v>
      </c>
      <c r="L4371" s="15" t="n">
        <f aca="false">YEAR(B4371)</f>
        <v>2023</v>
      </c>
      <c r="M4371" s="20" t="n">
        <f aca="false">IF(J4371&gt;0,K4371/J4371,0)</f>
        <v>0.349873718615362</v>
      </c>
    </row>
    <row r="4372" customFormat="false" ht="15" hidden="false" customHeight="false" outlineLevel="0" collapsed="false">
      <c r="A4372" s="15" t="s">
        <v>4429</v>
      </c>
      <c r="B4372" s="16" t="n">
        <v>45184</v>
      </c>
      <c r="C4372" s="15" t="s">
        <v>56</v>
      </c>
      <c r="D4372" s="15" t="s">
        <v>44</v>
      </c>
      <c r="E4372" s="15" t="s">
        <v>37</v>
      </c>
      <c r="F4372" s="15" t="s">
        <v>16</v>
      </c>
      <c r="G4372" s="15" t="s">
        <v>27</v>
      </c>
      <c r="H4372" s="15" t="n">
        <v>3</v>
      </c>
      <c r="I4372" s="17" t="n">
        <v>0.15</v>
      </c>
      <c r="J4372" s="18" t="n">
        <v>143.06</v>
      </c>
      <c r="K4372" s="19" t="n">
        <v>10.53</v>
      </c>
      <c r="L4372" s="15" t="n">
        <f aca="false">YEAR(B4372)</f>
        <v>2023</v>
      </c>
      <c r="M4372" s="20" t="n">
        <f aca="false">IF(J4372&gt;0,K4372/J4372,0)</f>
        <v>0.0736054802180903</v>
      </c>
    </row>
    <row r="4373" customFormat="false" ht="15" hidden="false" customHeight="false" outlineLevel="0" collapsed="false">
      <c r="A4373" s="15" t="s">
        <v>4430</v>
      </c>
      <c r="B4373" s="16" t="n">
        <v>45137</v>
      </c>
      <c r="C4373" s="15" t="s">
        <v>56</v>
      </c>
      <c r="D4373" s="15" t="s">
        <v>43</v>
      </c>
      <c r="E4373" s="15" t="s">
        <v>37</v>
      </c>
      <c r="F4373" s="15" t="s">
        <v>17</v>
      </c>
      <c r="G4373" s="15" t="s">
        <v>28</v>
      </c>
      <c r="H4373" s="15" t="n">
        <v>4</v>
      </c>
      <c r="I4373" s="17" t="n">
        <v>0</v>
      </c>
      <c r="J4373" s="18" t="n">
        <v>111.22</v>
      </c>
      <c r="K4373" s="19" t="n">
        <v>39.54</v>
      </c>
      <c r="L4373" s="15" t="n">
        <f aca="false">YEAR(B4373)</f>
        <v>2023</v>
      </c>
      <c r="M4373" s="20" t="n">
        <f aca="false">IF(J4373&gt;0,K4373/J4373,0)</f>
        <v>0.355511598633339</v>
      </c>
    </row>
    <row r="4374" customFormat="false" ht="15" hidden="false" customHeight="false" outlineLevel="0" collapsed="false">
      <c r="A4374" s="15" t="s">
        <v>4431</v>
      </c>
      <c r="B4374" s="16" t="n">
        <v>45084</v>
      </c>
      <c r="C4374" s="15" t="s">
        <v>71</v>
      </c>
      <c r="D4374" s="15" t="s">
        <v>42</v>
      </c>
      <c r="E4374" s="15" t="s">
        <v>36</v>
      </c>
      <c r="F4374" s="15" t="s">
        <v>16</v>
      </c>
      <c r="G4374" s="15" t="s">
        <v>23</v>
      </c>
      <c r="H4374" s="15" t="n">
        <v>5</v>
      </c>
      <c r="I4374" s="17" t="n">
        <v>0.1</v>
      </c>
      <c r="J4374" s="18" t="n">
        <v>1561.58</v>
      </c>
      <c r="K4374" s="19" t="n">
        <v>48.17</v>
      </c>
      <c r="L4374" s="15" t="n">
        <f aca="false">YEAR(B4374)</f>
        <v>2023</v>
      </c>
      <c r="M4374" s="20" t="n">
        <f aca="false">IF(J4374&gt;0,K4374/J4374,0)</f>
        <v>0.0308469626916328</v>
      </c>
    </row>
    <row r="4375" customFormat="false" ht="15" hidden="false" customHeight="false" outlineLevel="0" collapsed="false">
      <c r="A4375" s="15" t="s">
        <v>4432</v>
      </c>
      <c r="B4375" s="16" t="n">
        <v>45456</v>
      </c>
      <c r="C4375" s="15" t="s">
        <v>56</v>
      </c>
      <c r="D4375" s="15" t="s">
        <v>44</v>
      </c>
      <c r="E4375" s="15" t="s">
        <v>39</v>
      </c>
      <c r="F4375" s="15" t="s">
        <v>16</v>
      </c>
      <c r="G4375" s="15" t="s">
        <v>25</v>
      </c>
      <c r="H4375" s="15" t="n">
        <v>3</v>
      </c>
      <c r="I4375" s="17" t="n">
        <v>0</v>
      </c>
      <c r="J4375" s="18" t="n">
        <v>812.63</v>
      </c>
      <c r="K4375" s="19" t="n">
        <v>49.45</v>
      </c>
      <c r="L4375" s="15" t="n">
        <f aca="false">YEAR(B4375)</f>
        <v>2024</v>
      </c>
      <c r="M4375" s="20" t="n">
        <f aca="false">IF(J4375&gt;0,K4375/J4375,0)</f>
        <v>0.0608518021731908</v>
      </c>
    </row>
    <row r="4376" customFormat="false" ht="15" hidden="false" customHeight="false" outlineLevel="0" collapsed="false">
      <c r="A4376" s="15" t="s">
        <v>4433</v>
      </c>
      <c r="B4376" s="16" t="n">
        <v>45449</v>
      </c>
      <c r="C4376" s="15" t="s">
        <v>56</v>
      </c>
      <c r="D4376" s="15" t="s">
        <v>42</v>
      </c>
      <c r="E4376" s="15" t="s">
        <v>38</v>
      </c>
      <c r="F4376" s="15" t="s">
        <v>17</v>
      </c>
      <c r="G4376" s="15" t="s">
        <v>26</v>
      </c>
      <c r="H4376" s="15" t="n">
        <v>2</v>
      </c>
      <c r="I4376" s="17" t="n">
        <v>0.1</v>
      </c>
      <c r="J4376" s="18" t="n">
        <v>151.51</v>
      </c>
      <c r="K4376" s="19" t="n">
        <v>8.6</v>
      </c>
      <c r="L4376" s="15" t="n">
        <f aca="false">YEAR(B4376)</f>
        <v>2024</v>
      </c>
      <c r="M4376" s="20" t="n">
        <f aca="false">IF(J4376&gt;0,K4376/J4376,0)</f>
        <v>0.0567619299056168</v>
      </c>
    </row>
    <row r="4377" customFormat="false" ht="15" hidden="false" customHeight="false" outlineLevel="0" collapsed="false">
      <c r="A4377" s="15" t="s">
        <v>4434</v>
      </c>
      <c r="B4377" s="16" t="n">
        <v>45849</v>
      </c>
      <c r="C4377" s="15" t="s">
        <v>56</v>
      </c>
      <c r="D4377" s="15" t="s">
        <v>44</v>
      </c>
      <c r="E4377" s="15" t="s">
        <v>39</v>
      </c>
      <c r="F4377" s="15" t="s">
        <v>16</v>
      </c>
      <c r="G4377" s="15" t="s">
        <v>25</v>
      </c>
      <c r="H4377" s="15" t="n">
        <v>5</v>
      </c>
      <c r="I4377" s="17" t="n">
        <v>0</v>
      </c>
      <c r="J4377" s="18" t="n">
        <v>1511.22</v>
      </c>
      <c r="K4377" s="19" t="n">
        <v>89.79</v>
      </c>
      <c r="L4377" s="15" t="n">
        <f aca="false">YEAR(B4377)</f>
        <v>2025</v>
      </c>
      <c r="M4377" s="20" t="n">
        <f aca="false">IF(J4377&gt;0,K4377/J4377,0)</f>
        <v>0.0594155715249931</v>
      </c>
    </row>
    <row r="4378" customFormat="false" ht="15" hidden="false" customHeight="false" outlineLevel="0" collapsed="false">
      <c r="A4378" s="15" t="s">
        <v>4435</v>
      </c>
      <c r="B4378" s="16" t="n">
        <v>45040</v>
      </c>
      <c r="C4378" s="15" t="s">
        <v>56</v>
      </c>
      <c r="D4378" s="15" t="s">
        <v>43</v>
      </c>
      <c r="E4378" s="15" t="s">
        <v>36</v>
      </c>
      <c r="F4378" s="15" t="s">
        <v>18</v>
      </c>
      <c r="G4378" s="15" t="s">
        <v>30</v>
      </c>
      <c r="H4378" s="15" t="n">
        <v>5</v>
      </c>
      <c r="I4378" s="17" t="n">
        <v>0</v>
      </c>
      <c r="J4378" s="18" t="n">
        <v>238.24</v>
      </c>
      <c r="K4378" s="19" t="n">
        <v>71.33</v>
      </c>
      <c r="L4378" s="15" t="n">
        <f aca="false">YEAR(B4378)</f>
        <v>2023</v>
      </c>
      <c r="M4378" s="20" t="n">
        <f aca="false">IF(J4378&gt;0,K4378/J4378,0)</f>
        <v>0.299403962390866</v>
      </c>
    </row>
    <row r="4379" customFormat="false" ht="15" hidden="false" customHeight="false" outlineLevel="0" collapsed="false">
      <c r="A4379" s="15" t="s">
        <v>4436</v>
      </c>
      <c r="B4379" s="16" t="n">
        <v>45665</v>
      </c>
      <c r="C4379" s="15" t="s">
        <v>68</v>
      </c>
      <c r="D4379" s="15" t="s">
        <v>43</v>
      </c>
      <c r="E4379" s="15" t="s">
        <v>39</v>
      </c>
      <c r="F4379" s="15" t="s">
        <v>17</v>
      </c>
      <c r="G4379" s="15" t="s">
        <v>26</v>
      </c>
      <c r="H4379" s="15" t="n">
        <v>4</v>
      </c>
      <c r="I4379" s="17" t="n">
        <v>0</v>
      </c>
      <c r="J4379" s="18" t="n">
        <v>346.13</v>
      </c>
      <c r="K4379" s="19" t="n">
        <v>74.34</v>
      </c>
      <c r="L4379" s="15" t="n">
        <f aca="false">YEAR(B4379)</f>
        <v>2025</v>
      </c>
      <c r="M4379" s="20" t="n">
        <f aca="false">IF(J4379&gt;0,K4379/J4379,0)</f>
        <v>0.21477479559703</v>
      </c>
    </row>
    <row r="4380" customFormat="false" ht="15" hidden="false" customHeight="false" outlineLevel="0" collapsed="false">
      <c r="A4380" s="15" t="s">
        <v>4437</v>
      </c>
      <c r="B4380" s="16" t="n">
        <v>44917</v>
      </c>
      <c r="C4380" s="15" t="s">
        <v>71</v>
      </c>
      <c r="D4380" s="15" t="s">
        <v>42</v>
      </c>
      <c r="E4380" s="15" t="s">
        <v>39</v>
      </c>
      <c r="F4380" s="15" t="s">
        <v>17</v>
      </c>
      <c r="G4380" s="15" t="s">
        <v>29</v>
      </c>
      <c r="H4380" s="15" t="n">
        <v>3</v>
      </c>
      <c r="I4380" s="17" t="n">
        <v>0.15</v>
      </c>
      <c r="J4380" s="18" t="n">
        <v>46.37</v>
      </c>
      <c r="K4380" s="19" t="n">
        <v>12.16</v>
      </c>
      <c r="L4380" s="15" t="n">
        <f aca="false">YEAR(B4380)</f>
        <v>2022</v>
      </c>
      <c r="M4380" s="20" t="n">
        <f aca="false">IF(J4380&gt;0,K4380/J4380,0)</f>
        <v>0.262238516282079</v>
      </c>
    </row>
    <row r="4381" customFormat="false" ht="15" hidden="false" customHeight="false" outlineLevel="0" collapsed="false">
      <c r="A4381" s="15" t="s">
        <v>4438</v>
      </c>
      <c r="B4381" s="16" t="n">
        <v>45943</v>
      </c>
      <c r="C4381" s="15" t="s">
        <v>68</v>
      </c>
      <c r="D4381" s="15" t="s">
        <v>42</v>
      </c>
      <c r="E4381" s="15" t="s">
        <v>39</v>
      </c>
      <c r="F4381" s="15" t="s">
        <v>17</v>
      </c>
      <c r="G4381" s="15" t="s">
        <v>28</v>
      </c>
      <c r="H4381" s="15" t="n">
        <v>4</v>
      </c>
      <c r="I4381" s="17" t="n">
        <v>0.4</v>
      </c>
      <c r="J4381" s="18" t="n">
        <v>51.27</v>
      </c>
      <c r="K4381" s="19" t="n">
        <v>-6.61</v>
      </c>
      <c r="L4381" s="15" t="n">
        <f aca="false">YEAR(B4381)</f>
        <v>2025</v>
      </c>
      <c r="M4381" s="20" t="n">
        <f aca="false">IF(J4381&gt;0,K4381/J4381,0)</f>
        <v>-0.1289252974449</v>
      </c>
    </row>
    <row r="4382" customFormat="false" ht="15" hidden="false" customHeight="false" outlineLevel="0" collapsed="false">
      <c r="A4382" s="15" t="s">
        <v>4439</v>
      </c>
      <c r="B4382" s="16" t="n">
        <v>45963</v>
      </c>
      <c r="C4382" s="15" t="s">
        <v>58</v>
      </c>
      <c r="D4382" s="15" t="s">
        <v>44</v>
      </c>
      <c r="E4382" s="15" t="s">
        <v>36</v>
      </c>
      <c r="F4382" s="15" t="s">
        <v>18</v>
      </c>
      <c r="G4382" s="15" t="s">
        <v>32</v>
      </c>
      <c r="H4382" s="15" t="n">
        <v>5</v>
      </c>
      <c r="I4382" s="17" t="n">
        <v>0.05</v>
      </c>
      <c r="J4382" s="18" t="n">
        <v>1872.63</v>
      </c>
      <c r="K4382" s="19" t="n">
        <v>260.32</v>
      </c>
      <c r="L4382" s="15" t="n">
        <f aca="false">YEAR(B4382)</f>
        <v>2025</v>
      </c>
      <c r="M4382" s="20" t="n">
        <f aca="false">IF(J4382&gt;0,K4382/J4382,0)</f>
        <v>0.139013045823254</v>
      </c>
    </row>
    <row r="4383" customFormat="false" ht="15" hidden="false" customHeight="false" outlineLevel="0" collapsed="false">
      <c r="A4383" s="15" t="s">
        <v>4440</v>
      </c>
      <c r="B4383" s="16" t="n">
        <v>44693</v>
      </c>
      <c r="C4383" s="15" t="s">
        <v>71</v>
      </c>
      <c r="D4383" s="15" t="s">
        <v>42</v>
      </c>
      <c r="E4383" s="15" t="s">
        <v>38</v>
      </c>
      <c r="F4383" s="15" t="s">
        <v>17</v>
      </c>
      <c r="G4383" s="15" t="s">
        <v>29</v>
      </c>
      <c r="H4383" s="15" t="n">
        <v>3</v>
      </c>
      <c r="I4383" s="17" t="n">
        <v>0.05</v>
      </c>
      <c r="J4383" s="18" t="n">
        <v>48.15</v>
      </c>
      <c r="K4383" s="19" t="n">
        <v>17.48</v>
      </c>
      <c r="L4383" s="15" t="n">
        <f aca="false">YEAR(B4383)</f>
        <v>2022</v>
      </c>
      <c r="M4383" s="20" t="n">
        <f aca="false">IF(J4383&gt;0,K4383/J4383,0)</f>
        <v>0.363032191069574</v>
      </c>
    </row>
    <row r="4384" customFormat="false" ht="15" hidden="false" customHeight="false" outlineLevel="0" collapsed="false">
      <c r="A4384" s="15" t="s">
        <v>4441</v>
      </c>
      <c r="B4384" s="16" t="n">
        <v>45781</v>
      </c>
      <c r="C4384" s="15" t="s">
        <v>58</v>
      </c>
      <c r="D4384" s="15" t="s">
        <v>42</v>
      </c>
      <c r="E4384" s="15" t="s">
        <v>39</v>
      </c>
      <c r="F4384" s="15" t="s">
        <v>16</v>
      </c>
      <c r="G4384" s="15" t="s">
        <v>25</v>
      </c>
      <c r="H4384" s="15" t="n">
        <v>6</v>
      </c>
      <c r="I4384" s="17" t="n">
        <v>0</v>
      </c>
      <c r="J4384" s="18" t="n">
        <v>1915.4</v>
      </c>
      <c r="K4384" s="19" t="n">
        <v>257.59</v>
      </c>
      <c r="L4384" s="15" t="n">
        <f aca="false">YEAR(B4384)</f>
        <v>2025</v>
      </c>
      <c r="M4384" s="20" t="n">
        <f aca="false">IF(J4384&gt;0,K4384/J4384,0)</f>
        <v>0.134483658765793</v>
      </c>
    </row>
    <row r="4385" customFormat="false" ht="15" hidden="false" customHeight="false" outlineLevel="0" collapsed="false">
      <c r="A4385" s="15" t="s">
        <v>4442</v>
      </c>
      <c r="B4385" s="16" t="n">
        <v>45892</v>
      </c>
      <c r="C4385" s="15" t="s">
        <v>56</v>
      </c>
      <c r="D4385" s="15" t="s">
        <v>42</v>
      </c>
      <c r="E4385" s="15" t="s">
        <v>37</v>
      </c>
      <c r="F4385" s="15" t="s">
        <v>16</v>
      </c>
      <c r="G4385" s="15" t="s">
        <v>27</v>
      </c>
      <c r="H4385" s="15" t="n">
        <v>4</v>
      </c>
      <c r="I4385" s="17" t="n">
        <v>0.2</v>
      </c>
      <c r="J4385" s="18" t="n">
        <v>188.84</v>
      </c>
      <c r="K4385" s="19" t="n">
        <v>12.05</v>
      </c>
      <c r="L4385" s="15" t="n">
        <f aca="false">YEAR(B4385)</f>
        <v>2025</v>
      </c>
      <c r="M4385" s="20" t="n">
        <f aca="false">IF(J4385&gt;0,K4385/J4385,0)</f>
        <v>0.063810633340394</v>
      </c>
    </row>
    <row r="4386" customFormat="false" ht="15" hidden="false" customHeight="false" outlineLevel="0" collapsed="false">
      <c r="A4386" s="15" t="s">
        <v>4443</v>
      </c>
      <c r="B4386" s="16" t="n">
        <v>45536</v>
      </c>
      <c r="C4386" s="15" t="s">
        <v>68</v>
      </c>
      <c r="D4386" s="15" t="s">
        <v>42</v>
      </c>
      <c r="E4386" s="15" t="s">
        <v>39</v>
      </c>
      <c r="F4386" s="15" t="s">
        <v>17</v>
      </c>
      <c r="G4386" s="15" t="s">
        <v>26</v>
      </c>
      <c r="H4386" s="15" t="n">
        <v>2</v>
      </c>
      <c r="I4386" s="17" t="n">
        <v>0.05</v>
      </c>
      <c r="J4386" s="18" t="n">
        <v>174.3</v>
      </c>
      <c r="K4386" s="19" t="n">
        <v>16.33</v>
      </c>
      <c r="L4386" s="15" t="n">
        <f aca="false">YEAR(B4386)</f>
        <v>2024</v>
      </c>
      <c r="M4386" s="20" t="n">
        <f aca="false">IF(J4386&gt;0,K4386/J4386,0)</f>
        <v>0.093689041881813</v>
      </c>
    </row>
    <row r="4387" customFormat="false" ht="15" hidden="false" customHeight="false" outlineLevel="0" collapsed="false">
      <c r="A4387" s="15" t="s">
        <v>4444</v>
      </c>
      <c r="B4387" s="16" t="n">
        <v>45917</v>
      </c>
      <c r="C4387" s="15" t="s">
        <v>56</v>
      </c>
      <c r="D4387" s="15" t="s">
        <v>42</v>
      </c>
      <c r="E4387" s="15" t="s">
        <v>39</v>
      </c>
      <c r="F4387" s="15" t="s">
        <v>16</v>
      </c>
      <c r="G4387" s="15" t="s">
        <v>27</v>
      </c>
      <c r="H4387" s="15" t="n">
        <v>4</v>
      </c>
      <c r="I4387" s="17" t="n">
        <v>0</v>
      </c>
      <c r="J4387" s="18" t="n">
        <v>262.98</v>
      </c>
      <c r="K4387" s="19" t="n">
        <v>52.01</v>
      </c>
      <c r="L4387" s="15" t="n">
        <f aca="false">YEAR(B4387)</f>
        <v>2025</v>
      </c>
      <c r="M4387" s="20" t="n">
        <f aca="false">IF(J4387&gt;0,K4387/J4387,0)</f>
        <v>0.197771693664917</v>
      </c>
    </row>
    <row r="4388" customFormat="false" ht="15" hidden="false" customHeight="false" outlineLevel="0" collapsed="false">
      <c r="A4388" s="15" t="s">
        <v>4445</v>
      </c>
      <c r="B4388" s="16" t="n">
        <v>45924</v>
      </c>
      <c r="C4388" s="15" t="s">
        <v>56</v>
      </c>
      <c r="D4388" s="15" t="s">
        <v>42</v>
      </c>
      <c r="E4388" s="15" t="s">
        <v>37</v>
      </c>
      <c r="F4388" s="15" t="s">
        <v>17</v>
      </c>
      <c r="G4388" s="15" t="s">
        <v>29</v>
      </c>
      <c r="H4388" s="15" t="n">
        <v>4</v>
      </c>
      <c r="I4388" s="17" t="n">
        <v>0</v>
      </c>
      <c r="J4388" s="18" t="n">
        <v>65.94</v>
      </c>
      <c r="K4388" s="19" t="n">
        <v>25.76</v>
      </c>
      <c r="L4388" s="15" t="n">
        <f aca="false">YEAR(B4388)</f>
        <v>2025</v>
      </c>
      <c r="M4388" s="20" t="n">
        <f aca="false">IF(J4388&gt;0,K4388/J4388,0)</f>
        <v>0.390658174097665</v>
      </c>
    </row>
    <row r="4389" customFormat="false" ht="15" hidden="false" customHeight="false" outlineLevel="0" collapsed="false">
      <c r="A4389" s="15" t="s">
        <v>4446</v>
      </c>
      <c r="B4389" s="16" t="n">
        <v>44741</v>
      </c>
      <c r="C4389" s="15" t="s">
        <v>68</v>
      </c>
      <c r="D4389" s="15" t="s">
        <v>44</v>
      </c>
      <c r="E4389" s="15" t="s">
        <v>39</v>
      </c>
      <c r="F4389" s="15" t="s">
        <v>16</v>
      </c>
      <c r="G4389" s="15" t="s">
        <v>23</v>
      </c>
      <c r="H4389" s="15" t="n">
        <v>2</v>
      </c>
      <c r="I4389" s="17" t="n">
        <v>0.15</v>
      </c>
      <c r="J4389" s="18" t="n">
        <v>577.1</v>
      </c>
      <c r="K4389" s="19" t="n">
        <v>-79.36</v>
      </c>
      <c r="L4389" s="15" t="n">
        <f aca="false">YEAR(B4389)</f>
        <v>2022</v>
      </c>
      <c r="M4389" s="20" t="n">
        <f aca="false">IF(J4389&gt;0,K4389/J4389,0)</f>
        <v>-0.137515162016981</v>
      </c>
    </row>
    <row r="4390" customFormat="false" ht="15" hidden="false" customHeight="false" outlineLevel="0" collapsed="false">
      <c r="A4390" s="15" t="s">
        <v>4447</v>
      </c>
      <c r="B4390" s="16" t="n">
        <v>45220</v>
      </c>
      <c r="C4390" s="15" t="s">
        <v>56</v>
      </c>
      <c r="D4390" s="15" t="s">
        <v>42</v>
      </c>
      <c r="E4390" s="15" t="s">
        <v>37</v>
      </c>
      <c r="F4390" s="15" t="s">
        <v>17</v>
      </c>
      <c r="G4390" s="15" t="s">
        <v>28</v>
      </c>
      <c r="H4390" s="15" t="n">
        <v>3</v>
      </c>
      <c r="I4390" s="17" t="n">
        <v>0.4</v>
      </c>
      <c r="J4390" s="18" t="n">
        <v>35.43</v>
      </c>
      <c r="K4390" s="19" t="n">
        <v>-1.58</v>
      </c>
      <c r="L4390" s="15" t="n">
        <f aca="false">YEAR(B4390)</f>
        <v>2023</v>
      </c>
      <c r="M4390" s="20" t="n">
        <f aca="false">IF(J4390&gt;0,K4390/J4390,0)</f>
        <v>-0.0445949760090319</v>
      </c>
    </row>
    <row r="4391" customFormat="false" ht="15" hidden="false" customHeight="false" outlineLevel="0" collapsed="false">
      <c r="A4391" s="15" t="s">
        <v>4448</v>
      </c>
      <c r="B4391" s="16" t="n">
        <v>45035</v>
      </c>
      <c r="C4391" s="15" t="s">
        <v>56</v>
      </c>
      <c r="D4391" s="15" t="s">
        <v>42</v>
      </c>
      <c r="E4391" s="15" t="s">
        <v>39</v>
      </c>
      <c r="F4391" s="15" t="s">
        <v>18</v>
      </c>
      <c r="G4391" s="15" t="s">
        <v>33</v>
      </c>
      <c r="H4391" s="15" t="n">
        <v>3</v>
      </c>
      <c r="I4391" s="17" t="n">
        <v>0</v>
      </c>
      <c r="J4391" s="18" t="n">
        <v>2981.88</v>
      </c>
      <c r="K4391" s="19" t="n">
        <v>807.21</v>
      </c>
      <c r="L4391" s="15" t="n">
        <f aca="false">YEAR(B4391)</f>
        <v>2023</v>
      </c>
      <c r="M4391" s="20" t="n">
        <f aca="false">IF(J4391&gt;0,K4391/J4391,0)</f>
        <v>0.270705058553664</v>
      </c>
    </row>
    <row r="4392" customFormat="false" ht="15" hidden="false" customHeight="false" outlineLevel="0" collapsed="false">
      <c r="A4392" s="15" t="s">
        <v>4449</v>
      </c>
      <c r="B4392" s="16" t="n">
        <v>45450</v>
      </c>
      <c r="C4392" s="15" t="s">
        <v>56</v>
      </c>
      <c r="D4392" s="15" t="s">
        <v>42</v>
      </c>
      <c r="E4392" s="15" t="s">
        <v>36</v>
      </c>
      <c r="F4392" s="15" t="s">
        <v>18</v>
      </c>
      <c r="G4392" s="15" t="s">
        <v>30</v>
      </c>
      <c r="H4392" s="15" t="n">
        <v>2</v>
      </c>
      <c r="I4392" s="17" t="n">
        <v>0</v>
      </c>
      <c r="J4392" s="18" t="n">
        <v>76.97</v>
      </c>
      <c r="K4392" s="19" t="n">
        <v>27.39</v>
      </c>
      <c r="L4392" s="15" t="n">
        <f aca="false">YEAR(B4392)</f>
        <v>2024</v>
      </c>
      <c r="M4392" s="20" t="n">
        <f aca="false">IF(J4392&gt;0,K4392/J4392,0)</f>
        <v>0.355852929712875</v>
      </c>
    </row>
    <row r="4393" customFormat="false" ht="15" hidden="false" customHeight="false" outlineLevel="0" collapsed="false">
      <c r="A4393" s="15" t="s">
        <v>4450</v>
      </c>
      <c r="B4393" s="16" t="n">
        <v>45434</v>
      </c>
      <c r="C4393" s="15" t="s">
        <v>71</v>
      </c>
      <c r="D4393" s="15" t="s">
        <v>42</v>
      </c>
      <c r="E4393" s="15" t="s">
        <v>38</v>
      </c>
      <c r="F4393" s="15" t="s">
        <v>17</v>
      </c>
      <c r="G4393" s="15" t="s">
        <v>29</v>
      </c>
      <c r="H4393" s="15" t="n">
        <v>3</v>
      </c>
      <c r="I4393" s="17" t="n">
        <v>0.3</v>
      </c>
      <c r="J4393" s="18" t="n">
        <v>31.94</v>
      </c>
      <c r="K4393" s="19" t="n">
        <v>4.1</v>
      </c>
      <c r="L4393" s="15" t="n">
        <f aca="false">YEAR(B4393)</f>
        <v>2024</v>
      </c>
      <c r="M4393" s="20" t="n">
        <f aca="false">IF(J4393&gt;0,K4393/J4393,0)</f>
        <v>0.128365685660614</v>
      </c>
    </row>
    <row r="4394" customFormat="false" ht="15" hidden="false" customHeight="false" outlineLevel="0" collapsed="false">
      <c r="A4394" s="15" t="s">
        <v>4451</v>
      </c>
      <c r="B4394" s="16" t="n">
        <v>45074</v>
      </c>
      <c r="C4394" s="15" t="s">
        <v>71</v>
      </c>
      <c r="D4394" s="15" t="s">
        <v>44</v>
      </c>
      <c r="E4394" s="15" t="s">
        <v>39</v>
      </c>
      <c r="F4394" s="15" t="s">
        <v>16</v>
      </c>
      <c r="G4394" s="15" t="s">
        <v>27</v>
      </c>
      <c r="H4394" s="15" t="n">
        <v>2</v>
      </c>
      <c r="I4394" s="17" t="n">
        <v>0.2</v>
      </c>
      <c r="J4394" s="18" t="n">
        <v>85.95</v>
      </c>
      <c r="K4394" s="19" t="n">
        <v>4.06</v>
      </c>
      <c r="L4394" s="15" t="n">
        <f aca="false">YEAR(B4394)</f>
        <v>2023</v>
      </c>
      <c r="M4394" s="20" t="n">
        <f aca="false">IF(J4394&gt;0,K4394/J4394,0)</f>
        <v>0.0472367655613729</v>
      </c>
    </row>
    <row r="4395" customFormat="false" ht="15" hidden="false" customHeight="false" outlineLevel="0" collapsed="false">
      <c r="A4395" s="15" t="s">
        <v>4452</v>
      </c>
      <c r="B4395" s="16" t="n">
        <v>45647</v>
      </c>
      <c r="C4395" s="15" t="s">
        <v>56</v>
      </c>
      <c r="D4395" s="15" t="s">
        <v>42</v>
      </c>
      <c r="E4395" s="15" t="s">
        <v>39</v>
      </c>
      <c r="F4395" s="15" t="s">
        <v>17</v>
      </c>
      <c r="G4395" s="15" t="s">
        <v>31</v>
      </c>
      <c r="H4395" s="15" t="n">
        <v>6</v>
      </c>
      <c r="I4395" s="17" t="n">
        <v>0</v>
      </c>
      <c r="J4395" s="18" t="n">
        <v>752.48</v>
      </c>
      <c r="K4395" s="19" t="n">
        <v>177.58</v>
      </c>
      <c r="L4395" s="15" t="n">
        <f aca="false">YEAR(B4395)</f>
        <v>2024</v>
      </c>
      <c r="M4395" s="20" t="n">
        <f aca="false">IF(J4395&gt;0,K4395/J4395,0)</f>
        <v>0.235992983202211</v>
      </c>
    </row>
    <row r="4396" customFormat="false" ht="15" hidden="false" customHeight="false" outlineLevel="0" collapsed="false">
      <c r="A4396" s="15" t="s">
        <v>4453</v>
      </c>
      <c r="B4396" s="16" t="n">
        <v>45654</v>
      </c>
      <c r="C4396" s="15" t="s">
        <v>56</v>
      </c>
      <c r="D4396" s="15" t="s">
        <v>43</v>
      </c>
      <c r="E4396" s="15" t="s">
        <v>38</v>
      </c>
      <c r="F4396" s="15" t="s">
        <v>18</v>
      </c>
      <c r="G4396" s="15" t="s">
        <v>30</v>
      </c>
      <c r="H4396" s="15" t="n">
        <v>3</v>
      </c>
      <c r="I4396" s="17" t="n">
        <v>0</v>
      </c>
      <c r="J4396" s="18" t="n">
        <v>134.08</v>
      </c>
      <c r="K4396" s="19" t="n">
        <v>45.25</v>
      </c>
      <c r="L4396" s="15" t="n">
        <f aca="false">YEAR(B4396)</f>
        <v>2024</v>
      </c>
      <c r="M4396" s="20" t="n">
        <f aca="false">IF(J4396&gt;0,K4396/J4396,0)</f>
        <v>0.33748508353222</v>
      </c>
    </row>
    <row r="4397" customFormat="false" ht="15" hidden="false" customHeight="false" outlineLevel="0" collapsed="false">
      <c r="A4397" s="15" t="s">
        <v>4454</v>
      </c>
      <c r="B4397" s="16" t="n">
        <v>45545</v>
      </c>
      <c r="C4397" s="15" t="s">
        <v>58</v>
      </c>
      <c r="D4397" s="15" t="s">
        <v>42</v>
      </c>
      <c r="E4397" s="15" t="s">
        <v>37</v>
      </c>
      <c r="F4397" s="15" t="s">
        <v>16</v>
      </c>
      <c r="G4397" s="15" t="s">
        <v>25</v>
      </c>
      <c r="H4397" s="15" t="n">
        <v>2</v>
      </c>
      <c r="I4397" s="17" t="n">
        <v>0</v>
      </c>
      <c r="J4397" s="18" t="n">
        <v>540.12</v>
      </c>
      <c r="K4397" s="19" t="n">
        <v>36.81</v>
      </c>
      <c r="L4397" s="15" t="n">
        <f aca="false">YEAR(B4397)</f>
        <v>2024</v>
      </c>
      <c r="M4397" s="20" t="n">
        <f aca="false">IF(J4397&gt;0,K4397/J4397,0)</f>
        <v>0.0681515218840258</v>
      </c>
    </row>
    <row r="4398" customFormat="false" ht="15" hidden="false" customHeight="false" outlineLevel="0" collapsed="false">
      <c r="A4398" s="15" t="s">
        <v>4455</v>
      </c>
      <c r="B4398" s="16" t="n">
        <v>45576</v>
      </c>
      <c r="C4398" s="15" t="s">
        <v>71</v>
      </c>
      <c r="D4398" s="15" t="s">
        <v>42</v>
      </c>
      <c r="E4398" s="15" t="s">
        <v>37</v>
      </c>
      <c r="F4398" s="15" t="s">
        <v>17</v>
      </c>
      <c r="G4398" s="15" t="s">
        <v>31</v>
      </c>
      <c r="H4398" s="15" t="n">
        <v>1</v>
      </c>
      <c r="I4398" s="17" t="n">
        <v>0.1</v>
      </c>
      <c r="J4398" s="18" t="n">
        <v>113.92</v>
      </c>
      <c r="K4398" s="19" t="n">
        <v>5.08</v>
      </c>
      <c r="L4398" s="15" t="n">
        <f aca="false">YEAR(B4398)</f>
        <v>2024</v>
      </c>
      <c r="M4398" s="20" t="n">
        <f aca="false">IF(J4398&gt;0,K4398/J4398,0)</f>
        <v>0.0445926966292135</v>
      </c>
    </row>
    <row r="4399" customFormat="false" ht="15" hidden="false" customHeight="false" outlineLevel="0" collapsed="false">
      <c r="A4399" s="15" t="s">
        <v>4456</v>
      </c>
      <c r="B4399" s="16" t="n">
        <v>45830</v>
      </c>
      <c r="C4399" s="15" t="s">
        <v>56</v>
      </c>
      <c r="D4399" s="15" t="s">
        <v>42</v>
      </c>
      <c r="E4399" s="15" t="s">
        <v>37</v>
      </c>
      <c r="F4399" s="15" t="s">
        <v>17</v>
      </c>
      <c r="G4399" s="15" t="s">
        <v>29</v>
      </c>
      <c r="H4399" s="15" t="n">
        <v>4</v>
      </c>
      <c r="I4399" s="17" t="n">
        <v>0.2</v>
      </c>
      <c r="J4399" s="18" t="n">
        <v>64.8</v>
      </c>
      <c r="K4399" s="19" t="n">
        <v>13.94</v>
      </c>
      <c r="L4399" s="15" t="n">
        <f aca="false">YEAR(B4399)</f>
        <v>2025</v>
      </c>
      <c r="M4399" s="20" t="n">
        <f aca="false">IF(J4399&gt;0,K4399/J4399,0)</f>
        <v>0.215123456790123</v>
      </c>
    </row>
    <row r="4400" customFormat="false" ht="15" hidden="false" customHeight="false" outlineLevel="0" collapsed="false">
      <c r="A4400" s="15" t="s">
        <v>4457</v>
      </c>
      <c r="B4400" s="16" t="n">
        <v>45452</v>
      </c>
      <c r="C4400" s="15" t="s">
        <v>71</v>
      </c>
      <c r="D4400" s="15" t="s">
        <v>43</v>
      </c>
      <c r="E4400" s="15" t="s">
        <v>37</v>
      </c>
      <c r="F4400" s="15" t="s">
        <v>16</v>
      </c>
      <c r="G4400" s="15" t="s">
        <v>25</v>
      </c>
      <c r="H4400" s="15" t="n">
        <v>5</v>
      </c>
      <c r="I4400" s="17" t="n">
        <v>0.05</v>
      </c>
      <c r="J4400" s="18" t="n">
        <v>1485.73</v>
      </c>
      <c r="K4400" s="19" t="n">
        <v>173.49</v>
      </c>
      <c r="L4400" s="15" t="n">
        <f aca="false">YEAR(B4400)</f>
        <v>2024</v>
      </c>
      <c r="M4400" s="20" t="n">
        <f aca="false">IF(J4400&gt;0,K4400/J4400,0)</f>
        <v>0.116770880307997</v>
      </c>
    </row>
    <row r="4401" customFormat="false" ht="15" hidden="false" customHeight="false" outlineLevel="0" collapsed="false">
      <c r="A4401" s="15" t="s">
        <v>4458</v>
      </c>
      <c r="B4401" s="16" t="n">
        <v>45914</v>
      </c>
      <c r="C4401" s="15" t="s">
        <v>56</v>
      </c>
      <c r="D4401" s="15" t="s">
        <v>43</v>
      </c>
      <c r="E4401" s="15" t="s">
        <v>36</v>
      </c>
      <c r="F4401" s="15" t="s">
        <v>17</v>
      </c>
      <c r="G4401" s="15" t="s">
        <v>29</v>
      </c>
      <c r="H4401" s="15" t="n">
        <v>2</v>
      </c>
      <c r="I4401" s="17" t="n">
        <v>0</v>
      </c>
      <c r="J4401" s="18" t="n">
        <v>35.04</v>
      </c>
      <c r="K4401" s="19" t="n">
        <v>12.74</v>
      </c>
      <c r="L4401" s="15" t="n">
        <f aca="false">YEAR(B4401)</f>
        <v>2025</v>
      </c>
      <c r="M4401" s="20" t="n">
        <f aca="false">IF(J4401&gt;0,K4401/J4401,0)</f>
        <v>0.363584474885845</v>
      </c>
    </row>
    <row r="4402" customFormat="false" ht="15" hidden="false" customHeight="false" outlineLevel="0" collapsed="false">
      <c r="A4402" s="15" t="s">
        <v>4459</v>
      </c>
      <c r="B4402" s="16" t="n">
        <v>44843</v>
      </c>
      <c r="C4402" s="15" t="s">
        <v>56</v>
      </c>
      <c r="D4402" s="15" t="s">
        <v>44</v>
      </c>
      <c r="E4402" s="15" t="s">
        <v>39</v>
      </c>
      <c r="F4402" s="15" t="s">
        <v>16</v>
      </c>
      <c r="G4402" s="15" t="s">
        <v>22</v>
      </c>
      <c r="H4402" s="15" t="n">
        <v>4</v>
      </c>
      <c r="I4402" s="17" t="n">
        <v>0.4</v>
      </c>
      <c r="J4402" s="18" t="n">
        <v>1450.44</v>
      </c>
      <c r="K4402" s="19" t="n">
        <v>-641.23</v>
      </c>
      <c r="L4402" s="15" t="n">
        <f aca="false">YEAR(B4402)</f>
        <v>2022</v>
      </c>
      <c r="M4402" s="20" t="n">
        <f aca="false">IF(J4402&gt;0,K4402/J4402,0)</f>
        <v>-0.442093433716665</v>
      </c>
    </row>
    <row r="4403" customFormat="false" ht="15" hidden="false" customHeight="false" outlineLevel="0" collapsed="false">
      <c r="A4403" s="15" t="s">
        <v>4460</v>
      </c>
      <c r="B4403" s="16" t="n">
        <v>44989</v>
      </c>
      <c r="C4403" s="15" t="s">
        <v>58</v>
      </c>
      <c r="D4403" s="15" t="s">
        <v>44</v>
      </c>
      <c r="E4403" s="15" t="s">
        <v>36</v>
      </c>
      <c r="F4403" s="15" t="s">
        <v>17</v>
      </c>
      <c r="G4403" s="15" t="s">
        <v>26</v>
      </c>
      <c r="H4403" s="15" t="n">
        <v>2</v>
      </c>
      <c r="I4403" s="17" t="n">
        <v>0.2</v>
      </c>
      <c r="J4403" s="18" t="n">
        <v>116.99</v>
      </c>
      <c r="K4403" s="19" t="n">
        <v>-6.11</v>
      </c>
      <c r="L4403" s="15" t="n">
        <f aca="false">YEAR(B4403)</f>
        <v>2023</v>
      </c>
      <c r="M4403" s="20" t="n">
        <f aca="false">IF(J4403&gt;0,K4403/J4403,0)</f>
        <v>-0.052226686041542</v>
      </c>
    </row>
    <row r="4404" customFormat="false" ht="15" hidden="false" customHeight="false" outlineLevel="0" collapsed="false">
      <c r="A4404" s="15" t="s">
        <v>4461</v>
      </c>
      <c r="B4404" s="16" t="n">
        <v>45654</v>
      </c>
      <c r="C4404" s="15" t="s">
        <v>56</v>
      </c>
      <c r="D4404" s="15" t="s">
        <v>42</v>
      </c>
      <c r="E4404" s="15" t="s">
        <v>36</v>
      </c>
      <c r="F4404" s="15" t="s">
        <v>18</v>
      </c>
      <c r="G4404" s="15" t="s">
        <v>30</v>
      </c>
      <c r="H4404" s="15" t="n">
        <v>2</v>
      </c>
      <c r="I4404" s="17" t="n">
        <v>0</v>
      </c>
      <c r="J4404" s="18" t="n">
        <v>90.08</v>
      </c>
      <c r="K4404" s="19" t="n">
        <v>23.25</v>
      </c>
      <c r="L4404" s="15" t="n">
        <f aca="false">YEAR(B4404)</f>
        <v>2024</v>
      </c>
      <c r="M4404" s="20" t="n">
        <f aca="false">IF(J4404&gt;0,K4404/J4404,0)</f>
        <v>0.258103907637655</v>
      </c>
    </row>
    <row r="4405" customFormat="false" ht="15" hidden="false" customHeight="false" outlineLevel="0" collapsed="false">
      <c r="A4405" s="15" t="s">
        <v>4462</v>
      </c>
      <c r="B4405" s="16" t="n">
        <v>45611</v>
      </c>
      <c r="C4405" s="15" t="s">
        <v>71</v>
      </c>
      <c r="D4405" s="15" t="s">
        <v>42</v>
      </c>
      <c r="E4405" s="15" t="s">
        <v>36</v>
      </c>
      <c r="F4405" s="15" t="s">
        <v>17</v>
      </c>
      <c r="G4405" s="15" t="s">
        <v>29</v>
      </c>
      <c r="H4405" s="15" t="n">
        <v>2</v>
      </c>
      <c r="I4405" s="17" t="n">
        <v>0.05</v>
      </c>
      <c r="J4405" s="18" t="n">
        <v>24.78</v>
      </c>
      <c r="K4405" s="19" t="n">
        <v>8.54</v>
      </c>
      <c r="L4405" s="15" t="n">
        <f aca="false">YEAR(B4405)</f>
        <v>2024</v>
      </c>
      <c r="M4405" s="20" t="n">
        <f aca="false">IF(J4405&gt;0,K4405/J4405,0)</f>
        <v>0.344632768361582</v>
      </c>
    </row>
    <row r="4406" customFormat="false" ht="15" hidden="false" customHeight="false" outlineLevel="0" collapsed="false">
      <c r="A4406" s="15" t="s">
        <v>4463</v>
      </c>
      <c r="B4406" s="16" t="n">
        <v>45946</v>
      </c>
      <c r="C4406" s="15" t="s">
        <v>68</v>
      </c>
      <c r="D4406" s="15" t="s">
        <v>43</v>
      </c>
      <c r="E4406" s="15" t="s">
        <v>37</v>
      </c>
      <c r="F4406" s="15" t="s">
        <v>17</v>
      </c>
      <c r="G4406" s="15" t="s">
        <v>29</v>
      </c>
      <c r="H4406" s="15" t="n">
        <v>5</v>
      </c>
      <c r="I4406" s="17" t="n">
        <v>0.4</v>
      </c>
      <c r="J4406" s="18" t="n">
        <v>61.52</v>
      </c>
      <c r="K4406" s="19" t="n">
        <v>0.01</v>
      </c>
      <c r="L4406" s="15" t="n">
        <f aca="false">YEAR(B4406)</f>
        <v>2025</v>
      </c>
      <c r="M4406" s="20" t="n">
        <f aca="false">IF(J4406&gt;0,K4406/J4406,0)</f>
        <v>0.000162548764629389</v>
      </c>
    </row>
    <row r="4407" customFormat="false" ht="15" hidden="false" customHeight="false" outlineLevel="0" collapsed="false">
      <c r="A4407" s="15" t="s">
        <v>4464</v>
      </c>
      <c r="B4407" s="16" t="n">
        <v>45558</v>
      </c>
      <c r="C4407" s="15" t="s">
        <v>68</v>
      </c>
      <c r="D4407" s="15" t="s">
        <v>44</v>
      </c>
      <c r="E4407" s="15" t="s">
        <v>38</v>
      </c>
      <c r="F4407" s="15" t="s">
        <v>17</v>
      </c>
      <c r="G4407" s="15" t="s">
        <v>29</v>
      </c>
      <c r="H4407" s="15" t="n">
        <v>1</v>
      </c>
      <c r="I4407" s="17" t="n">
        <v>0</v>
      </c>
      <c r="J4407" s="18" t="n">
        <v>19.12</v>
      </c>
      <c r="K4407" s="19" t="n">
        <v>8.55</v>
      </c>
      <c r="L4407" s="15" t="n">
        <f aca="false">YEAR(B4407)</f>
        <v>2024</v>
      </c>
      <c r="M4407" s="20" t="n">
        <f aca="false">IF(J4407&gt;0,K4407/J4407,0)</f>
        <v>0.447175732217573</v>
      </c>
    </row>
    <row r="4408" customFormat="false" ht="15" hidden="false" customHeight="false" outlineLevel="0" collapsed="false">
      <c r="A4408" s="15" t="s">
        <v>4465</v>
      </c>
      <c r="B4408" s="16" t="n">
        <v>45527</v>
      </c>
      <c r="C4408" s="15" t="s">
        <v>71</v>
      </c>
      <c r="D4408" s="15" t="s">
        <v>42</v>
      </c>
      <c r="E4408" s="15" t="s">
        <v>39</v>
      </c>
      <c r="F4408" s="15" t="s">
        <v>17</v>
      </c>
      <c r="G4408" s="15" t="s">
        <v>26</v>
      </c>
      <c r="H4408" s="15" t="n">
        <v>9</v>
      </c>
      <c r="I4408" s="17" t="n">
        <v>0</v>
      </c>
      <c r="J4408" s="18" t="n">
        <v>778.43</v>
      </c>
      <c r="K4408" s="19" t="n">
        <v>147.87</v>
      </c>
      <c r="L4408" s="15" t="n">
        <f aca="false">YEAR(B4408)</f>
        <v>2024</v>
      </c>
      <c r="M4408" s="20" t="n">
        <f aca="false">IF(J4408&gt;0,K4408/J4408,0)</f>
        <v>0.189959277006282</v>
      </c>
    </row>
    <row r="4409" customFormat="false" ht="15" hidden="false" customHeight="false" outlineLevel="0" collapsed="false">
      <c r="A4409" s="15" t="s">
        <v>4466</v>
      </c>
      <c r="B4409" s="16" t="n">
        <v>45233</v>
      </c>
      <c r="C4409" s="15" t="s">
        <v>56</v>
      </c>
      <c r="D4409" s="15" t="s">
        <v>42</v>
      </c>
      <c r="E4409" s="15" t="s">
        <v>37</v>
      </c>
      <c r="F4409" s="15" t="s">
        <v>17</v>
      </c>
      <c r="G4409" s="15" t="s">
        <v>28</v>
      </c>
      <c r="H4409" s="15" t="n">
        <v>4</v>
      </c>
      <c r="I4409" s="17" t="n">
        <v>0.4</v>
      </c>
      <c r="J4409" s="18" t="n">
        <v>62.14</v>
      </c>
      <c r="K4409" s="19" t="n">
        <v>-3.25</v>
      </c>
      <c r="L4409" s="15" t="n">
        <f aca="false">YEAR(B4409)</f>
        <v>2023</v>
      </c>
      <c r="M4409" s="20" t="n">
        <f aca="false">IF(J4409&gt;0,K4409/J4409,0)</f>
        <v>-0.0523012552301255</v>
      </c>
    </row>
    <row r="4410" customFormat="false" ht="15" hidden="false" customHeight="false" outlineLevel="0" collapsed="false">
      <c r="A4410" s="15" t="s">
        <v>4467</v>
      </c>
      <c r="B4410" s="16" t="n">
        <v>45982</v>
      </c>
      <c r="C4410" s="15" t="s">
        <v>68</v>
      </c>
      <c r="D4410" s="15" t="s">
        <v>42</v>
      </c>
      <c r="E4410" s="15" t="s">
        <v>38</v>
      </c>
      <c r="F4410" s="15" t="s">
        <v>18</v>
      </c>
      <c r="G4410" s="15" t="s">
        <v>33</v>
      </c>
      <c r="H4410" s="15" t="n">
        <v>8</v>
      </c>
      <c r="I4410" s="17" t="n">
        <v>0.1</v>
      </c>
      <c r="J4410" s="18" t="n">
        <v>5177.59</v>
      </c>
      <c r="K4410" s="19" t="n">
        <v>1165.24</v>
      </c>
      <c r="L4410" s="15" t="n">
        <f aca="false">YEAR(B4410)</f>
        <v>2025</v>
      </c>
      <c r="M4410" s="20" t="n">
        <f aca="false">IF(J4410&gt;0,K4410/J4410,0)</f>
        <v>0.225054513779577</v>
      </c>
    </row>
    <row r="4411" customFormat="false" ht="15" hidden="false" customHeight="false" outlineLevel="0" collapsed="false">
      <c r="A4411" s="15" t="s">
        <v>4468</v>
      </c>
      <c r="B4411" s="16" t="n">
        <v>45272</v>
      </c>
      <c r="C4411" s="15" t="s">
        <v>56</v>
      </c>
      <c r="D4411" s="15" t="s">
        <v>43</v>
      </c>
      <c r="E4411" s="15" t="s">
        <v>39</v>
      </c>
      <c r="F4411" s="15" t="s">
        <v>17</v>
      </c>
      <c r="G4411" s="15" t="s">
        <v>31</v>
      </c>
      <c r="H4411" s="15" t="n">
        <v>2</v>
      </c>
      <c r="I4411" s="17" t="n">
        <v>0.1</v>
      </c>
      <c r="J4411" s="18" t="n">
        <v>337.67</v>
      </c>
      <c r="K4411" s="19" t="n">
        <v>32.55</v>
      </c>
      <c r="L4411" s="15" t="n">
        <f aca="false">YEAR(B4411)</f>
        <v>2023</v>
      </c>
      <c r="M4411" s="20" t="n">
        <f aca="false">IF(J4411&gt;0,K4411/J4411,0)</f>
        <v>0.0963958894778926</v>
      </c>
    </row>
    <row r="4412" customFormat="false" ht="15" hidden="false" customHeight="false" outlineLevel="0" collapsed="false">
      <c r="A4412" s="15" t="s">
        <v>4469</v>
      </c>
      <c r="B4412" s="16" t="n">
        <v>45499</v>
      </c>
      <c r="C4412" s="15" t="s">
        <v>68</v>
      </c>
      <c r="D4412" s="15" t="s">
        <v>43</v>
      </c>
      <c r="E4412" s="15" t="s">
        <v>37</v>
      </c>
      <c r="F4412" s="15" t="s">
        <v>17</v>
      </c>
      <c r="G4412" s="15" t="s">
        <v>29</v>
      </c>
      <c r="H4412" s="15" t="n">
        <v>2</v>
      </c>
      <c r="I4412" s="17" t="n">
        <v>0.2</v>
      </c>
      <c r="J4412" s="18" t="n">
        <v>31.23</v>
      </c>
      <c r="K4412" s="19" t="n">
        <v>7.69</v>
      </c>
      <c r="L4412" s="15" t="n">
        <f aca="false">YEAR(B4412)</f>
        <v>2024</v>
      </c>
      <c r="M4412" s="20" t="n">
        <f aca="false">IF(J4412&gt;0,K4412/J4412,0)</f>
        <v>0.246237592058918</v>
      </c>
    </row>
    <row r="4413" customFormat="false" ht="15" hidden="false" customHeight="false" outlineLevel="0" collapsed="false">
      <c r="A4413" s="15" t="s">
        <v>4470</v>
      </c>
      <c r="B4413" s="16" t="n">
        <v>45784</v>
      </c>
      <c r="C4413" s="15" t="s">
        <v>56</v>
      </c>
      <c r="D4413" s="15" t="s">
        <v>42</v>
      </c>
      <c r="E4413" s="15" t="s">
        <v>39</v>
      </c>
      <c r="F4413" s="15" t="s">
        <v>16</v>
      </c>
      <c r="G4413" s="15" t="s">
        <v>23</v>
      </c>
      <c r="H4413" s="15" t="n">
        <v>5</v>
      </c>
      <c r="I4413" s="17" t="n">
        <v>0.15</v>
      </c>
      <c r="J4413" s="18" t="n">
        <v>1258.85</v>
      </c>
      <c r="K4413" s="19" t="n">
        <v>-268</v>
      </c>
      <c r="L4413" s="15" t="n">
        <f aca="false">YEAR(B4413)</f>
        <v>2025</v>
      </c>
      <c r="M4413" s="20" t="n">
        <f aca="false">IF(J4413&gt;0,K4413/J4413,0)</f>
        <v>-0.212892719545617</v>
      </c>
    </row>
    <row r="4414" customFormat="false" ht="15" hidden="false" customHeight="false" outlineLevel="0" collapsed="false">
      <c r="A4414" s="15" t="s">
        <v>4471</v>
      </c>
      <c r="B4414" s="16" t="n">
        <v>45849</v>
      </c>
      <c r="C4414" s="15" t="s">
        <v>71</v>
      </c>
      <c r="D4414" s="15" t="s">
        <v>42</v>
      </c>
      <c r="E4414" s="15" t="s">
        <v>37</v>
      </c>
      <c r="F4414" s="15" t="s">
        <v>18</v>
      </c>
      <c r="G4414" s="15" t="s">
        <v>30</v>
      </c>
      <c r="H4414" s="15" t="n">
        <v>5</v>
      </c>
      <c r="I4414" s="17" t="n">
        <v>0</v>
      </c>
      <c r="J4414" s="18" t="n">
        <v>203.15</v>
      </c>
      <c r="K4414" s="19" t="n">
        <v>76.84</v>
      </c>
      <c r="L4414" s="15" t="n">
        <f aca="false">YEAR(B4414)</f>
        <v>2025</v>
      </c>
      <c r="M4414" s="20" t="n">
        <f aca="false">IF(J4414&gt;0,K4414/J4414,0)</f>
        <v>0.378242677824268</v>
      </c>
    </row>
    <row r="4415" customFormat="false" ht="15" hidden="false" customHeight="false" outlineLevel="0" collapsed="false">
      <c r="A4415" s="15" t="s">
        <v>4472</v>
      </c>
      <c r="B4415" s="16" t="n">
        <v>45396</v>
      </c>
      <c r="C4415" s="15" t="s">
        <v>56</v>
      </c>
      <c r="D4415" s="15" t="s">
        <v>43</v>
      </c>
      <c r="E4415" s="15" t="s">
        <v>36</v>
      </c>
      <c r="F4415" s="15" t="s">
        <v>17</v>
      </c>
      <c r="G4415" s="15" t="s">
        <v>29</v>
      </c>
      <c r="H4415" s="15" t="n">
        <v>7</v>
      </c>
      <c r="I4415" s="17" t="n">
        <v>0.05</v>
      </c>
      <c r="J4415" s="18" t="n">
        <v>131.33</v>
      </c>
      <c r="K4415" s="19" t="n">
        <v>53.1</v>
      </c>
      <c r="L4415" s="15" t="n">
        <f aca="false">YEAR(B4415)</f>
        <v>2024</v>
      </c>
      <c r="M4415" s="20" t="n">
        <f aca="false">IF(J4415&gt;0,K4415/J4415,0)</f>
        <v>0.404324982867585</v>
      </c>
    </row>
    <row r="4416" customFormat="false" ht="15" hidden="false" customHeight="false" outlineLevel="0" collapsed="false">
      <c r="A4416" s="15" t="s">
        <v>4473</v>
      </c>
      <c r="B4416" s="16" t="n">
        <v>44896</v>
      </c>
      <c r="C4416" s="15" t="s">
        <v>68</v>
      </c>
      <c r="D4416" s="15" t="s">
        <v>42</v>
      </c>
      <c r="E4416" s="15" t="s">
        <v>36</v>
      </c>
      <c r="F4416" s="15" t="s">
        <v>16</v>
      </c>
      <c r="G4416" s="15" t="s">
        <v>27</v>
      </c>
      <c r="H4416" s="15" t="n">
        <v>2</v>
      </c>
      <c r="I4416" s="17" t="n">
        <v>0</v>
      </c>
      <c r="J4416" s="18" t="n">
        <v>103.82</v>
      </c>
      <c r="K4416" s="19" t="n">
        <v>24.25</v>
      </c>
      <c r="L4416" s="15" t="n">
        <f aca="false">YEAR(B4416)</f>
        <v>2022</v>
      </c>
      <c r="M4416" s="20" t="n">
        <f aca="false">IF(J4416&gt;0,K4416/J4416,0)</f>
        <v>0.23357734540551</v>
      </c>
    </row>
    <row r="4417" customFormat="false" ht="15" hidden="false" customHeight="false" outlineLevel="0" collapsed="false">
      <c r="A4417" s="15" t="s">
        <v>4474</v>
      </c>
      <c r="B4417" s="16" t="n">
        <v>45977</v>
      </c>
      <c r="C4417" s="15" t="s">
        <v>68</v>
      </c>
      <c r="D4417" s="15" t="s">
        <v>42</v>
      </c>
      <c r="E4417" s="15" t="s">
        <v>36</v>
      </c>
      <c r="F4417" s="15" t="s">
        <v>17</v>
      </c>
      <c r="G4417" s="15" t="s">
        <v>28</v>
      </c>
      <c r="H4417" s="15" t="n">
        <v>4</v>
      </c>
      <c r="I4417" s="17" t="n">
        <v>0.5</v>
      </c>
      <c r="J4417" s="18" t="n">
        <v>37.74</v>
      </c>
      <c r="K4417" s="19" t="n">
        <v>-4.17</v>
      </c>
      <c r="L4417" s="15" t="n">
        <f aca="false">YEAR(B4417)</f>
        <v>2025</v>
      </c>
      <c r="M4417" s="20" t="n">
        <f aca="false">IF(J4417&gt;0,K4417/J4417,0)</f>
        <v>-0.110492845786963</v>
      </c>
    </row>
    <row r="4418" customFormat="false" ht="15" hidden="false" customHeight="false" outlineLevel="0" collapsed="false">
      <c r="A4418" s="15" t="s">
        <v>4475</v>
      </c>
      <c r="B4418" s="16" t="n">
        <v>45495</v>
      </c>
      <c r="C4418" s="15" t="s">
        <v>56</v>
      </c>
      <c r="D4418" s="15" t="s">
        <v>42</v>
      </c>
      <c r="E4418" s="15" t="s">
        <v>37</v>
      </c>
      <c r="F4418" s="15" t="s">
        <v>16</v>
      </c>
      <c r="G4418" s="15" t="s">
        <v>25</v>
      </c>
      <c r="H4418" s="15" t="n">
        <v>3</v>
      </c>
      <c r="I4418" s="17" t="n">
        <v>0</v>
      </c>
      <c r="J4418" s="18" t="n">
        <v>712.93</v>
      </c>
      <c r="K4418" s="19" t="n">
        <v>18.57</v>
      </c>
      <c r="L4418" s="15" t="n">
        <f aca="false">YEAR(B4418)</f>
        <v>2024</v>
      </c>
      <c r="M4418" s="20" t="n">
        <f aca="false">IF(J4418&gt;0,K4418/J4418,0)</f>
        <v>0.026047438037395</v>
      </c>
    </row>
    <row r="4419" customFormat="false" ht="15" hidden="false" customHeight="false" outlineLevel="0" collapsed="false">
      <c r="A4419" s="15" t="s">
        <v>4476</v>
      </c>
      <c r="B4419" s="16" t="n">
        <v>45818</v>
      </c>
      <c r="C4419" s="15" t="s">
        <v>71</v>
      </c>
      <c r="D4419" s="15" t="s">
        <v>42</v>
      </c>
      <c r="E4419" s="15" t="s">
        <v>38</v>
      </c>
      <c r="F4419" s="15" t="s">
        <v>17</v>
      </c>
      <c r="G4419" s="15" t="s">
        <v>29</v>
      </c>
      <c r="H4419" s="15" t="n">
        <v>1</v>
      </c>
      <c r="I4419" s="17" t="n">
        <v>0.2</v>
      </c>
      <c r="J4419" s="18" t="n">
        <v>17.6</v>
      </c>
      <c r="K4419" s="19" t="n">
        <v>3.55</v>
      </c>
      <c r="L4419" s="15" t="n">
        <f aca="false">YEAR(B4419)</f>
        <v>2025</v>
      </c>
      <c r="M4419" s="20" t="n">
        <f aca="false">IF(J4419&gt;0,K4419/J4419,0)</f>
        <v>0.201704545454545</v>
      </c>
    </row>
    <row r="4420" customFormat="false" ht="15" hidden="false" customHeight="false" outlineLevel="0" collapsed="false">
      <c r="A4420" s="15" t="s">
        <v>4477</v>
      </c>
      <c r="B4420" s="16" t="n">
        <v>45900</v>
      </c>
      <c r="C4420" s="15" t="s">
        <v>56</v>
      </c>
      <c r="D4420" s="15" t="s">
        <v>42</v>
      </c>
      <c r="E4420" s="15" t="s">
        <v>37</v>
      </c>
      <c r="F4420" s="15" t="s">
        <v>17</v>
      </c>
      <c r="G4420" s="15" t="s">
        <v>29</v>
      </c>
      <c r="H4420" s="15" t="n">
        <v>5</v>
      </c>
      <c r="I4420" s="17" t="n">
        <v>0.1</v>
      </c>
      <c r="J4420" s="18" t="n">
        <v>69.11</v>
      </c>
      <c r="K4420" s="19" t="n">
        <v>23.06</v>
      </c>
      <c r="L4420" s="15" t="n">
        <f aca="false">YEAR(B4420)</f>
        <v>2025</v>
      </c>
      <c r="M4420" s="20" t="n">
        <f aca="false">IF(J4420&gt;0,K4420/J4420,0)</f>
        <v>0.333670959340182</v>
      </c>
    </row>
    <row r="4421" customFormat="false" ht="15" hidden="false" customHeight="false" outlineLevel="0" collapsed="false">
      <c r="A4421" s="15" t="s">
        <v>4478</v>
      </c>
      <c r="B4421" s="16" t="n">
        <v>44816</v>
      </c>
      <c r="C4421" s="15" t="s">
        <v>56</v>
      </c>
      <c r="D4421" s="15" t="s">
        <v>43</v>
      </c>
      <c r="E4421" s="15" t="s">
        <v>37</v>
      </c>
      <c r="F4421" s="15" t="s">
        <v>18</v>
      </c>
      <c r="G4421" s="15" t="s">
        <v>32</v>
      </c>
      <c r="H4421" s="15" t="n">
        <v>6</v>
      </c>
      <c r="I4421" s="17" t="n">
        <v>0.2</v>
      </c>
      <c r="J4421" s="18" t="n">
        <v>2356.79</v>
      </c>
      <c r="K4421" s="19" t="n">
        <v>132.3</v>
      </c>
      <c r="L4421" s="15" t="n">
        <f aca="false">YEAR(B4421)</f>
        <v>2022</v>
      </c>
      <c r="M4421" s="20" t="n">
        <f aca="false">IF(J4421&gt;0,K4421/J4421,0)</f>
        <v>0.056135676067872</v>
      </c>
    </row>
    <row r="4422" customFormat="false" ht="15" hidden="false" customHeight="false" outlineLevel="0" collapsed="false">
      <c r="A4422" s="15" t="s">
        <v>4479</v>
      </c>
      <c r="B4422" s="16" t="n">
        <v>45503</v>
      </c>
      <c r="C4422" s="15" t="s">
        <v>56</v>
      </c>
      <c r="D4422" s="15" t="s">
        <v>42</v>
      </c>
      <c r="E4422" s="15" t="s">
        <v>37</v>
      </c>
      <c r="F4422" s="15" t="s">
        <v>17</v>
      </c>
      <c r="G4422" s="15" t="s">
        <v>28</v>
      </c>
      <c r="H4422" s="15" t="n">
        <v>4</v>
      </c>
      <c r="I4422" s="17" t="n">
        <v>0.3</v>
      </c>
      <c r="J4422" s="18" t="n">
        <v>71.88</v>
      </c>
      <c r="K4422" s="19" t="n">
        <v>0.69</v>
      </c>
      <c r="L4422" s="15" t="n">
        <f aca="false">YEAR(B4422)</f>
        <v>2024</v>
      </c>
      <c r="M4422" s="20" t="n">
        <f aca="false">IF(J4422&gt;0,K4422/J4422,0)</f>
        <v>0.00959933222036728</v>
      </c>
    </row>
    <row r="4423" customFormat="false" ht="15" hidden="false" customHeight="false" outlineLevel="0" collapsed="false">
      <c r="A4423" s="15" t="s">
        <v>4480</v>
      </c>
      <c r="B4423" s="16" t="n">
        <v>45981</v>
      </c>
      <c r="C4423" s="15" t="s">
        <v>71</v>
      </c>
      <c r="D4423" s="15" t="s">
        <v>44</v>
      </c>
      <c r="E4423" s="15" t="s">
        <v>39</v>
      </c>
      <c r="F4423" s="15" t="s">
        <v>18</v>
      </c>
      <c r="G4423" s="15" t="s">
        <v>30</v>
      </c>
      <c r="H4423" s="15" t="n">
        <v>3</v>
      </c>
      <c r="I4423" s="17" t="n">
        <v>0</v>
      </c>
      <c r="J4423" s="18" t="n">
        <v>147.71</v>
      </c>
      <c r="K4423" s="19" t="n">
        <v>56.73</v>
      </c>
      <c r="L4423" s="15" t="n">
        <f aca="false">YEAR(B4423)</f>
        <v>2025</v>
      </c>
      <c r="M4423" s="20" t="n">
        <f aca="false">IF(J4423&gt;0,K4423/J4423,0)</f>
        <v>0.384063367409112</v>
      </c>
    </row>
    <row r="4424" customFormat="false" ht="15" hidden="false" customHeight="false" outlineLevel="0" collapsed="false">
      <c r="A4424" s="15" t="s">
        <v>4481</v>
      </c>
      <c r="B4424" s="16" t="n">
        <v>45059</v>
      </c>
      <c r="C4424" s="15" t="s">
        <v>58</v>
      </c>
      <c r="D4424" s="15" t="s">
        <v>42</v>
      </c>
      <c r="E4424" s="15" t="s">
        <v>37</v>
      </c>
      <c r="F4424" s="15" t="s">
        <v>16</v>
      </c>
      <c r="G4424" s="15" t="s">
        <v>25</v>
      </c>
      <c r="H4424" s="15" t="n">
        <v>7</v>
      </c>
      <c r="I4424" s="17" t="n">
        <v>0.1</v>
      </c>
      <c r="J4424" s="18" t="n">
        <v>1706.32</v>
      </c>
      <c r="K4424" s="19" t="n">
        <v>79.57</v>
      </c>
      <c r="L4424" s="15" t="n">
        <f aca="false">YEAR(B4424)</f>
        <v>2023</v>
      </c>
      <c r="M4424" s="20" t="n">
        <f aca="false">IF(J4424&gt;0,K4424/J4424,0)</f>
        <v>0.0466325191054433</v>
      </c>
    </row>
    <row r="4425" customFormat="false" ht="15" hidden="false" customHeight="false" outlineLevel="0" collapsed="false">
      <c r="A4425" s="15" t="s">
        <v>4482</v>
      </c>
      <c r="B4425" s="16" t="n">
        <v>45596</v>
      </c>
      <c r="C4425" s="15" t="s">
        <v>68</v>
      </c>
      <c r="D4425" s="15" t="s">
        <v>43</v>
      </c>
      <c r="E4425" s="15" t="s">
        <v>37</v>
      </c>
      <c r="F4425" s="15" t="s">
        <v>18</v>
      </c>
      <c r="G4425" s="15" t="s">
        <v>32</v>
      </c>
      <c r="H4425" s="15" t="n">
        <v>2</v>
      </c>
      <c r="I4425" s="17" t="n">
        <v>0.5</v>
      </c>
      <c r="J4425" s="18" t="n">
        <v>429.51</v>
      </c>
      <c r="K4425" s="19" t="n">
        <v>-90.92</v>
      </c>
      <c r="L4425" s="15" t="n">
        <f aca="false">YEAR(B4425)</f>
        <v>2024</v>
      </c>
      <c r="M4425" s="20" t="n">
        <f aca="false">IF(J4425&gt;0,K4425/J4425,0)</f>
        <v>-0.21168308071989</v>
      </c>
    </row>
    <row r="4426" customFormat="false" ht="15" hidden="false" customHeight="false" outlineLevel="0" collapsed="false">
      <c r="A4426" s="15" t="s">
        <v>4483</v>
      </c>
      <c r="B4426" s="16" t="n">
        <v>44919</v>
      </c>
      <c r="C4426" s="15" t="s">
        <v>68</v>
      </c>
      <c r="D4426" s="15" t="s">
        <v>42</v>
      </c>
      <c r="E4426" s="15" t="s">
        <v>36</v>
      </c>
      <c r="F4426" s="15" t="s">
        <v>18</v>
      </c>
      <c r="G4426" s="15" t="s">
        <v>32</v>
      </c>
      <c r="H4426" s="15" t="n">
        <v>4</v>
      </c>
      <c r="I4426" s="17" t="n">
        <v>0.1</v>
      </c>
      <c r="J4426" s="18" t="n">
        <v>1536.94</v>
      </c>
      <c r="K4426" s="19" t="n">
        <v>180.83</v>
      </c>
      <c r="L4426" s="15" t="n">
        <f aca="false">YEAR(B4426)</f>
        <v>2022</v>
      </c>
      <c r="M4426" s="20" t="n">
        <f aca="false">IF(J4426&gt;0,K4426/J4426,0)</f>
        <v>0.117655861647169</v>
      </c>
    </row>
    <row r="4427" customFormat="false" ht="15" hidden="false" customHeight="false" outlineLevel="0" collapsed="false">
      <c r="A4427" s="15" t="s">
        <v>4484</v>
      </c>
      <c r="B4427" s="16" t="n">
        <v>45793</v>
      </c>
      <c r="C4427" s="15" t="s">
        <v>56</v>
      </c>
      <c r="D4427" s="15" t="s">
        <v>43</v>
      </c>
      <c r="E4427" s="15" t="s">
        <v>39</v>
      </c>
      <c r="F4427" s="15" t="s">
        <v>17</v>
      </c>
      <c r="G4427" s="15" t="s">
        <v>31</v>
      </c>
      <c r="H4427" s="15" t="n">
        <v>3</v>
      </c>
      <c r="I4427" s="17" t="n">
        <v>0.1</v>
      </c>
      <c r="J4427" s="18" t="n">
        <v>365.9</v>
      </c>
      <c r="K4427" s="19" t="n">
        <v>30.67</v>
      </c>
      <c r="L4427" s="15" t="n">
        <f aca="false">YEAR(B4427)</f>
        <v>2025</v>
      </c>
      <c r="M4427" s="20" t="n">
        <f aca="false">IF(J4427&gt;0,K4427/J4427,0)</f>
        <v>0.0838207160426346</v>
      </c>
    </row>
    <row r="4428" customFormat="false" ht="15" hidden="false" customHeight="false" outlineLevel="0" collapsed="false">
      <c r="A4428" s="15" t="s">
        <v>4485</v>
      </c>
      <c r="B4428" s="16" t="n">
        <v>45901</v>
      </c>
      <c r="C4428" s="15" t="s">
        <v>68</v>
      </c>
      <c r="D4428" s="15" t="s">
        <v>42</v>
      </c>
      <c r="E4428" s="15" t="s">
        <v>36</v>
      </c>
      <c r="F4428" s="15" t="s">
        <v>17</v>
      </c>
      <c r="G4428" s="15" t="s">
        <v>28</v>
      </c>
      <c r="H4428" s="15" t="n">
        <v>4</v>
      </c>
      <c r="I4428" s="17" t="n">
        <v>0</v>
      </c>
      <c r="J4428" s="18" t="n">
        <v>86.27</v>
      </c>
      <c r="K4428" s="19" t="n">
        <v>26.47</v>
      </c>
      <c r="L4428" s="15" t="n">
        <f aca="false">YEAR(B4428)</f>
        <v>2025</v>
      </c>
      <c r="M4428" s="20" t="n">
        <f aca="false">IF(J4428&gt;0,K4428/J4428,0)</f>
        <v>0.306827402341486</v>
      </c>
    </row>
    <row r="4429" customFormat="false" ht="15" hidden="false" customHeight="false" outlineLevel="0" collapsed="false">
      <c r="A4429" s="15" t="s">
        <v>4486</v>
      </c>
      <c r="B4429" s="16" t="n">
        <v>45481</v>
      </c>
      <c r="C4429" s="15" t="s">
        <v>56</v>
      </c>
      <c r="D4429" s="15" t="s">
        <v>42</v>
      </c>
      <c r="E4429" s="15" t="s">
        <v>39</v>
      </c>
      <c r="F4429" s="15" t="s">
        <v>17</v>
      </c>
      <c r="G4429" s="15" t="s">
        <v>28</v>
      </c>
      <c r="H4429" s="15" t="n">
        <v>5</v>
      </c>
      <c r="I4429" s="17" t="n">
        <v>0.05</v>
      </c>
      <c r="J4429" s="18" t="n">
        <v>133.3</v>
      </c>
      <c r="K4429" s="19" t="n">
        <v>34.46</v>
      </c>
      <c r="L4429" s="15" t="n">
        <f aca="false">YEAR(B4429)</f>
        <v>2024</v>
      </c>
      <c r="M4429" s="20" t="n">
        <f aca="false">IF(J4429&gt;0,K4429/J4429,0)</f>
        <v>0.258514628657164</v>
      </c>
    </row>
    <row r="4430" customFormat="false" ht="15" hidden="false" customHeight="false" outlineLevel="0" collapsed="false">
      <c r="A4430" s="15" t="s">
        <v>4487</v>
      </c>
      <c r="B4430" s="16" t="n">
        <v>44619</v>
      </c>
      <c r="C4430" s="15" t="s">
        <v>56</v>
      </c>
      <c r="D4430" s="15" t="s">
        <v>43</v>
      </c>
      <c r="E4430" s="15" t="s">
        <v>39</v>
      </c>
      <c r="F4430" s="15" t="s">
        <v>17</v>
      </c>
      <c r="G4430" s="15" t="s">
        <v>28</v>
      </c>
      <c r="H4430" s="15" t="n">
        <v>4</v>
      </c>
      <c r="I4430" s="17" t="n">
        <v>0</v>
      </c>
      <c r="J4430" s="18" t="n">
        <v>88.93</v>
      </c>
      <c r="K4430" s="19" t="n">
        <v>33.39</v>
      </c>
      <c r="L4430" s="15" t="n">
        <f aca="false">YEAR(B4430)</f>
        <v>2022</v>
      </c>
      <c r="M4430" s="20" t="n">
        <f aca="false">IF(J4430&gt;0,K4430/J4430,0)</f>
        <v>0.375463847970314</v>
      </c>
    </row>
    <row r="4431" customFormat="false" ht="15" hidden="false" customHeight="false" outlineLevel="0" collapsed="false">
      <c r="A4431" s="15" t="s">
        <v>4488</v>
      </c>
      <c r="B4431" s="16" t="n">
        <v>44762</v>
      </c>
      <c r="C4431" s="15" t="s">
        <v>56</v>
      </c>
      <c r="D4431" s="15" t="s">
        <v>43</v>
      </c>
      <c r="E4431" s="15" t="s">
        <v>39</v>
      </c>
      <c r="F4431" s="15" t="s">
        <v>17</v>
      </c>
      <c r="G4431" s="15" t="s">
        <v>26</v>
      </c>
      <c r="H4431" s="15" t="n">
        <v>4</v>
      </c>
      <c r="I4431" s="17" t="n">
        <v>0.2</v>
      </c>
      <c r="J4431" s="18" t="n">
        <v>332.14</v>
      </c>
      <c r="K4431" s="19" t="n">
        <v>-28.53</v>
      </c>
      <c r="L4431" s="15" t="n">
        <f aca="false">YEAR(B4431)</f>
        <v>2022</v>
      </c>
      <c r="M4431" s="20" t="n">
        <f aca="false">IF(J4431&gt;0,K4431/J4431,0)</f>
        <v>-0.0858975130968869</v>
      </c>
    </row>
    <row r="4432" customFormat="false" ht="15" hidden="false" customHeight="false" outlineLevel="0" collapsed="false">
      <c r="A4432" s="15" t="s">
        <v>4489</v>
      </c>
      <c r="B4432" s="16" t="n">
        <v>45416</v>
      </c>
      <c r="C4432" s="15" t="s">
        <v>58</v>
      </c>
      <c r="D4432" s="15" t="s">
        <v>42</v>
      </c>
      <c r="E4432" s="15" t="s">
        <v>38</v>
      </c>
      <c r="F4432" s="15" t="s">
        <v>18</v>
      </c>
      <c r="G4432" s="15" t="s">
        <v>30</v>
      </c>
      <c r="H4432" s="15" t="n">
        <v>2</v>
      </c>
      <c r="I4432" s="17" t="n">
        <v>0.2</v>
      </c>
      <c r="J4432" s="18" t="n">
        <v>51.89</v>
      </c>
      <c r="K4432" s="19" t="n">
        <v>7.93</v>
      </c>
      <c r="L4432" s="15" t="n">
        <f aca="false">YEAR(B4432)</f>
        <v>2024</v>
      </c>
      <c r="M4432" s="20" t="n">
        <f aca="false">IF(J4432&gt;0,K4432/J4432,0)</f>
        <v>0.152823280015417</v>
      </c>
    </row>
    <row r="4433" customFormat="false" ht="15" hidden="false" customHeight="false" outlineLevel="0" collapsed="false">
      <c r="A4433" s="15" t="s">
        <v>4490</v>
      </c>
      <c r="B4433" s="16" t="n">
        <v>45743</v>
      </c>
      <c r="C4433" s="15" t="s">
        <v>56</v>
      </c>
      <c r="D4433" s="15" t="s">
        <v>42</v>
      </c>
      <c r="E4433" s="15" t="s">
        <v>37</v>
      </c>
      <c r="F4433" s="15" t="s">
        <v>18</v>
      </c>
      <c r="G4433" s="15" t="s">
        <v>30</v>
      </c>
      <c r="H4433" s="15" t="n">
        <v>5</v>
      </c>
      <c r="I4433" s="17" t="n">
        <v>0.05</v>
      </c>
      <c r="J4433" s="18" t="n">
        <v>216.01</v>
      </c>
      <c r="K4433" s="19" t="n">
        <v>57.52</v>
      </c>
      <c r="L4433" s="15" t="n">
        <f aca="false">YEAR(B4433)</f>
        <v>2025</v>
      </c>
      <c r="M4433" s="20" t="n">
        <f aca="false">IF(J4433&gt;0,K4433/J4433,0)</f>
        <v>0.266283968334799</v>
      </c>
    </row>
    <row r="4434" customFormat="false" ht="15" hidden="false" customHeight="false" outlineLevel="0" collapsed="false">
      <c r="A4434" s="15" t="s">
        <v>4491</v>
      </c>
      <c r="B4434" s="16" t="n">
        <v>45583</v>
      </c>
      <c r="C4434" s="15" t="s">
        <v>56</v>
      </c>
      <c r="D4434" s="15" t="s">
        <v>42</v>
      </c>
      <c r="E4434" s="15" t="s">
        <v>37</v>
      </c>
      <c r="F4434" s="15" t="s">
        <v>17</v>
      </c>
      <c r="G4434" s="15" t="s">
        <v>26</v>
      </c>
      <c r="H4434" s="15" t="n">
        <v>3</v>
      </c>
      <c r="I4434" s="17" t="n">
        <v>0.2</v>
      </c>
      <c r="J4434" s="18" t="n">
        <v>221.72</v>
      </c>
      <c r="K4434" s="19" t="n">
        <v>-17.22</v>
      </c>
      <c r="L4434" s="15" t="n">
        <f aca="false">YEAR(B4434)</f>
        <v>2024</v>
      </c>
      <c r="M4434" s="20" t="n">
        <f aca="false">IF(J4434&gt;0,K4434/J4434,0)</f>
        <v>-0.0776655240844308</v>
      </c>
    </row>
    <row r="4435" customFormat="false" ht="15" hidden="false" customHeight="false" outlineLevel="0" collapsed="false">
      <c r="A4435" s="15" t="s">
        <v>4492</v>
      </c>
      <c r="B4435" s="16" t="n">
        <v>45326</v>
      </c>
      <c r="C4435" s="15" t="s">
        <v>56</v>
      </c>
      <c r="D4435" s="15" t="s">
        <v>42</v>
      </c>
      <c r="E4435" s="15" t="s">
        <v>36</v>
      </c>
      <c r="F4435" s="15" t="s">
        <v>18</v>
      </c>
      <c r="G4435" s="15" t="s">
        <v>30</v>
      </c>
      <c r="H4435" s="15" t="n">
        <v>3</v>
      </c>
      <c r="I4435" s="17" t="n">
        <v>0.4</v>
      </c>
      <c r="J4435" s="18" t="n">
        <v>86.83</v>
      </c>
      <c r="K4435" s="19" t="n">
        <v>-7.31</v>
      </c>
      <c r="L4435" s="15" t="n">
        <f aca="false">YEAR(B4435)</f>
        <v>2024</v>
      </c>
      <c r="M4435" s="20" t="n">
        <f aca="false">IF(J4435&gt;0,K4435/J4435,0)</f>
        <v>-0.084187492802027</v>
      </c>
    </row>
    <row r="4436" customFormat="false" ht="15" hidden="false" customHeight="false" outlineLevel="0" collapsed="false">
      <c r="A4436" s="15" t="s">
        <v>4493</v>
      </c>
      <c r="B4436" s="16" t="n">
        <v>45097</v>
      </c>
      <c r="C4436" s="15" t="s">
        <v>56</v>
      </c>
      <c r="D4436" s="15" t="s">
        <v>44</v>
      </c>
      <c r="E4436" s="15" t="s">
        <v>37</v>
      </c>
      <c r="F4436" s="15" t="s">
        <v>16</v>
      </c>
      <c r="G4436" s="15" t="s">
        <v>25</v>
      </c>
      <c r="H4436" s="15" t="n">
        <v>1</v>
      </c>
      <c r="I4436" s="17" t="n">
        <v>0</v>
      </c>
      <c r="J4436" s="18" t="n">
        <v>423.27</v>
      </c>
      <c r="K4436" s="19" t="n">
        <v>19.3</v>
      </c>
      <c r="L4436" s="15" t="n">
        <f aca="false">YEAR(B4436)</f>
        <v>2023</v>
      </c>
      <c r="M4436" s="20" t="n">
        <f aca="false">IF(J4436&gt;0,K4436/J4436,0)</f>
        <v>0.0455973728353061</v>
      </c>
    </row>
    <row r="4437" customFormat="false" ht="15" hidden="false" customHeight="false" outlineLevel="0" collapsed="false">
      <c r="A4437" s="15" t="s">
        <v>4494</v>
      </c>
      <c r="B4437" s="16" t="n">
        <v>45781</v>
      </c>
      <c r="C4437" s="15" t="s">
        <v>56</v>
      </c>
      <c r="D4437" s="15" t="s">
        <v>42</v>
      </c>
      <c r="E4437" s="15" t="s">
        <v>36</v>
      </c>
      <c r="F4437" s="15" t="s">
        <v>17</v>
      </c>
      <c r="G4437" s="15" t="s">
        <v>28</v>
      </c>
      <c r="H4437" s="15" t="n">
        <v>4</v>
      </c>
      <c r="I4437" s="17" t="n">
        <v>0.1</v>
      </c>
      <c r="J4437" s="18" t="n">
        <v>83.61</v>
      </c>
      <c r="K4437" s="19" t="n">
        <v>16.14</v>
      </c>
      <c r="L4437" s="15" t="n">
        <f aca="false">YEAR(B4437)</f>
        <v>2025</v>
      </c>
      <c r="M4437" s="20" t="n">
        <f aca="false">IF(J4437&gt;0,K4437/J4437,0)</f>
        <v>0.193039110154288</v>
      </c>
    </row>
    <row r="4438" customFormat="false" ht="15" hidden="false" customHeight="false" outlineLevel="0" collapsed="false">
      <c r="A4438" s="15" t="s">
        <v>4495</v>
      </c>
      <c r="B4438" s="16" t="n">
        <v>46011</v>
      </c>
      <c r="C4438" s="15" t="s">
        <v>56</v>
      </c>
      <c r="D4438" s="15" t="s">
        <v>42</v>
      </c>
      <c r="E4438" s="15" t="s">
        <v>36</v>
      </c>
      <c r="F4438" s="15" t="s">
        <v>18</v>
      </c>
      <c r="G4438" s="15" t="s">
        <v>30</v>
      </c>
      <c r="H4438" s="15" t="n">
        <v>3</v>
      </c>
      <c r="I4438" s="17" t="n">
        <v>0.2</v>
      </c>
      <c r="J4438" s="18" t="n">
        <v>121.63</v>
      </c>
      <c r="K4438" s="19" t="n">
        <v>13.81</v>
      </c>
      <c r="L4438" s="15" t="n">
        <f aca="false">YEAR(B4438)</f>
        <v>2025</v>
      </c>
      <c r="M4438" s="20" t="n">
        <f aca="false">IF(J4438&gt;0,K4438/J4438,0)</f>
        <v>0.113541067170928</v>
      </c>
    </row>
    <row r="4439" customFormat="false" ht="15" hidden="false" customHeight="false" outlineLevel="0" collapsed="false">
      <c r="A4439" s="15" t="s">
        <v>4496</v>
      </c>
      <c r="B4439" s="16" t="n">
        <v>45660</v>
      </c>
      <c r="C4439" s="15" t="s">
        <v>56</v>
      </c>
      <c r="D4439" s="15" t="s">
        <v>42</v>
      </c>
      <c r="E4439" s="15" t="s">
        <v>39</v>
      </c>
      <c r="F4439" s="15" t="s">
        <v>17</v>
      </c>
      <c r="G4439" s="15" t="s">
        <v>26</v>
      </c>
      <c r="H4439" s="15" t="n">
        <v>4</v>
      </c>
      <c r="I4439" s="17" t="n">
        <v>0</v>
      </c>
      <c r="J4439" s="18" t="n">
        <v>355.26</v>
      </c>
      <c r="K4439" s="19" t="n">
        <v>25.09</v>
      </c>
      <c r="L4439" s="15" t="n">
        <f aca="false">YEAR(B4439)</f>
        <v>2025</v>
      </c>
      <c r="M4439" s="20" t="n">
        <f aca="false">IF(J4439&gt;0,K4439/J4439,0)</f>
        <v>0.070624331475539</v>
      </c>
    </row>
    <row r="4440" customFormat="false" ht="15" hidden="false" customHeight="false" outlineLevel="0" collapsed="false">
      <c r="A4440" s="15" t="s">
        <v>4497</v>
      </c>
      <c r="B4440" s="16" t="n">
        <v>45547</v>
      </c>
      <c r="C4440" s="15" t="s">
        <v>56</v>
      </c>
      <c r="D4440" s="15" t="s">
        <v>43</v>
      </c>
      <c r="E4440" s="15" t="s">
        <v>39</v>
      </c>
      <c r="F4440" s="15" t="s">
        <v>16</v>
      </c>
      <c r="G4440" s="15" t="s">
        <v>22</v>
      </c>
      <c r="H4440" s="15" t="n">
        <v>2</v>
      </c>
      <c r="I4440" s="17" t="n">
        <v>0.1</v>
      </c>
      <c r="J4440" s="18" t="n">
        <v>1080.84</v>
      </c>
      <c r="K4440" s="19" t="n">
        <v>-123.17</v>
      </c>
      <c r="L4440" s="15" t="n">
        <f aca="false">YEAR(B4440)</f>
        <v>2024</v>
      </c>
      <c r="M4440" s="20" t="n">
        <f aca="false">IF(J4440&gt;0,K4440/J4440,0)</f>
        <v>-0.113957662558751</v>
      </c>
    </row>
    <row r="4441" customFormat="false" ht="15" hidden="false" customHeight="false" outlineLevel="0" collapsed="false">
      <c r="A4441" s="15" t="s">
        <v>4498</v>
      </c>
      <c r="B4441" s="16" t="n">
        <v>45082</v>
      </c>
      <c r="C4441" s="15" t="s">
        <v>56</v>
      </c>
      <c r="D4441" s="15" t="s">
        <v>42</v>
      </c>
      <c r="E4441" s="15" t="s">
        <v>39</v>
      </c>
      <c r="F4441" s="15" t="s">
        <v>16</v>
      </c>
      <c r="G4441" s="15" t="s">
        <v>27</v>
      </c>
      <c r="H4441" s="15" t="n">
        <v>5</v>
      </c>
      <c r="I4441" s="17" t="n">
        <v>0</v>
      </c>
      <c r="J4441" s="18" t="n">
        <v>288.09</v>
      </c>
      <c r="K4441" s="19" t="n">
        <v>62.72</v>
      </c>
      <c r="L4441" s="15" t="n">
        <f aca="false">YEAR(B4441)</f>
        <v>2023</v>
      </c>
      <c r="M4441" s="20" t="n">
        <f aca="false">IF(J4441&gt;0,K4441/J4441,0)</f>
        <v>0.217709743482939</v>
      </c>
    </row>
    <row r="4442" customFormat="false" ht="15" hidden="false" customHeight="false" outlineLevel="0" collapsed="false">
      <c r="A4442" s="15" t="s">
        <v>4499</v>
      </c>
      <c r="B4442" s="16" t="n">
        <v>45620</v>
      </c>
      <c r="C4442" s="15" t="s">
        <v>56</v>
      </c>
      <c r="D4442" s="15" t="s">
        <v>43</v>
      </c>
      <c r="E4442" s="15" t="s">
        <v>39</v>
      </c>
      <c r="F4442" s="15" t="s">
        <v>17</v>
      </c>
      <c r="G4442" s="15" t="s">
        <v>26</v>
      </c>
      <c r="H4442" s="15" t="n">
        <v>3</v>
      </c>
      <c r="I4442" s="17" t="n">
        <v>0</v>
      </c>
      <c r="J4442" s="18" t="n">
        <v>316.39</v>
      </c>
      <c r="K4442" s="19" t="n">
        <v>23.18</v>
      </c>
      <c r="L4442" s="15" t="n">
        <f aca="false">YEAR(B4442)</f>
        <v>2024</v>
      </c>
      <c r="M4442" s="20" t="n">
        <f aca="false">IF(J4442&gt;0,K4442/J4442,0)</f>
        <v>0.0732640096083947</v>
      </c>
    </row>
    <row r="4443" customFormat="false" ht="15" hidden="false" customHeight="false" outlineLevel="0" collapsed="false">
      <c r="A4443" s="15" t="s">
        <v>4500</v>
      </c>
      <c r="B4443" s="16" t="n">
        <v>44628</v>
      </c>
      <c r="C4443" s="15" t="s">
        <v>56</v>
      </c>
      <c r="D4443" s="15" t="s">
        <v>43</v>
      </c>
      <c r="E4443" s="15" t="s">
        <v>37</v>
      </c>
      <c r="F4443" s="15" t="s">
        <v>17</v>
      </c>
      <c r="G4443" s="15" t="s">
        <v>29</v>
      </c>
      <c r="H4443" s="15" t="n">
        <v>3</v>
      </c>
      <c r="I4443" s="17" t="n">
        <v>0</v>
      </c>
      <c r="J4443" s="18" t="n">
        <v>60.24</v>
      </c>
      <c r="K4443" s="19" t="n">
        <v>22.9</v>
      </c>
      <c r="L4443" s="15" t="n">
        <f aca="false">YEAR(B4443)</f>
        <v>2022</v>
      </c>
      <c r="M4443" s="20" t="n">
        <f aca="false">IF(J4443&gt;0,K4443/J4443,0)</f>
        <v>0.380146082337317</v>
      </c>
    </row>
    <row r="4444" customFormat="false" ht="15" hidden="false" customHeight="false" outlineLevel="0" collapsed="false">
      <c r="A4444" s="15" t="s">
        <v>4501</v>
      </c>
      <c r="B4444" s="16" t="n">
        <v>45295</v>
      </c>
      <c r="C4444" s="15" t="s">
        <v>71</v>
      </c>
      <c r="D4444" s="15" t="s">
        <v>42</v>
      </c>
      <c r="E4444" s="15" t="s">
        <v>37</v>
      </c>
      <c r="F4444" s="15" t="s">
        <v>18</v>
      </c>
      <c r="G4444" s="15" t="s">
        <v>30</v>
      </c>
      <c r="H4444" s="15" t="n">
        <v>1</v>
      </c>
      <c r="I4444" s="17" t="n">
        <v>0</v>
      </c>
      <c r="J4444" s="18" t="n">
        <v>50.76</v>
      </c>
      <c r="K4444" s="19" t="n">
        <v>16.18</v>
      </c>
      <c r="L4444" s="15" t="n">
        <f aca="false">YEAR(B4444)</f>
        <v>2024</v>
      </c>
      <c r="M4444" s="20" t="n">
        <f aca="false">IF(J4444&gt;0,K4444/J4444,0)</f>
        <v>0.318754925137904</v>
      </c>
    </row>
    <row r="4445" customFormat="false" ht="15" hidden="false" customHeight="false" outlineLevel="0" collapsed="false">
      <c r="A4445" s="15" t="s">
        <v>4502</v>
      </c>
      <c r="B4445" s="16" t="n">
        <v>45961</v>
      </c>
      <c r="C4445" s="15" t="s">
        <v>68</v>
      </c>
      <c r="D4445" s="15" t="s">
        <v>44</v>
      </c>
      <c r="E4445" s="15" t="s">
        <v>39</v>
      </c>
      <c r="F4445" s="15" t="s">
        <v>16</v>
      </c>
      <c r="G4445" s="15" t="s">
        <v>25</v>
      </c>
      <c r="H4445" s="15" t="n">
        <v>2</v>
      </c>
      <c r="I4445" s="17" t="n">
        <v>0</v>
      </c>
      <c r="J4445" s="18" t="n">
        <v>622.71</v>
      </c>
      <c r="K4445" s="19" t="n">
        <v>51.1</v>
      </c>
      <c r="L4445" s="15" t="n">
        <f aca="false">YEAR(B4445)</f>
        <v>2025</v>
      </c>
      <c r="M4445" s="20" t="n">
        <f aca="false">IF(J4445&gt;0,K4445/J4445,0)</f>
        <v>0.0820606702959644</v>
      </c>
    </row>
    <row r="4446" customFormat="false" ht="15" hidden="false" customHeight="false" outlineLevel="0" collapsed="false">
      <c r="A4446" s="15" t="s">
        <v>4503</v>
      </c>
      <c r="B4446" s="16" t="n">
        <v>45150</v>
      </c>
      <c r="C4446" s="15" t="s">
        <v>56</v>
      </c>
      <c r="D4446" s="15" t="s">
        <v>43</v>
      </c>
      <c r="E4446" s="15" t="s">
        <v>36</v>
      </c>
      <c r="F4446" s="15" t="s">
        <v>17</v>
      </c>
      <c r="G4446" s="15" t="s">
        <v>28</v>
      </c>
      <c r="H4446" s="15" t="n">
        <v>2</v>
      </c>
      <c r="I4446" s="17" t="n">
        <v>0.15</v>
      </c>
      <c r="J4446" s="18" t="n">
        <v>49.06</v>
      </c>
      <c r="K4446" s="19" t="n">
        <v>10.62</v>
      </c>
      <c r="L4446" s="15" t="n">
        <f aca="false">YEAR(B4446)</f>
        <v>2023</v>
      </c>
      <c r="M4446" s="20" t="n">
        <f aca="false">IF(J4446&gt;0,K4446/J4446,0)</f>
        <v>0.216469629025683</v>
      </c>
    </row>
    <row r="4447" customFormat="false" ht="15" hidden="false" customHeight="false" outlineLevel="0" collapsed="false">
      <c r="A4447" s="15" t="s">
        <v>4504</v>
      </c>
      <c r="B4447" s="16" t="n">
        <v>45416</v>
      </c>
      <c r="C4447" s="15" t="s">
        <v>71</v>
      </c>
      <c r="D4447" s="15" t="s">
        <v>42</v>
      </c>
      <c r="E4447" s="15" t="s">
        <v>37</v>
      </c>
      <c r="F4447" s="15" t="s">
        <v>17</v>
      </c>
      <c r="G4447" s="15" t="s">
        <v>26</v>
      </c>
      <c r="H4447" s="15" t="n">
        <v>5</v>
      </c>
      <c r="I4447" s="17" t="n">
        <v>0</v>
      </c>
      <c r="J4447" s="18" t="n">
        <v>461.9</v>
      </c>
      <c r="K4447" s="19" t="n">
        <v>46.04</v>
      </c>
      <c r="L4447" s="15" t="n">
        <f aca="false">YEAR(B4447)</f>
        <v>2024</v>
      </c>
      <c r="M4447" s="20" t="n">
        <f aca="false">IF(J4447&gt;0,K4447/J4447,0)</f>
        <v>0.0996752543840658</v>
      </c>
    </row>
    <row r="4448" customFormat="false" ht="15" hidden="false" customHeight="false" outlineLevel="0" collapsed="false">
      <c r="A4448" s="15" t="s">
        <v>4505</v>
      </c>
      <c r="B4448" s="16" t="n">
        <v>45527</v>
      </c>
      <c r="C4448" s="15" t="s">
        <v>56</v>
      </c>
      <c r="D4448" s="15" t="s">
        <v>42</v>
      </c>
      <c r="E4448" s="15" t="s">
        <v>38</v>
      </c>
      <c r="F4448" s="15" t="s">
        <v>17</v>
      </c>
      <c r="G4448" s="15" t="s">
        <v>31</v>
      </c>
      <c r="H4448" s="15" t="n">
        <v>6</v>
      </c>
      <c r="I4448" s="17" t="n">
        <v>0.1</v>
      </c>
      <c r="J4448" s="18" t="n">
        <v>581.78</v>
      </c>
      <c r="K4448" s="19" t="n">
        <v>79.66</v>
      </c>
      <c r="L4448" s="15" t="n">
        <f aca="false">YEAR(B4448)</f>
        <v>2024</v>
      </c>
      <c r="M4448" s="20" t="n">
        <f aca="false">IF(J4448&gt;0,K4448/J4448,0)</f>
        <v>0.136924610677576</v>
      </c>
    </row>
    <row r="4449" customFormat="false" ht="15" hidden="false" customHeight="false" outlineLevel="0" collapsed="false">
      <c r="A4449" s="15" t="s">
        <v>4506</v>
      </c>
      <c r="B4449" s="16" t="n">
        <v>44789</v>
      </c>
      <c r="C4449" s="15" t="s">
        <v>56</v>
      </c>
      <c r="D4449" s="15" t="s">
        <v>44</v>
      </c>
      <c r="E4449" s="15" t="s">
        <v>38</v>
      </c>
      <c r="F4449" s="15" t="s">
        <v>18</v>
      </c>
      <c r="G4449" s="15" t="s">
        <v>32</v>
      </c>
      <c r="H4449" s="15" t="n">
        <v>3</v>
      </c>
      <c r="I4449" s="17" t="n">
        <v>0.2</v>
      </c>
      <c r="J4449" s="18" t="n">
        <v>814.19</v>
      </c>
      <c r="K4449" s="19" t="n">
        <v>39.19</v>
      </c>
      <c r="L4449" s="15" t="n">
        <f aca="false">YEAR(B4449)</f>
        <v>2022</v>
      </c>
      <c r="M4449" s="20" t="n">
        <f aca="false">IF(J4449&gt;0,K4449/J4449,0)</f>
        <v>0.048133727999607</v>
      </c>
    </row>
    <row r="4450" customFormat="false" ht="15" hidden="false" customHeight="false" outlineLevel="0" collapsed="false">
      <c r="A4450" s="15" t="s">
        <v>4507</v>
      </c>
      <c r="B4450" s="16" t="n">
        <v>45510</v>
      </c>
      <c r="C4450" s="15" t="s">
        <v>68</v>
      </c>
      <c r="D4450" s="15" t="s">
        <v>43</v>
      </c>
      <c r="E4450" s="15" t="s">
        <v>37</v>
      </c>
      <c r="F4450" s="15" t="s">
        <v>18</v>
      </c>
      <c r="G4450" s="15" t="s">
        <v>30</v>
      </c>
      <c r="H4450" s="15" t="n">
        <v>4</v>
      </c>
      <c r="I4450" s="17" t="n">
        <v>0</v>
      </c>
      <c r="J4450" s="18" t="n">
        <v>183.38</v>
      </c>
      <c r="K4450" s="19" t="n">
        <v>47.59</v>
      </c>
      <c r="L4450" s="15" t="n">
        <f aca="false">YEAR(B4450)</f>
        <v>2024</v>
      </c>
      <c r="M4450" s="20" t="n">
        <f aca="false">IF(J4450&gt;0,K4450/J4450,0)</f>
        <v>0.259515759624823</v>
      </c>
    </row>
    <row r="4451" customFormat="false" ht="15" hidden="false" customHeight="false" outlineLevel="0" collapsed="false">
      <c r="A4451" s="15" t="s">
        <v>4508</v>
      </c>
      <c r="B4451" s="16" t="n">
        <v>45954</v>
      </c>
      <c r="C4451" s="15" t="s">
        <v>68</v>
      </c>
      <c r="D4451" s="15" t="s">
        <v>42</v>
      </c>
      <c r="E4451" s="15" t="s">
        <v>36</v>
      </c>
      <c r="F4451" s="15" t="s">
        <v>17</v>
      </c>
      <c r="G4451" s="15" t="s">
        <v>26</v>
      </c>
      <c r="H4451" s="15" t="n">
        <v>3</v>
      </c>
      <c r="I4451" s="17" t="n">
        <v>0.2</v>
      </c>
      <c r="J4451" s="18" t="n">
        <v>200.18</v>
      </c>
      <c r="K4451" s="19" t="n">
        <v>-30.09</v>
      </c>
      <c r="L4451" s="15" t="n">
        <f aca="false">YEAR(B4451)</f>
        <v>2025</v>
      </c>
      <c r="M4451" s="20" t="n">
        <f aca="false">IF(J4451&gt;0,K4451/J4451,0)</f>
        <v>-0.150314716754921</v>
      </c>
    </row>
    <row r="4452" customFormat="false" ht="15" hidden="false" customHeight="false" outlineLevel="0" collapsed="false">
      <c r="A4452" s="15" t="s">
        <v>4509</v>
      </c>
      <c r="B4452" s="16" t="n">
        <v>45577</v>
      </c>
      <c r="C4452" s="15" t="s">
        <v>56</v>
      </c>
      <c r="D4452" s="15" t="s">
        <v>42</v>
      </c>
      <c r="E4452" s="15" t="s">
        <v>38</v>
      </c>
      <c r="F4452" s="15" t="s">
        <v>18</v>
      </c>
      <c r="G4452" s="15" t="s">
        <v>24</v>
      </c>
      <c r="H4452" s="15" t="n">
        <v>3</v>
      </c>
      <c r="I4452" s="17" t="n">
        <v>0.05</v>
      </c>
      <c r="J4452" s="18" t="n">
        <v>1990.21</v>
      </c>
      <c r="K4452" s="19" t="n">
        <v>-32.25</v>
      </c>
      <c r="L4452" s="15" t="n">
        <f aca="false">YEAR(B4452)</f>
        <v>2024</v>
      </c>
      <c r="M4452" s="20" t="n">
        <f aca="false">IF(J4452&gt;0,K4452/J4452,0)</f>
        <v>-0.0162043201471202</v>
      </c>
    </row>
    <row r="4453" customFormat="false" ht="15" hidden="false" customHeight="false" outlineLevel="0" collapsed="false">
      <c r="A4453" s="15" t="s">
        <v>4510</v>
      </c>
      <c r="B4453" s="16" t="n">
        <v>45429</v>
      </c>
      <c r="C4453" s="15" t="s">
        <v>58</v>
      </c>
      <c r="D4453" s="15" t="s">
        <v>42</v>
      </c>
      <c r="E4453" s="15" t="s">
        <v>38</v>
      </c>
      <c r="F4453" s="15" t="s">
        <v>17</v>
      </c>
      <c r="G4453" s="15" t="s">
        <v>29</v>
      </c>
      <c r="H4453" s="15" t="n">
        <v>1</v>
      </c>
      <c r="I4453" s="17" t="n">
        <v>0.4</v>
      </c>
      <c r="J4453" s="18" t="n">
        <v>8.08</v>
      </c>
      <c r="K4453" s="19" t="n">
        <v>0.64</v>
      </c>
      <c r="L4453" s="15" t="n">
        <f aca="false">YEAR(B4453)</f>
        <v>2024</v>
      </c>
      <c r="M4453" s="20" t="n">
        <f aca="false">IF(J4453&gt;0,K4453/J4453,0)</f>
        <v>0.0792079207920792</v>
      </c>
    </row>
    <row r="4454" customFormat="false" ht="15" hidden="false" customHeight="false" outlineLevel="0" collapsed="false">
      <c r="A4454" s="15" t="s">
        <v>4511</v>
      </c>
      <c r="B4454" s="16" t="n">
        <v>45242</v>
      </c>
      <c r="C4454" s="15" t="s">
        <v>71</v>
      </c>
      <c r="D4454" s="15" t="s">
        <v>44</v>
      </c>
      <c r="E4454" s="15" t="s">
        <v>38</v>
      </c>
      <c r="F4454" s="15" t="s">
        <v>17</v>
      </c>
      <c r="G4454" s="15" t="s">
        <v>29</v>
      </c>
      <c r="H4454" s="15" t="n">
        <v>3</v>
      </c>
      <c r="I4454" s="17" t="n">
        <v>0</v>
      </c>
      <c r="J4454" s="18" t="n">
        <v>53.46</v>
      </c>
      <c r="K4454" s="19" t="n">
        <v>19.72</v>
      </c>
      <c r="L4454" s="15" t="n">
        <f aca="false">YEAR(B4454)</f>
        <v>2023</v>
      </c>
      <c r="M4454" s="20" t="n">
        <f aca="false">IF(J4454&gt;0,K4454/J4454,0)</f>
        <v>0.36887392442948</v>
      </c>
    </row>
    <row r="4455" customFormat="false" ht="15" hidden="false" customHeight="false" outlineLevel="0" collapsed="false">
      <c r="A4455" s="15" t="s">
        <v>4512</v>
      </c>
      <c r="B4455" s="16" t="n">
        <v>45930</v>
      </c>
      <c r="C4455" s="15" t="s">
        <v>56</v>
      </c>
      <c r="D4455" s="15" t="s">
        <v>42</v>
      </c>
      <c r="E4455" s="15" t="s">
        <v>39</v>
      </c>
      <c r="F4455" s="15" t="s">
        <v>18</v>
      </c>
      <c r="G4455" s="15" t="s">
        <v>30</v>
      </c>
      <c r="H4455" s="15" t="n">
        <v>4</v>
      </c>
      <c r="I4455" s="17" t="n">
        <v>0</v>
      </c>
      <c r="J4455" s="18" t="n">
        <v>195.52</v>
      </c>
      <c r="K4455" s="19" t="n">
        <v>53.74</v>
      </c>
      <c r="L4455" s="15" t="n">
        <f aca="false">YEAR(B4455)</f>
        <v>2025</v>
      </c>
      <c r="M4455" s="20" t="n">
        <f aca="false">IF(J4455&gt;0,K4455/J4455,0)</f>
        <v>0.274856792144026</v>
      </c>
    </row>
    <row r="4456" customFormat="false" ht="15" hidden="false" customHeight="false" outlineLevel="0" collapsed="false">
      <c r="A4456" s="15" t="s">
        <v>4513</v>
      </c>
      <c r="B4456" s="16" t="n">
        <v>45212</v>
      </c>
      <c r="C4456" s="15" t="s">
        <v>56</v>
      </c>
      <c r="D4456" s="15" t="s">
        <v>42</v>
      </c>
      <c r="E4456" s="15" t="s">
        <v>39</v>
      </c>
      <c r="F4456" s="15" t="s">
        <v>18</v>
      </c>
      <c r="G4456" s="15" t="s">
        <v>32</v>
      </c>
      <c r="H4456" s="15" t="n">
        <v>2</v>
      </c>
      <c r="I4456" s="17" t="n">
        <v>0.5</v>
      </c>
      <c r="J4456" s="18" t="n">
        <v>485.58</v>
      </c>
      <c r="K4456" s="19" t="n">
        <v>-159.57</v>
      </c>
      <c r="L4456" s="15" t="n">
        <f aca="false">YEAR(B4456)</f>
        <v>2023</v>
      </c>
      <c r="M4456" s="20" t="n">
        <f aca="false">IF(J4456&gt;0,K4456/J4456,0)</f>
        <v>-0.328617323612999</v>
      </c>
    </row>
    <row r="4457" customFormat="false" ht="15" hidden="false" customHeight="false" outlineLevel="0" collapsed="false">
      <c r="A4457" s="15" t="s">
        <v>4514</v>
      </c>
      <c r="B4457" s="16" t="n">
        <v>45397</v>
      </c>
      <c r="C4457" s="15" t="s">
        <v>56</v>
      </c>
      <c r="D4457" s="15" t="s">
        <v>43</v>
      </c>
      <c r="E4457" s="15" t="s">
        <v>37</v>
      </c>
      <c r="F4457" s="15" t="s">
        <v>17</v>
      </c>
      <c r="G4457" s="15" t="s">
        <v>29</v>
      </c>
      <c r="H4457" s="15" t="n">
        <v>5</v>
      </c>
      <c r="I4457" s="17" t="n">
        <v>0.05</v>
      </c>
      <c r="J4457" s="18" t="n">
        <v>81.09</v>
      </c>
      <c r="K4457" s="19" t="n">
        <v>32.8</v>
      </c>
      <c r="L4457" s="15" t="n">
        <f aca="false">YEAR(B4457)</f>
        <v>2024</v>
      </c>
      <c r="M4457" s="20" t="n">
        <f aca="false">IF(J4457&gt;0,K4457/J4457,0)</f>
        <v>0.404488839560982</v>
      </c>
    </row>
    <row r="4458" customFormat="false" ht="15" hidden="false" customHeight="false" outlineLevel="0" collapsed="false">
      <c r="A4458" s="15" t="s">
        <v>4515</v>
      </c>
      <c r="B4458" s="16" t="n">
        <v>45047</v>
      </c>
      <c r="C4458" s="15" t="s">
        <v>71</v>
      </c>
      <c r="D4458" s="15" t="s">
        <v>42</v>
      </c>
      <c r="E4458" s="15" t="s">
        <v>39</v>
      </c>
      <c r="F4458" s="15" t="s">
        <v>18</v>
      </c>
      <c r="G4458" s="15" t="s">
        <v>30</v>
      </c>
      <c r="H4458" s="15" t="n">
        <v>2</v>
      </c>
      <c r="I4458" s="17" t="n">
        <v>0</v>
      </c>
      <c r="J4458" s="18" t="n">
        <v>109.41</v>
      </c>
      <c r="K4458" s="19" t="n">
        <v>31.91</v>
      </c>
      <c r="L4458" s="15" t="n">
        <f aca="false">YEAR(B4458)</f>
        <v>2023</v>
      </c>
      <c r="M4458" s="20" t="n">
        <f aca="false">IF(J4458&gt;0,K4458/J4458,0)</f>
        <v>0.291655241751211</v>
      </c>
    </row>
    <row r="4459" customFormat="false" ht="15" hidden="false" customHeight="false" outlineLevel="0" collapsed="false">
      <c r="A4459" s="15" t="s">
        <v>4516</v>
      </c>
      <c r="B4459" s="16" t="n">
        <v>45972</v>
      </c>
      <c r="C4459" s="15" t="s">
        <v>68</v>
      </c>
      <c r="D4459" s="15" t="s">
        <v>44</v>
      </c>
      <c r="E4459" s="15" t="s">
        <v>37</v>
      </c>
      <c r="F4459" s="15" t="s">
        <v>16</v>
      </c>
      <c r="G4459" s="15" t="s">
        <v>27</v>
      </c>
      <c r="H4459" s="15" t="n">
        <v>2</v>
      </c>
      <c r="I4459" s="17" t="n">
        <v>0</v>
      </c>
      <c r="J4459" s="18" t="n">
        <v>102.15</v>
      </c>
      <c r="K4459" s="19" t="n">
        <v>29.53</v>
      </c>
      <c r="L4459" s="15" t="n">
        <f aca="false">YEAR(B4459)</f>
        <v>2025</v>
      </c>
      <c r="M4459" s="20" t="n">
        <f aca="false">IF(J4459&gt;0,K4459/J4459,0)</f>
        <v>0.289084679393049</v>
      </c>
    </row>
    <row r="4460" customFormat="false" ht="15" hidden="false" customHeight="false" outlineLevel="0" collapsed="false">
      <c r="A4460" s="15" t="s">
        <v>4517</v>
      </c>
      <c r="B4460" s="16" t="n">
        <v>45291</v>
      </c>
      <c r="C4460" s="15" t="s">
        <v>56</v>
      </c>
      <c r="D4460" s="15" t="s">
        <v>43</v>
      </c>
      <c r="E4460" s="15" t="s">
        <v>38</v>
      </c>
      <c r="F4460" s="15" t="s">
        <v>17</v>
      </c>
      <c r="G4460" s="15" t="s">
        <v>29</v>
      </c>
      <c r="H4460" s="15" t="n">
        <v>3</v>
      </c>
      <c r="I4460" s="17" t="n">
        <v>0.2</v>
      </c>
      <c r="J4460" s="18" t="n">
        <v>41.23</v>
      </c>
      <c r="K4460" s="19" t="n">
        <v>6.88</v>
      </c>
      <c r="L4460" s="15" t="n">
        <f aca="false">YEAR(B4460)</f>
        <v>2023</v>
      </c>
      <c r="M4460" s="20" t="n">
        <f aca="false">IF(J4460&gt;0,K4460/J4460,0)</f>
        <v>0.166868784865389</v>
      </c>
    </row>
    <row r="4461" customFormat="false" ht="15" hidden="false" customHeight="false" outlineLevel="0" collapsed="false">
      <c r="A4461" s="15" t="s">
        <v>4518</v>
      </c>
      <c r="B4461" s="16" t="n">
        <v>44605</v>
      </c>
      <c r="C4461" s="15" t="s">
        <v>71</v>
      </c>
      <c r="D4461" s="15" t="s">
        <v>44</v>
      </c>
      <c r="E4461" s="15" t="s">
        <v>36</v>
      </c>
      <c r="F4461" s="15" t="s">
        <v>18</v>
      </c>
      <c r="G4461" s="15" t="s">
        <v>24</v>
      </c>
      <c r="H4461" s="15" t="n">
        <v>3</v>
      </c>
      <c r="I4461" s="17" t="n">
        <v>0.15</v>
      </c>
      <c r="J4461" s="18" t="n">
        <v>1518.66</v>
      </c>
      <c r="K4461" s="19" t="n">
        <v>-72.5</v>
      </c>
      <c r="L4461" s="15" t="n">
        <f aca="false">YEAR(B4461)</f>
        <v>2022</v>
      </c>
      <c r="M4461" s="20" t="n">
        <f aca="false">IF(J4461&gt;0,K4461/J4461,0)</f>
        <v>-0.0477394545191155</v>
      </c>
    </row>
    <row r="4462" customFormat="false" ht="15" hidden="false" customHeight="false" outlineLevel="0" collapsed="false">
      <c r="A4462" s="15" t="s">
        <v>4519</v>
      </c>
      <c r="B4462" s="16" t="n">
        <v>45540</v>
      </c>
      <c r="C4462" s="15" t="s">
        <v>68</v>
      </c>
      <c r="D4462" s="15" t="s">
        <v>44</v>
      </c>
      <c r="E4462" s="15" t="s">
        <v>39</v>
      </c>
      <c r="F4462" s="15" t="s">
        <v>17</v>
      </c>
      <c r="G4462" s="15" t="s">
        <v>26</v>
      </c>
      <c r="H4462" s="15" t="n">
        <v>3</v>
      </c>
      <c r="I4462" s="17" t="n">
        <v>0.1</v>
      </c>
      <c r="J4462" s="18" t="n">
        <v>283.38</v>
      </c>
      <c r="K4462" s="19" t="n">
        <v>9.06</v>
      </c>
      <c r="L4462" s="15" t="n">
        <f aca="false">YEAR(B4462)</f>
        <v>2024</v>
      </c>
      <c r="M4462" s="20" t="n">
        <f aca="false">IF(J4462&gt;0,K4462/J4462,0)</f>
        <v>0.0319712047427483</v>
      </c>
    </row>
    <row r="4463" customFormat="false" ht="15" hidden="false" customHeight="false" outlineLevel="0" collapsed="false">
      <c r="A4463" s="15" t="s">
        <v>4520</v>
      </c>
      <c r="B4463" s="16" t="n">
        <v>45025</v>
      </c>
      <c r="C4463" s="15" t="s">
        <v>56</v>
      </c>
      <c r="D4463" s="15" t="s">
        <v>44</v>
      </c>
      <c r="E4463" s="15" t="s">
        <v>39</v>
      </c>
      <c r="F4463" s="15" t="s">
        <v>17</v>
      </c>
      <c r="G4463" s="15" t="s">
        <v>28</v>
      </c>
      <c r="H4463" s="15" t="n">
        <v>7</v>
      </c>
      <c r="I4463" s="17" t="n">
        <v>0.05</v>
      </c>
      <c r="J4463" s="18" t="n">
        <v>172.14</v>
      </c>
      <c r="K4463" s="19" t="n">
        <v>42.56</v>
      </c>
      <c r="L4463" s="15" t="n">
        <f aca="false">YEAR(B4463)</f>
        <v>2023</v>
      </c>
      <c r="M4463" s="20" t="n">
        <f aca="false">IF(J4463&gt;0,K4463/J4463,0)</f>
        <v>0.247240618101545</v>
      </c>
    </row>
    <row r="4464" customFormat="false" ht="15" hidden="false" customHeight="false" outlineLevel="0" collapsed="false">
      <c r="A4464" s="15" t="s">
        <v>4521</v>
      </c>
      <c r="B4464" s="16" t="n">
        <v>45808</v>
      </c>
      <c r="C4464" s="15" t="s">
        <v>56</v>
      </c>
      <c r="D4464" s="15" t="s">
        <v>44</v>
      </c>
      <c r="E4464" s="15" t="s">
        <v>36</v>
      </c>
      <c r="F4464" s="15" t="s">
        <v>18</v>
      </c>
      <c r="G4464" s="15" t="s">
        <v>30</v>
      </c>
      <c r="H4464" s="15" t="n">
        <v>6</v>
      </c>
      <c r="I4464" s="17" t="n">
        <v>0.2</v>
      </c>
      <c r="J4464" s="18" t="n">
        <v>188.44</v>
      </c>
      <c r="K4464" s="19" t="n">
        <v>21.91</v>
      </c>
      <c r="L4464" s="15" t="n">
        <f aca="false">YEAR(B4464)</f>
        <v>2025</v>
      </c>
      <c r="M4464" s="20" t="n">
        <f aca="false">IF(J4464&gt;0,K4464/J4464,0)</f>
        <v>0.116270430906389</v>
      </c>
    </row>
    <row r="4465" customFormat="false" ht="15" hidden="false" customHeight="false" outlineLevel="0" collapsed="false">
      <c r="A4465" s="15" t="s">
        <v>4522</v>
      </c>
      <c r="B4465" s="16" t="n">
        <v>45247</v>
      </c>
      <c r="C4465" s="15" t="s">
        <v>56</v>
      </c>
      <c r="D4465" s="15" t="s">
        <v>43</v>
      </c>
      <c r="E4465" s="15" t="s">
        <v>39</v>
      </c>
      <c r="F4465" s="15" t="s">
        <v>18</v>
      </c>
      <c r="G4465" s="15" t="s">
        <v>33</v>
      </c>
      <c r="H4465" s="15" t="n">
        <v>6</v>
      </c>
      <c r="I4465" s="17" t="n">
        <v>0</v>
      </c>
      <c r="J4465" s="18" t="n">
        <v>5759.58</v>
      </c>
      <c r="K4465" s="19" t="n">
        <v>1494.75</v>
      </c>
      <c r="L4465" s="15" t="n">
        <f aca="false">YEAR(B4465)</f>
        <v>2023</v>
      </c>
      <c r="M4465" s="20" t="n">
        <f aca="false">IF(J4465&gt;0,K4465/J4465,0)</f>
        <v>0.259524131967956</v>
      </c>
    </row>
    <row r="4466" customFormat="false" ht="15" hidden="false" customHeight="false" outlineLevel="0" collapsed="false">
      <c r="A4466" s="15" t="s">
        <v>4523</v>
      </c>
      <c r="B4466" s="16" t="n">
        <v>44912</v>
      </c>
      <c r="C4466" s="15" t="s">
        <v>58</v>
      </c>
      <c r="D4466" s="15" t="s">
        <v>42</v>
      </c>
      <c r="E4466" s="15" t="s">
        <v>36</v>
      </c>
      <c r="F4466" s="15" t="s">
        <v>16</v>
      </c>
      <c r="G4466" s="15" t="s">
        <v>23</v>
      </c>
      <c r="H4466" s="15" t="n">
        <v>4</v>
      </c>
      <c r="I4466" s="17" t="n">
        <v>0</v>
      </c>
      <c r="J4466" s="18" t="n">
        <v>1148.31</v>
      </c>
      <c r="K4466" s="19" t="n">
        <v>-54.16</v>
      </c>
      <c r="L4466" s="15" t="n">
        <f aca="false">YEAR(B4466)</f>
        <v>2022</v>
      </c>
      <c r="M4466" s="20" t="n">
        <f aca="false">IF(J4466&gt;0,K4466/J4466,0)</f>
        <v>-0.047164964164729</v>
      </c>
    </row>
    <row r="4467" customFormat="false" ht="15" hidden="false" customHeight="false" outlineLevel="0" collapsed="false">
      <c r="A4467" s="15" t="s">
        <v>4524</v>
      </c>
      <c r="B4467" s="16" t="n">
        <v>45639</v>
      </c>
      <c r="C4467" s="15" t="s">
        <v>56</v>
      </c>
      <c r="D4467" s="15" t="s">
        <v>43</v>
      </c>
      <c r="E4467" s="15" t="s">
        <v>38</v>
      </c>
      <c r="F4467" s="15" t="s">
        <v>18</v>
      </c>
      <c r="G4467" s="15" t="s">
        <v>24</v>
      </c>
      <c r="H4467" s="15" t="n">
        <v>6</v>
      </c>
      <c r="I4467" s="17" t="n">
        <v>0</v>
      </c>
      <c r="J4467" s="18" t="n">
        <v>3899.77</v>
      </c>
      <c r="K4467" s="19" t="n">
        <v>-32.1</v>
      </c>
      <c r="L4467" s="15" t="n">
        <f aca="false">YEAR(B4467)</f>
        <v>2024</v>
      </c>
      <c r="M4467" s="20" t="n">
        <f aca="false">IF(J4467&gt;0,K4467/J4467,0)</f>
        <v>-0.00823125466373658</v>
      </c>
    </row>
    <row r="4468" customFormat="false" ht="15" hidden="false" customHeight="false" outlineLevel="0" collapsed="false">
      <c r="A4468" s="15" t="s">
        <v>4525</v>
      </c>
      <c r="B4468" s="16" t="n">
        <v>44594</v>
      </c>
      <c r="C4468" s="15" t="s">
        <v>71</v>
      </c>
      <c r="D4468" s="15" t="s">
        <v>43</v>
      </c>
      <c r="E4468" s="15" t="s">
        <v>39</v>
      </c>
      <c r="F4468" s="15" t="s">
        <v>16</v>
      </c>
      <c r="G4468" s="15" t="s">
        <v>27</v>
      </c>
      <c r="H4468" s="15" t="n">
        <v>2</v>
      </c>
      <c r="I4468" s="17" t="n">
        <v>0</v>
      </c>
      <c r="J4468" s="18" t="n">
        <v>136.91</v>
      </c>
      <c r="K4468" s="19" t="n">
        <v>29.55</v>
      </c>
      <c r="L4468" s="15" t="n">
        <f aca="false">YEAR(B4468)</f>
        <v>2022</v>
      </c>
      <c r="M4468" s="20" t="n">
        <f aca="false">IF(J4468&gt;0,K4468/J4468,0)</f>
        <v>0.215835220217661</v>
      </c>
    </row>
    <row r="4469" customFormat="false" ht="15" hidden="false" customHeight="false" outlineLevel="0" collapsed="false">
      <c r="A4469" s="15" t="s">
        <v>4526</v>
      </c>
      <c r="B4469" s="16" t="n">
        <v>45889</v>
      </c>
      <c r="C4469" s="15" t="s">
        <v>56</v>
      </c>
      <c r="D4469" s="15" t="s">
        <v>42</v>
      </c>
      <c r="E4469" s="15" t="s">
        <v>37</v>
      </c>
      <c r="F4469" s="15" t="s">
        <v>17</v>
      </c>
      <c r="G4469" s="15" t="s">
        <v>26</v>
      </c>
      <c r="H4469" s="15" t="n">
        <v>4</v>
      </c>
      <c r="I4469" s="17" t="n">
        <v>0.3</v>
      </c>
      <c r="J4469" s="18" t="n">
        <v>192.79</v>
      </c>
      <c r="K4469" s="19" t="n">
        <v>-31.28</v>
      </c>
      <c r="L4469" s="15" t="n">
        <f aca="false">YEAR(B4469)</f>
        <v>2025</v>
      </c>
      <c r="M4469" s="20" t="n">
        <f aca="false">IF(J4469&gt;0,K4469/J4469,0)</f>
        <v>-0.162249079309093</v>
      </c>
    </row>
    <row r="4470" customFormat="false" ht="15" hidden="false" customHeight="false" outlineLevel="0" collapsed="false">
      <c r="A4470" s="15" t="s">
        <v>4527</v>
      </c>
      <c r="B4470" s="16" t="n">
        <v>45673</v>
      </c>
      <c r="C4470" s="15" t="s">
        <v>56</v>
      </c>
      <c r="D4470" s="15" t="s">
        <v>44</v>
      </c>
      <c r="E4470" s="15" t="s">
        <v>36</v>
      </c>
      <c r="F4470" s="15" t="s">
        <v>17</v>
      </c>
      <c r="G4470" s="15" t="s">
        <v>29</v>
      </c>
      <c r="H4470" s="15" t="n">
        <v>4</v>
      </c>
      <c r="I4470" s="17" t="n">
        <v>0</v>
      </c>
      <c r="J4470" s="18" t="n">
        <v>59.61</v>
      </c>
      <c r="K4470" s="19" t="n">
        <v>24.57</v>
      </c>
      <c r="L4470" s="15" t="n">
        <f aca="false">YEAR(B4470)</f>
        <v>2025</v>
      </c>
      <c r="M4470" s="20" t="n">
        <f aca="false">IF(J4470&gt;0,K4470/J4470,0)</f>
        <v>0.412179164569703</v>
      </c>
    </row>
    <row r="4471" customFormat="false" ht="15" hidden="false" customHeight="false" outlineLevel="0" collapsed="false">
      <c r="A4471" s="15" t="s">
        <v>4528</v>
      </c>
      <c r="B4471" s="16" t="n">
        <v>44686</v>
      </c>
      <c r="C4471" s="15" t="s">
        <v>56</v>
      </c>
      <c r="D4471" s="15" t="s">
        <v>43</v>
      </c>
      <c r="E4471" s="15" t="s">
        <v>38</v>
      </c>
      <c r="F4471" s="15" t="s">
        <v>17</v>
      </c>
      <c r="G4471" s="15" t="s">
        <v>31</v>
      </c>
      <c r="H4471" s="15" t="n">
        <v>3</v>
      </c>
      <c r="I4471" s="17" t="n">
        <v>0.2</v>
      </c>
      <c r="J4471" s="18" t="n">
        <v>287.46</v>
      </c>
      <c r="K4471" s="19" t="n">
        <v>-10.65</v>
      </c>
      <c r="L4471" s="15" t="n">
        <f aca="false">YEAR(B4471)</f>
        <v>2022</v>
      </c>
      <c r="M4471" s="20" t="n">
        <f aca="false">IF(J4471&gt;0,K4471/J4471,0)</f>
        <v>-0.0370486328532665</v>
      </c>
    </row>
    <row r="4472" customFormat="false" ht="15" hidden="false" customHeight="false" outlineLevel="0" collapsed="false">
      <c r="A4472" s="15" t="s">
        <v>4529</v>
      </c>
      <c r="B4472" s="16" t="n">
        <v>44737</v>
      </c>
      <c r="C4472" s="15" t="s">
        <v>71</v>
      </c>
      <c r="D4472" s="15" t="s">
        <v>43</v>
      </c>
      <c r="E4472" s="15" t="s">
        <v>38</v>
      </c>
      <c r="F4472" s="15" t="s">
        <v>17</v>
      </c>
      <c r="G4472" s="15" t="s">
        <v>29</v>
      </c>
      <c r="H4472" s="15" t="n">
        <v>2</v>
      </c>
      <c r="I4472" s="17" t="n">
        <v>0</v>
      </c>
      <c r="J4472" s="18" t="n">
        <v>31.03</v>
      </c>
      <c r="K4472" s="19" t="n">
        <v>12.51</v>
      </c>
      <c r="L4472" s="15" t="n">
        <f aca="false">YEAR(B4472)</f>
        <v>2022</v>
      </c>
      <c r="M4472" s="20" t="n">
        <f aca="false">IF(J4472&gt;0,K4472/J4472,0)</f>
        <v>0.403158233967129</v>
      </c>
    </row>
    <row r="4473" customFormat="false" ht="15" hidden="false" customHeight="false" outlineLevel="0" collapsed="false">
      <c r="A4473" s="15" t="s">
        <v>4530</v>
      </c>
      <c r="B4473" s="16" t="n">
        <v>45598</v>
      </c>
      <c r="C4473" s="15" t="s">
        <v>58</v>
      </c>
      <c r="D4473" s="15" t="s">
        <v>42</v>
      </c>
      <c r="E4473" s="15" t="s">
        <v>39</v>
      </c>
      <c r="F4473" s="15" t="s">
        <v>17</v>
      </c>
      <c r="G4473" s="15" t="s">
        <v>26</v>
      </c>
      <c r="H4473" s="15" t="n">
        <v>5</v>
      </c>
      <c r="I4473" s="17" t="n">
        <v>0</v>
      </c>
      <c r="J4473" s="18" t="n">
        <v>409.61</v>
      </c>
      <c r="K4473" s="19" t="n">
        <v>69.02</v>
      </c>
      <c r="L4473" s="15" t="n">
        <f aca="false">YEAR(B4473)</f>
        <v>2024</v>
      </c>
      <c r="M4473" s="20" t="n">
        <f aca="false">IF(J4473&gt;0,K4473/J4473,0)</f>
        <v>0.168501745562852</v>
      </c>
    </row>
    <row r="4474" customFormat="false" ht="15" hidden="false" customHeight="false" outlineLevel="0" collapsed="false">
      <c r="A4474" s="15" t="s">
        <v>4531</v>
      </c>
      <c r="B4474" s="16" t="n">
        <v>45170</v>
      </c>
      <c r="C4474" s="15" t="s">
        <v>71</v>
      </c>
      <c r="D4474" s="15" t="s">
        <v>43</v>
      </c>
      <c r="E4474" s="15" t="s">
        <v>37</v>
      </c>
      <c r="F4474" s="15" t="s">
        <v>17</v>
      </c>
      <c r="G4474" s="15" t="s">
        <v>28</v>
      </c>
      <c r="H4474" s="15" t="n">
        <v>2</v>
      </c>
      <c r="I4474" s="17" t="n">
        <v>0</v>
      </c>
      <c r="J4474" s="18" t="n">
        <v>56.5</v>
      </c>
      <c r="K4474" s="19" t="n">
        <v>16.72</v>
      </c>
      <c r="L4474" s="15" t="n">
        <f aca="false">YEAR(B4474)</f>
        <v>2023</v>
      </c>
      <c r="M4474" s="20" t="n">
        <f aca="false">IF(J4474&gt;0,K4474/J4474,0)</f>
        <v>0.295929203539823</v>
      </c>
    </row>
    <row r="4475" customFormat="false" ht="15" hidden="false" customHeight="false" outlineLevel="0" collapsed="false">
      <c r="A4475" s="15" t="s">
        <v>4532</v>
      </c>
      <c r="B4475" s="16" t="n">
        <v>45604</v>
      </c>
      <c r="C4475" s="15" t="s">
        <v>56</v>
      </c>
      <c r="D4475" s="15" t="s">
        <v>43</v>
      </c>
      <c r="E4475" s="15" t="s">
        <v>36</v>
      </c>
      <c r="F4475" s="15" t="s">
        <v>18</v>
      </c>
      <c r="G4475" s="15" t="s">
        <v>30</v>
      </c>
      <c r="H4475" s="15" t="n">
        <v>4</v>
      </c>
      <c r="I4475" s="17" t="n">
        <v>0.05</v>
      </c>
      <c r="J4475" s="18" t="n">
        <v>171.99</v>
      </c>
      <c r="K4475" s="19" t="n">
        <v>44.11</v>
      </c>
      <c r="L4475" s="15" t="n">
        <f aca="false">YEAR(B4475)</f>
        <v>2024</v>
      </c>
      <c r="M4475" s="20" t="n">
        <f aca="false">IF(J4475&gt;0,K4475/J4475,0)</f>
        <v>0.256468399325542</v>
      </c>
    </row>
    <row r="4476" customFormat="false" ht="15" hidden="false" customHeight="false" outlineLevel="0" collapsed="false">
      <c r="A4476" s="15" t="s">
        <v>4533</v>
      </c>
      <c r="B4476" s="16" t="n">
        <v>45608</v>
      </c>
      <c r="C4476" s="15" t="s">
        <v>71</v>
      </c>
      <c r="D4476" s="15" t="s">
        <v>43</v>
      </c>
      <c r="E4476" s="15" t="s">
        <v>37</v>
      </c>
      <c r="F4476" s="15" t="s">
        <v>17</v>
      </c>
      <c r="G4476" s="15" t="s">
        <v>29</v>
      </c>
      <c r="H4476" s="15" t="n">
        <v>3</v>
      </c>
      <c r="I4476" s="17" t="n">
        <v>0</v>
      </c>
      <c r="J4476" s="18" t="n">
        <v>50.98</v>
      </c>
      <c r="K4476" s="19" t="n">
        <v>18.63</v>
      </c>
      <c r="L4476" s="15" t="n">
        <f aca="false">YEAR(B4476)</f>
        <v>2024</v>
      </c>
      <c r="M4476" s="20" t="n">
        <f aca="false">IF(J4476&gt;0,K4476/J4476,0)</f>
        <v>0.365437426441742</v>
      </c>
    </row>
    <row r="4477" customFormat="false" ht="15" hidden="false" customHeight="false" outlineLevel="0" collapsed="false">
      <c r="A4477" s="15" t="s">
        <v>4534</v>
      </c>
      <c r="B4477" s="16" t="n">
        <v>44707</v>
      </c>
      <c r="C4477" s="15" t="s">
        <v>56</v>
      </c>
      <c r="D4477" s="15" t="s">
        <v>42</v>
      </c>
      <c r="E4477" s="15" t="s">
        <v>39</v>
      </c>
      <c r="F4477" s="15" t="s">
        <v>18</v>
      </c>
      <c r="G4477" s="15" t="s">
        <v>30</v>
      </c>
      <c r="H4477" s="15" t="n">
        <v>2</v>
      </c>
      <c r="I4477" s="17" t="n">
        <v>0</v>
      </c>
      <c r="J4477" s="18" t="n">
        <v>97.61</v>
      </c>
      <c r="K4477" s="19" t="n">
        <v>29.77</v>
      </c>
      <c r="L4477" s="15" t="n">
        <f aca="false">YEAR(B4477)</f>
        <v>2022</v>
      </c>
      <c r="M4477" s="20" t="n">
        <f aca="false">IF(J4477&gt;0,K4477/J4477,0)</f>
        <v>0.30498924290544</v>
      </c>
    </row>
    <row r="4478" customFormat="false" ht="15" hidden="false" customHeight="false" outlineLevel="0" collapsed="false">
      <c r="A4478" s="15" t="s">
        <v>4535</v>
      </c>
      <c r="B4478" s="16" t="n">
        <v>45940</v>
      </c>
      <c r="C4478" s="15" t="s">
        <v>71</v>
      </c>
      <c r="D4478" s="15" t="s">
        <v>43</v>
      </c>
      <c r="E4478" s="15" t="s">
        <v>36</v>
      </c>
      <c r="F4478" s="15" t="s">
        <v>17</v>
      </c>
      <c r="G4478" s="15" t="s">
        <v>29</v>
      </c>
      <c r="H4478" s="15" t="n">
        <v>4</v>
      </c>
      <c r="I4478" s="17" t="n">
        <v>0.05</v>
      </c>
      <c r="J4478" s="18" t="n">
        <v>77.77</v>
      </c>
      <c r="K4478" s="19" t="n">
        <v>30.49</v>
      </c>
      <c r="L4478" s="15" t="n">
        <f aca="false">YEAR(B4478)</f>
        <v>2025</v>
      </c>
      <c r="M4478" s="20" t="n">
        <f aca="false">IF(J4478&gt;0,K4478/J4478,0)</f>
        <v>0.392053491063392</v>
      </c>
    </row>
    <row r="4479" customFormat="false" ht="15" hidden="false" customHeight="false" outlineLevel="0" collapsed="false">
      <c r="A4479" s="15" t="s">
        <v>4536</v>
      </c>
      <c r="B4479" s="16" t="n">
        <v>45470</v>
      </c>
      <c r="C4479" s="15" t="s">
        <v>56</v>
      </c>
      <c r="D4479" s="15" t="s">
        <v>42</v>
      </c>
      <c r="E4479" s="15" t="s">
        <v>38</v>
      </c>
      <c r="F4479" s="15" t="s">
        <v>17</v>
      </c>
      <c r="G4479" s="15" t="s">
        <v>26</v>
      </c>
      <c r="H4479" s="15" t="n">
        <v>4</v>
      </c>
      <c r="I4479" s="17" t="n">
        <v>0</v>
      </c>
      <c r="J4479" s="18" t="n">
        <v>318.62</v>
      </c>
      <c r="K4479" s="19" t="n">
        <v>28.21</v>
      </c>
      <c r="L4479" s="15" t="n">
        <f aca="false">YEAR(B4479)</f>
        <v>2024</v>
      </c>
      <c r="M4479" s="20" t="n">
        <f aca="false">IF(J4479&gt;0,K4479/J4479,0)</f>
        <v>0.0885380704287239</v>
      </c>
    </row>
    <row r="4480" customFormat="false" ht="15" hidden="false" customHeight="false" outlineLevel="0" collapsed="false">
      <c r="A4480" s="15" t="s">
        <v>4537</v>
      </c>
      <c r="B4480" s="16" t="n">
        <v>44900</v>
      </c>
      <c r="C4480" s="15" t="s">
        <v>68</v>
      </c>
      <c r="D4480" s="15" t="s">
        <v>42</v>
      </c>
      <c r="E4480" s="15" t="s">
        <v>39</v>
      </c>
      <c r="F4480" s="15" t="s">
        <v>17</v>
      </c>
      <c r="G4480" s="15" t="s">
        <v>26</v>
      </c>
      <c r="H4480" s="15" t="n">
        <v>3</v>
      </c>
      <c r="I4480" s="17" t="n">
        <v>0.15</v>
      </c>
      <c r="J4480" s="18" t="n">
        <v>201.66</v>
      </c>
      <c r="K4480" s="19" t="n">
        <v>5.52</v>
      </c>
      <c r="L4480" s="15" t="n">
        <f aca="false">YEAR(B4480)</f>
        <v>2022</v>
      </c>
      <c r="M4480" s="20" t="n">
        <f aca="false">IF(J4480&gt;0,K4480/J4480,0)</f>
        <v>0.0273728057125855</v>
      </c>
    </row>
    <row r="4481" customFormat="false" ht="15" hidden="false" customHeight="false" outlineLevel="0" collapsed="false">
      <c r="A4481" s="15" t="s">
        <v>4538</v>
      </c>
      <c r="B4481" s="16" t="n">
        <v>45567</v>
      </c>
      <c r="C4481" s="15" t="s">
        <v>56</v>
      </c>
      <c r="D4481" s="15" t="s">
        <v>42</v>
      </c>
      <c r="E4481" s="15" t="s">
        <v>39</v>
      </c>
      <c r="F4481" s="15" t="s">
        <v>17</v>
      </c>
      <c r="G4481" s="15" t="s">
        <v>28</v>
      </c>
      <c r="H4481" s="15" t="n">
        <v>5</v>
      </c>
      <c r="I4481" s="17" t="n">
        <v>0.3</v>
      </c>
      <c r="J4481" s="18" t="n">
        <v>86.33</v>
      </c>
      <c r="K4481" s="19" t="n">
        <v>2.64</v>
      </c>
      <c r="L4481" s="15" t="n">
        <f aca="false">YEAR(B4481)</f>
        <v>2024</v>
      </c>
      <c r="M4481" s="20" t="n">
        <f aca="false">IF(J4481&gt;0,K4481/J4481,0)</f>
        <v>0.0305803312869223</v>
      </c>
    </row>
    <row r="4482" customFormat="false" ht="15" hidden="false" customHeight="false" outlineLevel="0" collapsed="false">
      <c r="A4482" s="15" t="s">
        <v>4539</v>
      </c>
      <c r="B4482" s="16" t="n">
        <v>45099</v>
      </c>
      <c r="C4482" s="15" t="s">
        <v>56</v>
      </c>
      <c r="D4482" s="15" t="s">
        <v>44</v>
      </c>
      <c r="E4482" s="15" t="s">
        <v>38</v>
      </c>
      <c r="F4482" s="15" t="s">
        <v>16</v>
      </c>
      <c r="G4482" s="15" t="s">
        <v>27</v>
      </c>
      <c r="H4482" s="15" t="n">
        <v>5</v>
      </c>
      <c r="I4482" s="17" t="n">
        <v>0</v>
      </c>
      <c r="J4482" s="18" t="n">
        <v>252.49</v>
      </c>
      <c r="K4482" s="19" t="n">
        <v>63.54</v>
      </c>
      <c r="L4482" s="15" t="n">
        <f aca="false">YEAR(B4482)</f>
        <v>2023</v>
      </c>
      <c r="M4482" s="20" t="n">
        <f aca="false">IF(J4482&gt;0,K4482/J4482,0)</f>
        <v>0.251653530832904</v>
      </c>
    </row>
    <row r="4483" customFormat="false" ht="15" hidden="false" customHeight="false" outlineLevel="0" collapsed="false">
      <c r="A4483" s="15" t="s">
        <v>4540</v>
      </c>
      <c r="B4483" s="16" t="n">
        <v>45616</v>
      </c>
      <c r="C4483" s="15" t="s">
        <v>58</v>
      </c>
      <c r="D4483" s="15" t="s">
        <v>42</v>
      </c>
      <c r="E4483" s="15" t="s">
        <v>36</v>
      </c>
      <c r="F4483" s="15" t="s">
        <v>16</v>
      </c>
      <c r="G4483" s="15" t="s">
        <v>27</v>
      </c>
      <c r="H4483" s="15" t="n">
        <v>2</v>
      </c>
      <c r="I4483" s="17" t="n">
        <v>0</v>
      </c>
      <c r="J4483" s="18" t="n">
        <v>125.14</v>
      </c>
      <c r="K4483" s="19" t="n">
        <v>20.5</v>
      </c>
      <c r="L4483" s="15" t="n">
        <f aca="false">YEAR(B4483)</f>
        <v>2024</v>
      </c>
      <c r="M4483" s="20" t="n">
        <f aca="false">IF(J4483&gt;0,K4483/J4483,0)</f>
        <v>0.16381652549145</v>
      </c>
    </row>
    <row r="4484" customFormat="false" ht="15" hidden="false" customHeight="false" outlineLevel="0" collapsed="false">
      <c r="A4484" s="15" t="s">
        <v>4541</v>
      </c>
      <c r="B4484" s="16" t="n">
        <v>44908</v>
      </c>
      <c r="C4484" s="15" t="s">
        <v>71</v>
      </c>
      <c r="D4484" s="15" t="s">
        <v>42</v>
      </c>
      <c r="E4484" s="15" t="s">
        <v>39</v>
      </c>
      <c r="F4484" s="15" t="s">
        <v>17</v>
      </c>
      <c r="G4484" s="15" t="s">
        <v>29</v>
      </c>
      <c r="H4484" s="15" t="n">
        <v>5</v>
      </c>
      <c r="I4484" s="17" t="n">
        <v>0.05</v>
      </c>
      <c r="J4484" s="18" t="n">
        <v>91.59</v>
      </c>
      <c r="K4484" s="19" t="n">
        <v>28.34</v>
      </c>
      <c r="L4484" s="15" t="n">
        <f aca="false">YEAR(B4484)</f>
        <v>2022</v>
      </c>
      <c r="M4484" s="20" t="n">
        <f aca="false">IF(J4484&gt;0,K4484/J4484,0)</f>
        <v>0.309422426029042</v>
      </c>
    </row>
    <row r="4485" customFormat="false" ht="15" hidden="false" customHeight="false" outlineLevel="0" collapsed="false">
      <c r="A4485" s="15" t="s">
        <v>4542</v>
      </c>
      <c r="B4485" s="16" t="n">
        <v>45908</v>
      </c>
      <c r="C4485" s="15" t="s">
        <v>56</v>
      </c>
      <c r="D4485" s="15" t="s">
        <v>42</v>
      </c>
      <c r="E4485" s="15" t="s">
        <v>39</v>
      </c>
      <c r="F4485" s="15" t="s">
        <v>18</v>
      </c>
      <c r="G4485" s="15" t="s">
        <v>30</v>
      </c>
      <c r="H4485" s="15" t="n">
        <v>3</v>
      </c>
      <c r="I4485" s="17" t="n">
        <v>0</v>
      </c>
      <c r="J4485" s="18" t="n">
        <v>117.86</v>
      </c>
      <c r="K4485" s="19" t="n">
        <v>30.74</v>
      </c>
      <c r="L4485" s="15" t="n">
        <f aca="false">YEAR(B4485)</f>
        <v>2025</v>
      </c>
      <c r="M4485" s="20" t="n">
        <f aca="false">IF(J4485&gt;0,K4485/J4485,0)</f>
        <v>0.260817919565586</v>
      </c>
    </row>
    <row r="4486" customFormat="false" ht="15" hidden="false" customHeight="false" outlineLevel="0" collapsed="false">
      <c r="A4486" s="15" t="s">
        <v>4543</v>
      </c>
      <c r="B4486" s="16" t="n">
        <v>45739</v>
      </c>
      <c r="C4486" s="15" t="s">
        <v>56</v>
      </c>
      <c r="D4486" s="15" t="s">
        <v>43</v>
      </c>
      <c r="E4486" s="15" t="s">
        <v>39</v>
      </c>
      <c r="F4486" s="15" t="s">
        <v>17</v>
      </c>
      <c r="G4486" s="15" t="s">
        <v>26</v>
      </c>
      <c r="H4486" s="15" t="n">
        <v>6</v>
      </c>
      <c r="I4486" s="17" t="n">
        <v>0</v>
      </c>
      <c r="J4486" s="18" t="n">
        <v>597.51</v>
      </c>
      <c r="K4486" s="19" t="n">
        <v>44.38</v>
      </c>
      <c r="L4486" s="15" t="n">
        <f aca="false">YEAR(B4486)</f>
        <v>2025</v>
      </c>
      <c r="M4486" s="20" t="n">
        <f aca="false">IF(J4486&gt;0,K4486/J4486,0)</f>
        <v>0.0742749075329283</v>
      </c>
    </row>
    <row r="4487" customFormat="false" ht="15" hidden="false" customHeight="false" outlineLevel="0" collapsed="false">
      <c r="A4487" s="15" t="s">
        <v>4544</v>
      </c>
      <c r="B4487" s="16" t="n">
        <v>45446</v>
      </c>
      <c r="C4487" s="15" t="s">
        <v>56</v>
      </c>
      <c r="D4487" s="15" t="s">
        <v>44</v>
      </c>
      <c r="E4487" s="15" t="s">
        <v>36</v>
      </c>
      <c r="F4487" s="15" t="s">
        <v>17</v>
      </c>
      <c r="G4487" s="15" t="s">
        <v>29</v>
      </c>
      <c r="H4487" s="15" t="n">
        <v>3</v>
      </c>
      <c r="I4487" s="17" t="n">
        <v>0</v>
      </c>
      <c r="J4487" s="18" t="n">
        <v>37.09</v>
      </c>
      <c r="K4487" s="19" t="n">
        <v>14.38</v>
      </c>
      <c r="L4487" s="15" t="n">
        <f aca="false">YEAR(B4487)</f>
        <v>2024</v>
      </c>
      <c r="M4487" s="20" t="n">
        <f aca="false">IF(J4487&gt;0,K4487/J4487,0)</f>
        <v>0.387705581019143</v>
      </c>
    </row>
    <row r="4488" customFormat="false" ht="15" hidden="false" customHeight="false" outlineLevel="0" collapsed="false">
      <c r="A4488" s="15" t="s">
        <v>4545</v>
      </c>
      <c r="B4488" s="16" t="n">
        <v>45144</v>
      </c>
      <c r="C4488" s="15" t="s">
        <v>56</v>
      </c>
      <c r="D4488" s="15" t="s">
        <v>44</v>
      </c>
      <c r="E4488" s="15" t="s">
        <v>38</v>
      </c>
      <c r="F4488" s="15" t="s">
        <v>18</v>
      </c>
      <c r="G4488" s="15" t="s">
        <v>24</v>
      </c>
      <c r="H4488" s="15" t="n">
        <v>4</v>
      </c>
      <c r="I4488" s="17" t="n">
        <v>0</v>
      </c>
      <c r="J4488" s="18" t="n">
        <v>2880.49</v>
      </c>
      <c r="K4488" s="19" t="n">
        <v>135.55</v>
      </c>
      <c r="L4488" s="15" t="n">
        <f aca="false">YEAR(B4488)</f>
        <v>2023</v>
      </c>
      <c r="M4488" s="20" t="n">
        <f aca="false">IF(J4488&gt;0,K4488/J4488,0)</f>
        <v>0.0470579658322022</v>
      </c>
    </row>
    <row r="4489" customFormat="false" ht="15" hidden="false" customHeight="false" outlineLevel="0" collapsed="false">
      <c r="A4489" s="15" t="s">
        <v>4546</v>
      </c>
      <c r="B4489" s="16" t="n">
        <v>45964</v>
      </c>
      <c r="C4489" s="15" t="s">
        <v>56</v>
      </c>
      <c r="D4489" s="15" t="s">
        <v>43</v>
      </c>
      <c r="E4489" s="15" t="s">
        <v>36</v>
      </c>
      <c r="F4489" s="15" t="s">
        <v>17</v>
      </c>
      <c r="G4489" s="15" t="s">
        <v>28</v>
      </c>
      <c r="H4489" s="15" t="n">
        <v>1</v>
      </c>
      <c r="I4489" s="17" t="n">
        <v>0</v>
      </c>
      <c r="J4489" s="18" t="n">
        <v>26.3</v>
      </c>
      <c r="K4489" s="19" t="n">
        <v>8.93</v>
      </c>
      <c r="L4489" s="15" t="n">
        <f aca="false">YEAR(B4489)</f>
        <v>2025</v>
      </c>
      <c r="M4489" s="20" t="n">
        <f aca="false">IF(J4489&gt;0,K4489/J4489,0)</f>
        <v>0.339543726235741</v>
      </c>
    </row>
    <row r="4490" customFormat="false" ht="15" hidden="false" customHeight="false" outlineLevel="0" collapsed="false">
      <c r="A4490" s="15" t="s">
        <v>4547</v>
      </c>
      <c r="B4490" s="16" t="n">
        <v>44585</v>
      </c>
      <c r="C4490" s="15" t="s">
        <v>56</v>
      </c>
      <c r="D4490" s="15" t="s">
        <v>44</v>
      </c>
      <c r="E4490" s="15" t="s">
        <v>39</v>
      </c>
      <c r="F4490" s="15" t="s">
        <v>16</v>
      </c>
      <c r="G4490" s="15" t="s">
        <v>25</v>
      </c>
      <c r="H4490" s="15" t="n">
        <v>2</v>
      </c>
      <c r="I4490" s="17" t="n">
        <v>0.3</v>
      </c>
      <c r="J4490" s="18" t="n">
        <v>468.8</v>
      </c>
      <c r="K4490" s="19" t="n">
        <v>-105.36</v>
      </c>
      <c r="L4490" s="15" t="n">
        <f aca="false">YEAR(B4490)</f>
        <v>2022</v>
      </c>
      <c r="M4490" s="20" t="n">
        <f aca="false">IF(J4490&gt;0,K4490/J4490,0)</f>
        <v>-0.224744027303754</v>
      </c>
    </row>
    <row r="4491" customFormat="false" ht="15" hidden="false" customHeight="false" outlineLevel="0" collapsed="false">
      <c r="A4491" s="15" t="s">
        <v>4548</v>
      </c>
      <c r="B4491" s="16" t="n">
        <v>45029</v>
      </c>
      <c r="C4491" s="15" t="s">
        <v>56</v>
      </c>
      <c r="D4491" s="15" t="s">
        <v>42</v>
      </c>
      <c r="E4491" s="15" t="s">
        <v>38</v>
      </c>
      <c r="F4491" s="15" t="s">
        <v>18</v>
      </c>
      <c r="G4491" s="15" t="s">
        <v>32</v>
      </c>
      <c r="H4491" s="15" t="n">
        <v>1</v>
      </c>
      <c r="I4491" s="17" t="n">
        <v>0</v>
      </c>
      <c r="J4491" s="18" t="n">
        <v>470.73</v>
      </c>
      <c r="K4491" s="19" t="n">
        <v>71.9</v>
      </c>
      <c r="L4491" s="15" t="n">
        <f aca="false">YEAR(B4491)</f>
        <v>2023</v>
      </c>
      <c r="M4491" s="20" t="n">
        <f aca="false">IF(J4491&gt;0,K4491/J4491,0)</f>
        <v>0.152741486627154</v>
      </c>
    </row>
    <row r="4492" customFormat="false" ht="15" hidden="false" customHeight="false" outlineLevel="0" collapsed="false">
      <c r="A4492" s="15" t="s">
        <v>4549</v>
      </c>
      <c r="B4492" s="16" t="n">
        <v>45095</v>
      </c>
      <c r="C4492" s="15" t="s">
        <v>56</v>
      </c>
      <c r="D4492" s="15" t="s">
        <v>43</v>
      </c>
      <c r="E4492" s="15" t="s">
        <v>36</v>
      </c>
      <c r="F4492" s="15" t="s">
        <v>17</v>
      </c>
      <c r="G4492" s="15" t="s">
        <v>31</v>
      </c>
      <c r="H4492" s="15" t="n">
        <v>3</v>
      </c>
      <c r="I4492" s="17" t="n">
        <v>0</v>
      </c>
      <c r="J4492" s="18" t="n">
        <v>307.88</v>
      </c>
      <c r="K4492" s="19" t="n">
        <v>67.01</v>
      </c>
      <c r="L4492" s="15" t="n">
        <f aca="false">YEAR(B4492)</f>
        <v>2023</v>
      </c>
      <c r="M4492" s="20" t="n">
        <f aca="false">IF(J4492&gt;0,K4492/J4492,0)</f>
        <v>0.217649733662466</v>
      </c>
    </row>
    <row r="4493" customFormat="false" ht="15" hidden="false" customHeight="false" outlineLevel="0" collapsed="false">
      <c r="A4493" s="15" t="s">
        <v>4550</v>
      </c>
      <c r="B4493" s="16" t="n">
        <v>45907</v>
      </c>
      <c r="C4493" s="15" t="s">
        <v>56</v>
      </c>
      <c r="D4493" s="15" t="s">
        <v>42</v>
      </c>
      <c r="E4493" s="15" t="s">
        <v>38</v>
      </c>
      <c r="F4493" s="15" t="s">
        <v>18</v>
      </c>
      <c r="G4493" s="15" t="s">
        <v>30</v>
      </c>
      <c r="H4493" s="15" t="n">
        <v>2</v>
      </c>
      <c r="I4493" s="17" t="n">
        <v>0</v>
      </c>
      <c r="J4493" s="18" t="n">
        <v>69.26</v>
      </c>
      <c r="K4493" s="19" t="n">
        <v>23.43</v>
      </c>
      <c r="L4493" s="15" t="n">
        <f aca="false">YEAR(B4493)</f>
        <v>2025</v>
      </c>
      <c r="M4493" s="20" t="n">
        <f aca="false">IF(J4493&gt;0,K4493/J4493,0)</f>
        <v>0.33829049956685</v>
      </c>
    </row>
    <row r="4494" customFormat="false" ht="15" hidden="false" customHeight="false" outlineLevel="0" collapsed="false">
      <c r="A4494" s="15" t="s">
        <v>4551</v>
      </c>
      <c r="B4494" s="16" t="n">
        <v>45645</v>
      </c>
      <c r="C4494" s="15" t="s">
        <v>71</v>
      </c>
      <c r="D4494" s="15" t="s">
        <v>44</v>
      </c>
      <c r="E4494" s="15" t="s">
        <v>37</v>
      </c>
      <c r="F4494" s="15" t="s">
        <v>18</v>
      </c>
      <c r="G4494" s="15" t="s">
        <v>32</v>
      </c>
      <c r="H4494" s="15" t="n">
        <v>3</v>
      </c>
      <c r="I4494" s="17" t="n">
        <v>0.5</v>
      </c>
      <c r="J4494" s="18" t="n">
        <v>625.73</v>
      </c>
      <c r="K4494" s="19" t="n">
        <v>-167.36</v>
      </c>
      <c r="L4494" s="15" t="n">
        <f aca="false">YEAR(B4494)</f>
        <v>2024</v>
      </c>
      <c r="M4494" s="20" t="n">
        <f aca="false">IF(J4494&gt;0,K4494/J4494,0)</f>
        <v>-0.267463602512266</v>
      </c>
    </row>
    <row r="4495" customFormat="false" ht="15" hidden="false" customHeight="false" outlineLevel="0" collapsed="false">
      <c r="A4495" s="15" t="s">
        <v>4552</v>
      </c>
      <c r="B4495" s="16" t="n">
        <v>45080</v>
      </c>
      <c r="C4495" s="15" t="s">
        <v>56</v>
      </c>
      <c r="D4495" s="15" t="s">
        <v>42</v>
      </c>
      <c r="E4495" s="15" t="s">
        <v>37</v>
      </c>
      <c r="F4495" s="15" t="s">
        <v>16</v>
      </c>
      <c r="G4495" s="15" t="s">
        <v>27</v>
      </c>
      <c r="H4495" s="15" t="n">
        <v>4</v>
      </c>
      <c r="I4495" s="17" t="n">
        <v>0.3</v>
      </c>
      <c r="J4495" s="18" t="n">
        <v>155.12</v>
      </c>
      <c r="K4495" s="19" t="n">
        <v>2.9</v>
      </c>
      <c r="L4495" s="15" t="n">
        <f aca="false">YEAR(B4495)</f>
        <v>2023</v>
      </c>
      <c r="M4495" s="20" t="n">
        <f aca="false">IF(J4495&gt;0,K4495/J4495,0)</f>
        <v>0.0186952037132543</v>
      </c>
    </row>
    <row r="4496" customFormat="false" ht="15" hidden="false" customHeight="false" outlineLevel="0" collapsed="false">
      <c r="A4496" s="15" t="s">
        <v>4553</v>
      </c>
      <c r="B4496" s="16" t="n">
        <v>45639</v>
      </c>
      <c r="C4496" s="15" t="s">
        <v>58</v>
      </c>
      <c r="D4496" s="15" t="s">
        <v>42</v>
      </c>
      <c r="E4496" s="15" t="s">
        <v>37</v>
      </c>
      <c r="F4496" s="15" t="s">
        <v>17</v>
      </c>
      <c r="G4496" s="15" t="s">
        <v>29</v>
      </c>
      <c r="H4496" s="15" t="n">
        <v>3</v>
      </c>
      <c r="I4496" s="17" t="n">
        <v>0.15</v>
      </c>
      <c r="J4496" s="18" t="n">
        <v>47.52</v>
      </c>
      <c r="K4496" s="19" t="n">
        <v>14.01</v>
      </c>
      <c r="L4496" s="15" t="n">
        <f aca="false">YEAR(B4496)</f>
        <v>2024</v>
      </c>
      <c r="M4496" s="20" t="n">
        <f aca="false">IF(J4496&gt;0,K4496/J4496,0)</f>
        <v>0.294823232323232</v>
      </c>
    </row>
    <row r="4497" customFormat="false" ht="15" hidden="false" customHeight="false" outlineLevel="0" collapsed="false">
      <c r="A4497" s="15" t="s">
        <v>4554</v>
      </c>
      <c r="B4497" s="16" t="n">
        <v>44805</v>
      </c>
      <c r="C4497" s="15" t="s">
        <v>58</v>
      </c>
      <c r="D4497" s="15" t="s">
        <v>44</v>
      </c>
      <c r="E4497" s="15" t="s">
        <v>38</v>
      </c>
      <c r="F4497" s="15" t="s">
        <v>17</v>
      </c>
      <c r="G4497" s="15" t="s">
        <v>29</v>
      </c>
      <c r="H4497" s="15" t="n">
        <v>3</v>
      </c>
      <c r="I4497" s="17" t="n">
        <v>0.05</v>
      </c>
      <c r="J4497" s="18" t="n">
        <v>34.72</v>
      </c>
      <c r="K4497" s="19" t="n">
        <v>14.52</v>
      </c>
      <c r="L4497" s="15" t="n">
        <f aca="false">YEAR(B4497)</f>
        <v>2022</v>
      </c>
      <c r="M4497" s="20" t="n">
        <f aca="false">IF(J4497&gt;0,K4497/J4497,0)</f>
        <v>0.418202764976959</v>
      </c>
    </row>
    <row r="4498" customFormat="false" ht="15" hidden="false" customHeight="false" outlineLevel="0" collapsed="false">
      <c r="A4498" s="15" t="s">
        <v>4555</v>
      </c>
      <c r="B4498" s="16" t="n">
        <v>44601</v>
      </c>
      <c r="C4498" s="15" t="s">
        <v>56</v>
      </c>
      <c r="D4498" s="15" t="s">
        <v>42</v>
      </c>
      <c r="E4498" s="15" t="s">
        <v>39</v>
      </c>
      <c r="F4498" s="15" t="s">
        <v>17</v>
      </c>
      <c r="G4498" s="15" t="s">
        <v>28</v>
      </c>
      <c r="H4498" s="15" t="n">
        <v>7</v>
      </c>
      <c r="I4498" s="17" t="n">
        <v>0.2</v>
      </c>
      <c r="J4498" s="18" t="n">
        <v>140.89</v>
      </c>
      <c r="K4498" s="19" t="n">
        <v>24.09</v>
      </c>
      <c r="L4498" s="15" t="n">
        <f aca="false">YEAR(B4498)</f>
        <v>2022</v>
      </c>
      <c r="M4498" s="20" t="n">
        <f aca="false">IF(J4498&gt;0,K4498/J4498,0)</f>
        <v>0.170984455958549</v>
      </c>
    </row>
    <row r="4499" customFormat="false" ht="15" hidden="false" customHeight="false" outlineLevel="0" collapsed="false">
      <c r="A4499" s="15" t="s">
        <v>4556</v>
      </c>
      <c r="B4499" s="16" t="n">
        <v>45557</v>
      </c>
      <c r="C4499" s="15" t="s">
        <v>71</v>
      </c>
      <c r="D4499" s="15" t="s">
        <v>44</v>
      </c>
      <c r="E4499" s="15" t="s">
        <v>36</v>
      </c>
      <c r="F4499" s="15" t="s">
        <v>18</v>
      </c>
      <c r="G4499" s="15" t="s">
        <v>32</v>
      </c>
      <c r="H4499" s="15" t="n">
        <v>4</v>
      </c>
      <c r="I4499" s="17" t="n">
        <v>0</v>
      </c>
      <c r="J4499" s="18" t="n">
        <v>1528.2</v>
      </c>
      <c r="K4499" s="19" t="n">
        <v>281.94</v>
      </c>
      <c r="L4499" s="15" t="n">
        <f aca="false">YEAR(B4499)</f>
        <v>2024</v>
      </c>
      <c r="M4499" s="20" t="n">
        <f aca="false">IF(J4499&gt;0,K4499/J4499,0)</f>
        <v>0.184491558696506</v>
      </c>
    </row>
    <row r="4500" customFormat="false" ht="15" hidden="false" customHeight="false" outlineLevel="0" collapsed="false">
      <c r="A4500" s="15" t="s">
        <v>4557</v>
      </c>
      <c r="B4500" s="16" t="n">
        <v>45617</v>
      </c>
      <c r="C4500" s="15" t="s">
        <v>68</v>
      </c>
      <c r="D4500" s="15" t="s">
        <v>43</v>
      </c>
      <c r="E4500" s="15" t="s">
        <v>38</v>
      </c>
      <c r="F4500" s="15" t="s">
        <v>17</v>
      </c>
      <c r="G4500" s="15" t="s">
        <v>26</v>
      </c>
      <c r="H4500" s="15" t="n">
        <v>5</v>
      </c>
      <c r="I4500" s="17" t="n">
        <v>0.1</v>
      </c>
      <c r="J4500" s="18" t="n">
        <v>323.49</v>
      </c>
      <c r="K4500" s="19" t="n">
        <v>22.64</v>
      </c>
      <c r="L4500" s="15" t="n">
        <f aca="false">YEAR(B4500)</f>
        <v>2024</v>
      </c>
      <c r="M4500" s="20" t="n">
        <f aca="false">IF(J4500&gt;0,K4500/J4500,0)</f>
        <v>0.0699867074716375</v>
      </c>
    </row>
    <row r="4501" customFormat="false" ht="15" hidden="false" customHeight="false" outlineLevel="0" collapsed="false">
      <c r="A4501" s="15" t="s">
        <v>4558</v>
      </c>
      <c r="B4501" s="16" t="n">
        <v>45886</v>
      </c>
      <c r="C4501" s="15" t="s">
        <v>68</v>
      </c>
      <c r="D4501" s="15" t="s">
        <v>42</v>
      </c>
      <c r="E4501" s="15" t="s">
        <v>39</v>
      </c>
      <c r="F4501" s="15" t="s">
        <v>16</v>
      </c>
      <c r="G4501" s="15" t="s">
        <v>27</v>
      </c>
      <c r="H4501" s="15" t="n">
        <v>2</v>
      </c>
      <c r="I4501" s="17" t="n">
        <v>0</v>
      </c>
      <c r="J4501" s="18" t="n">
        <v>95.79</v>
      </c>
      <c r="K4501" s="19" t="n">
        <v>23.98</v>
      </c>
      <c r="L4501" s="15" t="n">
        <f aca="false">YEAR(B4501)</f>
        <v>2025</v>
      </c>
      <c r="M4501" s="20" t="n">
        <f aca="false">IF(J4501&gt;0,K4501/J4501,0)</f>
        <v>0.250339283850089</v>
      </c>
    </row>
    <row r="4502" customFormat="false" ht="15" hidden="false" customHeight="false" outlineLevel="0" collapsed="false">
      <c r="A4502" s="15" t="s">
        <v>4559</v>
      </c>
      <c r="B4502" s="16" t="n">
        <v>45377</v>
      </c>
      <c r="C4502" s="15" t="s">
        <v>56</v>
      </c>
      <c r="D4502" s="15" t="s">
        <v>42</v>
      </c>
      <c r="E4502" s="15" t="s">
        <v>37</v>
      </c>
      <c r="F4502" s="15" t="s">
        <v>18</v>
      </c>
      <c r="G4502" s="15" t="s">
        <v>33</v>
      </c>
      <c r="H4502" s="15" t="n">
        <v>2</v>
      </c>
      <c r="I4502" s="17" t="n">
        <v>0.2</v>
      </c>
      <c r="J4502" s="18" t="n">
        <v>1180.05</v>
      </c>
      <c r="K4502" s="19" t="n">
        <v>74</v>
      </c>
      <c r="L4502" s="15" t="n">
        <f aca="false">YEAR(B4502)</f>
        <v>2024</v>
      </c>
      <c r="M4502" s="20" t="n">
        <f aca="false">IF(J4502&gt;0,K4502/J4502,0)</f>
        <v>0.0627092072369815</v>
      </c>
    </row>
    <row r="4503" customFormat="false" ht="15" hidden="false" customHeight="false" outlineLevel="0" collapsed="false">
      <c r="A4503" s="15" t="s">
        <v>4560</v>
      </c>
      <c r="B4503" s="16" t="n">
        <v>44834</v>
      </c>
      <c r="C4503" s="15" t="s">
        <v>56</v>
      </c>
      <c r="D4503" s="15" t="s">
        <v>42</v>
      </c>
      <c r="E4503" s="15" t="s">
        <v>36</v>
      </c>
      <c r="F4503" s="15" t="s">
        <v>17</v>
      </c>
      <c r="G4503" s="15" t="s">
        <v>29</v>
      </c>
      <c r="H4503" s="15" t="n">
        <v>5</v>
      </c>
      <c r="I4503" s="17" t="n">
        <v>0.1</v>
      </c>
      <c r="J4503" s="18" t="n">
        <v>70.03</v>
      </c>
      <c r="K4503" s="19" t="n">
        <v>21.53</v>
      </c>
      <c r="L4503" s="15" t="n">
        <f aca="false">YEAR(B4503)</f>
        <v>2022</v>
      </c>
      <c r="M4503" s="20" t="n">
        <f aca="false">IF(J4503&gt;0,K4503/J4503,0)</f>
        <v>0.307439668713409</v>
      </c>
    </row>
    <row r="4504" customFormat="false" ht="15" hidden="false" customHeight="false" outlineLevel="0" collapsed="false">
      <c r="A4504" s="15" t="s">
        <v>4561</v>
      </c>
      <c r="B4504" s="16" t="n">
        <v>45984</v>
      </c>
      <c r="C4504" s="15" t="s">
        <v>58</v>
      </c>
      <c r="D4504" s="15" t="s">
        <v>42</v>
      </c>
      <c r="E4504" s="15" t="s">
        <v>39</v>
      </c>
      <c r="F4504" s="15" t="s">
        <v>18</v>
      </c>
      <c r="G4504" s="15" t="s">
        <v>30</v>
      </c>
      <c r="H4504" s="15" t="n">
        <v>5</v>
      </c>
      <c r="I4504" s="17" t="n">
        <v>0</v>
      </c>
      <c r="J4504" s="18" t="n">
        <v>215.47</v>
      </c>
      <c r="K4504" s="19" t="n">
        <v>52.67</v>
      </c>
      <c r="L4504" s="15" t="n">
        <f aca="false">YEAR(B4504)</f>
        <v>2025</v>
      </c>
      <c r="M4504" s="20" t="n">
        <f aca="false">IF(J4504&gt;0,K4504/J4504,0)</f>
        <v>0.244442381770084</v>
      </c>
    </row>
    <row r="4505" customFormat="false" ht="15" hidden="false" customHeight="false" outlineLevel="0" collapsed="false">
      <c r="A4505" s="15" t="s">
        <v>4562</v>
      </c>
      <c r="B4505" s="16" t="n">
        <v>45806</v>
      </c>
      <c r="C4505" s="15" t="s">
        <v>71</v>
      </c>
      <c r="D4505" s="15" t="s">
        <v>42</v>
      </c>
      <c r="E4505" s="15" t="s">
        <v>36</v>
      </c>
      <c r="F4505" s="15" t="s">
        <v>17</v>
      </c>
      <c r="G4505" s="15" t="s">
        <v>26</v>
      </c>
      <c r="H4505" s="15" t="n">
        <v>6</v>
      </c>
      <c r="I4505" s="17" t="n">
        <v>0</v>
      </c>
      <c r="J4505" s="18" t="n">
        <v>462.3</v>
      </c>
      <c r="K4505" s="19" t="n">
        <v>48.77</v>
      </c>
      <c r="L4505" s="15" t="n">
        <f aca="false">YEAR(B4505)</f>
        <v>2025</v>
      </c>
      <c r="M4505" s="20" t="n">
        <f aca="false">IF(J4505&gt;0,K4505/J4505,0)</f>
        <v>0.105494267791477</v>
      </c>
    </row>
    <row r="4506" customFormat="false" ht="15" hidden="false" customHeight="false" outlineLevel="0" collapsed="false">
      <c r="A4506" s="15" t="s">
        <v>4563</v>
      </c>
      <c r="B4506" s="16" t="n">
        <v>44701</v>
      </c>
      <c r="C4506" s="15" t="s">
        <v>56</v>
      </c>
      <c r="D4506" s="15" t="s">
        <v>43</v>
      </c>
      <c r="E4506" s="15" t="s">
        <v>36</v>
      </c>
      <c r="F4506" s="15" t="s">
        <v>16</v>
      </c>
      <c r="G4506" s="15" t="s">
        <v>25</v>
      </c>
      <c r="H4506" s="15" t="n">
        <v>3</v>
      </c>
      <c r="I4506" s="17" t="n">
        <v>0.05</v>
      </c>
      <c r="J4506" s="18" t="n">
        <v>959.73</v>
      </c>
      <c r="K4506" s="19" t="n">
        <v>-15.71</v>
      </c>
      <c r="L4506" s="15" t="n">
        <f aca="false">YEAR(B4506)</f>
        <v>2022</v>
      </c>
      <c r="M4506" s="20" t="n">
        <f aca="false">IF(J4506&gt;0,K4506/J4506,0)</f>
        <v>-0.0163691871672241</v>
      </c>
    </row>
    <row r="4507" customFormat="false" ht="15" hidden="false" customHeight="false" outlineLevel="0" collapsed="false">
      <c r="A4507" s="15" t="s">
        <v>4564</v>
      </c>
      <c r="B4507" s="16" t="n">
        <v>45652</v>
      </c>
      <c r="C4507" s="15" t="s">
        <v>56</v>
      </c>
      <c r="D4507" s="15" t="s">
        <v>42</v>
      </c>
      <c r="E4507" s="15" t="s">
        <v>36</v>
      </c>
      <c r="F4507" s="15" t="s">
        <v>16</v>
      </c>
      <c r="G4507" s="15" t="s">
        <v>22</v>
      </c>
      <c r="H4507" s="15" t="n">
        <v>2</v>
      </c>
      <c r="I4507" s="17" t="n">
        <v>0.1</v>
      </c>
      <c r="J4507" s="18" t="n">
        <v>939.39</v>
      </c>
      <c r="K4507" s="19" t="n">
        <v>-103.18</v>
      </c>
      <c r="L4507" s="15" t="n">
        <f aca="false">YEAR(B4507)</f>
        <v>2024</v>
      </c>
      <c r="M4507" s="20" t="n">
        <f aca="false">IF(J4507&gt;0,K4507/J4507,0)</f>
        <v>-0.109837234801307</v>
      </c>
    </row>
    <row r="4508" customFormat="false" ht="15" hidden="false" customHeight="false" outlineLevel="0" collapsed="false">
      <c r="A4508" s="15" t="s">
        <v>4565</v>
      </c>
      <c r="B4508" s="16" t="n">
        <v>45284</v>
      </c>
      <c r="C4508" s="15" t="s">
        <v>71</v>
      </c>
      <c r="D4508" s="15" t="s">
        <v>43</v>
      </c>
      <c r="E4508" s="15" t="s">
        <v>39</v>
      </c>
      <c r="F4508" s="15" t="s">
        <v>18</v>
      </c>
      <c r="G4508" s="15" t="s">
        <v>32</v>
      </c>
      <c r="H4508" s="15" t="n">
        <v>3</v>
      </c>
      <c r="I4508" s="17" t="n">
        <v>0.05</v>
      </c>
      <c r="J4508" s="18" t="n">
        <v>1427.24</v>
      </c>
      <c r="K4508" s="19" t="n">
        <v>125.5</v>
      </c>
      <c r="L4508" s="15" t="n">
        <f aca="false">YEAR(B4508)</f>
        <v>2023</v>
      </c>
      <c r="M4508" s="20" t="n">
        <f aca="false">IF(J4508&gt;0,K4508/J4508,0)</f>
        <v>0.0879319525798044</v>
      </c>
    </row>
    <row r="4509" customFormat="false" ht="15" hidden="false" customHeight="false" outlineLevel="0" collapsed="false">
      <c r="A4509" s="15" t="s">
        <v>4566</v>
      </c>
      <c r="B4509" s="16" t="n">
        <v>45464</v>
      </c>
      <c r="C4509" s="15" t="s">
        <v>56</v>
      </c>
      <c r="D4509" s="15" t="s">
        <v>44</v>
      </c>
      <c r="E4509" s="15" t="s">
        <v>39</v>
      </c>
      <c r="F4509" s="15" t="s">
        <v>17</v>
      </c>
      <c r="G4509" s="15" t="s">
        <v>31</v>
      </c>
      <c r="H4509" s="15" t="n">
        <v>3</v>
      </c>
      <c r="I4509" s="17" t="n">
        <v>0</v>
      </c>
      <c r="J4509" s="18" t="n">
        <v>396.96</v>
      </c>
      <c r="K4509" s="19" t="n">
        <v>71.82</v>
      </c>
      <c r="L4509" s="15" t="n">
        <f aca="false">YEAR(B4509)</f>
        <v>2024</v>
      </c>
      <c r="M4509" s="20" t="n">
        <f aca="false">IF(J4509&gt;0,K4509/J4509,0)</f>
        <v>0.180925030229746</v>
      </c>
    </row>
    <row r="4510" customFormat="false" ht="15" hidden="false" customHeight="false" outlineLevel="0" collapsed="false">
      <c r="A4510" s="15" t="s">
        <v>4567</v>
      </c>
      <c r="B4510" s="16" t="n">
        <v>45967</v>
      </c>
      <c r="C4510" s="15" t="s">
        <v>56</v>
      </c>
      <c r="D4510" s="15" t="s">
        <v>42</v>
      </c>
      <c r="E4510" s="15" t="s">
        <v>36</v>
      </c>
      <c r="F4510" s="15" t="s">
        <v>17</v>
      </c>
      <c r="G4510" s="15" t="s">
        <v>28</v>
      </c>
      <c r="H4510" s="15" t="n">
        <v>4</v>
      </c>
      <c r="I4510" s="17" t="n">
        <v>0.15</v>
      </c>
      <c r="J4510" s="18" t="n">
        <v>96.57</v>
      </c>
      <c r="K4510" s="19" t="n">
        <v>14.87</v>
      </c>
      <c r="L4510" s="15" t="n">
        <f aca="false">YEAR(B4510)</f>
        <v>2025</v>
      </c>
      <c r="M4510" s="20" t="n">
        <f aca="false">IF(J4510&gt;0,K4510/J4510,0)</f>
        <v>0.153981567774671</v>
      </c>
    </row>
    <row r="4511" customFormat="false" ht="15" hidden="false" customHeight="false" outlineLevel="0" collapsed="false">
      <c r="A4511" s="15" t="s">
        <v>4568</v>
      </c>
      <c r="B4511" s="16" t="n">
        <v>45411</v>
      </c>
      <c r="C4511" s="15" t="s">
        <v>56</v>
      </c>
      <c r="D4511" s="15" t="s">
        <v>43</v>
      </c>
      <c r="E4511" s="15" t="s">
        <v>37</v>
      </c>
      <c r="F4511" s="15" t="s">
        <v>16</v>
      </c>
      <c r="G4511" s="15" t="s">
        <v>27</v>
      </c>
      <c r="H4511" s="15" t="n">
        <v>2</v>
      </c>
      <c r="I4511" s="17" t="n">
        <v>0.3</v>
      </c>
      <c r="J4511" s="18" t="n">
        <v>89.18</v>
      </c>
      <c r="K4511" s="19" t="n">
        <v>-4.31</v>
      </c>
      <c r="L4511" s="15" t="n">
        <f aca="false">YEAR(B4511)</f>
        <v>2024</v>
      </c>
      <c r="M4511" s="20" t="n">
        <f aca="false">IF(J4511&gt;0,K4511/J4511,0)</f>
        <v>-0.0483292217986095</v>
      </c>
    </row>
    <row r="4512" customFormat="false" ht="15" hidden="false" customHeight="false" outlineLevel="0" collapsed="false">
      <c r="A4512" s="15" t="s">
        <v>4569</v>
      </c>
      <c r="B4512" s="16" t="n">
        <v>45531</v>
      </c>
      <c r="C4512" s="15" t="s">
        <v>56</v>
      </c>
      <c r="D4512" s="15" t="s">
        <v>43</v>
      </c>
      <c r="E4512" s="15" t="s">
        <v>39</v>
      </c>
      <c r="F4512" s="15" t="s">
        <v>17</v>
      </c>
      <c r="G4512" s="15" t="s">
        <v>26</v>
      </c>
      <c r="H4512" s="15" t="n">
        <v>2</v>
      </c>
      <c r="I4512" s="17" t="n">
        <v>0.2</v>
      </c>
      <c r="J4512" s="18" t="n">
        <v>176.26</v>
      </c>
      <c r="K4512" s="19" t="n">
        <v>-27.09</v>
      </c>
      <c r="L4512" s="15" t="n">
        <f aca="false">YEAR(B4512)</f>
        <v>2024</v>
      </c>
      <c r="M4512" s="20" t="n">
        <f aca="false">IF(J4512&gt;0,K4512/J4512,0)</f>
        <v>-0.153693407466243</v>
      </c>
    </row>
    <row r="4513" customFormat="false" ht="15" hidden="false" customHeight="false" outlineLevel="0" collapsed="false">
      <c r="A4513" s="15" t="s">
        <v>4570</v>
      </c>
      <c r="B4513" s="16" t="n">
        <v>45525</v>
      </c>
      <c r="C4513" s="15" t="s">
        <v>68</v>
      </c>
      <c r="D4513" s="15" t="s">
        <v>43</v>
      </c>
      <c r="E4513" s="15" t="s">
        <v>39</v>
      </c>
      <c r="F4513" s="15" t="s">
        <v>16</v>
      </c>
      <c r="G4513" s="15" t="s">
        <v>25</v>
      </c>
      <c r="H4513" s="15" t="n">
        <v>4</v>
      </c>
      <c r="I4513" s="17" t="n">
        <v>0</v>
      </c>
      <c r="J4513" s="18" t="n">
        <v>1258.63</v>
      </c>
      <c r="K4513" s="19" t="n">
        <v>49.2</v>
      </c>
      <c r="L4513" s="15" t="n">
        <f aca="false">YEAR(B4513)</f>
        <v>2024</v>
      </c>
      <c r="M4513" s="20" t="n">
        <f aca="false">IF(J4513&gt;0,K4513/J4513,0)</f>
        <v>0.039090121799099</v>
      </c>
    </row>
    <row r="4514" customFormat="false" ht="15" hidden="false" customHeight="false" outlineLevel="0" collapsed="false">
      <c r="A4514" s="15" t="s">
        <v>4571</v>
      </c>
      <c r="B4514" s="16" t="n">
        <v>45731</v>
      </c>
      <c r="C4514" s="15" t="s">
        <v>56</v>
      </c>
      <c r="D4514" s="15" t="s">
        <v>44</v>
      </c>
      <c r="E4514" s="15" t="s">
        <v>39</v>
      </c>
      <c r="F4514" s="15" t="s">
        <v>18</v>
      </c>
      <c r="G4514" s="15" t="s">
        <v>32</v>
      </c>
      <c r="H4514" s="15" t="n">
        <v>4</v>
      </c>
      <c r="I4514" s="17" t="n">
        <v>0</v>
      </c>
      <c r="J4514" s="18" t="n">
        <v>1935.59</v>
      </c>
      <c r="K4514" s="19" t="n">
        <v>236.79</v>
      </c>
      <c r="L4514" s="15" t="n">
        <f aca="false">YEAR(B4514)</f>
        <v>2025</v>
      </c>
      <c r="M4514" s="20" t="n">
        <f aca="false">IF(J4514&gt;0,K4514/J4514,0)</f>
        <v>0.122334791975573</v>
      </c>
    </row>
    <row r="4515" customFormat="false" ht="15" hidden="false" customHeight="false" outlineLevel="0" collapsed="false">
      <c r="A4515" s="15" t="s">
        <v>4572</v>
      </c>
      <c r="B4515" s="16" t="n">
        <v>45033</v>
      </c>
      <c r="C4515" s="15" t="s">
        <v>56</v>
      </c>
      <c r="D4515" s="15" t="s">
        <v>42</v>
      </c>
      <c r="E4515" s="15" t="s">
        <v>39</v>
      </c>
      <c r="F4515" s="15" t="s">
        <v>17</v>
      </c>
      <c r="G4515" s="15" t="s">
        <v>28</v>
      </c>
      <c r="H4515" s="15" t="n">
        <v>5</v>
      </c>
      <c r="I4515" s="17" t="n">
        <v>0.1</v>
      </c>
      <c r="J4515" s="18" t="n">
        <v>147.15</v>
      </c>
      <c r="K4515" s="19" t="n">
        <v>37.64</v>
      </c>
      <c r="L4515" s="15" t="n">
        <f aca="false">YEAR(B4515)</f>
        <v>2023</v>
      </c>
      <c r="M4515" s="20" t="n">
        <f aca="false">IF(J4515&gt;0,K4515/J4515,0)</f>
        <v>0.255793408086986</v>
      </c>
    </row>
    <row r="4516" customFormat="false" ht="15" hidden="false" customHeight="false" outlineLevel="0" collapsed="false">
      <c r="A4516" s="15" t="s">
        <v>4573</v>
      </c>
      <c r="B4516" s="16" t="n">
        <v>45237</v>
      </c>
      <c r="C4516" s="15" t="s">
        <v>71</v>
      </c>
      <c r="D4516" s="15" t="s">
        <v>43</v>
      </c>
      <c r="E4516" s="15" t="s">
        <v>37</v>
      </c>
      <c r="F4516" s="15" t="s">
        <v>17</v>
      </c>
      <c r="G4516" s="15" t="s">
        <v>29</v>
      </c>
      <c r="H4516" s="15" t="n">
        <v>5</v>
      </c>
      <c r="I4516" s="17" t="n">
        <v>0.2</v>
      </c>
      <c r="J4516" s="18" t="n">
        <v>60.49</v>
      </c>
      <c r="K4516" s="19" t="n">
        <v>8.64</v>
      </c>
      <c r="L4516" s="15" t="n">
        <f aca="false">YEAR(B4516)</f>
        <v>2023</v>
      </c>
      <c r="M4516" s="20" t="n">
        <f aca="false">IF(J4516&gt;0,K4516/J4516,0)</f>
        <v>0.142833526202678</v>
      </c>
    </row>
    <row r="4517" customFormat="false" ht="15" hidden="false" customHeight="false" outlineLevel="0" collapsed="false">
      <c r="A4517" s="15" t="s">
        <v>4574</v>
      </c>
      <c r="B4517" s="16" t="n">
        <v>45007</v>
      </c>
      <c r="C4517" s="15" t="s">
        <v>56</v>
      </c>
      <c r="D4517" s="15" t="s">
        <v>42</v>
      </c>
      <c r="E4517" s="15" t="s">
        <v>37</v>
      </c>
      <c r="F4517" s="15" t="s">
        <v>17</v>
      </c>
      <c r="G4517" s="15" t="s">
        <v>28</v>
      </c>
      <c r="H4517" s="15" t="n">
        <v>2</v>
      </c>
      <c r="I4517" s="17" t="n">
        <v>0.5</v>
      </c>
      <c r="J4517" s="18" t="n">
        <v>27.44</v>
      </c>
      <c r="K4517" s="19" t="n">
        <v>-5.29</v>
      </c>
      <c r="L4517" s="15" t="n">
        <f aca="false">YEAR(B4517)</f>
        <v>2023</v>
      </c>
      <c r="M4517" s="20" t="n">
        <f aca="false">IF(J4517&gt;0,K4517/J4517,0)</f>
        <v>-0.192784256559767</v>
      </c>
    </row>
    <row r="4518" customFormat="false" ht="15" hidden="false" customHeight="false" outlineLevel="0" collapsed="false">
      <c r="A4518" s="15" t="s">
        <v>4575</v>
      </c>
      <c r="B4518" s="16" t="n">
        <v>44620</v>
      </c>
      <c r="C4518" s="15" t="s">
        <v>56</v>
      </c>
      <c r="D4518" s="15" t="s">
        <v>44</v>
      </c>
      <c r="E4518" s="15" t="s">
        <v>37</v>
      </c>
      <c r="F4518" s="15" t="s">
        <v>18</v>
      </c>
      <c r="G4518" s="15" t="s">
        <v>30</v>
      </c>
      <c r="H4518" s="15" t="n">
        <v>5</v>
      </c>
      <c r="I4518" s="17" t="n">
        <v>0.15</v>
      </c>
      <c r="J4518" s="18" t="n">
        <v>191.66</v>
      </c>
      <c r="K4518" s="19" t="n">
        <v>33.81</v>
      </c>
      <c r="L4518" s="15" t="n">
        <f aca="false">YEAR(B4518)</f>
        <v>2022</v>
      </c>
      <c r="M4518" s="20" t="n">
        <f aca="false">IF(J4518&gt;0,K4518/J4518,0)</f>
        <v>0.176406135865595</v>
      </c>
    </row>
    <row r="4519" customFormat="false" ht="15" hidden="false" customHeight="false" outlineLevel="0" collapsed="false">
      <c r="A4519" s="15" t="s">
        <v>4576</v>
      </c>
      <c r="B4519" s="16" t="n">
        <v>45995</v>
      </c>
      <c r="C4519" s="15" t="s">
        <v>68</v>
      </c>
      <c r="D4519" s="15" t="s">
        <v>44</v>
      </c>
      <c r="E4519" s="15" t="s">
        <v>39</v>
      </c>
      <c r="F4519" s="15" t="s">
        <v>17</v>
      </c>
      <c r="G4519" s="15" t="s">
        <v>31</v>
      </c>
      <c r="H4519" s="15" t="n">
        <v>1</v>
      </c>
      <c r="I4519" s="17" t="n">
        <v>0.15</v>
      </c>
      <c r="J4519" s="18" t="n">
        <v>98.43</v>
      </c>
      <c r="K4519" s="19" t="n">
        <v>4.61</v>
      </c>
      <c r="L4519" s="15" t="n">
        <f aca="false">YEAR(B4519)</f>
        <v>2025</v>
      </c>
      <c r="M4519" s="20" t="n">
        <f aca="false">IF(J4519&gt;0,K4519/J4519,0)</f>
        <v>0.0468353144366555</v>
      </c>
    </row>
    <row r="4520" customFormat="false" ht="15" hidden="false" customHeight="false" outlineLevel="0" collapsed="false">
      <c r="A4520" s="15" t="s">
        <v>4577</v>
      </c>
      <c r="B4520" s="16" t="n">
        <v>44757</v>
      </c>
      <c r="C4520" s="15" t="s">
        <v>71</v>
      </c>
      <c r="D4520" s="15" t="s">
        <v>42</v>
      </c>
      <c r="E4520" s="15" t="s">
        <v>39</v>
      </c>
      <c r="F4520" s="15" t="s">
        <v>17</v>
      </c>
      <c r="G4520" s="15" t="s">
        <v>29</v>
      </c>
      <c r="H4520" s="15" t="n">
        <v>7</v>
      </c>
      <c r="I4520" s="17" t="n">
        <v>0</v>
      </c>
      <c r="J4520" s="18" t="n">
        <v>122.89</v>
      </c>
      <c r="K4520" s="19" t="n">
        <v>51.03</v>
      </c>
      <c r="L4520" s="15" t="n">
        <f aca="false">YEAR(B4520)</f>
        <v>2022</v>
      </c>
      <c r="M4520" s="20" t="n">
        <f aca="false">IF(J4520&gt;0,K4520/J4520,0)</f>
        <v>0.415249410041501</v>
      </c>
    </row>
    <row r="4521" customFormat="false" ht="15" hidden="false" customHeight="false" outlineLevel="0" collapsed="false">
      <c r="A4521" s="15" t="s">
        <v>4578</v>
      </c>
      <c r="B4521" s="16" t="n">
        <v>45502</v>
      </c>
      <c r="C4521" s="15" t="s">
        <v>71</v>
      </c>
      <c r="D4521" s="15" t="s">
        <v>43</v>
      </c>
      <c r="E4521" s="15" t="s">
        <v>39</v>
      </c>
      <c r="F4521" s="15" t="s">
        <v>17</v>
      </c>
      <c r="G4521" s="15" t="s">
        <v>28</v>
      </c>
      <c r="H4521" s="15" t="n">
        <v>2</v>
      </c>
      <c r="I4521" s="17" t="n">
        <v>0.1</v>
      </c>
      <c r="J4521" s="18" t="n">
        <v>50.67</v>
      </c>
      <c r="K4521" s="19" t="n">
        <v>13.54</v>
      </c>
      <c r="L4521" s="15" t="n">
        <f aca="false">YEAR(B4521)</f>
        <v>2024</v>
      </c>
      <c r="M4521" s="20" t="n">
        <f aca="false">IF(J4521&gt;0,K4521/J4521,0)</f>
        <v>0.267219261890665</v>
      </c>
    </row>
    <row r="4522" customFormat="false" ht="15" hidden="false" customHeight="false" outlineLevel="0" collapsed="false">
      <c r="A4522" s="15" t="s">
        <v>4579</v>
      </c>
      <c r="B4522" s="16" t="n">
        <v>45661</v>
      </c>
      <c r="C4522" s="15" t="s">
        <v>71</v>
      </c>
      <c r="D4522" s="15" t="s">
        <v>42</v>
      </c>
      <c r="E4522" s="15" t="s">
        <v>36</v>
      </c>
      <c r="F4522" s="15" t="s">
        <v>17</v>
      </c>
      <c r="G4522" s="15" t="s">
        <v>31</v>
      </c>
      <c r="H4522" s="15" t="n">
        <v>2</v>
      </c>
      <c r="I4522" s="17" t="n">
        <v>0</v>
      </c>
      <c r="J4522" s="18" t="n">
        <v>232.72</v>
      </c>
      <c r="K4522" s="19" t="n">
        <v>50.11</v>
      </c>
      <c r="L4522" s="15" t="n">
        <f aca="false">YEAR(B4522)</f>
        <v>2025</v>
      </c>
      <c r="M4522" s="20" t="n">
        <f aca="false">IF(J4522&gt;0,K4522/J4522,0)</f>
        <v>0.215323135097972</v>
      </c>
    </row>
    <row r="4523" customFormat="false" ht="15" hidden="false" customHeight="false" outlineLevel="0" collapsed="false">
      <c r="A4523" s="15" t="s">
        <v>4580</v>
      </c>
      <c r="B4523" s="16" t="n">
        <v>44979</v>
      </c>
      <c r="C4523" s="15" t="s">
        <v>56</v>
      </c>
      <c r="D4523" s="15" t="s">
        <v>44</v>
      </c>
      <c r="E4523" s="15" t="s">
        <v>37</v>
      </c>
      <c r="F4523" s="15" t="s">
        <v>16</v>
      </c>
      <c r="G4523" s="15" t="s">
        <v>27</v>
      </c>
      <c r="H4523" s="15" t="n">
        <v>3</v>
      </c>
      <c r="I4523" s="17" t="n">
        <v>0</v>
      </c>
      <c r="J4523" s="18" t="n">
        <v>228.8</v>
      </c>
      <c r="K4523" s="19" t="n">
        <v>50.92</v>
      </c>
      <c r="L4523" s="15" t="n">
        <f aca="false">YEAR(B4523)</f>
        <v>2023</v>
      </c>
      <c r="M4523" s="20" t="n">
        <f aca="false">IF(J4523&gt;0,K4523/J4523,0)</f>
        <v>0.222552447552448</v>
      </c>
    </row>
    <row r="4524" customFormat="false" ht="15" hidden="false" customHeight="false" outlineLevel="0" collapsed="false">
      <c r="A4524" s="15" t="s">
        <v>4581</v>
      </c>
      <c r="B4524" s="16" t="n">
        <v>45427</v>
      </c>
      <c r="C4524" s="15" t="s">
        <v>56</v>
      </c>
      <c r="D4524" s="15" t="s">
        <v>44</v>
      </c>
      <c r="E4524" s="15" t="s">
        <v>36</v>
      </c>
      <c r="F4524" s="15" t="s">
        <v>18</v>
      </c>
      <c r="G4524" s="15" t="s">
        <v>33</v>
      </c>
      <c r="H4524" s="15" t="n">
        <v>6</v>
      </c>
      <c r="I4524" s="17" t="n">
        <v>0.5</v>
      </c>
      <c r="J4524" s="18" t="n">
        <v>2364.97</v>
      </c>
      <c r="K4524" s="19" t="n">
        <v>-373.24</v>
      </c>
      <c r="L4524" s="15" t="n">
        <f aca="false">YEAR(B4524)</f>
        <v>2024</v>
      </c>
      <c r="M4524" s="20" t="n">
        <f aca="false">IF(J4524&gt;0,K4524/J4524,0)</f>
        <v>-0.157820183765545</v>
      </c>
    </row>
    <row r="4525" customFormat="false" ht="15" hidden="false" customHeight="false" outlineLevel="0" collapsed="false">
      <c r="A4525" s="15" t="s">
        <v>4582</v>
      </c>
      <c r="B4525" s="16" t="n">
        <v>45863</v>
      </c>
      <c r="C4525" s="15" t="s">
        <v>56</v>
      </c>
      <c r="D4525" s="15" t="s">
        <v>42</v>
      </c>
      <c r="E4525" s="15" t="s">
        <v>39</v>
      </c>
      <c r="F4525" s="15" t="s">
        <v>18</v>
      </c>
      <c r="G4525" s="15" t="s">
        <v>30</v>
      </c>
      <c r="H4525" s="15" t="n">
        <v>2</v>
      </c>
      <c r="I4525" s="17" t="n">
        <v>0</v>
      </c>
      <c r="J4525" s="18" t="n">
        <v>105.02</v>
      </c>
      <c r="K4525" s="19" t="n">
        <v>27.95</v>
      </c>
      <c r="L4525" s="15" t="n">
        <f aca="false">YEAR(B4525)</f>
        <v>2025</v>
      </c>
      <c r="M4525" s="20" t="n">
        <f aca="false">IF(J4525&gt;0,K4525/J4525,0)</f>
        <v>0.266139782898496</v>
      </c>
    </row>
    <row r="4526" customFormat="false" ht="15" hidden="false" customHeight="false" outlineLevel="0" collapsed="false">
      <c r="A4526" s="15" t="s">
        <v>4583</v>
      </c>
      <c r="B4526" s="16" t="n">
        <v>44718</v>
      </c>
      <c r="C4526" s="15" t="s">
        <v>71</v>
      </c>
      <c r="D4526" s="15" t="s">
        <v>43</v>
      </c>
      <c r="E4526" s="15" t="s">
        <v>36</v>
      </c>
      <c r="F4526" s="15" t="s">
        <v>17</v>
      </c>
      <c r="G4526" s="15" t="s">
        <v>26</v>
      </c>
      <c r="H4526" s="15" t="n">
        <v>4</v>
      </c>
      <c r="I4526" s="17" t="n">
        <v>0</v>
      </c>
      <c r="J4526" s="18" t="n">
        <v>354.22</v>
      </c>
      <c r="K4526" s="19" t="n">
        <v>41.87</v>
      </c>
      <c r="L4526" s="15" t="n">
        <f aca="false">YEAR(B4526)</f>
        <v>2022</v>
      </c>
      <c r="M4526" s="20" t="n">
        <f aca="false">IF(J4526&gt;0,K4526/J4526,0)</f>
        <v>0.118203376432725</v>
      </c>
    </row>
    <row r="4527" customFormat="false" ht="15" hidden="false" customHeight="false" outlineLevel="0" collapsed="false">
      <c r="A4527" s="15" t="s">
        <v>4584</v>
      </c>
      <c r="B4527" s="16" t="n">
        <v>45972</v>
      </c>
      <c r="C4527" s="15" t="s">
        <v>56</v>
      </c>
      <c r="D4527" s="15" t="s">
        <v>42</v>
      </c>
      <c r="E4527" s="15" t="s">
        <v>37</v>
      </c>
      <c r="F4527" s="15" t="s">
        <v>17</v>
      </c>
      <c r="G4527" s="15" t="s">
        <v>28</v>
      </c>
      <c r="H4527" s="15" t="n">
        <v>3</v>
      </c>
      <c r="I4527" s="17" t="n">
        <v>0</v>
      </c>
      <c r="J4527" s="18" t="n">
        <v>68.48</v>
      </c>
      <c r="K4527" s="19" t="n">
        <v>23.77</v>
      </c>
      <c r="L4527" s="15" t="n">
        <f aca="false">YEAR(B4527)</f>
        <v>2025</v>
      </c>
      <c r="M4527" s="20" t="n">
        <f aca="false">IF(J4527&gt;0,K4527/J4527,0)</f>
        <v>0.347108644859813</v>
      </c>
    </row>
    <row r="4528" customFormat="false" ht="15" hidden="false" customHeight="false" outlineLevel="0" collapsed="false">
      <c r="A4528" s="15" t="s">
        <v>4585</v>
      </c>
      <c r="B4528" s="16" t="n">
        <v>45955</v>
      </c>
      <c r="C4528" s="15" t="s">
        <v>56</v>
      </c>
      <c r="D4528" s="15" t="s">
        <v>42</v>
      </c>
      <c r="E4528" s="15" t="s">
        <v>39</v>
      </c>
      <c r="F4528" s="15" t="s">
        <v>18</v>
      </c>
      <c r="G4528" s="15" t="s">
        <v>30</v>
      </c>
      <c r="H4528" s="15" t="n">
        <v>6</v>
      </c>
      <c r="I4528" s="17" t="n">
        <v>0</v>
      </c>
      <c r="J4528" s="18" t="n">
        <v>297.01</v>
      </c>
      <c r="K4528" s="19" t="n">
        <v>78.22</v>
      </c>
      <c r="L4528" s="15" t="n">
        <f aca="false">YEAR(B4528)</f>
        <v>2025</v>
      </c>
      <c r="M4528" s="20" t="n">
        <f aca="false">IF(J4528&gt;0,K4528/J4528,0)</f>
        <v>0.263358136089694</v>
      </c>
    </row>
    <row r="4529" customFormat="false" ht="15" hidden="false" customHeight="false" outlineLevel="0" collapsed="false">
      <c r="A4529" s="15" t="s">
        <v>4586</v>
      </c>
      <c r="B4529" s="16" t="n">
        <v>44597</v>
      </c>
      <c r="C4529" s="15" t="s">
        <v>56</v>
      </c>
      <c r="D4529" s="15" t="s">
        <v>42</v>
      </c>
      <c r="E4529" s="15" t="s">
        <v>36</v>
      </c>
      <c r="F4529" s="15" t="s">
        <v>17</v>
      </c>
      <c r="G4529" s="15" t="s">
        <v>28</v>
      </c>
      <c r="H4529" s="15" t="n">
        <v>7</v>
      </c>
      <c r="I4529" s="17" t="n">
        <v>0.2</v>
      </c>
      <c r="J4529" s="18" t="n">
        <v>122.36</v>
      </c>
      <c r="K4529" s="19" t="n">
        <v>18.33</v>
      </c>
      <c r="L4529" s="15" t="n">
        <f aca="false">YEAR(B4529)</f>
        <v>2022</v>
      </c>
      <c r="M4529" s="20" t="n">
        <f aca="false">IF(J4529&gt;0,K4529/J4529,0)</f>
        <v>0.149803857469761</v>
      </c>
    </row>
    <row r="4530" customFormat="false" ht="15" hidden="false" customHeight="false" outlineLevel="0" collapsed="false">
      <c r="A4530" s="15" t="s">
        <v>4587</v>
      </c>
      <c r="B4530" s="16" t="n">
        <v>45151</v>
      </c>
      <c r="C4530" s="15" t="s">
        <v>56</v>
      </c>
      <c r="D4530" s="15" t="s">
        <v>42</v>
      </c>
      <c r="E4530" s="15" t="s">
        <v>36</v>
      </c>
      <c r="F4530" s="15" t="s">
        <v>18</v>
      </c>
      <c r="G4530" s="15" t="s">
        <v>24</v>
      </c>
      <c r="H4530" s="15" t="n">
        <v>3</v>
      </c>
      <c r="I4530" s="17" t="n">
        <v>0.2</v>
      </c>
      <c r="J4530" s="18" t="n">
        <v>1151.66</v>
      </c>
      <c r="K4530" s="19" t="n">
        <v>-132.26</v>
      </c>
      <c r="L4530" s="15" t="n">
        <f aca="false">YEAR(B4530)</f>
        <v>2023</v>
      </c>
      <c r="M4530" s="20" t="n">
        <f aca="false">IF(J4530&gt;0,K4530/J4530,0)</f>
        <v>-0.114842922390289</v>
      </c>
    </row>
    <row r="4531" customFormat="false" ht="15" hidden="false" customHeight="false" outlineLevel="0" collapsed="false">
      <c r="A4531" s="15" t="s">
        <v>4588</v>
      </c>
      <c r="B4531" s="16" t="n">
        <v>45167</v>
      </c>
      <c r="C4531" s="15" t="s">
        <v>71</v>
      </c>
      <c r="D4531" s="15" t="s">
        <v>42</v>
      </c>
      <c r="E4531" s="15" t="s">
        <v>39</v>
      </c>
      <c r="F4531" s="15" t="s">
        <v>17</v>
      </c>
      <c r="G4531" s="15" t="s">
        <v>28</v>
      </c>
      <c r="H4531" s="15" t="n">
        <v>2</v>
      </c>
      <c r="I4531" s="17" t="n">
        <v>0</v>
      </c>
      <c r="J4531" s="18" t="n">
        <v>55.9</v>
      </c>
      <c r="K4531" s="19" t="n">
        <v>17.6</v>
      </c>
      <c r="L4531" s="15" t="n">
        <f aca="false">YEAR(B4531)</f>
        <v>2023</v>
      </c>
      <c r="M4531" s="20" t="n">
        <f aca="false">IF(J4531&gt;0,K4531/J4531,0)</f>
        <v>0.31484794275492</v>
      </c>
    </row>
    <row r="4532" customFormat="false" ht="15" hidden="false" customHeight="false" outlineLevel="0" collapsed="false">
      <c r="A4532" s="15" t="s">
        <v>4589</v>
      </c>
      <c r="B4532" s="16" t="n">
        <v>45905</v>
      </c>
      <c r="C4532" s="15" t="s">
        <v>56</v>
      </c>
      <c r="D4532" s="15" t="s">
        <v>43</v>
      </c>
      <c r="E4532" s="15" t="s">
        <v>39</v>
      </c>
      <c r="F4532" s="15" t="s">
        <v>17</v>
      </c>
      <c r="G4532" s="15" t="s">
        <v>28</v>
      </c>
      <c r="H4532" s="15" t="n">
        <v>1</v>
      </c>
      <c r="I4532" s="17" t="n">
        <v>0</v>
      </c>
      <c r="J4532" s="18" t="n">
        <v>24.54</v>
      </c>
      <c r="K4532" s="19" t="n">
        <v>6.92</v>
      </c>
      <c r="L4532" s="15" t="n">
        <f aca="false">YEAR(B4532)</f>
        <v>2025</v>
      </c>
      <c r="M4532" s="20" t="n">
        <f aca="false">IF(J4532&gt;0,K4532/J4532,0)</f>
        <v>0.28198859005705</v>
      </c>
    </row>
    <row r="4533" customFormat="false" ht="15" hidden="false" customHeight="false" outlineLevel="0" collapsed="false">
      <c r="A4533" s="15" t="s">
        <v>4590</v>
      </c>
      <c r="B4533" s="16" t="n">
        <v>45199</v>
      </c>
      <c r="C4533" s="15" t="s">
        <v>56</v>
      </c>
      <c r="D4533" s="15" t="s">
        <v>42</v>
      </c>
      <c r="E4533" s="15" t="s">
        <v>37</v>
      </c>
      <c r="F4533" s="15" t="s">
        <v>17</v>
      </c>
      <c r="G4533" s="15" t="s">
        <v>28</v>
      </c>
      <c r="H4533" s="15" t="n">
        <v>3</v>
      </c>
      <c r="I4533" s="17" t="n">
        <v>0</v>
      </c>
      <c r="J4533" s="18" t="n">
        <v>78.65</v>
      </c>
      <c r="K4533" s="19" t="n">
        <v>27.52</v>
      </c>
      <c r="L4533" s="15" t="n">
        <f aca="false">YEAR(B4533)</f>
        <v>2023</v>
      </c>
      <c r="M4533" s="20" t="n">
        <f aca="false">IF(J4533&gt;0,K4533/J4533,0)</f>
        <v>0.349904640813732</v>
      </c>
    </row>
    <row r="4534" customFormat="false" ht="15" hidden="false" customHeight="false" outlineLevel="0" collapsed="false">
      <c r="A4534" s="15" t="s">
        <v>4591</v>
      </c>
      <c r="B4534" s="16" t="n">
        <v>44996</v>
      </c>
      <c r="C4534" s="15" t="s">
        <v>56</v>
      </c>
      <c r="D4534" s="15" t="s">
        <v>42</v>
      </c>
      <c r="E4534" s="15" t="s">
        <v>39</v>
      </c>
      <c r="F4534" s="15" t="s">
        <v>17</v>
      </c>
      <c r="G4534" s="15" t="s">
        <v>31</v>
      </c>
      <c r="H4534" s="15" t="n">
        <v>3</v>
      </c>
      <c r="I4534" s="17" t="n">
        <v>0.4</v>
      </c>
      <c r="J4534" s="18" t="n">
        <v>244.6</v>
      </c>
      <c r="K4534" s="19" t="n">
        <v>-41.77</v>
      </c>
      <c r="L4534" s="15" t="n">
        <f aca="false">YEAR(B4534)</f>
        <v>2023</v>
      </c>
      <c r="M4534" s="20" t="n">
        <f aca="false">IF(J4534&gt;0,K4534/J4534,0)</f>
        <v>-0.170768601798855</v>
      </c>
    </row>
    <row r="4535" customFormat="false" ht="15" hidden="false" customHeight="false" outlineLevel="0" collapsed="false">
      <c r="A4535" s="15" t="s">
        <v>4592</v>
      </c>
      <c r="B4535" s="16" t="n">
        <v>45923</v>
      </c>
      <c r="C4535" s="15" t="s">
        <v>56</v>
      </c>
      <c r="D4535" s="15" t="s">
        <v>43</v>
      </c>
      <c r="E4535" s="15" t="s">
        <v>37</v>
      </c>
      <c r="F4535" s="15" t="s">
        <v>17</v>
      </c>
      <c r="G4535" s="15" t="s">
        <v>29</v>
      </c>
      <c r="H4535" s="15" t="n">
        <v>3</v>
      </c>
      <c r="I4535" s="17" t="n">
        <v>0</v>
      </c>
      <c r="J4535" s="18" t="n">
        <v>61.01</v>
      </c>
      <c r="K4535" s="19" t="n">
        <v>21.41</v>
      </c>
      <c r="L4535" s="15" t="n">
        <f aca="false">YEAR(B4535)</f>
        <v>2025</v>
      </c>
      <c r="M4535" s="20" t="n">
        <f aca="false">IF(J4535&gt;0,K4535/J4535,0)</f>
        <v>0.350926077692182</v>
      </c>
    </row>
    <row r="4536" customFormat="false" ht="15" hidden="false" customHeight="false" outlineLevel="0" collapsed="false">
      <c r="A4536" s="15" t="s">
        <v>4593</v>
      </c>
      <c r="B4536" s="16" t="n">
        <v>44601</v>
      </c>
      <c r="C4536" s="15" t="s">
        <v>56</v>
      </c>
      <c r="D4536" s="15" t="s">
        <v>43</v>
      </c>
      <c r="E4536" s="15" t="s">
        <v>38</v>
      </c>
      <c r="F4536" s="15" t="s">
        <v>18</v>
      </c>
      <c r="G4536" s="15" t="s">
        <v>32</v>
      </c>
      <c r="H4536" s="15" t="n">
        <v>5</v>
      </c>
      <c r="I4536" s="17" t="n">
        <v>0.1</v>
      </c>
      <c r="J4536" s="18" t="n">
        <v>1901.83</v>
      </c>
      <c r="K4536" s="19" t="n">
        <v>257.71</v>
      </c>
      <c r="L4536" s="15" t="n">
        <f aca="false">YEAR(B4536)</f>
        <v>2022</v>
      </c>
      <c r="M4536" s="20" t="n">
        <f aca="false">IF(J4536&gt;0,K4536/J4536,0)</f>
        <v>0.135506328115552</v>
      </c>
    </row>
    <row r="4537" customFormat="false" ht="15" hidden="false" customHeight="false" outlineLevel="0" collapsed="false">
      <c r="A4537" s="15" t="s">
        <v>4594</v>
      </c>
      <c r="B4537" s="16" t="n">
        <v>45646</v>
      </c>
      <c r="C4537" s="15" t="s">
        <v>68</v>
      </c>
      <c r="D4537" s="15" t="s">
        <v>44</v>
      </c>
      <c r="E4537" s="15" t="s">
        <v>38</v>
      </c>
      <c r="F4537" s="15" t="s">
        <v>16</v>
      </c>
      <c r="G4537" s="15" t="s">
        <v>22</v>
      </c>
      <c r="H4537" s="15" t="n">
        <v>4</v>
      </c>
      <c r="I4537" s="17" t="n">
        <v>0</v>
      </c>
      <c r="J4537" s="18" t="n">
        <v>1758.59</v>
      </c>
      <c r="K4537" s="19" t="n">
        <v>-27.01</v>
      </c>
      <c r="L4537" s="15" t="n">
        <f aca="false">YEAR(B4537)</f>
        <v>2024</v>
      </c>
      <c r="M4537" s="20" t="n">
        <f aca="false">IF(J4537&gt;0,K4537/J4537,0)</f>
        <v>-0.0153588954787642</v>
      </c>
    </row>
    <row r="4538" customFormat="false" ht="15" hidden="false" customHeight="false" outlineLevel="0" collapsed="false">
      <c r="A4538" s="15" t="s">
        <v>4595</v>
      </c>
      <c r="B4538" s="16" t="n">
        <v>45996</v>
      </c>
      <c r="C4538" s="15" t="s">
        <v>71</v>
      </c>
      <c r="D4538" s="15" t="s">
        <v>42</v>
      </c>
      <c r="E4538" s="15" t="s">
        <v>37</v>
      </c>
      <c r="F4538" s="15" t="s">
        <v>17</v>
      </c>
      <c r="G4538" s="15" t="s">
        <v>29</v>
      </c>
      <c r="H4538" s="15" t="n">
        <v>2</v>
      </c>
      <c r="I4538" s="17" t="n">
        <v>0.5</v>
      </c>
      <c r="J4538" s="18" t="n">
        <v>15.61</v>
      </c>
      <c r="K4538" s="19" t="n">
        <v>-1.83</v>
      </c>
      <c r="L4538" s="15" t="n">
        <f aca="false">YEAR(B4538)</f>
        <v>2025</v>
      </c>
      <c r="M4538" s="20" t="n">
        <f aca="false">IF(J4538&gt;0,K4538/J4538,0)</f>
        <v>-0.117232543241512</v>
      </c>
    </row>
    <row r="4539" customFormat="false" ht="15" hidden="false" customHeight="false" outlineLevel="0" collapsed="false">
      <c r="A4539" s="15" t="s">
        <v>4596</v>
      </c>
      <c r="B4539" s="16" t="n">
        <v>45074</v>
      </c>
      <c r="C4539" s="15" t="s">
        <v>56</v>
      </c>
      <c r="D4539" s="15" t="s">
        <v>44</v>
      </c>
      <c r="E4539" s="15" t="s">
        <v>37</v>
      </c>
      <c r="F4539" s="15" t="s">
        <v>17</v>
      </c>
      <c r="G4539" s="15" t="s">
        <v>28</v>
      </c>
      <c r="H4539" s="15" t="n">
        <v>3</v>
      </c>
      <c r="I4539" s="17" t="n">
        <v>0.5</v>
      </c>
      <c r="J4539" s="18" t="n">
        <v>38.41</v>
      </c>
      <c r="K4539" s="19" t="n">
        <v>-4.36</v>
      </c>
      <c r="L4539" s="15" t="n">
        <f aca="false">YEAR(B4539)</f>
        <v>2023</v>
      </c>
      <c r="M4539" s="20" t="n">
        <f aca="false">IF(J4539&gt;0,K4539/J4539,0)</f>
        <v>-0.113512106222338</v>
      </c>
    </row>
    <row r="4540" customFormat="false" ht="15" hidden="false" customHeight="false" outlineLevel="0" collapsed="false">
      <c r="A4540" s="15" t="s">
        <v>4597</v>
      </c>
      <c r="B4540" s="16" t="n">
        <v>44577</v>
      </c>
      <c r="C4540" s="15" t="s">
        <v>58</v>
      </c>
      <c r="D4540" s="15" t="s">
        <v>42</v>
      </c>
      <c r="E4540" s="15" t="s">
        <v>38</v>
      </c>
      <c r="F4540" s="15" t="s">
        <v>17</v>
      </c>
      <c r="G4540" s="15" t="s">
        <v>28</v>
      </c>
      <c r="H4540" s="15" t="n">
        <v>2</v>
      </c>
      <c r="I4540" s="17" t="n">
        <v>0.1</v>
      </c>
      <c r="J4540" s="18" t="n">
        <v>51.48</v>
      </c>
      <c r="K4540" s="19" t="n">
        <v>8.77</v>
      </c>
      <c r="L4540" s="15" t="n">
        <f aca="false">YEAR(B4540)</f>
        <v>2022</v>
      </c>
      <c r="M4540" s="20" t="n">
        <f aca="false">IF(J4540&gt;0,K4540/J4540,0)</f>
        <v>0.17035742035742</v>
      </c>
    </row>
    <row r="4541" customFormat="false" ht="15" hidden="false" customHeight="false" outlineLevel="0" collapsed="false">
      <c r="A4541" s="15" t="s">
        <v>4598</v>
      </c>
      <c r="B4541" s="16" t="n">
        <v>44863</v>
      </c>
      <c r="C4541" s="15" t="s">
        <v>56</v>
      </c>
      <c r="D4541" s="15" t="s">
        <v>43</v>
      </c>
      <c r="E4541" s="15" t="s">
        <v>36</v>
      </c>
      <c r="F4541" s="15" t="s">
        <v>17</v>
      </c>
      <c r="G4541" s="15" t="s">
        <v>29</v>
      </c>
      <c r="H4541" s="15" t="n">
        <v>4</v>
      </c>
      <c r="I4541" s="17" t="n">
        <v>0</v>
      </c>
      <c r="J4541" s="18" t="n">
        <v>69.28</v>
      </c>
      <c r="K4541" s="19" t="n">
        <v>24.67</v>
      </c>
      <c r="L4541" s="15" t="n">
        <f aca="false">YEAR(B4541)</f>
        <v>2022</v>
      </c>
      <c r="M4541" s="20" t="n">
        <f aca="false">IF(J4541&gt;0,K4541/J4541,0)</f>
        <v>0.356091224018476</v>
      </c>
    </row>
    <row r="4542" customFormat="false" ht="15" hidden="false" customHeight="false" outlineLevel="0" collapsed="false">
      <c r="A4542" s="15" t="s">
        <v>4599</v>
      </c>
      <c r="B4542" s="16" t="n">
        <v>45431</v>
      </c>
      <c r="C4542" s="15" t="s">
        <v>71</v>
      </c>
      <c r="D4542" s="15" t="s">
        <v>42</v>
      </c>
      <c r="E4542" s="15" t="s">
        <v>39</v>
      </c>
      <c r="F4542" s="15" t="s">
        <v>16</v>
      </c>
      <c r="G4542" s="15" t="s">
        <v>27</v>
      </c>
      <c r="H4542" s="15" t="n">
        <v>2</v>
      </c>
      <c r="I4542" s="17" t="n">
        <v>0.15</v>
      </c>
      <c r="J4542" s="18" t="n">
        <v>125.1</v>
      </c>
      <c r="K4542" s="19" t="n">
        <v>12.63</v>
      </c>
      <c r="L4542" s="15" t="n">
        <f aca="false">YEAR(B4542)</f>
        <v>2024</v>
      </c>
      <c r="M4542" s="20" t="n">
        <f aca="false">IF(J4542&gt;0,K4542/J4542,0)</f>
        <v>0.100959232613909</v>
      </c>
    </row>
    <row r="4543" customFormat="false" ht="15" hidden="false" customHeight="false" outlineLevel="0" collapsed="false">
      <c r="A4543" s="15" t="s">
        <v>4600</v>
      </c>
      <c r="B4543" s="16" t="n">
        <v>45059</v>
      </c>
      <c r="C4543" s="15" t="s">
        <v>68</v>
      </c>
      <c r="D4543" s="15" t="s">
        <v>43</v>
      </c>
      <c r="E4543" s="15" t="s">
        <v>39</v>
      </c>
      <c r="F4543" s="15" t="s">
        <v>16</v>
      </c>
      <c r="G4543" s="15" t="s">
        <v>23</v>
      </c>
      <c r="H4543" s="15" t="n">
        <v>8</v>
      </c>
      <c r="I4543" s="17" t="n">
        <v>0.05</v>
      </c>
      <c r="J4543" s="18" t="n">
        <v>2656.01</v>
      </c>
      <c r="K4543" s="19" t="n">
        <v>16.61</v>
      </c>
      <c r="L4543" s="15" t="n">
        <f aca="false">YEAR(B4543)</f>
        <v>2023</v>
      </c>
      <c r="M4543" s="20" t="n">
        <f aca="false">IF(J4543&gt;0,K4543/J4543,0)</f>
        <v>0.00625374151452743</v>
      </c>
    </row>
    <row r="4544" customFormat="false" ht="15" hidden="false" customHeight="false" outlineLevel="0" collapsed="false">
      <c r="A4544" s="15" t="s">
        <v>4601</v>
      </c>
      <c r="B4544" s="16" t="n">
        <v>44725</v>
      </c>
      <c r="C4544" s="15" t="s">
        <v>56</v>
      </c>
      <c r="D4544" s="15" t="s">
        <v>42</v>
      </c>
      <c r="E4544" s="15" t="s">
        <v>36</v>
      </c>
      <c r="F4544" s="15" t="s">
        <v>16</v>
      </c>
      <c r="G4544" s="15" t="s">
        <v>27</v>
      </c>
      <c r="H4544" s="15" t="n">
        <v>1</v>
      </c>
      <c r="I4544" s="17" t="n">
        <v>0.15</v>
      </c>
      <c r="J4544" s="18" t="n">
        <v>50.45</v>
      </c>
      <c r="K4544" s="19" t="n">
        <v>3.35</v>
      </c>
      <c r="L4544" s="15" t="n">
        <f aca="false">YEAR(B4544)</f>
        <v>2022</v>
      </c>
      <c r="M4544" s="20" t="n">
        <f aca="false">IF(J4544&gt;0,K4544/J4544,0)</f>
        <v>0.066402378592666</v>
      </c>
    </row>
    <row r="4545" customFormat="false" ht="15" hidden="false" customHeight="false" outlineLevel="0" collapsed="false">
      <c r="A4545" s="15" t="s">
        <v>4602</v>
      </c>
      <c r="B4545" s="16" t="n">
        <v>45553</v>
      </c>
      <c r="C4545" s="15" t="s">
        <v>56</v>
      </c>
      <c r="D4545" s="15" t="s">
        <v>43</v>
      </c>
      <c r="E4545" s="15" t="s">
        <v>37</v>
      </c>
      <c r="F4545" s="15" t="s">
        <v>18</v>
      </c>
      <c r="G4545" s="15" t="s">
        <v>30</v>
      </c>
      <c r="H4545" s="15" t="n">
        <v>3</v>
      </c>
      <c r="I4545" s="17" t="n">
        <v>0.05</v>
      </c>
      <c r="J4545" s="18" t="n">
        <v>132.35</v>
      </c>
      <c r="K4545" s="19" t="n">
        <v>32.23</v>
      </c>
      <c r="L4545" s="15" t="n">
        <f aca="false">YEAR(B4545)</f>
        <v>2024</v>
      </c>
      <c r="M4545" s="20" t="n">
        <f aca="false">IF(J4545&gt;0,K4545/J4545,0)</f>
        <v>0.243520967132603</v>
      </c>
    </row>
    <row r="4546" customFormat="false" ht="15" hidden="false" customHeight="false" outlineLevel="0" collapsed="false">
      <c r="A4546" s="15" t="s">
        <v>4603</v>
      </c>
      <c r="B4546" s="16" t="n">
        <v>44744</v>
      </c>
      <c r="C4546" s="15" t="s">
        <v>56</v>
      </c>
      <c r="D4546" s="15" t="s">
        <v>42</v>
      </c>
      <c r="E4546" s="15" t="s">
        <v>39</v>
      </c>
      <c r="F4546" s="15" t="s">
        <v>16</v>
      </c>
      <c r="G4546" s="15" t="s">
        <v>27</v>
      </c>
      <c r="H4546" s="15" t="n">
        <v>3</v>
      </c>
      <c r="I4546" s="17" t="n">
        <v>0.3</v>
      </c>
      <c r="J4546" s="18" t="n">
        <v>141.13</v>
      </c>
      <c r="K4546" s="19" t="n">
        <v>-1.73</v>
      </c>
      <c r="L4546" s="15" t="n">
        <f aca="false">YEAR(B4546)</f>
        <v>2022</v>
      </c>
      <c r="M4546" s="20" t="n">
        <f aca="false">IF(J4546&gt;0,K4546/J4546,0)</f>
        <v>-0.0122582016580458</v>
      </c>
    </row>
    <row r="4547" customFormat="false" ht="15" hidden="false" customHeight="false" outlineLevel="0" collapsed="false">
      <c r="A4547" s="15" t="s">
        <v>4604</v>
      </c>
      <c r="B4547" s="16" t="n">
        <v>45693</v>
      </c>
      <c r="C4547" s="15" t="s">
        <v>56</v>
      </c>
      <c r="D4547" s="15" t="s">
        <v>42</v>
      </c>
      <c r="E4547" s="15" t="s">
        <v>39</v>
      </c>
      <c r="F4547" s="15" t="s">
        <v>16</v>
      </c>
      <c r="G4547" s="15" t="s">
        <v>23</v>
      </c>
      <c r="H4547" s="15" t="n">
        <v>2</v>
      </c>
      <c r="I4547" s="17" t="n">
        <v>0</v>
      </c>
      <c r="J4547" s="18" t="n">
        <v>700.78</v>
      </c>
      <c r="K4547" s="19" t="n">
        <v>17.7</v>
      </c>
      <c r="L4547" s="15" t="n">
        <f aca="false">YEAR(B4547)</f>
        <v>2025</v>
      </c>
      <c r="M4547" s="20" t="n">
        <f aca="false">IF(J4547&gt;0,K4547/J4547,0)</f>
        <v>0.025257570136134</v>
      </c>
    </row>
    <row r="4548" customFormat="false" ht="15" hidden="false" customHeight="false" outlineLevel="0" collapsed="false">
      <c r="A4548" s="15" t="s">
        <v>4605</v>
      </c>
      <c r="B4548" s="16" t="n">
        <v>45251</v>
      </c>
      <c r="C4548" s="15" t="s">
        <v>56</v>
      </c>
      <c r="D4548" s="15" t="s">
        <v>42</v>
      </c>
      <c r="E4548" s="15" t="s">
        <v>39</v>
      </c>
      <c r="F4548" s="15" t="s">
        <v>17</v>
      </c>
      <c r="G4548" s="15" t="s">
        <v>28</v>
      </c>
      <c r="H4548" s="15" t="n">
        <v>3</v>
      </c>
      <c r="I4548" s="17" t="n">
        <v>0.15</v>
      </c>
      <c r="J4548" s="18" t="n">
        <v>58.55</v>
      </c>
      <c r="K4548" s="19" t="n">
        <v>11.12</v>
      </c>
      <c r="L4548" s="15" t="n">
        <f aca="false">YEAR(B4548)</f>
        <v>2023</v>
      </c>
      <c r="M4548" s="20" t="n">
        <f aca="false">IF(J4548&gt;0,K4548/J4548,0)</f>
        <v>0.189923142613151</v>
      </c>
    </row>
    <row r="4549" customFormat="false" ht="15" hidden="false" customHeight="false" outlineLevel="0" collapsed="false">
      <c r="A4549" s="15" t="s">
        <v>4606</v>
      </c>
      <c r="B4549" s="16" t="n">
        <v>45731</v>
      </c>
      <c r="C4549" s="15" t="s">
        <v>56</v>
      </c>
      <c r="D4549" s="15" t="s">
        <v>42</v>
      </c>
      <c r="E4549" s="15" t="s">
        <v>38</v>
      </c>
      <c r="F4549" s="15" t="s">
        <v>17</v>
      </c>
      <c r="G4549" s="15" t="s">
        <v>31</v>
      </c>
      <c r="H4549" s="15" t="n">
        <v>2</v>
      </c>
      <c r="I4549" s="17" t="n">
        <v>0.5</v>
      </c>
      <c r="J4549" s="18" t="n">
        <v>110.49</v>
      </c>
      <c r="K4549" s="19" t="n">
        <v>-26.92</v>
      </c>
      <c r="L4549" s="15" t="n">
        <f aca="false">YEAR(B4549)</f>
        <v>2025</v>
      </c>
      <c r="M4549" s="20" t="n">
        <f aca="false">IF(J4549&gt;0,K4549/J4549,0)</f>
        <v>-0.243641958548285</v>
      </c>
    </row>
    <row r="4550" customFormat="false" ht="15" hidden="false" customHeight="false" outlineLevel="0" collapsed="false">
      <c r="A4550" s="15" t="s">
        <v>4607</v>
      </c>
      <c r="B4550" s="16" t="n">
        <v>45697</v>
      </c>
      <c r="C4550" s="15" t="s">
        <v>56</v>
      </c>
      <c r="D4550" s="15" t="s">
        <v>43</v>
      </c>
      <c r="E4550" s="15" t="s">
        <v>39</v>
      </c>
      <c r="F4550" s="15" t="s">
        <v>18</v>
      </c>
      <c r="G4550" s="15" t="s">
        <v>32</v>
      </c>
      <c r="H4550" s="15" t="n">
        <v>1</v>
      </c>
      <c r="I4550" s="17" t="n">
        <v>0.1</v>
      </c>
      <c r="J4550" s="18" t="n">
        <v>504.16</v>
      </c>
      <c r="K4550" s="19" t="n">
        <v>51.67</v>
      </c>
      <c r="L4550" s="15" t="n">
        <f aca="false">YEAR(B4550)</f>
        <v>2025</v>
      </c>
      <c r="M4550" s="20" t="n">
        <f aca="false">IF(J4550&gt;0,K4550/J4550,0)</f>
        <v>0.102487305617264</v>
      </c>
    </row>
    <row r="4551" customFormat="false" ht="15" hidden="false" customHeight="false" outlineLevel="0" collapsed="false">
      <c r="A4551" s="15" t="s">
        <v>4608</v>
      </c>
      <c r="B4551" s="16" t="n">
        <v>45196</v>
      </c>
      <c r="C4551" s="15" t="s">
        <v>56</v>
      </c>
      <c r="D4551" s="15" t="s">
        <v>43</v>
      </c>
      <c r="E4551" s="15" t="s">
        <v>39</v>
      </c>
      <c r="F4551" s="15" t="s">
        <v>16</v>
      </c>
      <c r="G4551" s="15" t="s">
        <v>22</v>
      </c>
      <c r="H4551" s="15" t="n">
        <v>5</v>
      </c>
      <c r="I4551" s="17" t="n">
        <v>0.15</v>
      </c>
      <c r="J4551" s="18" t="n">
        <v>2457.13</v>
      </c>
      <c r="K4551" s="19" t="n">
        <v>-318.96</v>
      </c>
      <c r="L4551" s="15" t="n">
        <f aca="false">YEAR(B4551)</f>
        <v>2023</v>
      </c>
      <c r="M4551" s="20" t="n">
        <f aca="false">IF(J4551&gt;0,K4551/J4551,0)</f>
        <v>-0.129809981563857</v>
      </c>
    </row>
    <row r="4552" customFormat="false" ht="15" hidden="false" customHeight="false" outlineLevel="0" collapsed="false">
      <c r="A4552" s="15" t="s">
        <v>4609</v>
      </c>
      <c r="B4552" s="16" t="n">
        <v>44932</v>
      </c>
      <c r="C4552" s="15" t="s">
        <v>56</v>
      </c>
      <c r="D4552" s="15" t="s">
        <v>42</v>
      </c>
      <c r="E4552" s="15" t="s">
        <v>39</v>
      </c>
      <c r="F4552" s="15" t="s">
        <v>16</v>
      </c>
      <c r="G4552" s="15" t="s">
        <v>25</v>
      </c>
      <c r="H4552" s="15" t="n">
        <v>4</v>
      </c>
      <c r="I4552" s="17" t="n">
        <v>0</v>
      </c>
      <c r="J4552" s="18" t="n">
        <v>1128.3</v>
      </c>
      <c r="K4552" s="19" t="n">
        <v>166.57</v>
      </c>
      <c r="L4552" s="15" t="n">
        <f aca="false">YEAR(B4552)</f>
        <v>2023</v>
      </c>
      <c r="M4552" s="20" t="n">
        <f aca="false">IF(J4552&gt;0,K4552/J4552,0)</f>
        <v>0.147629176637419</v>
      </c>
    </row>
    <row r="4553" customFormat="false" ht="15" hidden="false" customHeight="false" outlineLevel="0" collapsed="false">
      <c r="A4553" s="15" t="s">
        <v>4610</v>
      </c>
      <c r="B4553" s="16" t="n">
        <v>45080</v>
      </c>
      <c r="C4553" s="15" t="s">
        <v>56</v>
      </c>
      <c r="D4553" s="15" t="s">
        <v>44</v>
      </c>
      <c r="E4553" s="15" t="s">
        <v>38</v>
      </c>
      <c r="F4553" s="15" t="s">
        <v>16</v>
      </c>
      <c r="G4553" s="15" t="s">
        <v>27</v>
      </c>
      <c r="H4553" s="15" t="n">
        <v>4</v>
      </c>
      <c r="I4553" s="17" t="n">
        <v>0.1</v>
      </c>
      <c r="J4553" s="18" t="n">
        <v>202.8</v>
      </c>
      <c r="K4553" s="19" t="n">
        <v>27.13</v>
      </c>
      <c r="L4553" s="15" t="n">
        <f aca="false">YEAR(B4553)</f>
        <v>2023</v>
      </c>
      <c r="M4553" s="20" t="n">
        <f aca="false">IF(J4553&gt;0,K4553/J4553,0)</f>
        <v>0.133777120315582</v>
      </c>
    </row>
    <row r="4554" customFormat="false" ht="15" hidden="false" customHeight="false" outlineLevel="0" collapsed="false">
      <c r="A4554" s="15" t="s">
        <v>4611</v>
      </c>
      <c r="B4554" s="16" t="n">
        <v>44910</v>
      </c>
      <c r="C4554" s="15" t="s">
        <v>71</v>
      </c>
      <c r="D4554" s="15" t="s">
        <v>43</v>
      </c>
      <c r="E4554" s="15" t="s">
        <v>38</v>
      </c>
      <c r="F4554" s="15" t="s">
        <v>17</v>
      </c>
      <c r="G4554" s="15" t="s">
        <v>29</v>
      </c>
      <c r="H4554" s="15" t="n">
        <v>3</v>
      </c>
      <c r="I4554" s="17" t="n">
        <v>0.1</v>
      </c>
      <c r="J4554" s="18" t="n">
        <v>48.64</v>
      </c>
      <c r="K4554" s="19" t="n">
        <v>14.4</v>
      </c>
      <c r="L4554" s="15" t="n">
        <f aca="false">YEAR(B4554)</f>
        <v>2022</v>
      </c>
      <c r="M4554" s="20" t="n">
        <f aca="false">IF(J4554&gt;0,K4554/J4554,0)</f>
        <v>0.296052631578947</v>
      </c>
    </row>
    <row r="4555" customFormat="false" ht="15" hidden="false" customHeight="false" outlineLevel="0" collapsed="false">
      <c r="A4555" s="15" t="s">
        <v>4612</v>
      </c>
      <c r="B4555" s="16" t="n">
        <v>45937</v>
      </c>
      <c r="C4555" s="15" t="s">
        <v>71</v>
      </c>
      <c r="D4555" s="15" t="s">
        <v>43</v>
      </c>
      <c r="E4555" s="15" t="s">
        <v>39</v>
      </c>
      <c r="F4555" s="15" t="s">
        <v>17</v>
      </c>
      <c r="G4555" s="15" t="s">
        <v>28</v>
      </c>
      <c r="H4555" s="15" t="n">
        <v>1</v>
      </c>
      <c r="I4555" s="17" t="n">
        <v>0.2</v>
      </c>
      <c r="J4555" s="18" t="n">
        <v>22.79</v>
      </c>
      <c r="K4555" s="19" t="n">
        <v>2.83</v>
      </c>
      <c r="L4555" s="15" t="n">
        <f aca="false">YEAR(B4555)</f>
        <v>2025</v>
      </c>
      <c r="M4555" s="20" t="n">
        <f aca="false">IF(J4555&gt;0,K4555/J4555,0)</f>
        <v>0.124177270732778</v>
      </c>
    </row>
    <row r="4556" customFormat="false" ht="15" hidden="false" customHeight="false" outlineLevel="0" collapsed="false">
      <c r="A4556" s="15" t="s">
        <v>4613</v>
      </c>
      <c r="B4556" s="16" t="n">
        <v>45127</v>
      </c>
      <c r="C4556" s="15" t="s">
        <v>56</v>
      </c>
      <c r="D4556" s="15" t="s">
        <v>44</v>
      </c>
      <c r="E4556" s="15" t="s">
        <v>36</v>
      </c>
      <c r="F4556" s="15" t="s">
        <v>17</v>
      </c>
      <c r="G4556" s="15" t="s">
        <v>28</v>
      </c>
      <c r="H4556" s="15" t="n">
        <v>3</v>
      </c>
      <c r="I4556" s="17" t="n">
        <v>0</v>
      </c>
      <c r="J4556" s="18" t="n">
        <v>67.72</v>
      </c>
      <c r="K4556" s="19" t="n">
        <v>18.2</v>
      </c>
      <c r="L4556" s="15" t="n">
        <f aca="false">YEAR(B4556)</f>
        <v>2023</v>
      </c>
      <c r="M4556" s="20" t="n">
        <f aca="false">IF(J4556&gt;0,K4556/J4556,0)</f>
        <v>0.268753691671589</v>
      </c>
    </row>
    <row r="4557" customFormat="false" ht="15" hidden="false" customHeight="false" outlineLevel="0" collapsed="false">
      <c r="A4557" s="15" t="s">
        <v>4614</v>
      </c>
      <c r="B4557" s="16" t="n">
        <v>45297</v>
      </c>
      <c r="C4557" s="15" t="s">
        <v>56</v>
      </c>
      <c r="D4557" s="15" t="s">
        <v>42</v>
      </c>
      <c r="E4557" s="15" t="s">
        <v>39</v>
      </c>
      <c r="F4557" s="15" t="s">
        <v>17</v>
      </c>
      <c r="G4557" s="15" t="s">
        <v>28</v>
      </c>
      <c r="H4557" s="15" t="n">
        <v>2</v>
      </c>
      <c r="I4557" s="17" t="n">
        <v>0.2</v>
      </c>
      <c r="J4557" s="18" t="n">
        <v>45.08</v>
      </c>
      <c r="K4557" s="19" t="n">
        <v>5.27</v>
      </c>
      <c r="L4557" s="15" t="n">
        <f aca="false">YEAR(B4557)</f>
        <v>2024</v>
      </c>
      <c r="M4557" s="20" t="n">
        <f aca="false">IF(J4557&gt;0,K4557/J4557,0)</f>
        <v>0.116903283052351</v>
      </c>
    </row>
    <row r="4558" customFormat="false" ht="15" hidden="false" customHeight="false" outlineLevel="0" collapsed="false">
      <c r="A4558" s="15" t="s">
        <v>4615</v>
      </c>
      <c r="B4558" s="16" t="n">
        <v>45831</v>
      </c>
      <c r="C4558" s="15" t="s">
        <v>56</v>
      </c>
      <c r="D4558" s="15" t="s">
        <v>42</v>
      </c>
      <c r="E4558" s="15" t="s">
        <v>36</v>
      </c>
      <c r="F4558" s="15" t="s">
        <v>16</v>
      </c>
      <c r="G4558" s="15" t="s">
        <v>22</v>
      </c>
      <c r="H4558" s="15" t="n">
        <v>1</v>
      </c>
      <c r="I4558" s="17" t="n">
        <v>0.3</v>
      </c>
      <c r="J4558" s="18" t="n">
        <v>339.25</v>
      </c>
      <c r="K4558" s="19" t="n">
        <v>-103.9</v>
      </c>
      <c r="L4558" s="15" t="n">
        <f aca="false">YEAR(B4558)</f>
        <v>2025</v>
      </c>
      <c r="M4558" s="20" t="n">
        <f aca="false">IF(J4558&gt;0,K4558/J4558,0)</f>
        <v>-0.30626381724392</v>
      </c>
    </row>
    <row r="4559" customFormat="false" ht="15" hidden="false" customHeight="false" outlineLevel="0" collapsed="false">
      <c r="A4559" s="15" t="s">
        <v>4616</v>
      </c>
      <c r="B4559" s="16" t="n">
        <v>45684</v>
      </c>
      <c r="C4559" s="15" t="s">
        <v>56</v>
      </c>
      <c r="D4559" s="15" t="s">
        <v>42</v>
      </c>
      <c r="E4559" s="15" t="s">
        <v>37</v>
      </c>
      <c r="F4559" s="15" t="s">
        <v>16</v>
      </c>
      <c r="G4559" s="15" t="s">
        <v>25</v>
      </c>
      <c r="H4559" s="15" t="n">
        <v>5</v>
      </c>
      <c r="I4559" s="17" t="n">
        <v>0.15</v>
      </c>
      <c r="J4559" s="18" t="n">
        <v>1093.49</v>
      </c>
      <c r="K4559" s="19" t="n">
        <v>1.03</v>
      </c>
      <c r="L4559" s="15" t="n">
        <f aca="false">YEAR(B4559)</f>
        <v>2025</v>
      </c>
      <c r="M4559" s="20" t="n">
        <f aca="false">IF(J4559&gt;0,K4559/J4559,0)</f>
        <v>0.000941938197880182</v>
      </c>
    </row>
    <row r="4560" customFormat="false" ht="15" hidden="false" customHeight="false" outlineLevel="0" collapsed="false">
      <c r="A4560" s="15" t="s">
        <v>4617</v>
      </c>
      <c r="B4560" s="16" t="n">
        <v>45698</v>
      </c>
      <c r="C4560" s="15" t="s">
        <v>56</v>
      </c>
      <c r="D4560" s="15" t="s">
        <v>42</v>
      </c>
      <c r="E4560" s="15" t="s">
        <v>37</v>
      </c>
      <c r="F4560" s="15" t="s">
        <v>17</v>
      </c>
      <c r="G4560" s="15" t="s">
        <v>29</v>
      </c>
      <c r="H4560" s="15" t="n">
        <v>5</v>
      </c>
      <c r="I4560" s="17" t="n">
        <v>0</v>
      </c>
      <c r="J4560" s="18" t="n">
        <v>100.75</v>
      </c>
      <c r="K4560" s="19" t="n">
        <v>32.63</v>
      </c>
      <c r="L4560" s="15" t="n">
        <f aca="false">YEAR(B4560)</f>
        <v>2025</v>
      </c>
      <c r="M4560" s="20" t="n">
        <f aca="false">IF(J4560&gt;0,K4560/J4560,0)</f>
        <v>0.323870967741936</v>
      </c>
    </row>
    <row r="4561" customFormat="false" ht="15" hidden="false" customHeight="false" outlineLevel="0" collapsed="false">
      <c r="A4561" s="15" t="s">
        <v>4618</v>
      </c>
      <c r="B4561" s="16" t="n">
        <v>44684</v>
      </c>
      <c r="C4561" s="15" t="s">
        <v>58</v>
      </c>
      <c r="D4561" s="15" t="s">
        <v>44</v>
      </c>
      <c r="E4561" s="15" t="s">
        <v>39</v>
      </c>
      <c r="F4561" s="15" t="s">
        <v>17</v>
      </c>
      <c r="G4561" s="15" t="s">
        <v>26</v>
      </c>
      <c r="H4561" s="15" t="n">
        <v>3</v>
      </c>
      <c r="I4561" s="17" t="n">
        <v>0.2</v>
      </c>
      <c r="J4561" s="18" t="n">
        <v>235.08</v>
      </c>
      <c r="K4561" s="19" t="n">
        <v>-19.78</v>
      </c>
      <c r="L4561" s="15" t="n">
        <f aca="false">YEAR(B4561)</f>
        <v>2022</v>
      </c>
      <c r="M4561" s="20" t="n">
        <f aca="false">IF(J4561&gt;0,K4561/J4561,0)</f>
        <v>-0.0841415688276331</v>
      </c>
    </row>
    <row r="4562" customFormat="false" ht="15" hidden="false" customHeight="false" outlineLevel="0" collapsed="false">
      <c r="A4562" s="15" t="s">
        <v>4619</v>
      </c>
      <c r="B4562" s="16" t="n">
        <v>44685</v>
      </c>
      <c r="C4562" s="15" t="s">
        <v>71</v>
      </c>
      <c r="D4562" s="15" t="s">
        <v>42</v>
      </c>
      <c r="E4562" s="15" t="s">
        <v>38</v>
      </c>
      <c r="F4562" s="15" t="s">
        <v>17</v>
      </c>
      <c r="G4562" s="15" t="s">
        <v>28</v>
      </c>
      <c r="H4562" s="15" t="n">
        <v>3</v>
      </c>
      <c r="I4562" s="17" t="n">
        <v>0.4</v>
      </c>
      <c r="J4562" s="18" t="n">
        <v>37.91</v>
      </c>
      <c r="K4562" s="19" t="n">
        <v>-3.76</v>
      </c>
      <c r="L4562" s="15" t="n">
        <f aca="false">YEAR(B4562)</f>
        <v>2022</v>
      </c>
      <c r="M4562" s="20" t="n">
        <f aca="false">IF(J4562&gt;0,K4562/J4562,0)</f>
        <v>-0.0991822738063835</v>
      </c>
    </row>
    <row r="4563" customFormat="false" ht="15" hidden="false" customHeight="false" outlineLevel="0" collapsed="false">
      <c r="A4563" s="15" t="s">
        <v>4620</v>
      </c>
      <c r="B4563" s="16" t="n">
        <v>44729</v>
      </c>
      <c r="C4563" s="15" t="s">
        <v>56</v>
      </c>
      <c r="D4563" s="15" t="s">
        <v>42</v>
      </c>
      <c r="E4563" s="15" t="s">
        <v>39</v>
      </c>
      <c r="F4563" s="15" t="s">
        <v>16</v>
      </c>
      <c r="G4563" s="15" t="s">
        <v>27</v>
      </c>
      <c r="H4563" s="15" t="n">
        <v>2</v>
      </c>
      <c r="I4563" s="17" t="n">
        <v>0.15</v>
      </c>
      <c r="J4563" s="18" t="n">
        <v>121.22</v>
      </c>
      <c r="K4563" s="19" t="n">
        <v>6.16</v>
      </c>
      <c r="L4563" s="15" t="n">
        <f aca="false">YEAR(B4563)</f>
        <v>2022</v>
      </c>
      <c r="M4563" s="20" t="n">
        <f aca="false">IF(J4563&gt;0,K4563/J4563,0)</f>
        <v>0.0508166969147005</v>
      </c>
    </row>
    <row r="4564" customFormat="false" ht="15" hidden="false" customHeight="false" outlineLevel="0" collapsed="false">
      <c r="A4564" s="15" t="s">
        <v>4621</v>
      </c>
      <c r="B4564" s="16" t="n">
        <v>45272</v>
      </c>
      <c r="C4564" s="15" t="s">
        <v>71</v>
      </c>
      <c r="D4564" s="15" t="s">
        <v>44</v>
      </c>
      <c r="E4564" s="15" t="s">
        <v>37</v>
      </c>
      <c r="F4564" s="15" t="s">
        <v>16</v>
      </c>
      <c r="G4564" s="15" t="s">
        <v>25</v>
      </c>
      <c r="H4564" s="15" t="n">
        <v>1</v>
      </c>
      <c r="I4564" s="17" t="n">
        <v>0.5</v>
      </c>
      <c r="J4564" s="18" t="n">
        <v>153.93</v>
      </c>
      <c r="K4564" s="19" t="n">
        <v>-56.09</v>
      </c>
      <c r="L4564" s="15" t="n">
        <f aca="false">YEAR(B4564)</f>
        <v>2023</v>
      </c>
      <c r="M4564" s="20" t="n">
        <f aca="false">IF(J4564&gt;0,K4564/J4564,0)</f>
        <v>-0.364386409406873</v>
      </c>
    </row>
    <row r="4565" customFormat="false" ht="15" hidden="false" customHeight="false" outlineLevel="0" collapsed="false">
      <c r="A4565" s="15" t="s">
        <v>4622</v>
      </c>
      <c r="B4565" s="16" t="n">
        <v>44709</v>
      </c>
      <c r="C4565" s="15" t="s">
        <v>56</v>
      </c>
      <c r="D4565" s="15" t="s">
        <v>43</v>
      </c>
      <c r="E4565" s="15" t="s">
        <v>39</v>
      </c>
      <c r="F4565" s="15" t="s">
        <v>17</v>
      </c>
      <c r="G4565" s="15" t="s">
        <v>29</v>
      </c>
      <c r="H4565" s="15" t="n">
        <v>4</v>
      </c>
      <c r="I4565" s="17" t="n">
        <v>0</v>
      </c>
      <c r="J4565" s="18" t="n">
        <v>75.33</v>
      </c>
      <c r="K4565" s="19" t="n">
        <v>31.61</v>
      </c>
      <c r="L4565" s="15" t="n">
        <f aca="false">YEAR(B4565)</f>
        <v>2022</v>
      </c>
      <c r="M4565" s="20" t="n">
        <f aca="false">IF(J4565&gt;0,K4565/J4565,0)</f>
        <v>0.419620337183061</v>
      </c>
    </row>
    <row r="4566" customFormat="false" ht="15" hidden="false" customHeight="false" outlineLevel="0" collapsed="false">
      <c r="A4566" s="15" t="s">
        <v>4623</v>
      </c>
      <c r="B4566" s="16" t="n">
        <v>44942</v>
      </c>
      <c r="C4566" s="15" t="s">
        <v>71</v>
      </c>
      <c r="D4566" s="15" t="s">
        <v>42</v>
      </c>
      <c r="E4566" s="15" t="s">
        <v>37</v>
      </c>
      <c r="F4566" s="15" t="s">
        <v>17</v>
      </c>
      <c r="G4566" s="15" t="s">
        <v>28</v>
      </c>
      <c r="H4566" s="15" t="n">
        <v>1</v>
      </c>
      <c r="I4566" s="17" t="n">
        <v>0.05</v>
      </c>
      <c r="J4566" s="18" t="n">
        <v>20.65</v>
      </c>
      <c r="K4566" s="19" t="n">
        <v>4.88</v>
      </c>
      <c r="L4566" s="15" t="n">
        <f aca="false">YEAR(B4566)</f>
        <v>2023</v>
      </c>
      <c r="M4566" s="20" t="n">
        <f aca="false">IF(J4566&gt;0,K4566/J4566,0)</f>
        <v>0.236319612590799</v>
      </c>
    </row>
    <row r="4567" customFormat="false" ht="15" hidden="false" customHeight="false" outlineLevel="0" collapsed="false">
      <c r="A4567" s="15" t="s">
        <v>4624</v>
      </c>
      <c r="B4567" s="16" t="n">
        <v>45736</v>
      </c>
      <c r="C4567" s="15" t="s">
        <v>68</v>
      </c>
      <c r="D4567" s="15" t="s">
        <v>42</v>
      </c>
      <c r="E4567" s="15" t="s">
        <v>39</v>
      </c>
      <c r="F4567" s="15" t="s">
        <v>17</v>
      </c>
      <c r="G4567" s="15" t="s">
        <v>31</v>
      </c>
      <c r="H4567" s="15" t="n">
        <v>1</v>
      </c>
      <c r="I4567" s="17" t="n">
        <v>0.1</v>
      </c>
      <c r="J4567" s="18" t="n">
        <v>120.66</v>
      </c>
      <c r="K4567" s="19" t="n">
        <v>18.58</v>
      </c>
      <c r="L4567" s="15" t="n">
        <f aca="false">YEAR(B4567)</f>
        <v>2025</v>
      </c>
      <c r="M4567" s="20" t="n">
        <f aca="false">IF(J4567&gt;0,K4567/J4567,0)</f>
        <v>0.153986408088845</v>
      </c>
    </row>
    <row r="4568" customFormat="false" ht="15" hidden="false" customHeight="false" outlineLevel="0" collapsed="false">
      <c r="A4568" s="15" t="s">
        <v>4625</v>
      </c>
      <c r="B4568" s="16" t="n">
        <v>45478</v>
      </c>
      <c r="C4568" s="15" t="s">
        <v>56</v>
      </c>
      <c r="D4568" s="15" t="s">
        <v>44</v>
      </c>
      <c r="E4568" s="15" t="s">
        <v>39</v>
      </c>
      <c r="F4568" s="15" t="s">
        <v>16</v>
      </c>
      <c r="G4568" s="15" t="s">
        <v>25</v>
      </c>
      <c r="H4568" s="15" t="n">
        <v>2</v>
      </c>
      <c r="I4568" s="17" t="n">
        <v>0</v>
      </c>
      <c r="J4568" s="18" t="n">
        <v>666.64</v>
      </c>
      <c r="K4568" s="19" t="n">
        <v>90.26</v>
      </c>
      <c r="L4568" s="15" t="n">
        <f aca="false">YEAR(B4568)</f>
        <v>2024</v>
      </c>
      <c r="M4568" s="20" t="n">
        <f aca="false">IF(J4568&gt;0,K4568/J4568,0)</f>
        <v>0.135395415816633</v>
      </c>
    </row>
    <row r="4569" customFormat="false" ht="15" hidden="false" customHeight="false" outlineLevel="0" collapsed="false">
      <c r="A4569" s="15" t="s">
        <v>4626</v>
      </c>
      <c r="B4569" s="16" t="n">
        <v>45770</v>
      </c>
      <c r="C4569" s="15" t="s">
        <v>56</v>
      </c>
      <c r="D4569" s="15" t="s">
        <v>42</v>
      </c>
      <c r="E4569" s="15" t="s">
        <v>36</v>
      </c>
      <c r="F4569" s="15" t="s">
        <v>17</v>
      </c>
      <c r="G4569" s="15" t="s">
        <v>31</v>
      </c>
      <c r="H4569" s="15" t="n">
        <v>5</v>
      </c>
      <c r="I4569" s="17" t="n">
        <v>0.1</v>
      </c>
      <c r="J4569" s="18" t="n">
        <v>566.05</v>
      </c>
      <c r="K4569" s="19" t="n">
        <v>80.77</v>
      </c>
      <c r="L4569" s="15" t="n">
        <f aca="false">YEAR(B4569)</f>
        <v>2025</v>
      </c>
      <c r="M4569" s="20" t="n">
        <f aca="false">IF(J4569&gt;0,K4569/J4569,0)</f>
        <v>0.142690575037541</v>
      </c>
    </row>
    <row r="4570" customFormat="false" ht="15" hidden="false" customHeight="false" outlineLevel="0" collapsed="false">
      <c r="A4570" s="15" t="s">
        <v>4627</v>
      </c>
      <c r="B4570" s="16" t="n">
        <v>45424</v>
      </c>
      <c r="C4570" s="15" t="s">
        <v>56</v>
      </c>
      <c r="D4570" s="15" t="s">
        <v>44</v>
      </c>
      <c r="E4570" s="15" t="s">
        <v>36</v>
      </c>
      <c r="F4570" s="15" t="s">
        <v>18</v>
      </c>
      <c r="G4570" s="15" t="s">
        <v>30</v>
      </c>
      <c r="H4570" s="15" t="n">
        <v>6</v>
      </c>
      <c r="I4570" s="17" t="n">
        <v>0.1</v>
      </c>
      <c r="J4570" s="18" t="n">
        <v>208.35</v>
      </c>
      <c r="K4570" s="19" t="n">
        <v>34.83</v>
      </c>
      <c r="L4570" s="15" t="n">
        <f aca="false">YEAR(B4570)</f>
        <v>2024</v>
      </c>
      <c r="M4570" s="20" t="n">
        <f aca="false">IF(J4570&gt;0,K4570/J4570,0)</f>
        <v>0.167170626349892</v>
      </c>
    </row>
    <row r="4571" customFormat="false" ht="15" hidden="false" customHeight="false" outlineLevel="0" collapsed="false">
      <c r="A4571" s="15" t="s">
        <v>4628</v>
      </c>
      <c r="B4571" s="16" t="n">
        <v>45266</v>
      </c>
      <c r="C4571" s="15" t="s">
        <v>56</v>
      </c>
      <c r="D4571" s="15" t="s">
        <v>42</v>
      </c>
      <c r="E4571" s="15" t="s">
        <v>37</v>
      </c>
      <c r="F4571" s="15" t="s">
        <v>16</v>
      </c>
      <c r="G4571" s="15" t="s">
        <v>25</v>
      </c>
      <c r="H4571" s="15" t="n">
        <v>2</v>
      </c>
      <c r="I4571" s="17" t="n">
        <v>0</v>
      </c>
      <c r="J4571" s="18" t="n">
        <v>579.98</v>
      </c>
      <c r="K4571" s="19" t="n">
        <v>1.47</v>
      </c>
      <c r="L4571" s="15" t="n">
        <f aca="false">YEAR(B4571)</f>
        <v>2023</v>
      </c>
      <c r="M4571" s="20" t="n">
        <f aca="false">IF(J4571&gt;0,K4571/J4571,0)</f>
        <v>0.00253457015759164</v>
      </c>
    </row>
    <row r="4572" customFormat="false" ht="15" hidden="false" customHeight="false" outlineLevel="0" collapsed="false">
      <c r="A4572" s="15" t="s">
        <v>4629</v>
      </c>
      <c r="B4572" s="16" t="n">
        <v>45039</v>
      </c>
      <c r="C4572" s="15" t="s">
        <v>68</v>
      </c>
      <c r="D4572" s="15" t="s">
        <v>43</v>
      </c>
      <c r="E4572" s="15" t="s">
        <v>39</v>
      </c>
      <c r="F4572" s="15" t="s">
        <v>18</v>
      </c>
      <c r="G4572" s="15" t="s">
        <v>30</v>
      </c>
      <c r="H4572" s="15" t="n">
        <v>2</v>
      </c>
      <c r="I4572" s="17" t="n">
        <v>0</v>
      </c>
      <c r="J4572" s="18" t="n">
        <v>101.18</v>
      </c>
      <c r="K4572" s="19" t="n">
        <v>27.6</v>
      </c>
      <c r="L4572" s="15" t="n">
        <f aca="false">YEAR(B4572)</f>
        <v>2023</v>
      </c>
      <c r="M4572" s="20" t="n">
        <f aca="false">IF(J4572&gt;0,K4572/J4572,0)</f>
        <v>0.272781182051789</v>
      </c>
    </row>
    <row r="4573" customFormat="false" ht="15" hidden="false" customHeight="false" outlineLevel="0" collapsed="false">
      <c r="A4573" s="15" t="s">
        <v>4630</v>
      </c>
      <c r="B4573" s="16" t="n">
        <v>45368</v>
      </c>
      <c r="C4573" s="15" t="s">
        <v>68</v>
      </c>
      <c r="D4573" s="15" t="s">
        <v>42</v>
      </c>
      <c r="E4573" s="15" t="s">
        <v>39</v>
      </c>
      <c r="F4573" s="15" t="s">
        <v>18</v>
      </c>
      <c r="G4573" s="15" t="s">
        <v>32</v>
      </c>
      <c r="H4573" s="15" t="n">
        <v>1</v>
      </c>
      <c r="I4573" s="17" t="n">
        <v>0</v>
      </c>
      <c r="J4573" s="18" t="n">
        <v>407.47</v>
      </c>
      <c r="K4573" s="19" t="n">
        <v>84.7</v>
      </c>
      <c r="L4573" s="15" t="n">
        <f aca="false">YEAR(B4573)</f>
        <v>2024</v>
      </c>
      <c r="M4573" s="20" t="n">
        <f aca="false">IF(J4573&gt;0,K4573/J4573,0)</f>
        <v>0.207868063906545</v>
      </c>
    </row>
    <row r="4574" customFormat="false" ht="15" hidden="false" customHeight="false" outlineLevel="0" collapsed="false">
      <c r="A4574" s="15" t="s">
        <v>4631</v>
      </c>
      <c r="B4574" s="16" t="n">
        <v>45618</v>
      </c>
      <c r="C4574" s="15" t="s">
        <v>56</v>
      </c>
      <c r="D4574" s="15" t="s">
        <v>43</v>
      </c>
      <c r="E4574" s="15" t="s">
        <v>37</v>
      </c>
      <c r="F4574" s="15" t="s">
        <v>17</v>
      </c>
      <c r="G4574" s="15" t="s">
        <v>28</v>
      </c>
      <c r="H4574" s="15" t="n">
        <v>5</v>
      </c>
      <c r="I4574" s="17" t="n">
        <v>0.2</v>
      </c>
      <c r="J4574" s="18" t="n">
        <v>149.09</v>
      </c>
      <c r="K4574" s="19" t="n">
        <v>19.82</v>
      </c>
      <c r="L4574" s="15" t="n">
        <f aca="false">YEAR(B4574)</f>
        <v>2024</v>
      </c>
      <c r="M4574" s="20" t="n">
        <f aca="false">IF(J4574&gt;0,K4574/J4574,0)</f>
        <v>0.132939834998994</v>
      </c>
    </row>
    <row r="4575" customFormat="false" ht="15" hidden="false" customHeight="false" outlineLevel="0" collapsed="false">
      <c r="A4575" s="15" t="s">
        <v>4632</v>
      </c>
      <c r="B4575" s="16" t="n">
        <v>45889</v>
      </c>
      <c r="C4575" s="15" t="s">
        <v>56</v>
      </c>
      <c r="D4575" s="15" t="s">
        <v>42</v>
      </c>
      <c r="E4575" s="15" t="s">
        <v>39</v>
      </c>
      <c r="F4575" s="15" t="s">
        <v>17</v>
      </c>
      <c r="G4575" s="15" t="s">
        <v>26</v>
      </c>
      <c r="H4575" s="15" t="n">
        <v>2</v>
      </c>
      <c r="I4575" s="17" t="n">
        <v>0.2</v>
      </c>
      <c r="J4575" s="18" t="n">
        <v>145.36</v>
      </c>
      <c r="K4575" s="19" t="n">
        <v>-6.2</v>
      </c>
      <c r="L4575" s="15" t="n">
        <f aca="false">YEAR(B4575)</f>
        <v>2025</v>
      </c>
      <c r="M4575" s="20" t="n">
        <f aca="false">IF(J4575&gt;0,K4575/J4575,0)</f>
        <v>-0.042652724270776</v>
      </c>
    </row>
    <row r="4576" customFormat="false" ht="15" hidden="false" customHeight="false" outlineLevel="0" collapsed="false">
      <c r="A4576" s="15" t="s">
        <v>4633</v>
      </c>
      <c r="B4576" s="16" t="n">
        <v>44864</v>
      </c>
      <c r="C4576" s="15" t="s">
        <v>68</v>
      </c>
      <c r="D4576" s="15" t="s">
        <v>42</v>
      </c>
      <c r="E4576" s="15" t="s">
        <v>38</v>
      </c>
      <c r="F4576" s="15" t="s">
        <v>17</v>
      </c>
      <c r="G4576" s="15" t="s">
        <v>28</v>
      </c>
      <c r="H4576" s="15" t="n">
        <v>4</v>
      </c>
      <c r="I4576" s="17" t="n">
        <v>0</v>
      </c>
      <c r="J4576" s="18" t="n">
        <v>92.32</v>
      </c>
      <c r="K4576" s="19" t="n">
        <v>29.54</v>
      </c>
      <c r="L4576" s="15" t="n">
        <f aca="false">YEAR(B4576)</f>
        <v>2022</v>
      </c>
      <c r="M4576" s="20" t="n">
        <f aca="false">IF(J4576&gt;0,K4576/J4576,0)</f>
        <v>0.319974003466205</v>
      </c>
    </row>
    <row r="4577" customFormat="false" ht="15" hidden="false" customHeight="false" outlineLevel="0" collapsed="false">
      <c r="A4577" s="15" t="s">
        <v>4634</v>
      </c>
      <c r="B4577" s="16" t="n">
        <v>45544</v>
      </c>
      <c r="C4577" s="15" t="s">
        <v>68</v>
      </c>
      <c r="D4577" s="15" t="s">
        <v>43</v>
      </c>
      <c r="E4577" s="15" t="s">
        <v>39</v>
      </c>
      <c r="F4577" s="15" t="s">
        <v>17</v>
      </c>
      <c r="G4577" s="15" t="s">
        <v>29</v>
      </c>
      <c r="H4577" s="15" t="n">
        <v>2</v>
      </c>
      <c r="I4577" s="17" t="n">
        <v>0.05</v>
      </c>
      <c r="J4577" s="18" t="n">
        <v>46.72</v>
      </c>
      <c r="K4577" s="19" t="n">
        <v>11.94</v>
      </c>
      <c r="L4577" s="15" t="n">
        <f aca="false">YEAR(B4577)</f>
        <v>2024</v>
      </c>
      <c r="M4577" s="20" t="n">
        <f aca="false">IF(J4577&gt;0,K4577/J4577,0)</f>
        <v>0.255565068493151</v>
      </c>
    </row>
    <row r="4578" customFormat="false" ht="15" hidden="false" customHeight="false" outlineLevel="0" collapsed="false">
      <c r="A4578" s="15" t="s">
        <v>4635</v>
      </c>
      <c r="B4578" s="16" t="n">
        <v>44884</v>
      </c>
      <c r="C4578" s="15" t="s">
        <v>71</v>
      </c>
      <c r="D4578" s="15" t="s">
        <v>42</v>
      </c>
      <c r="E4578" s="15" t="s">
        <v>39</v>
      </c>
      <c r="F4578" s="15" t="s">
        <v>17</v>
      </c>
      <c r="G4578" s="15" t="s">
        <v>31</v>
      </c>
      <c r="H4578" s="15" t="n">
        <v>3</v>
      </c>
      <c r="I4578" s="17" t="n">
        <v>0</v>
      </c>
      <c r="J4578" s="18" t="n">
        <v>467.59</v>
      </c>
      <c r="K4578" s="19" t="n">
        <v>113.5</v>
      </c>
      <c r="L4578" s="15" t="n">
        <f aca="false">YEAR(B4578)</f>
        <v>2022</v>
      </c>
      <c r="M4578" s="20" t="n">
        <f aca="false">IF(J4578&gt;0,K4578/J4578,0)</f>
        <v>0.242734019119314</v>
      </c>
    </row>
    <row r="4579" customFormat="false" ht="15" hidden="false" customHeight="false" outlineLevel="0" collapsed="false">
      <c r="A4579" s="15" t="s">
        <v>4636</v>
      </c>
      <c r="B4579" s="16" t="n">
        <v>45988</v>
      </c>
      <c r="C4579" s="15" t="s">
        <v>56</v>
      </c>
      <c r="D4579" s="15" t="s">
        <v>44</v>
      </c>
      <c r="E4579" s="15" t="s">
        <v>36</v>
      </c>
      <c r="F4579" s="15" t="s">
        <v>16</v>
      </c>
      <c r="G4579" s="15" t="s">
        <v>27</v>
      </c>
      <c r="H4579" s="15" t="n">
        <v>3</v>
      </c>
      <c r="I4579" s="17" t="n">
        <v>0</v>
      </c>
      <c r="J4579" s="18" t="n">
        <v>169.36</v>
      </c>
      <c r="K4579" s="19" t="n">
        <v>38.69</v>
      </c>
      <c r="L4579" s="15" t="n">
        <f aca="false">YEAR(B4579)</f>
        <v>2025</v>
      </c>
      <c r="M4579" s="20" t="n">
        <f aca="false">IF(J4579&gt;0,K4579/J4579,0)</f>
        <v>0.228448275862069</v>
      </c>
    </row>
    <row r="4580" customFormat="false" ht="15" hidden="false" customHeight="false" outlineLevel="0" collapsed="false">
      <c r="A4580" s="15" t="s">
        <v>4637</v>
      </c>
      <c r="B4580" s="16" t="n">
        <v>45595</v>
      </c>
      <c r="C4580" s="15" t="s">
        <v>56</v>
      </c>
      <c r="D4580" s="15" t="s">
        <v>42</v>
      </c>
      <c r="E4580" s="15" t="s">
        <v>39</v>
      </c>
      <c r="F4580" s="15" t="s">
        <v>17</v>
      </c>
      <c r="G4580" s="15" t="s">
        <v>28</v>
      </c>
      <c r="H4580" s="15" t="n">
        <v>4</v>
      </c>
      <c r="I4580" s="17" t="n">
        <v>0.1</v>
      </c>
      <c r="J4580" s="18" t="n">
        <v>105.25</v>
      </c>
      <c r="K4580" s="19" t="n">
        <v>21.11</v>
      </c>
      <c r="L4580" s="15" t="n">
        <f aca="false">YEAR(B4580)</f>
        <v>2024</v>
      </c>
      <c r="M4580" s="20" t="n">
        <f aca="false">IF(J4580&gt;0,K4580/J4580,0)</f>
        <v>0.200570071258907</v>
      </c>
    </row>
    <row r="4581" customFormat="false" ht="15" hidden="false" customHeight="false" outlineLevel="0" collapsed="false">
      <c r="A4581" s="15" t="s">
        <v>4638</v>
      </c>
      <c r="B4581" s="16" t="n">
        <v>45599</v>
      </c>
      <c r="C4581" s="15" t="s">
        <v>56</v>
      </c>
      <c r="D4581" s="15" t="s">
        <v>42</v>
      </c>
      <c r="E4581" s="15" t="s">
        <v>37</v>
      </c>
      <c r="F4581" s="15" t="s">
        <v>17</v>
      </c>
      <c r="G4581" s="15" t="s">
        <v>28</v>
      </c>
      <c r="H4581" s="15" t="n">
        <v>2</v>
      </c>
      <c r="I4581" s="17" t="n">
        <v>0</v>
      </c>
      <c r="J4581" s="18" t="n">
        <v>40.85</v>
      </c>
      <c r="K4581" s="19" t="n">
        <v>14.19</v>
      </c>
      <c r="L4581" s="15" t="n">
        <f aca="false">YEAR(B4581)</f>
        <v>2024</v>
      </c>
      <c r="M4581" s="20" t="n">
        <f aca="false">IF(J4581&gt;0,K4581/J4581,0)</f>
        <v>0.347368421052632</v>
      </c>
    </row>
    <row r="4582" customFormat="false" ht="15" hidden="false" customHeight="false" outlineLevel="0" collapsed="false">
      <c r="A4582" s="15" t="s">
        <v>4639</v>
      </c>
      <c r="B4582" s="16" t="n">
        <v>44887</v>
      </c>
      <c r="C4582" s="15" t="s">
        <v>56</v>
      </c>
      <c r="D4582" s="15" t="s">
        <v>42</v>
      </c>
      <c r="E4582" s="15" t="s">
        <v>39</v>
      </c>
      <c r="F4582" s="15" t="s">
        <v>18</v>
      </c>
      <c r="G4582" s="15" t="s">
        <v>33</v>
      </c>
      <c r="H4582" s="15" t="n">
        <v>3</v>
      </c>
      <c r="I4582" s="17" t="n">
        <v>0</v>
      </c>
      <c r="J4582" s="18" t="n">
        <v>2822.71</v>
      </c>
      <c r="K4582" s="19" t="n">
        <v>861.1</v>
      </c>
      <c r="L4582" s="15" t="n">
        <f aca="false">YEAR(B4582)</f>
        <v>2022</v>
      </c>
      <c r="M4582" s="20" t="n">
        <f aca="false">IF(J4582&gt;0,K4582/J4582,0)</f>
        <v>0.305061448041067</v>
      </c>
    </row>
    <row r="4583" customFormat="false" ht="15" hidden="false" customHeight="false" outlineLevel="0" collapsed="false">
      <c r="A4583" s="15" t="s">
        <v>4640</v>
      </c>
      <c r="B4583" s="16" t="n">
        <v>45828</v>
      </c>
      <c r="C4583" s="15" t="s">
        <v>56</v>
      </c>
      <c r="D4583" s="15" t="s">
        <v>42</v>
      </c>
      <c r="E4583" s="15" t="s">
        <v>38</v>
      </c>
      <c r="F4583" s="15" t="s">
        <v>16</v>
      </c>
      <c r="G4583" s="15" t="s">
        <v>25</v>
      </c>
      <c r="H4583" s="15" t="n">
        <v>3</v>
      </c>
      <c r="I4583" s="17" t="n">
        <v>0</v>
      </c>
      <c r="J4583" s="18" t="n">
        <v>1000.23</v>
      </c>
      <c r="K4583" s="19" t="n">
        <v>143.05</v>
      </c>
      <c r="L4583" s="15" t="n">
        <f aca="false">YEAR(B4583)</f>
        <v>2025</v>
      </c>
      <c r="M4583" s="20" t="n">
        <f aca="false">IF(J4583&gt;0,K4583/J4583,0)</f>
        <v>0.143017106065605</v>
      </c>
    </row>
    <row r="4584" customFormat="false" ht="15" hidden="false" customHeight="false" outlineLevel="0" collapsed="false">
      <c r="A4584" s="15" t="s">
        <v>4641</v>
      </c>
      <c r="B4584" s="16" t="n">
        <v>46000</v>
      </c>
      <c r="C4584" s="15" t="s">
        <v>56</v>
      </c>
      <c r="D4584" s="15" t="s">
        <v>43</v>
      </c>
      <c r="E4584" s="15" t="s">
        <v>39</v>
      </c>
      <c r="F4584" s="15" t="s">
        <v>18</v>
      </c>
      <c r="G4584" s="15" t="s">
        <v>32</v>
      </c>
      <c r="H4584" s="15" t="n">
        <v>4</v>
      </c>
      <c r="I4584" s="17" t="n">
        <v>0</v>
      </c>
      <c r="J4584" s="18" t="n">
        <v>2567.54</v>
      </c>
      <c r="K4584" s="19" t="n">
        <v>476.18</v>
      </c>
      <c r="L4584" s="15" t="n">
        <f aca="false">YEAR(B4584)</f>
        <v>2025</v>
      </c>
      <c r="M4584" s="20" t="n">
        <f aca="false">IF(J4584&gt;0,K4584/J4584,0)</f>
        <v>0.185461570218964</v>
      </c>
    </row>
    <row r="4585" customFormat="false" ht="15" hidden="false" customHeight="false" outlineLevel="0" collapsed="false">
      <c r="A4585" s="15" t="s">
        <v>4642</v>
      </c>
      <c r="B4585" s="16" t="n">
        <v>44859</v>
      </c>
      <c r="C4585" s="15" t="s">
        <v>56</v>
      </c>
      <c r="D4585" s="15" t="s">
        <v>43</v>
      </c>
      <c r="E4585" s="15" t="s">
        <v>38</v>
      </c>
      <c r="F4585" s="15" t="s">
        <v>17</v>
      </c>
      <c r="G4585" s="15" t="s">
        <v>31</v>
      </c>
      <c r="H4585" s="15" t="n">
        <v>4</v>
      </c>
      <c r="I4585" s="17" t="n">
        <v>0</v>
      </c>
      <c r="J4585" s="18" t="n">
        <v>510.94</v>
      </c>
      <c r="K4585" s="19" t="n">
        <v>112.51</v>
      </c>
      <c r="L4585" s="15" t="n">
        <f aca="false">YEAR(B4585)</f>
        <v>2022</v>
      </c>
      <c r="M4585" s="20" t="n">
        <f aca="false">IF(J4585&gt;0,K4585/J4585,0)</f>
        <v>0.220201980663092</v>
      </c>
    </row>
    <row r="4586" customFormat="false" ht="15" hidden="false" customHeight="false" outlineLevel="0" collapsed="false">
      <c r="A4586" s="15" t="s">
        <v>4643</v>
      </c>
      <c r="B4586" s="16" t="n">
        <v>45281</v>
      </c>
      <c r="C4586" s="15" t="s">
        <v>68</v>
      </c>
      <c r="D4586" s="15" t="s">
        <v>43</v>
      </c>
      <c r="E4586" s="15" t="s">
        <v>39</v>
      </c>
      <c r="F4586" s="15" t="s">
        <v>17</v>
      </c>
      <c r="G4586" s="15" t="s">
        <v>29</v>
      </c>
      <c r="H4586" s="15" t="n">
        <v>7</v>
      </c>
      <c r="I4586" s="17" t="n">
        <v>0</v>
      </c>
      <c r="J4586" s="18" t="n">
        <v>132.72</v>
      </c>
      <c r="K4586" s="19" t="n">
        <v>45.89</v>
      </c>
      <c r="L4586" s="15" t="n">
        <f aca="false">YEAR(B4586)</f>
        <v>2023</v>
      </c>
      <c r="M4586" s="20" t="n">
        <f aca="false">IF(J4586&gt;0,K4586/J4586,0)</f>
        <v>0.345765521398433</v>
      </c>
    </row>
    <row r="4587" customFormat="false" ht="15" hidden="false" customHeight="false" outlineLevel="0" collapsed="false">
      <c r="A4587" s="15" t="s">
        <v>4644</v>
      </c>
      <c r="B4587" s="16" t="n">
        <v>45155</v>
      </c>
      <c r="C4587" s="15" t="s">
        <v>56</v>
      </c>
      <c r="D4587" s="15" t="s">
        <v>43</v>
      </c>
      <c r="E4587" s="15" t="s">
        <v>37</v>
      </c>
      <c r="F4587" s="15" t="s">
        <v>17</v>
      </c>
      <c r="G4587" s="15" t="s">
        <v>31</v>
      </c>
      <c r="H4587" s="15" t="n">
        <v>3</v>
      </c>
      <c r="I4587" s="17" t="n">
        <v>0.1</v>
      </c>
      <c r="J4587" s="18" t="n">
        <v>430.9</v>
      </c>
      <c r="K4587" s="19" t="n">
        <v>59.67</v>
      </c>
      <c r="L4587" s="15" t="n">
        <f aca="false">YEAR(B4587)</f>
        <v>2023</v>
      </c>
      <c r="M4587" s="20" t="n">
        <f aca="false">IF(J4587&gt;0,K4587/J4587,0)</f>
        <v>0.138477605012764</v>
      </c>
    </row>
    <row r="4588" customFormat="false" ht="15" hidden="false" customHeight="false" outlineLevel="0" collapsed="false">
      <c r="A4588" s="15" t="s">
        <v>4645</v>
      </c>
      <c r="B4588" s="16" t="n">
        <v>45881</v>
      </c>
      <c r="C4588" s="15" t="s">
        <v>56</v>
      </c>
      <c r="D4588" s="15" t="s">
        <v>43</v>
      </c>
      <c r="E4588" s="15" t="s">
        <v>39</v>
      </c>
      <c r="F4588" s="15" t="s">
        <v>17</v>
      </c>
      <c r="G4588" s="15" t="s">
        <v>29</v>
      </c>
      <c r="H4588" s="15" t="n">
        <v>5</v>
      </c>
      <c r="I4588" s="17" t="n">
        <v>0</v>
      </c>
      <c r="J4588" s="18" t="n">
        <v>93.41</v>
      </c>
      <c r="K4588" s="19" t="n">
        <v>33.87</v>
      </c>
      <c r="L4588" s="15" t="n">
        <f aca="false">YEAR(B4588)</f>
        <v>2025</v>
      </c>
      <c r="M4588" s="20" t="n">
        <f aca="false">IF(J4588&gt;0,K4588/J4588,0)</f>
        <v>0.362595011240767</v>
      </c>
    </row>
    <row r="4589" customFormat="false" ht="15" hidden="false" customHeight="false" outlineLevel="0" collapsed="false">
      <c r="A4589" s="15" t="s">
        <v>4646</v>
      </c>
      <c r="B4589" s="16" t="n">
        <v>45017</v>
      </c>
      <c r="C4589" s="15" t="s">
        <v>68</v>
      </c>
      <c r="D4589" s="15" t="s">
        <v>42</v>
      </c>
      <c r="E4589" s="15" t="s">
        <v>37</v>
      </c>
      <c r="F4589" s="15" t="s">
        <v>17</v>
      </c>
      <c r="G4589" s="15" t="s">
        <v>28</v>
      </c>
      <c r="H4589" s="15" t="n">
        <v>2</v>
      </c>
      <c r="I4589" s="17" t="n">
        <v>0.2</v>
      </c>
      <c r="J4589" s="18" t="n">
        <v>45.9</v>
      </c>
      <c r="K4589" s="19" t="n">
        <v>5.47</v>
      </c>
      <c r="L4589" s="15" t="n">
        <f aca="false">YEAR(B4589)</f>
        <v>2023</v>
      </c>
      <c r="M4589" s="20" t="n">
        <f aca="false">IF(J4589&gt;0,K4589/J4589,0)</f>
        <v>0.11917211328976</v>
      </c>
    </row>
    <row r="4590" customFormat="false" ht="15" hidden="false" customHeight="false" outlineLevel="0" collapsed="false">
      <c r="A4590" s="15" t="s">
        <v>4647</v>
      </c>
      <c r="B4590" s="16" t="n">
        <v>45036</v>
      </c>
      <c r="C4590" s="15" t="s">
        <v>56</v>
      </c>
      <c r="D4590" s="15" t="s">
        <v>42</v>
      </c>
      <c r="E4590" s="15" t="s">
        <v>36</v>
      </c>
      <c r="F4590" s="15" t="s">
        <v>17</v>
      </c>
      <c r="G4590" s="15" t="s">
        <v>29</v>
      </c>
      <c r="H4590" s="15" t="n">
        <v>1</v>
      </c>
      <c r="I4590" s="17" t="n">
        <v>0.1</v>
      </c>
      <c r="J4590" s="18" t="n">
        <v>13.94</v>
      </c>
      <c r="K4590" s="19" t="n">
        <v>4.75</v>
      </c>
      <c r="L4590" s="15" t="n">
        <f aca="false">YEAR(B4590)</f>
        <v>2023</v>
      </c>
      <c r="M4590" s="20" t="n">
        <f aca="false">IF(J4590&gt;0,K4590/J4590,0)</f>
        <v>0.340746054519369</v>
      </c>
    </row>
    <row r="4591" customFormat="false" ht="15" hidden="false" customHeight="false" outlineLevel="0" collapsed="false">
      <c r="A4591" s="15" t="s">
        <v>4648</v>
      </c>
      <c r="B4591" s="16" t="n">
        <v>45963</v>
      </c>
      <c r="C4591" s="15" t="s">
        <v>58</v>
      </c>
      <c r="D4591" s="15" t="s">
        <v>42</v>
      </c>
      <c r="E4591" s="15" t="s">
        <v>38</v>
      </c>
      <c r="F4591" s="15" t="s">
        <v>17</v>
      </c>
      <c r="G4591" s="15" t="s">
        <v>29</v>
      </c>
      <c r="H4591" s="15" t="n">
        <v>3</v>
      </c>
      <c r="I4591" s="17" t="n">
        <v>0</v>
      </c>
      <c r="J4591" s="18" t="n">
        <v>52.08</v>
      </c>
      <c r="K4591" s="19" t="n">
        <v>22.93</v>
      </c>
      <c r="L4591" s="15" t="n">
        <f aca="false">YEAR(B4591)</f>
        <v>2025</v>
      </c>
      <c r="M4591" s="20" t="n">
        <f aca="false">IF(J4591&gt;0,K4591/J4591,0)</f>
        <v>0.440284178187404</v>
      </c>
    </row>
    <row r="4592" customFormat="false" ht="15" hidden="false" customHeight="false" outlineLevel="0" collapsed="false">
      <c r="A4592" s="15" t="s">
        <v>4649</v>
      </c>
      <c r="B4592" s="16" t="n">
        <v>45115</v>
      </c>
      <c r="C4592" s="15" t="s">
        <v>68</v>
      </c>
      <c r="D4592" s="15" t="s">
        <v>43</v>
      </c>
      <c r="E4592" s="15" t="s">
        <v>36</v>
      </c>
      <c r="F4592" s="15" t="s">
        <v>17</v>
      </c>
      <c r="G4592" s="15" t="s">
        <v>29</v>
      </c>
      <c r="H4592" s="15" t="n">
        <v>5</v>
      </c>
      <c r="I4592" s="17" t="n">
        <v>0</v>
      </c>
      <c r="J4592" s="18" t="n">
        <v>95.99</v>
      </c>
      <c r="K4592" s="19" t="n">
        <v>35.5</v>
      </c>
      <c r="L4592" s="15" t="n">
        <f aca="false">YEAR(B4592)</f>
        <v>2023</v>
      </c>
      <c r="M4592" s="20" t="n">
        <f aca="false">IF(J4592&gt;0,K4592/J4592,0)</f>
        <v>0.369830190644859</v>
      </c>
    </row>
    <row r="4593" customFormat="false" ht="15" hidden="false" customHeight="false" outlineLevel="0" collapsed="false">
      <c r="A4593" s="15" t="s">
        <v>4650</v>
      </c>
      <c r="B4593" s="16" t="n">
        <v>45542</v>
      </c>
      <c r="C4593" s="15" t="s">
        <v>56</v>
      </c>
      <c r="D4593" s="15" t="s">
        <v>42</v>
      </c>
      <c r="E4593" s="15" t="s">
        <v>39</v>
      </c>
      <c r="F4593" s="15" t="s">
        <v>18</v>
      </c>
      <c r="G4593" s="15" t="s">
        <v>30</v>
      </c>
      <c r="H4593" s="15" t="n">
        <v>3</v>
      </c>
      <c r="I4593" s="17" t="n">
        <v>0</v>
      </c>
      <c r="J4593" s="18" t="n">
        <v>131.62</v>
      </c>
      <c r="K4593" s="19" t="n">
        <v>35.98</v>
      </c>
      <c r="L4593" s="15" t="n">
        <f aca="false">YEAR(B4593)</f>
        <v>2024</v>
      </c>
      <c r="M4593" s="20" t="n">
        <f aca="false">IF(J4593&gt;0,K4593/J4593,0)</f>
        <v>0.27336271083422</v>
      </c>
    </row>
    <row r="4594" customFormat="false" ht="15" hidden="false" customHeight="false" outlineLevel="0" collapsed="false">
      <c r="A4594" s="15" t="s">
        <v>4651</v>
      </c>
      <c r="B4594" s="16" t="n">
        <v>44606</v>
      </c>
      <c r="C4594" s="15" t="s">
        <v>56</v>
      </c>
      <c r="D4594" s="15" t="s">
        <v>42</v>
      </c>
      <c r="E4594" s="15" t="s">
        <v>36</v>
      </c>
      <c r="F4594" s="15" t="s">
        <v>16</v>
      </c>
      <c r="G4594" s="15" t="s">
        <v>23</v>
      </c>
      <c r="H4594" s="15" t="n">
        <v>5</v>
      </c>
      <c r="I4594" s="17" t="n">
        <v>0</v>
      </c>
      <c r="J4594" s="18" t="n">
        <v>1577.87</v>
      </c>
      <c r="K4594" s="19" t="n">
        <v>5.97</v>
      </c>
      <c r="L4594" s="15" t="n">
        <f aca="false">YEAR(B4594)</f>
        <v>2022</v>
      </c>
      <c r="M4594" s="20" t="n">
        <f aca="false">IF(J4594&gt;0,K4594/J4594,0)</f>
        <v>0.00378358166388866</v>
      </c>
    </row>
    <row r="4595" customFormat="false" ht="15" hidden="false" customHeight="false" outlineLevel="0" collapsed="false">
      <c r="A4595" s="15" t="s">
        <v>4652</v>
      </c>
      <c r="B4595" s="16" t="n">
        <v>45119</v>
      </c>
      <c r="C4595" s="15" t="s">
        <v>56</v>
      </c>
      <c r="D4595" s="15" t="s">
        <v>42</v>
      </c>
      <c r="E4595" s="15" t="s">
        <v>39</v>
      </c>
      <c r="F4595" s="15" t="s">
        <v>17</v>
      </c>
      <c r="G4595" s="15" t="s">
        <v>29</v>
      </c>
      <c r="H4595" s="15" t="n">
        <v>2</v>
      </c>
      <c r="I4595" s="17" t="n">
        <v>0.3</v>
      </c>
      <c r="J4595" s="18" t="n">
        <v>23.65</v>
      </c>
      <c r="K4595" s="19" t="n">
        <v>2.1</v>
      </c>
      <c r="L4595" s="15" t="n">
        <f aca="false">YEAR(B4595)</f>
        <v>2023</v>
      </c>
      <c r="M4595" s="20" t="n">
        <f aca="false">IF(J4595&gt;0,K4595/J4595,0)</f>
        <v>0.0887949260042283</v>
      </c>
    </row>
    <row r="4596" customFormat="false" ht="15" hidden="false" customHeight="false" outlineLevel="0" collapsed="false">
      <c r="A4596" s="15" t="s">
        <v>4653</v>
      </c>
      <c r="B4596" s="16" t="n">
        <v>45438</v>
      </c>
      <c r="C4596" s="15" t="s">
        <v>71</v>
      </c>
      <c r="D4596" s="15" t="s">
        <v>44</v>
      </c>
      <c r="E4596" s="15" t="s">
        <v>37</v>
      </c>
      <c r="F4596" s="15" t="s">
        <v>17</v>
      </c>
      <c r="G4596" s="15" t="s">
        <v>29</v>
      </c>
      <c r="H4596" s="15" t="n">
        <v>4</v>
      </c>
      <c r="I4596" s="17" t="n">
        <v>0</v>
      </c>
      <c r="J4596" s="18" t="n">
        <v>84.18</v>
      </c>
      <c r="K4596" s="19" t="n">
        <v>31.49</v>
      </c>
      <c r="L4596" s="15" t="n">
        <f aca="false">YEAR(B4596)</f>
        <v>2024</v>
      </c>
      <c r="M4596" s="20" t="n">
        <f aca="false">IF(J4596&gt;0,K4596/J4596,0)</f>
        <v>0.37407935376574</v>
      </c>
    </row>
    <row r="4597" customFormat="false" ht="15" hidden="false" customHeight="false" outlineLevel="0" collapsed="false">
      <c r="A4597" s="15" t="s">
        <v>4654</v>
      </c>
      <c r="B4597" s="16" t="n">
        <v>44983</v>
      </c>
      <c r="C4597" s="15" t="s">
        <v>56</v>
      </c>
      <c r="D4597" s="15" t="s">
        <v>43</v>
      </c>
      <c r="E4597" s="15" t="s">
        <v>38</v>
      </c>
      <c r="F4597" s="15" t="s">
        <v>17</v>
      </c>
      <c r="G4597" s="15" t="s">
        <v>29</v>
      </c>
      <c r="H4597" s="15" t="n">
        <v>8</v>
      </c>
      <c r="I4597" s="17" t="n">
        <v>0.2</v>
      </c>
      <c r="J4597" s="18" t="n">
        <v>116.15</v>
      </c>
      <c r="K4597" s="19" t="n">
        <v>29.41</v>
      </c>
      <c r="L4597" s="15" t="n">
        <f aca="false">YEAR(B4597)</f>
        <v>2023</v>
      </c>
      <c r="M4597" s="20" t="n">
        <f aca="false">IF(J4597&gt;0,K4597/J4597,0)</f>
        <v>0.253207059836418</v>
      </c>
    </row>
    <row r="4598" customFormat="false" ht="15" hidden="false" customHeight="false" outlineLevel="0" collapsed="false">
      <c r="A4598" s="15" t="s">
        <v>4655</v>
      </c>
      <c r="B4598" s="16" t="n">
        <v>45265</v>
      </c>
      <c r="C4598" s="15" t="s">
        <v>56</v>
      </c>
      <c r="D4598" s="15" t="s">
        <v>42</v>
      </c>
      <c r="E4598" s="15" t="s">
        <v>37</v>
      </c>
      <c r="F4598" s="15" t="s">
        <v>18</v>
      </c>
      <c r="G4598" s="15" t="s">
        <v>30</v>
      </c>
      <c r="H4598" s="15" t="n">
        <v>3</v>
      </c>
      <c r="I4598" s="17" t="n">
        <v>0</v>
      </c>
      <c r="J4598" s="18" t="n">
        <v>137.55</v>
      </c>
      <c r="K4598" s="19" t="n">
        <v>38.75</v>
      </c>
      <c r="L4598" s="15" t="n">
        <f aca="false">YEAR(B4598)</f>
        <v>2023</v>
      </c>
      <c r="M4598" s="20" t="n">
        <f aca="false">IF(J4598&gt;0,K4598/J4598,0)</f>
        <v>0.281715739731007</v>
      </c>
    </row>
    <row r="4599" customFormat="false" ht="15" hidden="false" customHeight="false" outlineLevel="0" collapsed="false">
      <c r="A4599" s="15" t="s">
        <v>4656</v>
      </c>
      <c r="B4599" s="16" t="n">
        <v>45018</v>
      </c>
      <c r="C4599" s="15" t="s">
        <v>56</v>
      </c>
      <c r="D4599" s="15" t="s">
        <v>42</v>
      </c>
      <c r="E4599" s="15" t="s">
        <v>38</v>
      </c>
      <c r="F4599" s="15" t="s">
        <v>16</v>
      </c>
      <c r="G4599" s="15" t="s">
        <v>25</v>
      </c>
      <c r="H4599" s="15" t="n">
        <v>2</v>
      </c>
      <c r="I4599" s="17" t="n">
        <v>0.05</v>
      </c>
      <c r="J4599" s="18" t="n">
        <v>459.29</v>
      </c>
      <c r="K4599" s="19" t="n">
        <v>24.78</v>
      </c>
      <c r="L4599" s="15" t="n">
        <f aca="false">YEAR(B4599)</f>
        <v>2023</v>
      </c>
      <c r="M4599" s="20" t="n">
        <f aca="false">IF(J4599&gt;0,K4599/J4599,0)</f>
        <v>0.0539528402534347</v>
      </c>
    </row>
    <row r="4600" customFormat="false" ht="15" hidden="false" customHeight="false" outlineLevel="0" collapsed="false">
      <c r="A4600" s="15" t="s">
        <v>4657</v>
      </c>
      <c r="B4600" s="16" t="n">
        <v>45296</v>
      </c>
      <c r="C4600" s="15" t="s">
        <v>56</v>
      </c>
      <c r="D4600" s="15" t="s">
        <v>42</v>
      </c>
      <c r="E4600" s="15" t="s">
        <v>39</v>
      </c>
      <c r="F4600" s="15" t="s">
        <v>16</v>
      </c>
      <c r="G4600" s="15" t="s">
        <v>27</v>
      </c>
      <c r="H4600" s="15" t="n">
        <v>2</v>
      </c>
      <c r="I4600" s="17" t="n">
        <v>0.15</v>
      </c>
      <c r="J4600" s="18" t="n">
        <v>116.53</v>
      </c>
      <c r="K4600" s="19" t="n">
        <v>7.7</v>
      </c>
      <c r="L4600" s="15" t="n">
        <f aca="false">YEAR(B4600)</f>
        <v>2024</v>
      </c>
      <c r="M4600" s="20" t="n">
        <f aca="false">IF(J4600&gt;0,K4600/J4600,0)</f>
        <v>0.0660774049600961</v>
      </c>
    </row>
    <row r="4601" customFormat="false" ht="15" hidden="false" customHeight="false" outlineLevel="0" collapsed="false">
      <c r="A4601" s="15" t="s">
        <v>4658</v>
      </c>
      <c r="B4601" s="16" t="n">
        <v>45473</v>
      </c>
      <c r="C4601" s="15" t="s">
        <v>56</v>
      </c>
      <c r="D4601" s="15" t="s">
        <v>43</v>
      </c>
      <c r="E4601" s="15" t="s">
        <v>37</v>
      </c>
      <c r="F4601" s="15" t="s">
        <v>17</v>
      </c>
      <c r="G4601" s="15" t="s">
        <v>29</v>
      </c>
      <c r="H4601" s="15" t="n">
        <v>5</v>
      </c>
      <c r="I4601" s="17" t="n">
        <v>0.3</v>
      </c>
      <c r="J4601" s="18" t="n">
        <v>83.59</v>
      </c>
      <c r="K4601" s="19" t="n">
        <v>6.97</v>
      </c>
      <c r="L4601" s="15" t="n">
        <f aca="false">YEAR(B4601)</f>
        <v>2024</v>
      </c>
      <c r="M4601" s="20" t="n">
        <f aca="false">IF(J4601&gt;0,K4601/J4601,0)</f>
        <v>0.0833831798061969</v>
      </c>
    </row>
    <row r="4602" customFormat="false" ht="15" hidden="false" customHeight="false" outlineLevel="0" collapsed="false">
      <c r="A4602" s="15" t="s">
        <v>4659</v>
      </c>
      <c r="B4602" s="16" t="n">
        <v>45465</v>
      </c>
      <c r="C4602" s="15" t="s">
        <v>56</v>
      </c>
      <c r="D4602" s="15" t="s">
        <v>42</v>
      </c>
      <c r="E4602" s="15" t="s">
        <v>39</v>
      </c>
      <c r="F4602" s="15" t="s">
        <v>17</v>
      </c>
      <c r="G4602" s="15" t="s">
        <v>28</v>
      </c>
      <c r="H4602" s="15" t="n">
        <v>4</v>
      </c>
      <c r="I4602" s="17" t="n">
        <v>0</v>
      </c>
      <c r="J4602" s="18" t="n">
        <v>102.96</v>
      </c>
      <c r="K4602" s="19" t="n">
        <v>22.2</v>
      </c>
      <c r="L4602" s="15" t="n">
        <f aca="false">YEAR(B4602)</f>
        <v>2024</v>
      </c>
      <c r="M4602" s="20" t="n">
        <f aca="false">IF(J4602&gt;0,K4602/J4602,0)</f>
        <v>0.215617715617716</v>
      </c>
    </row>
    <row r="4603" customFormat="false" ht="15" hidden="false" customHeight="false" outlineLevel="0" collapsed="false">
      <c r="A4603" s="15" t="s">
        <v>4660</v>
      </c>
      <c r="B4603" s="16" t="n">
        <v>45861</v>
      </c>
      <c r="C4603" s="15" t="s">
        <v>56</v>
      </c>
      <c r="D4603" s="15" t="s">
        <v>42</v>
      </c>
      <c r="E4603" s="15" t="s">
        <v>36</v>
      </c>
      <c r="F4603" s="15" t="s">
        <v>17</v>
      </c>
      <c r="G4603" s="15" t="s">
        <v>29</v>
      </c>
      <c r="H4603" s="15" t="n">
        <v>3</v>
      </c>
      <c r="I4603" s="17" t="n">
        <v>0.1</v>
      </c>
      <c r="J4603" s="18" t="n">
        <v>46.14</v>
      </c>
      <c r="K4603" s="19" t="n">
        <v>15.28</v>
      </c>
      <c r="L4603" s="15" t="n">
        <f aca="false">YEAR(B4603)</f>
        <v>2025</v>
      </c>
      <c r="M4603" s="20" t="n">
        <f aca="false">IF(J4603&gt;0,K4603/J4603,0)</f>
        <v>0.331166016471608</v>
      </c>
    </row>
    <row r="4604" customFormat="false" ht="15" hidden="false" customHeight="false" outlineLevel="0" collapsed="false">
      <c r="A4604" s="15" t="s">
        <v>4661</v>
      </c>
      <c r="B4604" s="16" t="n">
        <v>45683</v>
      </c>
      <c r="C4604" s="15" t="s">
        <v>68</v>
      </c>
      <c r="D4604" s="15" t="s">
        <v>42</v>
      </c>
      <c r="E4604" s="15" t="s">
        <v>38</v>
      </c>
      <c r="F4604" s="15" t="s">
        <v>17</v>
      </c>
      <c r="G4604" s="15" t="s">
        <v>31</v>
      </c>
      <c r="H4604" s="15" t="n">
        <v>2</v>
      </c>
      <c r="I4604" s="17" t="n">
        <v>0.3</v>
      </c>
      <c r="J4604" s="18" t="n">
        <v>163.03</v>
      </c>
      <c r="K4604" s="19" t="n">
        <v>-11.75</v>
      </c>
      <c r="L4604" s="15" t="n">
        <f aca="false">YEAR(B4604)</f>
        <v>2025</v>
      </c>
      <c r="M4604" s="20" t="n">
        <f aca="false">IF(J4604&gt;0,K4604/J4604,0)</f>
        <v>-0.0720726246703061</v>
      </c>
    </row>
    <row r="4605" customFormat="false" ht="15" hidden="false" customHeight="false" outlineLevel="0" collapsed="false">
      <c r="A4605" s="15" t="s">
        <v>4662</v>
      </c>
      <c r="B4605" s="16" t="n">
        <v>45277</v>
      </c>
      <c r="C4605" s="15" t="s">
        <v>68</v>
      </c>
      <c r="D4605" s="15" t="s">
        <v>43</v>
      </c>
      <c r="E4605" s="15" t="s">
        <v>38</v>
      </c>
      <c r="F4605" s="15" t="s">
        <v>18</v>
      </c>
      <c r="G4605" s="15" t="s">
        <v>32</v>
      </c>
      <c r="H4605" s="15" t="n">
        <v>3</v>
      </c>
      <c r="I4605" s="17" t="n">
        <v>0.15</v>
      </c>
      <c r="J4605" s="18" t="n">
        <v>1042.48</v>
      </c>
      <c r="K4605" s="19" t="n">
        <v>23.96</v>
      </c>
      <c r="L4605" s="15" t="n">
        <f aca="false">YEAR(B4605)</f>
        <v>2023</v>
      </c>
      <c r="M4605" s="20" t="n">
        <f aca="false">IF(J4605&gt;0,K4605/J4605,0)</f>
        <v>0.0229836543626736</v>
      </c>
    </row>
    <row r="4606" customFormat="false" ht="15" hidden="false" customHeight="false" outlineLevel="0" collapsed="false">
      <c r="A4606" s="15" t="s">
        <v>4663</v>
      </c>
      <c r="B4606" s="16" t="n">
        <v>44770</v>
      </c>
      <c r="C4606" s="15" t="s">
        <v>71</v>
      </c>
      <c r="D4606" s="15" t="s">
        <v>42</v>
      </c>
      <c r="E4606" s="15" t="s">
        <v>36</v>
      </c>
      <c r="F4606" s="15" t="s">
        <v>17</v>
      </c>
      <c r="G4606" s="15" t="s">
        <v>28</v>
      </c>
      <c r="H4606" s="15" t="n">
        <v>7</v>
      </c>
      <c r="I4606" s="17" t="n">
        <v>0.1</v>
      </c>
      <c r="J4606" s="18" t="n">
        <v>175.92</v>
      </c>
      <c r="K4606" s="19" t="n">
        <v>32.93</v>
      </c>
      <c r="L4606" s="15" t="n">
        <f aca="false">YEAR(B4606)</f>
        <v>2022</v>
      </c>
      <c r="M4606" s="20" t="n">
        <f aca="false">IF(J4606&gt;0,K4606/J4606,0)</f>
        <v>0.18718735788995</v>
      </c>
    </row>
    <row r="4607" customFormat="false" ht="15" hidden="false" customHeight="false" outlineLevel="0" collapsed="false">
      <c r="A4607" s="15" t="s">
        <v>4664</v>
      </c>
      <c r="B4607" s="16" t="n">
        <v>45633</v>
      </c>
      <c r="C4607" s="15" t="s">
        <v>56</v>
      </c>
      <c r="D4607" s="15" t="s">
        <v>42</v>
      </c>
      <c r="E4607" s="15" t="s">
        <v>36</v>
      </c>
      <c r="F4607" s="15" t="s">
        <v>16</v>
      </c>
      <c r="G4607" s="15" t="s">
        <v>22</v>
      </c>
      <c r="H4607" s="15" t="n">
        <v>4</v>
      </c>
      <c r="I4607" s="17" t="n">
        <v>0</v>
      </c>
      <c r="J4607" s="18" t="n">
        <v>1984.38</v>
      </c>
      <c r="K4607" s="19" t="n">
        <v>-140.78</v>
      </c>
      <c r="L4607" s="15" t="n">
        <f aca="false">YEAR(B4607)</f>
        <v>2024</v>
      </c>
      <c r="M4607" s="20" t="n">
        <f aca="false">IF(J4607&gt;0,K4607/J4607,0)</f>
        <v>-0.070944073211784</v>
      </c>
    </row>
    <row r="4608" customFormat="false" ht="15" hidden="false" customHeight="false" outlineLevel="0" collapsed="false">
      <c r="A4608" s="15" t="s">
        <v>4665</v>
      </c>
      <c r="B4608" s="16" t="n">
        <v>45691</v>
      </c>
      <c r="C4608" s="15" t="s">
        <v>71</v>
      </c>
      <c r="D4608" s="15" t="s">
        <v>42</v>
      </c>
      <c r="E4608" s="15" t="s">
        <v>38</v>
      </c>
      <c r="F4608" s="15" t="s">
        <v>18</v>
      </c>
      <c r="G4608" s="15" t="s">
        <v>32</v>
      </c>
      <c r="H4608" s="15" t="n">
        <v>6</v>
      </c>
      <c r="I4608" s="17" t="n">
        <v>0.1</v>
      </c>
      <c r="J4608" s="18" t="n">
        <v>1982.85</v>
      </c>
      <c r="K4608" s="19" t="n">
        <v>114.37</v>
      </c>
      <c r="L4608" s="15" t="n">
        <f aca="false">YEAR(B4608)</f>
        <v>2025</v>
      </c>
      <c r="M4608" s="20" t="n">
        <f aca="false">IF(J4608&gt;0,K4608/J4608,0)</f>
        <v>0.0576796025922284</v>
      </c>
    </row>
    <row r="4609" customFormat="false" ht="15" hidden="false" customHeight="false" outlineLevel="0" collapsed="false">
      <c r="A4609" s="15" t="s">
        <v>4666</v>
      </c>
      <c r="B4609" s="16" t="n">
        <v>45609</v>
      </c>
      <c r="C4609" s="15" t="s">
        <v>71</v>
      </c>
      <c r="D4609" s="15" t="s">
        <v>42</v>
      </c>
      <c r="E4609" s="15" t="s">
        <v>39</v>
      </c>
      <c r="F4609" s="15" t="s">
        <v>18</v>
      </c>
      <c r="G4609" s="15" t="s">
        <v>32</v>
      </c>
      <c r="H4609" s="15" t="n">
        <v>5</v>
      </c>
      <c r="I4609" s="17" t="n">
        <v>0.3</v>
      </c>
      <c r="J4609" s="18" t="n">
        <v>1468.7</v>
      </c>
      <c r="K4609" s="19" t="n">
        <v>-83.28</v>
      </c>
      <c r="L4609" s="15" t="n">
        <f aca="false">YEAR(B4609)</f>
        <v>2024</v>
      </c>
      <c r="M4609" s="20" t="n">
        <f aca="false">IF(J4609&gt;0,K4609/J4609,0)</f>
        <v>-0.0567032069176823</v>
      </c>
    </row>
    <row r="4610" customFormat="false" ht="15" hidden="false" customHeight="false" outlineLevel="0" collapsed="false">
      <c r="A4610" s="15" t="s">
        <v>4667</v>
      </c>
      <c r="B4610" s="16" t="n">
        <v>45811</v>
      </c>
      <c r="C4610" s="15" t="s">
        <v>56</v>
      </c>
      <c r="D4610" s="15" t="s">
        <v>44</v>
      </c>
      <c r="E4610" s="15" t="s">
        <v>36</v>
      </c>
      <c r="F4610" s="15" t="s">
        <v>16</v>
      </c>
      <c r="G4610" s="15" t="s">
        <v>27</v>
      </c>
      <c r="H4610" s="15" t="n">
        <v>1</v>
      </c>
      <c r="I4610" s="17" t="n">
        <v>0</v>
      </c>
      <c r="J4610" s="18" t="n">
        <v>67.25</v>
      </c>
      <c r="K4610" s="19" t="n">
        <v>23.48</v>
      </c>
      <c r="L4610" s="15" t="n">
        <f aca="false">YEAR(B4610)</f>
        <v>2025</v>
      </c>
      <c r="M4610" s="20" t="n">
        <f aca="false">IF(J4610&gt;0,K4610/J4610,0)</f>
        <v>0.349144981412639</v>
      </c>
    </row>
    <row r="4611" customFormat="false" ht="15" hidden="false" customHeight="false" outlineLevel="0" collapsed="false">
      <c r="A4611" s="15" t="s">
        <v>4668</v>
      </c>
      <c r="B4611" s="16" t="n">
        <v>45998</v>
      </c>
      <c r="C4611" s="15" t="s">
        <v>68</v>
      </c>
      <c r="D4611" s="15" t="s">
        <v>42</v>
      </c>
      <c r="E4611" s="15" t="s">
        <v>36</v>
      </c>
      <c r="F4611" s="15" t="s">
        <v>17</v>
      </c>
      <c r="G4611" s="15" t="s">
        <v>29</v>
      </c>
      <c r="H4611" s="15" t="n">
        <v>5</v>
      </c>
      <c r="I4611" s="17" t="n">
        <v>0</v>
      </c>
      <c r="J4611" s="18" t="n">
        <v>95.56</v>
      </c>
      <c r="K4611" s="19" t="n">
        <v>39.22</v>
      </c>
      <c r="L4611" s="15" t="n">
        <f aca="false">YEAR(B4611)</f>
        <v>2025</v>
      </c>
      <c r="M4611" s="20" t="n">
        <f aca="false">IF(J4611&gt;0,K4611/J4611,0)</f>
        <v>0.410422771033905</v>
      </c>
    </row>
    <row r="4612" customFormat="false" ht="15" hidden="false" customHeight="false" outlineLevel="0" collapsed="false">
      <c r="A4612" s="15" t="s">
        <v>4669</v>
      </c>
      <c r="B4612" s="16" t="n">
        <v>45388</v>
      </c>
      <c r="C4612" s="15" t="s">
        <v>56</v>
      </c>
      <c r="D4612" s="15" t="s">
        <v>43</v>
      </c>
      <c r="E4612" s="15" t="s">
        <v>37</v>
      </c>
      <c r="F4612" s="15" t="s">
        <v>17</v>
      </c>
      <c r="G4612" s="15" t="s">
        <v>28</v>
      </c>
      <c r="H4612" s="15" t="n">
        <v>6</v>
      </c>
      <c r="I4612" s="17" t="n">
        <v>0.1</v>
      </c>
      <c r="J4612" s="18" t="n">
        <v>117.46</v>
      </c>
      <c r="K4612" s="19" t="n">
        <v>15.72</v>
      </c>
      <c r="L4612" s="15" t="n">
        <f aca="false">YEAR(B4612)</f>
        <v>2024</v>
      </c>
      <c r="M4612" s="20" t="n">
        <f aca="false">IF(J4612&gt;0,K4612/J4612,0)</f>
        <v>0.133832794142687</v>
      </c>
    </row>
    <row r="4613" customFormat="false" ht="15" hidden="false" customHeight="false" outlineLevel="0" collapsed="false">
      <c r="A4613" s="15" t="s">
        <v>4670</v>
      </c>
      <c r="B4613" s="16" t="n">
        <v>45969</v>
      </c>
      <c r="C4613" s="15" t="s">
        <v>71</v>
      </c>
      <c r="D4613" s="15" t="s">
        <v>44</v>
      </c>
      <c r="E4613" s="15" t="s">
        <v>39</v>
      </c>
      <c r="F4613" s="15" t="s">
        <v>18</v>
      </c>
      <c r="G4613" s="15" t="s">
        <v>32</v>
      </c>
      <c r="H4613" s="15" t="n">
        <v>5</v>
      </c>
      <c r="I4613" s="17" t="n">
        <v>0</v>
      </c>
      <c r="J4613" s="18" t="n">
        <v>2288.78</v>
      </c>
      <c r="K4613" s="19" t="n">
        <v>505.53</v>
      </c>
      <c r="L4613" s="15" t="n">
        <f aca="false">YEAR(B4613)</f>
        <v>2025</v>
      </c>
      <c r="M4613" s="20" t="n">
        <f aca="false">IF(J4613&gt;0,K4613/J4613,0)</f>
        <v>0.220873128915842</v>
      </c>
    </row>
    <row r="4614" customFormat="false" ht="15" hidden="false" customHeight="false" outlineLevel="0" collapsed="false">
      <c r="A4614" s="15" t="s">
        <v>4671</v>
      </c>
      <c r="B4614" s="16" t="n">
        <v>44919</v>
      </c>
      <c r="C4614" s="15" t="s">
        <v>56</v>
      </c>
      <c r="D4614" s="15" t="s">
        <v>43</v>
      </c>
      <c r="E4614" s="15" t="s">
        <v>39</v>
      </c>
      <c r="F4614" s="15" t="s">
        <v>17</v>
      </c>
      <c r="G4614" s="15" t="s">
        <v>28</v>
      </c>
      <c r="H4614" s="15" t="n">
        <v>5</v>
      </c>
      <c r="I4614" s="17" t="n">
        <v>0</v>
      </c>
      <c r="J4614" s="18" t="n">
        <v>149.14</v>
      </c>
      <c r="K4614" s="19" t="n">
        <v>53.35</v>
      </c>
      <c r="L4614" s="15" t="n">
        <f aca="false">YEAR(B4614)</f>
        <v>2022</v>
      </c>
      <c r="M4614" s="20" t="n">
        <f aca="false">IF(J4614&gt;0,K4614/J4614,0)</f>
        <v>0.357717580796567</v>
      </c>
    </row>
    <row r="4615" customFormat="false" ht="15" hidden="false" customHeight="false" outlineLevel="0" collapsed="false">
      <c r="A4615" s="15" t="s">
        <v>4672</v>
      </c>
      <c r="B4615" s="16" t="n">
        <v>45780</v>
      </c>
      <c r="C4615" s="15" t="s">
        <v>56</v>
      </c>
      <c r="D4615" s="15" t="s">
        <v>42</v>
      </c>
      <c r="E4615" s="15" t="s">
        <v>38</v>
      </c>
      <c r="F4615" s="15" t="s">
        <v>18</v>
      </c>
      <c r="G4615" s="15" t="s">
        <v>30</v>
      </c>
      <c r="H4615" s="15" t="n">
        <v>3</v>
      </c>
      <c r="I4615" s="17" t="n">
        <v>0.1</v>
      </c>
      <c r="J4615" s="18" t="n">
        <v>119.44</v>
      </c>
      <c r="K4615" s="19" t="n">
        <v>26.7</v>
      </c>
      <c r="L4615" s="15" t="n">
        <f aca="false">YEAR(B4615)</f>
        <v>2025</v>
      </c>
      <c r="M4615" s="20" t="n">
        <f aca="false">IF(J4615&gt;0,K4615/J4615,0)</f>
        <v>0.223543201607502</v>
      </c>
    </row>
    <row r="4616" customFormat="false" ht="15" hidden="false" customHeight="false" outlineLevel="0" collapsed="false">
      <c r="A4616" s="15" t="s">
        <v>4673</v>
      </c>
      <c r="B4616" s="16" t="n">
        <v>45554</v>
      </c>
      <c r="C4616" s="15" t="s">
        <v>56</v>
      </c>
      <c r="D4616" s="15" t="s">
        <v>44</v>
      </c>
      <c r="E4616" s="15" t="s">
        <v>39</v>
      </c>
      <c r="F4616" s="15" t="s">
        <v>18</v>
      </c>
      <c r="G4616" s="15" t="s">
        <v>33</v>
      </c>
      <c r="H4616" s="15" t="n">
        <v>3</v>
      </c>
      <c r="I4616" s="17" t="n">
        <v>0</v>
      </c>
      <c r="J4616" s="18" t="n">
        <v>3490.33</v>
      </c>
      <c r="K4616" s="19" t="n">
        <v>837.88</v>
      </c>
      <c r="L4616" s="15" t="n">
        <f aca="false">YEAR(B4616)</f>
        <v>2024</v>
      </c>
      <c r="M4616" s="20" t="n">
        <f aca="false">IF(J4616&gt;0,K4616/J4616,0)</f>
        <v>0.240057530376784</v>
      </c>
    </row>
    <row r="4617" customFormat="false" ht="15" hidden="false" customHeight="false" outlineLevel="0" collapsed="false">
      <c r="A4617" s="15" t="s">
        <v>4674</v>
      </c>
      <c r="B4617" s="16" t="n">
        <v>44923</v>
      </c>
      <c r="C4617" s="15" t="s">
        <v>56</v>
      </c>
      <c r="D4617" s="15" t="s">
        <v>43</v>
      </c>
      <c r="E4617" s="15" t="s">
        <v>36</v>
      </c>
      <c r="F4617" s="15" t="s">
        <v>16</v>
      </c>
      <c r="G4617" s="15" t="s">
        <v>25</v>
      </c>
      <c r="H4617" s="15" t="n">
        <v>5</v>
      </c>
      <c r="I4617" s="17" t="n">
        <v>0.15</v>
      </c>
      <c r="J4617" s="18" t="n">
        <v>1328.64</v>
      </c>
      <c r="K4617" s="19" t="n">
        <v>-144.14</v>
      </c>
      <c r="L4617" s="15" t="n">
        <f aca="false">YEAR(B4617)</f>
        <v>2022</v>
      </c>
      <c r="M4617" s="20" t="n">
        <f aca="false">IF(J4617&gt;0,K4617/J4617,0)</f>
        <v>-0.108486873795761</v>
      </c>
    </row>
    <row r="4618" customFormat="false" ht="15" hidden="false" customHeight="false" outlineLevel="0" collapsed="false">
      <c r="A4618" s="15" t="s">
        <v>4675</v>
      </c>
      <c r="B4618" s="16" t="n">
        <v>45652</v>
      </c>
      <c r="C4618" s="15" t="s">
        <v>56</v>
      </c>
      <c r="D4618" s="15" t="s">
        <v>42</v>
      </c>
      <c r="E4618" s="15" t="s">
        <v>39</v>
      </c>
      <c r="F4618" s="15" t="s">
        <v>16</v>
      </c>
      <c r="G4618" s="15" t="s">
        <v>25</v>
      </c>
      <c r="H4618" s="15" t="n">
        <v>4</v>
      </c>
      <c r="I4618" s="17" t="n">
        <v>0.3</v>
      </c>
      <c r="J4618" s="18" t="n">
        <v>976.92</v>
      </c>
      <c r="K4618" s="19" t="n">
        <v>-52.05</v>
      </c>
      <c r="L4618" s="15" t="n">
        <f aca="false">YEAR(B4618)</f>
        <v>2024</v>
      </c>
      <c r="M4618" s="20" t="n">
        <f aca="false">IF(J4618&gt;0,K4618/J4618,0)</f>
        <v>-0.0532796953691193</v>
      </c>
    </row>
    <row r="4619" customFormat="false" ht="15" hidden="false" customHeight="false" outlineLevel="0" collapsed="false">
      <c r="A4619" s="15" t="s">
        <v>4676</v>
      </c>
      <c r="B4619" s="16" t="n">
        <v>45099</v>
      </c>
      <c r="C4619" s="15" t="s">
        <v>68</v>
      </c>
      <c r="D4619" s="15" t="s">
        <v>43</v>
      </c>
      <c r="E4619" s="15" t="s">
        <v>36</v>
      </c>
      <c r="F4619" s="15" t="s">
        <v>18</v>
      </c>
      <c r="G4619" s="15" t="s">
        <v>30</v>
      </c>
      <c r="H4619" s="15" t="n">
        <v>6</v>
      </c>
      <c r="I4619" s="17" t="n">
        <v>0.1</v>
      </c>
      <c r="J4619" s="18" t="n">
        <v>250.63</v>
      </c>
      <c r="K4619" s="19" t="n">
        <v>39.34</v>
      </c>
      <c r="L4619" s="15" t="n">
        <f aca="false">YEAR(B4619)</f>
        <v>2023</v>
      </c>
      <c r="M4619" s="20" t="n">
        <f aca="false">IF(J4619&gt;0,K4619/J4619,0)</f>
        <v>0.156964449587041</v>
      </c>
    </row>
    <row r="4620" customFormat="false" ht="15" hidden="false" customHeight="false" outlineLevel="0" collapsed="false">
      <c r="A4620" s="15" t="s">
        <v>4677</v>
      </c>
      <c r="B4620" s="16" t="n">
        <v>44614</v>
      </c>
      <c r="C4620" s="15" t="s">
        <v>71</v>
      </c>
      <c r="D4620" s="15" t="s">
        <v>42</v>
      </c>
      <c r="E4620" s="15" t="s">
        <v>39</v>
      </c>
      <c r="F4620" s="15" t="s">
        <v>17</v>
      </c>
      <c r="G4620" s="15" t="s">
        <v>31</v>
      </c>
      <c r="H4620" s="15" t="n">
        <v>4</v>
      </c>
      <c r="I4620" s="17" t="n">
        <v>0.1</v>
      </c>
      <c r="J4620" s="18" t="n">
        <v>615.85</v>
      </c>
      <c r="K4620" s="19" t="n">
        <v>75.26</v>
      </c>
      <c r="L4620" s="15" t="n">
        <f aca="false">YEAR(B4620)</f>
        <v>2022</v>
      </c>
      <c r="M4620" s="20" t="n">
        <f aca="false">IF(J4620&gt;0,K4620/J4620,0)</f>
        <v>0.12220508240643</v>
      </c>
    </row>
    <row r="4621" customFormat="false" ht="15" hidden="false" customHeight="false" outlineLevel="0" collapsed="false">
      <c r="A4621" s="15" t="s">
        <v>4678</v>
      </c>
      <c r="B4621" s="16" t="n">
        <v>44985</v>
      </c>
      <c r="C4621" s="15" t="s">
        <v>56</v>
      </c>
      <c r="D4621" s="15" t="s">
        <v>42</v>
      </c>
      <c r="E4621" s="15" t="s">
        <v>39</v>
      </c>
      <c r="F4621" s="15" t="s">
        <v>16</v>
      </c>
      <c r="G4621" s="15" t="s">
        <v>23</v>
      </c>
      <c r="H4621" s="15" t="n">
        <v>4</v>
      </c>
      <c r="I4621" s="17" t="n">
        <v>0.15</v>
      </c>
      <c r="J4621" s="18" t="n">
        <v>995.01</v>
      </c>
      <c r="K4621" s="19" t="n">
        <v>-116.97</v>
      </c>
      <c r="L4621" s="15" t="n">
        <f aca="false">YEAR(B4621)</f>
        <v>2023</v>
      </c>
      <c r="M4621" s="20" t="n">
        <f aca="false">IF(J4621&gt;0,K4621/J4621,0)</f>
        <v>-0.117556607471282</v>
      </c>
    </row>
    <row r="4622" customFormat="false" ht="15" hidden="false" customHeight="false" outlineLevel="0" collapsed="false">
      <c r="A4622" s="15" t="s">
        <v>4679</v>
      </c>
      <c r="B4622" s="16" t="n">
        <v>45796</v>
      </c>
      <c r="C4622" s="15" t="s">
        <v>56</v>
      </c>
      <c r="D4622" s="15" t="s">
        <v>44</v>
      </c>
      <c r="E4622" s="15" t="s">
        <v>39</v>
      </c>
      <c r="F4622" s="15" t="s">
        <v>17</v>
      </c>
      <c r="G4622" s="15" t="s">
        <v>28</v>
      </c>
      <c r="H4622" s="15" t="n">
        <v>6</v>
      </c>
      <c r="I4622" s="17" t="n">
        <v>0</v>
      </c>
      <c r="J4622" s="18" t="n">
        <v>172.61</v>
      </c>
      <c r="K4622" s="19" t="n">
        <v>54.82</v>
      </c>
      <c r="L4622" s="15" t="n">
        <f aca="false">YEAR(B4622)</f>
        <v>2025</v>
      </c>
      <c r="M4622" s="20" t="n">
        <f aca="false">IF(J4622&gt;0,K4622/J4622,0)</f>
        <v>0.317594577370952</v>
      </c>
    </row>
    <row r="4623" customFormat="false" ht="15" hidden="false" customHeight="false" outlineLevel="0" collapsed="false">
      <c r="A4623" s="15" t="s">
        <v>4680</v>
      </c>
      <c r="B4623" s="16" t="n">
        <v>45234</v>
      </c>
      <c r="C4623" s="15" t="s">
        <v>71</v>
      </c>
      <c r="D4623" s="15" t="s">
        <v>43</v>
      </c>
      <c r="E4623" s="15" t="s">
        <v>37</v>
      </c>
      <c r="F4623" s="15" t="s">
        <v>16</v>
      </c>
      <c r="G4623" s="15" t="s">
        <v>25</v>
      </c>
      <c r="H4623" s="15" t="n">
        <v>2</v>
      </c>
      <c r="I4623" s="17" t="n">
        <v>0.1</v>
      </c>
      <c r="J4623" s="18" t="n">
        <v>496.32</v>
      </c>
      <c r="K4623" s="19" t="n">
        <v>23.42</v>
      </c>
      <c r="L4623" s="15" t="n">
        <f aca="false">YEAR(B4623)</f>
        <v>2023</v>
      </c>
      <c r="M4623" s="20" t="n">
        <f aca="false">IF(J4623&gt;0,K4623/J4623,0)</f>
        <v>0.0471872985170858</v>
      </c>
    </row>
    <row r="4624" customFormat="false" ht="15" hidden="false" customHeight="false" outlineLevel="0" collapsed="false">
      <c r="A4624" s="15" t="s">
        <v>4681</v>
      </c>
      <c r="B4624" s="16" t="n">
        <v>45903</v>
      </c>
      <c r="C4624" s="15" t="s">
        <v>56</v>
      </c>
      <c r="D4624" s="15" t="s">
        <v>42</v>
      </c>
      <c r="E4624" s="15" t="s">
        <v>39</v>
      </c>
      <c r="F4624" s="15" t="s">
        <v>18</v>
      </c>
      <c r="G4624" s="15" t="s">
        <v>30</v>
      </c>
      <c r="H4624" s="15" t="n">
        <v>2</v>
      </c>
      <c r="I4624" s="17" t="n">
        <v>0.2</v>
      </c>
      <c r="J4624" s="18" t="n">
        <v>64.31</v>
      </c>
      <c r="K4624" s="19" t="n">
        <v>2.88</v>
      </c>
      <c r="L4624" s="15" t="n">
        <f aca="false">YEAR(B4624)</f>
        <v>2025</v>
      </c>
      <c r="M4624" s="20" t="n">
        <f aca="false">IF(J4624&gt;0,K4624/J4624,0)</f>
        <v>0.0447830819468201</v>
      </c>
    </row>
    <row r="4625" customFormat="false" ht="15" hidden="false" customHeight="false" outlineLevel="0" collapsed="false">
      <c r="A4625" s="15" t="s">
        <v>4682</v>
      </c>
      <c r="B4625" s="16" t="n">
        <v>44583</v>
      </c>
      <c r="C4625" s="15" t="s">
        <v>56</v>
      </c>
      <c r="D4625" s="15" t="s">
        <v>42</v>
      </c>
      <c r="E4625" s="15" t="s">
        <v>38</v>
      </c>
      <c r="F4625" s="15" t="s">
        <v>18</v>
      </c>
      <c r="G4625" s="15" t="s">
        <v>30</v>
      </c>
      <c r="H4625" s="15" t="n">
        <v>7</v>
      </c>
      <c r="I4625" s="17" t="n">
        <v>0</v>
      </c>
      <c r="J4625" s="18" t="n">
        <v>354.56</v>
      </c>
      <c r="K4625" s="19" t="n">
        <v>112.06</v>
      </c>
      <c r="L4625" s="15" t="n">
        <f aca="false">YEAR(B4625)</f>
        <v>2022</v>
      </c>
      <c r="M4625" s="20" t="n">
        <f aca="false">IF(J4625&gt;0,K4625/J4625,0)</f>
        <v>0.316053700361011</v>
      </c>
    </row>
    <row r="4626" customFormat="false" ht="15" hidden="false" customHeight="false" outlineLevel="0" collapsed="false">
      <c r="A4626" s="15" t="s">
        <v>4683</v>
      </c>
      <c r="B4626" s="16" t="n">
        <v>44761</v>
      </c>
      <c r="C4626" s="15" t="s">
        <v>58</v>
      </c>
      <c r="D4626" s="15" t="s">
        <v>42</v>
      </c>
      <c r="E4626" s="15" t="s">
        <v>36</v>
      </c>
      <c r="F4626" s="15" t="s">
        <v>18</v>
      </c>
      <c r="G4626" s="15" t="s">
        <v>32</v>
      </c>
      <c r="H4626" s="15" t="n">
        <v>4</v>
      </c>
      <c r="I4626" s="17" t="n">
        <v>0</v>
      </c>
      <c r="J4626" s="18" t="n">
        <v>1914.38</v>
      </c>
      <c r="K4626" s="19" t="n">
        <v>427.52</v>
      </c>
      <c r="L4626" s="15" t="n">
        <f aca="false">YEAR(B4626)</f>
        <v>2022</v>
      </c>
      <c r="M4626" s="20" t="n">
        <f aca="false">IF(J4626&gt;0,K4626/J4626,0)</f>
        <v>0.223320343923359</v>
      </c>
    </row>
    <row r="4627" customFormat="false" ht="15" hidden="false" customHeight="false" outlineLevel="0" collapsed="false">
      <c r="A4627" s="15" t="s">
        <v>4684</v>
      </c>
      <c r="B4627" s="16" t="n">
        <v>45611</v>
      </c>
      <c r="C4627" s="15" t="s">
        <v>71</v>
      </c>
      <c r="D4627" s="15" t="s">
        <v>42</v>
      </c>
      <c r="E4627" s="15" t="s">
        <v>39</v>
      </c>
      <c r="F4627" s="15" t="s">
        <v>18</v>
      </c>
      <c r="G4627" s="15" t="s">
        <v>24</v>
      </c>
      <c r="H4627" s="15" t="n">
        <v>6</v>
      </c>
      <c r="I4627" s="17" t="n">
        <v>0.5</v>
      </c>
      <c r="J4627" s="18" t="n">
        <v>2017.1</v>
      </c>
      <c r="K4627" s="19" t="n">
        <v>-874.67</v>
      </c>
      <c r="L4627" s="15" t="n">
        <f aca="false">YEAR(B4627)</f>
        <v>2024</v>
      </c>
      <c r="M4627" s="20" t="n">
        <f aca="false">IF(J4627&gt;0,K4627/J4627,0)</f>
        <v>-0.433627485003222</v>
      </c>
    </row>
    <row r="4628" customFormat="false" ht="15" hidden="false" customHeight="false" outlineLevel="0" collapsed="false">
      <c r="A4628" s="15" t="s">
        <v>4685</v>
      </c>
      <c r="B4628" s="16" t="n">
        <v>45772</v>
      </c>
      <c r="C4628" s="15" t="s">
        <v>56</v>
      </c>
      <c r="D4628" s="15" t="s">
        <v>44</v>
      </c>
      <c r="E4628" s="15" t="s">
        <v>39</v>
      </c>
      <c r="F4628" s="15" t="s">
        <v>17</v>
      </c>
      <c r="G4628" s="15" t="s">
        <v>29</v>
      </c>
      <c r="H4628" s="15" t="n">
        <v>3</v>
      </c>
      <c r="I4628" s="17" t="n">
        <v>0</v>
      </c>
      <c r="J4628" s="18" t="n">
        <v>68.5</v>
      </c>
      <c r="K4628" s="19" t="n">
        <v>27.12</v>
      </c>
      <c r="L4628" s="15" t="n">
        <f aca="false">YEAR(B4628)</f>
        <v>2025</v>
      </c>
      <c r="M4628" s="20" t="n">
        <f aca="false">IF(J4628&gt;0,K4628/J4628,0)</f>
        <v>0.395912408759124</v>
      </c>
    </row>
    <row r="4629" customFormat="false" ht="15" hidden="false" customHeight="false" outlineLevel="0" collapsed="false">
      <c r="A4629" s="15" t="s">
        <v>4686</v>
      </c>
      <c r="B4629" s="16" t="n">
        <v>45881</v>
      </c>
      <c r="C4629" s="15" t="s">
        <v>68</v>
      </c>
      <c r="D4629" s="15" t="s">
        <v>43</v>
      </c>
      <c r="E4629" s="15" t="s">
        <v>39</v>
      </c>
      <c r="F4629" s="15" t="s">
        <v>18</v>
      </c>
      <c r="G4629" s="15" t="s">
        <v>32</v>
      </c>
      <c r="H4629" s="15" t="n">
        <v>2</v>
      </c>
      <c r="I4629" s="17" t="n">
        <v>0</v>
      </c>
      <c r="J4629" s="18" t="n">
        <v>1090.66</v>
      </c>
      <c r="K4629" s="19" t="n">
        <v>197.52</v>
      </c>
      <c r="L4629" s="15" t="n">
        <f aca="false">YEAR(B4629)</f>
        <v>2025</v>
      </c>
      <c r="M4629" s="20" t="n">
        <f aca="false">IF(J4629&gt;0,K4629/J4629,0)</f>
        <v>0.181101351475254</v>
      </c>
    </row>
    <row r="4630" customFormat="false" ht="15" hidden="false" customHeight="false" outlineLevel="0" collapsed="false">
      <c r="A4630" s="15" t="s">
        <v>4687</v>
      </c>
      <c r="B4630" s="16" t="n">
        <v>44639</v>
      </c>
      <c r="C4630" s="15" t="s">
        <v>56</v>
      </c>
      <c r="D4630" s="15" t="s">
        <v>42</v>
      </c>
      <c r="E4630" s="15" t="s">
        <v>37</v>
      </c>
      <c r="F4630" s="15" t="s">
        <v>18</v>
      </c>
      <c r="G4630" s="15" t="s">
        <v>30</v>
      </c>
      <c r="H4630" s="15" t="n">
        <v>3</v>
      </c>
      <c r="I4630" s="17" t="n">
        <v>0.05</v>
      </c>
      <c r="J4630" s="18" t="n">
        <v>140.22</v>
      </c>
      <c r="K4630" s="19" t="n">
        <v>26.04</v>
      </c>
      <c r="L4630" s="15" t="n">
        <f aca="false">YEAR(B4630)</f>
        <v>2022</v>
      </c>
      <c r="M4630" s="20" t="n">
        <f aca="false">IF(J4630&gt;0,K4630/J4630,0)</f>
        <v>0.185708172871202</v>
      </c>
    </row>
    <row r="4631" customFormat="false" ht="15" hidden="false" customHeight="false" outlineLevel="0" collapsed="false">
      <c r="A4631" s="15" t="s">
        <v>4688</v>
      </c>
      <c r="B4631" s="16" t="n">
        <v>45880</v>
      </c>
      <c r="C4631" s="15" t="s">
        <v>68</v>
      </c>
      <c r="D4631" s="15" t="s">
        <v>42</v>
      </c>
      <c r="E4631" s="15" t="s">
        <v>38</v>
      </c>
      <c r="F4631" s="15" t="s">
        <v>17</v>
      </c>
      <c r="G4631" s="15" t="s">
        <v>28</v>
      </c>
      <c r="H4631" s="15" t="n">
        <v>3</v>
      </c>
      <c r="I4631" s="17" t="n">
        <v>0.05</v>
      </c>
      <c r="J4631" s="18" t="n">
        <v>59.43</v>
      </c>
      <c r="K4631" s="19" t="n">
        <v>17.32</v>
      </c>
      <c r="L4631" s="15" t="n">
        <f aca="false">YEAR(B4631)</f>
        <v>2025</v>
      </c>
      <c r="M4631" s="20" t="n">
        <f aca="false">IF(J4631&gt;0,K4631/J4631,0)</f>
        <v>0.291435302036009</v>
      </c>
    </row>
    <row r="4632" customFormat="false" ht="15" hidden="false" customHeight="false" outlineLevel="0" collapsed="false">
      <c r="A4632" s="15" t="s">
        <v>4689</v>
      </c>
      <c r="B4632" s="16" t="n">
        <v>45743</v>
      </c>
      <c r="C4632" s="15" t="s">
        <v>71</v>
      </c>
      <c r="D4632" s="15" t="s">
        <v>42</v>
      </c>
      <c r="E4632" s="15" t="s">
        <v>37</v>
      </c>
      <c r="F4632" s="15" t="s">
        <v>16</v>
      </c>
      <c r="G4632" s="15" t="s">
        <v>27</v>
      </c>
      <c r="H4632" s="15" t="n">
        <v>7</v>
      </c>
      <c r="I4632" s="17" t="n">
        <v>0</v>
      </c>
      <c r="J4632" s="18" t="n">
        <v>410.02</v>
      </c>
      <c r="K4632" s="19" t="n">
        <v>108.19</v>
      </c>
      <c r="L4632" s="15" t="n">
        <f aca="false">YEAR(B4632)</f>
        <v>2025</v>
      </c>
      <c r="M4632" s="20" t="n">
        <f aca="false">IF(J4632&gt;0,K4632/J4632,0)</f>
        <v>0.263865177308424</v>
      </c>
    </row>
    <row r="4633" customFormat="false" ht="15" hidden="false" customHeight="false" outlineLevel="0" collapsed="false">
      <c r="A4633" s="15" t="s">
        <v>4690</v>
      </c>
      <c r="B4633" s="16" t="n">
        <v>45922</v>
      </c>
      <c r="C4633" s="15" t="s">
        <v>56</v>
      </c>
      <c r="D4633" s="15" t="s">
        <v>42</v>
      </c>
      <c r="E4633" s="15" t="s">
        <v>37</v>
      </c>
      <c r="F4633" s="15" t="s">
        <v>17</v>
      </c>
      <c r="G4633" s="15" t="s">
        <v>26</v>
      </c>
      <c r="H4633" s="15" t="n">
        <v>5</v>
      </c>
      <c r="I4633" s="17" t="n">
        <v>0</v>
      </c>
      <c r="J4633" s="18" t="n">
        <v>432.53</v>
      </c>
      <c r="K4633" s="19" t="n">
        <v>68.4</v>
      </c>
      <c r="L4633" s="15" t="n">
        <f aca="false">YEAR(B4633)</f>
        <v>2025</v>
      </c>
      <c r="M4633" s="20" t="n">
        <f aca="false">IF(J4633&gt;0,K4633/J4633,0)</f>
        <v>0.158139319815967</v>
      </c>
    </row>
    <row r="4634" customFormat="false" ht="15" hidden="false" customHeight="false" outlineLevel="0" collapsed="false">
      <c r="A4634" s="15" t="s">
        <v>4691</v>
      </c>
      <c r="B4634" s="16" t="n">
        <v>45140</v>
      </c>
      <c r="C4634" s="15" t="s">
        <v>56</v>
      </c>
      <c r="D4634" s="15" t="s">
        <v>42</v>
      </c>
      <c r="E4634" s="15" t="s">
        <v>37</v>
      </c>
      <c r="F4634" s="15" t="s">
        <v>17</v>
      </c>
      <c r="G4634" s="15" t="s">
        <v>26</v>
      </c>
      <c r="H4634" s="15" t="n">
        <v>4</v>
      </c>
      <c r="I4634" s="17" t="n">
        <v>0.2</v>
      </c>
      <c r="J4634" s="18" t="n">
        <v>214.99</v>
      </c>
      <c r="K4634" s="19" t="n">
        <v>-7.17</v>
      </c>
      <c r="L4634" s="15" t="n">
        <f aca="false">YEAR(B4634)</f>
        <v>2023</v>
      </c>
      <c r="M4634" s="20" t="n">
        <f aca="false">IF(J4634&gt;0,K4634/J4634,0)</f>
        <v>-0.0333503883901577</v>
      </c>
    </row>
    <row r="4635" customFormat="false" ht="15" hidden="false" customHeight="false" outlineLevel="0" collapsed="false">
      <c r="A4635" s="15" t="s">
        <v>4692</v>
      </c>
      <c r="B4635" s="16" t="n">
        <v>44922</v>
      </c>
      <c r="C4635" s="15" t="s">
        <v>71</v>
      </c>
      <c r="D4635" s="15" t="s">
        <v>42</v>
      </c>
      <c r="E4635" s="15" t="s">
        <v>39</v>
      </c>
      <c r="F4635" s="15" t="s">
        <v>17</v>
      </c>
      <c r="G4635" s="15" t="s">
        <v>29</v>
      </c>
      <c r="H4635" s="15" t="n">
        <v>3</v>
      </c>
      <c r="I4635" s="17" t="n">
        <v>0.05</v>
      </c>
      <c r="J4635" s="18" t="n">
        <v>52.9</v>
      </c>
      <c r="K4635" s="19" t="n">
        <v>18.31</v>
      </c>
      <c r="L4635" s="15" t="n">
        <f aca="false">YEAR(B4635)</f>
        <v>2022</v>
      </c>
      <c r="M4635" s="20" t="n">
        <f aca="false">IF(J4635&gt;0,K4635/J4635,0)</f>
        <v>0.346124763705104</v>
      </c>
    </row>
    <row r="4636" customFormat="false" ht="15" hidden="false" customHeight="false" outlineLevel="0" collapsed="false">
      <c r="A4636" s="15" t="s">
        <v>4693</v>
      </c>
      <c r="B4636" s="16" t="n">
        <v>44845</v>
      </c>
      <c r="C4636" s="15" t="s">
        <v>56</v>
      </c>
      <c r="D4636" s="15" t="s">
        <v>43</v>
      </c>
      <c r="E4636" s="15" t="s">
        <v>39</v>
      </c>
      <c r="F4636" s="15" t="s">
        <v>17</v>
      </c>
      <c r="G4636" s="15" t="s">
        <v>26</v>
      </c>
      <c r="H4636" s="15" t="n">
        <v>7</v>
      </c>
      <c r="I4636" s="17" t="n">
        <v>0</v>
      </c>
      <c r="J4636" s="18" t="n">
        <v>707.29</v>
      </c>
      <c r="K4636" s="19" t="n">
        <v>91.65</v>
      </c>
      <c r="L4636" s="15" t="n">
        <f aca="false">YEAR(B4636)</f>
        <v>2022</v>
      </c>
      <c r="M4636" s="20" t="n">
        <f aca="false">IF(J4636&gt;0,K4636/J4636,0)</f>
        <v>0.129579097682704</v>
      </c>
    </row>
    <row r="4637" customFormat="false" ht="15" hidden="false" customHeight="false" outlineLevel="0" collapsed="false">
      <c r="A4637" s="15" t="s">
        <v>4694</v>
      </c>
      <c r="B4637" s="16" t="n">
        <v>45445</v>
      </c>
      <c r="C4637" s="15" t="s">
        <v>68</v>
      </c>
      <c r="D4637" s="15" t="s">
        <v>42</v>
      </c>
      <c r="E4637" s="15" t="s">
        <v>39</v>
      </c>
      <c r="F4637" s="15" t="s">
        <v>17</v>
      </c>
      <c r="G4637" s="15" t="s">
        <v>28</v>
      </c>
      <c r="H4637" s="15" t="n">
        <v>2</v>
      </c>
      <c r="I4637" s="17" t="n">
        <v>0</v>
      </c>
      <c r="J4637" s="18" t="n">
        <v>51.52</v>
      </c>
      <c r="K4637" s="19" t="n">
        <v>15.43</v>
      </c>
      <c r="L4637" s="15" t="n">
        <f aca="false">YEAR(B4637)</f>
        <v>2024</v>
      </c>
      <c r="M4637" s="20" t="n">
        <f aca="false">IF(J4637&gt;0,K4637/J4637,0)</f>
        <v>0.299495341614907</v>
      </c>
    </row>
    <row r="4638" customFormat="false" ht="15" hidden="false" customHeight="false" outlineLevel="0" collapsed="false">
      <c r="A4638" s="15" t="s">
        <v>4695</v>
      </c>
      <c r="B4638" s="16" t="n">
        <v>45991</v>
      </c>
      <c r="C4638" s="15" t="s">
        <v>56</v>
      </c>
      <c r="D4638" s="15" t="s">
        <v>42</v>
      </c>
      <c r="E4638" s="15" t="s">
        <v>36</v>
      </c>
      <c r="F4638" s="15" t="s">
        <v>16</v>
      </c>
      <c r="G4638" s="15" t="s">
        <v>25</v>
      </c>
      <c r="H4638" s="15" t="n">
        <v>6</v>
      </c>
      <c r="I4638" s="17" t="n">
        <v>0</v>
      </c>
      <c r="J4638" s="18" t="n">
        <v>1424.16</v>
      </c>
      <c r="K4638" s="19" t="n">
        <v>164.28</v>
      </c>
      <c r="L4638" s="15" t="n">
        <f aca="false">YEAR(B4638)</f>
        <v>2025</v>
      </c>
      <c r="M4638" s="20" t="n">
        <f aca="false">IF(J4638&gt;0,K4638/J4638,0)</f>
        <v>0.115352207617122</v>
      </c>
    </row>
    <row r="4639" customFormat="false" ht="15" hidden="false" customHeight="false" outlineLevel="0" collapsed="false">
      <c r="A4639" s="15" t="s">
        <v>4696</v>
      </c>
      <c r="B4639" s="16" t="n">
        <v>45984</v>
      </c>
      <c r="C4639" s="15" t="s">
        <v>56</v>
      </c>
      <c r="D4639" s="15" t="s">
        <v>43</v>
      </c>
      <c r="E4639" s="15" t="s">
        <v>38</v>
      </c>
      <c r="F4639" s="15" t="s">
        <v>18</v>
      </c>
      <c r="G4639" s="15" t="s">
        <v>30</v>
      </c>
      <c r="H4639" s="15" t="n">
        <v>4</v>
      </c>
      <c r="I4639" s="17" t="n">
        <v>0.1</v>
      </c>
      <c r="J4639" s="18" t="n">
        <v>134.65</v>
      </c>
      <c r="K4639" s="19" t="n">
        <v>28.94</v>
      </c>
      <c r="L4639" s="15" t="n">
        <f aca="false">YEAR(B4639)</f>
        <v>2025</v>
      </c>
      <c r="M4639" s="20" t="n">
        <f aca="false">IF(J4639&gt;0,K4639/J4639,0)</f>
        <v>0.214927590048273</v>
      </c>
    </row>
    <row r="4640" customFormat="false" ht="15" hidden="false" customHeight="false" outlineLevel="0" collapsed="false">
      <c r="A4640" s="15" t="s">
        <v>4697</v>
      </c>
      <c r="B4640" s="16" t="n">
        <v>45932</v>
      </c>
      <c r="C4640" s="15" t="s">
        <v>71</v>
      </c>
      <c r="D4640" s="15" t="s">
        <v>42</v>
      </c>
      <c r="E4640" s="15" t="s">
        <v>39</v>
      </c>
      <c r="F4640" s="15" t="s">
        <v>18</v>
      </c>
      <c r="G4640" s="15" t="s">
        <v>30</v>
      </c>
      <c r="H4640" s="15" t="n">
        <v>1</v>
      </c>
      <c r="I4640" s="17" t="n">
        <v>0</v>
      </c>
      <c r="J4640" s="18" t="n">
        <v>57.44</v>
      </c>
      <c r="K4640" s="19" t="n">
        <v>18.47</v>
      </c>
      <c r="L4640" s="15" t="n">
        <f aca="false">YEAR(B4640)</f>
        <v>2025</v>
      </c>
      <c r="M4640" s="20" t="n">
        <f aca="false">IF(J4640&gt;0,K4640/J4640,0)</f>
        <v>0.321552924791086</v>
      </c>
    </row>
    <row r="4641" customFormat="false" ht="15" hidden="false" customHeight="false" outlineLevel="0" collapsed="false">
      <c r="A4641" s="15" t="s">
        <v>4698</v>
      </c>
      <c r="B4641" s="16" t="n">
        <v>45088</v>
      </c>
      <c r="C4641" s="15" t="s">
        <v>56</v>
      </c>
      <c r="D4641" s="15" t="s">
        <v>42</v>
      </c>
      <c r="E4641" s="15" t="s">
        <v>36</v>
      </c>
      <c r="F4641" s="15" t="s">
        <v>16</v>
      </c>
      <c r="G4641" s="15" t="s">
        <v>27</v>
      </c>
      <c r="H4641" s="15" t="n">
        <v>2</v>
      </c>
      <c r="I4641" s="17" t="n">
        <v>0.3</v>
      </c>
      <c r="J4641" s="18" t="n">
        <v>58.68</v>
      </c>
      <c r="K4641" s="19" t="n">
        <v>-3.76</v>
      </c>
      <c r="L4641" s="15" t="n">
        <f aca="false">YEAR(B4641)</f>
        <v>2023</v>
      </c>
      <c r="M4641" s="20" t="n">
        <f aca="false">IF(J4641&gt;0,K4641/J4641,0)</f>
        <v>-0.0640763462849352</v>
      </c>
    </row>
    <row r="4642" customFormat="false" ht="15" hidden="false" customHeight="false" outlineLevel="0" collapsed="false">
      <c r="A4642" s="15" t="s">
        <v>4699</v>
      </c>
      <c r="B4642" s="16" t="n">
        <v>45875</v>
      </c>
      <c r="C4642" s="15" t="s">
        <v>56</v>
      </c>
      <c r="D4642" s="15" t="s">
        <v>42</v>
      </c>
      <c r="E4642" s="15" t="s">
        <v>39</v>
      </c>
      <c r="F4642" s="15" t="s">
        <v>18</v>
      </c>
      <c r="G4642" s="15" t="s">
        <v>24</v>
      </c>
      <c r="H4642" s="15" t="n">
        <v>5</v>
      </c>
      <c r="I4642" s="17" t="n">
        <v>0</v>
      </c>
      <c r="J4642" s="18" t="n">
        <v>3392.16</v>
      </c>
      <c r="K4642" s="19" t="n">
        <v>427.98</v>
      </c>
      <c r="L4642" s="15" t="n">
        <f aca="false">YEAR(B4642)</f>
        <v>2025</v>
      </c>
      <c r="M4642" s="20" t="n">
        <f aca="false">IF(J4642&gt;0,K4642/J4642,0)</f>
        <v>0.126167397764256</v>
      </c>
    </row>
    <row r="4643" customFormat="false" ht="15" hidden="false" customHeight="false" outlineLevel="0" collapsed="false">
      <c r="A4643" s="15" t="s">
        <v>4700</v>
      </c>
      <c r="B4643" s="16" t="n">
        <v>45396</v>
      </c>
      <c r="C4643" s="15" t="s">
        <v>56</v>
      </c>
      <c r="D4643" s="15" t="s">
        <v>44</v>
      </c>
      <c r="E4643" s="15" t="s">
        <v>36</v>
      </c>
      <c r="F4643" s="15" t="s">
        <v>16</v>
      </c>
      <c r="G4643" s="15" t="s">
        <v>25</v>
      </c>
      <c r="H4643" s="15" t="n">
        <v>3</v>
      </c>
      <c r="I4643" s="17" t="n">
        <v>0.2</v>
      </c>
      <c r="J4643" s="18" t="n">
        <v>672.62</v>
      </c>
      <c r="K4643" s="19" t="n">
        <v>-25.81</v>
      </c>
      <c r="L4643" s="15" t="n">
        <f aca="false">YEAR(B4643)</f>
        <v>2024</v>
      </c>
      <c r="M4643" s="20" t="n">
        <f aca="false">IF(J4643&gt;0,K4643/J4643,0)</f>
        <v>-0.0383723350480212</v>
      </c>
    </row>
    <row r="4644" customFormat="false" ht="15" hidden="false" customHeight="false" outlineLevel="0" collapsed="false">
      <c r="A4644" s="15" t="s">
        <v>4701</v>
      </c>
      <c r="B4644" s="16" t="n">
        <v>45028</v>
      </c>
      <c r="C4644" s="15" t="s">
        <v>56</v>
      </c>
      <c r="D4644" s="15" t="s">
        <v>44</v>
      </c>
      <c r="E4644" s="15" t="s">
        <v>37</v>
      </c>
      <c r="F4644" s="15" t="s">
        <v>17</v>
      </c>
      <c r="G4644" s="15" t="s">
        <v>28</v>
      </c>
      <c r="H4644" s="15" t="n">
        <v>5</v>
      </c>
      <c r="I4644" s="17" t="n">
        <v>0</v>
      </c>
      <c r="J4644" s="18" t="n">
        <v>117.83</v>
      </c>
      <c r="K4644" s="19" t="n">
        <v>42.77</v>
      </c>
      <c r="L4644" s="15" t="n">
        <f aca="false">YEAR(B4644)</f>
        <v>2023</v>
      </c>
      <c r="M4644" s="20" t="n">
        <f aca="false">IF(J4644&gt;0,K4644/J4644,0)</f>
        <v>0.362980565221081</v>
      </c>
    </row>
    <row r="4645" customFormat="false" ht="15" hidden="false" customHeight="false" outlineLevel="0" collapsed="false">
      <c r="A4645" s="15" t="s">
        <v>4702</v>
      </c>
      <c r="B4645" s="16" t="n">
        <v>46020</v>
      </c>
      <c r="C4645" s="15" t="s">
        <v>56</v>
      </c>
      <c r="D4645" s="15" t="s">
        <v>42</v>
      </c>
      <c r="E4645" s="15" t="s">
        <v>39</v>
      </c>
      <c r="F4645" s="15" t="s">
        <v>16</v>
      </c>
      <c r="G4645" s="15" t="s">
        <v>22</v>
      </c>
      <c r="H4645" s="15" t="n">
        <v>4</v>
      </c>
      <c r="I4645" s="17" t="n">
        <v>0</v>
      </c>
      <c r="J4645" s="18" t="n">
        <v>1960.54</v>
      </c>
      <c r="K4645" s="19" t="n">
        <v>-99.98</v>
      </c>
      <c r="L4645" s="15" t="n">
        <f aca="false">YEAR(B4645)</f>
        <v>2025</v>
      </c>
      <c r="M4645" s="20" t="n">
        <f aca="false">IF(J4645&gt;0,K4645/J4645,0)</f>
        <v>-0.0509961541208035</v>
      </c>
    </row>
    <row r="4646" customFormat="false" ht="15" hidden="false" customHeight="false" outlineLevel="0" collapsed="false">
      <c r="A4646" s="15" t="s">
        <v>4703</v>
      </c>
      <c r="B4646" s="16" t="n">
        <v>45334</v>
      </c>
      <c r="C4646" s="15" t="s">
        <v>56</v>
      </c>
      <c r="D4646" s="15" t="s">
        <v>43</v>
      </c>
      <c r="E4646" s="15" t="s">
        <v>38</v>
      </c>
      <c r="F4646" s="15" t="s">
        <v>17</v>
      </c>
      <c r="G4646" s="15" t="s">
        <v>28</v>
      </c>
      <c r="H4646" s="15" t="n">
        <v>3</v>
      </c>
      <c r="I4646" s="17" t="n">
        <v>0</v>
      </c>
      <c r="J4646" s="18" t="n">
        <v>71.03</v>
      </c>
      <c r="K4646" s="19" t="n">
        <v>26.04</v>
      </c>
      <c r="L4646" s="15" t="n">
        <f aca="false">YEAR(B4646)</f>
        <v>2024</v>
      </c>
      <c r="M4646" s="20" t="n">
        <f aca="false">IF(J4646&gt;0,K4646/J4646,0)</f>
        <v>0.366605659580459</v>
      </c>
    </row>
    <row r="4647" customFormat="false" ht="15" hidden="false" customHeight="false" outlineLevel="0" collapsed="false">
      <c r="A4647" s="15" t="s">
        <v>4704</v>
      </c>
      <c r="B4647" s="16" t="n">
        <v>45419</v>
      </c>
      <c r="C4647" s="15" t="s">
        <v>56</v>
      </c>
      <c r="D4647" s="15" t="s">
        <v>42</v>
      </c>
      <c r="E4647" s="15" t="s">
        <v>36</v>
      </c>
      <c r="F4647" s="15" t="s">
        <v>18</v>
      </c>
      <c r="G4647" s="15" t="s">
        <v>30</v>
      </c>
      <c r="H4647" s="15" t="n">
        <v>3</v>
      </c>
      <c r="I4647" s="17" t="n">
        <v>0</v>
      </c>
      <c r="J4647" s="18" t="n">
        <v>133.64</v>
      </c>
      <c r="K4647" s="19" t="n">
        <v>31.43</v>
      </c>
      <c r="L4647" s="15" t="n">
        <f aca="false">YEAR(B4647)</f>
        <v>2024</v>
      </c>
      <c r="M4647" s="20" t="n">
        <f aca="false">IF(J4647&gt;0,K4647/J4647,0)</f>
        <v>0.235184076623765</v>
      </c>
    </row>
    <row r="4648" customFormat="false" ht="15" hidden="false" customHeight="false" outlineLevel="0" collapsed="false">
      <c r="A4648" s="15" t="s">
        <v>4705</v>
      </c>
      <c r="B4648" s="16" t="n">
        <v>45698</v>
      </c>
      <c r="C4648" s="15" t="s">
        <v>56</v>
      </c>
      <c r="D4648" s="15" t="s">
        <v>42</v>
      </c>
      <c r="E4648" s="15" t="s">
        <v>36</v>
      </c>
      <c r="F4648" s="15" t="s">
        <v>16</v>
      </c>
      <c r="G4648" s="15" t="s">
        <v>23</v>
      </c>
      <c r="H4648" s="15" t="n">
        <v>3</v>
      </c>
      <c r="I4648" s="17" t="n">
        <v>0.15</v>
      </c>
      <c r="J4648" s="18" t="n">
        <v>800.82</v>
      </c>
      <c r="K4648" s="19" t="n">
        <v>-93.29</v>
      </c>
      <c r="L4648" s="15" t="n">
        <f aca="false">YEAR(B4648)</f>
        <v>2025</v>
      </c>
      <c r="M4648" s="20" t="n">
        <f aca="false">IF(J4648&gt;0,K4648/J4648,0)</f>
        <v>-0.116493094578058</v>
      </c>
    </row>
    <row r="4649" customFormat="false" ht="15" hidden="false" customHeight="false" outlineLevel="0" collapsed="false">
      <c r="A4649" s="15" t="s">
        <v>4706</v>
      </c>
      <c r="B4649" s="16" t="n">
        <v>45326</v>
      </c>
      <c r="C4649" s="15" t="s">
        <v>58</v>
      </c>
      <c r="D4649" s="15" t="s">
        <v>44</v>
      </c>
      <c r="E4649" s="15" t="s">
        <v>38</v>
      </c>
      <c r="F4649" s="15" t="s">
        <v>17</v>
      </c>
      <c r="G4649" s="15" t="s">
        <v>28</v>
      </c>
      <c r="H4649" s="15" t="n">
        <v>5</v>
      </c>
      <c r="I4649" s="17" t="n">
        <v>0</v>
      </c>
      <c r="J4649" s="18" t="n">
        <v>98.27</v>
      </c>
      <c r="K4649" s="19" t="n">
        <v>27.94</v>
      </c>
      <c r="L4649" s="15" t="n">
        <f aca="false">YEAR(B4649)</f>
        <v>2024</v>
      </c>
      <c r="M4649" s="20" t="n">
        <f aca="false">IF(J4649&gt;0,K4649/J4649,0)</f>
        <v>0.284318713747838</v>
      </c>
    </row>
    <row r="4650" customFormat="false" ht="15" hidden="false" customHeight="false" outlineLevel="0" collapsed="false">
      <c r="A4650" s="15" t="s">
        <v>4707</v>
      </c>
      <c r="B4650" s="16" t="n">
        <v>45276</v>
      </c>
      <c r="C4650" s="15" t="s">
        <v>56</v>
      </c>
      <c r="D4650" s="15" t="s">
        <v>43</v>
      </c>
      <c r="E4650" s="15" t="s">
        <v>39</v>
      </c>
      <c r="F4650" s="15" t="s">
        <v>17</v>
      </c>
      <c r="G4650" s="15" t="s">
        <v>28</v>
      </c>
      <c r="H4650" s="15" t="n">
        <v>2</v>
      </c>
      <c r="I4650" s="17" t="n">
        <v>0</v>
      </c>
      <c r="J4650" s="18" t="n">
        <v>42.55</v>
      </c>
      <c r="K4650" s="19" t="n">
        <v>13.04</v>
      </c>
      <c r="L4650" s="15" t="n">
        <f aca="false">YEAR(B4650)</f>
        <v>2023</v>
      </c>
      <c r="M4650" s="20" t="n">
        <f aca="false">IF(J4650&gt;0,K4650/J4650,0)</f>
        <v>0.306462984723854</v>
      </c>
    </row>
    <row r="4651" customFormat="false" ht="15" hidden="false" customHeight="false" outlineLevel="0" collapsed="false">
      <c r="A4651" s="15" t="s">
        <v>4708</v>
      </c>
      <c r="B4651" s="16" t="n">
        <v>46014</v>
      </c>
      <c r="C4651" s="15" t="s">
        <v>68</v>
      </c>
      <c r="D4651" s="15" t="s">
        <v>42</v>
      </c>
      <c r="E4651" s="15" t="s">
        <v>36</v>
      </c>
      <c r="F4651" s="15" t="s">
        <v>17</v>
      </c>
      <c r="G4651" s="15" t="s">
        <v>29</v>
      </c>
      <c r="H4651" s="15" t="n">
        <v>3</v>
      </c>
      <c r="I4651" s="17" t="n">
        <v>0.2</v>
      </c>
      <c r="J4651" s="18" t="n">
        <v>41.86</v>
      </c>
      <c r="K4651" s="19" t="n">
        <v>10.38</v>
      </c>
      <c r="L4651" s="15" t="n">
        <f aca="false">YEAR(B4651)</f>
        <v>2025</v>
      </c>
      <c r="M4651" s="20" t="n">
        <f aca="false">IF(J4651&gt;0,K4651/J4651,0)</f>
        <v>0.247969421882465</v>
      </c>
    </row>
    <row r="4652" customFormat="false" ht="15" hidden="false" customHeight="false" outlineLevel="0" collapsed="false">
      <c r="A4652" s="15" t="s">
        <v>4709</v>
      </c>
      <c r="B4652" s="16" t="n">
        <v>45766</v>
      </c>
      <c r="C4652" s="15" t="s">
        <v>56</v>
      </c>
      <c r="D4652" s="15" t="s">
        <v>42</v>
      </c>
      <c r="E4652" s="15" t="s">
        <v>36</v>
      </c>
      <c r="F4652" s="15" t="s">
        <v>17</v>
      </c>
      <c r="G4652" s="15" t="s">
        <v>31</v>
      </c>
      <c r="H4652" s="15" t="n">
        <v>4</v>
      </c>
      <c r="I4652" s="17" t="n">
        <v>0.2</v>
      </c>
      <c r="J4652" s="18" t="n">
        <v>393.18</v>
      </c>
      <c r="K4652" s="19" t="n">
        <v>13.91</v>
      </c>
      <c r="L4652" s="15" t="n">
        <f aca="false">YEAR(B4652)</f>
        <v>2025</v>
      </c>
      <c r="M4652" s="20" t="n">
        <f aca="false">IF(J4652&gt;0,K4652/J4652,0)</f>
        <v>0.0353781982806857</v>
      </c>
    </row>
    <row r="4653" customFormat="false" ht="15" hidden="false" customHeight="false" outlineLevel="0" collapsed="false">
      <c r="A4653" s="15" t="s">
        <v>4710</v>
      </c>
      <c r="B4653" s="16" t="n">
        <v>45660</v>
      </c>
      <c r="C4653" s="15" t="s">
        <v>56</v>
      </c>
      <c r="D4653" s="15" t="s">
        <v>43</v>
      </c>
      <c r="E4653" s="15" t="s">
        <v>39</v>
      </c>
      <c r="F4653" s="15" t="s">
        <v>16</v>
      </c>
      <c r="G4653" s="15" t="s">
        <v>25</v>
      </c>
      <c r="H4653" s="15" t="n">
        <v>7</v>
      </c>
      <c r="I4653" s="17" t="n">
        <v>0.4</v>
      </c>
      <c r="J4653" s="18" t="n">
        <v>1424</v>
      </c>
      <c r="K4653" s="19" t="n">
        <v>-343.1</v>
      </c>
      <c r="L4653" s="15" t="n">
        <f aca="false">YEAR(B4653)</f>
        <v>2025</v>
      </c>
      <c r="M4653" s="20" t="n">
        <f aca="false">IF(J4653&gt;0,K4653/J4653,0)</f>
        <v>-0.240941011235955</v>
      </c>
    </row>
    <row r="4654" customFormat="false" ht="15" hidden="false" customHeight="false" outlineLevel="0" collapsed="false">
      <c r="A4654" s="15" t="s">
        <v>4711</v>
      </c>
      <c r="B4654" s="16" t="n">
        <v>45048</v>
      </c>
      <c r="C4654" s="15" t="s">
        <v>56</v>
      </c>
      <c r="D4654" s="15" t="s">
        <v>43</v>
      </c>
      <c r="E4654" s="15" t="s">
        <v>39</v>
      </c>
      <c r="F4654" s="15" t="s">
        <v>17</v>
      </c>
      <c r="G4654" s="15" t="s">
        <v>31</v>
      </c>
      <c r="H4654" s="15" t="n">
        <v>1</v>
      </c>
      <c r="I4654" s="17" t="n">
        <v>0</v>
      </c>
      <c r="J4654" s="18" t="n">
        <v>137.56</v>
      </c>
      <c r="K4654" s="19" t="n">
        <v>36.74</v>
      </c>
      <c r="L4654" s="15" t="n">
        <f aca="false">YEAR(B4654)</f>
        <v>2023</v>
      </c>
      <c r="M4654" s="20" t="n">
        <f aca="false">IF(J4654&gt;0,K4654/J4654,0)</f>
        <v>0.267083454492585</v>
      </c>
    </row>
    <row r="4655" customFormat="false" ht="15" hidden="false" customHeight="false" outlineLevel="0" collapsed="false">
      <c r="A4655" s="15" t="s">
        <v>4712</v>
      </c>
      <c r="B4655" s="16" t="n">
        <v>45242</v>
      </c>
      <c r="C4655" s="15" t="s">
        <v>71</v>
      </c>
      <c r="D4655" s="15" t="s">
        <v>44</v>
      </c>
      <c r="E4655" s="15" t="s">
        <v>39</v>
      </c>
      <c r="F4655" s="15" t="s">
        <v>17</v>
      </c>
      <c r="G4655" s="15" t="s">
        <v>31</v>
      </c>
      <c r="H4655" s="15" t="n">
        <v>2</v>
      </c>
      <c r="I4655" s="17" t="n">
        <v>0.1</v>
      </c>
      <c r="J4655" s="18" t="n">
        <v>225.34</v>
      </c>
      <c r="K4655" s="19" t="n">
        <v>29.19</v>
      </c>
      <c r="L4655" s="15" t="n">
        <f aca="false">YEAR(B4655)</f>
        <v>2023</v>
      </c>
      <c r="M4655" s="20" t="n">
        <f aca="false">IF(J4655&gt;0,K4655/J4655,0)</f>
        <v>0.129537587645336</v>
      </c>
    </row>
    <row r="4656" customFormat="false" ht="15" hidden="false" customHeight="false" outlineLevel="0" collapsed="false">
      <c r="A4656" s="15" t="s">
        <v>4713</v>
      </c>
      <c r="B4656" s="16" t="n">
        <v>45394</v>
      </c>
      <c r="C4656" s="15" t="s">
        <v>71</v>
      </c>
      <c r="D4656" s="15" t="s">
        <v>42</v>
      </c>
      <c r="E4656" s="15" t="s">
        <v>36</v>
      </c>
      <c r="F4656" s="15" t="s">
        <v>18</v>
      </c>
      <c r="G4656" s="15" t="s">
        <v>30</v>
      </c>
      <c r="H4656" s="15" t="n">
        <v>7</v>
      </c>
      <c r="I4656" s="17" t="n">
        <v>0.15</v>
      </c>
      <c r="J4656" s="18" t="n">
        <v>255.59</v>
      </c>
      <c r="K4656" s="19" t="n">
        <v>40.23</v>
      </c>
      <c r="L4656" s="15" t="n">
        <f aca="false">YEAR(B4656)</f>
        <v>2024</v>
      </c>
      <c r="M4656" s="20" t="n">
        <f aca="false">IF(J4656&gt;0,K4656/J4656,0)</f>
        <v>0.157400524277163</v>
      </c>
    </row>
    <row r="4657" customFormat="false" ht="15" hidden="false" customHeight="false" outlineLevel="0" collapsed="false">
      <c r="A4657" s="15" t="s">
        <v>4714</v>
      </c>
      <c r="B4657" s="16" t="n">
        <v>45008</v>
      </c>
      <c r="C4657" s="15" t="s">
        <v>71</v>
      </c>
      <c r="D4657" s="15" t="s">
        <v>44</v>
      </c>
      <c r="E4657" s="15" t="s">
        <v>36</v>
      </c>
      <c r="F4657" s="15" t="s">
        <v>17</v>
      </c>
      <c r="G4657" s="15" t="s">
        <v>28</v>
      </c>
      <c r="H4657" s="15" t="n">
        <v>2</v>
      </c>
      <c r="I4657" s="17" t="n">
        <v>0.15</v>
      </c>
      <c r="J4657" s="18" t="n">
        <v>46.2</v>
      </c>
      <c r="K4657" s="19" t="n">
        <v>11.52</v>
      </c>
      <c r="L4657" s="15" t="n">
        <f aca="false">YEAR(B4657)</f>
        <v>2023</v>
      </c>
      <c r="M4657" s="20" t="n">
        <f aca="false">IF(J4657&gt;0,K4657/J4657,0)</f>
        <v>0.249350649350649</v>
      </c>
    </row>
    <row r="4658" customFormat="false" ht="15" hidden="false" customHeight="false" outlineLevel="0" collapsed="false">
      <c r="A4658" s="15" t="s">
        <v>4715</v>
      </c>
      <c r="B4658" s="16" t="n">
        <v>45081</v>
      </c>
      <c r="C4658" s="15" t="s">
        <v>56</v>
      </c>
      <c r="D4658" s="15" t="s">
        <v>42</v>
      </c>
      <c r="E4658" s="15" t="s">
        <v>36</v>
      </c>
      <c r="F4658" s="15" t="s">
        <v>17</v>
      </c>
      <c r="G4658" s="15" t="s">
        <v>26</v>
      </c>
      <c r="H4658" s="15" t="n">
        <v>6</v>
      </c>
      <c r="I4658" s="17" t="n">
        <v>0.1</v>
      </c>
      <c r="J4658" s="18" t="n">
        <v>354.77</v>
      </c>
      <c r="K4658" s="19" t="n">
        <v>21.05</v>
      </c>
      <c r="L4658" s="15" t="n">
        <f aca="false">YEAR(B4658)</f>
        <v>2023</v>
      </c>
      <c r="M4658" s="20" t="n">
        <f aca="false">IF(J4658&gt;0,K4658/J4658,0)</f>
        <v>0.0593342165346563</v>
      </c>
    </row>
    <row r="4659" customFormat="false" ht="15" hidden="false" customHeight="false" outlineLevel="0" collapsed="false">
      <c r="A4659" s="15" t="s">
        <v>4716</v>
      </c>
      <c r="B4659" s="16" t="n">
        <v>45754</v>
      </c>
      <c r="C4659" s="15" t="s">
        <v>56</v>
      </c>
      <c r="D4659" s="15" t="s">
        <v>42</v>
      </c>
      <c r="E4659" s="15" t="s">
        <v>37</v>
      </c>
      <c r="F4659" s="15" t="s">
        <v>17</v>
      </c>
      <c r="G4659" s="15" t="s">
        <v>28</v>
      </c>
      <c r="H4659" s="15" t="n">
        <v>1</v>
      </c>
      <c r="I4659" s="17" t="n">
        <v>0.2</v>
      </c>
      <c r="J4659" s="18" t="n">
        <v>19.7</v>
      </c>
      <c r="K4659" s="19" t="n">
        <v>4.13</v>
      </c>
      <c r="L4659" s="15" t="n">
        <f aca="false">YEAR(B4659)</f>
        <v>2025</v>
      </c>
      <c r="M4659" s="20" t="n">
        <f aca="false">IF(J4659&gt;0,K4659/J4659,0)</f>
        <v>0.209644670050761</v>
      </c>
    </row>
    <row r="4660" customFormat="false" ht="15" hidden="false" customHeight="false" outlineLevel="0" collapsed="false">
      <c r="A4660" s="15" t="s">
        <v>4717</v>
      </c>
      <c r="B4660" s="16" t="n">
        <v>45359</v>
      </c>
      <c r="C4660" s="15" t="s">
        <v>68</v>
      </c>
      <c r="D4660" s="15" t="s">
        <v>42</v>
      </c>
      <c r="E4660" s="15" t="s">
        <v>37</v>
      </c>
      <c r="F4660" s="15" t="s">
        <v>18</v>
      </c>
      <c r="G4660" s="15" t="s">
        <v>30</v>
      </c>
      <c r="H4660" s="15" t="n">
        <v>2</v>
      </c>
      <c r="I4660" s="17" t="n">
        <v>0.05</v>
      </c>
      <c r="J4660" s="18" t="n">
        <v>77.86</v>
      </c>
      <c r="K4660" s="19" t="n">
        <v>22.82</v>
      </c>
      <c r="L4660" s="15" t="n">
        <f aca="false">YEAR(B4660)</f>
        <v>2024</v>
      </c>
      <c r="M4660" s="20" t="n">
        <f aca="false">IF(J4660&gt;0,K4660/J4660,0)</f>
        <v>0.293090161828924</v>
      </c>
    </row>
    <row r="4661" customFormat="false" ht="15" hidden="false" customHeight="false" outlineLevel="0" collapsed="false">
      <c r="A4661" s="15" t="s">
        <v>4718</v>
      </c>
      <c r="B4661" s="16" t="n">
        <v>45214</v>
      </c>
      <c r="C4661" s="15" t="s">
        <v>56</v>
      </c>
      <c r="D4661" s="15" t="s">
        <v>43</v>
      </c>
      <c r="E4661" s="15" t="s">
        <v>37</v>
      </c>
      <c r="F4661" s="15" t="s">
        <v>17</v>
      </c>
      <c r="G4661" s="15" t="s">
        <v>31</v>
      </c>
      <c r="H4661" s="15" t="n">
        <v>8</v>
      </c>
      <c r="I4661" s="17" t="n">
        <v>0</v>
      </c>
      <c r="J4661" s="18" t="n">
        <v>1016.4</v>
      </c>
      <c r="K4661" s="19" t="n">
        <v>246.1</v>
      </c>
      <c r="L4661" s="15" t="n">
        <f aca="false">YEAR(B4661)</f>
        <v>2023</v>
      </c>
      <c r="M4661" s="20" t="n">
        <f aca="false">IF(J4661&gt;0,K4661/J4661,0)</f>
        <v>0.242129083038174</v>
      </c>
    </row>
    <row r="4662" customFormat="false" ht="15" hidden="false" customHeight="false" outlineLevel="0" collapsed="false">
      <c r="A4662" s="15" t="s">
        <v>4719</v>
      </c>
      <c r="B4662" s="16" t="n">
        <v>45466</v>
      </c>
      <c r="C4662" s="15" t="s">
        <v>56</v>
      </c>
      <c r="D4662" s="15" t="s">
        <v>42</v>
      </c>
      <c r="E4662" s="15" t="s">
        <v>37</v>
      </c>
      <c r="F4662" s="15" t="s">
        <v>17</v>
      </c>
      <c r="G4662" s="15" t="s">
        <v>28</v>
      </c>
      <c r="H4662" s="15" t="n">
        <v>4</v>
      </c>
      <c r="I4662" s="17" t="n">
        <v>0.2</v>
      </c>
      <c r="J4662" s="18" t="n">
        <v>81.56</v>
      </c>
      <c r="K4662" s="19" t="n">
        <v>6.44</v>
      </c>
      <c r="L4662" s="15" t="n">
        <f aca="false">YEAR(B4662)</f>
        <v>2024</v>
      </c>
      <c r="M4662" s="20" t="n">
        <f aca="false">IF(J4662&gt;0,K4662/J4662,0)</f>
        <v>0.0789602746444336</v>
      </c>
    </row>
    <row r="4663" customFormat="false" ht="15" hidden="false" customHeight="false" outlineLevel="0" collapsed="false">
      <c r="A4663" s="15" t="s">
        <v>4720</v>
      </c>
      <c r="B4663" s="16" t="n">
        <v>45603</v>
      </c>
      <c r="C4663" s="15" t="s">
        <v>71</v>
      </c>
      <c r="D4663" s="15" t="s">
        <v>44</v>
      </c>
      <c r="E4663" s="15" t="s">
        <v>37</v>
      </c>
      <c r="F4663" s="15" t="s">
        <v>18</v>
      </c>
      <c r="G4663" s="15" t="s">
        <v>33</v>
      </c>
      <c r="H4663" s="15" t="n">
        <v>4</v>
      </c>
      <c r="I4663" s="17" t="n">
        <v>0.15</v>
      </c>
      <c r="J4663" s="18" t="n">
        <v>3561.43</v>
      </c>
      <c r="K4663" s="19" t="n">
        <v>487.76</v>
      </c>
      <c r="L4663" s="15" t="n">
        <f aca="false">YEAR(B4663)</f>
        <v>2024</v>
      </c>
      <c r="M4663" s="20" t="n">
        <f aca="false">IF(J4663&gt;0,K4663/J4663,0)</f>
        <v>0.136956222640905</v>
      </c>
    </row>
    <row r="4664" customFormat="false" ht="15" hidden="false" customHeight="false" outlineLevel="0" collapsed="false">
      <c r="A4664" s="15" t="s">
        <v>4721</v>
      </c>
      <c r="B4664" s="16" t="n">
        <v>45086</v>
      </c>
      <c r="C4664" s="15" t="s">
        <v>56</v>
      </c>
      <c r="D4664" s="15" t="s">
        <v>43</v>
      </c>
      <c r="E4664" s="15" t="s">
        <v>38</v>
      </c>
      <c r="F4664" s="15" t="s">
        <v>18</v>
      </c>
      <c r="G4664" s="15" t="s">
        <v>30</v>
      </c>
      <c r="H4664" s="15" t="n">
        <v>3</v>
      </c>
      <c r="I4664" s="17" t="n">
        <v>0.1</v>
      </c>
      <c r="J4664" s="18" t="n">
        <v>101.91</v>
      </c>
      <c r="K4664" s="19" t="n">
        <v>21.73</v>
      </c>
      <c r="L4664" s="15" t="n">
        <f aca="false">YEAR(B4664)</f>
        <v>2023</v>
      </c>
      <c r="M4664" s="20" t="n">
        <f aca="false">IF(J4664&gt;0,K4664/J4664,0)</f>
        <v>0.213227357472279</v>
      </c>
    </row>
    <row r="4665" customFormat="false" ht="15" hidden="false" customHeight="false" outlineLevel="0" collapsed="false">
      <c r="A4665" s="15" t="s">
        <v>4722</v>
      </c>
      <c r="B4665" s="16" t="n">
        <v>45813</v>
      </c>
      <c r="C4665" s="15" t="s">
        <v>56</v>
      </c>
      <c r="D4665" s="15" t="s">
        <v>44</v>
      </c>
      <c r="E4665" s="15" t="s">
        <v>36</v>
      </c>
      <c r="F4665" s="15" t="s">
        <v>16</v>
      </c>
      <c r="G4665" s="15" t="s">
        <v>27</v>
      </c>
      <c r="H4665" s="15" t="n">
        <v>2</v>
      </c>
      <c r="I4665" s="17" t="n">
        <v>0</v>
      </c>
      <c r="J4665" s="18" t="n">
        <v>98.73</v>
      </c>
      <c r="K4665" s="19" t="n">
        <v>21.27</v>
      </c>
      <c r="L4665" s="15" t="n">
        <f aca="false">YEAR(B4665)</f>
        <v>2025</v>
      </c>
      <c r="M4665" s="20" t="n">
        <f aca="false">IF(J4665&gt;0,K4665/J4665,0)</f>
        <v>0.215436037678517</v>
      </c>
    </row>
    <row r="4666" customFormat="false" ht="15" hidden="false" customHeight="false" outlineLevel="0" collapsed="false">
      <c r="A4666" s="15" t="s">
        <v>4723</v>
      </c>
      <c r="B4666" s="16" t="n">
        <v>45052</v>
      </c>
      <c r="C4666" s="15" t="s">
        <v>71</v>
      </c>
      <c r="D4666" s="15" t="s">
        <v>42</v>
      </c>
      <c r="E4666" s="15" t="s">
        <v>37</v>
      </c>
      <c r="F4666" s="15" t="s">
        <v>17</v>
      </c>
      <c r="G4666" s="15" t="s">
        <v>28</v>
      </c>
      <c r="H4666" s="15" t="n">
        <v>1</v>
      </c>
      <c r="I4666" s="17" t="n">
        <v>0</v>
      </c>
      <c r="J4666" s="18" t="n">
        <v>26.68</v>
      </c>
      <c r="K4666" s="19" t="n">
        <v>7.47</v>
      </c>
      <c r="L4666" s="15" t="n">
        <f aca="false">YEAR(B4666)</f>
        <v>2023</v>
      </c>
      <c r="M4666" s="20" t="n">
        <f aca="false">IF(J4666&gt;0,K4666/J4666,0)</f>
        <v>0.279985007496252</v>
      </c>
    </row>
    <row r="4667" customFormat="false" ht="15" hidden="false" customHeight="false" outlineLevel="0" collapsed="false">
      <c r="A4667" s="15" t="s">
        <v>4724</v>
      </c>
      <c r="B4667" s="16" t="n">
        <v>45741</v>
      </c>
      <c r="C4667" s="15" t="s">
        <v>56</v>
      </c>
      <c r="D4667" s="15" t="s">
        <v>42</v>
      </c>
      <c r="E4667" s="15" t="s">
        <v>39</v>
      </c>
      <c r="F4667" s="15" t="s">
        <v>18</v>
      </c>
      <c r="G4667" s="15" t="s">
        <v>30</v>
      </c>
      <c r="H4667" s="15" t="n">
        <v>3</v>
      </c>
      <c r="I4667" s="17" t="n">
        <v>0.1</v>
      </c>
      <c r="J4667" s="18" t="n">
        <v>124.9</v>
      </c>
      <c r="K4667" s="19" t="n">
        <v>28.32</v>
      </c>
      <c r="L4667" s="15" t="n">
        <f aca="false">YEAR(B4667)</f>
        <v>2025</v>
      </c>
      <c r="M4667" s="20" t="n">
        <f aca="false">IF(J4667&gt;0,K4667/J4667,0)</f>
        <v>0.226741393114492</v>
      </c>
    </row>
    <row r="4668" customFormat="false" ht="15" hidden="false" customHeight="false" outlineLevel="0" collapsed="false">
      <c r="A4668" s="15" t="s">
        <v>4725</v>
      </c>
      <c r="B4668" s="16" t="n">
        <v>45761</v>
      </c>
      <c r="C4668" s="15" t="s">
        <v>71</v>
      </c>
      <c r="D4668" s="15" t="s">
        <v>42</v>
      </c>
      <c r="E4668" s="15" t="s">
        <v>37</v>
      </c>
      <c r="F4668" s="15" t="s">
        <v>17</v>
      </c>
      <c r="G4668" s="15" t="s">
        <v>28</v>
      </c>
      <c r="H4668" s="15" t="n">
        <v>2</v>
      </c>
      <c r="I4668" s="17" t="n">
        <v>0</v>
      </c>
      <c r="J4668" s="18" t="n">
        <v>58.11</v>
      </c>
      <c r="K4668" s="19" t="n">
        <v>17.86</v>
      </c>
      <c r="L4668" s="15" t="n">
        <f aca="false">YEAR(B4668)</f>
        <v>2025</v>
      </c>
      <c r="M4668" s="20" t="n">
        <f aca="false">IF(J4668&gt;0,K4668/J4668,0)</f>
        <v>0.307348132851489</v>
      </c>
    </row>
    <row r="4669" customFormat="false" ht="15" hidden="false" customHeight="false" outlineLevel="0" collapsed="false">
      <c r="A4669" s="15" t="s">
        <v>4726</v>
      </c>
      <c r="B4669" s="16" t="n">
        <v>45398</v>
      </c>
      <c r="C4669" s="15" t="s">
        <v>68</v>
      </c>
      <c r="D4669" s="15" t="s">
        <v>43</v>
      </c>
      <c r="E4669" s="15" t="s">
        <v>39</v>
      </c>
      <c r="F4669" s="15" t="s">
        <v>17</v>
      </c>
      <c r="G4669" s="15" t="s">
        <v>28</v>
      </c>
      <c r="H4669" s="15" t="n">
        <v>3</v>
      </c>
      <c r="I4669" s="17" t="n">
        <v>0</v>
      </c>
      <c r="J4669" s="18" t="n">
        <v>108.39</v>
      </c>
      <c r="K4669" s="19" t="n">
        <v>28.69</v>
      </c>
      <c r="L4669" s="15" t="n">
        <f aca="false">YEAR(B4669)</f>
        <v>2024</v>
      </c>
      <c r="M4669" s="20" t="n">
        <f aca="false">IF(J4669&gt;0,K4669/J4669,0)</f>
        <v>0.264692314789187</v>
      </c>
    </row>
    <row r="4670" customFormat="false" ht="15" hidden="false" customHeight="false" outlineLevel="0" collapsed="false">
      <c r="A4670" s="15" t="s">
        <v>4727</v>
      </c>
      <c r="B4670" s="16" t="n">
        <v>45241</v>
      </c>
      <c r="C4670" s="15" t="s">
        <v>56</v>
      </c>
      <c r="D4670" s="15" t="s">
        <v>43</v>
      </c>
      <c r="E4670" s="15" t="s">
        <v>39</v>
      </c>
      <c r="F4670" s="15" t="s">
        <v>17</v>
      </c>
      <c r="G4670" s="15" t="s">
        <v>29</v>
      </c>
      <c r="H4670" s="15" t="n">
        <v>3</v>
      </c>
      <c r="I4670" s="17" t="n">
        <v>0</v>
      </c>
      <c r="J4670" s="18" t="n">
        <v>59.87</v>
      </c>
      <c r="K4670" s="19" t="n">
        <v>21.01</v>
      </c>
      <c r="L4670" s="15" t="n">
        <f aca="false">YEAR(B4670)</f>
        <v>2023</v>
      </c>
      <c r="M4670" s="20" t="n">
        <f aca="false">IF(J4670&gt;0,K4670/J4670,0)</f>
        <v>0.350927008518457</v>
      </c>
    </row>
    <row r="4671" customFormat="false" ht="15" hidden="false" customHeight="false" outlineLevel="0" collapsed="false">
      <c r="A4671" s="15" t="s">
        <v>4728</v>
      </c>
      <c r="B4671" s="16" t="n">
        <v>45863</v>
      </c>
      <c r="C4671" s="15" t="s">
        <v>56</v>
      </c>
      <c r="D4671" s="15" t="s">
        <v>42</v>
      </c>
      <c r="E4671" s="15" t="s">
        <v>37</v>
      </c>
      <c r="F4671" s="15" t="s">
        <v>18</v>
      </c>
      <c r="G4671" s="15" t="s">
        <v>32</v>
      </c>
      <c r="H4671" s="15" t="n">
        <v>5</v>
      </c>
      <c r="I4671" s="17" t="n">
        <v>0.2</v>
      </c>
      <c r="J4671" s="18" t="n">
        <v>1531</v>
      </c>
      <c r="K4671" s="19" t="n">
        <v>26.23</v>
      </c>
      <c r="L4671" s="15" t="n">
        <f aca="false">YEAR(B4671)</f>
        <v>2025</v>
      </c>
      <c r="M4671" s="20" t="n">
        <f aca="false">IF(J4671&gt;0,K4671/J4671,0)</f>
        <v>0.0171325930764206</v>
      </c>
    </row>
    <row r="4672" customFormat="false" ht="15" hidden="false" customHeight="false" outlineLevel="0" collapsed="false">
      <c r="A4672" s="15" t="s">
        <v>4729</v>
      </c>
      <c r="B4672" s="16" t="n">
        <v>45877</v>
      </c>
      <c r="C4672" s="15" t="s">
        <v>56</v>
      </c>
      <c r="D4672" s="15" t="s">
        <v>42</v>
      </c>
      <c r="E4672" s="15" t="s">
        <v>39</v>
      </c>
      <c r="F4672" s="15" t="s">
        <v>17</v>
      </c>
      <c r="G4672" s="15" t="s">
        <v>28</v>
      </c>
      <c r="H4672" s="15" t="n">
        <v>3</v>
      </c>
      <c r="I4672" s="17" t="n">
        <v>0.2</v>
      </c>
      <c r="J4672" s="18" t="n">
        <v>55.24</v>
      </c>
      <c r="K4672" s="19" t="n">
        <v>8.89</v>
      </c>
      <c r="L4672" s="15" t="n">
        <f aca="false">YEAR(B4672)</f>
        <v>2025</v>
      </c>
      <c r="M4672" s="20" t="n">
        <f aca="false">IF(J4672&gt;0,K4672/J4672,0)</f>
        <v>0.160934105720492</v>
      </c>
    </row>
    <row r="4673" customFormat="false" ht="15" hidden="false" customHeight="false" outlineLevel="0" collapsed="false">
      <c r="A4673" s="15" t="s">
        <v>4730</v>
      </c>
      <c r="B4673" s="16" t="n">
        <v>44690</v>
      </c>
      <c r="C4673" s="15" t="s">
        <v>71</v>
      </c>
      <c r="D4673" s="15" t="s">
        <v>43</v>
      </c>
      <c r="E4673" s="15" t="s">
        <v>38</v>
      </c>
      <c r="F4673" s="15" t="s">
        <v>16</v>
      </c>
      <c r="G4673" s="15" t="s">
        <v>23</v>
      </c>
      <c r="H4673" s="15" t="n">
        <v>2</v>
      </c>
      <c r="I4673" s="17" t="n">
        <v>0</v>
      </c>
      <c r="J4673" s="18" t="n">
        <v>567.04</v>
      </c>
      <c r="K4673" s="19" t="n">
        <v>53.51</v>
      </c>
      <c r="L4673" s="15" t="n">
        <f aca="false">YEAR(B4673)</f>
        <v>2022</v>
      </c>
      <c r="M4673" s="20" t="n">
        <f aca="false">IF(J4673&gt;0,K4673/J4673,0)</f>
        <v>0.0943672404063205</v>
      </c>
    </row>
    <row r="4674" customFormat="false" ht="15" hidden="false" customHeight="false" outlineLevel="0" collapsed="false">
      <c r="A4674" s="15" t="s">
        <v>4731</v>
      </c>
      <c r="B4674" s="16" t="n">
        <v>45636</v>
      </c>
      <c r="C4674" s="15" t="s">
        <v>56</v>
      </c>
      <c r="D4674" s="15" t="s">
        <v>42</v>
      </c>
      <c r="E4674" s="15" t="s">
        <v>37</v>
      </c>
      <c r="F4674" s="15" t="s">
        <v>17</v>
      </c>
      <c r="G4674" s="15" t="s">
        <v>26</v>
      </c>
      <c r="H4674" s="15" t="n">
        <v>6</v>
      </c>
      <c r="I4674" s="17" t="n">
        <v>0.2</v>
      </c>
      <c r="J4674" s="18" t="n">
        <v>387.77</v>
      </c>
      <c r="K4674" s="19" t="n">
        <v>-57.07</v>
      </c>
      <c r="L4674" s="15" t="n">
        <f aca="false">YEAR(B4674)</f>
        <v>2024</v>
      </c>
      <c r="M4674" s="20" t="n">
        <f aca="false">IF(J4674&gt;0,K4674/J4674,0)</f>
        <v>-0.147174871702298</v>
      </c>
    </row>
    <row r="4675" customFormat="false" ht="15" hidden="false" customHeight="false" outlineLevel="0" collapsed="false">
      <c r="A4675" s="15" t="s">
        <v>4732</v>
      </c>
      <c r="B4675" s="16" t="n">
        <v>46014</v>
      </c>
      <c r="C4675" s="15" t="s">
        <v>58</v>
      </c>
      <c r="D4675" s="15" t="s">
        <v>42</v>
      </c>
      <c r="E4675" s="15" t="s">
        <v>39</v>
      </c>
      <c r="F4675" s="15" t="s">
        <v>17</v>
      </c>
      <c r="G4675" s="15" t="s">
        <v>31</v>
      </c>
      <c r="H4675" s="15" t="n">
        <v>4</v>
      </c>
      <c r="I4675" s="17" t="n">
        <v>0</v>
      </c>
      <c r="J4675" s="18" t="n">
        <v>669.31</v>
      </c>
      <c r="K4675" s="19" t="n">
        <v>111.86</v>
      </c>
      <c r="L4675" s="15" t="n">
        <f aca="false">YEAR(B4675)</f>
        <v>2025</v>
      </c>
      <c r="M4675" s="20" t="n">
        <f aca="false">IF(J4675&gt;0,K4675/J4675,0)</f>
        <v>0.167127340096517</v>
      </c>
    </row>
    <row r="4676" customFormat="false" ht="15" hidden="false" customHeight="false" outlineLevel="0" collapsed="false">
      <c r="A4676" s="15" t="s">
        <v>4733</v>
      </c>
      <c r="B4676" s="16" t="n">
        <v>44869</v>
      </c>
      <c r="C4676" s="15" t="s">
        <v>71</v>
      </c>
      <c r="D4676" s="15" t="s">
        <v>42</v>
      </c>
      <c r="E4676" s="15" t="s">
        <v>36</v>
      </c>
      <c r="F4676" s="15" t="s">
        <v>17</v>
      </c>
      <c r="G4676" s="15" t="s">
        <v>31</v>
      </c>
      <c r="H4676" s="15" t="n">
        <v>2</v>
      </c>
      <c r="I4676" s="17" t="n">
        <v>0.1</v>
      </c>
      <c r="J4676" s="18" t="n">
        <v>173.23</v>
      </c>
      <c r="K4676" s="19" t="n">
        <v>17.13</v>
      </c>
      <c r="L4676" s="15" t="n">
        <f aca="false">YEAR(B4676)</f>
        <v>2022</v>
      </c>
      <c r="M4676" s="20" t="n">
        <f aca="false">IF(J4676&gt;0,K4676/J4676,0)</f>
        <v>0.0988858742712001</v>
      </c>
    </row>
    <row r="4677" customFormat="false" ht="15" hidden="false" customHeight="false" outlineLevel="0" collapsed="false">
      <c r="A4677" s="15" t="s">
        <v>4734</v>
      </c>
      <c r="B4677" s="16" t="n">
        <v>45420</v>
      </c>
      <c r="C4677" s="15" t="s">
        <v>58</v>
      </c>
      <c r="D4677" s="15" t="s">
        <v>42</v>
      </c>
      <c r="E4677" s="15" t="s">
        <v>39</v>
      </c>
      <c r="F4677" s="15" t="s">
        <v>17</v>
      </c>
      <c r="G4677" s="15" t="s">
        <v>29</v>
      </c>
      <c r="H4677" s="15" t="n">
        <v>3</v>
      </c>
      <c r="I4677" s="17" t="n">
        <v>0.05</v>
      </c>
      <c r="J4677" s="18" t="n">
        <v>52.51</v>
      </c>
      <c r="K4677" s="19" t="n">
        <v>16.67</v>
      </c>
      <c r="L4677" s="15" t="n">
        <f aca="false">YEAR(B4677)</f>
        <v>2024</v>
      </c>
      <c r="M4677" s="20" t="n">
        <f aca="false">IF(J4677&gt;0,K4677/J4677,0)</f>
        <v>0.31746334031613</v>
      </c>
    </row>
    <row r="4678" customFormat="false" ht="15" hidden="false" customHeight="false" outlineLevel="0" collapsed="false">
      <c r="A4678" s="15" t="s">
        <v>4735</v>
      </c>
      <c r="B4678" s="16" t="n">
        <v>45386</v>
      </c>
      <c r="C4678" s="15" t="s">
        <v>56</v>
      </c>
      <c r="D4678" s="15" t="s">
        <v>44</v>
      </c>
      <c r="E4678" s="15" t="s">
        <v>39</v>
      </c>
      <c r="F4678" s="15" t="s">
        <v>18</v>
      </c>
      <c r="G4678" s="15" t="s">
        <v>30</v>
      </c>
      <c r="H4678" s="15" t="n">
        <v>6</v>
      </c>
      <c r="I4678" s="17" t="n">
        <v>0.3</v>
      </c>
      <c r="J4678" s="18" t="n">
        <v>190.19</v>
      </c>
      <c r="K4678" s="19" t="n">
        <v>-1.74</v>
      </c>
      <c r="L4678" s="15" t="n">
        <f aca="false">YEAR(B4678)</f>
        <v>2024</v>
      </c>
      <c r="M4678" s="20" t="n">
        <f aca="false">IF(J4678&gt;0,K4678/J4678,0)</f>
        <v>-0.00914874599085125</v>
      </c>
    </row>
    <row r="4679" customFormat="false" ht="15" hidden="false" customHeight="false" outlineLevel="0" collapsed="false">
      <c r="A4679" s="15" t="s">
        <v>4736</v>
      </c>
      <c r="B4679" s="16" t="n">
        <v>45900</v>
      </c>
      <c r="C4679" s="15" t="s">
        <v>71</v>
      </c>
      <c r="D4679" s="15" t="s">
        <v>44</v>
      </c>
      <c r="E4679" s="15" t="s">
        <v>39</v>
      </c>
      <c r="F4679" s="15" t="s">
        <v>18</v>
      </c>
      <c r="G4679" s="15" t="s">
        <v>30</v>
      </c>
      <c r="H4679" s="15" t="n">
        <v>5</v>
      </c>
      <c r="I4679" s="17" t="n">
        <v>0.1</v>
      </c>
      <c r="J4679" s="18" t="n">
        <v>180.53</v>
      </c>
      <c r="K4679" s="19" t="n">
        <v>36.25</v>
      </c>
      <c r="L4679" s="15" t="n">
        <f aca="false">YEAR(B4679)</f>
        <v>2025</v>
      </c>
      <c r="M4679" s="20" t="n">
        <f aca="false">IF(J4679&gt;0,K4679/J4679,0)</f>
        <v>0.200797651359885</v>
      </c>
    </row>
    <row r="4680" customFormat="false" ht="15" hidden="false" customHeight="false" outlineLevel="0" collapsed="false">
      <c r="A4680" s="15" t="s">
        <v>4737</v>
      </c>
      <c r="B4680" s="16" t="n">
        <v>44598</v>
      </c>
      <c r="C4680" s="15" t="s">
        <v>71</v>
      </c>
      <c r="D4680" s="15" t="s">
        <v>42</v>
      </c>
      <c r="E4680" s="15" t="s">
        <v>39</v>
      </c>
      <c r="F4680" s="15" t="s">
        <v>17</v>
      </c>
      <c r="G4680" s="15" t="s">
        <v>28</v>
      </c>
      <c r="H4680" s="15" t="n">
        <v>2</v>
      </c>
      <c r="I4680" s="17" t="n">
        <v>0.2</v>
      </c>
      <c r="J4680" s="18" t="n">
        <v>46.09</v>
      </c>
      <c r="K4680" s="19" t="n">
        <v>3.74</v>
      </c>
      <c r="L4680" s="15" t="n">
        <f aca="false">YEAR(B4680)</f>
        <v>2022</v>
      </c>
      <c r="M4680" s="20" t="n">
        <f aca="false">IF(J4680&gt;0,K4680/J4680,0)</f>
        <v>0.081145584725537</v>
      </c>
    </row>
    <row r="4681" customFormat="false" ht="15" hidden="false" customHeight="false" outlineLevel="0" collapsed="false">
      <c r="A4681" s="15" t="s">
        <v>4738</v>
      </c>
      <c r="B4681" s="16" t="n">
        <v>45231</v>
      </c>
      <c r="C4681" s="15" t="s">
        <v>56</v>
      </c>
      <c r="D4681" s="15" t="s">
        <v>43</v>
      </c>
      <c r="E4681" s="15" t="s">
        <v>36</v>
      </c>
      <c r="F4681" s="15" t="s">
        <v>17</v>
      </c>
      <c r="G4681" s="15" t="s">
        <v>28</v>
      </c>
      <c r="H4681" s="15" t="n">
        <v>1</v>
      </c>
      <c r="I4681" s="17" t="n">
        <v>0.05</v>
      </c>
      <c r="J4681" s="18" t="n">
        <v>25.07</v>
      </c>
      <c r="K4681" s="19" t="n">
        <v>6.75</v>
      </c>
      <c r="L4681" s="15" t="n">
        <f aca="false">YEAR(B4681)</f>
        <v>2023</v>
      </c>
      <c r="M4681" s="20" t="n">
        <f aca="false">IF(J4681&gt;0,K4681/J4681,0)</f>
        <v>0.269246110889509</v>
      </c>
    </row>
    <row r="4682" customFormat="false" ht="15" hidden="false" customHeight="false" outlineLevel="0" collapsed="false">
      <c r="A4682" s="15" t="s">
        <v>4739</v>
      </c>
      <c r="B4682" s="16" t="n">
        <v>45673</v>
      </c>
      <c r="C4682" s="15" t="s">
        <v>56</v>
      </c>
      <c r="D4682" s="15" t="s">
        <v>42</v>
      </c>
      <c r="E4682" s="15" t="s">
        <v>37</v>
      </c>
      <c r="F4682" s="15" t="s">
        <v>17</v>
      </c>
      <c r="G4682" s="15" t="s">
        <v>29</v>
      </c>
      <c r="H4682" s="15" t="n">
        <v>2</v>
      </c>
      <c r="I4682" s="17" t="n">
        <v>0.2</v>
      </c>
      <c r="J4682" s="18" t="n">
        <v>27.89</v>
      </c>
      <c r="K4682" s="19" t="n">
        <v>5.97</v>
      </c>
      <c r="L4682" s="15" t="n">
        <f aca="false">YEAR(B4682)</f>
        <v>2025</v>
      </c>
      <c r="M4682" s="20" t="n">
        <f aca="false">IF(J4682&gt;0,K4682/J4682,0)</f>
        <v>0.214055216923629</v>
      </c>
    </row>
    <row r="4683" customFormat="false" ht="15" hidden="false" customHeight="false" outlineLevel="0" collapsed="false">
      <c r="A4683" s="15" t="s">
        <v>4740</v>
      </c>
      <c r="B4683" s="16" t="n">
        <v>45358</v>
      </c>
      <c r="C4683" s="15" t="s">
        <v>56</v>
      </c>
      <c r="D4683" s="15" t="s">
        <v>43</v>
      </c>
      <c r="E4683" s="15" t="s">
        <v>36</v>
      </c>
      <c r="F4683" s="15" t="s">
        <v>17</v>
      </c>
      <c r="G4683" s="15" t="s">
        <v>28</v>
      </c>
      <c r="H4683" s="15" t="n">
        <v>4</v>
      </c>
      <c r="I4683" s="17" t="n">
        <v>0.05</v>
      </c>
      <c r="J4683" s="18" t="n">
        <v>111.64</v>
      </c>
      <c r="K4683" s="19" t="n">
        <v>29.23</v>
      </c>
      <c r="L4683" s="15" t="n">
        <f aca="false">YEAR(B4683)</f>
        <v>2024</v>
      </c>
      <c r="M4683" s="20" t="n">
        <f aca="false">IF(J4683&gt;0,K4683/J4683,0)</f>
        <v>0.261823719097098</v>
      </c>
    </row>
    <row r="4684" customFormat="false" ht="15" hidden="false" customHeight="false" outlineLevel="0" collapsed="false">
      <c r="A4684" s="15" t="s">
        <v>4741</v>
      </c>
      <c r="B4684" s="16" t="n">
        <v>45053</v>
      </c>
      <c r="C4684" s="15" t="s">
        <v>56</v>
      </c>
      <c r="D4684" s="15" t="s">
        <v>44</v>
      </c>
      <c r="E4684" s="15" t="s">
        <v>37</v>
      </c>
      <c r="F4684" s="15" t="s">
        <v>17</v>
      </c>
      <c r="G4684" s="15" t="s">
        <v>29</v>
      </c>
      <c r="H4684" s="15" t="n">
        <v>3</v>
      </c>
      <c r="I4684" s="17" t="n">
        <v>0</v>
      </c>
      <c r="J4684" s="18" t="n">
        <v>53.57</v>
      </c>
      <c r="K4684" s="19" t="n">
        <v>21.42</v>
      </c>
      <c r="L4684" s="15" t="n">
        <f aca="false">YEAR(B4684)</f>
        <v>2023</v>
      </c>
      <c r="M4684" s="20" t="n">
        <f aca="false">IF(J4684&gt;0,K4684/J4684,0)</f>
        <v>0.399850662684338</v>
      </c>
    </row>
    <row r="4685" customFormat="false" ht="15" hidden="false" customHeight="false" outlineLevel="0" collapsed="false">
      <c r="A4685" s="15" t="s">
        <v>4742</v>
      </c>
      <c r="B4685" s="16" t="n">
        <v>45266</v>
      </c>
      <c r="C4685" s="15" t="s">
        <v>56</v>
      </c>
      <c r="D4685" s="15" t="s">
        <v>42</v>
      </c>
      <c r="E4685" s="15" t="s">
        <v>37</v>
      </c>
      <c r="F4685" s="15" t="s">
        <v>18</v>
      </c>
      <c r="G4685" s="15" t="s">
        <v>30</v>
      </c>
      <c r="H4685" s="15" t="n">
        <v>5</v>
      </c>
      <c r="I4685" s="17" t="n">
        <v>0</v>
      </c>
      <c r="J4685" s="18" t="n">
        <v>193.62</v>
      </c>
      <c r="K4685" s="19" t="n">
        <v>48.55</v>
      </c>
      <c r="L4685" s="15" t="n">
        <f aca="false">YEAR(B4685)</f>
        <v>2023</v>
      </c>
      <c r="M4685" s="20" t="n">
        <f aca="false">IF(J4685&gt;0,K4685/J4685,0)</f>
        <v>0.250748889577523</v>
      </c>
    </row>
    <row r="4686" customFormat="false" ht="15" hidden="false" customHeight="false" outlineLevel="0" collapsed="false">
      <c r="A4686" s="15" t="s">
        <v>4743</v>
      </c>
      <c r="B4686" s="16" t="n">
        <v>45433</v>
      </c>
      <c r="C4686" s="15" t="s">
        <v>56</v>
      </c>
      <c r="D4686" s="15" t="s">
        <v>44</v>
      </c>
      <c r="E4686" s="15" t="s">
        <v>39</v>
      </c>
      <c r="F4686" s="15" t="s">
        <v>17</v>
      </c>
      <c r="G4686" s="15" t="s">
        <v>31</v>
      </c>
      <c r="H4686" s="15" t="n">
        <v>3</v>
      </c>
      <c r="I4686" s="17" t="n">
        <v>0</v>
      </c>
      <c r="J4686" s="18" t="n">
        <v>437.32</v>
      </c>
      <c r="K4686" s="19" t="n">
        <v>111.34</v>
      </c>
      <c r="L4686" s="15" t="n">
        <f aca="false">YEAR(B4686)</f>
        <v>2024</v>
      </c>
      <c r="M4686" s="20" t="n">
        <f aca="false">IF(J4686&gt;0,K4686/J4686,0)</f>
        <v>0.254596176712705</v>
      </c>
    </row>
    <row r="4687" customFormat="false" ht="15" hidden="false" customHeight="false" outlineLevel="0" collapsed="false">
      <c r="A4687" s="15" t="s">
        <v>4744</v>
      </c>
      <c r="B4687" s="16" t="n">
        <v>45482</v>
      </c>
      <c r="C4687" s="15" t="s">
        <v>56</v>
      </c>
      <c r="D4687" s="15" t="s">
        <v>43</v>
      </c>
      <c r="E4687" s="15" t="s">
        <v>38</v>
      </c>
      <c r="F4687" s="15" t="s">
        <v>16</v>
      </c>
      <c r="G4687" s="15" t="s">
        <v>25</v>
      </c>
      <c r="H4687" s="15" t="n">
        <v>3</v>
      </c>
      <c r="I4687" s="17" t="n">
        <v>0.05</v>
      </c>
      <c r="J4687" s="18" t="n">
        <v>696.75</v>
      </c>
      <c r="K4687" s="19" t="n">
        <v>29.2</v>
      </c>
      <c r="L4687" s="15" t="n">
        <f aca="false">YEAR(B4687)</f>
        <v>2024</v>
      </c>
      <c r="M4687" s="20" t="n">
        <f aca="false">IF(J4687&gt;0,K4687/J4687,0)</f>
        <v>0.0419088625762469</v>
      </c>
    </row>
    <row r="4688" customFormat="false" ht="15" hidden="false" customHeight="false" outlineLevel="0" collapsed="false">
      <c r="A4688" s="15" t="s">
        <v>4745</v>
      </c>
      <c r="B4688" s="16" t="n">
        <v>46007</v>
      </c>
      <c r="C4688" s="15" t="s">
        <v>56</v>
      </c>
      <c r="D4688" s="15" t="s">
        <v>44</v>
      </c>
      <c r="E4688" s="15" t="s">
        <v>39</v>
      </c>
      <c r="F4688" s="15" t="s">
        <v>18</v>
      </c>
      <c r="G4688" s="15" t="s">
        <v>30</v>
      </c>
      <c r="H4688" s="15" t="n">
        <v>2</v>
      </c>
      <c r="I4688" s="17" t="n">
        <v>0.3</v>
      </c>
      <c r="J4688" s="18" t="n">
        <v>73.17</v>
      </c>
      <c r="K4688" s="19" t="n">
        <v>3.5</v>
      </c>
      <c r="L4688" s="15" t="n">
        <f aca="false">YEAR(B4688)</f>
        <v>2025</v>
      </c>
      <c r="M4688" s="20" t="n">
        <f aca="false">IF(J4688&gt;0,K4688/J4688,0)</f>
        <v>0.04783381167145</v>
      </c>
    </row>
    <row r="4689" customFormat="false" ht="15" hidden="false" customHeight="false" outlineLevel="0" collapsed="false">
      <c r="A4689" s="15" t="s">
        <v>4746</v>
      </c>
      <c r="B4689" s="16" t="n">
        <v>44876</v>
      </c>
      <c r="C4689" s="15" t="s">
        <v>56</v>
      </c>
      <c r="D4689" s="15" t="s">
        <v>42</v>
      </c>
      <c r="E4689" s="15" t="s">
        <v>39</v>
      </c>
      <c r="F4689" s="15" t="s">
        <v>17</v>
      </c>
      <c r="G4689" s="15" t="s">
        <v>26</v>
      </c>
      <c r="H4689" s="15" t="n">
        <v>6</v>
      </c>
      <c r="I4689" s="17" t="n">
        <v>0.4</v>
      </c>
      <c r="J4689" s="18" t="n">
        <v>268.22</v>
      </c>
      <c r="K4689" s="19" t="n">
        <v>-59.22</v>
      </c>
      <c r="L4689" s="15" t="n">
        <f aca="false">YEAR(B4689)</f>
        <v>2022</v>
      </c>
      <c r="M4689" s="20" t="n">
        <f aca="false">IF(J4689&gt;0,K4689/J4689,0)</f>
        <v>-0.220788904630527</v>
      </c>
    </row>
    <row r="4690" customFormat="false" ht="15" hidden="false" customHeight="false" outlineLevel="0" collapsed="false">
      <c r="A4690" s="15" t="s">
        <v>4747</v>
      </c>
      <c r="B4690" s="16" t="n">
        <v>45566</v>
      </c>
      <c r="C4690" s="15" t="s">
        <v>56</v>
      </c>
      <c r="D4690" s="15" t="s">
        <v>42</v>
      </c>
      <c r="E4690" s="15" t="s">
        <v>36</v>
      </c>
      <c r="F4690" s="15" t="s">
        <v>18</v>
      </c>
      <c r="G4690" s="15" t="s">
        <v>32</v>
      </c>
      <c r="H4690" s="15" t="n">
        <v>3</v>
      </c>
      <c r="I4690" s="17" t="n">
        <v>0</v>
      </c>
      <c r="J4690" s="18" t="n">
        <v>1385.05</v>
      </c>
      <c r="K4690" s="19" t="n">
        <v>176.33</v>
      </c>
      <c r="L4690" s="15" t="n">
        <f aca="false">YEAR(B4690)</f>
        <v>2024</v>
      </c>
      <c r="M4690" s="20" t="n">
        <f aca="false">IF(J4690&gt;0,K4690/J4690,0)</f>
        <v>0.127309483412151</v>
      </c>
    </row>
    <row r="4691" customFormat="false" ht="15" hidden="false" customHeight="false" outlineLevel="0" collapsed="false">
      <c r="A4691" s="15" t="s">
        <v>4748</v>
      </c>
      <c r="B4691" s="16" t="n">
        <v>45242</v>
      </c>
      <c r="C4691" s="15" t="s">
        <v>56</v>
      </c>
      <c r="D4691" s="15" t="s">
        <v>42</v>
      </c>
      <c r="E4691" s="15" t="s">
        <v>39</v>
      </c>
      <c r="F4691" s="15" t="s">
        <v>16</v>
      </c>
      <c r="G4691" s="15" t="s">
        <v>25</v>
      </c>
      <c r="H4691" s="15" t="n">
        <v>7</v>
      </c>
      <c r="I4691" s="17" t="n">
        <v>0</v>
      </c>
      <c r="J4691" s="18" t="n">
        <v>1953.04</v>
      </c>
      <c r="K4691" s="19" t="n">
        <v>220.82</v>
      </c>
      <c r="L4691" s="15" t="n">
        <f aca="false">YEAR(B4691)</f>
        <v>2023</v>
      </c>
      <c r="M4691" s="20" t="n">
        <f aca="false">IF(J4691&gt;0,K4691/J4691,0)</f>
        <v>0.11306476057838</v>
      </c>
    </row>
    <row r="4692" customFormat="false" ht="15" hidden="false" customHeight="false" outlineLevel="0" collapsed="false">
      <c r="A4692" s="15" t="s">
        <v>4749</v>
      </c>
      <c r="B4692" s="16" t="n">
        <v>45287</v>
      </c>
      <c r="C4692" s="15" t="s">
        <v>58</v>
      </c>
      <c r="D4692" s="15" t="s">
        <v>44</v>
      </c>
      <c r="E4692" s="15" t="s">
        <v>37</v>
      </c>
      <c r="F4692" s="15" t="s">
        <v>18</v>
      </c>
      <c r="G4692" s="15" t="s">
        <v>30</v>
      </c>
      <c r="H4692" s="15" t="n">
        <v>2</v>
      </c>
      <c r="I4692" s="17" t="n">
        <v>0</v>
      </c>
      <c r="J4692" s="18" t="n">
        <v>84.96</v>
      </c>
      <c r="K4692" s="19" t="n">
        <v>28.7</v>
      </c>
      <c r="L4692" s="15" t="n">
        <f aca="false">YEAR(B4692)</f>
        <v>2023</v>
      </c>
      <c r="M4692" s="20" t="n">
        <f aca="false">IF(J4692&gt;0,K4692/J4692,0)</f>
        <v>0.337806026365348</v>
      </c>
    </row>
    <row r="4693" customFormat="false" ht="15" hidden="false" customHeight="false" outlineLevel="0" collapsed="false">
      <c r="A4693" s="15" t="s">
        <v>4750</v>
      </c>
      <c r="B4693" s="16" t="n">
        <v>44573</v>
      </c>
      <c r="C4693" s="15" t="s">
        <v>71</v>
      </c>
      <c r="D4693" s="15" t="s">
        <v>42</v>
      </c>
      <c r="E4693" s="15" t="s">
        <v>37</v>
      </c>
      <c r="F4693" s="15" t="s">
        <v>16</v>
      </c>
      <c r="G4693" s="15" t="s">
        <v>27</v>
      </c>
      <c r="H4693" s="15" t="n">
        <v>3</v>
      </c>
      <c r="I4693" s="17" t="n">
        <v>0.1</v>
      </c>
      <c r="J4693" s="18" t="n">
        <v>157.09</v>
      </c>
      <c r="K4693" s="19" t="n">
        <v>22.98</v>
      </c>
      <c r="L4693" s="15" t="n">
        <f aca="false">YEAR(B4693)</f>
        <v>2022</v>
      </c>
      <c r="M4693" s="20" t="n">
        <f aca="false">IF(J4693&gt;0,K4693/J4693,0)</f>
        <v>0.146285568782227</v>
      </c>
    </row>
    <row r="4694" customFormat="false" ht="15" hidden="false" customHeight="false" outlineLevel="0" collapsed="false">
      <c r="A4694" s="15" t="s">
        <v>4751</v>
      </c>
      <c r="B4694" s="16" t="n">
        <v>45822</v>
      </c>
      <c r="C4694" s="15" t="s">
        <v>58</v>
      </c>
      <c r="D4694" s="15" t="s">
        <v>42</v>
      </c>
      <c r="E4694" s="15" t="s">
        <v>37</v>
      </c>
      <c r="F4694" s="15" t="s">
        <v>16</v>
      </c>
      <c r="G4694" s="15" t="s">
        <v>22</v>
      </c>
      <c r="H4694" s="15" t="n">
        <v>5</v>
      </c>
      <c r="I4694" s="17" t="n">
        <v>0.2</v>
      </c>
      <c r="J4694" s="18" t="n">
        <v>2601.54</v>
      </c>
      <c r="K4694" s="19" t="n">
        <v>-491.58</v>
      </c>
      <c r="L4694" s="15" t="n">
        <f aca="false">YEAR(B4694)</f>
        <v>2025</v>
      </c>
      <c r="M4694" s="20" t="n">
        <f aca="false">IF(J4694&gt;0,K4694/J4694,0)</f>
        <v>-0.188957309901059</v>
      </c>
    </row>
    <row r="4695" customFormat="false" ht="15" hidden="false" customHeight="false" outlineLevel="0" collapsed="false">
      <c r="A4695" s="15" t="s">
        <v>4752</v>
      </c>
      <c r="B4695" s="16" t="n">
        <v>44776</v>
      </c>
      <c r="C4695" s="15" t="s">
        <v>56</v>
      </c>
      <c r="D4695" s="15" t="s">
        <v>42</v>
      </c>
      <c r="E4695" s="15" t="s">
        <v>39</v>
      </c>
      <c r="F4695" s="15" t="s">
        <v>17</v>
      </c>
      <c r="G4695" s="15" t="s">
        <v>29</v>
      </c>
      <c r="H4695" s="15" t="n">
        <v>4</v>
      </c>
      <c r="I4695" s="17" t="n">
        <v>0.15</v>
      </c>
      <c r="J4695" s="18" t="n">
        <v>58.09</v>
      </c>
      <c r="K4695" s="19" t="n">
        <v>13.31</v>
      </c>
      <c r="L4695" s="15" t="n">
        <f aca="false">YEAR(B4695)</f>
        <v>2022</v>
      </c>
      <c r="M4695" s="20" t="n">
        <f aca="false">IF(J4695&gt;0,K4695/J4695,0)</f>
        <v>0.229127216388363</v>
      </c>
    </row>
    <row r="4696" customFormat="false" ht="15" hidden="false" customHeight="false" outlineLevel="0" collapsed="false">
      <c r="A4696" s="15" t="s">
        <v>4753</v>
      </c>
      <c r="B4696" s="16" t="n">
        <v>45083</v>
      </c>
      <c r="C4696" s="15" t="s">
        <v>68</v>
      </c>
      <c r="D4696" s="15" t="s">
        <v>42</v>
      </c>
      <c r="E4696" s="15" t="s">
        <v>37</v>
      </c>
      <c r="F4696" s="15" t="s">
        <v>16</v>
      </c>
      <c r="G4696" s="15" t="s">
        <v>22</v>
      </c>
      <c r="H4696" s="15" t="n">
        <v>4</v>
      </c>
      <c r="I4696" s="17" t="n">
        <v>0</v>
      </c>
      <c r="J4696" s="18" t="n">
        <v>2385.05</v>
      </c>
      <c r="K4696" s="19" t="n">
        <v>-29.07</v>
      </c>
      <c r="L4696" s="15" t="n">
        <f aca="false">YEAR(B4696)</f>
        <v>2023</v>
      </c>
      <c r="M4696" s="20" t="n">
        <f aca="false">IF(J4696&gt;0,K4696/J4696,0)</f>
        <v>-0.0121884237227731</v>
      </c>
    </row>
    <row r="4697" customFormat="false" ht="15" hidden="false" customHeight="false" outlineLevel="0" collapsed="false">
      <c r="A4697" s="15" t="s">
        <v>4754</v>
      </c>
      <c r="B4697" s="16" t="n">
        <v>44690</v>
      </c>
      <c r="C4697" s="15" t="s">
        <v>56</v>
      </c>
      <c r="D4697" s="15" t="s">
        <v>42</v>
      </c>
      <c r="E4697" s="15" t="s">
        <v>36</v>
      </c>
      <c r="F4697" s="15" t="s">
        <v>17</v>
      </c>
      <c r="G4697" s="15" t="s">
        <v>26</v>
      </c>
      <c r="H4697" s="15" t="n">
        <v>2</v>
      </c>
      <c r="I4697" s="17" t="n">
        <v>0.05</v>
      </c>
      <c r="J4697" s="18" t="n">
        <v>166.14</v>
      </c>
      <c r="K4697" s="19" t="n">
        <v>16.43</v>
      </c>
      <c r="L4697" s="15" t="n">
        <f aca="false">YEAR(B4697)</f>
        <v>2022</v>
      </c>
      <c r="M4697" s="20" t="n">
        <f aca="false">IF(J4697&gt;0,K4697/J4697,0)</f>
        <v>0.098892500300951</v>
      </c>
    </row>
    <row r="4698" customFormat="false" ht="15" hidden="false" customHeight="false" outlineLevel="0" collapsed="false">
      <c r="A4698" s="15" t="s">
        <v>4755</v>
      </c>
      <c r="B4698" s="16" t="n">
        <v>45180</v>
      </c>
      <c r="C4698" s="15" t="s">
        <v>56</v>
      </c>
      <c r="D4698" s="15" t="s">
        <v>43</v>
      </c>
      <c r="E4698" s="15" t="s">
        <v>36</v>
      </c>
      <c r="F4698" s="15" t="s">
        <v>16</v>
      </c>
      <c r="G4698" s="15" t="s">
        <v>25</v>
      </c>
      <c r="H4698" s="15" t="n">
        <v>2</v>
      </c>
      <c r="I4698" s="17" t="n">
        <v>0</v>
      </c>
      <c r="J4698" s="18" t="n">
        <v>561.01</v>
      </c>
      <c r="K4698" s="19" t="n">
        <v>50.43</v>
      </c>
      <c r="L4698" s="15" t="n">
        <f aca="false">YEAR(B4698)</f>
        <v>2023</v>
      </c>
      <c r="M4698" s="20" t="n">
        <f aca="false">IF(J4698&gt;0,K4698/J4698,0)</f>
        <v>0.0898914457852801</v>
      </c>
    </row>
    <row r="4699" customFormat="false" ht="15" hidden="false" customHeight="false" outlineLevel="0" collapsed="false">
      <c r="A4699" s="15" t="s">
        <v>4756</v>
      </c>
      <c r="B4699" s="16" t="n">
        <v>45144</v>
      </c>
      <c r="C4699" s="15" t="s">
        <v>56</v>
      </c>
      <c r="D4699" s="15" t="s">
        <v>44</v>
      </c>
      <c r="E4699" s="15" t="s">
        <v>39</v>
      </c>
      <c r="F4699" s="15" t="s">
        <v>16</v>
      </c>
      <c r="G4699" s="15" t="s">
        <v>27</v>
      </c>
      <c r="H4699" s="15" t="n">
        <v>4</v>
      </c>
      <c r="I4699" s="17" t="n">
        <v>0</v>
      </c>
      <c r="J4699" s="18" t="n">
        <v>261.33</v>
      </c>
      <c r="K4699" s="19" t="n">
        <v>51.66</v>
      </c>
      <c r="L4699" s="15" t="n">
        <f aca="false">YEAR(B4699)</f>
        <v>2023</v>
      </c>
      <c r="M4699" s="20" t="n">
        <f aca="false">IF(J4699&gt;0,K4699/J4699,0)</f>
        <v>0.197681092871083</v>
      </c>
    </row>
    <row r="4700" customFormat="false" ht="15" hidden="false" customHeight="false" outlineLevel="0" collapsed="false">
      <c r="A4700" s="15" t="s">
        <v>4757</v>
      </c>
      <c r="B4700" s="16" t="n">
        <v>44870</v>
      </c>
      <c r="C4700" s="15" t="s">
        <v>56</v>
      </c>
      <c r="D4700" s="15" t="s">
        <v>42</v>
      </c>
      <c r="E4700" s="15" t="s">
        <v>37</v>
      </c>
      <c r="F4700" s="15" t="s">
        <v>17</v>
      </c>
      <c r="G4700" s="15" t="s">
        <v>28</v>
      </c>
      <c r="H4700" s="15" t="n">
        <v>5</v>
      </c>
      <c r="I4700" s="17" t="n">
        <v>0</v>
      </c>
      <c r="J4700" s="18" t="n">
        <v>127.12</v>
      </c>
      <c r="K4700" s="19" t="n">
        <v>33.57</v>
      </c>
      <c r="L4700" s="15" t="n">
        <f aca="false">YEAR(B4700)</f>
        <v>2022</v>
      </c>
      <c r="M4700" s="20" t="n">
        <f aca="false">IF(J4700&gt;0,K4700/J4700,0)</f>
        <v>0.264081183134047</v>
      </c>
    </row>
    <row r="4701" customFormat="false" ht="15" hidden="false" customHeight="false" outlineLevel="0" collapsed="false">
      <c r="A4701" s="15" t="s">
        <v>4758</v>
      </c>
      <c r="B4701" s="16" t="n">
        <v>44602</v>
      </c>
      <c r="C4701" s="15" t="s">
        <v>56</v>
      </c>
      <c r="D4701" s="15" t="s">
        <v>42</v>
      </c>
      <c r="E4701" s="15" t="s">
        <v>39</v>
      </c>
      <c r="F4701" s="15" t="s">
        <v>18</v>
      </c>
      <c r="G4701" s="15" t="s">
        <v>30</v>
      </c>
      <c r="H4701" s="15" t="n">
        <v>3</v>
      </c>
      <c r="I4701" s="17" t="n">
        <v>0.1</v>
      </c>
      <c r="J4701" s="18" t="n">
        <v>134.47</v>
      </c>
      <c r="K4701" s="19" t="n">
        <v>27.31</v>
      </c>
      <c r="L4701" s="15" t="n">
        <f aca="false">YEAR(B4701)</f>
        <v>2022</v>
      </c>
      <c r="M4701" s="20" t="n">
        <f aca="false">IF(J4701&gt;0,K4701/J4701,0)</f>
        <v>0.203093626831263</v>
      </c>
    </row>
    <row r="4702" customFormat="false" ht="15" hidden="false" customHeight="false" outlineLevel="0" collapsed="false">
      <c r="A4702" s="15" t="s">
        <v>4759</v>
      </c>
      <c r="B4702" s="16" t="n">
        <v>44945</v>
      </c>
      <c r="C4702" s="15" t="s">
        <v>56</v>
      </c>
      <c r="D4702" s="15" t="s">
        <v>42</v>
      </c>
      <c r="E4702" s="15" t="s">
        <v>39</v>
      </c>
      <c r="F4702" s="15" t="s">
        <v>16</v>
      </c>
      <c r="G4702" s="15" t="s">
        <v>25</v>
      </c>
      <c r="H4702" s="15" t="n">
        <v>3</v>
      </c>
      <c r="I4702" s="17" t="n">
        <v>0.15</v>
      </c>
      <c r="J4702" s="18" t="n">
        <v>956.09</v>
      </c>
      <c r="K4702" s="19" t="n">
        <v>-17.63</v>
      </c>
      <c r="L4702" s="15" t="n">
        <f aca="false">YEAR(B4702)</f>
        <v>2023</v>
      </c>
      <c r="M4702" s="20" t="n">
        <f aca="false">IF(J4702&gt;0,K4702/J4702,0)</f>
        <v>-0.018439686640379</v>
      </c>
    </row>
    <row r="4703" customFormat="false" ht="15" hidden="false" customHeight="false" outlineLevel="0" collapsed="false">
      <c r="A4703" s="15" t="s">
        <v>4760</v>
      </c>
      <c r="B4703" s="16" t="n">
        <v>45041</v>
      </c>
      <c r="C4703" s="15" t="s">
        <v>56</v>
      </c>
      <c r="D4703" s="15" t="s">
        <v>44</v>
      </c>
      <c r="E4703" s="15" t="s">
        <v>37</v>
      </c>
      <c r="F4703" s="15" t="s">
        <v>17</v>
      </c>
      <c r="G4703" s="15" t="s">
        <v>28</v>
      </c>
      <c r="H4703" s="15" t="n">
        <v>2</v>
      </c>
      <c r="I4703" s="17" t="n">
        <v>0</v>
      </c>
      <c r="J4703" s="18" t="n">
        <v>42.07</v>
      </c>
      <c r="K4703" s="19" t="n">
        <v>11.93</v>
      </c>
      <c r="L4703" s="15" t="n">
        <f aca="false">YEAR(B4703)</f>
        <v>2023</v>
      </c>
      <c r="M4703" s="20" t="n">
        <f aca="false">IF(J4703&gt;0,K4703/J4703,0)</f>
        <v>0.283574994057523</v>
      </c>
    </row>
    <row r="4704" customFormat="false" ht="15" hidden="false" customHeight="false" outlineLevel="0" collapsed="false">
      <c r="A4704" s="15" t="s">
        <v>4761</v>
      </c>
      <c r="B4704" s="16" t="n">
        <v>45185</v>
      </c>
      <c r="C4704" s="15" t="s">
        <v>71</v>
      </c>
      <c r="D4704" s="15" t="s">
        <v>43</v>
      </c>
      <c r="E4704" s="15" t="s">
        <v>36</v>
      </c>
      <c r="F4704" s="15" t="s">
        <v>16</v>
      </c>
      <c r="G4704" s="15" t="s">
        <v>25</v>
      </c>
      <c r="H4704" s="15" t="n">
        <v>3</v>
      </c>
      <c r="I4704" s="17" t="n">
        <v>0.15</v>
      </c>
      <c r="J4704" s="18" t="n">
        <v>721.87</v>
      </c>
      <c r="K4704" s="19" t="n">
        <v>-10.69</v>
      </c>
      <c r="L4704" s="15" t="n">
        <f aca="false">YEAR(B4704)</f>
        <v>2023</v>
      </c>
      <c r="M4704" s="20" t="n">
        <f aca="false">IF(J4704&gt;0,K4704/J4704,0)</f>
        <v>-0.0148087605801599</v>
      </c>
    </row>
    <row r="4705" customFormat="false" ht="15" hidden="false" customHeight="false" outlineLevel="0" collapsed="false">
      <c r="A4705" s="15" t="s">
        <v>4762</v>
      </c>
      <c r="B4705" s="16" t="n">
        <v>44593</v>
      </c>
      <c r="C4705" s="15" t="s">
        <v>56</v>
      </c>
      <c r="D4705" s="15" t="s">
        <v>42</v>
      </c>
      <c r="E4705" s="15" t="s">
        <v>36</v>
      </c>
      <c r="F4705" s="15" t="s">
        <v>17</v>
      </c>
      <c r="G4705" s="15" t="s">
        <v>28</v>
      </c>
      <c r="H4705" s="15" t="n">
        <v>2</v>
      </c>
      <c r="I4705" s="17" t="n">
        <v>0</v>
      </c>
      <c r="J4705" s="18" t="n">
        <v>44.76</v>
      </c>
      <c r="K4705" s="19" t="n">
        <v>9.97</v>
      </c>
      <c r="L4705" s="15" t="n">
        <f aca="false">YEAR(B4705)</f>
        <v>2022</v>
      </c>
      <c r="M4705" s="20" t="n">
        <f aca="false">IF(J4705&gt;0,K4705/J4705,0)</f>
        <v>0.222743521000894</v>
      </c>
    </row>
    <row r="4706" customFormat="false" ht="15" hidden="false" customHeight="false" outlineLevel="0" collapsed="false">
      <c r="A4706" s="15" t="s">
        <v>4763</v>
      </c>
      <c r="B4706" s="16" t="n">
        <v>45405</v>
      </c>
      <c r="C4706" s="15" t="s">
        <v>71</v>
      </c>
      <c r="D4706" s="15" t="s">
        <v>42</v>
      </c>
      <c r="E4706" s="15" t="s">
        <v>38</v>
      </c>
      <c r="F4706" s="15" t="s">
        <v>17</v>
      </c>
      <c r="G4706" s="15" t="s">
        <v>29</v>
      </c>
      <c r="H4706" s="15" t="n">
        <v>5</v>
      </c>
      <c r="I4706" s="17" t="n">
        <v>0.05</v>
      </c>
      <c r="J4706" s="18" t="n">
        <v>76.96</v>
      </c>
      <c r="K4706" s="19" t="n">
        <v>30.05</v>
      </c>
      <c r="L4706" s="15" t="n">
        <f aca="false">YEAR(B4706)</f>
        <v>2024</v>
      </c>
      <c r="M4706" s="20" t="n">
        <f aca="false">IF(J4706&gt;0,K4706/J4706,0)</f>
        <v>0.390462577962578</v>
      </c>
    </row>
    <row r="4707" customFormat="false" ht="15" hidden="false" customHeight="false" outlineLevel="0" collapsed="false">
      <c r="A4707" s="15" t="s">
        <v>4764</v>
      </c>
      <c r="B4707" s="16" t="n">
        <v>45409</v>
      </c>
      <c r="C4707" s="15" t="s">
        <v>56</v>
      </c>
      <c r="D4707" s="15" t="s">
        <v>44</v>
      </c>
      <c r="E4707" s="15" t="s">
        <v>39</v>
      </c>
      <c r="F4707" s="15" t="s">
        <v>17</v>
      </c>
      <c r="G4707" s="15" t="s">
        <v>28</v>
      </c>
      <c r="H4707" s="15" t="n">
        <v>4</v>
      </c>
      <c r="I4707" s="17" t="n">
        <v>0.1</v>
      </c>
      <c r="J4707" s="18" t="n">
        <v>84.16</v>
      </c>
      <c r="K4707" s="19" t="n">
        <v>10.22</v>
      </c>
      <c r="L4707" s="15" t="n">
        <f aca="false">YEAR(B4707)</f>
        <v>2024</v>
      </c>
      <c r="M4707" s="20" t="n">
        <f aca="false">IF(J4707&gt;0,K4707/J4707,0)</f>
        <v>0.12143536121673</v>
      </c>
    </row>
    <row r="4708" customFormat="false" ht="15" hidden="false" customHeight="false" outlineLevel="0" collapsed="false">
      <c r="A4708" s="15" t="s">
        <v>4765</v>
      </c>
      <c r="B4708" s="16" t="n">
        <v>45194</v>
      </c>
      <c r="C4708" s="15" t="s">
        <v>71</v>
      </c>
      <c r="D4708" s="15" t="s">
        <v>44</v>
      </c>
      <c r="E4708" s="15" t="s">
        <v>39</v>
      </c>
      <c r="F4708" s="15" t="s">
        <v>18</v>
      </c>
      <c r="G4708" s="15" t="s">
        <v>30</v>
      </c>
      <c r="H4708" s="15" t="n">
        <v>1</v>
      </c>
      <c r="I4708" s="17" t="n">
        <v>0</v>
      </c>
      <c r="J4708" s="18" t="n">
        <v>50.17</v>
      </c>
      <c r="K4708" s="19" t="n">
        <v>13.39</v>
      </c>
      <c r="L4708" s="15" t="n">
        <f aca="false">YEAR(B4708)</f>
        <v>2023</v>
      </c>
      <c r="M4708" s="20" t="n">
        <f aca="false">IF(J4708&gt;0,K4708/J4708,0)</f>
        <v>0.266892565278055</v>
      </c>
    </row>
    <row r="4709" customFormat="false" ht="15" hidden="false" customHeight="false" outlineLevel="0" collapsed="false">
      <c r="A4709" s="15" t="s">
        <v>4766</v>
      </c>
      <c r="B4709" s="16" t="n">
        <v>45425</v>
      </c>
      <c r="C4709" s="15" t="s">
        <v>56</v>
      </c>
      <c r="D4709" s="15" t="s">
        <v>42</v>
      </c>
      <c r="E4709" s="15" t="s">
        <v>36</v>
      </c>
      <c r="F4709" s="15" t="s">
        <v>18</v>
      </c>
      <c r="G4709" s="15" t="s">
        <v>32</v>
      </c>
      <c r="H4709" s="15" t="n">
        <v>2</v>
      </c>
      <c r="I4709" s="17" t="n">
        <v>0.2</v>
      </c>
      <c r="J4709" s="18" t="n">
        <v>672.45</v>
      </c>
      <c r="K4709" s="19" t="n">
        <v>-0.83</v>
      </c>
      <c r="L4709" s="15" t="n">
        <f aca="false">YEAR(B4709)</f>
        <v>2024</v>
      </c>
      <c r="M4709" s="20" t="n">
        <f aca="false">IF(J4709&gt;0,K4709/J4709,0)</f>
        <v>-0.00123429251245446</v>
      </c>
    </row>
    <row r="4710" customFormat="false" ht="15" hidden="false" customHeight="false" outlineLevel="0" collapsed="false">
      <c r="A4710" s="15" t="s">
        <v>4767</v>
      </c>
      <c r="B4710" s="16" t="n">
        <v>45615</v>
      </c>
      <c r="C4710" s="15" t="s">
        <v>56</v>
      </c>
      <c r="D4710" s="15" t="s">
        <v>42</v>
      </c>
      <c r="E4710" s="15" t="s">
        <v>37</v>
      </c>
      <c r="F4710" s="15" t="s">
        <v>18</v>
      </c>
      <c r="G4710" s="15" t="s">
        <v>30</v>
      </c>
      <c r="H4710" s="15" t="n">
        <v>6</v>
      </c>
      <c r="I4710" s="17" t="n">
        <v>0.15</v>
      </c>
      <c r="J4710" s="18" t="n">
        <v>241.2</v>
      </c>
      <c r="K4710" s="19" t="n">
        <v>55.59</v>
      </c>
      <c r="L4710" s="15" t="n">
        <f aca="false">YEAR(B4710)</f>
        <v>2024</v>
      </c>
      <c r="M4710" s="20" t="n">
        <f aca="false">IF(J4710&gt;0,K4710/J4710,0)</f>
        <v>0.23047263681592</v>
      </c>
    </row>
    <row r="4711" customFormat="false" ht="15" hidden="false" customHeight="false" outlineLevel="0" collapsed="false">
      <c r="A4711" s="15" t="s">
        <v>4768</v>
      </c>
      <c r="B4711" s="16" t="n">
        <v>45674</v>
      </c>
      <c r="C4711" s="15" t="s">
        <v>68</v>
      </c>
      <c r="D4711" s="15" t="s">
        <v>43</v>
      </c>
      <c r="E4711" s="15" t="s">
        <v>37</v>
      </c>
      <c r="F4711" s="15" t="s">
        <v>18</v>
      </c>
      <c r="G4711" s="15" t="s">
        <v>32</v>
      </c>
      <c r="H4711" s="15" t="n">
        <v>4</v>
      </c>
      <c r="I4711" s="17" t="n">
        <v>0.05</v>
      </c>
      <c r="J4711" s="18" t="n">
        <v>1610.64</v>
      </c>
      <c r="K4711" s="19" t="n">
        <v>175.83</v>
      </c>
      <c r="L4711" s="15" t="n">
        <f aca="false">YEAR(B4711)</f>
        <v>2025</v>
      </c>
      <c r="M4711" s="20" t="n">
        <f aca="false">IF(J4711&gt;0,K4711/J4711,0)</f>
        <v>0.109167784234838</v>
      </c>
    </row>
    <row r="4712" customFormat="false" ht="15" hidden="false" customHeight="false" outlineLevel="0" collapsed="false">
      <c r="A4712" s="15" t="s">
        <v>4769</v>
      </c>
      <c r="B4712" s="16" t="n">
        <v>45402</v>
      </c>
      <c r="C4712" s="15" t="s">
        <v>71</v>
      </c>
      <c r="D4712" s="15" t="s">
        <v>42</v>
      </c>
      <c r="E4712" s="15" t="s">
        <v>39</v>
      </c>
      <c r="F4712" s="15" t="s">
        <v>17</v>
      </c>
      <c r="G4712" s="15" t="s">
        <v>31</v>
      </c>
      <c r="H4712" s="15" t="n">
        <v>3</v>
      </c>
      <c r="I4712" s="17" t="n">
        <v>0</v>
      </c>
      <c r="J4712" s="18" t="n">
        <v>498.38</v>
      </c>
      <c r="K4712" s="19" t="n">
        <v>106.17</v>
      </c>
      <c r="L4712" s="15" t="n">
        <f aca="false">YEAR(B4712)</f>
        <v>2024</v>
      </c>
      <c r="M4712" s="20" t="n">
        <f aca="false">IF(J4712&gt;0,K4712/J4712,0)</f>
        <v>0.213030217906016</v>
      </c>
    </row>
    <row r="4713" customFormat="false" ht="15" hidden="false" customHeight="false" outlineLevel="0" collapsed="false">
      <c r="A4713" s="15" t="s">
        <v>4770</v>
      </c>
      <c r="B4713" s="16" t="n">
        <v>45600</v>
      </c>
      <c r="C4713" s="15" t="s">
        <v>58</v>
      </c>
      <c r="D4713" s="15" t="s">
        <v>44</v>
      </c>
      <c r="E4713" s="15" t="s">
        <v>37</v>
      </c>
      <c r="F4713" s="15" t="s">
        <v>18</v>
      </c>
      <c r="G4713" s="15" t="s">
        <v>30</v>
      </c>
      <c r="H4713" s="15" t="n">
        <v>3</v>
      </c>
      <c r="I4713" s="17" t="n">
        <v>0</v>
      </c>
      <c r="J4713" s="18" t="n">
        <v>126.87</v>
      </c>
      <c r="K4713" s="19" t="n">
        <v>37.46</v>
      </c>
      <c r="L4713" s="15" t="n">
        <f aca="false">YEAR(B4713)</f>
        <v>2024</v>
      </c>
      <c r="M4713" s="20" t="n">
        <f aca="false">IF(J4713&gt;0,K4713/J4713,0)</f>
        <v>0.295262867502168</v>
      </c>
    </row>
    <row r="4714" customFormat="false" ht="15" hidden="false" customHeight="false" outlineLevel="0" collapsed="false">
      <c r="A4714" s="15" t="s">
        <v>4771</v>
      </c>
      <c r="B4714" s="16" t="n">
        <v>45199</v>
      </c>
      <c r="C4714" s="15" t="s">
        <v>56</v>
      </c>
      <c r="D4714" s="15" t="s">
        <v>42</v>
      </c>
      <c r="E4714" s="15" t="s">
        <v>39</v>
      </c>
      <c r="F4714" s="15" t="s">
        <v>17</v>
      </c>
      <c r="G4714" s="15" t="s">
        <v>29</v>
      </c>
      <c r="H4714" s="15" t="n">
        <v>3</v>
      </c>
      <c r="I4714" s="17" t="n">
        <v>0.2</v>
      </c>
      <c r="J4714" s="18" t="n">
        <v>51.64</v>
      </c>
      <c r="K4714" s="19" t="n">
        <v>9.74</v>
      </c>
      <c r="L4714" s="15" t="n">
        <f aca="false">YEAR(B4714)</f>
        <v>2023</v>
      </c>
      <c r="M4714" s="20" t="n">
        <f aca="false">IF(J4714&gt;0,K4714/J4714,0)</f>
        <v>0.18861347792409</v>
      </c>
    </row>
    <row r="4715" customFormat="false" ht="15" hidden="false" customHeight="false" outlineLevel="0" collapsed="false">
      <c r="A4715" s="15" t="s">
        <v>4772</v>
      </c>
      <c r="B4715" s="16" t="n">
        <v>45492</v>
      </c>
      <c r="C4715" s="15" t="s">
        <v>56</v>
      </c>
      <c r="D4715" s="15" t="s">
        <v>42</v>
      </c>
      <c r="E4715" s="15" t="s">
        <v>39</v>
      </c>
      <c r="F4715" s="15" t="s">
        <v>18</v>
      </c>
      <c r="G4715" s="15" t="s">
        <v>30</v>
      </c>
      <c r="H4715" s="15" t="n">
        <v>4</v>
      </c>
      <c r="I4715" s="17" t="n">
        <v>0.05</v>
      </c>
      <c r="J4715" s="18" t="n">
        <v>180.88</v>
      </c>
      <c r="K4715" s="19" t="n">
        <v>43.42</v>
      </c>
      <c r="L4715" s="15" t="n">
        <f aca="false">YEAR(B4715)</f>
        <v>2024</v>
      </c>
      <c r="M4715" s="20" t="n">
        <f aca="false">IF(J4715&gt;0,K4715/J4715,0)</f>
        <v>0.240048651039363</v>
      </c>
    </row>
    <row r="4716" customFormat="false" ht="15" hidden="false" customHeight="false" outlineLevel="0" collapsed="false">
      <c r="A4716" s="15" t="s">
        <v>4773</v>
      </c>
      <c r="B4716" s="16" t="n">
        <v>45855</v>
      </c>
      <c r="C4716" s="15" t="s">
        <v>56</v>
      </c>
      <c r="D4716" s="15" t="s">
        <v>43</v>
      </c>
      <c r="E4716" s="15" t="s">
        <v>39</v>
      </c>
      <c r="F4716" s="15" t="s">
        <v>17</v>
      </c>
      <c r="G4716" s="15" t="s">
        <v>29</v>
      </c>
      <c r="H4716" s="15" t="n">
        <v>3</v>
      </c>
      <c r="I4716" s="17" t="n">
        <v>0</v>
      </c>
      <c r="J4716" s="18" t="n">
        <v>55.71</v>
      </c>
      <c r="K4716" s="19" t="n">
        <v>23.09</v>
      </c>
      <c r="L4716" s="15" t="n">
        <f aca="false">YEAR(B4716)</f>
        <v>2025</v>
      </c>
      <c r="M4716" s="20" t="n">
        <f aca="false">IF(J4716&gt;0,K4716/J4716,0)</f>
        <v>0.414467779572788</v>
      </c>
    </row>
    <row r="4717" customFormat="false" ht="15" hidden="false" customHeight="false" outlineLevel="0" collapsed="false">
      <c r="A4717" s="15" t="s">
        <v>4774</v>
      </c>
      <c r="B4717" s="16" t="n">
        <v>45908</v>
      </c>
      <c r="C4717" s="15" t="s">
        <v>71</v>
      </c>
      <c r="D4717" s="15" t="s">
        <v>42</v>
      </c>
      <c r="E4717" s="15" t="s">
        <v>38</v>
      </c>
      <c r="F4717" s="15" t="s">
        <v>17</v>
      </c>
      <c r="G4717" s="15" t="s">
        <v>28</v>
      </c>
      <c r="H4717" s="15" t="n">
        <v>4</v>
      </c>
      <c r="I4717" s="17" t="n">
        <v>0</v>
      </c>
      <c r="J4717" s="18" t="n">
        <v>101.16</v>
      </c>
      <c r="K4717" s="19" t="n">
        <v>37</v>
      </c>
      <c r="L4717" s="15" t="n">
        <f aca="false">YEAR(B4717)</f>
        <v>2025</v>
      </c>
      <c r="M4717" s="20" t="n">
        <f aca="false">IF(J4717&gt;0,K4717/J4717,0)</f>
        <v>0.365757216291024</v>
      </c>
    </row>
    <row r="4718" customFormat="false" ht="15" hidden="false" customHeight="false" outlineLevel="0" collapsed="false">
      <c r="A4718" s="15" t="s">
        <v>4775</v>
      </c>
      <c r="B4718" s="16" t="n">
        <v>45621</v>
      </c>
      <c r="C4718" s="15" t="s">
        <v>58</v>
      </c>
      <c r="D4718" s="15" t="s">
        <v>44</v>
      </c>
      <c r="E4718" s="15" t="s">
        <v>39</v>
      </c>
      <c r="F4718" s="15" t="s">
        <v>17</v>
      </c>
      <c r="G4718" s="15" t="s">
        <v>26</v>
      </c>
      <c r="H4718" s="15" t="n">
        <v>3</v>
      </c>
      <c r="I4718" s="17" t="n">
        <v>0</v>
      </c>
      <c r="J4718" s="18" t="n">
        <v>260.06</v>
      </c>
      <c r="K4718" s="19" t="n">
        <v>33.68</v>
      </c>
      <c r="L4718" s="15" t="n">
        <f aca="false">YEAR(B4718)</f>
        <v>2024</v>
      </c>
      <c r="M4718" s="20" t="n">
        <f aca="false">IF(J4718&gt;0,K4718/J4718,0)</f>
        <v>0.129508574944244</v>
      </c>
    </row>
    <row r="4719" customFormat="false" ht="15" hidden="false" customHeight="false" outlineLevel="0" collapsed="false">
      <c r="A4719" s="15" t="s">
        <v>4776</v>
      </c>
      <c r="B4719" s="16" t="n">
        <v>45818</v>
      </c>
      <c r="C4719" s="15" t="s">
        <v>68</v>
      </c>
      <c r="D4719" s="15" t="s">
        <v>43</v>
      </c>
      <c r="E4719" s="15" t="s">
        <v>38</v>
      </c>
      <c r="F4719" s="15" t="s">
        <v>17</v>
      </c>
      <c r="G4719" s="15" t="s">
        <v>31</v>
      </c>
      <c r="H4719" s="15" t="n">
        <v>2</v>
      </c>
      <c r="I4719" s="17" t="n">
        <v>0</v>
      </c>
      <c r="J4719" s="18" t="n">
        <v>284.25</v>
      </c>
      <c r="K4719" s="19" t="n">
        <v>40.24</v>
      </c>
      <c r="L4719" s="15" t="n">
        <f aca="false">YEAR(B4719)</f>
        <v>2025</v>
      </c>
      <c r="M4719" s="20" t="n">
        <f aca="false">IF(J4719&gt;0,K4719/J4719,0)</f>
        <v>0.141565523306948</v>
      </c>
    </row>
    <row r="4720" customFormat="false" ht="15" hidden="false" customHeight="false" outlineLevel="0" collapsed="false">
      <c r="A4720" s="15" t="s">
        <v>4777</v>
      </c>
      <c r="B4720" s="16" t="n">
        <v>45614</v>
      </c>
      <c r="C4720" s="15" t="s">
        <v>56</v>
      </c>
      <c r="D4720" s="15" t="s">
        <v>43</v>
      </c>
      <c r="E4720" s="15" t="s">
        <v>38</v>
      </c>
      <c r="F4720" s="15" t="s">
        <v>17</v>
      </c>
      <c r="G4720" s="15" t="s">
        <v>29</v>
      </c>
      <c r="H4720" s="15" t="n">
        <v>2</v>
      </c>
      <c r="I4720" s="17" t="n">
        <v>0.3</v>
      </c>
      <c r="J4720" s="18" t="n">
        <v>29.68</v>
      </c>
      <c r="K4720" s="19" t="n">
        <v>4.13</v>
      </c>
      <c r="L4720" s="15" t="n">
        <f aca="false">YEAR(B4720)</f>
        <v>2024</v>
      </c>
      <c r="M4720" s="20" t="n">
        <f aca="false">IF(J4720&gt;0,K4720/J4720,0)</f>
        <v>0.139150943396226</v>
      </c>
    </row>
    <row r="4721" customFormat="false" ht="15" hidden="false" customHeight="false" outlineLevel="0" collapsed="false">
      <c r="A4721" s="15" t="s">
        <v>4778</v>
      </c>
      <c r="B4721" s="16" t="n">
        <v>45189</v>
      </c>
      <c r="C4721" s="15" t="s">
        <v>56</v>
      </c>
      <c r="D4721" s="15" t="s">
        <v>44</v>
      </c>
      <c r="E4721" s="15" t="s">
        <v>39</v>
      </c>
      <c r="F4721" s="15" t="s">
        <v>17</v>
      </c>
      <c r="G4721" s="15" t="s">
        <v>29</v>
      </c>
      <c r="H4721" s="15" t="n">
        <v>3</v>
      </c>
      <c r="I4721" s="17" t="n">
        <v>0.15</v>
      </c>
      <c r="J4721" s="18" t="n">
        <v>55.32</v>
      </c>
      <c r="K4721" s="19" t="n">
        <v>11.74</v>
      </c>
      <c r="L4721" s="15" t="n">
        <f aca="false">YEAR(B4721)</f>
        <v>2023</v>
      </c>
      <c r="M4721" s="20" t="n">
        <f aca="false">IF(J4721&gt;0,K4721/J4721,0)</f>
        <v>0.212219812002892</v>
      </c>
    </row>
    <row r="4722" customFormat="false" ht="15" hidden="false" customHeight="false" outlineLevel="0" collapsed="false">
      <c r="A4722" s="15" t="s">
        <v>4779</v>
      </c>
      <c r="B4722" s="16" t="n">
        <v>46015</v>
      </c>
      <c r="C4722" s="15" t="s">
        <v>56</v>
      </c>
      <c r="D4722" s="15" t="s">
        <v>42</v>
      </c>
      <c r="E4722" s="15" t="s">
        <v>37</v>
      </c>
      <c r="F4722" s="15" t="s">
        <v>16</v>
      </c>
      <c r="G4722" s="15" t="s">
        <v>27</v>
      </c>
      <c r="H4722" s="15" t="n">
        <v>4</v>
      </c>
      <c r="I4722" s="17" t="n">
        <v>0.05</v>
      </c>
      <c r="J4722" s="18" t="n">
        <v>205.47</v>
      </c>
      <c r="K4722" s="19" t="n">
        <v>41.34</v>
      </c>
      <c r="L4722" s="15" t="n">
        <f aca="false">YEAR(B4722)</f>
        <v>2025</v>
      </c>
      <c r="M4722" s="20" t="n">
        <f aca="false">IF(J4722&gt;0,K4722/J4722,0)</f>
        <v>0.201197255073733</v>
      </c>
    </row>
    <row r="4723" customFormat="false" ht="15" hidden="false" customHeight="false" outlineLevel="0" collapsed="false">
      <c r="A4723" s="15" t="s">
        <v>4780</v>
      </c>
      <c r="B4723" s="16" t="n">
        <v>44677</v>
      </c>
      <c r="C4723" s="15" t="s">
        <v>71</v>
      </c>
      <c r="D4723" s="15" t="s">
        <v>43</v>
      </c>
      <c r="E4723" s="15" t="s">
        <v>38</v>
      </c>
      <c r="F4723" s="15" t="s">
        <v>16</v>
      </c>
      <c r="G4723" s="15" t="s">
        <v>25</v>
      </c>
      <c r="H4723" s="15" t="n">
        <v>6</v>
      </c>
      <c r="I4723" s="17" t="n">
        <v>0</v>
      </c>
      <c r="J4723" s="18" t="n">
        <v>1808.15</v>
      </c>
      <c r="K4723" s="19" t="n">
        <v>158.46</v>
      </c>
      <c r="L4723" s="15" t="n">
        <f aca="false">YEAR(B4723)</f>
        <v>2022</v>
      </c>
      <c r="M4723" s="20" t="n">
        <f aca="false">IF(J4723&gt;0,K4723/J4723,0)</f>
        <v>0.0876365345795426</v>
      </c>
    </row>
    <row r="4724" customFormat="false" ht="15" hidden="false" customHeight="false" outlineLevel="0" collapsed="false">
      <c r="A4724" s="15" t="s">
        <v>4781</v>
      </c>
      <c r="B4724" s="16" t="n">
        <v>45263</v>
      </c>
      <c r="C4724" s="15" t="s">
        <v>56</v>
      </c>
      <c r="D4724" s="15" t="s">
        <v>42</v>
      </c>
      <c r="E4724" s="15" t="s">
        <v>38</v>
      </c>
      <c r="F4724" s="15" t="s">
        <v>18</v>
      </c>
      <c r="G4724" s="15" t="s">
        <v>30</v>
      </c>
      <c r="H4724" s="15" t="n">
        <v>4</v>
      </c>
      <c r="I4724" s="17" t="n">
        <v>0.05</v>
      </c>
      <c r="J4724" s="18" t="n">
        <v>144.51</v>
      </c>
      <c r="K4724" s="19" t="n">
        <v>34.32</v>
      </c>
      <c r="L4724" s="15" t="n">
        <f aca="false">YEAR(B4724)</f>
        <v>2023</v>
      </c>
      <c r="M4724" s="20" t="n">
        <f aca="false">IF(J4724&gt;0,K4724/J4724,0)</f>
        <v>0.237492215071621</v>
      </c>
    </row>
    <row r="4725" customFormat="false" ht="15" hidden="false" customHeight="false" outlineLevel="0" collapsed="false">
      <c r="A4725" s="15" t="s">
        <v>4782</v>
      </c>
      <c r="B4725" s="16" t="n">
        <v>45910</v>
      </c>
      <c r="C4725" s="15" t="s">
        <v>56</v>
      </c>
      <c r="D4725" s="15" t="s">
        <v>42</v>
      </c>
      <c r="E4725" s="15" t="s">
        <v>37</v>
      </c>
      <c r="F4725" s="15" t="s">
        <v>18</v>
      </c>
      <c r="G4725" s="15" t="s">
        <v>32</v>
      </c>
      <c r="H4725" s="15" t="n">
        <v>2</v>
      </c>
      <c r="I4725" s="17" t="n">
        <v>0</v>
      </c>
      <c r="J4725" s="18" t="n">
        <v>812.52</v>
      </c>
      <c r="K4725" s="19" t="n">
        <v>147.73</v>
      </c>
      <c r="L4725" s="15" t="n">
        <f aca="false">YEAR(B4725)</f>
        <v>2025</v>
      </c>
      <c r="M4725" s="20" t="n">
        <f aca="false">IF(J4725&gt;0,K4725/J4725,0)</f>
        <v>0.181817062964604</v>
      </c>
    </row>
    <row r="4726" customFormat="false" ht="15" hidden="false" customHeight="false" outlineLevel="0" collapsed="false">
      <c r="A4726" s="15" t="s">
        <v>4783</v>
      </c>
      <c r="B4726" s="16" t="n">
        <v>45877</v>
      </c>
      <c r="C4726" s="15" t="s">
        <v>56</v>
      </c>
      <c r="D4726" s="15" t="s">
        <v>42</v>
      </c>
      <c r="E4726" s="15" t="s">
        <v>39</v>
      </c>
      <c r="F4726" s="15" t="s">
        <v>17</v>
      </c>
      <c r="G4726" s="15" t="s">
        <v>29</v>
      </c>
      <c r="H4726" s="15" t="n">
        <v>3</v>
      </c>
      <c r="I4726" s="17" t="n">
        <v>0.05</v>
      </c>
      <c r="J4726" s="18" t="n">
        <v>56.07</v>
      </c>
      <c r="K4726" s="19" t="n">
        <v>20.84</v>
      </c>
      <c r="L4726" s="15" t="n">
        <f aca="false">YEAR(B4726)</f>
        <v>2025</v>
      </c>
      <c r="M4726" s="20" t="n">
        <f aca="false">IF(J4726&gt;0,K4726/J4726,0)</f>
        <v>0.371678259318709</v>
      </c>
    </row>
    <row r="4727" customFormat="false" ht="15" hidden="false" customHeight="false" outlineLevel="0" collapsed="false">
      <c r="A4727" s="15" t="s">
        <v>4784</v>
      </c>
      <c r="B4727" s="16" t="n">
        <v>45111</v>
      </c>
      <c r="C4727" s="15" t="s">
        <v>56</v>
      </c>
      <c r="D4727" s="15" t="s">
        <v>42</v>
      </c>
      <c r="E4727" s="15" t="s">
        <v>38</v>
      </c>
      <c r="F4727" s="15" t="s">
        <v>18</v>
      </c>
      <c r="G4727" s="15" t="s">
        <v>30</v>
      </c>
      <c r="H4727" s="15" t="n">
        <v>5</v>
      </c>
      <c r="I4727" s="17" t="n">
        <v>0.5</v>
      </c>
      <c r="J4727" s="18" t="n">
        <v>119.51</v>
      </c>
      <c r="K4727" s="19" t="n">
        <v>-16.06</v>
      </c>
      <c r="L4727" s="15" t="n">
        <f aca="false">YEAR(B4727)</f>
        <v>2023</v>
      </c>
      <c r="M4727" s="20" t="n">
        <f aca="false">IF(J4727&gt;0,K4727/J4727,0)</f>
        <v>-0.134382060078655</v>
      </c>
    </row>
    <row r="4728" customFormat="false" ht="15" hidden="false" customHeight="false" outlineLevel="0" collapsed="false">
      <c r="A4728" s="15" t="s">
        <v>4785</v>
      </c>
      <c r="B4728" s="16" t="n">
        <v>44720</v>
      </c>
      <c r="C4728" s="15" t="s">
        <v>56</v>
      </c>
      <c r="D4728" s="15" t="s">
        <v>44</v>
      </c>
      <c r="E4728" s="15" t="s">
        <v>37</v>
      </c>
      <c r="F4728" s="15" t="s">
        <v>17</v>
      </c>
      <c r="G4728" s="15" t="s">
        <v>31</v>
      </c>
      <c r="H4728" s="15" t="n">
        <v>4</v>
      </c>
      <c r="I4728" s="17" t="n">
        <v>0</v>
      </c>
      <c r="J4728" s="18" t="n">
        <v>498.33</v>
      </c>
      <c r="K4728" s="19" t="n">
        <v>116.99</v>
      </c>
      <c r="L4728" s="15" t="n">
        <f aca="false">YEAR(B4728)</f>
        <v>2022</v>
      </c>
      <c r="M4728" s="20" t="n">
        <f aca="false">IF(J4728&gt;0,K4728/J4728,0)</f>
        <v>0.234764112134529</v>
      </c>
    </row>
    <row r="4729" customFormat="false" ht="15" hidden="false" customHeight="false" outlineLevel="0" collapsed="false">
      <c r="A4729" s="15" t="s">
        <v>4786</v>
      </c>
      <c r="B4729" s="16" t="n">
        <v>45640</v>
      </c>
      <c r="C4729" s="15" t="s">
        <v>56</v>
      </c>
      <c r="D4729" s="15" t="s">
        <v>42</v>
      </c>
      <c r="E4729" s="15" t="s">
        <v>37</v>
      </c>
      <c r="F4729" s="15" t="s">
        <v>16</v>
      </c>
      <c r="G4729" s="15" t="s">
        <v>22</v>
      </c>
      <c r="H4729" s="15" t="n">
        <v>3</v>
      </c>
      <c r="I4729" s="17" t="n">
        <v>0</v>
      </c>
      <c r="J4729" s="18" t="n">
        <v>1435.8</v>
      </c>
      <c r="K4729" s="19" t="n">
        <v>-178.33</v>
      </c>
      <c r="L4729" s="15" t="n">
        <f aca="false">YEAR(B4729)</f>
        <v>2024</v>
      </c>
      <c r="M4729" s="20" t="n">
        <f aca="false">IF(J4729&gt;0,K4729/J4729,0)</f>
        <v>-0.12420253517203</v>
      </c>
    </row>
    <row r="4730" customFormat="false" ht="15" hidden="false" customHeight="false" outlineLevel="0" collapsed="false">
      <c r="A4730" s="15" t="s">
        <v>4787</v>
      </c>
      <c r="B4730" s="16" t="n">
        <v>45414</v>
      </c>
      <c r="C4730" s="15" t="s">
        <v>56</v>
      </c>
      <c r="D4730" s="15" t="s">
        <v>42</v>
      </c>
      <c r="E4730" s="15" t="s">
        <v>37</v>
      </c>
      <c r="F4730" s="15" t="s">
        <v>17</v>
      </c>
      <c r="G4730" s="15" t="s">
        <v>28</v>
      </c>
      <c r="H4730" s="15" t="n">
        <v>2</v>
      </c>
      <c r="I4730" s="17" t="n">
        <v>0</v>
      </c>
      <c r="J4730" s="18" t="n">
        <v>52.14</v>
      </c>
      <c r="K4730" s="19" t="n">
        <v>15.27</v>
      </c>
      <c r="L4730" s="15" t="n">
        <f aca="false">YEAR(B4730)</f>
        <v>2024</v>
      </c>
      <c r="M4730" s="20" t="n">
        <f aca="false">IF(J4730&gt;0,K4730/J4730,0)</f>
        <v>0.292865362485616</v>
      </c>
    </row>
    <row r="4731" customFormat="false" ht="15" hidden="false" customHeight="false" outlineLevel="0" collapsed="false">
      <c r="A4731" s="15" t="s">
        <v>4788</v>
      </c>
      <c r="B4731" s="16" t="n">
        <v>44799</v>
      </c>
      <c r="C4731" s="15" t="s">
        <v>56</v>
      </c>
      <c r="D4731" s="15" t="s">
        <v>42</v>
      </c>
      <c r="E4731" s="15" t="s">
        <v>36</v>
      </c>
      <c r="F4731" s="15" t="s">
        <v>17</v>
      </c>
      <c r="G4731" s="15" t="s">
        <v>28</v>
      </c>
      <c r="H4731" s="15" t="n">
        <v>4</v>
      </c>
      <c r="I4731" s="17" t="n">
        <v>0</v>
      </c>
      <c r="J4731" s="18" t="n">
        <v>84.62</v>
      </c>
      <c r="K4731" s="19" t="n">
        <v>26.47</v>
      </c>
      <c r="L4731" s="15" t="n">
        <f aca="false">YEAR(B4731)</f>
        <v>2022</v>
      </c>
      <c r="M4731" s="20" t="n">
        <f aca="false">IF(J4731&gt;0,K4731/J4731,0)</f>
        <v>0.312810210352163</v>
      </c>
    </row>
    <row r="4732" customFormat="false" ht="15" hidden="false" customHeight="false" outlineLevel="0" collapsed="false">
      <c r="A4732" s="15" t="s">
        <v>4789</v>
      </c>
      <c r="B4732" s="16" t="n">
        <v>44662</v>
      </c>
      <c r="C4732" s="15" t="s">
        <v>56</v>
      </c>
      <c r="D4732" s="15" t="s">
        <v>42</v>
      </c>
      <c r="E4732" s="15" t="s">
        <v>38</v>
      </c>
      <c r="F4732" s="15" t="s">
        <v>18</v>
      </c>
      <c r="G4732" s="15" t="s">
        <v>32</v>
      </c>
      <c r="H4732" s="15" t="n">
        <v>1</v>
      </c>
      <c r="I4732" s="17" t="n">
        <v>0.15</v>
      </c>
      <c r="J4732" s="18" t="n">
        <v>375.06</v>
      </c>
      <c r="K4732" s="19" t="n">
        <v>42.29</v>
      </c>
      <c r="L4732" s="15" t="n">
        <f aca="false">YEAR(B4732)</f>
        <v>2022</v>
      </c>
      <c r="M4732" s="20" t="n">
        <f aca="false">IF(J4732&gt;0,K4732/J4732,0)</f>
        <v>0.112755292486535</v>
      </c>
    </row>
    <row r="4733" customFormat="false" ht="15" hidden="false" customHeight="false" outlineLevel="0" collapsed="false">
      <c r="A4733" s="15" t="s">
        <v>4790</v>
      </c>
      <c r="B4733" s="16" t="n">
        <v>45220</v>
      </c>
      <c r="C4733" s="15" t="s">
        <v>56</v>
      </c>
      <c r="D4733" s="15" t="s">
        <v>44</v>
      </c>
      <c r="E4733" s="15" t="s">
        <v>38</v>
      </c>
      <c r="F4733" s="15" t="s">
        <v>18</v>
      </c>
      <c r="G4733" s="15" t="s">
        <v>33</v>
      </c>
      <c r="H4733" s="15" t="n">
        <v>4</v>
      </c>
      <c r="I4733" s="17" t="n">
        <v>0</v>
      </c>
      <c r="J4733" s="18" t="n">
        <v>3345.49</v>
      </c>
      <c r="K4733" s="19" t="n">
        <v>1023.44</v>
      </c>
      <c r="L4733" s="15" t="n">
        <f aca="false">YEAR(B4733)</f>
        <v>2023</v>
      </c>
      <c r="M4733" s="20" t="n">
        <f aca="false">IF(J4733&gt;0,K4733/J4733,0)</f>
        <v>0.305916323169401</v>
      </c>
    </row>
    <row r="4734" customFormat="false" ht="15" hidden="false" customHeight="false" outlineLevel="0" collapsed="false">
      <c r="A4734" s="15" t="s">
        <v>4791</v>
      </c>
      <c r="B4734" s="16" t="n">
        <v>44877</v>
      </c>
      <c r="C4734" s="15" t="s">
        <v>58</v>
      </c>
      <c r="D4734" s="15" t="s">
        <v>44</v>
      </c>
      <c r="E4734" s="15" t="s">
        <v>36</v>
      </c>
      <c r="F4734" s="15" t="s">
        <v>17</v>
      </c>
      <c r="G4734" s="15" t="s">
        <v>28</v>
      </c>
      <c r="H4734" s="15" t="n">
        <v>4</v>
      </c>
      <c r="I4734" s="17" t="n">
        <v>0.2</v>
      </c>
      <c r="J4734" s="18" t="n">
        <v>76.87</v>
      </c>
      <c r="K4734" s="19" t="n">
        <v>6.76</v>
      </c>
      <c r="L4734" s="15" t="n">
        <f aca="false">YEAR(B4734)</f>
        <v>2022</v>
      </c>
      <c r="M4734" s="20" t="n">
        <f aca="false">IF(J4734&gt;0,K4734/J4734,0)</f>
        <v>0.0879406790685573</v>
      </c>
    </row>
    <row r="4735" customFormat="false" ht="15" hidden="false" customHeight="false" outlineLevel="0" collapsed="false">
      <c r="A4735" s="15" t="s">
        <v>4792</v>
      </c>
      <c r="B4735" s="16" t="n">
        <v>45015</v>
      </c>
      <c r="C4735" s="15" t="s">
        <v>68</v>
      </c>
      <c r="D4735" s="15" t="s">
        <v>42</v>
      </c>
      <c r="E4735" s="15" t="s">
        <v>36</v>
      </c>
      <c r="F4735" s="15" t="s">
        <v>17</v>
      </c>
      <c r="G4735" s="15" t="s">
        <v>29</v>
      </c>
      <c r="H4735" s="15" t="n">
        <v>5</v>
      </c>
      <c r="I4735" s="17" t="n">
        <v>0.15</v>
      </c>
      <c r="J4735" s="18" t="n">
        <v>67.1</v>
      </c>
      <c r="K4735" s="19" t="n">
        <v>17.6</v>
      </c>
      <c r="L4735" s="15" t="n">
        <f aca="false">YEAR(B4735)</f>
        <v>2023</v>
      </c>
      <c r="M4735" s="20" t="n">
        <f aca="false">IF(J4735&gt;0,K4735/J4735,0)</f>
        <v>0.262295081967213</v>
      </c>
    </row>
    <row r="4736" customFormat="false" ht="15" hidden="false" customHeight="false" outlineLevel="0" collapsed="false">
      <c r="A4736" s="15" t="s">
        <v>4793</v>
      </c>
      <c r="B4736" s="16" t="n">
        <v>45042</v>
      </c>
      <c r="C4736" s="15" t="s">
        <v>56</v>
      </c>
      <c r="D4736" s="15" t="s">
        <v>42</v>
      </c>
      <c r="E4736" s="15" t="s">
        <v>38</v>
      </c>
      <c r="F4736" s="15" t="s">
        <v>18</v>
      </c>
      <c r="G4736" s="15" t="s">
        <v>30</v>
      </c>
      <c r="H4736" s="15" t="n">
        <v>1</v>
      </c>
      <c r="I4736" s="17" t="n">
        <v>0.3</v>
      </c>
      <c r="J4736" s="18" t="n">
        <v>25.21</v>
      </c>
      <c r="K4736" s="19" t="n">
        <v>-0.6</v>
      </c>
      <c r="L4736" s="15" t="n">
        <f aca="false">YEAR(B4736)</f>
        <v>2023</v>
      </c>
      <c r="M4736" s="20" t="n">
        <f aca="false">IF(J4736&gt;0,K4736/J4736,0)</f>
        <v>-0.0238000793335978</v>
      </c>
    </row>
    <row r="4737" customFormat="false" ht="15" hidden="false" customHeight="false" outlineLevel="0" collapsed="false">
      <c r="A4737" s="15" t="s">
        <v>4794</v>
      </c>
      <c r="B4737" s="16" t="n">
        <v>44797</v>
      </c>
      <c r="C4737" s="15" t="s">
        <v>56</v>
      </c>
      <c r="D4737" s="15" t="s">
        <v>42</v>
      </c>
      <c r="E4737" s="15" t="s">
        <v>36</v>
      </c>
      <c r="F4737" s="15" t="s">
        <v>16</v>
      </c>
      <c r="G4737" s="15" t="s">
        <v>23</v>
      </c>
      <c r="H4737" s="15" t="n">
        <v>5</v>
      </c>
      <c r="I4737" s="17" t="n">
        <v>0.2</v>
      </c>
      <c r="J4737" s="18" t="n">
        <v>962.14</v>
      </c>
      <c r="K4737" s="19" t="n">
        <v>-240.17</v>
      </c>
      <c r="L4737" s="15" t="n">
        <f aca="false">YEAR(B4737)</f>
        <v>2022</v>
      </c>
      <c r="M4737" s="20" t="n">
        <f aca="false">IF(J4737&gt;0,K4737/J4737,0)</f>
        <v>-0.249620637329287</v>
      </c>
    </row>
    <row r="4738" customFormat="false" ht="15" hidden="false" customHeight="false" outlineLevel="0" collapsed="false">
      <c r="A4738" s="15" t="s">
        <v>4795</v>
      </c>
      <c r="B4738" s="16" t="n">
        <v>45284</v>
      </c>
      <c r="C4738" s="15" t="s">
        <v>68</v>
      </c>
      <c r="D4738" s="15" t="s">
        <v>44</v>
      </c>
      <c r="E4738" s="15" t="s">
        <v>36</v>
      </c>
      <c r="F4738" s="15" t="s">
        <v>18</v>
      </c>
      <c r="G4738" s="15" t="s">
        <v>30</v>
      </c>
      <c r="H4738" s="15" t="n">
        <v>3</v>
      </c>
      <c r="I4738" s="17" t="n">
        <v>0</v>
      </c>
      <c r="J4738" s="18" t="n">
        <v>131.32</v>
      </c>
      <c r="K4738" s="19" t="n">
        <v>33.53</v>
      </c>
      <c r="L4738" s="15" t="n">
        <f aca="false">YEAR(B4738)</f>
        <v>2023</v>
      </c>
      <c r="M4738" s="20" t="n">
        <f aca="false">IF(J4738&gt;0,K4738/J4738,0)</f>
        <v>0.255330490405117</v>
      </c>
    </row>
    <row r="4739" customFormat="false" ht="15" hidden="false" customHeight="false" outlineLevel="0" collapsed="false">
      <c r="A4739" s="15" t="s">
        <v>4796</v>
      </c>
      <c r="B4739" s="16" t="n">
        <v>45149</v>
      </c>
      <c r="C4739" s="15" t="s">
        <v>71</v>
      </c>
      <c r="D4739" s="15" t="s">
        <v>42</v>
      </c>
      <c r="E4739" s="15" t="s">
        <v>37</v>
      </c>
      <c r="F4739" s="15" t="s">
        <v>17</v>
      </c>
      <c r="G4739" s="15" t="s">
        <v>31</v>
      </c>
      <c r="H4739" s="15" t="n">
        <v>5</v>
      </c>
      <c r="I4739" s="17" t="n">
        <v>0</v>
      </c>
      <c r="J4739" s="18" t="n">
        <v>525.42</v>
      </c>
      <c r="K4739" s="19" t="n">
        <v>83.47</v>
      </c>
      <c r="L4739" s="15" t="n">
        <f aca="false">YEAR(B4739)</f>
        <v>2023</v>
      </c>
      <c r="M4739" s="20" t="n">
        <f aca="false">IF(J4739&gt;0,K4739/J4739,0)</f>
        <v>0.158863385482091</v>
      </c>
    </row>
    <row r="4740" customFormat="false" ht="15" hidden="false" customHeight="false" outlineLevel="0" collapsed="false">
      <c r="A4740" s="15" t="s">
        <v>4797</v>
      </c>
      <c r="B4740" s="16" t="n">
        <v>45217</v>
      </c>
      <c r="C4740" s="15" t="s">
        <v>56</v>
      </c>
      <c r="D4740" s="15" t="s">
        <v>44</v>
      </c>
      <c r="E4740" s="15" t="s">
        <v>36</v>
      </c>
      <c r="F4740" s="15" t="s">
        <v>18</v>
      </c>
      <c r="G4740" s="15" t="s">
        <v>30</v>
      </c>
      <c r="H4740" s="15" t="n">
        <v>2</v>
      </c>
      <c r="I4740" s="17" t="n">
        <v>0.05</v>
      </c>
      <c r="J4740" s="18" t="n">
        <v>84.75</v>
      </c>
      <c r="K4740" s="19" t="n">
        <v>23.48</v>
      </c>
      <c r="L4740" s="15" t="n">
        <f aca="false">YEAR(B4740)</f>
        <v>2023</v>
      </c>
      <c r="M4740" s="20" t="n">
        <f aca="false">IF(J4740&gt;0,K4740/J4740,0)</f>
        <v>0.277050147492625</v>
      </c>
    </row>
    <row r="4741" customFormat="false" ht="15" hidden="false" customHeight="false" outlineLevel="0" collapsed="false">
      <c r="A4741" s="15" t="s">
        <v>4798</v>
      </c>
      <c r="B4741" s="16" t="n">
        <v>44850</v>
      </c>
      <c r="C4741" s="15" t="s">
        <v>71</v>
      </c>
      <c r="D4741" s="15" t="s">
        <v>43</v>
      </c>
      <c r="E4741" s="15" t="s">
        <v>39</v>
      </c>
      <c r="F4741" s="15" t="s">
        <v>16</v>
      </c>
      <c r="G4741" s="15" t="s">
        <v>23</v>
      </c>
      <c r="H4741" s="15" t="n">
        <v>5</v>
      </c>
      <c r="I4741" s="17" t="n">
        <v>0</v>
      </c>
      <c r="J4741" s="18" t="n">
        <v>1526.15</v>
      </c>
      <c r="K4741" s="19" t="n">
        <v>95.53</v>
      </c>
      <c r="L4741" s="15" t="n">
        <f aca="false">YEAR(B4741)</f>
        <v>2022</v>
      </c>
      <c r="M4741" s="20" t="n">
        <f aca="false">IF(J4741&gt;0,K4741/J4741,0)</f>
        <v>0.0625954198473282</v>
      </c>
    </row>
    <row r="4742" customFormat="false" ht="15" hidden="false" customHeight="false" outlineLevel="0" collapsed="false">
      <c r="A4742" s="15" t="s">
        <v>4799</v>
      </c>
      <c r="B4742" s="16" t="n">
        <v>44923</v>
      </c>
      <c r="C4742" s="15" t="s">
        <v>68</v>
      </c>
      <c r="D4742" s="15" t="s">
        <v>44</v>
      </c>
      <c r="E4742" s="15" t="s">
        <v>39</v>
      </c>
      <c r="F4742" s="15" t="s">
        <v>16</v>
      </c>
      <c r="G4742" s="15" t="s">
        <v>25</v>
      </c>
      <c r="H4742" s="15" t="n">
        <v>1</v>
      </c>
      <c r="I4742" s="17" t="n">
        <v>0.2</v>
      </c>
      <c r="J4742" s="18" t="n">
        <v>231.1</v>
      </c>
      <c r="K4742" s="19" t="n">
        <v>-20.84</v>
      </c>
      <c r="L4742" s="15" t="n">
        <f aca="false">YEAR(B4742)</f>
        <v>2022</v>
      </c>
      <c r="M4742" s="20" t="n">
        <f aca="false">IF(J4742&gt;0,K4742/J4742,0)</f>
        <v>-0.090177412375595</v>
      </c>
    </row>
    <row r="4743" customFormat="false" ht="15" hidden="false" customHeight="false" outlineLevel="0" collapsed="false">
      <c r="A4743" s="15" t="s">
        <v>4800</v>
      </c>
      <c r="B4743" s="16" t="n">
        <v>45134</v>
      </c>
      <c r="C4743" s="15" t="s">
        <v>56</v>
      </c>
      <c r="D4743" s="15" t="s">
        <v>42</v>
      </c>
      <c r="E4743" s="15" t="s">
        <v>39</v>
      </c>
      <c r="F4743" s="15" t="s">
        <v>18</v>
      </c>
      <c r="G4743" s="15" t="s">
        <v>32</v>
      </c>
      <c r="H4743" s="15" t="n">
        <v>2</v>
      </c>
      <c r="I4743" s="17" t="n">
        <v>0.3</v>
      </c>
      <c r="J4743" s="18" t="n">
        <v>584.98</v>
      </c>
      <c r="K4743" s="19" t="n">
        <v>-52.32</v>
      </c>
      <c r="L4743" s="15" t="n">
        <f aca="false">YEAR(B4743)</f>
        <v>2023</v>
      </c>
      <c r="M4743" s="20" t="n">
        <f aca="false">IF(J4743&gt;0,K4743/J4743,0)</f>
        <v>-0.0894389551779548</v>
      </c>
    </row>
    <row r="4744" customFormat="false" ht="15" hidden="false" customHeight="false" outlineLevel="0" collapsed="false">
      <c r="A4744" s="15" t="s">
        <v>4801</v>
      </c>
      <c r="B4744" s="16" t="n">
        <v>45329</v>
      </c>
      <c r="C4744" s="15" t="s">
        <v>56</v>
      </c>
      <c r="D4744" s="15" t="s">
        <v>42</v>
      </c>
      <c r="E4744" s="15" t="s">
        <v>39</v>
      </c>
      <c r="F4744" s="15" t="s">
        <v>17</v>
      </c>
      <c r="G4744" s="15" t="s">
        <v>28</v>
      </c>
      <c r="H4744" s="15" t="n">
        <v>6</v>
      </c>
      <c r="I4744" s="17" t="n">
        <v>0.1</v>
      </c>
      <c r="J4744" s="18" t="n">
        <v>145.15</v>
      </c>
      <c r="K4744" s="19" t="n">
        <v>32.5</v>
      </c>
      <c r="L4744" s="15" t="n">
        <f aca="false">YEAR(B4744)</f>
        <v>2024</v>
      </c>
      <c r="M4744" s="20" t="n">
        <f aca="false">IF(J4744&gt;0,K4744/J4744,0)</f>
        <v>0.223906303823631</v>
      </c>
    </row>
    <row r="4745" customFormat="false" ht="15" hidden="false" customHeight="false" outlineLevel="0" collapsed="false">
      <c r="A4745" s="15" t="s">
        <v>4802</v>
      </c>
      <c r="B4745" s="16" t="n">
        <v>45069</v>
      </c>
      <c r="C4745" s="15" t="s">
        <v>71</v>
      </c>
      <c r="D4745" s="15" t="s">
        <v>42</v>
      </c>
      <c r="E4745" s="15" t="s">
        <v>37</v>
      </c>
      <c r="F4745" s="15" t="s">
        <v>16</v>
      </c>
      <c r="G4745" s="15" t="s">
        <v>25</v>
      </c>
      <c r="H4745" s="15" t="n">
        <v>5</v>
      </c>
      <c r="I4745" s="17" t="n">
        <v>0.1</v>
      </c>
      <c r="J4745" s="18" t="n">
        <v>1367.19</v>
      </c>
      <c r="K4745" s="19" t="n">
        <v>32.62</v>
      </c>
      <c r="L4745" s="15" t="n">
        <f aca="false">YEAR(B4745)</f>
        <v>2023</v>
      </c>
      <c r="M4745" s="20" t="n">
        <f aca="false">IF(J4745&gt;0,K4745/J4745,0)</f>
        <v>0.0238591563718283</v>
      </c>
    </row>
    <row r="4746" customFormat="false" ht="15" hidden="false" customHeight="false" outlineLevel="0" collapsed="false">
      <c r="A4746" s="15" t="s">
        <v>4803</v>
      </c>
      <c r="B4746" s="16" t="n">
        <v>45945</v>
      </c>
      <c r="C4746" s="15" t="s">
        <v>56</v>
      </c>
      <c r="D4746" s="15" t="s">
        <v>42</v>
      </c>
      <c r="E4746" s="15" t="s">
        <v>39</v>
      </c>
      <c r="F4746" s="15" t="s">
        <v>16</v>
      </c>
      <c r="G4746" s="15" t="s">
        <v>23</v>
      </c>
      <c r="H4746" s="15" t="n">
        <v>5</v>
      </c>
      <c r="I4746" s="17" t="n">
        <v>0</v>
      </c>
      <c r="J4746" s="18" t="n">
        <v>1602.41</v>
      </c>
      <c r="K4746" s="19" t="n">
        <v>60.97</v>
      </c>
      <c r="L4746" s="15" t="n">
        <f aca="false">YEAR(B4746)</f>
        <v>2025</v>
      </c>
      <c r="M4746" s="20" t="n">
        <f aca="false">IF(J4746&gt;0,K4746/J4746,0)</f>
        <v>0.0380489387859537</v>
      </c>
    </row>
    <row r="4747" customFormat="false" ht="15" hidden="false" customHeight="false" outlineLevel="0" collapsed="false">
      <c r="A4747" s="15" t="s">
        <v>4804</v>
      </c>
      <c r="B4747" s="16" t="n">
        <v>44941</v>
      </c>
      <c r="C4747" s="15" t="s">
        <v>56</v>
      </c>
      <c r="D4747" s="15" t="s">
        <v>43</v>
      </c>
      <c r="E4747" s="15" t="s">
        <v>39</v>
      </c>
      <c r="F4747" s="15" t="s">
        <v>18</v>
      </c>
      <c r="G4747" s="15" t="s">
        <v>32</v>
      </c>
      <c r="H4747" s="15" t="n">
        <v>4</v>
      </c>
      <c r="I4747" s="17" t="n">
        <v>0.2</v>
      </c>
      <c r="J4747" s="18" t="n">
        <v>1589.53</v>
      </c>
      <c r="K4747" s="19" t="n">
        <v>6.44</v>
      </c>
      <c r="L4747" s="15" t="n">
        <f aca="false">YEAR(B4747)</f>
        <v>2023</v>
      </c>
      <c r="M4747" s="20" t="n">
        <f aca="false">IF(J4747&gt;0,K4747/J4747,0)</f>
        <v>0.00405151208218782</v>
      </c>
    </row>
    <row r="4748" customFormat="false" ht="15" hidden="false" customHeight="false" outlineLevel="0" collapsed="false">
      <c r="A4748" s="15" t="s">
        <v>4805</v>
      </c>
      <c r="B4748" s="16" t="n">
        <v>45738</v>
      </c>
      <c r="C4748" s="15" t="s">
        <v>56</v>
      </c>
      <c r="D4748" s="15" t="s">
        <v>42</v>
      </c>
      <c r="E4748" s="15" t="s">
        <v>37</v>
      </c>
      <c r="F4748" s="15" t="s">
        <v>17</v>
      </c>
      <c r="G4748" s="15" t="s">
        <v>28</v>
      </c>
      <c r="H4748" s="15" t="n">
        <v>2</v>
      </c>
      <c r="I4748" s="17" t="n">
        <v>0.1</v>
      </c>
      <c r="J4748" s="18" t="n">
        <v>38.33</v>
      </c>
      <c r="K4748" s="19" t="n">
        <v>7.22</v>
      </c>
      <c r="L4748" s="15" t="n">
        <f aca="false">YEAR(B4748)</f>
        <v>2025</v>
      </c>
      <c r="M4748" s="20" t="n">
        <f aca="false">IF(J4748&gt;0,K4748/J4748,0)</f>
        <v>0.188364205583094</v>
      </c>
    </row>
    <row r="4749" customFormat="false" ht="15" hidden="false" customHeight="false" outlineLevel="0" collapsed="false">
      <c r="A4749" s="15" t="s">
        <v>4806</v>
      </c>
      <c r="B4749" s="16" t="n">
        <v>44657</v>
      </c>
      <c r="C4749" s="15" t="s">
        <v>58</v>
      </c>
      <c r="D4749" s="15" t="s">
        <v>43</v>
      </c>
      <c r="E4749" s="15" t="s">
        <v>39</v>
      </c>
      <c r="F4749" s="15" t="s">
        <v>17</v>
      </c>
      <c r="G4749" s="15" t="s">
        <v>29</v>
      </c>
      <c r="H4749" s="15" t="n">
        <v>3</v>
      </c>
      <c r="I4749" s="17" t="n">
        <v>0</v>
      </c>
      <c r="J4749" s="18" t="n">
        <v>71.69</v>
      </c>
      <c r="K4749" s="19" t="n">
        <v>19.14</v>
      </c>
      <c r="L4749" s="15" t="n">
        <f aca="false">YEAR(B4749)</f>
        <v>2022</v>
      </c>
      <c r="M4749" s="20" t="n">
        <f aca="false">IF(J4749&gt;0,K4749/J4749,0)</f>
        <v>0.266982842795369</v>
      </c>
    </row>
    <row r="4750" customFormat="false" ht="15" hidden="false" customHeight="false" outlineLevel="0" collapsed="false">
      <c r="A4750" s="15" t="s">
        <v>4807</v>
      </c>
      <c r="B4750" s="16" t="n">
        <v>44825</v>
      </c>
      <c r="C4750" s="15" t="s">
        <v>56</v>
      </c>
      <c r="D4750" s="15" t="s">
        <v>42</v>
      </c>
      <c r="E4750" s="15" t="s">
        <v>36</v>
      </c>
      <c r="F4750" s="15" t="s">
        <v>17</v>
      </c>
      <c r="G4750" s="15" t="s">
        <v>26</v>
      </c>
      <c r="H4750" s="15" t="n">
        <v>8</v>
      </c>
      <c r="I4750" s="17" t="n">
        <v>0.15</v>
      </c>
      <c r="J4750" s="18" t="n">
        <v>588.8</v>
      </c>
      <c r="K4750" s="19" t="n">
        <v>-2.53</v>
      </c>
      <c r="L4750" s="15" t="n">
        <f aca="false">YEAR(B4750)</f>
        <v>2022</v>
      </c>
      <c r="M4750" s="20" t="n">
        <f aca="false">IF(J4750&gt;0,K4750/J4750,0)</f>
        <v>-0.004296875</v>
      </c>
    </row>
    <row r="4751" customFormat="false" ht="15" hidden="false" customHeight="false" outlineLevel="0" collapsed="false">
      <c r="A4751" s="15" t="s">
        <v>4808</v>
      </c>
      <c r="B4751" s="16" t="n">
        <v>45647</v>
      </c>
      <c r="C4751" s="15" t="s">
        <v>71</v>
      </c>
      <c r="D4751" s="15" t="s">
        <v>42</v>
      </c>
      <c r="E4751" s="15" t="s">
        <v>37</v>
      </c>
      <c r="F4751" s="15" t="s">
        <v>18</v>
      </c>
      <c r="G4751" s="15" t="s">
        <v>30</v>
      </c>
      <c r="H4751" s="15" t="n">
        <v>3</v>
      </c>
      <c r="I4751" s="17" t="n">
        <v>0.3</v>
      </c>
      <c r="J4751" s="18" t="n">
        <v>87.16</v>
      </c>
      <c r="K4751" s="19" t="n">
        <v>-4.39</v>
      </c>
      <c r="L4751" s="15" t="n">
        <f aca="false">YEAR(B4751)</f>
        <v>2024</v>
      </c>
      <c r="M4751" s="20" t="n">
        <f aca="false">IF(J4751&gt;0,K4751/J4751,0)</f>
        <v>-0.0503671408903167</v>
      </c>
    </row>
    <row r="4752" customFormat="false" ht="15" hidden="false" customHeight="false" outlineLevel="0" collapsed="false">
      <c r="A4752" s="15" t="s">
        <v>4809</v>
      </c>
      <c r="B4752" s="16" t="n">
        <v>45502</v>
      </c>
      <c r="C4752" s="15" t="s">
        <v>56</v>
      </c>
      <c r="D4752" s="15" t="s">
        <v>42</v>
      </c>
      <c r="E4752" s="15" t="s">
        <v>36</v>
      </c>
      <c r="F4752" s="15" t="s">
        <v>17</v>
      </c>
      <c r="G4752" s="15" t="s">
        <v>29</v>
      </c>
      <c r="H4752" s="15" t="n">
        <v>3</v>
      </c>
      <c r="I4752" s="17" t="n">
        <v>0</v>
      </c>
      <c r="J4752" s="18" t="n">
        <v>56.41</v>
      </c>
      <c r="K4752" s="19" t="n">
        <v>19.74</v>
      </c>
      <c r="L4752" s="15" t="n">
        <f aca="false">YEAR(B4752)</f>
        <v>2024</v>
      </c>
      <c r="M4752" s="20" t="n">
        <f aca="false">IF(J4752&gt;0,K4752/J4752,0)</f>
        <v>0.349937954263428</v>
      </c>
    </row>
    <row r="4753" customFormat="false" ht="15" hidden="false" customHeight="false" outlineLevel="0" collapsed="false">
      <c r="A4753" s="15" t="s">
        <v>4810</v>
      </c>
      <c r="B4753" s="16" t="n">
        <v>45585</v>
      </c>
      <c r="C4753" s="15" t="s">
        <v>71</v>
      </c>
      <c r="D4753" s="15" t="s">
        <v>42</v>
      </c>
      <c r="E4753" s="15" t="s">
        <v>37</v>
      </c>
      <c r="F4753" s="15" t="s">
        <v>17</v>
      </c>
      <c r="G4753" s="15" t="s">
        <v>29</v>
      </c>
      <c r="H4753" s="15" t="n">
        <v>5</v>
      </c>
      <c r="I4753" s="17" t="n">
        <v>0.15</v>
      </c>
      <c r="J4753" s="18" t="n">
        <v>79</v>
      </c>
      <c r="K4753" s="19" t="n">
        <v>22.6</v>
      </c>
      <c r="L4753" s="15" t="n">
        <f aca="false">YEAR(B4753)</f>
        <v>2024</v>
      </c>
      <c r="M4753" s="20" t="n">
        <f aca="false">IF(J4753&gt;0,K4753/J4753,0)</f>
        <v>0.286075949367089</v>
      </c>
    </row>
    <row r="4754" customFormat="false" ht="15" hidden="false" customHeight="false" outlineLevel="0" collapsed="false">
      <c r="A4754" s="15" t="s">
        <v>4811</v>
      </c>
      <c r="B4754" s="16" t="n">
        <v>45522</v>
      </c>
      <c r="C4754" s="15" t="s">
        <v>56</v>
      </c>
      <c r="D4754" s="15" t="s">
        <v>44</v>
      </c>
      <c r="E4754" s="15" t="s">
        <v>39</v>
      </c>
      <c r="F4754" s="15" t="s">
        <v>16</v>
      </c>
      <c r="G4754" s="15" t="s">
        <v>27</v>
      </c>
      <c r="H4754" s="15" t="n">
        <v>1</v>
      </c>
      <c r="I4754" s="17" t="n">
        <v>0.4</v>
      </c>
      <c r="J4754" s="18" t="n">
        <v>43.51</v>
      </c>
      <c r="K4754" s="19" t="n">
        <v>-7.71</v>
      </c>
      <c r="L4754" s="15" t="n">
        <f aca="false">YEAR(B4754)</f>
        <v>2024</v>
      </c>
      <c r="M4754" s="20" t="n">
        <f aca="false">IF(J4754&gt;0,K4754/J4754,0)</f>
        <v>-0.177200643530223</v>
      </c>
    </row>
    <row r="4755" customFormat="false" ht="15" hidden="false" customHeight="false" outlineLevel="0" collapsed="false">
      <c r="A4755" s="15" t="s">
        <v>4812</v>
      </c>
      <c r="B4755" s="16" t="n">
        <v>45751</v>
      </c>
      <c r="C4755" s="15" t="s">
        <v>56</v>
      </c>
      <c r="D4755" s="15" t="s">
        <v>43</v>
      </c>
      <c r="E4755" s="15" t="s">
        <v>39</v>
      </c>
      <c r="F4755" s="15" t="s">
        <v>16</v>
      </c>
      <c r="G4755" s="15" t="s">
        <v>23</v>
      </c>
      <c r="H4755" s="15" t="n">
        <v>3</v>
      </c>
      <c r="I4755" s="17" t="n">
        <v>0.1</v>
      </c>
      <c r="J4755" s="18" t="n">
        <v>1110.11</v>
      </c>
      <c r="K4755" s="19" t="n">
        <v>-29.09</v>
      </c>
      <c r="L4755" s="15" t="n">
        <f aca="false">YEAR(B4755)</f>
        <v>2025</v>
      </c>
      <c r="M4755" s="20" t="n">
        <f aca="false">IF(J4755&gt;0,K4755/J4755,0)</f>
        <v>-0.0262046103539289</v>
      </c>
    </row>
    <row r="4756" customFormat="false" ht="15" hidden="false" customHeight="false" outlineLevel="0" collapsed="false">
      <c r="A4756" s="15" t="s">
        <v>4813</v>
      </c>
      <c r="B4756" s="16" t="n">
        <v>45325</v>
      </c>
      <c r="C4756" s="15" t="s">
        <v>58</v>
      </c>
      <c r="D4756" s="15" t="s">
        <v>42</v>
      </c>
      <c r="E4756" s="15" t="s">
        <v>39</v>
      </c>
      <c r="F4756" s="15" t="s">
        <v>18</v>
      </c>
      <c r="G4756" s="15" t="s">
        <v>32</v>
      </c>
      <c r="H4756" s="15" t="n">
        <v>5</v>
      </c>
      <c r="I4756" s="17" t="n">
        <v>0</v>
      </c>
      <c r="J4756" s="18" t="n">
        <v>2478.58</v>
      </c>
      <c r="K4756" s="19" t="n">
        <v>249.55</v>
      </c>
      <c r="L4756" s="15" t="n">
        <f aca="false">YEAR(B4756)</f>
        <v>2024</v>
      </c>
      <c r="M4756" s="20" t="n">
        <f aca="false">IF(J4756&gt;0,K4756/J4756,0)</f>
        <v>0.100682648936084</v>
      </c>
    </row>
    <row r="4757" customFormat="false" ht="15" hidden="false" customHeight="false" outlineLevel="0" collapsed="false">
      <c r="A4757" s="15" t="s">
        <v>4814</v>
      </c>
      <c r="B4757" s="16" t="n">
        <v>45355</v>
      </c>
      <c r="C4757" s="15" t="s">
        <v>71</v>
      </c>
      <c r="D4757" s="15" t="s">
        <v>42</v>
      </c>
      <c r="E4757" s="15" t="s">
        <v>39</v>
      </c>
      <c r="F4757" s="15" t="s">
        <v>17</v>
      </c>
      <c r="G4757" s="15" t="s">
        <v>31</v>
      </c>
      <c r="H4757" s="15" t="n">
        <v>4</v>
      </c>
      <c r="I4757" s="17" t="n">
        <v>0.15</v>
      </c>
      <c r="J4757" s="18" t="n">
        <v>498.52</v>
      </c>
      <c r="K4757" s="19" t="n">
        <v>38.9</v>
      </c>
      <c r="L4757" s="15" t="n">
        <f aca="false">YEAR(B4757)</f>
        <v>2024</v>
      </c>
      <c r="M4757" s="20" t="n">
        <f aca="false">IF(J4757&gt;0,K4757/J4757,0)</f>
        <v>0.0780309716761614</v>
      </c>
    </row>
    <row r="4758" customFormat="false" ht="15" hidden="false" customHeight="false" outlineLevel="0" collapsed="false">
      <c r="A4758" s="15" t="s">
        <v>4815</v>
      </c>
      <c r="B4758" s="16" t="n">
        <v>45910</v>
      </c>
      <c r="C4758" s="15" t="s">
        <v>71</v>
      </c>
      <c r="D4758" s="15" t="s">
        <v>43</v>
      </c>
      <c r="E4758" s="15" t="s">
        <v>36</v>
      </c>
      <c r="F4758" s="15" t="s">
        <v>18</v>
      </c>
      <c r="G4758" s="15" t="s">
        <v>33</v>
      </c>
      <c r="H4758" s="15" t="n">
        <v>3</v>
      </c>
      <c r="I4758" s="17" t="n">
        <v>0.05</v>
      </c>
      <c r="J4758" s="18" t="n">
        <v>2554.61</v>
      </c>
      <c r="K4758" s="19" t="n">
        <v>487.66</v>
      </c>
      <c r="L4758" s="15" t="n">
        <f aca="false">YEAR(B4758)</f>
        <v>2025</v>
      </c>
      <c r="M4758" s="20" t="n">
        <f aca="false">IF(J4758&gt;0,K4758/J4758,0)</f>
        <v>0.19089410908123</v>
      </c>
    </row>
    <row r="4759" customFormat="false" ht="15" hidden="false" customHeight="false" outlineLevel="0" collapsed="false">
      <c r="A4759" s="15" t="s">
        <v>4816</v>
      </c>
      <c r="B4759" s="16" t="n">
        <v>45545</v>
      </c>
      <c r="C4759" s="15" t="s">
        <v>68</v>
      </c>
      <c r="D4759" s="15" t="s">
        <v>43</v>
      </c>
      <c r="E4759" s="15" t="s">
        <v>36</v>
      </c>
      <c r="F4759" s="15" t="s">
        <v>16</v>
      </c>
      <c r="G4759" s="15" t="s">
        <v>25</v>
      </c>
      <c r="H4759" s="15" t="n">
        <v>4</v>
      </c>
      <c r="I4759" s="17" t="n">
        <v>0</v>
      </c>
      <c r="J4759" s="18" t="n">
        <v>1043.66</v>
      </c>
      <c r="K4759" s="19" t="n">
        <v>107.52</v>
      </c>
      <c r="L4759" s="15" t="n">
        <f aca="false">YEAR(B4759)</f>
        <v>2024</v>
      </c>
      <c r="M4759" s="20" t="n">
        <f aca="false">IF(J4759&gt;0,K4759/J4759,0)</f>
        <v>0.103022056991741</v>
      </c>
    </row>
    <row r="4760" customFormat="false" ht="15" hidden="false" customHeight="false" outlineLevel="0" collapsed="false">
      <c r="A4760" s="15" t="s">
        <v>4817</v>
      </c>
      <c r="B4760" s="16" t="n">
        <v>44613</v>
      </c>
      <c r="C4760" s="15" t="s">
        <v>68</v>
      </c>
      <c r="D4760" s="15" t="s">
        <v>42</v>
      </c>
      <c r="E4760" s="15" t="s">
        <v>37</v>
      </c>
      <c r="F4760" s="15" t="s">
        <v>17</v>
      </c>
      <c r="G4760" s="15" t="s">
        <v>26</v>
      </c>
      <c r="H4760" s="15" t="n">
        <v>3</v>
      </c>
      <c r="I4760" s="17" t="n">
        <v>0</v>
      </c>
      <c r="J4760" s="18" t="n">
        <v>255.7</v>
      </c>
      <c r="K4760" s="19" t="n">
        <v>20.96</v>
      </c>
      <c r="L4760" s="15" t="n">
        <f aca="false">YEAR(B4760)</f>
        <v>2022</v>
      </c>
      <c r="M4760" s="20" t="n">
        <f aca="false">IF(J4760&gt;0,K4760/J4760,0)</f>
        <v>0.081971059835745</v>
      </c>
    </row>
    <row r="4761" customFormat="false" ht="15" hidden="false" customHeight="false" outlineLevel="0" collapsed="false">
      <c r="A4761" s="15" t="s">
        <v>4818</v>
      </c>
      <c r="B4761" s="16" t="n">
        <v>44940</v>
      </c>
      <c r="C4761" s="15" t="s">
        <v>68</v>
      </c>
      <c r="D4761" s="15" t="s">
        <v>42</v>
      </c>
      <c r="E4761" s="15" t="s">
        <v>39</v>
      </c>
      <c r="F4761" s="15" t="s">
        <v>17</v>
      </c>
      <c r="G4761" s="15" t="s">
        <v>28</v>
      </c>
      <c r="H4761" s="15" t="n">
        <v>4</v>
      </c>
      <c r="I4761" s="17" t="n">
        <v>0.2</v>
      </c>
      <c r="J4761" s="18" t="n">
        <v>72.87</v>
      </c>
      <c r="K4761" s="19" t="n">
        <v>3.21</v>
      </c>
      <c r="L4761" s="15" t="n">
        <f aca="false">YEAR(B4761)</f>
        <v>2023</v>
      </c>
      <c r="M4761" s="20" t="n">
        <f aca="false">IF(J4761&gt;0,K4761/J4761,0)</f>
        <v>0.0440510498147386</v>
      </c>
    </row>
    <row r="4762" customFormat="false" ht="15" hidden="false" customHeight="false" outlineLevel="0" collapsed="false">
      <c r="A4762" s="15" t="s">
        <v>4819</v>
      </c>
      <c r="B4762" s="16" t="n">
        <v>44817</v>
      </c>
      <c r="C4762" s="15" t="s">
        <v>56</v>
      </c>
      <c r="D4762" s="15" t="s">
        <v>44</v>
      </c>
      <c r="E4762" s="15" t="s">
        <v>39</v>
      </c>
      <c r="F4762" s="15" t="s">
        <v>18</v>
      </c>
      <c r="G4762" s="15" t="s">
        <v>24</v>
      </c>
      <c r="H4762" s="15" t="n">
        <v>2</v>
      </c>
      <c r="I4762" s="17" t="n">
        <v>0.1</v>
      </c>
      <c r="J4762" s="18" t="n">
        <v>1027.56</v>
      </c>
      <c r="K4762" s="19" t="n">
        <v>35.18</v>
      </c>
      <c r="L4762" s="15" t="n">
        <f aca="false">YEAR(B4762)</f>
        <v>2022</v>
      </c>
      <c r="M4762" s="20" t="n">
        <f aca="false">IF(J4762&gt;0,K4762/J4762,0)</f>
        <v>0.0342364436139982</v>
      </c>
    </row>
    <row r="4763" customFormat="false" ht="15" hidden="false" customHeight="false" outlineLevel="0" collapsed="false">
      <c r="A4763" s="15" t="s">
        <v>4820</v>
      </c>
      <c r="B4763" s="16" t="n">
        <v>45694</v>
      </c>
      <c r="C4763" s="15" t="s">
        <v>68</v>
      </c>
      <c r="D4763" s="15" t="s">
        <v>44</v>
      </c>
      <c r="E4763" s="15" t="s">
        <v>38</v>
      </c>
      <c r="F4763" s="15" t="s">
        <v>16</v>
      </c>
      <c r="G4763" s="15" t="s">
        <v>25</v>
      </c>
      <c r="H4763" s="15" t="n">
        <v>1</v>
      </c>
      <c r="I4763" s="17" t="n">
        <v>0</v>
      </c>
      <c r="J4763" s="18" t="n">
        <v>257.58</v>
      </c>
      <c r="K4763" s="19" t="n">
        <v>44.39</v>
      </c>
      <c r="L4763" s="15" t="n">
        <f aca="false">YEAR(B4763)</f>
        <v>2025</v>
      </c>
      <c r="M4763" s="20" t="n">
        <f aca="false">IF(J4763&gt;0,K4763/J4763,0)</f>
        <v>0.172334808603152</v>
      </c>
    </row>
    <row r="4764" customFormat="false" ht="15" hidden="false" customHeight="false" outlineLevel="0" collapsed="false">
      <c r="A4764" s="15" t="s">
        <v>4821</v>
      </c>
      <c r="B4764" s="16" t="n">
        <v>45221</v>
      </c>
      <c r="C4764" s="15" t="s">
        <v>56</v>
      </c>
      <c r="D4764" s="15" t="s">
        <v>43</v>
      </c>
      <c r="E4764" s="15" t="s">
        <v>37</v>
      </c>
      <c r="F4764" s="15" t="s">
        <v>17</v>
      </c>
      <c r="G4764" s="15" t="s">
        <v>29</v>
      </c>
      <c r="H4764" s="15" t="n">
        <v>5</v>
      </c>
      <c r="I4764" s="17" t="n">
        <v>0.2</v>
      </c>
      <c r="J4764" s="18" t="n">
        <v>57.43</v>
      </c>
      <c r="K4764" s="19" t="n">
        <v>13.33</v>
      </c>
      <c r="L4764" s="15" t="n">
        <f aca="false">YEAR(B4764)</f>
        <v>2023</v>
      </c>
      <c r="M4764" s="20" t="n">
        <f aca="false">IF(J4764&gt;0,K4764/J4764,0)</f>
        <v>0.232108654013582</v>
      </c>
    </row>
    <row r="4765" customFormat="false" ht="15" hidden="false" customHeight="false" outlineLevel="0" collapsed="false">
      <c r="A4765" s="15" t="s">
        <v>4822</v>
      </c>
      <c r="B4765" s="16" t="n">
        <v>44886</v>
      </c>
      <c r="C4765" s="15" t="s">
        <v>56</v>
      </c>
      <c r="D4765" s="15" t="s">
        <v>42</v>
      </c>
      <c r="E4765" s="15" t="s">
        <v>39</v>
      </c>
      <c r="F4765" s="15" t="s">
        <v>17</v>
      </c>
      <c r="G4765" s="15" t="s">
        <v>28</v>
      </c>
      <c r="H4765" s="15" t="n">
        <v>2</v>
      </c>
      <c r="I4765" s="17" t="n">
        <v>0</v>
      </c>
      <c r="J4765" s="18" t="n">
        <v>56.99</v>
      </c>
      <c r="K4765" s="19" t="n">
        <v>19.36</v>
      </c>
      <c r="L4765" s="15" t="n">
        <f aca="false">YEAR(B4765)</f>
        <v>2022</v>
      </c>
      <c r="M4765" s="20" t="n">
        <f aca="false">IF(J4765&gt;0,K4765/J4765,0)</f>
        <v>0.339708720828215</v>
      </c>
    </row>
    <row r="4766" customFormat="false" ht="15" hidden="false" customHeight="false" outlineLevel="0" collapsed="false">
      <c r="A4766" s="15" t="s">
        <v>4823</v>
      </c>
      <c r="B4766" s="16" t="n">
        <v>45024</v>
      </c>
      <c r="C4766" s="15" t="s">
        <v>56</v>
      </c>
      <c r="D4766" s="15" t="s">
        <v>44</v>
      </c>
      <c r="E4766" s="15" t="s">
        <v>37</v>
      </c>
      <c r="F4766" s="15" t="s">
        <v>18</v>
      </c>
      <c r="G4766" s="15" t="s">
        <v>30</v>
      </c>
      <c r="H4766" s="15" t="n">
        <v>3</v>
      </c>
      <c r="I4766" s="17" t="n">
        <v>0</v>
      </c>
      <c r="J4766" s="18" t="n">
        <v>126.58</v>
      </c>
      <c r="K4766" s="19" t="n">
        <v>36.91</v>
      </c>
      <c r="L4766" s="15" t="n">
        <f aca="false">YEAR(B4766)</f>
        <v>2023</v>
      </c>
      <c r="M4766" s="20" t="n">
        <f aca="false">IF(J4766&gt;0,K4766/J4766,0)</f>
        <v>0.291594248696477</v>
      </c>
    </row>
    <row r="4767" customFormat="false" ht="15" hidden="false" customHeight="false" outlineLevel="0" collapsed="false">
      <c r="A4767" s="15" t="s">
        <v>4824</v>
      </c>
      <c r="B4767" s="16" t="n">
        <v>45964</v>
      </c>
      <c r="C4767" s="15" t="s">
        <v>56</v>
      </c>
      <c r="D4767" s="15" t="s">
        <v>42</v>
      </c>
      <c r="E4767" s="15" t="s">
        <v>36</v>
      </c>
      <c r="F4767" s="15" t="s">
        <v>17</v>
      </c>
      <c r="G4767" s="15" t="s">
        <v>28</v>
      </c>
      <c r="H4767" s="15" t="n">
        <v>2</v>
      </c>
      <c r="I4767" s="17" t="n">
        <v>0</v>
      </c>
      <c r="J4767" s="18" t="n">
        <v>46.64</v>
      </c>
      <c r="K4767" s="19" t="n">
        <v>14.74</v>
      </c>
      <c r="L4767" s="15" t="n">
        <f aca="false">YEAR(B4767)</f>
        <v>2025</v>
      </c>
      <c r="M4767" s="20" t="n">
        <f aca="false">IF(J4767&gt;0,K4767/J4767,0)</f>
        <v>0.316037735849057</v>
      </c>
    </row>
    <row r="4768" customFormat="false" ht="15" hidden="false" customHeight="false" outlineLevel="0" collapsed="false">
      <c r="A4768" s="15" t="s">
        <v>4825</v>
      </c>
      <c r="B4768" s="16" t="n">
        <v>44864</v>
      </c>
      <c r="C4768" s="15" t="s">
        <v>56</v>
      </c>
      <c r="D4768" s="15" t="s">
        <v>42</v>
      </c>
      <c r="E4768" s="15" t="s">
        <v>39</v>
      </c>
      <c r="F4768" s="15" t="s">
        <v>17</v>
      </c>
      <c r="G4768" s="15" t="s">
        <v>29</v>
      </c>
      <c r="H4768" s="15" t="n">
        <v>7</v>
      </c>
      <c r="I4768" s="17" t="n">
        <v>0.1</v>
      </c>
      <c r="J4768" s="18" t="n">
        <v>115.14</v>
      </c>
      <c r="K4768" s="19" t="n">
        <v>37.13</v>
      </c>
      <c r="L4768" s="15" t="n">
        <f aca="false">YEAR(B4768)</f>
        <v>2022</v>
      </c>
      <c r="M4768" s="20" t="n">
        <f aca="false">IF(J4768&gt;0,K4768/J4768,0)</f>
        <v>0.322476984540559</v>
      </c>
    </row>
    <row r="4769" customFormat="false" ht="15" hidden="false" customHeight="false" outlineLevel="0" collapsed="false">
      <c r="A4769" s="15" t="s">
        <v>4826</v>
      </c>
      <c r="B4769" s="16" t="n">
        <v>45574</v>
      </c>
      <c r="C4769" s="15" t="s">
        <v>58</v>
      </c>
      <c r="D4769" s="15" t="s">
        <v>42</v>
      </c>
      <c r="E4769" s="15" t="s">
        <v>36</v>
      </c>
      <c r="F4769" s="15" t="s">
        <v>18</v>
      </c>
      <c r="G4769" s="15" t="s">
        <v>30</v>
      </c>
      <c r="H4769" s="15" t="n">
        <v>4</v>
      </c>
      <c r="I4769" s="17" t="n">
        <v>0.05</v>
      </c>
      <c r="J4769" s="18" t="n">
        <v>162.78</v>
      </c>
      <c r="K4769" s="19" t="n">
        <v>39.56</v>
      </c>
      <c r="L4769" s="15" t="n">
        <f aca="false">YEAR(B4769)</f>
        <v>2024</v>
      </c>
      <c r="M4769" s="20" t="n">
        <f aca="false">IF(J4769&gt;0,K4769/J4769,0)</f>
        <v>0.243027398943359</v>
      </c>
    </row>
    <row r="4770" customFormat="false" ht="15" hidden="false" customHeight="false" outlineLevel="0" collapsed="false">
      <c r="A4770" s="15" t="s">
        <v>4827</v>
      </c>
      <c r="B4770" s="16" t="n">
        <v>45538</v>
      </c>
      <c r="C4770" s="15" t="s">
        <v>68</v>
      </c>
      <c r="D4770" s="15" t="s">
        <v>44</v>
      </c>
      <c r="E4770" s="15" t="s">
        <v>38</v>
      </c>
      <c r="F4770" s="15" t="s">
        <v>18</v>
      </c>
      <c r="G4770" s="15" t="s">
        <v>32</v>
      </c>
      <c r="H4770" s="15" t="n">
        <v>5</v>
      </c>
      <c r="I4770" s="17" t="n">
        <v>0.3</v>
      </c>
      <c r="J4770" s="18" t="n">
        <v>1252.92</v>
      </c>
      <c r="K4770" s="19" t="n">
        <v>-188.17</v>
      </c>
      <c r="L4770" s="15" t="n">
        <f aca="false">YEAR(B4770)</f>
        <v>2024</v>
      </c>
      <c r="M4770" s="20" t="n">
        <f aca="false">IF(J4770&gt;0,K4770/J4770,0)</f>
        <v>-0.15018516744884</v>
      </c>
    </row>
    <row r="4771" customFormat="false" ht="15" hidden="false" customHeight="false" outlineLevel="0" collapsed="false">
      <c r="A4771" s="15" t="s">
        <v>4828</v>
      </c>
      <c r="B4771" s="16" t="n">
        <v>45659</v>
      </c>
      <c r="C4771" s="15" t="s">
        <v>56</v>
      </c>
      <c r="D4771" s="15" t="s">
        <v>43</v>
      </c>
      <c r="E4771" s="15" t="s">
        <v>36</v>
      </c>
      <c r="F4771" s="15" t="s">
        <v>18</v>
      </c>
      <c r="G4771" s="15" t="s">
        <v>30</v>
      </c>
      <c r="H4771" s="15" t="n">
        <v>3</v>
      </c>
      <c r="I4771" s="17" t="n">
        <v>0.1</v>
      </c>
      <c r="J4771" s="18" t="n">
        <v>130.92</v>
      </c>
      <c r="K4771" s="19" t="n">
        <v>29.89</v>
      </c>
      <c r="L4771" s="15" t="n">
        <f aca="false">YEAR(B4771)</f>
        <v>2025</v>
      </c>
      <c r="M4771" s="20" t="n">
        <f aca="false">IF(J4771&gt;0,K4771/J4771,0)</f>
        <v>0.228307363275283</v>
      </c>
    </row>
    <row r="4772" customFormat="false" ht="15" hidden="false" customHeight="false" outlineLevel="0" collapsed="false">
      <c r="A4772" s="15" t="s">
        <v>4829</v>
      </c>
      <c r="B4772" s="16" t="n">
        <v>45585</v>
      </c>
      <c r="C4772" s="15" t="s">
        <v>58</v>
      </c>
      <c r="D4772" s="15" t="s">
        <v>42</v>
      </c>
      <c r="E4772" s="15" t="s">
        <v>39</v>
      </c>
      <c r="F4772" s="15" t="s">
        <v>18</v>
      </c>
      <c r="G4772" s="15" t="s">
        <v>33</v>
      </c>
      <c r="H4772" s="15" t="n">
        <v>4</v>
      </c>
      <c r="I4772" s="17" t="n">
        <v>0.05</v>
      </c>
      <c r="J4772" s="18" t="n">
        <v>4006.78</v>
      </c>
      <c r="K4772" s="19" t="n">
        <v>848.53</v>
      </c>
      <c r="L4772" s="15" t="n">
        <f aca="false">YEAR(B4772)</f>
        <v>2024</v>
      </c>
      <c r="M4772" s="20" t="n">
        <f aca="false">IF(J4772&gt;0,K4772/J4772,0)</f>
        <v>0.211773543843186</v>
      </c>
    </row>
    <row r="4773" customFormat="false" ht="15" hidden="false" customHeight="false" outlineLevel="0" collapsed="false">
      <c r="A4773" s="15" t="s">
        <v>4830</v>
      </c>
      <c r="B4773" s="16" t="n">
        <v>44726</v>
      </c>
      <c r="C4773" s="15" t="s">
        <v>68</v>
      </c>
      <c r="D4773" s="15" t="s">
        <v>42</v>
      </c>
      <c r="E4773" s="15" t="s">
        <v>38</v>
      </c>
      <c r="F4773" s="15" t="s">
        <v>17</v>
      </c>
      <c r="G4773" s="15" t="s">
        <v>28</v>
      </c>
      <c r="H4773" s="15" t="n">
        <v>2</v>
      </c>
      <c r="I4773" s="17" t="n">
        <v>0.05</v>
      </c>
      <c r="J4773" s="18" t="n">
        <v>40.24</v>
      </c>
      <c r="K4773" s="19" t="n">
        <v>11</v>
      </c>
      <c r="L4773" s="15" t="n">
        <f aca="false">YEAR(B4773)</f>
        <v>2022</v>
      </c>
      <c r="M4773" s="20" t="n">
        <f aca="false">IF(J4773&gt;0,K4773/J4773,0)</f>
        <v>0.273359840954274</v>
      </c>
    </row>
    <row r="4774" customFormat="false" ht="15" hidden="false" customHeight="false" outlineLevel="0" collapsed="false">
      <c r="A4774" s="15" t="s">
        <v>4831</v>
      </c>
      <c r="B4774" s="16" t="n">
        <v>45638</v>
      </c>
      <c r="C4774" s="15" t="s">
        <v>56</v>
      </c>
      <c r="D4774" s="15" t="s">
        <v>42</v>
      </c>
      <c r="E4774" s="15" t="s">
        <v>37</v>
      </c>
      <c r="F4774" s="15" t="s">
        <v>16</v>
      </c>
      <c r="G4774" s="15" t="s">
        <v>23</v>
      </c>
      <c r="H4774" s="15" t="n">
        <v>5</v>
      </c>
      <c r="I4774" s="17" t="n">
        <v>0.15</v>
      </c>
      <c r="J4774" s="18" t="n">
        <v>1364.1</v>
      </c>
      <c r="K4774" s="19" t="n">
        <v>-158.9</v>
      </c>
      <c r="L4774" s="15" t="n">
        <f aca="false">YEAR(B4774)</f>
        <v>2024</v>
      </c>
      <c r="M4774" s="20" t="n">
        <f aca="false">IF(J4774&gt;0,K4774/J4774,0)</f>
        <v>-0.116487061065904</v>
      </c>
    </row>
    <row r="4775" customFormat="false" ht="15" hidden="false" customHeight="false" outlineLevel="0" collapsed="false">
      <c r="A4775" s="15" t="s">
        <v>4832</v>
      </c>
      <c r="B4775" s="16" t="n">
        <v>45254</v>
      </c>
      <c r="C4775" s="15" t="s">
        <v>56</v>
      </c>
      <c r="D4775" s="15" t="s">
        <v>42</v>
      </c>
      <c r="E4775" s="15" t="s">
        <v>39</v>
      </c>
      <c r="F4775" s="15" t="s">
        <v>18</v>
      </c>
      <c r="G4775" s="15" t="s">
        <v>33</v>
      </c>
      <c r="H4775" s="15" t="n">
        <v>4</v>
      </c>
      <c r="I4775" s="17" t="n">
        <v>0.1</v>
      </c>
      <c r="J4775" s="18" t="n">
        <v>3075.01</v>
      </c>
      <c r="K4775" s="19" t="n">
        <v>369.08</v>
      </c>
      <c r="L4775" s="15" t="n">
        <f aca="false">YEAR(B4775)</f>
        <v>2023</v>
      </c>
      <c r="M4775" s="20" t="n">
        <f aca="false">IF(J4775&gt;0,K4775/J4775,0)</f>
        <v>0.120025625932924</v>
      </c>
    </row>
    <row r="4776" customFormat="false" ht="15" hidden="false" customHeight="false" outlineLevel="0" collapsed="false">
      <c r="A4776" s="15" t="s">
        <v>4833</v>
      </c>
      <c r="B4776" s="16" t="n">
        <v>44902</v>
      </c>
      <c r="C4776" s="15" t="s">
        <v>71</v>
      </c>
      <c r="D4776" s="15" t="s">
        <v>43</v>
      </c>
      <c r="E4776" s="15" t="s">
        <v>38</v>
      </c>
      <c r="F4776" s="15" t="s">
        <v>17</v>
      </c>
      <c r="G4776" s="15" t="s">
        <v>29</v>
      </c>
      <c r="H4776" s="15" t="n">
        <v>3</v>
      </c>
      <c r="I4776" s="17" t="n">
        <v>0.4</v>
      </c>
      <c r="J4776" s="18" t="n">
        <v>31.94</v>
      </c>
      <c r="K4776" s="19" t="n">
        <v>-0.97</v>
      </c>
      <c r="L4776" s="15" t="n">
        <f aca="false">YEAR(B4776)</f>
        <v>2022</v>
      </c>
      <c r="M4776" s="20" t="n">
        <f aca="false">IF(J4776&gt;0,K4776/J4776,0)</f>
        <v>-0.030369442705072</v>
      </c>
    </row>
    <row r="4777" customFormat="false" ht="15" hidden="false" customHeight="false" outlineLevel="0" collapsed="false">
      <c r="A4777" s="15" t="s">
        <v>4834</v>
      </c>
      <c r="B4777" s="16" t="n">
        <v>44687</v>
      </c>
      <c r="C4777" s="15" t="s">
        <v>56</v>
      </c>
      <c r="D4777" s="15" t="s">
        <v>42</v>
      </c>
      <c r="E4777" s="15" t="s">
        <v>37</v>
      </c>
      <c r="F4777" s="15" t="s">
        <v>17</v>
      </c>
      <c r="G4777" s="15" t="s">
        <v>29</v>
      </c>
      <c r="H4777" s="15" t="n">
        <v>2</v>
      </c>
      <c r="I4777" s="17" t="n">
        <v>0.4</v>
      </c>
      <c r="J4777" s="18" t="n">
        <v>19.13</v>
      </c>
      <c r="K4777" s="19" t="n">
        <v>0.18</v>
      </c>
      <c r="L4777" s="15" t="n">
        <f aca="false">YEAR(B4777)</f>
        <v>2022</v>
      </c>
      <c r="M4777" s="20" t="n">
        <f aca="false">IF(J4777&gt;0,K4777/J4777,0)</f>
        <v>0.00940930475692629</v>
      </c>
    </row>
    <row r="4778" customFormat="false" ht="15" hidden="false" customHeight="false" outlineLevel="0" collapsed="false">
      <c r="A4778" s="15" t="s">
        <v>4835</v>
      </c>
      <c r="B4778" s="16" t="n">
        <v>44611</v>
      </c>
      <c r="C4778" s="15" t="s">
        <v>68</v>
      </c>
      <c r="D4778" s="15" t="s">
        <v>42</v>
      </c>
      <c r="E4778" s="15" t="s">
        <v>38</v>
      </c>
      <c r="F4778" s="15" t="s">
        <v>17</v>
      </c>
      <c r="G4778" s="15" t="s">
        <v>28</v>
      </c>
      <c r="H4778" s="15" t="n">
        <v>5</v>
      </c>
      <c r="I4778" s="17" t="n">
        <v>0</v>
      </c>
      <c r="J4778" s="18" t="n">
        <v>130.3</v>
      </c>
      <c r="K4778" s="19" t="n">
        <v>32.19</v>
      </c>
      <c r="L4778" s="15" t="n">
        <f aca="false">YEAR(B4778)</f>
        <v>2022</v>
      </c>
      <c r="M4778" s="20" t="n">
        <f aca="false">IF(J4778&gt;0,K4778/J4778,0)</f>
        <v>0.247045280122794</v>
      </c>
    </row>
    <row r="4779" customFormat="false" ht="15" hidden="false" customHeight="false" outlineLevel="0" collapsed="false">
      <c r="A4779" s="15" t="s">
        <v>4836</v>
      </c>
      <c r="B4779" s="16" t="n">
        <v>45736</v>
      </c>
      <c r="C4779" s="15" t="s">
        <v>71</v>
      </c>
      <c r="D4779" s="15" t="s">
        <v>43</v>
      </c>
      <c r="E4779" s="15" t="s">
        <v>39</v>
      </c>
      <c r="F4779" s="15" t="s">
        <v>17</v>
      </c>
      <c r="G4779" s="15" t="s">
        <v>29</v>
      </c>
      <c r="H4779" s="15" t="n">
        <v>1</v>
      </c>
      <c r="I4779" s="17" t="n">
        <v>0.05</v>
      </c>
      <c r="J4779" s="18" t="n">
        <v>19.7</v>
      </c>
      <c r="K4779" s="19" t="n">
        <v>7.67</v>
      </c>
      <c r="L4779" s="15" t="n">
        <f aca="false">YEAR(B4779)</f>
        <v>2025</v>
      </c>
      <c r="M4779" s="20" t="n">
        <f aca="false">IF(J4779&gt;0,K4779/J4779,0)</f>
        <v>0.389340101522843</v>
      </c>
    </row>
    <row r="4780" customFormat="false" ht="15" hidden="false" customHeight="false" outlineLevel="0" collapsed="false">
      <c r="A4780" s="15" t="s">
        <v>4837</v>
      </c>
      <c r="B4780" s="16" t="n">
        <v>44801</v>
      </c>
      <c r="C4780" s="15" t="s">
        <v>71</v>
      </c>
      <c r="D4780" s="15" t="s">
        <v>43</v>
      </c>
      <c r="E4780" s="15" t="s">
        <v>38</v>
      </c>
      <c r="F4780" s="15" t="s">
        <v>16</v>
      </c>
      <c r="G4780" s="15" t="s">
        <v>27</v>
      </c>
      <c r="H4780" s="15" t="n">
        <v>4</v>
      </c>
      <c r="I4780" s="17" t="n">
        <v>0.2</v>
      </c>
      <c r="J4780" s="18" t="n">
        <v>192.46</v>
      </c>
      <c r="K4780" s="19" t="n">
        <v>4.44</v>
      </c>
      <c r="L4780" s="15" t="n">
        <f aca="false">YEAR(B4780)</f>
        <v>2022</v>
      </c>
      <c r="M4780" s="20" t="n">
        <f aca="false">IF(J4780&gt;0,K4780/J4780,0)</f>
        <v>0.0230697287748104</v>
      </c>
    </row>
    <row r="4781" customFormat="false" ht="15" hidden="false" customHeight="false" outlineLevel="0" collapsed="false">
      <c r="A4781" s="15" t="s">
        <v>4838</v>
      </c>
      <c r="B4781" s="16" t="n">
        <v>46017</v>
      </c>
      <c r="C4781" s="15" t="s">
        <v>68</v>
      </c>
      <c r="D4781" s="15" t="s">
        <v>43</v>
      </c>
      <c r="E4781" s="15" t="s">
        <v>36</v>
      </c>
      <c r="F4781" s="15" t="s">
        <v>17</v>
      </c>
      <c r="G4781" s="15" t="s">
        <v>29</v>
      </c>
      <c r="H4781" s="15" t="n">
        <v>7</v>
      </c>
      <c r="I4781" s="17" t="n">
        <v>0.1</v>
      </c>
      <c r="J4781" s="18" t="n">
        <v>113.04</v>
      </c>
      <c r="K4781" s="19" t="n">
        <v>30.26</v>
      </c>
      <c r="L4781" s="15" t="n">
        <f aca="false">YEAR(B4781)</f>
        <v>2025</v>
      </c>
      <c r="M4781" s="20" t="n">
        <f aca="false">IF(J4781&gt;0,K4781/J4781,0)</f>
        <v>0.267692852087757</v>
      </c>
    </row>
    <row r="4782" customFormat="false" ht="15" hidden="false" customHeight="false" outlineLevel="0" collapsed="false">
      <c r="A4782" s="15" t="s">
        <v>4839</v>
      </c>
      <c r="B4782" s="16" t="n">
        <v>45960</v>
      </c>
      <c r="C4782" s="15" t="s">
        <v>71</v>
      </c>
      <c r="D4782" s="15" t="s">
        <v>43</v>
      </c>
      <c r="E4782" s="15" t="s">
        <v>37</v>
      </c>
      <c r="F4782" s="15" t="s">
        <v>17</v>
      </c>
      <c r="G4782" s="15" t="s">
        <v>31</v>
      </c>
      <c r="H4782" s="15" t="n">
        <v>5</v>
      </c>
      <c r="I4782" s="17" t="n">
        <v>0.15</v>
      </c>
      <c r="J4782" s="18" t="n">
        <v>640.07</v>
      </c>
      <c r="K4782" s="19" t="n">
        <v>46.52</v>
      </c>
      <c r="L4782" s="15" t="n">
        <f aca="false">YEAR(B4782)</f>
        <v>2025</v>
      </c>
      <c r="M4782" s="20" t="n">
        <f aca="false">IF(J4782&gt;0,K4782/J4782,0)</f>
        <v>0.072679550674145</v>
      </c>
    </row>
    <row r="4783" customFormat="false" ht="15" hidden="false" customHeight="false" outlineLevel="0" collapsed="false">
      <c r="A4783" s="15" t="s">
        <v>4840</v>
      </c>
      <c r="B4783" s="16" t="n">
        <v>45234</v>
      </c>
      <c r="C4783" s="15" t="s">
        <v>71</v>
      </c>
      <c r="D4783" s="15" t="s">
        <v>42</v>
      </c>
      <c r="E4783" s="15" t="s">
        <v>39</v>
      </c>
      <c r="F4783" s="15" t="s">
        <v>17</v>
      </c>
      <c r="G4783" s="15" t="s">
        <v>29</v>
      </c>
      <c r="H4783" s="15" t="n">
        <v>5</v>
      </c>
      <c r="I4783" s="17" t="n">
        <v>0.2</v>
      </c>
      <c r="J4783" s="18" t="n">
        <v>85.51</v>
      </c>
      <c r="K4783" s="19" t="n">
        <v>20.95</v>
      </c>
      <c r="L4783" s="15" t="n">
        <f aca="false">YEAR(B4783)</f>
        <v>2023</v>
      </c>
      <c r="M4783" s="20" t="n">
        <f aca="false">IF(J4783&gt;0,K4783/J4783,0)</f>
        <v>0.245000584726933</v>
      </c>
    </row>
    <row r="4784" customFormat="false" ht="15" hidden="false" customHeight="false" outlineLevel="0" collapsed="false">
      <c r="A4784" s="15" t="s">
        <v>4841</v>
      </c>
      <c r="B4784" s="16" t="n">
        <v>45735</v>
      </c>
      <c r="C4784" s="15" t="s">
        <v>68</v>
      </c>
      <c r="D4784" s="15" t="s">
        <v>42</v>
      </c>
      <c r="E4784" s="15" t="s">
        <v>39</v>
      </c>
      <c r="F4784" s="15" t="s">
        <v>17</v>
      </c>
      <c r="G4784" s="15" t="s">
        <v>29</v>
      </c>
      <c r="H4784" s="15" t="n">
        <v>3</v>
      </c>
      <c r="I4784" s="17" t="n">
        <v>0.1</v>
      </c>
      <c r="J4784" s="18" t="n">
        <v>55.74</v>
      </c>
      <c r="K4784" s="19" t="n">
        <v>17.05</v>
      </c>
      <c r="L4784" s="15" t="n">
        <f aca="false">YEAR(B4784)</f>
        <v>2025</v>
      </c>
      <c r="M4784" s="20" t="n">
        <f aca="false">IF(J4784&gt;0,K4784/J4784,0)</f>
        <v>0.305884463580911</v>
      </c>
    </row>
    <row r="4785" customFormat="false" ht="15" hidden="false" customHeight="false" outlineLevel="0" collapsed="false">
      <c r="A4785" s="15" t="s">
        <v>4842</v>
      </c>
      <c r="B4785" s="16" t="n">
        <v>46007</v>
      </c>
      <c r="C4785" s="15" t="s">
        <v>56</v>
      </c>
      <c r="D4785" s="15" t="s">
        <v>44</v>
      </c>
      <c r="E4785" s="15" t="s">
        <v>36</v>
      </c>
      <c r="F4785" s="15" t="s">
        <v>17</v>
      </c>
      <c r="G4785" s="15" t="s">
        <v>29</v>
      </c>
      <c r="H4785" s="15" t="n">
        <v>3</v>
      </c>
      <c r="I4785" s="17" t="n">
        <v>0.4</v>
      </c>
      <c r="J4785" s="18" t="n">
        <v>32.27</v>
      </c>
      <c r="K4785" s="19" t="n">
        <v>-0.21</v>
      </c>
      <c r="L4785" s="15" t="n">
        <f aca="false">YEAR(B4785)</f>
        <v>2025</v>
      </c>
      <c r="M4785" s="20" t="n">
        <f aca="false">IF(J4785&gt;0,K4785/J4785,0)</f>
        <v>-0.00650759219088937</v>
      </c>
    </row>
    <row r="4786" customFormat="false" ht="15" hidden="false" customHeight="false" outlineLevel="0" collapsed="false">
      <c r="A4786" s="15" t="s">
        <v>4843</v>
      </c>
      <c r="B4786" s="16" t="n">
        <v>45069</v>
      </c>
      <c r="C4786" s="15" t="s">
        <v>56</v>
      </c>
      <c r="D4786" s="15" t="s">
        <v>43</v>
      </c>
      <c r="E4786" s="15" t="s">
        <v>37</v>
      </c>
      <c r="F4786" s="15" t="s">
        <v>17</v>
      </c>
      <c r="G4786" s="15" t="s">
        <v>28</v>
      </c>
      <c r="H4786" s="15" t="n">
        <v>5</v>
      </c>
      <c r="I4786" s="17" t="n">
        <v>0.2</v>
      </c>
      <c r="J4786" s="18" t="n">
        <v>104.97</v>
      </c>
      <c r="K4786" s="19" t="n">
        <v>12.2</v>
      </c>
      <c r="L4786" s="15" t="n">
        <f aca="false">YEAR(B4786)</f>
        <v>2023</v>
      </c>
      <c r="M4786" s="20" t="n">
        <f aca="false">IF(J4786&gt;0,K4786/J4786,0)</f>
        <v>0.116223682957035</v>
      </c>
    </row>
    <row r="4787" customFormat="false" ht="15" hidden="false" customHeight="false" outlineLevel="0" collapsed="false">
      <c r="A4787" s="15" t="s">
        <v>4844</v>
      </c>
      <c r="B4787" s="16" t="n">
        <v>44818</v>
      </c>
      <c r="C4787" s="15" t="s">
        <v>71</v>
      </c>
      <c r="D4787" s="15" t="s">
        <v>42</v>
      </c>
      <c r="E4787" s="15" t="s">
        <v>39</v>
      </c>
      <c r="F4787" s="15" t="s">
        <v>17</v>
      </c>
      <c r="G4787" s="15" t="s">
        <v>29</v>
      </c>
      <c r="H4787" s="15" t="n">
        <v>2</v>
      </c>
      <c r="I4787" s="17" t="n">
        <v>0.2</v>
      </c>
      <c r="J4787" s="18" t="n">
        <v>29.06</v>
      </c>
      <c r="K4787" s="19" t="n">
        <v>4.37</v>
      </c>
      <c r="L4787" s="15" t="n">
        <f aca="false">YEAR(B4787)</f>
        <v>2022</v>
      </c>
      <c r="M4787" s="20" t="n">
        <f aca="false">IF(J4787&gt;0,K4787/J4787,0)</f>
        <v>0.150378527185134</v>
      </c>
    </row>
    <row r="4788" customFormat="false" ht="15" hidden="false" customHeight="false" outlineLevel="0" collapsed="false">
      <c r="A4788" s="15" t="s">
        <v>4845</v>
      </c>
      <c r="B4788" s="16" t="n">
        <v>45278</v>
      </c>
      <c r="C4788" s="15" t="s">
        <v>71</v>
      </c>
      <c r="D4788" s="15" t="s">
        <v>43</v>
      </c>
      <c r="E4788" s="15" t="s">
        <v>38</v>
      </c>
      <c r="F4788" s="15" t="s">
        <v>16</v>
      </c>
      <c r="G4788" s="15" t="s">
        <v>27</v>
      </c>
      <c r="H4788" s="15" t="n">
        <v>6</v>
      </c>
      <c r="I4788" s="17" t="n">
        <v>0.1</v>
      </c>
      <c r="J4788" s="18" t="n">
        <v>303.98</v>
      </c>
      <c r="K4788" s="19" t="n">
        <v>54.64</v>
      </c>
      <c r="L4788" s="15" t="n">
        <f aca="false">YEAR(B4788)</f>
        <v>2023</v>
      </c>
      <c r="M4788" s="20" t="n">
        <f aca="false">IF(J4788&gt;0,K4788/J4788,0)</f>
        <v>0.179748667675505</v>
      </c>
    </row>
    <row r="4789" customFormat="false" ht="15" hidden="false" customHeight="false" outlineLevel="0" collapsed="false">
      <c r="A4789" s="15" t="s">
        <v>4846</v>
      </c>
      <c r="B4789" s="16" t="n">
        <v>45638</v>
      </c>
      <c r="C4789" s="15" t="s">
        <v>68</v>
      </c>
      <c r="D4789" s="15" t="s">
        <v>42</v>
      </c>
      <c r="E4789" s="15" t="s">
        <v>39</v>
      </c>
      <c r="F4789" s="15" t="s">
        <v>18</v>
      </c>
      <c r="G4789" s="15" t="s">
        <v>33</v>
      </c>
      <c r="H4789" s="15" t="n">
        <v>3</v>
      </c>
      <c r="I4789" s="17" t="n">
        <v>0</v>
      </c>
      <c r="J4789" s="18" t="n">
        <v>2745.26</v>
      </c>
      <c r="K4789" s="19" t="n">
        <v>763</v>
      </c>
      <c r="L4789" s="15" t="n">
        <f aca="false">YEAR(B4789)</f>
        <v>2024</v>
      </c>
      <c r="M4789" s="20" t="n">
        <f aca="false">IF(J4789&gt;0,K4789/J4789,0)</f>
        <v>0.277933601917487</v>
      </c>
    </row>
    <row r="4790" customFormat="false" ht="15" hidden="false" customHeight="false" outlineLevel="0" collapsed="false">
      <c r="A4790" s="15" t="s">
        <v>4847</v>
      </c>
      <c r="B4790" s="16" t="n">
        <v>44915</v>
      </c>
      <c r="C4790" s="15" t="s">
        <v>56</v>
      </c>
      <c r="D4790" s="15" t="s">
        <v>42</v>
      </c>
      <c r="E4790" s="15" t="s">
        <v>39</v>
      </c>
      <c r="F4790" s="15" t="s">
        <v>17</v>
      </c>
      <c r="G4790" s="15" t="s">
        <v>29</v>
      </c>
      <c r="H4790" s="15" t="n">
        <v>4</v>
      </c>
      <c r="I4790" s="17" t="n">
        <v>0</v>
      </c>
      <c r="J4790" s="18" t="n">
        <v>81.82</v>
      </c>
      <c r="K4790" s="19" t="n">
        <v>26.66</v>
      </c>
      <c r="L4790" s="15" t="n">
        <f aca="false">YEAR(B4790)</f>
        <v>2022</v>
      </c>
      <c r="M4790" s="20" t="n">
        <f aca="false">IF(J4790&gt;0,K4790/J4790,0)</f>
        <v>0.325837203617697</v>
      </c>
    </row>
    <row r="4791" customFormat="false" ht="15" hidden="false" customHeight="false" outlineLevel="0" collapsed="false">
      <c r="A4791" s="15" t="s">
        <v>4848</v>
      </c>
      <c r="B4791" s="16" t="n">
        <v>45573</v>
      </c>
      <c r="C4791" s="15" t="s">
        <v>56</v>
      </c>
      <c r="D4791" s="15" t="s">
        <v>43</v>
      </c>
      <c r="E4791" s="15" t="s">
        <v>37</v>
      </c>
      <c r="F4791" s="15" t="s">
        <v>16</v>
      </c>
      <c r="G4791" s="15" t="s">
        <v>25</v>
      </c>
      <c r="H4791" s="15" t="n">
        <v>3</v>
      </c>
      <c r="I4791" s="17" t="n">
        <v>0</v>
      </c>
      <c r="J4791" s="18" t="n">
        <v>995.88</v>
      </c>
      <c r="K4791" s="19" t="n">
        <v>108.71</v>
      </c>
      <c r="L4791" s="15" t="n">
        <f aca="false">YEAR(B4791)</f>
        <v>2024</v>
      </c>
      <c r="M4791" s="20" t="n">
        <f aca="false">IF(J4791&gt;0,K4791/J4791,0)</f>
        <v>0.109159738121059</v>
      </c>
    </row>
    <row r="4792" customFormat="false" ht="15" hidden="false" customHeight="false" outlineLevel="0" collapsed="false">
      <c r="A4792" s="15" t="s">
        <v>4849</v>
      </c>
      <c r="B4792" s="16" t="n">
        <v>45141</v>
      </c>
      <c r="C4792" s="15" t="s">
        <v>56</v>
      </c>
      <c r="D4792" s="15" t="s">
        <v>43</v>
      </c>
      <c r="E4792" s="15" t="s">
        <v>38</v>
      </c>
      <c r="F4792" s="15" t="s">
        <v>17</v>
      </c>
      <c r="G4792" s="15" t="s">
        <v>29</v>
      </c>
      <c r="H4792" s="15" t="n">
        <v>5</v>
      </c>
      <c r="I4792" s="17" t="n">
        <v>0.1</v>
      </c>
      <c r="J4792" s="18" t="n">
        <v>77.99</v>
      </c>
      <c r="K4792" s="19" t="n">
        <v>20.91</v>
      </c>
      <c r="L4792" s="15" t="n">
        <f aca="false">YEAR(B4792)</f>
        <v>2023</v>
      </c>
      <c r="M4792" s="20" t="n">
        <f aca="false">IF(J4792&gt;0,K4792/J4792,0)</f>
        <v>0.268111296320041</v>
      </c>
    </row>
    <row r="4793" customFormat="false" ht="15" hidden="false" customHeight="false" outlineLevel="0" collapsed="false">
      <c r="A4793" s="15" t="s">
        <v>4850</v>
      </c>
      <c r="B4793" s="16" t="n">
        <v>45687</v>
      </c>
      <c r="C4793" s="15" t="s">
        <v>68</v>
      </c>
      <c r="D4793" s="15" t="s">
        <v>43</v>
      </c>
      <c r="E4793" s="15" t="s">
        <v>37</v>
      </c>
      <c r="F4793" s="15" t="s">
        <v>17</v>
      </c>
      <c r="G4793" s="15" t="s">
        <v>31</v>
      </c>
      <c r="H4793" s="15" t="n">
        <v>2</v>
      </c>
      <c r="I4793" s="17" t="n">
        <v>0</v>
      </c>
      <c r="J4793" s="18" t="n">
        <v>243.66</v>
      </c>
      <c r="K4793" s="19" t="n">
        <v>51.65</v>
      </c>
      <c r="L4793" s="15" t="n">
        <f aca="false">YEAR(B4793)</f>
        <v>2025</v>
      </c>
      <c r="M4793" s="20" t="n">
        <f aca="false">IF(J4793&gt;0,K4793/J4793,0)</f>
        <v>0.211975703849627</v>
      </c>
    </row>
    <row r="4794" customFormat="false" ht="15" hidden="false" customHeight="false" outlineLevel="0" collapsed="false">
      <c r="A4794" s="15" t="s">
        <v>4851</v>
      </c>
      <c r="B4794" s="16" t="n">
        <v>44607</v>
      </c>
      <c r="C4794" s="15" t="s">
        <v>56</v>
      </c>
      <c r="D4794" s="15" t="s">
        <v>42</v>
      </c>
      <c r="E4794" s="15" t="s">
        <v>39</v>
      </c>
      <c r="F4794" s="15" t="s">
        <v>17</v>
      </c>
      <c r="G4794" s="15" t="s">
        <v>28</v>
      </c>
      <c r="H4794" s="15" t="n">
        <v>5</v>
      </c>
      <c r="I4794" s="17" t="n">
        <v>0</v>
      </c>
      <c r="J4794" s="18" t="n">
        <v>116.22</v>
      </c>
      <c r="K4794" s="19" t="n">
        <v>35.01</v>
      </c>
      <c r="L4794" s="15" t="n">
        <f aca="false">YEAR(B4794)</f>
        <v>2022</v>
      </c>
      <c r="M4794" s="20" t="n">
        <f aca="false">IF(J4794&gt;0,K4794/J4794,0)</f>
        <v>0.301239029426949</v>
      </c>
    </row>
    <row r="4795" customFormat="false" ht="15" hidden="false" customHeight="false" outlineLevel="0" collapsed="false">
      <c r="A4795" s="15" t="s">
        <v>4852</v>
      </c>
      <c r="B4795" s="16" t="n">
        <v>45282</v>
      </c>
      <c r="C4795" s="15" t="s">
        <v>56</v>
      </c>
      <c r="D4795" s="15" t="s">
        <v>42</v>
      </c>
      <c r="E4795" s="15" t="s">
        <v>37</v>
      </c>
      <c r="F4795" s="15" t="s">
        <v>17</v>
      </c>
      <c r="G4795" s="15" t="s">
        <v>29</v>
      </c>
      <c r="H4795" s="15" t="n">
        <v>3</v>
      </c>
      <c r="I4795" s="17" t="n">
        <v>0</v>
      </c>
      <c r="J4795" s="18" t="n">
        <v>72.8</v>
      </c>
      <c r="K4795" s="19" t="n">
        <v>26.22</v>
      </c>
      <c r="L4795" s="15" t="n">
        <f aca="false">YEAR(B4795)</f>
        <v>2023</v>
      </c>
      <c r="M4795" s="20" t="n">
        <f aca="false">IF(J4795&gt;0,K4795/J4795,0)</f>
        <v>0.360164835164835</v>
      </c>
    </row>
    <row r="4796" customFormat="false" ht="15" hidden="false" customHeight="false" outlineLevel="0" collapsed="false">
      <c r="A4796" s="15" t="s">
        <v>4853</v>
      </c>
      <c r="B4796" s="16" t="n">
        <v>45945</v>
      </c>
      <c r="C4796" s="15" t="s">
        <v>56</v>
      </c>
      <c r="D4796" s="15" t="s">
        <v>43</v>
      </c>
      <c r="E4796" s="15" t="s">
        <v>39</v>
      </c>
      <c r="F4796" s="15" t="s">
        <v>17</v>
      </c>
      <c r="G4796" s="15" t="s">
        <v>26</v>
      </c>
      <c r="H4796" s="15" t="n">
        <v>3</v>
      </c>
      <c r="I4796" s="17" t="n">
        <v>0.15</v>
      </c>
      <c r="J4796" s="18" t="n">
        <v>271.98</v>
      </c>
      <c r="K4796" s="19" t="n">
        <v>-2.09</v>
      </c>
      <c r="L4796" s="15" t="n">
        <f aca="false">YEAR(B4796)</f>
        <v>2025</v>
      </c>
      <c r="M4796" s="20" t="n">
        <f aca="false">IF(J4796&gt;0,K4796/J4796,0)</f>
        <v>-0.0076843885579822</v>
      </c>
    </row>
    <row r="4797" customFormat="false" ht="15" hidden="false" customHeight="false" outlineLevel="0" collapsed="false">
      <c r="A4797" s="15" t="s">
        <v>4854</v>
      </c>
      <c r="B4797" s="16" t="n">
        <v>45072</v>
      </c>
      <c r="C4797" s="15" t="s">
        <v>56</v>
      </c>
      <c r="D4797" s="15" t="s">
        <v>42</v>
      </c>
      <c r="E4797" s="15" t="s">
        <v>37</v>
      </c>
      <c r="F4797" s="15" t="s">
        <v>17</v>
      </c>
      <c r="G4797" s="15" t="s">
        <v>28</v>
      </c>
      <c r="H4797" s="15" t="n">
        <v>4</v>
      </c>
      <c r="I4797" s="17" t="n">
        <v>0.5</v>
      </c>
      <c r="J4797" s="18" t="n">
        <v>49.67</v>
      </c>
      <c r="K4797" s="19" t="n">
        <v>-8.45</v>
      </c>
      <c r="L4797" s="15" t="n">
        <f aca="false">YEAR(B4797)</f>
        <v>2023</v>
      </c>
      <c r="M4797" s="20" t="n">
        <f aca="false">IF(J4797&gt;0,K4797/J4797,0)</f>
        <v>-0.170122810549628</v>
      </c>
    </row>
    <row r="4798" customFormat="false" ht="15" hidden="false" customHeight="false" outlineLevel="0" collapsed="false">
      <c r="A4798" s="15" t="s">
        <v>4855</v>
      </c>
      <c r="B4798" s="16" t="n">
        <v>45113</v>
      </c>
      <c r="C4798" s="15" t="s">
        <v>56</v>
      </c>
      <c r="D4798" s="15" t="s">
        <v>43</v>
      </c>
      <c r="E4798" s="15" t="s">
        <v>38</v>
      </c>
      <c r="F4798" s="15" t="s">
        <v>17</v>
      </c>
      <c r="G4798" s="15" t="s">
        <v>29</v>
      </c>
      <c r="H4798" s="15" t="n">
        <v>3</v>
      </c>
      <c r="I4798" s="17" t="n">
        <v>0</v>
      </c>
      <c r="J4798" s="18" t="n">
        <v>43.57</v>
      </c>
      <c r="K4798" s="19" t="n">
        <v>12.86</v>
      </c>
      <c r="L4798" s="15" t="n">
        <f aca="false">YEAR(B4798)</f>
        <v>2023</v>
      </c>
      <c r="M4798" s="20" t="n">
        <f aca="false">IF(J4798&gt;0,K4798/J4798,0)</f>
        <v>0.295157218269451</v>
      </c>
    </row>
    <row r="4799" customFormat="false" ht="15" hidden="false" customHeight="false" outlineLevel="0" collapsed="false">
      <c r="A4799" s="15" t="s">
        <v>4856</v>
      </c>
      <c r="B4799" s="16" t="n">
        <v>45471</v>
      </c>
      <c r="C4799" s="15" t="s">
        <v>56</v>
      </c>
      <c r="D4799" s="15" t="s">
        <v>42</v>
      </c>
      <c r="E4799" s="15" t="s">
        <v>37</v>
      </c>
      <c r="F4799" s="15" t="s">
        <v>17</v>
      </c>
      <c r="G4799" s="15" t="s">
        <v>29</v>
      </c>
      <c r="H4799" s="15" t="n">
        <v>3</v>
      </c>
      <c r="I4799" s="17" t="n">
        <v>0</v>
      </c>
      <c r="J4799" s="18" t="n">
        <v>56.68</v>
      </c>
      <c r="K4799" s="19" t="n">
        <v>19.79</v>
      </c>
      <c r="L4799" s="15" t="n">
        <f aca="false">YEAR(B4799)</f>
        <v>2024</v>
      </c>
      <c r="M4799" s="20" t="n">
        <f aca="false">IF(J4799&gt;0,K4799/J4799,0)</f>
        <v>0.349153140437544</v>
      </c>
    </row>
    <row r="4800" customFormat="false" ht="15" hidden="false" customHeight="false" outlineLevel="0" collapsed="false">
      <c r="A4800" s="15" t="s">
        <v>4857</v>
      </c>
      <c r="B4800" s="16" t="n">
        <v>45242</v>
      </c>
      <c r="C4800" s="15" t="s">
        <v>68</v>
      </c>
      <c r="D4800" s="15" t="s">
        <v>43</v>
      </c>
      <c r="E4800" s="15" t="s">
        <v>36</v>
      </c>
      <c r="F4800" s="15" t="s">
        <v>16</v>
      </c>
      <c r="G4800" s="15" t="s">
        <v>23</v>
      </c>
      <c r="H4800" s="15" t="n">
        <v>3</v>
      </c>
      <c r="I4800" s="17" t="n">
        <v>0</v>
      </c>
      <c r="J4800" s="18" t="n">
        <v>892.11</v>
      </c>
      <c r="K4800" s="19" t="n">
        <v>44.04</v>
      </c>
      <c r="L4800" s="15" t="n">
        <f aca="false">YEAR(B4800)</f>
        <v>2023</v>
      </c>
      <c r="M4800" s="20" t="n">
        <f aca="false">IF(J4800&gt;0,K4800/J4800,0)</f>
        <v>0.0493661095604802</v>
      </c>
    </row>
    <row r="4801" customFormat="false" ht="15" hidden="false" customHeight="false" outlineLevel="0" collapsed="false">
      <c r="A4801" s="15" t="s">
        <v>4858</v>
      </c>
      <c r="B4801" s="16" t="n">
        <v>45262</v>
      </c>
      <c r="C4801" s="15" t="s">
        <v>56</v>
      </c>
      <c r="D4801" s="15" t="s">
        <v>42</v>
      </c>
      <c r="E4801" s="15" t="s">
        <v>39</v>
      </c>
      <c r="F4801" s="15" t="s">
        <v>18</v>
      </c>
      <c r="G4801" s="15" t="s">
        <v>32</v>
      </c>
      <c r="H4801" s="15" t="n">
        <v>4</v>
      </c>
      <c r="I4801" s="17" t="n">
        <v>0</v>
      </c>
      <c r="J4801" s="18" t="n">
        <v>1492.7</v>
      </c>
      <c r="K4801" s="19" t="n">
        <v>251.96</v>
      </c>
      <c r="L4801" s="15" t="n">
        <f aca="false">YEAR(B4801)</f>
        <v>2023</v>
      </c>
      <c r="M4801" s="20" t="n">
        <f aca="false">IF(J4801&gt;0,K4801/J4801,0)</f>
        <v>0.168794801366651</v>
      </c>
    </row>
    <row r="4802" customFormat="false" ht="15" hidden="false" customHeight="false" outlineLevel="0" collapsed="false">
      <c r="A4802" s="15" t="s">
        <v>4859</v>
      </c>
      <c r="B4802" s="16" t="n">
        <v>45539</v>
      </c>
      <c r="C4802" s="15" t="s">
        <v>68</v>
      </c>
      <c r="D4802" s="15" t="s">
        <v>43</v>
      </c>
      <c r="E4802" s="15" t="s">
        <v>37</v>
      </c>
      <c r="F4802" s="15" t="s">
        <v>18</v>
      </c>
      <c r="G4802" s="15" t="s">
        <v>33</v>
      </c>
      <c r="H4802" s="15" t="n">
        <v>3</v>
      </c>
      <c r="I4802" s="17" t="n">
        <v>0</v>
      </c>
      <c r="J4802" s="18" t="n">
        <v>3535.27</v>
      </c>
      <c r="K4802" s="19" t="n">
        <v>880.56</v>
      </c>
      <c r="L4802" s="15" t="n">
        <f aca="false">YEAR(B4802)</f>
        <v>2024</v>
      </c>
      <c r="M4802" s="20" t="n">
        <f aca="false">IF(J4802&gt;0,K4802/J4802,0)</f>
        <v>0.249078571085094</v>
      </c>
    </row>
    <row r="4803" customFormat="false" ht="15" hidden="false" customHeight="false" outlineLevel="0" collapsed="false">
      <c r="A4803" s="15" t="s">
        <v>4860</v>
      </c>
      <c r="B4803" s="16" t="n">
        <v>45806</v>
      </c>
      <c r="C4803" s="15" t="s">
        <v>58</v>
      </c>
      <c r="D4803" s="15" t="s">
        <v>43</v>
      </c>
      <c r="E4803" s="15" t="s">
        <v>36</v>
      </c>
      <c r="F4803" s="15" t="s">
        <v>16</v>
      </c>
      <c r="G4803" s="15" t="s">
        <v>25</v>
      </c>
      <c r="H4803" s="15" t="n">
        <v>2</v>
      </c>
      <c r="I4803" s="17" t="n">
        <v>0</v>
      </c>
      <c r="J4803" s="18" t="n">
        <v>589.92</v>
      </c>
      <c r="K4803" s="19" t="n">
        <v>59.52</v>
      </c>
      <c r="L4803" s="15" t="n">
        <f aca="false">YEAR(B4803)</f>
        <v>2025</v>
      </c>
      <c r="M4803" s="20" t="n">
        <f aca="false">IF(J4803&gt;0,K4803/J4803,0)</f>
        <v>0.100895036615134</v>
      </c>
    </row>
    <row r="4804" customFormat="false" ht="15" hidden="false" customHeight="false" outlineLevel="0" collapsed="false">
      <c r="A4804" s="15" t="s">
        <v>4861</v>
      </c>
      <c r="B4804" s="16" t="n">
        <v>45683</v>
      </c>
      <c r="C4804" s="15" t="s">
        <v>56</v>
      </c>
      <c r="D4804" s="15" t="s">
        <v>42</v>
      </c>
      <c r="E4804" s="15" t="s">
        <v>36</v>
      </c>
      <c r="F4804" s="15" t="s">
        <v>17</v>
      </c>
      <c r="G4804" s="15" t="s">
        <v>28</v>
      </c>
      <c r="H4804" s="15" t="n">
        <v>3</v>
      </c>
      <c r="I4804" s="17" t="n">
        <v>0</v>
      </c>
      <c r="J4804" s="18" t="n">
        <v>83.36</v>
      </c>
      <c r="K4804" s="19" t="n">
        <v>18.72</v>
      </c>
      <c r="L4804" s="15" t="n">
        <f aca="false">YEAR(B4804)</f>
        <v>2025</v>
      </c>
      <c r="M4804" s="20" t="n">
        <f aca="false">IF(J4804&gt;0,K4804/J4804,0)</f>
        <v>0.224568138195777</v>
      </c>
    </row>
    <row r="4805" customFormat="false" ht="15" hidden="false" customHeight="false" outlineLevel="0" collapsed="false">
      <c r="A4805" s="15" t="s">
        <v>4862</v>
      </c>
      <c r="B4805" s="16" t="n">
        <v>45401</v>
      </c>
      <c r="C4805" s="15" t="s">
        <v>56</v>
      </c>
      <c r="D4805" s="15" t="s">
        <v>42</v>
      </c>
      <c r="E4805" s="15" t="s">
        <v>36</v>
      </c>
      <c r="F4805" s="15" t="s">
        <v>16</v>
      </c>
      <c r="G4805" s="15" t="s">
        <v>25</v>
      </c>
      <c r="H4805" s="15" t="n">
        <v>4</v>
      </c>
      <c r="I4805" s="17" t="n">
        <v>0.1</v>
      </c>
      <c r="J4805" s="18" t="n">
        <v>765.32</v>
      </c>
      <c r="K4805" s="19" t="n">
        <v>24.27</v>
      </c>
      <c r="L4805" s="15" t="n">
        <f aca="false">YEAR(B4805)</f>
        <v>2024</v>
      </c>
      <c r="M4805" s="20" t="n">
        <f aca="false">IF(J4805&gt;0,K4805/J4805,0)</f>
        <v>0.0317122249516542</v>
      </c>
    </row>
    <row r="4806" customFormat="false" ht="15" hidden="false" customHeight="false" outlineLevel="0" collapsed="false">
      <c r="A4806" s="15" t="s">
        <v>4863</v>
      </c>
      <c r="B4806" s="16" t="n">
        <v>45551</v>
      </c>
      <c r="C4806" s="15" t="s">
        <v>56</v>
      </c>
      <c r="D4806" s="15" t="s">
        <v>44</v>
      </c>
      <c r="E4806" s="15" t="s">
        <v>39</v>
      </c>
      <c r="F4806" s="15" t="s">
        <v>17</v>
      </c>
      <c r="G4806" s="15" t="s">
        <v>28</v>
      </c>
      <c r="H4806" s="15" t="n">
        <v>2</v>
      </c>
      <c r="I4806" s="17" t="n">
        <v>0.2</v>
      </c>
      <c r="J4806" s="18" t="n">
        <v>47.53</v>
      </c>
      <c r="K4806" s="19" t="n">
        <v>3.75</v>
      </c>
      <c r="L4806" s="15" t="n">
        <f aca="false">YEAR(B4806)</f>
        <v>2024</v>
      </c>
      <c r="M4806" s="20" t="n">
        <f aca="false">IF(J4806&gt;0,K4806/J4806,0)</f>
        <v>0.078897538396802</v>
      </c>
    </row>
    <row r="4807" customFormat="false" ht="15" hidden="false" customHeight="false" outlineLevel="0" collapsed="false">
      <c r="A4807" s="15" t="s">
        <v>4864</v>
      </c>
      <c r="B4807" s="16" t="n">
        <v>44923</v>
      </c>
      <c r="C4807" s="15" t="s">
        <v>56</v>
      </c>
      <c r="D4807" s="15" t="s">
        <v>44</v>
      </c>
      <c r="E4807" s="15" t="s">
        <v>39</v>
      </c>
      <c r="F4807" s="15" t="s">
        <v>18</v>
      </c>
      <c r="G4807" s="15" t="s">
        <v>30</v>
      </c>
      <c r="H4807" s="15" t="n">
        <v>3</v>
      </c>
      <c r="I4807" s="17" t="n">
        <v>0</v>
      </c>
      <c r="J4807" s="18" t="n">
        <v>143.06</v>
      </c>
      <c r="K4807" s="19" t="n">
        <v>36.41</v>
      </c>
      <c r="L4807" s="15" t="n">
        <f aca="false">YEAR(B4807)</f>
        <v>2022</v>
      </c>
      <c r="M4807" s="20" t="n">
        <f aca="false">IF(J4807&gt;0,K4807/J4807,0)</f>
        <v>0.254508597791137</v>
      </c>
    </row>
    <row r="4808" customFormat="false" ht="15" hidden="false" customHeight="false" outlineLevel="0" collapsed="false">
      <c r="A4808" s="15" t="s">
        <v>4865</v>
      </c>
      <c r="B4808" s="16" t="n">
        <v>45311</v>
      </c>
      <c r="C4808" s="15" t="s">
        <v>56</v>
      </c>
      <c r="D4808" s="15" t="s">
        <v>42</v>
      </c>
      <c r="E4808" s="15" t="s">
        <v>37</v>
      </c>
      <c r="F4808" s="15" t="s">
        <v>16</v>
      </c>
      <c r="G4808" s="15" t="s">
        <v>23</v>
      </c>
      <c r="H4808" s="15" t="n">
        <v>4</v>
      </c>
      <c r="I4808" s="17" t="n">
        <v>0.3</v>
      </c>
      <c r="J4808" s="18" t="n">
        <v>992.71</v>
      </c>
      <c r="K4808" s="19" t="n">
        <v>-266.22</v>
      </c>
      <c r="L4808" s="15" t="n">
        <f aca="false">YEAR(B4808)</f>
        <v>2024</v>
      </c>
      <c r="M4808" s="20" t="n">
        <f aca="false">IF(J4808&gt;0,K4808/J4808,0)</f>
        <v>-0.26817499571879</v>
      </c>
    </row>
    <row r="4809" customFormat="false" ht="15" hidden="false" customHeight="false" outlineLevel="0" collapsed="false">
      <c r="A4809" s="15" t="s">
        <v>4866</v>
      </c>
      <c r="B4809" s="16" t="n">
        <v>45476</v>
      </c>
      <c r="C4809" s="15" t="s">
        <v>56</v>
      </c>
      <c r="D4809" s="15" t="s">
        <v>44</v>
      </c>
      <c r="E4809" s="15" t="s">
        <v>39</v>
      </c>
      <c r="F4809" s="15" t="s">
        <v>16</v>
      </c>
      <c r="G4809" s="15" t="s">
        <v>25</v>
      </c>
      <c r="H4809" s="15" t="n">
        <v>3</v>
      </c>
      <c r="I4809" s="17" t="n">
        <v>0.05</v>
      </c>
      <c r="J4809" s="18" t="n">
        <v>864.03</v>
      </c>
      <c r="K4809" s="19" t="n">
        <v>82.61</v>
      </c>
      <c r="L4809" s="15" t="n">
        <f aca="false">YEAR(B4809)</f>
        <v>2024</v>
      </c>
      <c r="M4809" s="20" t="n">
        <f aca="false">IF(J4809&gt;0,K4809/J4809,0)</f>
        <v>0.0956101061305742</v>
      </c>
    </row>
    <row r="4810" customFormat="false" ht="15" hidden="false" customHeight="false" outlineLevel="0" collapsed="false">
      <c r="A4810" s="15" t="s">
        <v>4867</v>
      </c>
      <c r="B4810" s="16" t="n">
        <v>45862</v>
      </c>
      <c r="C4810" s="15" t="s">
        <v>56</v>
      </c>
      <c r="D4810" s="15" t="s">
        <v>42</v>
      </c>
      <c r="E4810" s="15" t="s">
        <v>39</v>
      </c>
      <c r="F4810" s="15" t="s">
        <v>17</v>
      </c>
      <c r="G4810" s="15" t="s">
        <v>29</v>
      </c>
      <c r="H4810" s="15" t="n">
        <v>3</v>
      </c>
      <c r="I4810" s="17" t="n">
        <v>0.1</v>
      </c>
      <c r="J4810" s="18" t="n">
        <v>62.74</v>
      </c>
      <c r="K4810" s="19" t="n">
        <v>17.78</v>
      </c>
      <c r="L4810" s="15" t="n">
        <f aca="false">YEAR(B4810)</f>
        <v>2025</v>
      </c>
      <c r="M4810" s="20" t="n">
        <f aca="false">IF(J4810&gt;0,K4810/J4810,0)</f>
        <v>0.283391775581766</v>
      </c>
    </row>
    <row r="4811" customFormat="false" ht="15" hidden="false" customHeight="false" outlineLevel="0" collapsed="false">
      <c r="A4811" s="15" t="s">
        <v>4868</v>
      </c>
      <c r="B4811" s="16" t="n">
        <v>45610</v>
      </c>
      <c r="C4811" s="15" t="s">
        <v>56</v>
      </c>
      <c r="D4811" s="15" t="s">
        <v>43</v>
      </c>
      <c r="E4811" s="15" t="s">
        <v>37</v>
      </c>
      <c r="F4811" s="15" t="s">
        <v>17</v>
      </c>
      <c r="G4811" s="15" t="s">
        <v>29</v>
      </c>
      <c r="H4811" s="15" t="n">
        <v>2</v>
      </c>
      <c r="I4811" s="17" t="n">
        <v>0</v>
      </c>
      <c r="J4811" s="18" t="n">
        <v>48.19</v>
      </c>
      <c r="K4811" s="19" t="n">
        <v>16.58</v>
      </c>
      <c r="L4811" s="15" t="n">
        <f aca="false">YEAR(B4811)</f>
        <v>2024</v>
      </c>
      <c r="M4811" s="20" t="n">
        <f aca="false">IF(J4811&gt;0,K4811/J4811,0)</f>
        <v>0.344054783150031</v>
      </c>
    </row>
    <row r="4812" customFormat="false" ht="15" hidden="false" customHeight="false" outlineLevel="0" collapsed="false">
      <c r="A4812" s="15" t="s">
        <v>4869</v>
      </c>
      <c r="B4812" s="16" t="n">
        <v>45769</v>
      </c>
      <c r="C4812" s="15" t="s">
        <v>71</v>
      </c>
      <c r="D4812" s="15" t="s">
        <v>43</v>
      </c>
      <c r="E4812" s="15" t="s">
        <v>38</v>
      </c>
      <c r="F4812" s="15" t="s">
        <v>17</v>
      </c>
      <c r="G4812" s="15" t="s">
        <v>29</v>
      </c>
      <c r="H4812" s="15" t="n">
        <v>5</v>
      </c>
      <c r="I4812" s="17" t="n">
        <v>0.05</v>
      </c>
      <c r="J4812" s="18" t="n">
        <v>68.88</v>
      </c>
      <c r="K4812" s="19" t="n">
        <v>22.34</v>
      </c>
      <c r="L4812" s="15" t="n">
        <f aca="false">YEAR(B4812)</f>
        <v>2025</v>
      </c>
      <c r="M4812" s="20" t="n">
        <f aca="false">IF(J4812&gt;0,K4812/J4812,0)</f>
        <v>0.324332171893148</v>
      </c>
    </row>
    <row r="4813" customFormat="false" ht="15" hidden="false" customHeight="false" outlineLevel="0" collapsed="false">
      <c r="A4813" s="15" t="s">
        <v>4870</v>
      </c>
      <c r="B4813" s="16" t="n">
        <v>44646</v>
      </c>
      <c r="C4813" s="15" t="s">
        <v>56</v>
      </c>
      <c r="D4813" s="15" t="s">
        <v>42</v>
      </c>
      <c r="E4813" s="15" t="s">
        <v>39</v>
      </c>
      <c r="F4813" s="15" t="s">
        <v>17</v>
      </c>
      <c r="G4813" s="15" t="s">
        <v>29</v>
      </c>
      <c r="H4813" s="15" t="n">
        <v>5</v>
      </c>
      <c r="I4813" s="17" t="n">
        <v>0.4</v>
      </c>
      <c r="J4813" s="18" t="n">
        <v>53.26</v>
      </c>
      <c r="K4813" s="19" t="n">
        <v>3.7</v>
      </c>
      <c r="L4813" s="15" t="n">
        <f aca="false">YEAR(B4813)</f>
        <v>2022</v>
      </c>
      <c r="M4813" s="20" t="n">
        <f aca="false">IF(J4813&gt;0,K4813/J4813,0)</f>
        <v>0.0694705219677056</v>
      </c>
    </row>
    <row r="4814" customFormat="false" ht="15" hidden="false" customHeight="false" outlineLevel="0" collapsed="false">
      <c r="A4814" s="15" t="s">
        <v>4871</v>
      </c>
      <c r="B4814" s="16" t="n">
        <v>45645</v>
      </c>
      <c r="C4814" s="15" t="s">
        <v>56</v>
      </c>
      <c r="D4814" s="15" t="s">
        <v>43</v>
      </c>
      <c r="E4814" s="15" t="s">
        <v>38</v>
      </c>
      <c r="F4814" s="15" t="s">
        <v>17</v>
      </c>
      <c r="G4814" s="15" t="s">
        <v>31</v>
      </c>
      <c r="H4814" s="15" t="n">
        <v>5</v>
      </c>
      <c r="I4814" s="17" t="n">
        <v>0</v>
      </c>
      <c r="J4814" s="18" t="n">
        <v>593.31</v>
      </c>
      <c r="K4814" s="19" t="n">
        <v>126.68</v>
      </c>
      <c r="L4814" s="15" t="n">
        <f aca="false">YEAR(B4814)</f>
        <v>2024</v>
      </c>
      <c r="M4814" s="20" t="n">
        <f aca="false">IF(J4814&gt;0,K4814/J4814,0)</f>
        <v>0.21351401459608</v>
      </c>
    </row>
    <row r="4815" customFormat="false" ht="15" hidden="false" customHeight="false" outlineLevel="0" collapsed="false">
      <c r="A4815" s="15" t="s">
        <v>4872</v>
      </c>
      <c r="B4815" s="16" t="n">
        <v>45620</v>
      </c>
      <c r="C4815" s="15" t="s">
        <v>56</v>
      </c>
      <c r="D4815" s="15" t="s">
        <v>43</v>
      </c>
      <c r="E4815" s="15" t="s">
        <v>37</v>
      </c>
      <c r="F4815" s="15" t="s">
        <v>17</v>
      </c>
      <c r="G4815" s="15" t="s">
        <v>26</v>
      </c>
      <c r="H4815" s="15" t="n">
        <v>4</v>
      </c>
      <c r="I4815" s="17" t="n">
        <v>0</v>
      </c>
      <c r="J4815" s="18" t="n">
        <v>395.45</v>
      </c>
      <c r="K4815" s="19" t="n">
        <v>73.35</v>
      </c>
      <c r="L4815" s="15" t="n">
        <f aca="false">YEAR(B4815)</f>
        <v>2024</v>
      </c>
      <c r="M4815" s="20" t="n">
        <f aca="false">IF(J4815&gt;0,K4815/J4815,0)</f>
        <v>0.185484890630927</v>
      </c>
    </row>
    <row r="4816" customFormat="false" ht="15" hidden="false" customHeight="false" outlineLevel="0" collapsed="false">
      <c r="A4816" s="15" t="s">
        <v>4873</v>
      </c>
      <c r="B4816" s="16" t="n">
        <v>45245</v>
      </c>
      <c r="C4816" s="15" t="s">
        <v>56</v>
      </c>
      <c r="D4816" s="15" t="s">
        <v>44</v>
      </c>
      <c r="E4816" s="15" t="s">
        <v>38</v>
      </c>
      <c r="F4816" s="15" t="s">
        <v>16</v>
      </c>
      <c r="G4816" s="15" t="s">
        <v>27</v>
      </c>
      <c r="H4816" s="15" t="n">
        <v>5</v>
      </c>
      <c r="I4816" s="17" t="n">
        <v>0</v>
      </c>
      <c r="J4816" s="18" t="n">
        <v>186.63</v>
      </c>
      <c r="K4816" s="19" t="n">
        <v>43.19</v>
      </c>
      <c r="L4816" s="15" t="n">
        <f aca="false">YEAR(B4816)</f>
        <v>2023</v>
      </c>
      <c r="M4816" s="20" t="n">
        <f aca="false">IF(J4816&gt;0,K4816/J4816,0)</f>
        <v>0.231420457589884</v>
      </c>
    </row>
    <row r="4817" customFormat="false" ht="15" hidden="false" customHeight="false" outlineLevel="0" collapsed="false">
      <c r="A4817" s="15" t="s">
        <v>4874</v>
      </c>
      <c r="B4817" s="16" t="n">
        <v>45248</v>
      </c>
      <c r="C4817" s="15" t="s">
        <v>56</v>
      </c>
      <c r="D4817" s="15" t="s">
        <v>42</v>
      </c>
      <c r="E4817" s="15" t="s">
        <v>39</v>
      </c>
      <c r="F4817" s="15" t="s">
        <v>17</v>
      </c>
      <c r="G4817" s="15" t="s">
        <v>29</v>
      </c>
      <c r="H4817" s="15" t="n">
        <v>2</v>
      </c>
      <c r="I4817" s="17" t="n">
        <v>0.15</v>
      </c>
      <c r="J4817" s="18" t="n">
        <v>36.67</v>
      </c>
      <c r="K4817" s="19" t="n">
        <v>7.71</v>
      </c>
      <c r="L4817" s="15" t="n">
        <f aca="false">YEAR(B4817)</f>
        <v>2023</v>
      </c>
      <c r="M4817" s="20" t="n">
        <f aca="false">IF(J4817&gt;0,K4817/J4817,0)</f>
        <v>0.210253613307881</v>
      </c>
    </row>
    <row r="4818" customFormat="false" ht="15" hidden="false" customHeight="false" outlineLevel="0" collapsed="false">
      <c r="A4818" s="15" t="s">
        <v>4875</v>
      </c>
      <c r="B4818" s="16" t="n">
        <v>45936</v>
      </c>
      <c r="C4818" s="15" t="s">
        <v>56</v>
      </c>
      <c r="D4818" s="15" t="s">
        <v>42</v>
      </c>
      <c r="E4818" s="15" t="s">
        <v>38</v>
      </c>
      <c r="F4818" s="15" t="s">
        <v>17</v>
      </c>
      <c r="G4818" s="15" t="s">
        <v>28</v>
      </c>
      <c r="H4818" s="15" t="n">
        <v>3</v>
      </c>
      <c r="I4818" s="17" t="n">
        <v>0.1</v>
      </c>
      <c r="J4818" s="18" t="n">
        <v>57.38</v>
      </c>
      <c r="K4818" s="19" t="n">
        <v>12.86</v>
      </c>
      <c r="L4818" s="15" t="n">
        <f aca="false">YEAR(B4818)</f>
        <v>2025</v>
      </c>
      <c r="M4818" s="20" t="n">
        <f aca="false">IF(J4818&gt;0,K4818/J4818,0)</f>
        <v>0.224119902405019</v>
      </c>
    </row>
    <row r="4819" customFormat="false" ht="15" hidden="false" customHeight="false" outlineLevel="0" collapsed="false">
      <c r="A4819" s="15" t="s">
        <v>4876</v>
      </c>
      <c r="B4819" s="16" t="n">
        <v>45227</v>
      </c>
      <c r="C4819" s="15" t="s">
        <v>68</v>
      </c>
      <c r="D4819" s="15" t="s">
        <v>42</v>
      </c>
      <c r="E4819" s="15" t="s">
        <v>39</v>
      </c>
      <c r="F4819" s="15" t="s">
        <v>16</v>
      </c>
      <c r="G4819" s="15" t="s">
        <v>25</v>
      </c>
      <c r="H4819" s="15" t="n">
        <v>5</v>
      </c>
      <c r="I4819" s="17" t="n">
        <v>0.1</v>
      </c>
      <c r="J4819" s="18" t="n">
        <v>1349.86</v>
      </c>
      <c r="K4819" s="19" t="n">
        <v>-27.03</v>
      </c>
      <c r="L4819" s="15" t="n">
        <f aca="false">YEAR(B4819)</f>
        <v>2023</v>
      </c>
      <c r="M4819" s="20" t="n">
        <f aca="false">IF(J4819&gt;0,K4819/J4819,0)</f>
        <v>-0.0200242988161735</v>
      </c>
    </row>
    <row r="4820" customFormat="false" ht="15" hidden="false" customHeight="false" outlineLevel="0" collapsed="false">
      <c r="A4820" s="15" t="s">
        <v>4877</v>
      </c>
      <c r="B4820" s="16" t="n">
        <v>45409</v>
      </c>
      <c r="C4820" s="15" t="s">
        <v>71</v>
      </c>
      <c r="D4820" s="15" t="s">
        <v>42</v>
      </c>
      <c r="E4820" s="15" t="s">
        <v>37</v>
      </c>
      <c r="F4820" s="15" t="s">
        <v>17</v>
      </c>
      <c r="G4820" s="15" t="s">
        <v>29</v>
      </c>
      <c r="H4820" s="15" t="n">
        <v>2</v>
      </c>
      <c r="I4820" s="17" t="n">
        <v>0</v>
      </c>
      <c r="J4820" s="18" t="n">
        <v>34.77</v>
      </c>
      <c r="K4820" s="19" t="n">
        <v>11.93</v>
      </c>
      <c r="L4820" s="15" t="n">
        <f aca="false">YEAR(B4820)</f>
        <v>2024</v>
      </c>
      <c r="M4820" s="20" t="n">
        <f aca="false">IF(J4820&gt;0,K4820/J4820,0)</f>
        <v>0.343111878055795</v>
      </c>
    </row>
    <row r="4821" customFormat="false" ht="15" hidden="false" customHeight="false" outlineLevel="0" collapsed="false">
      <c r="A4821" s="15" t="s">
        <v>4878</v>
      </c>
      <c r="B4821" s="16" t="n">
        <v>44621</v>
      </c>
      <c r="C4821" s="15" t="s">
        <v>56</v>
      </c>
      <c r="D4821" s="15" t="s">
        <v>42</v>
      </c>
      <c r="E4821" s="15" t="s">
        <v>37</v>
      </c>
      <c r="F4821" s="15" t="s">
        <v>17</v>
      </c>
      <c r="G4821" s="15" t="s">
        <v>26</v>
      </c>
      <c r="H4821" s="15" t="n">
        <v>1</v>
      </c>
      <c r="I4821" s="17" t="n">
        <v>0.2</v>
      </c>
      <c r="J4821" s="18" t="n">
        <v>78.84</v>
      </c>
      <c r="K4821" s="19" t="n">
        <v>-1.67</v>
      </c>
      <c r="L4821" s="15" t="n">
        <f aca="false">YEAR(B4821)</f>
        <v>2022</v>
      </c>
      <c r="M4821" s="20" t="n">
        <f aca="false">IF(J4821&gt;0,K4821/J4821,0)</f>
        <v>-0.0211821410451547</v>
      </c>
    </row>
    <row r="4822" customFormat="false" ht="15" hidden="false" customHeight="false" outlineLevel="0" collapsed="false">
      <c r="A4822" s="15" t="s">
        <v>4879</v>
      </c>
      <c r="B4822" s="16" t="n">
        <v>44823</v>
      </c>
      <c r="C4822" s="15" t="s">
        <v>56</v>
      </c>
      <c r="D4822" s="15" t="s">
        <v>44</v>
      </c>
      <c r="E4822" s="15" t="s">
        <v>36</v>
      </c>
      <c r="F4822" s="15" t="s">
        <v>18</v>
      </c>
      <c r="G4822" s="15" t="s">
        <v>33</v>
      </c>
      <c r="H4822" s="15" t="n">
        <v>3</v>
      </c>
      <c r="I4822" s="17" t="n">
        <v>0.1</v>
      </c>
      <c r="J4822" s="18" t="n">
        <v>2769.59</v>
      </c>
      <c r="K4822" s="19" t="n">
        <v>617.59</v>
      </c>
      <c r="L4822" s="15" t="n">
        <f aca="false">YEAR(B4822)</f>
        <v>2022</v>
      </c>
      <c r="M4822" s="20" t="n">
        <f aca="false">IF(J4822&gt;0,K4822/J4822,0)</f>
        <v>0.222989684393719</v>
      </c>
    </row>
    <row r="4823" customFormat="false" ht="15" hidden="false" customHeight="false" outlineLevel="0" collapsed="false">
      <c r="A4823" s="15" t="s">
        <v>4880</v>
      </c>
      <c r="B4823" s="16" t="n">
        <v>45109</v>
      </c>
      <c r="C4823" s="15" t="s">
        <v>68</v>
      </c>
      <c r="D4823" s="15" t="s">
        <v>44</v>
      </c>
      <c r="E4823" s="15" t="s">
        <v>36</v>
      </c>
      <c r="F4823" s="15" t="s">
        <v>17</v>
      </c>
      <c r="G4823" s="15" t="s">
        <v>29</v>
      </c>
      <c r="H4823" s="15" t="n">
        <v>4</v>
      </c>
      <c r="I4823" s="17" t="n">
        <v>0.05</v>
      </c>
      <c r="J4823" s="18" t="n">
        <v>76.03</v>
      </c>
      <c r="K4823" s="19" t="n">
        <v>26.43</v>
      </c>
      <c r="L4823" s="15" t="n">
        <f aca="false">YEAR(B4823)</f>
        <v>2023</v>
      </c>
      <c r="M4823" s="20" t="n">
        <f aca="false">IF(J4823&gt;0,K4823/J4823,0)</f>
        <v>0.34762593713008</v>
      </c>
    </row>
    <row r="4824" customFormat="false" ht="15" hidden="false" customHeight="false" outlineLevel="0" collapsed="false">
      <c r="A4824" s="15" t="s">
        <v>4881</v>
      </c>
      <c r="B4824" s="16" t="n">
        <v>45247</v>
      </c>
      <c r="C4824" s="15" t="s">
        <v>56</v>
      </c>
      <c r="D4824" s="15" t="s">
        <v>42</v>
      </c>
      <c r="E4824" s="15" t="s">
        <v>39</v>
      </c>
      <c r="F4824" s="15" t="s">
        <v>17</v>
      </c>
      <c r="G4824" s="15" t="s">
        <v>29</v>
      </c>
      <c r="H4824" s="15" t="n">
        <v>4</v>
      </c>
      <c r="I4824" s="17" t="n">
        <v>0.2</v>
      </c>
      <c r="J4824" s="18" t="n">
        <v>73.08</v>
      </c>
      <c r="K4824" s="19" t="n">
        <v>18.76</v>
      </c>
      <c r="L4824" s="15" t="n">
        <f aca="false">YEAR(B4824)</f>
        <v>2023</v>
      </c>
      <c r="M4824" s="20" t="n">
        <f aca="false">IF(J4824&gt;0,K4824/J4824,0)</f>
        <v>0.256704980842912</v>
      </c>
    </row>
    <row r="4825" customFormat="false" ht="15" hidden="false" customHeight="false" outlineLevel="0" collapsed="false">
      <c r="A4825" s="15" t="s">
        <v>4882</v>
      </c>
      <c r="B4825" s="16" t="n">
        <v>44645</v>
      </c>
      <c r="C4825" s="15" t="s">
        <v>56</v>
      </c>
      <c r="D4825" s="15" t="s">
        <v>43</v>
      </c>
      <c r="E4825" s="15" t="s">
        <v>36</v>
      </c>
      <c r="F4825" s="15" t="s">
        <v>17</v>
      </c>
      <c r="G4825" s="15" t="s">
        <v>28</v>
      </c>
      <c r="H4825" s="15" t="n">
        <v>3</v>
      </c>
      <c r="I4825" s="17" t="n">
        <v>0.15</v>
      </c>
      <c r="J4825" s="18" t="n">
        <v>72.69</v>
      </c>
      <c r="K4825" s="19" t="n">
        <v>9.21</v>
      </c>
      <c r="L4825" s="15" t="n">
        <f aca="false">YEAR(B4825)</f>
        <v>2022</v>
      </c>
      <c r="M4825" s="20" t="n">
        <f aca="false">IF(J4825&gt;0,K4825/J4825,0)</f>
        <v>0.126702434997936</v>
      </c>
    </row>
    <row r="4826" customFormat="false" ht="15" hidden="false" customHeight="false" outlineLevel="0" collapsed="false">
      <c r="A4826" s="15" t="s">
        <v>4883</v>
      </c>
      <c r="B4826" s="16" t="n">
        <v>44927</v>
      </c>
      <c r="C4826" s="15" t="s">
        <v>71</v>
      </c>
      <c r="D4826" s="15" t="s">
        <v>42</v>
      </c>
      <c r="E4826" s="15" t="s">
        <v>36</v>
      </c>
      <c r="F4826" s="15" t="s">
        <v>17</v>
      </c>
      <c r="G4826" s="15" t="s">
        <v>28</v>
      </c>
      <c r="H4826" s="15" t="n">
        <v>1</v>
      </c>
      <c r="I4826" s="17" t="n">
        <v>0</v>
      </c>
      <c r="J4826" s="18" t="n">
        <v>22.12</v>
      </c>
      <c r="K4826" s="19" t="n">
        <v>7.56</v>
      </c>
      <c r="L4826" s="15" t="n">
        <f aca="false">YEAR(B4826)</f>
        <v>2023</v>
      </c>
      <c r="M4826" s="20" t="n">
        <f aca="false">IF(J4826&gt;0,K4826/J4826,0)</f>
        <v>0.341772151898734</v>
      </c>
    </row>
    <row r="4827" customFormat="false" ht="15" hidden="false" customHeight="false" outlineLevel="0" collapsed="false">
      <c r="A4827" s="15" t="s">
        <v>4884</v>
      </c>
      <c r="B4827" s="16" t="n">
        <v>45512</v>
      </c>
      <c r="C4827" s="15" t="s">
        <v>56</v>
      </c>
      <c r="D4827" s="15" t="s">
        <v>42</v>
      </c>
      <c r="E4827" s="15" t="s">
        <v>36</v>
      </c>
      <c r="F4827" s="15" t="s">
        <v>18</v>
      </c>
      <c r="G4827" s="15" t="s">
        <v>33</v>
      </c>
      <c r="H4827" s="15" t="n">
        <v>7</v>
      </c>
      <c r="I4827" s="17" t="n">
        <v>0</v>
      </c>
      <c r="J4827" s="18" t="n">
        <v>6396.06</v>
      </c>
      <c r="K4827" s="19" t="n">
        <v>2355.76</v>
      </c>
      <c r="L4827" s="15" t="n">
        <f aca="false">YEAR(B4827)</f>
        <v>2024</v>
      </c>
      <c r="M4827" s="20" t="n">
        <f aca="false">IF(J4827&gt;0,K4827/J4827,0)</f>
        <v>0.368314243456128</v>
      </c>
    </row>
    <row r="4828" customFormat="false" ht="15" hidden="false" customHeight="false" outlineLevel="0" collapsed="false">
      <c r="A4828" s="15" t="s">
        <v>4885</v>
      </c>
      <c r="B4828" s="16" t="n">
        <v>44960</v>
      </c>
      <c r="C4828" s="15" t="s">
        <v>68</v>
      </c>
      <c r="D4828" s="15" t="s">
        <v>42</v>
      </c>
      <c r="E4828" s="15" t="s">
        <v>37</v>
      </c>
      <c r="F4828" s="15" t="s">
        <v>16</v>
      </c>
      <c r="G4828" s="15" t="s">
        <v>25</v>
      </c>
      <c r="H4828" s="15" t="n">
        <v>7</v>
      </c>
      <c r="I4828" s="17" t="n">
        <v>0</v>
      </c>
      <c r="J4828" s="18" t="n">
        <v>2348.26</v>
      </c>
      <c r="K4828" s="19" t="n">
        <v>192.81</v>
      </c>
      <c r="L4828" s="15" t="n">
        <f aca="false">YEAR(B4828)</f>
        <v>2023</v>
      </c>
      <c r="M4828" s="20" t="n">
        <f aca="false">IF(J4828&gt;0,K4828/J4828,0)</f>
        <v>0.0821076030763203</v>
      </c>
    </row>
    <row r="4829" customFormat="false" ht="15" hidden="false" customHeight="false" outlineLevel="0" collapsed="false">
      <c r="A4829" s="15" t="s">
        <v>4886</v>
      </c>
      <c r="B4829" s="16" t="n">
        <v>45192</v>
      </c>
      <c r="C4829" s="15" t="s">
        <v>71</v>
      </c>
      <c r="D4829" s="15" t="s">
        <v>42</v>
      </c>
      <c r="E4829" s="15" t="s">
        <v>39</v>
      </c>
      <c r="F4829" s="15" t="s">
        <v>17</v>
      </c>
      <c r="G4829" s="15" t="s">
        <v>29</v>
      </c>
      <c r="H4829" s="15" t="n">
        <v>4</v>
      </c>
      <c r="I4829" s="17" t="n">
        <v>0.1</v>
      </c>
      <c r="J4829" s="18" t="n">
        <v>62.33</v>
      </c>
      <c r="K4829" s="19" t="n">
        <v>20.81</v>
      </c>
      <c r="L4829" s="15" t="n">
        <f aca="false">YEAR(B4829)</f>
        <v>2023</v>
      </c>
      <c r="M4829" s="20" t="n">
        <f aca="false">IF(J4829&gt;0,K4829/J4829,0)</f>
        <v>0.333868121289909</v>
      </c>
    </row>
    <row r="4830" customFormat="false" ht="15" hidden="false" customHeight="false" outlineLevel="0" collapsed="false">
      <c r="A4830" s="15" t="s">
        <v>4887</v>
      </c>
      <c r="B4830" s="16" t="n">
        <v>45117</v>
      </c>
      <c r="C4830" s="15" t="s">
        <v>56</v>
      </c>
      <c r="D4830" s="15" t="s">
        <v>42</v>
      </c>
      <c r="E4830" s="15" t="s">
        <v>37</v>
      </c>
      <c r="F4830" s="15" t="s">
        <v>18</v>
      </c>
      <c r="G4830" s="15" t="s">
        <v>30</v>
      </c>
      <c r="H4830" s="15" t="n">
        <v>5</v>
      </c>
      <c r="I4830" s="17" t="n">
        <v>0</v>
      </c>
      <c r="J4830" s="18" t="n">
        <v>208.72</v>
      </c>
      <c r="K4830" s="19" t="n">
        <v>68.44</v>
      </c>
      <c r="L4830" s="15" t="n">
        <f aca="false">YEAR(B4830)</f>
        <v>2023</v>
      </c>
      <c r="M4830" s="20" t="n">
        <f aca="false">IF(J4830&gt;0,K4830/J4830,0)</f>
        <v>0.327903411268685</v>
      </c>
    </row>
    <row r="4831" customFormat="false" ht="15" hidden="false" customHeight="false" outlineLevel="0" collapsed="false">
      <c r="A4831" s="15" t="s">
        <v>4888</v>
      </c>
      <c r="B4831" s="16" t="n">
        <v>45397</v>
      </c>
      <c r="C4831" s="15" t="s">
        <v>56</v>
      </c>
      <c r="D4831" s="15" t="s">
        <v>42</v>
      </c>
      <c r="E4831" s="15" t="s">
        <v>39</v>
      </c>
      <c r="F4831" s="15" t="s">
        <v>17</v>
      </c>
      <c r="G4831" s="15" t="s">
        <v>26</v>
      </c>
      <c r="H4831" s="15" t="n">
        <v>3</v>
      </c>
      <c r="I4831" s="17" t="n">
        <v>0</v>
      </c>
      <c r="J4831" s="18" t="n">
        <v>273.27</v>
      </c>
      <c r="K4831" s="19" t="n">
        <v>29.28</v>
      </c>
      <c r="L4831" s="15" t="n">
        <f aca="false">YEAR(B4831)</f>
        <v>2024</v>
      </c>
      <c r="M4831" s="20" t="n">
        <f aca="false">IF(J4831&gt;0,K4831/J4831,0)</f>
        <v>0.107146777911955</v>
      </c>
    </row>
    <row r="4832" customFormat="false" ht="15" hidden="false" customHeight="false" outlineLevel="0" collapsed="false">
      <c r="A4832" s="15" t="s">
        <v>4889</v>
      </c>
      <c r="B4832" s="16" t="n">
        <v>45644</v>
      </c>
      <c r="C4832" s="15" t="s">
        <v>71</v>
      </c>
      <c r="D4832" s="15" t="s">
        <v>43</v>
      </c>
      <c r="E4832" s="15" t="s">
        <v>39</v>
      </c>
      <c r="F4832" s="15" t="s">
        <v>17</v>
      </c>
      <c r="G4832" s="15" t="s">
        <v>29</v>
      </c>
      <c r="H4832" s="15" t="n">
        <v>7</v>
      </c>
      <c r="I4832" s="17" t="n">
        <v>0.3</v>
      </c>
      <c r="J4832" s="18" t="n">
        <v>94.57</v>
      </c>
      <c r="K4832" s="19" t="n">
        <v>12.6</v>
      </c>
      <c r="L4832" s="15" t="n">
        <f aca="false">YEAR(B4832)</f>
        <v>2024</v>
      </c>
      <c r="M4832" s="20" t="n">
        <f aca="false">IF(J4832&gt;0,K4832/J4832,0)</f>
        <v>0.133234641006662</v>
      </c>
    </row>
    <row r="4833" customFormat="false" ht="15" hidden="false" customHeight="false" outlineLevel="0" collapsed="false">
      <c r="A4833" s="15" t="s">
        <v>4890</v>
      </c>
      <c r="B4833" s="16" t="n">
        <v>45172</v>
      </c>
      <c r="C4833" s="15" t="s">
        <v>71</v>
      </c>
      <c r="D4833" s="15" t="s">
        <v>44</v>
      </c>
      <c r="E4833" s="15" t="s">
        <v>39</v>
      </c>
      <c r="F4833" s="15" t="s">
        <v>18</v>
      </c>
      <c r="G4833" s="15" t="s">
        <v>32</v>
      </c>
      <c r="H4833" s="15" t="n">
        <v>4</v>
      </c>
      <c r="I4833" s="17" t="n">
        <v>0.2</v>
      </c>
      <c r="J4833" s="18" t="n">
        <v>1564.25</v>
      </c>
      <c r="K4833" s="19" t="n">
        <v>-82.72</v>
      </c>
      <c r="L4833" s="15" t="n">
        <f aca="false">YEAR(B4833)</f>
        <v>2023</v>
      </c>
      <c r="M4833" s="20" t="n">
        <f aca="false">IF(J4833&gt;0,K4833/J4833,0)</f>
        <v>-0.0528815726386447</v>
      </c>
    </row>
    <row r="4834" customFormat="false" ht="15" hidden="false" customHeight="false" outlineLevel="0" collapsed="false">
      <c r="A4834" s="15" t="s">
        <v>4891</v>
      </c>
      <c r="B4834" s="16" t="n">
        <v>45305</v>
      </c>
      <c r="C4834" s="15" t="s">
        <v>56</v>
      </c>
      <c r="D4834" s="15" t="s">
        <v>44</v>
      </c>
      <c r="E4834" s="15" t="s">
        <v>36</v>
      </c>
      <c r="F4834" s="15" t="s">
        <v>17</v>
      </c>
      <c r="G4834" s="15" t="s">
        <v>28</v>
      </c>
      <c r="H4834" s="15" t="n">
        <v>3</v>
      </c>
      <c r="I4834" s="17" t="n">
        <v>0</v>
      </c>
      <c r="J4834" s="18" t="n">
        <v>69.76</v>
      </c>
      <c r="K4834" s="19" t="n">
        <v>23.18</v>
      </c>
      <c r="L4834" s="15" t="n">
        <f aca="false">YEAR(B4834)</f>
        <v>2024</v>
      </c>
      <c r="M4834" s="20" t="n">
        <f aca="false">IF(J4834&gt;0,K4834/J4834,0)</f>
        <v>0.332282110091743</v>
      </c>
    </row>
    <row r="4835" customFormat="false" ht="15" hidden="false" customHeight="false" outlineLevel="0" collapsed="false">
      <c r="A4835" s="15" t="s">
        <v>4892</v>
      </c>
      <c r="B4835" s="16" t="n">
        <v>44960</v>
      </c>
      <c r="C4835" s="15" t="s">
        <v>56</v>
      </c>
      <c r="D4835" s="15" t="s">
        <v>42</v>
      </c>
      <c r="E4835" s="15" t="s">
        <v>36</v>
      </c>
      <c r="F4835" s="15" t="s">
        <v>17</v>
      </c>
      <c r="G4835" s="15" t="s">
        <v>31</v>
      </c>
      <c r="H4835" s="15" t="n">
        <v>2</v>
      </c>
      <c r="I4835" s="17" t="n">
        <v>0.1</v>
      </c>
      <c r="J4835" s="18" t="n">
        <v>231.19</v>
      </c>
      <c r="K4835" s="19" t="n">
        <v>23.46</v>
      </c>
      <c r="L4835" s="15" t="n">
        <f aca="false">YEAR(B4835)</f>
        <v>2023</v>
      </c>
      <c r="M4835" s="20" t="n">
        <f aca="false">IF(J4835&gt;0,K4835/J4835,0)</f>
        <v>0.101474977291405</v>
      </c>
    </row>
    <row r="4836" customFormat="false" ht="15" hidden="false" customHeight="false" outlineLevel="0" collapsed="false">
      <c r="A4836" s="15" t="s">
        <v>4893</v>
      </c>
      <c r="B4836" s="16" t="n">
        <v>45711</v>
      </c>
      <c r="C4836" s="15" t="s">
        <v>56</v>
      </c>
      <c r="D4836" s="15" t="s">
        <v>42</v>
      </c>
      <c r="E4836" s="15" t="s">
        <v>36</v>
      </c>
      <c r="F4836" s="15" t="s">
        <v>17</v>
      </c>
      <c r="G4836" s="15" t="s">
        <v>29</v>
      </c>
      <c r="H4836" s="15" t="n">
        <v>6</v>
      </c>
      <c r="I4836" s="17" t="n">
        <v>0.1</v>
      </c>
      <c r="J4836" s="18" t="n">
        <v>92.3</v>
      </c>
      <c r="K4836" s="19" t="n">
        <v>23.43</v>
      </c>
      <c r="L4836" s="15" t="n">
        <f aca="false">YEAR(B4836)</f>
        <v>2025</v>
      </c>
      <c r="M4836" s="20" t="n">
        <f aca="false">IF(J4836&gt;0,K4836/J4836,0)</f>
        <v>0.253846153846154</v>
      </c>
    </row>
    <row r="4837" customFormat="false" ht="15" hidden="false" customHeight="false" outlineLevel="0" collapsed="false">
      <c r="A4837" s="15" t="s">
        <v>4894</v>
      </c>
      <c r="B4837" s="16" t="n">
        <v>44661</v>
      </c>
      <c r="C4837" s="15" t="s">
        <v>56</v>
      </c>
      <c r="D4837" s="15" t="s">
        <v>44</v>
      </c>
      <c r="E4837" s="15" t="s">
        <v>36</v>
      </c>
      <c r="F4837" s="15" t="s">
        <v>17</v>
      </c>
      <c r="G4837" s="15" t="s">
        <v>31</v>
      </c>
      <c r="H4837" s="15" t="n">
        <v>1</v>
      </c>
      <c r="I4837" s="17" t="n">
        <v>0</v>
      </c>
      <c r="J4837" s="18" t="n">
        <v>135.38</v>
      </c>
      <c r="K4837" s="19" t="n">
        <v>30.88</v>
      </c>
      <c r="L4837" s="15" t="n">
        <f aca="false">YEAR(B4837)</f>
        <v>2022</v>
      </c>
      <c r="M4837" s="20" t="n">
        <f aca="false">IF(J4837&gt;0,K4837/J4837,0)</f>
        <v>0.228098685182449</v>
      </c>
    </row>
    <row r="4838" customFormat="false" ht="15" hidden="false" customHeight="false" outlineLevel="0" collapsed="false">
      <c r="A4838" s="15" t="s">
        <v>4895</v>
      </c>
      <c r="B4838" s="16" t="n">
        <v>45358</v>
      </c>
      <c r="C4838" s="15" t="s">
        <v>56</v>
      </c>
      <c r="D4838" s="15" t="s">
        <v>42</v>
      </c>
      <c r="E4838" s="15" t="s">
        <v>38</v>
      </c>
      <c r="F4838" s="15" t="s">
        <v>18</v>
      </c>
      <c r="G4838" s="15" t="s">
        <v>30</v>
      </c>
      <c r="H4838" s="15" t="n">
        <v>2</v>
      </c>
      <c r="I4838" s="17" t="n">
        <v>0</v>
      </c>
      <c r="J4838" s="18" t="n">
        <v>82.65</v>
      </c>
      <c r="K4838" s="19" t="n">
        <v>22.26</v>
      </c>
      <c r="L4838" s="15" t="n">
        <f aca="false">YEAR(B4838)</f>
        <v>2024</v>
      </c>
      <c r="M4838" s="20" t="n">
        <f aca="false">IF(J4838&gt;0,K4838/J4838,0)</f>
        <v>0.269328493647913</v>
      </c>
    </row>
    <row r="4839" customFormat="false" ht="15" hidden="false" customHeight="false" outlineLevel="0" collapsed="false">
      <c r="A4839" s="15" t="s">
        <v>4896</v>
      </c>
      <c r="B4839" s="16" t="n">
        <v>45217</v>
      </c>
      <c r="C4839" s="15" t="s">
        <v>56</v>
      </c>
      <c r="D4839" s="15" t="s">
        <v>42</v>
      </c>
      <c r="E4839" s="15" t="s">
        <v>38</v>
      </c>
      <c r="F4839" s="15" t="s">
        <v>17</v>
      </c>
      <c r="G4839" s="15" t="s">
        <v>29</v>
      </c>
      <c r="H4839" s="15" t="n">
        <v>5</v>
      </c>
      <c r="I4839" s="17" t="n">
        <v>0.1</v>
      </c>
      <c r="J4839" s="18" t="n">
        <v>82.21</v>
      </c>
      <c r="K4839" s="19" t="n">
        <v>26.05</v>
      </c>
      <c r="L4839" s="15" t="n">
        <f aca="false">YEAR(B4839)</f>
        <v>2023</v>
      </c>
      <c r="M4839" s="20" t="n">
        <f aca="false">IF(J4839&gt;0,K4839/J4839,0)</f>
        <v>0.316871426833719</v>
      </c>
    </row>
    <row r="4840" customFormat="false" ht="15" hidden="false" customHeight="false" outlineLevel="0" collapsed="false">
      <c r="A4840" s="15" t="s">
        <v>4897</v>
      </c>
      <c r="B4840" s="16" t="n">
        <v>45904</v>
      </c>
      <c r="C4840" s="15" t="s">
        <v>56</v>
      </c>
      <c r="D4840" s="15" t="s">
        <v>43</v>
      </c>
      <c r="E4840" s="15" t="s">
        <v>39</v>
      </c>
      <c r="F4840" s="15" t="s">
        <v>16</v>
      </c>
      <c r="G4840" s="15" t="s">
        <v>25</v>
      </c>
      <c r="H4840" s="15" t="n">
        <v>4</v>
      </c>
      <c r="I4840" s="17" t="n">
        <v>0</v>
      </c>
      <c r="J4840" s="18" t="n">
        <v>1225.88</v>
      </c>
      <c r="K4840" s="19" t="n">
        <v>235.51</v>
      </c>
      <c r="L4840" s="15" t="n">
        <f aca="false">YEAR(B4840)</f>
        <v>2025</v>
      </c>
      <c r="M4840" s="20" t="n">
        <f aca="false">IF(J4840&gt;0,K4840/J4840,0)</f>
        <v>0.192115052044246</v>
      </c>
    </row>
    <row r="4841" customFormat="false" ht="15" hidden="false" customHeight="false" outlineLevel="0" collapsed="false">
      <c r="A4841" s="15" t="s">
        <v>4898</v>
      </c>
      <c r="B4841" s="16" t="n">
        <v>45104</v>
      </c>
      <c r="C4841" s="15" t="s">
        <v>56</v>
      </c>
      <c r="D4841" s="15" t="s">
        <v>42</v>
      </c>
      <c r="E4841" s="15" t="s">
        <v>37</v>
      </c>
      <c r="F4841" s="15" t="s">
        <v>17</v>
      </c>
      <c r="G4841" s="15" t="s">
        <v>29</v>
      </c>
      <c r="H4841" s="15" t="n">
        <v>5</v>
      </c>
      <c r="I4841" s="17" t="n">
        <v>0.4</v>
      </c>
      <c r="J4841" s="18" t="n">
        <v>54.96</v>
      </c>
      <c r="K4841" s="19" t="n">
        <v>1.71</v>
      </c>
      <c r="L4841" s="15" t="n">
        <f aca="false">YEAR(B4841)</f>
        <v>2023</v>
      </c>
      <c r="M4841" s="20" t="n">
        <f aca="false">IF(J4841&gt;0,K4841/J4841,0)</f>
        <v>0.0311135371179039</v>
      </c>
    </row>
    <row r="4842" customFormat="false" ht="15" hidden="false" customHeight="false" outlineLevel="0" collapsed="false">
      <c r="A4842" s="15" t="s">
        <v>4899</v>
      </c>
      <c r="B4842" s="16" t="n">
        <v>45500</v>
      </c>
      <c r="C4842" s="15" t="s">
        <v>56</v>
      </c>
      <c r="D4842" s="15" t="s">
        <v>44</v>
      </c>
      <c r="E4842" s="15" t="s">
        <v>37</v>
      </c>
      <c r="F4842" s="15" t="s">
        <v>16</v>
      </c>
      <c r="G4842" s="15" t="s">
        <v>23</v>
      </c>
      <c r="H4842" s="15" t="n">
        <v>6</v>
      </c>
      <c r="I4842" s="17" t="n">
        <v>0.2</v>
      </c>
      <c r="J4842" s="18" t="n">
        <v>1796.28</v>
      </c>
      <c r="K4842" s="19" t="n">
        <v>-379.55</v>
      </c>
      <c r="L4842" s="15" t="n">
        <f aca="false">YEAR(B4842)</f>
        <v>2024</v>
      </c>
      <c r="M4842" s="20" t="n">
        <f aca="false">IF(J4842&gt;0,K4842/J4842,0)</f>
        <v>-0.211297793217093</v>
      </c>
    </row>
    <row r="4843" customFormat="false" ht="15" hidden="false" customHeight="false" outlineLevel="0" collapsed="false">
      <c r="A4843" s="15" t="s">
        <v>4900</v>
      </c>
      <c r="B4843" s="16" t="n">
        <v>45917</v>
      </c>
      <c r="C4843" s="15" t="s">
        <v>56</v>
      </c>
      <c r="D4843" s="15" t="s">
        <v>44</v>
      </c>
      <c r="E4843" s="15" t="s">
        <v>37</v>
      </c>
      <c r="F4843" s="15" t="s">
        <v>17</v>
      </c>
      <c r="G4843" s="15" t="s">
        <v>31</v>
      </c>
      <c r="H4843" s="15" t="n">
        <v>5</v>
      </c>
      <c r="I4843" s="17" t="n">
        <v>0</v>
      </c>
      <c r="J4843" s="18" t="n">
        <v>709.38</v>
      </c>
      <c r="K4843" s="19" t="n">
        <v>129.93</v>
      </c>
      <c r="L4843" s="15" t="n">
        <f aca="false">YEAR(B4843)</f>
        <v>2025</v>
      </c>
      <c r="M4843" s="20" t="n">
        <f aca="false">IF(J4843&gt;0,K4843/J4843,0)</f>
        <v>0.183159942484987</v>
      </c>
    </row>
    <row r="4844" customFormat="false" ht="15" hidden="false" customHeight="false" outlineLevel="0" collapsed="false">
      <c r="A4844" s="15" t="s">
        <v>4901</v>
      </c>
      <c r="B4844" s="16" t="n">
        <v>45846</v>
      </c>
      <c r="C4844" s="15" t="s">
        <v>58</v>
      </c>
      <c r="D4844" s="15" t="s">
        <v>44</v>
      </c>
      <c r="E4844" s="15" t="s">
        <v>37</v>
      </c>
      <c r="F4844" s="15" t="s">
        <v>18</v>
      </c>
      <c r="G4844" s="15" t="s">
        <v>32</v>
      </c>
      <c r="H4844" s="15" t="n">
        <v>2</v>
      </c>
      <c r="I4844" s="17" t="n">
        <v>0</v>
      </c>
      <c r="J4844" s="18" t="n">
        <v>1007.52</v>
      </c>
      <c r="K4844" s="19" t="n">
        <v>185.94</v>
      </c>
      <c r="L4844" s="15" t="n">
        <f aca="false">YEAR(B4844)</f>
        <v>2025</v>
      </c>
      <c r="M4844" s="20" t="n">
        <f aca="false">IF(J4844&gt;0,K4844/J4844,0)</f>
        <v>0.184552167698904</v>
      </c>
    </row>
    <row r="4845" customFormat="false" ht="15" hidden="false" customHeight="false" outlineLevel="0" collapsed="false">
      <c r="A4845" s="15" t="s">
        <v>4902</v>
      </c>
      <c r="B4845" s="16" t="n">
        <v>45792</v>
      </c>
      <c r="C4845" s="15" t="s">
        <v>71</v>
      </c>
      <c r="D4845" s="15" t="s">
        <v>44</v>
      </c>
      <c r="E4845" s="15" t="s">
        <v>39</v>
      </c>
      <c r="F4845" s="15" t="s">
        <v>16</v>
      </c>
      <c r="G4845" s="15" t="s">
        <v>25</v>
      </c>
      <c r="H4845" s="15" t="n">
        <v>4</v>
      </c>
      <c r="I4845" s="17" t="n">
        <v>0.2</v>
      </c>
      <c r="J4845" s="18" t="n">
        <v>794.05</v>
      </c>
      <c r="K4845" s="19" t="n">
        <v>-91.54</v>
      </c>
      <c r="L4845" s="15" t="n">
        <f aca="false">YEAR(B4845)</f>
        <v>2025</v>
      </c>
      <c r="M4845" s="20" t="n">
        <f aca="false">IF(J4845&gt;0,K4845/J4845,0)</f>
        <v>-0.115282412946288</v>
      </c>
    </row>
    <row r="4846" customFormat="false" ht="15" hidden="false" customHeight="false" outlineLevel="0" collapsed="false">
      <c r="A4846" s="15" t="s">
        <v>4903</v>
      </c>
      <c r="B4846" s="16" t="n">
        <v>45274</v>
      </c>
      <c r="C4846" s="15" t="s">
        <v>71</v>
      </c>
      <c r="D4846" s="15" t="s">
        <v>43</v>
      </c>
      <c r="E4846" s="15" t="s">
        <v>36</v>
      </c>
      <c r="F4846" s="15" t="s">
        <v>18</v>
      </c>
      <c r="G4846" s="15" t="s">
        <v>32</v>
      </c>
      <c r="H4846" s="15" t="n">
        <v>3</v>
      </c>
      <c r="I4846" s="17" t="n">
        <v>0.2</v>
      </c>
      <c r="J4846" s="18" t="n">
        <v>953.17</v>
      </c>
      <c r="K4846" s="19" t="n">
        <v>-30.91</v>
      </c>
      <c r="L4846" s="15" t="n">
        <f aca="false">YEAR(B4846)</f>
        <v>2023</v>
      </c>
      <c r="M4846" s="20" t="n">
        <f aca="false">IF(J4846&gt;0,K4846/J4846,0)</f>
        <v>-0.0324286328776609</v>
      </c>
    </row>
    <row r="4847" customFormat="false" ht="15" hidden="false" customHeight="false" outlineLevel="0" collapsed="false">
      <c r="A4847" s="15" t="s">
        <v>4904</v>
      </c>
      <c r="B4847" s="16" t="n">
        <v>46009</v>
      </c>
      <c r="C4847" s="15" t="s">
        <v>68</v>
      </c>
      <c r="D4847" s="15" t="s">
        <v>44</v>
      </c>
      <c r="E4847" s="15" t="s">
        <v>37</v>
      </c>
      <c r="F4847" s="15" t="s">
        <v>16</v>
      </c>
      <c r="G4847" s="15" t="s">
        <v>23</v>
      </c>
      <c r="H4847" s="15" t="n">
        <v>4</v>
      </c>
      <c r="I4847" s="17" t="n">
        <v>0.3</v>
      </c>
      <c r="J4847" s="18" t="n">
        <v>897.96</v>
      </c>
      <c r="K4847" s="19" t="n">
        <v>-185.2</v>
      </c>
      <c r="L4847" s="15" t="n">
        <f aca="false">YEAR(B4847)</f>
        <v>2025</v>
      </c>
      <c r="M4847" s="20" t="n">
        <f aca="false">IF(J4847&gt;0,K4847/J4847,0)</f>
        <v>-0.206245267049757</v>
      </c>
    </row>
    <row r="4848" customFormat="false" ht="15" hidden="false" customHeight="false" outlineLevel="0" collapsed="false">
      <c r="A4848" s="15" t="s">
        <v>4905</v>
      </c>
      <c r="B4848" s="16" t="n">
        <v>45441</v>
      </c>
      <c r="C4848" s="15" t="s">
        <v>56</v>
      </c>
      <c r="D4848" s="15" t="s">
        <v>42</v>
      </c>
      <c r="E4848" s="15" t="s">
        <v>36</v>
      </c>
      <c r="F4848" s="15" t="s">
        <v>16</v>
      </c>
      <c r="G4848" s="15" t="s">
        <v>27</v>
      </c>
      <c r="H4848" s="15" t="n">
        <v>2</v>
      </c>
      <c r="I4848" s="17" t="n">
        <v>0.3</v>
      </c>
      <c r="J4848" s="18" t="n">
        <v>80.38</v>
      </c>
      <c r="K4848" s="19" t="n">
        <v>-9.73</v>
      </c>
      <c r="L4848" s="15" t="n">
        <f aca="false">YEAR(B4848)</f>
        <v>2024</v>
      </c>
      <c r="M4848" s="20" t="n">
        <f aca="false">IF(J4848&gt;0,K4848/J4848,0)</f>
        <v>-0.121050012440906</v>
      </c>
    </row>
    <row r="4849" customFormat="false" ht="15" hidden="false" customHeight="false" outlineLevel="0" collapsed="false">
      <c r="A4849" s="15" t="s">
        <v>4906</v>
      </c>
      <c r="B4849" s="16" t="n">
        <v>45351</v>
      </c>
      <c r="C4849" s="15" t="s">
        <v>58</v>
      </c>
      <c r="D4849" s="15" t="s">
        <v>43</v>
      </c>
      <c r="E4849" s="15" t="s">
        <v>37</v>
      </c>
      <c r="F4849" s="15" t="s">
        <v>17</v>
      </c>
      <c r="G4849" s="15" t="s">
        <v>28</v>
      </c>
      <c r="H4849" s="15" t="n">
        <v>6</v>
      </c>
      <c r="I4849" s="17" t="n">
        <v>0</v>
      </c>
      <c r="J4849" s="18" t="n">
        <v>177.06</v>
      </c>
      <c r="K4849" s="19" t="n">
        <v>48.86</v>
      </c>
      <c r="L4849" s="15" t="n">
        <f aca="false">YEAR(B4849)</f>
        <v>2024</v>
      </c>
      <c r="M4849" s="20" t="n">
        <f aca="false">IF(J4849&gt;0,K4849/J4849,0)</f>
        <v>0.27595165480628</v>
      </c>
    </row>
    <row r="4850" customFormat="false" ht="15" hidden="false" customHeight="false" outlineLevel="0" collapsed="false">
      <c r="A4850" s="15" t="s">
        <v>4907</v>
      </c>
      <c r="B4850" s="16" t="n">
        <v>44633</v>
      </c>
      <c r="C4850" s="15" t="s">
        <v>56</v>
      </c>
      <c r="D4850" s="15" t="s">
        <v>44</v>
      </c>
      <c r="E4850" s="15" t="s">
        <v>39</v>
      </c>
      <c r="F4850" s="15" t="s">
        <v>17</v>
      </c>
      <c r="G4850" s="15" t="s">
        <v>29</v>
      </c>
      <c r="H4850" s="15" t="n">
        <v>5</v>
      </c>
      <c r="I4850" s="17" t="n">
        <v>0</v>
      </c>
      <c r="J4850" s="18" t="n">
        <v>99.66</v>
      </c>
      <c r="K4850" s="19" t="n">
        <v>36.14</v>
      </c>
      <c r="L4850" s="15" t="n">
        <f aca="false">YEAR(B4850)</f>
        <v>2022</v>
      </c>
      <c r="M4850" s="20" t="n">
        <f aca="false">IF(J4850&gt;0,K4850/J4850,0)</f>
        <v>0.362632952036926</v>
      </c>
    </row>
    <row r="4851" customFormat="false" ht="15" hidden="false" customHeight="false" outlineLevel="0" collapsed="false">
      <c r="A4851" s="15" t="s">
        <v>4908</v>
      </c>
      <c r="B4851" s="16" t="n">
        <v>45990</v>
      </c>
      <c r="C4851" s="15" t="s">
        <v>58</v>
      </c>
      <c r="D4851" s="15" t="s">
        <v>43</v>
      </c>
      <c r="E4851" s="15" t="s">
        <v>39</v>
      </c>
      <c r="F4851" s="15" t="s">
        <v>17</v>
      </c>
      <c r="G4851" s="15" t="s">
        <v>28</v>
      </c>
      <c r="H4851" s="15" t="n">
        <v>2</v>
      </c>
      <c r="I4851" s="17" t="n">
        <v>0.2</v>
      </c>
      <c r="J4851" s="18" t="n">
        <v>46.76</v>
      </c>
      <c r="K4851" s="19" t="n">
        <v>6.51</v>
      </c>
      <c r="L4851" s="15" t="n">
        <f aca="false">YEAR(B4851)</f>
        <v>2025</v>
      </c>
      <c r="M4851" s="20" t="n">
        <f aca="false">IF(J4851&gt;0,K4851/J4851,0)</f>
        <v>0.139221556886228</v>
      </c>
    </row>
    <row r="4852" customFormat="false" ht="15" hidden="false" customHeight="false" outlineLevel="0" collapsed="false">
      <c r="A4852" s="15" t="s">
        <v>4909</v>
      </c>
      <c r="B4852" s="16" t="n">
        <v>45608</v>
      </c>
      <c r="C4852" s="15" t="s">
        <v>68</v>
      </c>
      <c r="D4852" s="15" t="s">
        <v>43</v>
      </c>
      <c r="E4852" s="15" t="s">
        <v>39</v>
      </c>
      <c r="F4852" s="15" t="s">
        <v>18</v>
      </c>
      <c r="G4852" s="15" t="s">
        <v>32</v>
      </c>
      <c r="H4852" s="15" t="n">
        <v>4</v>
      </c>
      <c r="I4852" s="17" t="n">
        <v>0.2</v>
      </c>
      <c r="J4852" s="18" t="n">
        <v>1450.92</v>
      </c>
      <c r="K4852" s="19" t="n">
        <v>99.19</v>
      </c>
      <c r="L4852" s="15" t="n">
        <f aca="false">YEAR(B4852)</f>
        <v>2024</v>
      </c>
      <c r="M4852" s="20" t="n">
        <f aca="false">IF(J4852&gt;0,K4852/J4852,0)</f>
        <v>0.0683635210762826</v>
      </c>
    </row>
    <row r="4853" customFormat="false" ht="15" hidden="false" customHeight="false" outlineLevel="0" collapsed="false">
      <c r="A4853" s="15" t="s">
        <v>4910</v>
      </c>
      <c r="B4853" s="16" t="n">
        <v>44638</v>
      </c>
      <c r="C4853" s="15" t="s">
        <v>68</v>
      </c>
      <c r="D4853" s="15" t="s">
        <v>42</v>
      </c>
      <c r="E4853" s="15" t="s">
        <v>39</v>
      </c>
      <c r="F4853" s="15" t="s">
        <v>16</v>
      </c>
      <c r="G4853" s="15" t="s">
        <v>22</v>
      </c>
      <c r="H4853" s="15" t="n">
        <v>4</v>
      </c>
      <c r="I4853" s="17" t="n">
        <v>0.15</v>
      </c>
      <c r="J4853" s="18" t="n">
        <v>2167.38</v>
      </c>
      <c r="K4853" s="19" t="n">
        <v>-526.51</v>
      </c>
      <c r="L4853" s="15" t="n">
        <f aca="false">YEAR(B4853)</f>
        <v>2022</v>
      </c>
      <c r="M4853" s="20" t="n">
        <f aca="false">IF(J4853&gt;0,K4853/J4853,0)</f>
        <v>-0.242924637119471</v>
      </c>
    </row>
    <row r="4854" customFormat="false" ht="15" hidden="false" customHeight="false" outlineLevel="0" collapsed="false">
      <c r="A4854" s="15" t="s">
        <v>4911</v>
      </c>
      <c r="B4854" s="16" t="n">
        <v>45195</v>
      </c>
      <c r="C4854" s="15" t="s">
        <v>68</v>
      </c>
      <c r="D4854" s="15" t="s">
        <v>42</v>
      </c>
      <c r="E4854" s="15" t="s">
        <v>38</v>
      </c>
      <c r="F4854" s="15" t="s">
        <v>17</v>
      </c>
      <c r="G4854" s="15" t="s">
        <v>29</v>
      </c>
      <c r="H4854" s="15" t="n">
        <v>3</v>
      </c>
      <c r="I4854" s="17" t="n">
        <v>0</v>
      </c>
      <c r="J4854" s="18" t="n">
        <v>44.75</v>
      </c>
      <c r="K4854" s="19" t="n">
        <v>18.58</v>
      </c>
      <c r="L4854" s="15" t="n">
        <f aca="false">YEAR(B4854)</f>
        <v>2023</v>
      </c>
      <c r="M4854" s="20" t="n">
        <f aca="false">IF(J4854&gt;0,K4854/J4854,0)</f>
        <v>0.415195530726257</v>
      </c>
    </row>
    <row r="4855" customFormat="false" ht="15" hidden="false" customHeight="false" outlineLevel="0" collapsed="false">
      <c r="A4855" s="15" t="s">
        <v>4912</v>
      </c>
      <c r="B4855" s="16" t="n">
        <v>45061</v>
      </c>
      <c r="C4855" s="15" t="s">
        <v>71</v>
      </c>
      <c r="D4855" s="15" t="s">
        <v>42</v>
      </c>
      <c r="E4855" s="15" t="s">
        <v>37</v>
      </c>
      <c r="F4855" s="15" t="s">
        <v>17</v>
      </c>
      <c r="G4855" s="15" t="s">
        <v>29</v>
      </c>
      <c r="H4855" s="15" t="n">
        <v>3</v>
      </c>
      <c r="I4855" s="17" t="n">
        <v>0.2</v>
      </c>
      <c r="J4855" s="18" t="n">
        <v>40.97</v>
      </c>
      <c r="K4855" s="19" t="n">
        <v>10.1</v>
      </c>
      <c r="L4855" s="15" t="n">
        <f aca="false">YEAR(B4855)</f>
        <v>2023</v>
      </c>
      <c r="M4855" s="20" t="n">
        <f aca="false">IF(J4855&gt;0,K4855/J4855,0)</f>
        <v>0.246521845252624</v>
      </c>
    </row>
    <row r="4856" customFormat="false" ht="15" hidden="false" customHeight="false" outlineLevel="0" collapsed="false">
      <c r="A4856" s="15" t="s">
        <v>4913</v>
      </c>
      <c r="B4856" s="16" t="n">
        <v>44640</v>
      </c>
      <c r="C4856" s="15" t="s">
        <v>71</v>
      </c>
      <c r="D4856" s="15" t="s">
        <v>42</v>
      </c>
      <c r="E4856" s="15" t="s">
        <v>38</v>
      </c>
      <c r="F4856" s="15" t="s">
        <v>18</v>
      </c>
      <c r="G4856" s="15" t="s">
        <v>30</v>
      </c>
      <c r="H4856" s="15" t="n">
        <v>6</v>
      </c>
      <c r="I4856" s="17" t="n">
        <v>0</v>
      </c>
      <c r="J4856" s="18" t="n">
        <v>245.79</v>
      </c>
      <c r="K4856" s="19" t="n">
        <v>60.34</v>
      </c>
      <c r="L4856" s="15" t="n">
        <f aca="false">YEAR(B4856)</f>
        <v>2022</v>
      </c>
      <c r="M4856" s="20" t="n">
        <f aca="false">IF(J4856&gt;0,K4856/J4856,0)</f>
        <v>0.2454941209976</v>
      </c>
    </row>
    <row r="4857" customFormat="false" ht="15" hidden="false" customHeight="false" outlineLevel="0" collapsed="false">
      <c r="A4857" s="15" t="s">
        <v>4914</v>
      </c>
      <c r="B4857" s="16" t="n">
        <v>45917</v>
      </c>
      <c r="C4857" s="15" t="s">
        <v>56</v>
      </c>
      <c r="D4857" s="15" t="s">
        <v>42</v>
      </c>
      <c r="E4857" s="15" t="s">
        <v>37</v>
      </c>
      <c r="F4857" s="15" t="s">
        <v>18</v>
      </c>
      <c r="G4857" s="15" t="s">
        <v>30</v>
      </c>
      <c r="H4857" s="15" t="n">
        <v>3</v>
      </c>
      <c r="I4857" s="17" t="n">
        <v>0.1</v>
      </c>
      <c r="J4857" s="18" t="n">
        <v>130.9</v>
      </c>
      <c r="K4857" s="19" t="n">
        <v>25.79</v>
      </c>
      <c r="L4857" s="15" t="n">
        <f aca="false">YEAR(B4857)</f>
        <v>2025</v>
      </c>
      <c r="M4857" s="20" t="n">
        <f aca="false">IF(J4857&gt;0,K4857/J4857,0)</f>
        <v>0.197020626432391</v>
      </c>
    </row>
    <row r="4858" customFormat="false" ht="15" hidden="false" customHeight="false" outlineLevel="0" collapsed="false">
      <c r="A4858" s="15" t="s">
        <v>4915</v>
      </c>
      <c r="B4858" s="16" t="n">
        <v>45167</v>
      </c>
      <c r="C4858" s="15" t="s">
        <v>56</v>
      </c>
      <c r="D4858" s="15" t="s">
        <v>44</v>
      </c>
      <c r="E4858" s="15" t="s">
        <v>39</v>
      </c>
      <c r="F4858" s="15" t="s">
        <v>17</v>
      </c>
      <c r="G4858" s="15" t="s">
        <v>31</v>
      </c>
      <c r="H4858" s="15" t="n">
        <v>5</v>
      </c>
      <c r="I4858" s="17" t="n">
        <v>0</v>
      </c>
      <c r="J4858" s="18" t="n">
        <v>619.64</v>
      </c>
      <c r="K4858" s="19" t="n">
        <v>116.52</v>
      </c>
      <c r="L4858" s="15" t="n">
        <f aca="false">YEAR(B4858)</f>
        <v>2023</v>
      </c>
      <c r="M4858" s="20" t="n">
        <f aca="false">IF(J4858&gt;0,K4858/J4858,0)</f>
        <v>0.188044671099348</v>
      </c>
    </row>
    <row r="4859" customFormat="false" ht="15" hidden="false" customHeight="false" outlineLevel="0" collapsed="false">
      <c r="A4859" s="15" t="s">
        <v>4916</v>
      </c>
      <c r="B4859" s="16" t="n">
        <v>45692</v>
      </c>
      <c r="C4859" s="15" t="s">
        <v>56</v>
      </c>
      <c r="D4859" s="15" t="s">
        <v>44</v>
      </c>
      <c r="E4859" s="15" t="s">
        <v>36</v>
      </c>
      <c r="F4859" s="15" t="s">
        <v>17</v>
      </c>
      <c r="G4859" s="15" t="s">
        <v>28</v>
      </c>
      <c r="H4859" s="15" t="n">
        <v>5</v>
      </c>
      <c r="I4859" s="17" t="n">
        <v>0</v>
      </c>
      <c r="J4859" s="18" t="n">
        <v>120.74</v>
      </c>
      <c r="K4859" s="19" t="n">
        <v>41.17</v>
      </c>
      <c r="L4859" s="15" t="n">
        <f aca="false">YEAR(B4859)</f>
        <v>2025</v>
      </c>
      <c r="M4859" s="20" t="n">
        <f aca="false">IF(J4859&gt;0,K4859/J4859,0)</f>
        <v>0.340980619513003</v>
      </c>
    </row>
    <row r="4860" customFormat="false" ht="15" hidden="false" customHeight="false" outlineLevel="0" collapsed="false">
      <c r="A4860" s="15" t="s">
        <v>4917</v>
      </c>
      <c r="B4860" s="16" t="n">
        <v>45634</v>
      </c>
      <c r="C4860" s="15" t="s">
        <v>56</v>
      </c>
      <c r="D4860" s="15" t="s">
        <v>42</v>
      </c>
      <c r="E4860" s="15" t="s">
        <v>39</v>
      </c>
      <c r="F4860" s="15" t="s">
        <v>17</v>
      </c>
      <c r="G4860" s="15" t="s">
        <v>29</v>
      </c>
      <c r="H4860" s="15" t="n">
        <v>5</v>
      </c>
      <c r="I4860" s="17" t="n">
        <v>0.4</v>
      </c>
      <c r="J4860" s="18" t="n">
        <v>54.19</v>
      </c>
      <c r="K4860" s="19" t="n">
        <v>1.7</v>
      </c>
      <c r="L4860" s="15" t="n">
        <f aca="false">YEAR(B4860)</f>
        <v>2024</v>
      </c>
      <c r="M4860" s="20" t="n">
        <f aca="false">IF(J4860&gt;0,K4860/J4860,0)</f>
        <v>0.0313711016792766</v>
      </c>
    </row>
    <row r="4861" customFormat="false" ht="15" hidden="false" customHeight="false" outlineLevel="0" collapsed="false">
      <c r="A4861" s="15" t="s">
        <v>4918</v>
      </c>
      <c r="B4861" s="16" t="n">
        <v>45911</v>
      </c>
      <c r="C4861" s="15" t="s">
        <v>71</v>
      </c>
      <c r="D4861" s="15" t="s">
        <v>43</v>
      </c>
      <c r="E4861" s="15" t="s">
        <v>36</v>
      </c>
      <c r="F4861" s="15" t="s">
        <v>16</v>
      </c>
      <c r="G4861" s="15" t="s">
        <v>27</v>
      </c>
      <c r="H4861" s="15" t="n">
        <v>6</v>
      </c>
      <c r="I4861" s="17" t="n">
        <v>0</v>
      </c>
      <c r="J4861" s="18" t="n">
        <v>344.51</v>
      </c>
      <c r="K4861" s="19" t="n">
        <v>68.65</v>
      </c>
      <c r="L4861" s="15" t="n">
        <f aca="false">YEAR(B4861)</f>
        <v>2025</v>
      </c>
      <c r="M4861" s="20" t="n">
        <f aca="false">IF(J4861&gt;0,K4861/J4861,0)</f>
        <v>0.199268526312734</v>
      </c>
    </row>
    <row r="4862" customFormat="false" ht="15" hidden="false" customHeight="false" outlineLevel="0" collapsed="false">
      <c r="A4862" s="15" t="s">
        <v>4919</v>
      </c>
      <c r="B4862" s="16" t="n">
        <v>45607</v>
      </c>
      <c r="C4862" s="15" t="s">
        <v>56</v>
      </c>
      <c r="D4862" s="15" t="s">
        <v>44</v>
      </c>
      <c r="E4862" s="15" t="s">
        <v>38</v>
      </c>
      <c r="F4862" s="15" t="s">
        <v>17</v>
      </c>
      <c r="G4862" s="15" t="s">
        <v>29</v>
      </c>
      <c r="H4862" s="15" t="n">
        <v>2</v>
      </c>
      <c r="I4862" s="17" t="n">
        <v>0</v>
      </c>
      <c r="J4862" s="18" t="n">
        <v>36.35</v>
      </c>
      <c r="K4862" s="19" t="n">
        <v>12.37</v>
      </c>
      <c r="L4862" s="15" t="n">
        <f aca="false">YEAR(B4862)</f>
        <v>2024</v>
      </c>
      <c r="M4862" s="20" t="n">
        <f aca="false">IF(J4862&gt;0,K4862/J4862,0)</f>
        <v>0.340302613480055</v>
      </c>
    </row>
    <row r="4863" customFormat="false" ht="15" hidden="false" customHeight="false" outlineLevel="0" collapsed="false">
      <c r="A4863" s="15" t="s">
        <v>4920</v>
      </c>
      <c r="B4863" s="16" t="n">
        <v>46002</v>
      </c>
      <c r="C4863" s="15" t="s">
        <v>58</v>
      </c>
      <c r="D4863" s="15" t="s">
        <v>44</v>
      </c>
      <c r="E4863" s="15" t="s">
        <v>36</v>
      </c>
      <c r="F4863" s="15" t="s">
        <v>18</v>
      </c>
      <c r="G4863" s="15" t="s">
        <v>24</v>
      </c>
      <c r="H4863" s="15" t="n">
        <v>3</v>
      </c>
      <c r="I4863" s="17" t="n">
        <v>0</v>
      </c>
      <c r="J4863" s="18" t="n">
        <v>2050.83</v>
      </c>
      <c r="K4863" s="19" t="n">
        <v>110.14</v>
      </c>
      <c r="L4863" s="15" t="n">
        <f aca="false">YEAR(B4863)</f>
        <v>2025</v>
      </c>
      <c r="M4863" s="20" t="n">
        <f aca="false">IF(J4863&gt;0,K4863/J4863,0)</f>
        <v>0.0537050852581638</v>
      </c>
    </row>
    <row r="4864" customFormat="false" ht="15" hidden="false" customHeight="false" outlineLevel="0" collapsed="false">
      <c r="A4864" s="15" t="s">
        <v>4921</v>
      </c>
      <c r="B4864" s="16" t="n">
        <v>45766</v>
      </c>
      <c r="C4864" s="15" t="s">
        <v>71</v>
      </c>
      <c r="D4864" s="15" t="s">
        <v>43</v>
      </c>
      <c r="E4864" s="15" t="s">
        <v>37</v>
      </c>
      <c r="F4864" s="15" t="s">
        <v>18</v>
      </c>
      <c r="G4864" s="15" t="s">
        <v>30</v>
      </c>
      <c r="H4864" s="15" t="n">
        <v>3</v>
      </c>
      <c r="I4864" s="17" t="n">
        <v>0.1</v>
      </c>
      <c r="J4864" s="18" t="n">
        <v>144.27</v>
      </c>
      <c r="K4864" s="19" t="n">
        <v>28.71</v>
      </c>
      <c r="L4864" s="15" t="n">
        <f aca="false">YEAR(B4864)</f>
        <v>2025</v>
      </c>
      <c r="M4864" s="20" t="n">
        <f aca="false">IF(J4864&gt;0,K4864/J4864,0)</f>
        <v>0.199001871490954</v>
      </c>
    </row>
    <row r="4865" customFormat="false" ht="15" hidden="false" customHeight="false" outlineLevel="0" collapsed="false">
      <c r="A4865" s="15" t="s">
        <v>4922</v>
      </c>
      <c r="B4865" s="16" t="n">
        <v>45473</v>
      </c>
      <c r="C4865" s="15" t="s">
        <v>71</v>
      </c>
      <c r="D4865" s="15" t="s">
        <v>42</v>
      </c>
      <c r="E4865" s="15" t="s">
        <v>38</v>
      </c>
      <c r="F4865" s="15" t="s">
        <v>18</v>
      </c>
      <c r="G4865" s="15" t="s">
        <v>30</v>
      </c>
      <c r="H4865" s="15" t="n">
        <v>5</v>
      </c>
      <c r="I4865" s="17" t="n">
        <v>0</v>
      </c>
      <c r="J4865" s="18" t="n">
        <v>199.48</v>
      </c>
      <c r="K4865" s="19" t="n">
        <v>59.44</v>
      </c>
      <c r="L4865" s="15" t="n">
        <f aca="false">YEAR(B4865)</f>
        <v>2024</v>
      </c>
      <c r="M4865" s="20" t="n">
        <f aca="false">IF(J4865&gt;0,K4865/J4865,0)</f>
        <v>0.297974734309204</v>
      </c>
    </row>
    <row r="4866" customFormat="false" ht="15" hidden="false" customHeight="false" outlineLevel="0" collapsed="false">
      <c r="A4866" s="15" t="s">
        <v>4923</v>
      </c>
      <c r="B4866" s="16" t="n">
        <v>46007</v>
      </c>
      <c r="C4866" s="15" t="s">
        <v>56</v>
      </c>
      <c r="D4866" s="15" t="s">
        <v>42</v>
      </c>
      <c r="E4866" s="15" t="s">
        <v>36</v>
      </c>
      <c r="F4866" s="15" t="s">
        <v>18</v>
      </c>
      <c r="G4866" s="15" t="s">
        <v>30</v>
      </c>
      <c r="H4866" s="15" t="n">
        <v>2</v>
      </c>
      <c r="I4866" s="17" t="n">
        <v>0</v>
      </c>
      <c r="J4866" s="18" t="n">
        <v>92.29</v>
      </c>
      <c r="K4866" s="19" t="n">
        <v>35.53</v>
      </c>
      <c r="L4866" s="15" t="n">
        <f aca="false">YEAR(B4866)</f>
        <v>2025</v>
      </c>
      <c r="M4866" s="20" t="n">
        <f aca="false">IF(J4866&gt;0,K4866/J4866,0)</f>
        <v>0.384982121573302</v>
      </c>
    </row>
    <row r="4867" customFormat="false" ht="15" hidden="false" customHeight="false" outlineLevel="0" collapsed="false">
      <c r="A4867" s="15" t="s">
        <v>4924</v>
      </c>
      <c r="B4867" s="16" t="n">
        <v>44636</v>
      </c>
      <c r="C4867" s="15" t="s">
        <v>68</v>
      </c>
      <c r="D4867" s="15" t="s">
        <v>42</v>
      </c>
      <c r="E4867" s="15" t="s">
        <v>39</v>
      </c>
      <c r="F4867" s="15" t="s">
        <v>18</v>
      </c>
      <c r="G4867" s="15" t="s">
        <v>32</v>
      </c>
      <c r="H4867" s="15" t="n">
        <v>4</v>
      </c>
      <c r="I4867" s="17" t="n">
        <v>0</v>
      </c>
      <c r="J4867" s="18" t="n">
        <v>1566.7</v>
      </c>
      <c r="K4867" s="19" t="n">
        <v>327.85</v>
      </c>
      <c r="L4867" s="15" t="n">
        <f aca="false">YEAR(B4867)</f>
        <v>2022</v>
      </c>
      <c r="M4867" s="20" t="n">
        <f aca="false">IF(J4867&gt;0,K4867/J4867,0)</f>
        <v>0.20926150507436</v>
      </c>
    </row>
    <row r="4868" customFormat="false" ht="15" hidden="false" customHeight="false" outlineLevel="0" collapsed="false">
      <c r="A4868" s="15" t="s">
        <v>4925</v>
      </c>
      <c r="B4868" s="16" t="n">
        <v>45406</v>
      </c>
      <c r="C4868" s="15" t="s">
        <v>71</v>
      </c>
      <c r="D4868" s="15" t="s">
        <v>43</v>
      </c>
      <c r="E4868" s="15" t="s">
        <v>37</v>
      </c>
      <c r="F4868" s="15" t="s">
        <v>16</v>
      </c>
      <c r="G4868" s="15" t="s">
        <v>22</v>
      </c>
      <c r="H4868" s="15" t="n">
        <v>4</v>
      </c>
      <c r="I4868" s="17" t="n">
        <v>0</v>
      </c>
      <c r="J4868" s="18" t="n">
        <v>1940.44</v>
      </c>
      <c r="K4868" s="19" t="n">
        <v>44.65</v>
      </c>
      <c r="L4868" s="15" t="n">
        <f aca="false">YEAR(B4868)</f>
        <v>2024</v>
      </c>
      <c r="M4868" s="20" t="n">
        <f aca="false">IF(J4868&gt;0,K4868/J4868,0)</f>
        <v>0.0230102450990497</v>
      </c>
    </row>
    <row r="4869" customFormat="false" ht="15" hidden="false" customHeight="false" outlineLevel="0" collapsed="false">
      <c r="A4869" s="15" t="s">
        <v>4926</v>
      </c>
      <c r="B4869" s="16" t="n">
        <v>45658</v>
      </c>
      <c r="C4869" s="15" t="s">
        <v>56</v>
      </c>
      <c r="D4869" s="15" t="s">
        <v>42</v>
      </c>
      <c r="E4869" s="15" t="s">
        <v>39</v>
      </c>
      <c r="F4869" s="15" t="s">
        <v>16</v>
      </c>
      <c r="G4869" s="15" t="s">
        <v>23</v>
      </c>
      <c r="H4869" s="15" t="n">
        <v>5</v>
      </c>
      <c r="I4869" s="17" t="n">
        <v>0.1</v>
      </c>
      <c r="J4869" s="18" t="n">
        <v>1482.84</v>
      </c>
      <c r="K4869" s="19" t="n">
        <v>-149.04</v>
      </c>
      <c r="L4869" s="15" t="n">
        <f aca="false">YEAR(B4869)</f>
        <v>2025</v>
      </c>
      <c r="M4869" s="20" t="n">
        <f aca="false">IF(J4869&gt;0,K4869/J4869,0)</f>
        <v>-0.100509832483613</v>
      </c>
    </row>
    <row r="4870" customFormat="false" ht="15" hidden="false" customHeight="false" outlineLevel="0" collapsed="false">
      <c r="A4870" s="15" t="s">
        <v>4927</v>
      </c>
      <c r="B4870" s="16" t="n">
        <v>45679</v>
      </c>
      <c r="C4870" s="15" t="s">
        <v>56</v>
      </c>
      <c r="D4870" s="15" t="s">
        <v>42</v>
      </c>
      <c r="E4870" s="15" t="s">
        <v>37</v>
      </c>
      <c r="F4870" s="15" t="s">
        <v>17</v>
      </c>
      <c r="G4870" s="15" t="s">
        <v>28</v>
      </c>
      <c r="H4870" s="15" t="n">
        <v>3</v>
      </c>
      <c r="I4870" s="17" t="n">
        <v>0.15</v>
      </c>
      <c r="J4870" s="18" t="n">
        <v>75.34</v>
      </c>
      <c r="K4870" s="19" t="n">
        <v>17.43</v>
      </c>
      <c r="L4870" s="15" t="n">
        <f aca="false">YEAR(B4870)</f>
        <v>2025</v>
      </c>
      <c r="M4870" s="20" t="n">
        <f aca="false">IF(J4870&gt;0,K4870/J4870,0)</f>
        <v>0.231351207857712</v>
      </c>
    </row>
    <row r="4871" customFormat="false" ht="15" hidden="false" customHeight="false" outlineLevel="0" collapsed="false">
      <c r="A4871" s="15" t="s">
        <v>4928</v>
      </c>
      <c r="B4871" s="16" t="n">
        <v>45867</v>
      </c>
      <c r="C4871" s="15" t="s">
        <v>68</v>
      </c>
      <c r="D4871" s="15" t="s">
        <v>44</v>
      </c>
      <c r="E4871" s="15" t="s">
        <v>37</v>
      </c>
      <c r="F4871" s="15" t="s">
        <v>18</v>
      </c>
      <c r="G4871" s="15" t="s">
        <v>33</v>
      </c>
      <c r="H4871" s="15" t="n">
        <v>3</v>
      </c>
      <c r="I4871" s="17" t="n">
        <v>0.15</v>
      </c>
      <c r="J4871" s="18" t="n">
        <v>2328.36</v>
      </c>
      <c r="K4871" s="19" t="n">
        <v>463.89</v>
      </c>
      <c r="L4871" s="15" t="n">
        <f aca="false">YEAR(B4871)</f>
        <v>2025</v>
      </c>
      <c r="M4871" s="20" t="n">
        <f aca="false">IF(J4871&gt;0,K4871/J4871,0)</f>
        <v>0.199234654434881</v>
      </c>
    </row>
    <row r="4872" customFormat="false" ht="15" hidden="false" customHeight="false" outlineLevel="0" collapsed="false">
      <c r="A4872" s="15" t="s">
        <v>4929</v>
      </c>
      <c r="B4872" s="16" t="n">
        <v>45870</v>
      </c>
      <c r="C4872" s="15" t="s">
        <v>71</v>
      </c>
      <c r="D4872" s="15" t="s">
        <v>42</v>
      </c>
      <c r="E4872" s="15" t="s">
        <v>37</v>
      </c>
      <c r="F4872" s="15" t="s">
        <v>17</v>
      </c>
      <c r="G4872" s="15" t="s">
        <v>26</v>
      </c>
      <c r="H4872" s="15" t="n">
        <v>2</v>
      </c>
      <c r="I4872" s="17" t="n">
        <v>0</v>
      </c>
      <c r="J4872" s="18" t="n">
        <v>186.11</v>
      </c>
      <c r="K4872" s="19" t="n">
        <v>22.44</v>
      </c>
      <c r="L4872" s="15" t="n">
        <f aca="false">YEAR(B4872)</f>
        <v>2025</v>
      </c>
      <c r="M4872" s="20" t="n">
        <f aca="false">IF(J4872&gt;0,K4872/J4872,0)</f>
        <v>0.120573854172264</v>
      </c>
    </row>
    <row r="4873" customFormat="false" ht="15" hidden="false" customHeight="false" outlineLevel="0" collapsed="false">
      <c r="A4873" s="15" t="s">
        <v>4930</v>
      </c>
      <c r="B4873" s="16" t="n">
        <v>45337</v>
      </c>
      <c r="C4873" s="15" t="s">
        <v>56</v>
      </c>
      <c r="D4873" s="15" t="s">
        <v>42</v>
      </c>
      <c r="E4873" s="15" t="s">
        <v>36</v>
      </c>
      <c r="F4873" s="15" t="s">
        <v>17</v>
      </c>
      <c r="G4873" s="15" t="s">
        <v>26</v>
      </c>
      <c r="H4873" s="15" t="n">
        <v>4</v>
      </c>
      <c r="I4873" s="17" t="n">
        <v>0.05</v>
      </c>
      <c r="J4873" s="18" t="n">
        <v>325.42</v>
      </c>
      <c r="K4873" s="19" t="n">
        <v>33.39</v>
      </c>
      <c r="L4873" s="15" t="n">
        <f aca="false">YEAR(B4873)</f>
        <v>2024</v>
      </c>
      <c r="M4873" s="20" t="n">
        <f aca="false">IF(J4873&gt;0,K4873/J4873,0)</f>
        <v>0.102605863192182</v>
      </c>
    </row>
    <row r="4874" customFormat="false" ht="15" hidden="false" customHeight="false" outlineLevel="0" collapsed="false">
      <c r="A4874" s="15" t="s">
        <v>4931</v>
      </c>
      <c r="B4874" s="16" t="n">
        <v>45188</v>
      </c>
      <c r="C4874" s="15" t="s">
        <v>56</v>
      </c>
      <c r="D4874" s="15" t="s">
        <v>42</v>
      </c>
      <c r="E4874" s="15" t="s">
        <v>36</v>
      </c>
      <c r="F4874" s="15" t="s">
        <v>17</v>
      </c>
      <c r="G4874" s="15" t="s">
        <v>31</v>
      </c>
      <c r="H4874" s="15" t="n">
        <v>3</v>
      </c>
      <c r="I4874" s="17" t="n">
        <v>0.05</v>
      </c>
      <c r="J4874" s="18" t="n">
        <v>358.02</v>
      </c>
      <c r="K4874" s="19" t="n">
        <v>47.82</v>
      </c>
      <c r="L4874" s="15" t="n">
        <f aca="false">YEAR(B4874)</f>
        <v>2023</v>
      </c>
      <c r="M4874" s="20" t="n">
        <f aca="false">IF(J4874&gt;0,K4874/J4874,0)</f>
        <v>0.133567957097369</v>
      </c>
    </row>
    <row r="4875" customFormat="false" ht="15" hidden="false" customHeight="false" outlineLevel="0" collapsed="false">
      <c r="A4875" s="15" t="s">
        <v>4932</v>
      </c>
      <c r="B4875" s="16" t="n">
        <v>44867</v>
      </c>
      <c r="C4875" s="15" t="s">
        <v>71</v>
      </c>
      <c r="D4875" s="15" t="s">
        <v>42</v>
      </c>
      <c r="E4875" s="15" t="s">
        <v>39</v>
      </c>
      <c r="F4875" s="15" t="s">
        <v>17</v>
      </c>
      <c r="G4875" s="15" t="s">
        <v>31</v>
      </c>
      <c r="H4875" s="15" t="n">
        <v>3</v>
      </c>
      <c r="I4875" s="17" t="n">
        <v>0.2</v>
      </c>
      <c r="J4875" s="18" t="n">
        <v>383.29</v>
      </c>
      <c r="K4875" s="19" t="n">
        <v>5.3</v>
      </c>
      <c r="L4875" s="15" t="n">
        <f aca="false">YEAR(B4875)</f>
        <v>2022</v>
      </c>
      <c r="M4875" s="20" t="n">
        <f aca="false">IF(J4875&gt;0,K4875/J4875,0)</f>
        <v>0.0138276500821832</v>
      </c>
    </row>
    <row r="4876" customFormat="false" ht="15" hidden="false" customHeight="false" outlineLevel="0" collapsed="false">
      <c r="A4876" s="15" t="s">
        <v>4933</v>
      </c>
      <c r="B4876" s="16" t="n">
        <v>45290</v>
      </c>
      <c r="C4876" s="15" t="s">
        <v>56</v>
      </c>
      <c r="D4876" s="15" t="s">
        <v>42</v>
      </c>
      <c r="E4876" s="15" t="s">
        <v>36</v>
      </c>
      <c r="F4876" s="15" t="s">
        <v>18</v>
      </c>
      <c r="G4876" s="15" t="s">
        <v>32</v>
      </c>
      <c r="H4876" s="15" t="n">
        <v>3</v>
      </c>
      <c r="I4876" s="17" t="n">
        <v>0</v>
      </c>
      <c r="J4876" s="18" t="n">
        <v>1365.72</v>
      </c>
      <c r="K4876" s="19" t="n">
        <v>274.11</v>
      </c>
      <c r="L4876" s="15" t="n">
        <f aca="false">YEAR(B4876)</f>
        <v>2023</v>
      </c>
      <c r="M4876" s="20" t="n">
        <f aca="false">IF(J4876&gt;0,K4876/J4876,0)</f>
        <v>0.200707319216238</v>
      </c>
    </row>
    <row r="4877" customFormat="false" ht="15" hidden="false" customHeight="false" outlineLevel="0" collapsed="false">
      <c r="A4877" s="15" t="s">
        <v>4934</v>
      </c>
      <c r="B4877" s="16" t="n">
        <v>45359</v>
      </c>
      <c r="C4877" s="15" t="s">
        <v>56</v>
      </c>
      <c r="D4877" s="15" t="s">
        <v>44</v>
      </c>
      <c r="E4877" s="15" t="s">
        <v>38</v>
      </c>
      <c r="F4877" s="15" t="s">
        <v>16</v>
      </c>
      <c r="G4877" s="15" t="s">
        <v>22</v>
      </c>
      <c r="H4877" s="15" t="n">
        <v>3</v>
      </c>
      <c r="I4877" s="17" t="n">
        <v>0.3</v>
      </c>
      <c r="J4877" s="18" t="n">
        <v>1101.16</v>
      </c>
      <c r="K4877" s="19" t="n">
        <v>-370.45</v>
      </c>
      <c r="L4877" s="15" t="n">
        <f aca="false">YEAR(B4877)</f>
        <v>2024</v>
      </c>
      <c r="M4877" s="20" t="n">
        <f aca="false">IF(J4877&gt;0,K4877/J4877,0)</f>
        <v>-0.33641795924298</v>
      </c>
    </row>
    <row r="4878" customFormat="false" ht="15" hidden="false" customHeight="false" outlineLevel="0" collapsed="false">
      <c r="A4878" s="15" t="s">
        <v>4935</v>
      </c>
      <c r="B4878" s="16" t="n">
        <v>45838</v>
      </c>
      <c r="C4878" s="15" t="s">
        <v>56</v>
      </c>
      <c r="D4878" s="15" t="s">
        <v>42</v>
      </c>
      <c r="E4878" s="15" t="s">
        <v>39</v>
      </c>
      <c r="F4878" s="15" t="s">
        <v>17</v>
      </c>
      <c r="G4878" s="15" t="s">
        <v>29</v>
      </c>
      <c r="H4878" s="15" t="n">
        <v>6</v>
      </c>
      <c r="I4878" s="17" t="n">
        <v>0</v>
      </c>
      <c r="J4878" s="18" t="n">
        <v>104.72</v>
      </c>
      <c r="K4878" s="19" t="n">
        <v>40.78</v>
      </c>
      <c r="L4878" s="15" t="n">
        <f aca="false">YEAR(B4878)</f>
        <v>2025</v>
      </c>
      <c r="M4878" s="20" t="n">
        <f aca="false">IF(J4878&gt;0,K4878/J4878,0)</f>
        <v>0.389419404125287</v>
      </c>
    </row>
    <row r="4879" customFormat="false" ht="15" hidden="false" customHeight="false" outlineLevel="0" collapsed="false">
      <c r="A4879" s="15" t="s">
        <v>4936</v>
      </c>
      <c r="B4879" s="16" t="n">
        <v>45611</v>
      </c>
      <c r="C4879" s="15" t="s">
        <v>58</v>
      </c>
      <c r="D4879" s="15" t="s">
        <v>42</v>
      </c>
      <c r="E4879" s="15" t="s">
        <v>39</v>
      </c>
      <c r="F4879" s="15" t="s">
        <v>16</v>
      </c>
      <c r="G4879" s="15" t="s">
        <v>23</v>
      </c>
      <c r="H4879" s="15" t="n">
        <v>3</v>
      </c>
      <c r="I4879" s="17" t="n">
        <v>0.05</v>
      </c>
      <c r="J4879" s="18" t="n">
        <v>1061.08</v>
      </c>
      <c r="K4879" s="19" t="n">
        <v>60.54</v>
      </c>
      <c r="L4879" s="15" t="n">
        <f aca="false">YEAR(B4879)</f>
        <v>2024</v>
      </c>
      <c r="M4879" s="20" t="n">
        <f aca="false">IF(J4879&gt;0,K4879/J4879,0)</f>
        <v>0.0570550759603423</v>
      </c>
    </row>
    <row r="4880" customFormat="false" ht="15" hidden="false" customHeight="false" outlineLevel="0" collapsed="false">
      <c r="A4880" s="15" t="s">
        <v>4937</v>
      </c>
      <c r="B4880" s="16" t="n">
        <v>45923</v>
      </c>
      <c r="C4880" s="15" t="s">
        <v>56</v>
      </c>
      <c r="D4880" s="15" t="s">
        <v>43</v>
      </c>
      <c r="E4880" s="15" t="s">
        <v>39</v>
      </c>
      <c r="F4880" s="15" t="s">
        <v>17</v>
      </c>
      <c r="G4880" s="15" t="s">
        <v>28</v>
      </c>
      <c r="H4880" s="15" t="n">
        <v>6</v>
      </c>
      <c r="I4880" s="17" t="n">
        <v>0</v>
      </c>
      <c r="J4880" s="18" t="n">
        <v>159.01</v>
      </c>
      <c r="K4880" s="19" t="n">
        <v>49.26</v>
      </c>
      <c r="L4880" s="15" t="n">
        <f aca="false">YEAR(B4880)</f>
        <v>2025</v>
      </c>
      <c r="M4880" s="20" t="n">
        <f aca="false">IF(J4880&gt;0,K4880/J4880,0)</f>
        <v>0.309791836991384</v>
      </c>
    </row>
    <row r="4881" customFormat="false" ht="15" hidden="false" customHeight="false" outlineLevel="0" collapsed="false">
      <c r="A4881" s="15" t="s">
        <v>4938</v>
      </c>
      <c r="B4881" s="16" t="n">
        <v>44583</v>
      </c>
      <c r="C4881" s="15" t="s">
        <v>71</v>
      </c>
      <c r="D4881" s="15" t="s">
        <v>42</v>
      </c>
      <c r="E4881" s="15" t="s">
        <v>36</v>
      </c>
      <c r="F4881" s="15" t="s">
        <v>18</v>
      </c>
      <c r="G4881" s="15" t="s">
        <v>33</v>
      </c>
      <c r="H4881" s="15" t="n">
        <v>4</v>
      </c>
      <c r="I4881" s="17" t="n">
        <v>0</v>
      </c>
      <c r="J4881" s="18" t="n">
        <v>3052.34</v>
      </c>
      <c r="K4881" s="19" t="n">
        <v>945.85</v>
      </c>
      <c r="L4881" s="15" t="n">
        <f aca="false">YEAR(B4881)</f>
        <v>2022</v>
      </c>
      <c r="M4881" s="20" t="n">
        <f aca="false">IF(J4881&gt;0,K4881/J4881,0)</f>
        <v>0.309877012390494</v>
      </c>
    </row>
    <row r="4882" customFormat="false" ht="15" hidden="false" customHeight="false" outlineLevel="0" collapsed="false">
      <c r="A4882" s="15" t="s">
        <v>4939</v>
      </c>
      <c r="B4882" s="16" t="n">
        <v>44774</v>
      </c>
      <c r="C4882" s="15" t="s">
        <v>56</v>
      </c>
      <c r="D4882" s="15" t="s">
        <v>42</v>
      </c>
      <c r="E4882" s="15" t="s">
        <v>37</v>
      </c>
      <c r="F4882" s="15" t="s">
        <v>16</v>
      </c>
      <c r="G4882" s="15" t="s">
        <v>25</v>
      </c>
      <c r="H4882" s="15" t="n">
        <v>5</v>
      </c>
      <c r="I4882" s="17" t="n">
        <v>0.15</v>
      </c>
      <c r="J4882" s="18" t="n">
        <v>1150.59</v>
      </c>
      <c r="K4882" s="19" t="n">
        <v>-31.98</v>
      </c>
      <c r="L4882" s="15" t="n">
        <f aca="false">YEAR(B4882)</f>
        <v>2022</v>
      </c>
      <c r="M4882" s="20" t="n">
        <f aca="false">IF(J4882&gt;0,K4882/J4882,0)</f>
        <v>-0.0277944358981045</v>
      </c>
    </row>
    <row r="4883" customFormat="false" ht="15" hidden="false" customHeight="false" outlineLevel="0" collapsed="false">
      <c r="A4883" s="15" t="s">
        <v>4940</v>
      </c>
      <c r="B4883" s="16" t="n">
        <v>45992</v>
      </c>
      <c r="C4883" s="15" t="s">
        <v>56</v>
      </c>
      <c r="D4883" s="15" t="s">
        <v>42</v>
      </c>
      <c r="E4883" s="15" t="s">
        <v>36</v>
      </c>
      <c r="F4883" s="15" t="s">
        <v>16</v>
      </c>
      <c r="G4883" s="15" t="s">
        <v>27</v>
      </c>
      <c r="H4883" s="15" t="n">
        <v>3</v>
      </c>
      <c r="I4883" s="17" t="n">
        <v>0.15</v>
      </c>
      <c r="J4883" s="18" t="n">
        <v>148.78</v>
      </c>
      <c r="K4883" s="19" t="n">
        <v>27.24</v>
      </c>
      <c r="L4883" s="15" t="n">
        <f aca="false">YEAR(B4883)</f>
        <v>2025</v>
      </c>
      <c r="M4883" s="20" t="n">
        <f aca="false">IF(J4883&gt;0,K4883/J4883,0)</f>
        <v>0.183089124882377</v>
      </c>
    </row>
    <row r="4884" customFormat="false" ht="15" hidden="false" customHeight="false" outlineLevel="0" collapsed="false">
      <c r="A4884" s="15" t="s">
        <v>4941</v>
      </c>
      <c r="B4884" s="16" t="n">
        <v>45637</v>
      </c>
      <c r="C4884" s="15" t="s">
        <v>68</v>
      </c>
      <c r="D4884" s="15" t="s">
        <v>42</v>
      </c>
      <c r="E4884" s="15" t="s">
        <v>37</v>
      </c>
      <c r="F4884" s="15" t="s">
        <v>16</v>
      </c>
      <c r="G4884" s="15" t="s">
        <v>22</v>
      </c>
      <c r="H4884" s="15" t="n">
        <v>4</v>
      </c>
      <c r="I4884" s="17" t="n">
        <v>0.4</v>
      </c>
      <c r="J4884" s="18" t="n">
        <v>1299.47</v>
      </c>
      <c r="K4884" s="19" t="n">
        <v>-463.98</v>
      </c>
      <c r="L4884" s="15" t="n">
        <f aca="false">YEAR(B4884)</f>
        <v>2024</v>
      </c>
      <c r="M4884" s="20" t="n">
        <f aca="false">IF(J4884&gt;0,K4884/J4884,0)</f>
        <v>-0.357053260175302</v>
      </c>
    </row>
    <row r="4885" customFormat="false" ht="15" hidden="false" customHeight="false" outlineLevel="0" collapsed="false">
      <c r="A4885" s="15" t="s">
        <v>4942</v>
      </c>
      <c r="B4885" s="16" t="n">
        <v>45405</v>
      </c>
      <c r="C4885" s="15" t="s">
        <v>68</v>
      </c>
      <c r="D4885" s="15" t="s">
        <v>42</v>
      </c>
      <c r="E4885" s="15" t="s">
        <v>38</v>
      </c>
      <c r="F4885" s="15" t="s">
        <v>17</v>
      </c>
      <c r="G4885" s="15" t="s">
        <v>31</v>
      </c>
      <c r="H4885" s="15" t="n">
        <v>7</v>
      </c>
      <c r="I4885" s="17" t="n">
        <v>0</v>
      </c>
      <c r="J4885" s="18" t="n">
        <v>872.97</v>
      </c>
      <c r="K4885" s="19" t="n">
        <v>156.74</v>
      </c>
      <c r="L4885" s="15" t="n">
        <f aca="false">YEAR(B4885)</f>
        <v>2024</v>
      </c>
      <c r="M4885" s="20" t="n">
        <f aca="false">IF(J4885&gt;0,K4885/J4885,0)</f>
        <v>0.179547979884761</v>
      </c>
    </row>
    <row r="4886" customFormat="false" ht="15" hidden="false" customHeight="false" outlineLevel="0" collapsed="false">
      <c r="A4886" s="15" t="s">
        <v>4943</v>
      </c>
      <c r="B4886" s="16" t="n">
        <v>45395</v>
      </c>
      <c r="C4886" s="15" t="s">
        <v>56</v>
      </c>
      <c r="D4886" s="15" t="s">
        <v>43</v>
      </c>
      <c r="E4886" s="15" t="s">
        <v>37</v>
      </c>
      <c r="F4886" s="15" t="s">
        <v>17</v>
      </c>
      <c r="G4886" s="15" t="s">
        <v>26</v>
      </c>
      <c r="H4886" s="15" t="n">
        <v>6</v>
      </c>
      <c r="I4886" s="17" t="n">
        <v>0.05</v>
      </c>
      <c r="J4886" s="18" t="n">
        <v>490.99</v>
      </c>
      <c r="K4886" s="19" t="n">
        <v>39.83</v>
      </c>
      <c r="L4886" s="15" t="n">
        <f aca="false">YEAR(B4886)</f>
        <v>2024</v>
      </c>
      <c r="M4886" s="20" t="n">
        <f aca="false">IF(J4886&gt;0,K4886/J4886,0)</f>
        <v>0.0811218151082507</v>
      </c>
    </row>
    <row r="4887" customFormat="false" ht="15" hidden="false" customHeight="false" outlineLevel="0" collapsed="false">
      <c r="A4887" s="15" t="s">
        <v>4944</v>
      </c>
      <c r="B4887" s="16" t="n">
        <v>45417</v>
      </c>
      <c r="C4887" s="15" t="s">
        <v>71</v>
      </c>
      <c r="D4887" s="15" t="s">
        <v>43</v>
      </c>
      <c r="E4887" s="15" t="s">
        <v>39</v>
      </c>
      <c r="F4887" s="15" t="s">
        <v>17</v>
      </c>
      <c r="G4887" s="15" t="s">
        <v>29</v>
      </c>
      <c r="H4887" s="15" t="n">
        <v>5</v>
      </c>
      <c r="I4887" s="17" t="n">
        <v>0.1</v>
      </c>
      <c r="J4887" s="18" t="n">
        <v>82.8</v>
      </c>
      <c r="K4887" s="19" t="n">
        <v>22.32</v>
      </c>
      <c r="L4887" s="15" t="n">
        <f aca="false">YEAR(B4887)</f>
        <v>2024</v>
      </c>
      <c r="M4887" s="20" t="n">
        <f aca="false">IF(J4887&gt;0,K4887/J4887,0)</f>
        <v>0.269565217391304</v>
      </c>
    </row>
    <row r="4888" customFormat="false" ht="15" hidden="false" customHeight="false" outlineLevel="0" collapsed="false">
      <c r="A4888" s="15" t="s">
        <v>4945</v>
      </c>
      <c r="B4888" s="16" t="n">
        <v>44972</v>
      </c>
      <c r="C4888" s="15" t="s">
        <v>56</v>
      </c>
      <c r="D4888" s="15" t="s">
        <v>42</v>
      </c>
      <c r="E4888" s="15" t="s">
        <v>39</v>
      </c>
      <c r="F4888" s="15" t="s">
        <v>17</v>
      </c>
      <c r="G4888" s="15" t="s">
        <v>28</v>
      </c>
      <c r="H4888" s="15" t="n">
        <v>3</v>
      </c>
      <c r="I4888" s="17" t="n">
        <v>0.3</v>
      </c>
      <c r="J4888" s="18" t="n">
        <v>53.52</v>
      </c>
      <c r="K4888" s="19" t="n">
        <v>1.83</v>
      </c>
      <c r="L4888" s="15" t="n">
        <f aca="false">YEAR(B4888)</f>
        <v>2023</v>
      </c>
      <c r="M4888" s="20" t="n">
        <f aca="false">IF(J4888&gt;0,K4888/J4888,0)</f>
        <v>0.0341928251121076</v>
      </c>
    </row>
    <row r="4889" customFormat="false" ht="15" hidden="false" customHeight="false" outlineLevel="0" collapsed="false">
      <c r="A4889" s="15" t="s">
        <v>4946</v>
      </c>
      <c r="B4889" s="16" t="n">
        <v>46000</v>
      </c>
      <c r="C4889" s="15" t="s">
        <v>71</v>
      </c>
      <c r="D4889" s="15" t="s">
        <v>42</v>
      </c>
      <c r="E4889" s="15" t="s">
        <v>36</v>
      </c>
      <c r="F4889" s="15" t="s">
        <v>16</v>
      </c>
      <c r="G4889" s="15" t="s">
        <v>22</v>
      </c>
      <c r="H4889" s="15" t="n">
        <v>4</v>
      </c>
      <c r="I4889" s="17" t="n">
        <v>0.15</v>
      </c>
      <c r="J4889" s="18" t="n">
        <v>1755.52</v>
      </c>
      <c r="K4889" s="19" t="n">
        <v>-250.92</v>
      </c>
      <c r="L4889" s="15" t="n">
        <f aca="false">YEAR(B4889)</f>
        <v>2025</v>
      </c>
      <c r="M4889" s="20" t="n">
        <f aca="false">IF(J4889&gt;0,K4889/J4889,0)</f>
        <v>-0.142932008749544</v>
      </c>
    </row>
    <row r="4890" customFormat="false" ht="15" hidden="false" customHeight="false" outlineLevel="0" collapsed="false">
      <c r="A4890" s="15" t="s">
        <v>4947</v>
      </c>
      <c r="B4890" s="16" t="n">
        <v>45566</v>
      </c>
      <c r="C4890" s="15" t="s">
        <v>56</v>
      </c>
      <c r="D4890" s="15" t="s">
        <v>43</v>
      </c>
      <c r="E4890" s="15" t="s">
        <v>38</v>
      </c>
      <c r="F4890" s="15" t="s">
        <v>18</v>
      </c>
      <c r="G4890" s="15" t="s">
        <v>32</v>
      </c>
      <c r="H4890" s="15" t="n">
        <v>2</v>
      </c>
      <c r="I4890" s="17" t="n">
        <v>0.15</v>
      </c>
      <c r="J4890" s="18" t="n">
        <v>683.15</v>
      </c>
      <c r="K4890" s="19" t="n">
        <v>44.94</v>
      </c>
      <c r="L4890" s="15" t="n">
        <f aca="false">YEAR(B4890)</f>
        <v>2024</v>
      </c>
      <c r="M4890" s="20" t="n">
        <f aca="false">IF(J4890&gt;0,K4890/J4890,0)</f>
        <v>0.0657835028910195</v>
      </c>
    </row>
    <row r="4891" customFormat="false" ht="15" hidden="false" customHeight="false" outlineLevel="0" collapsed="false">
      <c r="A4891" s="15" t="s">
        <v>4948</v>
      </c>
      <c r="B4891" s="16" t="n">
        <v>45055</v>
      </c>
      <c r="C4891" s="15" t="s">
        <v>56</v>
      </c>
      <c r="D4891" s="15" t="s">
        <v>44</v>
      </c>
      <c r="E4891" s="15" t="s">
        <v>36</v>
      </c>
      <c r="F4891" s="15" t="s">
        <v>17</v>
      </c>
      <c r="G4891" s="15" t="s">
        <v>26</v>
      </c>
      <c r="H4891" s="15" t="n">
        <v>3</v>
      </c>
      <c r="I4891" s="17" t="n">
        <v>0</v>
      </c>
      <c r="J4891" s="18" t="n">
        <v>283.91</v>
      </c>
      <c r="K4891" s="19" t="n">
        <v>24.83</v>
      </c>
      <c r="L4891" s="15" t="n">
        <f aca="false">YEAR(B4891)</f>
        <v>2023</v>
      </c>
      <c r="M4891" s="20" t="n">
        <f aca="false">IF(J4891&gt;0,K4891/J4891,0)</f>
        <v>0.0874572928040576</v>
      </c>
    </row>
    <row r="4892" customFormat="false" ht="15" hidden="false" customHeight="false" outlineLevel="0" collapsed="false">
      <c r="A4892" s="15" t="s">
        <v>4949</v>
      </c>
      <c r="B4892" s="16" t="n">
        <v>45287</v>
      </c>
      <c r="C4892" s="15" t="s">
        <v>58</v>
      </c>
      <c r="D4892" s="15" t="s">
        <v>42</v>
      </c>
      <c r="E4892" s="15" t="s">
        <v>39</v>
      </c>
      <c r="F4892" s="15" t="s">
        <v>17</v>
      </c>
      <c r="G4892" s="15" t="s">
        <v>26</v>
      </c>
      <c r="H4892" s="15" t="n">
        <v>5</v>
      </c>
      <c r="I4892" s="17" t="n">
        <v>0</v>
      </c>
      <c r="J4892" s="18" t="n">
        <v>401.19</v>
      </c>
      <c r="K4892" s="19" t="n">
        <v>31.15</v>
      </c>
      <c r="L4892" s="15" t="n">
        <f aca="false">YEAR(B4892)</f>
        <v>2023</v>
      </c>
      <c r="M4892" s="20" t="n">
        <f aca="false">IF(J4892&gt;0,K4892/J4892,0)</f>
        <v>0.0776440090730078</v>
      </c>
    </row>
    <row r="4893" customFormat="false" ht="15" hidden="false" customHeight="false" outlineLevel="0" collapsed="false">
      <c r="A4893" s="15" t="s">
        <v>4950</v>
      </c>
      <c r="B4893" s="16" t="n">
        <v>45032</v>
      </c>
      <c r="C4893" s="15" t="s">
        <v>71</v>
      </c>
      <c r="D4893" s="15" t="s">
        <v>42</v>
      </c>
      <c r="E4893" s="15" t="s">
        <v>36</v>
      </c>
      <c r="F4893" s="15" t="s">
        <v>17</v>
      </c>
      <c r="G4893" s="15" t="s">
        <v>31</v>
      </c>
      <c r="H4893" s="15" t="n">
        <v>3</v>
      </c>
      <c r="I4893" s="17" t="n">
        <v>0</v>
      </c>
      <c r="J4893" s="18" t="n">
        <v>350.86</v>
      </c>
      <c r="K4893" s="19" t="n">
        <v>40.65</v>
      </c>
      <c r="L4893" s="15" t="n">
        <f aca="false">YEAR(B4893)</f>
        <v>2023</v>
      </c>
      <c r="M4893" s="20" t="n">
        <f aca="false">IF(J4893&gt;0,K4893/J4893,0)</f>
        <v>0.115858177050675</v>
      </c>
    </row>
    <row r="4894" customFormat="false" ht="15" hidden="false" customHeight="false" outlineLevel="0" collapsed="false">
      <c r="A4894" s="15" t="s">
        <v>4951</v>
      </c>
      <c r="B4894" s="16" t="n">
        <v>45944</v>
      </c>
      <c r="C4894" s="15" t="s">
        <v>71</v>
      </c>
      <c r="D4894" s="15" t="s">
        <v>42</v>
      </c>
      <c r="E4894" s="15" t="s">
        <v>38</v>
      </c>
      <c r="F4894" s="15" t="s">
        <v>17</v>
      </c>
      <c r="G4894" s="15" t="s">
        <v>28</v>
      </c>
      <c r="H4894" s="15" t="n">
        <v>2</v>
      </c>
      <c r="I4894" s="17" t="n">
        <v>0.4</v>
      </c>
      <c r="J4894" s="18" t="n">
        <v>23.15</v>
      </c>
      <c r="K4894" s="19" t="n">
        <v>-1.64</v>
      </c>
      <c r="L4894" s="15" t="n">
        <f aca="false">YEAR(B4894)</f>
        <v>2025</v>
      </c>
      <c r="M4894" s="20" t="n">
        <f aca="false">IF(J4894&gt;0,K4894/J4894,0)</f>
        <v>-0.0708423326133909</v>
      </c>
    </row>
    <row r="4895" customFormat="false" ht="15" hidden="false" customHeight="false" outlineLevel="0" collapsed="false">
      <c r="A4895" s="15" t="s">
        <v>4952</v>
      </c>
      <c r="B4895" s="16" t="n">
        <v>45978</v>
      </c>
      <c r="C4895" s="15" t="s">
        <v>71</v>
      </c>
      <c r="D4895" s="15" t="s">
        <v>43</v>
      </c>
      <c r="E4895" s="15" t="s">
        <v>39</v>
      </c>
      <c r="F4895" s="15" t="s">
        <v>17</v>
      </c>
      <c r="G4895" s="15" t="s">
        <v>29</v>
      </c>
      <c r="H4895" s="15" t="n">
        <v>5</v>
      </c>
      <c r="I4895" s="17" t="n">
        <v>0</v>
      </c>
      <c r="J4895" s="18" t="n">
        <v>104.8</v>
      </c>
      <c r="K4895" s="19" t="n">
        <v>43.16</v>
      </c>
      <c r="L4895" s="15" t="n">
        <f aca="false">YEAR(B4895)</f>
        <v>2025</v>
      </c>
      <c r="M4895" s="20" t="n">
        <f aca="false">IF(J4895&gt;0,K4895/J4895,0)</f>
        <v>0.411832061068702</v>
      </c>
    </row>
    <row r="4896" customFormat="false" ht="15" hidden="false" customHeight="false" outlineLevel="0" collapsed="false">
      <c r="A4896" s="15" t="s">
        <v>4953</v>
      </c>
      <c r="B4896" s="16" t="n">
        <v>45970</v>
      </c>
      <c r="C4896" s="15" t="s">
        <v>56</v>
      </c>
      <c r="D4896" s="15" t="s">
        <v>42</v>
      </c>
      <c r="E4896" s="15" t="s">
        <v>36</v>
      </c>
      <c r="F4896" s="15" t="s">
        <v>17</v>
      </c>
      <c r="G4896" s="15" t="s">
        <v>29</v>
      </c>
      <c r="H4896" s="15" t="n">
        <v>3</v>
      </c>
      <c r="I4896" s="17" t="n">
        <v>0.05</v>
      </c>
      <c r="J4896" s="18" t="n">
        <v>43.2</v>
      </c>
      <c r="K4896" s="19" t="n">
        <v>15.82</v>
      </c>
      <c r="L4896" s="15" t="n">
        <f aca="false">YEAR(B4896)</f>
        <v>2025</v>
      </c>
      <c r="M4896" s="20" t="n">
        <f aca="false">IF(J4896&gt;0,K4896/J4896,0)</f>
        <v>0.366203703703704</v>
      </c>
    </row>
    <row r="4897" customFormat="false" ht="15" hidden="false" customHeight="false" outlineLevel="0" collapsed="false">
      <c r="A4897" s="15" t="s">
        <v>4954</v>
      </c>
      <c r="B4897" s="16" t="n">
        <v>45434</v>
      </c>
      <c r="C4897" s="15" t="s">
        <v>56</v>
      </c>
      <c r="D4897" s="15" t="s">
        <v>42</v>
      </c>
      <c r="E4897" s="15" t="s">
        <v>37</v>
      </c>
      <c r="F4897" s="15" t="s">
        <v>17</v>
      </c>
      <c r="G4897" s="15" t="s">
        <v>26</v>
      </c>
      <c r="H4897" s="15" t="n">
        <v>2</v>
      </c>
      <c r="I4897" s="17" t="n">
        <v>0.4</v>
      </c>
      <c r="J4897" s="18" t="n">
        <v>110.73</v>
      </c>
      <c r="K4897" s="19" t="n">
        <v>-25.05</v>
      </c>
      <c r="L4897" s="15" t="n">
        <f aca="false">YEAR(B4897)</f>
        <v>2024</v>
      </c>
      <c r="M4897" s="20" t="n">
        <f aca="false">IF(J4897&gt;0,K4897/J4897,0)</f>
        <v>-0.226225955025738</v>
      </c>
    </row>
    <row r="4898" customFormat="false" ht="15" hidden="false" customHeight="false" outlineLevel="0" collapsed="false">
      <c r="A4898" s="15" t="s">
        <v>4955</v>
      </c>
      <c r="B4898" s="16" t="n">
        <v>45971</v>
      </c>
      <c r="C4898" s="15" t="s">
        <v>71</v>
      </c>
      <c r="D4898" s="15" t="s">
        <v>42</v>
      </c>
      <c r="E4898" s="15" t="s">
        <v>37</v>
      </c>
      <c r="F4898" s="15" t="s">
        <v>16</v>
      </c>
      <c r="G4898" s="15" t="s">
        <v>23</v>
      </c>
      <c r="H4898" s="15" t="n">
        <v>2</v>
      </c>
      <c r="I4898" s="17" t="n">
        <v>0.1</v>
      </c>
      <c r="J4898" s="18" t="n">
        <v>714.02</v>
      </c>
      <c r="K4898" s="19" t="n">
        <v>-62.94</v>
      </c>
      <c r="L4898" s="15" t="n">
        <f aca="false">YEAR(B4898)</f>
        <v>2025</v>
      </c>
      <c r="M4898" s="20" t="n">
        <f aca="false">IF(J4898&gt;0,K4898/J4898,0)</f>
        <v>-0.0881487913503823</v>
      </c>
    </row>
    <row r="4899" customFormat="false" ht="15" hidden="false" customHeight="false" outlineLevel="0" collapsed="false">
      <c r="A4899" s="15" t="s">
        <v>4956</v>
      </c>
      <c r="B4899" s="16" t="n">
        <v>45520</v>
      </c>
      <c r="C4899" s="15" t="s">
        <v>71</v>
      </c>
      <c r="D4899" s="15" t="s">
        <v>42</v>
      </c>
      <c r="E4899" s="15" t="s">
        <v>37</v>
      </c>
      <c r="F4899" s="15" t="s">
        <v>17</v>
      </c>
      <c r="G4899" s="15" t="s">
        <v>26</v>
      </c>
      <c r="H4899" s="15" t="n">
        <v>4</v>
      </c>
      <c r="I4899" s="17" t="n">
        <v>0.3</v>
      </c>
      <c r="J4899" s="18" t="n">
        <v>232.33</v>
      </c>
      <c r="K4899" s="19" t="n">
        <v>-28.92</v>
      </c>
      <c r="L4899" s="15" t="n">
        <f aca="false">YEAR(B4899)</f>
        <v>2024</v>
      </c>
      <c r="M4899" s="20" t="n">
        <f aca="false">IF(J4899&gt;0,K4899/J4899,0)</f>
        <v>-0.124478113028881</v>
      </c>
    </row>
    <row r="4900" customFormat="false" ht="15" hidden="false" customHeight="false" outlineLevel="0" collapsed="false">
      <c r="A4900" s="15" t="s">
        <v>4957</v>
      </c>
      <c r="B4900" s="16" t="n">
        <v>45869</v>
      </c>
      <c r="C4900" s="15" t="s">
        <v>68</v>
      </c>
      <c r="D4900" s="15" t="s">
        <v>42</v>
      </c>
      <c r="E4900" s="15" t="s">
        <v>36</v>
      </c>
      <c r="F4900" s="15" t="s">
        <v>16</v>
      </c>
      <c r="G4900" s="15" t="s">
        <v>27</v>
      </c>
      <c r="H4900" s="15" t="n">
        <v>4</v>
      </c>
      <c r="I4900" s="17" t="n">
        <v>0</v>
      </c>
      <c r="J4900" s="18" t="n">
        <v>229.5</v>
      </c>
      <c r="K4900" s="19" t="n">
        <v>38.46</v>
      </c>
      <c r="L4900" s="15" t="n">
        <f aca="false">YEAR(B4900)</f>
        <v>2025</v>
      </c>
      <c r="M4900" s="20" t="n">
        <f aca="false">IF(J4900&gt;0,K4900/J4900,0)</f>
        <v>0.167581699346405</v>
      </c>
    </row>
    <row r="4901" customFormat="false" ht="15" hidden="false" customHeight="false" outlineLevel="0" collapsed="false">
      <c r="A4901" s="15" t="s">
        <v>4958</v>
      </c>
      <c r="B4901" s="16" t="n">
        <v>45502</v>
      </c>
      <c r="C4901" s="15" t="s">
        <v>71</v>
      </c>
      <c r="D4901" s="15" t="s">
        <v>42</v>
      </c>
      <c r="E4901" s="15" t="s">
        <v>39</v>
      </c>
      <c r="F4901" s="15" t="s">
        <v>16</v>
      </c>
      <c r="G4901" s="15" t="s">
        <v>23</v>
      </c>
      <c r="H4901" s="15" t="n">
        <v>4</v>
      </c>
      <c r="I4901" s="17" t="n">
        <v>0</v>
      </c>
      <c r="J4901" s="18" t="n">
        <v>1300.6</v>
      </c>
      <c r="K4901" s="19" t="n">
        <v>75.95</v>
      </c>
      <c r="L4901" s="15" t="n">
        <f aca="false">YEAR(B4901)</f>
        <v>2024</v>
      </c>
      <c r="M4901" s="20" t="n">
        <f aca="false">IF(J4901&gt;0,K4901/J4901,0)</f>
        <v>0.0583961248654467</v>
      </c>
    </row>
    <row r="4902" customFormat="false" ht="15" hidden="false" customHeight="false" outlineLevel="0" collapsed="false">
      <c r="A4902" s="15" t="s">
        <v>4959</v>
      </c>
      <c r="B4902" s="16" t="n">
        <v>45710</v>
      </c>
      <c r="C4902" s="15" t="s">
        <v>56</v>
      </c>
      <c r="D4902" s="15" t="s">
        <v>43</v>
      </c>
      <c r="E4902" s="15" t="s">
        <v>38</v>
      </c>
      <c r="F4902" s="15" t="s">
        <v>18</v>
      </c>
      <c r="G4902" s="15" t="s">
        <v>30</v>
      </c>
      <c r="H4902" s="15" t="n">
        <v>2</v>
      </c>
      <c r="I4902" s="17" t="n">
        <v>0.2</v>
      </c>
      <c r="J4902" s="18" t="n">
        <v>77.37</v>
      </c>
      <c r="K4902" s="19" t="n">
        <v>10.53</v>
      </c>
      <c r="L4902" s="15" t="n">
        <f aca="false">YEAR(B4902)</f>
        <v>2025</v>
      </c>
      <c r="M4902" s="20" t="n">
        <f aca="false">IF(J4902&gt;0,K4902/J4902,0)</f>
        <v>0.136099263280341</v>
      </c>
    </row>
    <row r="4903" customFormat="false" ht="15" hidden="false" customHeight="false" outlineLevel="0" collapsed="false">
      <c r="A4903" s="15" t="s">
        <v>4960</v>
      </c>
      <c r="B4903" s="16" t="n">
        <v>44837</v>
      </c>
      <c r="C4903" s="15" t="s">
        <v>68</v>
      </c>
      <c r="D4903" s="15" t="s">
        <v>44</v>
      </c>
      <c r="E4903" s="15" t="s">
        <v>38</v>
      </c>
      <c r="F4903" s="15" t="s">
        <v>17</v>
      </c>
      <c r="G4903" s="15" t="s">
        <v>29</v>
      </c>
      <c r="H4903" s="15" t="n">
        <v>4</v>
      </c>
      <c r="I4903" s="17" t="n">
        <v>0</v>
      </c>
      <c r="J4903" s="18" t="n">
        <v>71.3</v>
      </c>
      <c r="K4903" s="19" t="n">
        <v>28.65</v>
      </c>
      <c r="L4903" s="15" t="n">
        <f aca="false">YEAR(B4903)</f>
        <v>2022</v>
      </c>
      <c r="M4903" s="20" t="n">
        <f aca="false">IF(J4903&gt;0,K4903/J4903,0)</f>
        <v>0.401823281907433</v>
      </c>
    </row>
    <row r="4904" customFormat="false" ht="15" hidden="false" customHeight="false" outlineLevel="0" collapsed="false">
      <c r="A4904" s="15" t="s">
        <v>4961</v>
      </c>
      <c r="B4904" s="16" t="n">
        <v>45850</v>
      </c>
      <c r="C4904" s="15" t="s">
        <v>71</v>
      </c>
      <c r="D4904" s="15" t="s">
        <v>42</v>
      </c>
      <c r="E4904" s="15" t="s">
        <v>39</v>
      </c>
      <c r="F4904" s="15" t="s">
        <v>17</v>
      </c>
      <c r="G4904" s="15" t="s">
        <v>31</v>
      </c>
      <c r="H4904" s="15" t="n">
        <v>6</v>
      </c>
      <c r="I4904" s="17" t="n">
        <v>0</v>
      </c>
      <c r="J4904" s="18" t="n">
        <v>762.16</v>
      </c>
      <c r="K4904" s="19" t="n">
        <v>126.53</v>
      </c>
      <c r="L4904" s="15" t="n">
        <f aca="false">YEAR(B4904)</f>
        <v>2025</v>
      </c>
      <c r="M4904" s="20" t="n">
        <f aca="false">IF(J4904&gt;0,K4904/J4904,0)</f>
        <v>0.16601500997166</v>
      </c>
    </row>
    <row r="4905" customFormat="false" ht="15" hidden="false" customHeight="false" outlineLevel="0" collapsed="false">
      <c r="A4905" s="15" t="s">
        <v>4962</v>
      </c>
      <c r="B4905" s="16" t="n">
        <v>45561</v>
      </c>
      <c r="C4905" s="15" t="s">
        <v>56</v>
      </c>
      <c r="D4905" s="15" t="s">
        <v>42</v>
      </c>
      <c r="E4905" s="15" t="s">
        <v>37</v>
      </c>
      <c r="F4905" s="15" t="s">
        <v>17</v>
      </c>
      <c r="G4905" s="15" t="s">
        <v>29</v>
      </c>
      <c r="H4905" s="15" t="n">
        <v>6</v>
      </c>
      <c r="I4905" s="17" t="n">
        <v>0</v>
      </c>
      <c r="J4905" s="18" t="n">
        <v>119.25</v>
      </c>
      <c r="K4905" s="19" t="n">
        <v>43.17</v>
      </c>
      <c r="L4905" s="15" t="n">
        <f aca="false">YEAR(B4905)</f>
        <v>2024</v>
      </c>
      <c r="M4905" s="20" t="n">
        <f aca="false">IF(J4905&gt;0,K4905/J4905,0)</f>
        <v>0.362012578616352</v>
      </c>
    </row>
    <row r="4906" customFormat="false" ht="15" hidden="false" customHeight="false" outlineLevel="0" collapsed="false">
      <c r="A4906" s="15" t="s">
        <v>4963</v>
      </c>
      <c r="B4906" s="16" t="n">
        <v>44810</v>
      </c>
      <c r="C4906" s="15" t="s">
        <v>56</v>
      </c>
      <c r="D4906" s="15" t="s">
        <v>44</v>
      </c>
      <c r="E4906" s="15" t="s">
        <v>37</v>
      </c>
      <c r="F4906" s="15" t="s">
        <v>17</v>
      </c>
      <c r="G4906" s="15" t="s">
        <v>28</v>
      </c>
      <c r="H4906" s="15" t="n">
        <v>6</v>
      </c>
      <c r="I4906" s="17" t="n">
        <v>0.2</v>
      </c>
      <c r="J4906" s="18" t="n">
        <v>114.63</v>
      </c>
      <c r="K4906" s="19" t="n">
        <v>8.79</v>
      </c>
      <c r="L4906" s="15" t="n">
        <f aca="false">YEAR(B4906)</f>
        <v>2022</v>
      </c>
      <c r="M4906" s="20" t="n">
        <f aca="false">IF(J4906&gt;0,K4906/J4906,0)</f>
        <v>0.0766814969903167</v>
      </c>
    </row>
    <row r="4907" customFormat="false" ht="15" hidden="false" customHeight="false" outlineLevel="0" collapsed="false">
      <c r="A4907" s="15" t="s">
        <v>4964</v>
      </c>
      <c r="B4907" s="16" t="n">
        <v>45269</v>
      </c>
      <c r="C4907" s="15" t="s">
        <v>56</v>
      </c>
      <c r="D4907" s="15" t="s">
        <v>42</v>
      </c>
      <c r="E4907" s="15" t="s">
        <v>39</v>
      </c>
      <c r="F4907" s="15" t="s">
        <v>17</v>
      </c>
      <c r="G4907" s="15" t="s">
        <v>29</v>
      </c>
      <c r="H4907" s="15" t="n">
        <v>4</v>
      </c>
      <c r="I4907" s="17" t="n">
        <v>0</v>
      </c>
      <c r="J4907" s="18" t="n">
        <v>77.75</v>
      </c>
      <c r="K4907" s="19" t="n">
        <v>32.4</v>
      </c>
      <c r="L4907" s="15" t="n">
        <f aca="false">YEAR(B4907)</f>
        <v>2023</v>
      </c>
      <c r="M4907" s="20" t="n">
        <f aca="false">IF(J4907&gt;0,K4907/J4907,0)</f>
        <v>0.416720257234727</v>
      </c>
    </row>
    <row r="4908" customFormat="false" ht="15" hidden="false" customHeight="false" outlineLevel="0" collapsed="false">
      <c r="A4908" s="15" t="s">
        <v>4965</v>
      </c>
      <c r="B4908" s="16" t="n">
        <v>45378</v>
      </c>
      <c r="C4908" s="15" t="s">
        <v>56</v>
      </c>
      <c r="D4908" s="15" t="s">
        <v>43</v>
      </c>
      <c r="E4908" s="15" t="s">
        <v>37</v>
      </c>
      <c r="F4908" s="15" t="s">
        <v>17</v>
      </c>
      <c r="G4908" s="15" t="s">
        <v>26</v>
      </c>
      <c r="H4908" s="15" t="n">
        <v>3</v>
      </c>
      <c r="I4908" s="17" t="n">
        <v>0</v>
      </c>
      <c r="J4908" s="18" t="n">
        <v>250.86</v>
      </c>
      <c r="K4908" s="19" t="n">
        <v>37.44</v>
      </c>
      <c r="L4908" s="15" t="n">
        <f aca="false">YEAR(B4908)</f>
        <v>2024</v>
      </c>
      <c r="M4908" s="20" t="n">
        <f aca="false">IF(J4908&gt;0,K4908/J4908,0)</f>
        <v>0.149246591724468</v>
      </c>
    </row>
    <row r="4909" customFormat="false" ht="15" hidden="false" customHeight="false" outlineLevel="0" collapsed="false">
      <c r="A4909" s="15" t="s">
        <v>4966</v>
      </c>
      <c r="B4909" s="16" t="n">
        <v>45548</v>
      </c>
      <c r="C4909" s="15" t="s">
        <v>68</v>
      </c>
      <c r="D4909" s="15" t="s">
        <v>42</v>
      </c>
      <c r="E4909" s="15" t="s">
        <v>39</v>
      </c>
      <c r="F4909" s="15" t="s">
        <v>18</v>
      </c>
      <c r="G4909" s="15" t="s">
        <v>30</v>
      </c>
      <c r="H4909" s="15" t="n">
        <v>6</v>
      </c>
      <c r="I4909" s="17" t="n">
        <v>0.2</v>
      </c>
      <c r="J4909" s="18" t="n">
        <v>212.02</v>
      </c>
      <c r="K4909" s="19" t="n">
        <v>35.87</v>
      </c>
      <c r="L4909" s="15" t="n">
        <f aca="false">YEAR(B4909)</f>
        <v>2024</v>
      </c>
      <c r="M4909" s="20" t="n">
        <f aca="false">IF(J4909&gt;0,K4909/J4909,0)</f>
        <v>0.169182152627111</v>
      </c>
    </row>
    <row r="4910" customFormat="false" ht="15" hidden="false" customHeight="false" outlineLevel="0" collapsed="false">
      <c r="A4910" s="15" t="s">
        <v>4967</v>
      </c>
      <c r="B4910" s="16" t="n">
        <v>45882</v>
      </c>
      <c r="C4910" s="15" t="s">
        <v>68</v>
      </c>
      <c r="D4910" s="15" t="s">
        <v>42</v>
      </c>
      <c r="E4910" s="15" t="s">
        <v>36</v>
      </c>
      <c r="F4910" s="15" t="s">
        <v>17</v>
      </c>
      <c r="G4910" s="15" t="s">
        <v>31</v>
      </c>
      <c r="H4910" s="15" t="n">
        <v>1</v>
      </c>
      <c r="I4910" s="17" t="n">
        <v>0.05</v>
      </c>
      <c r="J4910" s="18" t="n">
        <v>123.79</v>
      </c>
      <c r="K4910" s="19" t="n">
        <v>12.37</v>
      </c>
      <c r="L4910" s="15" t="n">
        <f aca="false">YEAR(B4910)</f>
        <v>2025</v>
      </c>
      <c r="M4910" s="20" t="n">
        <f aca="false">IF(J4910&gt;0,K4910/J4910,0)</f>
        <v>0.099927296227482</v>
      </c>
    </row>
    <row r="4911" customFormat="false" ht="15" hidden="false" customHeight="false" outlineLevel="0" collapsed="false">
      <c r="A4911" s="15" t="s">
        <v>4968</v>
      </c>
      <c r="B4911" s="16" t="n">
        <v>46002</v>
      </c>
      <c r="C4911" s="15" t="s">
        <v>56</v>
      </c>
      <c r="D4911" s="15" t="s">
        <v>44</v>
      </c>
      <c r="E4911" s="15" t="s">
        <v>37</v>
      </c>
      <c r="F4911" s="15" t="s">
        <v>18</v>
      </c>
      <c r="G4911" s="15" t="s">
        <v>33</v>
      </c>
      <c r="H4911" s="15" t="n">
        <v>4</v>
      </c>
      <c r="I4911" s="17" t="n">
        <v>0.1</v>
      </c>
      <c r="J4911" s="18" t="n">
        <v>4016.2</v>
      </c>
      <c r="K4911" s="19" t="n">
        <v>778.57</v>
      </c>
      <c r="L4911" s="15" t="n">
        <f aca="false">YEAR(B4911)</f>
        <v>2025</v>
      </c>
      <c r="M4911" s="20" t="n">
        <f aca="false">IF(J4911&gt;0,K4911/J4911,0)</f>
        <v>0.193857377620636</v>
      </c>
    </row>
    <row r="4912" customFormat="false" ht="15" hidden="false" customHeight="false" outlineLevel="0" collapsed="false">
      <c r="A4912" s="15" t="s">
        <v>4969</v>
      </c>
      <c r="B4912" s="16" t="n">
        <v>45155</v>
      </c>
      <c r="C4912" s="15" t="s">
        <v>71</v>
      </c>
      <c r="D4912" s="15" t="s">
        <v>42</v>
      </c>
      <c r="E4912" s="15" t="s">
        <v>37</v>
      </c>
      <c r="F4912" s="15" t="s">
        <v>17</v>
      </c>
      <c r="G4912" s="15" t="s">
        <v>29</v>
      </c>
      <c r="H4912" s="15" t="n">
        <v>3</v>
      </c>
      <c r="I4912" s="17" t="n">
        <v>0.05</v>
      </c>
      <c r="J4912" s="18" t="n">
        <v>56.1</v>
      </c>
      <c r="K4912" s="19" t="n">
        <v>18.37</v>
      </c>
      <c r="L4912" s="15" t="n">
        <f aca="false">YEAR(B4912)</f>
        <v>2023</v>
      </c>
      <c r="M4912" s="20" t="n">
        <f aca="false">IF(J4912&gt;0,K4912/J4912,0)</f>
        <v>0.327450980392157</v>
      </c>
    </row>
    <row r="4913" customFormat="false" ht="15" hidden="false" customHeight="false" outlineLevel="0" collapsed="false">
      <c r="A4913" s="15" t="s">
        <v>4970</v>
      </c>
      <c r="B4913" s="16" t="n">
        <v>44819</v>
      </c>
      <c r="C4913" s="15" t="s">
        <v>56</v>
      </c>
      <c r="D4913" s="15" t="s">
        <v>42</v>
      </c>
      <c r="E4913" s="15" t="s">
        <v>39</v>
      </c>
      <c r="F4913" s="15" t="s">
        <v>16</v>
      </c>
      <c r="G4913" s="15" t="s">
        <v>25</v>
      </c>
      <c r="H4913" s="15" t="n">
        <v>5</v>
      </c>
      <c r="I4913" s="17" t="n">
        <v>0</v>
      </c>
      <c r="J4913" s="18" t="n">
        <v>1706.01</v>
      </c>
      <c r="K4913" s="19" t="n">
        <v>303.4</v>
      </c>
      <c r="L4913" s="15" t="n">
        <f aca="false">YEAR(B4913)</f>
        <v>2022</v>
      </c>
      <c r="M4913" s="20" t="n">
        <f aca="false">IF(J4913&gt;0,K4913/J4913,0)</f>
        <v>0.177841864936313</v>
      </c>
    </row>
    <row r="4914" customFormat="false" ht="15" hidden="false" customHeight="false" outlineLevel="0" collapsed="false">
      <c r="A4914" s="15" t="s">
        <v>4971</v>
      </c>
      <c r="B4914" s="16" t="n">
        <v>45540</v>
      </c>
      <c r="C4914" s="15" t="s">
        <v>56</v>
      </c>
      <c r="D4914" s="15" t="s">
        <v>43</v>
      </c>
      <c r="E4914" s="15" t="s">
        <v>37</v>
      </c>
      <c r="F4914" s="15" t="s">
        <v>17</v>
      </c>
      <c r="G4914" s="15" t="s">
        <v>29</v>
      </c>
      <c r="H4914" s="15" t="n">
        <v>4</v>
      </c>
      <c r="I4914" s="17" t="n">
        <v>0.15</v>
      </c>
      <c r="J4914" s="18" t="n">
        <v>64.83</v>
      </c>
      <c r="K4914" s="19" t="n">
        <v>13.19</v>
      </c>
      <c r="L4914" s="15" t="n">
        <f aca="false">YEAR(B4914)</f>
        <v>2024</v>
      </c>
      <c r="M4914" s="20" t="n">
        <f aca="false">IF(J4914&gt;0,K4914/J4914,0)</f>
        <v>0.203455190498226</v>
      </c>
    </row>
    <row r="4915" customFormat="false" ht="15" hidden="false" customHeight="false" outlineLevel="0" collapsed="false">
      <c r="A4915" s="15" t="s">
        <v>4972</v>
      </c>
      <c r="B4915" s="16" t="n">
        <v>45809</v>
      </c>
      <c r="C4915" s="15" t="s">
        <v>68</v>
      </c>
      <c r="D4915" s="15" t="s">
        <v>42</v>
      </c>
      <c r="E4915" s="15" t="s">
        <v>38</v>
      </c>
      <c r="F4915" s="15" t="s">
        <v>17</v>
      </c>
      <c r="G4915" s="15" t="s">
        <v>26</v>
      </c>
      <c r="H4915" s="15" t="n">
        <v>3</v>
      </c>
      <c r="I4915" s="17" t="n">
        <v>0</v>
      </c>
      <c r="J4915" s="18" t="n">
        <v>247.02</v>
      </c>
      <c r="K4915" s="19" t="n">
        <v>31.76</v>
      </c>
      <c r="L4915" s="15" t="n">
        <f aca="false">YEAR(B4915)</f>
        <v>2025</v>
      </c>
      <c r="M4915" s="20" t="n">
        <f aca="false">IF(J4915&gt;0,K4915/J4915,0)</f>
        <v>0.128572585215772</v>
      </c>
    </row>
    <row r="4916" customFormat="false" ht="15" hidden="false" customHeight="false" outlineLevel="0" collapsed="false">
      <c r="A4916" s="15" t="s">
        <v>4973</v>
      </c>
      <c r="B4916" s="16" t="n">
        <v>45624</v>
      </c>
      <c r="C4916" s="15" t="s">
        <v>68</v>
      </c>
      <c r="D4916" s="15" t="s">
        <v>44</v>
      </c>
      <c r="E4916" s="15" t="s">
        <v>36</v>
      </c>
      <c r="F4916" s="15" t="s">
        <v>17</v>
      </c>
      <c r="G4916" s="15" t="s">
        <v>26</v>
      </c>
      <c r="H4916" s="15" t="n">
        <v>3</v>
      </c>
      <c r="I4916" s="17" t="n">
        <v>0.1</v>
      </c>
      <c r="J4916" s="18" t="n">
        <v>228.49</v>
      </c>
      <c r="K4916" s="19" t="n">
        <v>14.65</v>
      </c>
      <c r="L4916" s="15" t="n">
        <f aca="false">YEAR(B4916)</f>
        <v>2024</v>
      </c>
      <c r="M4916" s="20" t="n">
        <f aca="false">IF(J4916&gt;0,K4916/J4916,0)</f>
        <v>0.0641165915357346</v>
      </c>
    </row>
    <row r="4917" customFormat="false" ht="15" hidden="false" customHeight="false" outlineLevel="0" collapsed="false">
      <c r="A4917" s="15" t="s">
        <v>4974</v>
      </c>
      <c r="B4917" s="16" t="n">
        <v>45534</v>
      </c>
      <c r="C4917" s="15" t="s">
        <v>68</v>
      </c>
      <c r="D4917" s="15" t="s">
        <v>42</v>
      </c>
      <c r="E4917" s="15" t="s">
        <v>37</v>
      </c>
      <c r="F4917" s="15" t="s">
        <v>18</v>
      </c>
      <c r="G4917" s="15" t="s">
        <v>30</v>
      </c>
      <c r="H4917" s="15" t="n">
        <v>3</v>
      </c>
      <c r="I4917" s="17" t="n">
        <v>0.1</v>
      </c>
      <c r="J4917" s="18" t="n">
        <v>107.33</v>
      </c>
      <c r="K4917" s="19" t="n">
        <v>18.87</v>
      </c>
      <c r="L4917" s="15" t="n">
        <f aca="false">YEAR(B4917)</f>
        <v>2024</v>
      </c>
      <c r="M4917" s="20" t="n">
        <f aca="false">IF(J4917&gt;0,K4917/J4917,0)</f>
        <v>0.175812913444517</v>
      </c>
    </row>
    <row r="4918" customFormat="false" ht="15" hidden="false" customHeight="false" outlineLevel="0" collapsed="false">
      <c r="A4918" s="15" t="s">
        <v>4975</v>
      </c>
      <c r="B4918" s="16" t="n">
        <v>45893</v>
      </c>
      <c r="C4918" s="15" t="s">
        <v>56</v>
      </c>
      <c r="D4918" s="15" t="s">
        <v>43</v>
      </c>
      <c r="E4918" s="15" t="s">
        <v>39</v>
      </c>
      <c r="F4918" s="15" t="s">
        <v>18</v>
      </c>
      <c r="G4918" s="15" t="s">
        <v>30</v>
      </c>
      <c r="H4918" s="15" t="n">
        <v>7</v>
      </c>
      <c r="I4918" s="17" t="n">
        <v>0</v>
      </c>
      <c r="J4918" s="18" t="n">
        <v>311.72</v>
      </c>
      <c r="K4918" s="19" t="n">
        <v>92.92</v>
      </c>
      <c r="L4918" s="15" t="n">
        <f aca="false">YEAR(B4918)</f>
        <v>2025</v>
      </c>
      <c r="M4918" s="20" t="n">
        <f aca="false">IF(J4918&gt;0,K4918/J4918,0)</f>
        <v>0.298088027717182</v>
      </c>
    </row>
    <row r="4919" customFormat="false" ht="15" hidden="false" customHeight="false" outlineLevel="0" collapsed="false">
      <c r="A4919" s="15" t="s">
        <v>4976</v>
      </c>
      <c r="B4919" s="16" t="n">
        <v>45368</v>
      </c>
      <c r="C4919" s="15" t="s">
        <v>68</v>
      </c>
      <c r="D4919" s="15" t="s">
        <v>42</v>
      </c>
      <c r="E4919" s="15" t="s">
        <v>38</v>
      </c>
      <c r="F4919" s="15" t="s">
        <v>17</v>
      </c>
      <c r="G4919" s="15" t="s">
        <v>29</v>
      </c>
      <c r="H4919" s="15" t="n">
        <v>2</v>
      </c>
      <c r="I4919" s="17" t="n">
        <v>0</v>
      </c>
      <c r="J4919" s="18" t="n">
        <v>39.04</v>
      </c>
      <c r="K4919" s="19" t="n">
        <v>14.02</v>
      </c>
      <c r="L4919" s="15" t="n">
        <f aca="false">YEAR(B4919)</f>
        <v>2024</v>
      </c>
      <c r="M4919" s="20" t="n">
        <f aca="false">IF(J4919&gt;0,K4919/J4919,0)</f>
        <v>0.359118852459016</v>
      </c>
    </row>
    <row r="4920" customFormat="false" ht="15" hidden="false" customHeight="false" outlineLevel="0" collapsed="false">
      <c r="A4920" s="15" t="s">
        <v>4977</v>
      </c>
      <c r="B4920" s="16" t="n">
        <v>45111</v>
      </c>
      <c r="C4920" s="15" t="s">
        <v>56</v>
      </c>
      <c r="D4920" s="15" t="s">
        <v>43</v>
      </c>
      <c r="E4920" s="15" t="s">
        <v>38</v>
      </c>
      <c r="F4920" s="15" t="s">
        <v>18</v>
      </c>
      <c r="G4920" s="15" t="s">
        <v>32</v>
      </c>
      <c r="H4920" s="15" t="n">
        <v>4</v>
      </c>
      <c r="I4920" s="17" t="n">
        <v>0.1</v>
      </c>
      <c r="J4920" s="18" t="n">
        <v>1494.16</v>
      </c>
      <c r="K4920" s="19" t="n">
        <v>47.88</v>
      </c>
      <c r="L4920" s="15" t="n">
        <f aca="false">YEAR(B4920)</f>
        <v>2023</v>
      </c>
      <c r="M4920" s="20" t="n">
        <f aca="false">IF(J4920&gt;0,K4920/J4920,0)</f>
        <v>0.0320447609359105</v>
      </c>
    </row>
    <row r="4921" customFormat="false" ht="15" hidden="false" customHeight="false" outlineLevel="0" collapsed="false">
      <c r="A4921" s="15" t="s">
        <v>4978</v>
      </c>
      <c r="B4921" s="16" t="n">
        <v>45284</v>
      </c>
      <c r="C4921" s="15" t="s">
        <v>71</v>
      </c>
      <c r="D4921" s="15" t="s">
        <v>43</v>
      </c>
      <c r="E4921" s="15" t="s">
        <v>36</v>
      </c>
      <c r="F4921" s="15" t="s">
        <v>17</v>
      </c>
      <c r="G4921" s="15" t="s">
        <v>28</v>
      </c>
      <c r="H4921" s="15" t="n">
        <v>5</v>
      </c>
      <c r="I4921" s="17" t="n">
        <v>0</v>
      </c>
      <c r="J4921" s="18" t="n">
        <v>146.66</v>
      </c>
      <c r="K4921" s="19" t="n">
        <v>42.17</v>
      </c>
      <c r="L4921" s="15" t="n">
        <f aca="false">YEAR(B4921)</f>
        <v>2023</v>
      </c>
      <c r="M4921" s="20" t="n">
        <f aca="false">IF(J4921&gt;0,K4921/J4921,0)</f>
        <v>0.287535797081686</v>
      </c>
    </row>
    <row r="4922" customFormat="false" ht="15" hidden="false" customHeight="false" outlineLevel="0" collapsed="false">
      <c r="A4922" s="15" t="s">
        <v>4979</v>
      </c>
      <c r="B4922" s="16" t="n">
        <v>45594</v>
      </c>
      <c r="C4922" s="15" t="s">
        <v>71</v>
      </c>
      <c r="D4922" s="15" t="s">
        <v>42</v>
      </c>
      <c r="E4922" s="15" t="s">
        <v>37</v>
      </c>
      <c r="F4922" s="15" t="s">
        <v>17</v>
      </c>
      <c r="G4922" s="15" t="s">
        <v>26</v>
      </c>
      <c r="H4922" s="15" t="n">
        <v>2</v>
      </c>
      <c r="I4922" s="17" t="n">
        <v>0.05</v>
      </c>
      <c r="J4922" s="18" t="n">
        <v>180.05</v>
      </c>
      <c r="K4922" s="19" t="n">
        <v>33.28</v>
      </c>
      <c r="L4922" s="15" t="n">
        <f aca="false">YEAR(B4922)</f>
        <v>2024</v>
      </c>
      <c r="M4922" s="20" t="n">
        <f aca="false">IF(J4922&gt;0,K4922/J4922,0)</f>
        <v>0.184837545126354</v>
      </c>
    </row>
    <row r="4923" customFormat="false" ht="15" hidden="false" customHeight="false" outlineLevel="0" collapsed="false">
      <c r="A4923" s="15" t="s">
        <v>4980</v>
      </c>
      <c r="B4923" s="16" t="n">
        <v>45861</v>
      </c>
      <c r="C4923" s="15" t="s">
        <v>71</v>
      </c>
      <c r="D4923" s="15" t="s">
        <v>42</v>
      </c>
      <c r="E4923" s="15" t="s">
        <v>38</v>
      </c>
      <c r="F4923" s="15" t="s">
        <v>16</v>
      </c>
      <c r="G4923" s="15" t="s">
        <v>23</v>
      </c>
      <c r="H4923" s="15" t="n">
        <v>4</v>
      </c>
      <c r="I4923" s="17" t="n">
        <v>0.2</v>
      </c>
      <c r="J4923" s="18" t="n">
        <v>967.97</v>
      </c>
      <c r="K4923" s="19" t="n">
        <v>-202.1</v>
      </c>
      <c r="L4923" s="15" t="n">
        <f aca="false">YEAR(B4923)</f>
        <v>2025</v>
      </c>
      <c r="M4923" s="20" t="n">
        <f aca="false">IF(J4923&gt;0,K4923/J4923,0)</f>
        <v>-0.208787462421356</v>
      </c>
    </row>
    <row r="4924" customFormat="false" ht="15" hidden="false" customHeight="false" outlineLevel="0" collapsed="false">
      <c r="A4924" s="15" t="s">
        <v>4981</v>
      </c>
      <c r="B4924" s="16" t="n">
        <v>45626</v>
      </c>
      <c r="C4924" s="15" t="s">
        <v>56</v>
      </c>
      <c r="D4924" s="15" t="s">
        <v>43</v>
      </c>
      <c r="E4924" s="15" t="s">
        <v>36</v>
      </c>
      <c r="F4924" s="15" t="s">
        <v>17</v>
      </c>
      <c r="G4924" s="15" t="s">
        <v>26</v>
      </c>
      <c r="H4924" s="15" t="n">
        <v>4</v>
      </c>
      <c r="I4924" s="17" t="n">
        <v>0.15</v>
      </c>
      <c r="J4924" s="18" t="n">
        <v>297.77</v>
      </c>
      <c r="K4924" s="19" t="n">
        <v>-1.03</v>
      </c>
      <c r="L4924" s="15" t="n">
        <f aca="false">YEAR(B4924)</f>
        <v>2024</v>
      </c>
      <c r="M4924" s="20" t="n">
        <f aca="false">IF(J4924&gt;0,K4924/J4924,0)</f>
        <v>-0.00345904557208584</v>
      </c>
    </row>
    <row r="4925" customFormat="false" ht="15" hidden="false" customHeight="false" outlineLevel="0" collapsed="false">
      <c r="A4925" s="15" t="s">
        <v>4982</v>
      </c>
      <c r="B4925" s="16" t="n">
        <v>45507</v>
      </c>
      <c r="C4925" s="15" t="s">
        <v>56</v>
      </c>
      <c r="D4925" s="15" t="s">
        <v>43</v>
      </c>
      <c r="E4925" s="15" t="s">
        <v>39</v>
      </c>
      <c r="F4925" s="15" t="s">
        <v>18</v>
      </c>
      <c r="G4925" s="15" t="s">
        <v>33</v>
      </c>
      <c r="H4925" s="15" t="n">
        <v>6</v>
      </c>
      <c r="I4925" s="17" t="n">
        <v>0.1</v>
      </c>
      <c r="J4925" s="18" t="n">
        <v>5225.33</v>
      </c>
      <c r="K4925" s="19" t="n">
        <v>735.01</v>
      </c>
      <c r="L4925" s="15" t="n">
        <f aca="false">YEAR(B4925)</f>
        <v>2024</v>
      </c>
      <c r="M4925" s="20" t="n">
        <f aca="false">IF(J4925&gt;0,K4925/J4925,0)</f>
        <v>0.140662886363158</v>
      </c>
    </row>
    <row r="4926" customFormat="false" ht="15" hidden="false" customHeight="false" outlineLevel="0" collapsed="false">
      <c r="A4926" s="15" t="s">
        <v>4983</v>
      </c>
      <c r="B4926" s="16" t="n">
        <v>45872</v>
      </c>
      <c r="C4926" s="15" t="s">
        <v>71</v>
      </c>
      <c r="D4926" s="15" t="s">
        <v>43</v>
      </c>
      <c r="E4926" s="15" t="s">
        <v>38</v>
      </c>
      <c r="F4926" s="15" t="s">
        <v>18</v>
      </c>
      <c r="G4926" s="15" t="s">
        <v>30</v>
      </c>
      <c r="H4926" s="15" t="n">
        <v>6</v>
      </c>
      <c r="I4926" s="17" t="n">
        <v>0</v>
      </c>
      <c r="J4926" s="18" t="n">
        <v>237.7</v>
      </c>
      <c r="K4926" s="19" t="n">
        <v>93.23</v>
      </c>
      <c r="L4926" s="15" t="n">
        <f aca="false">YEAR(B4926)</f>
        <v>2025</v>
      </c>
      <c r="M4926" s="20" t="n">
        <f aca="false">IF(J4926&gt;0,K4926/J4926,0)</f>
        <v>0.392217080353387</v>
      </c>
    </row>
    <row r="4927" customFormat="false" ht="15" hidden="false" customHeight="false" outlineLevel="0" collapsed="false">
      <c r="A4927" s="15" t="s">
        <v>4984</v>
      </c>
      <c r="B4927" s="16" t="n">
        <v>45055</v>
      </c>
      <c r="C4927" s="15" t="s">
        <v>56</v>
      </c>
      <c r="D4927" s="15" t="s">
        <v>43</v>
      </c>
      <c r="E4927" s="15" t="s">
        <v>37</v>
      </c>
      <c r="F4927" s="15" t="s">
        <v>17</v>
      </c>
      <c r="G4927" s="15" t="s">
        <v>31</v>
      </c>
      <c r="H4927" s="15" t="n">
        <v>2</v>
      </c>
      <c r="I4927" s="17" t="n">
        <v>0.2</v>
      </c>
      <c r="J4927" s="18" t="n">
        <v>240.91</v>
      </c>
      <c r="K4927" s="19" t="n">
        <v>-2.44</v>
      </c>
      <c r="L4927" s="15" t="n">
        <f aca="false">YEAR(B4927)</f>
        <v>2023</v>
      </c>
      <c r="M4927" s="20" t="n">
        <f aca="false">IF(J4927&gt;0,K4927/J4927,0)</f>
        <v>-0.0101282636669296</v>
      </c>
    </row>
    <row r="4928" customFormat="false" ht="15" hidden="false" customHeight="false" outlineLevel="0" collapsed="false">
      <c r="A4928" s="15" t="s">
        <v>4985</v>
      </c>
      <c r="B4928" s="16" t="n">
        <v>45485</v>
      </c>
      <c r="C4928" s="15" t="s">
        <v>56</v>
      </c>
      <c r="D4928" s="15" t="s">
        <v>43</v>
      </c>
      <c r="E4928" s="15" t="s">
        <v>39</v>
      </c>
      <c r="F4928" s="15" t="s">
        <v>17</v>
      </c>
      <c r="G4928" s="15" t="s">
        <v>29</v>
      </c>
      <c r="H4928" s="15" t="n">
        <v>7</v>
      </c>
      <c r="I4928" s="17" t="n">
        <v>0.05</v>
      </c>
      <c r="J4928" s="18" t="n">
        <v>132.7</v>
      </c>
      <c r="K4928" s="19" t="n">
        <v>52.07</v>
      </c>
      <c r="L4928" s="15" t="n">
        <f aca="false">YEAR(B4928)</f>
        <v>2024</v>
      </c>
      <c r="M4928" s="20" t="n">
        <f aca="false">IF(J4928&gt;0,K4928/J4928,0)</f>
        <v>0.392388847023361</v>
      </c>
    </row>
    <row r="4929" customFormat="false" ht="15" hidden="false" customHeight="false" outlineLevel="0" collapsed="false">
      <c r="A4929" s="15" t="s">
        <v>4986</v>
      </c>
      <c r="B4929" s="16" t="n">
        <v>45760</v>
      </c>
      <c r="C4929" s="15" t="s">
        <v>58</v>
      </c>
      <c r="D4929" s="15" t="s">
        <v>43</v>
      </c>
      <c r="E4929" s="15" t="s">
        <v>36</v>
      </c>
      <c r="F4929" s="15" t="s">
        <v>17</v>
      </c>
      <c r="G4929" s="15" t="s">
        <v>26</v>
      </c>
      <c r="H4929" s="15" t="n">
        <v>2</v>
      </c>
      <c r="I4929" s="17" t="n">
        <v>0</v>
      </c>
      <c r="J4929" s="18" t="n">
        <v>154.67</v>
      </c>
      <c r="K4929" s="19" t="n">
        <v>22.64</v>
      </c>
      <c r="L4929" s="15" t="n">
        <f aca="false">YEAR(B4929)</f>
        <v>2025</v>
      </c>
      <c r="M4929" s="20" t="n">
        <f aca="false">IF(J4929&gt;0,K4929/J4929,0)</f>
        <v>0.1463761556863</v>
      </c>
    </row>
    <row r="4930" customFormat="false" ht="15" hidden="false" customHeight="false" outlineLevel="0" collapsed="false">
      <c r="A4930" s="15" t="s">
        <v>4987</v>
      </c>
      <c r="B4930" s="16" t="n">
        <v>45273</v>
      </c>
      <c r="C4930" s="15" t="s">
        <v>68</v>
      </c>
      <c r="D4930" s="15" t="s">
        <v>42</v>
      </c>
      <c r="E4930" s="15" t="s">
        <v>39</v>
      </c>
      <c r="F4930" s="15" t="s">
        <v>17</v>
      </c>
      <c r="G4930" s="15" t="s">
        <v>29</v>
      </c>
      <c r="H4930" s="15" t="n">
        <v>1</v>
      </c>
      <c r="I4930" s="17" t="n">
        <v>0</v>
      </c>
      <c r="J4930" s="18" t="n">
        <v>19.52</v>
      </c>
      <c r="K4930" s="19" t="n">
        <v>8.87</v>
      </c>
      <c r="L4930" s="15" t="n">
        <f aca="false">YEAR(B4930)</f>
        <v>2023</v>
      </c>
      <c r="M4930" s="20" t="n">
        <f aca="false">IF(J4930&gt;0,K4930/J4930,0)</f>
        <v>0.454405737704918</v>
      </c>
    </row>
    <row r="4931" customFormat="false" ht="15" hidden="false" customHeight="false" outlineLevel="0" collapsed="false">
      <c r="A4931" s="15" t="s">
        <v>4988</v>
      </c>
      <c r="B4931" s="16" t="n">
        <v>45914</v>
      </c>
      <c r="C4931" s="15" t="s">
        <v>56</v>
      </c>
      <c r="D4931" s="15" t="s">
        <v>44</v>
      </c>
      <c r="E4931" s="15" t="s">
        <v>37</v>
      </c>
      <c r="F4931" s="15" t="s">
        <v>17</v>
      </c>
      <c r="G4931" s="15" t="s">
        <v>26</v>
      </c>
      <c r="H4931" s="15" t="n">
        <v>4</v>
      </c>
      <c r="I4931" s="17" t="n">
        <v>0.2</v>
      </c>
      <c r="J4931" s="18" t="n">
        <v>289.34</v>
      </c>
      <c r="K4931" s="19" t="n">
        <v>-13.08</v>
      </c>
      <c r="L4931" s="15" t="n">
        <f aca="false">YEAR(B4931)</f>
        <v>2025</v>
      </c>
      <c r="M4931" s="20" t="n">
        <f aca="false">IF(J4931&gt;0,K4931/J4931,0)</f>
        <v>-0.0452063316513444</v>
      </c>
    </row>
    <row r="4932" customFormat="false" ht="15" hidden="false" customHeight="false" outlineLevel="0" collapsed="false">
      <c r="A4932" s="15" t="s">
        <v>4989</v>
      </c>
      <c r="B4932" s="16" t="n">
        <v>45089</v>
      </c>
      <c r="C4932" s="15" t="s">
        <v>56</v>
      </c>
      <c r="D4932" s="15" t="s">
        <v>44</v>
      </c>
      <c r="E4932" s="15" t="s">
        <v>38</v>
      </c>
      <c r="F4932" s="15" t="s">
        <v>17</v>
      </c>
      <c r="G4932" s="15" t="s">
        <v>28</v>
      </c>
      <c r="H4932" s="15" t="n">
        <v>2</v>
      </c>
      <c r="I4932" s="17" t="n">
        <v>0.15</v>
      </c>
      <c r="J4932" s="18" t="n">
        <v>43.3</v>
      </c>
      <c r="K4932" s="19" t="n">
        <v>9.75</v>
      </c>
      <c r="L4932" s="15" t="n">
        <f aca="false">YEAR(B4932)</f>
        <v>2023</v>
      </c>
      <c r="M4932" s="20" t="n">
        <f aca="false">IF(J4932&gt;0,K4932/J4932,0)</f>
        <v>0.225173210161663</v>
      </c>
    </row>
    <row r="4933" customFormat="false" ht="15" hidden="false" customHeight="false" outlineLevel="0" collapsed="false">
      <c r="A4933" s="15" t="s">
        <v>4990</v>
      </c>
      <c r="B4933" s="16" t="n">
        <v>45942</v>
      </c>
      <c r="C4933" s="15" t="s">
        <v>71</v>
      </c>
      <c r="D4933" s="15" t="s">
        <v>43</v>
      </c>
      <c r="E4933" s="15" t="s">
        <v>39</v>
      </c>
      <c r="F4933" s="15" t="s">
        <v>16</v>
      </c>
      <c r="G4933" s="15" t="s">
        <v>25</v>
      </c>
      <c r="H4933" s="15" t="n">
        <v>3</v>
      </c>
      <c r="I4933" s="17" t="n">
        <v>0</v>
      </c>
      <c r="J4933" s="18" t="n">
        <v>1064.86</v>
      </c>
      <c r="K4933" s="19" t="n">
        <v>171.73</v>
      </c>
      <c r="L4933" s="15" t="n">
        <f aca="false">YEAR(B4933)</f>
        <v>2025</v>
      </c>
      <c r="M4933" s="20" t="n">
        <f aca="false">IF(J4933&gt;0,K4933/J4933,0)</f>
        <v>0.161270026106718</v>
      </c>
    </row>
    <row r="4934" customFormat="false" ht="15" hidden="false" customHeight="false" outlineLevel="0" collapsed="false">
      <c r="A4934" s="15" t="s">
        <v>4991</v>
      </c>
      <c r="B4934" s="16" t="n">
        <v>45264</v>
      </c>
      <c r="C4934" s="15" t="s">
        <v>56</v>
      </c>
      <c r="D4934" s="15" t="s">
        <v>42</v>
      </c>
      <c r="E4934" s="15" t="s">
        <v>36</v>
      </c>
      <c r="F4934" s="15" t="s">
        <v>17</v>
      </c>
      <c r="G4934" s="15" t="s">
        <v>28</v>
      </c>
      <c r="H4934" s="15" t="n">
        <v>4</v>
      </c>
      <c r="I4934" s="17" t="n">
        <v>0</v>
      </c>
      <c r="J4934" s="18" t="n">
        <v>94.7</v>
      </c>
      <c r="K4934" s="19" t="n">
        <v>31.44</v>
      </c>
      <c r="L4934" s="15" t="n">
        <f aca="false">YEAR(B4934)</f>
        <v>2023</v>
      </c>
      <c r="M4934" s="20" t="n">
        <f aca="false">IF(J4934&gt;0,K4934/J4934,0)</f>
        <v>0.331995776135164</v>
      </c>
    </row>
    <row r="4935" customFormat="false" ht="15" hidden="false" customHeight="false" outlineLevel="0" collapsed="false">
      <c r="A4935" s="15" t="s">
        <v>4992</v>
      </c>
      <c r="B4935" s="16" t="n">
        <v>45005</v>
      </c>
      <c r="C4935" s="15" t="s">
        <v>56</v>
      </c>
      <c r="D4935" s="15" t="s">
        <v>42</v>
      </c>
      <c r="E4935" s="15" t="s">
        <v>36</v>
      </c>
      <c r="F4935" s="15" t="s">
        <v>16</v>
      </c>
      <c r="G4935" s="15" t="s">
        <v>27</v>
      </c>
      <c r="H4935" s="15" t="n">
        <v>4</v>
      </c>
      <c r="I4935" s="17" t="n">
        <v>0.2</v>
      </c>
      <c r="J4935" s="18" t="n">
        <v>231.65</v>
      </c>
      <c r="K4935" s="19" t="n">
        <v>-0.47</v>
      </c>
      <c r="L4935" s="15" t="n">
        <f aca="false">YEAR(B4935)</f>
        <v>2023</v>
      </c>
      <c r="M4935" s="20" t="n">
        <f aca="false">IF(J4935&gt;0,K4935/J4935,0)</f>
        <v>-0.0020289229440967</v>
      </c>
    </row>
    <row r="4936" customFormat="false" ht="15" hidden="false" customHeight="false" outlineLevel="0" collapsed="false">
      <c r="A4936" s="15" t="s">
        <v>4993</v>
      </c>
      <c r="B4936" s="16" t="n">
        <v>45961</v>
      </c>
      <c r="C4936" s="15" t="s">
        <v>56</v>
      </c>
      <c r="D4936" s="15" t="s">
        <v>42</v>
      </c>
      <c r="E4936" s="15" t="s">
        <v>37</v>
      </c>
      <c r="F4936" s="15" t="s">
        <v>17</v>
      </c>
      <c r="G4936" s="15" t="s">
        <v>28</v>
      </c>
      <c r="H4936" s="15" t="n">
        <v>6</v>
      </c>
      <c r="I4936" s="17" t="n">
        <v>0</v>
      </c>
      <c r="J4936" s="18" t="n">
        <v>161.84</v>
      </c>
      <c r="K4936" s="19" t="n">
        <v>44.56</v>
      </c>
      <c r="L4936" s="15" t="n">
        <f aca="false">YEAR(B4936)</f>
        <v>2025</v>
      </c>
      <c r="M4936" s="20" t="n">
        <f aca="false">IF(J4936&gt;0,K4936/J4936,0)</f>
        <v>0.275333662876915</v>
      </c>
    </row>
    <row r="4937" customFormat="false" ht="15" hidden="false" customHeight="false" outlineLevel="0" collapsed="false">
      <c r="A4937" s="15" t="s">
        <v>4994</v>
      </c>
      <c r="B4937" s="16" t="n">
        <v>45206</v>
      </c>
      <c r="C4937" s="15" t="s">
        <v>71</v>
      </c>
      <c r="D4937" s="15" t="s">
        <v>44</v>
      </c>
      <c r="E4937" s="15" t="s">
        <v>36</v>
      </c>
      <c r="F4937" s="15" t="s">
        <v>17</v>
      </c>
      <c r="G4937" s="15" t="s">
        <v>28</v>
      </c>
      <c r="H4937" s="15" t="n">
        <v>7</v>
      </c>
      <c r="I4937" s="17" t="n">
        <v>0.1</v>
      </c>
      <c r="J4937" s="18" t="n">
        <v>166.19</v>
      </c>
      <c r="K4937" s="19" t="n">
        <v>37.2</v>
      </c>
      <c r="L4937" s="15" t="n">
        <f aca="false">YEAR(B4937)</f>
        <v>2023</v>
      </c>
      <c r="M4937" s="20" t="n">
        <f aca="false">IF(J4937&gt;0,K4937/J4937,0)</f>
        <v>0.22384018292316</v>
      </c>
    </row>
    <row r="4938" customFormat="false" ht="15" hidden="false" customHeight="false" outlineLevel="0" collapsed="false">
      <c r="A4938" s="15" t="s">
        <v>4995</v>
      </c>
      <c r="B4938" s="16" t="n">
        <v>45500</v>
      </c>
      <c r="C4938" s="15" t="s">
        <v>56</v>
      </c>
      <c r="D4938" s="15" t="s">
        <v>43</v>
      </c>
      <c r="E4938" s="15" t="s">
        <v>38</v>
      </c>
      <c r="F4938" s="15" t="s">
        <v>17</v>
      </c>
      <c r="G4938" s="15" t="s">
        <v>29</v>
      </c>
      <c r="H4938" s="15" t="n">
        <v>4</v>
      </c>
      <c r="I4938" s="17" t="n">
        <v>0.15</v>
      </c>
      <c r="J4938" s="18" t="n">
        <v>56.23</v>
      </c>
      <c r="K4938" s="19" t="n">
        <v>9.61</v>
      </c>
      <c r="L4938" s="15" t="n">
        <f aca="false">YEAR(B4938)</f>
        <v>2024</v>
      </c>
      <c r="M4938" s="20" t="n">
        <f aca="false">IF(J4938&gt;0,K4938/J4938,0)</f>
        <v>0.170905210741597</v>
      </c>
    </row>
    <row r="4939" customFormat="false" ht="15" hidden="false" customHeight="false" outlineLevel="0" collapsed="false">
      <c r="A4939" s="15" t="s">
        <v>4996</v>
      </c>
      <c r="B4939" s="16" t="n">
        <v>45115</v>
      </c>
      <c r="C4939" s="15" t="s">
        <v>56</v>
      </c>
      <c r="D4939" s="15" t="s">
        <v>43</v>
      </c>
      <c r="E4939" s="15" t="s">
        <v>37</v>
      </c>
      <c r="F4939" s="15" t="s">
        <v>16</v>
      </c>
      <c r="G4939" s="15" t="s">
        <v>22</v>
      </c>
      <c r="H4939" s="15" t="n">
        <v>4</v>
      </c>
      <c r="I4939" s="17" t="n">
        <v>0.05</v>
      </c>
      <c r="J4939" s="18" t="n">
        <v>2692</v>
      </c>
      <c r="K4939" s="19" t="n">
        <v>-435.51</v>
      </c>
      <c r="L4939" s="15" t="n">
        <f aca="false">YEAR(B4939)</f>
        <v>2023</v>
      </c>
      <c r="M4939" s="20" t="n">
        <f aca="false">IF(J4939&gt;0,K4939/J4939,0)</f>
        <v>-0.161779346210996</v>
      </c>
    </row>
    <row r="4940" customFormat="false" ht="15" hidden="false" customHeight="false" outlineLevel="0" collapsed="false">
      <c r="A4940" s="15" t="s">
        <v>4997</v>
      </c>
      <c r="B4940" s="16" t="n">
        <v>45314</v>
      </c>
      <c r="C4940" s="15" t="s">
        <v>56</v>
      </c>
      <c r="D4940" s="15" t="s">
        <v>42</v>
      </c>
      <c r="E4940" s="15" t="s">
        <v>36</v>
      </c>
      <c r="F4940" s="15" t="s">
        <v>17</v>
      </c>
      <c r="G4940" s="15" t="s">
        <v>29</v>
      </c>
      <c r="H4940" s="15" t="n">
        <v>5</v>
      </c>
      <c r="I4940" s="17" t="n">
        <v>0</v>
      </c>
      <c r="J4940" s="18" t="n">
        <v>86.57</v>
      </c>
      <c r="K4940" s="19" t="n">
        <v>27.52</v>
      </c>
      <c r="L4940" s="15" t="n">
        <f aca="false">YEAR(B4940)</f>
        <v>2024</v>
      </c>
      <c r="M4940" s="20" t="n">
        <f aca="false">IF(J4940&gt;0,K4940/J4940,0)</f>
        <v>0.317893034538524</v>
      </c>
    </row>
    <row r="4941" customFormat="false" ht="15" hidden="false" customHeight="false" outlineLevel="0" collapsed="false">
      <c r="A4941" s="15" t="s">
        <v>4998</v>
      </c>
      <c r="B4941" s="16" t="n">
        <v>45629</v>
      </c>
      <c r="C4941" s="15" t="s">
        <v>71</v>
      </c>
      <c r="D4941" s="15" t="s">
        <v>43</v>
      </c>
      <c r="E4941" s="15" t="s">
        <v>36</v>
      </c>
      <c r="F4941" s="15" t="s">
        <v>17</v>
      </c>
      <c r="G4941" s="15" t="s">
        <v>31</v>
      </c>
      <c r="H4941" s="15" t="n">
        <v>3</v>
      </c>
      <c r="I4941" s="17" t="n">
        <v>0</v>
      </c>
      <c r="J4941" s="18" t="n">
        <v>460.22</v>
      </c>
      <c r="K4941" s="19" t="n">
        <v>123.7</v>
      </c>
      <c r="L4941" s="15" t="n">
        <f aca="false">YEAR(B4941)</f>
        <v>2024</v>
      </c>
      <c r="M4941" s="20" t="n">
        <f aca="false">IF(J4941&gt;0,K4941/J4941,0)</f>
        <v>0.268784494372257</v>
      </c>
    </row>
    <row r="4942" customFormat="false" ht="15" hidden="false" customHeight="false" outlineLevel="0" collapsed="false">
      <c r="A4942" s="15" t="s">
        <v>4999</v>
      </c>
      <c r="B4942" s="16" t="n">
        <v>44905</v>
      </c>
      <c r="C4942" s="15" t="s">
        <v>71</v>
      </c>
      <c r="D4942" s="15" t="s">
        <v>44</v>
      </c>
      <c r="E4942" s="15" t="s">
        <v>36</v>
      </c>
      <c r="F4942" s="15" t="s">
        <v>17</v>
      </c>
      <c r="G4942" s="15" t="s">
        <v>28</v>
      </c>
      <c r="H4942" s="15" t="n">
        <v>2</v>
      </c>
      <c r="I4942" s="17" t="n">
        <v>0.2</v>
      </c>
      <c r="J4942" s="18" t="n">
        <v>40.95</v>
      </c>
      <c r="K4942" s="19" t="n">
        <v>2.55</v>
      </c>
      <c r="L4942" s="15" t="n">
        <f aca="false">YEAR(B4942)</f>
        <v>2022</v>
      </c>
      <c r="M4942" s="20" t="n">
        <f aca="false">IF(J4942&gt;0,K4942/J4942,0)</f>
        <v>0.0622710622710623</v>
      </c>
    </row>
    <row r="4943" customFormat="false" ht="15" hidden="false" customHeight="false" outlineLevel="0" collapsed="false">
      <c r="A4943" s="15" t="s">
        <v>5000</v>
      </c>
      <c r="B4943" s="16" t="n">
        <v>45287</v>
      </c>
      <c r="C4943" s="15" t="s">
        <v>71</v>
      </c>
      <c r="D4943" s="15" t="s">
        <v>42</v>
      </c>
      <c r="E4943" s="15" t="s">
        <v>37</v>
      </c>
      <c r="F4943" s="15" t="s">
        <v>17</v>
      </c>
      <c r="G4943" s="15" t="s">
        <v>28</v>
      </c>
      <c r="H4943" s="15" t="n">
        <v>2</v>
      </c>
      <c r="I4943" s="17" t="n">
        <v>0.3</v>
      </c>
      <c r="J4943" s="18" t="n">
        <v>34.66</v>
      </c>
      <c r="K4943" s="19" t="n">
        <v>3.08</v>
      </c>
      <c r="L4943" s="15" t="n">
        <f aca="false">YEAR(B4943)</f>
        <v>2023</v>
      </c>
      <c r="M4943" s="20" t="n">
        <f aca="false">IF(J4943&gt;0,K4943/J4943,0)</f>
        <v>0.088863242931333</v>
      </c>
    </row>
    <row r="4944" customFormat="false" ht="15" hidden="false" customHeight="false" outlineLevel="0" collapsed="false">
      <c r="A4944" s="15" t="s">
        <v>5001</v>
      </c>
      <c r="B4944" s="16" t="n">
        <v>45809</v>
      </c>
      <c r="C4944" s="15" t="s">
        <v>58</v>
      </c>
      <c r="D4944" s="15" t="s">
        <v>43</v>
      </c>
      <c r="E4944" s="15" t="s">
        <v>37</v>
      </c>
      <c r="F4944" s="15" t="s">
        <v>17</v>
      </c>
      <c r="G4944" s="15" t="s">
        <v>29</v>
      </c>
      <c r="H4944" s="15" t="n">
        <v>4</v>
      </c>
      <c r="I4944" s="17" t="n">
        <v>0.1</v>
      </c>
      <c r="J4944" s="18" t="n">
        <v>80.38</v>
      </c>
      <c r="K4944" s="19" t="n">
        <v>22.66</v>
      </c>
      <c r="L4944" s="15" t="n">
        <f aca="false">YEAR(B4944)</f>
        <v>2025</v>
      </c>
      <c r="M4944" s="20" t="n">
        <f aca="false">IF(J4944&gt;0,K4944/J4944,0)</f>
        <v>0.281910923115203</v>
      </c>
    </row>
    <row r="4945" customFormat="false" ht="15" hidden="false" customHeight="false" outlineLevel="0" collapsed="false">
      <c r="A4945" s="15" t="s">
        <v>5002</v>
      </c>
      <c r="B4945" s="16" t="n">
        <v>45801</v>
      </c>
      <c r="C4945" s="15" t="s">
        <v>56</v>
      </c>
      <c r="D4945" s="15" t="s">
        <v>44</v>
      </c>
      <c r="E4945" s="15" t="s">
        <v>38</v>
      </c>
      <c r="F4945" s="15" t="s">
        <v>16</v>
      </c>
      <c r="G4945" s="15" t="s">
        <v>27</v>
      </c>
      <c r="H4945" s="15" t="n">
        <v>4</v>
      </c>
      <c r="I4945" s="17" t="n">
        <v>0</v>
      </c>
      <c r="J4945" s="18" t="n">
        <v>199.12</v>
      </c>
      <c r="K4945" s="19" t="n">
        <v>20.16</v>
      </c>
      <c r="L4945" s="15" t="n">
        <f aca="false">YEAR(B4945)</f>
        <v>2025</v>
      </c>
      <c r="M4945" s="20" t="n">
        <f aca="false">IF(J4945&gt;0,K4945/J4945,0)</f>
        <v>0.101245480112495</v>
      </c>
    </row>
    <row r="4946" customFormat="false" ht="15" hidden="false" customHeight="false" outlineLevel="0" collapsed="false">
      <c r="A4946" s="15" t="s">
        <v>5003</v>
      </c>
      <c r="B4946" s="16" t="n">
        <v>45541</v>
      </c>
      <c r="C4946" s="15" t="s">
        <v>56</v>
      </c>
      <c r="D4946" s="15" t="s">
        <v>43</v>
      </c>
      <c r="E4946" s="15" t="s">
        <v>36</v>
      </c>
      <c r="F4946" s="15" t="s">
        <v>18</v>
      </c>
      <c r="G4946" s="15" t="s">
        <v>30</v>
      </c>
      <c r="H4946" s="15" t="n">
        <v>5</v>
      </c>
      <c r="I4946" s="17" t="n">
        <v>0.05</v>
      </c>
      <c r="J4946" s="18" t="n">
        <v>229.21</v>
      </c>
      <c r="K4946" s="19" t="n">
        <v>42.57</v>
      </c>
      <c r="L4946" s="15" t="n">
        <f aca="false">YEAR(B4946)</f>
        <v>2024</v>
      </c>
      <c r="M4946" s="20" t="n">
        <f aca="false">IF(J4946&gt;0,K4946/J4946,0)</f>
        <v>0.185724881113389</v>
      </c>
    </row>
    <row r="4947" customFormat="false" ht="15" hidden="false" customHeight="false" outlineLevel="0" collapsed="false">
      <c r="A4947" s="15" t="s">
        <v>5004</v>
      </c>
      <c r="B4947" s="16" t="n">
        <v>45648</v>
      </c>
      <c r="C4947" s="15" t="s">
        <v>68</v>
      </c>
      <c r="D4947" s="15" t="s">
        <v>42</v>
      </c>
      <c r="E4947" s="15" t="s">
        <v>36</v>
      </c>
      <c r="F4947" s="15" t="s">
        <v>18</v>
      </c>
      <c r="G4947" s="15" t="s">
        <v>33</v>
      </c>
      <c r="H4947" s="15" t="n">
        <v>4</v>
      </c>
      <c r="I4947" s="17" t="n">
        <v>0.2</v>
      </c>
      <c r="J4947" s="18" t="n">
        <v>2868.65</v>
      </c>
      <c r="K4947" s="19" t="n">
        <v>243.75</v>
      </c>
      <c r="L4947" s="15" t="n">
        <f aca="false">YEAR(B4947)</f>
        <v>2024</v>
      </c>
      <c r="M4947" s="20" t="n">
        <f aca="false">IF(J4947&gt;0,K4947/J4947,0)</f>
        <v>0.0849702821884859</v>
      </c>
    </row>
    <row r="4948" customFormat="false" ht="15" hidden="false" customHeight="false" outlineLevel="0" collapsed="false">
      <c r="A4948" s="15" t="s">
        <v>5005</v>
      </c>
      <c r="B4948" s="16" t="n">
        <v>45617</v>
      </c>
      <c r="C4948" s="15" t="s">
        <v>71</v>
      </c>
      <c r="D4948" s="15" t="s">
        <v>42</v>
      </c>
      <c r="E4948" s="15" t="s">
        <v>37</v>
      </c>
      <c r="F4948" s="15" t="s">
        <v>17</v>
      </c>
      <c r="G4948" s="15" t="s">
        <v>29</v>
      </c>
      <c r="H4948" s="15" t="n">
        <v>6</v>
      </c>
      <c r="I4948" s="17" t="n">
        <v>0</v>
      </c>
      <c r="J4948" s="18" t="n">
        <v>96.59</v>
      </c>
      <c r="K4948" s="19" t="n">
        <v>41.05</v>
      </c>
      <c r="L4948" s="15" t="n">
        <f aca="false">YEAR(B4948)</f>
        <v>2024</v>
      </c>
      <c r="M4948" s="20" t="n">
        <f aca="false">IF(J4948&gt;0,K4948/J4948,0)</f>
        <v>0.424992235221037</v>
      </c>
    </row>
    <row r="4949" customFormat="false" ht="15" hidden="false" customHeight="false" outlineLevel="0" collapsed="false">
      <c r="A4949" s="15" t="s">
        <v>5006</v>
      </c>
      <c r="B4949" s="16" t="n">
        <v>45064</v>
      </c>
      <c r="C4949" s="15" t="s">
        <v>68</v>
      </c>
      <c r="D4949" s="15" t="s">
        <v>42</v>
      </c>
      <c r="E4949" s="15" t="s">
        <v>38</v>
      </c>
      <c r="F4949" s="15" t="s">
        <v>17</v>
      </c>
      <c r="G4949" s="15" t="s">
        <v>28</v>
      </c>
      <c r="H4949" s="15" t="n">
        <v>4</v>
      </c>
      <c r="I4949" s="17" t="n">
        <v>0</v>
      </c>
      <c r="J4949" s="18" t="n">
        <v>104.6</v>
      </c>
      <c r="K4949" s="19" t="n">
        <v>36.69</v>
      </c>
      <c r="L4949" s="15" t="n">
        <f aca="false">YEAR(B4949)</f>
        <v>2023</v>
      </c>
      <c r="M4949" s="20" t="n">
        <f aca="false">IF(J4949&gt;0,K4949/J4949,0)</f>
        <v>0.350764818355641</v>
      </c>
    </row>
    <row r="4950" customFormat="false" ht="15" hidden="false" customHeight="false" outlineLevel="0" collapsed="false">
      <c r="A4950" s="15" t="s">
        <v>5007</v>
      </c>
      <c r="B4950" s="16" t="n">
        <v>45790</v>
      </c>
      <c r="C4950" s="15" t="s">
        <v>56</v>
      </c>
      <c r="D4950" s="15" t="s">
        <v>44</v>
      </c>
      <c r="E4950" s="15" t="s">
        <v>36</v>
      </c>
      <c r="F4950" s="15" t="s">
        <v>17</v>
      </c>
      <c r="G4950" s="15" t="s">
        <v>29</v>
      </c>
      <c r="H4950" s="15" t="n">
        <v>5</v>
      </c>
      <c r="I4950" s="17" t="n">
        <v>0.05</v>
      </c>
      <c r="J4950" s="18" t="n">
        <v>83.43</v>
      </c>
      <c r="K4950" s="19" t="n">
        <v>27.76</v>
      </c>
      <c r="L4950" s="15" t="n">
        <f aca="false">YEAR(B4950)</f>
        <v>2025</v>
      </c>
      <c r="M4950" s="20" t="n">
        <f aca="false">IF(J4950&gt;0,K4950/J4950,0)</f>
        <v>0.332734028526909</v>
      </c>
    </row>
    <row r="4951" customFormat="false" ht="15" hidden="false" customHeight="false" outlineLevel="0" collapsed="false">
      <c r="A4951" s="15" t="s">
        <v>5008</v>
      </c>
      <c r="B4951" s="16" t="n">
        <v>45039</v>
      </c>
      <c r="C4951" s="15" t="s">
        <v>56</v>
      </c>
      <c r="D4951" s="15" t="s">
        <v>42</v>
      </c>
      <c r="E4951" s="15" t="s">
        <v>37</v>
      </c>
      <c r="F4951" s="15" t="s">
        <v>17</v>
      </c>
      <c r="G4951" s="15" t="s">
        <v>26</v>
      </c>
      <c r="H4951" s="15" t="n">
        <v>4</v>
      </c>
      <c r="I4951" s="17" t="n">
        <v>0.2</v>
      </c>
      <c r="J4951" s="18" t="n">
        <v>229.33</v>
      </c>
      <c r="K4951" s="19" t="n">
        <v>-19.26</v>
      </c>
      <c r="L4951" s="15" t="n">
        <f aca="false">YEAR(B4951)</f>
        <v>2023</v>
      </c>
      <c r="M4951" s="20" t="n">
        <f aca="false">IF(J4951&gt;0,K4951/J4951,0)</f>
        <v>-0.0839837788339947</v>
      </c>
    </row>
    <row r="4952" customFormat="false" ht="15" hidden="false" customHeight="false" outlineLevel="0" collapsed="false">
      <c r="A4952" s="15" t="s">
        <v>5009</v>
      </c>
      <c r="B4952" s="16" t="n">
        <v>45012</v>
      </c>
      <c r="C4952" s="15" t="s">
        <v>56</v>
      </c>
      <c r="D4952" s="15" t="s">
        <v>42</v>
      </c>
      <c r="E4952" s="15" t="s">
        <v>36</v>
      </c>
      <c r="F4952" s="15" t="s">
        <v>16</v>
      </c>
      <c r="G4952" s="15" t="s">
        <v>23</v>
      </c>
      <c r="H4952" s="15" t="n">
        <v>3</v>
      </c>
      <c r="I4952" s="17" t="n">
        <v>0</v>
      </c>
      <c r="J4952" s="18" t="n">
        <v>759.57</v>
      </c>
      <c r="K4952" s="19" t="n">
        <v>-1.96</v>
      </c>
      <c r="L4952" s="15" t="n">
        <f aca="false">YEAR(B4952)</f>
        <v>2023</v>
      </c>
      <c r="M4952" s="20" t="n">
        <f aca="false">IF(J4952&gt;0,K4952/J4952,0)</f>
        <v>-0.00258040733572943</v>
      </c>
    </row>
    <row r="4953" customFormat="false" ht="15" hidden="false" customHeight="false" outlineLevel="0" collapsed="false">
      <c r="A4953" s="15" t="s">
        <v>5010</v>
      </c>
      <c r="B4953" s="16" t="n">
        <v>45012</v>
      </c>
      <c r="C4953" s="15" t="s">
        <v>56</v>
      </c>
      <c r="D4953" s="15" t="s">
        <v>43</v>
      </c>
      <c r="E4953" s="15" t="s">
        <v>38</v>
      </c>
      <c r="F4953" s="15" t="s">
        <v>17</v>
      </c>
      <c r="G4953" s="15" t="s">
        <v>28</v>
      </c>
      <c r="H4953" s="15" t="n">
        <v>3</v>
      </c>
      <c r="I4953" s="17" t="n">
        <v>0</v>
      </c>
      <c r="J4953" s="18" t="n">
        <v>74.66</v>
      </c>
      <c r="K4953" s="19" t="n">
        <v>24.45</v>
      </c>
      <c r="L4953" s="15" t="n">
        <f aca="false">YEAR(B4953)</f>
        <v>2023</v>
      </c>
      <c r="M4953" s="20" t="n">
        <f aca="false">IF(J4953&gt;0,K4953/J4953,0)</f>
        <v>0.327484596839004</v>
      </c>
    </row>
    <row r="4954" customFormat="false" ht="15" hidden="false" customHeight="false" outlineLevel="0" collapsed="false">
      <c r="A4954" s="15" t="s">
        <v>5011</v>
      </c>
      <c r="B4954" s="16" t="n">
        <v>45208</v>
      </c>
      <c r="C4954" s="15" t="s">
        <v>68</v>
      </c>
      <c r="D4954" s="15" t="s">
        <v>43</v>
      </c>
      <c r="E4954" s="15" t="s">
        <v>36</v>
      </c>
      <c r="F4954" s="15" t="s">
        <v>17</v>
      </c>
      <c r="G4954" s="15" t="s">
        <v>28</v>
      </c>
      <c r="H4954" s="15" t="n">
        <v>5</v>
      </c>
      <c r="I4954" s="17" t="n">
        <v>0.5</v>
      </c>
      <c r="J4954" s="18" t="n">
        <v>68.4</v>
      </c>
      <c r="K4954" s="19" t="n">
        <v>-3.57</v>
      </c>
      <c r="L4954" s="15" t="n">
        <f aca="false">YEAR(B4954)</f>
        <v>2023</v>
      </c>
      <c r="M4954" s="20" t="n">
        <f aca="false">IF(J4954&gt;0,K4954/J4954,0)</f>
        <v>-0.0521929824561404</v>
      </c>
    </row>
    <row r="4955" customFormat="false" ht="15" hidden="false" customHeight="false" outlineLevel="0" collapsed="false">
      <c r="A4955" s="15" t="s">
        <v>5012</v>
      </c>
      <c r="B4955" s="16" t="n">
        <v>45625</v>
      </c>
      <c r="C4955" s="15" t="s">
        <v>58</v>
      </c>
      <c r="D4955" s="15" t="s">
        <v>44</v>
      </c>
      <c r="E4955" s="15" t="s">
        <v>36</v>
      </c>
      <c r="F4955" s="15" t="s">
        <v>17</v>
      </c>
      <c r="G4955" s="15" t="s">
        <v>29</v>
      </c>
      <c r="H4955" s="15" t="n">
        <v>4</v>
      </c>
      <c r="I4955" s="17" t="n">
        <v>0</v>
      </c>
      <c r="J4955" s="18" t="n">
        <v>71.26</v>
      </c>
      <c r="K4955" s="19" t="n">
        <v>29.76</v>
      </c>
      <c r="L4955" s="15" t="n">
        <f aca="false">YEAR(B4955)</f>
        <v>2024</v>
      </c>
      <c r="M4955" s="20" t="n">
        <f aca="false">IF(J4955&gt;0,K4955/J4955,0)</f>
        <v>0.417625596407522</v>
      </c>
    </row>
    <row r="4956" customFormat="false" ht="15" hidden="false" customHeight="false" outlineLevel="0" collapsed="false">
      <c r="A4956" s="15" t="s">
        <v>5013</v>
      </c>
      <c r="B4956" s="16" t="n">
        <v>45244</v>
      </c>
      <c r="C4956" s="15" t="s">
        <v>68</v>
      </c>
      <c r="D4956" s="15" t="s">
        <v>43</v>
      </c>
      <c r="E4956" s="15" t="s">
        <v>37</v>
      </c>
      <c r="F4956" s="15" t="s">
        <v>17</v>
      </c>
      <c r="G4956" s="15" t="s">
        <v>29</v>
      </c>
      <c r="H4956" s="15" t="n">
        <v>3</v>
      </c>
      <c r="I4956" s="17" t="n">
        <v>0.05</v>
      </c>
      <c r="J4956" s="18" t="n">
        <v>54.9</v>
      </c>
      <c r="K4956" s="19" t="n">
        <v>13.93</v>
      </c>
      <c r="L4956" s="15" t="n">
        <f aca="false">YEAR(B4956)</f>
        <v>2023</v>
      </c>
      <c r="M4956" s="20" t="n">
        <f aca="false">IF(J4956&gt;0,K4956/J4956,0)</f>
        <v>0.253734061930783</v>
      </c>
    </row>
    <row r="4957" customFormat="false" ht="15" hidden="false" customHeight="false" outlineLevel="0" collapsed="false">
      <c r="A4957" s="15" t="s">
        <v>5014</v>
      </c>
      <c r="B4957" s="16" t="n">
        <v>45877</v>
      </c>
      <c r="C4957" s="15" t="s">
        <v>56</v>
      </c>
      <c r="D4957" s="15" t="s">
        <v>44</v>
      </c>
      <c r="E4957" s="15" t="s">
        <v>39</v>
      </c>
      <c r="F4957" s="15" t="s">
        <v>18</v>
      </c>
      <c r="G4957" s="15" t="s">
        <v>30</v>
      </c>
      <c r="H4957" s="15" t="n">
        <v>2</v>
      </c>
      <c r="I4957" s="17" t="n">
        <v>0</v>
      </c>
      <c r="J4957" s="18" t="n">
        <v>96.22</v>
      </c>
      <c r="K4957" s="19" t="n">
        <v>33.61</v>
      </c>
      <c r="L4957" s="15" t="n">
        <f aca="false">YEAR(B4957)</f>
        <v>2025</v>
      </c>
      <c r="M4957" s="20" t="n">
        <f aca="false">IF(J4957&gt;0,K4957/J4957,0)</f>
        <v>0.349303679068801</v>
      </c>
    </row>
    <row r="4958" customFormat="false" ht="15" hidden="false" customHeight="false" outlineLevel="0" collapsed="false">
      <c r="A4958" s="15" t="s">
        <v>5015</v>
      </c>
      <c r="B4958" s="16" t="n">
        <v>45708</v>
      </c>
      <c r="C4958" s="15" t="s">
        <v>56</v>
      </c>
      <c r="D4958" s="15" t="s">
        <v>43</v>
      </c>
      <c r="E4958" s="15" t="s">
        <v>39</v>
      </c>
      <c r="F4958" s="15" t="s">
        <v>16</v>
      </c>
      <c r="G4958" s="15" t="s">
        <v>23</v>
      </c>
      <c r="H4958" s="15" t="n">
        <v>3</v>
      </c>
      <c r="I4958" s="17" t="n">
        <v>0</v>
      </c>
      <c r="J4958" s="18" t="n">
        <v>1085.85</v>
      </c>
      <c r="K4958" s="19" t="n">
        <v>100.6</v>
      </c>
      <c r="L4958" s="15" t="n">
        <f aca="false">YEAR(B4958)</f>
        <v>2025</v>
      </c>
      <c r="M4958" s="20" t="n">
        <f aca="false">IF(J4958&gt;0,K4958/J4958,0)</f>
        <v>0.0926463139475987</v>
      </c>
    </row>
    <row r="4959" customFormat="false" ht="15" hidden="false" customHeight="false" outlineLevel="0" collapsed="false">
      <c r="A4959" s="15" t="s">
        <v>5016</v>
      </c>
      <c r="B4959" s="16" t="n">
        <v>45643</v>
      </c>
      <c r="C4959" s="15" t="s">
        <v>56</v>
      </c>
      <c r="D4959" s="15" t="s">
        <v>44</v>
      </c>
      <c r="E4959" s="15" t="s">
        <v>39</v>
      </c>
      <c r="F4959" s="15" t="s">
        <v>18</v>
      </c>
      <c r="G4959" s="15" t="s">
        <v>30</v>
      </c>
      <c r="H4959" s="15" t="n">
        <v>8</v>
      </c>
      <c r="I4959" s="17" t="n">
        <v>0.5</v>
      </c>
      <c r="J4959" s="18" t="n">
        <v>217.74</v>
      </c>
      <c r="K4959" s="19" t="n">
        <v>-39.35</v>
      </c>
      <c r="L4959" s="15" t="n">
        <f aca="false">YEAR(B4959)</f>
        <v>2024</v>
      </c>
      <c r="M4959" s="20" t="n">
        <f aca="false">IF(J4959&gt;0,K4959/J4959,0)</f>
        <v>-0.180720124919629</v>
      </c>
    </row>
    <row r="4960" customFormat="false" ht="15" hidden="false" customHeight="false" outlineLevel="0" collapsed="false">
      <c r="A4960" s="15" t="s">
        <v>5017</v>
      </c>
      <c r="B4960" s="16" t="n">
        <v>45735</v>
      </c>
      <c r="C4960" s="15" t="s">
        <v>71</v>
      </c>
      <c r="D4960" s="15" t="s">
        <v>42</v>
      </c>
      <c r="E4960" s="15" t="s">
        <v>39</v>
      </c>
      <c r="F4960" s="15" t="s">
        <v>18</v>
      </c>
      <c r="G4960" s="15" t="s">
        <v>32</v>
      </c>
      <c r="H4960" s="15" t="n">
        <v>3</v>
      </c>
      <c r="I4960" s="17" t="n">
        <v>0.15</v>
      </c>
      <c r="J4960" s="18" t="n">
        <v>1269.39</v>
      </c>
      <c r="K4960" s="19" t="n">
        <v>139.04</v>
      </c>
      <c r="L4960" s="15" t="n">
        <f aca="false">YEAR(B4960)</f>
        <v>2025</v>
      </c>
      <c r="M4960" s="20" t="n">
        <f aca="false">IF(J4960&gt;0,K4960/J4960,0)</f>
        <v>0.109532925263315</v>
      </c>
    </row>
    <row r="4961" customFormat="false" ht="15" hidden="false" customHeight="false" outlineLevel="0" collapsed="false">
      <c r="A4961" s="15" t="s">
        <v>5018</v>
      </c>
      <c r="B4961" s="16" t="n">
        <v>45877</v>
      </c>
      <c r="C4961" s="15" t="s">
        <v>56</v>
      </c>
      <c r="D4961" s="15" t="s">
        <v>43</v>
      </c>
      <c r="E4961" s="15" t="s">
        <v>37</v>
      </c>
      <c r="F4961" s="15" t="s">
        <v>17</v>
      </c>
      <c r="G4961" s="15" t="s">
        <v>28</v>
      </c>
      <c r="H4961" s="15" t="n">
        <v>4</v>
      </c>
      <c r="I4961" s="17" t="n">
        <v>0.2</v>
      </c>
      <c r="J4961" s="18" t="n">
        <v>91.65</v>
      </c>
      <c r="K4961" s="19" t="n">
        <v>9.55</v>
      </c>
      <c r="L4961" s="15" t="n">
        <f aca="false">YEAR(B4961)</f>
        <v>2025</v>
      </c>
      <c r="M4961" s="20" t="n">
        <f aca="false">IF(J4961&gt;0,K4961/J4961,0)</f>
        <v>0.104200763775232</v>
      </c>
    </row>
    <row r="4962" customFormat="false" ht="15" hidden="false" customHeight="false" outlineLevel="0" collapsed="false">
      <c r="A4962" s="15" t="s">
        <v>5019</v>
      </c>
      <c r="B4962" s="16" t="n">
        <v>44584</v>
      </c>
      <c r="C4962" s="15" t="s">
        <v>56</v>
      </c>
      <c r="D4962" s="15" t="s">
        <v>43</v>
      </c>
      <c r="E4962" s="15" t="s">
        <v>39</v>
      </c>
      <c r="F4962" s="15" t="s">
        <v>18</v>
      </c>
      <c r="G4962" s="15" t="s">
        <v>30</v>
      </c>
      <c r="H4962" s="15" t="n">
        <v>5</v>
      </c>
      <c r="I4962" s="17" t="n">
        <v>0.1</v>
      </c>
      <c r="J4962" s="18" t="n">
        <v>207.02</v>
      </c>
      <c r="K4962" s="19" t="n">
        <v>47.06</v>
      </c>
      <c r="L4962" s="15" t="n">
        <f aca="false">YEAR(B4962)</f>
        <v>2022</v>
      </c>
      <c r="M4962" s="20" t="n">
        <f aca="false">IF(J4962&gt;0,K4962/J4962,0)</f>
        <v>0.227321031784369</v>
      </c>
    </row>
    <row r="4963" customFormat="false" ht="15" hidden="false" customHeight="false" outlineLevel="0" collapsed="false">
      <c r="A4963" s="15" t="s">
        <v>5020</v>
      </c>
      <c r="B4963" s="16" t="n">
        <v>45118</v>
      </c>
      <c r="C4963" s="15" t="s">
        <v>56</v>
      </c>
      <c r="D4963" s="15" t="s">
        <v>42</v>
      </c>
      <c r="E4963" s="15" t="s">
        <v>38</v>
      </c>
      <c r="F4963" s="15" t="s">
        <v>16</v>
      </c>
      <c r="G4963" s="15" t="s">
        <v>27</v>
      </c>
      <c r="H4963" s="15" t="n">
        <v>3</v>
      </c>
      <c r="I4963" s="17" t="n">
        <v>0.4</v>
      </c>
      <c r="J4963" s="18" t="n">
        <v>85.77</v>
      </c>
      <c r="K4963" s="19" t="n">
        <v>-11.56</v>
      </c>
      <c r="L4963" s="15" t="n">
        <f aca="false">YEAR(B4963)</f>
        <v>2023</v>
      </c>
      <c r="M4963" s="20" t="n">
        <f aca="false">IF(J4963&gt;0,K4963/J4963,0)</f>
        <v>-0.134779060277486</v>
      </c>
    </row>
    <row r="4964" customFormat="false" ht="15" hidden="false" customHeight="false" outlineLevel="0" collapsed="false">
      <c r="A4964" s="15" t="s">
        <v>5021</v>
      </c>
      <c r="B4964" s="16" t="n">
        <v>45254</v>
      </c>
      <c r="C4964" s="15" t="s">
        <v>68</v>
      </c>
      <c r="D4964" s="15" t="s">
        <v>42</v>
      </c>
      <c r="E4964" s="15" t="s">
        <v>37</v>
      </c>
      <c r="F4964" s="15" t="s">
        <v>17</v>
      </c>
      <c r="G4964" s="15" t="s">
        <v>31</v>
      </c>
      <c r="H4964" s="15" t="n">
        <v>3</v>
      </c>
      <c r="I4964" s="17" t="n">
        <v>0.2</v>
      </c>
      <c r="J4964" s="18" t="n">
        <v>300.28</v>
      </c>
      <c r="K4964" s="19" t="n">
        <v>-1.85</v>
      </c>
      <c r="L4964" s="15" t="n">
        <f aca="false">YEAR(B4964)</f>
        <v>2023</v>
      </c>
      <c r="M4964" s="20" t="n">
        <f aca="false">IF(J4964&gt;0,K4964/J4964,0)</f>
        <v>-0.00616091647795391</v>
      </c>
    </row>
    <row r="4965" customFormat="false" ht="15" hidden="false" customHeight="false" outlineLevel="0" collapsed="false">
      <c r="A4965" s="15" t="s">
        <v>5022</v>
      </c>
      <c r="B4965" s="16" t="n">
        <v>45254</v>
      </c>
      <c r="C4965" s="15" t="s">
        <v>56</v>
      </c>
      <c r="D4965" s="15" t="s">
        <v>42</v>
      </c>
      <c r="E4965" s="15" t="s">
        <v>36</v>
      </c>
      <c r="F4965" s="15" t="s">
        <v>17</v>
      </c>
      <c r="G4965" s="15" t="s">
        <v>29</v>
      </c>
      <c r="H4965" s="15" t="n">
        <v>5</v>
      </c>
      <c r="I4965" s="17" t="n">
        <v>0.2</v>
      </c>
      <c r="J4965" s="18" t="n">
        <v>63.7</v>
      </c>
      <c r="K4965" s="19" t="n">
        <v>11.19</v>
      </c>
      <c r="L4965" s="15" t="n">
        <f aca="false">YEAR(B4965)</f>
        <v>2023</v>
      </c>
      <c r="M4965" s="20" t="n">
        <f aca="false">IF(J4965&gt;0,K4965/J4965,0)</f>
        <v>0.175667189952904</v>
      </c>
    </row>
    <row r="4966" customFormat="false" ht="15" hidden="false" customHeight="false" outlineLevel="0" collapsed="false">
      <c r="A4966" s="15" t="s">
        <v>5023</v>
      </c>
      <c r="B4966" s="16" t="n">
        <v>46009</v>
      </c>
      <c r="C4966" s="15" t="s">
        <v>56</v>
      </c>
      <c r="D4966" s="15" t="s">
        <v>43</v>
      </c>
      <c r="E4966" s="15" t="s">
        <v>39</v>
      </c>
      <c r="F4966" s="15" t="s">
        <v>17</v>
      </c>
      <c r="G4966" s="15" t="s">
        <v>29</v>
      </c>
      <c r="H4966" s="15" t="n">
        <v>4</v>
      </c>
      <c r="I4966" s="17" t="n">
        <v>0</v>
      </c>
      <c r="J4966" s="18" t="n">
        <v>64.56</v>
      </c>
      <c r="K4966" s="19" t="n">
        <v>22.04</v>
      </c>
      <c r="L4966" s="15" t="n">
        <f aca="false">YEAR(B4966)</f>
        <v>2025</v>
      </c>
      <c r="M4966" s="20" t="n">
        <f aca="false">IF(J4966&gt;0,K4966/J4966,0)</f>
        <v>0.341387856257745</v>
      </c>
    </row>
    <row r="4967" customFormat="false" ht="15" hidden="false" customHeight="false" outlineLevel="0" collapsed="false">
      <c r="A4967" s="15" t="s">
        <v>5024</v>
      </c>
      <c r="B4967" s="16" t="n">
        <v>45409</v>
      </c>
      <c r="C4967" s="15" t="s">
        <v>68</v>
      </c>
      <c r="D4967" s="15" t="s">
        <v>44</v>
      </c>
      <c r="E4967" s="15" t="s">
        <v>39</v>
      </c>
      <c r="F4967" s="15" t="s">
        <v>18</v>
      </c>
      <c r="G4967" s="15" t="s">
        <v>32</v>
      </c>
      <c r="H4967" s="15" t="n">
        <v>4</v>
      </c>
      <c r="I4967" s="17" t="n">
        <v>0.2</v>
      </c>
      <c r="J4967" s="18" t="n">
        <v>1463.11</v>
      </c>
      <c r="K4967" s="19" t="n">
        <v>49.76</v>
      </c>
      <c r="L4967" s="15" t="n">
        <f aca="false">YEAR(B4967)</f>
        <v>2024</v>
      </c>
      <c r="M4967" s="20" t="n">
        <f aca="false">IF(J4967&gt;0,K4967/J4967,0)</f>
        <v>0.0340097463622011</v>
      </c>
    </row>
    <row r="4968" customFormat="false" ht="15" hidden="false" customHeight="false" outlineLevel="0" collapsed="false">
      <c r="A4968" s="15" t="s">
        <v>5025</v>
      </c>
      <c r="B4968" s="16" t="n">
        <v>44969</v>
      </c>
      <c r="C4968" s="15" t="s">
        <v>71</v>
      </c>
      <c r="D4968" s="15" t="s">
        <v>42</v>
      </c>
      <c r="E4968" s="15" t="s">
        <v>36</v>
      </c>
      <c r="F4968" s="15" t="s">
        <v>17</v>
      </c>
      <c r="G4968" s="15" t="s">
        <v>29</v>
      </c>
      <c r="H4968" s="15" t="n">
        <v>3</v>
      </c>
      <c r="I4968" s="17" t="n">
        <v>0.05</v>
      </c>
      <c r="J4968" s="18" t="n">
        <v>50.69</v>
      </c>
      <c r="K4968" s="19" t="n">
        <v>21.26</v>
      </c>
      <c r="L4968" s="15" t="n">
        <f aca="false">YEAR(B4968)</f>
        <v>2023</v>
      </c>
      <c r="M4968" s="20" t="n">
        <f aca="false">IF(J4968&gt;0,K4968/J4968,0)</f>
        <v>0.41941211284277</v>
      </c>
    </row>
    <row r="4969" customFormat="false" ht="15" hidden="false" customHeight="false" outlineLevel="0" collapsed="false">
      <c r="A4969" s="15" t="s">
        <v>5026</v>
      </c>
      <c r="B4969" s="16" t="n">
        <v>45655</v>
      </c>
      <c r="C4969" s="15" t="s">
        <v>56</v>
      </c>
      <c r="D4969" s="15" t="s">
        <v>42</v>
      </c>
      <c r="E4969" s="15" t="s">
        <v>36</v>
      </c>
      <c r="F4969" s="15" t="s">
        <v>17</v>
      </c>
      <c r="G4969" s="15" t="s">
        <v>26</v>
      </c>
      <c r="H4969" s="15" t="n">
        <v>2</v>
      </c>
      <c r="I4969" s="17" t="n">
        <v>0.3</v>
      </c>
      <c r="J4969" s="18" t="n">
        <v>104.26</v>
      </c>
      <c r="K4969" s="19" t="n">
        <v>-12.17</v>
      </c>
      <c r="L4969" s="15" t="n">
        <f aca="false">YEAR(B4969)</f>
        <v>2024</v>
      </c>
      <c r="M4969" s="20" t="n">
        <f aca="false">IF(J4969&gt;0,K4969/J4969,0)</f>
        <v>-0.116727412238634</v>
      </c>
    </row>
    <row r="4970" customFormat="false" ht="15" hidden="false" customHeight="false" outlineLevel="0" collapsed="false">
      <c r="A4970" s="15" t="s">
        <v>5027</v>
      </c>
      <c r="B4970" s="16" t="n">
        <v>45067</v>
      </c>
      <c r="C4970" s="15" t="s">
        <v>58</v>
      </c>
      <c r="D4970" s="15" t="s">
        <v>43</v>
      </c>
      <c r="E4970" s="15" t="s">
        <v>36</v>
      </c>
      <c r="F4970" s="15" t="s">
        <v>17</v>
      </c>
      <c r="G4970" s="15" t="s">
        <v>29</v>
      </c>
      <c r="H4970" s="15" t="n">
        <v>3</v>
      </c>
      <c r="I4970" s="17" t="n">
        <v>0.2</v>
      </c>
      <c r="J4970" s="18" t="n">
        <v>42.05</v>
      </c>
      <c r="K4970" s="19" t="n">
        <v>10.28</v>
      </c>
      <c r="L4970" s="15" t="n">
        <f aca="false">YEAR(B4970)</f>
        <v>2023</v>
      </c>
      <c r="M4970" s="20" t="n">
        <f aca="false">IF(J4970&gt;0,K4970/J4970,0)</f>
        <v>0.244470868014269</v>
      </c>
    </row>
    <row r="4971" customFormat="false" ht="15" hidden="false" customHeight="false" outlineLevel="0" collapsed="false">
      <c r="A4971" s="15" t="s">
        <v>5028</v>
      </c>
      <c r="B4971" s="16" t="n">
        <v>45609</v>
      </c>
      <c r="C4971" s="15" t="s">
        <v>68</v>
      </c>
      <c r="D4971" s="15" t="s">
        <v>43</v>
      </c>
      <c r="E4971" s="15" t="s">
        <v>38</v>
      </c>
      <c r="F4971" s="15" t="s">
        <v>16</v>
      </c>
      <c r="G4971" s="15" t="s">
        <v>25</v>
      </c>
      <c r="H4971" s="15" t="n">
        <v>4</v>
      </c>
      <c r="I4971" s="17" t="n">
        <v>0</v>
      </c>
      <c r="J4971" s="18" t="n">
        <v>1071.86</v>
      </c>
      <c r="K4971" s="19" t="n">
        <v>72.25</v>
      </c>
      <c r="L4971" s="15" t="n">
        <f aca="false">YEAR(B4971)</f>
        <v>2024</v>
      </c>
      <c r="M4971" s="20" t="n">
        <f aca="false">IF(J4971&gt;0,K4971/J4971,0)</f>
        <v>0.0674061911070476</v>
      </c>
    </row>
    <row r="4972" customFormat="false" ht="15" hidden="false" customHeight="false" outlineLevel="0" collapsed="false">
      <c r="A4972" s="15" t="s">
        <v>5029</v>
      </c>
      <c r="B4972" s="16" t="n">
        <v>45484</v>
      </c>
      <c r="C4972" s="15" t="s">
        <v>56</v>
      </c>
      <c r="D4972" s="15" t="s">
        <v>42</v>
      </c>
      <c r="E4972" s="15" t="s">
        <v>38</v>
      </c>
      <c r="F4972" s="15" t="s">
        <v>18</v>
      </c>
      <c r="G4972" s="15" t="s">
        <v>30</v>
      </c>
      <c r="H4972" s="15" t="n">
        <v>2</v>
      </c>
      <c r="I4972" s="17" t="n">
        <v>0.15</v>
      </c>
      <c r="J4972" s="18" t="n">
        <v>70.12</v>
      </c>
      <c r="K4972" s="19" t="n">
        <v>8.49</v>
      </c>
      <c r="L4972" s="15" t="n">
        <f aca="false">YEAR(B4972)</f>
        <v>2024</v>
      </c>
      <c r="M4972" s="20" t="n">
        <f aca="false">IF(J4972&gt;0,K4972/J4972,0)</f>
        <v>0.121078151739874</v>
      </c>
    </row>
    <row r="4973" customFormat="false" ht="15" hidden="false" customHeight="false" outlineLevel="0" collapsed="false">
      <c r="A4973" s="15" t="s">
        <v>5030</v>
      </c>
      <c r="B4973" s="16" t="n">
        <v>45864</v>
      </c>
      <c r="C4973" s="15" t="s">
        <v>56</v>
      </c>
      <c r="D4973" s="15" t="s">
        <v>44</v>
      </c>
      <c r="E4973" s="15" t="s">
        <v>39</v>
      </c>
      <c r="F4973" s="15" t="s">
        <v>18</v>
      </c>
      <c r="G4973" s="15" t="s">
        <v>30</v>
      </c>
      <c r="H4973" s="15" t="n">
        <v>4</v>
      </c>
      <c r="I4973" s="17" t="n">
        <v>0.2</v>
      </c>
      <c r="J4973" s="18" t="n">
        <v>168.34</v>
      </c>
      <c r="K4973" s="19" t="n">
        <v>24.49</v>
      </c>
      <c r="L4973" s="15" t="n">
        <f aca="false">YEAR(B4973)</f>
        <v>2025</v>
      </c>
      <c r="M4973" s="20" t="n">
        <f aca="false">IF(J4973&gt;0,K4973/J4973,0)</f>
        <v>0.145479386954972</v>
      </c>
    </row>
    <row r="4974" customFormat="false" ht="15" hidden="false" customHeight="false" outlineLevel="0" collapsed="false">
      <c r="A4974" s="15" t="s">
        <v>5031</v>
      </c>
      <c r="B4974" s="16" t="n">
        <v>45811</v>
      </c>
      <c r="C4974" s="15" t="s">
        <v>56</v>
      </c>
      <c r="D4974" s="15" t="s">
        <v>43</v>
      </c>
      <c r="E4974" s="15" t="s">
        <v>37</v>
      </c>
      <c r="F4974" s="15" t="s">
        <v>16</v>
      </c>
      <c r="G4974" s="15" t="s">
        <v>25</v>
      </c>
      <c r="H4974" s="15" t="n">
        <v>4</v>
      </c>
      <c r="I4974" s="17" t="n">
        <v>0.1</v>
      </c>
      <c r="J4974" s="18" t="n">
        <v>1119.36</v>
      </c>
      <c r="K4974" s="19" t="n">
        <v>41.02</v>
      </c>
      <c r="L4974" s="15" t="n">
        <f aca="false">YEAR(B4974)</f>
        <v>2025</v>
      </c>
      <c r="M4974" s="20" t="n">
        <f aca="false">IF(J4974&gt;0,K4974/J4974,0)</f>
        <v>0.03664594053745</v>
      </c>
    </row>
    <row r="4975" customFormat="false" ht="15" hidden="false" customHeight="false" outlineLevel="0" collapsed="false">
      <c r="A4975" s="15" t="s">
        <v>5032</v>
      </c>
      <c r="B4975" s="16" t="n">
        <v>45549</v>
      </c>
      <c r="C4975" s="15" t="s">
        <v>71</v>
      </c>
      <c r="D4975" s="15" t="s">
        <v>42</v>
      </c>
      <c r="E4975" s="15" t="s">
        <v>39</v>
      </c>
      <c r="F4975" s="15" t="s">
        <v>17</v>
      </c>
      <c r="G4975" s="15" t="s">
        <v>29</v>
      </c>
      <c r="H4975" s="15" t="n">
        <v>2</v>
      </c>
      <c r="I4975" s="17" t="n">
        <v>0.2</v>
      </c>
      <c r="J4975" s="18" t="n">
        <v>29.33</v>
      </c>
      <c r="K4975" s="19" t="n">
        <v>3.26</v>
      </c>
      <c r="L4975" s="15" t="n">
        <f aca="false">YEAR(B4975)</f>
        <v>2024</v>
      </c>
      <c r="M4975" s="20" t="n">
        <f aca="false">IF(J4975&gt;0,K4975/J4975,0)</f>
        <v>0.111148994203887</v>
      </c>
    </row>
    <row r="4976" customFormat="false" ht="15" hidden="false" customHeight="false" outlineLevel="0" collapsed="false">
      <c r="A4976" s="15" t="s">
        <v>5033</v>
      </c>
      <c r="B4976" s="16" t="n">
        <v>45137</v>
      </c>
      <c r="C4976" s="15" t="s">
        <v>68</v>
      </c>
      <c r="D4976" s="15" t="s">
        <v>42</v>
      </c>
      <c r="E4976" s="15" t="s">
        <v>36</v>
      </c>
      <c r="F4976" s="15" t="s">
        <v>18</v>
      </c>
      <c r="G4976" s="15" t="s">
        <v>30</v>
      </c>
      <c r="H4976" s="15" t="n">
        <v>7</v>
      </c>
      <c r="I4976" s="17" t="n">
        <v>0</v>
      </c>
      <c r="J4976" s="18" t="n">
        <v>328.47</v>
      </c>
      <c r="K4976" s="19" t="n">
        <v>97.65</v>
      </c>
      <c r="L4976" s="15" t="n">
        <f aca="false">YEAR(B4976)</f>
        <v>2023</v>
      </c>
      <c r="M4976" s="20" t="n">
        <f aca="false">IF(J4976&gt;0,K4976/J4976,0)</f>
        <v>0.297287423508996</v>
      </c>
    </row>
    <row r="4977" customFormat="false" ht="15" hidden="false" customHeight="false" outlineLevel="0" collapsed="false">
      <c r="A4977" s="15" t="s">
        <v>5034</v>
      </c>
      <c r="B4977" s="16" t="n">
        <v>45863</v>
      </c>
      <c r="C4977" s="15" t="s">
        <v>71</v>
      </c>
      <c r="D4977" s="15" t="s">
        <v>42</v>
      </c>
      <c r="E4977" s="15" t="s">
        <v>39</v>
      </c>
      <c r="F4977" s="15" t="s">
        <v>17</v>
      </c>
      <c r="G4977" s="15" t="s">
        <v>29</v>
      </c>
      <c r="H4977" s="15" t="n">
        <v>2</v>
      </c>
      <c r="I4977" s="17" t="n">
        <v>0</v>
      </c>
      <c r="J4977" s="18" t="n">
        <v>34.05</v>
      </c>
      <c r="K4977" s="19" t="n">
        <v>12.89</v>
      </c>
      <c r="L4977" s="15" t="n">
        <f aca="false">YEAR(B4977)</f>
        <v>2025</v>
      </c>
      <c r="M4977" s="20" t="n">
        <f aca="false">IF(J4977&gt;0,K4977/J4977,0)</f>
        <v>0.37856093979442</v>
      </c>
    </row>
    <row r="4978" customFormat="false" ht="15" hidden="false" customHeight="false" outlineLevel="0" collapsed="false">
      <c r="A4978" s="15" t="s">
        <v>5035</v>
      </c>
      <c r="B4978" s="16" t="n">
        <v>45430</v>
      </c>
      <c r="C4978" s="15" t="s">
        <v>71</v>
      </c>
      <c r="D4978" s="15" t="s">
        <v>42</v>
      </c>
      <c r="E4978" s="15" t="s">
        <v>36</v>
      </c>
      <c r="F4978" s="15" t="s">
        <v>17</v>
      </c>
      <c r="G4978" s="15" t="s">
        <v>29</v>
      </c>
      <c r="H4978" s="15" t="n">
        <v>2</v>
      </c>
      <c r="I4978" s="17" t="n">
        <v>0.2</v>
      </c>
      <c r="J4978" s="18" t="n">
        <v>33.99</v>
      </c>
      <c r="K4978" s="19" t="n">
        <v>7.54</v>
      </c>
      <c r="L4978" s="15" t="n">
        <f aca="false">YEAR(B4978)</f>
        <v>2024</v>
      </c>
      <c r="M4978" s="20" t="n">
        <f aca="false">IF(J4978&gt;0,K4978/J4978,0)</f>
        <v>0.22182994998529</v>
      </c>
    </row>
    <row r="4979" customFormat="false" ht="15" hidden="false" customHeight="false" outlineLevel="0" collapsed="false">
      <c r="A4979" s="15" t="s">
        <v>5036</v>
      </c>
      <c r="B4979" s="16" t="n">
        <v>45954</v>
      </c>
      <c r="C4979" s="15" t="s">
        <v>58</v>
      </c>
      <c r="D4979" s="15" t="s">
        <v>43</v>
      </c>
      <c r="E4979" s="15" t="s">
        <v>36</v>
      </c>
      <c r="F4979" s="15" t="s">
        <v>17</v>
      </c>
      <c r="G4979" s="15" t="s">
        <v>29</v>
      </c>
      <c r="H4979" s="15" t="n">
        <v>7</v>
      </c>
      <c r="I4979" s="17" t="n">
        <v>0</v>
      </c>
      <c r="J4979" s="18" t="n">
        <v>123.16</v>
      </c>
      <c r="K4979" s="19" t="n">
        <v>43.55</v>
      </c>
      <c r="L4979" s="15" t="n">
        <f aca="false">YEAR(B4979)</f>
        <v>2025</v>
      </c>
      <c r="M4979" s="20" t="n">
        <f aca="false">IF(J4979&gt;0,K4979/J4979,0)</f>
        <v>0.353605066580058</v>
      </c>
    </row>
    <row r="4980" customFormat="false" ht="15" hidden="false" customHeight="false" outlineLevel="0" collapsed="false">
      <c r="A4980" s="15" t="s">
        <v>5037</v>
      </c>
      <c r="B4980" s="16" t="n">
        <v>45224</v>
      </c>
      <c r="C4980" s="15" t="s">
        <v>71</v>
      </c>
      <c r="D4980" s="15" t="s">
        <v>42</v>
      </c>
      <c r="E4980" s="15" t="s">
        <v>37</v>
      </c>
      <c r="F4980" s="15" t="s">
        <v>18</v>
      </c>
      <c r="G4980" s="15" t="s">
        <v>32</v>
      </c>
      <c r="H4980" s="15" t="n">
        <v>4</v>
      </c>
      <c r="I4980" s="17" t="n">
        <v>0</v>
      </c>
      <c r="J4980" s="18" t="n">
        <v>1689.78</v>
      </c>
      <c r="K4980" s="19" t="n">
        <v>207.95</v>
      </c>
      <c r="L4980" s="15" t="n">
        <f aca="false">YEAR(B4980)</f>
        <v>2023</v>
      </c>
      <c r="M4980" s="20" t="n">
        <f aca="false">IF(J4980&gt;0,K4980/J4980,0)</f>
        <v>0.12306335736013</v>
      </c>
    </row>
    <row r="4981" customFormat="false" ht="15" hidden="false" customHeight="false" outlineLevel="0" collapsed="false">
      <c r="A4981" s="15" t="s">
        <v>5038</v>
      </c>
      <c r="B4981" s="16" t="n">
        <v>45569</v>
      </c>
      <c r="C4981" s="15" t="s">
        <v>58</v>
      </c>
      <c r="D4981" s="15" t="s">
        <v>43</v>
      </c>
      <c r="E4981" s="15" t="s">
        <v>37</v>
      </c>
      <c r="F4981" s="15" t="s">
        <v>17</v>
      </c>
      <c r="G4981" s="15" t="s">
        <v>29</v>
      </c>
      <c r="H4981" s="15" t="n">
        <v>2</v>
      </c>
      <c r="I4981" s="17" t="n">
        <v>0</v>
      </c>
      <c r="J4981" s="18" t="n">
        <v>40.98</v>
      </c>
      <c r="K4981" s="19" t="n">
        <v>13.95</v>
      </c>
      <c r="L4981" s="15" t="n">
        <f aca="false">YEAR(B4981)</f>
        <v>2024</v>
      </c>
      <c r="M4981" s="20" t="n">
        <f aca="false">IF(J4981&gt;0,K4981/J4981,0)</f>
        <v>0.340409956076135</v>
      </c>
    </row>
    <row r="4982" customFormat="false" ht="15" hidden="false" customHeight="false" outlineLevel="0" collapsed="false">
      <c r="A4982" s="15" t="s">
        <v>5039</v>
      </c>
      <c r="B4982" s="16" t="n">
        <v>45546</v>
      </c>
      <c r="C4982" s="15" t="s">
        <v>58</v>
      </c>
      <c r="D4982" s="15" t="s">
        <v>44</v>
      </c>
      <c r="E4982" s="15" t="s">
        <v>38</v>
      </c>
      <c r="F4982" s="15" t="s">
        <v>17</v>
      </c>
      <c r="G4982" s="15" t="s">
        <v>28</v>
      </c>
      <c r="H4982" s="15" t="n">
        <v>2</v>
      </c>
      <c r="I4982" s="17" t="n">
        <v>0</v>
      </c>
      <c r="J4982" s="18" t="n">
        <v>42.83</v>
      </c>
      <c r="K4982" s="19" t="n">
        <v>13.57</v>
      </c>
      <c r="L4982" s="15" t="n">
        <f aca="false">YEAR(B4982)</f>
        <v>2024</v>
      </c>
      <c r="M4982" s="20" t="n">
        <f aca="false">IF(J4982&gt;0,K4982/J4982,0)</f>
        <v>0.316833994863414</v>
      </c>
    </row>
    <row r="4983" customFormat="false" ht="15" hidden="false" customHeight="false" outlineLevel="0" collapsed="false">
      <c r="A4983" s="15" t="s">
        <v>5040</v>
      </c>
      <c r="B4983" s="16" t="n">
        <v>45538</v>
      </c>
      <c r="C4983" s="15" t="s">
        <v>56</v>
      </c>
      <c r="D4983" s="15" t="s">
        <v>42</v>
      </c>
      <c r="E4983" s="15" t="s">
        <v>38</v>
      </c>
      <c r="F4983" s="15" t="s">
        <v>18</v>
      </c>
      <c r="G4983" s="15" t="s">
        <v>32</v>
      </c>
      <c r="H4983" s="15" t="n">
        <v>5</v>
      </c>
      <c r="I4983" s="17" t="n">
        <v>0.1</v>
      </c>
      <c r="J4983" s="18" t="n">
        <v>1650.39</v>
      </c>
      <c r="K4983" s="19" t="n">
        <v>140.37</v>
      </c>
      <c r="L4983" s="15" t="n">
        <f aca="false">YEAR(B4983)</f>
        <v>2024</v>
      </c>
      <c r="M4983" s="20" t="n">
        <f aca="false">IF(J4983&gt;0,K4983/J4983,0)</f>
        <v>0.085052623925254</v>
      </c>
    </row>
    <row r="4984" customFormat="false" ht="15" hidden="false" customHeight="false" outlineLevel="0" collapsed="false">
      <c r="A4984" s="15" t="s">
        <v>5041</v>
      </c>
      <c r="B4984" s="16" t="n">
        <v>45479</v>
      </c>
      <c r="C4984" s="15" t="s">
        <v>71</v>
      </c>
      <c r="D4984" s="15" t="s">
        <v>44</v>
      </c>
      <c r="E4984" s="15" t="s">
        <v>36</v>
      </c>
      <c r="F4984" s="15" t="s">
        <v>16</v>
      </c>
      <c r="G4984" s="15" t="s">
        <v>23</v>
      </c>
      <c r="H4984" s="15" t="n">
        <v>3</v>
      </c>
      <c r="I4984" s="17" t="n">
        <v>0.4</v>
      </c>
      <c r="J4984" s="18" t="n">
        <v>534.36</v>
      </c>
      <c r="K4984" s="19" t="n">
        <v>-166.42</v>
      </c>
      <c r="L4984" s="15" t="n">
        <f aca="false">YEAR(B4984)</f>
        <v>2024</v>
      </c>
      <c r="M4984" s="20" t="n">
        <f aca="false">IF(J4984&gt;0,K4984/J4984,0)</f>
        <v>-0.311437981884872</v>
      </c>
    </row>
    <row r="4985" customFormat="false" ht="15" hidden="false" customHeight="false" outlineLevel="0" collapsed="false">
      <c r="A4985" s="15" t="s">
        <v>5042</v>
      </c>
      <c r="B4985" s="16" t="n">
        <v>45908</v>
      </c>
      <c r="C4985" s="15" t="s">
        <v>56</v>
      </c>
      <c r="D4985" s="15" t="s">
        <v>42</v>
      </c>
      <c r="E4985" s="15" t="s">
        <v>39</v>
      </c>
      <c r="F4985" s="15" t="s">
        <v>17</v>
      </c>
      <c r="G4985" s="15" t="s">
        <v>26</v>
      </c>
      <c r="H4985" s="15" t="n">
        <v>4</v>
      </c>
      <c r="I4985" s="17" t="n">
        <v>0</v>
      </c>
      <c r="J4985" s="18" t="n">
        <v>418.43</v>
      </c>
      <c r="K4985" s="19" t="n">
        <v>52.43</v>
      </c>
      <c r="L4985" s="15" t="n">
        <f aca="false">YEAR(B4985)</f>
        <v>2025</v>
      </c>
      <c r="M4985" s="20" t="n">
        <f aca="false">IF(J4985&gt;0,K4985/J4985,0)</f>
        <v>0.125301723107808</v>
      </c>
    </row>
    <row r="4986" customFormat="false" ht="15" hidden="false" customHeight="false" outlineLevel="0" collapsed="false">
      <c r="A4986" s="15" t="s">
        <v>5043</v>
      </c>
      <c r="B4986" s="16" t="n">
        <v>44965</v>
      </c>
      <c r="C4986" s="15" t="s">
        <v>58</v>
      </c>
      <c r="D4986" s="15" t="s">
        <v>43</v>
      </c>
      <c r="E4986" s="15" t="s">
        <v>38</v>
      </c>
      <c r="F4986" s="15" t="s">
        <v>18</v>
      </c>
      <c r="G4986" s="15" t="s">
        <v>32</v>
      </c>
      <c r="H4986" s="15" t="n">
        <v>6</v>
      </c>
      <c r="I4986" s="17" t="n">
        <v>0.15</v>
      </c>
      <c r="J4986" s="18" t="n">
        <v>2394.75</v>
      </c>
      <c r="K4986" s="19" t="n">
        <v>46.59</v>
      </c>
      <c r="L4986" s="15" t="n">
        <f aca="false">YEAR(B4986)</f>
        <v>2023</v>
      </c>
      <c r="M4986" s="20" t="n">
        <f aca="false">IF(J4986&gt;0,K4986/J4986,0)</f>
        <v>0.0194550579392421</v>
      </c>
    </row>
    <row r="4987" customFormat="false" ht="15" hidden="false" customHeight="false" outlineLevel="0" collapsed="false">
      <c r="A4987" s="15" t="s">
        <v>5044</v>
      </c>
      <c r="B4987" s="16" t="n">
        <v>45826</v>
      </c>
      <c r="C4987" s="15" t="s">
        <v>56</v>
      </c>
      <c r="D4987" s="15" t="s">
        <v>44</v>
      </c>
      <c r="E4987" s="15" t="s">
        <v>37</v>
      </c>
      <c r="F4987" s="15" t="s">
        <v>16</v>
      </c>
      <c r="G4987" s="15" t="s">
        <v>22</v>
      </c>
      <c r="H4987" s="15" t="n">
        <v>2</v>
      </c>
      <c r="I4987" s="17" t="n">
        <v>0.2</v>
      </c>
      <c r="J4987" s="18" t="n">
        <v>1109.31</v>
      </c>
      <c r="K4987" s="19" t="n">
        <v>-249.03</v>
      </c>
      <c r="L4987" s="15" t="n">
        <f aca="false">YEAR(B4987)</f>
        <v>2025</v>
      </c>
      <c r="M4987" s="20" t="n">
        <f aca="false">IF(J4987&gt;0,K4987/J4987,0)</f>
        <v>-0.224490899748492</v>
      </c>
    </row>
    <row r="4988" customFormat="false" ht="15" hidden="false" customHeight="false" outlineLevel="0" collapsed="false">
      <c r="A4988" s="15" t="s">
        <v>5045</v>
      </c>
      <c r="B4988" s="16" t="n">
        <v>44773</v>
      </c>
      <c r="C4988" s="15" t="s">
        <v>68</v>
      </c>
      <c r="D4988" s="15" t="s">
        <v>42</v>
      </c>
      <c r="E4988" s="15" t="s">
        <v>39</v>
      </c>
      <c r="F4988" s="15" t="s">
        <v>17</v>
      </c>
      <c r="G4988" s="15" t="s">
        <v>31</v>
      </c>
      <c r="H4988" s="15" t="n">
        <v>5</v>
      </c>
      <c r="I4988" s="17" t="n">
        <v>0.15</v>
      </c>
      <c r="J4988" s="18" t="n">
        <v>519.94</v>
      </c>
      <c r="K4988" s="19" t="n">
        <v>68.09</v>
      </c>
      <c r="L4988" s="15" t="n">
        <f aca="false">YEAR(B4988)</f>
        <v>2022</v>
      </c>
      <c r="M4988" s="20" t="n">
        <f aca="false">IF(J4988&gt;0,K4988/J4988,0)</f>
        <v>0.130957418163634</v>
      </c>
    </row>
    <row r="4989" customFormat="false" ht="15" hidden="false" customHeight="false" outlineLevel="0" collapsed="false">
      <c r="A4989" s="15" t="s">
        <v>5046</v>
      </c>
      <c r="B4989" s="16" t="n">
        <v>44655</v>
      </c>
      <c r="C4989" s="15" t="s">
        <v>56</v>
      </c>
      <c r="D4989" s="15" t="s">
        <v>43</v>
      </c>
      <c r="E4989" s="15" t="s">
        <v>39</v>
      </c>
      <c r="F4989" s="15" t="s">
        <v>17</v>
      </c>
      <c r="G4989" s="15" t="s">
        <v>31</v>
      </c>
      <c r="H4989" s="15" t="n">
        <v>3</v>
      </c>
      <c r="I4989" s="17" t="n">
        <v>0.2</v>
      </c>
      <c r="J4989" s="18" t="n">
        <v>301.8</v>
      </c>
      <c r="K4989" s="19" t="n">
        <v>-22.19</v>
      </c>
      <c r="L4989" s="15" t="n">
        <f aca="false">YEAR(B4989)</f>
        <v>2022</v>
      </c>
      <c r="M4989" s="20" t="n">
        <f aca="false">IF(J4989&gt;0,K4989/J4989,0)</f>
        <v>-0.0735255135851557</v>
      </c>
    </row>
    <row r="4990" customFormat="false" ht="15" hidden="false" customHeight="false" outlineLevel="0" collapsed="false">
      <c r="A4990" s="15" t="s">
        <v>5047</v>
      </c>
      <c r="B4990" s="16" t="n">
        <v>45706</v>
      </c>
      <c r="C4990" s="15" t="s">
        <v>58</v>
      </c>
      <c r="D4990" s="15" t="s">
        <v>42</v>
      </c>
      <c r="E4990" s="15" t="s">
        <v>38</v>
      </c>
      <c r="F4990" s="15" t="s">
        <v>17</v>
      </c>
      <c r="G4990" s="15" t="s">
        <v>26</v>
      </c>
      <c r="H4990" s="15" t="n">
        <v>4</v>
      </c>
      <c r="I4990" s="17" t="n">
        <v>0.2</v>
      </c>
      <c r="J4990" s="18" t="n">
        <v>262.12</v>
      </c>
      <c r="K4990" s="19" t="n">
        <v>-9.69</v>
      </c>
      <c r="L4990" s="15" t="n">
        <f aca="false">YEAR(B4990)</f>
        <v>2025</v>
      </c>
      <c r="M4990" s="20" t="n">
        <f aca="false">IF(J4990&gt;0,K4990/J4990,0)</f>
        <v>-0.0369678010071723</v>
      </c>
    </row>
    <row r="4991" customFormat="false" ht="15" hidden="false" customHeight="false" outlineLevel="0" collapsed="false">
      <c r="A4991" s="15" t="s">
        <v>5048</v>
      </c>
      <c r="B4991" s="16" t="n">
        <v>45643</v>
      </c>
      <c r="C4991" s="15" t="s">
        <v>56</v>
      </c>
      <c r="D4991" s="15" t="s">
        <v>43</v>
      </c>
      <c r="E4991" s="15" t="s">
        <v>37</v>
      </c>
      <c r="F4991" s="15" t="s">
        <v>17</v>
      </c>
      <c r="G4991" s="15" t="s">
        <v>26</v>
      </c>
      <c r="H4991" s="15" t="n">
        <v>6</v>
      </c>
      <c r="I4991" s="17" t="n">
        <v>0.3</v>
      </c>
      <c r="J4991" s="18" t="n">
        <v>410.76</v>
      </c>
      <c r="K4991" s="19" t="n">
        <v>-45.09</v>
      </c>
      <c r="L4991" s="15" t="n">
        <f aca="false">YEAR(B4991)</f>
        <v>2024</v>
      </c>
      <c r="M4991" s="20" t="n">
        <f aca="false">IF(J4991&gt;0,K4991/J4991,0)</f>
        <v>-0.10977212971078</v>
      </c>
    </row>
    <row r="4992" customFormat="false" ht="15" hidden="false" customHeight="false" outlineLevel="0" collapsed="false">
      <c r="A4992" s="15" t="s">
        <v>5049</v>
      </c>
      <c r="B4992" s="16" t="n">
        <v>44846</v>
      </c>
      <c r="C4992" s="15" t="s">
        <v>56</v>
      </c>
      <c r="D4992" s="15" t="s">
        <v>42</v>
      </c>
      <c r="E4992" s="15" t="s">
        <v>39</v>
      </c>
      <c r="F4992" s="15" t="s">
        <v>18</v>
      </c>
      <c r="G4992" s="15" t="s">
        <v>30</v>
      </c>
      <c r="H4992" s="15" t="n">
        <v>3</v>
      </c>
      <c r="I4992" s="17" t="n">
        <v>0.05</v>
      </c>
      <c r="J4992" s="18" t="n">
        <v>147.13</v>
      </c>
      <c r="K4992" s="19" t="n">
        <v>33.3</v>
      </c>
      <c r="L4992" s="15" t="n">
        <f aca="false">YEAR(B4992)</f>
        <v>2022</v>
      </c>
      <c r="M4992" s="20" t="n">
        <f aca="false">IF(J4992&gt;0,K4992/J4992,0)</f>
        <v>0.226330456059267</v>
      </c>
    </row>
    <row r="4993" customFormat="false" ht="15" hidden="false" customHeight="false" outlineLevel="0" collapsed="false">
      <c r="A4993" s="15" t="s">
        <v>5050</v>
      </c>
      <c r="B4993" s="16" t="n">
        <v>44937</v>
      </c>
      <c r="C4993" s="15" t="s">
        <v>56</v>
      </c>
      <c r="D4993" s="15" t="s">
        <v>43</v>
      </c>
      <c r="E4993" s="15" t="s">
        <v>37</v>
      </c>
      <c r="F4993" s="15" t="s">
        <v>16</v>
      </c>
      <c r="G4993" s="15" t="s">
        <v>25</v>
      </c>
      <c r="H4993" s="15" t="n">
        <v>3</v>
      </c>
      <c r="I4993" s="17" t="n">
        <v>0</v>
      </c>
      <c r="J4993" s="18" t="n">
        <v>833.31</v>
      </c>
      <c r="K4993" s="19" t="n">
        <v>129.11</v>
      </c>
      <c r="L4993" s="15" t="n">
        <f aca="false">YEAR(B4993)</f>
        <v>2023</v>
      </c>
      <c r="M4993" s="20" t="n">
        <f aca="false">IF(J4993&gt;0,K4993/J4993,0)</f>
        <v>0.15493633821747</v>
      </c>
    </row>
    <row r="4994" customFormat="false" ht="15" hidden="false" customHeight="false" outlineLevel="0" collapsed="false">
      <c r="A4994" s="15" t="s">
        <v>5051</v>
      </c>
      <c r="B4994" s="16" t="n">
        <v>45847</v>
      </c>
      <c r="C4994" s="15" t="s">
        <v>56</v>
      </c>
      <c r="D4994" s="15" t="s">
        <v>42</v>
      </c>
      <c r="E4994" s="15" t="s">
        <v>39</v>
      </c>
      <c r="F4994" s="15" t="s">
        <v>17</v>
      </c>
      <c r="G4994" s="15" t="s">
        <v>28</v>
      </c>
      <c r="H4994" s="15" t="n">
        <v>4</v>
      </c>
      <c r="I4994" s="17" t="n">
        <v>0.2</v>
      </c>
      <c r="J4994" s="18" t="n">
        <v>86.6</v>
      </c>
      <c r="K4994" s="19" t="n">
        <v>8.85</v>
      </c>
      <c r="L4994" s="15" t="n">
        <f aca="false">YEAR(B4994)</f>
        <v>2025</v>
      </c>
      <c r="M4994" s="20" t="n">
        <f aca="false">IF(J4994&gt;0,K4994/J4994,0)</f>
        <v>0.102193995381062</v>
      </c>
    </row>
    <row r="4995" customFormat="false" ht="15" hidden="false" customHeight="false" outlineLevel="0" collapsed="false">
      <c r="A4995" s="15" t="s">
        <v>5052</v>
      </c>
      <c r="B4995" s="16" t="n">
        <v>45980</v>
      </c>
      <c r="C4995" s="15" t="s">
        <v>56</v>
      </c>
      <c r="D4995" s="15" t="s">
        <v>44</v>
      </c>
      <c r="E4995" s="15" t="s">
        <v>36</v>
      </c>
      <c r="F4995" s="15" t="s">
        <v>17</v>
      </c>
      <c r="G4995" s="15" t="s">
        <v>29</v>
      </c>
      <c r="H4995" s="15" t="n">
        <v>3</v>
      </c>
      <c r="I4995" s="17" t="n">
        <v>0</v>
      </c>
      <c r="J4995" s="18" t="n">
        <v>61.13</v>
      </c>
      <c r="K4995" s="19" t="n">
        <v>25.88</v>
      </c>
      <c r="L4995" s="15" t="n">
        <f aca="false">YEAR(B4995)</f>
        <v>2025</v>
      </c>
      <c r="M4995" s="20" t="n">
        <f aca="false">IF(J4995&gt;0,K4995/J4995,0)</f>
        <v>0.423360052347456</v>
      </c>
    </row>
    <row r="4996" customFormat="false" ht="15" hidden="false" customHeight="false" outlineLevel="0" collapsed="false">
      <c r="A4996" s="15" t="s">
        <v>5053</v>
      </c>
      <c r="B4996" s="16" t="n">
        <v>45950</v>
      </c>
      <c r="C4996" s="15" t="s">
        <v>68</v>
      </c>
      <c r="D4996" s="15" t="s">
        <v>44</v>
      </c>
      <c r="E4996" s="15" t="s">
        <v>39</v>
      </c>
      <c r="F4996" s="15" t="s">
        <v>17</v>
      </c>
      <c r="G4996" s="15" t="s">
        <v>31</v>
      </c>
      <c r="H4996" s="15" t="n">
        <v>4</v>
      </c>
      <c r="I4996" s="17" t="n">
        <v>0.15</v>
      </c>
      <c r="J4996" s="18" t="n">
        <v>377.78</v>
      </c>
      <c r="K4996" s="19" t="n">
        <v>12.27</v>
      </c>
      <c r="L4996" s="15" t="n">
        <f aca="false">YEAR(B4996)</f>
        <v>2025</v>
      </c>
      <c r="M4996" s="20" t="n">
        <f aca="false">IF(J4996&gt;0,K4996/J4996,0)</f>
        <v>0.0324792207104664</v>
      </c>
    </row>
    <row r="4997" customFormat="false" ht="15" hidden="false" customHeight="false" outlineLevel="0" collapsed="false">
      <c r="A4997" s="15" t="s">
        <v>5054</v>
      </c>
      <c r="B4997" s="16" t="n">
        <v>45242</v>
      </c>
      <c r="C4997" s="15" t="s">
        <v>56</v>
      </c>
      <c r="D4997" s="15" t="s">
        <v>43</v>
      </c>
      <c r="E4997" s="15" t="s">
        <v>37</v>
      </c>
      <c r="F4997" s="15" t="s">
        <v>17</v>
      </c>
      <c r="G4997" s="15" t="s">
        <v>31</v>
      </c>
      <c r="H4997" s="15" t="n">
        <v>2</v>
      </c>
      <c r="I4997" s="17" t="n">
        <v>0.05</v>
      </c>
      <c r="J4997" s="18" t="n">
        <v>294.13</v>
      </c>
      <c r="K4997" s="19" t="n">
        <v>39.77</v>
      </c>
      <c r="L4997" s="15" t="n">
        <f aca="false">YEAR(B4997)</f>
        <v>2023</v>
      </c>
      <c r="M4997" s="20" t="n">
        <f aca="false">IF(J4997&gt;0,K4997/J4997,0)</f>
        <v>0.135212321082515</v>
      </c>
    </row>
    <row r="4998" customFormat="false" ht="15" hidden="false" customHeight="false" outlineLevel="0" collapsed="false">
      <c r="A4998" s="15" t="s">
        <v>5055</v>
      </c>
      <c r="B4998" s="16" t="n">
        <v>45472</v>
      </c>
      <c r="C4998" s="15" t="s">
        <v>71</v>
      </c>
      <c r="D4998" s="15" t="s">
        <v>42</v>
      </c>
      <c r="E4998" s="15" t="s">
        <v>37</v>
      </c>
      <c r="F4998" s="15" t="s">
        <v>17</v>
      </c>
      <c r="G4998" s="15" t="s">
        <v>29</v>
      </c>
      <c r="H4998" s="15" t="n">
        <v>3</v>
      </c>
      <c r="I4998" s="17" t="n">
        <v>0</v>
      </c>
      <c r="J4998" s="18" t="n">
        <v>66.98</v>
      </c>
      <c r="K4998" s="19" t="n">
        <v>25.66</v>
      </c>
      <c r="L4998" s="15" t="n">
        <f aca="false">YEAR(B4998)</f>
        <v>2024</v>
      </c>
      <c r="M4998" s="20" t="n">
        <f aca="false">IF(J4998&gt;0,K4998/J4998,0)</f>
        <v>0.383099432666468</v>
      </c>
    </row>
    <row r="4999" customFormat="false" ht="15" hidden="false" customHeight="false" outlineLevel="0" collapsed="false">
      <c r="A4999" s="15" t="s">
        <v>5056</v>
      </c>
      <c r="B4999" s="16" t="n">
        <v>45723</v>
      </c>
      <c r="C4999" s="15" t="s">
        <v>71</v>
      </c>
      <c r="D4999" s="15" t="s">
        <v>42</v>
      </c>
      <c r="E4999" s="15" t="s">
        <v>38</v>
      </c>
      <c r="F4999" s="15" t="s">
        <v>17</v>
      </c>
      <c r="G4999" s="15" t="s">
        <v>29</v>
      </c>
      <c r="H4999" s="15" t="n">
        <v>4</v>
      </c>
      <c r="I4999" s="17" t="n">
        <v>0</v>
      </c>
      <c r="J4999" s="18" t="n">
        <v>68.11</v>
      </c>
      <c r="K4999" s="19" t="n">
        <v>27.57</v>
      </c>
      <c r="L4999" s="15" t="n">
        <f aca="false">YEAR(B4999)</f>
        <v>2025</v>
      </c>
      <c r="M4999" s="20" t="n">
        <f aca="false">IF(J4999&gt;0,K4999/J4999,0)</f>
        <v>0.404786374981647</v>
      </c>
    </row>
    <row r="5000" customFormat="false" ht="15" hidden="false" customHeight="false" outlineLevel="0" collapsed="false">
      <c r="A5000" s="15" t="s">
        <v>5057</v>
      </c>
      <c r="B5000" s="16" t="n">
        <v>45041</v>
      </c>
      <c r="C5000" s="15" t="s">
        <v>68</v>
      </c>
      <c r="D5000" s="15" t="s">
        <v>43</v>
      </c>
      <c r="E5000" s="15" t="s">
        <v>36</v>
      </c>
      <c r="F5000" s="15" t="s">
        <v>17</v>
      </c>
      <c r="G5000" s="15" t="s">
        <v>29</v>
      </c>
      <c r="H5000" s="15" t="n">
        <v>5</v>
      </c>
      <c r="I5000" s="17" t="n">
        <v>0.1</v>
      </c>
      <c r="J5000" s="18" t="n">
        <v>75.64</v>
      </c>
      <c r="K5000" s="19" t="n">
        <v>23.59</v>
      </c>
      <c r="L5000" s="15" t="n">
        <f aca="false">YEAR(B5000)</f>
        <v>2023</v>
      </c>
      <c r="M5000" s="20" t="n">
        <f aca="false">IF(J5000&gt;0,K5000/J5000,0)</f>
        <v>0.311872025383395</v>
      </c>
    </row>
    <row r="5001" customFormat="false" ht="15" hidden="false" customHeight="false" outlineLevel="0" collapsed="false">
      <c r="A5001" s="15" t="s">
        <v>5058</v>
      </c>
      <c r="B5001" s="16" t="n">
        <v>45273</v>
      </c>
      <c r="C5001" s="15" t="s">
        <v>56</v>
      </c>
      <c r="D5001" s="15" t="s">
        <v>43</v>
      </c>
      <c r="E5001" s="15" t="s">
        <v>37</v>
      </c>
      <c r="F5001" s="15" t="s">
        <v>17</v>
      </c>
      <c r="G5001" s="15" t="s">
        <v>29</v>
      </c>
      <c r="H5001" s="15" t="n">
        <v>3</v>
      </c>
      <c r="I5001" s="17" t="n">
        <v>0.3</v>
      </c>
      <c r="J5001" s="18" t="n">
        <v>39.75</v>
      </c>
      <c r="K5001" s="19" t="n">
        <v>7.17</v>
      </c>
      <c r="L5001" s="15" t="n">
        <f aca="false">YEAR(B5001)</f>
        <v>2023</v>
      </c>
      <c r="M5001" s="20" t="n">
        <f aca="false">IF(J5001&gt;0,K5001/J5001,0)</f>
        <v>0.180377358490566</v>
      </c>
    </row>
    <row r="5002" customFormat="false" ht="15" hidden="false" customHeight="false" outlineLevel="0" collapsed="false">
      <c r="A5002" s="15" t="s">
        <v>5059</v>
      </c>
      <c r="B5002" s="16" t="n">
        <v>45911</v>
      </c>
      <c r="C5002" s="15" t="s">
        <v>68</v>
      </c>
      <c r="D5002" s="15" t="s">
        <v>42</v>
      </c>
      <c r="E5002" s="15" t="s">
        <v>37</v>
      </c>
      <c r="F5002" s="15" t="s">
        <v>17</v>
      </c>
      <c r="G5002" s="15" t="s">
        <v>28</v>
      </c>
      <c r="H5002" s="15" t="n">
        <v>4</v>
      </c>
      <c r="I5002" s="17" t="n">
        <v>0.3</v>
      </c>
      <c r="J5002" s="18" t="n">
        <v>89.14</v>
      </c>
      <c r="K5002" s="19" t="n">
        <v>1.63</v>
      </c>
      <c r="L5002" s="15" t="n">
        <f aca="false">YEAR(B5002)</f>
        <v>2025</v>
      </c>
      <c r="M5002" s="20" t="n">
        <f aca="false">IF(J5002&gt;0,K5002/J5002,0)</f>
        <v>0.0182858424949518</v>
      </c>
    </row>
    <row r="5003" customFormat="false" ht="15" hidden="false" customHeight="false" outlineLevel="0" collapsed="false">
      <c r="A5003" s="15" t="s">
        <v>5060</v>
      </c>
      <c r="B5003" s="16" t="n">
        <v>45766</v>
      </c>
      <c r="C5003" s="15" t="s">
        <v>71</v>
      </c>
      <c r="D5003" s="15" t="s">
        <v>43</v>
      </c>
      <c r="E5003" s="15" t="s">
        <v>39</v>
      </c>
      <c r="F5003" s="15" t="s">
        <v>17</v>
      </c>
      <c r="G5003" s="15" t="s">
        <v>28</v>
      </c>
      <c r="H5003" s="15" t="n">
        <v>4</v>
      </c>
      <c r="I5003" s="17" t="n">
        <v>0.05</v>
      </c>
      <c r="J5003" s="18" t="n">
        <v>125.13</v>
      </c>
      <c r="K5003" s="19" t="n">
        <v>36.11</v>
      </c>
      <c r="L5003" s="15" t="n">
        <f aca="false">YEAR(B5003)</f>
        <v>2025</v>
      </c>
      <c r="M5003" s="20" t="n">
        <f aca="false">IF(J5003&gt;0,K5003/J5003,0)</f>
        <v>0.288579876927995</v>
      </c>
    </row>
    <row r="5004" customFormat="false" ht="15" hidden="false" customHeight="false" outlineLevel="0" collapsed="false">
      <c r="A5004" s="15" t="s">
        <v>5061</v>
      </c>
      <c r="B5004" s="16" t="n">
        <v>45205</v>
      </c>
      <c r="C5004" s="15" t="s">
        <v>56</v>
      </c>
      <c r="D5004" s="15" t="s">
        <v>44</v>
      </c>
      <c r="E5004" s="15" t="s">
        <v>38</v>
      </c>
      <c r="F5004" s="15" t="s">
        <v>16</v>
      </c>
      <c r="G5004" s="15" t="s">
        <v>22</v>
      </c>
      <c r="H5004" s="15" t="n">
        <v>2</v>
      </c>
      <c r="I5004" s="17" t="n">
        <v>0.2</v>
      </c>
      <c r="J5004" s="18" t="n">
        <v>723.16</v>
      </c>
      <c r="K5004" s="19" t="n">
        <v>-123.35</v>
      </c>
      <c r="L5004" s="15" t="n">
        <f aca="false">YEAR(B5004)</f>
        <v>2023</v>
      </c>
      <c r="M5004" s="20" t="n">
        <f aca="false">IF(J5004&gt;0,K5004/J5004,0)</f>
        <v>-0.170570828032524</v>
      </c>
    </row>
    <row r="5005" customFormat="false" ht="15" hidden="false" customHeight="false" outlineLevel="0" collapsed="false">
      <c r="A5005" s="15" t="s">
        <v>5062</v>
      </c>
      <c r="B5005" s="16" t="n">
        <v>45981</v>
      </c>
      <c r="C5005" s="15" t="s">
        <v>71</v>
      </c>
      <c r="D5005" s="15" t="s">
        <v>44</v>
      </c>
      <c r="E5005" s="15" t="s">
        <v>37</v>
      </c>
      <c r="F5005" s="15" t="s">
        <v>17</v>
      </c>
      <c r="G5005" s="15" t="s">
        <v>28</v>
      </c>
      <c r="H5005" s="15" t="n">
        <v>4</v>
      </c>
      <c r="I5005" s="17" t="n">
        <v>0.3</v>
      </c>
      <c r="J5005" s="18" t="n">
        <v>83.87</v>
      </c>
      <c r="K5005" s="19" t="n">
        <v>-1.73</v>
      </c>
      <c r="L5005" s="15" t="n">
        <f aca="false">YEAR(B5005)</f>
        <v>2025</v>
      </c>
      <c r="M5005" s="20" t="n">
        <f aca="false">IF(J5005&gt;0,K5005/J5005,0)</f>
        <v>-0.0206271610826279</v>
      </c>
    </row>
    <row r="5006" customFormat="false" ht="15" hidden="false" customHeight="false" outlineLevel="0" collapsed="false">
      <c r="A5006" s="15" t="s">
        <v>5063</v>
      </c>
      <c r="B5006" s="16" t="n">
        <v>45234</v>
      </c>
      <c r="C5006" s="15" t="s">
        <v>56</v>
      </c>
      <c r="D5006" s="15" t="s">
        <v>42</v>
      </c>
      <c r="E5006" s="15" t="s">
        <v>37</v>
      </c>
      <c r="F5006" s="15" t="s">
        <v>18</v>
      </c>
      <c r="G5006" s="15" t="s">
        <v>33</v>
      </c>
      <c r="H5006" s="15" t="n">
        <v>3</v>
      </c>
      <c r="I5006" s="17" t="n">
        <v>0</v>
      </c>
      <c r="J5006" s="18" t="n">
        <v>2729.41</v>
      </c>
      <c r="K5006" s="19" t="n">
        <v>654.75</v>
      </c>
      <c r="L5006" s="15" t="n">
        <f aca="false">YEAR(B5006)</f>
        <v>2023</v>
      </c>
      <c r="M5006" s="20" t="n">
        <f aca="false">IF(J5006&gt;0,K5006/J5006,0)</f>
        <v>0.239887008547635</v>
      </c>
    </row>
    <row r="5007" customFormat="false" ht="15" hidden="false" customHeight="false" outlineLevel="0" collapsed="false">
      <c r="A5007" s="15" t="s">
        <v>5064</v>
      </c>
      <c r="B5007" s="16" t="n">
        <v>45942</v>
      </c>
      <c r="C5007" s="15" t="s">
        <v>68</v>
      </c>
      <c r="D5007" s="15" t="s">
        <v>43</v>
      </c>
      <c r="E5007" s="15" t="s">
        <v>39</v>
      </c>
      <c r="F5007" s="15" t="s">
        <v>16</v>
      </c>
      <c r="G5007" s="15" t="s">
        <v>22</v>
      </c>
      <c r="H5007" s="15" t="n">
        <v>2</v>
      </c>
      <c r="I5007" s="17" t="n">
        <v>0</v>
      </c>
      <c r="J5007" s="18" t="n">
        <v>1335.79</v>
      </c>
      <c r="K5007" s="19" t="n">
        <v>-46.29</v>
      </c>
      <c r="L5007" s="15" t="n">
        <f aca="false">YEAR(B5007)</f>
        <v>2025</v>
      </c>
      <c r="M5007" s="20" t="n">
        <f aca="false">IF(J5007&gt;0,K5007/J5007,0)</f>
        <v>-0.0346536506486798</v>
      </c>
    </row>
    <row r="5008" customFormat="false" ht="15" hidden="false" customHeight="false" outlineLevel="0" collapsed="false">
      <c r="A5008" s="15" t="s">
        <v>5065</v>
      </c>
      <c r="B5008" s="16" t="n">
        <v>44820</v>
      </c>
      <c r="C5008" s="15" t="s">
        <v>71</v>
      </c>
      <c r="D5008" s="15" t="s">
        <v>42</v>
      </c>
      <c r="E5008" s="15" t="s">
        <v>36</v>
      </c>
      <c r="F5008" s="15" t="s">
        <v>17</v>
      </c>
      <c r="G5008" s="15" t="s">
        <v>31</v>
      </c>
      <c r="H5008" s="15" t="n">
        <v>5</v>
      </c>
      <c r="I5008" s="17" t="n">
        <v>0</v>
      </c>
      <c r="J5008" s="18" t="n">
        <v>561.01</v>
      </c>
      <c r="K5008" s="19" t="n">
        <v>113.51</v>
      </c>
      <c r="L5008" s="15" t="n">
        <f aca="false">YEAR(B5008)</f>
        <v>2022</v>
      </c>
      <c r="M5008" s="20" t="n">
        <f aca="false">IF(J5008&gt;0,K5008/J5008,0)</f>
        <v>0.20233150924226</v>
      </c>
    </row>
    <row r="5009" customFormat="false" ht="15" hidden="false" customHeight="false" outlineLevel="0" collapsed="false">
      <c r="A5009" s="15" t="s">
        <v>5066</v>
      </c>
      <c r="B5009" s="16" t="n">
        <v>46016</v>
      </c>
      <c r="C5009" s="15" t="s">
        <v>56</v>
      </c>
      <c r="D5009" s="15" t="s">
        <v>44</v>
      </c>
      <c r="E5009" s="15" t="s">
        <v>38</v>
      </c>
      <c r="F5009" s="15" t="s">
        <v>17</v>
      </c>
      <c r="G5009" s="15" t="s">
        <v>28</v>
      </c>
      <c r="H5009" s="15" t="n">
        <v>5</v>
      </c>
      <c r="I5009" s="17" t="n">
        <v>0</v>
      </c>
      <c r="J5009" s="18" t="n">
        <v>85.36</v>
      </c>
      <c r="K5009" s="19" t="n">
        <v>26.58</v>
      </c>
      <c r="L5009" s="15" t="n">
        <f aca="false">YEAR(B5009)</f>
        <v>2025</v>
      </c>
      <c r="M5009" s="20" t="n">
        <f aca="false">IF(J5009&gt;0,K5009/J5009,0)</f>
        <v>0.311387066541706</v>
      </c>
    </row>
    <row r="5010" customFormat="false" ht="15" hidden="false" customHeight="false" outlineLevel="0" collapsed="false">
      <c r="A5010" s="15" t="s">
        <v>5067</v>
      </c>
      <c r="B5010" s="16" t="n">
        <v>45872</v>
      </c>
      <c r="C5010" s="15" t="s">
        <v>56</v>
      </c>
      <c r="D5010" s="15" t="s">
        <v>43</v>
      </c>
      <c r="E5010" s="15" t="s">
        <v>39</v>
      </c>
      <c r="F5010" s="15" t="s">
        <v>16</v>
      </c>
      <c r="G5010" s="15" t="s">
        <v>27</v>
      </c>
      <c r="H5010" s="15" t="n">
        <v>5</v>
      </c>
      <c r="I5010" s="17" t="n">
        <v>0</v>
      </c>
      <c r="J5010" s="18" t="n">
        <v>395.53</v>
      </c>
      <c r="K5010" s="19" t="n">
        <v>83.58</v>
      </c>
      <c r="L5010" s="15" t="n">
        <f aca="false">YEAR(B5010)</f>
        <v>2025</v>
      </c>
      <c r="M5010" s="20" t="n">
        <f aca="false">IF(J5010&gt;0,K5010/J5010,0)</f>
        <v>0.21131140495032</v>
      </c>
    </row>
    <row r="5011" customFormat="false" ht="15" hidden="false" customHeight="false" outlineLevel="0" collapsed="false">
      <c r="A5011" s="15" t="s">
        <v>5068</v>
      </c>
      <c r="B5011" s="16" t="n">
        <v>45746</v>
      </c>
      <c r="C5011" s="15" t="s">
        <v>58</v>
      </c>
      <c r="D5011" s="15" t="s">
        <v>43</v>
      </c>
      <c r="E5011" s="15" t="s">
        <v>38</v>
      </c>
      <c r="F5011" s="15" t="s">
        <v>17</v>
      </c>
      <c r="G5011" s="15" t="s">
        <v>29</v>
      </c>
      <c r="H5011" s="15" t="n">
        <v>5</v>
      </c>
      <c r="I5011" s="17" t="n">
        <v>0</v>
      </c>
      <c r="J5011" s="18" t="n">
        <v>85.34</v>
      </c>
      <c r="K5011" s="19" t="n">
        <v>32.17</v>
      </c>
      <c r="L5011" s="15" t="n">
        <f aca="false">YEAR(B5011)</f>
        <v>2025</v>
      </c>
      <c r="M5011" s="20" t="n">
        <f aca="false">IF(J5011&gt;0,K5011/J5011,0)</f>
        <v>0.37696273728615</v>
      </c>
    </row>
    <row r="5012" customFormat="false" ht="15" hidden="false" customHeight="false" outlineLevel="0" collapsed="false">
      <c r="A5012" s="15" t="s">
        <v>5069</v>
      </c>
      <c r="B5012" s="16" t="n">
        <v>45719</v>
      </c>
      <c r="C5012" s="15" t="s">
        <v>71</v>
      </c>
      <c r="D5012" s="15" t="s">
        <v>43</v>
      </c>
      <c r="E5012" s="15" t="s">
        <v>39</v>
      </c>
      <c r="F5012" s="15" t="s">
        <v>17</v>
      </c>
      <c r="G5012" s="15" t="s">
        <v>29</v>
      </c>
      <c r="H5012" s="15" t="n">
        <v>3</v>
      </c>
      <c r="I5012" s="17" t="n">
        <v>0</v>
      </c>
      <c r="J5012" s="18" t="n">
        <v>74.33</v>
      </c>
      <c r="K5012" s="19" t="n">
        <v>25.82</v>
      </c>
      <c r="L5012" s="15" t="n">
        <f aca="false">YEAR(B5012)</f>
        <v>2025</v>
      </c>
      <c r="M5012" s="20" t="n">
        <f aca="false">IF(J5012&gt;0,K5012/J5012,0)</f>
        <v>0.347369837212431</v>
      </c>
    </row>
    <row r="5013" customFormat="false" ht="15" hidden="false" customHeight="false" outlineLevel="0" collapsed="false">
      <c r="A5013" s="15" t="s">
        <v>5070</v>
      </c>
      <c r="B5013" s="16" t="n">
        <v>45673</v>
      </c>
      <c r="C5013" s="15" t="s">
        <v>71</v>
      </c>
      <c r="D5013" s="15" t="s">
        <v>44</v>
      </c>
      <c r="E5013" s="15" t="s">
        <v>36</v>
      </c>
      <c r="F5013" s="15" t="s">
        <v>17</v>
      </c>
      <c r="G5013" s="15" t="s">
        <v>28</v>
      </c>
      <c r="H5013" s="15" t="n">
        <v>4</v>
      </c>
      <c r="I5013" s="17" t="n">
        <v>0.15</v>
      </c>
      <c r="J5013" s="18" t="n">
        <v>82.75</v>
      </c>
      <c r="K5013" s="19" t="n">
        <v>13.57</v>
      </c>
      <c r="L5013" s="15" t="n">
        <f aca="false">YEAR(B5013)</f>
        <v>2025</v>
      </c>
      <c r="M5013" s="20" t="n">
        <f aca="false">IF(J5013&gt;0,K5013/J5013,0)</f>
        <v>0.163987915407855</v>
      </c>
    </row>
    <row r="5014" customFormat="false" ht="15" hidden="false" customHeight="false" outlineLevel="0" collapsed="false">
      <c r="A5014" s="15" t="s">
        <v>5071</v>
      </c>
      <c r="B5014" s="16" t="n">
        <v>45252</v>
      </c>
      <c r="C5014" s="15" t="s">
        <v>58</v>
      </c>
      <c r="D5014" s="15" t="s">
        <v>44</v>
      </c>
      <c r="E5014" s="15" t="s">
        <v>37</v>
      </c>
      <c r="F5014" s="15" t="s">
        <v>17</v>
      </c>
      <c r="G5014" s="15" t="s">
        <v>26</v>
      </c>
      <c r="H5014" s="15" t="n">
        <v>2</v>
      </c>
      <c r="I5014" s="17" t="n">
        <v>0.1</v>
      </c>
      <c r="J5014" s="18" t="n">
        <v>164.01</v>
      </c>
      <c r="K5014" s="19" t="n">
        <v>11.94</v>
      </c>
      <c r="L5014" s="15" t="n">
        <f aca="false">YEAR(B5014)</f>
        <v>2023</v>
      </c>
      <c r="M5014" s="20" t="n">
        <f aca="false">IF(J5014&gt;0,K5014/J5014,0)</f>
        <v>0.0728004389976221</v>
      </c>
    </row>
    <row r="5015" customFormat="false" ht="15" hidden="false" customHeight="false" outlineLevel="0" collapsed="false">
      <c r="A5015" s="15" t="s">
        <v>5072</v>
      </c>
      <c r="B5015" s="16" t="n">
        <v>45064</v>
      </c>
      <c r="C5015" s="15" t="s">
        <v>56</v>
      </c>
      <c r="D5015" s="15" t="s">
        <v>43</v>
      </c>
      <c r="E5015" s="15" t="s">
        <v>38</v>
      </c>
      <c r="F5015" s="15" t="s">
        <v>17</v>
      </c>
      <c r="G5015" s="15" t="s">
        <v>28</v>
      </c>
      <c r="H5015" s="15" t="n">
        <v>5</v>
      </c>
      <c r="I5015" s="17" t="n">
        <v>0</v>
      </c>
      <c r="J5015" s="18" t="n">
        <v>109.89</v>
      </c>
      <c r="K5015" s="19" t="n">
        <v>34.4</v>
      </c>
      <c r="L5015" s="15" t="n">
        <f aca="false">YEAR(B5015)</f>
        <v>2023</v>
      </c>
      <c r="M5015" s="20" t="n">
        <f aca="false">IF(J5015&gt;0,K5015/J5015,0)</f>
        <v>0.313040313040313</v>
      </c>
    </row>
    <row r="5016" customFormat="false" ht="15" hidden="false" customHeight="false" outlineLevel="0" collapsed="false">
      <c r="A5016" s="15" t="s">
        <v>5073</v>
      </c>
      <c r="B5016" s="16" t="n">
        <v>45946</v>
      </c>
      <c r="C5016" s="15" t="s">
        <v>56</v>
      </c>
      <c r="D5016" s="15" t="s">
        <v>42</v>
      </c>
      <c r="E5016" s="15" t="s">
        <v>36</v>
      </c>
      <c r="F5016" s="15" t="s">
        <v>17</v>
      </c>
      <c r="G5016" s="15" t="s">
        <v>29</v>
      </c>
      <c r="H5016" s="15" t="n">
        <v>5</v>
      </c>
      <c r="I5016" s="17" t="n">
        <v>0</v>
      </c>
      <c r="J5016" s="18" t="n">
        <v>91.56</v>
      </c>
      <c r="K5016" s="19" t="n">
        <v>34.34</v>
      </c>
      <c r="L5016" s="15" t="n">
        <f aca="false">YEAR(B5016)</f>
        <v>2025</v>
      </c>
      <c r="M5016" s="20" t="n">
        <f aca="false">IF(J5016&gt;0,K5016/J5016,0)</f>
        <v>0.375054608999563</v>
      </c>
    </row>
    <row r="5017" customFormat="false" ht="15" hidden="false" customHeight="false" outlineLevel="0" collapsed="false">
      <c r="A5017" s="15" t="s">
        <v>5074</v>
      </c>
      <c r="B5017" s="16" t="n">
        <v>45115</v>
      </c>
      <c r="C5017" s="15" t="s">
        <v>56</v>
      </c>
      <c r="D5017" s="15" t="s">
        <v>42</v>
      </c>
      <c r="E5017" s="15" t="s">
        <v>37</v>
      </c>
      <c r="F5017" s="15" t="s">
        <v>17</v>
      </c>
      <c r="G5017" s="15" t="s">
        <v>29</v>
      </c>
      <c r="H5017" s="15" t="n">
        <v>4</v>
      </c>
      <c r="I5017" s="17" t="n">
        <v>0</v>
      </c>
      <c r="J5017" s="18" t="n">
        <v>74.41</v>
      </c>
      <c r="K5017" s="19" t="n">
        <v>27.2</v>
      </c>
      <c r="L5017" s="15" t="n">
        <f aca="false">YEAR(B5017)</f>
        <v>2023</v>
      </c>
      <c r="M5017" s="20" t="n">
        <f aca="false">IF(J5017&gt;0,K5017/J5017,0)</f>
        <v>0.365542265824486</v>
      </c>
    </row>
    <row r="5018" customFormat="false" ht="15" hidden="false" customHeight="false" outlineLevel="0" collapsed="false">
      <c r="A5018" s="15" t="s">
        <v>5075</v>
      </c>
      <c r="B5018" s="16" t="n">
        <v>45271</v>
      </c>
      <c r="C5018" s="15" t="s">
        <v>58</v>
      </c>
      <c r="D5018" s="15" t="s">
        <v>43</v>
      </c>
      <c r="E5018" s="15" t="s">
        <v>37</v>
      </c>
      <c r="F5018" s="15" t="s">
        <v>16</v>
      </c>
      <c r="G5018" s="15" t="s">
        <v>25</v>
      </c>
      <c r="H5018" s="15" t="n">
        <v>2</v>
      </c>
      <c r="I5018" s="17" t="n">
        <v>0</v>
      </c>
      <c r="J5018" s="18" t="n">
        <v>709.32</v>
      </c>
      <c r="K5018" s="19" t="n">
        <v>58.48</v>
      </c>
      <c r="L5018" s="15" t="n">
        <f aca="false">YEAR(B5018)</f>
        <v>2023</v>
      </c>
      <c r="M5018" s="20" t="n">
        <f aca="false">IF(J5018&gt;0,K5018/J5018,0)</f>
        <v>0.0824451587435854</v>
      </c>
    </row>
    <row r="5019" customFormat="false" ht="15" hidden="false" customHeight="false" outlineLevel="0" collapsed="false">
      <c r="A5019" s="15" t="s">
        <v>5076</v>
      </c>
      <c r="B5019" s="16" t="n">
        <v>45537</v>
      </c>
      <c r="C5019" s="15" t="s">
        <v>56</v>
      </c>
      <c r="D5019" s="15" t="s">
        <v>43</v>
      </c>
      <c r="E5019" s="15" t="s">
        <v>38</v>
      </c>
      <c r="F5019" s="15" t="s">
        <v>16</v>
      </c>
      <c r="G5019" s="15" t="s">
        <v>25</v>
      </c>
      <c r="H5019" s="15" t="n">
        <v>4</v>
      </c>
      <c r="I5019" s="17" t="n">
        <v>0.05</v>
      </c>
      <c r="J5019" s="18" t="n">
        <v>1011.61</v>
      </c>
      <c r="K5019" s="19" t="n">
        <v>122.44</v>
      </c>
      <c r="L5019" s="15" t="n">
        <f aca="false">YEAR(B5019)</f>
        <v>2024</v>
      </c>
      <c r="M5019" s="20" t="n">
        <f aca="false">IF(J5019&gt;0,K5019/J5019,0)</f>
        <v>0.121034786132996</v>
      </c>
    </row>
    <row r="5020" customFormat="false" ht="15" hidden="false" customHeight="false" outlineLevel="0" collapsed="false">
      <c r="A5020" s="15" t="s">
        <v>5077</v>
      </c>
      <c r="B5020" s="16" t="n">
        <v>45835</v>
      </c>
      <c r="C5020" s="15" t="s">
        <v>56</v>
      </c>
      <c r="D5020" s="15" t="s">
        <v>43</v>
      </c>
      <c r="E5020" s="15" t="s">
        <v>39</v>
      </c>
      <c r="F5020" s="15" t="s">
        <v>18</v>
      </c>
      <c r="G5020" s="15" t="s">
        <v>30</v>
      </c>
      <c r="H5020" s="15" t="n">
        <v>2</v>
      </c>
      <c r="I5020" s="17" t="n">
        <v>0.2</v>
      </c>
      <c r="J5020" s="18" t="n">
        <v>74.9</v>
      </c>
      <c r="K5020" s="19" t="n">
        <v>6.2</v>
      </c>
      <c r="L5020" s="15" t="n">
        <f aca="false">YEAR(B5020)</f>
        <v>2025</v>
      </c>
      <c r="M5020" s="20" t="n">
        <f aca="false">IF(J5020&gt;0,K5020/J5020,0)</f>
        <v>0.0827770360480641</v>
      </c>
    </row>
    <row r="5021" customFormat="false" ht="15" hidden="false" customHeight="false" outlineLevel="0" collapsed="false">
      <c r="A5021" s="15" t="s">
        <v>5078</v>
      </c>
      <c r="B5021" s="16" t="n">
        <v>45653</v>
      </c>
      <c r="C5021" s="15" t="s">
        <v>56</v>
      </c>
      <c r="D5021" s="15" t="s">
        <v>44</v>
      </c>
      <c r="E5021" s="15" t="s">
        <v>37</v>
      </c>
      <c r="F5021" s="15" t="s">
        <v>18</v>
      </c>
      <c r="G5021" s="15" t="s">
        <v>33</v>
      </c>
      <c r="H5021" s="15" t="n">
        <v>3</v>
      </c>
      <c r="I5021" s="17" t="n">
        <v>0</v>
      </c>
      <c r="J5021" s="18" t="n">
        <v>2666.95</v>
      </c>
      <c r="K5021" s="19" t="n">
        <v>578.84</v>
      </c>
      <c r="L5021" s="15" t="n">
        <f aca="false">YEAR(B5021)</f>
        <v>2024</v>
      </c>
      <c r="M5021" s="20" t="n">
        <f aca="false">IF(J5021&gt;0,K5021/J5021,0)</f>
        <v>0.21704193929395</v>
      </c>
    </row>
    <row r="5022" customFormat="false" ht="15" hidden="false" customHeight="false" outlineLevel="0" collapsed="false">
      <c r="A5022" s="15" t="s">
        <v>5079</v>
      </c>
      <c r="B5022" s="16" t="n">
        <v>44908</v>
      </c>
      <c r="C5022" s="15" t="s">
        <v>56</v>
      </c>
      <c r="D5022" s="15" t="s">
        <v>42</v>
      </c>
      <c r="E5022" s="15" t="s">
        <v>36</v>
      </c>
      <c r="F5022" s="15" t="s">
        <v>17</v>
      </c>
      <c r="G5022" s="15" t="s">
        <v>28</v>
      </c>
      <c r="H5022" s="15" t="n">
        <v>5</v>
      </c>
      <c r="I5022" s="17" t="n">
        <v>0.1</v>
      </c>
      <c r="J5022" s="18" t="n">
        <v>110.08</v>
      </c>
      <c r="K5022" s="19" t="n">
        <v>19.63</v>
      </c>
      <c r="L5022" s="15" t="n">
        <f aca="false">YEAR(B5022)</f>
        <v>2022</v>
      </c>
      <c r="M5022" s="20" t="n">
        <f aca="false">IF(J5022&gt;0,K5022/J5022,0)</f>
        <v>0.178324854651163</v>
      </c>
    </row>
    <row r="5023" customFormat="false" ht="15" hidden="false" customHeight="false" outlineLevel="0" collapsed="false">
      <c r="A5023" s="15" t="s">
        <v>5080</v>
      </c>
      <c r="B5023" s="16" t="n">
        <v>45598</v>
      </c>
      <c r="C5023" s="15" t="s">
        <v>68</v>
      </c>
      <c r="D5023" s="15" t="s">
        <v>42</v>
      </c>
      <c r="E5023" s="15" t="s">
        <v>39</v>
      </c>
      <c r="F5023" s="15" t="s">
        <v>17</v>
      </c>
      <c r="G5023" s="15" t="s">
        <v>26</v>
      </c>
      <c r="H5023" s="15" t="n">
        <v>5</v>
      </c>
      <c r="I5023" s="17" t="n">
        <v>0</v>
      </c>
      <c r="J5023" s="18" t="n">
        <v>404.11</v>
      </c>
      <c r="K5023" s="19" t="n">
        <v>31.8</v>
      </c>
      <c r="L5023" s="15" t="n">
        <f aca="false">YEAR(B5023)</f>
        <v>2024</v>
      </c>
      <c r="M5023" s="20" t="n">
        <f aca="false">IF(J5023&gt;0,K5023/J5023,0)</f>
        <v>0.0786914453985301</v>
      </c>
    </row>
    <row r="5024" customFormat="false" ht="15" hidden="false" customHeight="false" outlineLevel="0" collapsed="false">
      <c r="A5024" s="15" t="s">
        <v>5081</v>
      </c>
      <c r="B5024" s="16" t="n">
        <v>44976</v>
      </c>
      <c r="C5024" s="15" t="s">
        <v>68</v>
      </c>
      <c r="D5024" s="15" t="s">
        <v>42</v>
      </c>
      <c r="E5024" s="15" t="s">
        <v>38</v>
      </c>
      <c r="F5024" s="15" t="s">
        <v>17</v>
      </c>
      <c r="G5024" s="15" t="s">
        <v>26</v>
      </c>
      <c r="H5024" s="15" t="n">
        <v>5</v>
      </c>
      <c r="I5024" s="17" t="n">
        <v>0.05</v>
      </c>
      <c r="J5024" s="18" t="n">
        <v>403.14</v>
      </c>
      <c r="K5024" s="19" t="n">
        <v>47.42</v>
      </c>
      <c r="L5024" s="15" t="n">
        <f aca="false">YEAR(B5024)</f>
        <v>2023</v>
      </c>
      <c r="M5024" s="20" t="n">
        <f aca="false">IF(J5024&gt;0,K5024/J5024,0)</f>
        <v>0.117626630947066</v>
      </c>
    </row>
    <row r="5025" customFormat="false" ht="15" hidden="false" customHeight="false" outlineLevel="0" collapsed="false">
      <c r="A5025" s="15" t="s">
        <v>5082</v>
      </c>
      <c r="B5025" s="16" t="n">
        <v>44919</v>
      </c>
      <c r="C5025" s="15" t="s">
        <v>56</v>
      </c>
      <c r="D5025" s="15" t="s">
        <v>42</v>
      </c>
      <c r="E5025" s="15" t="s">
        <v>39</v>
      </c>
      <c r="F5025" s="15" t="s">
        <v>17</v>
      </c>
      <c r="G5025" s="15" t="s">
        <v>26</v>
      </c>
      <c r="H5025" s="15" t="n">
        <v>5</v>
      </c>
      <c r="I5025" s="17" t="n">
        <v>0.3</v>
      </c>
      <c r="J5025" s="18" t="n">
        <v>307.95</v>
      </c>
      <c r="K5025" s="19" t="n">
        <v>-53.87</v>
      </c>
      <c r="L5025" s="15" t="n">
        <f aca="false">YEAR(B5025)</f>
        <v>2022</v>
      </c>
      <c r="M5025" s="20" t="n">
        <f aca="false">IF(J5025&gt;0,K5025/J5025,0)</f>
        <v>-0.174930995291443</v>
      </c>
    </row>
    <row r="5026" customFormat="false" ht="15" hidden="false" customHeight="false" outlineLevel="0" collapsed="false">
      <c r="A5026" s="15" t="s">
        <v>5083</v>
      </c>
      <c r="B5026" s="16" t="n">
        <v>45786</v>
      </c>
      <c r="C5026" s="15" t="s">
        <v>56</v>
      </c>
      <c r="D5026" s="15" t="s">
        <v>42</v>
      </c>
      <c r="E5026" s="15" t="s">
        <v>39</v>
      </c>
      <c r="F5026" s="15" t="s">
        <v>17</v>
      </c>
      <c r="G5026" s="15" t="s">
        <v>31</v>
      </c>
      <c r="H5026" s="15" t="n">
        <v>7</v>
      </c>
      <c r="I5026" s="17" t="n">
        <v>0.2</v>
      </c>
      <c r="J5026" s="18" t="n">
        <v>736.62</v>
      </c>
      <c r="K5026" s="19" t="n">
        <v>32.66</v>
      </c>
      <c r="L5026" s="15" t="n">
        <f aca="false">YEAR(B5026)</f>
        <v>2025</v>
      </c>
      <c r="M5026" s="20" t="n">
        <f aca="false">IF(J5026&gt;0,K5026/J5026,0)</f>
        <v>0.0443376503488909</v>
      </c>
    </row>
    <row r="5027" customFormat="false" ht="15" hidden="false" customHeight="false" outlineLevel="0" collapsed="false">
      <c r="A5027" s="15" t="s">
        <v>5084</v>
      </c>
      <c r="B5027" s="16" t="n">
        <v>45205</v>
      </c>
      <c r="C5027" s="15" t="s">
        <v>56</v>
      </c>
      <c r="D5027" s="15" t="s">
        <v>43</v>
      </c>
      <c r="E5027" s="15" t="s">
        <v>39</v>
      </c>
      <c r="F5027" s="15" t="s">
        <v>17</v>
      </c>
      <c r="G5027" s="15" t="s">
        <v>28</v>
      </c>
      <c r="H5027" s="15" t="n">
        <v>3</v>
      </c>
      <c r="I5027" s="17" t="n">
        <v>0.2</v>
      </c>
      <c r="J5027" s="18" t="n">
        <v>78.64</v>
      </c>
      <c r="K5027" s="19" t="n">
        <v>9.75</v>
      </c>
      <c r="L5027" s="15" t="n">
        <f aca="false">YEAR(B5027)</f>
        <v>2023</v>
      </c>
      <c r="M5027" s="20" t="n">
        <f aca="false">IF(J5027&gt;0,K5027/J5027,0)</f>
        <v>0.123982706002035</v>
      </c>
    </row>
    <row r="5028" customFormat="false" ht="15" hidden="false" customHeight="false" outlineLevel="0" collapsed="false">
      <c r="A5028" s="15" t="s">
        <v>5085</v>
      </c>
      <c r="B5028" s="16" t="n">
        <v>45442</v>
      </c>
      <c r="C5028" s="15" t="s">
        <v>71</v>
      </c>
      <c r="D5028" s="15" t="s">
        <v>43</v>
      </c>
      <c r="E5028" s="15" t="s">
        <v>39</v>
      </c>
      <c r="F5028" s="15" t="s">
        <v>17</v>
      </c>
      <c r="G5028" s="15" t="s">
        <v>31</v>
      </c>
      <c r="H5028" s="15" t="n">
        <v>2</v>
      </c>
      <c r="I5028" s="17" t="n">
        <v>0.1</v>
      </c>
      <c r="J5028" s="18" t="n">
        <v>295.84</v>
      </c>
      <c r="K5028" s="19" t="n">
        <v>31.2</v>
      </c>
      <c r="L5028" s="15" t="n">
        <f aca="false">YEAR(B5028)</f>
        <v>2024</v>
      </c>
      <c r="M5028" s="20" t="n">
        <f aca="false">IF(J5028&gt;0,K5028/J5028,0)</f>
        <v>0.105462412114657</v>
      </c>
    </row>
    <row r="5029" customFormat="false" ht="15" hidden="false" customHeight="false" outlineLevel="0" collapsed="false">
      <c r="A5029" s="15" t="s">
        <v>5086</v>
      </c>
      <c r="B5029" s="16" t="n">
        <v>45785</v>
      </c>
      <c r="C5029" s="15" t="s">
        <v>56</v>
      </c>
      <c r="D5029" s="15" t="s">
        <v>43</v>
      </c>
      <c r="E5029" s="15" t="s">
        <v>37</v>
      </c>
      <c r="F5029" s="15" t="s">
        <v>17</v>
      </c>
      <c r="G5029" s="15" t="s">
        <v>28</v>
      </c>
      <c r="H5029" s="15" t="n">
        <v>4</v>
      </c>
      <c r="I5029" s="17" t="n">
        <v>0</v>
      </c>
      <c r="J5029" s="18" t="n">
        <v>85.37</v>
      </c>
      <c r="K5029" s="19" t="n">
        <v>23.16</v>
      </c>
      <c r="L5029" s="15" t="n">
        <f aca="false">YEAR(B5029)</f>
        <v>2025</v>
      </c>
      <c r="M5029" s="20" t="n">
        <f aca="false">IF(J5029&gt;0,K5029/J5029,0)</f>
        <v>0.271289680215532</v>
      </c>
    </row>
    <row r="5030" customFormat="false" ht="15" hidden="false" customHeight="false" outlineLevel="0" collapsed="false">
      <c r="A5030" s="15" t="s">
        <v>5087</v>
      </c>
      <c r="B5030" s="16" t="n">
        <v>45551</v>
      </c>
      <c r="C5030" s="15" t="s">
        <v>56</v>
      </c>
      <c r="D5030" s="15" t="s">
        <v>43</v>
      </c>
      <c r="E5030" s="15" t="s">
        <v>38</v>
      </c>
      <c r="F5030" s="15" t="s">
        <v>17</v>
      </c>
      <c r="G5030" s="15" t="s">
        <v>29</v>
      </c>
      <c r="H5030" s="15" t="n">
        <v>7</v>
      </c>
      <c r="I5030" s="17" t="n">
        <v>0.15</v>
      </c>
      <c r="J5030" s="18" t="n">
        <v>124.07</v>
      </c>
      <c r="K5030" s="19" t="n">
        <v>38.85</v>
      </c>
      <c r="L5030" s="15" t="n">
        <f aca="false">YEAR(B5030)</f>
        <v>2024</v>
      </c>
      <c r="M5030" s="20" t="n">
        <f aca="false">IF(J5030&gt;0,K5030/J5030,0)</f>
        <v>0.313129684855324</v>
      </c>
    </row>
    <row r="5031" customFormat="false" ht="15" hidden="false" customHeight="false" outlineLevel="0" collapsed="false">
      <c r="A5031" s="15" t="s">
        <v>5088</v>
      </c>
      <c r="B5031" s="16" t="n">
        <v>44893</v>
      </c>
      <c r="C5031" s="15" t="s">
        <v>56</v>
      </c>
      <c r="D5031" s="15" t="s">
        <v>43</v>
      </c>
      <c r="E5031" s="15" t="s">
        <v>39</v>
      </c>
      <c r="F5031" s="15" t="s">
        <v>17</v>
      </c>
      <c r="G5031" s="15" t="s">
        <v>28</v>
      </c>
      <c r="H5031" s="15" t="n">
        <v>3</v>
      </c>
      <c r="I5031" s="17" t="n">
        <v>0.1</v>
      </c>
      <c r="J5031" s="18" t="n">
        <v>93.66</v>
      </c>
      <c r="K5031" s="19" t="n">
        <v>17.45</v>
      </c>
      <c r="L5031" s="15" t="n">
        <f aca="false">YEAR(B5031)</f>
        <v>2022</v>
      </c>
      <c r="M5031" s="20" t="n">
        <f aca="false">IF(J5031&gt;0,K5031/J5031,0)</f>
        <v>0.18631219303865</v>
      </c>
    </row>
    <row r="5032" customFormat="false" ht="15" hidden="false" customHeight="false" outlineLevel="0" collapsed="false">
      <c r="A5032" s="15" t="s">
        <v>5089</v>
      </c>
      <c r="B5032" s="16" t="n">
        <v>44911</v>
      </c>
      <c r="C5032" s="15" t="s">
        <v>56</v>
      </c>
      <c r="D5032" s="15" t="s">
        <v>44</v>
      </c>
      <c r="E5032" s="15" t="s">
        <v>37</v>
      </c>
      <c r="F5032" s="15" t="s">
        <v>18</v>
      </c>
      <c r="G5032" s="15" t="s">
        <v>30</v>
      </c>
      <c r="H5032" s="15" t="n">
        <v>5</v>
      </c>
      <c r="I5032" s="17" t="n">
        <v>0.3</v>
      </c>
      <c r="J5032" s="18" t="n">
        <v>140.42</v>
      </c>
      <c r="K5032" s="19" t="n">
        <v>-1.82</v>
      </c>
      <c r="L5032" s="15" t="n">
        <f aca="false">YEAR(B5032)</f>
        <v>2022</v>
      </c>
      <c r="M5032" s="20" t="n">
        <f aca="false">IF(J5032&gt;0,K5032/J5032,0)</f>
        <v>-0.0129611166500499</v>
      </c>
    </row>
    <row r="5033" customFormat="false" ht="15" hidden="false" customHeight="false" outlineLevel="0" collapsed="false">
      <c r="A5033" s="15" t="s">
        <v>5090</v>
      </c>
      <c r="B5033" s="16" t="n">
        <v>45876</v>
      </c>
      <c r="C5033" s="15" t="s">
        <v>58</v>
      </c>
      <c r="D5033" s="15" t="s">
        <v>42</v>
      </c>
      <c r="E5033" s="15" t="s">
        <v>36</v>
      </c>
      <c r="F5033" s="15" t="s">
        <v>17</v>
      </c>
      <c r="G5033" s="15" t="s">
        <v>28</v>
      </c>
      <c r="H5033" s="15" t="n">
        <v>4</v>
      </c>
      <c r="I5033" s="17" t="n">
        <v>0</v>
      </c>
      <c r="J5033" s="18" t="n">
        <v>82.55</v>
      </c>
      <c r="K5033" s="19" t="n">
        <v>23.73</v>
      </c>
      <c r="L5033" s="15" t="n">
        <f aca="false">YEAR(B5033)</f>
        <v>2025</v>
      </c>
      <c r="M5033" s="20" t="n">
        <f aca="false">IF(J5033&gt;0,K5033/J5033,0)</f>
        <v>0.287462144155058</v>
      </c>
    </row>
    <row r="5034" customFormat="false" ht="15" hidden="false" customHeight="false" outlineLevel="0" collapsed="false">
      <c r="A5034" s="15" t="s">
        <v>5091</v>
      </c>
      <c r="B5034" s="16" t="n">
        <v>45498</v>
      </c>
      <c r="C5034" s="15" t="s">
        <v>71</v>
      </c>
      <c r="D5034" s="15" t="s">
        <v>42</v>
      </c>
      <c r="E5034" s="15" t="s">
        <v>36</v>
      </c>
      <c r="F5034" s="15" t="s">
        <v>17</v>
      </c>
      <c r="G5034" s="15" t="s">
        <v>28</v>
      </c>
      <c r="H5034" s="15" t="n">
        <v>3</v>
      </c>
      <c r="I5034" s="17" t="n">
        <v>0</v>
      </c>
      <c r="J5034" s="18" t="n">
        <v>64.82</v>
      </c>
      <c r="K5034" s="19" t="n">
        <v>19.63</v>
      </c>
      <c r="L5034" s="15" t="n">
        <f aca="false">YEAR(B5034)</f>
        <v>2024</v>
      </c>
      <c r="M5034" s="20" t="n">
        <f aca="false">IF(J5034&gt;0,K5034/J5034,0)</f>
        <v>0.302838630052453</v>
      </c>
    </row>
    <row r="5035" customFormat="false" ht="15" hidden="false" customHeight="false" outlineLevel="0" collapsed="false">
      <c r="A5035" s="15" t="s">
        <v>5092</v>
      </c>
      <c r="B5035" s="16" t="n">
        <v>45727</v>
      </c>
      <c r="C5035" s="15" t="s">
        <v>56</v>
      </c>
      <c r="D5035" s="15" t="s">
        <v>42</v>
      </c>
      <c r="E5035" s="15" t="s">
        <v>39</v>
      </c>
      <c r="F5035" s="15" t="s">
        <v>17</v>
      </c>
      <c r="G5035" s="15" t="s">
        <v>28</v>
      </c>
      <c r="H5035" s="15" t="n">
        <v>7</v>
      </c>
      <c r="I5035" s="17" t="n">
        <v>0.1</v>
      </c>
      <c r="J5035" s="18" t="n">
        <v>128.76</v>
      </c>
      <c r="K5035" s="19" t="n">
        <v>23.34</v>
      </c>
      <c r="L5035" s="15" t="n">
        <f aca="false">YEAR(B5035)</f>
        <v>2025</v>
      </c>
      <c r="M5035" s="20" t="n">
        <f aca="false">IF(J5035&gt;0,K5035/J5035,0)</f>
        <v>0.181267474370923</v>
      </c>
    </row>
    <row r="5036" customFormat="false" ht="15" hidden="false" customHeight="false" outlineLevel="0" collapsed="false">
      <c r="A5036" s="15" t="s">
        <v>5093</v>
      </c>
      <c r="B5036" s="16" t="n">
        <v>44685</v>
      </c>
      <c r="C5036" s="15" t="s">
        <v>56</v>
      </c>
      <c r="D5036" s="15" t="s">
        <v>43</v>
      </c>
      <c r="E5036" s="15" t="s">
        <v>39</v>
      </c>
      <c r="F5036" s="15" t="s">
        <v>16</v>
      </c>
      <c r="G5036" s="15" t="s">
        <v>27</v>
      </c>
      <c r="H5036" s="15" t="n">
        <v>2</v>
      </c>
      <c r="I5036" s="17" t="n">
        <v>0.15</v>
      </c>
      <c r="J5036" s="18" t="n">
        <v>104.2</v>
      </c>
      <c r="K5036" s="19" t="n">
        <v>16.55</v>
      </c>
      <c r="L5036" s="15" t="n">
        <f aca="false">YEAR(B5036)</f>
        <v>2022</v>
      </c>
      <c r="M5036" s="20" t="n">
        <f aca="false">IF(J5036&gt;0,K5036/J5036,0)</f>
        <v>0.158829174664107</v>
      </c>
    </row>
    <row r="5037" customFormat="false" ht="15" hidden="false" customHeight="false" outlineLevel="0" collapsed="false">
      <c r="A5037" s="15" t="s">
        <v>5094</v>
      </c>
      <c r="B5037" s="16" t="n">
        <v>45945</v>
      </c>
      <c r="C5037" s="15" t="s">
        <v>56</v>
      </c>
      <c r="D5037" s="15" t="s">
        <v>43</v>
      </c>
      <c r="E5037" s="15" t="s">
        <v>39</v>
      </c>
      <c r="F5037" s="15" t="s">
        <v>17</v>
      </c>
      <c r="G5037" s="15" t="s">
        <v>26</v>
      </c>
      <c r="H5037" s="15" t="n">
        <v>2</v>
      </c>
      <c r="I5037" s="17" t="n">
        <v>0</v>
      </c>
      <c r="J5037" s="18" t="n">
        <v>196.86</v>
      </c>
      <c r="K5037" s="19" t="n">
        <v>24.04</v>
      </c>
      <c r="L5037" s="15" t="n">
        <f aca="false">YEAR(B5037)</f>
        <v>2025</v>
      </c>
      <c r="M5037" s="20" t="n">
        <f aca="false">IF(J5037&gt;0,K5037/J5037,0)</f>
        <v>0.122117240678655</v>
      </c>
    </row>
    <row r="5038" customFormat="false" ht="15" hidden="false" customHeight="false" outlineLevel="0" collapsed="false">
      <c r="A5038" s="15" t="s">
        <v>5095</v>
      </c>
      <c r="B5038" s="16" t="n">
        <v>45233</v>
      </c>
      <c r="C5038" s="15" t="s">
        <v>68</v>
      </c>
      <c r="D5038" s="15" t="s">
        <v>43</v>
      </c>
      <c r="E5038" s="15" t="s">
        <v>39</v>
      </c>
      <c r="F5038" s="15" t="s">
        <v>17</v>
      </c>
      <c r="G5038" s="15" t="s">
        <v>26</v>
      </c>
      <c r="H5038" s="15" t="n">
        <v>2</v>
      </c>
      <c r="I5038" s="17" t="n">
        <v>0.4</v>
      </c>
      <c r="J5038" s="18" t="n">
        <v>130.64</v>
      </c>
      <c r="K5038" s="19" t="n">
        <v>-29.83</v>
      </c>
      <c r="L5038" s="15" t="n">
        <f aca="false">YEAR(B5038)</f>
        <v>2023</v>
      </c>
      <c r="M5038" s="20" t="n">
        <f aca="false">IF(J5038&gt;0,K5038/J5038,0)</f>
        <v>-0.228337415799143</v>
      </c>
    </row>
    <row r="5039" customFormat="false" ht="15" hidden="false" customHeight="false" outlineLevel="0" collapsed="false">
      <c r="A5039" s="15" t="s">
        <v>5096</v>
      </c>
      <c r="B5039" s="16" t="n">
        <v>45225</v>
      </c>
      <c r="C5039" s="15" t="s">
        <v>56</v>
      </c>
      <c r="D5039" s="15" t="s">
        <v>43</v>
      </c>
      <c r="E5039" s="15" t="s">
        <v>38</v>
      </c>
      <c r="F5039" s="15" t="s">
        <v>17</v>
      </c>
      <c r="G5039" s="15" t="s">
        <v>26</v>
      </c>
      <c r="H5039" s="15" t="n">
        <v>2</v>
      </c>
      <c r="I5039" s="17" t="n">
        <v>0.4</v>
      </c>
      <c r="J5039" s="18" t="n">
        <v>101.39</v>
      </c>
      <c r="K5039" s="19" t="n">
        <v>-32.65</v>
      </c>
      <c r="L5039" s="15" t="n">
        <f aca="false">YEAR(B5039)</f>
        <v>2023</v>
      </c>
      <c r="M5039" s="20" t="n">
        <f aca="false">IF(J5039&gt;0,K5039/J5039,0)</f>
        <v>-0.322023868231581</v>
      </c>
    </row>
    <row r="5040" customFormat="false" ht="15" hidden="false" customHeight="false" outlineLevel="0" collapsed="false">
      <c r="A5040" s="15" t="s">
        <v>5097</v>
      </c>
      <c r="B5040" s="16" t="n">
        <v>45607</v>
      </c>
      <c r="C5040" s="15" t="s">
        <v>56</v>
      </c>
      <c r="D5040" s="15" t="s">
        <v>43</v>
      </c>
      <c r="E5040" s="15" t="s">
        <v>39</v>
      </c>
      <c r="F5040" s="15" t="s">
        <v>17</v>
      </c>
      <c r="G5040" s="15" t="s">
        <v>29</v>
      </c>
      <c r="H5040" s="15" t="n">
        <v>6</v>
      </c>
      <c r="I5040" s="17" t="n">
        <v>0.1</v>
      </c>
      <c r="J5040" s="18" t="n">
        <v>126.12</v>
      </c>
      <c r="K5040" s="19" t="n">
        <v>37.46</v>
      </c>
      <c r="L5040" s="15" t="n">
        <f aca="false">YEAR(B5040)</f>
        <v>2024</v>
      </c>
      <c r="M5040" s="20" t="n">
        <f aca="false">IF(J5040&gt;0,K5040/J5040,0)</f>
        <v>0.297018712337456</v>
      </c>
    </row>
    <row r="5041" customFormat="false" ht="15" hidden="false" customHeight="false" outlineLevel="0" collapsed="false">
      <c r="A5041" s="15" t="s">
        <v>5098</v>
      </c>
      <c r="B5041" s="16" t="n">
        <v>45644</v>
      </c>
      <c r="C5041" s="15" t="s">
        <v>58</v>
      </c>
      <c r="D5041" s="15" t="s">
        <v>42</v>
      </c>
      <c r="E5041" s="15" t="s">
        <v>37</v>
      </c>
      <c r="F5041" s="15" t="s">
        <v>17</v>
      </c>
      <c r="G5041" s="15" t="s">
        <v>26</v>
      </c>
      <c r="H5041" s="15" t="n">
        <v>4</v>
      </c>
      <c r="I5041" s="17" t="n">
        <v>0.3</v>
      </c>
      <c r="J5041" s="18" t="n">
        <v>224.45</v>
      </c>
      <c r="K5041" s="19" t="n">
        <v>-27.24</v>
      </c>
      <c r="L5041" s="15" t="n">
        <f aca="false">YEAR(B5041)</f>
        <v>2024</v>
      </c>
      <c r="M5041" s="20" t="n">
        <f aca="false">IF(J5041&gt;0,K5041/J5041,0)</f>
        <v>-0.121363332590777</v>
      </c>
    </row>
    <row r="5042" customFormat="false" ht="15" hidden="false" customHeight="false" outlineLevel="0" collapsed="false">
      <c r="A5042" s="15" t="s">
        <v>5099</v>
      </c>
      <c r="B5042" s="16" t="n">
        <v>44568</v>
      </c>
      <c r="C5042" s="15" t="s">
        <v>56</v>
      </c>
      <c r="D5042" s="15" t="s">
        <v>44</v>
      </c>
      <c r="E5042" s="15" t="s">
        <v>38</v>
      </c>
      <c r="F5042" s="15" t="s">
        <v>17</v>
      </c>
      <c r="G5042" s="15" t="s">
        <v>28</v>
      </c>
      <c r="H5042" s="15" t="n">
        <v>4</v>
      </c>
      <c r="I5042" s="17" t="n">
        <v>0.1</v>
      </c>
      <c r="J5042" s="18" t="n">
        <v>90.38</v>
      </c>
      <c r="K5042" s="19" t="n">
        <v>26.29</v>
      </c>
      <c r="L5042" s="15" t="n">
        <f aca="false">YEAR(B5042)</f>
        <v>2022</v>
      </c>
      <c r="M5042" s="20" t="n">
        <f aca="false">IF(J5042&gt;0,K5042/J5042,0)</f>
        <v>0.290882938703253</v>
      </c>
    </row>
    <row r="5043" customFormat="false" ht="15" hidden="false" customHeight="false" outlineLevel="0" collapsed="false">
      <c r="A5043" s="15" t="s">
        <v>5100</v>
      </c>
      <c r="B5043" s="16" t="n">
        <v>45236</v>
      </c>
      <c r="C5043" s="15" t="s">
        <v>68</v>
      </c>
      <c r="D5043" s="15" t="s">
        <v>44</v>
      </c>
      <c r="E5043" s="15" t="s">
        <v>38</v>
      </c>
      <c r="F5043" s="15" t="s">
        <v>16</v>
      </c>
      <c r="G5043" s="15" t="s">
        <v>25</v>
      </c>
      <c r="H5043" s="15" t="n">
        <v>2</v>
      </c>
      <c r="I5043" s="17" t="n">
        <v>0.3</v>
      </c>
      <c r="J5043" s="18" t="n">
        <v>487.34</v>
      </c>
      <c r="K5043" s="19" t="n">
        <v>-93.73</v>
      </c>
      <c r="L5043" s="15" t="n">
        <f aca="false">YEAR(B5043)</f>
        <v>2023</v>
      </c>
      <c r="M5043" s="20" t="n">
        <f aca="false">IF(J5043&gt;0,K5043/J5043,0)</f>
        <v>-0.192329790290147</v>
      </c>
    </row>
    <row r="5044" customFormat="false" ht="15" hidden="false" customHeight="false" outlineLevel="0" collapsed="false">
      <c r="A5044" s="15" t="s">
        <v>5101</v>
      </c>
      <c r="B5044" s="16" t="n">
        <v>45047</v>
      </c>
      <c r="C5044" s="15" t="s">
        <v>68</v>
      </c>
      <c r="D5044" s="15" t="s">
        <v>43</v>
      </c>
      <c r="E5044" s="15" t="s">
        <v>37</v>
      </c>
      <c r="F5044" s="15" t="s">
        <v>18</v>
      </c>
      <c r="G5044" s="15" t="s">
        <v>30</v>
      </c>
      <c r="H5044" s="15" t="n">
        <v>1</v>
      </c>
      <c r="I5044" s="17" t="n">
        <v>0.1</v>
      </c>
      <c r="J5044" s="18" t="n">
        <v>48.83</v>
      </c>
      <c r="K5044" s="19" t="n">
        <v>11.01</v>
      </c>
      <c r="L5044" s="15" t="n">
        <f aca="false">YEAR(B5044)</f>
        <v>2023</v>
      </c>
      <c r="M5044" s="20" t="n">
        <f aca="false">IF(J5044&gt;0,K5044/J5044,0)</f>
        <v>0.225476141716158</v>
      </c>
    </row>
    <row r="5045" customFormat="false" ht="15" hidden="false" customHeight="false" outlineLevel="0" collapsed="false">
      <c r="A5045" s="15" t="s">
        <v>5102</v>
      </c>
      <c r="B5045" s="16" t="n">
        <v>45198</v>
      </c>
      <c r="C5045" s="15" t="s">
        <v>71</v>
      </c>
      <c r="D5045" s="15" t="s">
        <v>42</v>
      </c>
      <c r="E5045" s="15" t="s">
        <v>37</v>
      </c>
      <c r="F5045" s="15" t="s">
        <v>17</v>
      </c>
      <c r="G5045" s="15" t="s">
        <v>26</v>
      </c>
      <c r="H5045" s="15" t="n">
        <v>3</v>
      </c>
      <c r="I5045" s="17" t="n">
        <v>0.15</v>
      </c>
      <c r="J5045" s="18" t="n">
        <v>199.82</v>
      </c>
      <c r="K5045" s="19" t="n">
        <v>-5.52</v>
      </c>
      <c r="L5045" s="15" t="n">
        <f aca="false">YEAR(B5045)</f>
        <v>2023</v>
      </c>
      <c r="M5045" s="20" t="n">
        <f aca="false">IF(J5045&gt;0,K5045/J5045,0)</f>
        <v>-0.0276248623761385</v>
      </c>
    </row>
    <row r="5046" customFormat="false" ht="15" hidden="false" customHeight="false" outlineLevel="0" collapsed="false">
      <c r="A5046" s="15" t="s">
        <v>5103</v>
      </c>
      <c r="B5046" s="16" t="n">
        <v>44887</v>
      </c>
      <c r="C5046" s="15" t="s">
        <v>71</v>
      </c>
      <c r="D5046" s="15" t="s">
        <v>43</v>
      </c>
      <c r="E5046" s="15" t="s">
        <v>37</v>
      </c>
      <c r="F5046" s="15" t="s">
        <v>17</v>
      </c>
      <c r="G5046" s="15" t="s">
        <v>31</v>
      </c>
      <c r="H5046" s="15" t="n">
        <v>3</v>
      </c>
      <c r="I5046" s="17" t="n">
        <v>0</v>
      </c>
      <c r="J5046" s="18" t="n">
        <v>472.5</v>
      </c>
      <c r="K5046" s="19" t="n">
        <v>89.48</v>
      </c>
      <c r="L5046" s="15" t="n">
        <f aca="false">YEAR(B5046)</f>
        <v>2022</v>
      </c>
      <c r="M5046" s="20" t="n">
        <f aca="false">IF(J5046&gt;0,K5046/J5046,0)</f>
        <v>0.189375661375661</v>
      </c>
    </row>
    <row r="5047" customFormat="false" ht="15" hidden="false" customHeight="false" outlineLevel="0" collapsed="false">
      <c r="A5047" s="15" t="s">
        <v>5104</v>
      </c>
      <c r="B5047" s="16" t="n">
        <v>45986</v>
      </c>
      <c r="C5047" s="15" t="s">
        <v>56</v>
      </c>
      <c r="D5047" s="15" t="s">
        <v>42</v>
      </c>
      <c r="E5047" s="15" t="s">
        <v>37</v>
      </c>
      <c r="F5047" s="15" t="s">
        <v>18</v>
      </c>
      <c r="G5047" s="15" t="s">
        <v>30</v>
      </c>
      <c r="H5047" s="15" t="n">
        <v>4</v>
      </c>
      <c r="I5047" s="17" t="n">
        <v>0</v>
      </c>
      <c r="J5047" s="18" t="n">
        <v>195.58</v>
      </c>
      <c r="K5047" s="19" t="n">
        <v>41.61</v>
      </c>
      <c r="L5047" s="15" t="n">
        <f aca="false">YEAR(B5047)</f>
        <v>2025</v>
      </c>
      <c r="M5047" s="20" t="n">
        <f aca="false">IF(J5047&gt;0,K5047/J5047,0)</f>
        <v>0.21275181511402</v>
      </c>
    </row>
    <row r="5048" customFormat="false" ht="15" hidden="false" customHeight="false" outlineLevel="0" collapsed="false">
      <c r="A5048" s="15" t="s">
        <v>5105</v>
      </c>
      <c r="B5048" s="16" t="n">
        <v>45842</v>
      </c>
      <c r="C5048" s="15" t="s">
        <v>56</v>
      </c>
      <c r="D5048" s="15" t="s">
        <v>42</v>
      </c>
      <c r="E5048" s="15" t="s">
        <v>38</v>
      </c>
      <c r="F5048" s="15" t="s">
        <v>17</v>
      </c>
      <c r="G5048" s="15" t="s">
        <v>29</v>
      </c>
      <c r="H5048" s="15" t="n">
        <v>4</v>
      </c>
      <c r="I5048" s="17" t="n">
        <v>0</v>
      </c>
      <c r="J5048" s="18" t="n">
        <v>68.58</v>
      </c>
      <c r="K5048" s="19" t="n">
        <v>34.11</v>
      </c>
      <c r="L5048" s="15" t="n">
        <f aca="false">YEAR(B5048)</f>
        <v>2025</v>
      </c>
      <c r="M5048" s="20" t="n">
        <f aca="false">IF(J5048&gt;0,K5048/J5048,0)</f>
        <v>0.49737532808399</v>
      </c>
    </row>
    <row r="5049" customFormat="false" ht="15" hidden="false" customHeight="false" outlineLevel="0" collapsed="false">
      <c r="A5049" s="15" t="s">
        <v>5106</v>
      </c>
      <c r="B5049" s="16" t="n">
        <v>45278</v>
      </c>
      <c r="C5049" s="15" t="s">
        <v>56</v>
      </c>
      <c r="D5049" s="15" t="s">
        <v>42</v>
      </c>
      <c r="E5049" s="15" t="s">
        <v>38</v>
      </c>
      <c r="F5049" s="15" t="s">
        <v>18</v>
      </c>
      <c r="G5049" s="15" t="s">
        <v>30</v>
      </c>
      <c r="H5049" s="15" t="n">
        <v>2</v>
      </c>
      <c r="I5049" s="17" t="n">
        <v>0</v>
      </c>
      <c r="J5049" s="18" t="n">
        <v>82.31</v>
      </c>
      <c r="K5049" s="19" t="n">
        <v>23.54</v>
      </c>
      <c r="L5049" s="15" t="n">
        <f aca="false">YEAR(B5049)</f>
        <v>2023</v>
      </c>
      <c r="M5049" s="20" t="n">
        <f aca="false">IF(J5049&gt;0,K5049/J5049,0)</f>
        <v>0.285991981533228</v>
      </c>
    </row>
    <row r="5050" customFormat="false" ht="15" hidden="false" customHeight="false" outlineLevel="0" collapsed="false">
      <c r="A5050" s="15" t="s">
        <v>5107</v>
      </c>
      <c r="B5050" s="16" t="n">
        <v>45219</v>
      </c>
      <c r="C5050" s="15" t="s">
        <v>56</v>
      </c>
      <c r="D5050" s="15" t="s">
        <v>42</v>
      </c>
      <c r="E5050" s="15" t="s">
        <v>37</v>
      </c>
      <c r="F5050" s="15" t="s">
        <v>17</v>
      </c>
      <c r="G5050" s="15" t="s">
        <v>29</v>
      </c>
      <c r="H5050" s="15" t="n">
        <v>3</v>
      </c>
      <c r="I5050" s="17" t="n">
        <v>0</v>
      </c>
      <c r="J5050" s="18" t="n">
        <v>39.1</v>
      </c>
      <c r="K5050" s="19" t="n">
        <v>14.76</v>
      </c>
      <c r="L5050" s="15" t="n">
        <f aca="false">YEAR(B5050)</f>
        <v>2023</v>
      </c>
      <c r="M5050" s="20" t="n">
        <f aca="false">IF(J5050&gt;0,K5050/J5050,0)</f>
        <v>0.377493606138107</v>
      </c>
    </row>
    <row r="5051" customFormat="false" ht="15" hidden="false" customHeight="false" outlineLevel="0" collapsed="false">
      <c r="A5051" s="15" t="s">
        <v>5108</v>
      </c>
      <c r="B5051" s="16" t="n">
        <v>45400</v>
      </c>
      <c r="C5051" s="15" t="s">
        <v>56</v>
      </c>
      <c r="D5051" s="15" t="s">
        <v>44</v>
      </c>
      <c r="E5051" s="15" t="s">
        <v>39</v>
      </c>
      <c r="F5051" s="15" t="s">
        <v>17</v>
      </c>
      <c r="G5051" s="15" t="s">
        <v>28</v>
      </c>
      <c r="H5051" s="15" t="n">
        <v>1</v>
      </c>
      <c r="I5051" s="17" t="n">
        <v>0.05</v>
      </c>
      <c r="J5051" s="18" t="n">
        <v>28.32</v>
      </c>
      <c r="K5051" s="19" t="n">
        <v>5.06</v>
      </c>
      <c r="L5051" s="15" t="n">
        <f aca="false">YEAR(B5051)</f>
        <v>2024</v>
      </c>
      <c r="M5051" s="20" t="n">
        <f aca="false">IF(J5051&gt;0,K5051/J5051,0)</f>
        <v>0.178672316384181</v>
      </c>
    </row>
    <row r="5052" customFormat="false" ht="15" hidden="false" customHeight="false" outlineLevel="0" collapsed="false">
      <c r="A5052" s="15" t="s">
        <v>5109</v>
      </c>
      <c r="B5052" s="16" t="n">
        <v>44794</v>
      </c>
      <c r="C5052" s="15" t="s">
        <v>56</v>
      </c>
      <c r="D5052" s="15" t="s">
        <v>44</v>
      </c>
      <c r="E5052" s="15" t="s">
        <v>36</v>
      </c>
      <c r="F5052" s="15" t="s">
        <v>18</v>
      </c>
      <c r="G5052" s="15" t="s">
        <v>30</v>
      </c>
      <c r="H5052" s="15" t="n">
        <v>2</v>
      </c>
      <c r="I5052" s="17" t="n">
        <v>0.1</v>
      </c>
      <c r="J5052" s="18" t="n">
        <v>77.21</v>
      </c>
      <c r="K5052" s="19" t="n">
        <v>16.78</v>
      </c>
      <c r="L5052" s="15" t="n">
        <f aca="false">YEAR(B5052)</f>
        <v>2022</v>
      </c>
      <c r="M5052" s="20" t="n">
        <f aca="false">IF(J5052&gt;0,K5052/J5052,0)</f>
        <v>0.217329361481673</v>
      </c>
    </row>
    <row r="5053" customFormat="false" ht="15" hidden="false" customHeight="false" outlineLevel="0" collapsed="false">
      <c r="A5053" s="15" t="s">
        <v>5110</v>
      </c>
      <c r="B5053" s="16" t="n">
        <v>45089</v>
      </c>
      <c r="C5053" s="15" t="s">
        <v>56</v>
      </c>
      <c r="D5053" s="15" t="s">
        <v>43</v>
      </c>
      <c r="E5053" s="15" t="s">
        <v>37</v>
      </c>
      <c r="F5053" s="15" t="s">
        <v>17</v>
      </c>
      <c r="G5053" s="15" t="s">
        <v>28</v>
      </c>
      <c r="H5053" s="15" t="n">
        <v>2</v>
      </c>
      <c r="I5053" s="17" t="n">
        <v>0.1</v>
      </c>
      <c r="J5053" s="18" t="n">
        <v>73.57</v>
      </c>
      <c r="K5053" s="19" t="n">
        <v>14.58</v>
      </c>
      <c r="L5053" s="15" t="n">
        <f aca="false">YEAR(B5053)</f>
        <v>2023</v>
      </c>
      <c r="M5053" s="20" t="n">
        <f aca="false">IF(J5053&gt;0,K5053/J5053,0)</f>
        <v>0.198178605409814</v>
      </c>
    </row>
    <row r="5054" customFormat="false" ht="15" hidden="false" customHeight="false" outlineLevel="0" collapsed="false">
      <c r="A5054" s="15" t="s">
        <v>5111</v>
      </c>
      <c r="B5054" s="16" t="n">
        <v>44927</v>
      </c>
      <c r="C5054" s="15" t="s">
        <v>56</v>
      </c>
      <c r="D5054" s="15" t="s">
        <v>44</v>
      </c>
      <c r="E5054" s="15" t="s">
        <v>36</v>
      </c>
      <c r="F5054" s="15" t="s">
        <v>18</v>
      </c>
      <c r="G5054" s="15" t="s">
        <v>32</v>
      </c>
      <c r="H5054" s="15" t="n">
        <v>5</v>
      </c>
      <c r="I5054" s="17" t="n">
        <v>0.1</v>
      </c>
      <c r="J5054" s="18" t="n">
        <v>1882.27</v>
      </c>
      <c r="K5054" s="19" t="n">
        <v>102.58</v>
      </c>
      <c r="L5054" s="15" t="n">
        <f aca="false">YEAR(B5054)</f>
        <v>2023</v>
      </c>
      <c r="M5054" s="20" t="n">
        <f aca="false">IF(J5054&gt;0,K5054/J5054,0)</f>
        <v>0.0544980263192847</v>
      </c>
    </row>
    <row r="5055" customFormat="false" ht="15" hidden="false" customHeight="false" outlineLevel="0" collapsed="false">
      <c r="A5055" s="15" t="s">
        <v>5112</v>
      </c>
      <c r="B5055" s="16" t="n">
        <v>45672</v>
      </c>
      <c r="C5055" s="15" t="s">
        <v>56</v>
      </c>
      <c r="D5055" s="15" t="s">
        <v>42</v>
      </c>
      <c r="E5055" s="15" t="s">
        <v>38</v>
      </c>
      <c r="F5055" s="15" t="s">
        <v>16</v>
      </c>
      <c r="G5055" s="15" t="s">
        <v>23</v>
      </c>
      <c r="H5055" s="15" t="n">
        <v>4</v>
      </c>
      <c r="I5055" s="17" t="n">
        <v>0</v>
      </c>
      <c r="J5055" s="18" t="n">
        <v>1488.37</v>
      </c>
      <c r="K5055" s="19" t="n">
        <v>-17.36</v>
      </c>
      <c r="L5055" s="15" t="n">
        <f aca="false">YEAR(B5055)</f>
        <v>2025</v>
      </c>
      <c r="M5055" s="20" t="n">
        <f aca="false">IF(J5055&gt;0,K5055/J5055,0)</f>
        <v>-0.0116637664021715</v>
      </c>
    </row>
    <row r="5056" customFormat="false" ht="15" hidden="false" customHeight="false" outlineLevel="0" collapsed="false">
      <c r="A5056" s="15" t="s">
        <v>5113</v>
      </c>
      <c r="B5056" s="16" t="n">
        <v>45724</v>
      </c>
      <c r="C5056" s="15" t="s">
        <v>56</v>
      </c>
      <c r="D5056" s="15" t="s">
        <v>42</v>
      </c>
      <c r="E5056" s="15" t="s">
        <v>39</v>
      </c>
      <c r="F5056" s="15" t="s">
        <v>17</v>
      </c>
      <c r="G5056" s="15" t="s">
        <v>29</v>
      </c>
      <c r="H5056" s="15" t="n">
        <v>5</v>
      </c>
      <c r="I5056" s="17" t="n">
        <v>0</v>
      </c>
      <c r="J5056" s="18" t="n">
        <v>78.86</v>
      </c>
      <c r="K5056" s="19" t="n">
        <v>32.3</v>
      </c>
      <c r="L5056" s="15" t="n">
        <f aca="false">YEAR(B5056)</f>
        <v>2025</v>
      </c>
      <c r="M5056" s="20" t="n">
        <f aca="false">IF(J5056&gt;0,K5056/J5056,0)</f>
        <v>0.409586609180827</v>
      </c>
    </row>
    <row r="5057" customFormat="false" ht="15" hidden="false" customHeight="false" outlineLevel="0" collapsed="false">
      <c r="A5057" s="15" t="s">
        <v>5114</v>
      </c>
      <c r="B5057" s="16" t="n">
        <v>45769</v>
      </c>
      <c r="C5057" s="15" t="s">
        <v>56</v>
      </c>
      <c r="D5057" s="15" t="s">
        <v>42</v>
      </c>
      <c r="E5057" s="15" t="s">
        <v>39</v>
      </c>
      <c r="F5057" s="15" t="s">
        <v>16</v>
      </c>
      <c r="G5057" s="15" t="s">
        <v>23</v>
      </c>
      <c r="H5057" s="15" t="n">
        <v>2</v>
      </c>
      <c r="I5057" s="17" t="n">
        <v>0.3</v>
      </c>
      <c r="J5057" s="18" t="n">
        <v>401.5</v>
      </c>
      <c r="K5057" s="19" t="n">
        <v>-96.17</v>
      </c>
      <c r="L5057" s="15" t="n">
        <f aca="false">YEAR(B5057)</f>
        <v>2025</v>
      </c>
      <c r="M5057" s="20" t="n">
        <f aca="false">IF(J5057&gt;0,K5057/J5057,0)</f>
        <v>-0.239526774595268</v>
      </c>
    </row>
    <row r="5058" customFormat="false" ht="15" hidden="false" customHeight="false" outlineLevel="0" collapsed="false">
      <c r="A5058" s="15" t="s">
        <v>5115</v>
      </c>
      <c r="B5058" s="16" t="n">
        <v>45820</v>
      </c>
      <c r="C5058" s="15" t="s">
        <v>56</v>
      </c>
      <c r="D5058" s="15" t="s">
        <v>42</v>
      </c>
      <c r="E5058" s="15" t="s">
        <v>37</v>
      </c>
      <c r="F5058" s="15" t="s">
        <v>17</v>
      </c>
      <c r="G5058" s="15" t="s">
        <v>31</v>
      </c>
      <c r="H5058" s="15" t="n">
        <v>2</v>
      </c>
      <c r="I5058" s="17" t="n">
        <v>0.1</v>
      </c>
      <c r="J5058" s="18" t="n">
        <v>228.26</v>
      </c>
      <c r="K5058" s="19" t="n">
        <v>28.95</v>
      </c>
      <c r="L5058" s="15" t="n">
        <f aca="false">YEAR(B5058)</f>
        <v>2025</v>
      </c>
      <c r="M5058" s="20" t="n">
        <f aca="false">IF(J5058&gt;0,K5058/J5058,0)</f>
        <v>0.126829054586875</v>
      </c>
    </row>
    <row r="5059" customFormat="false" ht="15" hidden="false" customHeight="false" outlineLevel="0" collapsed="false">
      <c r="A5059" s="15" t="s">
        <v>5116</v>
      </c>
      <c r="B5059" s="16" t="n">
        <v>45601</v>
      </c>
      <c r="C5059" s="15" t="s">
        <v>68</v>
      </c>
      <c r="D5059" s="15" t="s">
        <v>42</v>
      </c>
      <c r="E5059" s="15" t="s">
        <v>39</v>
      </c>
      <c r="F5059" s="15" t="s">
        <v>16</v>
      </c>
      <c r="G5059" s="15" t="s">
        <v>27</v>
      </c>
      <c r="H5059" s="15" t="n">
        <v>3</v>
      </c>
      <c r="I5059" s="17" t="n">
        <v>0</v>
      </c>
      <c r="J5059" s="18" t="n">
        <v>181.64</v>
      </c>
      <c r="K5059" s="19" t="n">
        <v>44.89</v>
      </c>
      <c r="L5059" s="15" t="n">
        <f aca="false">YEAR(B5059)</f>
        <v>2024</v>
      </c>
      <c r="M5059" s="20" t="n">
        <f aca="false">IF(J5059&gt;0,K5059/J5059,0)</f>
        <v>0.247137194450562</v>
      </c>
    </row>
    <row r="5060" customFormat="false" ht="15" hidden="false" customHeight="false" outlineLevel="0" collapsed="false">
      <c r="A5060" s="15" t="s">
        <v>5117</v>
      </c>
      <c r="B5060" s="16" t="n">
        <v>44818</v>
      </c>
      <c r="C5060" s="15" t="s">
        <v>71</v>
      </c>
      <c r="D5060" s="15" t="s">
        <v>44</v>
      </c>
      <c r="E5060" s="15" t="s">
        <v>36</v>
      </c>
      <c r="F5060" s="15" t="s">
        <v>17</v>
      </c>
      <c r="G5060" s="15" t="s">
        <v>31</v>
      </c>
      <c r="H5060" s="15" t="n">
        <v>4</v>
      </c>
      <c r="I5060" s="17" t="n">
        <v>0.1</v>
      </c>
      <c r="J5060" s="18" t="n">
        <v>454.81</v>
      </c>
      <c r="K5060" s="19" t="n">
        <v>66.46</v>
      </c>
      <c r="L5060" s="15" t="n">
        <f aca="false">YEAR(B5060)</f>
        <v>2022</v>
      </c>
      <c r="M5060" s="20" t="n">
        <f aca="false">IF(J5060&gt;0,K5060/J5060,0)</f>
        <v>0.146126954112706</v>
      </c>
    </row>
    <row r="5061" customFormat="false" ht="15" hidden="false" customHeight="false" outlineLevel="0" collapsed="false">
      <c r="A5061" s="15" t="s">
        <v>5118</v>
      </c>
      <c r="B5061" s="16" t="n">
        <v>45199</v>
      </c>
      <c r="C5061" s="15" t="s">
        <v>56</v>
      </c>
      <c r="D5061" s="15" t="s">
        <v>43</v>
      </c>
      <c r="E5061" s="15" t="s">
        <v>39</v>
      </c>
      <c r="F5061" s="15" t="s">
        <v>17</v>
      </c>
      <c r="G5061" s="15" t="s">
        <v>31</v>
      </c>
      <c r="H5061" s="15" t="n">
        <v>6</v>
      </c>
      <c r="I5061" s="17" t="n">
        <v>0</v>
      </c>
      <c r="J5061" s="18" t="n">
        <v>797.72</v>
      </c>
      <c r="K5061" s="19" t="n">
        <v>133.08</v>
      </c>
      <c r="L5061" s="15" t="n">
        <f aca="false">YEAR(B5061)</f>
        <v>2023</v>
      </c>
      <c r="M5061" s="20" t="n">
        <f aca="false">IF(J5061&gt;0,K5061/J5061,0)</f>
        <v>0.166825452539738</v>
      </c>
    </row>
    <row r="5062" customFormat="false" ht="15" hidden="false" customHeight="false" outlineLevel="0" collapsed="false">
      <c r="A5062" s="15" t="s">
        <v>5119</v>
      </c>
      <c r="B5062" s="16" t="n">
        <v>45614</v>
      </c>
      <c r="C5062" s="15" t="s">
        <v>56</v>
      </c>
      <c r="D5062" s="15" t="s">
        <v>43</v>
      </c>
      <c r="E5062" s="15" t="s">
        <v>39</v>
      </c>
      <c r="F5062" s="15" t="s">
        <v>16</v>
      </c>
      <c r="G5062" s="15" t="s">
        <v>23</v>
      </c>
      <c r="H5062" s="15" t="n">
        <v>4</v>
      </c>
      <c r="I5062" s="17" t="n">
        <v>0.5</v>
      </c>
      <c r="J5062" s="18" t="n">
        <v>652.33</v>
      </c>
      <c r="K5062" s="19" t="n">
        <v>-259.83</v>
      </c>
      <c r="L5062" s="15" t="n">
        <f aca="false">YEAR(B5062)</f>
        <v>2024</v>
      </c>
      <c r="M5062" s="20" t="n">
        <f aca="false">IF(J5062&gt;0,K5062/J5062,0)</f>
        <v>-0.398310670979412</v>
      </c>
    </row>
    <row r="5063" customFormat="false" ht="15" hidden="false" customHeight="false" outlineLevel="0" collapsed="false">
      <c r="A5063" s="15" t="s">
        <v>5120</v>
      </c>
      <c r="B5063" s="16" t="n">
        <v>45819</v>
      </c>
      <c r="C5063" s="15" t="s">
        <v>68</v>
      </c>
      <c r="D5063" s="15" t="s">
        <v>42</v>
      </c>
      <c r="E5063" s="15" t="s">
        <v>36</v>
      </c>
      <c r="F5063" s="15" t="s">
        <v>17</v>
      </c>
      <c r="G5063" s="15" t="s">
        <v>28</v>
      </c>
      <c r="H5063" s="15" t="n">
        <v>5</v>
      </c>
      <c r="I5063" s="17" t="n">
        <v>0.1</v>
      </c>
      <c r="J5063" s="18" t="n">
        <v>108.63</v>
      </c>
      <c r="K5063" s="19" t="n">
        <v>23.34</v>
      </c>
      <c r="L5063" s="15" t="n">
        <f aca="false">YEAR(B5063)</f>
        <v>2025</v>
      </c>
      <c r="M5063" s="20" t="n">
        <f aca="false">IF(J5063&gt;0,K5063/J5063,0)</f>
        <v>0.214857774095554</v>
      </c>
    </row>
    <row r="5064" customFormat="false" ht="15" hidden="false" customHeight="false" outlineLevel="0" collapsed="false">
      <c r="A5064" s="15" t="s">
        <v>5121</v>
      </c>
      <c r="B5064" s="16" t="n">
        <v>45748</v>
      </c>
      <c r="C5064" s="15" t="s">
        <v>68</v>
      </c>
      <c r="D5064" s="15" t="s">
        <v>43</v>
      </c>
      <c r="E5064" s="15" t="s">
        <v>39</v>
      </c>
      <c r="F5064" s="15" t="s">
        <v>17</v>
      </c>
      <c r="G5064" s="15" t="s">
        <v>31</v>
      </c>
      <c r="H5064" s="15" t="n">
        <v>1</v>
      </c>
      <c r="I5064" s="17" t="n">
        <v>0.1</v>
      </c>
      <c r="J5064" s="18" t="n">
        <v>133.67</v>
      </c>
      <c r="K5064" s="19" t="n">
        <v>18.96</v>
      </c>
      <c r="L5064" s="15" t="n">
        <f aca="false">YEAR(B5064)</f>
        <v>2025</v>
      </c>
      <c r="M5064" s="20" t="n">
        <f aca="false">IF(J5064&gt;0,K5064/J5064,0)</f>
        <v>0.141841849330441</v>
      </c>
    </row>
    <row r="5065" customFormat="false" ht="15" hidden="false" customHeight="false" outlineLevel="0" collapsed="false">
      <c r="A5065" s="15" t="s">
        <v>5122</v>
      </c>
      <c r="B5065" s="16" t="n">
        <v>45292</v>
      </c>
      <c r="C5065" s="15" t="s">
        <v>58</v>
      </c>
      <c r="D5065" s="15" t="s">
        <v>42</v>
      </c>
      <c r="E5065" s="15" t="s">
        <v>37</v>
      </c>
      <c r="F5065" s="15" t="s">
        <v>17</v>
      </c>
      <c r="G5065" s="15" t="s">
        <v>26</v>
      </c>
      <c r="H5065" s="15" t="n">
        <v>3</v>
      </c>
      <c r="I5065" s="17" t="n">
        <v>0</v>
      </c>
      <c r="J5065" s="18" t="n">
        <v>279.07</v>
      </c>
      <c r="K5065" s="19" t="n">
        <v>18.9</v>
      </c>
      <c r="L5065" s="15" t="n">
        <f aca="false">YEAR(B5065)</f>
        <v>2024</v>
      </c>
      <c r="M5065" s="20" t="n">
        <f aca="false">IF(J5065&gt;0,K5065/J5065,0)</f>
        <v>0.067724943562547</v>
      </c>
    </row>
    <row r="5066" customFormat="false" ht="15" hidden="false" customHeight="false" outlineLevel="0" collapsed="false">
      <c r="A5066" s="15" t="s">
        <v>5123</v>
      </c>
      <c r="B5066" s="16" t="n">
        <v>44619</v>
      </c>
      <c r="C5066" s="15" t="s">
        <v>56</v>
      </c>
      <c r="D5066" s="15" t="s">
        <v>42</v>
      </c>
      <c r="E5066" s="15" t="s">
        <v>39</v>
      </c>
      <c r="F5066" s="15" t="s">
        <v>17</v>
      </c>
      <c r="G5066" s="15" t="s">
        <v>28</v>
      </c>
      <c r="H5066" s="15" t="n">
        <v>5</v>
      </c>
      <c r="I5066" s="17" t="n">
        <v>0</v>
      </c>
      <c r="J5066" s="18" t="n">
        <v>116.77</v>
      </c>
      <c r="K5066" s="19" t="n">
        <v>34.02</v>
      </c>
      <c r="L5066" s="15" t="n">
        <f aca="false">YEAR(B5066)</f>
        <v>2022</v>
      </c>
      <c r="M5066" s="20" t="n">
        <f aca="false">IF(J5066&gt;0,K5066/J5066,0)</f>
        <v>0.291341954269076</v>
      </c>
    </row>
    <row r="5067" customFormat="false" ht="15" hidden="false" customHeight="false" outlineLevel="0" collapsed="false">
      <c r="A5067" s="15" t="s">
        <v>5124</v>
      </c>
      <c r="B5067" s="16" t="n">
        <v>45429</v>
      </c>
      <c r="C5067" s="15" t="s">
        <v>56</v>
      </c>
      <c r="D5067" s="15" t="s">
        <v>42</v>
      </c>
      <c r="E5067" s="15" t="s">
        <v>38</v>
      </c>
      <c r="F5067" s="15" t="s">
        <v>17</v>
      </c>
      <c r="G5067" s="15" t="s">
        <v>28</v>
      </c>
      <c r="H5067" s="15" t="n">
        <v>3</v>
      </c>
      <c r="I5067" s="17" t="n">
        <v>0.2</v>
      </c>
      <c r="J5067" s="18" t="n">
        <v>48.9</v>
      </c>
      <c r="K5067" s="19" t="n">
        <v>6.5</v>
      </c>
      <c r="L5067" s="15" t="n">
        <f aca="false">YEAR(B5067)</f>
        <v>2024</v>
      </c>
      <c r="M5067" s="20" t="n">
        <f aca="false">IF(J5067&gt;0,K5067/J5067,0)</f>
        <v>0.132924335378323</v>
      </c>
    </row>
    <row r="5068" customFormat="false" ht="15" hidden="false" customHeight="false" outlineLevel="0" collapsed="false">
      <c r="A5068" s="15" t="s">
        <v>5125</v>
      </c>
      <c r="B5068" s="16" t="n">
        <v>44717</v>
      </c>
      <c r="C5068" s="15" t="s">
        <v>71</v>
      </c>
      <c r="D5068" s="15" t="s">
        <v>44</v>
      </c>
      <c r="E5068" s="15" t="s">
        <v>39</v>
      </c>
      <c r="F5068" s="15" t="s">
        <v>18</v>
      </c>
      <c r="G5068" s="15" t="s">
        <v>30</v>
      </c>
      <c r="H5068" s="15" t="n">
        <v>2</v>
      </c>
      <c r="I5068" s="17" t="n">
        <v>0</v>
      </c>
      <c r="J5068" s="18" t="n">
        <v>109.65</v>
      </c>
      <c r="K5068" s="19" t="n">
        <v>24.95</v>
      </c>
      <c r="L5068" s="15" t="n">
        <f aca="false">YEAR(B5068)</f>
        <v>2022</v>
      </c>
      <c r="M5068" s="20" t="n">
        <f aca="false">IF(J5068&gt;0,K5068/J5068,0)</f>
        <v>0.227542179662563</v>
      </c>
    </row>
    <row r="5069" customFormat="false" ht="15" hidden="false" customHeight="false" outlineLevel="0" collapsed="false">
      <c r="A5069" s="15" t="s">
        <v>5126</v>
      </c>
      <c r="B5069" s="16" t="n">
        <v>45200</v>
      </c>
      <c r="C5069" s="15" t="s">
        <v>71</v>
      </c>
      <c r="D5069" s="15" t="s">
        <v>42</v>
      </c>
      <c r="E5069" s="15" t="s">
        <v>39</v>
      </c>
      <c r="F5069" s="15" t="s">
        <v>18</v>
      </c>
      <c r="G5069" s="15" t="s">
        <v>33</v>
      </c>
      <c r="H5069" s="15" t="n">
        <v>1</v>
      </c>
      <c r="I5069" s="17" t="n">
        <v>0.05</v>
      </c>
      <c r="J5069" s="18" t="n">
        <v>945.38</v>
      </c>
      <c r="K5069" s="19" t="n">
        <v>233.32</v>
      </c>
      <c r="L5069" s="15" t="n">
        <f aca="false">YEAR(B5069)</f>
        <v>2023</v>
      </c>
      <c r="M5069" s="20" t="n">
        <f aca="false">IF(J5069&gt;0,K5069/J5069,0)</f>
        <v>0.246800228479553</v>
      </c>
    </row>
    <row r="5070" customFormat="false" ht="15" hidden="false" customHeight="false" outlineLevel="0" collapsed="false">
      <c r="A5070" s="15" t="s">
        <v>5127</v>
      </c>
      <c r="B5070" s="16" t="n">
        <v>45174</v>
      </c>
      <c r="C5070" s="15" t="s">
        <v>56</v>
      </c>
      <c r="D5070" s="15" t="s">
        <v>42</v>
      </c>
      <c r="E5070" s="15" t="s">
        <v>37</v>
      </c>
      <c r="F5070" s="15" t="s">
        <v>16</v>
      </c>
      <c r="G5070" s="15" t="s">
        <v>27</v>
      </c>
      <c r="H5070" s="15" t="n">
        <v>6</v>
      </c>
      <c r="I5070" s="17" t="n">
        <v>0</v>
      </c>
      <c r="J5070" s="18" t="n">
        <v>373.64</v>
      </c>
      <c r="K5070" s="19" t="n">
        <v>72.65</v>
      </c>
      <c r="L5070" s="15" t="n">
        <f aca="false">YEAR(B5070)</f>
        <v>2023</v>
      </c>
      <c r="M5070" s="20" t="n">
        <f aca="false">IF(J5070&gt;0,K5070/J5070,0)</f>
        <v>0.194438496948935</v>
      </c>
    </row>
    <row r="5071" customFormat="false" ht="15" hidden="false" customHeight="false" outlineLevel="0" collapsed="false">
      <c r="A5071" s="15" t="s">
        <v>5128</v>
      </c>
      <c r="B5071" s="16" t="n">
        <v>45243</v>
      </c>
      <c r="C5071" s="15" t="s">
        <v>56</v>
      </c>
      <c r="D5071" s="15" t="s">
        <v>43</v>
      </c>
      <c r="E5071" s="15" t="s">
        <v>39</v>
      </c>
      <c r="F5071" s="15" t="s">
        <v>16</v>
      </c>
      <c r="G5071" s="15" t="s">
        <v>27</v>
      </c>
      <c r="H5071" s="15" t="n">
        <v>6</v>
      </c>
      <c r="I5071" s="17" t="n">
        <v>0.2</v>
      </c>
      <c r="J5071" s="18" t="n">
        <v>295.51</v>
      </c>
      <c r="K5071" s="19" t="n">
        <v>4.64</v>
      </c>
      <c r="L5071" s="15" t="n">
        <f aca="false">YEAR(B5071)</f>
        <v>2023</v>
      </c>
      <c r="M5071" s="20" t="n">
        <f aca="false">IF(J5071&gt;0,K5071/J5071,0)</f>
        <v>0.0157016683022571</v>
      </c>
    </row>
    <row r="5072" customFormat="false" ht="15" hidden="false" customHeight="false" outlineLevel="0" collapsed="false">
      <c r="A5072" s="15" t="s">
        <v>5129</v>
      </c>
      <c r="B5072" s="16" t="n">
        <v>45998</v>
      </c>
      <c r="C5072" s="15" t="s">
        <v>56</v>
      </c>
      <c r="D5072" s="15" t="s">
        <v>43</v>
      </c>
      <c r="E5072" s="15" t="s">
        <v>39</v>
      </c>
      <c r="F5072" s="15" t="s">
        <v>17</v>
      </c>
      <c r="G5072" s="15" t="s">
        <v>28</v>
      </c>
      <c r="H5072" s="15" t="n">
        <v>1</v>
      </c>
      <c r="I5072" s="17" t="n">
        <v>0.15</v>
      </c>
      <c r="J5072" s="18" t="n">
        <v>24.4</v>
      </c>
      <c r="K5072" s="19" t="n">
        <v>4.4</v>
      </c>
      <c r="L5072" s="15" t="n">
        <f aca="false">YEAR(B5072)</f>
        <v>2025</v>
      </c>
      <c r="M5072" s="20" t="n">
        <f aca="false">IF(J5072&gt;0,K5072/J5072,0)</f>
        <v>0.180327868852459</v>
      </c>
    </row>
    <row r="5073" customFormat="false" ht="15" hidden="false" customHeight="false" outlineLevel="0" collapsed="false">
      <c r="A5073" s="15" t="s">
        <v>5130</v>
      </c>
      <c r="B5073" s="16" t="n">
        <v>45360</v>
      </c>
      <c r="C5073" s="15" t="s">
        <v>56</v>
      </c>
      <c r="D5073" s="15" t="s">
        <v>43</v>
      </c>
      <c r="E5073" s="15" t="s">
        <v>36</v>
      </c>
      <c r="F5073" s="15" t="s">
        <v>18</v>
      </c>
      <c r="G5073" s="15" t="s">
        <v>33</v>
      </c>
      <c r="H5073" s="15" t="n">
        <v>5</v>
      </c>
      <c r="I5073" s="17" t="n">
        <v>0.1</v>
      </c>
      <c r="J5073" s="18" t="n">
        <v>3763.56</v>
      </c>
      <c r="K5073" s="19" t="n">
        <v>751.38</v>
      </c>
      <c r="L5073" s="15" t="n">
        <f aca="false">YEAR(B5073)</f>
        <v>2024</v>
      </c>
      <c r="M5073" s="20" t="n">
        <f aca="false">IF(J5073&gt;0,K5073/J5073,0)</f>
        <v>0.199646079775532</v>
      </c>
    </row>
    <row r="5074" customFormat="false" ht="15" hidden="false" customHeight="false" outlineLevel="0" collapsed="false">
      <c r="A5074" s="15" t="s">
        <v>5131</v>
      </c>
      <c r="B5074" s="16" t="n">
        <v>45010</v>
      </c>
      <c r="C5074" s="15" t="s">
        <v>56</v>
      </c>
      <c r="D5074" s="15" t="s">
        <v>42</v>
      </c>
      <c r="E5074" s="15" t="s">
        <v>37</v>
      </c>
      <c r="F5074" s="15" t="s">
        <v>17</v>
      </c>
      <c r="G5074" s="15" t="s">
        <v>29</v>
      </c>
      <c r="H5074" s="15" t="n">
        <v>2</v>
      </c>
      <c r="I5074" s="17" t="n">
        <v>0</v>
      </c>
      <c r="J5074" s="18" t="n">
        <v>37.77</v>
      </c>
      <c r="K5074" s="19" t="n">
        <v>13.76</v>
      </c>
      <c r="L5074" s="15" t="n">
        <f aca="false">YEAR(B5074)</f>
        <v>2023</v>
      </c>
      <c r="M5074" s="20" t="n">
        <f aca="false">IF(J5074&gt;0,K5074/J5074,0)</f>
        <v>0.364310299179243</v>
      </c>
    </row>
    <row r="5075" customFormat="false" ht="15" hidden="false" customHeight="false" outlineLevel="0" collapsed="false">
      <c r="A5075" s="15" t="s">
        <v>5132</v>
      </c>
      <c r="B5075" s="16" t="n">
        <v>45404</v>
      </c>
      <c r="C5075" s="15" t="s">
        <v>71</v>
      </c>
      <c r="D5075" s="15" t="s">
        <v>44</v>
      </c>
      <c r="E5075" s="15" t="s">
        <v>37</v>
      </c>
      <c r="F5075" s="15" t="s">
        <v>18</v>
      </c>
      <c r="G5075" s="15" t="s">
        <v>32</v>
      </c>
      <c r="H5075" s="15" t="n">
        <v>2</v>
      </c>
      <c r="I5075" s="17" t="n">
        <v>0.1</v>
      </c>
      <c r="J5075" s="18" t="n">
        <v>813.79</v>
      </c>
      <c r="K5075" s="19" t="n">
        <v>65.3</v>
      </c>
      <c r="L5075" s="15" t="n">
        <f aca="false">YEAR(B5075)</f>
        <v>2024</v>
      </c>
      <c r="M5075" s="20" t="n">
        <f aca="false">IF(J5075&gt;0,K5075/J5075,0)</f>
        <v>0.0802418314307131</v>
      </c>
    </row>
    <row r="5076" customFormat="false" ht="15" hidden="false" customHeight="false" outlineLevel="0" collapsed="false">
      <c r="A5076" s="15" t="s">
        <v>5133</v>
      </c>
      <c r="B5076" s="16" t="n">
        <v>45609</v>
      </c>
      <c r="C5076" s="15" t="s">
        <v>56</v>
      </c>
      <c r="D5076" s="15" t="s">
        <v>43</v>
      </c>
      <c r="E5076" s="15" t="s">
        <v>37</v>
      </c>
      <c r="F5076" s="15" t="s">
        <v>17</v>
      </c>
      <c r="G5076" s="15" t="s">
        <v>26</v>
      </c>
      <c r="H5076" s="15" t="n">
        <v>4</v>
      </c>
      <c r="I5076" s="17" t="n">
        <v>0.2</v>
      </c>
      <c r="J5076" s="18" t="n">
        <v>316.49</v>
      </c>
      <c r="K5076" s="19" t="n">
        <v>-9.96</v>
      </c>
      <c r="L5076" s="15" t="n">
        <f aca="false">YEAR(B5076)</f>
        <v>2024</v>
      </c>
      <c r="M5076" s="20" t="n">
        <f aca="false">IF(J5076&gt;0,K5076/J5076,0)</f>
        <v>-0.0314701886315523</v>
      </c>
    </row>
    <row r="5077" customFormat="false" ht="15" hidden="false" customHeight="false" outlineLevel="0" collapsed="false">
      <c r="A5077" s="15" t="s">
        <v>5134</v>
      </c>
      <c r="B5077" s="16" t="n">
        <v>45262</v>
      </c>
      <c r="C5077" s="15" t="s">
        <v>56</v>
      </c>
      <c r="D5077" s="15" t="s">
        <v>42</v>
      </c>
      <c r="E5077" s="15" t="s">
        <v>37</v>
      </c>
      <c r="F5077" s="15" t="s">
        <v>16</v>
      </c>
      <c r="G5077" s="15" t="s">
        <v>27</v>
      </c>
      <c r="H5077" s="15" t="n">
        <v>3</v>
      </c>
      <c r="I5077" s="17" t="n">
        <v>0</v>
      </c>
      <c r="J5077" s="18" t="n">
        <v>203.72</v>
      </c>
      <c r="K5077" s="19" t="n">
        <v>52.51</v>
      </c>
      <c r="L5077" s="15" t="n">
        <f aca="false">YEAR(B5077)</f>
        <v>2023</v>
      </c>
      <c r="M5077" s="20" t="n">
        <f aca="false">IF(J5077&gt;0,K5077/J5077,0)</f>
        <v>0.257755743176909</v>
      </c>
    </row>
    <row r="5078" customFormat="false" ht="15" hidden="false" customHeight="false" outlineLevel="0" collapsed="false">
      <c r="A5078" s="15" t="s">
        <v>5135</v>
      </c>
      <c r="B5078" s="16" t="n">
        <v>44794</v>
      </c>
      <c r="C5078" s="15" t="s">
        <v>56</v>
      </c>
      <c r="D5078" s="15" t="s">
        <v>44</v>
      </c>
      <c r="E5078" s="15" t="s">
        <v>39</v>
      </c>
      <c r="F5078" s="15" t="s">
        <v>17</v>
      </c>
      <c r="G5078" s="15" t="s">
        <v>31</v>
      </c>
      <c r="H5078" s="15" t="n">
        <v>3</v>
      </c>
      <c r="I5078" s="17" t="n">
        <v>0</v>
      </c>
      <c r="J5078" s="18" t="n">
        <v>369.24</v>
      </c>
      <c r="K5078" s="19" t="n">
        <v>61.32</v>
      </c>
      <c r="L5078" s="15" t="n">
        <f aca="false">YEAR(B5078)</f>
        <v>2022</v>
      </c>
      <c r="M5078" s="20" t="n">
        <f aca="false">IF(J5078&gt;0,K5078/J5078,0)</f>
        <v>0.166070848228794</v>
      </c>
    </row>
    <row r="5079" customFormat="false" ht="15" hidden="false" customHeight="false" outlineLevel="0" collapsed="false">
      <c r="A5079" s="15" t="s">
        <v>5136</v>
      </c>
      <c r="B5079" s="16" t="n">
        <v>45827</v>
      </c>
      <c r="C5079" s="15" t="s">
        <v>56</v>
      </c>
      <c r="D5079" s="15" t="s">
        <v>42</v>
      </c>
      <c r="E5079" s="15" t="s">
        <v>38</v>
      </c>
      <c r="F5079" s="15" t="s">
        <v>17</v>
      </c>
      <c r="G5079" s="15" t="s">
        <v>28</v>
      </c>
      <c r="H5079" s="15" t="n">
        <v>3</v>
      </c>
      <c r="I5079" s="17" t="n">
        <v>0</v>
      </c>
      <c r="J5079" s="18" t="n">
        <v>62.05</v>
      </c>
      <c r="K5079" s="19" t="n">
        <v>20.17</v>
      </c>
      <c r="L5079" s="15" t="n">
        <f aca="false">YEAR(B5079)</f>
        <v>2025</v>
      </c>
      <c r="M5079" s="20" t="n">
        <f aca="false">IF(J5079&gt;0,K5079/J5079,0)</f>
        <v>0.325060435132957</v>
      </c>
    </row>
    <row r="5080" customFormat="false" ht="15" hidden="false" customHeight="false" outlineLevel="0" collapsed="false">
      <c r="A5080" s="15" t="s">
        <v>5137</v>
      </c>
      <c r="B5080" s="16" t="n">
        <v>44736</v>
      </c>
      <c r="C5080" s="15" t="s">
        <v>56</v>
      </c>
      <c r="D5080" s="15" t="s">
        <v>43</v>
      </c>
      <c r="E5080" s="15" t="s">
        <v>39</v>
      </c>
      <c r="F5080" s="15" t="s">
        <v>18</v>
      </c>
      <c r="G5080" s="15" t="s">
        <v>32</v>
      </c>
      <c r="H5080" s="15" t="n">
        <v>5</v>
      </c>
      <c r="I5080" s="17" t="n">
        <v>0</v>
      </c>
      <c r="J5080" s="18" t="n">
        <v>1938.26</v>
      </c>
      <c r="K5080" s="19" t="n">
        <v>431.98</v>
      </c>
      <c r="L5080" s="15" t="n">
        <f aca="false">YEAR(B5080)</f>
        <v>2022</v>
      </c>
      <c r="M5080" s="20" t="n">
        <f aca="false">IF(J5080&gt;0,K5080/J5080,0)</f>
        <v>0.222869996801255</v>
      </c>
    </row>
    <row r="5081" customFormat="false" ht="15" hidden="false" customHeight="false" outlineLevel="0" collapsed="false">
      <c r="A5081" s="15" t="s">
        <v>5138</v>
      </c>
      <c r="B5081" s="16" t="n">
        <v>45977</v>
      </c>
      <c r="C5081" s="15" t="s">
        <v>56</v>
      </c>
      <c r="D5081" s="15" t="s">
        <v>43</v>
      </c>
      <c r="E5081" s="15" t="s">
        <v>39</v>
      </c>
      <c r="F5081" s="15" t="s">
        <v>17</v>
      </c>
      <c r="G5081" s="15" t="s">
        <v>26</v>
      </c>
      <c r="H5081" s="15" t="n">
        <v>2</v>
      </c>
      <c r="I5081" s="17" t="n">
        <v>0.1</v>
      </c>
      <c r="J5081" s="18" t="n">
        <v>145.9</v>
      </c>
      <c r="K5081" s="19" t="n">
        <v>0.13</v>
      </c>
      <c r="L5081" s="15" t="n">
        <f aca="false">YEAR(B5081)</f>
        <v>2025</v>
      </c>
      <c r="M5081" s="20" t="n">
        <f aca="false">IF(J5081&gt;0,K5081/J5081,0)</f>
        <v>0.000891021247429746</v>
      </c>
    </row>
    <row r="5082" customFormat="false" ht="15" hidden="false" customHeight="false" outlineLevel="0" collapsed="false">
      <c r="A5082" s="15" t="s">
        <v>5139</v>
      </c>
      <c r="B5082" s="16" t="n">
        <v>45281</v>
      </c>
      <c r="C5082" s="15" t="s">
        <v>71</v>
      </c>
      <c r="D5082" s="15" t="s">
        <v>42</v>
      </c>
      <c r="E5082" s="15" t="s">
        <v>39</v>
      </c>
      <c r="F5082" s="15" t="s">
        <v>16</v>
      </c>
      <c r="G5082" s="15" t="s">
        <v>25</v>
      </c>
      <c r="H5082" s="15" t="n">
        <v>2</v>
      </c>
      <c r="I5082" s="17" t="n">
        <v>0</v>
      </c>
      <c r="J5082" s="18" t="n">
        <v>730.91</v>
      </c>
      <c r="K5082" s="19" t="n">
        <v>77.15</v>
      </c>
      <c r="L5082" s="15" t="n">
        <f aca="false">YEAR(B5082)</f>
        <v>2023</v>
      </c>
      <c r="M5082" s="20" t="n">
        <f aca="false">IF(J5082&gt;0,K5082/J5082,0)</f>
        <v>0.105553351301802</v>
      </c>
    </row>
    <row r="5083" customFormat="false" ht="15" hidden="false" customHeight="false" outlineLevel="0" collapsed="false">
      <c r="A5083" s="15" t="s">
        <v>5140</v>
      </c>
      <c r="B5083" s="16" t="n">
        <v>45119</v>
      </c>
      <c r="C5083" s="15" t="s">
        <v>68</v>
      </c>
      <c r="D5083" s="15" t="s">
        <v>43</v>
      </c>
      <c r="E5083" s="15" t="s">
        <v>36</v>
      </c>
      <c r="F5083" s="15" t="s">
        <v>17</v>
      </c>
      <c r="G5083" s="15" t="s">
        <v>29</v>
      </c>
      <c r="H5083" s="15" t="n">
        <v>6</v>
      </c>
      <c r="I5083" s="17" t="n">
        <v>0.15</v>
      </c>
      <c r="J5083" s="18" t="n">
        <v>75.74</v>
      </c>
      <c r="K5083" s="19" t="n">
        <v>20.11</v>
      </c>
      <c r="L5083" s="15" t="n">
        <f aca="false">YEAR(B5083)</f>
        <v>2023</v>
      </c>
      <c r="M5083" s="20" t="n">
        <f aca="false">IF(J5083&gt;0,K5083/J5083,0)</f>
        <v>0.265513599155004</v>
      </c>
    </row>
    <row r="5084" customFormat="false" ht="15" hidden="false" customHeight="false" outlineLevel="0" collapsed="false">
      <c r="A5084" s="15" t="s">
        <v>5141</v>
      </c>
      <c r="B5084" s="16" t="n">
        <v>45075</v>
      </c>
      <c r="C5084" s="15" t="s">
        <v>56</v>
      </c>
      <c r="D5084" s="15" t="s">
        <v>43</v>
      </c>
      <c r="E5084" s="15" t="s">
        <v>37</v>
      </c>
      <c r="F5084" s="15" t="s">
        <v>16</v>
      </c>
      <c r="G5084" s="15" t="s">
        <v>27</v>
      </c>
      <c r="H5084" s="15" t="n">
        <v>6</v>
      </c>
      <c r="I5084" s="17" t="n">
        <v>0</v>
      </c>
      <c r="J5084" s="18" t="n">
        <v>499</v>
      </c>
      <c r="K5084" s="19" t="n">
        <v>86.48</v>
      </c>
      <c r="L5084" s="15" t="n">
        <f aca="false">YEAR(B5084)</f>
        <v>2023</v>
      </c>
      <c r="M5084" s="20" t="n">
        <f aca="false">IF(J5084&gt;0,K5084/J5084,0)</f>
        <v>0.173306613226453</v>
      </c>
    </row>
    <row r="5085" customFormat="false" ht="15" hidden="false" customHeight="false" outlineLevel="0" collapsed="false">
      <c r="A5085" s="15" t="s">
        <v>5142</v>
      </c>
      <c r="B5085" s="16" t="n">
        <v>45297</v>
      </c>
      <c r="C5085" s="15" t="s">
        <v>56</v>
      </c>
      <c r="D5085" s="15" t="s">
        <v>44</v>
      </c>
      <c r="E5085" s="15" t="s">
        <v>39</v>
      </c>
      <c r="F5085" s="15" t="s">
        <v>18</v>
      </c>
      <c r="G5085" s="15" t="s">
        <v>32</v>
      </c>
      <c r="H5085" s="15" t="n">
        <v>2</v>
      </c>
      <c r="I5085" s="17" t="n">
        <v>0.05</v>
      </c>
      <c r="J5085" s="18" t="n">
        <v>812.09</v>
      </c>
      <c r="K5085" s="19" t="n">
        <v>96.13</v>
      </c>
      <c r="L5085" s="15" t="n">
        <f aca="false">YEAR(B5085)</f>
        <v>2024</v>
      </c>
      <c r="M5085" s="20" t="n">
        <f aca="false">IF(J5085&gt;0,K5085/J5085,0)</f>
        <v>0.118373579283084</v>
      </c>
    </row>
    <row r="5086" customFormat="false" ht="15" hidden="false" customHeight="false" outlineLevel="0" collapsed="false">
      <c r="A5086" s="15" t="s">
        <v>5143</v>
      </c>
      <c r="B5086" s="16" t="n">
        <v>44570</v>
      </c>
      <c r="C5086" s="15" t="s">
        <v>56</v>
      </c>
      <c r="D5086" s="15" t="s">
        <v>42</v>
      </c>
      <c r="E5086" s="15" t="s">
        <v>39</v>
      </c>
      <c r="F5086" s="15" t="s">
        <v>16</v>
      </c>
      <c r="G5086" s="15" t="s">
        <v>27</v>
      </c>
      <c r="H5086" s="15" t="n">
        <v>3</v>
      </c>
      <c r="I5086" s="17" t="n">
        <v>0.1</v>
      </c>
      <c r="J5086" s="18" t="n">
        <v>153.46</v>
      </c>
      <c r="K5086" s="19" t="n">
        <v>11.86</v>
      </c>
      <c r="L5086" s="15" t="n">
        <f aca="false">YEAR(B5086)</f>
        <v>2022</v>
      </c>
      <c r="M5086" s="20" t="n">
        <f aca="false">IF(J5086&gt;0,K5086/J5086,0)</f>
        <v>0.07728398279682</v>
      </c>
    </row>
    <row r="5087" customFormat="false" ht="15" hidden="false" customHeight="false" outlineLevel="0" collapsed="false">
      <c r="A5087" s="15" t="s">
        <v>5144</v>
      </c>
      <c r="B5087" s="16" t="n">
        <v>45762</v>
      </c>
      <c r="C5087" s="15" t="s">
        <v>56</v>
      </c>
      <c r="D5087" s="15" t="s">
        <v>43</v>
      </c>
      <c r="E5087" s="15" t="s">
        <v>39</v>
      </c>
      <c r="F5087" s="15" t="s">
        <v>17</v>
      </c>
      <c r="G5087" s="15" t="s">
        <v>28</v>
      </c>
      <c r="H5087" s="15" t="n">
        <v>3</v>
      </c>
      <c r="I5087" s="17" t="n">
        <v>0.05</v>
      </c>
      <c r="J5087" s="18" t="n">
        <v>88.06</v>
      </c>
      <c r="K5087" s="19" t="n">
        <v>25.17</v>
      </c>
      <c r="L5087" s="15" t="n">
        <f aca="false">YEAR(B5087)</f>
        <v>2025</v>
      </c>
      <c r="M5087" s="20" t="n">
        <f aca="false">IF(J5087&gt;0,K5087/J5087,0)</f>
        <v>0.285827844651374</v>
      </c>
    </row>
    <row r="5088" customFormat="false" ht="15" hidden="false" customHeight="false" outlineLevel="0" collapsed="false">
      <c r="A5088" s="15" t="s">
        <v>5145</v>
      </c>
      <c r="B5088" s="16" t="n">
        <v>45882</v>
      </c>
      <c r="C5088" s="15" t="s">
        <v>71</v>
      </c>
      <c r="D5088" s="15" t="s">
        <v>44</v>
      </c>
      <c r="E5088" s="15" t="s">
        <v>38</v>
      </c>
      <c r="F5088" s="15" t="s">
        <v>16</v>
      </c>
      <c r="G5088" s="15" t="s">
        <v>27</v>
      </c>
      <c r="H5088" s="15" t="n">
        <v>4</v>
      </c>
      <c r="I5088" s="17" t="n">
        <v>0.2</v>
      </c>
      <c r="J5088" s="18" t="n">
        <v>170.51</v>
      </c>
      <c r="K5088" s="19" t="n">
        <v>13.19</v>
      </c>
      <c r="L5088" s="15" t="n">
        <f aca="false">YEAR(B5088)</f>
        <v>2025</v>
      </c>
      <c r="M5088" s="20" t="n">
        <f aca="false">IF(J5088&gt;0,K5088/J5088,0)</f>
        <v>0.0773561667937364</v>
      </c>
    </row>
    <row r="5089" customFormat="false" ht="15" hidden="false" customHeight="false" outlineLevel="0" collapsed="false">
      <c r="A5089" s="15" t="s">
        <v>5146</v>
      </c>
      <c r="B5089" s="16" t="n">
        <v>45307</v>
      </c>
      <c r="C5089" s="15" t="s">
        <v>56</v>
      </c>
      <c r="D5089" s="15" t="s">
        <v>42</v>
      </c>
      <c r="E5089" s="15" t="s">
        <v>39</v>
      </c>
      <c r="F5089" s="15" t="s">
        <v>17</v>
      </c>
      <c r="G5089" s="15" t="s">
        <v>31</v>
      </c>
      <c r="H5089" s="15" t="n">
        <v>3</v>
      </c>
      <c r="I5089" s="17" t="n">
        <v>0.05</v>
      </c>
      <c r="J5089" s="18" t="n">
        <v>378.16</v>
      </c>
      <c r="K5089" s="19" t="n">
        <v>39.16</v>
      </c>
      <c r="L5089" s="15" t="n">
        <f aca="false">YEAR(B5089)</f>
        <v>2024</v>
      </c>
      <c r="M5089" s="20" t="n">
        <f aca="false">IF(J5089&gt;0,K5089/J5089,0)</f>
        <v>0.103554051195261</v>
      </c>
    </row>
    <row r="5090" customFormat="false" ht="15" hidden="false" customHeight="false" outlineLevel="0" collapsed="false">
      <c r="A5090" s="15" t="s">
        <v>5147</v>
      </c>
      <c r="B5090" s="16" t="n">
        <v>45921</v>
      </c>
      <c r="C5090" s="15" t="s">
        <v>68</v>
      </c>
      <c r="D5090" s="15" t="s">
        <v>44</v>
      </c>
      <c r="E5090" s="15" t="s">
        <v>38</v>
      </c>
      <c r="F5090" s="15" t="s">
        <v>17</v>
      </c>
      <c r="G5090" s="15" t="s">
        <v>31</v>
      </c>
      <c r="H5090" s="15" t="n">
        <v>7</v>
      </c>
      <c r="I5090" s="17" t="n">
        <v>0.1</v>
      </c>
      <c r="J5090" s="18" t="n">
        <v>635.02</v>
      </c>
      <c r="K5090" s="19" t="n">
        <v>74.22</v>
      </c>
      <c r="L5090" s="15" t="n">
        <f aca="false">YEAR(B5090)</f>
        <v>2025</v>
      </c>
      <c r="M5090" s="20" t="n">
        <f aca="false">IF(J5090&gt;0,K5090/J5090,0)</f>
        <v>0.11687820856036</v>
      </c>
    </row>
    <row r="5091" customFormat="false" ht="15" hidden="false" customHeight="false" outlineLevel="0" collapsed="false">
      <c r="A5091" s="15" t="s">
        <v>5148</v>
      </c>
      <c r="B5091" s="16" t="n">
        <v>44908</v>
      </c>
      <c r="C5091" s="15" t="s">
        <v>58</v>
      </c>
      <c r="D5091" s="15" t="s">
        <v>44</v>
      </c>
      <c r="E5091" s="15" t="s">
        <v>39</v>
      </c>
      <c r="F5091" s="15" t="s">
        <v>17</v>
      </c>
      <c r="G5091" s="15" t="s">
        <v>28</v>
      </c>
      <c r="H5091" s="15" t="n">
        <v>4</v>
      </c>
      <c r="I5091" s="17" t="n">
        <v>0.2</v>
      </c>
      <c r="J5091" s="18" t="n">
        <v>77.36</v>
      </c>
      <c r="K5091" s="19" t="n">
        <v>8.71</v>
      </c>
      <c r="L5091" s="15" t="n">
        <f aca="false">YEAR(B5091)</f>
        <v>2022</v>
      </c>
      <c r="M5091" s="20" t="n">
        <f aca="false">IF(J5091&gt;0,K5091/J5091,0)</f>
        <v>0.112590486039297</v>
      </c>
    </row>
    <row r="5092" customFormat="false" ht="15" hidden="false" customHeight="false" outlineLevel="0" collapsed="false">
      <c r="A5092" s="15" t="s">
        <v>5149</v>
      </c>
      <c r="B5092" s="16" t="n">
        <v>45116</v>
      </c>
      <c r="C5092" s="15" t="s">
        <v>71</v>
      </c>
      <c r="D5092" s="15" t="s">
        <v>42</v>
      </c>
      <c r="E5092" s="15" t="s">
        <v>38</v>
      </c>
      <c r="F5092" s="15" t="s">
        <v>17</v>
      </c>
      <c r="G5092" s="15" t="s">
        <v>29</v>
      </c>
      <c r="H5092" s="15" t="n">
        <v>3</v>
      </c>
      <c r="I5092" s="17" t="n">
        <v>0.1</v>
      </c>
      <c r="J5092" s="18" t="n">
        <v>52.41</v>
      </c>
      <c r="K5092" s="19" t="n">
        <v>13.78</v>
      </c>
      <c r="L5092" s="15" t="n">
        <f aca="false">YEAR(B5092)</f>
        <v>2023</v>
      </c>
      <c r="M5092" s="20" t="n">
        <f aca="false">IF(J5092&gt;0,K5092/J5092,0)</f>
        <v>0.262926922343064</v>
      </c>
    </row>
    <row r="5093" customFormat="false" ht="15" hidden="false" customHeight="false" outlineLevel="0" collapsed="false">
      <c r="A5093" s="15" t="s">
        <v>5150</v>
      </c>
      <c r="B5093" s="16" t="n">
        <v>45013</v>
      </c>
      <c r="C5093" s="15" t="s">
        <v>56</v>
      </c>
      <c r="D5093" s="15" t="s">
        <v>42</v>
      </c>
      <c r="E5093" s="15" t="s">
        <v>37</v>
      </c>
      <c r="F5093" s="15" t="s">
        <v>18</v>
      </c>
      <c r="G5093" s="15" t="s">
        <v>30</v>
      </c>
      <c r="H5093" s="15" t="n">
        <v>1</v>
      </c>
      <c r="I5093" s="17" t="n">
        <v>0</v>
      </c>
      <c r="J5093" s="18" t="n">
        <v>51.62</v>
      </c>
      <c r="K5093" s="19" t="n">
        <v>16.89</v>
      </c>
      <c r="L5093" s="15" t="n">
        <f aca="false">YEAR(B5093)</f>
        <v>2023</v>
      </c>
      <c r="M5093" s="20" t="n">
        <f aca="false">IF(J5093&gt;0,K5093/J5093,0)</f>
        <v>0.327198760170477</v>
      </c>
    </row>
    <row r="5094" customFormat="false" ht="15" hidden="false" customHeight="false" outlineLevel="0" collapsed="false">
      <c r="A5094" s="15" t="s">
        <v>5151</v>
      </c>
      <c r="B5094" s="16" t="n">
        <v>45266</v>
      </c>
      <c r="C5094" s="15" t="s">
        <v>56</v>
      </c>
      <c r="D5094" s="15" t="s">
        <v>43</v>
      </c>
      <c r="E5094" s="15" t="s">
        <v>36</v>
      </c>
      <c r="F5094" s="15" t="s">
        <v>16</v>
      </c>
      <c r="G5094" s="15" t="s">
        <v>27</v>
      </c>
      <c r="H5094" s="15" t="n">
        <v>4</v>
      </c>
      <c r="I5094" s="17" t="n">
        <v>0.1</v>
      </c>
      <c r="J5094" s="18" t="n">
        <v>252.67</v>
      </c>
      <c r="K5094" s="19" t="n">
        <v>36.11</v>
      </c>
      <c r="L5094" s="15" t="n">
        <f aca="false">YEAR(B5094)</f>
        <v>2023</v>
      </c>
      <c r="M5094" s="20" t="n">
        <f aca="false">IF(J5094&gt;0,K5094/J5094,0)</f>
        <v>0.142913681877548</v>
      </c>
    </row>
    <row r="5095" customFormat="false" ht="15" hidden="false" customHeight="false" outlineLevel="0" collapsed="false">
      <c r="A5095" s="15" t="s">
        <v>5152</v>
      </c>
      <c r="B5095" s="16" t="n">
        <v>45278</v>
      </c>
      <c r="C5095" s="15" t="s">
        <v>68</v>
      </c>
      <c r="D5095" s="15" t="s">
        <v>42</v>
      </c>
      <c r="E5095" s="15" t="s">
        <v>38</v>
      </c>
      <c r="F5095" s="15" t="s">
        <v>16</v>
      </c>
      <c r="G5095" s="15" t="s">
        <v>25</v>
      </c>
      <c r="H5095" s="15" t="n">
        <v>3</v>
      </c>
      <c r="I5095" s="17" t="n">
        <v>0.15</v>
      </c>
      <c r="J5095" s="18" t="n">
        <v>625.15</v>
      </c>
      <c r="K5095" s="19" t="n">
        <v>-24.99</v>
      </c>
      <c r="L5095" s="15" t="n">
        <f aca="false">YEAR(B5095)</f>
        <v>2023</v>
      </c>
      <c r="M5095" s="20" t="n">
        <f aca="false">IF(J5095&gt;0,K5095/J5095,0)</f>
        <v>-0.0399744061425258</v>
      </c>
    </row>
    <row r="5096" customFormat="false" ht="15" hidden="false" customHeight="false" outlineLevel="0" collapsed="false">
      <c r="A5096" s="15" t="s">
        <v>5153</v>
      </c>
      <c r="B5096" s="16" t="n">
        <v>45838</v>
      </c>
      <c r="C5096" s="15" t="s">
        <v>56</v>
      </c>
      <c r="D5096" s="15" t="s">
        <v>43</v>
      </c>
      <c r="E5096" s="15" t="s">
        <v>39</v>
      </c>
      <c r="F5096" s="15" t="s">
        <v>17</v>
      </c>
      <c r="G5096" s="15" t="s">
        <v>26</v>
      </c>
      <c r="H5096" s="15" t="n">
        <v>2</v>
      </c>
      <c r="I5096" s="17" t="n">
        <v>0.05</v>
      </c>
      <c r="J5096" s="18" t="n">
        <v>171.57</v>
      </c>
      <c r="K5096" s="19" t="n">
        <v>18.77</v>
      </c>
      <c r="L5096" s="15" t="n">
        <f aca="false">YEAR(B5096)</f>
        <v>2025</v>
      </c>
      <c r="M5096" s="20" t="n">
        <f aca="false">IF(J5096&gt;0,K5096/J5096,0)</f>
        <v>0.109401410503002</v>
      </c>
    </row>
    <row r="5097" customFormat="false" ht="15" hidden="false" customHeight="false" outlineLevel="0" collapsed="false">
      <c r="A5097" s="15" t="s">
        <v>5154</v>
      </c>
      <c r="B5097" s="16" t="n">
        <v>45907</v>
      </c>
      <c r="C5097" s="15" t="s">
        <v>71</v>
      </c>
      <c r="D5097" s="15" t="s">
        <v>42</v>
      </c>
      <c r="E5097" s="15" t="s">
        <v>39</v>
      </c>
      <c r="F5097" s="15" t="s">
        <v>17</v>
      </c>
      <c r="G5097" s="15" t="s">
        <v>29</v>
      </c>
      <c r="H5097" s="15" t="n">
        <v>6</v>
      </c>
      <c r="I5097" s="17" t="n">
        <v>0</v>
      </c>
      <c r="J5097" s="18" t="n">
        <v>117.02</v>
      </c>
      <c r="K5097" s="19" t="n">
        <v>42.75</v>
      </c>
      <c r="L5097" s="15" t="n">
        <f aca="false">YEAR(B5097)</f>
        <v>2025</v>
      </c>
      <c r="M5097" s="20" t="n">
        <f aca="false">IF(J5097&gt;0,K5097/J5097,0)</f>
        <v>0.365322167150914</v>
      </c>
    </row>
    <row r="5098" customFormat="false" ht="15" hidden="false" customHeight="false" outlineLevel="0" collapsed="false">
      <c r="A5098" s="15" t="s">
        <v>5155</v>
      </c>
      <c r="B5098" s="16" t="n">
        <v>45855</v>
      </c>
      <c r="C5098" s="15" t="s">
        <v>56</v>
      </c>
      <c r="D5098" s="15" t="s">
        <v>43</v>
      </c>
      <c r="E5098" s="15" t="s">
        <v>38</v>
      </c>
      <c r="F5098" s="15" t="s">
        <v>18</v>
      </c>
      <c r="G5098" s="15" t="s">
        <v>32</v>
      </c>
      <c r="H5098" s="15" t="n">
        <v>3</v>
      </c>
      <c r="I5098" s="17" t="n">
        <v>0.1</v>
      </c>
      <c r="J5098" s="18" t="n">
        <v>1026.62</v>
      </c>
      <c r="K5098" s="19" t="n">
        <v>81.41</v>
      </c>
      <c r="L5098" s="15" t="n">
        <f aca="false">YEAR(B5098)</f>
        <v>2025</v>
      </c>
      <c r="M5098" s="20" t="n">
        <f aca="false">IF(J5098&gt;0,K5098/J5098,0)</f>
        <v>0.0792990590481386</v>
      </c>
    </row>
    <row r="5099" customFormat="false" ht="15" hidden="false" customHeight="false" outlineLevel="0" collapsed="false">
      <c r="A5099" s="15" t="s">
        <v>5156</v>
      </c>
      <c r="B5099" s="16" t="n">
        <v>46000</v>
      </c>
      <c r="C5099" s="15" t="s">
        <v>56</v>
      </c>
      <c r="D5099" s="15" t="s">
        <v>44</v>
      </c>
      <c r="E5099" s="15" t="s">
        <v>39</v>
      </c>
      <c r="F5099" s="15" t="s">
        <v>16</v>
      </c>
      <c r="G5099" s="15" t="s">
        <v>23</v>
      </c>
      <c r="H5099" s="15" t="n">
        <v>1</v>
      </c>
      <c r="I5099" s="17" t="n">
        <v>0.3</v>
      </c>
      <c r="J5099" s="18" t="n">
        <v>255.27</v>
      </c>
      <c r="K5099" s="19" t="n">
        <v>-60.66</v>
      </c>
      <c r="L5099" s="15" t="n">
        <f aca="false">YEAR(B5099)</f>
        <v>2025</v>
      </c>
      <c r="M5099" s="20" t="n">
        <f aca="false">IF(J5099&gt;0,K5099/J5099,0)</f>
        <v>-0.237630743918204</v>
      </c>
    </row>
    <row r="5100" customFormat="false" ht="15" hidden="false" customHeight="false" outlineLevel="0" collapsed="false">
      <c r="A5100" s="15" t="s">
        <v>5157</v>
      </c>
      <c r="B5100" s="16" t="n">
        <v>45266</v>
      </c>
      <c r="C5100" s="15" t="s">
        <v>56</v>
      </c>
      <c r="D5100" s="15" t="s">
        <v>43</v>
      </c>
      <c r="E5100" s="15" t="s">
        <v>37</v>
      </c>
      <c r="F5100" s="15" t="s">
        <v>16</v>
      </c>
      <c r="G5100" s="15" t="s">
        <v>27</v>
      </c>
      <c r="H5100" s="15" t="n">
        <v>5</v>
      </c>
      <c r="I5100" s="17" t="n">
        <v>0</v>
      </c>
      <c r="J5100" s="18" t="n">
        <v>354.66</v>
      </c>
      <c r="K5100" s="19" t="n">
        <v>66.63</v>
      </c>
      <c r="L5100" s="15" t="n">
        <f aca="false">YEAR(B5100)</f>
        <v>2023</v>
      </c>
      <c r="M5100" s="20" t="n">
        <f aca="false">IF(J5100&gt;0,K5100/J5100,0)</f>
        <v>0.187870072745728</v>
      </c>
    </row>
    <row r="5101" customFormat="false" ht="15" hidden="false" customHeight="false" outlineLevel="0" collapsed="false">
      <c r="A5101" s="15" t="s">
        <v>5158</v>
      </c>
      <c r="B5101" s="16" t="n">
        <v>45699</v>
      </c>
      <c r="C5101" s="15" t="s">
        <v>56</v>
      </c>
      <c r="D5101" s="15" t="s">
        <v>42</v>
      </c>
      <c r="E5101" s="15" t="s">
        <v>37</v>
      </c>
      <c r="F5101" s="15" t="s">
        <v>18</v>
      </c>
      <c r="G5101" s="15" t="s">
        <v>32</v>
      </c>
      <c r="H5101" s="15" t="n">
        <v>2</v>
      </c>
      <c r="I5101" s="17" t="n">
        <v>0</v>
      </c>
      <c r="J5101" s="18" t="n">
        <v>712.07</v>
      </c>
      <c r="K5101" s="19" t="n">
        <v>128.22</v>
      </c>
      <c r="L5101" s="15" t="n">
        <f aca="false">YEAR(B5101)</f>
        <v>2025</v>
      </c>
      <c r="M5101" s="20" t="n">
        <f aca="false">IF(J5101&gt;0,K5101/J5101,0)</f>
        <v>0.18006656648925</v>
      </c>
    </row>
    <row r="5102" customFormat="false" ht="15" hidden="false" customHeight="false" outlineLevel="0" collapsed="false">
      <c r="A5102" s="15" t="s">
        <v>5159</v>
      </c>
      <c r="B5102" s="16" t="n">
        <v>45190</v>
      </c>
      <c r="C5102" s="15" t="s">
        <v>56</v>
      </c>
      <c r="D5102" s="15" t="s">
        <v>43</v>
      </c>
      <c r="E5102" s="15" t="s">
        <v>39</v>
      </c>
      <c r="F5102" s="15" t="s">
        <v>17</v>
      </c>
      <c r="G5102" s="15" t="s">
        <v>28</v>
      </c>
      <c r="H5102" s="15" t="n">
        <v>1</v>
      </c>
      <c r="I5102" s="17" t="n">
        <v>0.15</v>
      </c>
      <c r="J5102" s="18" t="n">
        <v>23.44</v>
      </c>
      <c r="K5102" s="19" t="n">
        <v>1.64</v>
      </c>
      <c r="L5102" s="15" t="n">
        <f aca="false">YEAR(B5102)</f>
        <v>2023</v>
      </c>
      <c r="M5102" s="20" t="n">
        <f aca="false">IF(J5102&gt;0,K5102/J5102,0)</f>
        <v>0.0699658703071672</v>
      </c>
    </row>
    <row r="5103" customFormat="false" ht="15" hidden="false" customHeight="false" outlineLevel="0" collapsed="false">
      <c r="A5103" s="15" t="s">
        <v>5160</v>
      </c>
      <c r="B5103" s="16" t="n">
        <v>45652</v>
      </c>
      <c r="C5103" s="15" t="s">
        <v>71</v>
      </c>
      <c r="D5103" s="15" t="s">
        <v>43</v>
      </c>
      <c r="E5103" s="15" t="s">
        <v>37</v>
      </c>
      <c r="F5103" s="15" t="s">
        <v>17</v>
      </c>
      <c r="G5103" s="15" t="s">
        <v>28</v>
      </c>
      <c r="H5103" s="15" t="n">
        <v>3</v>
      </c>
      <c r="I5103" s="17" t="n">
        <v>0.1</v>
      </c>
      <c r="J5103" s="18" t="n">
        <v>75.75</v>
      </c>
      <c r="K5103" s="19" t="n">
        <v>13.89</v>
      </c>
      <c r="L5103" s="15" t="n">
        <f aca="false">YEAR(B5103)</f>
        <v>2024</v>
      </c>
      <c r="M5103" s="20" t="n">
        <f aca="false">IF(J5103&gt;0,K5103/J5103,0)</f>
        <v>0.183366336633663</v>
      </c>
    </row>
    <row r="5104" customFormat="false" ht="15" hidden="false" customHeight="false" outlineLevel="0" collapsed="false">
      <c r="A5104" s="15" t="s">
        <v>5161</v>
      </c>
      <c r="B5104" s="16" t="n">
        <v>45955</v>
      </c>
      <c r="C5104" s="15" t="s">
        <v>56</v>
      </c>
      <c r="D5104" s="15" t="s">
        <v>42</v>
      </c>
      <c r="E5104" s="15" t="s">
        <v>36</v>
      </c>
      <c r="F5104" s="15" t="s">
        <v>16</v>
      </c>
      <c r="G5104" s="15" t="s">
        <v>25</v>
      </c>
      <c r="H5104" s="15" t="n">
        <v>2</v>
      </c>
      <c r="I5104" s="17" t="n">
        <v>0.1</v>
      </c>
      <c r="J5104" s="18" t="n">
        <v>578.81</v>
      </c>
      <c r="K5104" s="19" t="n">
        <v>-10.25</v>
      </c>
      <c r="L5104" s="15" t="n">
        <f aca="false">YEAR(B5104)</f>
        <v>2025</v>
      </c>
      <c r="M5104" s="20" t="n">
        <f aca="false">IF(J5104&gt;0,K5104/J5104,0)</f>
        <v>-0.0177087472573038</v>
      </c>
    </row>
    <row r="5105" customFormat="false" ht="15" hidden="false" customHeight="false" outlineLevel="0" collapsed="false">
      <c r="A5105" s="15" t="s">
        <v>5162</v>
      </c>
      <c r="B5105" s="16" t="n">
        <v>45282</v>
      </c>
      <c r="C5105" s="15" t="s">
        <v>56</v>
      </c>
      <c r="D5105" s="15" t="s">
        <v>43</v>
      </c>
      <c r="E5105" s="15" t="s">
        <v>39</v>
      </c>
      <c r="F5105" s="15" t="s">
        <v>18</v>
      </c>
      <c r="G5105" s="15" t="s">
        <v>30</v>
      </c>
      <c r="H5105" s="15" t="n">
        <v>1</v>
      </c>
      <c r="I5105" s="17" t="n">
        <v>0.15</v>
      </c>
      <c r="J5105" s="18" t="n">
        <v>34.18</v>
      </c>
      <c r="K5105" s="19" t="n">
        <v>6.35</v>
      </c>
      <c r="L5105" s="15" t="n">
        <f aca="false">YEAR(B5105)</f>
        <v>2023</v>
      </c>
      <c r="M5105" s="20" t="n">
        <f aca="false">IF(J5105&gt;0,K5105/J5105,0)</f>
        <v>0.185781158572264</v>
      </c>
    </row>
    <row r="5106" customFormat="false" ht="15" hidden="false" customHeight="false" outlineLevel="0" collapsed="false">
      <c r="A5106" s="15" t="s">
        <v>5163</v>
      </c>
      <c r="B5106" s="16" t="n">
        <v>45022</v>
      </c>
      <c r="C5106" s="15" t="s">
        <v>56</v>
      </c>
      <c r="D5106" s="15" t="s">
        <v>42</v>
      </c>
      <c r="E5106" s="15" t="s">
        <v>39</v>
      </c>
      <c r="F5106" s="15" t="s">
        <v>18</v>
      </c>
      <c r="G5106" s="15" t="s">
        <v>30</v>
      </c>
      <c r="H5106" s="15" t="n">
        <v>4</v>
      </c>
      <c r="I5106" s="17" t="n">
        <v>0.2</v>
      </c>
      <c r="J5106" s="18" t="n">
        <v>170.61</v>
      </c>
      <c r="K5106" s="19" t="n">
        <v>22.53</v>
      </c>
      <c r="L5106" s="15" t="n">
        <f aca="false">YEAR(B5106)</f>
        <v>2023</v>
      </c>
      <c r="M5106" s="20" t="n">
        <f aca="false">IF(J5106&gt;0,K5106/J5106,0)</f>
        <v>0.132055565324424</v>
      </c>
    </row>
    <row r="5107" customFormat="false" ht="15" hidden="false" customHeight="false" outlineLevel="0" collapsed="false">
      <c r="A5107" s="15" t="s">
        <v>5164</v>
      </c>
      <c r="B5107" s="16" t="n">
        <v>46014</v>
      </c>
      <c r="C5107" s="15" t="s">
        <v>56</v>
      </c>
      <c r="D5107" s="15" t="s">
        <v>42</v>
      </c>
      <c r="E5107" s="15" t="s">
        <v>37</v>
      </c>
      <c r="F5107" s="15" t="s">
        <v>17</v>
      </c>
      <c r="G5107" s="15" t="s">
        <v>28</v>
      </c>
      <c r="H5107" s="15" t="n">
        <v>1</v>
      </c>
      <c r="I5107" s="17" t="n">
        <v>0.4</v>
      </c>
      <c r="J5107" s="18" t="n">
        <v>18.9</v>
      </c>
      <c r="K5107" s="19" t="n">
        <v>-0.38</v>
      </c>
      <c r="L5107" s="15" t="n">
        <f aca="false">YEAR(B5107)</f>
        <v>2025</v>
      </c>
      <c r="M5107" s="20" t="n">
        <f aca="false">IF(J5107&gt;0,K5107/J5107,0)</f>
        <v>-0.0201058201058201</v>
      </c>
    </row>
    <row r="5108" customFormat="false" ht="15" hidden="false" customHeight="false" outlineLevel="0" collapsed="false">
      <c r="A5108" s="15" t="s">
        <v>5165</v>
      </c>
      <c r="B5108" s="16" t="n">
        <v>44868</v>
      </c>
      <c r="C5108" s="15" t="s">
        <v>71</v>
      </c>
      <c r="D5108" s="15" t="s">
        <v>42</v>
      </c>
      <c r="E5108" s="15" t="s">
        <v>38</v>
      </c>
      <c r="F5108" s="15" t="s">
        <v>18</v>
      </c>
      <c r="G5108" s="15" t="s">
        <v>30</v>
      </c>
      <c r="H5108" s="15" t="n">
        <v>3</v>
      </c>
      <c r="I5108" s="17" t="n">
        <v>0</v>
      </c>
      <c r="J5108" s="18" t="n">
        <v>119.73</v>
      </c>
      <c r="K5108" s="19" t="n">
        <v>35.61</v>
      </c>
      <c r="L5108" s="15" t="n">
        <f aca="false">YEAR(B5108)</f>
        <v>2022</v>
      </c>
      <c r="M5108" s="20" t="n">
        <f aca="false">IF(J5108&gt;0,K5108/J5108,0)</f>
        <v>0.297419193184666</v>
      </c>
    </row>
    <row r="5109" customFormat="false" ht="15" hidden="false" customHeight="false" outlineLevel="0" collapsed="false">
      <c r="A5109" s="15" t="s">
        <v>5166</v>
      </c>
      <c r="B5109" s="16" t="n">
        <v>44743</v>
      </c>
      <c r="C5109" s="15" t="s">
        <v>58</v>
      </c>
      <c r="D5109" s="15" t="s">
        <v>43</v>
      </c>
      <c r="E5109" s="15" t="s">
        <v>39</v>
      </c>
      <c r="F5109" s="15" t="s">
        <v>17</v>
      </c>
      <c r="G5109" s="15" t="s">
        <v>29</v>
      </c>
      <c r="H5109" s="15" t="n">
        <v>2</v>
      </c>
      <c r="I5109" s="17" t="n">
        <v>0</v>
      </c>
      <c r="J5109" s="18" t="n">
        <v>42.29</v>
      </c>
      <c r="K5109" s="19" t="n">
        <v>18.04</v>
      </c>
      <c r="L5109" s="15" t="n">
        <f aca="false">YEAR(B5109)</f>
        <v>2022</v>
      </c>
      <c r="M5109" s="20" t="n">
        <f aca="false">IF(J5109&gt;0,K5109/J5109,0)</f>
        <v>0.426578387325609</v>
      </c>
    </row>
    <row r="5110" customFormat="false" ht="15" hidden="false" customHeight="false" outlineLevel="0" collapsed="false">
      <c r="A5110" s="15" t="s">
        <v>5167</v>
      </c>
      <c r="B5110" s="16" t="n">
        <v>45349</v>
      </c>
      <c r="C5110" s="15" t="s">
        <v>68</v>
      </c>
      <c r="D5110" s="15" t="s">
        <v>42</v>
      </c>
      <c r="E5110" s="15" t="s">
        <v>36</v>
      </c>
      <c r="F5110" s="15" t="s">
        <v>17</v>
      </c>
      <c r="G5110" s="15" t="s">
        <v>29</v>
      </c>
      <c r="H5110" s="15" t="n">
        <v>6</v>
      </c>
      <c r="I5110" s="17" t="n">
        <v>0</v>
      </c>
      <c r="J5110" s="18" t="n">
        <v>112.37</v>
      </c>
      <c r="K5110" s="19" t="n">
        <v>43.11</v>
      </c>
      <c r="L5110" s="15" t="n">
        <f aca="false">YEAR(B5110)</f>
        <v>2024</v>
      </c>
      <c r="M5110" s="20" t="n">
        <f aca="false">IF(J5110&gt;0,K5110/J5110,0)</f>
        <v>0.383643321171131</v>
      </c>
    </row>
    <row r="5111" customFormat="false" ht="15" hidden="false" customHeight="false" outlineLevel="0" collapsed="false">
      <c r="A5111" s="15" t="s">
        <v>5168</v>
      </c>
      <c r="B5111" s="16" t="n">
        <v>46015</v>
      </c>
      <c r="C5111" s="15" t="s">
        <v>56</v>
      </c>
      <c r="D5111" s="15" t="s">
        <v>42</v>
      </c>
      <c r="E5111" s="15" t="s">
        <v>39</v>
      </c>
      <c r="F5111" s="15" t="s">
        <v>16</v>
      </c>
      <c r="G5111" s="15" t="s">
        <v>27</v>
      </c>
      <c r="H5111" s="15" t="n">
        <v>3</v>
      </c>
      <c r="I5111" s="17" t="n">
        <v>0</v>
      </c>
      <c r="J5111" s="18" t="n">
        <v>179.61</v>
      </c>
      <c r="K5111" s="19" t="n">
        <v>31.86</v>
      </c>
      <c r="L5111" s="15" t="n">
        <f aca="false">YEAR(B5111)</f>
        <v>2025</v>
      </c>
      <c r="M5111" s="20" t="n">
        <f aca="false">IF(J5111&gt;0,K5111/J5111,0)</f>
        <v>0.177384332720895</v>
      </c>
    </row>
    <row r="5112" customFormat="false" ht="15" hidden="false" customHeight="false" outlineLevel="0" collapsed="false">
      <c r="A5112" s="15" t="s">
        <v>5169</v>
      </c>
      <c r="B5112" s="16" t="n">
        <v>45928</v>
      </c>
      <c r="C5112" s="15" t="s">
        <v>56</v>
      </c>
      <c r="D5112" s="15" t="s">
        <v>44</v>
      </c>
      <c r="E5112" s="15" t="s">
        <v>37</v>
      </c>
      <c r="F5112" s="15" t="s">
        <v>16</v>
      </c>
      <c r="G5112" s="15" t="s">
        <v>25</v>
      </c>
      <c r="H5112" s="15" t="n">
        <v>2</v>
      </c>
      <c r="I5112" s="17" t="n">
        <v>0.2</v>
      </c>
      <c r="J5112" s="18" t="n">
        <v>578.89</v>
      </c>
      <c r="K5112" s="19" t="n">
        <v>-70.63</v>
      </c>
      <c r="L5112" s="15" t="n">
        <f aca="false">YEAR(B5112)</f>
        <v>2025</v>
      </c>
      <c r="M5112" s="20" t="n">
        <f aca="false">IF(J5112&gt;0,K5112/J5112,0)</f>
        <v>-0.122009362745945</v>
      </c>
    </row>
    <row r="5113" customFormat="false" ht="15" hidden="false" customHeight="false" outlineLevel="0" collapsed="false">
      <c r="A5113" s="15" t="s">
        <v>5170</v>
      </c>
      <c r="B5113" s="16" t="n">
        <v>45621</v>
      </c>
      <c r="C5113" s="15" t="s">
        <v>56</v>
      </c>
      <c r="D5113" s="15" t="s">
        <v>42</v>
      </c>
      <c r="E5113" s="15" t="s">
        <v>39</v>
      </c>
      <c r="F5113" s="15" t="s">
        <v>17</v>
      </c>
      <c r="G5113" s="15" t="s">
        <v>29</v>
      </c>
      <c r="H5113" s="15" t="n">
        <v>1</v>
      </c>
      <c r="I5113" s="17" t="n">
        <v>0</v>
      </c>
      <c r="J5113" s="18" t="n">
        <v>16.12</v>
      </c>
      <c r="K5113" s="19" t="n">
        <v>6.08</v>
      </c>
      <c r="L5113" s="15" t="n">
        <f aca="false">YEAR(B5113)</f>
        <v>2024</v>
      </c>
      <c r="M5113" s="20" t="n">
        <f aca="false">IF(J5113&gt;0,K5113/J5113,0)</f>
        <v>0.377171215880893</v>
      </c>
    </row>
    <row r="5114" customFormat="false" ht="15" hidden="false" customHeight="false" outlineLevel="0" collapsed="false">
      <c r="A5114" s="15" t="s">
        <v>5171</v>
      </c>
      <c r="B5114" s="16" t="n">
        <v>45276</v>
      </c>
      <c r="C5114" s="15" t="s">
        <v>56</v>
      </c>
      <c r="D5114" s="15" t="s">
        <v>42</v>
      </c>
      <c r="E5114" s="15" t="s">
        <v>36</v>
      </c>
      <c r="F5114" s="15" t="s">
        <v>17</v>
      </c>
      <c r="G5114" s="15" t="s">
        <v>31</v>
      </c>
      <c r="H5114" s="15" t="n">
        <v>2</v>
      </c>
      <c r="I5114" s="17" t="n">
        <v>0.3</v>
      </c>
      <c r="J5114" s="18" t="n">
        <v>208.23</v>
      </c>
      <c r="K5114" s="19" t="n">
        <v>-8.54</v>
      </c>
      <c r="L5114" s="15" t="n">
        <f aca="false">YEAR(B5114)</f>
        <v>2023</v>
      </c>
      <c r="M5114" s="20" t="n">
        <f aca="false">IF(J5114&gt;0,K5114/J5114,0)</f>
        <v>-0.0410123421216924</v>
      </c>
    </row>
    <row r="5115" customFormat="false" ht="15" hidden="false" customHeight="false" outlineLevel="0" collapsed="false">
      <c r="A5115" s="15" t="s">
        <v>5172</v>
      </c>
      <c r="B5115" s="16" t="n">
        <v>45970</v>
      </c>
      <c r="C5115" s="15" t="s">
        <v>71</v>
      </c>
      <c r="D5115" s="15" t="s">
        <v>42</v>
      </c>
      <c r="E5115" s="15" t="s">
        <v>39</v>
      </c>
      <c r="F5115" s="15" t="s">
        <v>17</v>
      </c>
      <c r="G5115" s="15" t="s">
        <v>31</v>
      </c>
      <c r="H5115" s="15" t="n">
        <v>6</v>
      </c>
      <c r="I5115" s="17" t="n">
        <v>0</v>
      </c>
      <c r="J5115" s="18" t="n">
        <v>886.2</v>
      </c>
      <c r="K5115" s="19" t="n">
        <v>246.12</v>
      </c>
      <c r="L5115" s="15" t="n">
        <f aca="false">YEAR(B5115)</f>
        <v>2025</v>
      </c>
      <c r="M5115" s="20" t="n">
        <f aca="false">IF(J5115&gt;0,K5115/J5115,0)</f>
        <v>0.277725118483412</v>
      </c>
    </row>
    <row r="5116" customFormat="false" ht="15" hidden="false" customHeight="false" outlineLevel="0" collapsed="false">
      <c r="A5116" s="15" t="s">
        <v>5173</v>
      </c>
      <c r="B5116" s="16" t="n">
        <v>45722</v>
      </c>
      <c r="C5116" s="15" t="s">
        <v>71</v>
      </c>
      <c r="D5116" s="15" t="s">
        <v>42</v>
      </c>
      <c r="E5116" s="15" t="s">
        <v>37</v>
      </c>
      <c r="F5116" s="15" t="s">
        <v>16</v>
      </c>
      <c r="G5116" s="15" t="s">
        <v>22</v>
      </c>
      <c r="H5116" s="15" t="n">
        <v>4</v>
      </c>
      <c r="I5116" s="17" t="n">
        <v>0</v>
      </c>
      <c r="J5116" s="18" t="n">
        <v>2065.51</v>
      </c>
      <c r="K5116" s="19" t="n">
        <v>-203.63</v>
      </c>
      <c r="L5116" s="15" t="n">
        <f aca="false">YEAR(B5116)</f>
        <v>2025</v>
      </c>
      <c r="M5116" s="20" t="n">
        <f aca="false">IF(J5116&gt;0,K5116/J5116,0)</f>
        <v>-0.0985858214194073</v>
      </c>
    </row>
    <row r="5117" customFormat="false" ht="15" hidden="false" customHeight="false" outlineLevel="0" collapsed="false">
      <c r="A5117" s="15" t="s">
        <v>5174</v>
      </c>
      <c r="B5117" s="16" t="n">
        <v>45522</v>
      </c>
      <c r="C5117" s="15" t="s">
        <v>58</v>
      </c>
      <c r="D5117" s="15" t="s">
        <v>43</v>
      </c>
      <c r="E5117" s="15" t="s">
        <v>36</v>
      </c>
      <c r="F5117" s="15" t="s">
        <v>18</v>
      </c>
      <c r="G5117" s="15" t="s">
        <v>30</v>
      </c>
      <c r="H5117" s="15" t="n">
        <v>1</v>
      </c>
      <c r="I5117" s="17" t="n">
        <v>0</v>
      </c>
      <c r="J5117" s="18" t="n">
        <v>43.54</v>
      </c>
      <c r="K5117" s="19" t="n">
        <v>11.78</v>
      </c>
      <c r="L5117" s="15" t="n">
        <f aca="false">YEAR(B5117)</f>
        <v>2024</v>
      </c>
      <c r="M5117" s="20" t="n">
        <f aca="false">IF(J5117&gt;0,K5117/J5117,0)</f>
        <v>0.270555810748737</v>
      </c>
    </row>
    <row r="5118" customFormat="false" ht="15" hidden="false" customHeight="false" outlineLevel="0" collapsed="false">
      <c r="A5118" s="15" t="s">
        <v>5175</v>
      </c>
      <c r="B5118" s="16" t="n">
        <v>45558</v>
      </c>
      <c r="C5118" s="15" t="s">
        <v>56</v>
      </c>
      <c r="D5118" s="15" t="s">
        <v>42</v>
      </c>
      <c r="E5118" s="15" t="s">
        <v>39</v>
      </c>
      <c r="F5118" s="15" t="s">
        <v>18</v>
      </c>
      <c r="G5118" s="15" t="s">
        <v>30</v>
      </c>
      <c r="H5118" s="15" t="n">
        <v>3</v>
      </c>
      <c r="I5118" s="17" t="n">
        <v>0</v>
      </c>
      <c r="J5118" s="18" t="n">
        <v>130.73</v>
      </c>
      <c r="K5118" s="19" t="n">
        <v>40.88</v>
      </c>
      <c r="L5118" s="15" t="n">
        <f aca="false">YEAR(B5118)</f>
        <v>2024</v>
      </c>
      <c r="M5118" s="20" t="n">
        <f aca="false">IF(J5118&gt;0,K5118/J5118,0)</f>
        <v>0.312705576378796</v>
      </c>
    </row>
    <row r="5119" customFormat="false" ht="15" hidden="false" customHeight="false" outlineLevel="0" collapsed="false">
      <c r="A5119" s="15" t="s">
        <v>5176</v>
      </c>
      <c r="B5119" s="16" t="n">
        <v>44725</v>
      </c>
      <c r="C5119" s="15" t="s">
        <v>56</v>
      </c>
      <c r="D5119" s="15" t="s">
        <v>42</v>
      </c>
      <c r="E5119" s="15" t="s">
        <v>38</v>
      </c>
      <c r="F5119" s="15" t="s">
        <v>16</v>
      </c>
      <c r="G5119" s="15" t="s">
        <v>27</v>
      </c>
      <c r="H5119" s="15" t="n">
        <v>2</v>
      </c>
      <c r="I5119" s="17" t="n">
        <v>0</v>
      </c>
      <c r="J5119" s="18" t="n">
        <v>108.81</v>
      </c>
      <c r="K5119" s="19" t="n">
        <v>28.41</v>
      </c>
      <c r="L5119" s="15" t="n">
        <f aca="false">YEAR(B5119)</f>
        <v>2022</v>
      </c>
      <c r="M5119" s="20" t="n">
        <f aca="false">IF(J5119&gt;0,K5119/J5119,0)</f>
        <v>0.261097325613455</v>
      </c>
    </row>
    <row r="5120" customFormat="false" ht="15" hidden="false" customHeight="false" outlineLevel="0" collapsed="false">
      <c r="A5120" s="15" t="s">
        <v>5177</v>
      </c>
      <c r="B5120" s="16" t="n">
        <v>45589</v>
      </c>
      <c r="C5120" s="15" t="s">
        <v>56</v>
      </c>
      <c r="D5120" s="15" t="s">
        <v>42</v>
      </c>
      <c r="E5120" s="15" t="s">
        <v>37</v>
      </c>
      <c r="F5120" s="15" t="s">
        <v>17</v>
      </c>
      <c r="G5120" s="15" t="s">
        <v>28</v>
      </c>
      <c r="H5120" s="15" t="n">
        <v>4</v>
      </c>
      <c r="I5120" s="17" t="n">
        <v>0</v>
      </c>
      <c r="J5120" s="18" t="n">
        <v>96.26</v>
      </c>
      <c r="K5120" s="19" t="n">
        <v>28.15</v>
      </c>
      <c r="L5120" s="15" t="n">
        <f aca="false">YEAR(B5120)</f>
        <v>2024</v>
      </c>
      <c r="M5120" s="20" t="n">
        <f aca="false">IF(J5120&gt;0,K5120/J5120,0)</f>
        <v>0.292437149387077</v>
      </c>
    </row>
    <row r="5121" customFormat="false" ht="15" hidden="false" customHeight="false" outlineLevel="0" collapsed="false">
      <c r="A5121" s="15" t="s">
        <v>5178</v>
      </c>
      <c r="B5121" s="16" t="n">
        <v>45503</v>
      </c>
      <c r="C5121" s="15" t="s">
        <v>56</v>
      </c>
      <c r="D5121" s="15" t="s">
        <v>42</v>
      </c>
      <c r="E5121" s="15" t="s">
        <v>37</v>
      </c>
      <c r="F5121" s="15" t="s">
        <v>16</v>
      </c>
      <c r="G5121" s="15" t="s">
        <v>25</v>
      </c>
      <c r="H5121" s="15" t="n">
        <v>2</v>
      </c>
      <c r="I5121" s="17" t="n">
        <v>0.05</v>
      </c>
      <c r="J5121" s="18" t="n">
        <v>538.73</v>
      </c>
      <c r="K5121" s="19" t="n">
        <v>51.07</v>
      </c>
      <c r="L5121" s="15" t="n">
        <f aca="false">YEAR(B5121)</f>
        <v>2024</v>
      </c>
      <c r="M5121" s="20" t="n">
        <f aca="false">IF(J5121&gt;0,K5121/J5121,0)</f>
        <v>0.0947970226272901</v>
      </c>
    </row>
    <row r="5122" customFormat="false" ht="15" hidden="false" customHeight="false" outlineLevel="0" collapsed="false">
      <c r="A5122" s="15" t="s">
        <v>5179</v>
      </c>
      <c r="B5122" s="16" t="n">
        <v>45275</v>
      </c>
      <c r="C5122" s="15" t="s">
        <v>56</v>
      </c>
      <c r="D5122" s="15" t="s">
        <v>42</v>
      </c>
      <c r="E5122" s="15" t="s">
        <v>38</v>
      </c>
      <c r="F5122" s="15" t="s">
        <v>16</v>
      </c>
      <c r="G5122" s="15" t="s">
        <v>27</v>
      </c>
      <c r="H5122" s="15" t="n">
        <v>1</v>
      </c>
      <c r="I5122" s="17" t="n">
        <v>0.05</v>
      </c>
      <c r="J5122" s="18" t="n">
        <v>49.31</v>
      </c>
      <c r="K5122" s="19" t="n">
        <v>10.17</v>
      </c>
      <c r="L5122" s="15" t="n">
        <f aca="false">YEAR(B5122)</f>
        <v>2023</v>
      </c>
      <c r="M5122" s="20" t="n">
        <f aca="false">IF(J5122&gt;0,K5122/J5122,0)</f>
        <v>0.206246197525857</v>
      </c>
    </row>
    <row r="5123" customFormat="false" ht="15" hidden="false" customHeight="false" outlineLevel="0" collapsed="false">
      <c r="A5123" s="15" t="s">
        <v>5180</v>
      </c>
      <c r="B5123" s="16" t="n">
        <v>44922</v>
      </c>
      <c r="C5123" s="15" t="s">
        <v>56</v>
      </c>
      <c r="D5123" s="15" t="s">
        <v>43</v>
      </c>
      <c r="E5123" s="15" t="s">
        <v>39</v>
      </c>
      <c r="F5123" s="15" t="s">
        <v>18</v>
      </c>
      <c r="G5123" s="15" t="s">
        <v>30</v>
      </c>
      <c r="H5123" s="15" t="n">
        <v>2</v>
      </c>
      <c r="I5123" s="17" t="n">
        <v>0.05</v>
      </c>
      <c r="J5123" s="18" t="n">
        <v>98.59</v>
      </c>
      <c r="K5123" s="19" t="n">
        <v>15.06</v>
      </c>
      <c r="L5123" s="15" t="n">
        <f aca="false">YEAR(B5123)</f>
        <v>2022</v>
      </c>
      <c r="M5123" s="20" t="n">
        <f aca="false">IF(J5123&gt;0,K5123/J5123,0)</f>
        <v>0.152753828988741</v>
      </c>
    </row>
    <row r="5124" customFormat="false" ht="15" hidden="false" customHeight="false" outlineLevel="0" collapsed="false">
      <c r="A5124" s="15" t="s">
        <v>5181</v>
      </c>
      <c r="B5124" s="16" t="n">
        <v>45747</v>
      </c>
      <c r="C5124" s="15" t="s">
        <v>56</v>
      </c>
      <c r="D5124" s="15" t="s">
        <v>44</v>
      </c>
      <c r="E5124" s="15" t="s">
        <v>39</v>
      </c>
      <c r="F5124" s="15" t="s">
        <v>17</v>
      </c>
      <c r="G5124" s="15" t="s">
        <v>28</v>
      </c>
      <c r="H5124" s="15" t="n">
        <v>4</v>
      </c>
      <c r="I5124" s="17" t="n">
        <v>0</v>
      </c>
      <c r="J5124" s="18" t="n">
        <v>110.27</v>
      </c>
      <c r="K5124" s="19" t="n">
        <v>32.16</v>
      </c>
      <c r="L5124" s="15" t="n">
        <f aca="false">YEAR(B5124)</f>
        <v>2025</v>
      </c>
      <c r="M5124" s="20" t="n">
        <f aca="false">IF(J5124&gt;0,K5124/J5124,0)</f>
        <v>0.291647773646504</v>
      </c>
    </row>
    <row r="5125" customFormat="false" ht="15" hidden="false" customHeight="false" outlineLevel="0" collapsed="false">
      <c r="A5125" s="15" t="s">
        <v>5182</v>
      </c>
      <c r="B5125" s="16" t="n">
        <v>46014</v>
      </c>
      <c r="C5125" s="15" t="s">
        <v>68</v>
      </c>
      <c r="D5125" s="15" t="s">
        <v>44</v>
      </c>
      <c r="E5125" s="15" t="s">
        <v>36</v>
      </c>
      <c r="F5125" s="15" t="s">
        <v>17</v>
      </c>
      <c r="G5125" s="15" t="s">
        <v>29</v>
      </c>
      <c r="H5125" s="15" t="n">
        <v>1</v>
      </c>
      <c r="I5125" s="17" t="n">
        <v>0.15</v>
      </c>
      <c r="J5125" s="18" t="n">
        <v>13.78</v>
      </c>
      <c r="K5125" s="19" t="n">
        <v>2.95</v>
      </c>
      <c r="L5125" s="15" t="n">
        <f aca="false">YEAR(B5125)</f>
        <v>2025</v>
      </c>
      <c r="M5125" s="20" t="n">
        <f aca="false">IF(J5125&gt;0,K5125/J5125,0)</f>
        <v>0.214078374455733</v>
      </c>
    </row>
    <row r="5126" customFormat="false" ht="15" hidden="false" customHeight="false" outlineLevel="0" collapsed="false">
      <c r="A5126" s="15" t="s">
        <v>5183</v>
      </c>
      <c r="B5126" s="16" t="n">
        <v>45954</v>
      </c>
      <c r="C5126" s="15" t="s">
        <v>71</v>
      </c>
      <c r="D5126" s="15" t="s">
        <v>42</v>
      </c>
      <c r="E5126" s="15" t="s">
        <v>37</v>
      </c>
      <c r="F5126" s="15" t="s">
        <v>17</v>
      </c>
      <c r="G5126" s="15" t="s">
        <v>29</v>
      </c>
      <c r="H5126" s="15" t="n">
        <v>2</v>
      </c>
      <c r="I5126" s="17" t="n">
        <v>0</v>
      </c>
      <c r="J5126" s="18" t="n">
        <v>38.81</v>
      </c>
      <c r="K5126" s="19" t="n">
        <v>15.01</v>
      </c>
      <c r="L5126" s="15" t="n">
        <f aca="false">YEAR(B5126)</f>
        <v>2025</v>
      </c>
      <c r="M5126" s="20" t="n">
        <f aca="false">IF(J5126&gt;0,K5126/J5126,0)</f>
        <v>0.38675599072404</v>
      </c>
    </row>
    <row r="5127" customFormat="false" ht="15" hidden="false" customHeight="false" outlineLevel="0" collapsed="false">
      <c r="A5127" s="15" t="s">
        <v>5184</v>
      </c>
      <c r="B5127" s="16" t="n">
        <v>45419</v>
      </c>
      <c r="C5127" s="15" t="s">
        <v>56</v>
      </c>
      <c r="D5127" s="15" t="s">
        <v>42</v>
      </c>
      <c r="E5127" s="15" t="s">
        <v>37</v>
      </c>
      <c r="F5127" s="15" t="s">
        <v>16</v>
      </c>
      <c r="G5127" s="15" t="s">
        <v>27</v>
      </c>
      <c r="H5127" s="15" t="n">
        <v>3</v>
      </c>
      <c r="I5127" s="17" t="n">
        <v>0.4</v>
      </c>
      <c r="J5127" s="18" t="n">
        <v>97.41</v>
      </c>
      <c r="K5127" s="19" t="n">
        <v>-13.55</v>
      </c>
      <c r="L5127" s="15" t="n">
        <f aca="false">YEAR(B5127)</f>
        <v>2024</v>
      </c>
      <c r="M5127" s="20" t="n">
        <f aca="false">IF(J5127&gt;0,K5127/J5127,0)</f>
        <v>-0.139102761523458</v>
      </c>
    </row>
    <row r="5128" customFormat="false" ht="15" hidden="false" customHeight="false" outlineLevel="0" collapsed="false">
      <c r="A5128" s="15" t="s">
        <v>5185</v>
      </c>
      <c r="B5128" s="16" t="n">
        <v>45609</v>
      </c>
      <c r="C5128" s="15" t="s">
        <v>56</v>
      </c>
      <c r="D5128" s="15" t="s">
        <v>44</v>
      </c>
      <c r="E5128" s="15" t="s">
        <v>37</v>
      </c>
      <c r="F5128" s="15" t="s">
        <v>18</v>
      </c>
      <c r="G5128" s="15" t="s">
        <v>33</v>
      </c>
      <c r="H5128" s="15" t="n">
        <v>1</v>
      </c>
      <c r="I5128" s="17" t="n">
        <v>0</v>
      </c>
      <c r="J5128" s="18" t="n">
        <v>1003.59</v>
      </c>
      <c r="K5128" s="19" t="n">
        <v>281.69</v>
      </c>
      <c r="L5128" s="15" t="n">
        <f aca="false">YEAR(B5128)</f>
        <v>2024</v>
      </c>
      <c r="M5128" s="20" t="n">
        <f aca="false">IF(J5128&gt;0,K5128/J5128,0)</f>
        <v>0.2806823503622</v>
      </c>
    </row>
    <row r="5129" customFormat="false" ht="15" hidden="false" customHeight="false" outlineLevel="0" collapsed="false">
      <c r="A5129" s="15" t="s">
        <v>5186</v>
      </c>
      <c r="B5129" s="16" t="n">
        <v>44988</v>
      </c>
      <c r="C5129" s="15" t="s">
        <v>71</v>
      </c>
      <c r="D5129" s="15" t="s">
        <v>43</v>
      </c>
      <c r="E5129" s="15" t="s">
        <v>39</v>
      </c>
      <c r="F5129" s="15" t="s">
        <v>17</v>
      </c>
      <c r="G5129" s="15" t="s">
        <v>26</v>
      </c>
      <c r="H5129" s="15" t="n">
        <v>4</v>
      </c>
      <c r="I5129" s="17" t="n">
        <v>0</v>
      </c>
      <c r="J5129" s="18" t="n">
        <v>463.21</v>
      </c>
      <c r="K5129" s="19" t="n">
        <v>47.74</v>
      </c>
      <c r="L5129" s="15" t="n">
        <f aca="false">YEAR(B5129)</f>
        <v>2023</v>
      </c>
      <c r="M5129" s="20" t="n">
        <f aca="false">IF(J5129&gt;0,K5129/J5129,0)</f>
        <v>0.103063405366896</v>
      </c>
    </row>
    <row r="5130" customFormat="false" ht="15" hidden="false" customHeight="false" outlineLevel="0" collapsed="false">
      <c r="A5130" s="15" t="s">
        <v>5187</v>
      </c>
      <c r="B5130" s="16" t="n">
        <v>44905</v>
      </c>
      <c r="C5130" s="15" t="s">
        <v>68</v>
      </c>
      <c r="D5130" s="15" t="s">
        <v>44</v>
      </c>
      <c r="E5130" s="15" t="s">
        <v>39</v>
      </c>
      <c r="F5130" s="15" t="s">
        <v>17</v>
      </c>
      <c r="G5130" s="15" t="s">
        <v>29</v>
      </c>
      <c r="H5130" s="15" t="n">
        <v>4</v>
      </c>
      <c r="I5130" s="17" t="n">
        <v>0.2</v>
      </c>
      <c r="J5130" s="18" t="n">
        <v>67.01</v>
      </c>
      <c r="K5130" s="19" t="n">
        <v>19.36</v>
      </c>
      <c r="L5130" s="15" t="n">
        <f aca="false">YEAR(B5130)</f>
        <v>2022</v>
      </c>
      <c r="M5130" s="20" t="n">
        <f aca="false">IF(J5130&gt;0,K5130/J5130,0)</f>
        <v>0.288912102671243</v>
      </c>
    </row>
    <row r="5131" customFormat="false" ht="15" hidden="false" customHeight="false" outlineLevel="0" collapsed="false">
      <c r="A5131" s="15" t="s">
        <v>5188</v>
      </c>
      <c r="B5131" s="16" t="n">
        <v>44988</v>
      </c>
      <c r="C5131" s="15" t="s">
        <v>56</v>
      </c>
      <c r="D5131" s="15" t="s">
        <v>42</v>
      </c>
      <c r="E5131" s="15" t="s">
        <v>38</v>
      </c>
      <c r="F5131" s="15" t="s">
        <v>18</v>
      </c>
      <c r="G5131" s="15" t="s">
        <v>30</v>
      </c>
      <c r="H5131" s="15" t="n">
        <v>3</v>
      </c>
      <c r="I5131" s="17" t="n">
        <v>0.2</v>
      </c>
      <c r="J5131" s="18" t="n">
        <v>77.37</v>
      </c>
      <c r="K5131" s="19" t="n">
        <v>13.27</v>
      </c>
      <c r="L5131" s="15" t="n">
        <f aca="false">YEAR(B5131)</f>
        <v>2023</v>
      </c>
      <c r="M5131" s="20" t="n">
        <f aca="false">IF(J5131&gt;0,K5131/J5131,0)</f>
        <v>0.171513506527078</v>
      </c>
    </row>
    <row r="5132" customFormat="false" ht="15" hidden="false" customHeight="false" outlineLevel="0" collapsed="false">
      <c r="A5132" s="15" t="s">
        <v>5189</v>
      </c>
      <c r="B5132" s="16" t="n">
        <v>45338</v>
      </c>
      <c r="C5132" s="15" t="s">
        <v>58</v>
      </c>
      <c r="D5132" s="15" t="s">
        <v>43</v>
      </c>
      <c r="E5132" s="15" t="s">
        <v>36</v>
      </c>
      <c r="F5132" s="15" t="s">
        <v>16</v>
      </c>
      <c r="G5132" s="15" t="s">
        <v>27</v>
      </c>
      <c r="H5132" s="15" t="n">
        <v>5</v>
      </c>
      <c r="I5132" s="17" t="n">
        <v>0</v>
      </c>
      <c r="J5132" s="18" t="n">
        <v>333.03</v>
      </c>
      <c r="K5132" s="19" t="n">
        <v>76.22</v>
      </c>
      <c r="L5132" s="15" t="n">
        <f aca="false">YEAR(B5132)</f>
        <v>2024</v>
      </c>
      <c r="M5132" s="20" t="n">
        <f aca="false">IF(J5132&gt;0,K5132/J5132,0)</f>
        <v>0.228868270125815</v>
      </c>
    </row>
    <row r="5133" customFormat="false" ht="15" hidden="false" customHeight="false" outlineLevel="0" collapsed="false">
      <c r="A5133" s="15" t="s">
        <v>5190</v>
      </c>
      <c r="B5133" s="16" t="n">
        <v>45572</v>
      </c>
      <c r="C5133" s="15" t="s">
        <v>71</v>
      </c>
      <c r="D5133" s="15" t="s">
        <v>42</v>
      </c>
      <c r="E5133" s="15" t="s">
        <v>37</v>
      </c>
      <c r="F5133" s="15" t="s">
        <v>18</v>
      </c>
      <c r="G5133" s="15" t="s">
        <v>30</v>
      </c>
      <c r="H5133" s="15" t="n">
        <v>7</v>
      </c>
      <c r="I5133" s="17" t="n">
        <v>0</v>
      </c>
      <c r="J5133" s="18" t="n">
        <v>241.3</v>
      </c>
      <c r="K5133" s="19" t="n">
        <v>62.92</v>
      </c>
      <c r="L5133" s="15" t="n">
        <f aca="false">YEAR(B5133)</f>
        <v>2024</v>
      </c>
      <c r="M5133" s="20" t="n">
        <f aca="false">IF(J5133&gt;0,K5133/J5133,0)</f>
        <v>0.260754247824285</v>
      </c>
    </row>
    <row r="5134" customFormat="false" ht="15" hidden="false" customHeight="false" outlineLevel="0" collapsed="false">
      <c r="A5134" s="15" t="s">
        <v>5191</v>
      </c>
      <c r="B5134" s="16" t="n">
        <v>44887</v>
      </c>
      <c r="C5134" s="15" t="s">
        <v>56</v>
      </c>
      <c r="D5134" s="15" t="s">
        <v>43</v>
      </c>
      <c r="E5134" s="15" t="s">
        <v>37</v>
      </c>
      <c r="F5134" s="15" t="s">
        <v>17</v>
      </c>
      <c r="G5134" s="15" t="s">
        <v>28</v>
      </c>
      <c r="H5134" s="15" t="n">
        <v>3</v>
      </c>
      <c r="I5134" s="17" t="n">
        <v>0</v>
      </c>
      <c r="J5134" s="18" t="n">
        <v>86.9</v>
      </c>
      <c r="K5134" s="19" t="n">
        <v>30.44</v>
      </c>
      <c r="L5134" s="15" t="n">
        <f aca="false">YEAR(B5134)</f>
        <v>2022</v>
      </c>
      <c r="M5134" s="20" t="n">
        <f aca="false">IF(J5134&gt;0,K5134/J5134,0)</f>
        <v>0.350287686996548</v>
      </c>
    </row>
    <row r="5135" customFormat="false" ht="15" hidden="false" customHeight="false" outlineLevel="0" collapsed="false">
      <c r="A5135" s="15" t="s">
        <v>5192</v>
      </c>
      <c r="B5135" s="16" t="n">
        <v>45960</v>
      </c>
      <c r="C5135" s="15" t="s">
        <v>71</v>
      </c>
      <c r="D5135" s="15" t="s">
        <v>43</v>
      </c>
      <c r="E5135" s="15" t="s">
        <v>37</v>
      </c>
      <c r="F5135" s="15" t="s">
        <v>18</v>
      </c>
      <c r="G5135" s="15" t="s">
        <v>30</v>
      </c>
      <c r="H5135" s="15" t="n">
        <v>3</v>
      </c>
      <c r="I5135" s="17" t="n">
        <v>0</v>
      </c>
      <c r="J5135" s="18" t="n">
        <v>129.43</v>
      </c>
      <c r="K5135" s="19" t="n">
        <v>32.94</v>
      </c>
      <c r="L5135" s="15" t="n">
        <f aca="false">YEAR(B5135)</f>
        <v>2025</v>
      </c>
      <c r="M5135" s="20" t="n">
        <f aca="false">IF(J5135&gt;0,K5135/J5135,0)</f>
        <v>0.254500502201962</v>
      </c>
    </row>
    <row r="5136" customFormat="false" ht="15" hidden="false" customHeight="false" outlineLevel="0" collapsed="false">
      <c r="A5136" s="15" t="s">
        <v>5193</v>
      </c>
      <c r="B5136" s="16" t="n">
        <v>45207</v>
      </c>
      <c r="C5136" s="15" t="s">
        <v>58</v>
      </c>
      <c r="D5136" s="15" t="s">
        <v>42</v>
      </c>
      <c r="E5136" s="15" t="s">
        <v>39</v>
      </c>
      <c r="F5136" s="15" t="s">
        <v>16</v>
      </c>
      <c r="G5136" s="15" t="s">
        <v>23</v>
      </c>
      <c r="H5136" s="15" t="n">
        <v>5</v>
      </c>
      <c r="I5136" s="17" t="n">
        <v>0</v>
      </c>
      <c r="J5136" s="18" t="n">
        <v>1969.28</v>
      </c>
      <c r="K5136" s="19" t="n">
        <v>73.21</v>
      </c>
      <c r="L5136" s="15" t="n">
        <f aca="false">YEAR(B5136)</f>
        <v>2023</v>
      </c>
      <c r="M5136" s="20" t="n">
        <f aca="false">IF(J5136&gt;0,K5136/J5136,0)</f>
        <v>0.0371760237244069</v>
      </c>
    </row>
    <row r="5137" customFormat="false" ht="15" hidden="false" customHeight="false" outlineLevel="0" collapsed="false">
      <c r="A5137" s="15" t="s">
        <v>5194</v>
      </c>
      <c r="B5137" s="16" t="n">
        <v>45605</v>
      </c>
      <c r="C5137" s="15" t="s">
        <v>71</v>
      </c>
      <c r="D5137" s="15" t="s">
        <v>44</v>
      </c>
      <c r="E5137" s="15" t="s">
        <v>39</v>
      </c>
      <c r="F5137" s="15" t="s">
        <v>16</v>
      </c>
      <c r="G5137" s="15" t="s">
        <v>27</v>
      </c>
      <c r="H5137" s="15" t="n">
        <v>4</v>
      </c>
      <c r="I5137" s="17" t="n">
        <v>0.15</v>
      </c>
      <c r="J5137" s="18" t="n">
        <v>199.97</v>
      </c>
      <c r="K5137" s="19" t="n">
        <v>17.04</v>
      </c>
      <c r="L5137" s="15" t="n">
        <f aca="false">YEAR(B5137)</f>
        <v>2024</v>
      </c>
      <c r="M5137" s="20" t="n">
        <f aca="false">IF(J5137&gt;0,K5137/J5137,0)</f>
        <v>0.0852127819172876</v>
      </c>
    </row>
    <row r="5138" customFormat="false" ht="15" hidden="false" customHeight="false" outlineLevel="0" collapsed="false">
      <c r="A5138" s="15" t="s">
        <v>5195</v>
      </c>
      <c r="B5138" s="16" t="n">
        <v>44655</v>
      </c>
      <c r="C5138" s="15" t="s">
        <v>56</v>
      </c>
      <c r="D5138" s="15" t="s">
        <v>42</v>
      </c>
      <c r="E5138" s="15" t="s">
        <v>39</v>
      </c>
      <c r="F5138" s="15" t="s">
        <v>16</v>
      </c>
      <c r="G5138" s="15" t="s">
        <v>22</v>
      </c>
      <c r="H5138" s="15" t="n">
        <v>6</v>
      </c>
      <c r="I5138" s="17" t="n">
        <v>0.15</v>
      </c>
      <c r="J5138" s="18" t="n">
        <v>3014.13</v>
      </c>
      <c r="K5138" s="19" t="n">
        <v>-269.3</v>
      </c>
      <c r="L5138" s="15" t="n">
        <f aca="false">YEAR(B5138)</f>
        <v>2022</v>
      </c>
      <c r="M5138" s="20" t="n">
        <f aca="false">IF(J5138&gt;0,K5138/J5138,0)</f>
        <v>-0.0893458477238872</v>
      </c>
    </row>
    <row r="5139" customFormat="false" ht="15" hidden="false" customHeight="false" outlineLevel="0" collapsed="false">
      <c r="A5139" s="15" t="s">
        <v>5196</v>
      </c>
      <c r="B5139" s="16" t="n">
        <v>44875</v>
      </c>
      <c r="C5139" s="15" t="s">
        <v>56</v>
      </c>
      <c r="D5139" s="15" t="s">
        <v>42</v>
      </c>
      <c r="E5139" s="15" t="s">
        <v>36</v>
      </c>
      <c r="F5139" s="15" t="s">
        <v>17</v>
      </c>
      <c r="G5139" s="15" t="s">
        <v>29</v>
      </c>
      <c r="H5139" s="15" t="n">
        <v>6</v>
      </c>
      <c r="I5139" s="17" t="n">
        <v>0.2</v>
      </c>
      <c r="J5139" s="18" t="n">
        <v>92.8</v>
      </c>
      <c r="K5139" s="19" t="n">
        <v>20.89</v>
      </c>
      <c r="L5139" s="15" t="n">
        <f aca="false">YEAR(B5139)</f>
        <v>2022</v>
      </c>
      <c r="M5139" s="20" t="n">
        <f aca="false">IF(J5139&gt;0,K5139/J5139,0)</f>
        <v>0.22510775862069</v>
      </c>
    </row>
    <row r="5140" customFormat="false" ht="15" hidden="false" customHeight="false" outlineLevel="0" collapsed="false">
      <c r="A5140" s="15" t="s">
        <v>5197</v>
      </c>
      <c r="B5140" s="16" t="n">
        <v>45838</v>
      </c>
      <c r="C5140" s="15" t="s">
        <v>56</v>
      </c>
      <c r="D5140" s="15" t="s">
        <v>42</v>
      </c>
      <c r="E5140" s="15" t="s">
        <v>37</v>
      </c>
      <c r="F5140" s="15" t="s">
        <v>17</v>
      </c>
      <c r="G5140" s="15" t="s">
        <v>29</v>
      </c>
      <c r="H5140" s="15" t="n">
        <v>2</v>
      </c>
      <c r="I5140" s="17" t="n">
        <v>0.2</v>
      </c>
      <c r="J5140" s="18" t="n">
        <v>29.28</v>
      </c>
      <c r="K5140" s="19" t="n">
        <v>6.71</v>
      </c>
      <c r="L5140" s="15" t="n">
        <f aca="false">YEAR(B5140)</f>
        <v>2025</v>
      </c>
      <c r="M5140" s="20" t="n">
        <f aca="false">IF(J5140&gt;0,K5140/J5140,0)</f>
        <v>0.229166666666667</v>
      </c>
    </row>
    <row r="5141" customFormat="false" ht="15" hidden="false" customHeight="false" outlineLevel="0" collapsed="false">
      <c r="A5141" s="15" t="s">
        <v>5198</v>
      </c>
      <c r="B5141" s="16" t="n">
        <v>45973</v>
      </c>
      <c r="C5141" s="15" t="s">
        <v>71</v>
      </c>
      <c r="D5141" s="15" t="s">
        <v>42</v>
      </c>
      <c r="E5141" s="15" t="s">
        <v>39</v>
      </c>
      <c r="F5141" s="15" t="s">
        <v>18</v>
      </c>
      <c r="G5141" s="15" t="s">
        <v>32</v>
      </c>
      <c r="H5141" s="15" t="n">
        <v>10</v>
      </c>
      <c r="I5141" s="17" t="n">
        <v>0</v>
      </c>
      <c r="J5141" s="18" t="n">
        <v>4000.12</v>
      </c>
      <c r="K5141" s="19" t="n">
        <v>858.72</v>
      </c>
      <c r="L5141" s="15" t="n">
        <f aca="false">YEAR(B5141)</f>
        <v>2025</v>
      </c>
      <c r="M5141" s="20" t="n">
        <f aca="false">IF(J5141&gt;0,K5141/J5141,0)</f>
        <v>0.214673559793206</v>
      </c>
    </row>
    <row r="5142" customFormat="false" ht="15" hidden="false" customHeight="false" outlineLevel="0" collapsed="false">
      <c r="A5142" s="15" t="s">
        <v>5199</v>
      </c>
      <c r="B5142" s="16" t="n">
        <v>45189</v>
      </c>
      <c r="C5142" s="15" t="s">
        <v>58</v>
      </c>
      <c r="D5142" s="15" t="s">
        <v>43</v>
      </c>
      <c r="E5142" s="15" t="s">
        <v>39</v>
      </c>
      <c r="F5142" s="15" t="s">
        <v>17</v>
      </c>
      <c r="G5142" s="15" t="s">
        <v>29</v>
      </c>
      <c r="H5142" s="15" t="n">
        <v>3</v>
      </c>
      <c r="I5142" s="17" t="n">
        <v>0.2</v>
      </c>
      <c r="J5142" s="18" t="n">
        <v>55.82</v>
      </c>
      <c r="K5142" s="19" t="n">
        <v>10.52</v>
      </c>
      <c r="L5142" s="15" t="n">
        <f aca="false">YEAR(B5142)</f>
        <v>2023</v>
      </c>
      <c r="M5142" s="20" t="n">
        <f aca="false">IF(J5142&gt;0,K5142/J5142,0)</f>
        <v>0.188462916517377</v>
      </c>
    </row>
    <row r="5143" customFormat="false" ht="15" hidden="false" customHeight="false" outlineLevel="0" collapsed="false">
      <c r="A5143" s="15" t="s">
        <v>5200</v>
      </c>
      <c r="B5143" s="16" t="n">
        <v>45778</v>
      </c>
      <c r="C5143" s="15" t="s">
        <v>56</v>
      </c>
      <c r="D5143" s="15" t="s">
        <v>42</v>
      </c>
      <c r="E5143" s="15" t="s">
        <v>36</v>
      </c>
      <c r="F5143" s="15" t="s">
        <v>16</v>
      </c>
      <c r="G5143" s="15" t="s">
        <v>23</v>
      </c>
      <c r="H5143" s="15" t="n">
        <v>3</v>
      </c>
      <c r="I5143" s="17" t="n">
        <v>0.5</v>
      </c>
      <c r="J5143" s="18" t="n">
        <v>404.97</v>
      </c>
      <c r="K5143" s="19" t="n">
        <v>-171.02</v>
      </c>
      <c r="L5143" s="15" t="n">
        <f aca="false">YEAR(B5143)</f>
        <v>2025</v>
      </c>
      <c r="M5143" s="20" t="n">
        <f aca="false">IF(J5143&gt;0,K5143/J5143,0)</f>
        <v>-0.422302886633578</v>
      </c>
    </row>
    <row r="5144" customFormat="false" ht="15" hidden="false" customHeight="false" outlineLevel="0" collapsed="false">
      <c r="A5144" s="15" t="s">
        <v>5201</v>
      </c>
      <c r="B5144" s="16" t="n">
        <v>45500</v>
      </c>
      <c r="C5144" s="15" t="s">
        <v>71</v>
      </c>
      <c r="D5144" s="15" t="s">
        <v>42</v>
      </c>
      <c r="E5144" s="15" t="s">
        <v>36</v>
      </c>
      <c r="F5144" s="15" t="s">
        <v>17</v>
      </c>
      <c r="G5144" s="15" t="s">
        <v>26</v>
      </c>
      <c r="H5144" s="15" t="n">
        <v>4</v>
      </c>
      <c r="I5144" s="17" t="n">
        <v>0.3</v>
      </c>
      <c r="J5144" s="18" t="n">
        <v>226.94</v>
      </c>
      <c r="K5144" s="19" t="n">
        <v>-40.67</v>
      </c>
      <c r="L5144" s="15" t="n">
        <f aca="false">YEAR(B5144)</f>
        <v>2024</v>
      </c>
      <c r="M5144" s="20" t="n">
        <f aca="false">IF(J5144&gt;0,K5144/J5144,0)</f>
        <v>-0.179210363972856</v>
      </c>
    </row>
    <row r="5145" customFormat="false" ht="15" hidden="false" customHeight="false" outlineLevel="0" collapsed="false">
      <c r="A5145" s="15" t="s">
        <v>5202</v>
      </c>
      <c r="B5145" s="16" t="n">
        <v>45660</v>
      </c>
      <c r="C5145" s="15" t="s">
        <v>56</v>
      </c>
      <c r="D5145" s="15" t="s">
        <v>42</v>
      </c>
      <c r="E5145" s="15" t="s">
        <v>39</v>
      </c>
      <c r="F5145" s="15" t="s">
        <v>17</v>
      </c>
      <c r="G5145" s="15" t="s">
        <v>28</v>
      </c>
      <c r="H5145" s="15" t="n">
        <v>4</v>
      </c>
      <c r="I5145" s="17" t="n">
        <v>0</v>
      </c>
      <c r="J5145" s="18" t="n">
        <v>113.18</v>
      </c>
      <c r="K5145" s="19" t="n">
        <v>33.83</v>
      </c>
      <c r="L5145" s="15" t="n">
        <f aca="false">YEAR(B5145)</f>
        <v>2025</v>
      </c>
      <c r="M5145" s="20" t="n">
        <f aca="false">IF(J5145&gt;0,K5145/J5145,0)</f>
        <v>0.298904400070684</v>
      </c>
    </row>
    <row r="5146" customFormat="false" ht="15" hidden="false" customHeight="false" outlineLevel="0" collapsed="false">
      <c r="A5146" s="15" t="s">
        <v>5203</v>
      </c>
      <c r="B5146" s="16" t="n">
        <v>44915</v>
      </c>
      <c r="C5146" s="15" t="s">
        <v>71</v>
      </c>
      <c r="D5146" s="15" t="s">
        <v>43</v>
      </c>
      <c r="E5146" s="15" t="s">
        <v>36</v>
      </c>
      <c r="F5146" s="15" t="s">
        <v>16</v>
      </c>
      <c r="G5146" s="15" t="s">
        <v>25</v>
      </c>
      <c r="H5146" s="15" t="n">
        <v>2</v>
      </c>
      <c r="I5146" s="17" t="n">
        <v>0</v>
      </c>
      <c r="J5146" s="18" t="n">
        <v>515.28</v>
      </c>
      <c r="K5146" s="19" t="n">
        <v>28.59</v>
      </c>
      <c r="L5146" s="15" t="n">
        <f aca="false">YEAR(B5146)</f>
        <v>2022</v>
      </c>
      <c r="M5146" s="20" t="n">
        <f aca="false">IF(J5146&gt;0,K5146/J5146,0)</f>
        <v>0.0554843968327899</v>
      </c>
    </row>
    <row r="5147" customFormat="false" ht="15" hidden="false" customHeight="false" outlineLevel="0" collapsed="false">
      <c r="A5147" s="15" t="s">
        <v>5204</v>
      </c>
      <c r="B5147" s="16" t="n">
        <v>45958</v>
      </c>
      <c r="C5147" s="15" t="s">
        <v>56</v>
      </c>
      <c r="D5147" s="15" t="s">
        <v>43</v>
      </c>
      <c r="E5147" s="15" t="s">
        <v>39</v>
      </c>
      <c r="F5147" s="15" t="s">
        <v>16</v>
      </c>
      <c r="G5147" s="15" t="s">
        <v>25</v>
      </c>
      <c r="H5147" s="15" t="n">
        <v>4</v>
      </c>
      <c r="I5147" s="17" t="n">
        <v>0</v>
      </c>
      <c r="J5147" s="18" t="n">
        <v>1323.89</v>
      </c>
      <c r="K5147" s="19" t="n">
        <v>57.76</v>
      </c>
      <c r="L5147" s="15" t="n">
        <f aca="false">YEAR(B5147)</f>
        <v>2025</v>
      </c>
      <c r="M5147" s="20" t="n">
        <f aca="false">IF(J5147&gt;0,K5147/J5147,0)</f>
        <v>0.0436290024095657</v>
      </c>
    </row>
    <row r="5148" customFormat="false" ht="15" hidden="false" customHeight="false" outlineLevel="0" collapsed="false">
      <c r="A5148" s="15" t="s">
        <v>5205</v>
      </c>
      <c r="B5148" s="16" t="n">
        <v>45634</v>
      </c>
      <c r="C5148" s="15" t="s">
        <v>68</v>
      </c>
      <c r="D5148" s="15" t="s">
        <v>42</v>
      </c>
      <c r="E5148" s="15" t="s">
        <v>39</v>
      </c>
      <c r="F5148" s="15" t="s">
        <v>16</v>
      </c>
      <c r="G5148" s="15" t="s">
        <v>25</v>
      </c>
      <c r="H5148" s="15" t="n">
        <v>3</v>
      </c>
      <c r="I5148" s="17" t="n">
        <v>0</v>
      </c>
      <c r="J5148" s="18" t="n">
        <v>895.28</v>
      </c>
      <c r="K5148" s="19" t="n">
        <v>136.33</v>
      </c>
      <c r="L5148" s="15" t="n">
        <f aca="false">YEAR(B5148)</f>
        <v>2024</v>
      </c>
      <c r="M5148" s="20" t="n">
        <f aca="false">IF(J5148&gt;0,K5148/J5148,0)</f>
        <v>0.152276382807613</v>
      </c>
    </row>
    <row r="5149" customFormat="false" ht="15" hidden="false" customHeight="false" outlineLevel="0" collapsed="false">
      <c r="A5149" s="15" t="s">
        <v>5206</v>
      </c>
      <c r="B5149" s="16" t="n">
        <v>44918</v>
      </c>
      <c r="C5149" s="15" t="s">
        <v>71</v>
      </c>
      <c r="D5149" s="15" t="s">
        <v>44</v>
      </c>
      <c r="E5149" s="15" t="s">
        <v>37</v>
      </c>
      <c r="F5149" s="15" t="s">
        <v>16</v>
      </c>
      <c r="G5149" s="15" t="s">
        <v>27</v>
      </c>
      <c r="H5149" s="15" t="n">
        <v>2</v>
      </c>
      <c r="I5149" s="17" t="n">
        <v>0.4</v>
      </c>
      <c r="J5149" s="18" t="n">
        <v>73.15</v>
      </c>
      <c r="K5149" s="19" t="n">
        <v>-11.87</v>
      </c>
      <c r="L5149" s="15" t="n">
        <f aca="false">YEAR(B5149)</f>
        <v>2022</v>
      </c>
      <c r="M5149" s="20" t="n">
        <f aca="false">IF(J5149&gt;0,K5149/J5149,0)</f>
        <v>-0.162269309637731</v>
      </c>
    </row>
    <row r="5150" customFormat="false" ht="15" hidden="false" customHeight="false" outlineLevel="0" collapsed="false">
      <c r="A5150" s="15" t="s">
        <v>5207</v>
      </c>
      <c r="B5150" s="16" t="n">
        <v>44833</v>
      </c>
      <c r="C5150" s="15" t="s">
        <v>56</v>
      </c>
      <c r="D5150" s="15" t="s">
        <v>42</v>
      </c>
      <c r="E5150" s="15" t="s">
        <v>39</v>
      </c>
      <c r="F5150" s="15" t="s">
        <v>18</v>
      </c>
      <c r="G5150" s="15" t="s">
        <v>30</v>
      </c>
      <c r="H5150" s="15" t="n">
        <v>7</v>
      </c>
      <c r="I5150" s="17" t="n">
        <v>0.1</v>
      </c>
      <c r="J5150" s="18" t="n">
        <v>373.17</v>
      </c>
      <c r="K5150" s="19" t="n">
        <v>90.35</v>
      </c>
      <c r="L5150" s="15" t="n">
        <f aca="false">YEAR(B5150)</f>
        <v>2022</v>
      </c>
      <c r="M5150" s="20" t="n">
        <f aca="false">IF(J5150&gt;0,K5150/J5150,0)</f>
        <v>0.242114853819975</v>
      </c>
    </row>
    <row r="5151" customFormat="false" ht="15" hidden="false" customHeight="false" outlineLevel="0" collapsed="false">
      <c r="A5151" s="15" t="s">
        <v>5208</v>
      </c>
      <c r="B5151" s="16" t="n">
        <v>44933</v>
      </c>
      <c r="C5151" s="15" t="s">
        <v>71</v>
      </c>
      <c r="D5151" s="15" t="s">
        <v>44</v>
      </c>
      <c r="E5151" s="15" t="s">
        <v>39</v>
      </c>
      <c r="F5151" s="15" t="s">
        <v>16</v>
      </c>
      <c r="G5151" s="15" t="s">
        <v>22</v>
      </c>
      <c r="H5151" s="15" t="n">
        <v>4</v>
      </c>
      <c r="I5151" s="17" t="n">
        <v>0</v>
      </c>
      <c r="J5151" s="18" t="n">
        <v>2870.93</v>
      </c>
      <c r="K5151" s="19" t="n">
        <v>-242.05</v>
      </c>
      <c r="L5151" s="15" t="n">
        <f aca="false">YEAR(B5151)</f>
        <v>2023</v>
      </c>
      <c r="M5151" s="20" t="n">
        <f aca="false">IF(J5151&gt;0,K5151/J5151,0)</f>
        <v>-0.0843106589154037</v>
      </c>
    </row>
    <row r="5152" customFormat="false" ht="15" hidden="false" customHeight="false" outlineLevel="0" collapsed="false">
      <c r="A5152" s="15" t="s">
        <v>5209</v>
      </c>
      <c r="B5152" s="16" t="n">
        <v>45093</v>
      </c>
      <c r="C5152" s="15" t="s">
        <v>56</v>
      </c>
      <c r="D5152" s="15" t="s">
        <v>43</v>
      </c>
      <c r="E5152" s="15" t="s">
        <v>39</v>
      </c>
      <c r="F5152" s="15" t="s">
        <v>16</v>
      </c>
      <c r="G5152" s="15" t="s">
        <v>27</v>
      </c>
      <c r="H5152" s="15" t="n">
        <v>2</v>
      </c>
      <c r="I5152" s="17" t="n">
        <v>0.1</v>
      </c>
      <c r="J5152" s="18" t="n">
        <v>117.68</v>
      </c>
      <c r="K5152" s="19" t="n">
        <v>14.44</v>
      </c>
      <c r="L5152" s="15" t="n">
        <f aca="false">YEAR(B5152)</f>
        <v>2023</v>
      </c>
      <c r="M5152" s="20" t="n">
        <f aca="false">IF(J5152&gt;0,K5152/J5152,0)</f>
        <v>0.122705642420122</v>
      </c>
    </row>
    <row r="5153" customFormat="false" ht="15" hidden="false" customHeight="false" outlineLevel="0" collapsed="false">
      <c r="A5153" s="15" t="s">
        <v>5210</v>
      </c>
      <c r="B5153" s="16" t="n">
        <v>45181</v>
      </c>
      <c r="C5153" s="15" t="s">
        <v>71</v>
      </c>
      <c r="D5153" s="15" t="s">
        <v>44</v>
      </c>
      <c r="E5153" s="15" t="s">
        <v>38</v>
      </c>
      <c r="F5153" s="15" t="s">
        <v>17</v>
      </c>
      <c r="G5153" s="15" t="s">
        <v>26</v>
      </c>
      <c r="H5153" s="15" t="n">
        <v>6</v>
      </c>
      <c r="I5153" s="17" t="n">
        <v>0.2</v>
      </c>
      <c r="J5153" s="18" t="n">
        <v>332.43</v>
      </c>
      <c r="K5153" s="19" t="n">
        <v>-8.68</v>
      </c>
      <c r="L5153" s="15" t="n">
        <f aca="false">YEAR(B5153)</f>
        <v>2023</v>
      </c>
      <c r="M5153" s="20" t="n">
        <f aca="false">IF(J5153&gt;0,K5153/J5153,0)</f>
        <v>-0.0261107601600337</v>
      </c>
    </row>
    <row r="5154" customFormat="false" ht="15" hidden="false" customHeight="false" outlineLevel="0" collapsed="false">
      <c r="A5154" s="15" t="s">
        <v>5211</v>
      </c>
      <c r="B5154" s="16" t="n">
        <v>44968</v>
      </c>
      <c r="C5154" s="15" t="s">
        <v>56</v>
      </c>
      <c r="D5154" s="15" t="s">
        <v>43</v>
      </c>
      <c r="E5154" s="15" t="s">
        <v>37</v>
      </c>
      <c r="F5154" s="15" t="s">
        <v>17</v>
      </c>
      <c r="G5154" s="15" t="s">
        <v>28</v>
      </c>
      <c r="H5154" s="15" t="n">
        <v>4</v>
      </c>
      <c r="I5154" s="17" t="n">
        <v>0</v>
      </c>
      <c r="J5154" s="18" t="n">
        <v>90.67</v>
      </c>
      <c r="K5154" s="19" t="n">
        <v>25.85</v>
      </c>
      <c r="L5154" s="15" t="n">
        <f aca="false">YEAR(B5154)</f>
        <v>2023</v>
      </c>
      <c r="M5154" s="20" t="n">
        <f aca="false">IF(J5154&gt;0,K5154/J5154,0)</f>
        <v>0.285099812506893</v>
      </c>
    </row>
    <row r="5155" customFormat="false" ht="15" hidden="false" customHeight="false" outlineLevel="0" collapsed="false">
      <c r="A5155" s="15" t="s">
        <v>5212</v>
      </c>
      <c r="B5155" s="16" t="n">
        <v>44965</v>
      </c>
      <c r="C5155" s="15" t="s">
        <v>71</v>
      </c>
      <c r="D5155" s="15" t="s">
        <v>44</v>
      </c>
      <c r="E5155" s="15" t="s">
        <v>37</v>
      </c>
      <c r="F5155" s="15" t="s">
        <v>18</v>
      </c>
      <c r="G5155" s="15" t="s">
        <v>30</v>
      </c>
      <c r="H5155" s="15" t="n">
        <v>4</v>
      </c>
      <c r="I5155" s="17" t="n">
        <v>0</v>
      </c>
      <c r="J5155" s="18" t="n">
        <v>189.62</v>
      </c>
      <c r="K5155" s="19" t="n">
        <v>53.38</v>
      </c>
      <c r="L5155" s="15" t="n">
        <f aca="false">YEAR(B5155)</f>
        <v>2023</v>
      </c>
      <c r="M5155" s="20" t="n">
        <f aca="false">IF(J5155&gt;0,K5155/J5155,0)</f>
        <v>0.281510389199452</v>
      </c>
    </row>
    <row r="5156" customFormat="false" ht="15" hidden="false" customHeight="false" outlineLevel="0" collapsed="false">
      <c r="A5156" s="15" t="s">
        <v>5213</v>
      </c>
      <c r="B5156" s="16" t="n">
        <v>45730</v>
      </c>
      <c r="C5156" s="15" t="s">
        <v>56</v>
      </c>
      <c r="D5156" s="15" t="s">
        <v>42</v>
      </c>
      <c r="E5156" s="15" t="s">
        <v>37</v>
      </c>
      <c r="F5156" s="15" t="s">
        <v>17</v>
      </c>
      <c r="G5156" s="15" t="s">
        <v>28</v>
      </c>
      <c r="H5156" s="15" t="n">
        <v>2</v>
      </c>
      <c r="I5156" s="17" t="n">
        <v>0</v>
      </c>
      <c r="J5156" s="18" t="n">
        <v>39.38</v>
      </c>
      <c r="K5156" s="19" t="n">
        <v>11.06</v>
      </c>
      <c r="L5156" s="15" t="n">
        <f aca="false">YEAR(B5156)</f>
        <v>2025</v>
      </c>
      <c r="M5156" s="20" t="n">
        <f aca="false">IF(J5156&gt;0,K5156/J5156,0)</f>
        <v>0.280853224987303</v>
      </c>
    </row>
    <row r="5157" customFormat="false" ht="15" hidden="false" customHeight="false" outlineLevel="0" collapsed="false">
      <c r="A5157" s="15" t="s">
        <v>5214</v>
      </c>
      <c r="B5157" s="16" t="n">
        <v>45281</v>
      </c>
      <c r="C5157" s="15" t="s">
        <v>58</v>
      </c>
      <c r="D5157" s="15" t="s">
        <v>42</v>
      </c>
      <c r="E5157" s="15" t="s">
        <v>39</v>
      </c>
      <c r="F5157" s="15" t="s">
        <v>18</v>
      </c>
      <c r="G5157" s="15" t="s">
        <v>30</v>
      </c>
      <c r="H5157" s="15" t="n">
        <v>5</v>
      </c>
      <c r="I5157" s="17" t="n">
        <v>0</v>
      </c>
      <c r="J5157" s="18" t="n">
        <v>194.95</v>
      </c>
      <c r="K5157" s="19" t="n">
        <v>58.68</v>
      </c>
      <c r="L5157" s="15" t="n">
        <f aca="false">YEAR(B5157)</f>
        <v>2023</v>
      </c>
      <c r="M5157" s="20" t="n">
        <f aca="false">IF(J5157&gt;0,K5157/J5157,0)</f>
        <v>0.30100025647602</v>
      </c>
    </row>
    <row r="5158" customFormat="false" ht="15" hidden="false" customHeight="false" outlineLevel="0" collapsed="false">
      <c r="A5158" s="15" t="s">
        <v>5215</v>
      </c>
      <c r="B5158" s="16" t="n">
        <v>45192</v>
      </c>
      <c r="C5158" s="15" t="s">
        <v>56</v>
      </c>
      <c r="D5158" s="15" t="s">
        <v>44</v>
      </c>
      <c r="E5158" s="15" t="s">
        <v>37</v>
      </c>
      <c r="F5158" s="15" t="s">
        <v>16</v>
      </c>
      <c r="G5158" s="15" t="s">
        <v>25</v>
      </c>
      <c r="H5158" s="15" t="n">
        <v>4</v>
      </c>
      <c r="I5158" s="17" t="n">
        <v>0.2</v>
      </c>
      <c r="J5158" s="18" t="n">
        <v>893.58</v>
      </c>
      <c r="K5158" s="19" t="n">
        <v>-39.74</v>
      </c>
      <c r="L5158" s="15" t="n">
        <f aca="false">YEAR(B5158)</f>
        <v>2023</v>
      </c>
      <c r="M5158" s="20" t="n">
        <f aca="false">IF(J5158&gt;0,K5158/J5158,0)</f>
        <v>-0.0444727948253094</v>
      </c>
    </row>
    <row r="5159" customFormat="false" ht="15" hidden="false" customHeight="false" outlineLevel="0" collapsed="false">
      <c r="A5159" s="15" t="s">
        <v>5216</v>
      </c>
      <c r="B5159" s="16" t="n">
        <v>45381</v>
      </c>
      <c r="C5159" s="15" t="s">
        <v>56</v>
      </c>
      <c r="D5159" s="15" t="s">
        <v>43</v>
      </c>
      <c r="E5159" s="15" t="s">
        <v>36</v>
      </c>
      <c r="F5159" s="15" t="s">
        <v>16</v>
      </c>
      <c r="G5159" s="15" t="s">
        <v>27</v>
      </c>
      <c r="H5159" s="15" t="n">
        <v>2</v>
      </c>
      <c r="I5159" s="17" t="n">
        <v>0.3</v>
      </c>
      <c r="J5159" s="18" t="n">
        <v>81.71</v>
      </c>
      <c r="K5159" s="19" t="n">
        <v>-6.65</v>
      </c>
      <c r="L5159" s="15" t="n">
        <f aca="false">YEAR(B5159)</f>
        <v>2024</v>
      </c>
      <c r="M5159" s="20" t="n">
        <f aca="false">IF(J5159&gt;0,K5159/J5159,0)</f>
        <v>-0.0813853873454902</v>
      </c>
    </row>
    <row r="5160" customFormat="false" ht="15" hidden="false" customHeight="false" outlineLevel="0" collapsed="false">
      <c r="A5160" s="15" t="s">
        <v>5217</v>
      </c>
      <c r="B5160" s="16" t="n">
        <v>45434</v>
      </c>
      <c r="C5160" s="15" t="s">
        <v>56</v>
      </c>
      <c r="D5160" s="15" t="s">
        <v>43</v>
      </c>
      <c r="E5160" s="15" t="s">
        <v>38</v>
      </c>
      <c r="F5160" s="15" t="s">
        <v>17</v>
      </c>
      <c r="G5160" s="15" t="s">
        <v>28</v>
      </c>
      <c r="H5160" s="15" t="n">
        <v>4</v>
      </c>
      <c r="I5160" s="17" t="n">
        <v>0.4</v>
      </c>
      <c r="J5160" s="18" t="n">
        <v>74.31</v>
      </c>
      <c r="K5160" s="19" t="n">
        <v>-7.2</v>
      </c>
      <c r="L5160" s="15" t="n">
        <f aca="false">YEAR(B5160)</f>
        <v>2024</v>
      </c>
      <c r="M5160" s="20" t="n">
        <f aca="false">IF(J5160&gt;0,K5160/J5160,0)</f>
        <v>-0.0968914008881712</v>
      </c>
    </row>
    <row r="5161" customFormat="false" ht="15" hidden="false" customHeight="false" outlineLevel="0" collapsed="false">
      <c r="A5161" s="15" t="s">
        <v>5218</v>
      </c>
      <c r="B5161" s="16" t="n">
        <v>44982</v>
      </c>
      <c r="C5161" s="15" t="s">
        <v>68</v>
      </c>
      <c r="D5161" s="15" t="s">
        <v>42</v>
      </c>
      <c r="E5161" s="15" t="s">
        <v>39</v>
      </c>
      <c r="F5161" s="15" t="s">
        <v>18</v>
      </c>
      <c r="G5161" s="15" t="s">
        <v>24</v>
      </c>
      <c r="H5161" s="15" t="n">
        <v>4</v>
      </c>
      <c r="I5161" s="17" t="n">
        <v>0</v>
      </c>
      <c r="J5161" s="18" t="n">
        <v>2398.99</v>
      </c>
      <c r="K5161" s="19" t="n">
        <v>55.18</v>
      </c>
      <c r="L5161" s="15" t="n">
        <f aca="false">YEAR(B5161)</f>
        <v>2023</v>
      </c>
      <c r="M5161" s="20" t="n">
        <f aca="false">IF(J5161&gt;0,K5161/J5161,0)</f>
        <v>0.0230013463999433</v>
      </c>
    </row>
    <row r="5162" customFormat="false" ht="15" hidden="false" customHeight="false" outlineLevel="0" collapsed="false">
      <c r="A5162" s="15" t="s">
        <v>5219</v>
      </c>
      <c r="B5162" s="16" t="n">
        <v>44664</v>
      </c>
      <c r="C5162" s="15" t="s">
        <v>56</v>
      </c>
      <c r="D5162" s="15" t="s">
        <v>44</v>
      </c>
      <c r="E5162" s="15" t="s">
        <v>37</v>
      </c>
      <c r="F5162" s="15" t="s">
        <v>17</v>
      </c>
      <c r="G5162" s="15" t="s">
        <v>28</v>
      </c>
      <c r="H5162" s="15" t="n">
        <v>2</v>
      </c>
      <c r="I5162" s="17" t="n">
        <v>0.05</v>
      </c>
      <c r="J5162" s="18" t="n">
        <v>56.55</v>
      </c>
      <c r="K5162" s="19" t="n">
        <v>16.81</v>
      </c>
      <c r="L5162" s="15" t="n">
        <f aca="false">YEAR(B5162)</f>
        <v>2022</v>
      </c>
      <c r="M5162" s="20" t="n">
        <f aca="false">IF(J5162&gt;0,K5162/J5162,0)</f>
        <v>0.297259062776304</v>
      </c>
    </row>
    <row r="5163" customFormat="false" ht="15" hidden="false" customHeight="false" outlineLevel="0" collapsed="false">
      <c r="A5163" s="15" t="s">
        <v>5220</v>
      </c>
      <c r="B5163" s="16" t="n">
        <v>45115</v>
      </c>
      <c r="C5163" s="15" t="s">
        <v>58</v>
      </c>
      <c r="D5163" s="15" t="s">
        <v>42</v>
      </c>
      <c r="E5163" s="15" t="s">
        <v>38</v>
      </c>
      <c r="F5163" s="15" t="s">
        <v>17</v>
      </c>
      <c r="G5163" s="15" t="s">
        <v>29</v>
      </c>
      <c r="H5163" s="15" t="n">
        <v>3</v>
      </c>
      <c r="I5163" s="17" t="n">
        <v>0</v>
      </c>
      <c r="J5163" s="18" t="n">
        <v>48.42</v>
      </c>
      <c r="K5163" s="19" t="n">
        <v>21.51</v>
      </c>
      <c r="L5163" s="15" t="n">
        <f aca="false">YEAR(B5163)</f>
        <v>2023</v>
      </c>
      <c r="M5163" s="20" t="n">
        <f aca="false">IF(J5163&gt;0,K5163/J5163,0)</f>
        <v>0.444237918215613</v>
      </c>
    </row>
    <row r="5164" customFormat="false" ht="15" hidden="false" customHeight="false" outlineLevel="0" collapsed="false">
      <c r="A5164" s="15" t="s">
        <v>5221</v>
      </c>
      <c r="B5164" s="16" t="n">
        <v>45595</v>
      </c>
      <c r="C5164" s="15" t="s">
        <v>56</v>
      </c>
      <c r="D5164" s="15" t="s">
        <v>43</v>
      </c>
      <c r="E5164" s="15" t="s">
        <v>39</v>
      </c>
      <c r="F5164" s="15" t="s">
        <v>17</v>
      </c>
      <c r="G5164" s="15" t="s">
        <v>26</v>
      </c>
      <c r="H5164" s="15" t="n">
        <v>6</v>
      </c>
      <c r="I5164" s="17" t="n">
        <v>0</v>
      </c>
      <c r="J5164" s="18" t="n">
        <v>677.59</v>
      </c>
      <c r="K5164" s="19" t="n">
        <v>92.38</v>
      </c>
      <c r="L5164" s="15" t="n">
        <f aca="false">YEAR(B5164)</f>
        <v>2024</v>
      </c>
      <c r="M5164" s="20" t="n">
        <f aca="false">IF(J5164&gt;0,K5164/J5164,0)</f>
        <v>0.136336132469487</v>
      </c>
    </row>
    <row r="5165" customFormat="false" ht="15" hidden="false" customHeight="false" outlineLevel="0" collapsed="false">
      <c r="A5165" s="15" t="s">
        <v>5222</v>
      </c>
      <c r="B5165" s="16" t="n">
        <v>45522</v>
      </c>
      <c r="C5165" s="15" t="s">
        <v>56</v>
      </c>
      <c r="D5165" s="15" t="s">
        <v>44</v>
      </c>
      <c r="E5165" s="15" t="s">
        <v>38</v>
      </c>
      <c r="F5165" s="15" t="s">
        <v>17</v>
      </c>
      <c r="G5165" s="15" t="s">
        <v>29</v>
      </c>
      <c r="H5165" s="15" t="n">
        <v>5</v>
      </c>
      <c r="I5165" s="17" t="n">
        <v>0</v>
      </c>
      <c r="J5165" s="18" t="n">
        <v>72.69</v>
      </c>
      <c r="K5165" s="19" t="n">
        <v>25.45</v>
      </c>
      <c r="L5165" s="15" t="n">
        <f aca="false">YEAR(B5165)</f>
        <v>2024</v>
      </c>
      <c r="M5165" s="20" t="n">
        <f aca="false">IF(J5165&gt;0,K5165/J5165,0)</f>
        <v>0.350116934929151</v>
      </c>
    </row>
    <row r="5166" customFormat="false" ht="15" hidden="false" customHeight="false" outlineLevel="0" collapsed="false">
      <c r="A5166" s="15" t="s">
        <v>5223</v>
      </c>
      <c r="B5166" s="16" t="n">
        <v>45309</v>
      </c>
      <c r="C5166" s="15" t="s">
        <v>58</v>
      </c>
      <c r="D5166" s="15" t="s">
        <v>42</v>
      </c>
      <c r="E5166" s="15" t="s">
        <v>36</v>
      </c>
      <c r="F5166" s="15" t="s">
        <v>17</v>
      </c>
      <c r="G5166" s="15" t="s">
        <v>28</v>
      </c>
      <c r="H5166" s="15" t="n">
        <v>4</v>
      </c>
      <c r="I5166" s="17" t="n">
        <v>0</v>
      </c>
      <c r="J5166" s="18" t="n">
        <v>88.27</v>
      </c>
      <c r="K5166" s="19" t="n">
        <v>25.41</v>
      </c>
      <c r="L5166" s="15" t="n">
        <f aca="false">YEAR(B5166)</f>
        <v>2024</v>
      </c>
      <c r="M5166" s="20" t="n">
        <f aca="false">IF(J5166&gt;0,K5166/J5166,0)</f>
        <v>0.287866772402855</v>
      </c>
    </row>
    <row r="5167" customFormat="false" ht="15" hidden="false" customHeight="false" outlineLevel="0" collapsed="false">
      <c r="A5167" s="15" t="s">
        <v>5224</v>
      </c>
      <c r="B5167" s="16" t="n">
        <v>45943</v>
      </c>
      <c r="C5167" s="15" t="s">
        <v>56</v>
      </c>
      <c r="D5167" s="15" t="s">
        <v>42</v>
      </c>
      <c r="E5167" s="15" t="s">
        <v>37</v>
      </c>
      <c r="F5167" s="15" t="s">
        <v>17</v>
      </c>
      <c r="G5167" s="15" t="s">
        <v>26</v>
      </c>
      <c r="H5167" s="15" t="n">
        <v>2</v>
      </c>
      <c r="I5167" s="17" t="n">
        <v>0.4</v>
      </c>
      <c r="J5167" s="18" t="n">
        <v>119.22</v>
      </c>
      <c r="K5167" s="19" t="n">
        <v>-36.71</v>
      </c>
      <c r="L5167" s="15" t="n">
        <f aca="false">YEAR(B5167)</f>
        <v>2025</v>
      </c>
      <c r="M5167" s="20" t="n">
        <f aca="false">IF(J5167&gt;0,K5167/J5167,0)</f>
        <v>-0.307918134541184</v>
      </c>
    </row>
    <row r="5168" customFormat="false" ht="15" hidden="false" customHeight="false" outlineLevel="0" collapsed="false">
      <c r="A5168" s="15" t="s">
        <v>5225</v>
      </c>
      <c r="B5168" s="16" t="n">
        <v>45983</v>
      </c>
      <c r="C5168" s="15" t="s">
        <v>56</v>
      </c>
      <c r="D5168" s="15" t="s">
        <v>42</v>
      </c>
      <c r="E5168" s="15" t="s">
        <v>36</v>
      </c>
      <c r="F5168" s="15" t="s">
        <v>17</v>
      </c>
      <c r="G5168" s="15" t="s">
        <v>28</v>
      </c>
      <c r="H5168" s="15" t="n">
        <v>4</v>
      </c>
      <c r="I5168" s="17" t="n">
        <v>0</v>
      </c>
      <c r="J5168" s="18" t="n">
        <v>108.32</v>
      </c>
      <c r="K5168" s="19" t="n">
        <v>31.34</v>
      </c>
      <c r="L5168" s="15" t="n">
        <f aca="false">YEAR(B5168)</f>
        <v>2025</v>
      </c>
      <c r="M5168" s="20" t="n">
        <f aca="false">IF(J5168&gt;0,K5168/J5168,0)</f>
        <v>0.289327917282127</v>
      </c>
    </row>
    <row r="5169" customFormat="false" ht="15" hidden="false" customHeight="false" outlineLevel="0" collapsed="false">
      <c r="A5169" s="15" t="s">
        <v>5226</v>
      </c>
      <c r="B5169" s="16" t="n">
        <v>45629</v>
      </c>
      <c r="C5169" s="15" t="s">
        <v>56</v>
      </c>
      <c r="D5169" s="15" t="s">
        <v>42</v>
      </c>
      <c r="E5169" s="15" t="s">
        <v>37</v>
      </c>
      <c r="F5169" s="15" t="s">
        <v>16</v>
      </c>
      <c r="G5169" s="15" t="s">
        <v>27</v>
      </c>
      <c r="H5169" s="15" t="n">
        <v>4</v>
      </c>
      <c r="I5169" s="17" t="n">
        <v>0</v>
      </c>
      <c r="J5169" s="18" t="n">
        <v>291.64</v>
      </c>
      <c r="K5169" s="19" t="n">
        <v>67.25</v>
      </c>
      <c r="L5169" s="15" t="n">
        <f aca="false">YEAR(B5169)</f>
        <v>2024</v>
      </c>
      <c r="M5169" s="20" t="n">
        <f aca="false">IF(J5169&gt;0,K5169/J5169,0)</f>
        <v>0.23059251131532</v>
      </c>
    </row>
    <row r="5170" customFormat="false" ht="15" hidden="false" customHeight="false" outlineLevel="0" collapsed="false">
      <c r="A5170" s="15" t="s">
        <v>5227</v>
      </c>
      <c r="B5170" s="16" t="n">
        <v>44883</v>
      </c>
      <c r="C5170" s="15" t="s">
        <v>56</v>
      </c>
      <c r="D5170" s="15" t="s">
        <v>42</v>
      </c>
      <c r="E5170" s="15" t="s">
        <v>37</v>
      </c>
      <c r="F5170" s="15" t="s">
        <v>17</v>
      </c>
      <c r="G5170" s="15" t="s">
        <v>31</v>
      </c>
      <c r="H5170" s="15" t="n">
        <v>6</v>
      </c>
      <c r="I5170" s="17" t="n">
        <v>0.2</v>
      </c>
      <c r="J5170" s="18" t="n">
        <v>626.47</v>
      </c>
      <c r="K5170" s="19" t="n">
        <v>-7</v>
      </c>
      <c r="L5170" s="15" t="n">
        <f aca="false">YEAR(B5170)</f>
        <v>2022</v>
      </c>
      <c r="M5170" s="20" t="n">
        <f aca="false">IF(J5170&gt;0,K5170/J5170,0)</f>
        <v>-0.0111737194119431</v>
      </c>
    </row>
    <row r="5171" customFormat="false" ht="15" hidden="false" customHeight="false" outlineLevel="0" collapsed="false">
      <c r="A5171" s="15" t="s">
        <v>5228</v>
      </c>
      <c r="B5171" s="16" t="n">
        <v>45760</v>
      </c>
      <c r="C5171" s="15" t="s">
        <v>56</v>
      </c>
      <c r="D5171" s="15" t="s">
        <v>42</v>
      </c>
      <c r="E5171" s="15" t="s">
        <v>37</v>
      </c>
      <c r="F5171" s="15" t="s">
        <v>16</v>
      </c>
      <c r="G5171" s="15" t="s">
        <v>27</v>
      </c>
      <c r="H5171" s="15" t="n">
        <v>7</v>
      </c>
      <c r="I5171" s="17" t="n">
        <v>0.05</v>
      </c>
      <c r="J5171" s="18" t="n">
        <v>333.97</v>
      </c>
      <c r="K5171" s="19" t="n">
        <v>70.36</v>
      </c>
      <c r="L5171" s="15" t="n">
        <f aca="false">YEAR(B5171)</f>
        <v>2025</v>
      </c>
      <c r="M5171" s="20" t="n">
        <f aca="false">IF(J5171&gt;0,K5171/J5171,0)</f>
        <v>0.210677605772974</v>
      </c>
    </row>
    <row r="5172" customFormat="false" ht="15" hidden="false" customHeight="false" outlineLevel="0" collapsed="false">
      <c r="A5172" s="15" t="s">
        <v>5229</v>
      </c>
      <c r="B5172" s="16" t="n">
        <v>44866</v>
      </c>
      <c r="C5172" s="15" t="s">
        <v>68</v>
      </c>
      <c r="D5172" s="15" t="s">
        <v>42</v>
      </c>
      <c r="E5172" s="15" t="s">
        <v>36</v>
      </c>
      <c r="F5172" s="15" t="s">
        <v>17</v>
      </c>
      <c r="G5172" s="15" t="s">
        <v>28</v>
      </c>
      <c r="H5172" s="15" t="n">
        <v>4</v>
      </c>
      <c r="I5172" s="17" t="n">
        <v>0</v>
      </c>
      <c r="J5172" s="18" t="n">
        <v>109.72</v>
      </c>
      <c r="K5172" s="19" t="n">
        <v>34.52</v>
      </c>
      <c r="L5172" s="15" t="n">
        <f aca="false">YEAR(B5172)</f>
        <v>2022</v>
      </c>
      <c r="M5172" s="20" t="n">
        <f aca="false">IF(J5172&gt;0,K5172/J5172,0)</f>
        <v>0.314619030258841</v>
      </c>
    </row>
    <row r="5173" customFormat="false" ht="15" hidden="false" customHeight="false" outlineLevel="0" collapsed="false">
      <c r="A5173" s="15" t="s">
        <v>5230</v>
      </c>
      <c r="B5173" s="16" t="n">
        <v>44804</v>
      </c>
      <c r="C5173" s="15" t="s">
        <v>56</v>
      </c>
      <c r="D5173" s="15" t="s">
        <v>42</v>
      </c>
      <c r="E5173" s="15" t="s">
        <v>37</v>
      </c>
      <c r="F5173" s="15" t="s">
        <v>17</v>
      </c>
      <c r="G5173" s="15" t="s">
        <v>31</v>
      </c>
      <c r="H5173" s="15" t="n">
        <v>3</v>
      </c>
      <c r="I5173" s="17" t="n">
        <v>0</v>
      </c>
      <c r="J5173" s="18" t="n">
        <v>439.74</v>
      </c>
      <c r="K5173" s="19" t="n">
        <v>89.46</v>
      </c>
      <c r="L5173" s="15" t="n">
        <f aca="false">YEAR(B5173)</f>
        <v>2022</v>
      </c>
      <c r="M5173" s="20" t="n">
        <f aca="false">IF(J5173&gt;0,K5173/J5173,0)</f>
        <v>0.203438395415473</v>
      </c>
    </row>
    <row r="5174" customFormat="false" ht="15" hidden="false" customHeight="false" outlineLevel="0" collapsed="false">
      <c r="A5174" s="15" t="s">
        <v>5231</v>
      </c>
      <c r="B5174" s="16" t="n">
        <v>45078</v>
      </c>
      <c r="C5174" s="15" t="s">
        <v>68</v>
      </c>
      <c r="D5174" s="15" t="s">
        <v>42</v>
      </c>
      <c r="E5174" s="15" t="s">
        <v>37</v>
      </c>
      <c r="F5174" s="15" t="s">
        <v>18</v>
      </c>
      <c r="G5174" s="15" t="s">
        <v>33</v>
      </c>
      <c r="H5174" s="15" t="n">
        <v>3</v>
      </c>
      <c r="I5174" s="17" t="n">
        <v>0</v>
      </c>
      <c r="J5174" s="18" t="n">
        <v>2507.4</v>
      </c>
      <c r="K5174" s="19" t="n">
        <v>736.15</v>
      </c>
      <c r="L5174" s="15" t="n">
        <f aca="false">YEAR(B5174)</f>
        <v>2023</v>
      </c>
      <c r="M5174" s="20" t="n">
        <f aca="false">IF(J5174&gt;0,K5174/J5174,0)</f>
        <v>0.293590970726649</v>
      </c>
    </row>
    <row r="5175" customFormat="false" ht="15" hidden="false" customHeight="false" outlineLevel="0" collapsed="false">
      <c r="A5175" s="15" t="s">
        <v>5232</v>
      </c>
      <c r="B5175" s="16" t="n">
        <v>45637</v>
      </c>
      <c r="C5175" s="15" t="s">
        <v>68</v>
      </c>
      <c r="D5175" s="15" t="s">
        <v>44</v>
      </c>
      <c r="E5175" s="15" t="s">
        <v>37</v>
      </c>
      <c r="F5175" s="15" t="s">
        <v>17</v>
      </c>
      <c r="G5175" s="15" t="s">
        <v>28</v>
      </c>
      <c r="H5175" s="15" t="n">
        <v>2</v>
      </c>
      <c r="I5175" s="17" t="n">
        <v>0</v>
      </c>
      <c r="J5175" s="18" t="n">
        <v>41.06</v>
      </c>
      <c r="K5175" s="19" t="n">
        <v>12.06</v>
      </c>
      <c r="L5175" s="15" t="n">
        <f aca="false">YEAR(B5175)</f>
        <v>2024</v>
      </c>
      <c r="M5175" s="20" t="n">
        <f aca="false">IF(J5175&gt;0,K5175/J5175,0)</f>
        <v>0.293716512420848</v>
      </c>
    </row>
    <row r="5176" customFormat="false" ht="15" hidden="false" customHeight="false" outlineLevel="0" collapsed="false">
      <c r="A5176" s="15" t="s">
        <v>5233</v>
      </c>
      <c r="B5176" s="16" t="n">
        <v>45478</v>
      </c>
      <c r="C5176" s="15" t="s">
        <v>56</v>
      </c>
      <c r="D5176" s="15" t="s">
        <v>42</v>
      </c>
      <c r="E5176" s="15" t="s">
        <v>36</v>
      </c>
      <c r="F5176" s="15" t="s">
        <v>17</v>
      </c>
      <c r="G5176" s="15" t="s">
        <v>31</v>
      </c>
      <c r="H5176" s="15" t="n">
        <v>2</v>
      </c>
      <c r="I5176" s="17" t="n">
        <v>0.2</v>
      </c>
      <c r="J5176" s="18" t="n">
        <v>246.63</v>
      </c>
      <c r="K5176" s="19" t="n">
        <v>8.72</v>
      </c>
      <c r="L5176" s="15" t="n">
        <f aca="false">YEAR(B5176)</f>
        <v>2024</v>
      </c>
      <c r="M5176" s="20" t="n">
        <f aca="false">IF(J5176&gt;0,K5176/J5176,0)</f>
        <v>0.0353566070632121</v>
      </c>
    </row>
    <row r="5177" customFormat="false" ht="15" hidden="false" customHeight="false" outlineLevel="0" collapsed="false">
      <c r="A5177" s="15" t="s">
        <v>5234</v>
      </c>
      <c r="B5177" s="16" t="n">
        <v>45131</v>
      </c>
      <c r="C5177" s="15" t="s">
        <v>56</v>
      </c>
      <c r="D5177" s="15" t="s">
        <v>42</v>
      </c>
      <c r="E5177" s="15" t="s">
        <v>39</v>
      </c>
      <c r="F5177" s="15" t="s">
        <v>17</v>
      </c>
      <c r="G5177" s="15" t="s">
        <v>28</v>
      </c>
      <c r="H5177" s="15" t="n">
        <v>3</v>
      </c>
      <c r="I5177" s="17" t="n">
        <v>0</v>
      </c>
      <c r="J5177" s="18" t="n">
        <v>61.45</v>
      </c>
      <c r="K5177" s="19" t="n">
        <v>17.06</v>
      </c>
      <c r="L5177" s="15" t="n">
        <f aca="false">YEAR(B5177)</f>
        <v>2023</v>
      </c>
      <c r="M5177" s="20" t="n">
        <f aca="false">IF(J5177&gt;0,K5177/J5177,0)</f>
        <v>0.277624084621644</v>
      </c>
    </row>
    <row r="5178" customFormat="false" ht="15" hidden="false" customHeight="false" outlineLevel="0" collapsed="false">
      <c r="A5178" s="15" t="s">
        <v>5235</v>
      </c>
      <c r="B5178" s="16" t="n">
        <v>46019</v>
      </c>
      <c r="C5178" s="15" t="s">
        <v>56</v>
      </c>
      <c r="D5178" s="15" t="s">
        <v>42</v>
      </c>
      <c r="E5178" s="15" t="s">
        <v>38</v>
      </c>
      <c r="F5178" s="15" t="s">
        <v>17</v>
      </c>
      <c r="G5178" s="15" t="s">
        <v>29</v>
      </c>
      <c r="H5178" s="15" t="n">
        <v>4</v>
      </c>
      <c r="I5178" s="17" t="n">
        <v>0.1</v>
      </c>
      <c r="J5178" s="18" t="n">
        <v>73.83</v>
      </c>
      <c r="K5178" s="19" t="n">
        <v>28.25</v>
      </c>
      <c r="L5178" s="15" t="n">
        <f aca="false">YEAR(B5178)</f>
        <v>2025</v>
      </c>
      <c r="M5178" s="20" t="n">
        <f aca="false">IF(J5178&gt;0,K5178/J5178,0)</f>
        <v>0.382635784911283</v>
      </c>
    </row>
    <row r="5179" customFormat="false" ht="15" hidden="false" customHeight="false" outlineLevel="0" collapsed="false">
      <c r="A5179" s="15" t="s">
        <v>5236</v>
      </c>
      <c r="B5179" s="16" t="n">
        <v>45597</v>
      </c>
      <c r="C5179" s="15" t="s">
        <v>56</v>
      </c>
      <c r="D5179" s="15" t="s">
        <v>43</v>
      </c>
      <c r="E5179" s="15" t="s">
        <v>38</v>
      </c>
      <c r="F5179" s="15" t="s">
        <v>18</v>
      </c>
      <c r="G5179" s="15" t="s">
        <v>32</v>
      </c>
      <c r="H5179" s="15" t="n">
        <v>4</v>
      </c>
      <c r="I5179" s="17" t="n">
        <v>0</v>
      </c>
      <c r="J5179" s="18" t="n">
        <v>1471.38</v>
      </c>
      <c r="K5179" s="19" t="n">
        <v>302.05</v>
      </c>
      <c r="L5179" s="15" t="n">
        <f aca="false">YEAR(B5179)</f>
        <v>2024</v>
      </c>
      <c r="M5179" s="20" t="n">
        <f aca="false">IF(J5179&gt;0,K5179/J5179,0)</f>
        <v>0.205283475376857</v>
      </c>
    </row>
    <row r="5180" customFormat="false" ht="15" hidden="false" customHeight="false" outlineLevel="0" collapsed="false">
      <c r="A5180" s="15" t="s">
        <v>5237</v>
      </c>
      <c r="B5180" s="16" t="n">
        <v>44897</v>
      </c>
      <c r="C5180" s="15" t="s">
        <v>56</v>
      </c>
      <c r="D5180" s="15" t="s">
        <v>43</v>
      </c>
      <c r="E5180" s="15" t="s">
        <v>36</v>
      </c>
      <c r="F5180" s="15" t="s">
        <v>17</v>
      </c>
      <c r="G5180" s="15" t="s">
        <v>28</v>
      </c>
      <c r="H5180" s="15" t="n">
        <v>2</v>
      </c>
      <c r="I5180" s="17" t="n">
        <v>0.2</v>
      </c>
      <c r="J5180" s="18" t="n">
        <v>37.04</v>
      </c>
      <c r="K5180" s="19" t="n">
        <v>4.87</v>
      </c>
      <c r="L5180" s="15" t="n">
        <f aca="false">YEAR(B5180)</f>
        <v>2022</v>
      </c>
      <c r="M5180" s="20" t="n">
        <f aca="false">IF(J5180&gt;0,K5180/J5180,0)</f>
        <v>0.131479481641469</v>
      </c>
    </row>
    <row r="5181" customFormat="false" ht="15" hidden="false" customHeight="false" outlineLevel="0" collapsed="false">
      <c r="A5181" s="15" t="s">
        <v>5238</v>
      </c>
      <c r="B5181" s="16" t="n">
        <v>45457</v>
      </c>
      <c r="C5181" s="15" t="s">
        <v>58</v>
      </c>
      <c r="D5181" s="15" t="s">
        <v>43</v>
      </c>
      <c r="E5181" s="15" t="s">
        <v>36</v>
      </c>
      <c r="F5181" s="15" t="s">
        <v>17</v>
      </c>
      <c r="G5181" s="15" t="s">
        <v>29</v>
      </c>
      <c r="H5181" s="15" t="n">
        <v>4</v>
      </c>
      <c r="I5181" s="17" t="n">
        <v>0.15</v>
      </c>
      <c r="J5181" s="18" t="n">
        <v>66.24</v>
      </c>
      <c r="K5181" s="19" t="n">
        <v>12.88</v>
      </c>
      <c r="L5181" s="15" t="n">
        <f aca="false">YEAR(B5181)</f>
        <v>2024</v>
      </c>
      <c r="M5181" s="20" t="n">
        <f aca="false">IF(J5181&gt;0,K5181/J5181,0)</f>
        <v>0.194444444444444</v>
      </c>
    </row>
    <row r="5182" customFormat="false" ht="15" hidden="false" customHeight="false" outlineLevel="0" collapsed="false">
      <c r="A5182" s="15" t="s">
        <v>5239</v>
      </c>
      <c r="B5182" s="16" t="n">
        <v>45400</v>
      </c>
      <c r="C5182" s="15" t="s">
        <v>71</v>
      </c>
      <c r="D5182" s="15" t="s">
        <v>42</v>
      </c>
      <c r="E5182" s="15" t="s">
        <v>36</v>
      </c>
      <c r="F5182" s="15" t="s">
        <v>17</v>
      </c>
      <c r="G5182" s="15" t="s">
        <v>29</v>
      </c>
      <c r="H5182" s="15" t="n">
        <v>7</v>
      </c>
      <c r="I5182" s="17" t="n">
        <v>0.05</v>
      </c>
      <c r="J5182" s="18" t="n">
        <v>129.55</v>
      </c>
      <c r="K5182" s="19" t="n">
        <v>49.89</v>
      </c>
      <c r="L5182" s="15" t="n">
        <f aca="false">YEAR(B5182)</f>
        <v>2024</v>
      </c>
      <c r="M5182" s="20" t="n">
        <f aca="false">IF(J5182&gt;0,K5182/J5182,0)</f>
        <v>0.385102277113084</v>
      </c>
    </row>
    <row r="5183" customFormat="false" ht="15" hidden="false" customHeight="false" outlineLevel="0" collapsed="false">
      <c r="A5183" s="15" t="s">
        <v>5240</v>
      </c>
      <c r="B5183" s="16" t="n">
        <v>45238</v>
      </c>
      <c r="C5183" s="15" t="s">
        <v>71</v>
      </c>
      <c r="D5183" s="15" t="s">
        <v>44</v>
      </c>
      <c r="E5183" s="15" t="s">
        <v>38</v>
      </c>
      <c r="F5183" s="15" t="s">
        <v>18</v>
      </c>
      <c r="G5183" s="15" t="s">
        <v>24</v>
      </c>
      <c r="H5183" s="15" t="n">
        <v>2</v>
      </c>
      <c r="I5183" s="17" t="n">
        <v>0</v>
      </c>
      <c r="J5183" s="18" t="n">
        <v>1059.99</v>
      </c>
      <c r="K5183" s="19" t="n">
        <v>44.62</v>
      </c>
      <c r="L5183" s="15" t="n">
        <f aca="false">YEAR(B5183)</f>
        <v>2023</v>
      </c>
      <c r="M5183" s="20" t="n">
        <f aca="false">IF(J5183&gt;0,K5183/J5183,0)</f>
        <v>0.0420947367427995</v>
      </c>
    </row>
    <row r="5184" customFormat="false" ht="15" hidden="false" customHeight="false" outlineLevel="0" collapsed="false">
      <c r="A5184" s="15" t="s">
        <v>5241</v>
      </c>
      <c r="B5184" s="16" t="n">
        <v>45649</v>
      </c>
      <c r="C5184" s="15" t="s">
        <v>56</v>
      </c>
      <c r="D5184" s="15" t="s">
        <v>42</v>
      </c>
      <c r="E5184" s="15" t="s">
        <v>36</v>
      </c>
      <c r="F5184" s="15" t="s">
        <v>17</v>
      </c>
      <c r="G5184" s="15" t="s">
        <v>28</v>
      </c>
      <c r="H5184" s="15" t="n">
        <v>1</v>
      </c>
      <c r="I5184" s="17" t="n">
        <v>0.1</v>
      </c>
      <c r="J5184" s="18" t="n">
        <v>17.83</v>
      </c>
      <c r="K5184" s="19" t="n">
        <v>3.18</v>
      </c>
      <c r="L5184" s="15" t="n">
        <f aca="false">YEAR(B5184)</f>
        <v>2024</v>
      </c>
      <c r="M5184" s="20" t="n">
        <f aca="false">IF(J5184&gt;0,K5184/J5184,0)</f>
        <v>0.178351093662367</v>
      </c>
    </row>
    <row r="5185" customFormat="false" ht="15" hidden="false" customHeight="false" outlineLevel="0" collapsed="false">
      <c r="A5185" s="15" t="s">
        <v>5242</v>
      </c>
      <c r="B5185" s="16" t="n">
        <v>45246</v>
      </c>
      <c r="C5185" s="15" t="s">
        <v>58</v>
      </c>
      <c r="D5185" s="15" t="s">
        <v>43</v>
      </c>
      <c r="E5185" s="15" t="s">
        <v>38</v>
      </c>
      <c r="F5185" s="15" t="s">
        <v>17</v>
      </c>
      <c r="G5185" s="15" t="s">
        <v>26</v>
      </c>
      <c r="H5185" s="15" t="n">
        <v>4</v>
      </c>
      <c r="I5185" s="17" t="n">
        <v>0</v>
      </c>
      <c r="J5185" s="18" t="n">
        <v>379.2</v>
      </c>
      <c r="K5185" s="19" t="n">
        <v>41.13</v>
      </c>
      <c r="L5185" s="15" t="n">
        <f aca="false">YEAR(B5185)</f>
        <v>2023</v>
      </c>
      <c r="M5185" s="20" t="n">
        <f aca="false">IF(J5185&gt;0,K5185/J5185,0)</f>
        <v>0.108465189873418</v>
      </c>
    </row>
    <row r="5186" customFormat="false" ht="15" hidden="false" customHeight="false" outlineLevel="0" collapsed="false">
      <c r="A5186" s="15" t="s">
        <v>5243</v>
      </c>
      <c r="B5186" s="16" t="n">
        <v>45976</v>
      </c>
      <c r="C5186" s="15" t="s">
        <v>56</v>
      </c>
      <c r="D5186" s="15" t="s">
        <v>42</v>
      </c>
      <c r="E5186" s="15" t="s">
        <v>39</v>
      </c>
      <c r="F5186" s="15" t="s">
        <v>16</v>
      </c>
      <c r="G5186" s="15" t="s">
        <v>25</v>
      </c>
      <c r="H5186" s="15" t="n">
        <v>4</v>
      </c>
      <c r="I5186" s="17" t="n">
        <v>0</v>
      </c>
      <c r="J5186" s="18" t="n">
        <v>1272.61</v>
      </c>
      <c r="K5186" s="19" t="n">
        <v>156.45</v>
      </c>
      <c r="L5186" s="15" t="n">
        <f aca="false">YEAR(B5186)</f>
        <v>2025</v>
      </c>
      <c r="M5186" s="20" t="n">
        <f aca="false">IF(J5186&gt;0,K5186/J5186,0)</f>
        <v>0.122936327704481</v>
      </c>
    </row>
    <row r="5187" customFormat="false" ht="15" hidden="false" customHeight="false" outlineLevel="0" collapsed="false">
      <c r="A5187" s="15" t="s">
        <v>5244</v>
      </c>
      <c r="B5187" s="16" t="n">
        <v>44627</v>
      </c>
      <c r="C5187" s="15" t="s">
        <v>56</v>
      </c>
      <c r="D5187" s="15" t="s">
        <v>42</v>
      </c>
      <c r="E5187" s="15" t="s">
        <v>36</v>
      </c>
      <c r="F5187" s="15" t="s">
        <v>18</v>
      </c>
      <c r="G5187" s="15" t="s">
        <v>30</v>
      </c>
      <c r="H5187" s="15" t="n">
        <v>5</v>
      </c>
      <c r="I5187" s="17" t="n">
        <v>0.4</v>
      </c>
      <c r="J5187" s="18" t="n">
        <v>131.29</v>
      </c>
      <c r="K5187" s="19" t="n">
        <v>-7.09</v>
      </c>
      <c r="L5187" s="15" t="n">
        <f aca="false">YEAR(B5187)</f>
        <v>2022</v>
      </c>
      <c r="M5187" s="20" t="n">
        <f aca="false">IF(J5187&gt;0,K5187/J5187,0)</f>
        <v>-0.0540025896869526</v>
      </c>
    </row>
    <row r="5188" customFormat="false" ht="15" hidden="false" customHeight="false" outlineLevel="0" collapsed="false">
      <c r="A5188" s="15" t="s">
        <v>5245</v>
      </c>
      <c r="B5188" s="16" t="n">
        <v>45992</v>
      </c>
      <c r="C5188" s="15" t="s">
        <v>56</v>
      </c>
      <c r="D5188" s="15" t="s">
        <v>43</v>
      </c>
      <c r="E5188" s="15" t="s">
        <v>38</v>
      </c>
      <c r="F5188" s="15" t="s">
        <v>16</v>
      </c>
      <c r="G5188" s="15" t="s">
        <v>25</v>
      </c>
      <c r="H5188" s="15" t="n">
        <v>8</v>
      </c>
      <c r="I5188" s="17" t="n">
        <v>0</v>
      </c>
      <c r="J5188" s="18" t="n">
        <v>1983.15</v>
      </c>
      <c r="K5188" s="19" t="n">
        <v>167.15</v>
      </c>
      <c r="L5188" s="15" t="n">
        <f aca="false">YEAR(B5188)</f>
        <v>2025</v>
      </c>
      <c r="M5188" s="20" t="n">
        <f aca="false">IF(J5188&gt;0,K5188/J5188,0)</f>
        <v>0.084285101984217</v>
      </c>
    </row>
    <row r="5189" customFormat="false" ht="15" hidden="false" customHeight="false" outlineLevel="0" collapsed="false">
      <c r="A5189" s="15" t="s">
        <v>5246</v>
      </c>
      <c r="B5189" s="16" t="n">
        <v>45269</v>
      </c>
      <c r="C5189" s="15" t="s">
        <v>68</v>
      </c>
      <c r="D5189" s="15" t="s">
        <v>44</v>
      </c>
      <c r="E5189" s="15" t="s">
        <v>38</v>
      </c>
      <c r="F5189" s="15" t="s">
        <v>17</v>
      </c>
      <c r="G5189" s="15" t="s">
        <v>26</v>
      </c>
      <c r="H5189" s="15" t="n">
        <v>6</v>
      </c>
      <c r="I5189" s="17" t="n">
        <v>0.3</v>
      </c>
      <c r="J5189" s="18" t="n">
        <v>392.6</v>
      </c>
      <c r="K5189" s="19" t="n">
        <v>-36.28</v>
      </c>
      <c r="L5189" s="15" t="n">
        <f aca="false">YEAR(B5189)</f>
        <v>2023</v>
      </c>
      <c r="M5189" s="20" t="n">
        <f aca="false">IF(J5189&gt;0,K5189/J5189,0)</f>
        <v>-0.0924095771777891</v>
      </c>
    </row>
    <row r="5190" customFormat="false" ht="15" hidden="false" customHeight="false" outlineLevel="0" collapsed="false">
      <c r="A5190" s="15" t="s">
        <v>5247</v>
      </c>
      <c r="B5190" s="16" t="n">
        <v>45316</v>
      </c>
      <c r="C5190" s="15" t="s">
        <v>56</v>
      </c>
      <c r="D5190" s="15" t="s">
        <v>42</v>
      </c>
      <c r="E5190" s="15" t="s">
        <v>38</v>
      </c>
      <c r="F5190" s="15" t="s">
        <v>17</v>
      </c>
      <c r="G5190" s="15" t="s">
        <v>28</v>
      </c>
      <c r="H5190" s="15" t="n">
        <v>4</v>
      </c>
      <c r="I5190" s="17" t="n">
        <v>0.15</v>
      </c>
      <c r="J5190" s="18" t="n">
        <v>76.55</v>
      </c>
      <c r="K5190" s="19" t="n">
        <v>15.47</v>
      </c>
      <c r="L5190" s="15" t="n">
        <f aca="false">YEAR(B5190)</f>
        <v>2024</v>
      </c>
      <c r="M5190" s="20" t="n">
        <f aca="false">IF(J5190&gt;0,K5190/J5190,0)</f>
        <v>0.202090137165251</v>
      </c>
    </row>
    <row r="5191" customFormat="false" ht="15" hidden="false" customHeight="false" outlineLevel="0" collapsed="false">
      <c r="A5191" s="15" t="s">
        <v>5248</v>
      </c>
      <c r="B5191" s="16" t="n">
        <v>45478</v>
      </c>
      <c r="C5191" s="15" t="s">
        <v>56</v>
      </c>
      <c r="D5191" s="15" t="s">
        <v>42</v>
      </c>
      <c r="E5191" s="15" t="s">
        <v>39</v>
      </c>
      <c r="F5191" s="15" t="s">
        <v>17</v>
      </c>
      <c r="G5191" s="15" t="s">
        <v>29</v>
      </c>
      <c r="H5191" s="15" t="n">
        <v>5</v>
      </c>
      <c r="I5191" s="17" t="n">
        <v>0</v>
      </c>
      <c r="J5191" s="18" t="n">
        <v>97.69</v>
      </c>
      <c r="K5191" s="19" t="n">
        <v>33.14</v>
      </c>
      <c r="L5191" s="15" t="n">
        <f aca="false">YEAR(B5191)</f>
        <v>2024</v>
      </c>
      <c r="M5191" s="20" t="n">
        <f aca="false">IF(J5191&gt;0,K5191/J5191,0)</f>
        <v>0.339236359914014</v>
      </c>
    </row>
    <row r="5192" customFormat="false" ht="15" hidden="false" customHeight="false" outlineLevel="0" collapsed="false">
      <c r="A5192" s="15" t="s">
        <v>5249</v>
      </c>
      <c r="B5192" s="16" t="n">
        <v>45270</v>
      </c>
      <c r="C5192" s="15" t="s">
        <v>56</v>
      </c>
      <c r="D5192" s="15" t="s">
        <v>43</v>
      </c>
      <c r="E5192" s="15" t="s">
        <v>37</v>
      </c>
      <c r="F5192" s="15" t="s">
        <v>17</v>
      </c>
      <c r="G5192" s="15" t="s">
        <v>31</v>
      </c>
      <c r="H5192" s="15" t="n">
        <v>7</v>
      </c>
      <c r="I5192" s="17" t="n">
        <v>0.4</v>
      </c>
      <c r="J5192" s="18" t="n">
        <v>640.3</v>
      </c>
      <c r="K5192" s="19" t="n">
        <v>-86.95</v>
      </c>
      <c r="L5192" s="15" t="n">
        <f aca="false">YEAR(B5192)</f>
        <v>2023</v>
      </c>
      <c r="M5192" s="20" t="n">
        <f aca="false">IF(J5192&gt;0,K5192/J5192,0)</f>
        <v>-0.135795720755896</v>
      </c>
    </row>
    <row r="5193" customFormat="false" ht="15" hidden="false" customHeight="false" outlineLevel="0" collapsed="false">
      <c r="A5193" s="15" t="s">
        <v>5250</v>
      </c>
      <c r="B5193" s="16" t="n">
        <v>45731</v>
      </c>
      <c r="C5193" s="15" t="s">
        <v>68</v>
      </c>
      <c r="D5193" s="15" t="s">
        <v>42</v>
      </c>
      <c r="E5193" s="15" t="s">
        <v>39</v>
      </c>
      <c r="F5193" s="15" t="s">
        <v>17</v>
      </c>
      <c r="G5193" s="15" t="s">
        <v>29</v>
      </c>
      <c r="H5193" s="15" t="n">
        <v>5</v>
      </c>
      <c r="I5193" s="17" t="n">
        <v>0.2</v>
      </c>
      <c r="J5193" s="18" t="n">
        <v>101.09</v>
      </c>
      <c r="K5193" s="19" t="n">
        <v>20.48</v>
      </c>
      <c r="L5193" s="15" t="n">
        <f aca="false">YEAR(B5193)</f>
        <v>2025</v>
      </c>
      <c r="M5193" s="20" t="n">
        <f aca="false">IF(J5193&gt;0,K5193/J5193,0)</f>
        <v>0.202591749925809</v>
      </c>
    </row>
    <row r="5194" customFormat="false" ht="15" hidden="false" customHeight="false" outlineLevel="0" collapsed="false">
      <c r="A5194" s="15" t="s">
        <v>5251</v>
      </c>
      <c r="B5194" s="16" t="n">
        <v>45808</v>
      </c>
      <c r="C5194" s="15" t="s">
        <v>68</v>
      </c>
      <c r="D5194" s="15" t="s">
        <v>43</v>
      </c>
      <c r="E5194" s="15" t="s">
        <v>36</v>
      </c>
      <c r="F5194" s="15" t="s">
        <v>18</v>
      </c>
      <c r="G5194" s="15" t="s">
        <v>32</v>
      </c>
      <c r="H5194" s="15" t="n">
        <v>5</v>
      </c>
      <c r="I5194" s="17" t="n">
        <v>0.05</v>
      </c>
      <c r="J5194" s="18" t="n">
        <v>1985.26</v>
      </c>
      <c r="K5194" s="19" t="n">
        <v>179.5</v>
      </c>
      <c r="L5194" s="15" t="n">
        <f aca="false">YEAR(B5194)</f>
        <v>2025</v>
      </c>
      <c r="M5194" s="20" t="n">
        <f aca="false">IF(J5194&gt;0,K5194/J5194,0)</f>
        <v>0.0904163686368536</v>
      </c>
    </row>
    <row r="5195" customFormat="false" ht="15" hidden="false" customHeight="false" outlineLevel="0" collapsed="false">
      <c r="A5195" s="15" t="s">
        <v>5252</v>
      </c>
      <c r="B5195" s="16" t="n">
        <v>45480</v>
      </c>
      <c r="C5195" s="15" t="s">
        <v>71</v>
      </c>
      <c r="D5195" s="15" t="s">
        <v>42</v>
      </c>
      <c r="E5195" s="15" t="s">
        <v>37</v>
      </c>
      <c r="F5195" s="15" t="s">
        <v>17</v>
      </c>
      <c r="G5195" s="15" t="s">
        <v>28</v>
      </c>
      <c r="H5195" s="15" t="n">
        <v>4</v>
      </c>
      <c r="I5195" s="17" t="n">
        <v>0.2</v>
      </c>
      <c r="J5195" s="18" t="n">
        <v>84.6</v>
      </c>
      <c r="K5195" s="19" t="n">
        <v>9.61</v>
      </c>
      <c r="L5195" s="15" t="n">
        <f aca="false">YEAR(B5195)</f>
        <v>2024</v>
      </c>
      <c r="M5195" s="20" t="n">
        <f aca="false">IF(J5195&gt;0,K5195/J5195,0)</f>
        <v>0.113593380614657</v>
      </c>
    </row>
    <row r="5196" customFormat="false" ht="15" hidden="false" customHeight="false" outlineLevel="0" collapsed="false">
      <c r="A5196" s="15" t="s">
        <v>5253</v>
      </c>
      <c r="B5196" s="16" t="n">
        <v>44951</v>
      </c>
      <c r="C5196" s="15" t="s">
        <v>56</v>
      </c>
      <c r="D5196" s="15" t="s">
        <v>43</v>
      </c>
      <c r="E5196" s="15" t="s">
        <v>37</v>
      </c>
      <c r="F5196" s="15" t="s">
        <v>17</v>
      </c>
      <c r="G5196" s="15" t="s">
        <v>28</v>
      </c>
      <c r="H5196" s="15" t="n">
        <v>2</v>
      </c>
      <c r="I5196" s="17" t="n">
        <v>0</v>
      </c>
      <c r="J5196" s="18" t="n">
        <v>55.3</v>
      </c>
      <c r="K5196" s="19" t="n">
        <v>16.72</v>
      </c>
      <c r="L5196" s="15" t="n">
        <f aca="false">YEAR(B5196)</f>
        <v>2023</v>
      </c>
      <c r="M5196" s="20" t="n">
        <f aca="false">IF(J5196&gt;0,K5196/J5196,0)</f>
        <v>0.302350813743219</v>
      </c>
    </row>
    <row r="5197" customFormat="false" ht="15" hidden="false" customHeight="false" outlineLevel="0" collapsed="false">
      <c r="A5197" s="15" t="s">
        <v>5254</v>
      </c>
      <c r="B5197" s="16" t="n">
        <v>44680</v>
      </c>
      <c r="C5197" s="15" t="s">
        <v>56</v>
      </c>
      <c r="D5197" s="15" t="s">
        <v>42</v>
      </c>
      <c r="E5197" s="15" t="s">
        <v>37</v>
      </c>
      <c r="F5197" s="15" t="s">
        <v>17</v>
      </c>
      <c r="G5197" s="15" t="s">
        <v>29</v>
      </c>
      <c r="H5197" s="15" t="n">
        <v>3</v>
      </c>
      <c r="I5197" s="17" t="n">
        <v>0.05</v>
      </c>
      <c r="J5197" s="18" t="n">
        <v>51.01</v>
      </c>
      <c r="K5197" s="19" t="n">
        <v>14.34</v>
      </c>
      <c r="L5197" s="15" t="n">
        <f aca="false">YEAR(B5197)</f>
        <v>2022</v>
      </c>
      <c r="M5197" s="20" t="n">
        <f aca="false">IF(J5197&gt;0,K5197/J5197,0)</f>
        <v>0.281121348755146</v>
      </c>
    </row>
    <row r="5198" customFormat="false" ht="15" hidden="false" customHeight="false" outlineLevel="0" collapsed="false">
      <c r="A5198" s="15" t="s">
        <v>5255</v>
      </c>
      <c r="B5198" s="16" t="n">
        <v>45882</v>
      </c>
      <c r="C5198" s="15" t="s">
        <v>68</v>
      </c>
      <c r="D5198" s="15" t="s">
        <v>43</v>
      </c>
      <c r="E5198" s="15" t="s">
        <v>39</v>
      </c>
      <c r="F5198" s="15" t="s">
        <v>18</v>
      </c>
      <c r="G5198" s="15" t="s">
        <v>30</v>
      </c>
      <c r="H5198" s="15" t="n">
        <v>4</v>
      </c>
      <c r="I5198" s="17" t="n">
        <v>0.2</v>
      </c>
      <c r="J5198" s="18" t="n">
        <v>186.98</v>
      </c>
      <c r="K5198" s="19" t="n">
        <v>22.96</v>
      </c>
      <c r="L5198" s="15" t="n">
        <f aca="false">YEAR(B5198)</f>
        <v>2025</v>
      </c>
      <c r="M5198" s="20" t="n">
        <f aca="false">IF(J5198&gt;0,K5198/J5198,0)</f>
        <v>0.122793881698577</v>
      </c>
    </row>
    <row r="5199" customFormat="false" ht="15" hidden="false" customHeight="false" outlineLevel="0" collapsed="false">
      <c r="A5199" s="15" t="s">
        <v>5256</v>
      </c>
      <c r="B5199" s="16" t="n">
        <v>45234</v>
      </c>
      <c r="C5199" s="15" t="s">
        <v>56</v>
      </c>
      <c r="D5199" s="15" t="s">
        <v>44</v>
      </c>
      <c r="E5199" s="15" t="s">
        <v>38</v>
      </c>
      <c r="F5199" s="15" t="s">
        <v>17</v>
      </c>
      <c r="G5199" s="15" t="s">
        <v>28</v>
      </c>
      <c r="H5199" s="15" t="n">
        <v>2</v>
      </c>
      <c r="I5199" s="17" t="n">
        <v>0</v>
      </c>
      <c r="J5199" s="18" t="n">
        <v>48.22</v>
      </c>
      <c r="K5199" s="19" t="n">
        <v>15.44</v>
      </c>
      <c r="L5199" s="15" t="n">
        <f aca="false">YEAR(B5199)</f>
        <v>2023</v>
      </c>
      <c r="M5199" s="20" t="n">
        <f aca="false">IF(J5199&gt;0,K5199/J5199,0)</f>
        <v>0.320199087515554</v>
      </c>
    </row>
    <row r="5200" customFormat="false" ht="15" hidden="false" customHeight="false" outlineLevel="0" collapsed="false">
      <c r="A5200" s="15" t="s">
        <v>5257</v>
      </c>
      <c r="B5200" s="16" t="n">
        <v>45093</v>
      </c>
      <c r="C5200" s="15" t="s">
        <v>58</v>
      </c>
      <c r="D5200" s="15" t="s">
        <v>43</v>
      </c>
      <c r="E5200" s="15" t="s">
        <v>39</v>
      </c>
      <c r="F5200" s="15" t="s">
        <v>17</v>
      </c>
      <c r="G5200" s="15" t="s">
        <v>29</v>
      </c>
      <c r="H5200" s="15" t="n">
        <v>3</v>
      </c>
      <c r="I5200" s="17" t="n">
        <v>0.05</v>
      </c>
      <c r="J5200" s="18" t="n">
        <v>57.35</v>
      </c>
      <c r="K5200" s="19" t="n">
        <v>17.13</v>
      </c>
      <c r="L5200" s="15" t="n">
        <f aca="false">YEAR(B5200)</f>
        <v>2023</v>
      </c>
      <c r="M5200" s="20" t="n">
        <f aca="false">IF(J5200&gt;0,K5200/J5200,0)</f>
        <v>0.298692240627725</v>
      </c>
    </row>
    <row r="5201" customFormat="false" ht="15" hidden="false" customHeight="false" outlineLevel="0" collapsed="false">
      <c r="A5201" s="15" t="s">
        <v>5258</v>
      </c>
      <c r="B5201" s="16" t="n">
        <v>46010</v>
      </c>
      <c r="C5201" s="15" t="s">
        <v>68</v>
      </c>
      <c r="D5201" s="15" t="s">
        <v>42</v>
      </c>
      <c r="E5201" s="15" t="s">
        <v>38</v>
      </c>
      <c r="F5201" s="15" t="s">
        <v>17</v>
      </c>
      <c r="G5201" s="15" t="s">
        <v>26</v>
      </c>
      <c r="H5201" s="15" t="n">
        <v>6</v>
      </c>
      <c r="I5201" s="17" t="n">
        <v>0</v>
      </c>
      <c r="J5201" s="18" t="n">
        <v>502.66</v>
      </c>
      <c r="K5201" s="19" t="n">
        <v>18.93</v>
      </c>
      <c r="L5201" s="15" t="n">
        <f aca="false">YEAR(B5201)</f>
        <v>2025</v>
      </c>
      <c r="M5201" s="20" t="n">
        <f aca="false">IF(J5201&gt;0,K5201/J5201,0)</f>
        <v>0.0376596506584968</v>
      </c>
    </row>
    <row r="5202" customFormat="false" ht="15" hidden="false" customHeight="false" outlineLevel="0" collapsed="false">
      <c r="A5202" s="15" t="s">
        <v>5259</v>
      </c>
      <c r="B5202" s="16" t="n">
        <v>45013</v>
      </c>
      <c r="C5202" s="15" t="s">
        <v>56</v>
      </c>
      <c r="D5202" s="15" t="s">
        <v>43</v>
      </c>
      <c r="E5202" s="15" t="s">
        <v>38</v>
      </c>
      <c r="F5202" s="15" t="s">
        <v>18</v>
      </c>
      <c r="G5202" s="15" t="s">
        <v>30</v>
      </c>
      <c r="H5202" s="15" t="n">
        <v>2</v>
      </c>
      <c r="I5202" s="17" t="n">
        <v>0</v>
      </c>
      <c r="J5202" s="18" t="n">
        <v>101.61</v>
      </c>
      <c r="K5202" s="19" t="n">
        <v>26.02</v>
      </c>
      <c r="L5202" s="15" t="n">
        <f aca="false">YEAR(B5202)</f>
        <v>2023</v>
      </c>
      <c r="M5202" s="20" t="n">
        <f aca="false">IF(J5202&gt;0,K5202/J5202,0)</f>
        <v>0.256077157760063</v>
      </c>
    </row>
    <row r="5203" customFormat="false" ht="15" hidden="false" customHeight="false" outlineLevel="0" collapsed="false">
      <c r="A5203" s="15" t="s">
        <v>5260</v>
      </c>
      <c r="B5203" s="16" t="n">
        <v>44819</v>
      </c>
      <c r="C5203" s="15" t="s">
        <v>56</v>
      </c>
      <c r="D5203" s="15" t="s">
        <v>42</v>
      </c>
      <c r="E5203" s="15" t="s">
        <v>36</v>
      </c>
      <c r="F5203" s="15" t="s">
        <v>16</v>
      </c>
      <c r="G5203" s="15" t="s">
        <v>22</v>
      </c>
      <c r="H5203" s="15" t="n">
        <v>1</v>
      </c>
      <c r="I5203" s="17" t="n">
        <v>0.3</v>
      </c>
      <c r="J5203" s="18" t="n">
        <v>322.61</v>
      </c>
      <c r="K5203" s="19" t="n">
        <v>-107.99</v>
      </c>
      <c r="L5203" s="15" t="n">
        <f aca="false">YEAR(B5203)</f>
        <v>2022</v>
      </c>
      <c r="M5203" s="20" t="n">
        <f aca="false">IF(J5203&gt;0,K5203/J5203,0)</f>
        <v>-0.33473853879297</v>
      </c>
    </row>
    <row r="5204" customFormat="false" ht="15" hidden="false" customHeight="false" outlineLevel="0" collapsed="false">
      <c r="A5204" s="15" t="s">
        <v>5261</v>
      </c>
      <c r="B5204" s="16" t="n">
        <v>45930</v>
      </c>
      <c r="C5204" s="15" t="s">
        <v>56</v>
      </c>
      <c r="D5204" s="15" t="s">
        <v>43</v>
      </c>
      <c r="E5204" s="15" t="s">
        <v>36</v>
      </c>
      <c r="F5204" s="15" t="s">
        <v>18</v>
      </c>
      <c r="G5204" s="15" t="s">
        <v>30</v>
      </c>
      <c r="H5204" s="15" t="n">
        <v>4</v>
      </c>
      <c r="I5204" s="17" t="n">
        <v>0</v>
      </c>
      <c r="J5204" s="18" t="n">
        <v>221.73</v>
      </c>
      <c r="K5204" s="19" t="n">
        <v>62.11</v>
      </c>
      <c r="L5204" s="15" t="n">
        <f aca="false">YEAR(B5204)</f>
        <v>2025</v>
      </c>
      <c r="M5204" s="20" t="n">
        <f aca="false">IF(J5204&gt;0,K5204/J5204,0)</f>
        <v>0.280115455734452</v>
      </c>
    </row>
    <row r="5205" customFormat="false" ht="15" hidden="false" customHeight="false" outlineLevel="0" collapsed="false">
      <c r="A5205" s="15" t="s">
        <v>5262</v>
      </c>
      <c r="B5205" s="16" t="n">
        <v>44761</v>
      </c>
      <c r="C5205" s="15" t="s">
        <v>71</v>
      </c>
      <c r="D5205" s="15" t="s">
        <v>42</v>
      </c>
      <c r="E5205" s="15" t="s">
        <v>36</v>
      </c>
      <c r="F5205" s="15" t="s">
        <v>16</v>
      </c>
      <c r="G5205" s="15" t="s">
        <v>27</v>
      </c>
      <c r="H5205" s="15" t="n">
        <v>2</v>
      </c>
      <c r="I5205" s="17" t="n">
        <v>0</v>
      </c>
      <c r="J5205" s="18" t="n">
        <v>122.85</v>
      </c>
      <c r="K5205" s="19" t="n">
        <v>25.73</v>
      </c>
      <c r="L5205" s="15" t="n">
        <f aca="false">YEAR(B5205)</f>
        <v>2022</v>
      </c>
      <c r="M5205" s="20" t="n">
        <f aca="false">IF(J5205&gt;0,K5205/J5205,0)</f>
        <v>0.209442409442409</v>
      </c>
    </row>
    <row r="5206" customFormat="false" ht="15" hidden="false" customHeight="false" outlineLevel="0" collapsed="false">
      <c r="A5206" s="15" t="s">
        <v>5263</v>
      </c>
      <c r="B5206" s="16" t="n">
        <v>45399</v>
      </c>
      <c r="C5206" s="15" t="s">
        <v>56</v>
      </c>
      <c r="D5206" s="15" t="s">
        <v>42</v>
      </c>
      <c r="E5206" s="15" t="s">
        <v>39</v>
      </c>
      <c r="F5206" s="15" t="s">
        <v>18</v>
      </c>
      <c r="G5206" s="15" t="s">
        <v>24</v>
      </c>
      <c r="H5206" s="15" t="n">
        <v>5</v>
      </c>
      <c r="I5206" s="17" t="n">
        <v>0.3</v>
      </c>
      <c r="J5206" s="18" t="n">
        <v>2178.16</v>
      </c>
      <c r="K5206" s="19" t="n">
        <v>-394.01</v>
      </c>
      <c r="L5206" s="15" t="n">
        <f aca="false">YEAR(B5206)</f>
        <v>2024</v>
      </c>
      <c r="M5206" s="20" t="n">
        <f aca="false">IF(J5206&gt;0,K5206/J5206,0)</f>
        <v>-0.180891210930327</v>
      </c>
    </row>
    <row r="5207" customFormat="false" ht="15" hidden="false" customHeight="false" outlineLevel="0" collapsed="false">
      <c r="A5207" s="15" t="s">
        <v>5264</v>
      </c>
      <c r="B5207" s="16" t="n">
        <v>45871</v>
      </c>
      <c r="C5207" s="15" t="s">
        <v>58</v>
      </c>
      <c r="D5207" s="15" t="s">
        <v>42</v>
      </c>
      <c r="E5207" s="15" t="s">
        <v>39</v>
      </c>
      <c r="F5207" s="15" t="s">
        <v>17</v>
      </c>
      <c r="G5207" s="15" t="s">
        <v>26</v>
      </c>
      <c r="H5207" s="15" t="n">
        <v>6</v>
      </c>
      <c r="I5207" s="17" t="n">
        <v>0.3</v>
      </c>
      <c r="J5207" s="18" t="n">
        <v>432.28</v>
      </c>
      <c r="K5207" s="19" t="n">
        <v>-74.42</v>
      </c>
      <c r="L5207" s="15" t="n">
        <f aca="false">YEAR(B5207)</f>
        <v>2025</v>
      </c>
      <c r="M5207" s="20" t="n">
        <f aca="false">IF(J5207&gt;0,K5207/J5207,0)</f>
        <v>-0.1721569353197</v>
      </c>
    </row>
    <row r="5208" customFormat="false" ht="15" hidden="false" customHeight="false" outlineLevel="0" collapsed="false">
      <c r="A5208" s="15" t="s">
        <v>5265</v>
      </c>
      <c r="B5208" s="16" t="n">
        <v>45860</v>
      </c>
      <c r="C5208" s="15" t="s">
        <v>56</v>
      </c>
      <c r="D5208" s="15" t="s">
        <v>43</v>
      </c>
      <c r="E5208" s="15" t="s">
        <v>37</v>
      </c>
      <c r="F5208" s="15" t="s">
        <v>16</v>
      </c>
      <c r="G5208" s="15" t="s">
        <v>23</v>
      </c>
      <c r="H5208" s="15" t="n">
        <v>7</v>
      </c>
      <c r="I5208" s="17" t="n">
        <v>0</v>
      </c>
      <c r="J5208" s="18" t="n">
        <v>1922.18</v>
      </c>
      <c r="K5208" s="19" t="n">
        <v>61.6</v>
      </c>
      <c r="L5208" s="15" t="n">
        <f aca="false">YEAR(B5208)</f>
        <v>2025</v>
      </c>
      <c r="M5208" s="20" t="n">
        <f aca="false">IF(J5208&gt;0,K5208/J5208,0)</f>
        <v>0.032046946695939</v>
      </c>
    </row>
    <row r="5209" customFormat="false" ht="15" hidden="false" customHeight="false" outlineLevel="0" collapsed="false">
      <c r="A5209" s="15" t="s">
        <v>5266</v>
      </c>
      <c r="B5209" s="16" t="n">
        <v>46008</v>
      </c>
      <c r="C5209" s="15" t="s">
        <v>71</v>
      </c>
      <c r="D5209" s="15" t="s">
        <v>44</v>
      </c>
      <c r="E5209" s="15" t="s">
        <v>36</v>
      </c>
      <c r="F5209" s="15" t="s">
        <v>17</v>
      </c>
      <c r="G5209" s="15" t="s">
        <v>29</v>
      </c>
      <c r="H5209" s="15" t="n">
        <v>3</v>
      </c>
      <c r="I5209" s="17" t="n">
        <v>0</v>
      </c>
      <c r="J5209" s="18" t="n">
        <v>56.56</v>
      </c>
      <c r="K5209" s="19" t="n">
        <v>23.43</v>
      </c>
      <c r="L5209" s="15" t="n">
        <f aca="false">YEAR(B5209)</f>
        <v>2025</v>
      </c>
      <c r="M5209" s="20" t="n">
        <f aca="false">IF(J5209&gt;0,K5209/J5209,0)</f>
        <v>0.414250353606789</v>
      </c>
    </row>
    <row r="5210" customFormat="false" ht="15" hidden="false" customHeight="false" outlineLevel="0" collapsed="false">
      <c r="A5210" s="15" t="s">
        <v>5267</v>
      </c>
      <c r="B5210" s="16" t="n">
        <v>45974</v>
      </c>
      <c r="C5210" s="15" t="s">
        <v>68</v>
      </c>
      <c r="D5210" s="15" t="s">
        <v>42</v>
      </c>
      <c r="E5210" s="15" t="s">
        <v>37</v>
      </c>
      <c r="F5210" s="15" t="s">
        <v>17</v>
      </c>
      <c r="G5210" s="15" t="s">
        <v>29</v>
      </c>
      <c r="H5210" s="15" t="n">
        <v>1</v>
      </c>
      <c r="I5210" s="17" t="n">
        <v>0</v>
      </c>
      <c r="J5210" s="18" t="n">
        <v>21.46</v>
      </c>
      <c r="K5210" s="19" t="n">
        <v>7.2</v>
      </c>
      <c r="L5210" s="15" t="n">
        <f aca="false">YEAR(B5210)</f>
        <v>2025</v>
      </c>
      <c r="M5210" s="20" t="n">
        <f aca="false">IF(J5210&gt;0,K5210/J5210,0)</f>
        <v>0.335507921714818</v>
      </c>
    </row>
    <row r="5211" customFormat="false" ht="15" hidden="false" customHeight="false" outlineLevel="0" collapsed="false">
      <c r="A5211" s="15" t="s">
        <v>5268</v>
      </c>
      <c r="B5211" s="16" t="n">
        <v>44776</v>
      </c>
      <c r="C5211" s="15" t="s">
        <v>71</v>
      </c>
      <c r="D5211" s="15" t="s">
        <v>42</v>
      </c>
      <c r="E5211" s="15" t="s">
        <v>36</v>
      </c>
      <c r="F5211" s="15" t="s">
        <v>18</v>
      </c>
      <c r="G5211" s="15" t="s">
        <v>32</v>
      </c>
      <c r="H5211" s="15" t="n">
        <v>5</v>
      </c>
      <c r="I5211" s="17" t="n">
        <v>0.05</v>
      </c>
      <c r="J5211" s="18" t="n">
        <v>1295.47</v>
      </c>
      <c r="K5211" s="19" t="n">
        <v>162.85</v>
      </c>
      <c r="L5211" s="15" t="n">
        <f aca="false">YEAR(B5211)</f>
        <v>2022</v>
      </c>
      <c r="M5211" s="20" t="n">
        <f aca="false">IF(J5211&gt;0,K5211/J5211,0)</f>
        <v>0.12570727226412</v>
      </c>
    </row>
    <row r="5212" customFormat="false" ht="15" hidden="false" customHeight="false" outlineLevel="0" collapsed="false">
      <c r="A5212" s="15" t="s">
        <v>5269</v>
      </c>
      <c r="B5212" s="16" t="n">
        <v>45053</v>
      </c>
      <c r="C5212" s="15" t="s">
        <v>58</v>
      </c>
      <c r="D5212" s="15" t="s">
        <v>42</v>
      </c>
      <c r="E5212" s="15" t="s">
        <v>36</v>
      </c>
      <c r="F5212" s="15" t="s">
        <v>18</v>
      </c>
      <c r="G5212" s="15" t="s">
        <v>24</v>
      </c>
      <c r="H5212" s="15" t="n">
        <v>5</v>
      </c>
      <c r="I5212" s="17" t="n">
        <v>0</v>
      </c>
      <c r="J5212" s="18" t="n">
        <v>2985.01</v>
      </c>
      <c r="K5212" s="19" t="n">
        <v>281.94</v>
      </c>
      <c r="L5212" s="15" t="n">
        <f aca="false">YEAR(B5212)</f>
        <v>2023</v>
      </c>
      <c r="M5212" s="20" t="n">
        <f aca="false">IF(J5212&gt;0,K5212/J5212,0)</f>
        <v>0.0944519448846067</v>
      </c>
    </row>
    <row r="5213" customFormat="false" ht="15" hidden="false" customHeight="false" outlineLevel="0" collapsed="false">
      <c r="A5213" s="15" t="s">
        <v>5270</v>
      </c>
      <c r="B5213" s="16" t="n">
        <v>44761</v>
      </c>
      <c r="C5213" s="15" t="s">
        <v>68</v>
      </c>
      <c r="D5213" s="15" t="s">
        <v>42</v>
      </c>
      <c r="E5213" s="15" t="s">
        <v>39</v>
      </c>
      <c r="F5213" s="15" t="s">
        <v>18</v>
      </c>
      <c r="G5213" s="15" t="s">
        <v>32</v>
      </c>
      <c r="H5213" s="15" t="n">
        <v>4</v>
      </c>
      <c r="I5213" s="17" t="n">
        <v>0.1</v>
      </c>
      <c r="J5213" s="18" t="n">
        <v>1818.06</v>
      </c>
      <c r="K5213" s="19" t="n">
        <v>196.33</v>
      </c>
      <c r="L5213" s="15" t="n">
        <f aca="false">YEAR(B5213)</f>
        <v>2022</v>
      </c>
      <c r="M5213" s="20" t="n">
        <f aca="false">IF(J5213&gt;0,K5213/J5213,0)</f>
        <v>0.107988735245261</v>
      </c>
    </row>
    <row r="5214" customFormat="false" ht="15" hidden="false" customHeight="false" outlineLevel="0" collapsed="false">
      <c r="A5214" s="15" t="s">
        <v>5271</v>
      </c>
      <c r="B5214" s="16" t="n">
        <v>45801</v>
      </c>
      <c r="C5214" s="15" t="s">
        <v>56</v>
      </c>
      <c r="D5214" s="15" t="s">
        <v>43</v>
      </c>
      <c r="E5214" s="15" t="s">
        <v>38</v>
      </c>
      <c r="F5214" s="15" t="s">
        <v>16</v>
      </c>
      <c r="G5214" s="15" t="s">
        <v>25</v>
      </c>
      <c r="H5214" s="15" t="n">
        <v>1</v>
      </c>
      <c r="I5214" s="17" t="n">
        <v>0.2</v>
      </c>
      <c r="J5214" s="18" t="n">
        <v>191.68</v>
      </c>
      <c r="K5214" s="19" t="n">
        <v>-9.05</v>
      </c>
      <c r="L5214" s="15" t="n">
        <f aca="false">YEAR(B5214)</f>
        <v>2025</v>
      </c>
      <c r="M5214" s="20" t="n">
        <f aca="false">IF(J5214&gt;0,K5214/J5214,0)</f>
        <v>-0.0472141068447412</v>
      </c>
    </row>
    <row r="5215" customFormat="false" ht="15" hidden="false" customHeight="false" outlineLevel="0" collapsed="false">
      <c r="A5215" s="15" t="s">
        <v>5272</v>
      </c>
      <c r="B5215" s="16" t="n">
        <v>45222</v>
      </c>
      <c r="C5215" s="15" t="s">
        <v>68</v>
      </c>
      <c r="D5215" s="15" t="s">
        <v>43</v>
      </c>
      <c r="E5215" s="15" t="s">
        <v>38</v>
      </c>
      <c r="F5215" s="15" t="s">
        <v>17</v>
      </c>
      <c r="G5215" s="15" t="s">
        <v>29</v>
      </c>
      <c r="H5215" s="15" t="n">
        <v>3</v>
      </c>
      <c r="I5215" s="17" t="n">
        <v>0</v>
      </c>
      <c r="J5215" s="18" t="n">
        <v>53.91</v>
      </c>
      <c r="K5215" s="19" t="n">
        <v>20.65</v>
      </c>
      <c r="L5215" s="15" t="n">
        <f aca="false">YEAR(B5215)</f>
        <v>2023</v>
      </c>
      <c r="M5215" s="20" t="n">
        <f aca="false">IF(J5215&gt;0,K5215/J5215,0)</f>
        <v>0.383045817102578</v>
      </c>
    </row>
    <row r="5216" customFormat="false" ht="15" hidden="false" customHeight="false" outlineLevel="0" collapsed="false">
      <c r="A5216" s="15" t="s">
        <v>5273</v>
      </c>
      <c r="B5216" s="16" t="n">
        <v>45035</v>
      </c>
      <c r="C5216" s="15" t="s">
        <v>56</v>
      </c>
      <c r="D5216" s="15" t="s">
        <v>44</v>
      </c>
      <c r="E5216" s="15" t="s">
        <v>36</v>
      </c>
      <c r="F5216" s="15" t="s">
        <v>18</v>
      </c>
      <c r="G5216" s="15" t="s">
        <v>30</v>
      </c>
      <c r="H5216" s="15" t="n">
        <v>2</v>
      </c>
      <c r="I5216" s="17" t="n">
        <v>0.15</v>
      </c>
      <c r="J5216" s="18" t="n">
        <v>68.07</v>
      </c>
      <c r="K5216" s="19" t="n">
        <v>11.27</v>
      </c>
      <c r="L5216" s="15" t="n">
        <f aca="false">YEAR(B5216)</f>
        <v>2023</v>
      </c>
      <c r="M5216" s="20" t="n">
        <f aca="false">IF(J5216&gt;0,K5216/J5216,0)</f>
        <v>0.165564859703247</v>
      </c>
    </row>
    <row r="5217" customFormat="false" ht="15" hidden="false" customHeight="false" outlineLevel="0" collapsed="false">
      <c r="A5217" s="15" t="s">
        <v>5274</v>
      </c>
      <c r="B5217" s="16" t="n">
        <v>45925</v>
      </c>
      <c r="C5217" s="15" t="s">
        <v>56</v>
      </c>
      <c r="D5217" s="15" t="s">
        <v>43</v>
      </c>
      <c r="E5217" s="15" t="s">
        <v>39</v>
      </c>
      <c r="F5217" s="15" t="s">
        <v>18</v>
      </c>
      <c r="G5217" s="15" t="s">
        <v>32</v>
      </c>
      <c r="H5217" s="15" t="n">
        <v>5</v>
      </c>
      <c r="I5217" s="17" t="n">
        <v>0.4</v>
      </c>
      <c r="J5217" s="18" t="n">
        <v>1608.03</v>
      </c>
      <c r="K5217" s="19" t="n">
        <v>-327.03</v>
      </c>
      <c r="L5217" s="15" t="n">
        <f aca="false">YEAR(B5217)</f>
        <v>2025</v>
      </c>
      <c r="M5217" s="20" t="n">
        <f aca="false">IF(J5217&gt;0,K5217/J5217,0)</f>
        <v>-0.203373071397922</v>
      </c>
    </row>
    <row r="5218" customFormat="false" ht="15" hidden="false" customHeight="false" outlineLevel="0" collapsed="false">
      <c r="A5218" s="15" t="s">
        <v>5275</v>
      </c>
      <c r="B5218" s="16" t="n">
        <v>45180</v>
      </c>
      <c r="C5218" s="15" t="s">
        <v>71</v>
      </c>
      <c r="D5218" s="15" t="s">
        <v>42</v>
      </c>
      <c r="E5218" s="15" t="s">
        <v>38</v>
      </c>
      <c r="F5218" s="15" t="s">
        <v>17</v>
      </c>
      <c r="G5218" s="15" t="s">
        <v>31</v>
      </c>
      <c r="H5218" s="15" t="n">
        <v>3</v>
      </c>
      <c r="I5218" s="17" t="n">
        <v>0</v>
      </c>
      <c r="J5218" s="18" t="n">
        <v>268.93</v>
      </c>
      <c r="K5218" s="19" t="n">
        <v>37.33</v>
      </c>
      <c r="L5218" s="15" t="n">
        <f aca="false">YEAR(B5218)</f>
        <v>2023</v>
      </c>
      <c r="M5218" s="20" t="n">
        <f aca="false">IF(J5218&gt;0,K5218/J5218,0)</f>
        <v>0.138809355594393</v>
      </c>
    </row>
    <row r="5219" customFormat="false" ht="15" hidden="false" customHeight="false" outlineLevel="0" collapsed="false">
      <c r="A5219" s="15" t="s">
        <v>5276</v>
      </c>
      <c r="B5219" s="16" t="n">
        <v>45923</v>
      </c>
      <c r="C5219" s="15" t="s">
        <v>58</v>
      </c>
      <c r="D5219" s="15" t="s">
        <v>42</v>
      </c>
      <c r="E5219" s="15" t="s">
        <v>39</v>
      </c>
      <c r="F5219" s="15" t="s">
        <v>17</v>
      </c>
      <c r="G5219" s="15" t="s">
        <v>31</v>
      </c>
      <c r="H5219" s="15" t="n">
        <v>2</v>
      </c>
      <c r="I5219" s="17" t="n">
        <v>0.3</v>
      </c>
      <c r="J5219" s="18" t="n">
        <v>177.83</v>
      </c>
      <c r="K5219" s="19" t="n">
        <v>-14.58</v>
      </c>
      <c r="L5219" s="15" t="n">
        <f aca="false">YEAR(B5219)</f>
        <v>2025</v>
      </c>
      <c r="M5219" s="20" t="n">
        <f aca="false">IF(J5219&gt;0,K5219/J5219,0)</f>
        <v>-0.0819884159028285</v>
      </c>
    </row>
    <row r="5220" customFormat="false" ht="15" hidden="false" customHeight="false" outlineLevel="0" collapsed="false">
      <c r="A5220" s="15" t="s">
        <v>5277</v>
      </c>
      <c r="B5220" s="16" t="n">
        <v>45683</v>
      </c>
      <c r="C5220" s="15" t="s">
        <v>71</v>
      </c>
      <c r="D5220" s="15" t="s">
        <v>42</v>
      </c>
      <c r="E5220" s="15" t="s">
        <v>36</v>
      </c>
      <c r="F5220" s="15" t="s">
        <v>16</v>
      </c>
      <c r="G5220" s="15" t="s">
        <v>23</v>
      </c>
      <c r="H5220" s="15" t="n">
        <v>4</v>
      </c>
      <c r="I5220" s="17" t="n">
        <v>0.2</v>
      </c>
      <c r="J5220" s="18" t="n">
        <v>953.68</v>
      </c>
      <c r="K5220" s="19" t="n">
        <v>-280.41</v>
      </c>
      <c r="L5220" s="15" t="n">
        <f aca="false">YEAR(B5220)</f>
        <v>2025</v>
      </c>
      <c r="M5220" s="20" t="n">
        <f aca="false">IF(J5220&gt;0,K5220/J5220,0)</f>
        <v>-0.294029443838604</v>
      </c>
    </row>
    <row r="5221" customFormat="false" ht="15" hidden="false" customHeight="false" outlineLevel="0" collapsed="false">
      <c r="A5221" s="15" t="s">
        <v>5278</v>
      </c>
      <c r="B5221" s="16" t="n">
        <v>44844</v>
      </c>
      <c r="C5221" s="15" t="s">
        <v>56</v>
      </c>
      <c r="D5221" s="15" t="s">
        <v>42</v>
      </c>
      <c r="E5221" s="15" t="s">
        <v>39</v>
      </c>
      <c r="F5221" s="15" t="s">
        <v>16</v>
      </c>
      <c r="G5221" s="15" t="s">
        <v>22</v>
      </c>
      <c r="H5221" s="15" t="n">
        <v>3</v>
      </c>
      <c r="I5221" s="17" t="n">
        <v>0</v>
      </c>
      <c r="J5221" s="18" t="n">
        <v>1395.03</v>
      </c>
      <c r="K5221" s="19" t="n">
        <v>29.96</v>
      </c>
      <c r="L5221" s="15" t="n">
        <f aca="false">YEAR(B5221)</f>
        <v>2022</v>
      </c>
      <c r="M5221" s="20" t="n">
        <f aca="false">IF(J5221&gt;0,K5221/J5221,0)</f>
        <v>0.0214762406543228</v>
      </c>
    </row>
    <row r="5222" customFormat="false" ht="15" hidden="false" customHeight="false" outlineLevel="0" collapsed="false">
      <c r="A5222" s="15" t="s">
        <v>5279</v>
      </c>
      <c r="B5222" s="16" t="n">
        <v>45490</v>
      </c>
      <c r="C5222" s="15" t="s">
        <v>56</v>
      </c>
      <c r="D5222" s="15" t="s">
        <v>42</v>
      </c>
      <c r="E5222" s="15" t="s">
        <v>38</v>
      </c>
      <c r="F5222" s="15" t="s">
        <v>18</v>
      </c>
      <c r="G5222" s="15" t="s">
        <v>32</v>
      </c>
      <c r="H5222" s="15" t="n">
        <v>3</v>
      </c>
      <c r="I5222" s="17" t="n">
        <v>0.5</v>
      </c>
      <c r="J5222" s="18" t="n">
        <v>573.3</v>
      </c>
      <c r="K5222" s="19" t="n">
        <v>-145.03</v>
      </c>
      <c r="L5222" s="15" t="n">
        <f aca="false">YEAR(B5222)</f>
        <v>2024</v>
      </c>
      <c r="M5222" s="20" t="n">
        <f aca="false">IF(J5222&gt;0,K5222/J5222,0)</f>
        <v>-0.252974010116867</v>
      </c>
    </row>
    <row r="5223" customFormat="false" ht="15" hidden="false" customHeight="false" outlineLevel="0" collapsed="false">
      <c r="A5223" s="15" t="s">
        <v>5280</v>
      </c>
      <c r="B5223" s="16" t="n">
        <v>45507</v>
      </c>
      <c r="C5223" s="15" t="s">
        <v>71</v>
      </c>
      <c r="D5223" s="15" t="s">
        <v>43</v>
      </c>
      <c r="E5223" s="15" t="s">
        <v>37</v>
      </c>
      <c r="F5223" s="15" t="s">
        <v>17</v>
      </c>
      <c r="G5223" s="15" t="s">
        <v>26</v>
      </c>
      <c r="H5223" s="15" t="n">
        <v>4</v>
      </c>
      <c r="I5223" s="17" t="n">
        <v>0</v>
      </c>
      <c r="J5223" s="18" t="n">
        <v>424.06</v>
      </c>
      <c r="K5223" s="19" t="n">
        <v>73.02</v>
      </c>
      <c r="L5223" s="15" t="n">
        <f aca="false">YEAR(B5223)</f>
        <v>2024</v>
      </c>
      <c r="M5223" s="20" t="n">
        <f aca="false">IF(J5223&gt;0,K5223/J5223,0)</f>
        <v>0.1721926142527</v>
      </c>
    </row>
    <row r="5224" customFormat="false" ht="15" hidden="false" customHeight="false" outlineLevel="0" collapsed="false">
      <c r="A5224" s="15" t="s">
        <v>5281</v>
      </c>
      <c r="B5224" s="16" t="n">
        <v>45385</v>
      </c>
      <c r="C5224" s="15" t="s">
        <v>68</v>
      </c>
      <c r="D5224" s="15" t="s">
        <v>43</v>
      </c>
      <c r="E5224" s="15" t="s">
        <v>36</v>
      </c>
      <c r="F5224" s="15" t="s">
        <v>18</v>
      </c>
      <c r="G5224" s="15" t="s">
        <v>32</v>
      </c>
      <c r="H5224" s="15" t="n">
        <v>4</v>
      </c>
      <c r="I5224" s="17" t="n">
        <v>0</v>
      </c>
      <c r="J5224" s="18" t="n">
        <v>1718.25</v>
      </c>
      <c r="K5224" s="19" t="n">
        <v>312.59</v>
      </c>
      <c r="L5224" s="15" t="n">
        <f aca="false">YEAR(B5224)</f>
        <v>2024</v>
      </c>
      <c r="M5224" s="20" t="n">
        <f aca="false">IF(J5224&gt;0,K5224/J5224,0)</f>
        <v>0.181923468645424</v>
      </c>
    </row>
    <row r="5225" customFormat="false" ht="15" hidden="false" customHeight="false" outlineLevel="0" collapsed="false">
      <c r="A5225" s="15" t="s">
        <v>5282</v>
      </c>
      <c r="B5225" s="16" t="n">
        <v>45469</v>
      </c>
      <c r="C5225" s="15" t="s">
        <v>56</v>
      </c>
      <c r="D5225" s="15" t="s">
        <v>42</v>
      </c>
      <c r="E5225" s="15" t="s">
        <v>37</v>
      </c>
      <c r="F5225" s="15" t="s">
        <v>17</v>
      </c>
      <c r="G5225" s="15" t="s">
        <v>29</v>
      </c>
      <c r="H5225" s="15" t="n">
        <v>4</v>
      </c>
      <c r="I5225" s="17" t="n">
        <v>0</v>
      </c>
      <c r="J5225" s="18" t="n">
        <v>75.07</v>
      </c>
      <c r="K5225" s="19" t="n">
        <v>26.33</v>
      </c>
      <c r="L5225" s="15" t="n">
        <f aca="false">YEAR(B5225)</f>
        <v>2024</v>
      </c>
      <c r="M5225" s="20" t="n">
        <f aca="false">IF(J5225&gt;0,K5225/J5225,0)</f>
        <v>0.350739309977355</v>
      </c>
    </row>
    <row r="5226" customFormat="false" ht="15" hidden="false" customHeight="false" outlineLevel="0" collapsed="false">
      <c r="A5226" s="15" t="s">
        <v>5283</v>
      </c>
      <c r="B5226" s="16" t="n">
        <v>45302</v>
      </c>
      <c r="C5226" s="15" t="s">
        <v>56</v>
      </c>
      <c r="D5226" s="15" t="s">
        <v>42</v>
      </c>
      <c r="E5226" s="15" t="s">
        <v>39</v>
      </c>
      <c r="F5226" s="15" t="s">
        <v>17</v>
      </c>
      <c r="G5226" s="15" t="s">
        <v>29</v>
      </c>
      <c r="H5226" s="15" t="n">
        <v>2</v>
      </c>
      <c r="I5226" s="17" t="n">
        <v>0.1</v>
      </c>
      <c r="J5226" s="18" t="n">
        <v>34.81</v>
      </c>
      <c r="K5226" s="19" t="n">
        <v>9.57</v>
      </c>
      <c r="L5226" s="15" t="n">
        <f aca="false">YEAR(B5226)</f>
        <v>2024</v>
      </c>
      <c r="M5226" s="20" t="n">
        <f aca="false">IF(J5226&gt;0,K5226/J5226,0)</f>
        <v>0.274920999712726</v>
      </c>
    </row>
    <row r="5227" customFormat="false" ht="15" hidden="false" customHeight="false" outlineLevel="0" collapsed="false">
      <c r="A5227" s="15" t="s">
        <v>5284</v>
      </c>
      <c r="B5227" s="16" t="n">
        <v>45882</v>
      </c>
      <c r="C5227" s="15" t="s">
        <v>56</v>
      </c>
      <c r="D5227" s="15" t="s">
        <v>44</v>
      </c>
      <c r="E5227" s="15" t="s">
        <v>36</v>
      </c>
      <c r="F5227" s="15" t="s">
        <v>17</v>
      </c>
      <c r="G5227" s="15" t="s">
        <v>26</v>
      </c>
      <c r="H5227" s="15" t="n">
        <v>2</v>
      </c>
      <c r="I5227" s="17" t="n">
        <v>0.05</v>
      </c>
      <c r="J5227" s="18" t="n">
        <v>165.73</v>
      </c>
      <c r="K5227" s="19" t="n">
        <v>22.51</v>
      </c>
      <c r="L5227" s="15" t="n">
        <f aca="false">YEAR(B5227)</f>
        <v>2025</v>
      </c>
      <c r="M5227" s="20" t="n">
        <f aca="false">IF(J5227&gt;0,K5227/J5227,0)</f>
        <v>0.135823327098292</v>
      </c>
    </row>
    <row r="5228" customFormat="false" ht="15" hidden="false" customHeight="false" outlineLevel="0" collapsed="false">
      <c r="A5228" s="15" t="s">
        <v>5285</v>
      </c>
      <c r="B5228" s="16" t="n">
        <v>45762</v>
      </c>
      <c r="C5228" s="15" t="s">
        <v>56</v>
      </c>
      <c r="D5228" s="15" t="s">
        <v>42</v>
      </c>
      <c r="E5228" s="15" t="s">
        <v>38</v>
      </c>
      <c r="F5228" s="15" t="s">
        <v>18</v>
      </c>
      <c r="G5228" s="15" t="s">
        <v>24</v>
      </c>
      <c r="H5228" s="15" t="n">
        <v>6</v>
      </c>
      <c r="I5228" s="17" t="n">
        <v>0</v>
      </c>
      <c r="J5228" s="18" t="n">
        <v>2846.06</v>
      </c>
      <c r="K5228" s="19" t="n">
        <v>306.79</v>
      </c>
      <c r="L5228" s="15" t="n">
        <f aca="false">YEAR(B5228)</f>
        <v>2025</v>
      </c>
      <c r="M5228" s="20" t="n">
        <f aca="false">IF(J5228&gt;0,K5228/J5228,0)</f>
        <v>0.10779463539068</v>
      </c>
    </row>
    <row r="5229" customFormat="false" ht="15" hidden="false" customHeight="false" outlineLevel="0" collapsed="false">
      <c r="A5229" s="15" t="s">
        <v>5286</v>
      </c>
      <c r="B5229" s="16" t="n">
        <v>44839</v>
      </c>
      <c r="C5229" s="15" t="s">
        <v>68</v>
      </c>
      <c r="D5229" s="15" t="s">
        <v>42</v>
      </c>
      <c r="E5229" s="15" t="s">
        <v>36</v>
      </c>
      <c r="F5229" s="15" t="s">
        <v>18</v>
      </c>
      <c r="G5229" s="15" t="s">
        <v>32</v>
      </c>
      <c r="H5229" s="15" t="n">
        <v>4</v>
      </c>
      <c r="I5229" s="17" t="n">
        <v>0.1</v>
      </c>
      <c r="J5229" s="18" t="n">
        <v>1675.58</v>
      </c>
      <c r="K5229" s="19" t="n">
        <v>113.19</v>
      </c>
      <c r="L5229" s="15" t="n">
        <f aca="false">YEAR(B5229)</f>
        <v>2022</v>
      </c>
      <c r="M5229" s="20" t="n">
        <f aca="false">IF(J5229&gt;0,K5229/J5229,0)</f>
        <v>0.0675527280105993</v>
      </c>
    </row>
    <row r="5230" customFormat="false" ht="15" hidden="false" customHeight="false" outlineLevel="0" collapsed="false">
      <c r="A5230" s="15" t="s">
        <v>5287</v>
      </c>
      <c r="B5230" s="16" t="n">
        <v>45606</v>
      </c>
      <c r="C5230" s="15" t="s">
        <v>58</v>
      </c>
      <c r="D5230" s="15" t="s">
        <v>42</v>
      </c>
      <c r="E5230" s="15" t="s">
        <v>39</v>
      </c>
      <c r="F5230" s="15" t="s">
        <v>17</v>
      </c>
      <c r="G5230" s="15" t="s">
        <v>26</v>
      </c>
      <c r="H5230" s="15" t="n">
        <v>6</v>
      </c>
      <c r="I5230" s="17" t="n">
        <v>0.05</v>
      </c>
      <c r="J5230" s="18" t="n">
        <v>612.85</v>
      </c>
      <c r="K5230" s="19" t="n">
        <v>33.51</v>
      </c>
      <c r="L5230" s="15" t="n">
        <f aca="false">YEAR(B5230)</f>
        <v>2024</v>
      </c>
      <c r="M5230" s="20" t="n">
        <f aca="false">IF(J5230&gt;0,K5230/J5230,0)</f>
        <v>0.0546789589622257</v>
      </c>
    </row>
    <row r="5231" customFormat="false" ht="15" hidden="false" customHeight="false" outlineLevel="0" collapsed="false">
      <c r="A5231" s="15" t="s">
        <v>5288</v>
      </c>
      <c r="B5231" s="16" t="n">
        <v>45555</v>
      </c>
      <c r="C5231" s="15" t="s">
        <v>71</v>
      </c>
      <c r="D5231" s="15" t="s">
        <v>42</v>
      </c>
      <c r="E5231" s="15" t="s">
        <v>38</v>
      </c>
      <c r="F5231" s="15" t="s">
        <v>18</v>
      </c>
      <c r="G5231" s="15" t="s">
        <v>30</v>
      </c>
      <c r="H5231" s="15" t="n">
        <v>5</v>
      </c>
      <c r="I5231" s="17" t="n">
        <v>0.2</v>
      </c>
      <c r="J5231" s="18" t="n">
        <v>144.21</v>
      </c>
      <c r="K5231" s="19" t="n">
        <v>21.16</v>
      </c>
      <c r="L5231" s="15" t="n">
        <f aca="false">YEAR(B5231)</f>
        <v>2024</v>
      </c>
      <c r="M5231" s="20" t="n">
        <f aca="false">IF(J5231&gt;0,K5231/J5231,0)</f>
        <v>0.146730462519936</v>
      </c>
    </row>
    <row r="5232" customFormat="false" ht="15" hidden="false" customHeight="false" outlineLevel="0" collapsed="false">
      <c r="A5232" s="15" t="s">
        <v>5289</v>
      </c>
      <c r="B5232" s="16" t="n">
        <v>45498</v>
      </c>
      <c r="C5232" s="15" t="s">
        <v>71</v>
      </c>
      <c r="D5232" s="15" t="s">
        <v>42</v>
      </c>
      <c r="E5232" s="15" t="s">
        <v>37</v>
      </c>
      <c r="F5232" s="15" t="s">
        <v>18</v>
      </c>
      <c r="G5232" s="15" t="s">
        <v>30</v>
      </c>
      <c r="H5232" s="15" t="n">
        <v>2</v>
      </c>
      <c r="I5232" s="17" t="n">
        <v>0.15</v>
      </c>
      <c r="J5232" s="18" t="n">
        <v>72.62</v>
      </c>
      <c r="K5232" s="19" t="n">
        <v>13.66</v>
      </c>
      <c r="L5232" s="15" t="n">
        <f aca="false">YEAR(B5232)</f>
        <v>2024</v>
      </c>
      <c r="M5232" s="20" t="n">
        <f aca="false">IF(J5232&gt;0,K5232/J5232,0)</f>
        <v>0.188102451115395</v>
      </c>
    </row>
    <row r="5233" customFormat="false" ht="15" hidden="false" customHeight="false" outlineLevel="0" collapsed="false">
      <c r="A5233" s="15" t="s">
        <v>5290</v>
      </c>
      <c r="B5233" s="16" t="n">
        <v>44575</v>
      </c>
      <c r="C5233" s="15" t="s">
        <v>56</v>
      </c>
      <c r="D5233" s="15" t="s">
        <v>42</v>
      </c>
      <c r="E5233" s="15" t="s">
        <v>38</v>
      </c>
      <c r="F5233" s="15" t="s">
        <v>17</v>
      </c>
      <c r="G5233" s="15" t="s">
        <v>26</v>
      </c>
      <c r="H5233" s="15" t="n">
        <v>3</v>
      </c>
      <c r="I5233" s="17" t="n">
        <v>0</v>
      </c>
      <c r="J5233" s="18" t="n">
        <v>260.62</v>
      </c>
      <c r="K5233" s="19" t="n">
        <v>29.42</v>
      </c>
      <c r="L5233" s="15" t="n">
        <f aca="false">YEAR(B5233)</f>
        <v>2022</v>
      </c>
      <c r="M5233" s="20" t="n">
        <f aca="false">IF(J5233&gt;0,K5233/J5233,0)</f>
        <v>0.112884659657739</v>
      </c>
    </row>
    <row r="5234" customFormat="false" ht="15" hidden="false" customHeight="false" outlineLevel="0" collapsed="false">
      <c r="A5234" s="15" t="s">
        <v>5291</v>
      </c>
      <c r="B5234" s="16" t="n">
        <v>45889</v>
      </c>
      <c r="C5234" s="15" t="s">
        <v>56</v>
      </c>
      <c r="D5234" s="15" t="s">
        <v>42</v>
      </c>
      <c r="E5234" s="15" t="s">
        <v>39</v>
      </c>
      <c r="F5234" s="15" t="s">
        <v>17</v>
      </c>
      <c r="G5234" s="15" t="s">
        <v>29</v>
      </c>
      <c r="H5234" s="15" t="n">
        <v>6</v>
      </c>
      <c r="I5234" s="17" t="n">
        <v>0</v>
      </c>
      <c r="J5234" s="18" t="n">
        <v>108.33</v>
      </c>
      <c r="K5234" s="19" t="n">
        <v>37.64</v>
      </c>
      <c r="L5234" s="15" t="n">
        <f aca="false">YEAR(B5234)</f>
        <v>2025</v>
      </c>
      <c r="M5234" s="20" t="n">
        <f aca="false">IF(J5234&gt;0,K5234/J5234,0)</f>
        <v>0.347456844825995</v>
      </c>
    </row>
    <row r="5235" customFormat="false" ht="15" hidden="false" customHeight="false" outlineLevel="0" collapsed="false">
      <c r="A5235" s="15" t="s">
        <v>5292</v>
      </c>
      <c r="B5235" s="16" t="n">
        <v>45765</v>
      </c>
      <c r="C5235" s="15" t="s">
        <v>56</v>
      </c>
      <c r="D5235" s="15" t="s">
        <v>42</v>
      </c>
      <c r="E5235" s="15" t="s">
        <v>37</v>
      </c>
      <c r="F5235" s="15" t="s">
        <v>18</v>
      </c>
      <c r="G5235" s="15" t="s">
        <v>30</v>
      </c>
      <c r="H5235" s="15" t="n">
        <v>3</v>
      </c>
      <c r="I5235" s="17" t="n">
        <v>0.15</v>
      </c>
      <c r="J5235" s="18" t="n">
        <v>134.33</v>
      </c>
      <c r="K5235" s="19" t="n">
        <v>34.6</v>
      </c>
      <c r="L5235" s="15" t="n">
        <f aca="false">YEAR(B5235)</f>
        <v>2025</v>
      </c>
      <c r="M5235" s="20" t="n">
        <f aca="false">IF(J5235&gt;0,K5235/J5235,0)</f>
        <v>0.257574629643415</v>
      </c>
    </row>
    <row r="5236" customFormat="false" ht="15" hidden="false" customHeight="false" outlineLevel="0" collapsed="false">
      <c r="A5236" s="15" t="s">
        <v>5293</v>
      </c>
      <c r="B5236" s="16" t="n">
        <v>44609</v>
      </c>
      <c r="C5236" s="15" t="s">
        <v>56</v>
      </c>
      <c r="D5236" s="15" t="s">
        <v>42</v>
      </c>
      <c r="E5236" s="15" t="s">
        <v>37</v>
      </c>
      <c r="F5236" s="15" t="s">
        <v>16</v>
      </c>
      <c r="G5236" s="15" t="s">
        <v>27</v>
      </c>
      <c r="H5236" s="15" t="n">
        <v>4</v>
      </c>
      <c r="I5236" s="17" t="n">
        <v>0</v>
      </c>
      <c r="J5236" s="18" t="n">
        <v>258.1</v>
      </c>
      <c r="K5236" s="19" t="n">
        <v>58.74</v>
      </c>
      <c r="L5236" s="15" t="n">
        <f aca="false">YEAR(B5236)</f>
        <v>2022</v>
      </c>
      <c r="M5236" s="20" t="n">
        <f aca="false">IF(J5236&gt;0,K5236/J5236,0)</f>
        <v>0.227586206896552</v>
      </c>
    </row>
    <row r="5237" customFormat="false" ht="15" hidden="false" customHeight="false" outlineLevel="0" collapsed="false">
      <c r="A5237" s="15" t="s">
        <v>5294</v>
      </c>
      <c r="B5237" s="16" t="n">
        <v>45629</v>
      </c>
      <c r="C5237" s="15" t="s">
        <v>71</v>
      </c>
      <c r="D5237" s="15" t="s">
        <v>43</v>
      </c>
      <c r="E5237" s="15" t="s">
        <v>38</v>
      </c>
      <c r="F5237" s="15" t="s">
        <v>16</v>
      </c>
      <c r="G5237" s="15" t="s">
        <v>27</v>
      </c>
      <c r="H5237" s="15" t="n">
        <v>6</v>
      </c>
      <c r="I5237" s="17" t="n">
        <v>0</v>
      </c>
      <c r="J5237" s="18" t="n">
        <v>320.06</v>
      </c>
      <c r="K5237" s="19" t="n">
        <v>82.05</v>
      </c>
      <c r="L5237" s="15" t="n">
        <f aca="false">YEAR(B5237)</f>
        <v>2024</v>
      </c>
      <c r="M5237" s="20" t="n">
        <f aca="false">IF(J5237&gt;0,K5237/J5237,0)</f>
        <v>0.256358182840717</v>
      </c>
    </row>
    <row r="5238" customFormat="false" ht="15" hidden="false" customHeight="false" outlineLevel="0" collapsed="false">
      <c r="A5238" s="15" t="s">
        <v>5295</v>
      </c>
      <c r="B5238" s="16" t="n">
        <v>44892</v>
      </c>
      <c r="C5238" s="15" t="s">
        <v>68</v>
      </c>
      <c r="D5238" s="15" t="s">
        <v>42</v>
      </c>
      <c r="E5238" s="15" t="s">
        <v>39</v>
      </c>
      <c r="F5238" s="15" t="s">
        <v>17</v>
      </c>
      <c r="G5238" s="15" t="s">
        <v>31</v>
      </c>
      <c r="H5238" s="15" t="n">
        <v>3</v>
      </c>
      <c r="I5238" s="17" t="n">
        <v>0</v>
      </c>
      <c r="J5238" s="18" t="n">
        <v>458.84</v>
      </c>
      <c r="K5238" s="19" t="n">
        <v>97.08</v>
      </c>
      <c r="L5238" s="15" t="n">
        <f aca="false">YEAR(B5238)</f>
        <v>2022</v>
      </c>
      <c r="M5238" s="20" t="n">
        <f aca="false">IF(J5238&gt;0,K5238/J5238,0)</f>
        <v>0.211577020312091</v>
      </c>
    </row>
    <row r="5239" customFormat="false" ht="15" hidden="false" customHeight="false" outlineLevel="0" collapsed="false">
      <c r="A5239" s="15" t="s">
        <v>5296</v>
      </c>
      <c r="B5239" s="16" t="n">
        <v>44893</v>
      </c>
      <c r="C5239" s="15" t="s">
        <v>56</v>
      </c>
      <c r="D5239" s="15" t="s">
        <v>44</v>
      </c>
      <c r="E5239" s="15" t="s">
        <v>37</v>
      </c>
      <c r="F5239" s="15" t="s">
        <v>17</v>
      </c>
      <c r="G5239" s="15" t="s">
        <v>28</v>
      </c>
      <c r="H5239" s="15" t="n">
        <v>4</v>
      </c>
      <c r="I5239" s="17" t="n">
        <v>0.2</v>
      </c>
      <c r="J5239" s="18" t="n">
        <v>63.02</v>
      </c>
      <c r="K5239" s="19" t="n">
        <v>7.65</v>
      </c>
      <c r="L5239" s="15" t="n">
        <f aca="false">YEAR(B5239)</f>
        <v>2022</v>
      </c>
      <c r="M5239" s="20" t="n">
        <f aca="false">IF(J5239&gt;0,K5239/J5239,0)</f>
        <v>0.121390034909553</v>
      </c>
    </row>
    <row r="5240" customFormat="false" ht="15" hidden="false" customHeight="false" outlineLevel="0" collapsed="false">
      <c r="A5240" s="15" t="s">
        <v>5297</v>
      </c>
      <c r="B5240" s="16" t="n">
        <v>45568</v>
      </c>
      <c r="C5240" s="15" t="s">
        <v>71</v>
      </c>
      <c r="D5240" s="15" t="s">
        <v>43</v>
      </c>
      <c r="E5240" s="15" t="s">
        <v>39</v>
      </c>
      <c r="F5240" s="15" t="s">
        <v>17</v>
      </c>
      <c r="G5240" s="15" t="s">
        <v>28</v>
      </c>
      <c r="H5240" s="15" t="n">
        <v>2</v>
      </c>
      <c r="I5240" s="17" t="n">
        <v>0</v>
      </c>
      <c r="J5240" s="18" t="n">
        <v>49.8</v>
      </c>
      <c r="K5240" s="19" t="n">
        <v>12.86</v>
      </c>
      <c r="L5240" s="15" t="n">
        <f aca="false">YEAR(B5240)</f>
        <v>2024</v>
      </c>
      <c r="M5240" s="20" t="n">
        <f aca="false">IF(J5240&gt;0,K5240/J5240,0)</f>
        <v>0.258232931726908</v>
      </c>
    </row>
    <row r="5241" customFormat="false" ht="15" hidden="false" customHeight="false" outlineLevel="0" collapsed="false">
      <c r="A5241" s="15" t="s">
        <v>5298</v>
      </c>
      <c r="B5241" s="16" t="n">
        <v>45534</v>
      </c>
      <c r="C5241" s="15" t="s">
        <v>56</v>
      </c>
      <c r="D5241" s="15" t="s">
        <v>42</v>
      </c>
      <c r="E5241" s="15" t="s">
        <v>37</v>
      </c>
      <c r="F5241" s="15" t="s">
        <v>17</v>
      </c>
      <c r="G5241" s="15" t="s">
        <v>31</v>
      </c>
      <c r="H5241" s="15" t="n">
        <v>3</v>
      </c>
      <c r="I5241" s="17" t="n">
        <v>0</v>
      </c>
      <c r="J5241" s="18" t="n">
        <v>372.58</v>
      </c>
      <c r="K5241" s="19" t="n">
        <v>60.32</v>
      </c>
      <c r="L5241" s="15" t="n">
        <f aca="false">YEAR(B5241)</f>
        <v>2024</v>
      </c>
      <c r="M5241" s="20" t="n">
        <f aca="false">IF(J5241&gt;0,K5241/J5241,0)</f>
        <v>0.161898115840893</v>
      </c>
    </row>
    <row r="5242" customFormat="false" ht="15" hidden="false" customHeight="false" outlineLevel="0" collapsed="false">
      <c r="A5242" s="15" t="s">
        <v>5299</v>
      </c>
      <c r="B5242" s="16" t="n">
        <v>45642</v>
      </c>
      <c r="C5242" s="15" t="s">
        <v>68</v>
      </c>
      <c r="D5242" s="15" t="s">
        <v>43</v>
      </c>
      <c r="E5242" s="15" t="s">
        <v>38</v>
      </c>
      <c r="F5242" s="15" t="s">
        <v>17</v>
      </c>
      <c r="G5242" s="15" t="s">
        <v>29</v>
      </c>
      <c r="H5242" s="15" t="n">
        <v>4</v>
      </c>
      <c r="I5242" s="17" t="n">
        <v>0.1</v>
      </c>
      <c r="J5242" s="18" t="n">
        <v>69.85</v>
      </c>
      <c r="K5242" s="19" t="n">
        <v>22.86</v>
      </c>
      <c r="L5242" s="15" t="n">
        <f aca="false">YEAR(B5242)</f>
        <v>2024</v>
      </c>
      <c r="M5242" s="20" t="n">
        <f aca="false">IF(J5242&gt;0,K5242/J5242,0)</f>
        <v>0.327272727272727</v>
      </c>
    </row>
    <row r="5243" customFormat="false" ht="15" hidden="false" customHeight="false" outlineLevel="0" collapsed="false">
      <c r="A5243" s="15" t="s">
        <v>5300</v>
      </c>
      <c r="B5243" s="16" t="n">
        <v>45277</v>
      </c>
      <c r="C5243" s="15" t="s">
        <v>56</v>
      </c>
      <c r="D5243" s="15" t="s">
        <v>42</v>
      </c>
      <c r="E5243" s="15" t="s">
        <v>37</v>
      </c>
      <c r="F5243" s="15" t="s">
        <v>17</v>
      </c>
      <c r="G5243" s="15" t="s">
        <v>29</v>
      </c>
      <c r="H5243" s="15" t="n">
        <v>1</v>
      </c>
      <c r="I5243" s="17" t="n">
        <v>0.1</v>
      </c>
      <c r="J5243" s="18" t="n">
        <v>16.28</v>
      </c>
      <c r="K5243" s="19" t="n">
        <v>4.88</v>
      </c>
      <c r="L5243" s="15" t="n">
        <f aca="false">YEAR(B5243)</f>
        <v>2023</v>
      </c>
      <c r="M5243" s="20" t="n">
        <f aca="false">IF(J5243&gt;0,K5243/J5243,0)</f>
        <v>0.2997542997543</v>
      </c>
    </row>
    <row r="5244" customFormat="false" ht="15" hidden="false" customHeight="false" outlineLevel="0" collapsed="false">
      <c r="A5244" s="15" t="s">
        <v>5301</v>
      </c>
      <c r="B5244" s="16" t="n">
        <v>45901</v>
      </c>
      <c r="C5244" s="15" t="s">
        <v>56</v>
      </c>
      <c r="D5244" s="15" t="s">
        <v>42</v>
      </c>
      <c r="E5244" s="15" t="s">
        <v>38</v>
      </c>
      <c r="F5244" s="15" t="s">
        <v>17</v>
      </c>
      <c r="G5244" s="15" t="s">
        <v>31</v>
      </c>
      <c r="H5244" s="15" t="n">
        <v>4</v>
      </c>
      <c r="I5244" s="17" t="n">
        <v>0</v>
      </c>
      <c r="J5244" s="18" t="n">
        <v>389.13</v>
      </c>
      <c r="K5244" s="19" t="n">
        <v>72.75</v>
      </c>
      <c r="L5244" s="15" t="n">
        <f aca="false">YEAR(B5244)</f>
        <v>2025</v>
      </c>
      <c r="M5244" s="20" t="n">
        <f aca="false">IF(J5244&gt;0,K5244/J5244,0)</f>
        <v>0.186955516151415</v>
      </c>
    </row>
    <row r="5245" customFormat="false" ht="15" hidden="false" customHeight="false" outlineLevel="0" collapsed="false">
      <c r="A5245" s="15" t="s">
        <v>5302</v>
      </c>
      <c r="B5245" s="16" t="n">
        <v>45543</v>
      </c>
      <c r="C5245" s="15" t="s">
        <v>68</v>
      </c>
      <c r="D5245" s="15" t="s">
        <v>42</v>
      </c>
      <c r="E5245" s="15" t="s">
        <v>39</v>
      </c>
      <c r="F5245" s="15" t="s">
        <v>18</v>
      </c>
      <c r="G5245" s="15" t="s">
        <v>30</v>
      </c>
      <c r="H5245" s="15" t="n">
        <v>4</v>
      </c>
      <c r="I5245" s="17" t="n">
        <v>0.2</v>
      </c>
      <c r="J5245" s="18" t="n">
        <v>139.89</v>
      </c>
      <c r="K5245" s="19" t="n">
        <v>22.58</v>
      </c>
      <c r="L5245" s="15" t="n">
        <f aca="false">YEAR(B5245)</f>
        <v>2024</v>
      </c>
      <c r="M5245" s="20" t="n">
        <f aca="false">IF(J5245&gt;0,K5245/J5245,0)</f>
        <v>0.161412538423047</v>
      </c>
    </row>
    <row r="5246" customFormat="false" ht="15" hidden="false" customHeight="false" outlineLevel="0" collapsed="false">
      <c r="A5246" s="15" t="s">
        <v>5303</v>
      </c>
      <c r="B5246" s="16" t="n">
        <v>45124</v>
      </c>
      <c r="C5246" s="15" t="s">
        <v>68</v>
      </c>
      <c r="D5246" s="15" t="s">
        <v>43</v>
      </c>
      <c r="E5246" s="15" t="s">
        <v>37</v>
      </c>
      <c r="F5246" s="15" t="s">
        <v>16</v>
      </c>
      <c r="G5246" s="15" t="s">
        <v>25</v>
      </c>
      <c r="H5246" s="15" t="n">
        <v>2</v>
      </c>
      <c r="I5246" s="17" t="n">
        <v>0.5</v>
      </c>
      <c r="J5246" s="18" t="n">
        <v>317.9</v>
      </c>
      <c r="K5246" s="19" t="n">
        <v>-104.9</v>
      </c>
      <c r="L5246" s="15" t="n">
        <f aca="false">YEAR(B5246)</f>
        <v>2023</v>
      </c>
      <c r="M5246" s="20" t="n">
        <f aca="false">IF(J5246&gt;0,K5246/J5246,0)</f>
        <v>-0.329977980497012</v>
      </c>
    </row>
    <row r="5247" customFormat="false" ht="15" hidden="false" customHeight="false" outlineLevel="0" collapsed="false">
      <c r="A5247" s="15" t="s">
        <v>5304</v>
      </c>
      <c r="B5247" s="16" t="n">
        <v>44673</v>
      </c>
      <c r="C5247" s="15" t="s">
        <v>56</v>
      </c>
      <c r="D5247" s="15" t="s">
        <v>42</v>
      </c>
      <c r="E5247" s="15" t="s">
        <v>39</v>
      </c>
      <c r="F5247" s="15" t="s">
        <v>16</v>
      </c>
      <c r="G5247" s="15" t="s">
        <v>25</v>
      </c>
      <c r="H5247" s="15" t="n">
        <v>2</v>
      </c>
      <c r="I5247" s="17" t="n">
        <v>0.15</v>
      </c>
      <c r="J5247" s="18" t="n">
        <v>499.69</v>
      </c>
      <c r="K5247" s="19" t="n">
        <v>-67.96</v>
      </c>
      <c r="L5247" s="15" t="n">
        <f aca="false">YEAR(B5247)</f>
        <v>2022</v>
      </c>
      <c r="M5247" s="20" t="n">
        <f aca="false">IF(J5247&gt;0,K5247/J5247,0)</f>
        <v>-0.136004322680062</v>
      </c>
    </row>
    <row r="5248" customFormat="false" ht="15" hidden="false" customHeight="false" outlineLevel="0" collapsed="false">
      <c r="A5248" s="15" t="s">
        <v>5305</v>
      </c>
      <c r="B5248" s="16" t="n">
        <v>45996</v>
      </c>
      <c r="C5248" s="15" t="s">
        <v>58</v>
      </c>
      <c r="D5248" s="15" t="s">
        <v>42</v>
      </c>
      <c r="E5248" s="15" t="s">
        <v>38</v>
      </c>
      <c r="F5248" s="15" t="s">
        <v>18</v>
      </c>
      <c r="G5248" s="15" t="s">
        <v>24</v>
      </c>
      <c r="H5248" s="15" t="n">
        <v>4</v>
      </c>
      <c r="I5248" s="17" t="n">
        <v>0.05</v>
      </c>
      <c r="J5248" s="18" t="n">
        <v>1942.37</v>
      </c>
      <c r="K5248" s="19" t="n">
        <v>-78.64</v>
      </c>
      <c r="L5248" s="15" t="n">
        <f aca="false">YEAR(B5248)</f>
        <v>2025</v>
      </c>
      <c r="M5248" s="20" t="n">
        <f aca="false">IF(J5248&gt;0,K5248/J5248,0)</f>
        <v>-0.0404866220133136</v>
      </c>
    </row>
    <row r="5249" customFormat="false" ht="15" hidden="false" customHeight="false" outlineLevel="0" collapsed="false">
      <c r="A5249" s="15" t="s">
        <v>5306</v>
      </c>
      <c r="B5249" s="16" t="n">
        <v>45279</v>
      </c>
      <c r="C5249" s="15" t="s">
        <v>58</v>
      </c>
      <c r="D5249" s="15" t="s">
        <v>42</v>
      </c>
      <c r="E5249" s="15" t="s">
        <v>36</v>
      </c>
      <c r="F5249" s="15" t="s">
        <v>17</v>
      </c>
      <c r="G5249" s="15" t="s">
        <v>29</v>
      </c>
      <c r="H5249" s="15" t="n">
        <v>4</v>
      </c>
      <c r="I5249" s="17" t="n">
        <v>0.1</v>
      </c>
      <c r="J5249" s="18" t="n">
        <v>67.24</v>
      </c>
      <c r="K5249" s="19" t="n">
        <v>16.32</v>
      </c>
      <c r="L5249" s="15" t="n">
        <f aca="false">YEAR(B5249)</f>
        <v>2023</v>
      </c>
      <c r="M5249" s="20" t="n">
        <f aca="false">IF(J5249&gt;0,K5249/J5249,0)</f>
        <v>0.242712671029149</v>
      </c>
    </row>
    <row r="5250" customFormat="false" ht="15" hidden="false" customHeight="false" outlineLevel="0" collapsed="false">
      <c r="A5250" s="15" t="s">
        <v>5307</v>
      </c>
      <c r="B5250" s="16" t="n">
        <v>44893</v>
      </c>
      <c r="C5250" s="15" t="s">
        <v>58</v>
      </c>
      <c r="D5250" s="15" t="s">
        <v>43</v>
      </c>
      <c r="E5250" s="15" t="s">
        <v>39</v>
      </c>
      <c r="F5250" s="15" t="s">
        <v>18</v>
      </c>
      <c r="G5250" s="15" t="s">
        <v>30</v>
      </c>
      <c r="H5250" s="15" t="n">
        <v>2</v>
      </c>
      <c r="I5250" s="17" t="n">
        <v>0</v>
      </c>
      <c r="J5250" s="18" t="n">
        <v>124.05</v>
      </c>
      <c r="K5250" s="19" t="n">
        <v>35.25</v>
      </c>
      <c r="L5250" s="15" t="n">
        <f aca="false">YEAR(B5250)</f>
        <v>2022</v>
      </c>
      <c r="M5250" s="20" t="n">
        <f aca="false">IF(J5250&gt;0,K5250/J5250,0)</f>
        <v>0.28415961305925</v>
      </c>
    </row>
    <row r="5251" customFormat="false" ht="15" hidden="false" customHeight="false" outlineLevel="0" collapsed="false">
      <c r="A5251" s="15" t="s">
        <v>5308</v>
      </c>
      <c r="B5251" s="16" t="n">
        <v>45114</v>
      </c>
      <c r="C5251" s="15" t="s">
        <v>68</v>
      </c>
      <c r="D5251" s="15" t="s">
        <v>43</v>
      </c>
      <c r="E5251" s="15" t="s">
        <v>36</v>
      </c>
      <c r="F5251" s="15" t="s">
        <v>18</v>
      </c>
      <c r="G5251" s="15" t="s">
        <v>32</v>
      </c>
      <c r="H5251" s="15" t="n">
        <v>3</v>
      </c>
      <c r="I5251" s="17" t="n">
        <v>0</v>
      </c>
      <c r="J5251" s="18" t="n">
        <v>1188.07</v>
      </c>
      <c r="K5251" s="19" t="n">
        <v>205.08</v>
      </c>
      <c r="L5251" s="15" t="n">
        <f aca="false">YEAR(B5251)</f>
        <v>2023</v>
      </c>
      <c r="M5251" s="20" t="n">
        <f aca="false">IF(J5251&gt;0,K5251/J5251,0)</f>
        <v>0.172616091644432</v>
      </c>
    </row>
    <row r="5252" customFormat="false" ht="15" hidden="false" customHeight="false" outlineLevel="0" collapsed="false">
      <c r="A5252" s="15" t="s">
        <v>5309</v>
      </c>
      <c r="B5252" s="16" t="n">
        <v>45916</v>
      </c>
      <c r="C5252" s="15" t="s">
        <v>56</v>
      </c>
      <c r="D5252" s="15" t="s">
        <v>43</v>
      </c>
      <c r="E5252" s="15" t="s">
        <v>36</v>
      </c>
      <c r="F5252" s="15" t="s">
        <v>17</v>
      </c>
      <c r="G5252" s="15" t="s">
        <v>28</v>
      </c>
      <c r="H5252" s="15" t="n">
        <v>2</v>
      </c>
      <c r="I5252" s="17" t="n">
        <v>0.1</v>
      </c>
      <c r="J5252" s="18" t="n">
        <v>39.8</v>
      </c>
      <c r="K5252" s="19" t="n">
        <v>6.78</v>
      </c>
      <c r="L5252" s="15" t="n">
        <f aca="false">YEAR(B5252)</f>
        <v>2025</v>
      </c>
      <c r="M5252" s="20" t="n">
        <f aca="false">IF(J5252&gt;0,K5252/J5252,0)</f>
        <v>0.17035175879397</v>
      </c>
    </row>
    <row r="5253" customFormat="false" ht="15" hidden="false" customHeight="false" outlineLevel="0" collapsed="false">
      <c r="A5253" s="15" t="s">
        <v>5310</v>
      </c>
      <c r="B5253" s="16" t="n">
        <v>45811</v>
      </c>
      <c r="C5253" s="15" t="s">
        <v>56</v>
      </c>
      <c r="D5253" s="15" t="s">
        <v>42</v>
      </c>
      <c r="E5253" s="15" t="s">
        <v>36</v>
      </c>
      <c r="F5253" s="15" t="s">
        <v>16</v>
      </c>
      <c r="G5253" s="15" t="s">
        <v>23</v>
      </c>
      <c r="H5253" s="15" t="n">
        <v>5</v>
      </c>
      <c r="I5253" s="17" t="n">
        <v>0</v>
      </c>
      <c r="J5253" s="18" t="n">
        <v>1310.21</v>
      </c>
      <c r="K5253" s="19" t="n">
        <v>92.25</v>
      </c>
      <c r="L5253" s="15" t="n">
        <f aca="false">YEAR(B5253)</f>
        <v>2025</v>
      </c>
      <c r="M5253" s="20" t="n">
        <f aca="false">IF(J5253&gt;0,K5253/J5253,0)</f>
        <v>0.0704085604597736</v>
      </c>
    </row>
    <row r="5254" customFormat="false" ht="15" hidden="false" customHeight="false" outlineLevel="0" collapsed="false">
      <c r="A5254" s="15" t="s">
        <v>5311</v>
      </c>
      <c r="B5254" s="16" t="n">
        <v>45806</v>
      </c>
      <c r="C5254" s="15" t="s">
        <v>56</v>
      </c>
      <c r="D5254" s="15" t="s">
        <v>44</v>
      </c>
      <c r="E5254" s="15" t="s">
        <v>36</v>
      </c>
      <c r="F5254" s="15" t="s">
        <v>17</v>
      </c>
      <c r="G5254" s="15" t="s">
        <v>26</v>
      </c>
      <c r="H5254" s="15" t="n">
        <v>4</v>
      </c>
      <c r="I5254" s="17" t="n">
        <v>0</v>
      </c>
      <c r="J5254" s="18" t="n">
        <v>302.3</v>
      </c>
      <c r="K5254" s="19" t="n">
        <v>30.03</v>
      </c>
      <c r="L5254" s="15" t="n">
        <f aca="false">YEAR(B5254)</f>
        <v>2025</v>
      </c>
      <c r="M5254" s="20" t="n">
        <f aca="false">IF(J5254&gt;0,K5254/J5254,0)</f>
        <v>0.0993384055573933</v>
      </c>
    </row>
    <row r="5255" customFormat="false" ht="15" hidden="false" customHeight="false" outlineLevel="0" collapsed="false">
      <c r="A5255" s="15" t="s">
        <v>5312</v>
      </c>
      <c r="B5255" s="16" t="n">
        <v>45432</v>
      </c>
      <c r="C5255" s="15" t="s">
        <v>71</v>
      </c>
      <c r="D5255" s="15" t="s">
        <v>43</v>
      </c>
      <c r="E5255" s="15" t="s">
        <v>38</v>
      </c>
      <c r="F5255" s="15" t="s">
        <v>17</v>
      </c>
      <c r="G5255" s="15" t="s">
        <v>29</v>
      </c>
      <c r="H5255" s="15" t="n">
        <v>5</v>
      </c>
      <c r="I5255" s="17" t="n">
        <v>0.2</v>
      </c>
      <c r="J5255" s="18" t="n">
        <v>79.74</v>
      </c>
      <c r="K5255" s="19" t="n">
        <v>19.69</v>
      </c>
      <c r="L5255" s="15" t="n">
        <f aca="false">YEAR(B5255)</f>
        <v>2024</v>
      </c>
      <c r="M5255" s="20" t="n">
        <f aca="false">IF(J5255&gt;0,K5255/J5255,0)</f>
        <v>0.246927514421871</v>
      </c>
    </row>
    <row r="5256" customFormat="false" ht="15" hidden="false" customHeight="false" outlineLevel="0" collapsed="false">
      <c r="A5256" s="15" t="s">
        <v>5313</v>
      </c>
      <c r="B5256" s="16" t="n">
        <v>44794</v>
      </c>
      <c r="C5256" s="15" t="s">
        <v>68</v>
      </c>
      <c r="D5256" s="15" t="s">
        <v>42</v>
      </c>
      <c r="E5256" s="15" t="s">
        <v>39</v>
      </c>
      <c r="F5256" s="15" t="s">
        <v>16</v>
      </c>
      <c r="G5256" s="15" t="s">
        <v>22</v>
      </c>
      <c r="H5256" s="15" t="n">
        <v>4</v>
      </c>
      <c r="I5256" s="17" t="n">
        <v>0.3</v>
      </c>
      <c r="J5256" s="18" t="n">
        <v>1512.91</v>
      </c>
      <c r="K5256" s="19" t="n">
        <v>-522.41</v>
      </c>
      <c r="L5256" s="15" t="n">
        <f aca="false">YEAR(B5256)</f>
        <v>2022</v>
      </c>
      <c r="M5256" s="20" t="n">
        <f aca="false">IF(J5256&gt;0,K5256/J5256,0)</f>
        <v>-0.345301438948781</v>
      </c>
    </row>
    <row r="5257" customFormat="false" ht="15" hidden="false" customHeight="false" outlineLevel="0" collapsed="false">
      <c r="A5257" s="15" t="s">
        <v>5314</v>
      </c>
      <c r="B5257" s="16" t="n">
        <v>44840</v>
      </c>
      <c r="C5257" s="15" t="s">
        <v>71</v>
      </c>
      <c r="D5257" s="15" t="s">
        <v>44</v>
      </c>
      <c r="E5257" s="15" t="s">
        <v>37</v>
      </c>
      <c r="F5257" s="15" t="s">
        <v>16</v>
      </c>
      <c r="G5257" s="15" t="s">
        <v>23</v>
      </c>
      <c r="H5257" s="15" t="n">
        <v>1</v>
      </c>
      <c r="I5257" s="17" t="n">
        <v>0</v>
      </c>
      <c r="J5257" s="18" t="n">
        <v>340.27</v>
      </c>
      <c r="K5257" s="19" t="n">
        <v>39.4</v>
      </c>
      <c r="L5257" s="15" t="n">
        <f aca="false">YEAR(B5257)</f>
        <v>2022</v>
      </c>
      <c r="M5257" s="20" t="n">
        <f aca="false">IF(J5257&gt;0,K5257/J5257,0)</f>
        <v>0.115790401739795</v>
      </c>
    </row>
    <row r="5258" customFormat="false" ht="15" hidden="false" customHeight="false" outlineLevel="0" collapsed="false">
      <c r="A5258" s="15" t="s">
        <v>5315</v>
      </c>
      <c r="B5258" s="16" t="n">
        <v>45145</v>
      </c>
      <c r="C5258" s="15" t="s">
        <v>56</v>
      </c>
      <c r="D5258" s="15" t="s">
        <v>42</v>
      </c>
      <c r="E5258" s="15" t="s">
        <v>38</v>
      </c>
      <c r="F5258" s="15" t="s">
        <v>16</v>
      </c>
      <c r="G5258" s="15" t="s">
        <v>27</v>
      </c>
      <c r="H5258" s="15" t="n">
        <v>3</v>
      </c>
      <c r="I5258" s="17" t="n">
        <v>0.15</v>
      </c>
      <c r="J5258" s="18" t="n">
        <v>166.56</v>
      </c>
      <c r="K5258" s="19" t="n">
        <v>19.67</v>
      </c>
      <c r="L5258" s="15" t="n">
        <f aca="false">YEAR(B5258)</f>
        <v>2023</v>
      </c>
      <c r="M5258" s="20" t="n">
        <f aca="false">IF(J5258&gt;0,K5258/J5258,0)</f>
        <v>0.11809558117195</v>
      </c>
    </row>
    <row r="5259" customFormat="false" ht="15" hidden="false" customHeight="false" outlineLevel="0" collapsed="false">
      <c r="A5259" s="15" t="s">
        <v>5316</v>
      </c>
      <c r="B5259" s="16" t="n">
        <v>45036</v>
      </c>
      <c r="C5259" s="15" t="s">
        <v>56</v>
      </c>
      <c r="D5259" s="15" t="s">
        <v>42</v>
      </c>
      <c r="E5259" s="15" t="s">
        <v>38</v>
      </c>
      <c r="F5259" s="15" t="s">
        <v>16</v>
      </c>
      <c r="G5259" s="15" t="s">
        <v>22</v>
      </c>
      <c r="H5259" s="15" t="n">
        <v>5</v>
      </c>
      <c r="I5259" s="17" t="n">
        <v>0.2</v>
      </c>
      <c r="J5259" s="18" t="n">
        <v>1687.53</v>
      </c>
      <c r="K5259" s="19" t="n">
        <v>-363.53</v>
      </c>
      <c r="L5259" s="15" t="n">
        <f aca="false">YEAR(B5259)</f>
        <v>2023</v>
      </c>
      <c r="M5259" s="20" t="n">
        <f aca="false">IF(J5259&gt;0,K5259/J5259,0)</f>
        <v>-0.215421355472199</v>
      </c>
    </row>
    <row r="5260" customFormat="false" ht="15" hidden="false" customHeight="false" outlineLevel="0" collapsed="false">
      <c r="A5260" s="15" t="s">
        <v>5317</v>
      </c>
      <c r="B5260" s="16" t="n">
        <v>45609</v>
      </c>
      <c r="C5260" s="15" t="s">
        <v>56</v>
      </c>
      <c r="D5260" s="15" t="s">
        <v>42</v>
      </c>
      <c r="E5260" s="15" t="s">
        <v>37</v>
      </c>
      <c r="F5260" s="15" t="s">
        <v>16</v>
      </c>
      <c r="G5260" s="15" t="s">
        <v>27</v>
      </c>
      <c r="H5260" s="15" t="n">
        <v>2</v>
      </c>
      <c r="I5260" s="17" t="n">
        <v>0.1</v>
      </c>
      <c r="J5260" s="18" t="n">
        <v>113.53</v>
      </c>
      <c r="K5260" s="19" t="n">
        <v>13.66</v>
      </c>
      <c r="L5260" s="15" t="n">
        <f aca="false">YEAR(B5260)</f>
        <v>2024</v>
      </c>
      <c r="M5260" s="20" t="n">
        <f aca="false">IF(J5260&gt;0,K5260/J5260,0)</f>
        <v>0.120320620100414</v>
      </c>
    </row>
    <row r="5261" customFormat="false" ht="15" hidden="false" customHeight="false" outlineLevel="0" collapsed="false">
      <c r="A5261" s="15" t="s">
        <v>5318</v>
      </c>
      <c r="B5261" s="16" t="n">
        <v>45000</v>
      </c>
      <c r="C5261" s="15" t="s">
        <v>71</v>
      </c>
      <c r="D5261" s="15" t="s">
        <v>44</v>
      </c>
      <c r="E5261" s="15" t="s">
        <v>37</v>
      </c>
      <c r="F5261" s="15" t="s">
        <v>18</v>
      </c>
      <c r="G5261" s="15" t="s">
        <v>30</v>
      </c>
      <c r="H5261" s="15" t="n">
        <v>4</v>
      </c>
      <c r="I5261" s="17" t="n">
        <v>0</v>
      </c>
      <c r="J5261" s="18" t="n">
        <v>190.67</v>
      </c>
      <c r="K5261" s="19" t="n">
        <v>48.83</v>
      </c>
      <c r="L5261" s="15" t="n">
        <f aca="false">YEAR(B5261)</f>
        <v>2023</v>
      </c>
      <c r="M5261" s="20" t="n">
        <f aca="false">IF(J5261&gt;0,K5261/J5261,0)</f>
        <v>0.256096921382493</v>
      </c>
    </row>
    <row r="5262" customFormat="false" ht="15" hidden="false" customHeight="false" outlineLevel="0" collapsed="false">
      <c r="A5262" s="15" t="s">
        <v>5319</v>
      </c>
      <c r="B5262" s="16" t="n">
        <v>45828</v>
      </c>
      <c r="C5262" s="15" t="s">
        <v>71</v>
      </c>
      <c r="D5262" s="15" t="s">
        <v>44</v>
      </c>
      <c r="E5262" s="15" t="s">
        <v>36</v>
      </c>
      <c r="F5262" s="15" t="s">
        <v>17</v>
      </c>
      <c r="G5262" s="15" t="s">
        <v>28</v>
      </c>
      <c r="H5262" s="15" t="n">
        <v>5</v>
      </c>
      <c r="I5262" s="17" t="n">
        <v>0.05</v>
      </c>
      <c r="J5262" s="18" t="n">
        <v>108.38</v>
      </c>
      <c r="K5262" s="19" t="n">
        <v>31</v>
      </c>
      <c r="L5262" s="15" t="n">
        <f aca="false">YEAR(B5262)</f>
        <v>2025</v>
      </c>
      <c r="M5262" s="20" t="n">
        <f aca="false">IF(J5262&gt;0,K5262/J5262,0)</f>
        <v>0.28603063295811</v>
      </c>
    </row>
    <row r="5263" customFormat="false" ht="15" hidden="false" customHeight="false" outlineLevel="0" collapsed="false">
      <c r="A5263" s="15" t="s">
        <v>5320</v>
      </c>
      <c r="B5263" s="16" t="n">
        <v>44880</v>
      </c>
      <c r="C5263" s="15" t="s">
        <v>56</v>
      </c>
      <c r="D5263" s="15" t="s">
        <v>43</v>
      </c>
      <c r="E5263" s="15" t="s">
        <v>38</v>
      </c>
      <c r="F5263" s="15" t="s">
        <v>17</v>
      </c>
      <c r="G5263" s="15" t="s">
        <v>29</v>
      </c>
      <c r="H5263" s="15" t="n">
        <v>3</v>
      </c>
      <c r="I5263" s="17" t="n">
        <v>0.2</v>
      </c>
      <c r="J5263" s="18" t="n">
        <v>45.09</v>
      </c>
      <c r="K5263" s="19" t="n">
        <v>7.9</v>
      </c>
      <c r="L5263" s="15" t="n">
        <f aca="false">YEAR(B5263)</f>
        <v>2022</v>
      </c>
      <c r="M5263" s="20" t="n">
        <f aca="false">IF(J5263&gt;0,K5263/J5263,0)</f>
        <v>0.175205145265026</v>
      </c>
    </row>
    <row r="5264" customFormat="false" ht="15" hidden="false" customHeight="false" outlineLevel="0" collapsed="false">
      <c r="A5264" s="15" t="s">
        <v>5321</v>
      </c>
      <c r="B5264" s="16" t="n">
        <v>45402</v>
      </c>
      <c r="C5264" s="15" t="s">
        <v>56</v>
      </c>
      <c r="D5264" s="15" t="s">
        <v>42</v>
      </c>
      <c r="E5264" s="15" t="s">
        <v>36</v>
      </c>
      <c r="F5264" s="15" t="s">
        <v>17</v>
      </c>
      <c r="G5264" s="15" t="s">
        <v>26</v>
      </c>
      <c r="H5264" s="15" t="n">
        <v>3</v>
      </c>
      <c r="I5264" s="17" t="n">
        <v>0.5</v>
      </c>
      <c r="J5264" s="18" t="n">
        <v>123.51</v>
      </c>
      <c r="K5264" s="19" t="n">
        <v>-40.34</v>
      </c>
      <c r="L5264" s="15" t="n">
        <f aca="false">YEAR(B5264)</f>
        <v>2024</v>
      </c>
      <c r="M5264" s="20" t="n">
        <f aca="false">IF(J5264&gt;0,K5264/J5264,0)</f>
        <v>-0.326613229698</v>
      </c>
    </row>
    <row r="5265" customFormat="false" ht="15" hidden="false" customHeight="false" outlineLevel="0" collapsed="false">
      <c r="A5265" s="15" t="s">
        <v>5322</v>
      </c>
      <c r="B5265" s="16" t="n">
        <v>45347</v>
      </c>
      <c r="C5265" s="15" t="s">
        <v>68</v>
      </c>
      <c r="D5265" s="15" t="s">
        <v>43</v>
      </c>
      <c r="E5265" s="15" t="s">
        <v>39</v>
      </c>
      <c r="F5265" s="15" t="s">
        <v>17</v>
      </c>
      <c r="G5265" s="15" t="s">
        <v>29</v>
      </c>
      <c r="H5265" s="15" t="n">
        <v>4</v>
      </c>
      <c r="I5265" s="17" t="n">
        <v>0.2</v>
      </c>
      <c r="J5265" s="18" t="n">
        <v>68.49</v>
      </c>
      <c r="K5265" s="19" t="n">
        <v>13.18</v>
      </c>
      <c r="L5265" s="15" t="n">
        <f aca="false">YEAR(B5265)</f>
        <v>2024</v>
      </c>
      <c r="M5265" s="20" t="n">
        <f aca="false">IF(J5265&gt;0,K5265/J5265,0)</f>
        <v>0.192436852095196</v>
      </c>
    </row>
    <row r="5266" customFormat="false" ht="15" hidden="false" customHeight="false" outlineLevel="0" collapsed="false">
      <c r="A5266" s="15" t="s">
        <v>5323</v>
      </c>
      <c r="B5266" s="16" t="n">
        <v>45049</v>
      </c>
      <c r="C5266" s="15" t="s">
        <v>68</v>
      </c>
      <c r="D5266" s="15" t="s">
        <v>42</v>
      </c>
      <c r="E5266" s="15" t="s">
        <v>36</v>
      </c>
      <c r="F5266" s="15" t="s">
        <v>17</v>
      </c>
      <c r="G5266" s="15" t="s">
        <v>29</v>
      </c>
      <c r="H5266" s="15" t="n">
        <v>5</v>
      </c>
      <c r="I5266" s="17" t="n">
        <v>0</v>
      </c>
      <c r="J5266" s="18" t="n">
        <v>88.69</v>
      </c>
      <c r="K5266" s="19" t="n">
        <v>38.33</v>
      </c>
      <c r="L5266" s="15" t="n">
        <f aca="false">YEAR(B5266)</f>
        <v>2023</v>
      </c>
      <c r="M5266" s="20" t="n">
        <f aca="false">IF(J5266&gt;0,K5266/J5266,0)</f>
        <v>0.432179501634908</v>
      </c>
    </row>
    <row r="5267" customFormat="false" ht="15" hidden="false" customHeight="false" outlineLevel="0" collapsed="false">
      <c r="A5267" s="15" t="s">
        <v>5324</v>
      </c>
      <c r="B5267" s="16" t="n">
        <v>45505</v>
      </c>
      <c r="C5267" s="15" t="s">
        <v>56</v>
      </c>
      <c r="D5267" s="15" t="s">
        <v>44</v>
      </c>
      <c r="E5267" s="15" t="s">
        <v>39</v>
      </c>
      <c r="F5267" s="15" t="s">
        <v>18</v>
      </c>
      <c r="G5267" s="15" t="s">
        <v>30</v>
      </c>
      <c r="H5267" s="15" t="n">
        <v>2</v>
      </c>
      <c r="I5267" s="17" t="n">
        <v>0</v>
      </c>
      <c r="J5267" s="18" t="n">
        <v>94.57</v>
      </c>
      <c r="K5267" s="19" t="n">
        <v>26.56</v>
      </c>
      <c r="L5267" s="15" t="n">
        <f aca="false">YEAR(B5267)</f>
        <v>2024</v>
      </c>
      <c r="M5267" s="20" t="n">
        <f aca="false">IF(J5267&gt;0,K5267/J5267,0)</f>
        <v>0.280850163899757</v>
      </c>
    </row>
    <row r="5268" customFormat="false" ht="15" hidden="false" customHeight="false" outlineLevel="0" collapsed="false">
      <c r="A5268" s="15" t="s">
        <v>5325</v>
      </c>
      <c r="B5268" s="16" t="n">
        <v>44655</v>
      </c>
      <c r="C5268" s="15" t="s">
        <v>56</v>
      </c>
      <c r="D5268" s="15" t="s">
        <v>43</v>
      </c>
      <c r="E5268" s="15" t="s">
        <v>39</v>
      </c>
      <c r="F5268" s="15" t="s">
        <v>17</v>
      </c>
      <c r="G5268" s="15" t="s">
        <v>29</v>
      </c>
      <c r="H5268" s="15" t="n">
        <v>6</v>
      </c>
      <c r="I5268" s="17" t="n">
        <v>0</v>
      </c>
      <c r="J5268" s="18" t="n">
        <v>140.96</v>
      </c>
      <c r="K5268" s="19" t="n">
        <v>54.52</v>
      </c>
      <c r="L5268" s="15" t="n">
        <f aca="false">YEAR(B5268)</f>
        <v>2022</v>
      </c>
      <c r="M5268" s="20" t="n">
        <f aca="false">IF(J5268&gt;0,K5268/J5268,0)</f>
        <v>0.38677639046538</v>
      </c>
    </row>
    <row r="5269" customFormat="false" ht="15" hidden="false" customHeight="false" outlineLevel="0" collapsed="false">
      <c r="A5269" s="15" t="s">
        <v>5326</v>
      </c>
      <c r="B5269" s="16" t="n">
        <v>45515</v>
      </c>
      <c r="C5269" s="15" t="s">
        <v>56</v>
      </c>
      <c r="D5269" s="15" t="s">
        <v>43</v>
      </c>
      <c r="E5269" s="15" t="s">
        <v>36</v>
      </c>
      <c r="F5269" s="15" t="s">
        <v>17</v>
      </c>
      <c r="G5269" s="15" t="s">
        <v>26</v>
      </c>
      <c r="H5269" s="15" t="n">
        <v>3</v>
      </c>
      <c r="I5269" s="17" t="n">
        <v>0.2</v>
      </c>
      <c r="J5269" s="18" t="n">
        <v>213.1</v>
      </c>
      <c r="K5269" s="19" t="n">
        <v>-13.53</v>
      </c>
      <c r="L5269" s="15" t="n">
        <f aca="false">YEAR(B5269)</f>
        <v>2024</v>
      </c>
      <c r="M5269" s="20" t="n">
        <f aca="false">IF(J5269&gt;0,K5269/J5269,0)</f>
        <v>-0.0634913186297513</v>
      </c>
    </row>
    <row r="5270" customFormat="false" ht="15" hidden="false" customHeight="false" outlineLevel="0" collapsed="false">
      <c r="A5270" s="15" t="s">
        <v>5327</v>
      </c>
      <c r="B5270" s="16" t="n">
        <v>45680</v>
      </c>
      <c r="C5270" s="15" t="s">
        <v>56</v>
      </c>
      <c r="D5270" s="15" t="s">
        <v>42</v>
      </c>
      <c r="E5270" s="15" t="s">
        <v>36</v>
      </c>
      <c r="F5270" s="15" t="s">
        <v>16</v>
      </c>
      <c r="G5270" s="15" t="s">
        <v>25</v>
      </c>
      <c r="H5270" s="15" t="n">
        <v>6</v>
      </c>
      <c r="I5270" s="17" t="n">
        <v>0</v>
      </c>
      <c r="J5270" s="18" t="n">
        <v>1456.89</v>
      </c>
      <c r="K5270" s="19" t="n">
        <v>156.24</v>
      </c>
      <c r="L5270" s="15" t="n">
        <f aca="false">YEAR(B5270)</f>
        <v>2025</v>
      </c>
      <c r="M5270" s="20" t="n">
        <f aca="false">IF(J5270&gt;0,K5270/J5270,0)</f>
        <v>0.107242139077075</v>
      </c>
    </row>
    <row r="5271" customFormat="false" ht="15" hidden="false" customHeight="false" outlineLevel="0" collapsed="false">
      <c r="A5271" s="15" t="s">
        <v>5328</v>
      </c>
      <c r="B5271" s="16" t="n">
        <v>45958</v>
      </c>
      <c r="C5271" s="15" t="s">
        <v>68</v>
      </c>
      <c r="D5271" s="15" t="s">
        <v>43</v>
      </c>
      <c r="E5271" s="15" t="s">
        <v>39</v>
      </c>
      <c r="F5271" s="15" t="s">
        <v>16</v>
      </c>
      <c r="G5271" s="15" t="s">
        <v>27</v>
      </c>
      <c r="H5271" s="15" t="n">
        <v>1</v>
      </c>
      <c r="I5271" s="17" t="n">
        <v>0.2</v>
      </c>
      <c r="J5271" s="18" t="n">
        <v>56.47</v>
      </c>
      <c r="K5271" s="19" t="n">
        <v>1.88</v>
      </c>
      <c r="L5271" s="15" t="n">
        <f aca="false">YEAR(B5271)</f>
        <v>2025</v>
      </c>
      <c r="M5271" s="20" t="n">
        <f aca="false">IF(J5271&gt;0,K5271/J5271,0)</f>
        <v>0.0332920134584735</v>
      </c>
    </row>
    <row r="5272" customFormat="false" ht="15" hidden="false" customHeight="false" outlineLevel="0" collapsed="false">
      <c r="A5272" s="15" t="s">
        <v>5329</v>
      </c>
      <c r="B5272" s="16" t="n">
        <v>44985</v>
      </c>
      <c r="C5272" s="15" t="s">
        <v>56</v>
      </c>
      <c r="D5272" s="15" t="s">
        <v>42</v>
      </c>
      <c r="E5272" s="15" t="s">
        <v>37</v>
      </c>
      <c r="F5272" s="15" t="s">
        <v>17</v>
      </c>
      <c r="G5272" s="15" t="s">
        <v>29</v>
      </c>
      <c r="H5272" s="15" t="n">
        <v>2</v>
      </c>
      <c r="I5272" s="17" t="n">
        <v>0</v>
      </c>
      <c r="J5272" s="18" t="n">
        <v>30.4</v>
      </c>
      <c r="K5272" s="19" t="n">
        <v>10.78</v>
      </c>
      <c r="L5272" s="15" t="n">
        <f aca="false">YEAR(B5272)</f>
        <v>2023</v>
      </c>
      <c r="M5272" s="20" t="n">
        <f aca="false">IF(J5272&gt;0,K5272/J5272,0)</f>
        <v>0.354605263157895</v>
      </c>
    </row>
    <row r="5273" customFormat="false" ht="15" hidden="false" customHeight="false" outlineLevel="0" collapsed="false">
      <c r="A5273" s="15" t="s">
        <v>5330</v>
      </c>
      <c r="B5273" s="16" t="n">
        <v>44968</v>
      </c>
      <c r="C5273" s="15" t="s">
        <v>68</v>
      </c>
      <c r="D5273" s="15" t="s">
        <v>42</v>
      </c>
      <c r="E5273" s="15" t="s">
        <v>39</v>
      </c>
      <c r="F5273" s="15" t="s">
        <v>17</v>
      </c>
      <c r="G5273" s="15" t="s">
        <v>28</v>
      </c>
      <c r="H5273" s="15" t="n">
        <v>4</v>
      </c>
      <c r="I5273" s="17" t="n">
        <v>0</v>
      </c>
      <c r="J5273" s="18" t="n">
        <v>99.77</v>
      </c>
      <c r="K5273" s="19" t="n">
        <v>29.4</v>
      </c>
      <c r="L5273" s="15" t="n">
        <f aca="false">YEAR(B5273)</f>
        <v>2023</v>
      </c>
      <c r="M5273" s="20" t="n">
        <f aca="false">IF(J5273&gt;0,K5273/J5273,0)</f>
        <v>0.294677758845344</v>
      </c>
    </row>
    <row r="5274" customFormat="false" ht="15" hidden="false" customHeight="false" outlineLevel="0" collapsed="false">
      <c r="A5274" s="15" t="s">
        <v>5331</v>
      </c>
      <c r="B5274" s="16" t="n">
        <v>45935</v>
      </c>
      <c r="C5274" s="15" t="s">
        <v>56</v>
      </c>
      <c r="D5274" s="15" t="s">
        <v>43</v>
      </c>
      <c r="E5274" s="15" t="s">
        <v>38</v>
      </c>
      <c r="F5274" s="15" t="s">
        <v>18</v>
      </c>
      <c r="G5274" s="15" t="s">
        <v>30</v>
      </c>
      <c r="H5274" s="15" t="n">
        <v>3</v>
      </c>
      <c r="I5274" s="17" t="n">
        <v>0.15</v>
      </c>
      <c r="J5274" s="18" t="n">
        <v>102.08</v>
      </c>
      <c r="K5274" s="19" t="n">
        <v>21.16</v>
      </c>
      <c r="L5274" s="15" t="n">
        <f aca="false">YEAR(B5274)</f>
        <v>2025</v>
      </c>
      <c r="M5274" s="20" t="n">
        <f aca="false">IF(J5274&gt;0,K5274/J5274,0)</f>
        <v>0.207288401253919</v>
      </c>
    </row>
    <row r="5275" customFormat="false" ht="15" hidden="false" customHeight="false" outlineLevel="0" collapsed="false">
      <c r="A5275" s="15" t="s">
        <v>5332</v>
      </c>
      <c r="B5275" s="16" t="n">
        <v>45799</v>
      </c>
      <c r="C5275" s="15" t="s">
        <v>56</v>
      </c>
      <c r="D5275" s="15" t="s">
        <v>42</v>
      </c>
      <c r="E5275" s="15" t="s">
        <v>36</v>
      </c>
      <c r="F5275" s="15" t="s">
        <v>16</v>
      </c>
      <c r="G5275" s="15" t="s">
        <v>22</v>
      </c>
      <c r="H5275" s="15" t="n">
        <v>3</v>
      </c>
      <c r="I5275" s="17" t="n">
        <v>0.1</v>
      </c>
      <c r="J5275" s="18" t="n">
        <v>1279.91</v>
      </c>
      <c r="K5275" s="19" t="n">
        <v>-112.4</v>
      </c>
      <c r="L5275" s="15" t="n">
        <f aca="false">YEAR(B5275)</f>
        <v>2025</v>
      </c>
      <c r="M5275" s="20" t="n">
        <f aca="false">IF(J5275&gt;0,K5275/J5275,0)</f>
        <v>-0.0878186747505684</v>
      </c>
    </row>
    <row r="5276" customFormat="false" ht="15" hidden="false" customHeight="false" outlineLevel="0" collapsed="false">
      <c r="A5276" s="15" t="s">
        <v>5333</v>
      </c>
      <c r="B5276" s="16" t="n">
        <v>44618</v>
      </c>
      <c r="C5276" s="15" t="s">
        <v>56</v>
      </c>
      <c r="D5276" s="15" t="s">
        <v>43</v>
      </c>
      <c r="E5276" s="15" t="s">
        <v>37</v>
      </c>
      <c r="F5276" s="15" t="s">
        <v>17</v>
      </c>
      <c r="G5276" s="15" t="s">
        <v>28</v>
      </c>
      <c r="H5276" s="15" t="n">
        <v>5</v>
      </c>
      <c r="I5276" s="17" t="n">
        <v>0.1</v>
      </c>
      <c r="J5276" s="18" t="n">
        <v>135.29</v>
      </c>
      <c r="K5276" s="19" t="n">
        <v>31.65</v>
      </c>
      <c r="L5276" s="15" t="n">
        <f aca="false">YEAR(B5276)</f>
        <v>2022</v>
      </c>
      <c r="M5276" s="20" t="n">
        <f aca="false">IF(J5276&gt;0,K5276/J5276,0)</f>
        <v>0.233941902579644</v>
      </c>
    </row>
    <row r="5277" customFormat="false" ht="15" hidden="false" customHeight="false" outlineLevel="0" collapsed="false">
      <c r="A5277" s="15" t="s">
        <v>5334</v>
      </c>
      <c r="B5277" s="16" t="n">
        <v>45604</v>
      </c>
      <c r="C5277" s="15" t="s">
        <v>56</v>
      </c>
      <c r="D5277" s="15" t="s">
        <v>42</v>
      </c>
      <c r="E5277" s="15" t="s">
        <v>36</v>
      </c>
      <c r="F5277" s="15" t="s">
        <v>18</v>
      </c>
      <c r="G5277" s="15" t="s">
        <v>30</v>
      </c>
      <c r="H5277" s="15" t="n">
        <v>4</v>
      </c>
      <c r="I5277" s="17" t="n">
        <v>0.2</v>
      </c>
      <c r="J5277" s="18" t="n">
        <v>144.44</v>
      </c>
      <c r="K5277" s="19" t="n">
        <v>25.19</v>
      </c>
      <c r="L5277" s="15" t="n">
        <f aca="false">YEAR(B5277)</f>
        <v>2024</v>
      </c>
      <c r="M5277" s="20" t="n">
        <f aca="false">IF(J5277&gt;0,K5277/J5277,0)</f>
        <v>0.174397673774578</v>
      </c>
    </row>
    <row r="5278" customFormat="false" ht="15" hidden="false" customHeight="false" outlineLevel="0" collapsed="false">
      <c r="A5278" s="15" t="s">
        <v>5335</v>
      </c>
      <c r="B5278" s="16" t="n">
        <v>45253</v>
      </c>
      <c r="C5278" s="15" t="s">
        <v>56</v>
      </c>
      <c r="D5278" s="15" t="s">
        <v>44</v>
      </c>
      <c r="E5278" s="15" t="s">
        <v>39</v>
      </c>
      <c r="F5278" s="15" t="s">
        <v>17</v>
      </c>
      <c r="G5278" s="15" t="s">
        <v>28</v>
      </c>
      <c r="H5278" s="15" t="n">
        <v>4</v>
      </c>
      <c r="I5278" s="17" t="n">
        <v>0</v>
      </c>
      <c r="J5278" s="18" t="n">
        <v>95.73</v>
      </c>
      <c r="K5278" s="19" t="n">
        <v>30</v>
      </c>
      <c r="L5278" s="15" t="n">
        <f aca="false">YEAR(B5278)</f>
        <v>2023</v>
      </c>
      <c r="M5278" s="20" t="n">
        <f aca="false">IF(J5278&gt;0,K5278/J5278,0)</f>
        <v>0.313381385145722</v>
      </c>
    </row>
    <row r="5279" customFormat="false" ht="15" hidden="false" customHeight="false" outlineLevel="0" collapsed="false">
      <c r="A5279" s="15" t="s">
        <v>5336</v>
      </c>
      <c r="B5279" s="16" t="n">
        <v>45224</v>
      </c>
      <c r="C5279" s="15" t="s">
        <v>56</v>
      </c>
      <c r="D5279" s="15" t="s">
        <v>44</v>
      </c>
      <c r="E5279" s="15" t="s">
        <v>39</v>
      </c>
      <c r="F5279" s="15" t="s">
        <v>17</v>
      </c>
      <c r="G5279" s="15" t="s">
        <v>29</v>
      </c>
      <c r="H5279" s="15" t="n">
        <v>4</v>
      </c>
      <c r="I5279" s="17" t="n">
        <v>0</v>
      </c>
      <c r="J5279" s="18" t="n">
        <v>65.88</v>
      </c>
      <c r="K5279" s="19" t="n">
        <v>25.84</v>
      </c>
      <c r="L5279" s="15" t="n">
        <f aca="false">YEAR(B5279)</f>
        <v>2023</v>
      </c>
      <c r="M5279" s="20" t="n">
        <f aca="false">IF(J5279&gt;0,K5279/J5279,0)</f>
        <v>0.392228293867638</v>
      </c>
    </row>
    <row r="5280" customFormat="false" ht="15" hidden="false" customHeight="false" outlineLevel="0" collapsed="false">
      <c r="A5280" s="15" t="s">
        <v>5337</v>
      </c>
      <c r="B5280" s="16" t="n">
        <v>45599</v>
      </c>
      <c r="C5280" s="15" t="s">
        <v>71</v>
      </c>
      <c r="D5280" s="15" t="s">
        <v>42</v>
      </c>
      <c r="E5280" s="15" t="s">
        <v>37</v>
      </c>
      <c r="F5280" s="15" t="s">
        <v>17</v>
      </c>
      <c r="G5280" s="15" t="s">
        <v>28</v>
      </c>
      <c r="H5280" s="15" t="n">
        <v>3</v>
      </c>
      <c r="I5280" s="17" t="n">
        <v>0</v>
      </c>
      <c r="J5280" s="18" t="n">
        <v>65.53</v>
      </c>
      <c r="K5280" s="19" t="n">
        <v>20.97</v>
      </c>
      <c r="L5280" s="15" t="n">
        <f aca="false">YEAR(B5280)</f>
        <v>2024</v>
      </c>
      <c r="M5280" s="20" t="n">
        <f aca="false">IF(J5280&gt;0,K5280/J5280,0)</f>
        <v>0.32000610407447</v>
      </c>
    </row>
    <row r="5281" customFormat="false" ht="15" hidden="false" customHeight="false" outlineLevel="0" collapsed="false">
      <c r="A5281" s="15" t="s">
        <v>5338</v>
      </c>
      <c r="B5281" s="16" t="n">
        <v>44866</v>
      </c>
      <c r="C5281" s="15" t="s">
        <v>68</v>
      </c>
      <c r="D5281" s="15" t="s">
        <v>44</v>
      </c>
      <c r="E5281" s="15" t="s">
        <v>38</v>
      </c>
      <c r="F5281" s="15" t="s">
        <v>17</v>
      </c>
      <c r="G5281" s="15" t="s">
        <v>28</v>
      </c>
      <c r="H5281" s="15" t="n">
        <v>4</v>
      </c>
      <c r="I5281" s="17" t="n">
        <v>0.05</v>
      </c>
      <c r="J5281" s="18" t="n">
        <v>79.19</v>
      </c>
      <c r="K5281" s="19" t="n">
        <v>21.68</v>
      </c>
      <c r="L5281" s="15" t="n">
        <f aca="false">YEAR(B5281)</f>
        <v>2022</v>
      </c>
      <c r="M5281" s="20" t="n">
        <f aca="false">IF(J5281&gt;0,K5281/J5281,0)</f>
        <v>0.273771940901629</v>
      </c>
    </row>
    <row r="5282" customFormat="false" ht="15" hidden="false" customHeight="false" outlineLevel="0" collapsed="false">
      <c r="A5282" s="15" t="s">
        <v>5339</v>
      </c>
      <c r="B5282" s="16" t="n">
        <v>45851</v>
      </c>
      <c r="C5282" s="15" t="s">
        <v>71</v>
      </c>
      <c r="D5282" s="15" t="s">
        <v>44</v>
      </c>
      <c r="E5282" s="15" t="s">
        <v>39</v>
      </c>
      <c r="F5282" s="15" t="s">
        <v>18</v>
      </c>
      <c r="G5282" s="15" t="s">
        <v>24</v>
      </c>
      <c r="H5282" s="15" t="n">
        <v>3</v>
      </c>
      <c r="I5282" s="17" t="n">
        <v>0</v>
      </c>
      <c r="J5282" s="18" t="n">
        <v>1694.55</v>
      </c>
      <c r="K5282" s="19" t="n">
        <v>200.53</v>
      </c>
      <c r="L5282" s="15" t="n">
        <f aca="false">YEAR(B5282)</f>
        <v>2025</v>
      </c>
      <c r="M5282" s="20" t="n">
        <f aca="false">IF(J5282&gt;0,K5282/J5282,0)</f>
        <v>0.118338201882506</v>
      </c>
    </row>
    <row r="5283" customFormat="false" ht="15" hidden="false" customHeight="false" outlineLevel="0" collapsed="false">
      <c r="A5283" s="15" t="s">
        <v>5340</v>
      </c>
      <c r="B5283" s="16" t="n">
        <v>44667</v>
      </c>
      <c r="C5283" s="15" t="s">
        <v>56</v>
      </c>
      <c r="D5283" s="15" t="s">
        <v>42</v>
      </c>
      <c r="E5283" s="15" t="s">
        <v>39</v>
      </c>
      <c r="F5283" s="15" t="s">
        <v>17</v>
      </c>
      <c r="G5283" s="15" t="s">
        <v>31</v>
      </c>
      <c r="H5283" s="15" t="n">
        <v>5</v>
      </c>
      <c r="I5283" s="17" t="n">
        <v>0.15</v>
      </c>
      <c r="J5283" s="18" t="n">
        <v>575.67</v>
      </c>
      <c r="K5283" s="19" t="n">
        <v>29.12</v>
      </c>
      <c r="L5283" s="15" t="n">
        <f aca="false">YEAR(B5283)</f>
        <v>2022</v>
      </c>
      <c r="M5283" s="20" t="n">
        <f aca="false">IF(J5283&gt;0,K5283/J5283,0)</f>
        <v>0.0505845362794657</v>
      </c>
    </row>
    <row r="5284" customFormat="false" ht="15" hidden="false" customHeight="false" outlineLevel="0" collapsed="false">
      <c r="A5284" s="15" t="s">
        <v>5341</v>
      </c>
      <c r="B5284" s="16" t="n">
        <v>45481</v>
      </c>
      <c r="C5284" s="15" t="s">
        <v>68</v>
      </c>
      <c r="D5284" s="15" t="s">
        <v>42</v>
      </c>
      <c r="E5284" s="15" t="s">
        <v>36</v>
      </c>
      <c r="F5284" s="15" t="s">
        <v>16</v>
      </c>
      <c r="G5284" s="15" t="s">
        <v>22</v>
      </c>
      <c r="H5284" s="15" t="n">
        <v>5</v>
      </c>
      <c r="I5284" s="17" t="n">
        <v>0.2</v>
      </c>
      <c r="J5284" s="18" t="n">
        <v>2282.38</v>
      </c>
      <c r="K5284" s="19" t="n">
        <v>-516.96</v>
      </c>
      <c r="L5284" s="15" t="n">
        <f aca="false">YEAR(B5284)</f>
        <v>2024</v>
      </c>
      <c r="M5284" s="20" t="n">
        <f aca="false">IF(J5284&gt;0,K5284/J5284,0)</f>
        <v>-0.226500407469396</v>
      </c>
    </row>
    <row r="5285" customFormat="false" ht="15" hidden="false" customHeight="false" outlineLevel="0" collapsed="false">
      <c r="A5285" s="15" t="s">
        <v>5342</v>
      </c>
      <c r="B5285" s="16" t="n">
        <v>45459</v>
      </c>
      <c r="C5285" s="15" t="s">
        <v>56</v>
      </c>
      <c r="D5285" s="15" t="s">
        <v>42</v>
      </c>
      <c r="E5285" s="15" t="s">
        <v>39</v>
      </c>
      <c r="F5285" s="15" t="s">
        <v>16</v>
      </c>
      <c r="G5285" s="15" t="s">
        <v>23</v>
      </c>
      <c r="H5285" s="15" t="n">
        <v>6</v>
      </c>
      <c r="I5285" s="17" t="n">
        <v>0.2</v>
      </c>
      <c r="J5285" s="18" t="n">
        <v>1401.78</v>
      </c>
      <c r="K5285" s="19" t="n">
        <v>-224.32</v>
      </c>
      <c r="L5285" s="15" t="n">
        <f aca="false">YEAR(B5285)</f>
        <v>2024</v>
      </c>
      <c r="M5285" s="20" t="n">
        <f aca="false">IF(J5285&gt;0,K5285/J5285,0)</f>
        <v>-0.160025110930389</v>
      </c>
    </row>
    <row r="5286" customFormat="false" ht="15" hidden="false" customHeight="false" outlineLevel="0" collapsed="false">
      <c r="A5286" s="15" t="s">
        <v>5343</v>
      </c>
      <c r="B5286" s="16" t="n">
        <v>45208</v>
      </c>
      <c r="C5286" s="15" t="s">
        <v>71</v>
      </c>
      <c r="D5286" s="15" t="s">
        <v>44</v>
      </c>
      <c r="E5286" s="15" t="s">
        <v>37</v>
      </c>
      <c r="F5286" s="15" t="s">
        <v>18</v>
      </c>
      <c r="G5286" s="15" t="s">
        <v>30</v>
      </c>
      <c r="H5286" s="15" t="n">
        <v>4</v>
      </c>
      <c r="I5286" s="17" t="n">
        <v>0.15</v>
      </c>
      <c r="J5286" s="18" t="n">
        <v>153.36</v>
      </c>
      <c r="K5286" s="19" t="n">
        <v>29.48</v>
      </c>
      <c r="L5286" s="15" t="n">
        <f aca="false">YEAR(B5286)</f>
        <v>2023</v>
      </c>
      <c r="M5286" s="20" t="n">
        <f aca="false">IF(J5286&gt;0,K5286/J5286,0)</f>
        <v>0.192227438706312</v>
      </c>
    </row>
    <row r="5287" customFormat="false" ht="15" hidden="false" customHeight="false" outlineLevel="0" collapsed="false">
      <c r="A5287" s="15" t="s">
        <v>5344</v>
      </c>
      <c r="B5287" s="16" t="n">
        <v>45246</v>
      </c>
      <c r="C5287" s="15" t="s">
        <v>56</v>
      </c>
      <c r="D5287" s="15" t="s">
        <v>43</v>
      </c>
      <c r="E5287" s="15" t="s">
        <v>37</v>
      </c>
      <c r="F5287" s="15" t="s">
        <v>17</v>
      </c>
      <c r="G5287" s="15" t="s">
        <v>29</v>
      </c>
      <c r="H5287" s="15" t="n">
        <v>4</v>
      </c>
      <c r="I5287" s="17" t="n">
        <v>0.1</v>
      </c>
      <c r="J5287" s="18" t="n">
        <v>60.31</v>
      </c>
      <c r="K5287" s="19" t="n">
        <v>20.06</v>
      </c>
      <c r="L5287" s="15" t="n">
        <f aca="false">YEAR(B5287)</f>
        <v>2023</v>
      </c>
      <c r="M5287" s="20" t="n">
        <f aca="false">IF(J5287&gt;0,K5287/J5287,0)</f>
        <v>0.332614823412369</v>
      </c>
    </row>
    <row r="5288" customFormat="false" ht="15" hidden="false" customHeight="false" outlineLevel="0" collapsed="false">
      <c r="A5288" s="15" t="s">
        <v>5345</v>
      </c>
      <c r="B5288" s="16" t="n">
        <v>45181</v>
      </c>
      <c r="C5288" s="15" t="s">
        <v>68</v>
      </c>
      <c r="D5288" s="15" t="s">
        <v>42</v>
      </c>
      <c r="E5288" s="15" t="s">
        <v>38</v>
      </c>
      <c r="F5288" s="15" t="s">
        <v>16</v>
      </c>
      <c r="G5288" s="15" t="s">
        <v>22</v>
      </c>
      <c r="H5288" s="15" t="n">
        <v>2</v>
      </c>
      <c r="I5288" s="17" t="n">
        <v>0</v>
      </c>
      <c r="J5288" s="18" t="n">
        <v>1195.6</v>
      </c>
      <c r="K5288" s="19" t="n">
        <v>-62.62</v>
      </c>
      <c r="L5288" s="15" t="n">
        <f aca="false">YEAR(B5288)</f>
        <v>2023</v>
      </c>
      <c r="M5288" s="20" t="n">
        <f aca="false">IF(J5288&gt;0,K5288/J5288,0)</f>
        <v>-0.0523753763800602</v>
      </c>
    </row>
    <row r="5289" customFormat="false" ht="15" hidden="false" customHeight="false" outlineLevel="0" collapsed="false">
      <c r="A5289" s="15" t="s">
        <v>5346</v>
      </c>
      <c r="B5289" s="16" t="n">
        <v>45798</v>
      </c>
      <c r="C5289" s="15" t="s">
        <v>56</v>
      </c>
      <c r="D5289" s="15" t="s">
        <v>43</v>
      </c>
      <c r="E5289" s="15" t="s">
        <v>38</v>
      </c>
      <c r="F5289" s="15" t="s">
        <v>17</v>
      </c>
      <c r="G5289" s="15" t="s">
        <v>28</v>
      </c>
      <c r="H5289" s="15" t="n">
        <v>2</v>
      </c>
      <c r="I5289" s="17" t="n">
        <v>0.05</v>
      </c>
      <c r="J5289" s="18" t="n">
        <v>43.27</v>
      </c>
      <c r="K5289" s="19" t="n">
        <v>10.9</v>
      </c>
      <c r="L5289" s="15" t="n">
        <f aca="false">YEAR(B5289)</f>
        <v>2025</v>
      </c>
      <c r="M5289" s="20" t="n">
        <f aca="false">IF(J5289&gt;0,K5289/J5289,0)</f>
        <v>0.251906632770973</v>
      </c>
    </row>
    <row r="5290" customFormat="false" ht="15" hidden="false" customHeight="false" outlineLevel="0" collapsed="false">
      <c r="A5290" s="15" t="s">
        <v>5347</v>
      </c>
      <c r="B5290" s="16" t="n">
        <v>46002</v>
      </c>
      <c r="C5290" s="15" t="s">
        <v>56</v>
      </c>
      <c r="D5290" s="15" t="s">
        <v>42</v>
      </c>
      <c r="E5290" s="15" t="s">
        <v>39</v>
      </c>
      <c r="F5290" s="15" t="s">
        <v>18</v>
      </c>
      <c r="G5290" s="15" t="s">
        <v>32</v>
      </c>
      <c r="H5290" s="15" t="n">
        <v>1</v>
      </c>
      <c r="I5290" s="17" t="n">
        <v>0.2</v>
      </c>
      <c r="J5290" s="18" t="n">
        <v>332.91</v>
      </c>
      <c r="K5290" s="19" t="n">
        <v>-3.54</v>
      </c>
      <c r="L5290" s="15" t="n">
        <f aca="false">YEAR(B5290)</f>
        <v>2025</v>
      </c>
      <c r="M5290" s="20" t="n">
        <f aca="false">IF(J5290&gt;0,K5290/J5290,0)</f>
        <v>-0.0106335045507795</v>
      </c>
    </row>
    <row r="5291" customFormat="false" ht="15" hidden="false" customHeight="false" outlineLevel="0" collapsed="false">
      <c r="A5291" s="15" t="s">
        <v>5348</v>
      </c>
      <c r="B5291" s="16" t="n">
        <v>45651</v>
      </c>
      <c r="C5291" s="15" t="s">
        <v>56</v>
      </c>
      <c r="D5291" s="15" t="s">
        <v>42</v>
      </c>
      <c r="E5291" s="15" t="s">
        <v>39</v>
      </c>
      <c r="F5291" s="15" t="s">
        <v>18</v>
      </c>
      <c r="G5291" s="15" t="s">
        <v>30</v>
      </c>
      <c r="H5291" s="15" t="n">
        <v>6</v>
      </c>
      <c r="I5291" s="17" t="n">
        <v>0.1</v>
      </c>
      <c r="J5291" s="18" t="n">
        <v>260.12</v>
      </c>
      <c r="K5291" s="19" t="n">
        <v>32.32</v>
      </c>
      <c r="L5291" s="15" t="n">
        <f aca="false">YEAR(B5291)</f>
        <v>2024</v>
      </c>
      <c r="M5291" s="20" t="n">
        <f aca="false">IF(J5291&gt;0,K5291/J5291,0)</f>
        <v>0.124250345994157</v>
      </c>
    </row>
    <row r="5292" customFormat="false" ht="15" hidden="false" customHeight="false" outlineLevel="0" collapsed="false">
      <c r="A5292" s="15" t="s">
        <v>5349</v>
      </c>
      <c r="B5292" s="16" t="n">
        <v>44634</v>
      </c>
      <c r="C5292" s="15" t="s">
        <v>56</v>
      </c>
      <c r="D5292" s="15" t="s">
        <v>42</v>
      </c>
      <c r="E5292" s="15" t="s">
        <v>37</v>
      </c>
      <c r="F5292" s="15" t="s">
        <v>17</v>
      </c>
      <c r="G5292" s="15" t="s">
        <v>28</v>
      </c>
      <c r="H5292" s="15" t="n">
        <v>3</v>
      </c>
      <c r="I5292" s="17" t="n">
        <v>0</v>
      </c>
      <c r="J5292" s="18" t="n">
        <v>84.18</v>
      </c>
      <c r="K5292" s="19" t="n">
        <v>18.73</v>
      </c>
      <c r="L5292" s="15" t="n">
        <f aca="false">YEAR(B5292)</f>
        <v>2022</v>
      </c>
      <c r="M5292" s="20" t="n">
        <f aca="false">IF(J5292&gt;0,K5292/J5292,0)</f>
        <v>0.222499406034688</v>
      </c>
    </row>
    <row r="5293" customFormat="false" ht="15" hidden="false" customHeight="false" outlineLevel="0" collapsed="false">
      <c r="A5293" s="15" t="s">
        <v>5350</v>
      </c>
      <c r="B5293" s="16" t="n">
        <v>44621</v>
      </c>
      <c r="C5293" s="15" t="s">
        <v>58</v>
      </c>
      <c r="D5293" s="15" t="s">
        <v>43</v>
      </c>
      <c r="E5293" s="15" t="s">
        <v>38</v>
      </c>
      <c r="F5293" s="15" t="s">
        <v>18</v>
      </c>
      <c r="G5293" s="15" t="s">
        <v>30</v>
      </c>
      <c r="H5293" s="15" t="n">
        <v>2</v>
      </c>
      <c r="I5293" s="17" t="n">
        <v>0.1</v>
      </c>
      <c r="J5293" s="18" t="n">
        <v>77.67</v>
      </c>
      <c r="K5293" s="19" t="n">
        <v>16.04</v>
      </c>
      <c r="L5293" s="15" t="n">
        <f aca="false">YEAR(B5293)</f>
        <v>2022</v>
      </c>
      <c r="M5293" s="20" t="n">
        <f aca="false">IF(J5293&gt;0,K5293/J5293,0)</f>
        <v>0.206514741856573</v>
      </c>
    </row>
    <row r="5294" customFormat="false" ht="15" hidden="false" customHeight="false" outlineLevel="0" collapsed="false">
      <c r="A5294" s="15" t="s">
        <v>5351</v>
      </c>
      <c r="B5294" s="16" t="n">
        <v>45014</v>
      </c>
      <c r="C5294" s="15" t="s">
        <v>71</v>
      </c>
      <c r="D5294" s="15" t="s">
        <v>42</v>
      </c>
      <c r="E5294" s="15" t="s">
        <v>36</v>
      </c>
      <c r="F5294" s="15" t="s">
        <v>17</v>
      </c>
      <c r="G5294" s="15" t="s">
        <v>28</v>
      </c>
      <c r="H5294" s="15" t="n">
        <v>4</v>
      </c>
      <c r="I5294" s="17" t="n">
        <v>0</v>
      </c>
      <c r="J5294" s="18" t="n">
        <v>98.51</v>
      </c>
      <c r="K5294" s="19" t="n">
        <v>33.48</v>
      </c>
      <c r="L5294" s="15" t="n">
        <f aca="false">YEAR(B5294)</f>
        <v>2023</v>
      </c>
      <c r="M5294" s="20" t="n">
        <f aca="false">IF(J5294&gt;0,K5294/J5294,0)</f>
        <v>0.33986397320069</v>
      </c>
    </row>
    <row r="5295" customFormat="false" ht="15" hidden="false" customHeight="false" outlineLevel="0" collapsed="false">
      <c r="A5295" s="15" t="s">
        <v>5352</v>
      </c>
      <c r="B5295" s="16" t="n">
        <v>45434</v>
      </c>
      <c r="C5295" s="15" t="s">
        <v>56</v>
      </c>
      <c r="D5295" s="15" t="s">
        <v>43</v>
      </c>
      <c r="E5295" s="15" t="s">
        <v>36</v>
      </c>
      <c r="F5295" s="15" t="s">
        <v>17</v>
      </c>
      <c r="G5295" s="15" t="s">
        <v>29</v>
      </c>
      <c r="H5295" s="15" t="n">
        <v>3</v>
      </c>
      <c r="I5295" s="17" t="n">
        <v>0</v>
      </c>
      <c r="J5295" s="18" t="n">
        <v>49.38</v>
      </c>
      <c r="K5295" s="19" t="n">
        <v>19.16</v>
      </c>
      <c r="L5295" s="15" t="n">
        <f aca="false">YEAR(B5295)</f>
        <v>2024</v>
      </c>
      <c r="M5295" s="20" t="n">
        <f aca="false">IF(J5295&gt;0,K5295/J5295,0)</f>
        <v>0.388011340623734</v>
      </c>
    </row>
    <row r="5296" customFormat="false" ht="15" hidden="false" customHeight="false" outlineLevel="0" collapsed="false">
      <c r="A5296" s="15" t="s">
        <v>5353</v>
      </c>
      <c r="B5296" s="16" t="n">
        <v>44917</v>
      </c>
      <c r="C5296" s="15" t="s">
        <v>71</v>
      </c>
      <c r="D5296" s="15" t="s">
        <v>42</v>
      </c>
      <c r="E5296" s="15" t="s">
        <v>37</v>
      </c>
      <c r="F5296" s="15" t="s">
        <v>16</v>
      </c>
      <c r="G5296" s="15" t="s">
        <v>27</v>
      </c>
      <c r="H5296" s="15" t="n">
        <v>2</v>
      </c>
      <c r="I5296" s="17" t="n">
        <v>0.1</v>
      </c>
      <c r="J5296" s="18" t="n">
        <v>108.01</v>
      </c>
      <c r="K5296" s="19" t="n">
        <v>13.99</v>
      </c>
      <c r="L5296" s="15" t="n">
        <f aca="false">YEAR(B5296)</f>
        <v>2022</v>
      </c>
      <c r="M5296" s="20" t="n">
        <f aca="false">IF(J5296&gt;0,K5296/J5296,0)</f>
        <v>0.12952504397741</v>
      </c>
    </row>
    <row r="5297" customFormat="false" ht="15" hidden="false" customHeight="false" outlineLevel="0" collapsed="false">
      <c r="A5297" s="15" t="s">
        <v>5354</v>
      </c>
      <c r="B5297" s="16" t="n">
        <v>45342</v>
      </c>
      <c r="C5297" s="15" t="s">
        <v>71</v>
      </c>
      <c r="D5297" s="15" t="s">
        <v>42</v>
      </c>
      <c r="E5297" s="15" t="s">
        <v>36</v>
      </c>
      <c r="F5297" s="15" t="s">
        <v>18</v>
      </c>
      <c r="G5297" s="15" t="s">
        <v>30</v>
      </c>
      <c r="H5297" s="15" t="n">
        <v>5</v>
      </c>
      <c r="I5297" s="17" t="n">
        <v>0</v>
      </c>
      <c r="J5297" s="18" t="n">
        <v>204.57</v>
      </c>
      <c r="K5297" s="19" t="n">
        <v>51.38</v>
      </c>
      <c r="L5297" s="15" t="n">
        <f aca="false">YEAR(B5297)</f>
        <v>2024</v>
      </c>
      <c r="M5297" s="20" t="n">
        <f aca="false">IF(J5297&gt;0,K5297/J5297,0)</f>
        <v>0.251160971794496</v>
      </c>
    </row>
    <row r="5298" customFormat="false" ht="15" hidden="false" customHeight="false" outlineLevel="0" collapsed="false">
      <c r="A5298" s="15" t="s">
        <v>5355</v>
      </c>
      <c r="B5298" s="16" t="n">
        <v>45779</v>
      </c>
      <c r="C5298" s="15" t="s">
        <v>56</v>
      </c>
      <c r="D5298" s="15" t="s">
        <v>43</v>
      </c>
      <c r="E5298" s="15" t="s">
        <v>37</v>
      </c>
      <c r="F5298" s="15" t="s">
        <v>16</v>
      </c>
      <c r="G5298" s="15" t="s">
        <v>22</v>
      </c>
      <c r="H5298" s="15" t="n">
        <v>3</v>
      </c>
      <c r="I5298" s="17" t="n">
        <v>0</v>
      </c>
      <c r="J5298" s="18" t="n">
        <v>1464.91</v>
      </c>
      <c r="K5298" s="19" t="n">
        <v>-29.33</v>
      </c>
      <c r="L5298" s="15" t="n">
        <f aca="false">YEAR(B5298)</f>
        <v>2025</v>
      </c>
      <c r="M5298" s="20" t="n">
        <f aca="false">IF(J5298&gt;0,K5298/J5298,0)</f>
        <v>-0.0200217078182277</v>
      </c>
    </row>
    <row r="5299" customFormat="false" ht="15" hidden="false" customHeight="false" outlineLevel="0" collapsed="false">
      <c r="A5299" s="15" t="s">
        <v>5356</v>
      </c>
      <c r="B5299" s="16" t="n">
        <v>44891</v>
      </c>
      <c r="C5299" s="15" t="s">
        <v>56</v>
      </c>
      <c r="D5299" s="15" t="s">
        <v>42</v>
      </c>
      <c r="E5299" s="15" t="s">
        <v>38</v>
      </c>
      <c r="F5299" s="15" t="s">
        <v>16</v>
      </c>
      <c r="G5299" s="15" t="s">
        <v>27</v>
      </c>
      <c r="H5299" s="15" t="n">
        <v>3</v>
      </c>
      <c r="I5299" s="17" t="n">
        <v>0.15</v>
      </c>
      <c r="J5299" s="18" t="n">
        <v>141.12</v>
      </c>
      <c r="K5299" s="19" t="n">
        <v>17.52</v>
      </c>
      <c r="L5299" s="15" t="n">
        <f aca="false">YEAR(B5299)</f>
        <v>2022</v>
      </c>
      <c r="M5299" s="20" t="n">
        <f aca="false">IF(J5299&gt;0,K5299/J5299,0)</f>
        <v>0.124149659863946</v>
      </c>
    </row>
    <row r="5300" customFormat="false" ht="15" hidden="false" customHeight="false" outlineLevel="0" collapsed="false">
      <c r="A5300" s="15" t="s">
        <v>5357</v>
      </c>
      <c r="B5300" s="16" t="n">
        <v>44568</v>
      </c>
      <c r="C5300" s="15" t="s">
        <v>56</v>
      </c>
      <c r="D5300" s="15" t="s">
        <v>44</v>
      </c>
      <c r="E5300" s="15" t="s">
        <v>38</v>
      </c>
      <c r="F5300" s="15" t="s">
        <v>17</v>
      </c>
      <c r="G5300" s="15" t="s">
        <v>29</v>
      </c>
      <c r="H5300" s="15" t="n">
        <v>3</v>
      </c>
      <c r="I5300" s="17" t="n">
        <v>0.5</v>
      </c>
      <c r="J5300" s="18" t="n">
        <v>21.59</v>
      </c>
      <c r="K5300" s="19" t="n">
        <v>-1.45</v>
      </c>
      <c r="L5300" s="15" t="n">
        <f aca="false">YEAR(B5300)</f>
        <v>2022</v>
      </c>
      <c r="M5300" s="20" t="n">
        <f aca="false">IF(J5300&gt;0,K5300/J5300,0)</f>
        <v>-0.0671607225567392</v>
      </c>
    </row>
    <row r="5301" customFormat="false" ht="15" hidden="false" customHeight="false" outlineLevel="0" collapsed="false">
      <c r="A5301" s="15" t="s">
        <v>5358</v>
      </c>
      <c r="B5301" s="16" t="n">
        <v>45910</v>
      </c>
      <c r="C5301" s="15" t="s">
        <v>68</v>
      </c>
      <c r="D5301" s="15" t="s">
        <v>43</v>
      </c>
      <c r="E5301" s="15" t="s">
        <v>37</v>
      </c>
      <c r="F5301" s="15" t="s">
        <v>18</v>
      </c>
      <c r="G5301" s="15" t="s">
        <v>30</v>
      </c>
      <c r="H5301" s="15" t="n">
        <v>4</v>
      </c>
      <c r="I5301" s="17" t="n">
        <v>0.05</v>
      </c>
      <c r="J5301" s="18" t="n">
        <v>209.65</v>
      </c>
      <c r="K5301" s="19" t="n">
        <v>42.12</v>
      </c>
      <c r="L5301" s="15" t="n">
        <f aca="false">YEAR(B5301)</f>
        <v>2025</v>
      </c>
      <c r="M5301" s="20" t="n">
        <f aca="false">IF(J5301&gt;0,K5301/J5301,0)</f>
        <v>0.200906272358693</v>
      </c>
    </row>
    <row r="5302" customFormat="false" ht="15" hidden="false" customHeight="false" outlineLevel="0" collapsed="false">
      <c r="A5302" s="15" t="s">
        <v>5359</v>
      </c>
      <c r="B5302" s="16" t="n">
        <v>44816</v>
      </c>
      <c r="C5302" s="15" t="s">
        <v>56</v>
      </c>
      <c r="D5302" s="15" t="s">
        <v>42</v>
      </c>
      <c r="E5302" s="15" t="s">
        <v>39</v>
      </c>
      <c r="F5302" s="15" t="s">
        <v>18</v>
      </c>
      <c r="G5302" s="15" t="s">
        <v>30</v>
      </c>
      <c r="H5302" s="15" t="n">
        <v>2</v>
      </c>
      <c r="I5302" s="17" t="n">
        <v>0.2</v>
      </c>
      <c r="J5302" s="18" t="n">
        <v>71.76</v>
      </c>
      <c r="K5302" s="19" t="n">
        <v>8.33</v>
      </c>
      <c r="L5302" s="15" t="n">
        <f aca="false">YEAR(B5302)</f>
        <v>2022</v>
      </c>
      <c r="M5302" s="20" t="n">
        <f aca="false">IF(J5302&gt;0,K5302/J5302,0)</f>
        <v>0.11608138238573</v>
      </c>
    </row>
    <row r="5303" customFormat="false" ht="15" hidden="false" customHeight="false" outlineLevel="0" collapsed="false">
      <c r="A5303" s="15" t="s">
        <v>5360</v>
      </c>
      <c r="B5303" s="16" t="n">
        <v>45422</v>
      </c>
      <c r="C5303" s="15" t="s">
        <v>56</v>
      </c>
      <c r="D5303" s="15" t="s">
        <v>42</v>
      </c>
      <c r="E5303" s="15" t="s">
        <v>39</v>
      </c>
      <c r="F5303" s="15" t="s">
        <v>17</v>
      </c>
      <c r="G5303" s="15" t="s">
        <v>28</v>
      </c>
      <c r="H5303" s="15" t="n">
        <v>4</v>
      </c>
      <c r="I5303" s="17" t="n">
        <v>0.2</v>
      </c>
      <c r="J5303" s="18" t="n">
        <v>103.27</v>
      </c>
      <c r="K5303" s="19" t="n">
        <v>17.88</v>
      </c>
      <c r="L5303" s="15" t="n">
        <f aca="false">YEAR(B5303)</f>
        <v>2024</v>
      </c>
      <c r="M5303" s="20" t="n">
        <f aca="false">IF(J5303&gt;0,K5303/J5303,0)</f>
        <v>0.173138375133146</v>
      </c>
    </row>
    <row r="5304" customFormat="false" ht="15" hidden="false" customHeight="false" outlineLevel="0" collapsed="false">
      <c r="A5304" s="15" t="s">
        <v>5361</v>
      </c>
      <c r="B5304" s="16" t="n">
        <v>45098</v>
      </c>
      <c r="C5304" s="15" t="s">
        <v>68</v>
      </c>
      <c r="D5304" s="15" t="s">
        <v>42</v>
      </c>
      <c r="E5304" s="15" t="s">
        <v>36</v>
      </c>
      <c r="F5304" s="15" t="s">
        <v>16</v>
      </c>
      <c r="G5304" s="15" t="s">
        <v>22</v>
      </c>
      <c r="H5304" s="15" t="n">
        <v>2</v>
      </c>
      <c r="I5304" s="17" t="n">
        <v>0.2</v>
      </c>
      <c r="J5304" s="18" t="n">
        <v>752.2</v>
      </c>
      <c r="K5304" s="19" t="n">
        <v>-184.99</v>
      </c>
      <c r="L5304" s="15" t="n">
        <f aca="false">YEAR(B5304)</f>
        <v>2023</v>
      </c>
      <c r="M5304" s="20" t="n">
        <f aca="false">IF(J5304&gt;0,K5304/J5304,0)</f>
        <v>-0.245931932996543</v>
      </c>
    </row>
    <row r="5305" customFormat="false" ht="15" hidden="false" customHeight="false" outlineLevel="0" collapsed="false">
      <c r="A5305" s="15" t="s">
        <v>5362</v>
      </c>
      <c r="B5305" s="16" t="n">
        <v>45632</v>
      </c>
      <c r="C5305" s="15" t="s">
        <v>71</v>
      </c>
      <c r="D5305" s="15" t="s">
        <v>42</v>
      </c>
      <c r="E5305" s="15" t="s">
        <v>39</v>
      </c>
      <c r="F5305" s="15" t="s">
        <v>16</v>
      </c>
      <c r="G5305" s="15" t="s">
        <v>22</v>
      </c>
      <c r="H5305" s="15" t="n">
        <v>4</v>
      </c>
      <c r="I5305" s="17" t="n">
        <v>0.4</v>
      </c>
      <c r="J5305" s="18" t="n">
        <v>1209.78</v>
      </c>
      <c r="K5305" s="19" t="n">
        <v>-466.77</v>
      </c>
      <c r="L5305" s="15" t="n">
        <f aca="false">YEAR(B5305)</f>
        <v>2024</v>
      </c>
      <c r="M5305" s="20" t="n">
        <f aca="false">IF(J5305&gt;0,K5305/J5305,0)</f>
        <v>-0.385830481575162</v>
      </c>
    </row>
    <row r="5306" customFormat="false" ht="15" hidden="false" customHeight="false" outlineLevel="0" collapsed="false">
      <c r="A5306" s="15" t="s">
        <v>5363</v>
      </c>
      <c r="B5306" s="16" t="n">
        <v>45219</v>
      </c>
      <c r="C5306" s="15" t="s">
        <v>68</v>
      </c>
      <c r="D5306" s="15" t="s">
        <v>42</v>
      </c>
      <c r="E5306" s="15" t="s">
        <v>38</v>
      </c>
      <c r="F5306" s="15" t="s">
        <v>18</v>
      </c>
      <c r="G5306" s="15" t="s">
        <v>30</v>
      </c>
      <c r="H5306" s="15" t="n">
        <v>4</v>
      </c>
      <c r="I5306" s="17" t="n">
        <v>0</v>
      </c>
      <c r="J5306" s="18" t="n">
        <v>150.08</v>
      </c>
      <c r="K5306" s="19" t="n">
        <v>51.73</v>
      </c>
      <c r="L5306" s="15" t="n">
        <f aca="false">YEAR(B5306)</f>
        <v>2023</v>
      </c>
      <c r="M5306" s="20" t="n">
        <f aca="false">IF(J5306&gt;0,K5306/J5306,0)</f>
        <v>0.344682835820896</v>
      </c>
    </row>
    <row r="5307" customFormat="false" ht="15" hidden="false" customHeight="false" outlineLevel="0" collapsed="false">
      <c r="A5307" s="15" t="s">
        <v>5364</v>
      </c>
      <c r="B5307" s="16" t="n">
        <v>45242</v>
      </c>
      <c r="C5307" s="15" t="s">
        <v>56</v>
      </c>
      <c r="D5307" s="15" t="s">
        <v>42</v>
      </c>
      <c r="E5307" s="15" t="s">
        <v>36</v>
      </c>
      <c r="F5307" s="15" t="s">
        <v>16</v>
      </c>
      <c r="G5307" s="15" t="s">
        <v>25</v>
      </c>
      <c r="H5307" s="15" t="n">
        <v>5</v>
      </c>
      <c r="I5307" s="17" t="n">
        <v>0</v>
      </c>
      <c r="J5307" s="18" t="n">
        <v>1379.72</v>
      </c>
      <c r="K5307" s="19" t="n">
        <v>145.27</v>
      </c>
      <c r="L5307" s="15" t="n">
        <f aca="false">YEAR(B5307)</f>
        <v>2023</v>
      </c>
      <c r="M5307" s="20" t="n">
        <f aca="false">IF(J5307&gt;0,K5307/J5307,0)</f>
        <v>0.10528947902473</v>
      </c>
    </row>
    <row r="5308" customFormat="false" ht="15" hidden="false" customHeight="false" outlineLevel="0" collapsed="false">
      <c r="A5308" s="15" t="s">
        <v>5365</v>
      </c>
      <c r="B5308" s="16" t="n">
        <v>45948</v>
      </c>
      <c r="C5308" s="15" t="s">
        <v>56</v>
      </c>
      <c r="D5308" s="15" t="s">
        <v>42</v>
      </c>
      <c r="E5308" s="15" t="s">
        <v>37</v>
      </c>
      <c r="F5308" s="15" t="s">
        <v>18</v>
      </c>
      <c r="G5308" s="15" t="s">
        <v>32</v>
      </c>
      <c r="H5308" s="15" t="n">
        <v>5</v>
      </c>
      <c r="I5308" s="17" t="n">
        <v>0</v>
      </c>
      <c r="J5308" s="18" t="n">
        <v>2677.14</v>
      </c>
      <c r="K5308" s="19" t="n">
        <v>413.72</v>
      </c>
      <c r="L5308" s="15" t="n">
        <f aca="false">YEAR(B5308)</f>
        <v>2025</v>
      </c>
      <c r="M5308" s="20" t="n">
        <f aca="false">IF(J5308&gt;0,K5308/J5308,0)</f>
        <v>0.154538051801549</v>
      </c>
    </row>
    <row r="5309" customFormat="false" ht="15" hidden="false" customHeight="false" outlineLevel="0" collapsed="false">
      <c r="A5309" s="15" t="s">
        <v>5366</v>
      </c>
      <c r="B5309" s="16" t="n">
        <v>45127</v>
      </c>
      <c r="C5309" s="15" t="s">
        <v>71</v>
      </c>
      <c r="D5309" s="15" t="s">
        <v>43</v>
      </c>
      <c r="E5309" s="15" t="s">
        <v>39</v>
      </c>
      <c r="F5309" s="15" t="s">
        <v>17</v>
      </c>
      <c r="G5309" s="15" t="s">
        <v>26</v>
      </c>
      <c r="H5309" s="15" t="n">
        <v>1</v>
      </c>
      <c r="I5309" s="17" t="n">
        <v>0</v>
      </c>
      <c r="J5309" s="18" t="n">
        <v>88.46</v>
      </c>
      <c r="K5309" s="19" t="n">
        <v>9.17</v>
      </c>
      <c r="L5309" s="15" t="n">
        <f aca="false">YEAR(B5309)</f>
        <v>2023</v>
      </c>
      <c r="M5309" s="20" t="n">
        <f aca="false">IF(J5309&gt;0,K5309/J5309,0)</f>
        <v>0.103662672394303</v>
      </c>
    </row>
    <row r="5310" customFormat="false" ht="15" hidden="false" customHeight="false" outlineLevel="0" collapsed="false">
      <c r="A5310" s="15" t="s">
        <v>5367</v>
      </c>
      <c r="B5310" s="16" t="n">
        <v>45029</v>
      </c>
      <c r="C5310" s="15" t="s">
        <v>68</v>
      </c>
      <c r="D5310" s="15" t="s">
        <v>42</v>
      </c>
      <c r="E5310" s="15" t="s">
        <v>39</v>
      </c>
      <c r="F5310" s="15" t="s">
        <v>17</v>
      </c>
      <c r="G5310" s="15" t="s">
        <v>28</v>
      </c>
      <c r="H5310" s="15" t="n">
        <v>3</v>
      </c>
      <c r="I5310" s="17" t="n">
        <v>0</v>
      </c>
      <c r="J5310" s="18" t="n">
        <v>72.83</v>
      </c>
      <c r="K5310" s="19" t="n">
        <v>26.21</v>
      </c>
      <c r="L5310" s="15" t="n">
        <f aca="false">YEAR(B5310)</f>
        <v>2023</v>
      </c>
      <c r="M5310" s="20" t="n">
        <f aca="false">IF(J5310&gt;0,K5310/J5310,0)</f>
        <v>0.359879170671427</v>
      </c>
    </row>
    <row r="5311" customFormat="false" ht="15" hidden="false" customHeight="false" outlineLevel="0" collapsed="false">
      <c r="A5311" s="15" t="s">
        <v>5368</v>
      </c>
      <c r="B5311" s="16" t="n">
        <v>45964</v>
      </c>
      <c r="C5311" s="15" t="s">
        <v>68</v>
      </c>
      <c r="D5311" s="15" t="s">
        <v>43</v>
      </c>
      <c r="E5311" s="15" t="s">
        <v>38</v>
      </c>
      <c r="F5311" s="15" t="s">
        <v>18</v>
      </c>
      <c r="G5311" s="15" t="s">
        <v>32</v>
      </c>
      <c r="H5311" s="15" t="n">
        <v>4</v>
      </c>
      <c r="I5311" s="17" t="n">
        <v>0</v>
      </c>
      <c r="J5311" s="18" t="n">
        <v>1607.69</v>
      </c>
      <c r="K5311" s="19" t="n">
        <v>204.67</v>
      </c>
      <c r="L5311" s="15" t="n">
        <f aca="false">YEAR(B5311)</f>
        <v>2025</v>
      </c>
      <c r="M5311" s="20" t="n">
        <f aca="false">IF(J5311&gt;0,K5311/J5311,0)</f>
        <v>0.127306881301743</v>
      </c>
    </row>
    <row r="5312" customFormat="false" ht="15" hidden="false" customHeight="false" outlineLevel="0" collapsed="false">
      <c r="A5312" s="15" t="s">
        <v>5369</v>
      </c>
      <c r="B5312" s="16" t="n">
        <v>45192</v>
      </c>
      <c r="C5312" s="15" t="s">
        <v>56</v>
      </c>
      <c r="D5312" s="15" t="s">
        <v>44</v>
      </c>
      <c r="E5312" s="15" t="s">
        <v>37</v>
      </c>
      <c r="F5312" s="15" t="s">
        <v>17</v>
      </c>
      <c r="G5312" s="15" t="s">
        <v>26</v>
      </c>
      <c r="H5312" s="15" t="n">
        <v>3</v>
      </c>
      <c r="I5312" s="17" t="n">
        <v>0.05</v>
      </c>
      <c r="J5312" s="18" t="n">
        <v>302.83</v>
      </c>
      <c r="K5312" s="19" t="n">
        <v>29.66</v>
      </c>
      <c r="L5312" s="15" t="n">
        <f aca="false">YEAR(B5312)</f>
        <v>2023</v>
      </c>
      <c r="M5312" s="20" t="n">
        <f aca="false">IF(J5312&gt;0,K5312/J5312,0)</f>
        <v>0.09794274015124</v>
      </c>
    </row>
    <row r="5313" customFormat="false" ht="15" hidden="false" customHeight="false" outlineLevel="0" collapsed="false">
      <c r="A5313" s="15" t="s">
        <v>5370</v>
      </c>
      <c r="B5313" s="16" t="n">
        <v>45324</v>
      </c>
      <c r="C5313" s="15" t="s">
        <v>56</v>
      </c>
      <c r="D5313" s="15" t="s">
        <v>42</v>
      </c>
      <c r="E5313" s="15" t="s">
        <v>39</v>
      </c>
      <c r="F5313" s="15" t="s">
        <v>16</v>
      </c>
      <c r="G5313" s="15" t="s">
        <v>27</v>
      </c>
      <c r="H5313" s="15" t="n">
        <v>4</v>
      </c>
      <c r="I5313" s="17" t="n">
        <v>0.1</v>
      </c>
      <c r="J5313" s="18" t="n">
        <v>200.95</v>
      </c>
      <c r="K5313" s="19" t="n">
        <v>16.69</v>
      </c>
      <c r="L5313" s="15" t="n">
        <f aca="false">YEAR(B5313)</f>
        <v>2024</v>
      </c>
      <c r="M5313" s="20" t="n">
        <f aca="false">IF(J5313&gt;0,K5313/J5313,0)</f>
        <v>0.0830554864394128</v>
      </c>
    </row>
    <row r="5314" customFormat="false" ht="15" hidden="false" customHeight="false" outlineLevel="0" collapsed="false">
      <c r="A5314" s="15" t="s">
        <v>5371</v>
      </c>
      <c r="B5314" s="16" t="n">
        <v>44853</v>
      </c>
      <c r="C5314" s="15" t="s">
        <v>56</v>
      </c>
      <c r="D5314" s="15" t="s">
        <v>44</v>
      </c>
      <c r="E5314" s="15" t="s">
        <v>36</v>
      </c>
      <c r="F5314" s="15" t="s">
        <v>18</v>
      </c>
      <c r="G5314" s="15" t="s">
        <v>30</v>
      </c>
      <c r="H5314" s="15" t="n">
        <v>1</v>
      </c>
      <c r="I5314" s="17" t="n">
        <v>0</v>
      </c>
      <c r="J5314" s="18" t="n">
        <v>46.31</v>
      </c>
      <c r="K5314" s="19" t="n">
        <v>11.21</v>
      </c>
      <c r="L5314" s="15" t="n">
        <f aca="false">YEAR(B5314)</f>
        <v>2022</v>
      </c>
      <c r="M5314" s="20" t="n">
        <f aca="false">IF(J5314&gt;0,K5314/J5314,0)</f>
        <v>0.24206434895271</v>
      </c>
    </row>
    <row r="5315" customFormat="false" ht="15" hidden="false" customHeight="false" outlineLevel="0" collapsed="false">
      <c r="A5315" s="15" t="s">
        <v>5372</v>
      </c>
      <c r="B5315" s="16" t="n">
        <v>44730</v>
      </c>
      <c r="C5315" s="15" t="s">
        <v>56</v>
      </c>
      <c r="D5315" s="15" t="s">
        <v>44</v>
      </c>
      <c r="E5315" s="15" t="s">
        <v>36</v>
      </c>
      <c r="F5315" s="15" t="s">
        <v>16</v>
      </c>
      <c r="G5315" s="15" t="s">
        <v>27</v>
      </c>
      <c r="H5315" s="15" t="n">
        <v>2</v>
      </c>
      <c r="I5315" s="17" t="n">
        <v>0.2</v>
      </c>
      <c r="J5315" s="18" t="n">
        <v>109.87</v>
      </c>
      <c r="K5315" s="19" t="n">
        <v>-2.64</v>
      </c>
      <c r="L5315" s="15" t="n">
        <f aca="false">YEAR(B5315)</f>
        <v>2022</v>
      </c>
      <c r="M5315" s="20" t="n">
        <f aca="false">IF(J5315&gt;0,K5315/J5315,0)</f>
        <v>-0.024028397196687</v>
      </c>
    </row>
    <row r="5316" customFormat="false" ht="15" hidden="false" customHeight="false" outlineLevel="0" collapsed="false">
      <c r="A5316" s="15" t="s">
        <v>5373</v>
      </c>
      <c r="B5316" s="16" t="n">
        <v>45541</v>
      </c>
      <c r="C5316" s="15" t="s">
        <v>56</v>
      </c>
      <c r="D5316" s="15" t="s">
        <v>44</v>
      </c>
      <c r="E5316" s="15" t="s">
        <v>36</v>
      </c>
      <c r="F5316" s="15" t="s">
        <v>18</v>
      </c>
      <c r="G5316" s="15" t="s">
        <v>33</v>
      </c>
      <c r="H5316" s="15" t="n">
        <v>4</v>
      </c>
      <c r="I5316" s="17" t="n">
        <v>0</v>
      </c>
      <c r="J5316" s="18" t="n">
        <v>3453.38</v>
      </c>
      <c r="K5316" s="19" t="n">
        <v>981.85</v>
      </c>
      <c r="L5316" s="15" t="n">
        <f aca="false">YEAR(B5316)</f>
        <v>2024</v>
      </c>
      <c r="M5316" s="20" t="n">
        <f aca="false">IF(J5316&gt;0,K5316/J5316,0)</f>
        <v>0.284315655966039</v>
      </c>
    </row>
    <row r="5317" customFormat="false" ht="15" hidden="false" customHeight="false" outlineLevel="0" collapsed="false">
      <c r="A5317" s="15" t="s">
        <v>5374</v>
      </c>
      <c r="B5317" s="16" t="n">
        <v>45265</v>
      </c>
      <c r="C5317" s="15" t="s">
        <v>56</v>
      </c>
      <c r="D5317" s="15" t="s">
        <v>42</v>
      </c>
      <c r="E5317" s="15" t="s">
        <v>38</v>
      </c>
      <c r="F5317" s="15" t="s">
        <v>17</v>
      </c>
      <c r="G5317" s="15" t="s">
        <v>28</v>
      </c>
      <c r="H5317" s="15" t="n">
        <v>2</v>
      </c>
      <c r="I5317" s="17" t="n">
        <v>0.15</v>
      </c>
      <c r="J5317" s="18" t="n">
        <v>37.83</v>
      </c>
      <c r="K5317" s="19" t="n">
        <v>5.08</v>
      </c>
      <c r="L5317" s="15" t="n">
        <f aca="false">YEAR(B5317)</f>
        <v>2023</v>
      </c>
      <c r="M5317" s="20" t="n">
        <f aca="false">IF(J5317&gt;0,K5317/J5317,0)</f>
        <v>0.134284959027227</v>
      </c>
    </row>
    <row r="5318" customFormat="false" ht="15" hidden="false" customHeight="false" outlineLevel="0" collapsed="false">
      <c r="A5318" s="15" t="s">
        <v>5375</v>
      </c>
      <c r="B5318" s="16" t="n">
        <v>44838</v>
      </c>
      <c r="C5318" s="15" t="s">
        <v>56</v>
      </c>
      <c r="D5318" s="15" t="s">
        <v>42</v>
      </c>
      <c r="E5318" s="15" t="s">
        <v>37</v>
      </c>
      <c r="F5318" s="15" t="s">
        <v>18</v>
      </c>
      <c r="G5318" s="15" t="s">
        <v>30</v>
      </c>
      <c r="H5318" s="15" t="n">
        <v>3</v>
      </c>
      <c r="I5318" s="17" t="n">
        <v>0</v>
      </c>
      <c r="J5318" s="18" t="n">
        <v>130.73</v>
      </c>
      <c r="K5318" s="19" t="n">
        <v>43.31</v>
      </c>
      <c r="L5318" s="15" t="n">
        <f aca="false">YEAR(B5318)</f>
        <v>2022</v>
      </c>
      <c r="M5318" s="20" t="n">
        <f aca="false">IF(J5318&gt;0,K5318/J5318,0)</f>
        <v>0.331293505698769</v>
      </c>
    </row>
    <row r="5319" customFormat="false" ht="15" hidden="false" customHeight="false" outlineLevel="0" collapsed="false">
      <c r="A5319" s="15" t="s">
        <v>5376</v>
      </c>
      <c r="B5319" s="16" t="n">
        <v>44964</v>
      </c>
      <c r="C5319" s="15" t="s">
        <v>58</v>
      </c>
      <c r="D5319" s="15" t="s">
        <v>43</v>
      </c>
      <c r="E5319" s="15" t="s">
        <v>39</v>
      </c>
      <c r="F5319" s="15" t="s">
        <v>17</v>
      </c>
      <c r="G5319" s="15" t="s">
        <v>26</v>
      </c>
      <c r="H5319" s="15" t="n">
        <v>7</v>
      </c>
      <c r="I5319" s="17" t="n">
        <v>0.2</v>
      </c>
      <c r="J5319" s="18" t="n">
        <v>532.79</v>
      </c>
      <c r="K5319" s="19" t="n">
        <v>-26.05</v>
      </c>
      <c r="L5319" s="15" t="n">
        <f aca="false">YEAR(B5319)</f>
        <v>2023</v>
      </c>
      <c r="M5319" s="20" t="n">
        <f aca="false">IF(J5319&gt;0,K5319/J5319,0)</f>
        <v>-0.0488935603145705</v>
      </c>
    </row>
    <row r="5320" customFormat="false" ht="15" hidden="false" customHeight="false" outlineLevel="0" collapsed="false">
      <c r="A5320" s="15" t="s">
        <v>5377</v>
      </c>
      <c r="B5320" s="16" t="n">
        <v>44637</v>
      </c>
      <c r="C5320" s="15" t="s">
        <v>56</v>
      </c>
      <c r="D5320" s="15" t="s">
        <v>42</v>
      </c>
      <c r="E5320" s="15" t="s">
        <v>37</v>
      </c>
      <c r="F5320" s="15" t="s">
        <v>17</v>
      </c>
      <c r="G5320" s="15" t="s">
        <v>26</v>
      </c>
      <c r="H5320" s="15" t="n">
        <v>3</v>
      </c>
      <c r="I5320" s="17" t="n">
        <v>0.05</v>
      </c>
      <c r="J5320" s="18" t="n">
        <v>262.46</v>
      </c>
      <c r="K5320" s="19" t="n">
        <v>26.08</v>
      </c>
      <c r="L5320" s="15" t="n">
        <f aca="false">YEAR(B5320)</f>
        <v>2022</v>
      </c>
      <c r="M5320" s="20" t="n">
        <f aca="false">IF(J5320&gt;0,K5320/J5320,0)</f>
        <v>0.0993675226701212</v>
      </c>
    </row>
    <row r="5321" customFormat="false" ht="15" hidden="false" customHeight="false" outlineLevel="0" collapsed="false">
      <c r="A5321" s="15" t="s">
        <v>5378</v>
      </c>
      <c r="B5321" s="16" t="n">
        <v>45549</v>
      </c>
      <c r="C5321" s="15" t="s">
        <v>58</v>
      </c>
      <c r="D5321" s="15" t="s">
        <v>43</v>
      </c>
      <c r="E5321" s="15" t="s">
        <v>39</v>
      </c>
      <c r="F5321" s="15" t="s">
        <v>17</v>
      </c>
      <c r="G5321" s="15" t="s">
        <v>31</v>
      </c>
      <c r="H5321" s="15" t="n">
        <v>4</v>
      </c>
      <c r="I5321" s="17" t="n">
        <v>0</v>
      </c>
      <c r="J5321" s="18" t="n">
        <v>521.39</v>
      </c>
      <c r="K5321" s="19" t="n">
        <v>109.41</v>
      </c>
      <c r="L5321" s="15" t="n">
        <f aca="false">YEAR(B5321)</f>
        <v>2024</v>
      </c>
      <c r="M5321" s="20" t="n">
        <f aca="false">IF(J5321&gt;0,K5321/J5321,0)</f>
        <v>0.209842919887225</v>
      </c>
    </row>
    <row r="5322" customFormat="false" ht="15" hidden="false" customHeight="false" outlineLevel="0" collapsed="false">
      <c r="A5322" s="15" t="s">
        <v>5379</v>
      </c>
      <c r="B5322" s="16" t="n">
        <v>45587</v>
      </c>
      <c r="C5322" s="15" t="s">
        <v>56</v>
      </c>
      <c r="D5322" s="15" t="s">
        <v>43</v>
      </c>
      <c r="E5322" s="15" t="s">
        <v>39</v>
      </c>
      <c r="F5322" s="15" t="s">
        <v>17</v>
      </c>
      <c r="G5322" s="15" t="s">
        <v>28</v>
      </c>
      <c r="H5322" s="15" t="n">
        <v>9</v>
      </c>
      <c r="I5322" s="17" t="n">
        <v>0.3</v>
      </c>
      <c r="J5322" s="18" t="n">
        <v>174.63</v>
      </c>
      <c r="K5322" s="19" t="n">
        <v>0.3</v>
      </c>
      <c r="L5322" s="15" t="n">
        <f aca="false">YEAR(B5322)</f>
        <v>2024</v>
      </c>
      <c r="M5322" s="20" t="n">
        <f aca="false">IF(J5322&gt;0,K5322/J5322,0)</f>
        <v>0.00171791788352517</v>
      </c>
    </row>
    <row r="5323" customFormat="false" ht="15" hidden="false" customHeight="false" outlineLevel="0" collapsed="false">
      <c r="A5323" s="15" t="s">
        <v>5380</v>
      </c>
      <c r="B5323" s="16" t="n">
        <v>45890</v>
      </c>
      <c r="C5323" s="15" t="s">
        <v>68</v>
      </c>
      <c r="D5323" s="15" t="s">
        <v>43</v>
      </c>
      <c r="E5323" s="15" t="s">
        <v>36</v>
      </c>
      <c r="F5323" s="15" t="s">
        <v>18</v>
      </c>
      <c r="G5323" s="15" t="s">
        <v>32</v>
      </c>
      <c r="H5323" s="15" t="n">
        <v>2</v>
      </c>
      <c r="I5323" s="17" t="n">
        <v>0.3</v>
      </c>
      <c r="J5323" s="18" t="n">
        <v>600.4</v>
      </c>
      <c r="K5323" s="19" t="n">
        <v>-43.13</v>
      </c>
      <c r="L5323" s="15" t="n">
        <f aca="false">YEAR(B5323)</f>
        <v>2025</v>
      </c>
      <c r="M5323" s="20" t="n">
        <f aca="false">IF(J5323&gt;0,K5323/J5323,0)</f>
        <v>-0.0718354430379747</v>
      </c>
    </row>
    <row r="5324" customFormat="false" ht="15" hidden="false" customHeight="false" outlineLevel="0" collapsed="false">
      <c r="A5324" s="15" t="s">
        <v>5381</v>
      </c>
      <c r="B5324" s="16" t="n">
        <v>45251</v>
      </c>
      <c r="C5324" s="15" t="s">
        <v>56</v>
      </c>
      <c r="D5324" s="15" t="s">
        <v>42</v>
      </c>
      <c r="E5324" s="15" t="s">
        <v>36</v>
      </c>
      <c r="F5324" s="15" t="s">
        <v>17</v>
      </c>
      <c r="G5324" s="15" t="s">
        <v>29</v>
      </c>
      <c r="H5324" s="15" t="n">
        <v>6</v>
      </c>
      <c r="I5324" s="17" t="n">
        <v>0.1</v>
      </c>
      <c r="J5324" s="18" t="n">
        <v>88.23</v>
      </c>
      <c r="K5324" s="19" t="n">
        <v>28.5</v>
      </c>
      <c r="L5324" s="15" t="n">
        <f aca="false">YEAR(B5324)</f>
        <v>2023</v>
      </c>
      <c r="M5324" s="20" t="n">
        <f aca="false">IF(J5324&gt;0,K5324/J5324,0)</f>
        <v>0.32301938116287</v>
      </c>
    </row>
    <row r="5325" customFormat="false" ht="15" hidden="false" customHeight="false" outlineLevel="0" collapsed="false">
      <c r="A5325" s="15" t="s">
        <v>5382</v>
      </c>
      <c r="B5325" s="16" t="n">
        <v>45721</v>
      </c>
      <c r="C5325" s="15" t="s">
        <v>56</v>
      </c>
      <c r="D5325" s="15" t="s">
        <v>43</v>
      </c>
      <c r="E5325" s="15" t="s">
        <v>39</v>
      </c>
      <c r="F5325" s="15" t="s">
        <v>17</v>
      </c>
      <c r="G5325" s="15" t="s">
        <v>26</v>
      </c>
      <c r="H5325" s="15" t="n">
        <v>5</v>
      </c>
      <c r="I5325" s="17" t="n">
        <v>0.1</v>
      </c>
      <c r="J5325" s="18" t="n">
        <v>583.48</v>
      </c>
      <c r="K5325" s="19" t="n">
        <v>-9.88</v>
      </c>
      <c r="L5325" s="15" t="n">
        <f aca="false">YEAR(B5325)</f>
        <v>2025</v>
      </c>
      <c r="M5325" s="20" t="n">
        <f aca="false">IF(J5325&gt;0,K5325/J5325,0)</f>
        <v>-0.016932885445945</v>
      </c>
    </row>
    <row r="5326" customFormat="false" ht="15" hidden="false" customHeight="false" outlineLevel="0" collapsed="false">
      <c r="A5326" s="15" t="s">
        <v>5383</v>
      </c>
      <c r="B5326" s="16" t="n">
        <v>45441</v>
      </c>
      <c r="C5326" s="15" t="s">
        <v>71</v>
      </c>
      <c r="D5326" s="15" t="s">
        <v>43</v>
      </c>
      <c r="E5326" s="15" t="s">
        <v>39</v>
      </c>
      <c r="F5326" s="15" t="s">
        <v>18</v>
      </c>
      <c r="G5326" s="15" t="s">
        <v>30</v>
      </c>
      <c r="H5326" s="15" t="n">
        <v>5</v>
      </c>
      <c r="I5326" s="17" t="n">
        <v>0.15</v>
      </c>
      <c r="J5326" s="18" t="n">
        <v>195.53</v>
      </c>
      <c r="K5326" s="19" t="n">
        <v>37.18</v>
      </c>
      <c r="L5326" s="15" t="n">
        <f aca="false">YEAR(B5326)</f>
        <v>2024</v>
      </c>
      <c r="M5326" s="20" t="n">
        <f aca="false">IF(J5326&gt;0,K5326/J5326,0)</f>
        <v>0.190149849128011</v>
      </c>
    </row>
    <row r="5327" customFormat="false" ht="15" hidden="false" customHeight="false" outlineLevel="0" collapsed="false">
      <c r="A5327" s="15" t="s">
        <v>5384</v>
      </c>
      <c r="B5327" s="16" t="n">
        <v>46001</v>
      </c>
      <c r="C5327" s="15" t="s">
        <v>71</v>
      </c>
      <c r="D5327" s="15" t="s">
        <v>42</v>
      </c>
      <c r="E5327" s="15" t="s">
        <v>38</v>
      </c>
      <c r="F5327" s="15" t="s">
        <v>17</v>
      </c>
      <c r="G5327" s="15" t="s">
        <v>28</v>
      </c>
      <c r="H5327" s="15" t="n">
        <v>3</v>
      </c>
      <c r="I5327" s="17" t="n">
        <v>0.2</v>
      </c>
      <c r="J5327" s="18" t="n">
        <v>51.18</v>
      </c>
      <c r="K5327" s="19" t="n">
        <v>7</v>
      </c>
      <c r="L5327" s="15" t="n">
        <f aca="false">YEAR(B5327)</f>
        <v>2025</v>
      </c>
      <c r="M5327" s="20" t="n">
        <f aca="false">IF(J5327&gt;0,K5327/J5327,0)</f>
        <v>0.136772176631497</v>
      </c>
    </row>
    <row r="5328" customFormat="false" ht="15" hidden="false" customHeight="false" outlineLevel="0" collapsed="false">
      <c r="A5328" s="15" t="s">
        <v>5385</v>
      </c>
      <c r="B5328" s="16" t="n">
        <v>45316</v>
      </c>
      <c r="C5328" s="15" t="s">
        <v>71</v>
      </c>
      <c r="D5328" s="15" t="s">
        <v>42</v>
      </c>
      <c r="E5328" s="15" t="s">
        <v>38</v>
      </c>
      <c r="F5328" s="15" t="s">
        <v>17</v>
      </c>
      <c r="G5328" s="15" t="s">
        <v>31</v>
      </c>
      <c r="H5328" s="15" t="n">
        <v>4</v>
      </c>
      <c r="I5328" s="17" t="n">
        <v>0</v>
      </c>
      <c r="J5328" s="18" t="n">
        <v>537.4</v>
      </c>
      <c r="K5328" s="19" t="n">
        <v>103.1</v>
      </c>
      <c r="L5328" s="15" t="n">
        <f aca="false">YEAR(B5328)</f>
        <v>2024</v>
      </c>
      <c r="M5328" s="20" t="n">
        <f aca="false">IF(J5328&gt;0,K5328/J5328,0)</f>
        <v>0.19184964644585</v>
      </c>
    </row>
    <row r="5329" customFormat="false" ht="15" hidden="false" customHeight="false" outlineLevel="0" collapsed="false">
      <c r="A5329" s="15" t="s">
        <v>5386</v>
      </c>
      <c r="B5329" s="16" t="n">
        <v>45580</v>
      </c>
      <c r="C5329" s="15" t="s">
        <v>56</v>
      </c>
      <c r="D5329" s="15" t="s">
        <v>44</v>
      </c>
      <c r="E5329" s="15" t="s">
        <v>38</v>
      </c>
      <c r="F5329" s="15" t="s">
        <v>17</v>
      </c>
      <c r="G5329" s="15" t="s">
        <v>28</v>
      </c>
      <c r="H5329" s="15" t="n">
        <v>4</v>
      </c>
      <c r="I5329" s="17" t="n">
        <v>0.15</v>
      </c>
      <c r="J5329" s="18" t="n">
        <v>88.13</v>
      </c>
      <c r="K5329" s="19" t="n">
        <v>20.33</v>
      </c>
      <c r="L5329" s="15" t="n">
        <f aca="false">YEAR(B5329)</f>
        <v>2024</v>
      </c>
      <c r="M5329" s="20" t="n">
        <f aca="false">IF(J5329&gt;0,K5329/J5329,0)</f>
        <v>0.230681947123567</v>
      </c>
    </row>
    <row r="5330" customFormat="false" ht="15" hidden="false" customHeight="false" outlineLevel="0" collapsed="false">
      <c r="A5330" s="15" t="s">
        <v>5387</v>
      </c>
      <c r="B5330" s="16" t="n">
        <v>44823</v>
      </c>
      <c r="C5330" s="15" t="s">
        <v>58</v>
      </c>
      <c r="D5330" s="15" t="s">
        <v>42</v>
      </c>
      <c r="E5330" s="15" t="s">
        <v>38</v>
      </c>
      <c r="F5330" s="15" t="s">
        <v>17</v>
      </c>
      <c r="G5330" s="15" t="s">
        <v>29</v>
      </c>
      <c r="H5330" s="15" t="n">
        <v>7</v>
      </c>
      <c r="I5330" s="17" t="n">
        <v>0.2</v>
      </c>
      <c r="J5330" s="18" t="n">
        <v>79.01</v>
      </c>
      <c r="K5330" s="19" t="n">
        <v>13.43</v>
      </c>
      <c r="L5330" s="15" t="n">
        <f aca="false">YEAR(B5330)</f>
        <v>2022</v>
      </c>
      <c r="M5330" s="20" t="n">
        <f aca="false">IF(J5330&gt;0,K5330/J5330,0)</f>
        <v>0.169978483736236</v>
      </c>
    </row>
    <row r="5331" customFormat="false" ht="15" hidden="false" customHeight="false" outlineLevel="0" collapsed="false">
      <c r="A5331" s="15" t="s">
        <v>5388</v>
      </c>
      <c r="B5331" s="16" t="n">
        <v>45112</v>
      </c>
      <c r="C5331" s="15" t="s">
        <v>71</v>
      </c>
      <c r="D5331" s="15" t="s">
        <v>43</v>
      </c>
      <c r="E5331" s="15" t="s">
        <v>39</v>
      </c>
      <c r="F5331" s="15" t="s">
        <v>17</v>
      </c>
      <c r="G5331" s="15" t="s">
        <v>29</v>
      </c>
      <c r="H5331" s="15" t="n">
        <v>2</v>
      </c>
      <c r="I5331" s="17" t="n">
        <v>0</v>
      </c>
      <c r="J5331" s="18" t="n">
        <v>47.96</v>
      </c>
      <c r="K5331" s="19" t="n">
        <v>18.83</v>
      </c>
      <c r="L5331" s="15" t="n">
        <f aca="false">YEAR(B5331)</f>
        <v>2023</v>
      </c>
      <c r="M5331" s="20" t="n">
        <f aca="false">IF(J5331&gt;0,K5331/J5331,0)</f>
        <v>0.392618849040867</v>
      </c>
    </row>
    <row r="5332" customFormat="false" ht="15" hidden="false" customHeight="false" outlineLevel="0" collapsed="false">
      <c r="A5332" s="15" t="s">
        <v>5389</v>
      </c>
      <c r="B5332" s="16" t="n">
        <v>45707</v>
      </c>
      <c r="C5332" s="15" t="s">
        <v>68</v>
      </c>
      <c r="D5332" s="15" t="s">
        <v>42</v>
      </c>
      <c r="E5332" s="15" t="s">
        <v>37</v>
      </c>
      <c r="F5332" s="15" t="s">
        <v>16</v>
      </c>
      <c r="G5332" s="15" t="s">
        <v>27</v>
      </c>
      <c r="H5332" s="15" t="n">
        <v>2</v>
      </c>
      <c r="I5332" s="17" t="n">
        <v>0</v>
      </c>
      <c r="J5332" s="18" t="n">
        <v>112.48</v>
      </c>
      <c r="K5332" s="19" t="n">
        <v>16.33</v>
      </c>
      <c r="L5332" s="15" t="n">
        <f aca="false">YEAR(B5332)</f>
        <v>2025</v>
      </c>
      <c r="M5332" s="20" t="n">
        <f aca="false">IF(J5332&gt;0,K5332/J5332,0)</f>
        <v>0.145181365576102</v>
      </c>
    </row>
    <row r="5333" customFormat="false" ht="15" hidden="false" customHeight="false" outlineLevel="0" collapsed="false">
      <c r="A5333" s="15" t="s">
        <v>5390</v>
      </c>
      <c r="B5333" s="16" t="n">
        <v>45643</v>
      </c>
      <c r="C5333" s="15" t="s">
        <v>71</v>
      </c>
      <c r="D5333" s="15" t="s">
        <v>42</v>
      </c>
      <c r="E5333" s="15" t="s">
        <v>37</v>
      </c>
      <c r="F5333" s="15" t="s">
        <v>17</v>
      </c>
      <c r="G5333" s="15" t="s">
        <v>28</v>
      </c>
      <c r="H5333" s="15" t="n">
        <v>6</v>
      </c>
      <c r="I5333" s="17" t="n">
        <v>0.2</v>
      </c>
      <c r="J5333" s="18" t="n">
        <v>130.65</v>
      </c>
      <c r="K5333" s="19" t="n">
        <v>17.78</v>
      </c>
      <c r="L5333" s="15" t="n">
        <f aca="false">YEAR(B5333)</f>
        <v>2024</v>
      </c>
      <c r="M5333" s="20" t="n">
        <f aca="false">IF(J5333&gt;0,K5333/J5333,0)</f>
        <v>0.136088786835056</v>
      </c>
    </row>
    <row r="5334" customFormat="false" ht="15" hidden="false" customHeight="false" outlineLevel="0" collapsed="false">
      <c r="A5334" s="15" t="s">
        <v>5391</v>
      </c>
      <c r="B5334" s="16" t="n">
        <v>44788</v>
      </c>
      <c r="C5334" s="15" t="s">
        <v>56</v>
      </c>
      <c r="D5334" s="15" t="s">
        <v>42</v>
      </c>
      <c r="E5334" s="15" t="s">
        <v>39</v>
      </c>
      <c r="F5334" s="15" t="s">
        <v>17</v>
      </c>
      <c r="G5334" s="15" t="s">
        <v>29</v>
      </c>
      <c r="H5334" s="15" t="n">
        <v>4</v>
      </c>
      <c r="I5334" s="17" t="n">
        <v>0.4</v>
      </c>
      <c r="J5334" s="18" t="n">
        <v>49.07</v>
      </c>
      <c r="K5334" s="19" t="n">
        <v>-1.39</v>
      </c>
      <c r="L5334" s="15" t="n">
        <f aca="false">YEAR(B5334)</f>
        <v>2022</v>
      </c>
      <c r="M5334" s="20" t="n">
        <f aca="false">IF(J5334&gt;0,K5334/J5334,0)</f>
        <v>-0.0283268799673935</v>
      </c>
    </row>
    <row r="5335" customFormat="false" ht="15" hidden="false" customHeight="false" outlineLevel="0" collapsed="false">
      <c r="A5335" s="15" t="s">
        <v>5392</v>
      </c>
      <c r="B5335" s="16" t="n">
        <v>45640</v>
      </c>
      <c r="C5335" s="15" t="s">
        <v>56</v>
      </c>
      <c r="D5335" s="15" t="s">
        <v>42</v>
      </c>
      <c r="E5335" s="15" t="s">
        <v>37</v>
      </c>
      <c r="F5335" s="15" t="s">
        <v>16</v>
      </c>
      <c r="G5335" s="15" t="s">
        <v>25</v>
      </c>
      <c r="H5335" s="15" t="n">
        <v>5</v>
      </c>
      <c r="I5335" s="17" t="n">
        <v>0.1</v>
      </c>
      <c r="J5335" s="18" t="n">
        <v>1507.97</v>
      </c>
      <c r="K5335" s="19" t="n">
        <v>21.6</v>
      </c>
      <c r="L5335" s="15" t="n">
        <f aca="false">YEAR(B5335)</f>
        <v>2024</v>
      </c>
      <c r="M5335" s="20" t="n">
        <f aca="false">IF(J5335&gt;0,K5335/J5335,0)</f>
        <v>0.014323892385127</v>
      </c>
    </row>
    <row r="5336" customFormat="false" ht="15" hidden="false" customHeight="false" outlineLevel="0" collapsed="false">
      <c r="A5336" s="15" t="s">
        <v>5393</v>
      </c>
      <c r="B5336" s="16" t="n">
        <v>45908</v>
      </c>
      <c r="C5336" s="15" t="s">
        <v>68</v>
      </c>
      <c r="D5336" s="15" t="s">
        <v>43</v>
      </c>
      <c r="E5336" s="15" t="s">
        <v>36</v>
      </c>
      <c r="F5336" s="15" t="s">
        <v>17</v>
      </c>
      <c r="G5336" s="15" t="s">
        <v>28</v>
      </c>
      <c r="H5336" s="15" t="n">
        <v>3</v>
      </c>
      <c r="I5336" s="17" t="n">
        <v>0</v>
      </c>
      <c r="J5336" s="18" t="n">
        <v>76.76</v>
      </c>
      <c r="K5336" s="19" t="n">
        <v>25.49</v>
      </c>
      <c r="L5336" s="15" t="n">
        <f aca="false">YEAR(B5336)</f>
        <v>2025</v>
      </c>
      <c r="M5336" s="20" t="n">
        <f aca="false">IF(J5336&gt;0,K5336/J5336,0)</f>
        <v>0.332073996873372</v>
      </c>
    </row>
    <row r="5337" customFormat="false" ht="15" hidden="false" customHeight="false" outlineLevel="0" collapsed="false">
      <c r="A5337" s="15" t="s">
        <v>5394</v>
      </c>
      <c r="B5337" s="16" t="n">
        <v>45467</v>
      </c>
      <c r="C5337" s="15" t="s">
        <v>58</v>
      </c>
      <c r="D5337" s="15" t="s">
        <v>43</v>
      </c>
      <c r="E5337" s="15" t="s">
        <v>37</v>
      </c>
      <c r="F5337" s="15" t="s">
        <v>16</v>
      </c>
      <c r="G5337" s="15" t="s">
        <v>27</v>
      </c>
      <c r="H5337" s="15" t="n">
        <v>2</v>
      </c>
      <c r="I5337" s="17" t="n">
        <v>0.4</v>
      </c>
      <c r="J5337" s="18" t="n">
        <v>99.83</v>
      </c>
      <c r="K5337" s="19" t="n">
        <v>-18.3</v>
      </c>
      <c r="L5337" s="15" t="n">
        <f aca="false">YEAR(B5337)</f>
        <v>2024</v>
      </c>
      <c r="M5337" s="20" t="n">
        <f aca="false">IF(J5337&gt;0,K5337/J5337,0)</f>
        <v>-0.18331162977061</v>
      </c>
    </row>
    <row r="5338" customFormat="false" ht="15" hidden="false" customHeight="false" outlineLevel="0" collapsed="false">
      <c r="A5338" s="15" t="s">
        <v>5395</v>
      </c>
      <c r="B5338" s="16" t="n">
        <v>45285</v>
      </c>
      <c r="C5338" s="15" t="s">
        <v>56</v>
      </c>
      <c r="D5338" s="15" t="s">
        <v>43</v>
      </c>
      <c r="E5338" s="15" t="s">
        <v>36</v>
      </c>
      <c r="F5338" s="15" t="s">
        <v>16</v>
      </c>
      <c r="G5338" s="15" t="s">
        <v>25</v>
      </c>
      <c r="H5338" s="15" t="n">
        <v>4</v>
      </c>
      <c r="I5338" s="17" t="n">
        <v>0.05</v>
      </c>
      <c r="J5338" s="18" t="n">
        <v>1028.26</v>
      </c>
      <c r="K5338" s="19" t="n">
        <v>52.52</v>
      </c>
      <c r="L5338" s="15" t="n">
        <f aca="false">YEAR(B5338)</f>
        <v>2023</v>
      </c>
      <c r="M5338" s="20" t="n">
        <f aca="false">IF(J5338&gt;0,K5338/J5338,0)</f>
        <v>0.0510765759632778</v>
      </c>
    </row>
    <row r="5339" customFormat="false" ht="15" hidden="false" customHeight="false" outlineLevel="0" collapsed="false">
      <c r="A5339" s="15" t="s">
        <v>5396</v>
      </c>
      <c r="B5339" s="16" t="n">
        <v>45571</v>
      </c>
      <c r="C5339" s="15" t="s">
        <v>71</v>
      </c>
      <c r="D5339" s="15" t="s">
        <v>42</v>
      </c>
      <c r="E5339" s="15" t="s">
        <v>39</v>
      </c>
      <c r="F5339" s="15" t="s">
        <v>17</v>
      </c>
      <c r="G5339" s="15" t="s">
        <v>29</v>
      </c>
      <c r="H5339" s="15" t="n">
        <v>2</v>
      </c>
      <c r="I5339" s="17" t="n">
        <v>0.2</v>
      </c>
      <c r="J5339" s="18" t="n">
        <v>32.29</v>
      </c>
      <c r="K5339" s="19" t="n">
        <v>7.35</v>
      </c>
      <c r="L5339" s="15" t="n">
        <f aca="false">YEAR(B5339)</f>
        <v>2024</v>
      </c>
      <c r="M5339" s="20" t="n">
        <f aca="false">IF(J5339&gt;0,K5339/J5339,0)</f>
        <v>0.227624651594921</v>
      </c>
    </row>
    <row r="5340" customFormat="false" ht="15" hidden="false" customHeight="false" outlineLevel="0" collapsed="false">
      <c r="A5340" s="15" t="s">
        <v>5397</v>
      </c>
      <c r="B5340" s="16" t="n">
        <v>45042</v>
      </c>
      <c r="C5340" s="15" t="s">
        <v>56</v>
      </c>
      <c r="D5340" s="15" t="s">
        <v>42</v>
      </c>
      <c r="E5340" s="15" t="s">
        <v>37</v>
      </c>
      <c r="F5340" s="15" t="s">
        <v>16</v>
      </c>
      <c r="G5340" s="15" t="s">
        <v>22</v>
      </c>
      <c r="H5340" s="15" t="n">
        <v>4</v>
      </c>
      <c r="I5340" s="17" t="n">
        <v>0</v>
      </c>
      <c r="J5340" s="18" t="n">
        <v>2228.21</v>
      </c>
      <c r="K5340" s="19" t="n">
        <v>-8.4</v>
      </c>
      <c r="L5340" s="15" t="n">
        <f aca="false">YEAR(B5340)</f>
        <v>2023</v>
      </c>
      <c r="M5340" s="20" t="n">
        <f aca="false">IF(J5340&gt;0,K5340/J5340,0)</f>
        <v>-0.00376984216029907</v>
      </c>
    </row>
    <row r="5341" customFormat="false" ht="15" hidden="false" customHeight="false" outlineLevel="0" collapsed="false">
      <c r="A5341" s="15" t="s">
        <v>5398</v>
      </c>
      <c r="B5341" s="16" t="n">
        <v>44594</v>
      </c>
      <c r="C5341" s="15" t="s">
        <v>68</v>
      </c>
      <c r="D5341" s="15" t="s">
        <v>42</v>
      </c>
      <c r="E5341" s="15" t="s">
        <v>39</v>
      </c>
      <c r="F5341" s="15" t="s">
        <v>17</v>
      </c>
      <c r="G5341" s="15" t="s">
        <v>26</v>
      </c>
      <c r="H5341" s="15" t="n">
        <v>3</v>
      </c>
      <c r="I5341" s="17" t="n">
        <v>0.05</v>
      </c>
      <c r="J5341" s="18" t="n">
        <v>301.82</v>
      </c>
      <c r="K5341" s="19" t="n">
        <v>14.99</v>
      </c>
      <c r="L5341" s="15" t="n">
        <f aca="false">YEAR(B5341)</f>
        <v>2022</v>
      </c>
      <c r="M5341" s="20" t="n">
        <f aca="false">IF(J5341&gt;0,K5341/J5341,0)</f>
        <v>0.0496653634616659</v>
      </c>
    </row>
    <row r="5342" customFormat="false" ht="15" hidden="false" customHeight="false" outlineLevel="0" collapsed="false">
      <c r="A5342" s="15" t="s">
        <v>5399</v>
      </c>
      <c r="B5342" s="16" t="n">
        <v>45752</v>
      </c>
      <c r="C5342" s="15" t="s">
        <v>56</v>
      </c>
      <c r="D5342" s="15" t="s">
        <v>42</v>
      </c>
      <c r="E5342" s="15" t="s">
        <v>39</v>
      </c>
      <c r="F5342" s="15" t="s">
        <v>17</v>
      </c>
      <c r="G5342" s="15" t="s">
        <v>31</v>
      </c>
      <c r="H5342" s="15" t="n">
        <v>3</v>
      </c>
      <c r="I5342" s="17" t="n">
        <v>0.2</v>
      </c>
      <c r="J5342" s="18" t="n">
        <v>346.41</v>
      </c>
      <c r="K5342" s="19" t="n">
        <v>22.64</v>
      </c>
      <c r="L5342" s="15" t="n">
        <f aca="false">YEAR(B5342)</f>
        <v>2025</v>
      </c>
      <c r="M5342" s="20" t="n">
        <f aca="false">IF(J5342&gt;0,K5342/J5342,0)</f>
        <v>0.0653560809445455</v>
      </c>
    </row>
    <row r="5343" customFormat="false" ht="15" hidden="false" customHeight="false" outlineLevel="0" collapsed="false">
      <c r="A5343" s="15" t="s">
        <v>5400</v>
      </c>
      <c r="B5343" s="16" t="n">
        <v>45174</v>
      </c>
      <c r="C5343" s="15" t="s">
        <v>56</v>
      </c>
      <c r="D5343" s="15" t="s">
        <v>44</v>
      </c>
      <c r="E5343" s="15" t="s">
        <v>36</v>
      </c>
      <c r="F5343" s="15" t="s">
        <v>16</v>
      </c>
      <c r="G5343" s="15" t="s">
        <v>23</v>
      </c>
      <c r="H5343" s="15" t="n">
        <v>3</v>
      </c>
      <c r="I5343" s="17" t="n">
        <v>0.1</v>
      </c>
      <c r="J5343" s="18" t="n">
        <v>823.8</v>
      </c>
      <c r="K5343" s="19" t="n">
        <v>-63.24</v>
      </c>
      <c r="L5343" s="15" t="n">
        <f aca="false">YEAR(B5343)</f>
        <v>2023</v>
      </c>
      <c r="M5343" s="20" t="n">
        <f aca="false">IF(J5343&gt;0,K5343/J5343,0)</f>
        <v>-0.0767662053896577</v>
      </c>
    </row>
    <row r="5344" customFormat="false" ht="15" hidden="false" customHeight="false" outlineLevel="0" collapsed="false">
      <c r="A5344" s="15" t="s">
        <v>5401</v>
      </c>
      <c r="B5344" s="16" t="n">
        <v>45347</v>
      </c>
      <c r="C5344" s="15" t="s">
        <v>71</v>
      </c>
      <c r="D5344" s="15" t="s">
        <v>42</v>
      </c>
      <c r="E5344" s="15" t="s">
        <v>39</v>
      </c>
      <c r="F5344" s="15" t="s">
        <v>18</v>
      </c>
      <c r="G5344" s="15" t="s">
        <v>32</v>
      </c>
      <c r="H5344" s="15" t="n">
        <v>2</v>
      </c>
      <c r="I5344" s="17" t="n">
        <v>0</v>
      </c>
      <c r="J5344" s="18" t="n">
        <v>808.3</v>
      </c>
      <c r="K5344" s="19" t="n">
        <v>98.74</v>
      </c>
      <c r="L5344" s="15" t="n">
        <f aca="false">YEAR(B5344)</f>
        <v>2024</v>
      </c>
      <c r="M5344" s="20" t="n">
        <f aca="false">IF(J5344&gt;0,K5344/J5344,0)</f>
        <v>0.122157614747</v>
      </c>
    </row>
    <row r="5345" customFormat="false" ht="15" hidden="false" customHeight="false" outlineLevel="0" collapsed="false">
      <c r="A5345" s="15" t="s">
        <v>5402</v>
      </c>
      <c r="B5345" s="16" t="n">
        <v>45920</v>
      </c>
      <c r="C5345" s="15" t="s">
        <v>56</v>
      </c>
      <c r="D5345" s="15" t="s">
        <v>43</v>
      </c>
      <c r="E5345" s="15" t="s">
        <v>39</v>
      </c>
      <c r="F5345" s="15" t="s">
        <v>16</v>
      </c>
      <c r="G5345" s="15" t="s">
        <v>25</v>
      </c>
      <c r="H5345" s="15" t="n">
        <v>3</v>
      </c>
      <c r="I5345" s="17" t="n">
        <v>0.1</v>
      </c>
      <c r="J5345" s="18" t="n">
        <v>986.37</v>
      </c>
      <c r="K5345" s="19" t="n">
        <v>48.65</v>
      </c>
      <c r="L5345" s="15" t="n">
        <f aca="false">YEAR(B5345)</f>
        <v>2025</v>
      </c>
      <c r="M5345" s="20" t="n">
        <f aca="false">IF(J5345&gt;0,K5345/J5345,0)</f>
        <v>0.0493222624370165</v>
      </c>
    </row>
    <row r="5346" customFormat="false" ht="15" hidden="false" customHeight="false" outlineLevel="0" collapsed="false">
      <c r="A5346" s="15" t="s">
        <v>5403</v>
      </c>
      <c r="B5346" s="16" t="n">
        <v>45785</v>
      </c>
      <c r="C5346" s="15" t="s">
        <v>56</v>
      </c>
      <c r="D5346" s="15" t="s">
        <v>42</v>
      </c>
      <c r="E5346" s="15" t="s">
        <v>37</v>
      </c>
      <c r="F5346" s="15" t="s">
        <v>18</v>
      </c>
      <c r="G5346" s="15" t="s">
        <v>33</v>
      </c>
      <c r="H5346" s="15" t="n">
        <v>4</v>
      </c>
      <c r="I5346" s="17" t="n">
        <v>0.15</v>
      </c>
      <c r="J5346" s="18" t="n">
        <v>3509.14</v>
      </c>
      <c r="K5346" s="19" t="n">
        <v>248.4</v>
      </c>
      <c r="L5346" s="15" t="n">
        <f aca="false">YEAR(B5346)</f>
        <v>2025</v>
      </c>
      <c r="M5346" s="20" t="n">
        <f aca="false">IF(J5346&gt;0,K5346/J5346,0)</f>
        <v>0.0707865744883362</v>
      </c>
    </row>
    <row r="5347" customFormat="false" ht="15" hidden="false" customHeight="false" outlineLevel="0" collapsed="false">
      <c r="A5347" s="15" t="s">
        <v>5404</v>
      </c>
      <c r="B5347" s="16" t="n">
        <v>45123</v>
      </c>
      <c r="C5347" s="15" t="s">
        <v>56</v>
      </c>
      <c r="D5347" s="15" t="s">
        <v>43</v>
      </c>
      <c r="E5347" s="15" t="s">
        <v>38</v>
      </c>
      <c r="F5347" s="15" t="s">
        <v>16</v>
      </c>
      <c r="G5347" s="15" t="s">
        <v>27</v>
      </c>
      <c r="H5347" s="15" t="n">
        <v>3</v>
      </c>
      <c r="I5347" s="17" t="n">
        <v>0</v>
      </c>
      <c r="J5347" s="18" t="n">
        <v>148.45</v>
      </c>
      <c r="K5347" s="19" t="n">
        <v>28.5</v>
      </c>
      <c r="L5347" s="15" t="n">
        <f aca="false">YEAR(B5347)</f>
        <v>2023</v>
      </c>
      <c r="M5347" s="20" t="n">
        <f aca="false">IF(J5347&gt;0,K5347/J5347,0)</f>
        <v>0.191983832940384</v>
      </c>
    </row>
    <row r="5348" customFormat="false" ht="15" hidden="false" customHeight="false" outlineLevel="0" collapsed="false">
      <c r="A5348" s="15" t="s">
        <v>5405</v>
      </c>
      <c r="B5348" s="16" t="n">
        <v>45273</v>
      </c>
      <c r="C5348" s="15" t="s">
        <v>56</v>
      </c>
      <c r="D5348" s="15" t="s">
        <v>43</v>
      </c>
      <c r="E5348" s="15" t="s">
        <v>39</v>
      </c>
      <c r="F5348" s="15" t="s">
        <v>18</v>
      </c>
      <c r="G5348" s="15" t="s">
        <v>32</v>
      </c>
      <c r="H5348" s="15" t="n">
        <v>4</v>
      </c>
      <c r="I5348" s="17" t="n">
        <v>0.3</v>
      </c>
      <c r="J5348" s="18" t="n">
        <v>1255.91</v>
      </c>
      <c r="K5348" s="19" t="n">
        <v>-123.13</v>
      </c>
      <c r="L5348" s="15" t="n">
        <f aca="false">YEAR(B5348)</f>
        <v>2023</v>
      </c>
      <c r="M5348" s="20" t="n">
        <f aca="false">IF(J5348&gt;0,K5348/J5348,0)</f>
        <v>-0.0980404646829789</v>
      </c>
    </row>
    <row r="5349" customFormat="false" ht="15" hidden="false" customHeight="false" outlineLevel="0" collapsed="false">
      <c r="A5349" s="15" t="s">
        <v>5406</v>
      </c>
      <c r="B5349" s="16" t="n">
        <v>46002</v>
      </c>
      <c r="C5349" s="15" t="s">
        <v>56</v>
      </c>
      <c r="D5349" s="15" t="s">
        <v>44</v>
      </c>
      <c r="E5349" s="15" t="s">
        <v>37</v>
      </c>
      <c r="F5349" s="15" t="s">
        <v>17</v>
      </c>
      <c r="G5349" s="15" t="s">
        <v>28</v>
      </c>
      <c r="H5349" s="15" t="n">
        <v>2</v>
      </c>
      <c r="I5349" s="17" t="n">
        <v>0</v>
      </c>
      <c r="J5349" s="18" t="n">
        <v>43.25</v>
      </c>
      <c r="K5349" s="19" t="n">
        <v>13.31</v>
      </c>
      <c r="L5349" s="15" t="n">
        <f aca="false">YEAR(B5349)</f>
        <v>2025</v>
      </c>
      <c r="M5349" s="20" t="n">
        <f aca="false">IF(J5349&gt;0,K5349/J5349,0)</f>
        <v>0.307745664739884</v>
      </c>
    </row>
    <row r="5350" customFormat="false" ht="15" hidden="false" customHeight="false" outlineLevel="0" collapsed="false">
      <c r="A5350" s="15" t="s">
        <v>5407</v>
      </c>
      <c r="B5350" s="16" t="n">
        <v>45428</v>
      </c>
      <c r="C5350" s="15" t="s">
        <v>71</v>
      </c>
      <c r="D5350" s="15" t="s">
        <v>42</v>
      </c>
      <c r="E5350" s="15" t="s">
        <v>38</v>
      </c>
      <c r="F5350" s="15" t="s">
        <v>18</v>
      </c>
      <c r="G5350" s="15" t="s">
        <v>32</v>
      </c>
      <c r="H5350" s="15" t="n">
        <v>8</v>
      </c>
      <c r="I5350" s="17" t="n">
        <v>0.05</v>
      </c>
      <c r="J5350" s="18" t="n">
        <v>3579.58</v>
      </c>
      <c r="K5350" s="19" t="n">
        <v>516.67</v>
      </c>
      <c r="L5350" s="15" t="n">
        <f aca="false">YEAR(B5350)</f>
        <v>2024</v>
      </c>
      <c r="M5350" s="20" t="n">
        <f aca="false">IF(J5350&gt;0,K5350/J5350,0)</f>
        <v>0.144338162577733</v>
      </c>
    </row>
    <row r="5351" customFormat="false" ht="15" hidden="false" customHeight="false" outlineLevel="0" collapsed="false">
      <c r="A5351" s="15" t="s">
        <v>5408</v>
      </c>
      <c r="B5351" s="16" t="n">
        <v>45904</v>
      </c>
      <c r="C5351" s="15" t="s">
        <v>56</v>
      </c>
      <c r="D5351" s="15" t="s">
        <v>42</v>
      </c>
      <c r="E5351" s="15" t="s">
        <v>39</v>
      </c>
      <c r="F5351" s="15" t="s">
        <v>18</v>
      </c>
      <c r="G5351" s="15" t="s">
        <v>30</v>
      </c>
      <c r="H5351" s="15" t="n">
        <v>3</v>
      </c>
      <c r="I5351" s="17" t="n">
        <v>0</v>
      </c>
      <c r="J5351" s="18" t="n">
        <v>138.58</v>
      </c>
      <c r="K5351" s="19" t="n">
        <v>46.4</v>
      </c>
      <c r="L5351" s="15" t="n">
        <f aca="false">YEAR(B5351)</f>
        <v>2025</v>
      </c>
      <c r="M5351" s="20" t="n">
        <f aca="false">IF(J5351&gt;0,K5351/J5351,0)</f>
        <v>0.334824650021648</v>
      </c>
    </row>
    <row r="5352" customFormat="false" ht="15" hidden="false" customHeight="false" outlineLevel="0" collapsed="false">
      <c r="A5352" s="15" t="s">
        <v>5409</v>
      </c>
      <c r="B5352" s="16" t="n">
        <v>45270</v>
      </c>
      <c r="C5352" s="15" t="s">
        <v>56</v>
      </c>
      <c r="D5352" s="15" t="s">
        <v>42</v>
      </c>
      <c r="E5352" s="15" t="s">
        <v>36</v>
      </c>
      <c r="F5352" s="15" t="s">
        <v>18</v>
      </c>
      <c r="G5352" s="15" t="s">
        <v>30</v>
      </c>
      <c r="H5352" s="15" t="n">
        <v>3</v>
      </c>
      <c r="I5352" s="17" t="n">
        <v>0.05</v>
      </c>
      <c r="J5352" s="18" t="n">
        <v>114.13</v>
      </c>
      <c r="K5352" s="19" t="n">
        <v>30.42</v>
      </c>
      <c r="L5352" s="15" t="n">
        <f aca="false">YEAR(B5352)</f>
        <v>2023</v>
      </c>
      <c r="M5352" s="20" t="n">
        <f aca="false">IF(J5352&gt;0,K5352/J5352,0)</f>
        <v>0.266538158240603</v>
      </c>
    </row>
    <row r="5353" customFormat="false" ht="15" hidden="false" customHeight="false" outlineLevel="0" collapsed="false">
      <c r="A5353" s="15" t="s">
        <v>5410</v>
      </c>
      <c r="B5353" s="16" t="n">
        <v>45240</v>
      </c>
      <c r="C5353" s="15" t="s">
        <v>71</v>
      </c>
      <c r="D5353" s="15" t="s">
        <v>42</v>
      </c>
      <c r="E5353" s="15" t="s">
        <v>37</v>
      </c>
      <c r="F5353" s="15" t="s">
        <v>16</v>
      </c>
      <c r="G5353" s="15" t="s">
        <v>25</v>
      </c>
      <c r="H5353" s="15" t="n">
        <v>5</v>
      </c>
      <c r="I5353" s="17" t="n">
        <v>0</v>
      </c>
      <c r="J5353" s="18" t="n">
        <v>1269.59</v>
      </c>
      <c r="K5353" s="19" t="n">
        <v>181.93</v>
      </c>
      <c r="L5353" s="15" t="n">
        <f aca="false">YEAR(B5353)</f>
        <v>2023</v>
      </c>
      <c r="M5353" s="20" t="n">
        <f aca="false">IF(J5353&gt;0,K5353/J5353,0)</f>
        <v>0.143298230137288</v>
      </c>
    </row>
    <row r="5354" customFormat="false" ht="15" hidden="false" customHeight="false" outlineLevel="0" collapsed="false">
      <c r="A5354" s="15" t="s">
        <v>5411</v>
      </c>
      <c r="B5354" s="16" t="n">
        <v>45273</v>
      </c>
      <c r="C5354" s="15" t="s">
        <v>56</v>
      </c>
      <c r="D5354" s="15" t="s">
        <v>43</v>
      </c>
      <c r="E5354" s="15" t="s">
        <v>39</v>
      </c>
      <c r="F5354" s="15" t="s">
        <v>17</v>
      </c>
      <c r="G5354" s="15" t="s">
        <v>26</v>
      </c>
      <c r="H5354" s="15" t="n">
        <v>1</v>
      </c>
      <c r="I5354" s="17" t="n">
        <v>0.4</v>
      </c>
      <c r="J5354" s="18" t="n">
        <v>61.87</v>
      </c>
      <c r="K5354" s="19" t="n">
        <v>-14.97</v>
      </c>
      <c r="L5354" s="15" t="n">
        <f aca="false">YEAR(B5354)</f>
        <v>2023</v>
      </c>
      <c r="M5354" s="20" t="n">
        <f aca="false">IF(J5354&gt;0,K5354/J5354,0)</f>
        <v>-0.241958946177469</v>
      </c>
    </row>
    <row r="5355" customFormat="false" ht="15" hidden="false" customHeight="false" outlineLevel="0" collapsed="false">
      <c r="A5355" s="15" t="s">
        <v>5412</v>
      </c>
      <c r="B5355" s="16" t="n">
        <v>45834</v>
      </c>
      <c r="C5355" s="15" t="s">
        <v>56</v>
      </c>
      <c r="D5355" s="15" t="s">
        <v>42</v>
      </c>
      <c r="E5355" s="15" t="s">
        <v>37</v>
      </c>
      <c r="F5355" s="15" t="s">
        <v>18</v>
      </c>
      <c r="G5355" s="15" t="s">
        <v>24</v>
      </c>
      <c r="H5355" s="15" t="n">
        <v>4</v>
      </c>
      <c r="I5355" s="17" t="n">
        <v>0.15</v>
      </c>
      <c r="J5355" s="18" t="n">
        <v>2502.24</v>
      </c>
      <c r="K5355" s="19" t="n">
        <v>-192.35</v>
      </c>
      <c r="L5355" s="15" t="n">
        <f aca="false">YEAR(B5355)</f>
        <v>2025</v>
      </c>
      <c r="M5355" s="20" t="n">
        <f aca="false">IF(J5355&gt;0,K5355/J5355,0)</f>
        <v>-0.0768711234733679</v>
      </c>
    </row>
    <row r="5356" customFormat="false" ht="15" hidden="false" customHeight="false" outlineLevel="0" collapsed="false">
      <c r="A5356" s="15" t="s">
        <v>5413</v>
      </c>
      <c r="B5356" s="16" t="n">
        <v>45824</v>
      </c>
      <c r="C5356" s="15" t="s">
        <v>71</v>
      </c>
      <c r="D5356" s="15" t="s">
        <v>42</v>
      </c>
      <c r="E5356" s="15" t="s">
        <v>39</v>
      </c>
      <c r="F5356" s="15" t="s">
        <v>17</v>
      </c>
      <c r="G5356" s="15" t="s">
        <v>29</v>
      </c>
      <c r="H5356" s="15" t="n">
        <v>3</v>
      </c>
      <c r="I5356" s="17" t="n">
        <v>0</v>
      </c>
      <c r="J5356" s="18" t="n">
        <v>62.5</v>
      </c>
      <c r="K5356" s="19" t="n">
        <v>24.2</v>
      </c>
      <c r="L5356" s="15" t="n">
        <f aca="false">YEAR(B5356)</f>
        <v>2025</v>
      </c>
      <c r="M5356" s="20" t="n">
        <f aca="false">IF(J5356&gt;0,K5356/J5356,0)</f>
        <v>0.3872</v>
      </c>
    </row>
    <row r="5357" customFormat="false" ht="15" hidden="false" customHeight="false" outlineLevel="0" collapsed="false">
      <c r="A5357" s="15" t="s">
        <v>5414</v>
      </c>
      <c r="B5357" s="16" t="n">
        <v>45446</v>
      </c>
      <c r="C5357" s="15" t="s">
        <v>56</v>
      </c>
      <c r="D5357" s="15" t="s">
        <v>42</v>
      </c>
      <c r="E5357" s="15" t="s">
        <v>38</v>
      </c>
      <c r="F5357" s="15" t="s">
        <v>18</v>
      </c>
      <c r="G5357" s="15" t="s">
        <v>30</v>
      </c>
      <c r="H5357" s="15" t="n">
        <v>3</v>
      </c>
      <c r="I5357" s="17" t="n">
        <v>0.5</v>
      </c>
      <c r="J5357" s="18" t="n">
        <v>51.4</v>
      </c>
      <c r="K5357" s="19" t="n">
        <v>-7.34</v>
      </c>
      <c r="L5357" s="15" t="n">
        <f aca="false">YEAR(B5357)</f>
        <v>2024</v>
      </c>
      <c r="M5357" s="20" t="n">
        <f aca="false">IF(J5357&gt;0,K5357/J5357,0)</f>
        <v>-0.142801556420233</v>
      </c>
    </row>
    <row r="5358" customFormat="false" ht="15" hidden="false" customHeight="false" outlineLevel="0" collapsed="false">
      <c r="A5358" s="15" t="s">
        <v>5415</v>
      </c>
      <c r="B5358" s="16" t="n">
        <v>44951</v>
      </c>
      <c r="C5358" s="15" t="s">
        <v>56</v>
      </c>
      <c r="D5358" s="15" t="s">
        <v>42</v>
      </c>
      <c r="E5358" s="15" t="s">
        <v>36</v>
      </c>
      <c r="F5358" s="15" t="s">
        <v>17</v>
      </c>
      <c r="G5358" s="15" t="s">
        <v>31</v>
      </c>
      <c r="H5358" s="15" t="n">
        <v>5</v>
      </c>
      <c r="I5358" s="17" t="n">
        <v>0.15</v>
      </c>
      <c r="J5358" s="18" t="n">
        <v>486.52</v>
      </c>
      <c r="K5358" s="19" t="n">
        <v>31.56</v>
      </c>
      <c r="L5358" s="15" t="n">
        <f aca="false">YEAR(B5358)</f>
        <v>2023</v>
      </c>
      <c r="M5358" s="20" t="n">
        <f aca="false">IF(J5358&gt;0,K5358/J5358,0)</f>
        <v>0.0648688645893283</v>
      </c>
    </row>
    <row r="5359" customFormat="false" ht="15" hidden="false" customHeight="false" outlineLevel="0" collapsed="false">
      <c r="A5359" s="15" t="s">
        <v>5416</v>
      </c>
      <c r="B5359" s="16" t="n">
        <v>45656</v>
      </c>
      <c r="C5359" s="15" t="s">
        <v>56</v>
      </c>
      <c r="D5359" s="15" t="s">
        <v>42</v>
      </c>
      <c r="E5359" s="15" t="s">
        <v>36</v>
      </c>
      <c r="F5359" s="15" t="s">
        <v>17</v>
      </c>
      <c r="G5359" s="15" t="s">
        <v>29</v>
      </c>
      <c r="H5359" s="15" t="n">
        <v>1</v>
      </c>
      <c r="I5359" s="17" t="n">
        <v>0.05</v>
      </c>
      <c r="J5359" s="18" t="n">
        <v>17.41</v>
      </c>
      <c r="K5359" s="19" t="n">
        <v>6.22</v>
      </c>
      <c r="L5359" s="15" t="n">
        <f aca="false">YEAR(B5359)</f>
        <v>2024</v>
      </c>
      <c r="M5359" s="20" t="n">
        <f aca="false">IF(J5359&gt;0,K5359/J5359,0)</f>
        <v>0.357265939115451</v>
      </c>
    </row>
    <row r="5360" customFormat="false" ht="15" hidden="false" customHeight="false" outlineLevel="0" collapsed="false">
      <c r="A5360" s="15" t="s">
        <v>5417</v>
      </c>
      <c r="B5360" s="16" t="n">
        <v>45594</v>
      </c>
      <c r="C5360" s="15" t="s">
        <v>71</v>
      </c>
      <c r="D5360" s="15" t="s">
        <v>43</v>
      </c>
      <c r="E5360" s="15" t="s">
        <v>37</v>
      </c>
      <c r="F5360" s="15" t="s">
        <v>16</v>
      </c>
      <c r="G5360" s="15" t="s">
        <v>27</v>
      </c>
      <c r="H5360" s="15" t="n">
        <v>3</v>
      </c>
      <c r="I5360" s="17" t="n">
        <v>0.05</v>
      </c>
      <c r="J5360" s="18" t="n">
        <v>187.05</v>
      </c>
      <c r="K5360" s="19" t="n">
        <v>40.11</v>
      </c>
      <c r="L5360" s="15" t="n">
        <f aca="false">YEAR(B5360)</f>
        <v>2024</v>
      </c>
      <c r="M5360" s="20" t="n">
        <f aca="false">IF(J5360&gt;0,K5360/J5360,0)</f>
        <v>0.214434643143545</v>
      </c>
    </row>
    <row r="5361" customFormat="false" ht="15" hidden="false" customHeight="false" outlineLevel="0" collapsed="false">
      <c r="A5361" s="15" t="s">
        <v>5418</v>
      </c>
      <c r="B5361" s="16" t="n">
        <v>45531</v>
      </c>
      <c r="C5361" s="15" t="s">
        <v>56</v>
      </c>
      <c r="D5361" s="15" t="s">
        <v>43</v>
      </c>
      <c r="E5361" s="15" t="s">
        <v>37</v>
      </c>
      <c r="F5361" s="15" t="s">
        <v>18</v>
      </c>
      <c r="G5361" s="15" t="s">
        <v>30</v>
      </c>
      <c r="H5361" s="15" t="n">
        <v>4</v>
      </c>
      <c r="I5361" s="17" t="n">
        <v>0.2</v>
      </c>
      <c r="J5361" s="18" t="n">
        <v>154.55</v>
      </c>
      <c r="K5361" s="19" t="n">
        <v>20.67</v>
      </c>
      <c r="L5361" s="15" t="n">
        <f aca="false">YEAR(B5361)</f>
        <v>2024</v>
      </c>
      <c r="M5361" s="20" t="n">
        <f aca="false">IF(J5361&gt;0,K5361/J5361,0)</f>
        <v>0.1337431252022</v>
      </c>
    </row>
    <row r="5362" customFormat="false" ht="15" hidden="false" customHeight="false" outlineLevel="0" collapsed="false">
      <c r="A5362" s="15" t="s">
        <v>5419</v>
      </c>
      <c r="B5362" s="16" t="n">
        <v>45233</v>
      </c>
      <c r="C5362" s="15" t="s">
        <v>68</v>
      </c>
      <c r="D5362" s="15" t="s">
        <v>42</v>
      </c>
      <c r="E5362" s="15" t="s">
        <v>39</v>
      </c>
      <c r="F5362" s="15" t="s">
        <v>17</v>
      </c>
      <c r="G5362" s="15" t="s">
        <v>26</v>
      </c>
      <c r="H5362" s="15" t="n">
        <v>1</v>
      </c>
      <c r="I5362" s="17" t="n">
        <v>0.4</v>
      </c>
      <c r="J5362" s="18" t="n">
        <v>79.82</v>
      </c>
      <c r="K5362" s="19" t="n">
        <v>-18.32</v>
      </c>
      <c r="L5362" s="15" t="n">
        <f aca="false">YEAR(B5362)</f>
        <v>2023</v>
      </c>
      <c r="M5362" s="20" t="n">
        <f aca="false">IF(J5362&gt;0,K5362/J5362,0)</f>
        <v>-0.229516411926835</v>
      </c>
    </row>
    <row r="5363" customFormat="false" ht="15" hidden="false" customHeight="false" outlineLevel="0" collapsed="false">
      <c r="A5363" s="15" t="s">
        <v>5420</v>
      </c>
      <c r="B5363" s="16" t="n">
        <v>44895</v>
      </c>
      <c r="C5363" s="15" t="s">
        <v>56</v>
      </c>
      <c r="D5363" s="15" t="s">
        <v>42</v>
      </c>
      <c r="E5363" s="15" t="s">
        <v>39</v>
      </c>
      <c r="F5363" s="15" t="s">
        <v>18</v>
      </c>
      <c r="G5363" s="15" t="s">
        <v>33</v>
      </c>
      <c r="H5363" s="15" t="n">
        <v>2</v>
      </c>
      <c r="I5363" s="17" t="n">
        <v>0.15</v>
      </c>
      <c r="J5363" s="18" t="n">
        <v>1604.42</v>
      </c>
      <c r="K5363" s="19" t="n">
        <v>137.73</v>
      </c>
      <c r="L5363" s="15" t="n">
        <f aca="false">YEAR(B5363)</f>
        <v>2022</v>
      </c>
      <c r="M5363" s="20" t="n">
        <f aca="false">IF(J5363&gt;0,K5363/J5363,0)</f>
        <v>0.0858441056581194</v>
      </c>
    </row>
    <row r="5364" customFormat="false" ht="15" hidden="false" customHeight="false" outlineLevel="0" collapsed="false">
      <c r="A5364" s="15" t="s">
        <v>5421</v>
      </c>
      <c r="B5364" s="16" t="n">
        <v>45620</v>
      </c>
      <c r="C5364" s="15" t="s">
        <v>56</v>
      </c>
      <c r="D5364" s="15" t="s">
        <v>42</v>
      </c>
      <c r="E5364" s="15" t="s">
        <v>37</v>
      </c>
      <c r="F5364" s="15" t="s">
        <v>16</v>
      </c>
      <c r="G5364" s="15" t="s">
        <v>27</v>
      </c>
      <c r="H5364" s="15" t="n">
        <v>4</v>
      </c>
      <c r="I5364" s="17" t="n">
        <v>0.15</v>
      </c>
      <c r="J5364" s="18" t="n">
        <v>165.24</v>
      </c>
      <c r="K5364" s="19" t="n">
        <v>8.93</v>
      </c>
      <c r="L5364" s="15" t="n">
        <f aca="false">YEAR(B5364)</f>
        <v>2024</v>
      </c>
      <c r="M5364" s="20" t="n">
        <f aca="false">IF(J5364&gt;0,K5364/J5364,0)</f>
        <v>0.0540426046961995</v>
      </c>
    </row>
    <row r="5365" customFormat="false" ht="15" hidden="false" customHeight="false" outlineLevel="0" collapsed="false">
      <c r="A5365" s="15" t="s">
        <v>5422</v>
      </c>
      <c r="B5365" s="16" t="n">
        <v>45925</v>
      </c>
      <c r="C5365" s="15" t="s">
        <v>56</v>
      </c>
      <c r="D5365" s="15" t="s">
        <v>43</v>
      </c>
      <c r="E5365" s="15" t="s">
        <v>39</v>
      </c>
      <c r="F5365" s="15" t="s">
        <v>17</v>
      </c>
      <c r="G5365" s="15" t="s">
        <v>26</v>
      </c>
      <c r="H5365" s="15" t="n">
        <v>4</v>
      </c>
      <c r="I5365" s="17" t="n">
        <v>0.1</v>
      </c>
      <c r="J5365" s="18" t="n">
        <v>343.27</v>
      </c>
      <c r="K5365" s="19" t="n">
        <v>32.68</v>
      </c>
      <c r="L5365" s="15" t="n">
        <f aca="false">YEAR(B5365)</f>
        <v>2025</v>
      </c>
      <c r="M5365" s="20" t="n">
        <f aca="false">IF(J5365&gt;0,K5365/J5365,0)</f>
        <v>0.0952020275584817</v>
      </c>
    </row>
    <row r="5366" customFormat="false" ht="15" hidden="false" customHeight="false" outlineLevel="0" collapsed="false">
      <c r="A5366" s="15" t="s">
        <v>5423</v>
      </c>
      <c r="B5366" s="16" t="n">
        <v>45423</v>
      </c>
      <c r="C5366" s="15" t="s">
        <v>58</v>
      </c>
      <c r="D5366" s="15" t="s">
        <v>43</v>
      </c>
      <c r="E5366" s="15" t="s">
        <v>37</v>
      </c>
      <c r="F5366" s="15" t="s">
        <v>16</v>
      </c>
      <c r="G5366" s="15" t="s">
        <v>22</v>
      </c>
      <c r="H5366" s="15" t="n">
        <v>3</v>
      </c>
      <c r="I5366" s="17" t="n">
        <v>0.1</v>
      </c>
      <c r="J5366" s="18" t="n">
        <v>1379.17</v>
      </c>
      <c r="K5366" s="19" t="n">
        <v>-204.49</v>
      </c>
      <c r="L5366" s="15" t="n">
        <f aca="false">YEAR(B5366)</f>
        <v>2024</v>
      </c>
      <c r="M5366" s="20" t="n">
        <f aca="false">IF(J5366&gt;0,K5366/J5366,0)</f>
        <v>-0.14827033650674</v>
      </c>
    </row>
    <row r="5367" customFormat="false" ht="15" hidden="false" customHeight="false" outlineLevel="0" collapsed="false">
      <c r="A5367" s="15" t="s">
        <v>5424</v>
      </c>
      <c r="B5367" s="16" t="n">
        <v>45472</v>
      </c>
      <c r="C5367" s="15" t="s">
        <v>56</v>
      </c>
      <c r="D5367" s="15" t="s">
        <v>43</v>
      </c>
      <c r="E5367" s="15" t="s">
        <v>38</v>
      </c>
      <c r="F5367" s="15" t="s">
        <v>18</v>
      </c>
      <c r="G5367" s="15" t="s">
        <v>30</v>
      </c>
      <c r="H5367" s="15" t="n">
        <v>6</v>
      </c>
      <c r="I5367" s="17" t="n">
        <v>0.1</v>
      </c>
      <c r="J5367" s="18" t="n">
        <v>265.71</v>
      </c>
      <c r="K5367" s="19" t="n">
        <v>53.33</v>
      </c>
      <c r="L5367" s="15" t="n">
        <f aca="false">YEAR(B5367)</f>
        <v>2024</v>
      </c>
      <c r="M5367" s="20" t="n">
        <f aca="false">IF(J5367&gt;0,K5367/J5367,0)</f>
        <v>0.200707538293628</v>
      </c>
    </row>
    <row r="5368" customFormat="false" ht="15" hidden="false" customHeight="false" outlineLevel="0" collapsed="false">
      <c r="A5368" s="15" t="s">
        <v>5425</v>
      </c>
      <c r="B5368" s="16" t="n">
        <v>45955</v>
      </c>
      <c r="C5368" s="15" t="s">
        <v>56</v>
      </c>
      <c r="D5368" s="15" t="s">
        <v>42</v>
      </c>
      <c r="E5368" s="15" t="s">
        <v>37</v>
      </c>
      <c r="F5368" s="15" t="s">
        <v>17</v>
      </c>
      <c r="G5368" s="15" t="s">
        <v>28</v>
      </c>
      <c r="H5368" s="15" t="n">
        <v>2</v>
      </c>
      <c r="I5368" s="17" t="n">
        <v>0.2</v>
      </c>
      <c r="J5368" s="18" t="n">
        <v>36.4</v>
      </c>
      <c r="K5368" s="19" t="n">
        <v>5.61</v>
      </c>
      <c r="L5368" s="15" t="n">
        <f aca="false">YEAR(B5368)</f>
        <v>2025</v>
      </c>
      <c r="M5368" s="20" t="n">
        <f aca="false">IF(J5368&gt;0,K5368/J5368,0)</f>
        <v>0.154120879120879</v>
      </c>
    </row>
    <row r="5369" customFormat="false" ht="15" hidden="false" customHeight="false" outlineLevel="0" collapsed="false">
      <c r="A5369" s="15" t="s">
        <v>5426</v>
      </c>
      <c r="B5369" s="16" t="n">
        <v>45438</v>
      </c>
      <c r="C5369" s="15" t="s">
        <v>71</v>
      </c>
      <c r="D5369" s="15" t="s">
        <v>42</v>
      </c>
      <c r="E5369" s="15" t="s">
        <v>38</v>
      </c>
      <c r="F5369" s="15" t="s">
        <v>17</v>
      </c>
      <c r="G5369" s="15" t="s">
        <v>28</v>
      </c>
      <c r="H5369" s="15" t="n">
        <v>4</v>
      </c>
      <c r="I5369" s="17" t="n">
        <v>0</v>
      </c>
      <c r="J5369" s="18" t="n">
        <v>86.93</v>
      </c>
      <c r="K5369" s="19" t="n">
        <v>20.77</v>
      </c>
      <c r="L5369" s="15" t="n">
        <f aca="false">YEAR(B5369)</f>
        <v>2024</v>
      </c>
      <c r="M5369" s="20" t="n">
        <f aca="false">IF(J5369&gt;0,K5369/J5369,0)</f>
        <v>0.238927873001265</v>
      </c>
    </row>
    <row r="5370" customFormat="false" ht="15" hidden="false" customHeight="false" outlineLevel="0" collapsed="false">
      <c r="A5370" s="15" t="s">
        <v>5427</v>
      </c>
      <c r="B5370" s="16" t="n">
        <v>45007</v>
      </c>
      <c r="C5370" s="15" t="s">
        <v>56</v>
      </c>
      <c r="D5370" s="15" t="s">
        <v>44</v>
      </c>
      <c r="E5370" s="15" t="s">
        <v>37</v>
      </c>
      <c r="F5370" s="15" t="s">
        <v>17</v>
      </c>
      <c r="G5370" s="15" t="s">
        <v>29</v>
      </c>
      <c r="H5370" s="15" t="n">
        <v>1</v>
      </c>
      <c r="I5370" s="17" t="n">
        <v>0</v>
      </c>
      <c r="J5370" s="18" t="n">
        <v>20.13</v>
      </c>
      <c r="K5370" s="19" t="n">
        <v>7.79</v>
      </c>
      <c r="L5370" s="15" t="n">
        <f aca="false">YEAR(B5370)</f>
        <v>2023</v>
      </c>
      <c r="M5370" s="20" t="n">
        <f aca="false">IF(J5370&gt;0,K5370/J5370,0)</f>
        <v>0.386984600099354</v>
      </c>
    </row>
    <row r="5371" customFormat="false" ht="15" hidden="false" customHeight="false" outlineLevel="0" collapsed="false">
      <c r="A5371" s="15" t="s">
        <v>5428</v>
      </c>
      <c r="B5371" s="16" t="n">
        <v>45678</v>
      </c>
      <c r="C5371" s="15" t="s">
        <v>68</v>
      </c>
      <c r="D5371" s="15" t="s">
        <v>42</v>
      </c>
      <c r="E5371" s="15" t="s">
        <v>38</v>
      </c>
      <c r="F5371" s="15" t="s">
        <v>18</v>
      </c>
      <c r="G5371" s="15" t="s">
        <v>30</v>
      </c>
      <c r="H5371" s="15" t="n">
        <v>3</v>
      </c>
      <c r="I5371" s="17" t="n">
        <v>0</v>
      </c>
      <c r="J5371" s="18" t="n">
        <v>136.82</v>
      </c>
      <c r="K5371" s="19" t="n">
        <v>43.14</v>
      </c>
      <c r="L5371" s="15" t="n">
        <f aca="false">YEAR(B5371)</f>
        <v>2025</v>
      </c>
      <c r="M5371" s="20" t="n">
        <f aca="false">IF(J5371&gt;0,K5371/J5371,0)</f>
        <v>0.315304780002924</v>
      </c>
    </row>
    <row r="5372" customFormat="false" ht="15" hidden="false" customHeight="false" outlineLevel="0" collapsed="false">
      <c r="A5372" s="15" t="s">
        <v>5429</v>
      </c>
      <c r="B5372" s="16" t="n">
        <v>45494</v>
      </c>
      <c r="C5372" s="15" t="s">
        <v>56</v>
      </c>
      <c r="D5372" s="15" t="s">
        <v>42</v>
      </c>
      <c r="E5372" s="15" t="s">
        <v>37</v>
      </c>
      <c r="F5372" s="15" t="s">
        <v>18</v>
      </c>
      <c r="G5372" s="15" t="s">
        <v>24</v>
      </c>
      <c r="H5372" s="15" t="n">
        <v>3</v>
      </c>
      <c r="I5372" s="17" t="n">
        <v>0.4</v>
      </c>
      <c r="J5372" s="18" t="n">
        <v>1141.69</v>
      </c>
      <c r="K5372" s="19" t="n">
        <v>-334.58</v>
      </c>
      <c r="L5372" s="15" t="n">
        <f aca="false">YEAR(B5372)</f>
        <v>2024</v>
      </c>
      <c r="M5372" s="20" t="n">
        <f aca="false">IF(J5372&gt;0,K5372/J5372,0)</f>
        <v>-0.293056784240906</v>
      </c>
    </row>
    <row r="5373" customFormat="false" ht="15" hidden="false" customHeight="false" outlineLevel="0" collapsed="false">
      <c r="A5373" s="15" t="s">
        <v>5430</v>
      </c>
      <c r="B5373" s="16" t="n">
        <v>44698</v>
      </c>
      <c r="C5373" s="15" t="s">
        <v>71</v>
      </c>
      <c r="D5373" s="15" t="s">
        <v>42</v>
      </c>
      <c r="E5373" s="15" t="s">
        <v>39</v>
      </c>
      <c r="F5373" s="15" t="s">
        <v>17</v>
      </c>
      <c r="G5373" s="15" t="s">
        <v>29</v>
      </c>
      <c r="H5373" s="15" t="n">
        <v>3</v>
      </c>
      <c r="I5373" s="17" t="n">
        <v>0.05</v>
      </c>
      <c r="J5373" s="18" t="n">
        <v>54.15</v>
      </c>
      <c r="K5373" s="19" t="n">
        <v>16.46</v>
      </c>
      <c r="L5373" s="15" t="n">
        <f aca="false">YEAR(B5373)</f>
        <v>2022</v>
      </c>
      <c r="M5373" s="20" t="n">
        <f aca="false">IF(J5373&gt;0,K5373/J5373,0)</f>
        <v>0.303970452446907</v>
      </c>
    </row>
    <row r="5374" customFormat="false" ht="15" hidden="false" customHeight="false" outlineLevel="0" collapsed="false">
      <c r="A5374" s="15" t="s">
        <v>5431</v>
      </c>
      <c r="B5374" s="16" t="n">
        <v>45688</v>
      </c>
      <c r="C5374" s="15" t="s">
        <v>56</v>
      </c>
      <c r="D5374" s="15" t="s">
        <v>42</v>
      </c>
      <c r="E5374" s="15" t="s">
        <v>39</v>
      </c>
      <c r="F5374" s="15" t="s">
        <v>18</v>
      </c>
      <c r="G5374" s="15" t="s">
        <v>30</v>
      </c>
      <c r="H5374" s="15" t="n">
        <v>5</v>
      </c>
      <c r="I5374" s="17" t="n">
        <v>0.3</v>
      </c>
      <c r="J5374" s="18" t="n">
        <v>184.34</v>
      </c>
      <c r="K5374" s="19" t="n">
        <v>-4.82</v>
      </c>
      <c r="L5374" s="15" t="n">
        <f aca="false">YEAR(B5374)</f>
        <v>2025</v>
      </c>
      <c r="M5374" s="20" t="n">
        <f aca="false">IF(J5374&gt;0,K5374/J5374,0)</f>
        <v>-0.0261473364435283</v>
      </c>
    </row>
    <row r="5375" customFormat="false" ht="15" hidden="false" customHeight="false" outlineLevel="0" collapsed="false">
      <c r="A5375" s="15" t="s">
        <v>5432</v>
      </c>
      <c r="B5375" s="16" t="n">
        <v>45850</v>
      </c>
      <c r="C5375" s="15" t="s">
        <v>71</v>
      </c>
      <c r="D5375" s="15" t="s">
        <v>43</v>
      </c>
      <c r="E5375" s="15" t="s">
        <v>36</v>
      </c>
      <c r="F5375" s="15" t="s">
        <v>17</v>
      </c>
      <c r="G5375" s="15" t="s">
        <v>28</v>
      </c>
      <c r="H5375" s="15" t="n">
        <v>3</v>
      </c>
      <c r="I5375" s="17" t="n">
        <v>0.3</v>
      </c>
      <c r="J5375" s="18" t="n">
        <v>42.19</v>
      </c>
      <c r="K5375" s="19" t="n">
        <v>1.13</v>
      </c>
      <c r="L5375" s="15" t="n">
        <f aca="false">YEAR(B5375)</f>
        <v>2025</v>
      </c>
      <c r="M5375" s="20" t="n">
        <f aca="false">IF(J5375&gt;0,K5375/J5375,0)</f>
        <v>0.0267835980090069</v>
      </c>
    </row>
    <row r="5376" customFormat="false" ht="15" hidden="false" customHeight="false" outlineLevel="0" collapsed="false">
      <c r="A5376" s="15" t="s">
        <v>5433</v>
      </c>
      <c r="B5376" s="16" t="n">
        <v>44835</v>
      </c>
      <c r="C5376" s="15" t="s">
        <v>56</v>
      </c>
      <c r="D5376" s="15" t="s">
        <v>44</v>
      </c>
      <c r="E5376" s="15" t="s">
        <v>36</v>
      </c>
      <c r="F5376" s="15" t="s">
        <v>18</v>
      </c>
      <c r="G5376" s="15" t="s">
        <v>33</v>
      </c>
      <c r="H5376" s="15" t="n">
        <v>2</v>
      </c>
      <c r="I5376" s="17" t="n">
        <v>0</v>
      </c>
      <c r="J5376" s="18" t="n">
        <v>1754.66</v>
      </c>
      <c r="K5376" s="19" t="n">
        <v>589.33</v>
      </c>
      <c r="L5376" s="15" t="n">
        <f aca="false">YEAR(B5376)</f>
        <v>2022</v>
      </c>
      <c r="M5376" s="20" t="n">
        <f aca="false">IF(J5376&gt;0,K5376/J5376,0)</f>
        <v>0.335865637787378</v>
      </c>
    </row>
    <row r="5377" customFormat="false" ht="15" hidden="false" customHeight="false" outlineLevel="0" collapsed="false">
      <c r="A5377" s="15" t="s">
        <v>5434</v>
      </c>
      <c r="B5377" s="16" t="n">
        <v>45581</v>
      </c>
      <c r="C5377" s="15" t="s">
        <v>56</v>
      </c>
      <c r="D5377" s="15" t="s">
        <v>43</v>
      </c>
      <c r="E5377" s="15" t="s">
        <v>37</v>
      </c>
      <c r="F5377" s="15" t="s">
        <v>17</v>
      </c>
      <c r="G5377" s="15" t="s">
        <v>28</v>
      </c>
      <c r="H5377" s="15" t="n">
        <v>2</v>
      </c>
      <c r="I5377" s="17" t="n">
        <v>0.1</v>
      </c>
      <c r="J5377" s="18" t="n">
        <v>55.74</v>
      </c>
      <c r="K5377" s="19" t="n">
        <v>11.63</v>
      </c>
      <c r="L5377" s="15" t="n">
        <f aca="false">YEAR(B5377)</f>
        <v>2024</v>
      </c>
      <c r="M5377" s="20" t="n">
        <f aca="false">IF(J5377&gt;0,K5377/J5377,0)</f>
        <v>0.2086472909939</v>
      </c>
    </row>
    <row r="5378" customFormat="false" ht="15" hidden="false" customHeight="false" outlineLevel="0" collapsed="false">
      <c r="A5378" s="15" t="s">
        <v>5435</v>
      </c>
      <c r="B5378" s="16" t="n">
        <v>45609</v>
      </c>
      <c r="C5378" s="15" t="s">
        <v>56</v>
      </c>
      <c r="D5378" s="15" t="s">
        <v>42</v>
      </c>
      <c r="E5378" s="15" t="s">
        <v>38</v>
      </c>
      <c r="F5378" s="15" t="s">
        <v>16</v>
      </c>
      <c r="G5378" s="15" t="s">
        <v>27</v>
      </c>
      <c r="H5378" s="15" t="n">
        <v>3</v>
      </c>
      <c r="I5378" s="17" t="n">
        <v>0.1</v>
      </c>
      <c r="J5378" s="18" t="n">
        <v>157.57</v>
      </c>
      <c r="K5378" s="19" t="n">
        <v>22.45</v>
      </c>
      <c r="L5378" s="15" t="n">
        <f aca="false">YEAR(B5378)</f>
        <v>2024</v>
      </c>
      <c r="M5378" s="20" t="n">
        <f aca="false">IF(J5378&gt;0,K5378/J5378,0)</f>
        <v>0.142476359713143</v>
      </c>
    </row>
    <row r="5379" customFormat="false" ht="15" hidden="false" customHeight="false" outlineLevel="0" collapsed="false">
      <c r="A5379" s="15" t="s">
        <v>5436</v>
      </c>
      <c r="B5379" s="16" t="n">
        <v>44882</v>
      </c>
      <c r="C5379" s="15" t="s">
        <v>68</v>
      </c>
      <c r="D5379" s="15" t="s">
        <v>43</v>
      </c>
      <c r="E5379" s="15" t="s">
        <v>37</v>
      </c>
      <c r="F5379" s="15" t="s">
        <v>17</v>
      </c>
      <c r="G5379" s="15" t="s">
        <v>28</v>
      </c>
      <c r="H5379" s="15" t="n">
        <v>3</v>
      </c>
      <c r="I5379" s="17" t="n">
        <v>0</v>
      </c>
      <c r="J5379" s="18" t="n">
        <v>67.59</v>
      </c>
      <c r="K5379" s="19" t="n">
        <v>16.07</v>
      </c>
      <c r="L5379" s="15" t="n">
        <f aca="false">YEAR(B5379)</f>
        <v>2022</v>
      </c>
      <c r="M5379" s="20" t="n">
        <f aca="false">IF(J5379&gt;0,K5379/J5379,0)</f>
        <v>0.237757064654535</v>
      </c>
    </row>
    <row r="5380" customFormat="false" ht="15" hidden="false" customHeight="false" outlineLevel="0" collapsed="false">
      <c r="A5380" s="15" t="s">
        <v>5437</v>
      </c>
      <c r="B5380" s="16" t="n">
        <v>45273</v>
      </c>
      <c r="C5380" s="15" t="s">
        <v>68</v>
      </c>
      <c r="D5380" s="15" t="s">
        <v>44</v>
      </c>
      <c r="E5380" s="15" t="s">
        <v>37</v>
      </c>
      <c r="F5380" s="15" t="s">
        <v>18</v>
      </c>
      <c r="G5380" s="15" t="s">
        <v>30</v>
      </c>
      <c r="H5380" s="15" t="n">
        <v>2</v>
      </c>
      <c r="I5380" s="17" t="n">
        <v>0.3</v>
      </c>
      <c r="J5380" s="18" t="n">
        <v>61.35</v>
      </c>
      <c r="K5380" s="19" t="n">
        <v>4.02</v>
      </c>
      <c r="L5380" s="15" t="n">
        <f aca="false">YEAR(B5380)</f>
        <v>2023</v>
      </c>
      <c r="M5380" s="20" t="n">
        <f aca="false">IF(J5380&gt;0,K5380/J5380,0)</f>
        <v>0.0655256723716381</v>
      </c>
    </row>
    <row r="5381" customFormat="false" ht="15" hidden="false" customHeight="false" outlineLevel="0" collapsed="false">
      <c r="A5381" s="15" t="s">
        <v>5438</v>
      </c>
      <c r="B5381" s="16" t="n">
        <v>45263</v>
      </c>
      <c r="C5381" s="15" t="s">
        <v>68</v>
      </c>
      <c r="D5381" s="15" t="s">
        <v>42</v>
      </c>
      <c r="E5381" s="15" t="s">
        <v>38</v>
      </c>
      <c r="F5381" s="15" t="s">
        <v>16</v>
      </c>
      <c r="G5381" s="15" t="s">
        <v>25</v>
      </c>
      <c r="H5381" s="15" t="n">
        <v>2</v>
      </c>
      <c r="I5381" s="17" t="n">
        <v>0</v>
      </c>
      <c r="J5381" s="18" t="n">
        <v>503.75</v>
      </c>
      <c r="K5381" s="19" t="n">
        <v>25.34</v>
      </c>
      <c r="L5381" s="15" t="n">
        <f aca="false">YEAR(B5381)</f>
        <v>2023</v>
      </c>
      <c r="M5381" s="20" t="n">
        <f aca="false">IF(J5381&gt;0,K5381/J5381,0)</f>
        <v>0.050302729528536</v>
      </c>
    </row>
    <row r="5382" customFormat="false" ht="15" hidden="false" customHeight="false" outlineLevel="0" collapsed="false">
      <c r="A5382" s="15" t="s">
        <v>5439</v>
      </c>
      <c r="B5382" s="16" t="n">
        <v>45671</v>
      </c>
      <c r="C5382" s="15" t="s">
        <v>56</v>
      </c>
      <c r="D5382" s="15" t="s">
        <v>42</v>
      </c>
      <c r="E5382" s="15" t="s">
        <v>39</v>
      </c>
      <c r="F5382" s="15" t="s">
        <v>18</v>
      </c>
      <c r="G5382" s="15" t="s">
        <v>30</v>
      </c>
      <c r="H5382" s="15" t="n">
        <v>2</v>
      </c>
      <c r="I5382" s="17" t="n">
        <v>0</v>
      </c>
      <c r="J5382" s="18" t="n">
        <v>102</v>
      </c>
      <c r="K5382" s="19" t="n">
        <v>35.68</v>
      </c>
      <c r="L5382" s="15" t="n">
        <f aca="false">YEAR(B5382)</f>
        <v>2025</v>
      </c>
      <c r="M5382" s="20" t="n">
        <f aca="false">IF(J5382&gt;0,K5382/J5382,0)</f>
        <v>0.349803921568627</v>
      </c>
    </row>
    <row r="5383" customFormat="false" ht="15" hidden="false" customHeight="false" outlineLevel="0" collapsed="false">
      <c r="A5383" s="15" t="s">
        <v>5440</v>
      </c>
      <c r="B5383" s="16" t="n">
        <v>45187</v>
      </c>
      <c r="C5383" s="15" t="s">
        <v>56</v>
      </c>
      <c r="D5383" s="15" t="s">
        <v>42</v>
      </c>
      <c r="E5383" s="15" t="s">
        <v>39</v>
      </c>
      <c r="F5383" s="15" t="s">
        <v>18</v>
      </c>
      <c r="G5383" s="15" t="s">
        <v>32</v>
      </c>
      <c r="H5383" s="15" t="n">
        <v>5</v>
      </c>
      <c r="I5383" s="17" t="n">
        <v>0.05</v>
      </c>
      <c r="J5383" s="18" t="n">
        <v>2107.79</v>
      </c>
      <c r="K5383" s="19" t="n">
        <v>281.13</v>
      </c>
      <c r="L5383" s="15" t="n">
        <f aca="false">YEAR(B5383)</f>
        <v>2023</v>
      </c>
      <c r="M5383" s="20" t="n">
        <f aca="false">IF(J5383&gt;0,K5383/J5383,0)</f>
        <v>0.133376664658244</v>
      </c>
    </row>
    <row r="5384" customFormat="false" ht="15" hidden="false" customHeight="false" outlineLevel="0" collapsed="false">
      <c r="A5384" s="15" t="s">
        <v>5441</v>
      </c>
      <c r="B5384" s="16" t="n">
        <v>45249</v>
      </c>
      <c r="C5384" s="15" t="s">
        <v>56</v>
      </c>
      <c r="D5384" s="15" t="s">
        <v>43</v>
      </c>
      <c r="E5384" s="15" t="s">
        <v>39</v>
      </c>
      <c r="F5384" s="15" t="s">
        <v>16</v>
      </c>
      <c r="G5384" s="15" t="s">
        <v>22</v>
      </c>
      <c r="H5384" s="15" t="n">
        <v>3</v>
      </c>
      <c r="I5384" s="17" t="n">
        <v>0</v>
      </c>
      <c r="J5384" s="18" t="n">
        <v>2064.74</v>
      </c>
      <c r="K5384" s="19" t="n">
        <v>-113.7</v>
      </c>
      <c r="L5384" s="15" t="n">
        <f aca="false">YEAR(B5384)</f>
        <v>2023</v>
      </c>
      <c r="M5384" s="20" t="n">
        <f aca="false">IF(J5384&gt;0,K5384/J5384,0)</f>
        <v>-0.0550674661216424</v>
      </c>
    </row>
    <row r="5385" customFormat="false" ht="15" hidden="false" customHeight="false" outlineLevel="0" collapsed="false">
      <c r="A5385" s="15" t="s">
        <v>5442</v>
      </c>
      <c r="B5385" s="16" t="n">
        <v>45729</v>
      </c>
      <c r="C5385" s="15" t="s">
        <v>68</v>
      </c>
      <c r="D5385" s="15" t="s">
        <v>42</v>
      </c>
      <c r="E5385" s="15" t="s">
        <v>39</v>
      </c>
      <c r="F5385" s="15" t="s">
        <v>17</v>
      </c>
      <c r="G5385" s="15" t="s">
        <v>29</v>
      </c>
      <c r="H5385" s="15" t="n">
        <v>5</v>
      </c>
      <c r="I5385" s="17" t="n">
        <v>0.1</v>
      </c>
      <c r="J5385" s="18" t="n">
        <v>79.94</v>
      </c>
      <c r="K5385" s="19" t="n">
        <v>20.77</v>
      </c>
      <c r="L5385" s="15" t="n">
        <f aca="false">YEAR(B5385)</f>
        <v>2025</v>
      </c>
      <c r="M5385" s="20" t="n">
        <f aca="false">IF(J5385&gt;0,K5385/J5385,0)</f>
        <v>0.259819864898674</v>
      </c>
    </row>
    <row r="5386" customFormat="false" ht="15" hidden="false" customHeight="false" outlineLevel="0" collapsed="false">
      <c r="A5386" s="15" t="s">
        <v>5443</v>
      </c>
      <c r="B5386" s="16" t="n">
        <v>45736</v>
      </c>
      <c r="C5386" s="15" t="s">
        <v>68</v>
      </c>
      <c r="D5386" s="15" t="s">
        <v>44</v>
      </c>
      <c r="E5386" s="15" t="s">
        <v>36</v>
      </c>
      <c r="F5386" s="15" t="s">
        <v>18</v>
      </c>
      <c r="G5386" s="15" t="s">
        <v>30</v>
      </c>
      <c r="H5386" s="15" t="n">
        <v>5</v>
      </c>
      <c r="I5386" s="17" t="n">
        <v>0.3</v>
      </c>
      <c r="J5386" s="18" t="n">
        <v>128.97</v>
      </c>
      <c r="K5386" s="19" t="n">
        <v>-1.31</v>
      </c>
      <c r="L5386" s="15" t="n">
        <f aca="false">YEAR(B5386)</f>
        <v>2025</v>
      </c>
      <c r="M5386" s="20" t="n">
        <f aca="false">IF(J5386&gt;0,K5386/J5386,0)</f>
        <v>-0.0101574009459564</v>
      </c>
    </row>
    <row r="5387" customFormat="false" ht="15" hidden="false" customHeight="false" outlineLevel="0" collapsed="false">
      <c r="A5387" s="15" t="s">
        <v>5444</v>
      </c>
      <c r="B5387" s="16" t="n">
        <v>44636</v>
      </c>
      <c r="C5387" s="15" t="s">
        <v>71</v>
      </c>
      <c r="D5387" s="15" t="s">
        <v>42</v>
      </c>
      <c r="E5387" s="15" t="s">
        <v>37</v>
      </c>
      <c r="F5387" s="15" t="s">
        <v>17</v>
      </c>
      <c r="G5387" s="15" t="s">
        <v>28</v>
      </c>
      <c r="H5387" s="15" t="n">
        <v>4</v>
      </c>
      <c r="I5387" s="17" t="n">
        <v>0.15</v>
      </c>
      <c r="J5387" s="18" t="n">
        <v>68.37</v>
      </c>
      <c r="K5387" s="19" t="n">
        <v>12.43</v>
      </c>
      <c r="L5387" s="15" t="n">
        <f aca="false">YEAR(B5387)</f>
        <v>2022</v>
      </c>
      <c r="M5387" s="20" t="n">
        <f aca="false">IF(J5387&gt;0,K5387/J5387,0)</f>
        <v>0.18180488518356</v>
      </c>
    </row>
    <row r="5388" customFormat="false" ht="15" hidden="false" customHeight="false" outlineLevel="0" collapsed="false">
      <c r="A5388" s="15" t="s">
        <v>5445</v>
      </c>
      <c r="B5388" s="16" t="n">
        <v>44823</v>
      </c>
      <c r="C5388" s="15" t="s">
        <v>56</v>
      </c>
      <c r="D5388" s="15" t="s">
        <v>42</v>
      </c>
      <c r="E5388" s="15" t="s">
        <v>36</v>
      </c>
      <c r="F5388" s="15" t="s">
        <v>18</v>
      </c>
      <c r="G5388" s="15" t="s">
        <v>32</v>
      </c>
      <c r="H5388" s="15" t="n">
        <v>3</v>
      </c>
      <c r="I5388" s="17" t="n">
        <v>0.2</v>
      </c>
      <c r="J5388" s="18" t="n">
        <v>950.03</v>
      </c>
      <c r="K5388" s="19" t="n">
        <v>-34.04</v>
      </c>
      <c r="L5388" s="15" t="n">
        <f aca="false">YEAR(B5388)</f>
        <v>2022</v>
      </c>
      <c r="M5388" s="20" t="n">
        <f aca="false">IF(J5388&gt;0,K5388/J5388,0)</f>
        <v>-0.0358304474595539</v>
      </c>
    </row>
    <row r="5389" customFormat="false" ht="15" hidden="false" customHeight="false" outlineLevel="0" collapsed="false">
      <c r="A5389" s="15" t="s">
        <v>5446</v>
      </c>
      <c r="B5389" s="16" t="n">
        <v>45179</v>
      </c>
      <c r="C5389" s="15" t="s">
        <v>58</v>
      </c>
      <c r="D5389" s="15" t="s">
        <v>42</v>
      </c>
      <c r="E5389" s="15" t="s">
        <v>37</v>
      </c>
      <c r="F5389" s="15" t="s">
        <v>18</v>
      </c>
      <c r="G5389" s="15" t="s">
        <v>30</v>
      </c>
      <c r="H5389" s="15" t="n">
        <v>3</v>
      </c>
      <c r="I5389" s="17" t="n">
        <v>0.15</v>
      </c>
      <c r="J5389" s="18" t="n">
        <v>112.67</v>
      </c>
      <c r="K5389" s="19" t="n">
        <v>26.66</v>
      </c>
      <c r="L5389" s="15" t="n">
        <f aca="false">YEAR(B5389)</f>
        <v>2023</v>
      </c>
      <c r="M5389" s="20" t="n">
        <f aca="false">IF(J5389&gt;0,K5389/J5389,0)</f>
        <v>0.236620218336736</v>
      </c>
    </row>
    <row r="5390" customFormat="false" ht="15" hidden="false" customHeight="false" outlineLevel="0" collapsed="false">
      <c r="A5390" s="15" t="s">
        <v>5447</v>
      </c>
      <c r="B5390" s="16" t="n">
        <v>45772</v>
      </c>
      <c r="C5390" s="15" t="s">
        <v>71</v>
      </c>
      <c r="D5390" s="15" t="s">
        <v>42</v>
      </c>
      <c r="E5390" s="15" t="s">
        <v>37</v>
      </c>
      <c r="F5390" s="15" t="s">
        <v>16</v>
      </c>
      <c r="G5390" s="15" t="s">
        <v>22</v>
      </c>
      <c r="H5390" s="15" t="n">
        <v>3</v>
      </c>
      <c r="I5390" s="17" t="n">
        <v>0.1</v>
      </c>
      <c r="J5390" s="18" t="n">
        <v>1348.89</v>
      </c>
      <c r="K5390" s="19" t="n">
        <v>-171.12</v>
      </c>
      <c r="L5390" s="15" t="n">
        <f aca="false">YEAR(B5390)</f>
        <v>2025</v>
      </c>
      <c r="M5390" s="20" t="n">
        <f aca="false">IF(J5390&gt;0,K5390/J5390,0)</f>
        <v>-0.126859862553655</v>
      </c>
    </row>
    <row r="5391" customFormat="false" ht="15" hidden="false" customHeight="false" outlineLevel="0" collapsed="false">
      <c r="A5391" s="15" t="s">
        <v>5448</v>
      </c>
      <c r="B5391" s="16" t="n">
        <v>45263</v>
      </c>
      <c r="C5391" s="15" t="s">
        <v>68</v>
      </c>
      <c r="D5391" s="15" t="s">
        <v>42</v>
      </c>
      <c r="E5391" s="15" t="s">
        <v>37</v>
      </c>
      <c r="F5391" s="15" t="s">
        <v>17</v>
      </c>
      <c r="G5391" s="15" t="s">
        <v>31</v>
      </c>
      <c r="H5391" s="15" t="n">
        <v>4</v>
      </c>
      <c r="I5391" s="17" t="n">
        <v>0</v>
      </c>
      <c r="J5391" s="18" t="n">
        <v>424.85</v>
      </c>
      <c r="K5391" s="19" t="n">
        <v>108.48</v>
      </c>
      <c r="L5391" s="15" t="n">
        <f aca="false">YEAR(B5391)</f>
        <v>2023</v>
      </c>
      <c r="M5391" s="20" t="n">
        <f aca="false">IF(J5391&gt;0,K5391/J5391,0)</f>
        <v>0.255337177827469</v>
      </c>
    </row>
    <row r="5392" customFormat="false" ht="15" hidden="false" customHeight="false" outlineLevel="0" collapsed="false">
      <c r="A5392" s="15" t="s">
        <v>5449</v>
      </c>
      <c r="B5392" s="16" t="n">
        <v>44941</v>
      </c>
      <c r="C5392" s="15" t="s">
        <v>56</v>
      </c>
      <c r="D5392" s="15" t="s">
        <v>42</v>
      </c>
      <c r="E5392" s="15" t="s">
        <v>37</v>
      </c>
      <c r="F5392" s="15" t="s">
        <v>17</v>
      </c>
      <c r="G5392" s="15" t="s">
        <v>31</v>
      </c>
      <c r="H5392" s="15" t="n">
        <v>5</v>
      </c>
      <c r="I5392" s="17" t="n">
        <v>0.15</v>
      </c>
      <c r="J5392" s="18" t="n">
        <v>558.16</v>
      </c>
      <c r="K5392" s="19" t="n">
        <v>38.83</v>
      </c>
      <c r="L5392" s="15" t="n">
        <f aca="false">YEAR(B5392)</f>
        <v>2023</v>
      </c>
      <c r="M5392" s="20" t="n">
        <f aca="false">IF(J5392&gt;0,K5392/J5392,0)</f>
        <v>0.069567865844919</v>
      </c>
    </row>
    <row r="5393" customFormat="false" ht="15" hidden="false" customHeight="false" outlineLevel="0" collapsed="false">
      <c r="A5393" s="15" t="s">
        <v>5450</v>
      </c>
      <c r="B5393" s="16" t="n">
        <v>45962</v>
      </c>
      <c r="C5393" s="15" t="s">
        <v>68</v>
      </c>
      <c r="D5393" s="15" t="s">
        <v>44</v>
      </c>
      <c r="E5393" s="15" t="s">
        <v>37</v>
      </c>
      <c r="F5393" s="15" t="s">
        <v>17</v>
      </c>
      <c r="G5393" s="15" t="s">
        <v>31</v>
      </c>
      <c r="H5393" s="15" t="n">
        <v>2</v>
      </c>
      <c r="I5393" s="17" t="n">
        <v>0.1</v>
      </c>
      <c r="J5393" s="18" t="n">
        <v>201.61</v>
      </c>
      <c r="K5393" s="19" t="n">
        <v>17.7</v>
      </c>
      <c r="L5393" s="15" t="n">
        <f aca="false">YEAR(B5393)</f>
        <v>2025</v>
      </c>
      <c r="M5393" s="20" t="n">
        <f aca="false">IF(J5393&gt;0,K5393/J5393,0)</f>
        <v>0.0877932642230048</v>
      </c>
    </row>
    <row r="5394" customFormat="false" ht="15" hidden="false" customHeight="false" outlineLevel="0" collapsed="false">
      <c r="A5394" s="15" t="s">
        <v>5451</v>
      </c>
      <c r="B5394" s="16" t="n">
        <v>45091</v>
      </c>
      <c r="C5394" s="15" t="s">
        <v>56</v>
      </c>
      <c r="D5394" s="15" t="s">
        <v>42</v>
      </c>
      <c r="E5394" s="15" t="s">
        <v>37</v>
      </c>
      <c r="F5394" s="15" t="s">
        <v>17</v>
      </c>
      <c r="G5394" s="15" t="s">
        <v>29</v>
      </c>
      <c r="H5394" s="15" t="n">
        <v>4</v>
      </c>
      <c r="I5394" s="17" t="n">
        <v>0.15</v>
      </c>
      <c r="J5394" s="18" t="n">
        <v>73.57</v>
      </c>
      <c r="K5394" s="19" t="n">
        <v>12.54</v>
      </c>
      <c r="L5394" s="15" t="n">
        <f aca="false">YEAR(B5394)</f>
        <v>2023</v>
      </c>
      <c r="M5394" s="20" t="n">
        <f aca="false">IF(J5394&gt;0,K5394/J5394,0)</f>
        <v>0.17044991164877</v>
      </c>
    </row>
    <row r="5395" customFormat="false" ht="15" hidden="false" customHeight="false" outlineLevel="0" collapsed="false">
      <c r="A5395" s="15" t="s">
        <v>5452</v>
      </c>
      <c r="B5395" s="16" t="n">
        <v>44719</v>
      </c>
      <c r="C5395" s="15" t="s">
        <v>56</v>
      </c>
      <c r="D5395" s="15" t="s">
        <v>42</v>
      </c>
      <c r="E5395" s="15" t="s">
        <v>38</v>
      </c>
      <c r="F5395" s="15" t="s">
        <v>16</v>
      </c>
      <c r="G5395" s="15" t="s">
        <v>27</v>
      </c>
      <c r="H5395" s="15" t="n">
        <v>1</v>
      </c>
      <c r="I5395" s="17" t="n">
        <v>0.1</v>
      </c>
      <c r="J5395" s="18" t="n">
        <v>39.65</v>
      </c>
      <c r="K5395" s="19" t="n">
        <v>4.76</v>
      </c>
      <c r="L5395" s="15" t="n">
        <f aca="false">YEAR(B5395)</f>
        <v>2022</v>
      </c>
      <c r="M5395" s="20" t="n">
        <f aca="false">IF(J5395&gt;0,K5395/J5395,0)</f>
        <v>0.120050441361917</v>
      </c>
    </row>
    <row r="5396" customFormat="false" ht="15" hidden="false" customHeight="false" outlineLevel="0" collapsed="false">
      <c r="A5396" s="15" t="s">
        <v>5453</v>
      </c>
      <c r="B5396" s="16" t="n">
        <v>45785</v>
      </c>
      <c r="C5396" s="15" t="s">
        <v>56</v>
      </c>
      <c r="D5396" s="15" t="s">
        <v>43</v>
      </c>
      <c r="E5396" s="15" t="s">
        <v>36</v>
      </c>
      <c r="F5396" s="15" t="s">
        <v>17</v>
      </c>
      <c r="G5396" s="15" t="s">
        <v>31</v>
      </c>
      <c r="H5396" s="15" t="n">
        <v>5</v>
      </c>
      <c r="I5396" s="17" t="n">
        <v>0</v>
      </c>
      <c r="J5396" s="18" t="n">
        <v>860.98</v>
      </c>
      <c r="K5396" s="19" t="n">
        <v>193.98</v>
      </c>
      <c r="L5396" s="15" t="n">
        <f aca="false">YEAR(B5396)</f>
        <v>2025</v>
      </c>
      <c r="M5396" s="20" t="n">
        <f aca="false">IF(J5396&gt;0,K5396/J5396,0)</f>
        <v>0.225301400729401</v>
      </c>
    </row>
    <row r="5397" customFormat="false" ht="15" hidden="false" customHeight="false" outlineLevel="0" collapsed="false">
      <c r="A5397" s="15" t="s">
        <v>5454</v>
      </c>
      <c r="B5397" s="16" t="n">
        <v>45655</v>
      </c>
      <c r="C5397" s="15" t="s">
        <v>56</v>
      </c>
      <c r="D5397" s="15" t="s">
        <v>43</v>
      </c>
      <c r="E5397" s="15" t="s">
        <v>37</v>
      </c>
      <c r="F5397" s="15" t="s">
        <v>17</v>
      </c>
      <c r="G5397" s="15" t="s">
        <v>28</v>
      </c>
      <c r="H5397" s="15" t="n">
        <v>4</v>
      </c>
      <c r="I5397" s="17" t="n">
        <v>0</v>
      </c>
      <c r="J5397" s="18" t="n">
        <v>102.74</v>
      </c>
      <c r="K5397" s="19" t="n">
        <v>32.3</v>
      </c>
      <c r="L5397" s="15" t="n">
        <f aca="false">YEAR(B5397)</f>
        <v>2024</v>
      </c>
      <c r="M5397" s="20" t="n">
        <f aca="false">IF(J5397&gt;0,K5397/J5397,0)</f>
        <v>0.314385828304458</v>
      </c>
    </row>
    <row r="5398" customFormat="false" ht="15" hidden="false" customHeight="false" outlineLevel="0" collapsed="false">
      <c r="A5398" s="15" t="s">
        <v>5455</v>
      </c>
      <c r="B5398" s="16" t="n">
        <v>44799</v>
      </c>
      <c r="C5398" s="15" t="s">
        <v>56</v>
      </c>
      <c r="D5398" s="15" t="s">
        <v>42</v>
      </c>
      <c r="E5398" s="15" t="s">
        <v>36</v>
      </c>
      <c r="F5398" s="15" t="s">
        <v>16</v>
      </c>
      <c r="G5398" s="15" t="s">
        <v>23</v>
      </c>
      <c r="H5398" s="15" t="n">
        <v>5</v>
      </c>
      <c r="I5398" s="17" t="n">
        <v>0</v>
      </c>
      <c r="J5398" s="18" t="n">
        <v>1367.91</v>
      </c>
      <c r="K5398" s="19" t="n">
        <v>22.96</v>
      </c>
      <c r="L5398" s="15" t="n">
        <f aca="false">YEAR(B5398)</f>
        <v>2022</v>
      </c>
      <c r="M5398" s="20" t="n">
        <f aca="false">IF(J5398&gt;0,K5398/J5398,0)</f>
        <v>0.0167847299895461</v>
      </c>
    </row>
    <row r="5399" customFormat="false" ht="15" hidden="false" customHeight="false" outlineLevel="0" collapsed="false">
      <c r="A5399" s="15" t="s">
        <v>5456</v>
      </c>
      <c r="B5399" s="16" t="n">
        <v>45717</v>
      </c>
      <c r="C5399" s="15" t="s">
        <v>71</v>
      </c>
      <c r="D5399" s="15" t="s">
        <v>44</v>
      </c>
      <c r="E5399" s="15" t="s">
        <v>37</v>
      </c>
      <c r="F5399" s="15" t="s">
        <v>17</v>
      </c>
      <c r="G5399" s="15" t="s">
        <v>29</v>
      </c>
      <c r="H5399" s="15" t="n">
        <v>2</v>
      </c>
      <c r="I5399" s="17" t="n">
        <v>0.3</v>
      </c>
      <c r="J5399" s="18" t="n">
        <v>29.74</v>
      </c>
      <c r="K5399" s="19" t="n">
        <v>3.86</v>
      </c>
      <c r="L5399" s="15" t="n">
        <f aca="false">YEAR(B5399)</f>
        <v>2025</v>
      </c>
      <c r="M5399" s="20" t="n">
        <f aca="false">IF(J5399&gt;0,K5399/J5399,0)</f>
        <v>0.129791526563551</v>
      </c>
    </row>
    <row r="5400" customFormat="false" ht="15" hidden="false" customHeight="false" outlineLevel="0" collapsed="false">
      <c r="A5400" s="15" t="s">
        <v>5457</v>
      </c>
      <c r="B5400" s="16" t="n">
        <v>45126</v>
      </c>
      <c r="C5400" s="15" t="s">
        <v>68</v>
      </c>
      <c r="D5400" s="15" t="s">
        <v>44</v>
      </c>
      <c r="E5400" s="15" t="s">
        <v>39</v>
      </c>
      <c r="F5400" s="15" t="s">
        <v>16</v>
      </c>
      <c r="G5400" s="15" t="s">
        <v>25</v>
      </c>
      <c r="H5400" s="15" t="n">
        <v>4</v>
      </c>
      <c r="I5400" s="17" t="n">
        <v>0.1</v>
      </c>
      <c r="J5400" s="18" t="n">
        <v>1153.31</v>
      </c>
      <c r="K5400" s="19" t="n">
        <v>-9.96</v>
      </c>
      <c r="L5400" s="15" t="n">
        <f aca="false">YEAR(B5400)</f>
        <v>2023</v>
      </c>
      <c r="M5400" s="20" t="n">
        <f aca="false">IF(J5400&gt;0,K5400/J5400,0)</f>
        <v>-0.00863601286731235</v>
      </c>
    </row>
    <row r="5401" customFormat="false" ht="15" hidden="false" customHeight="false" outlineLevel="0" collapsed="false">
      <c r="A5401" s="15" t="s">
        <v>5458</v>
      </c>
      <c r="B5401" s="16" t="n">
        <v>45949</v>
      </c>
      <c r="C5401" s="15" t="s">
        <v>58</v>
      </c>
      <c r="D5401" s="15" t="s">
        <v>44</v>
      </c>
      <c r="E5401" s="15" t="s">
        <v>39</v>
      </c>
      <c r="F5401" s="15" t="s">
        <v>17</v>
      </c>
      <c r="G5401" s="15" t="s">
        <v>29</v>
      </c>
      <c r="H5401" s="15" t="n">
        <v>3</v>
      </c>
      <c r="I5401" s="17" t="n">
        <v>0</v>
      </c>
      <c r="J5401" s="18" t="n">
        <v>59.01</v>
      </c>
      <c r="K5401" s="19" t="n">
        <v>23.9</v>
      </c>
      <c r="L5401" s="15" t="n">
        <f aca="false">YEAR(B5401)</f>
        <v>2025</v>
      </c>
      <c r="M5401" s="20" t="n">
        <f aca="false">IF(J5401&gt;0,K5401/J5401,0)</f>
        <v>0.405016098966277</v>
      </c>
    </row>
    <row r="5402" customFormat="false" ht="15" hidden="false" customHeight="false" outlineLevel="0" collapsed="false">
      <c r="A5402" s="15" t="s">
        <v>5459</v>
      </c>
      <c r="B5402" s="16" t="n">
        <v>44840</v>
      </c>
      <c r="C5402" s="15" t="s">
        <v>56</v>
      </c>
      <c r="D5402" s="15" t="s">
        <v>44</v>
      </c>
      <c r="E5402" s="15" t="s">
        <v>39</v>
      </c>
      <c r="F5402" s="15" t="s">
        <v>18</v>
      </c>
      <c r="G5402" s="15" t="s">
        <v>30</v>
      </c>
      <c r="H5402" s="15" t="n">
        <v>3</v>
      </c>
      <c r="I5402" s="17" t="n">
        <v>0</v>
      </c>
      <c r="J5402" s="18" t="n">
        <v>118.45</v>
      </c>
      <c r="K5402" s="19" t="n">
        <v>30.92</v>
      </c>
      <c r="L5402" s="15" t="n">
        <f aca="false">YEAR(B5402)</f>
        <v>2022</v>
      </c>
      <c r="M5402" s="20" t="n">
        <f aca="false">IF(J5402&gt;0,K5402/J5402,0)</f>
        <v>0.261038412832419</v>
      </c>
    </row>
    <row r="5403" customFormat="false" ht="15" hidden="false" customHeight="false" outlineLevel="0" collapsed="false">
      <c r="A5403" s="15" t="s">
        <v>5460</v>
      </c>
      <c r="B5403" s="16" t="n">
        <v>44999</v>
      </c>
      <c r="C5403" s="15" t="s">
        <v>56</v>
      </c>
      <c r="D5403" s="15" t="s">
        <v>43</v>
      </c>
      <c r="E5403" s="15" t="s">
        <v>37</v>
      </c>
      <c r="F5403" s="15" t="s">
        <v>18</v>
      </c>
      <c r="G5403" s="15" t="s">
        <v>30</v>
      </c>
      <c r="H5403" s="15" t="n">
        <v>6</v>
      </c>
      <c r="I5403" s="17" t="n">
        <v>0.3</v>
      </c>
      <c r="J5403" s="18" t="n">
        <v>225.4</v>
      </c>
      <c r="K5403" s="19" t="n">
        <v>10.05</v>
      </c>
      <c r="L5403" s="15" t="n">
        <f aca="false">YEAR(B5403)</f>
        <v>2023</v>
      </c>
      <c r="M5403" s="20" t="n">
        <f aca="false">IF(J5403&gt;0,K5403/J5403,0)</f>
        <v>0.0445874001774623</v>
      </c>
    </row>
    <row r="5404" customFormat="false" ht="15" hidden="false" customHeight="false" outlineLevel="0" collapsed="false">
      <c r="A5404" s="15" t="s">
        <v>5461</v>
      </c>
      <c r="B5404" s="16" t="n">
        <v>45666</v>
      </c>
      <c r="C5404" s="15" t="s">
        <v>71</v>
      </c>
      <c r="D5404" s="15" t="s">
        <v>42</v>
      </c>
      <c r="E5404" s="15" t="s">
        <v>38</v>
      </c>
      <c r="F5404" s="15" t="s">
        <v>18</v>
      </c>
      <c r="G5404" s="15" t="s">
        <v>33</v>
      </c>
      <c r="H5404" s="15" t="n">
        <v>5</v>
      </c>
      <c r="I5404" s="17" t="n">
        <v>0</v>
      </c>
      <c r="J5404" s="18" t="n">
        <v>3853.48</v>
      </c>
      <c r="K5404" s="19" t="n">
        <v>1008.25</v>
      </c>
      <c r="L5404" s="15" t="n">
        <f aca="false">YEAR(B5404)</f>
        <v>2025</v>
      </c>
      <c r="M5404" s="20" t="n">
        <f aca="false">IF(J5404&gt;0,K5404/J5404,0)</f>
        <v>0.261646615526745</v>
      </c>
    </row>
    <row r="5405" customFormat="false" ht="15" hidden="false" customHeight="false" outlineLevel="0" collapsed="false">
      <c r="A5405" s="15" t="s">
        <v>5462</v>
      </c>
      <c r="B5405" s="16" t="n">
        <v>45942</v>
      </c>
      <c r="C5405" s="15" t="s">
        <v>71</v>
      </c>
      <c r="D5405" s="15" t="s">
        <v>43</v>
      </c>
      <c r="E5405" s="15" t="s">
        <v>38</v>
      </c>
      <c r="F5405" s="15" t="s">
        <v>17</v>
      </c>
      <c r="G5405" s="15" t="s">
        <v>29</v>
      </c>
      <c r="H5405" s="15" t="n">
        <v>4</v>
      </c>
      <c r="I5405" s="17" t="n">
        <v>0.05</v>
      </c>
      <c r="J5405" s="18" t="n">
        <v>55.49</v>
      </c>
      <c r="K5405" s="19" t="n">
        <v>20.68</v>
      </c>
      <c r="L5405" s="15" t="n">
        <f aca="false">YEAR(B5405)</f>
        <v>2025</v>
      </c>
      <c r="M5405" s="20" t="n">
        <f aca="false">IF(J5405&gt;0,K5405/J5405,0)</f>
        <v>0.372679762119301</v>
      </c>
    </row>
    <row r="5406" customFormat="false" ht="15" hidden="false" customHeight="false" outlineLevel="0" collapsed="false">
      <c r="A5406" s="15" t="s">
        <v>5463</v>
      </c>
      <c r="B5406" s="16" t="n">
        <v>45491</v>
      </c>
      <c r="C5406" s="15" t="s">
        <v>71</v>
      </c>
      <c r="D5406" s="15" t="s">
        <v>43</v>
      </c>
      <c r="E5406" s="15" t="s">
        <v>37</v>
      </c>
      <c r="F5406" s="15" t="s">
        <v>17</v>
      </c>
      <c r="G5406" s="15" t="s">
        <v>28</v>
      </c>
      <c r="H5406" s="15" t="n">
        <v>4</v>
      </c>
      <c r="I5406" s="17" t="n">
        <v>0</v>
      </c>
      <c r="J5406" s="18" t="n">
        <v>99.72</v>
      </c>
      <c r="K5406" s="19" t="n">
        <v>29.98</v>
      </c>
      <c r="L5406" s="15" t="n">
        <f aca="false">YEAR(B5406)</f>
        <v>2024</v>
      </c>
      <c r="M5406" s="20" t="n">
        <f aca="false">IF(J5406&gt;0,K5406/J5406,0)</f>
        <v>0.300641797031689</v>
      </c>
    </row>
    <row r="5407" customFormat="false" ht="15" hidden="false" customHeight="false" outlineLevel="0" collapsed="false">
      <c r="A5407" s="15" t="s">
        <v>5464</v>
      </c>
      <c r="B5407" s="16" t="n">
        <v>45007</v>
      </c>
      <c r="C5407" s="15" t="s">
        <v>68</v>
      </c>
      <c r="D5407" s="15" t="s">
        <v>42</v>
      </c>
      <c r="E5407" s="15" t="s">
        <v>39</v>
      </c>
      <c r="F5407" s="15" t="s">
        <v>17</v>
      </c>
      <c r="G5407" s="15" t="s">
        <v>31</v>
      </c>
      <c r="H5407" s="15" t="n">
        <v>4</v>
      </c>
      <c r="I5407" s="17" t="n">
        <v>0.2</v>
      </c>
      <c r="J5407" s="18" t="n">
        <v>448.54</v>
      </c>
      <c r="K5407" s="19" t="n">
        <v>0.71</v>
      </c>
      <c r="L5407" s="15" t="n">
        <f aca="false">YEAR(B5407)</f>
        <v>2023</v>
      </c>
      <c r="M5407" s="20" t="n">
        <f aca="false">IF(J5407&gt;0,K5407/J5407,0)</f>
        <v>0.00158291345253489</v>
      </c>
    </row>
    <row r="5408" customFormat="false" ht="15" hidden="false" customHeight="false" outlineLevel="0" collapsed="false">
      <c r="A5408" s="15" t="s">
        <v>5465</v>
      </c>
      <c r="B5408" s="16" t="n">
        <v>44823</v>
      </c>
      <c r="C5408" s="15" t="s">
        <v>56</v>
      </c>
      <c r="D5408" s="15" t="s">
        <v>44</v>
      </c>
      <c r="E5408" s="15" t="s">
        <v>39</v>
      </c>
      <c r="F5408" s="15" t="s">
        <v>17</v>
      </c>
      <c r="G5408" s="15" t="s">
        <v>28</v>
      </c>
      <c r="H5408" s="15" t="n">
        <v>3</v>
      </c>
      <c r="I5408" s="17" t="n">
        <v>0.4</v>
      </c>
      <c r="J5408" s="18" t="n">
        <v>49.16</v>
      </c>
      <c r="K5408" s="19" t="n">
        <v>-5.43</v>
      </c>
      <c r="L5408" s="15" t="n">
        <f aca="false">YEAR(B5408)</f>
        <v>2022</v>
      </c>
      <c r="M5408" s="20" t="n">
        <f aca="false">IF(J5408&gt;0,K5408/J5408,0)</f>
        <v>-0.110455655004068</v>
      </c>
    </row>
    <row r="5409" customFormat="false" ht="15" hidden="false" customHeight="false" outlineLevel="0" collapsed="false">
      <c r="A5409" s="15" t="s">
        <v>5466</v>
      </c>
      <c r="B5409" s="16" t="n">
        <v>45478</v>
      </c>
      <c r="C5409" s="15" t="s">
        <v>56</v>
      </c>
      <c r="D5409" s="15" t="s">
        <v>43</v>
      </c>
      <c r="E5409" s="15" t="s">
        <v>39</v>
      </c>
      <c r="F5409" s="15" t="s">
        <v>18</v>
      </c>
      <c r="G5409" s="15" t="s">
        <v>32</v>
      </c>
      <c r="H5409" s="15" t="n">
        <v>4</v>
      </c>
      <c r="I5409" s="17" t="n">
        <v>0.1</v>
      </c>
      <c r="J5409" s="18" t="n">
        <v>2149.17</v>
      </c>
      <c r="K5409" s="19" t="n">
        <v>344.17</v>
      </c>
      <c r="L5409" s="15" t="n">
        <f aca="false">YEAR(B5409)</f>
        <v>2024</v>
      </c>
      <c r="M5409" s="20" t="n">
        <f aca="false">IF(J5409&gt;0,K5409/J5409,0)</f>
        <v>0.160140891600013</v>
      </c>
    </row>
    <row r="5410" customFormat="false" ht="15" hidden="false" customHeight="false" outlineLevel="0" collapsed="false">
      <c r="A5410" s="15" t="s">
        <v>5467</v>
      </c>
      <c r="B5410" s="16" t="n">
        <v>44852</v>
      </c>
      <c r="C5410" s="15" t="s">
        <v>56</v>
      </c>
      <c r="D5410" s="15" t="s">
        <v>42</v>
      </c>
      <c r="E5410" s="15" t="s">
        <v>38</v>
      </c>
      <c r="F5410" s="15" t="s">
        <v>17</v>
      </c>
      <c r="G5410" s="15" t="s">
        <v>28</v>
      </c>
      <c r="H5410" s="15" t="n">
        <v>6</v>
      </c>
      <c r="I5410" s="17" t="n">
        <v>0.05</v>
      </c>
      <c r="J5410" s="18" t="n">
        <v>137.75</v>
      </c>
      <c r="K5410" s="19" t="n">
        <v>41.59</v>
      </c>
      <c r="L5410" s="15" t="n">
        <f aca="false">YEAR(B5410)</f>
        <v>2022</v>
      </c>
      <c r="M5410" s="20" t="n">
        <f aca="false">IF(J5410&gt;0,K5410/J5410,0)</f>
        <v>0.301923774954628</v>
      </c>
    </row>
    <row r="5411" customFormat="false" ht="15" hidden="false" customHeight="false" outlineLevel="0" collapsed="false">
      <c r="A5411" s="15" t="s">
        <v>5468</v>
      </c>
      <c r="B5411" s="16" t="n">
        <v>44897</v>
      </c>
      <c r="C5411" s="15" t="s">
        <v>58</v>
      </c>
      <c r="D5411" s="15" t="s">
        <v>44</v>
      </c>
      <c r="E5411" s="15" t="s">
        <v>38</v>
      </c>
      <c r="F5411" s="15" t="s">
        <v>18</v>
      </c>
      <c r="G5411" s="15" t="s">
        <v>32</v>
      </c>
      <c r="H5411" s="15" t="n">
        <v>2</v>
      </c>
      <c r="I5411" s="17" t="n">
        <v>0</v>
      </c>
      <c r="J5411" s="18" t="n">
        <v>873.61</v>
      </c>
      <c r="K5411" s="19" t="n">
        <v>187.25</v>
      </c>
      <c r="L5411" s="15" t="n">
        <f aca="false">YEAR(B5411)</f>
        <v>2022</v>
      </c>
      <c r="M5411" s="20" t="n">
        <f aca="false">IF(J5411&gt;0,K5411/J5411,0)</f>
        <v>0.214340495186639</v>
      </c>
    </row>
    <row r="5412" customFormat="false" ht="15" hidden="false" customHeight="false" outlineLevel="0" collapsed="false">
      <c r="A5412" s="15" t="s">
        <v>5469</v>
      </c>
      <c r="B5412" s="16" t="n">
        <v>45658</v>
      </c>
      <c r="C5412" s="15" t="s">
        <v>56</v>
      </c>
      <c r="D5412" s="15" t="s">
        <v>43</v>
      </c>
      <c r="E5412" s="15" t="s">
        <v>39</v>
      </c>
      <c r="F5412" s="15" t="s">
        <v>16</v>
      </c>
      <c r="G5412" s="15" t="s">
        <v>22</v>
      </c>
      <c r="H5412" s="15" t="n">
        <v>4</v>
      </c>
      <c r="I5412" s="17" t="n">
        <v>0</v>
      </c>
      <c r="J5412" s="18" t="n">
        <v>2413.95</v>
      </c>
      <c r="K5412" s="19" t="n">
        <v>112.25</v>
      </c>
      <c r="L5412" s="15" t="n">
        <f aca="false">YEAR(B5412)</f>
        <v>2025</v>
      </c>
      <c r="M5412" s="20" t="n">
        <f aca="false">IF(J5412&gt;0,K5412/J5412,0)</f>
        <v>0.0465005488928934</v>
      </c>
    </row>
    <row r="5413" customFormat="false" ht="15" hidden="false" customHeight="false" outlineLevel="0" collapsed="false">
      <c r="A5413" s="15" t="s">
        <v>5470</v>
      </c>
      <c r="B5413" s="16" t="n">
        <v>44883</v>
      </c>
      <c r="C5413" s="15" t="s">
        <v>56</v>
      </c>
      <c r="D5413" s="15" t="s">
        <v>42</v>
      </c>
      <c r="E5413" s="15" t="s">
        <v>39</v>
      </c>
      <c r="F5413" s="15" t="s">
        <v>18</v>
      </c>
      <c r="G5413" s="15" t="s">
        <v>32</v>
      </c>
      <c r="H5413" s="15" t="n">
        <v>4</v>
      </c>
      <c r="I5413" s="17" t="n">
        <v>0.05</v>
      </c>
      <c r="J5413" s="18" t="n">
        <v>1567.15</v>
      </c>
      <c r="K5413" s="19" t="n">
        <v>225.72</v>
      </c>
      <c r="L5413" s="15" t="n">
        <f aca="false">YEAR(B5413)</f>
        <v>2022</v>
      </c>
      <c r="M5413" s="20" t="n">
        <f aca="false">IF(J5413&gt;0,K5413/J5413,0)</f>
        <v>0.144032160290974</v>
      </c>
    </row>
    <row r="5414" customFormat="false" ht="15" hidden="false" customHeight="false" outlineLevel="0" collapsed="false">
      <c r="A5414" s="15" t="s">
        <v>5471</v>
      </c>
      <c r="B5414" s="16" t="n">
        <v>46011</v>
      </c>
      <c r="C5414" s="15" t="s">
        <v>58</v>
      </c>
      <c r="D5414" s="15" t="s">
        <v>44</v>
      </c>
      <c r="E5414" s="15" t="s">
        <v>39</v>
      </c>
      <c r="F5414" s="15" t="s">
        <v>17</v>
      </c>
      <c r="G5414" s="15" t="s">
        <v>26</v>
      </c>
      <c r="H5414" s="15" t="n">
        <v>3</v>
      </c>
      <c r="I5414" s="17" t="n">
        <v>0.4</v>
      </c>
      <c r="J5414" s="18" t="n">
        <v>157.38</v>
      </c>
      <c r="K5414" s="19" t="n">
        <v>-37.69</v>
      </c>
      <c r="L5414" s="15" t="n">
        <f aca="false">YEAR(B5414)</f>
        <v>2025</v>
      </c>
      <c r="M5414" s="20" t="n">
        <f aca="false">IF(J5414&gt;0,K5414/J5414,0)</f>
        <v>-0.239484051340704</v>
      </c>
    </row>
    <row r="5415" customFormat="false" ht="15" hidden="false" customHeight="false" outlineLevel="0" collapsed="false">
      <c r="A5415" s="15" t="s">
        <v>5472</v>
      </c>
      <c r="B5415" s="16" t="n">
        <v>44655</v>
      </c>
      <c r="C5415" s="15" t="s">
        <v>71</v>
      </c>
      <c r="D5415" s="15" t="s">
        <v>42</v>
      </c>
      <c r="E5415" s="15" t="s">
        <v>39</v>
      </c>
      <c r="F5415" s="15" t="s">
        <v>17</v>
      </c>
      <c r="G5415" s="15" t="s">
        <v>28</v>
      </c>
      <c r="H5415" s="15" t="n">
        <v>4</v>
      </c>
      <c r="I5415" s="17" t="n">
        <v>0.2</v>
      </c>
      <c r="J5415" s="18" t="n">
        <v>89.12</v>
      </c>
      <c r="K5415" s="19" t="n">
        <v>11.94</v>
      </c>
      <c r="L5415" s="15" t="n">
        <f aca="false">YEAR(B5415)</f>
        <v>2022</v>
      </c>
      <c r="M5415" s="20" t="n">
        <f aca="false">IF(J5415&gt;0,K5415/J5415,0)</f>
        <v>0.133976660682226</v>
      </c>
    </row>
    <row r="5416" customFormat="false" ht="15" hidden="false" customHeight="false" outlineLevel="0" collapsed="false">
      <c r="A5416" s="15" t="s">
        <v>5473</v>
      </c>
      <c r="B5416" s="16" t="n">
        <v>44602</v>
      </c>
      <c r="C5416" s="15" t="s">
        <v>68</v>
      </c>
      <c r="D5416" s="15" t="s">
        <v>42</v>
      </c>
      <c r="E5416" s="15" t="s">
        <v>37</v>
      </c>
      <c r="F5416" s="15" t="s">
        <v>16</v>
      </c>
      <c r="G5416" s="15" t="s">
        <v>22</v>
      </c>
      <c r="H5416" s="15" t="n">
        <v>3</v>
      </c>
      <c r="I5416" s="17" t="n">
        <v>0.1</v>
      </c>
      <c r="J5416" s="18" t="n">
        <v>1595.81</v>
      </c>
      <c r="K5416" s="19" t="n">
        <v>-210.83</v>
      </c>
      <c r="L5416" s="15" t="n">
        <f aca="false">YEAR(B5416)</f>
        <v>2022</v>
      </c>
      <c r="M5416" s="20" t="n">
        <f aca="false">IF(J5416&gt;0,K5416/J5416,0)</f>
        <v>-0.132114725437239</v>
      </c>
    </row>
    <row r="5417" customFormat="false" ht="15" hidden="false" customHeight="false" outlineLevel="0" collapsed="false">
      <c r="A5417" s="15" t="s">
        <v>5474</v>
      </c>
      <c r="B5417" s="16" t="n">
        <v>44643</v>
      </c>
      <c r="C5417" s="15" t="s">
        <v>71</v>
      </c>
      <c r="D5417" s="15" t="s">
        <v>43</v>
      </c>
      <c r="E5417" s="15" t="s">
        <v>39</v>
      </c>
      <c r="F5417" s="15" t="s">
        <v>18</v>
      </c>
      <c r="G5417" s="15" t="s">
        <v>30</v>
      </c>
      <c r="H5417" s="15" t="n">
        <v>2</v>
      </c>
      <c r="I5417" s="17" t="n">
        <v>0.15</v>
      </c>
      <c r="J5417" s="18" t="n">
        <v>103.44</v>
      </c>
      <c r="K5417" s="19" t="n">
        <v>20.15</v>
      </c>
      <c r="L5417" s="15" t="n">
        <f aca="false">YEAR(B5417)</f>
        <v>2022</v>
      </c>
      <c r="M5417" s="20" t="n">
        <f aca="false">IF(J5417&gt;0,K5417/J5417,0)</f>
        <v>0.194798917246713</v>
      </c>
    </row>
    <row r="5418" customFormat="false" ht="15" hidden="false" customHeight="false" outlineLevel="0" collapsed="false">
      <c r="A5418" s="15" t="s">
        <v>5475</v>
      </c>
      <c r="B5418" s="16" t="n">
        <v>44888</v>
      </c>
      <c r="C5418" s="15" t="s">
        <v>56</v>
      </c>
      <c r="D5418" s="15" t="s">
        <v>42</v>
      </c>
      <c r="E5418" s="15" t="s">
        <v>39</v>
      </c>
      <c r="F5418" s="15" t="s">
        <v>16</v>
      </c>
      <c r="G5418" s="15" t="s">
        <v>27</v>
      </c>
      <c r="H5418" s="15" t="n">
        <v>4</v>
      </c>
      <c r="I5418" s="17" t="n">
        <v>0.3</v>
      </c>
      <c r="J5418" s="18" t="n">
        <v>254.56</v>
      </c>
      <c r="K5418" s="19" t="n">
        <v>-13.95</v>
      </c>
      <c r="L5418" s="15" t="n">
        <f aca="false">YEAR(B5418)</f>
        <v>2022</v>
      </c>
      <c r="M5418" s="20" t="n">
        <f aca="false">IF(J5418&gt;0,K5418/J5418,0)</f>
        <v>-0.0548004399748586</v>
      </c>
    </row>
    <row r="5419" customFormat="false" ht="15" hidden="false" customHeight="false" outlineLevel="0" collapsed="false">
      <c r="A5419" s="15" t="s">
        <v>5476</v>
      </c>
      <c r="B5419" s="16" t="n">
        <v>45492</v>
      </c>
      <c r="C5419" s="15" t="s">
        <v>71</v>
      </c>
      <c r="D5419" s="15" t="s">
        <v>43</v>
      </c>
      <c r="E5419" s="15" t="s">
        <v>37</v>
      </c>
      <c r="F5419" s="15" t="s">
        <v>17</v>
      </c>
      <c r="G5419" s="15" t="s">
        <v>28</v>
      </c>
      <c r="H5419" s="15" t="n">
        <v>3</v>
      </c>
      <c r="I5419" s="17" t="n">
        <v>0.15</v>
      </c>
      <c r="J5419" s="18" t="n">
        <v>71.16</v>
      </c>
      <c r="K5419" s="19" t="n">
        <v>9.45</v>
      </c>
      <c r="L5419" s="15" t="n">
        <f aca="false">YEAR(B5419)</f>
        <v>2024</v>
      </c>
      <c r="M5419" s="20" t="n">
        <f aca="false">IF(J5419&gt;0,K5419/J5419,0)</f>
        <v>0.132799325463744</v>
      </c>
    </row>
    <row r="5420" customFormat="false" ht="15" hidden="false" customHeight="false" outlineLevel="0" collapsed="false">
      <c r="A5420" s="15" t="s">
        <v>5477</v>
      </c>
      <c r="B5420" s="16" t="n">
        <v>44661</v>
      </c>
      <c r="C5420" s="15" t="s">
        <v>56</v>
      </c>
      <c r="D5420" s="15" t="s">
        <v>43</v>
      </c>
      <c r="E5420" s="15" t="s">
        <v>39</v>
      </c>
      <c r="F5420" s="15" t="s">
        <v>17</v>
      </c>
      <c r="G5420" s="15" t="s">
        <v>28</v>
      </c>
      <c r="H5420" s="15" t="n">
        <v>4</v>
      </c>
      <c r="I5420" s="17" t="n">
        <v>0</v>
      </c>
      <c r="J5420" s="18" t="n">
        <v>113.91</v>
      </c>
      <c r="K5420" s="19" t="n">
        <v>39.52</v>
      </c>
      <c r="L5420" s="15" t="n">
        <f aca="false">YEAR(B5420)</f>
        <v>2022</v>
      </c>
      <c r="M5420" s="20" t="n">
        <f aca="false">IF(J5420&gt;0,K5420/J5420,0)</f>
        <v>0.346940567114389</v>
      </c>
    </row>
    <row r="5421" customFormat="false" ht="15" hidden="false" customHeight="false" outlineLevel="0" collapsed="false">
      <c r="A5421" s="15" t="s">
        <v>5478</v>
      </c>
      <c r="B5421" s="16" t="n">
        <v>45742</v>
      </c>
      <c r="C5421" s="15" t="s">
        <v>68</v>
      </c>
      <c r="D5421" s="15" t="s">
        <v>42</v>
      </c>
      <c r="E5421" s="15" t="s">
        <v>36</v>
      </c>
      <c r="F5421" s="15" t="s">
        <v>16</v>
      </c>
      <c r="G5421" s="15" t="s">
        <v>22</v>
      </c>
      <c r="H5421" s="15" t="n">
        <v>3</v>
      </c>
      <c r="I5421" s="17" t="n">
        <v>0</v>
      </c>
      <c r="J5421" s="18" t="n">
        <v>1294.84</v>
      </c>
      <c r="K5421" s="19" t="n">
        <v>-111.43</v>
      </c>
      <c r="L5421" s="15" t="n">
        <f aca="false">YEAR(B5421)</f>
        <v>2025</v>
      </c>
      <c r="M5421" s="20" t="n">
        <f aca="false">IF(J5421&gt;0,K5421/J5421,0)</f>
        <v>-0.0860569645670508</v>
      </c>
    </row>
    <row r="5422" customFormat="false" ht="15" hidden="false" customHeight="false" outlineLevel="0" collapsed="false">
      <c r="A5422" s="15" t="s">
        <v>5479</v>
      </c>
      <c r="B5422" s="16" t="n">
        <v>45570</v>
      </c>
      <c r="C5422" s="15" t="s">
        <v>56</v>
      </c>
      <c r="D5422" s="15" t="s">
        <v>43</v>
      </c>
      <c r="E5422" s="15" t="s">
        <v>38</v>
      </c>
      <c r="F5422" s="15" t="s">
        <v>17</v>
      </c>
      <c r="G5422" s="15" t="s">
        <v>29</v>
      </c>
      <c r="H5422" s="15" t="n">
        <v>1</v>
      </c>
      <c r="I5422" s="17" t="n">
        <v>0.2</v>
      </c>
      <c r="J5422" s="18" t="n">
        <v>14.01</v>
      </c>
      <c r="K5422" s="19" t="n">
        <v>2.75</v>
      </c>
      <c r="L5422" s="15" t="n">
        <f aca="false">YEAR(B5422)</f>
        <v>2024</v>
      </c>
      <c r="M5422" s="20" t="n">
        <f aca="false">IF(J5422&gt;0,K5422/J5422,0)</f>
        <v>0.196288365453248</v>
      </c>
    </row>
    <row r="5423" customFormat="false" ht="15" hidden="false" customHeight="false" outlineLevel="0" collapsed="false">
      <c r="A5423" s="15" t="s">
        <v>5480</v>
      </c>
      <c r="B5423" s="16" t="n">
        <v>45452</v>
      </c>
      <c r="C5423" s="15" t="s">
        <v>56</v>
      </c>
      <c r="D5423" s="15" t="s">
        <v>42</v>
      </c>
      <c r="E5423" s="15" t="s">
        <v>38</v>
      </c>
      <c r="F5423" s="15" t="s">
        <v>16</v>
      </c>
      <c r="G5423" s="15" t="s">
        <v>22</v>
      </c>
      <c r="H5423" s="15" t="n">
        <v>4</v>
      </c>
      <c r="I5423" s="17" t="n">
        <v>0.1</v>
      </c>
      <c r="J5423" s="18" t="n">
        <v>1570.6</v>
      </c>
      <c r="K5423" s="19" t="n">
        <v>-165.75</v>
      </c>
      <c r="L5423" s="15" t="n">
        <f aca="false">YEAR(B5423)</f>
        <v>2024</v>
      </c>
      <c r="M5423" s="20" t="n">
        <f aca="false">IF(J5423&gt;0,K5423/J5423,0)</f>
        <v>-0.105532917356424</v>
      </c>
    </row>
    <row r="5424" customFormat="false" ht="15" hidden="false" customHeight="false" outlineLevel="0" collapsed="false">
      <c r="A5424" s="15" t="s">
        <v>5481</v>
      </c>
      <c r="B5424" s="16" t="n">
        <v>45896</v>
      </c>
      <c r="C5424" s="15" t="s">
        <v>71</v>
      </c>
      <c r="D5424" s="15" t="s">
        <v>42</v>
      </c>
      <c r="E5424" s="15" t="s">
        <v>36</v>
      </c>
      <c r="F5424" s="15" t="s">
        <v>18</v>
      </c>
      <c r="G5424" s="15" t="s">
        <v>30</v>
      </c>
      <c r="H5424" s="15" t="n">
        <v>4</v>
      </c>
      <c r="I5424" s="17" t="n">
        <v>0</v>
      </c>
      <c r="J5424" s="18" t="n">
        <v>167.51</v>
      </c>
      <c r="K5424" s="19" t="n">
        <v>47.39</v>
      </c>
      <c r="L5424" s="15" t="n">
        <f aca="false">YEAR(B5424)</f>
        <v>2025</v>
      </c>
      <c r="M5424" s="20" t="n">
        <f aca="false">IF(J5424&gt;0,K5424/J5424,0)</f>
        <v>0.282908483075637</v>
      </c>
    </row>
    <row r="5425" customFormat="false" ht="15" hidden="false" customHeight="false" outlineLevel="0" collapsed="false">
      <c r="A5425" s="15" t="s">
        <v>5482</v>
      </c>
      <c r="B5425" s="16" t="n">
        <v>45795</v>
      </c>
      <c r="C5425" s="15" t="s">
        <v>71</v>
      </c>
      <c r="D5425" s="15" t="s">
        <v>42</v>
      </c>
      <c r="E5425" s="15" t="s">
        <v>37</v>
      </c>
      <c r="F5425" s="15" t="s">
        <v>17</v>
      </c>
      <c r="G5425" s="15" t="s">
        <v>31</v>
      </c>
      <c r="H5425" s="15" t="n">
        <v>5</v>
      </c>
      <c r="I5425" s="17" t="n">
        <v>0</v>
      </c>
      <c r="J5425" s="18" t="n">
        <v>711.68</v>
      </c>
      <c r="K5425" s="19" t="n">
        <v>176.25</v>
      </c>
      <c r="L5425" s="15" t="n">
        <f aca="false">YEAR(B5425)</f>
        <v>2025</v>
      </c>
      <c r="M5425" s="20" t="n">
        <f aca="false">IF(J5425&gt;0,K5425/J5425,0)</f>
        <v>0.247653439748201</v>
      </c>
    </row>
    <row r="5426" customFormat="false" ht="15" hidden="false" customHeight="false" outlineLevel="0" collapsed="false">
      <c r="A5426" s="15" t="s">
        <v>5483</v>
      </c>
      <c r="B5426" s="16" t="n">
        <v>45801</v>
      </c>
      <c r="C5426" s="15" t="s">
        <v>56</v>
      </c>
      <c r="D5426" s="15" t="s">
        <v>43</v>
      </c>
      <c r="E5426" s="15" t="s">
        <v>39</v>
      </c>
      <c r="F5426" s="15" t="s">
        <v>17</v>
      </c>
      <c r="G5426" s="15" t="s">
        <v>28</v>
      </c>
      <c r="H5426" s="15" t="n">
        <v>5</v>
      </c>
      <c r="I5426" s="17" t="n">
        <v>0.1</v>
      </c>
      <c r="J5426" s="18" t="n">
        <v>140.34</v>
      </c>
      <c r="K5426" s="19" t="n">
        <v>33.78</v>
      </c>
      <c r="L5426" s="15" t="n">
        <f aca="false">YEAR(B5426)</f>
        <v>2025</v>
      </c>
      <c r="M5426" s="20" t="n">
        <f aca="false">IF(J5426&gt;0,K5426/J5426,0)</f>
        <v>0.240701154339461</v>
      </c>
    </row>
    <row r="5427" customFormat="false" ht="15" hidden="false" customHeight="false" outlineLevel="0" collapsed="false">
      <c r="A5427" s="15" t="s">
        <v>5484</v>
      </c>
      <c r="B5427" s="16" t="n">
        <v>45911</v>
      </c>
      <c r="C5427" s="15" t="s">
        <v>56</v>
      </c>
      <c r="D5427" s="15" t="s">
        <v>42</v>
      </c>
      <c r="E5427" s="15" t="s">
        <v>38</v>
      </c>
      <c r="F5427" s="15" t="s">
        <v>17</v>
      </c>
      <c r="G5427" s="15" t="s">
        <v>29</v>
      </c>
      <c r="H5427" s="15" t="n">
        <v>2</v>
      </c>
      <c r="I5427" s="17" t="n">
        <v>0.05</v>
      </c>
      <c r="J5427" s="18" t="n">
        <v>25.72</v>
      </c>
      <c r="K5427" s="19" t="n">
        <v>8.2</v>
      </c>
      <c r="L5427" s="15" t="n">
        <f aca="false">YEAR(B5427)</f>
        <v>2025</v>
      </c>
      <c r="M5427" s="20" t="n">
        <f aca="false">IF(J5427&gt;0,K5427/J5427,0)</f>
        <v>0.318818040435459</v>
      </c>
    </row>
    <row r="5428" customFormat="false" ht="15" hidden="false" customHeight="false" outlineLevel="0" collapsed="false">
      <c r="A5428" s="15" t="s">
        <v>5485</v>
      </c>
      <c r="B5428" s="16" t="n">
        <v>45738</v>
      </c>
      <c r="C5428" s="15" t="s">
        <v>56</v>
      </c>
      <c r="D5428" s="15" t="s">
        <v>43</v>
      </c>
      <c r="E5428" s="15" t="s">
        <v>39</v>
      </c>
      <c r="F5428" s="15" t="s">
        <v>17</v>
      </c>
      <c r="G5428" s="15" t="s">
        <v>28</v>
      </c>
      <c r="H5428" s="15" t="n">
        <v>6</v>
      </c>
      <c r="I5428" s="17" t="n">
        <v>0</v>
      </c>
      <c r="J5428" s="18" t="n">
        <v>199.76</v>
      </c>
      <c r="K5428" s="19" t="n">
        <v>61.89</v>
      </c>
      <c r="L5428" s="15" t="n">
        <f aca="false">YEAR(B5428)</f>
        <v>2025</v>
      </c>
      <c r="M5428" s="20" t="n">
        <f aca="false">IF(J5428&gt;0,K5428/J5428,0)</f>
        <v>0.309821786143372</v>
      </c>
    </row>
    <row r="5429" customFormat="false" ht="15" hidden="false" customHeight="false" outlineLevel="0" collapsed="false">
      <c r="A5429" s="15" t="s">
        <v>5486</v>
      </c>
      <c r="B5429" s="16" t="n">
        <v>45587</v>
      </c>
      <c r="C5429" s="15" t="s">
        <v>71</v>
      </c>
      <c r="D5429" s="15" t="s">
        <v>43</v>
      </c>
      <c r="E5429" s="15" t="s">
        <v>37</v>
      </c>
      <c r="F5429" s="15" t="s">
        <v>17</v>
      </c>
      <c r="G5429" s="15" t="s">
        <v>31</v>
      </c>
      <c r="H5429" s="15" t="n">
        <v>5</v>
      </c>
      <c r="I5429" s="17" t="n">
        <v>0</v>
      </c>
      <c r="J5429" s="18" t="n">
        <v>693.76</v>
      </c>
      <c r="K5429" s="19" t="n">
        <v>124.65</v>
      </c>
      <c r="L5429" s="15" t="n">
        <f aca="false">YEAR(B5429)</f>
        <v>2024</v>
      </c>
      <c r="M5429" s="20" t="n">
        <f aca="false">IF(J5429&gt;0,K5429/J5429,0)</f>
        <v>0.179673085793358</v>
      </c>
    </row>
    <row r="5430" customFormat="false" ht="15" hidden="false" customHeight="false" outlineLevel="0" collapsed="false">
      <c r="A5430" s="15" t="s">
        <v>5487</v>
      </c>
      <c r="B5430" s="16" t="n">
        <v>46009</v>
      </c>
      <c r="C5430" s="15" t="s">
        <v>56</v>
      </c>
      <c r="D5430" s="15" t="s">
        <v>44</v>
      </c>
      <c r="E5430" s="15" t="s">
        <v>37</v>
      </c>
      <c r="F5430" s="15" t="s">
        <v>17</v>
      </c>
      <c r="G5430" s="15" t="s">
        <v>28</v>
      </c>
      <c r="H5430" s="15" t="n">
        <v>7</v>
      </c>
      <c r="I5430" s="17" t="n">
        <v>0.05</v>
      </c>
      <c r="J5430" s="18" t="n">
        <v>207.86</v>
      </c>
      <c r="K5430" s="19" t="n">
        <v>50.72</v>
      </c>
      <c r="L5430" s="15" t="n">
        <f aca="false">YEAR(B5430)</f>
        <v>2025</v>
      </c>
      <c r="M5430" s="20" t="n">
        <f aca="false">IF(J5430&gt;0,K5430/J5430,0)</f>
        <v>0.244010391609737</v>
      </c>
    </row>
    <row r="5431" customFormat="false" ht="15" hidden="false" customHeight="false" outlineLevel="0" collapsed="false">
      <c r="A5431" s="15" t="s">
        <v>5488</v>
      </c>
      <c r="B5431" s="16" t="n">
        <v>45103</v>
      </c>
      <c r="C5431" s="15" t="s">
        <v>56</v>
      </c>
      <c r="D5431" s="15" t="s">
        <v>44</v>
      </c>
      <c r="E5431" s="15" t="s">
        <v>37</v>
      </c>
      <c r="F5431" s="15" t="s">
        <v>17</v>
      </c>
      <c r="G5431" s="15" t="s">
        <v>28</v>
      </c>
      <c r="H5431" s="15" t="n">
        <v>2</v>
      </c>
      <c r="I5431" s="17" t="n">
        <v>0</v>
      </c>
      <c r="J5431" s="18" t="n">
        <v>59.91</v>
      </c>
      <c r="K5431" s="19" t="n">
        <v>11.73</v>
      </c>
      <c r="L5431" s="15" t="n">
        <f aca="false">YEAR(B5431)</f>
        <v>2023</v>
      </c>
      <c r="M5431" s="20" t="n">
        <f aca="false">IF(J5431&gt;0,K5431/J5431,0)</f>
        <v>0.195793690535804</v>
      </c>
    </row>
    <row r="5432" customFormat="false" ht="15" hidden="false" customHeight="false" outlineLevel="0" collapsed="false">
      <c r="A5432" s="15" t="s">
        <v>5489</v>
      </c>
      <c r="B5432" s="16" t="n">
        <v>44947</v>
      </c>
      <c r="C5432" s="15" t="s">
        <v>56</v>
      </c>
      <c r="D5432" s="15" t="s">
        <v>43</v>
      </c>
      <c r="E5432" s="15" t="s">
        <v>39</v>
      </c>
      <c r="F5432" s="15" t="s">
        <v>17</v>
      </c>
      <c r="G5432" s="15" t="s">
        <v>29</v>
      </c>
      <c r="H5432" s="15" t="n">
        <v>5</v>
      </c>
      <c r="I5432" s="17" t="n">
        <v>0</v>
      </c>
      <c r="J5432" s="18" t="n">
        <v>101.62</v>
      </c>
      <c r="K5432" s="19" t="n">
        <v>39.69</v>
      </c>
      <c r="L5432" s="15" t="n">
        <f aca="false">YEAR(B5432)</f>
        <v>2023</v>
      </c>
      <c r="M5432" s="20" t="n">
        <f aca="false">IF(J5432&gt;0,K5432/J5432,0)</f>
        <v>0.390572721905137</v>
      </c>
    </row>
    <row r="5433" customFormat="false" ht="15" hidden="false" customHeight="false" outlineLevel="0" collapsed="false">
      <c r="A5433" s="15" t="s">
        <v>5490</v>
      </c>
      <c r="B5433" s="16" t="n">
        <v>45734</v>
      </c>
      <c r="C5433" s="15" t="s">
        <v>56</v>
      </c>
      <c r="D5433" s="15" t="s">
        <v>43</v>
      </c>
      <c r="E5433" s="15" t="s">
        <v>39</v>
      </c>
      <c r="F5433" s="15" t="s">
        <v>18</v>
      </c>
      <c r="G5433" s="15" t="s">
        <v>32</v>
      </c>
      <c r="H5433" s="15" t="n">
        <v>4</v>
      </c>
      <c r="I5433" s="17" t="n">
        <v>0.15</v>
      </c>
      <c r="J5433" s="18" t="n">
        <v>1594.75</v>
      </c>
      <c r="K5433" s="19" t="n">
        <v>123.43</v>
      </c>
      <c r="L5433" s="15" t="n">
        <f aca="false">YEAR(B5433)</f>
        <v>2025</v>
      </c>
      <c r="M5433" s="20" t="n">
        <f aca="false">IF(J5433&gt;0,K5433/J5433,0)</f>
        <v>0.0773977112400063</v>
      </c>
    </row>
    <row r="5434" customFormat="false" ht="15" hidden="false" customHeight="false" outlineLevel="0" collapsed="false">
      <c r="A5434" s="15" t="s">
        <v>5491</v>
      </c>
      <c r="B5434" s="16" t="n">
        <v>45192</v>
      </c>
      <c r="C5434" s="15" t="s">
        <v>56</v>
      </c>
      <c r="D5434" s="15" t="s">
        <v>44</v>
      </c>
      <c r="E5434" s="15" t="s">
        <v>37</v>
      </c>
      <c r="F5434" s="15" t="s">
        <v>17</v>
      </c>
      <c r="G5434" s="15" t="s">
        <v>29</v>
      </c>
      <c r="H5434" s="15" t="n">
        <v>5</v>
      </c>
      <c r="I5434" s="17" t="n">
        <v>0</v>
      </c>
      <c r="J5434" s="18" t="n">
        <v>100.11</v>
      </c>
      <c r="K5434" s="19" t="n">
        <v>38.15</v>
      </c>
      <c r="L5434" s="15" t="n">
        <f aca="false">YEAR(B5434)</f>
        <v>2023</v>
      </c>
      <c r="M5434" s="20" t="n">
        <f aca="false">IF(J5434&gt;0,K5434/J5434,0)</f>
        <v>0.381080811107781</v>
      </c>
    </row>
    <row r="5435" customFormat="false" ht="15" hidden="false" customHeight="false" outlineLevel="0" collapsed="false">
      <c r="A5435" s="15" t="s">
        <v>5492</v>
      </c>
      <c r="B5435" s="16" t="n">
        <v>45177</v>
      </c>
      <c r="C5435" s="15" t="s">
        <v>68</v>
      </c>
      <c r="D5435" s="15" t="s">
        <v>42</v>
      </c>
      <c r="E5435" s="15" t="s">
        <v>37</v>
      </c>
      <c r="F5435" s="15" t="s">
        <v>16</v>
      </c>
      <c r="G5435" s="15" t="s">
        <v>27</v>
      </c>
      <c r="H5435" s="15" t="n">
        <v>6</v>
      </c>
      <c r="I5435" s="17" t="n">
        <v>0.15</v>
      </c>
      <c r="J5435" s="18" t="n">
        <v>441.6</v>
      </c>
      <c r="K5435" s="19" t="n">
        <v>81.9</v>
      </c>
      <c r="L5435" s="15" t="n">
        <f aca="false">YEAR(B5435)</f>
        <v>2023</v>
      </c>
      <c r="M5435" s="20" t="n">
        <f aca="false">IF(J5435&gt;0,K5435/J5435,0)</f>
        <v>0.185461956521739</v>
      </c>
    </row>
    <row r="5436" customFormat="false" ht="15" hidden="false" customHeight="false" outlineLevel="0" collapsed="false">
      <c r="A5436" s="15" t="s">
        <v>5493</v>
      </c>
      <c r="B5436" s="16" t="n">
        <v>45326</v>
      </c>
      <c r="C5436" s="15" t="s">
        <v>71</v>
      </c>
      <c r="D5436" s="15" t="s">
        <v>42</v>
      </c>
      <c r="E5436" s="15" t="s">
        <v>36</v>
      </c>
      <c r="F5436" s="15" t="s">
        <v>18</v>
      </c>
      <c r="G5436" s="15" t="s">
        <v>30</v>
      </c>
      <c r="H5436" s="15" t="n">
        <v>6</v>
      </c>
      <c r="I5436" s="17" t="n">
        <v>0.2</v>
      </c>
      <c r="J5436" s="18" t="n">
        <v>183.56</v>
      </c>
      <c r="K5436" s="19" t="n">
        <v>30.3</v>
      </c>
      <c r="L5436" s="15" t="n">
        <f aca="false">YEAR(B5436)</f>
        <v>2024</v>
      </c>
      <c r="M5436" s="20" t="n">
        <f aca="false">IF(J5436&gt;0,K5436/J5436,0)</f>
        <v>0.165068642405753</v>
      </c>
    </row>
    <row r="5437" customFormat="false" ht="15" hidden="false" customHeight="false" outlineLevel="0" collapsed="false">
      <c r="A5437" s="15" t="s">
        <v>5494</v>
      </c>
      <c r="B5437" s="16" t="n">
        <v>46021</v>
      </c>
      <c r="C5437" s="15" t="s">
        <v>56</v>
      </c>
      <c r="D5437" s="15" t="s">
        <v>42</v>
      </c>
      <c r="E5437" s="15" t="s">
        <v>39</v>
      </c>
      <c r="F5437" s="15" t="s">
        <v>17</v>
      </c>
      <c r="G5437" s="15" t="s">
        <v>28</v>
      </c>
      <c r="H5437" s="15" t="n">
        <v>5</v>
      </c>
      <c r="I5437" s="17" t="n">
        <v>0.15</v>
      </c>
      <c r="J5437" s="18" t="n">
        <v>95.7</v>
      </c>
      <c r="K5437" s="19" t="n">
        <v>17.5</v>
      </c>
      <c r="L5437" s="15" t="n">
        <f aca="false">YEAR(B5437)</f>
        <v>2025</v>
      </c>
      <c r="M5437" s="20" t="n">
        <f aca="false">IF(J5437&gt;0,K5437/J5437,0)</f>
        <v>0.182863113897597</v>
      </c>
    </row>
    <row r="5438" customFormat="false" ht="15" hidden="false" customHeight="false" outlineLevel="0" collapsed="false">
      <c r="A5438" s="15" t="s">
        <v>5495</v>
      </c>
      <c r="B5438" s="16" t="n">
        <v>45271</v>
      </c>
      <c r="C5438" s="15" t="s">
        <v>68</v>
      </c>
      <c r="D5438" s="15" t="s">
        <v>43</v>
      </c>
      <c r="E5438" s="15" t="s">
        <v>37</v>
      </c>
      <c r="F5438" s="15" t="s">
        <v>17</v>
      </c>
      <c r="G5438" s="15" t="s">
        <v>31</v>
      </c>
      <c r="H5438" s="15" t="n">
        <v>2</v>
      </c>
      <c r="I5438" s="17" t="n">
        <v>0.1</v>
      </c>
      <c r="J5438" s="18" t="n">
        <v>279.42</v>
      </c>
      <c r="K5438" s="19" t="n">
        <v>32.2</v>
      </c>
      <c r="L5438" s="15" t="n">
        <f aca="false">YEAR(B5438)</f>
        <v>2023</v>
      </c>
      <c r="M5438" s="20" t="n">
        <f aca="false">IF(J5438&gt;0,K5438/J5438,0)</f>
        <v>0.115238708753847</v>
      </c>
    </row>
    <row r="5439" customFormat="false" ht="15" hidden="false" customHeight="false" outlineLevel="0" collapsed="false">
      <c r="A5439" s="15" t="s">
        <v>5496</v>
      </c>
      <c r="B5439" s="16" t="n">
        <v>45981</v>
      </c>
      <c r="C5439" s="15" t="s">
        <v>56</v>
      </c>
      <c r="D5439" s="15" t="s">
        <v>43</v>
      </c>
      <c r="E5439" s="15" t="s">
        <v>39</v>
      </c>
      <c r="F5439" s="15" t="s">
        <v>16</v>
      </c>
      <c r="G5439" s="15" t="s">
        <v>25</v>
      </c>
      <c r="H5439" s="15" t="n">
        <v>4</v>
      </c>
      <c r="I5439" s="17" t="n">
        <v>0.3</v>
      </c>
      <c r="J5439" s="18" t="n">
        <v>953.5</v>
      </c>
      <c r="K5439" s="19" t="n">
        <v>-103.46</v>
      </c>
      <c r="L5439" s="15" t="n">
        <f aca="false">YEAR(B5439)</f>
        <v>2025</v>
      </c>
      <c r="M5439" s="20" t="n">
        <f aca="false">IF(J5439&gt;0,K5439/J5439,0)</f>
        <v>-0.108505506030414</v>
      </c>
    </row>
    <row r="5440" customFormat="false" ht="15" hidden="false" customHeight="false" outlineLevel="0" collapsed="false">
      <c r="A5440" s="15" t="s">
        <v>5497</v>
      </c>
      <c r="B5440" s="16" t="n">
        <v>45574</v>
      </c>
      <c r="C5440" s="15" t="s">
        <v>56</v>
      </c>
      <c r="D5440" s="15" t="s">
        <v>43</v>
      </c>
      <c r="E5440" s="15" t="s">
        <v>39</v>
      </c>
      <c r="F5440" s="15" t="s">
        <v>16</v>
      </c>
      <c r="G5440" s="15" t="s">
        <v>27</v>
      </c>
      <c r="H5440" s="15" t="n">
        <v>5</v>
      </c>
      <c r="I5440" s="17" t="n">
        <v>0.3</v>
      </c>
      <c r="J5440" s="18" t="n">
        <v>239.63</v>
      </c>
      <c r="K5440" s="19" t="n">
        <v>-11.19</v>
      </c>
      <c r="L5440" s="15" t="n">
        <f aca="false">YEAR(B5440)</f>
        <v>2024</v>
      </c>
      <c r="M5440" s="20" t="n">
        <f aca="false">IF(J5440&gt;0,K5440/J5440,0)</f>
        <v>-0.0466969911947586</v>
      </c>
    </row>
    <row r="5441" customFormat="false" ht="15" hidden="false" customHeight="false" outlineLevel="0" collapsed="false">
      <c r="A5441" s="15" t="s">
        <v>5498</v>
      </c>
      <c r="B5441" s="16" t="n">
        <v>45324</v>
      </c>
      <c r="C5441" s="15" t="s">
        <v>56</v>
      </c>
      <c r="D5441" s="15" t="s">
        <v>42</v>
      </c>
      <c r="E5441" s="15" t="s">
        <v>37</v>
      </c>
      <c r="F5441" s="15" t="s">
        <v>17</v>
      </c>
      <c r="G5441" s="15" t="s">
        <v>26</v>
      </c>
      <c r="H5441" s="15" t="n">
        <v>4</v>
      </c>
      <c r="I5441" s="17" t="n">
        <v>0</v>
      </c>
      <c r="J5441" s="18" t="n">
        <v>339.9</v>
      </c>
      <c r="K5441" s="19" t="n">
        <v>36.2</v>
      </c>
      <c r="L5441" s="15" t="n">
        <f aca="false">YEAR(B5441)</f>
        <v>2024</v>
      </c>
      <c r="M5441" s="20" t="n">
        <f aca="false">IF(J5441&gt;0,K5441/J5441,0)</f>
        <v>0.106501912327155</v>
      </c>
    </row>
    <row r="5442" customFormat="false" ht="15" hidden="false" customHeight="false" outlineLevel="0" collapsed="false">
      <c r="A5442" s="15" t="s">
        <v>5499</v>
      </c>
      <c r="B5442" s="16" t="n">
        <v>45328</v>
      </c>
      <c r="C5442" s="15" t="s">
        <v>56</v>
      </c>
      <c r="D5442" s="15" t="s">
        <v>42</v>
      </c>
      <c r="E5442" s="15" t="s">
        <v>38</v>
      </c>
      <c r="F5442" s="15" t="s">
        <v>17</v>
      </c>
      <c r="G5442" s="15" t="s">
        <v>26</v>
      </c>
      <c r="H5442" s="15" t="n">
        <v>5</v>
      </c>
      <c r="I5442" s="17" t="n">
        <v>0.2</v>
      </c>
      <c r="J5442" s="18" t="n">
        <v>378</v>
      </c>
      <c r="K5442" s="19" t="n">
        <v>-46.5</v>
      </c>
      <c r="L5442" s="15" t="n">
        <f aca="false">YEAR(B5442)</f>
        <v>2024</v>
      </c>
      <c r="M5442" s="20" t="n">
        <f aca="false">IF(J5442&gt;0,K5442/J5442,0)</f>
        <v>-0.123015873015873</v>
      </c>
    </row>
    <row r="5443" customFormat="false" ht="15" hidden="false" customHeight="false" outlineLevel="0" collapsed="false">
      <c r="A5443" s="15" t="s">
        <v>5500</v>
      </c>
      <c r="B5443" s="16" t="n">
        <v>44755</v>
      </c>
      <c r="C5443" s="15" t="s">
        <v>71</v>
      </c>
      <c r="D5443" s="15" t="s">
        <v>44</v>
      </c>
      <c r="E5443" s="15" t="s">
        <v>39</v>
      </c>
      <c r="F5443" s="15" t="s">
        <v>18</v>
      </c>
      <c r="G5443" s="15" t="s">
        <v>32</v>
      </c>
      <c r="H5443" s="15" t="n">
        <v>3</v>
      </c>
      <c r="I5443" s="17" t="n">
        <v>0</v>
      </c>
      <c r="J5443" s="18" t="n">
        <v>1109.27</v>
      </c>
      <c r="K5443" s="19" t="n">
        <v>207.09</v>
      </c>
      <c r="L5443" s="15" t="n">
        <f aca="false">YEAR(B5443)</f>
        <v>2022</v>
      </c>
      <c r="M5443" s="20" t="n">
        <f aca="false">IF(J5443&gt;0,K5443/J5443,0)</f>
        <v>0.186690345903162</v>
      </c>
    </row>
    <row r="5444" customFormat="false" ht="15" hidden="false" customHeight="false" outlineLevel="0" collapsed="false">
      <c r="A5444" s="15" t="s">
        <v>5501</v>
      </c>
      <c r="B5444" s="16" t="n">
        <v>45048</v>
      </c>
      <c r="C5444" s="15" t="s">
        <v>56</v>
      </c>
      <c r="D5444" s="15" t="s">
        <v>43</v>
      </c>
      <c r="E5444" s="15" t="s">
        <v>38</v>
      </c>
      <c r="F5444" s="15" t="s">
        <v>17</v>
      </c>
      <c r="G5444" s="15" t="s">
        <v>29</v>
      </c>
      <c r="H5444" s="15" t="n">
        <v>6</v>
      </c>
      <c r="I5444" s="17" t="n">
        <v>0</v>
      </c>
      <c r="J5444" s="18" t="n">
        <v>76.01</v>
      </c>
      <c r="K5444" s="19" t="n">
        <v>34.4</v>
      </c>
      <c r="L5444" s="15" t="n">
        <f aca="false">YEAR(B5444)</f>
        <v>2023</v>
      </c>
      <c r="M5444" s="20" t="n">
        <f aca="false">IF(J5444&gt;0,K5444/J5444,0)</f>
        <v>0.452572029996053</v>
      </c>
    </row>
    <row r="5445" customFormat="false" ht="15" hidden="false" customHeight="false" outlineLevel="0" collapsed="false">
      <c r="A5445" s="15" t="s">
        <v>5502</v>
      </c>
      <c r="B5445" s="16" t="n">
        <v>44754</v>
      </c>
      <c r="C5445" s="15" t="s">
        <v>56</v>
      </c>
      <c r="D5445" s="15" t="s">
        <v>43</v>
      </c>
      <c r="E5445" s="15" t="s">
        <v>39</v>
      </c>
      <c r="F5445" s="15" t="s">
        <v>17</v>
      </c>
      <c r="G5445" s="15" t="s">
        <v>29</v>
      </c>
      <c r="H5445" s="15" t="n">
        <v>3</v>
      </c>
      <c r="I5445" s="17" t="n">
        <v>0.2</v>
      </c>
      <c r="J5445" s="18" t="n">
        <v>51.68</v>
      </c>
      <c r="K5445" s="19" t="n">
        <v>8.81</v>
      </c>
      <c r="L5445" s="15" t="n">
        <f aca="false">YEAR(B5445)</f>
        <v>2022</v>
      </c>
      <c r="M5445" s="20" t="n">
        <f aca="false">IF(J5445&gt;0,K5445/J5445,0)</f>
        <v>0.17047213622291</v>
      </c>
    </row>
    <row r="5446" customFormat="false" ht="15" hidden="false" customHeight="false" outlineLevel="0" collapsed="false">
      <c r="A5446" s="15" t="s">
        <v>5503</v>
      </c>
      <c r="B5446" s="16" t="n">
        <v>45178</v>
      </c>
      <c r="C5446" s="15" t="s">
        <v>71</v>
      </c>
      <c r="D5446" s="15" t="s">
        <v>43</v>
      </c>
      <c r="E5446" s="15" t="s">
        <v>38</v>
      </c>
      <c r="F5446" s="15" t="s">
        <v>18</v>
      </c>
      <c r="G5446" s="15" t="s">
        <v>30</v>
      </c>
      <c r="H5446" s="15" t="n">
        <v>6</v>
      </c>
      <c r="I5446" s="17" t="n">
        <v>0.1</v>
      </c>
      <c r="J5446" s="18" t="n">
        <v>271.45</v>
      </c>
      <c r="K5446" s="19" t="n">
        <v>70.8</v>
      </c>
      <c r="L5446" s="15" t="n">
        <f aca="false">YEAR(B5446)</f>
        <v>2023</v>
      </c>
      <c r="M5446" s="20" t="n">
        <f aca="false">IF(J5446&gt;0,K5446/J5446,0)</f>
        <v>0.260821514090993</v>
      </c>
    </row>
    <row r="5447" customFormat="false" ht="15" hidden="false" customHeight="false" outlineLevel="0" collapsed="false">
      <c r="A5447" s="15" t="s">
        <v>5504</v>
      </c>
      <c r="B5447" s="16" t="n">
        <v>44597</v>
      </c>
      <c r="C5447" s="15" t="s">
        <v>56</v>
      </c>
      <c r="D5447" s="15" t="s">
        <v>42</v>
      </c>
      <c r="E5447" s="15" t="s">
        <v>39</v>
      </c>
      <c r="F5447" s="15" t="s">
        <v>16</v>
      </c>
      <c r="G5447" s="15" t="s">
        <v>23</v>
      </c>
      <c r="H5447" s="15" t="n">
        <v>2</v>
      </c>
      <c r="I5447" s="17" t="n">
        <v>0</v>
      </c>
      <c r="J5447" s="18" t="n">
        <v>683.08</v>
      </c>
      <c r="K5447" s="19" t="n">
        <v>8.09</v>
      </c>
      <c r="L5447" s="15" t="n">
        <f aca="false">YEAR(B5447)</f>
        <v>2022</v>
      </c>
      <c r="M5447" s="20" t="n">
        <f aca="false">IF(J5447&gt;0,K5447/J5447,0)</f>
        <v>0.0118434151197517</v>
      </c>
    </row>
    <row r="5448" customFormat="false" ht="15" hidden="false" customHeight="false" outlineLevel="0" collapsed="false">
      <c r="A5448" s="15" t="s">
        <v>5505</v>
      </c>
      <c r="B5448" s="16" t="n">
        <v>45003</v>
      </c>
      <c r="C5448" s="15" t="s">
        <v>56</v>
      </c>
      <c r="D5448" s="15" t="s">
        <v>42</v>
      </c>
      <c r="E5448" s="15" t="s">
        <v>36</v>
      </c>
      <c r="F5448" s="15" t="s">
        <v>17</v>
      </c>
      <c r="G5448" s="15" t="s">
        <v>26</v>
      </c>
      <c r="H5448" s="15" t="n">
        <v>4</v>
      </c>
      <c r="I5448" s="17" t="n">
        <v>0</v>
      </c>
      <c r="J5448" s="18" t="n">
        <v>357.91</v>
      </c>
      <c r="K5448" s="19" t="n">
        <v>40.71</v>
      </c>
      <c r="L5448" s="15" t="n">
        <f aca="false">YEAR(B5448)</f>
        <v>2023</v>
      </c>
      <c r="M5448" s="20" t="n">
        <f aca="false">IF(J5448&gt;0,K5448/J5448,0)</f>
        <v>0.113743678578414</v>
      </c>
    </row>
    <row r="5449" customFormat="false" ht="15" hidden="false" customHeight="false" outlineLevel="0" collapsed="false">
      <c r="A5449" s="15" t="s">
        <v>5506</v>
      </c>
      <c r="B5449" s="16" t="n">
        <v>45790</v>
      </c>
      <c r="C5449" s="15" t="s">
        <v>68</v>
      </c>
      <c r="D5449" s="15" t="s">
        <v>43</v>
      </c>
      <c r="E5449" s="15" t="s">
        <v>37</v>
      </c>
      <c r="F5449" s="15" t="s">
        <v>18</v>
      </c>
      <c r="G5449" s="15" t="s">
        <v>33</v>
      </c>
      <c r="H5449" s="15" t="n">
        <v>9</v>
      </c>
      <c r="I5449" s="17" t="n">
        <v>0</v>
      </c>
      <c r="J5449" s="18" t="n">
        <v>8696.09</v>
      </c>
      <c r="K5449" s="19" t="n">
        <v>2348.87</v>
      </c>
      <c r="L5449" s="15" t="n">
        <f aca="false">YEAR(B5449)</f>
        <v>2025</v>
      </c>
      <c r="M5449" s="20" t="n">
        <f aca="false">IF(J5449&gt;0,K5449/J5449,0)</f>
        <v>0.270106450140235</v>
      </c>
    </row>
    <row r="5450" customFormat="false" ht="15" hidden="false" customHeight="false" outlineLevel="0" collapsed="false">
      <c r="A5450" s="15" t="s">
        <v>5507</v>
      </c>
      <c r="B5450" s="16" t="n">
        <v>45780</v>
      </c>
      <c r="C5450" s="15" t="s">
        <v>56</v>
      </c>
      <c r="D5450" s="15" t="s">
        <v>42</v>
      </c>
      <c r="E5450" s="15" t="s">
        <v>36</v>
      </c>
      <c r="F5450" s="15" t="s">
        <v>17</v>
      </c>
      <c r="G5450" s="15" t="s">
        <v>29</v>
      </c>
      <c r="H5450" s="15" t="n">
        <v>4</v>
      </c>
      <c r="I5450" s="17" t="n">
        <v>0.3</v>
      </c>
      <c r="J5450" s="18" t="n">
        <v>55.46</v>
      </c>
      <c r="K5450" s="19" t="n">
        <v>5.91</v>
      </c>
      <c r="L5450" s="15" t="n">
        <f aca="false">YEAR(B5450)</f>
        <v>2025</v>
      </c>
      <c r="M5450" s="20" t="n">
        <f aca="false">IF(J5450&gt;0,K5450/J5450,0)</f>
        <v>0.106563288856834</v>
      </c>
    </row>
    <row r="5451" customFormat="false" ht="15" hidden="false" customHeight="false" outlineLevel="0" collapsed="false">
      <c r="A5451" s="15" t="s">
        <v>5508</v>
      </c>
      <c r="B5451" s="16" t="n">
        <v>45964</v>
      </c>
      <c r="C5451" s="15" t="s">
        <v>56</v>
      </c>
      <c r="D5451" s="15" t="s">
        <v>42</v>
      </c>
      <c r="E5451" s="15" t="s">
        <v>38</v>
      </c>
      <c r="F5451" s="15" t="s">
        <v>17</v>
      </c>
      <c r="G5451" s="15" t="s">
        <v>29</v>
      </c>
      <c r="H5451" s="15" t="n">
        <v>7</v>
      </c>
      <c r="I5451" s="17" t="n">
        <v>0.2</v>
      </c>
      <c r="J5451" s="18" t="n">
        <v>98.82</v>
      </c>
      <c r="K5451" s="19" t="n">
        <v>21.76</v>
      </c>
      <c r="L5451" s="15" t="n">
        <f aca="false">YEAR(B5451)</f>
        <v>2025</v>
      </c>
      <c r="M5451" s="20" t="n">
        <f aca="false">IF(J5451&gt;0,K5451/J5451,0)</f>
        <v>0.22019834041692</v>
      </c>
    </row>
    <row r="5452" customFormat="false" ht="15" hidden="false" customHeight="false" outlineLevel="0" collapsed="false">
      <c r="A5452" s="15" t="s">
        <v>5509</v>
      </c>
      <c r="B5452" s="16" t="n">
        <v>45364</v>
      </c>
      <c r="C5452" s="15" t="s">
        <v>68</v>
      </c>
      <c r="D5452" s="15" t="s">
        <v>43</v>
      </c>
      <c r="E5452" s="15" t="s">
        <v>39</v>
      </c>
      <c r="F5452" s="15" t="s">
        <v>18</v>
      </c>
      <c r="G5452" s="15" t="s">
        <v>30</v>
      </c>
      <c r="H5452" s="15" t="n">
        <v>5</v>
      </c>
      <c r="I5452" s="17" t="n">
        <v>0.3</v>
      </c>
      <c r="J5452" s="18" t="n">
        <v>197.56</v>
      </c>
      <c r="K5452" s="19" t="n">
        <v>3.93</v>
      </c>
      <c r="L5452" s="15" t="n">
        <f aca="false">YEAR(B5452)</f>
        <v>2024</v>
      </c>
      <c r="M5452" s="20" t="n">
        <f aca="false">IF(J5452&gt;0,K5452/J5452,0)</f>
        <v>0.0198926908281029</v>
      </c>
    </row>
    <row r="5453" customFormat="false" ht="15" hidden="false" customHeight="false" outlineLevel="0" collapsed="false">
      <c r="A5453" s="15" t="s">
        <v>5510</v>
      </c>
      <c r="B5453" s="16" t="n">
        <v>44782</v>
      </c>
      <c r="C5453" s="15" t="s">
        <v>71</v>
      </c>
      <c r="D5453" s="15" t="s">
        <v>42</v>
      </c>
      <c r="E5453" s="15" t="s">
        <v>39</v>
      </c>
      <c r="F5453" s="15" t="s">
        <v>18</v>
      </c>
      <c r="G5453" s="15" t="s">
        <v>30</v>
      </c>
      <c r="H5453" s="15" t="n">
        <v>3</v>
      </c>
      <c r="I5453" s="17" t="n">
        <v>0</v>
      </c>
      <c r="J5453" s="18" t="n">
        <v>119.38</v>
      </c>
      <c r="K5453" s="19" t="n">
        <v>29.84</v>
      </c>
      <c r="L5453" s="15" t="n">
        <f aca="false">YEAR(B5453)</f>
        <v>2022</v>
      </c>
      <c r="M5453" s="20" t="n">
        <f aca="false">IF(J5453&gt;0,K5453/J5453,0)</f>
        <v>0.24995811693751</v>
      </c>
    </row>
    <row r="5454" customFormat="false" ht="15" hidden="false" customHeight="false" outlineLevel="0" collapsed="false">
      <c r="A5454" s="15" t="s">
        <v>5511</v>
      </c>
      <c r="B5454" s="16" t="n">
        <v>45029</v>
      </c>
      <c r="C5454" s="15" t="s">
        <v>56</v>
      </c>
      <c r="D5454" s="15" t="s">
        <v>42</v>
      </c>
      <c r="E5454" s="15" t="s">
        <v>39</v>
      </c>
      <c r="F5454" s="15" t="s">
        <v>18</v>
      </c>
      <c r="G5454" s="15" t="s">
        <v>24</v>
      </c>
      <c r="H5454" s="15" t="n">
        <v>3</v>
      </c>
      <c r="I5454" s="17" t="n">
        <v>0.2</v>
      </c>
      <c r="J5454" s="18" t="n">
        <v>1335.08</v>
      </c>
      <c r="K5454" s="19" t="n">
        <v>-193.95</v>
      </c>
      <c r="L5454" s="15" t="n">
        <f aca="false">YEAR(B5454)</f>
        <v>2023</v>
      </c>
      <c r="M5454" s="20" t="n">
        <f aca="false">IF(J5454&gt;0,K5454/J5454,0)</f>
        <v>-0.145272193426611</v>
      </c>
    </row>
    <row r="5455" customFormat="false" ht="15" hidden="false" customHeight="false" outlineLevel="0" collapsed="false">
      <c r="A5455" s="15" t="s">
        <v>5512</v>
      </c>
      <c r="B5455" s="16" t="n">
        <v>45997</v>
      </c>
      <c r="C5455" s="15" t="s">
        <v>56</v>
      </c>
      <c r="D5455" s="15" t="s">
        <v>42</v>
      </c>
      <c r="E5455" s="15" t="s">
        <v>37</v>
      </c>
      <c r="F5455" s="15" t="s">
        <v>16</v>
      </c>
      <c r="G5455" s="15" t="s">
        <v>27</v>
      </c>
      <c r="H5455" s="15" t="n">
        <v>6</v>
      </c>
      <c r="I5455" s="17" t="n">
        <v>0</v>
      </c>
      <c r="J5455" s="18" t="n">
        <v>329.05</v>
      </c>
      <c r="K5455" s="19" t="n">
        <v>80.69</v>
      </c>
      <c r="L5455" s="15" t="n">
        <f aca="false">YEAR(B5455)</f>
        <v>2025</v>
      </c>
      <c r="M5455" s="20" t="n">
        <f aca="false">IF(J5455&gt;0,K5455/J5455,0)</f>
        <v>0.245221091019602</v>
      </c>
    </row>
    <row r="5456" customFormat="false" ht="15" hidden="false" customHeight="false" outlineLevel="0" collapsed="false">
      <c r="A5456" s="15" t="s">
        <v>5513</v>
      </c>
      <c r="B5456" s="16" t="n">
        <v>45250</v>
      </c>
      <c r="C5456" s="15" t="s">
        <v>56</v>
      </c>
      <c r="D5456" s="15" t="s">
        <v>42</v>
      </c>
      <c r="E5456" s="15" t="s">
        <v>39</v>
      </c>
      <c r="F5456" s="15" t="s">
        <v>18</v>
      </c>
      <c r="G5456" s="15" t="s">
        <v>30</v>
      </c>
      <c r="H5456" s="15" t="n">
        <v>3</v>
      </c>
      <c r="I5456" s="17" t="n">
        <v>0.2</v>
      </c>
      <c r="J5456" s="18" t="n">
        <v>126.81</v>
      </c>
      <c r="K5456" s="19" t="n">
        <v>13.27</v>
      </c>
      <c r="L5456" s="15" t="n">
        <f aca="false">YEAR(B5456)</f>
        <v>2023</v>
      </c>
      <c r="M5456" s="20" t="n">
        <f aca="false">IF(J5456&gt;0,K5456/J5456,0)</f>
        <v>0.104644744105354</v>
      </c>
    </row>
    <row r="5457" customFormat="false" ht="15" hidden="false" customHeight="false" outlineLevel="0" collapsed="false">
      <c r="A5457" s="15" t="s">
        <v>5514</v>
      </c>
      <c r="B5457" s="16" t="n">
        <v>44843</v>
      </c>
      <c r="C5457" s="15" t="s">
        <v>56</v>
      </c>
      <c r="D5457" s="15" t="s">
        <v>42</v>
      </c>
      <c r="E5457" s="15" t="s">
        <v>37</v>
      </c>
      <c r="F5457" s="15" t="s">
        <v>16</v>
      </c>
      <c r="G5457" s="15" t="s">
        <v>27</v>
      </c>
      <c r="H5457" s="15" t="n">
        <v>5</v>
      </c>
      <c r="I5457" s="17" t="n">
        <v>0.1</v>
      </c>
      <c r="J5457" s="18" t="n">
        <v>267.62</v>
      </c>
      <c r="K5457" s="19" t="n">
        <v>43.79</v>
      </c>
      <c r="L5457" s="15" t="n">
        <f aca="false">YEAR(B5457)</f>
        <v>2022</v>
      </c>
      <c r="M5457" s="20" t="n">
        <f aca="false">IF(J5457&gt;0,K5457/J5457,0)</f>
        <v>0.163627531574621</v>
      </c>
    </row>
    <row r="5458" customFormat="false" ht="15" hidden="false" customHeight="false" outlineLevel="0" collapsed="false">
      <c r="A5458" s="15" t="s">
        <v>5515</v>
      </c>
      <c r="B5458" s="16" t="n">
        <v>45387</v>
      </c>
      <c r="C5458" s="15" t="s">
        <v>68</v>
      </c>
      <c r="D5458" s="15" t="s">
        <v>42</v>
      </c>
      <c r="E5458" s="15" t="s">
        <v>39</v>
      </c>
      <c r="F5458" s="15" t="s">
        <v>17</v>
      </c>
      <c r="G5458" s="15" t="s">
        <v>28</v>
      </c>
      <c r="H5458" s="15" t="n">
        <v>1</v>
      </c>
      <c r="I5458" s="17" t="n">
        <v>0</v>
      </c>
      <c r="J5458" s="18" t="n">
        <v>21.35</v>
      </c>
      <c r="K5458" s="19" t="n">
        <v>6.28</v>
      </c>
      <c r="L5458" s="15" t="n">
        <f aca="false">YEAR(B5458)</f>
        <v>2024</v>
      </c>
      <c r="M5458" s="20" t="n">
        <f aca="false">IF(J5458&gt;0,K5458/J5458,0)</f>
        <v>0.294145199063232</v>
      </c>
    </row>
    <row r="5459" customFormat="false" ht="15" hidden="false" customHeight="false" outlineLevel="0" collapsed="false">
      <c r="A5459" s="15" t="s">
        <v>5516</v>
      </c>
      <c r="B5459" s="16" t="n">
        <v>44830</v>
      </c>
      <c r="C5459" s="15" t="s">
        <v>56</v>
      </c>
      <c r="D5459" s="15" t="s">
        <v>42</v>
      </c>
      <c r="E5459" s="15" t="s">
        <v>36</v>
      </c>
      <c r="F5459" s="15" t="s">
        <v>16</v>
      </c>
      <c r="G5459" s="15" t="s">
        <v>25</v>
      </c>
      <c r="H5459" s="15" t="n">
        <v>6</v>
      </c>
      <c r="I5459" s="17" t="n">
        <v>0</v>
      </c>
      <c r="J5459" s="18" t="n">
        <v>1701.34</v>
      </c>
      <c r="K5459" s="19" t="n">
        <v>92.94</v>
      </c>
      <c r="L5459" s="15" t="n">
        <f aca="false">YEAR(B5459)</f>
        <v>2022</v>
      </c>
      <c r="M5459" s="20" t="n">
        <f aca="false">IF(J5459&gt;0,K5459/J5459,0)</f>
        <v>0.0546275288889934</v>
      </c>
    </row>
    <row r="5460" customFormat="false" ht="15" hidden="false" customHeight="false" outlineLevel="0" collapsed="false">
      <c r="A5460" s="15" t="s">
        <v>5517</v>
      </c>
      <c r="B5460" s="16" t="n">
        <v>45418</v>
      </c>
      <c r="C5460" s="15" t="s">
        <v>56</v>
      </c>
      <c r="D5460" s="15" t="s">
        <v>43</v>
      </c>
      <c r="E5460" s="15" t="s">
        <v>36</v>
      </c>
      <c r="F5460" s="15" t="s">
        <v>18</v>
      </c>
      <c r="G5460" s="15" t="s">
        <v>30</v>
      </c>
      <c r="H5460" s="15" t="n">
        <v>3</v>
      </c>
      <c r="I5460" s="17" t="n">
        <v>0.2</v>
      </c>
      <c r="J5460" s="18" t="n">
        <v>119.93</v>
      </c>
      <c r="K5460" s="19" t="n">
        <v>18.92</v>
      </c>
      <c r="L5460" s="15" t="n">
        <f aca="false">YEAR(B5460)</f>
        <v>2024</v>
      </c>
      <c r="M5460" s="20" t="n">
        <f aca="false">IF(J5460&gt;0,K5460/J5460,0)</f>
        <v>0.157758692570666</v>
      </c>
    </row>
    <row r="5461" customFormat="false" ht="15" hidden="false" customHeight="false" outlineLevel="0" collapsed="false">
      <c r="A5461" s="15" t="s">
        <v>5518</v>
      </c>
      <c r="B5461" s="16" t="n">
        <v>45252</v>
      </c>
      <c r="C5461" s="15" t="s">
        <v>71</v>
      </c>
      <c r="D5461" s="15" t="s">
        <v>43</v>
      </c>
      <c r="E5461" s="15" t="s">
        <v>36</v>
      </c>
      <c r="F5461" s="15" t="s">
        <v>18</v>
      </c>
      <c r="G5461" s="15" t="s">
        <v>30</v>
      </c>
      <c r="H5461" s="15" t="n">
        <v>4</v>
      </c>
      <c r="I5461" s="17" t="n">
        <v>0</v>
      </c>
      <c r="J5461" s="18" t="n">
        <v>149.4</v>
      </c>
      <c r="K5461" s="19" t="n">
        <v>37.81</v>
      </c>
      <c r="L5461" s="15" t="n">
        <f aca="false">YEAR(B5461)</f>
        <v>2023</v>
      </c>
      <c r="M5461" s="20" t="n">
        <f aca="false">IF(J5461&gt;0,K5461/J5461,0)</f>
        <v>0.253078982597055</v>
      </c>
    </row>
    <row r="5462" customFormat="false" ht="15" hidden="false" customHeight="false" outlineLevel="0" collapsed="false">
      <c r="A5462" s="15" t="s">
        <v>5519</v>
      </c>
      <c r="B5462" s="16" t="n">
        <v>44674</v>
      </c>
      <c r="C5462" s="15" t="s">
        <v>71</v>
      </c>
      <c r="D5462" s="15" t="s">
        <v>42</v>
      </c>
      <c r="E5462" s="15" t="s">
        <v>39</v>
      </c>
      <c r="F5462" s="15" t="s">
        <v>17</v>
      </c>
      <c r="G5462" s="15" t="s">
        <v>29</v>
      </c>
      <c r="H5462" s="15" t="n">
        <v>8</v>
      </c>
      <c r="I5462" s="17" t="n">
        <v>0.1</v>
      </c>
      <c r="J5462" s="18" t="n">
        <v>127.87</v>
      </c>
      <c r="K5462" s="19" t="n">
        <v>41.82</v>
      </c>
      <c r="L5462" s="15" t="n">
        <f aca="false">YEAR(B5462)</f>
        <v>2022</v>
      </c>
      <c r="M5462" s="20" t="n">
        <f aca="false">IF(J5462&gt;0,K5462/J5462,0)</f>
        <v>0.327050911081567</v>
      </c>
    </row>
    <row r="5463" customFormat="false" ht="15" hidden="false" customHeight="false" outlineLevel="0" collapsed="false">
      <c r="A5463" s="15" t="s">
        <v>5520</v>
      </c>
      <c r="B5463" s="16" t="n">
        <v>46012</v>
      </c>
      <c r="C5463" s="15" t="s">
        <v>58</v>
      </c>
      <c r="D5463" s="15" t="s">
        <v>43</v>
      </c>
      <c r="E5463" s="15" t="s">
        <v>39</v>
      </c>
      <c r="F5463" s="15" t="s">
        <v>17</v>
      </c>
      <c r="G5463" s="15" t="s">
        <v>28</v>
      </c>
      <c r="H5463" s="15" t="n">
        <v>3</v>
      </c>
      <c r="I5463" s="17" t="n">
        <v>0</v>
      </c>
      <c r="J5463" s="18" t="n">
        <v>93.74</v>
      </c>
      <c r="K5463" s="19" t="n">
        <v>25.04</v>
      </c>
      <c r="L5463" s="15" t="n">
        <f aca="false">YEAR(B5463)</f>
        <v>2025</v>
      </c>
      <c r="M5463" s="20" t="n">
        <f aca="false">IF(J5463&gt;0,K5463/J5463,0)</f>
        <v>0.267121826328142</v>
      </c>
    </row>
    <row r="5464" customFormat="false" ht="15" hidden="false" customHeight="false" outlineLevel="0" collapsed="false">
      <c r="A5464" s="15" t="s">
        <v>5521</v>
      </c>
      <c r="B5464" s="16" t="n">
        <v>44868</v>
      </c>
      <c r="C5464" s="15" t="s">
        <v>56</v>
      </c>
      <c r="D5464" s="15" t="s">
        <v>42</v>
      </c>
      <c r="E5464" s="15" t="s">
        <v>37</v>
      </c>
      <c r="F5464" s="15" t="s">
        <v>17</v>
      </c>
      <c r="G5464" s="15" t="s">
        <v>26</v>
      </c>
      <c r="H5464" s="15" t="n">
        <v>3</v>
      </c>
      <c r="I5464" s="17" t="n">
        <v>0</v>
      </c>
      <c r="J5464" s="18" t="n">
        <v>238.14</v>
      </c>
      <c r="K5464" s="19" t="n">
        <v>31.24</v>
      </c>
      <c r="L5464" s="15" t="n">
        <f aca="false">YEAR(B5464)</f>
        <v>2022</v>
      </c>
      <c r="M5464" s="20" t="n">
        <f aca="false">IF(J5464&gt;0,K5464/J5464,0)</f>
        <v>0.131183337532544</v>
      </c>
    </row>
    <row r="5465" customFormat="false" ht="15" hidden="false" customHeight="false" outlineLevel="0" collapsed="false">
      <c r="A5465" s="15" t="s">
        <v>5522</v>
      </c>
      <c r="B5465" s="16" t="n">
        <v>44875</v>
      </c>
      <c r="C5465" s="15" t="s">
        <v>56</v>
      </c>
      <c r="D5465" s="15" t="s">
        <v>42</v>
      </c>
      <c r="E5465" s="15" t="s">
        <v>38</v>
      </c>
      <c r="F5465" s="15" t="s">
        <v>18</v>
      </c>
      <c r="G5465" s="15" t="s">
        <v>30</v>
      </c>
      <c r="H5465" s="15" t="n">
        <v>1</v>
      </c>
      <c r="I5465" s="17" t="n">
        <v>0.1</v>
      </c>
      <c r="J5465" s="18" t="n">
        <v>38.58</v>
      </c>
      <c r="K5465" s="19" t="n">
        <v>7.79</v>
      </c>
      <c r="L5465" s="15" t="n">
        <f aca="false">YEAR(B5465)</f>
        <v>2022</v>
      </c>
      <c r="M5465" s="20" t="n">
        <f aca="false">IF(J5465&gt;0,K5465/J5465,0)</f>
        <v>0.201918092275791</v>
      </c>
    </row>
    <row r="5466" customFormat="false" ht="15" hidden="false" customHeight="false" outlineLevel="0" collapsed="false">
      <c r="A5466" s="15" t="s">
        <v>5523</v>
      </c>
      <c r="B5466" s="16" t="n">
        <v>45858</v>
      </c>
      <c r="C5466" s="15" t="s">
        <v>71</v>
      </c>
      <c r="D5466" s="15" t="s">
        <v>42</v>
      </c>
      <c r="E5466" s="15" t="s">
        <v>38</v>
      </c>
      <c r="F5466" s="15" t="s">
        <v>18</v>
      </c>
      <c r="G5466" s="15" t="s">
        <v>30</v>
      </c>
      <c r="H5466" s="15" t="n">
        <v>5</v>
      </c>
      <c r="I5466" s="17" t="n">
        <v>0.3</v>
      </c>
      <c r="J5466" s="18" t="n">
        <v>132.4</v>
      </c>
      <c r="K5466" s="19" t="n">
        <v>2.19</v>
      </c>
      <c r="L5466" s="15" t="n">
        <f aca="false">YEAR(B5466)</f>
        <v>2025</v>
      </c>
      <c r="M5466" s="20" t="n">
        <f aca="false">IF(J5466&gt;0,K5466/J5466,0)</f>
        <v>0.0165407854984894</v>
      </c>
    </row>
    <row r="5467" customFormat="false" ht="15" hidden="false" customHeight="false" outlineLevel="0" collapsed="false">
      <c r="A5467" s="15" t="s">
        <v>5524</v>
      </c>
      <c r="B5467" s="16" t="n">
        <v>44809</v>
      </c>
      <c r="C5467" s="15" t="s">
        <v>56</v>
      </c>
      <c r="D5467" s="15" t="s">
        <v>43</v>
      </c>
      <c r="E5467" s="15" t="s">
        <v>39</v>
      </c>
      <c r="F5467" s="15" t="s">
        <v>17</v>
      </c>
      <c r="G5467" s="15" t="s">
        <v>26</v>
      </c>
      <c r="H5467" s="15" t="n">
        <v>2</v>
      </c>
      <c r="I5467" s="17" t="n">
        <v>0</v>
      </c>
      <c r="J5467" s="18" t="n">
        <v>182.59</v>
      </c>
      <c r="K5467" s="19" t="n">
        <v>32.42</v>
      </c>
      <c r="L5467" s="15" t="n">
        <f aca="false">YEAR(B5467)</f>
        <v>2022</v>
      </c>
      <c r="M5467" s="20" t="n">
        <f aca="false">IF(J5467&gt;0,K5467/J5467,0)</f>
        <v>0.17755627361849</v>
      </c>
    </row>
    <row r="5468" customFormat="false" ht="15" hidden="false" customHeight="false" outlineLevel="0" collapsed="false">
      <c r="A5468" s="15" t="s">
        <v>5525</v>
      </c>
      <c r="B5468" s="16" t="n">
        <v>45816</v>
      </c>
      <c r="C5468" s="15" t="s">
        <v>56</v>
      </c>
      <c r="D5468" s="15" t="s">
        <v>44</v>
      </c>
      <c r="E5468" s="15" t="s">
        <v>39</v>
      </c>
      <c r="F5468" s="15" t="s">
        <v>17</v>
      </c>
      <c r="G5468" s="15" t="s">
        <v>29</v>
      </c>
      <c r="H5468" s="15" t="n">
        <v>3</v>
      </c>
      <c r="I5468" s="17" t="n">
        <v>0</v>
      </c>
      <c r="J5468" s="18" t="n">
        <v>56.4</v>
      </c>
      <c r="K5468" s="19" t="n">
        <v>19.39</v>
      </c>
      <c r="L5468" s="15" t="n">
        <f aca="false">YEAR(B5468)</f>
        <v>2025</v>
      </c>
      <c r="M5468" s="20" t="n">
        <f aca="false">IF(J5468&gt;0,K5468/J5468,0)</f>
        <v>0.343794326241135</v>
      </c>
    </row>
    <row r="5469" customFormat="false" ht="15" hidden="false" customHeight="false" outlineLevel="0" collapsed="false">
      <c r="A5469" s="15" t="s">
        <v>5526</v>
      </c>
      <c r="B5469" s="16" t="n">
        <v>45198</v>
      </c>
      <c r="C5469" s="15" t="s">
        <v>56</v>
      </c>
      <c r="D5469" s="15" t="s">
        <v>43</v>
      </c>
      <c r="E5469" s="15" t="s">
        <v>38</v>
      </c>
      <c r="F5469" s="15" t="s">
        <v>16</v>
      </c>
      <c r="G5469" s="15" t="s">
        <v>27</v>
      </c>
      <c r="H5469" s="15" t="n">
        <v>4</v>
      </c>
      <c r="I5469" s="17" t="n">
        <v>0.4</v>
      </c>
      <c r="J5469" s="18" t="n">
        <v>150.12</v>
      </c>
      <c r="K5469" s="19" t="n">
        <v>-18.21</v>
      </c>
      <c r="L5469" s="15" t="n">
        <f aca="false">YEAR(B5469)</f>
        <v>2023</v>
      </c>
      <c r="M5469" s="20" t="n">
        <f aca="false">IF(J5469&gt;0,K5469/J5469,0)</f>
        <v>-0.121302957633893</v>
      </c>
    </row>
    <row r="5470" customFormat="false" ht="15" hidden="false" customHeight="false" outlineLevel="0" collapsed="false">
      <c r="A5470" s="15" t="s">
        <v>5527</v>
      </c>
      <c r="B5470" s="16" t="n">
        <v>45855</v>
      </c>
      <c r="C5470" s="15" t="s">
        <v>56</v>
      </c>
      <c r="D5470" s="15" t="s">
        <v>44</v>
      </c>
      <c r="E5470" s="15" t="s">
        <v>39</v>
      </c>
      <c r="F5470" s="15" t="s">
        <v>17</v>
      </c>
      <c r="G5470" s="15" t="s">
        <v>26</v>
      </c>
      <c r="H5470" s="15" t="n">
        <v>4</v>
      </c>
      <c r="I5470" s="17" t="n">
        <v>0.1</v>
      </c>
      <c r="J5470" s="18" t="n">
        <v>369</v>
      </c>
      <c r="K5470" s="19" t="n">
        <v>16.09</v>
      </c>
      <c r="L5470" s="15" t="n">
        <f aca="false">YEAR(B5470)</f>
        <v>2025</v>
      </c>
      <c r="M5470" s="20" t="n">
        <f aca="false">IF(J5470&gt;0,K5470/J5470,0)</f>
        <v>0.0436043360433604</v>
      </c>
    </row>
    <row r="5471" customFormat="false" ht="15" hidden="false" customHeight="false" outlineLevel="0" collapsed="false">
      <c r="A5471" s="15" t="s">
        <v>5528</v>
      </c>
      <c r="B5471" s="16" t="n">
        <v>45259</v>
      </c>
      <c r="C5471" s="15" t="s">
        <v>56</v>
      </c>
      <c r="D5471" s="15" t="s">
        <v>42</v>
      </c>
      <c r="E5471" s="15" t="s">
        <v>37</v>
      </c>
      <c r="F5471" s="15" t="s">
        <v>17</v>
      </c>
      <c r="G5471" s="15" t="s">
        <v>28</v>
      </c>
      <c r="H5471" s="15" t="n">
        <v>5</v>
      </c>
      <c r="I5471" s="17" t="n">
        <v>0</v>
      </c>
      <c r="J5471" s="18" t="n">
        <v>117.63</v>
      </c>
      <c r="K5471" s="19" t="n">
        <v>29.91</v>
      </c>
      <c r="L5471" s="15" t="n">
        <f aca="false">YEAR(B5471)</f>
        <v>2023</v>
      </c>
      <c r="M5471" s="20" t="n">
        <f aca="false">IF(J5471&gt;0,K5471/J5471,0)</f>
        <v>0.254271869421066</v>
      </c>
    </row>
    <row r="5472" customFormat="false" ht="15" hidden="false" customHeight="false" outlineLevel="0" collapsed="false">
      <c r="A5472" s="15" t="s">
        <v>5529</v>
      </c>
      <c r="B5472" s="16" t="n">
        <v>45266</v>
      </c>
      <c r="C5472" s="15" t="s">
        <v>56</v>
      </c>
      <c r="D5472" s="15" t="s">
        <v>44</v>
      </c>
      <c r="E5472" s="15" t="s">
        <v>36</v>
      </c>
      <c r="F5472" s="15" t="s">
        <v>16</v>
      </c>
      <c r="G5472" s="15" t="s">
        <v>27</v>
      </c>
      <c r="H5472" s="15" t="n">
        <v>4</v>
      </c>
      <c r="I5472" s="17" t="n">
        <v>0.1</v>
      </c>
      <c r="J5472" s="18" t="n">
        <v>221.74</v>
      </c>
      <c r="K5472" s="19" t="n">
        <v>32.11</v>
      </c>
      <c r="L5472" s="15" t="n">
        <f aca="false">YEAR(B5472)</f>
        <v>2023</v>
      </c>
      <c r="M5472" s="20" t="n">
        <f aca="false">IF(J5472&gt;0,K5472/J5472,0)</f>
        <v>0.144809236042212</v>
      </c>
    </row>
    <row r="5473" customFormat="false" ht="15" hidden="false" customHeight="false" outlineLevel="0" collapsed="false">
      <c r="A5473" s="15" t="s">
        <v>5530</v>
      </c>
      <c r="B5473" s="16" t="n">
        <v>44785</v>
      </c>
      <c r="C5473" s="15" t="s">
        <v>68</v>
      </c>
      <c r="D5473" s="15" t="s">
        <v>43</v>
      </c>
      <c r="E5473" s="15" t="s">
        <v>37</v>
      </c>
      <c r="F5473" s="15" t="s">
        <v>17</v>
      </c>
      <c r="G5473" s="15" t="s">
        <v>28</v>
      </c>
      <c r="H5473" s="15" t="n">
        <v>5</v>
      </c>
      <c r="I5473" s="17" t="n">
        <v>0.15</v>
      </c>
      <c r="J5473" s="18" t="n">
        <v>122.59</v>
      </c>
      <c r="K5473" s="19" t="n">
        <v>19.11</v>
      </c>
      <c r="L5473" s="15" t="n">
        <f aca="false">YEAR(B5473)</f>
        <v>2022</v>
      </c>
      <c r="M5473" s="20" t="n">
        <f aca="false">IF(J5473&gt;0,K5473/J5473,0)</f>
        <v>0.155885471898197</v>
      </c>
    </row>
    <row r="5474" customFormat="false" ht="15" hidden="false" customHeight="false" outlineLevel="0" collapsed="false">
      <c r="A5474" s="15" t="s">
        <v>5531</v>
      </c>
      <c r="B5474" s="16" t="n">
        <v>45768</v>
      </c>
      <c r="C5474" s="15" t="s">
        <v>68</v>
      </c>
      <c r="D5474" s="15" t="s">
        <v>42</v>
      </c>
      <c r="E5474" s="15" t="s">
        <v>38</v>
      </c>
      <c r="F5474" s="15" t="s">
        <v>16</v>
      </c>
      <c r="G5474" s="15" t="s">
        <v>25</v>
      </c>
      <c r="H5474" s="15" t="n">
        <v>4</v>
      </c>
      <c r="I5474" s="17" t="n">
        <v>0.2</v>
      </c>
      <c r="J5474" s="18" t="n">
        <v>799.32</v>
      </c>
      <c r="K5474" s="19" t="n">
        <v>-46.97</v>
      </c>
      <c r="L5474" s="15" t="n">
        <f aca="false">YEAR(B5474)</f>
        <v>2025</v>
      </c>
      <c r="M5474" s="20" t="n">
        <f aca="false">IF(J5474&gt;0,K5474/J5474,0)</f>
        <v>-0.0587624480808687</v>
      </c>
    </row>
    <row r="5475" customFormat="false" ht="15" hidden="false" customHeight="false" outlineLevel="0" collapsed="false">
      <c r="A5475" s="15" t="s">
        <v>5532</v>
      </c>
      <c r="B5475" s="16" t="n">
        <v>44925</v>
      </c>
      <c r="C5475" s="15" t="s">
        <v>56</v>
      </c>
      <c r="D5475" s="15" t="s">
        <v>42</v>
      </c>
      <c r="E5475" s="15" t="s">
        <v>38</v>
      </c>
      <c r="F5475" s="15" t="s">
        <v>16</v>
      </c>
      <c r="G5475" s="15" t="s">
        <v>27</v>
      </c>
      <c r="H5475" s="15" t="n">
        <v>7</v>
      </c>
      <c r="I5475" s="17" t="n">
        <v>0.1</v>
      </c>
      <c r="J5475" s="18" t="n">
        <v>293.68</v>
      </c>
      <c r="K5475" s="19" t="n">
        <v>22.19</v>
      </c>
      <c r="L5475" s="15" t="n">
        <f aca="false">YEAR(B5475)</f>
        <v>2022</v>
      </c>
      <c r="M5475" s="20" t="n">
        <f aca="false">IF(J5475&gt;0,K5475/J5475,0)</f>
        <v>0.0755584309452465</v>
      </c>
    </row>
    <row r="5476" customFormat="false" ht="15" hidden="false" customHeight="false" outlineLevel="0" collapsed="false">
      <c r="A5476" s="15" t="s">
        <v>5533</v>
      </c>
      <c r="B5476" s="16" t="n">
        <v>45142</v>
      </c>
      <c r="C5476" s="15" t="s">
        <v>56</v>
      </c>
      <c r="D5476" s="15" t="s">
        <v>43</v>
      </c>
      <c r="E5476" s="15" t="s">
        <v>37</v>
      </c>
      <c r="F5476" s="15" t="s">
        <v>17</v>
      </c>
      <c r="G5476" s="15" t="s">
        <v>29</v>
      </c>
      <c r="H5476" s="15" t="n">
        <v>6</v>
      </c>
      <c r="I5476" s="17" t="n">
        <v>0.2</v>
      </c>
      <c r="J5476" s="18" t="n">
        <v>100.52</v>
      </c>
      <c r="K5476" s="19" t="n">
        <v>17.36</v>
      </c>
      <c r="L5476" s="15" t="n">
        <f aca="false">YEAR(B5476)</f>
        <v>2023</v>
      </c>
      <c r="M5476" s="20" t="n">
        <f aca="false">IF(J5476&gt;0,K5476/J5476,0)</f>
        <v>0.172701949860724</v>
      </c>
    </row>
    <row r="5477" customFormat="false" ht="15" hidden="false" customHeight="false" outlineLevel="0" collapsed="false">
      <c r="A5477" s="15" t="s">
        <v>5534</v>
      </c>
      <c r="B5477" s="16" t="n">
        <v>45569</v>
      </c>
      <c r="C5477" s="15" t="s">
        <v>56</v>
      </c>
      <c r="D5477" s="15" t="s">
        <v>43</v>
      </c>
      <c r="E5477" s="15" t="s">
        <v>39</v>
      </c>
      <c r="F5477" s="15" t="s">
        <v>17</v>
      </c>
      <c r="G5477" s="15" t="s">
        <v>26</v>
      </c>
      <c r="H5477" s="15" t="n">
        <v>3</v>
      </c>
      <c r="I5477" s="17" t="n">
        <v>0.2</v>
      </c>
      <c r="J5477" s="18" t="n">
        <v>233.72</v>
      </c>
      <c r="K5477" s="19" t="n">
        <v>-10.6</v>
      </c>
      <c r="L5477" s="15" t="n">
        <f aca="false">YEAR(B5477)</f>
        <v>2024</v>
      </c>
      <c r="M5477" s="20" t="n">
        <f aca="false">IF(J5477&gt;0,K5477/J5477,0)</f>
        <v>-0.0453534143419476</v>
      </c>
    </row>
    <row r="5478" customFormat="false" ht="15" hidden="false" customHeight="false" outlineLevel="0" collapsed="false">
      <c r="A5478" s="15" t="s">
        <v>5535</v>
      </c>
      <c r="B5478" s="16" t="n">
        <v>45339</v>
      </c>
      <c r="C5478" s="15" t="s">
        <v>56</v>
      </c>
      <c r="D5478" s="15" t="s">
        <v>44</v>
      </c>
      <c r="E5478" s="15" t="s">
        <v>36</v>
      </c>
      <c r="F5478" s="15" t="s">
        <v>17</v>
      </c>
      <c r="G5478" s="15" t="s">
        <v>29</v>
      </c>
      <c r="H5478" s="15" t="n">
        <v>2</v>
      </c>
      <c r="I5478" s="17" t="n">
        <v>0</v>
      </c>
      <c r="J5478" s="18" t="n">
        <v>41.68</v>
      </c>
      <c r="K5478" s="19" t="n">
        <v>13.68</v>
      </c>
      <c r="L5478" s="15" t="n">
        <f aca="false">YEAR(B5478)</f>
        <v>2024</v>
      </c>
      <c r="M5478" s="20" t="n">
        <f aca="false">IF(J5478&gt;0,K5478/J5478,0)</f>
        <v>0.328214971209213</v>
      </c>
    </row>
    <row r="5479" customFormat="false" ht="15" hidden="false" customHeight="false" outlineLevel="0" collapsed="false">
      <c r="A5479" s="15" t="s">
        <v>5536</v>
      </c>
      <c r="B5479" s="16" t="n">
        <v>45241</v>
      </c>
      <c r="C5479" s="15" t="s">
        <v>68</v>
      </c>
      <c r="D5479" s="15" t="s">
        <v>42</v>
      </c>
      <c r="E5479" s="15" t="s">
        <v>38</v>
      </c>
      <c r="F5479" s="15" t="s">
        <v>17</v>
      </c>
      <c r="G5479" s="15" t="s">
        <v>26</v>
      </c>
      <c r="H5479" s="15" t="n">
        <v>1</v>
      </c>
      <c r="I5479" s="17" t="n">
        <v>0</v>
      </c>
      <c r="J5479" s="18" t="n">
        <v>65.16</v>
      </c>
      <c r="K5479" s="19" t="n">
        <v>6</v>
      </c>
      <c r="L5479" s="15" t="n">
        <f aca="false">YEAR(B5479)</f>
        <v>2023</v>
      </c>
      <c r="M5479" s="20" t="n">
        <f aca="false">IF(J5479&gt;0,K5479/J5479,0)</f>
        <v>0.0920810313075507</v>
      </c>
    </row>
    <row r="5480" customFormat="false" ht="15" hidden="false" customHeight="false" outlineLevel="0" collapsed="false">
      <c r="A5480" s="15" t="s">
        <v>5537</v>
      </c>
      <c r="B5480" s="16" t="n">
        <v>45907</v>
      </c>
      <c r="C5480" s="15" t="s">
        <v>56</v>
      </c>
      <c r="D5480" s="15" t="s">
        <v>42</v>
      </c>
      <c r="E5480" s="15" t="s">
        <v>39</v>
      </c>
      <c r="F5480" s="15" t="s">
        <v>17</v>
      </c>
      <c r="G5480" s="15" t="s">
        <v>26</v>
      </c>
      <c r="H5480" s="15" t="n">
        <v>3</v>
      </c>
      <c r="I5480" s="17" t="n">
        <v>0.1</v>
      </c>
      <c r="J5480" s="18" t="n">
        <v>210.76</v>
      </c>
      <c r="K5480" s="19" t="n">
        <v>5.29</v>
      </c>
      <c r="L5480" s="15" t="n">
        <f aca="false">YEAR(B5480)</f>
        <v>2025</v>
      </c>
      <c r="M5480" s="20" t="n">
        <f aca="false">IF(J5480&gt;0,K5480/J5480,0)</f>
        <v>0.0250996394002657</v>
      </c>
    </row>
    <row r="5481" customFormat="false" ht="15" hidden="false" customHeight="false" outlineLevel="0" collapsed="false">
      <c r="A5481" s="15" t="s">
        <v>5538</v>
      </c>
      <c r="B5481" s="16" t="n">
        <v>45695</v>
      </c>
      <c r="C5481" s="15" t="s">
        <v>56</v>
      </c>
      <c r="D5481" s="15" t="s">
        <v>43</v>
      </c>
      <c r="E5481" s="15" t="s">
        <v>36</v>
      </c>
      <c r="F5481" s="15" t="s">
        <v>18</v>
      </c>
      <c r="G5481" s="15" t="s">
        <v>30</v>
      </c>
      <c r="H5481" s="15" t="n">
        <v>7</v>
      </c>
      <c r="I5481" s="17" t="n">
        <v>0</v>
      </c>
      <c r="J5481" s="18" t="n">
        <v>321.93</v>
      </c>
      <c r="K5481" s="19" t="n">
        <v>104.92</v>
      </c>
      <c r="L5481" s="15" t="n">
        <f aca="false">YEAR(B5481)</f>
        <v>2025</v>
      </c>
      <c r="M5481" s="20" t="n">
        <f aca="false">IF(J5481&gt;0,K5481/J5481,0)</f>
        <v>0.325909359177461</v>
      </c>
    </row>
    <row r="5482" customFormat="false" ht="15" hidden="false" customHeight="false" outlineLevel="0" collapsed="false">
      <c r="A5482" s="15" t="s">
        <v>5539</v>
      </c>
      <c r="B5482" s="16" t="n">
        <v>44966</v>
      </c>
      <c r="C5482" s="15" t="s">
        <v>56</v>
      </c>
      <c r="D5482" s="15" t="s">
        <v>42</v>
      </c>
      <c r="E5482" s="15" t="s">
        <v>38</v>
      </c>
      <c r="F5482" s="15" t="s">
        <v>17</v>
      </c>
      <c r="G5482" s="15" t="s">
        <v>26</v>
      </c>
      <c r="H5482" s="15" t="n">
        <v>1</v>
      </c>
      <c r="I5482" s="17" t="n">
        <v>0</v>
      </c>
      <c r="J5482" s="18" t="n">
        <v>89.76</v>
      </c>
      <c r="K5482" s="19" t="n">
        <v>12.42</v>
      </c>
      <c r="L5482" s="15" t="n">
        <f aca="false">YEAR(B5482)</f>
        <v>2023</v>
      </c>
      <c r="M5482" s="20" t="n">
        <f aca="false">IF(J5482&gt;0,K5482/J5482,0)</f>
        <v>0.138368983957219</v>
      </c>
    </row>
    <row r="5483" customFormat="false" ht="15" hidden="false" customHeight="false" outlineLevel="0" collapsed="false">
      <c r="A5483" s="15" t="s">
        <v>5540</v>
      </c>
      <c r="B5483" s="16" t="n">
        <v>45840</v>
      </c>
      <c r="C5483" s="15" t="s">
        <v>58</v>
      </c>
      <c r="D5483" s="15" t="s">
        <v>42</v>
      </c>
      <c r="E5483" s="15" t="s">
        <v>39</v>
      </c>
      <c r="F5483" s="15" t="s">
        <v>17</v>
      </c>
      <c r="G5483" s="15" t="s">
        <v>29</v>
      </c>
      <c r="H5483" s="15" t="n">
        <v>4</v>
      </c>
      <c r="I5483" s="17" t="n">
        <v>0</v>
      </c>
      <c r="J5483" s="18" t="n">
        <v>65.94</v>
      </c>
      <c r="K5483" s="19" t="n">
        <v>26.17</v>
      </c>
      <c r="L5483" s="15" t="n">
        <f aca="false">YEAR(B5483)</f>
        <v>2025</v>
      </c>
      <c r="M5483" s="20" t="n">
        <f aca="false">IF(J5483&gt;0,K5483/J5483,0)</f>
        <v>0.396875947831362</v>
      </c>
    </row>
    <row r="5484" customFormat="false" ht="15" hidden="false" customHeight="false" outlineLevel="0" collapsed="false">
      <c r="A5484" s="15" t="s">
        <v>5541</v>
      </c>
      <c r="B5484" s="16" t="n">
        <v>45801</v>
      </c>
      <c r="C5484" s="15" t="s">
        <v>56</v>
      </c>
      <c r="D5484" s="15" t="s">
        <v>42</v>
      </c>
      <c r="E5484" s="15" t="s">
        <v>38</v>
      </c>
      <c r="F5484" s="15" t="s">
        <v>16</v>
      </c>
      <c r="G5484" s="15" t="s">
        <v>27</v>
      </c>
      <c r="H5484" s="15" t="n">
        <v>1</v>
      </c>
      <c r="I5484" s="17" t="n">
        <v>0.1</v>
      </c>
      <c r="J5484" s="18" t="n">
        <v>49.63</v>
      </c>
      <c r="K5484" s="19" t="n">
        <v>6.63</v>
      </c>
      <c r="L5484" s="15" t="n">
        <f aca="false">YEAR(B5484)</f>
        <v>2025</v>
      </c>
      <c r="M5484" s="20" t="n">
        <f aca="false">IF(J5484&gt;0,K5484/J5484,0)</f>
        <v>0.133588555309289</v>
      </c>
    </row>
    <row r="5485" customFormat="false" ht="15" hidden="false" customHeight="false" outlineLevel="0" collapsed="false">
      <c r="A5485" s="15" t="s">
        <v>5542</v>
      </c>
      <c r="B5485" s="16" t="n">
        <v>45188</v>
      </c>
      <c r="C5485" s="15" t="s">
        <v>56</v>
      </c>
      <c r="D5485" s="15" t="s">
        <v>42</v>
      </c>
      <c r="E5485" s="15" t="s">
        <v>37</v>
      </c>
      <c r="F5485" s="15" t="s">
        <v>17</v>
      </c>
      <c r="G5485" s="15" t="s">
        <v>29</v>
      </c>
      <c r="H5485" s="15" t="n">
        <v>3</v>
      </c>
      <c r="I5485" s="17" t="n">
        <v>0</v>
      </c>
      <c r="J5485" s="18" t="n">
        <v>48.65</v>
      </c>
      <c r="K5485" s="19" t="n">
        <v>16.09</v>
      </c>
      <c r="L5485" s="15" t="n">
        <f aca="false">YEAR(B5485)</f>
        <v>2023</v>
      </c>
      <c r="M5485" s="20" t="n">
        <f aca="false">IF(J5485&gt;0,K5485/J5485,0)</f>
        <v>0.330729701952724</v>
      </c>
    </row>
    <row r="5486" customFormat="false" ht="15" hidden="false" customHeight="false" outlineLevel="0" collapsed="false">
      <c r="A5486" s="15" t="s">
        <v>5543</v>
      </c>
      <c r="B5486" s="16" t="n">
        <v>45082</v>
      </c>
      <c r="C5486" s="15" t="s">
        <v>68</v>
      </c>
      <c r="D5486" s="15" t="s">
        <v>42</v>
      </c>
      <c r="E5486" s="15" t="s">
        <v>37</v>
      </c>
      <c r="F5486" s="15" t="s">
        <v>17</v>
      </c>
      <c r="G5486" s="15" t="s">
        <v>29</v>
      </c>
      <c r="H5486" s="15" t="n">
        <v>4</v>
      </c>
      <c r="I5486" s="17" t="n">
        <v>0.1</v>
      </c>
      <c r="J5486" s="18" t="n">
        <v>66.66</v>
      </c>
      <c r="K5486" s="19" t="n">
        <v>22.42</v>
      </c>
      <c r="L5486" s="15" t="n">
        <f aca="false">YEAR(B5486)</f>
        <v>2023</v>
      </c>
      <c r="M5486" s="20" t="n">
        <f aca="false">IF(J5486&gt;0,K5486/J5486,0)</f>
        <v>0.336333633363336</v>
      </c>
    </row>
    <row r="5487" customFormat="false" ht="15" hidden="false" customHeight="false" outlineLevel="0" collapsed="false">
      <c r="A5487" s="15" t="s">
        <v>5544</v>
      </c>
      <c r="B5487" s="16" t="n">
        <v>45197</v>
      </c>
      <c r="C5487" s="15" t="s">
        <v>56</v>
      </c>
      <c r="D5487" s="15" t="s">
        <v>43</v>
      </c>
      <c r="E5487" s="15" t="s">
        <v>37</v>
      </c>
      <c r="F5487" s="15" t="s">
        <v>17</v>
      </c>
      <c r="G5487" s="15" t="s">
        <v>29</v>
      </c>
      <c r="H5487" s="15" t="n">
        <v>4</v>
      </c>
      <c r="I5487" s="17" t="n">
        <v>0.05</v>
      </c>
      <c r="J5487" s="18" t="n">
        <v>81.67</v>
      </c>
      <c r="K5487" s="19" t="n">
        <v>25.1</v>
      </c>
      <c r="L5487" s="15" t="n">
        <f aca="false">YEAR(B5487)</f>
        <v>2023</v>
      </c>
      <c r="M5487" s="20" t="n">
        <f aca="false">IF(J5487&gt;0,K5487/J5487,0)</f>
        <v>0.30733439451451</v>
      </c>
    </row>
    <row r="5488" customFormat="false" ht="15" hidden="false" customHeight="false" outlineLevel="0" collapsed="false">
      <c r="A5488" s="15" t="s">
        <v>5545</v>
      </c>
      <c r="B5488" s="16" t="n">
        <v>45467</v>
      </c>
      <c r="C5488" s="15" t="s">
        <v>68</v>
      </c>
      <c r="D5488" s="15" t="s">
        <v>42</v>
      </c>
      <c r="E5488" s="15" t="s">
        <v>37</v>
      </c>
      <c r="F5488" s="15" t="s">
        <v>17</v>
      </c>
      <c r="G5488" s="15" t="s">
        <v>29</v>
      </c>
      <c r="H5488" s="15" t="n">
        <v>4</v>
      </c>
      <c r="I5488" s="17" t="n">
        <v>0</v>
      </c>
      <c r="J5488" s="18" t="n">
        <v>72.74</v>
      </c>
      <c r="K5488" s="19" t="n">
        <v>22.85</v>
      </c>
      <c r="L5488" s="15" t="n">
        <f aca="false">YEAR(B5488)</f>
        <v>2024</v>
      </c>
      <c r="M5488" s="20" t="n">
        <f aca="false">IF(J5488&gt;0,K5488/J5488,0)</f>
        <v>0.314132526807809</v>
      </c>
    </row>
    <row r="5489" customFormat="false" ht="15" hidden="false" customHeight="false" outlineLevel="0" collapsed="false">
      <c r="A5489" s="15" t="s">
        <v>5546</v>
      </c>
      <c r="B5489" s="16" t="n">
        <v>45838</v>
      </c>
      <c r="C5489" s="15" t="s">
        <v>71</v>
      </c>
      <c r="D5489" s="15" t="s">
        <v>42</v>
      </c>
      <c r="E5489" s="15" t="s">
        <v>38</v>
      </c>
      <c r="F5489" s="15" t="s">
        <v>17</v>
      </c>
      <c r="G5489" s="15" t="s">
        <v>28</v>
      </c>
      <c r="H5489" s="15" t="n">
        <v>3</v>
      </c>
      <c r="I5489" s="17" t="n">
        <v>0.15</v>
      </c>
      <c r="J5489" s="18" t="n">
        <v>62.44</v>
      </c>
      <c r="K5489" s="19" t="n">
        <v>13.19</v>
      </c>
      <c r="L5489" s="15" t="n">
        <f aca="false">YEAR(B5489)</f>
        <v>2025</v>
      </c>
      <c r="M5489" s="20" t="n">
        <f aca="false">IF(J5489&gt;0,K5489/J5489,0)</f>
        <v>0.211242793081358</v>
      </c>
    </row>
    <row r="5490" customFormat="false" ht="15" hidden="false" customHeight="false" outlineLevel="0" collapsed="false">
      <c r="A5490" s="15" t="s">
        <v>5547</v>
      </c>
      <c r="B5490" s="16" t="n">
        <v>45696</v>
      </c>
      <c r="C5490" s="15" t="s">
        <v>56</v>
      </c>
      <c r="D5490" s="15" t="s">
        <v>42</v>
      </c>
      <c r="E5490" s="15" t="s">
        <v>36</v>
      </c>
      <c r="F5490" s="15" t="s">
        <v>18</v>
      </c>
      <c r="G5490" s="15" t="s">
        <v>30</v>
      </c>
      <c r="H5490" s="15" t="n">
        <v>1</v>
      </c>
      <c r="I5490" s="17" t="n">
        <v>0</v>
      </c>
      <c r="J5490" s="18" t="n">
        <v>34.61</v>
      </c>
      <c r="K5490" s="19" t="n">
        <v>8.84</v>
      </c>
      <c r="L5490" s="15" t="n">
        <f aca="false">YEAR(B5490)</f>
        <v>2025</v>
      </c>
      <c r="M5490" s="20" t="n">
        <f aca="false">IF(J5490&gt;0,K5490/J5490,0)</f>
        <v>0.25541750939035</v>
      </c>
    </row>
    <row r="5491" customFormat="false" ht="15" hidden="false" customHeight="false" outlineLevel="0" collapsed="false">
      <c r="A5491" s="15" t="s">
        <v>5548</v>
      </c>
      <c r="B5491" s="16" t="n">
        <v>44564</v>
      </c>
      <c r="C5491" s="15" t="s">
        <v>68</v>
      </c>
      <c r="D5491" s="15" t="s">
        <v>42</v>
      </c>
      <c r="E5491" s="15" t="s">
        <v>38</v>
      </c>
      <c r="F5491" s="15" t="s">
        <v>18</v>
      </c>
      <c r="G5491" s="15" t="s">
        <v>30</v>
      </c>
      <c r="H5491" s="15" t="n">
        <v>5</v>
      </c>
      <c r="I5491" s="17" t="n">
        <v>0.1</v>
      </c>
      <c r="J5491" s="18" t="n">
        <v>186.07</v>
      </c>
      <c r="K5491" s="19" t="n">
        <v>37.3</v>
      </c>
      <c r="L5491" s="15" t="n">
        <f aca="false">YEAR(B5491)</f>
        <v>2022</v>
      </c>
      <c r="M5491" s="20" t="n">
        <f aca="false">IF(J5491&gt;0,K5491/J5491,0)</f>
        <v>0.200462191648304</v>
      </c>
    </row>
    <row r="5492" customFormat="false" ht="15" hidden="false" customHeight="false" outlineLevel="0" collapsed="false">
      <c r="A5492" s="15" t="s">
        <v>5549</v>
      </c>
      <c r="B5492" s="16" t="n">
        <v>45151</v>
      </c>
      <c r="C5492" s="15" t="s">
        <v>56</v>
      </c>
      <c r="D5492" s="15" t="s">
        <v>42</v>
      </c>
      <c r="E5492" s="15" t="s">
        <v>38</v>
      </c>
      <c r="F5492" s="15" t="s">
        <v>17</v>
      </c>
      <c r="G5492" s="15" t="s">
        <v>28</v>
      </c>
      <c r="H5492" s="15" t="n">
        <v>3</v>
      </c>
      <c r="I5492" s="17" t="n">
        <v>0.1</v>
      </c>
      <c r="J5492" s="18" t="n">
        <v>57.14</v>
      </c>
      <c r="K5492" s="19" t="n">
        <v>14.5</v>
      </c>
      <c r="L5492" s="15" t="n">
        <f aca="false">YEAR(B5492)</f>
        <v>2023</v>
      </c>
      <c r="M5492" s="20" t="n">
        <f aca="false">IF(J5492&gt;0,K5492/J5492,0)</f>
        <v>0.253762688134407</v>
      </c>
    </row>
    <row r="5493" customFormat="false" ht="15" hidden="false" customHeight="false" outlineLevel="0" collapsed="false">
      <c r="A5493" s="15" t="s">
        <v>5550</v>
      </c>
      <c r="B5493" s="16" t="n">
        <v>45213</v>
      </c>
      <c r="C5493" s="15" t="s">
        <v>56</v>
      </c>
      <c r="D5493" s="15" t="s">
        <v>42</v>
      </c>
      <c r="E5493" s="15" t="s">
        <v>36</v>
      </c>
      <c r="F5493" s="15" t="s">
        <v>17</v>
      </c>
      <c r="G5493" s="15" t="s">
        <v>28</v>
      </c>
      <c r="H5493" s="15" t="n">
        <v>7</v>
      </c>
      <c r="I5493" s="17" t="n">
        <v>0.1</v>
      </c>
      <c r="J5493" s="18" t="n">
        <v>121.67</v>
      </c>
      <c r="K5493" s="19" t="n">
        <v>28.32</v>
      </c>
      <c r="L5493" s="15" t="n">
        <f aca="false">YEAR(B5493)</f>
        <v>2023</v>
      </c>
      <c r="M5493" s="20" t="n">
        <f aca="false">IF(J5493&gt;0,K5493/J5493,0)</f>
        <v>0.232760746280924</v>
      </c>
    </row>
    <row r="5494" customFormat="false" ht="15" hidden="false" customHeight="false" outlineLevel="0" collapsed="false">
      <c r="A5494" s="15" t="s">
        <v>5551</v>
      </c>
      <c r="B5494" s="16" t="n">
        <v>45440</v>
      </c>
      <c r="C5494" s="15" t="s">
        <v>56</v>
      </c>
      <c r="D5494" s="15" t="s">
        <v>42</v>
      </c>
      <c r="E5494" s="15" t="s">
        <v>37</v>
      </c>
      <c r="F5494" s="15" t="s">
        <v>17</v>
      </c>
      <c r="G5494" s="15" t="s">
        <v>26</v>
      </c>
      <c r="H5494" s="15" t="n">
        <v>5</v>
      </c>
      <c r="I5494" s="17" t="n">
        <v>0.15</v>
      </c>
      <c r="J5494" s="18" t="n">
        <v>350.28</v>
      </c>
      <c r="K5494" s="19" t="n">
        <v>4.06</v>
      </c>
      <c r="L5494" s="15" t="n">
        <f aca="false">YEAR(B5494)</f>
        <v>2024</v>
      </c>
      <c r="M5494" s="20" t="n">
        <f aca="false">IF(J5494&gt;0,K5494/J5494,0)</f>
        <v>0.0115907274180655</v>
      </c>
    </row>
    <row r="5495" customFormat="false" ht="15" hidden="false" customHeight="false" outlineLevel="0" collapsed="false">
      <c r="A5495" s="15" t="s">
        <v>5552</v>
      </c>
      <c r="B5495" s="16" t="n">
        <v>44950</v>
      </c>
      <c r="C5495" s="15" t="s">
        <v>56</v>
      </c>
      <c r="D5495" s="15" t="s">
        <v>42</v>
      </c>
      <c r="E5495" s="15" t="s">
        <v>37</v>
      </c>
      <c r="F5495" s="15" t="s">
        <v>16</v>
      </c>
      <c r="G5495" s="15" t="s">
        <v>27</v>
      </c>
      <c r="H5495" s="15" t="n">
        <v>1</v>
      </c>
      <c r="I5495" s="17" t="n">
        <v>0</v>
      </c>
      <c r="J5495" s="18" t="n">
        <v>57.61</v>
      </c>
      <c r="K5495" s="19" t="n">
        <v>11.22</v>
      </c>
      <c r="L5495" s="15" t="n">
        <f aca="false">YEAR(B5495)</f>
        <v>2023</v>
      </c>
      <c r="M5495" s="20" t="n">
        <f aca="false">IF(J5495&gt;0,K5495/J5495,0)</f>
        <v>0.194757854539143</v>
      </c>
    </row>
    <row r="5496" customFormat="false" ht="15" hidden="false" customHeight="false" outlineLevel="0" collapsed="false">
      <c r="A5496" s="15" t="s">
        <v>5553</v>
      </c>
      <c r="B5496" s="16" t="n">
        <v>45618</v>
      </c>
      <c r="C5496" s="15" t="s">
        <v>71</v>
      </c>
      <c r="D5496" s="15" t="s">
        <v>43</v>
      </c>
      <c r="E5496" s="15" t="s">
        <v>36</v>
      </c>
      <c r="F5496" s="15" t="s">
        <v>18</v>
      </c>
      <c r="G5496" s="15" t="s">
        <v>30</v>
      </c>
      <c r="H5496" s="15" t="n">
        <v>9</v>
      </c>
      <c r="I5496" s="17" t="n">
        <v>0.15</v>
      </c>
      <c r="J5496" s="18" t="n">
        <v>384.29</v>
      </c>
      <c r="K5496" s="19" t="n">
        <v>74.77</v>
      </c>
      <c r="L5496" s="15" t="n">
        <f aca="false">YEAR(B5496)</f>
        <v>2024</v>
      </c>
      <c r="M5496" s="20" t="n">
        <f aca="false">IF(J5496&gt;0,K5496/J5496,0)</f>
        <v>0.194566603346431</v>
      </c>
    </row>
    <row r="5497" customFormat="false" ht="15" hidden="false" customHeight="false" outlineLevel="0" collapsed="false">
      <c r="A5497" s="15" t="s">
        <v>5554</v>
      </c>
      <c r="B5497" s="16" t="n">
        <v>45550</v>
      </c>
      <c r="C5497" s="15" t="s">
        <v>71</v>
      </c>
      <c r="D5497" s="15" t="s">
        <v>44</v>
      </c>
      <c r="E5497" s="15" t="s">
        <v>36</v>
      </c>
      <c r="F5497" s="15" t="s">
        <v>17</v>
      </c>
      <c r="G5497" s="15" t="s">
        <v>26</v>
      </c>
      <c r="H5497" s="15" t="n">
        <v>5</v>
      </c>
      <c r="I5497" s="17" t="n">
        <v>0.15</v>
      </c>
      <c r="J5497" s="18" t="n">
        <v>292.91</v>
      </c>
      <c r="K5497" s="19" t="n">
        <v>1.13</v>
      </c>
      <c r="L5497" s="15" t="n">
        <f aca="false">YEAR(B5497)</f>
        <v>2024</v>
      </c>
      <c r="M5497" s="20" t="n">
        <f aca="false">IF(J5497&gt;0,K5497/J5497,0)</f>
        <v>0.00385784029223994</v>
      </c>
    </row>
    <row r="5498" customFormat="false" ht="15" hidden="false" customHeight="false" outlineLevel="0" collapsed="false">
      <c r="A5498" s="15" t="s">
        <v>5555</v>
      </c>
      <c r="B5498" s="16" t="n">
        <v>44898</v>
      </c>
      <c r="C5498" s="15" t="s">
        <v>56</v>
      </c>
      <c r="D5498" s="15" t="s">
        <v>44</v>
      </c>
      <c r="E5498" s="15" t="s">
        <v>36</v>
      </c>
      <c r="F5498" s="15" t="s">
        <v>18</v>
      </c>
      <c r="G5498" s="15" t="s">
        <v>30</v>
      </c>
      <c r="H5498" s="15" t="n">
        <v>7</v>
      </c>
      <c r="I5498" s="17" t="n">
        <v>0</v>
      </c>
      <c r="J5498" s="18" t="n">
        <v>284.11</v>
      </c>
      <c r="K5498" s="19" t="n">
        <v>84.3</v>
      </c>
      <c r="L5498" s="15" t="n">
        <f aca="false">YEAR(B5498)</f>
        <v>2022</v>
      </c>
      <c r="M5498" s="20" t="n">
        <f aca="false">IF(J5498&gt;0,K5498/J5498,0)</f>
        <v>0.296716060680722</v>
      </c>
    </row>
    <row r="5499" customFormat="false" ht="15" hidden="false" customHeight="false" outlineLevel="0" collapsed="false">
      <c r="A5499" s="15" t="s">
        <v>5556</v>
      </c>
      <c r="B5499" s="16" t="n">
        <v>44824</v>
      </c>
      <c r="C5499" s="15" t="s">
        <v>56</v>
      </c>
      <c r="D5499" s="15" t="s">
        <v>42</v>
      </c>
      <c r="E5499" s="15" t="s">
        <v>38</v>
      </c>
      <c r="F5499" s="15" t="s">
        <v>17</v>
      </c>
      <c r="G5499" s="15" t="s">
        <v>26</v>
      </c>
      <c r="H5499" s="15" t="n">
        <v>1</v>
      </c>
      <c r="I5499" s="17" t="n">
        <v>0</v>
      </c>
      <c r="J5499" s="18" t="n">
        <v>64.83</v>
      </c>
      <c r="K5499" s="19" t="n">
        <v>6.59</v>
      </c>
      <c r="L5499" s="15" t="n">
        <f aca="false">YEAR(B5499)</f>
        <v>2022</v>
      </c>
      <c r="M5499" s="20" t="n">
        <f aca="false">IF(J5499&gt;0,K5499/J5499,0)</f>
        <v>0.101650470461206</v>
      </c>
    </row>
    <row r="5500" customFormat="false" ht="15" hidden="false" customHeight="false" outlineLevel="0" collapsed="false">
      <c r="A5500" s="15" t="s">
        <v>5557</v>
      </c>
      <c r="B5500" s="16" t="n">
        <v>45856</v>
      </c>
      <c r="C5500" s="15" t="s">
        <v>58</v>
      </c>
      <c r="D5500" s="15" t="s">
        <v>42</v>
      </c>
      <c r="E5500" s="15" t="s">
        <v>39</v>
      </c>
      <c r="F5500" s="15" t="s">
        <v>17</v>
      </c>
      <c r="G5500" s="15" t="s">
        <v>28</v>
      </c>
      <c r="H5500" s="15" t="n">
        <v>1</v>
      </c>
      <c r="I5500" s="17" t="n">
        <v>0.15</v>
      </c>
      <c r="J5500" s="18" t="n">
        <v>20.25</v>
      </c>
      <c r="K5500" s="19" t="n">
        <v>3.01</v>
      </c>
      <c r="L5500" s="15" t="n">
        <f aca="false">YEAR(B5500)</f>
        <v>2025</v>
      </c>
      <c r="M5500" s="20" t="n">
        <f aca="false">IF(J5500&gt;0,K5500/J5500,0)</f>
        <v>0.148641975308642</v>
      </c>
    </row>
    <row r="5501" customFormat="false" ht="15" hidden="false" customHeight="false" outlineLevel="0" collapsed="false">
      <c r="A5501" s="15" t="s">
        <v>5558</v>
      </c>
      <c r="B5501" s="16" t="n">
        <v>45653</v>
      </c>
      <c r="C5501" s="15" t="s">
        <v>56</v>
      </c>
      <c r="D5501" s="15" t="s">
        <v>42</v>
      </c>
      <c r="E5501" s="15" t="s">
        <v>39</v>
      </c>
      <c r="F5501" s="15" t="s">
        <v>17</v>
      </c>
      <c r="G5501" s="15" t="s">
        <v>31</v>
      </c>
      <c r="H5501" s="15" t="n">
        <v>3</v>
      </c>
      <c r="I5501" s="17" t="n">
        <v>0.4</v>
      </c>
      <c r="J5501" s="18" t="n">
        <v>226.86</v>
      </c>
      <c r="K5501" s="19" t="n">
        <v>-35.26</v>
      </c>
      <c r="L5501" s="15" t="n">
        <f aca="false">YEAR(B5501)</f>
        <v>2024</v>
      </c>
      <c r="M5501" s="20" t="n">
        <f aca="false">IF(J5501&gt;0,K5501/J5501,0)</f>
        <v>-0.155426254077405</v>
      </c>
    </row>
    <row r="5502" customFormat="false" ht="15" hidden="false" customHeight="false" outlineLevel="0" collapsed="false">
      <c r="A5502" s="15" t="s">
        <v>5559</v>
      </c>
      <c r="B5502" s="16" t="n">
        <v>44980</v>
      </c>
      <c r="C5502" s="15" t="s">
        <v>56</v>
      </c>
      <c r="D5502" s="15" t="s">
        <v>44</v>
      </c>
      <c r="E5502" s="15" t="s">
        <v>39</v>
      </c>
      <c r="F5502" s="15" t="s">
        <v>17</v>
      </c>
      <c r="G5502" s="15" t="s">
        <v>31</v>
      </c>
      <c r="H5502" s="15" t="n">
        <v>8</v>
      </c>
      <c r="I5502" s="17" t="n">
        <v>0</v>
      </c>
      <c r="J5502" s="18" t="n">
        <v>1394.43</v>
      </c>
      <c r="K5502" s="19" t="n">
        <v>311.32</v>
      </c>
      <c r="L5502" s="15" t="n">
        <f aca="false">YEAR(B5502)</f>
        <v>2023</v>
      </c>
      <c r="M5502" s="20" t="n">
        <f aca="false">IF(J5502&gt;0,K5502/J5502,0)</f>
        <v>0.223259683168033</v>
      </c>
    </row>
    <row r="5503" customFormat="false" ht="15" hidden="false" customHeight="false" outlineLevel="0" collapsed="false">
      <c r="A5503" s="15" t="s">
        <v>5560</v>
      </c>
      <c r="B5503" s="16" t="n">
        <v>45176</v>
      </c>
      <c r="C5503" s="15" t="s">
        <v>68</v>
      </c>
      <c r="D5503" s="15" t="s">
        <v>43</v>
      </c>
      <c r="E5503" s="15" t="s">
        <v>36</v>
      </c>
      <c r="F5503" s="15" t="s">
        <v>17</v>
      </c>
      <c r="G5503" s="15" t="s">
        <v>26</v>
      </c>
      <c r="H5503" s="15" t="n">
        <v>3</v>
      </c>
      <c r="I5503" s="17" t="n">
        <v>0</v>
      </c>
      <c r="J5503" s="18" t="n">
        <v>283.3</v>
      </c>
      <c r="K5503" s="19" t="n">
        <v>15.06</v>
      </c>
      <c r="L5503" s="15" t="n">
        <f aca="false">YEAR(B5503)</f>
        <v>2023</v>
      </c>
      <c r="M5503" s="20" t="n">
        <f aca="false">IF(J5503&gt;0,K5503/J5503,0)</f>
        <v>0.0531591951994352</v>
      </c>
    </row>
    <row r="5504" customFormat="false" ht="15" hidden="false" customHeight="false" outlineLevel="0" collapsed="false">
      <c r="A5504" s="15" t="s">
        <v>5561</v>
      </c>
      <c r="B5504" s="16" t="n">
        <v>45501</v>
      </c>
      <c r="C5504" s="15" t="s">
        <v>56</v>
      </c>
      <c r="D5504" s="15" t="s">
        <v>44</v>
      </c>
      <c r="E5504" s="15" t="s">
        <v>39</v>
      </c>
      <c r="F5504" s="15" t="s">
        <v>17</v>
      </c>
      <c r="G5504" s="15" t="s">
        <v>28</v>
      </c>
      <c r="H5504" s="15" t="n">
        <v>3</v>
      </c>
      <c r="I5504" s="17" t="n">
        <v>0</v>
      </c>
      <c r="J5504" s="18" t="n">
        <v>82.59</v>
      </c>
      <c r="K5504" s="19" t="n">
        <v>22.58</v>
      </c>
      <c r="L5504" s="15" t="n">
        <f aca="false">YEAR(B5504)</f>
        <v>2024</v>
      </c>
      <c r="M5504" s="20" t="n">
        <f aca="false">IF(J5504&gt;0,K5504/J5504,0)</f>
        <v>0.273398716551641</v>
      </c>
    </row>
    <row r="5505" customFormat="false" ht="15" hidden="false" customHeight="false" outlineLevel="0" collapsed="false">
      <c r="A5505" s="15" t="s">
        <v>5562</v>
      </c>
      <c r="B5505" s="16" t="n">
        <v>45989</v>
      </c>
      <c r="C5505" s="15" t="s">
        <v>68</v>
      </c>
      <c r="D5505" s="15" t="s">
        <v>42</v>
      </c>
      <c r="E5505" s="15" t="s">
        <v>39</v>
      </c>
      <c r="F5505" s="15" t="s">
        <v>17</v>
      </c>
      <c r="G5505" s="15" t="s">
        <v>29</v>
      </c>
      <c r="H5505" s="15" t="n">
        <v>4</v>
      </c>
      <c r="I5505" s="17" t="n">
        <v>0.1</v>
      </c>
      <c r="J5505" s="18" t="n">
        <v>80.08</v>
      </c>
      <c r="K5505" s="19" t="n">
        <v>21.35</v>
      </c>
      <c r="L5505" s="15" t="n">
        <f aca="false">YEAR(B5505)</f>
        <v>2025</v>
      </c>
      <c r="M5505" s="20" t="n">
        <f aca="false">IF(J5505&gt;0,K5505/J5505,0)</f>
        <v>0.266608391608392</v>
      </c>
    </row>
    <row r="5506" customFormat="false" ht="15" hidden="false" customHeight="false" outlineLevel="0" collapsed="false">
      <c r="A5506" s="15" t="s">
        <v>5563</v>
      </c>
      <c r="B5506" s="16" t="n">
        <v>45733</v>
      </c>
      <c r="C5506" s="15" t="s">
        <v>56</v>
      </c>
      <c r="D5506" s="15" t="s">
        <v>43</v>
      </c>
      <c r="E5506" s="15" t="s">
        <v>36</v>
      </c>
      <c r="F5506" s="15" t="s">
        <v>17</v>
      </c>
      <c r="G5506" s="15" t="s">
        <v>29</v>
      </c>
      <c r="H5506" s="15" t="n">
        <v>5</v>
      </c>
      <c r="I5506" s="17" t="n">
        <v>0</v>
      </c>
      <c r="J5506" s="18" t="n">
        <v>89.25</v>
      </c>
      <c r="K5506" s="19" t="n">
        <v>34.22</v>
      </c>
      <c r="L5506" s="15" t="n">
        <f aca="false">YEAR(B5506)</f>
        <v>2025</v>
      </c>
      <c r="M5506" s="20" t="n">
        <f aca="false">IF(J5506&gt;0,K5506/J5506,0)</f>
        <v>0.383417366946779</v>
      </c>
    </row>
    <row r="5507" customFormat="false" ht="15" hidden="false" customHeight="false" outlineLevel="0" collapsed="false">
      <c r="A5507" s="15" t="s">
        <v>5564</v>
      </c>
      <c r="B5507" s="16" t="n">
        <v>45015</v>
      </c>
      <c r="C5507" s="15" t="s">
        <v>71</v>
      </c>
      <c r="D5507" s="15" t="s">
        <v>42</v>
      </c>
      <c r="E5507" s="15" t="s">
        <v>39</v>
      </c>
      <c r="F5507" s="15" t="s">
        <v>17</v>
      </c>
      <c r="G5507" s="15" t="s">
        <v>28</v>
      </c>
      <c r="H5507" s="15" t="n">
        <v>2</v>
      </c>
      <c r="I5507" s="17" t="n">
        <v>0</v>
      </c>
      <c r="J5507" s="18" t="n">
        <v>61.04</v>
      </c>
      <c r="K5507" s="19" t="n">
        <v>19.71</v>
      </c>
      <c r="L5507" s="15" t="n">
        <f aca="false">YEAR(B5507)</f>
        <v>2023</v>
      </c>
      <c r="M5507" s="20" t="n">
        <f aca="false">IF(J5507&gt;0,K5507/J5507,0)</f>
        <v>0.322903014416776</v>
      </c>
    </row>
    <row r="5508" customFormat="false" ht="15" hidden="false" customHeight="false" outlineLevel="0" collapsed="false">
      <c r="A5508" s="15" t="s">
        <v>5565</v>
      </c>
      <c r="B5508" s="16" t="n">
        <v>44876</v>
      </c>
      <c r="C5508" s="15" t="s">
        <v>56</v>
      </c>
      <c r="D5508" s="15" t="s">
        <v>42</v>
      </c>
      <c r="E5508" s="15" t="s">
        <v>39</v>
      </c>
      <c r="F5508" s="15" t="s">
        <v>16</v>
      </c>
      <c r="G5508" s="15" t="s">
        <v>27</v>
      </c>
      <c r="H5508" s="15" t="n">
        <v>4</v>
      </c>
      <c r="I5508" s="17" t="n">
        <v>0.1</v>
      </c>
      <c r="J5508" s="18" t="n">
        <v>211.92</v>
      </c>
      <c r="K5508" s="19" t="n">
        <v>21.47</v>
      </c>
      <c r="L5508" s="15" t="n">
        <f aca="false">YEAR(B5508)</f>
        <v>2022</v>
      </c>
      <c r="M5508" s="20" t="n">
        <f aca="false">IF(J5508&gt;0,K5508/J5508,0)</f>
        <v>0.101311815779539</v>
      </c>
    </row>
    <row r="5509" customFormat="false" ht="15" hidden="false" customHeight="false" outlineLevel="0" collapsed="false">
      <c r="A5509" s="15" t="s">
        <v>5566</v>
      </c>
      <c r="B5509" s="16" t="n">
        <v>45818</v>
      </c>
      <c r="C5509" s="15" t="s">
        <v>56</v>
      </c>
      <c r="D5509" s="15" t="s">
        <v>42</v>
      </c>
      <c r="E5509" s="15" t="s">
        <v>38</v>
      </c>
      <c r="F5509" s="15" t="s">
        <v>17</v>
      </c>
      <c r="G5509" s="15" t="s">
        <v>26</v>
      </c>
      <c r="H5509" s="15" t="n">
        <v>1</v>
      </c>
      <c r="I5509" s="17" t="n">
        <v>0</v>
      </c>
      <c r="J5509" s="18" t="n">
        <v>75.19</v>
      </c>
      <c r="K5509" s="19" t="n">
        <v>8.67</v>
      </c>
      <c r="L5509" s="15" t="n">
        <f aca="false">YEAR(B5509)</f>
        <v>2025</v>
      </c>
      <c r="M5509" s="20" t="n">
        <f aca="false">IF(J5509&gt;0,K5509/J5509,0)</f>
        <v>0.115307886687059</v>
      </c>
    </row>
    <row r="5510" customFormat="false" ht="15" hidden="false" customHeight="false" outlineLevel="0" collapsed="false">
      <c r="A5510" s="15" t="s">
        <v>5567</v>
      </c>
      <c r="B5510" s="16" t="n">
        <v>44937</v>
      </c>
      <c r="C5510" s="15" t="s">
        <v>71</v>
      </c>
      <c r="D5510" s="15" t="s">
        <v>42</v>
      </c>
      <c r="E5510" s="15" t="s">
        <v>39</v>
      </c>
      <c r="F5510" s="15" t="s">
        <v>18</v>
      </c>
      <c r="G5510" s="15" t="s">
        <v>32</v>
      </c>
      <c r="H5510" s="15" t="n">
        <v>2</v>
      </c>
      <c r="I5510" s="17" t="n">
        <v>0.1</v>
      </c>
      <c r="J5510" s="18" t="n">
        <v>874.75</v>
      </c>
      <c r="K5510" s="19" t="n">
        <v>35.37</v>
      </c>
      <c r="L5510" s="15" t="n">
        <f aca="false">YEAR(B5510)</f>
        <v>2023</v>
      </c>
      <c r="M5510" s="20" t="n">
        <f aca="false">IF(J5510&gt;0,K5510/J5510,0)</f>
        <v>0.0404344098313804</v>
      </c>
    </row>
    <row r="5511" customFormat="false" ht="15" hidden="false" customHeight="false" outlineLevel="0" collapsed="false">
      <c r="A5511" s="15" t="s">
        <v>5568</v>
      </c>
      <c r="B5511" s="16" t="n">
        <v>45225</v>
      </c>
      <c r="C5511" s="15" t="s">
        <v>56</v>
      </c>
      <c r="D5511" s="15" t="s">
        <v>42</v>
      </c>
      <c r="E5511" s="15" t="s">
        <v>38</v>
      </c>
      <c r="F5511" s="15" t="s">
        <v>17</v>
      </c>
      <c r="G5511" s="15" t="s">
        <v>28</v>
      </c>
      <c r="H5511" s="15" t="n">
        <v>5</v>
      </c>
      <c r="I5511" s="17" t="n">
        <v>0.1</v>
      </c>
      <c r="J5511" s="18" t="n">
        <v>108.23</v>
      </c>
      <c r="K5511" s="19" t="n">
        <v>17.83</v>
      </c>
      <c r="L5511" s="15" t="n">
        <f aca="false">YEAR(B5511)</f>
        <v>2023</v>
      </c>
      <c r="M5511" s="20" t="n">
        <f aca="false">IF(J5511&gt;0,K5511/J5511,0)</f>
        <v>0.164741753672734</v>
      </c>
    </row>
    <row r="5512" customFormat="false" ht="15" hidden="false" customHeight="false" outlineLevel="0" collapsed="false">
      <c r="A5512" s="15" t="s">
        <v>5569</v>
      </c>
      <c r="B5512" s="16" t="n">
        <v>45936</v>
      </c>
      <c r="C5512" s="15" t="s">
        <v>56</v>
      </c>
      <c r="D5512" s="15" t="s">
        <v>43</v>
      </c>
      <c r="E5512" s="15" t="s">
        <v>36</v>
      </c>
      <c r="F5512" s="15" t="s">
        <v>16</v>
      </c>
      <c r="G5512" s="15" t="s">
        <v>23</v>
      </c>
      <c r="H5512" s="15" t="n">
        <v>3</v>
      </c>
      <c r="I5512" s="17" t="n">
        <v>0.1</v>
      </c>
      <c r="J5512" s="18" t="n">
        <v>932.83</v>
      </c>
      <c r="K5512" s="19" t="n">
        <v>-87.25</v>
      </c>
      <c r="L5512" s="15" t="n">
        <f aca="false">YEAR(B5512)</f>
        <v>2025</v>
      </c>
      <c r="M5512" s="20" t="n">
        <f aca="false">IF(J5512&gt;0,K5512/J5512,0)</f>
        <v>-0.0935325836433219</v>
      </c>
    </row>
    <row r="5513" customFormat="false" ht="15" hidden="false" customHeight="false" outlineLevel="0" collapsed="false">
      <c r="A5513" s="15" t="s">
        <v>5570</v>
      </c>
      <c r="B5513" s="16" t="n">
        <v>45642</v>
      </c>
      <c r="C5513" s="15" t="s">
        <v>56</v>
      </c>
      <c r="D5513" s="15" t="s">
        <v>42</v>
      </c>
      <c r="E5513" s="15" t="s">
        <v>39</v>
      </c>
      <c r="F5513" s="15" t="s">
        <v>16</v>
      </c>
      <c r="G5513" s="15" t="s">
        <v>25</v>
      </c>
      <c r="H5513" s="15" t="n">
        <v>5</v>
      </c>
      <c r="I5513" s="17" t="n">
        <v>0.2</v>
      </c>
      <c r="J5513" s="18" t="n">
        <v>1204.02</v>
      </c>
      <c r="K5513" s="19" t="n">
        <v>-126.22</v>
      </c>
      <c r="L5513" s="15" t="n">
        <f aca="false">YEAR(B5513)</f>
        <v>2024</v>
      </c>
      <c r="M5513" s="20" t="n">
        <f aca="false">IF(J5513&gt;0,K5513/J5513,0)</f>
        <v>-0.104832145645421</v>
      </c>
    </row>
    <row r="5514" customFormat="false" ht="15" hidden="false" customHeight="false" outlineLevel="0" collapsed="false">
      <c r="A5514" s="15" t="s">
        <v>5571</v>
      </c>
      <c r="B5514" s="16" t="n">
        <v>45260</v>
      </c>
      <c r="C5514" s="15" t="s">
        <v>56</v>
      </c>
      <c r="D5514" s="15" t="s">
        <v>44</v>
      </c>
      <c r="E5514" s="15" t="s">
        <v>39</v>
      </c>
      <c r="F5514" s="15" t="s">
        <v>17</v>
      </c>
      <c r="G5514" s="15" t="s">
        <v>26</v>
      </c>
      <c r="H5514" s="15" t="n">
        <v>5</v>
      </c>
      <c r="I5514" s="17" t="n">
        <v>0.2</v>
      </c>
      <c r="J5514" s="18" t="n">
        <v>347.02</v>
      </c>
      <c r="K5514" s="19" t="n">
        <v>-26.46</v>
      </c>
      <c r="L5514" s="15" t="n">
        <f aca="false">YEAR(B5514)</f>
        <v>2023</v>
      </c>
      <c r="M5514" s="20" t="n">
        <f aca="false">IF(J5514&gt;0,K5514/J5514,0)</f>
        <v>-0.0762492075384704</v>
      </c>
    </row>
    <row r="5515" customFormat="false" ht="15" hidden="false" customHeight="false" outlineLevel="0" collapsed="false">
      <c r="A5515" s="15" t="s">
        <v>5572</v>
      </c>
      <c r="B5515" s="16" t="n">
        <v>44969</v>
      </c>
      <c r="C5515" s="15" t="s">
        <v>56</v>
      </c>
      <c r="D5515" s="15" t="s">
        <v>44</v>
      </c>
      <c r="E5515" s="15" t="s">
        <v>38</v>
      </c>
      <c r="F5515" s="15" t="s">
        <v>17</v>
      </c>
      <c r="G5515" s="15" t="s">
        <v>31</v>
      </c>
      <c r="H5515" s="15" t="n">
        <v>3</v>
      </c>
      <c r="I5515" s="17" t="n">
        <v>0.1</v>
      </c>
      <c r="J5515" s="18" t="n">
        <v>290.88</v>
      </c>
      <c r="K5515" s="19" t="n">
        <v>39.04</v>
      </c>
      <c r="L5515" s="15" t="n">
        <f aca="false">YEAR(B5515)</f>
        <v>2023</v>
      </c>
      <c r="M5515" s="20" t="n">
        <f aca="false">IF(J5515&gt;0,K5515/J5515,0)</f>
        <v>0.134213421342134</v>
      </c>
    </row>
    <row r="5516" customFormat="false" ht="15" hidden="false" customHeight="false" outlineLevel="0" collapsed="false">
      <c r="A5516" s="15" t="s">
        <v>5573</v>
      </c>
      <c r="B5516" s="16" t="n">
        <v>45296</v>
      </c>
      <c r="C5516" s="15" t="s">
        <v>56</v>
      </c>
      <c r="D5516" s="15" t="s">
        <v>43</v>
      </c>
      <c r="E5516" s="15" t="s">
        <v>39</v>
      </c>
      <c r="F5516" s="15" t="s">
        <v>17</v>
      </c>
      <c r="G5516" s="15" t="s">
        <v>26</v>
      </c>
      <c r="H5516" s="15" t="n">
        <v>3</v>
      </c>
      <c r="I5516" s="17" t="n">
        <v>0.05</v>
      </c>
      <c r="J5516" s="18" t="n">
        <v>280.7</v>
      </c>
      <c r="K5516" s="19" t="n">
        <v>3.54</v>
      </c>
      <c r="L5516" s="15" t="n">
        <f aca="false">YEAR(B5516)</f>
        <v>2024</v>
      </c>
      <c r="M5516" s="20" t="n">
        <f aca="false">IF(J5516&gt;0,K5516/J5516,0)</f>
        <v>0.0126113288208051</v>
      </c>
    </row>
    <row r="5517" customFormat="false" ht="15" hidden="false" customHeight="false" outlineLevel="0" collapsed="false">
      <c r="A5517" s="15" t="s">
        <v>5574</v>
      </c>
      <c r="B5517" s="16" t="n">
        <v>45882</v>
      </c>
      <c r="C5517" s="15" t="s">
        <v>56</v>
      </c>
      <c r="D5517" s="15" t="s">
        <v>44</v>
      </c>
      <c r="E5517" s="15" t="s">
        <v>39</v>
      </c>
      <c r="F5517" s="15" t="s">
        <v>17</v>
      </c>
      <c r="G5517" s="15" t="s">
        <v>29</v>
      </c>
      <c r="H5517" s="15" t="n">
        <v>1</v>
      </c>
      <c r="I5517" s="17" t="n">
        <v>0.2</v>
      </c>
      <c r="J5517" s="18" t="n">
        <v>16.65</v>
      </c>
      <c r="K5517" s="19" t="n">
        <v>4.04</v>
      </c>
      <c r="L5517" s="15" t="n">
        <f aca="false">YEAR(B5517)</f>
        <v>2025</v>
      </c>
      <c r="M5517" s="20" t="n">
        <f aca="false">IF(J5517&gt;0,K5517/J5517,0)</f>
        <v>0.242642642642643</v>
      </c>
    </row>
    <row r="5518" customFormat="false" ht="15" hidden="false" customHeight="false" outlineLevel="0" collapsed="false">
      <c r="A5518" s="15" t="s">
        <v>5575</v>
      </c>
      <c r="B5518" s="16" t="n">
        <v>45859</v>
      </c>
      <c r="C5518" s="15" t="s">
        <v>56</v>
      </c>
      <c r="D5518" s="15" t="s">
        <v>42</v>
      </c>
      <c r="E5518" s="15" t="s">
        <v>38</v>
      </c>
      <c r="F5518" s="15" t="s">
        <v>18</v>
      </c>
      <c r="G5518" s="15" t="s">
        <v>32</v>
      </c>
      <c r="H5518" s="15" t="n">
        <v>1</v>
      </c>
      <c r="I5518" s="17" t="n">
        <v>0</v>
      </c>
      <c r="J5518" s="18" t="n">
        <v>401.07</v>
      </c>
      <c r="K5518" s="19" t="n">
        <v>66.48</v>
      </c>
      <c r="L5518" s="15" t="n">
        <f aca="false">YEAR(B5518)</f>
        <v>2025</v>
      </c>
      <c r="M5518" s="20" t="n">
        <f aca="false">IF(J5518&gt;0,K5518/J5518,0)</f>
        <v>0.165756601092079</v>
      </c>
    </row>
    <row r="5519" customFormat="false" ht="15" hidden="false" customHeight="false" outlineLevel="0" collapsed="false">
      <c r="A5519" s="15" t="s">
        <v>5576</v>
      </c>
      <c r="B5519" s="16" t="n">
        <v>45090</v>
      </c>
      <c r="C5519" s="15" t="s">
        <v>68</v>
      </c>
      <c r="D5519" s="15" t="s">
        <v>42</v>
      </c>
      <c r="E5519" s="15" t="s">
        <v>39</v>
      </c>
      <c r="F5519" s="15" t="s">
        <v>18</v>
      </c>
      <c r="G5519" s="15" t="s">
        <v>30</v>
      </c>
      <c r="H5519" s="15" t="n">
        <v>1</v>
      </c>
      <c r="I5519" s="17" t="n">
        <v>0.15</v>
      </c>
      <c r="J5519" s="18" t="n">
        <v>44.93</v>
      </c>
      <c r="K5519" s="19" t="n">
        <v>8.55</v>
      </c>
      <c r="L5519" s="15" t="n">
        <f aca="false">YEAR(B5519)</f>
        <v>2023</v>
      </c>
      <c r="M5519" s="20" t="n">
        <f aca="false">IF(J5519&gt;0,K5519/J5519,0)</f>
        <v>0.190296016024928</v>
      </c>
    </row>
    <row r="5520" customFormat="false" ht="15" hidden="false" customHeight="false" outlineLevel="0" collapsed="false">
      <c r="A5520" s="15" t="s">
        <v>5577</v>
      </c>
      <c r="B5520" s="16" t="n">
        <v>44823</v>
      </c>
      <c r="C5520" s="15" t="s">
        <v>71</v>
      </c>
      <c r="D5520" s="15" t="s">
        <v>43</v>
      </c>
      <c r="E5520" s="15" t="s">
        <v>37</v>
      </c>
      <c r="F5520" s="15" t="s">
        <v>17</v>
      </c>
      <c r="G5520" s="15" t="s">
        <v>26</v>
      </c>
      <c r="H5520" s="15" t="n">
        <v>5</v>
      </c>
      <c r="I5520" s="17" t="n">
        <v>0.2</v>
      </c>
      <c r="J5520" s="18" t="n">
        <v>381.37</v>
      </c>
      <c r="K5520" s="19" t="n">
        <v>2.55</v>
      </c>
      <c r="L5520" s="15" t="n">
        <f aca="false">YEAR(B5520)</f>
        <v>2022</v>
      </c>
      <c r="M5520" s="20" t="n">
        <f aca="false">IF(J5520&gt;0,K5520/J5520,0)</f>
        <v>0.00668642001206178</v>
      </c>
    </row>
    <row r="5521" customFormat="false" ht="15" hidden="false" customHeight="false" outlineLevel="0" collapsed="false">
      <c r="A5521" s="15" t="s">
        <v>5578</v>
      </c>
      <c r="B5521" s="16" t="n">
        <v>45611</v>
      </c>
      <c r="C5521" s="15" t="s">
        <v>56</v>
      </c>
      <c r="D5521" s="15" t="s">
        <v>44</v>
      </c>
      <c r="E5521" s="15" t="s">
        <v>36</v>
      </c>
      <c r="F5521" s="15" t="s">
        <v>17</v>
      </c>
      <c r="G5521" s="15" t="s">
        <v>31</v>
      </c>
      <c r="H5521" s="15" t="n">
        <v>5</v>
      </c>
      <c r="I5521" s="17" t="n">
        <v>0.2</v>
      </c>
      <c r="J5521" s="18" t="n">
        <v>501.94</v>
      </c>
      <c r="K5521" s="19" t="n">
        <v>1.24</v>
      </c>
      <c r="L5521" s="15" t="n">
        <f aca="false">YEAR(B5521)</f>
        <v>2024</v>
      </c>
      <c r="M5521" s="20" t="n">
        <f aca="false">IF(J5521&gt;0,K5521/J5521,0)</f>
        <v>0.00247041479061242</v>
      </c>
    </row>
    <row r="5522" customFormat="false" ht="15" hidden="false" customHeight="false" outlineLevel="0" collapsed="false">
      <c r="A5522" s="15" t="s">
        <v>5579</v>
      </c>
      <c r="B5522" s="16" t="n">
        <v>44923</v>
      </c>
      <c r="C5522" s="15" t="s">
        <v>56</v>
      </c>
      <c r="D5522" s="15" t="s">
        <v>44</v>
      </c>
      <c r="E5522" s="15" t="s">
        <v>38</v>
      </c>
      <c r="F5522" s="15" t="s">
        <v>16</v>
      </c>
      <c r="G5522" s="15" t="s">
        <v>23</v>
      </c>
      <c r="H5522" s="15" t="n">
        <v>5</v>
      </c>
      <c r="I5522" s="17" t="n">
        <v>0</v>
      </c>
      <c r="J5522" s="18" t="n">
        <v>1478.8</v>
      </c>
      <c r="K5522" s="19" t="n">
        <v>-44.7</v>
      </c>
      <c r="L5522" s="15" t="n">
        <f aca="false">YEAR(B5522)</f>
        <v>2022</v>
      </c>
      <c r="M5522" s="20" t="n">
        <f aca="false">IF(J5522&gt;0,K5522/J5522,0)</f>
        <v>-0.0302272112523668</v>
      </c>
    </row>
    <row r="5523" customFormat="false" ht="15" hidden="false" customHeight="false" outlineLevel="0" collapsed="false">
      <c r="A5523" s="15" t="s">
        <v>5580</v>
      </c>
      <c r="B5523" s="16" t="n">
        <v>45622</v>
      </c>
      <c r="C5523" s="15" t="s">
        <v>71</v>
      </c>
      <c r="D5523" s="15" t="s">
        <v>42</v>
      </c>
      <c r="E5523" s="15" t="s">
        <v>39</v>
      </c>
      <c r="F5523" s="15" t="s">
        <v>17</v>
      </c>
      <c r="G5523" s="15" t="s">
        <v>28</v>
      </c>
      <c r="H5523" s="15" t="n">
        <v>6</v>
      </c>
      <c r="I5523" s="17" t="n">
        <v>0</v>
      </c>
      <c r="J5523" s="18" t="n">
        <v>167.8</v>
      </c>
      <c r="K5523" s="19" t="n">
        <v>65.24</v>
      </c>
      <c r="L5523" s="15" t="n">
        <f aca="false">YEAR(B5523)</f>
        <v>2024</v>
      </c>
      <c r="M5523" s="20" t="n">
        <f aca="false">IF(J5523&gt;0,K5523/J5523,0)</f>
        <v>0.388796185935638</v>
      </c>
    </row>
    <row r="5524" customFormat="false" ht="15" hidden="false" customHeight="false" outlineLevel="0" collapsed="false">
      <c r="A5524" s="15" t="s">
        <v>5581</v>
      </c>
      <c r="B5524" s="16" t="n">
        <v>45360</v>
      </c>
      <c r="C5524" s="15" t="s">
        <v>68</v>
      </c>
      <c r="D5524" s="15" t="s">
        <v>42</v>
      </c>
      <c r="E5524" s="15" t="s">
        <v>39</v>
      </c>
      <c r="F5524" s="15" t="s">
        <v>17</v>
      </c>
      <c r="G5524" s="15" t="s">
        <v>29</v>
      </c>
      <c r="H5524" s="15" t="n">
        <v>4</v>
      </c>
      <c r="I5524" s="17" t="n">
        <v>0</v>
      </c>
      <c r="J5524" s="18" t="n">
        <v>67.23</v>
      </c>
      <c r="K5524" s="19" t="n">
        <v>28.39</v>
      </c>
      <c r="L5524" s="15" t="n">
        <f aca="false">YEAR(B5524)</f>
        <v>2024</v>
      </c>
      <c r="M5524" s="20" t="n">
        <f aca="false">IF(J5524&gt;0,K5524/J5524,0)</f>
        <v>0.422281719470475</v>
      </c>
    </row>
    <row r="5525" customFormat="false" ht="15" hidden="false" customHeight="false" outlineLevel="0" collapsed="false">
      <c r="A5525" s="15" t="s">
        <v>5582</v>
      </c>
      <c r="B5525" s="16" t="n">
        <v>45992</v>
      </c>
      <c r="C5525" s="15" t="s">
        <v>56</v>
      </c>
      <c r="D5525" s="15" t="s">
        <v>42</v>
      </c>
      <c r="E5525" s="15" t="s">
        <v>39</v>
      </c>
      <c r="F5525" s="15" t="s">
        <v>16</v>
      </c>
      <c r="G5525" s="15" t="s">
        <v>27</v>
      </c>
      <c r="H5525" s="15" t="n">
        <v>4</v>
      </c>
      <c r="I5525" s="17" t="n">
        <v>0</v>
      </c>
      <c r="J5525" s="18" t="n">
        <v>224.92</v>
      </c>
      <c r="K5525" s="19" t="n">
        <v>51.93</v>
      </c>
      <c r="L5525" s="15" t="n">
        <f aca="false">YEAR(B5525)</f>
        <v>2025</v>
      </c>
      <c r="M5525" s="20" t="n">
        <f aca="false">IF(J5525&gt;0,K5525/J5525,0)</f>
        <v>0.230882091410279</v>
      </c>
    </row>
    <row r="5526" customFormat="false" ht="15" hidden="false" customHeight="false" outlineLevel="0" collapsed="false">
      <c r="A5526" s="15" t="s">
        <v>5583</v>
      </c>
      <c r="B5526" s="16" t="n">
        <v>45322</v>
      </c>
      <c r="C5526" s="15" t="s">
        <v>56</v>
      </c>
      <c r="D5526" s="15" t="s">
        <v>43</v>
      </c>
      <c r="E5526" s="15" t="s">
        <v>38</v>
      </c>
      <c r="F5526" s="15" t="s">
        <v>16</v>
      </c>
      <c r="G5526" s="15" t="s">
        <v>27</v>
      </c>
      <c r="H5526" s="15" t="n">
        <v>4</v>
      </c>
      <c r="I5526" s="17" t="n">
        <v>0.2</v>
      </c>
      <c r="J5526" s="18" t="n">
        <v>168.38</v>
      </c>
      <c r="K5526" s="19" t="n">
        <v>9.39</v>
      </c>
      <c r="L5526" s="15" t="n">
        <f aca="false">YEAR(B5526)</f>
        <v>2024</v>
      </c>
      <c r="M5526" s="20" t="n">
        <f aca="false">IF(J5526&gt;0,K5526/J5526,0)</f>
        <v>0.055766718137546</v>
      </c>
    </row>
    <row r="5527" customFormat="false" ht="15" hidden="false" customHeight="false" outlineLevel="0" collapsed="false">
      <c r="A5527" s="15" t="s">
        <v>5584</v>
      </c>
      <c r="B5527" s="16" t="n">
        <v>45421</v>
      </c>
      <c r="C5527" s="15" t="s">
        <v>68</v>
      </c>
      <c r="D5527" s="15" t="s">
        <v>44</v>
      </c>
      <c r="E5527" s="15" t="s">
        <v>37</v>
      </c>
      <c r="F5527" s="15" t="s">
        <v>17</v>
      </c>
      <c r="G5527" s="15" t="s">
        <v>29</v>
      </c>
      <c r="H5527" s="15" t="n">
        <v>2</v>
      </c>
      <c r="I5527" s="17" t="n">
        <v>0</v>
      </c>
      <c r="J5527" s="18" t="n">
        <v>33.45</v>
      </c>
      <c r="K5527" s="19" t="n">
        <v>12.07</v>
      </c>
      <c r="L5527" s="15" t="n">
        <f aca="false">YEAR(B5527)</f>
        <v>2024</v>
      </c>
      <c r="M5527" s="20" t="n">
        <f aca="false">IF(J5527&gt;0,K5527/J5527,0)</f>
        <v>0.360837070254111</v>
      </c>
    </row>
    <row r="5528" customFormat="false" ht="15" hidden="false" customHeight="false" outlineLevel="0" collapsed="false">
      <c r="A5528" s="15" t="s">
        <v>5585</v>
      </c>
      <c r="B5528" s="16" t="n">
        <v>44839</v>
      </c>
      <c r="C5528" s="15" t="s">
        <v>56</v>
      </c>
      <c r="D5528" s="15" t="s">
        <v>43</v>
      </c>
      <c r="E5528" s="15" t="s">
        <v>36</v>
      </c>
      <c r="F5528" s="15" t="s">
        <v>17</v>
      </c>
      <c r="G5528" s="15" t="s">
        <v>26</v>
      </c>
      <c r="H5528" s="15" t="n">
        <v>2</v>
      </c>
      <c r="I5528" s="17" t="n">
        <v>0.1</v>
      </c>
      <c r="J5528" s="18" t="n">
        <v>155.84</v>
      </c>
      <c r="K5528" s="19" t="n">
        <v>2.59</v>
      </c>
      <c r="L5528" s="15" t="n">
        <f aca="false">YEAR(B5528)</f>
        <v>2022</v>
      </c>
      <c r="M5528" s="20" t="n">
        <f aca="false">IF(J5528&gt;0,K5528/J5528,0)</f>
        <v>0.0166196098562628</v>
      </c>
    </row>
    <row r="5529" customFormat="false" ht="15" hidden="false" customHeight="false" outlineLevel="0" collapsed="false">
      <c r="A5529" s="15" t="s">
        <v>5586</v>
      </c>
      <c r="B5529" s="16" t="n">
        <v>45547</v>
      </c>
      <c r="C5529" s="15" t="s">
        <v>56</v>
      </c>
      <c r="D5529" s="15" t="s">
        <v>42</v>
      </c>
      <c r="E5529" s="15" t="s">
        <v>39</v>
      </c>
      <c r="F5529" s="15" t="s">
        <v>16</v>
      </c>
      <c r="G5529" s="15" t="s">
        <v>27</v>
      </c>
      <c r="H5529" s="15" t="n">
        <v>3</v>
      </c>
      <c r="I5529" s="17" t="n">
        <v>0.15</v>
      </c>
      <c r="J5529" s="18" t="n">
        <v>193.37</v>
      </c>
      <c r="K5529" s="19" t="n">
        <v>15.6</v>
      </c>
      <c r="L5529" s="15" t="n">
        <f aca="false">YEAR(B5529)</f>
        <v>2024</v>
      </c>
      <c r="M5529" s="20" t="n">
        <f aca="false">IF(J5529&gt;0,K5529/J5529,0)</f>
        <v>0.0806743548637327</v>
      </c>
    </row>
    <row r="5530" customFormat="false" ht="15" hidden="false" customHeight="false" outlineLevel="0" collapsed="false">
      <c r="A5530" s="15" t="s">
        <v>5587</v>
      </c>
      <c r="B5530" s="16" t="n">
        <v>46014</v>
      </c>
      <c r="C5530" s="15" t="s">
        <v>68</v>
      </c>
      <c r="D5530" s="15" t="s">
        <v>42</v>
      </c>
      <c r="E5530" s="15" t="s">
        <v>36</v>
      </c>
      <c r="F5530" s="15" t="s">
        <v>17</v>
      </c>
      <c r="G5530" s="15" t="s">
        <v>31</v>
      </c>
      <c r="H5530" s="15" t="n">
        <v>3</v>
      </c>
      <c r="I5530" s="17" t="n">
        <v>0.2</v>
      </c>
      <c r="J5530" s="18" t="n">
        <v>314.07</v>
      </c>
      <c r="K5530" s="19" t="n">
        <v>2.57</v>
      </c>
      <c r="L5530" s="15" t="n">
        <f aca="false">YEAR(B5530)</f>
        <v>2025</v>
      </c>
      <c r="M5530" s="20" t="n">
        <f aca="false">IF(J5530&gt;0,K5530/J5530,0)</f>
        <v>0.00818288916483586</v>
      </c>
    </row>
    <row r="5531" customFormat="false" ht="15" hidden="false" customHeight="false" outlineLevel="0" collapsed="false">
      <c r="A5531" s="15" t="s">
        <v>5588</v>
      </c>
      <c r="B5531" s="16" t="n">
        <v>44928</v>
      </c>
      <c r="C5531" s="15" t="s">
        <v>68</v>
      </c>
      <c r="D5531" s="15" t="s">
        <v>42</v>
      </c>
      <c r="E5531" s="15" t="s">
        <v>36</v>
      </c>
      <c r="F5531" s="15" t="s">
        <v>17</v>
      </c>
      <c r="G5531" s="15" t="s">
        <v>29</v>
      </c>
      <c r="H5531" s="15" t="n">
        <v>2</v>
      </c>
      <c r="I5531" s="17" t="n">
        <v>0</v>
      </c>
      <c r="J5531" s="18" t="n">
        <v>36.99</v>
      </c>
      <c r="K5531" s="19" t="n">
        <v>14</v>
      </c>
      <c r="L5531" s="15" t="n">
        <f aca="false">YEAR(B5531)</f>
        <v>2023</v>
      </c>
      <c r="M5531" s="20" t="n">
        <f aca="false">IF(J5531&gt;0,K5531/J5531,0)</f>
        <v>0.378480670451473</v>
      </c>
    </row>
    <row r="5532" customFormat="false" ht="15" hidden="false" customHeight="false" outlineLevel="0" collapsed="false">
      <c r="A5532" s="15" t="s">
        <v>5589</v>
      </c>
      <c r="B5532" s="16" t="n">
        <v>45022</v>
      </c>
      <c r="C5532" s="15" t="s">
        <v>71</v>
      </c>
      <c r="D5532" s="15" t="s">
        <v>42</v>
      </c>
      <c r="E5532" s="15" t="s">
        <v>36</v>
      </c>
      <c r="F5532" s="15" t="s">
        <v>17</v>
      </c>
      <c r="G5532" s="15" t="s">
        <v>28</v>
      </c>
      <c r="H5532" s="15" t="n">
        <v>3</v>
      </c>
      <c r="I5532" s="17" t="n">
        <v>0.2</v>
      </c>
      <c r="J5532" s="18" t="n">
        <v>66.02</v>
      </c>
      <c r="K5532" s="19" t="n">
        <v>7.98</v>
      </c>
      <c r="L5532" s="15" t="n">
        <f aca="false">YEAR(B5532)</f>
        <v>2023</v>
      </c>
      <c r="M5532" s="20" t="n">
        <f aca="false">IF(J5532&gt;0,K5532/J5532,0)</f>
        <v>0.120872462890033</v>
      </c>
    </row>
    <row r="5533" customFormat="false" ht="15" hidden="false" customHeight="false" outlineLevel="0" collapsed="false">
      <c r="A5533" s="15" t="s">
        <v>5590</v>
      </c>
      <c r="B5533" s="16" t="n">
        <v>45723</v>
      </c>
      <c r="C5533" s="15" t="s">
        <v>56</v>
      </c>
      <c r="D5533" s="15" t="s">
        <v>44</v>
      </c>
      <c r="E5533" s="15" t="s">
        <v>37</v>
      </c>
      <c r="F5533" s="15" t="s">
        <v>16</v>
      </c>
      <c r="G5533" s="15" t="s">
        <v>22</v>
      </c>
      <c r="H5533" s="15" t="n">
        <v>4</v>
      </c>
      <c r="I5533" s="17" t="n">
        <v>0</v>
      </c>
      <c r="J5533" s="18" t="n">
        <v>1857.59</v>
      </c>
      <c r="K5533" s="19" t="n">
        <v>-198.47</v>
      </c>
      <c r="L5533" s="15" t="n">
        <f aca="false">YEAR(B5533)</f>
        <v>2025</v>
      </c>
      <c r="M5533" s="20" t="n">
        <f aca="false">IF(J5533&gt;0,K5533/J5533,0)</f>
        <v>-0.106842737094838</v>
      </c>
    </row>
    <row r="5534" customFormat="false" ht="15" hidden="false" customHeight="false" outlineLevel="0" collapsed="false">
      <c r="A5534" s="15" t="s">
        <v>5591</v>
      </c>
      <c r="B5534" s="16" t="n">
        <v>45966</v>
      </c>
      <c r="C5534" s="15" t="s">
        <v>58</v>
      </c>
      <c r="D5534" s="15" t="s">
        <v>42</v>
      </c>
      <c r="E5534" s="15" t="s">
        <v>39</v>
      </c>
      <c r="F5534" s="15" t="s">
        <v>18</v>
      </c>
      <c r="G5534" s="15" t="s">
        <v>32</v>
      </c>
      <c r="H5534" s="15" t="n">
        <v>5</v>
      </c>
      <c r="I5534" s="17" t="n">
        <v>0.2</v>
      </c>
      <c r="J5534" s="18" t="n">
        <v>1913.8</v>
      </c>
      <c r="K5534" s="19" t="n">
        <v>101.67</v>
      </c>
      <c r="L5534" s="15" t="n">
        <f aca="false">YEAR(B5534)</f>
        <v>2025</v>
      </c>
      <c r="M5534" s="20" t="n">
        <f aca="false">IF(J5534&gt;0,K5534/J5534,0)</f>
        <v>0.0531246734246003</v>
      </c>
    </row>
    <row r="5535" customFormat="false" ht="15" hidden="false" customHeight="false" outlineLevel="0" collapsed="false">
      <c r="A5535" s="15" t="s">
        <v>5592</v>
      </c>
      <c r="B5535" s="16" t="n">
        <v>45312</v>
      </c>
      <c r="C5535" s="15" t="s">
        <v>56</v>
      </c>
      <c r="D5535" s="15" t="s">
        <v>43</v>
      </c>
      <c r="E5535" s="15" t="s">
        <v>37</v>
      </c>
      <c r="F5535" s="15" t="s">
        <v>17</v>
      </c>
      <c r="G5535" s="15" t="s">
        <v>29</v>
      </c>
      <c r="H5535" s="15" t="n">
        <v>5</v>
      </c>
      <c r="I5535" s="17" t="n">
        <v>0.15</v>
      </c>
      <c r="J5535" s="18" t="n">
        <v>89.79</v>
      </c>
      <c r="K5535" s="19" t="n">
        <v>24.68</v>
      </c>
      <c r="L5535" s="15" t="n">
        <f aca="false">YEAR(B5535)</f>
        <v>2024</v>
      </c>
      <c r="M5535" s="20" t="n">
        <f aca="false">IF(J5535&gt;0,K5535/J5535,0)</f>
        <v>0.274863570553514</v>
      </c>
    </row>
    <row r="5536" customFormat="false" ht="15" hidden="false" customHeight="false" outlineLevel="0" collapsed="false">
      <c r="A5536" s="15" t="s">
        <v>5593</v>
      </c>
      <c r="B5536" s="16" t="n">
        <v>45585</v>
      </c>
      <c r="C5536" s="15" t="s">
        <v>56</v>
      </c>
      <c r="D5536" s="15" t="s">
        <v>43</v>
      </c>
      <c r="E5536" s="15" t="s">
        <v>36</v>
      </c>
      <c r="F5536" s="15" t="s">
        <v>16</v>
      </c>
      <c r="G5536" s="15" t="s">
        <v>25</v>
      </c>
      <c r="H5536" s="15" t="n">
        <v>4</v>
      </c>
      <c r="I5536" s="17" t="n">
        <v>0.2</v>
      </c>
      <c r="J5536" s="18" t="n">
        <v>905.61</v>
      </c>
      <c r="K5536" s="19" t="n">
        <v>-18.33</v>
      </c>
      <c r="L5536" s="15" t="n">
        <f aca="false">YEAR(B5536)</f>
        <v>2024</v>
      </c>
      <c r="M5536" s="20" t="n">
        <f aca="false">IF(J5536&gt;0,K5536/J5536,0)</f>
        <v>-0.0202405008778613</v>
      </c>
    </row>
    <row r="5537" customFormat="false" ht="15" hidden="false" customHeight="false" outlineLevel="0" collapsed="false">
      <c r="A5537" s="15" t="s">
        <v>5594</v>
      </c>
      <c r="B5537" s="16" t="n">
        <v>45508</v>
      </c>
      <c r="C5537" s="15" t="s">
        <v>71</v>
      </c>
      <c r="D5537" s="15" t="s">
        <v>43</v>
      </c>
      <c r="E5537" s="15" t="s">
        <v>37</v>
      </c>
      <c r="F5537" s="15" t="s">
        <v>17</v>
      </c>
      <c r="G5537" s="15" t="s">
        <v>28</v>
      </c>
      <c r="H5537" s="15" t="n">
        <v>3</v>
      </c>
      <c r="I5537" s="17" t="n">
        <v>0.1</v>
      </c>
      <c r="J5537" s="18" t="n">
        <v>85.68</v>
      </c>
      <c r="K5537" s="19" t="n">
        <v>17.59</v>
      </c>
      <c r="L5537" s="15" t="n">
        <f aca="false">YEAR(B5537)</f>
        <v>2024</v>
      </c>
      <c r="M5537" s="20" t="n">
        <f aca="false">IF(J5537&gt;0,K5537/J5537,0)</f>
        <v>0.205298786181139</v>
      </c>
    </row>
    <row r="5538" customFormat="false" ht="15" hidden="false" customHeight="false" outlineLevel="0" collapsed="false">
      <c r="A5538" s="15" t="s">
        <v>5595</v>
      </c>
      <c r="B5538" s="16" t="n">
        <v>45223</v>
      </c>
      <c r="C5538" s="15" t="s">
        <v>56</v>
      </c>
      <c r="D5538" s="15" t="s">
        <v>42</v>
      </c>
      <c r="E5538" s="15" t="s">
        <v>37</v>
      </c>
      <c r="F5538" s="15" t="s">
        <v>16</v>
      </c>
      <c r="G5538" s="15" t="s">
        <v>25</v>
      </c>
      <c r="H5538" s="15" t="n">
        <v>3</v>
      </c>
      <c r="I5538" s="17" t="n">
        <v>0.3</v>
      </c>
      <c r="J5538" s="18" t="n">
        <v>680.26</v>
      </c>
      <c r="K5538" s="19" t="n">
        <v>-119.29</v>
      </c>
      <c r="L5538" s="15" t="n">
        <f aca="false">YEAR(B5538)</f>
        <v>2023</v>
      </c>
      <c r="M5538" s="20" t="n">
        <f aca="false">IF(J5538&gt;0,K5538/J5538,0)</f>
        <v>-0.175359421397701</v>
      </c>
    </row>
    <row r="5539" customFormat="false" ht="15" hidden="false" customHeight="false" outlineLevel="0" collapsed="false">
      <c r="A5539" s="15" t="s">
        <v>5596</v>
      </c>
      <c r="B5539" s="16" t="n">
        <v>44662</v>
      </c>
      <c r="C5539" s="15" t="s">
        <v>56</v>
      </c>
      <c r="D5539" s="15" t="s">
        <v>44</v>
      </c>
      <c r="E5539" s="15" t="s">
        <v>38</v>
      </c>
      <c r="F5539" s="15" t="s">
        <v>17</v>
      </c>
      <c r="G5539" s="15" t="s">
        <v>26</v>
      </c>
      <c r="H5539" s="15" t="n">
        <v>4</v>
      </c>
      <c r="I5539" s="17" t="n">
        <v>0.4</v>
      </c>
      <c r="J5539" s="18" t="n">
        <v>166.21</v>
      </c>
      <c r="K5539" s="19" t="n">
        <v>-44.16</v>
      </c>
      <c r="L5539" s="15" t="n">
        <f aca="false">YEAR(B5539)</f>
        <v>2022</v>
      </c>
      <c r="M5539" s="20" t="n">
        <f aca="false">IF(J5539&gt;0,K5539/J5539,0)</f>
        <v>-0.265687985079117</v>
      </c>
    </row>
    <row r="5540" customFormat="false" ht="15" hidden="false" customHeight="false" outlineLevel="0" collapsed="false">
      <c r="A5540" s="15" t="s">
        <v>5597</v>
      </c>
      <c r="B5540" s="16" t="n">
        <v>44897</v>
      </c>
      <c r="C5540" s="15" t="s">
        <v>58</v>
      </c>
      <c r="D5540" s="15" t="s">
        <v>42</v>
      </c>
      <c r="E5540" s="15" t="s">
        <v>37</v>
      </c>
      <c r="F5540" s="15" t="s">
        <v>17</v>
      </c>
      <c r="G5540" s="15" t="s">
        <v>26</v>
      </c>
      <c r="H5540" s="15" t="n">
        <v>7</v>
      </c>
      <c r="I5540" s="17" t="n">
        <v>0.1</v>
      </c>
      <c r="J5540" s="18" t="n">
        <v>502.97</v>
      </c>
      <c r="K5540" s="19" t="n">
        <v>-12.65</v>
      </c>
      <c r="L5540" s="15" t="n">
        <f aca="false">YEAR(B5540)</f>
        <v>2022</v>
      </c>
      <c r="M5540" s="20" t="n">
        <f aca="false">IF(J5540&gt;0,K5540/J5540,0)</f>
        <v>-0.0251506054039008</v>
      </c>
    </row>
    <row r="5541" customFormat="false" ht="15" hidden="false" customHeight="false" outlineLevel="0" collapsed="false">
      <c r="A5541" s="15" t="s">
        <v>5598</v>
      </c>
      <c r="B5541" s="16" t="n">
        <v>45244</v>
      </c>
      <c r="C5541" s="15" t="s">
        <v>71</v>
      </c>
      <c r="D5541" s="15" t="s">
        <v>42</v>
      </c>
      <c r="E5541" s="15" t="s">
        <v>37</v>
      </c>
      <c r="F5541" s="15" t="s">
        <v>16</v>
      </c>
      <c r="G5541" s="15" t="s">
        <v>22</v>
      </c>
      <c r="H5541" s="15" t="n">
        <v>4</v>
      </c>
      <c r="I5541" s="17" t="n">
        <v>0</v>
      </c>
      <c r="J5541" s="18" t="n">
        <v>2105.33</v>
      </c>
      <c r="K5541" s="19" t="n">
        <v>51.84</v>
      </c>
      <c r="L5541" s="15" t="n">
        <f aca="false">YEAR(B5541)</f>
        <v>2023</v>
      </c>
      <c r="M5541" s="20" t="n">
        <f aca="false">IF(J5541&gt;0,K5541/J5541,0)</f>
        <v>0.0246232182128217</v>
      </c>
    </row>
    <row r="5542" customFormat="false" ht="15" hidden="false" customHeight="false" outlineLevel="0" collapsed="false">
      <c r="A5542" s="15" t="s">
        <v>5599</v>
      </c>
      <c r="B5542" s="16" t="n">
        <v>45615</v>
      </c>
      <c r="C5542" s="15" t="s">
        <v>71</v>
      </c>
      <c r="D5542" s="15" t="s">
        <v>44</v>
      </c>
      <c r="E5542" s="15" t="s">
        <v>39</v>
      </c>
      <c r="F5542" s="15" t="s">
        <v>17</v>
      </c>
      <c r="G5542" s="15" t="s">
        <v>28</v>
      </c>
      <c r="H5542" s="15" t="n">
        <v>3</v>
      </c>
      <c r="I5542" s="17" t="n">
        <v>0</v>
      </c>
      <c r="J5542" s="18" t="n">
        <v>94.56</v>
      </c>
      <c r="K5542" s="19" t="n">
        <v>23.79</v>
      </c>
      <c r="L5542" s="15" t="n">
        <f aca="false">YEAR(B5542)</f>
        <v>2024</v>
      </c>
      <c r="M5542" s="20" t="n">
        <f aca="false">IF(J5542&gt;0,K5542/J5542,0)</f>
        <v>0.251586294416244</v>
      </c>
    </row>
    <row r="5543" customFormat="false" ht="15" hidden="false" customHeight="false" outlineLevel="0" collapsed="false">
      <c r="A5543" s="15" t="s">
        <v>5600</v>
      </c>
      <c r="B5543" s="16" t="n">
        <v>45101</v>
      </c>
      <c r="C5543" s="15" t="s">
        <v>58</v>
      </c>
      <c r="D5543" s="15" t="s">
        <v>43</v>
      </c>
      <c r="E5543" s="15" t="s">
        <v>36</v>
      </c>
      <c r="F5543" s="15" t="s">
        <v>17</v>
      </c>
      <c r="G5543" s="15" t="s">
        <v>26</v>
      </c>
      <c r="H5543" s="15" t="n">
        <v>3</v>
      </c>
      <c r="I5543" s="17" t="n">
        <v>0.05</v>
      </c>
      <c r="J5543" s="18" t="n">
        <v>272.97</v>
      </c>
      <c r="K5543" s="19" t="n">
        <v>31.72</v>
      </c>
      <c r="L5543" s="15" t="n">
        <f aca="false">YEAR(B5543)</f>
        <v>2023</v>
      </c>
      <c r="M5543" s="20" t="n">
        <f aca="false">IF(J5543&gt;0,K5543/J5543,0)</f>
        <v>0.116203245777924</v>
      </c>
    </row>
    <row r="5544" customFormat="false" ht="15" hidden="false" customHeight="false" outlineLevel="0" collapsed="false">
      <c r="A5544" s="15" t="s">
        <v>5601</v>
      </c>
      <c r="B5544" s="16" t="n">
        <v>45598</v>
      </c>
      <c r="C5544" s="15" t="s">
        <v>68</v>
      </c>
      <c r="D5544" s="15" t="s">
        <v>42</v>
      </c>
      <c r="E5544" s="15" t="s">
        <v>36</v>
      </c>
      <c r="F5544" s="15" t="s">
        <v>16</v>
      </c>
      <c r="G5544" s="15" t="s">
        <v>23</v>
      </c>
      <c r="H5544" s="15" t="n">
        <v>2</v>
      </c>
      <c r="I5544" s="17" t="n">
        <v>0.05</v>
      </c>
      <c r="J5544" s="18" t="n">
        <v>688.33</v>
      </c>
      <c r="K5544" s="19" t="n">
        <v>-13.18</v>
      </c>
      <c r="L5544" s="15" t="n">
        <f aca="false">YEAR(B5544)</f>
        <v>2024</v>
      </c>
      <c r="M5544" s="20" t="n">
        <f aca="false">IF(J5544&gt;0,K5544/J5544,0)</f>
        <v>-0.0191477924832566</v>
      </c>
    </row>
    <row r="5545" customFormat="false" ht="15" hidden="false" customHeight="false" outlineLevel="0" collapsed="false">
      <c r="A5545" s="15" t="s">
        <v>5602</v>
      </c>
      <c r="B5545" s="16" t="n">
        <v>45774</v>
      </c>
      <c r="C5545" s="15" t="s">
        <v>56</v>
      </c>
      <c r="D5545" s="15" t="s">
        <v>42</v>
      </c>
      <c r="E5545" s="15" t="s">
        <v>38</v>
      </c>
      <c r="F5545" s="15" t="s">
        <v>17</v>
      </c>
      <c r="G5545" s="15" t="s">
        <v>29</v>
      </c>
      <c r="H5545" s="15" t="n">
        <v>2</v>
      </c>
      <c r="I5545" s="17" t="n">
        <v>0</v>
      </c>
      <c r="J5545" s="18" t="n">
        <v>26.35</v>
      </c>
      <c r="K5545" s="19" t="n">
        <v>9</v>
      </c>
      <c r="L5545" s="15" t="n">
        <f aca="false">YEAR(B5545)</f>
        <v>2025</v>
      </c>
      <c r="M5545" s="20" t="n">
        <f aca="false">IF(J5545&gt;0,K5545/J5545,0)</f>
        <v>0.341555977229602</v>
      </c>
    </row>
    <row r="5546" customFormat="false" ht="15" hidden="false" customHeight="false" outlineLevel="0" collapsed="false">
      <c r="A5546" s="15" t="s">
        <v>5603</v>
      </c>
      <c r="B5546" s="16" t="n">
        <v>45967</v>
      </c>
      <c r="C5546" s="15" t="s">
        <v>56</v>
      </c>
      <c r="D5546" s="15" t="s">
        <v>42</v>
      </c>
      <c r="E5546" s="15" t="s">
        <v>37</v>
      </c>
      <c r="F5546" s="15" t="s">
        <v>17</v>
      </c>
      <c r="G5546" s="15" t="s">
        <v>26</v>
      </c>
      <c r="H5546" s="15" t="n">
        <v>6</v>
      </c>
      <c r="I5546" s="17" t="n">
        <v>0.2</v>
      </c>
      <c r="J5546" s="18" t="n">
        <v>375.82</v>
      </c>
      <c r="K5546" s="19" t="n">
        <v>-18.14</v>
      </c>
      <c r="L5546" s="15" t="n">
        <f aca="false">YEAR(B5546)</f>
        <v>2025</v>
      </c>
      <c r="M5546" s="20" t="n">
        <f aca="false">IF(J5546&gt;0,K5546/J5546,0)</f>
        <v>-0.0482677877707413</v>
      </c>
    </row>
    <row r="5547" customFormat="false" ht="15" hidden="false" customHeight="false" outlineLevel="0" collapsed="false">
      <c r="A5547" s="15" t="s">
        <v>5604</v>
      </c>
      <c r="B5547" s="16" t="n">
        <v>45184</v>
      </c>
      <c r="C5547" s="15" t="s">
        <v>56</v>
      </c>
      <c r="D5547" s="15" t="s">
        <v>44</v>
      </c>
      <c r="E5547" s="15" t="s">
        <v>36</v>
      </c>
      <c r="F5547" s="15" t="s">
        <v>18</v>
      </c>
      <c r="G5547" s="15" t="s">
        <v>30</v>
      </c>
      <c r="H5547" s="15" t="n">
        <v>3</v>
      </c>
      <c r="I5547" s="17" t="n">
        <v>0.1</v>
      </c>
      <c r="J5547" s="18" t="n">
        <v>105.46</v>
      </c>
      <c r="K5547" s="19" t="n">
        <v>16.87</v>
      </c>
      <c r="L5547" s="15" t="n">
        <f aca="false">YEAR(B5547)</f>
        <v>2023</v>
      </c>
      <c r="M5547" s="20" t="n">
        <f aca="false">IF(J5547&gt;0,K5547/J5547,0)</f>
        <v>0.159965863834629</v>
      </c>
    </row>
    <row r="5548" customFormat="false" ht="15" hidden="false" customHeight="false" outlineLevel="0" collapsed="false">
      <c r="A5548" s="15" t="s">
        <v>5605</v>
      </c>
      <c r="B5548" s="16" t="n">
        <v>45358</v>
      </c>
      <c r="C5548" s="15" t="s">
        <v>56</v>
      </c>
      <c r="D5548" s="15" t="s">
        <v>43</v>
      </c>
      <c r="E5548" s="15" t="s">
        <v>37</v>
      </c>
      <c r="F5548" s="15" t="s">
        <v>18</v>
      </c>
      <c r="G5548" s="15" t="s">
        <v>33</v>
      </c>
      <c r="H5548" s="15" t="n">
        <v>5</v>
      </c>
      <c r="I5548" s="17" t="n">
        <v>0.2</v>
      </c>
      <c r="J5548" s="18" t="n">
        <v>4465.3</v>
      </c>
      <c r="K5548" s="19" t="n">
        <v>586.98</v>
      </c>
      <c r="L5548" s="15" t="n">
        <f aca="false">YEAR(B5548)</f>
        <v>2024</v>
      </c>
      <c r="M5548" s="20" t="n">
        <f aca="false">IF(J5548&gt;0,K5548/J5548,0)</f>
        <v>0.131453653729873</v>
      </c>
    </row>
    <row r="5549" customFormat="false" ht="15" hidden="false" customHeight="false" outlineLevel="0" collapsed="false">
      <c r="A5549" s="15" t="s">
        <v>5606</v>
      </c>
      <c r="B5549" s="16" t="n">
        <v>44782</v>
      </c>
      <c r="C5549" s="15" t="s">
        <v>56</v>
      </c>
      <c r="D5549" s="15" t="s">
        <v>42</v>
      </c>
      <c r="E5549" s="15" t="s">
        <v>37</v>
      </c>
      <c r="F5549" s="15" t="s">
        <v>17</v>
      </c>
      <c r="G5549" s="15" t="s">
        <v>26</v>
      </c>
      <c r="H5549" s="15" t="n">
        <v>4</v>
      </c>
      <c r="I5549" s="17" t="n">
        <v>0.4</v>
      </c>
      <c r="J5549" s="18" t="n">
        <v>225.94</v>
      </c>
      <c r="K5549" s="19" t="n">
        <v>-63.31</v>
      </c>
      <c r="L5549" s="15" t="n">
        <f aca="false">YEAR(B5549)</f>
        <v>2022</v>
      </c>
      <c r="M5549" s="20" t="n">
        <f aca="false">IF(J5549&gt;0,K5549/J5549,0)</f>
        <v>-0.280207134637514</v>
      </c>
    </row>
    <row r="5550" customFormat="false" ht="15" hidden="false" customHeight="false" outlineLevel="0" collapsed="false">
      <c r="A5550" s="15" t="s">
        <v>5607</v>
      </c>
      <c r="B5550" s="16" t="n">
        <v>45538</v>
      </c>
      <c r="C5550" s="15" t="s">
        <v>68</v>
      </c>
      <c r="D5550" s="15" t="s">
        <v>42</v>
      </c>
      <c r="E5550" s="15" t="s">
        <v>39</v>
      </c>
      <c r="F5550" s="15" t="s">
        <v>17</v>
      </c>
      <c r="G5550" s="15" t="s">
        <v>29</v>
      </c>
      <c r="H5550" s="15" t="n">
        <v>4</v>
      </c>
      <c r="I5550" s="17" t="n">
        <v>0.2</v>
      </c>
      <c r="J5550" s="18" t="n">
        <v>66.81</v>
      </c>
      <c r="K5550" s="19" t="n">
        <v>10.55</v>
      </c>
      <c r="L5550" s="15" t="n">
        <f aca="false">YEAR(B5550)</f>
        <v>2024</v>
      </c>
      <c r="M5550" s="20" t="n">
        <f aca="false">IF(J5550&gt;0,K5550/J5550,0)</f>
        <v>0.157910492441251</v>
      </c>
    </row>
    <row r="5551" customFormat="false" ht="15" hidden="false" customHeight="false" outlineLevel="0" collapsed="false">
      <c r="A5551" s="15" t="s">
        <v>5608</v>
      </c>
      <c r="B5551" s="16" t="n">
        <v>45838</v>
      </c>
      <c r="C5551" s="15" t="s">
        <v>71</v>
      </c>
      <c r="D5551" s="15" t="s">
        <v>42</v>
      </c>
      <c r="E5551" s="15" t="s">
        <v>36</v>
      </c>
      <c r="F5551" s="15" t="s">
        <v>16</v>
      </c>
      <c r="G5551" s="15" t="s">
        <v>25</v>
      </c>
      <c r="H5551" s="15" t="n">
        <v>3</v>
      </c>
      <c r="I5551" s="17" t="n">
        <v>0.2</v>
      </c>
      <c r="J5551" s="18" t="n">
        <v>495.96</v>
      </c>
      <c r="K5551" s="19" t="n">
        <v>-50.24</v>
      </c>
      <c r="L5551" s="15" t="n">
        <f aca="false">YEAR(B5551)</f>
        <v>2025</v>
      </c>
      <c r="M5551" s="20" t="n">
        <f aca="false">IF(J5551&gt;0,K5551/J5551,0)</f>
        <v>-0.101298491813856</v>
      </c>
    </row>
    <row r="5552" customFormat="false" ht="15" hidden="false" customHeight="false" outlineLevel="0" collapsed="false">
      <c r="A5552" s="15" t="s">
        <v>5609</v>
      </c>
      <c r="B5552" s="16" t="n">
        <v>44930</v>
      </c>
      <c r="C5552" s="15" t="s">
        <v>56</v>
      </c>
      <c r="D5552" s="15" t="s">
        <v>44</v>
      </c>
      <c r="E5552" s="15" t="s">
        <v>38</v>
      </c>
      <c r="F5552" s="15" t="s">
        <v>18</v>
      </c>
      <c r="G5552" s="15" t="s">
        <v>32</v>
      </c>
      <c r="H5552" s="15" t="n">
        <v>7</v>
      </c>
      <c r="I5552" s="17" t="n">
        <v>0.05</v>
      </c>
      <c r="J5552" s="18" t="n">
        <v>2335.95</v>
      </c>
      <c r="K5552" s="19" t="n">
        <v>299.44</v>
      </c>
      <c r="L5552" s="15" t="n">
        <f aca="false">YEAR(B5552)</f>
        <v>2023</v>
      </c>
      <c r="M5552" s="20" t="n">
        <f aca="false">IF(J5552&gt;0,K5552/J5552,0)</f>
        <v>0.128187675249898</v>
      </c>
    </row>
    <row r="5553" customFormat="false" ht="15" hidden="false" customHeight="false" outlineLevel="0" collapsed="false">
      <c r="A5553" s="15" t="s">
        <v>5610</v>
      </c>
      <c r="B5553" s="16" t="n">
        <v>44927</v>
      </c>
      <c r="C5553" s="15" t="s">
        <v>71</v>
      </c>
      <c r="D5553" s="15" t="s">
        <v>42</v>
      </c>
      <c r="E5553" s="15" t="s">
        <v>38</v>
      </c>
      <c r="F5553" s="15" t="s">
        <v>16</v>
      </c>
      <c r="G5553" s="15" t="s">
        <v>25</v>
      </c>
      <c r="H5553" s="15" t="n">
        <v>5</v>
      </c>
      <c r="I5553" s="17" t="n">
        <v>0</v>
      </c>
      <c r="J5553" s="18" t="n">
        <v>887.53</v>
      </c>
      <c r="K5553" s="19" t="n">
        <v>105.99</v>
      </c>
      <c r="L5553" s="15" t="n">
        <f aca="false">YEAR(B5553)</f>
        <v>2023</v>
      </c>
      <c r="M5553" s="20" t="n">
        <f aca="false">IF(J5553&gt;0,K5553/J5553,0)</f>
        <v>0.11942131533582</v>
      </c>
    </row>
    <row r="5554" customFormat="false" ht="15" hidden="false" customHeight="false" outlineLevel="0" collapsed="false">
      <c r="A5554" s="15" t="s">
        <v>5611</v>
      </c>
      <c r="B5554" s="16" t="n">
        <v>45064</v>
      </c>
      <c r="C5554" s="15" t="s">
        <v>71</v>
      </c>
      <c r="D5554" s="15" t="s">
        <v>42</v>
      </c>
      <c r="E5554" s="15" t="s">
        <v>36</v>
      </c>
      <c r="F5554" s="15" t="s">
        <v>17</v>
      </c>
      <c r="G5554" s="15" t="s">
        <v>31</v>
      </c>
      <c r="H5554" s="15" t="n">
        <v>3</v>
      </c>
      <c r="I5554" s="17" t="n">
        <v>0.15</v>
      </c>
      <c r="J5554" s="18" t="n">
        <v>327.05</v>
      </c>
      <c r="K5554" s="19" t="n">
        <v>8.61</v>
      </c>
      <c r="L5554" s="15" t="n">
        <f aca="false">YEAR(B5554)</f>
        <v>2023</v>
      </c>
      <c r="M5554" s="20" t="n">
        <f aca="false">IF(J5554&gt;0,K5554/J5554,0)</f>
        <v>0.0263262498088977</v>
      </c>
    </row>
    <row r="5555" customFormat="false" ht="15" hidden="false" customHeight="false" outlineLevel="0" collapsed="false">
      <c r="A5555" s="15" t="s">
        <v>5612</v>
      </c>
      <c r="B5555" s="16" t="n">
        <v>45982</v>
      </c>
      <c r="C5555" s="15" t="s">
        <v>56</v>
      </c>
      <c r="D5555" s="15" t="s">
        <v>42</v>
      </c>
      <c r="E5555" s="15" t="s">
        <v>39</v>
      </c>
      <c r="F5555" s="15" t="s">
        <v>18</v>
      </c>
      <c r="G5555" s="15" t="s">
        <v>30</v>
      </c>
      <c r="H5555" s="15" t="n">
        <v>4</v>
      </c>
      <c r="I5555" s="17" t="n">
        <v>0.1</v>
      </c>
      <c r="J5555" s="18" t="n">
        <v>173.94</v>
      </c>
      <c r="K5555" s="19" t="n">
        <v>36.74</v>
      </c>
      <c r="L5555" s="15" t="n">
        <f aca="false">YEAR(B5555)</f>
        <v>2025</v>
      </c>
      <c r="M5555" s="20" t="n">
        <f aca="false">IF(J5555&gt;0,K5555/J5555,0)</f>
        <v>0.211222260549615</v>
      </c>
    </row>
    <row r="5556" customFormat="false" ht="15" hidden="false" customHeight="false" outlineLevel="0" collapsed="false">
      <c r="A5556" s="15" t="s">
        <v>5613</v>
      </c>
      <c r="B5556" s="16" t="n">
        <v>45664</v>
      </c>
      <c r="C5556" s="15" t="s">
        <v>56</v>
      </c>
      <c r="D5556" s="15" t="s">
        <v>44</v>
      </c>
      <c r="E5556" s="15" t="s">
        <v>38</v>
      </c>
      <c r="F5556" s="15" t="s">
        <v>18</v>
      </c>
      <c r="G5556" s="15" t="s">
        <v>30</v>
      </c>
      <c r="H5556" s="15" t="n">
        <v>3</v>
      </c>
      <c r="I5556" s="17" t="n">
        <v>0.2</v>
      </c>
      <c r="J5556" s="18" t="n">
        <v>83.23</v>
      </c>
      <c r="K5556" s="19" t="n">
        <v>8.5</v>
      </c>
      <c r="L5556" s="15" t="n">
        <f aca="false">YEAR(B5556)</f>
        <v>2025</v>
      </c>
      <c r="M5556" s="20" t="n">
        <f aca="false">IF(J5556&gt;0,K5556/J5556,0)</f>
        <v>0.102126637029917</v>
      </c>
    </row>
    <row r="5557" customFormat="false" ht="15" hidden="false" customHeight="false" outlineLevel="0" collapsed="false">
      <c r="A5557" s="15" t="s">
        <v>5614</v>
      </c>
      <c r="B5557" s="16" t="n">
        <v>45645</v>
      </c>
      <c r="C5557" s="15" t="s">
        <v>56</v>
      </c>
      <c r="D5557" s="15" t="s">
        <v>42</v>
      </c>
      <c r="E5557" s="15" t="s">
        <v>38</v>
      </c>
      <c r="F5557" s="15" t="s">
        <v>18</v>
      </c>
      <c r="G5557" s="15" t="s">
        <v>30</v>
      </c>
      <c r="H5557" s="15" t="n">
        <v>1</v>
      </c>
      <c r="I5557" s="17" t="n">
        <v>0.1</v>
      </c>
      <c r="J5557" s="18" t="n">
        <v>29.45</v>
      </c>
      <c r="K5557" s="19" t="n">
        <v>6.63</v>
      </c>
      <c r="L5557" s="15" t="n">
        <f aca="false">YEAR(B5557)</f>
        <v>2024</v>
      </c>
      <c r="M5557" s="20" t="n">
        <f aca="false">IF(J5557&gt;0,K5557/J5557,0)</f>
        <v>0.225127334465195</v>
      </c>
    </row>
    <row r="5558" customFormat="false" ht="15" hidden="false" customHeight="false" outlineLevel="0" collapsed="false">
      <c r="A5558" s="15" t="s">
        <v>5615</v>
      </c>
      <c r="B5558" s="16" t="n">
        <v>45483</v>
      </c>
      <c r="C5558" s="15" t="s">
        <v>56</v>
      </c>
      <c r="D5558" s="15" t="s">
        <v>42</v>
      </c>
      <c r="E5558" s="15" t="s">
        <v>37</v>
      </c>
      <c r="F5558" s="15" t="s">
        <v>16</v>
      </c>
      <c r="G5558" s="15" t="s">
        <v>27</v>
      </c>
      <c r="H5558" s="15" t="n">
        <v>4</v>
      </c>
      <c r="I5558" s="17" t="n">
        <v>0.1</v>
      </c>
      <c r="J5558" s="18" t="n">
        <v>183.96</v>
      </c>
      <c r="K5558" s="19" t="n">
        <v>33</v>
      </c>
      <c r="L5558" s="15" t="n">
        <f aca="false">YEAR(B5558)</f>
        <v>2024</v>
      </c>
      <c r="M5558" s="20" t="n">
        <f aca="false">IF(J5558&gt;0,K5558/J5558,0)</f>
        <v>0.17938682322244</v>
      </c>
    </row>
    <row r="5559" customFormat="false" ht="15" hidden="false" customHeight="false" outlineLevel="0" collapsed="false">
      <c r="A5559" s="15" t="s">
        <v>5616</v>
      </c>
      <c r="B5559" s="16" t="n">
        <v>45294</v>
      </c>
      <c r="C5559" s="15" t="s">
        <v>56</v>
      </c>
      <c r="D5559" s="15" t="s">
        <v>44</v>
      </c>
      <c r="E5559" s="15" t="s">
        <v>36</v>
      </c>
      <c r="F5559" s="15" t="s">
        <v>17</v>
      </c>
      <c r="G5559" s="15" t="s">
        <v>28</v>
      </c>
      <c r="H5559" s="15" t="n">
        <v>4</v>
      </c>
      <c r="I5559" s="17" t="n">
        <v>0.3</v>
      </c>
      <c r="J5559" s="18" t="n">
        <v>59.91</v>
      </c>
      <c r="K5559" s="19" t="n">
        <v>3.79</v>
      </c>
      <c r="L5559" s="15" t="n">
        <f aca="false">YEAR(B5559)</f>
        <v>2024</v>
      </c>
      <c r="M5559" s="20" t="n">
        <f aca="false">IF(J5559&gt;0,K5559/J5559,0)</f>
        <v>0.0632615590051744</v>
      </c>
    </row>
    <row r="5560" customFormat="false" ht="15" hidden="false" customHeight="false" outlineLevel="0" collapsed="false">
      <c r="A5560" s="15" t="s">
        <v>5617</v>
      </c>
      <c r="B5560" s="16" t="n">
        <v>45099</v>
      </c>
      <c r="C5560" s="15" t="s">
        <v>71</v>
      </c>
      <c r="D5560" s="15" t="s">
        <v>42</v>
      </c>
      <c r="E5560" s="15" t="s">
        <v>37</v>
      </c>
      <c r="F5560" s="15" t="s">
        <v>18</v>
      </c>
      <c r="G5560" s="15" t="s">
        <v>33</v>
      </c>
      <c r="H5560" s="15" t="n">
        <v>1</v>
      </c>
      <c r="I5560" s="17" t="n">
        <v>0.1</v>
      </c>
      <c r="J5560" s="18" t="n">
        <v>926.37</v>
      </c>
      <c r="K5560" s="19" t="n">
        <v>192.29</v>
      </c>
      <c r="L5560" s="15" t="n">
        <f aca="false">YEAR(B5560)</f>
        <v>2023</v>
      </c>
      <c r="M5560" s="20" t="n">
        <f aca="false">IF(J5560&gt;0,K5560/J5560,0)</f>
        <v>0.207573647678573</v>
      </c>
    </row>
    <row r="5561" customFormat="false" ht="15" hidden="false" customHeight="false" outlineLevel="0" collapsed="false">
      <c r="A5561" s="15" t="s">
        <v>5618</v>
      </c>
      <c r="B5561" s="16" t="n">
        <v>45927</v>
      </c>
      <c r="C5561" s="15" t="s">
        <v>56</v>
      </c>
      <c r="D5561" s="15" t="s">
        <v>44</v>
      </c>
      <c r="E5561" s="15" t="s">
        <v>39</v>
      </c>
      <c r="F5561" s="15" t="s">
        <v>17</v>
      </c>
      <c r="G5561" s="15" t="s">
        <v>26</v>
      </c>
      <c r="H5561" s="15" t="n">
        <v>2</v>
      </c>
      <c r="I5561" s="17" t="n">
        <v>0.2</v>
      </c>
      <c r="J5561" s="18" t="n">
        <v>171.23</v>
      </c>
      <c r="K5561" s="19" t="n">
        <v>-6.33</v>
      </c>
      <c r="L5561" s="15" t="n">
        <f aca="false">YEAR(B5561)</f>
        <v>2025</v>
      </c>
      <c r="M5561" s="20" t="n">
        <f aca="false">IF(J5561&gt;0,K5561/J5561,0)</f>
        <v>-0.0369678210593938</v>
      </c>
    </row>
    <row r="5562" customFormat="false" ht="15" hidden="false" customHeight="false" outlineLevel="0" collapsed="false">
      <c r="A5562" s="15" t="s">
        <v>5619</v>
      </c>
      <c r="B5562" s="16" t="n">
        <v>44649</v>
      </c>
      <c r="C5562" s="15" t="s">
        <v>58</v>
      </c>
      <c r="D5562" s="15" t="s">
        <v>43</v>
      </c>
      <c r="E5562" s="15" t="s">
        <v>36</v>
      </c>
      <c r="F5562" s="15" t="s">
        <v>18</v>
      </c>
      <c r="G5562" s="15" t="s">
        <v>32</v>
      </c>
      <c r="H5562" s="15" t="n">
        <v>4</v>
      </c>
      <c r="I5562" s="17" t="n">
        <v>0.1</v>
      </c>
      <c r="J5562" s="18" t="n">
        <v>1632.62</v>
      </c>
      <c r="K5562" s="19" t="n">
        <v>98.33</v>
      </c>
      <c r="L5562" s="15" t="n">
        <f aca="false">YEAR(B5562)</f>
        <v>2022</v>
      </c>
      <c r="M5562" s="20" t="n">
        <f aca="false">IF(J5562&gt;0,K5562/J5562,0)</f>
        <v>0.0602283446239786</v>
      </c>
    </row>
    <row r="5563" customFormat="false" ht="15" hidden="false" customHeight="false" outlineLevel="0" collapsed="false">
      <c r="A5563" s="15" t="s">
        <v>5620</v>
      </c>
      <c r="B5563" s="16" t="n">
        <v>45893</v>
      </c>
      <c r="C5563" s="15" t="s">
        <v>71</v>
      </c>
      <c r="D5563" s="15" t="s">
        <v>43</v>
      </c>
      <c r="E5563" s="15" t="s">
        <v>36</v>
      </c>
      <c r="F5563" s="15" t="s">
        <v>18</v>
      </c>
      <c r="G5563" s="15" t="s">
        <v>30</v>
      </c>
      <c r="H5563" s="15" t="n">
        <v>3</v>
      </c>
      <c r="I5563" s="17" t="n">
        <v>0.2</v>
      </c>
      <c r="J5563" s="18" t="n">
        <v>95.63</v>
      </c>
      <c r="K5563" s="19" t="n">
        <v>10.04</v>
      </c>
      <c r="L5563" s="15" t="n">
        <f aca="false">YEAR(B5563)</f>
        <v>2025</v>
      </c>
      <c r="M5563" s="20" t="n">
        <f aca="false">IF(J5563&gt;0,K5563/J5563,0)</f>
        <v>0.104987974484994</v>
      </c>
    </row>
    <row r="5564" customFormat="false" ht="15" hidden="false" customHeight="false" outlineLevel="0" collapsed="false">
      <c r="A5564" s="15" t="s">
        <v>5621</v>
      </c>
      <c r="B5564" s="16" t="n">
        <v>45912</v>
      </c>
      <c r="C5564" s="15" t="s">
        <v>56</v>
      </c>
      <c r="D5564" s="15" t="s">
        <v>42</v>
      </c>
      <c r="E5564" s="15" t="s">
        <v>39</v>
      </c>
      <c r="F5564" s="15" t="s">
        <v>17</v>
      </c>
      <c r="G5564" s="15" t="s">
        <v>29</v>
      </c>
      <c r="H5564" s="15" t="n">
        <v>4</v>
      </c>
      <c r="I5564" s="17" t="n">
        <v>0.1</v>
      </c>
      <c r="J5564" s="18" t="n">
        <v>71.84</v>
      </c>
      <c r="K5564" s="19" t="n">
        <v>19.57</v>
      </c>
      <c r="L5564" s="15" t="n">
        <f aca="false">YEAR(B5564)</f>
        <v>2025</v>
      </c>
      <c r="M5564" s="20" t="n">
        <f aca="false">IF(J5564&gt;0,K5564/J5564,0)</f>
        <v>0.272410913140312</v>
      </c>
    </row>
    <row r="5565" customFormat="false" ht="15" hidden="false" customHeight="false" outlineLevel="0" collapsed="false">
      <c r="A5565" s="15" t="s">
        <v>5622</v>
      </c>
      <c r="B5565" s="16" t="n">
        <v>45701</v>
      </c>
      <c r="C5565" s="15" t="s">
        <v>58</v>
      </c>
      <c r="D5565" s="15" t="s">
        <v>42</v>
      </c>
      <c r="E5565" s="15" t="s">
        <v>36</v>
      </c>
      <c r="F5565" s="15" t="s">
        <v>16</v>
      </c>
      <c r="G5565" s="15" t="s">
        <v>27</v>
      </c>
      <c r="H5565" s="15" t="n">
        <v>1</v>
      </c>
      <c r="I5565" s="17" t="n">
        <v>0</v>
      </c>
      <c r="J5565" s="18" t="n">
        <v>53.66</v>
      </c>
      <c r="K5565" s="19" t="n">
        <v>9.77</v>
      </c>
      <c r="L5565" s="15" t="n">
        <f aca="false">YEAR(B5565)</f>
        <v>2025</v>
      </c>
      <c r="M5565" s="20" t="n">
        <f aca="false">IF(J5565&gt;0,K5565/J5565,0)</f>
        <v>0.182072307118897</v>
      </c>
    </row>
    <row r="5566" customFormat="false" ht="15" hidden="false" customHeight="false" outlineLevel="0" collapsed="false">
      <c r="A5566" s="15" t="s">
        <v>5623</v>
      </c>
      <c r="B5566" s="16" t="n">
        <v>45598</v>
      </c>
      <c r="C5566" s="15" t="s">
        <v>71</v>
      </c>
      <c r="D5566" s="15" t="s">
        <v>42</v>
      </c>
      <c r="E5566" s="15" t="s">
        <v>38</v>
      </c>
      <c r="F5566" s="15" t="s">
        <v>17</v>
      </c>
      <c r="G5566" s="15" t="s">
        <v>28</v>
      </c>
      <c r="H5566" s="15" t="n">
        <v>4</v>
      </c>
      <c r="I5566" s="17" t="n">
        <v>0.2</v>
      </c>
      <c r="J5566" s="18" t="n">
        <v>63.74</v>
      </c>
      <c r="K5566" s="19" t="n">
        <v>4.71</v>
      </c>
      <c r="L5566" s="15" t="n">
        <f aca="false">YEAR(B5566)</f>
        <v>2024</v>
      </c>
      <c r="M5566" s="20" t="n">
        <f aca="false">IF(J5566&gt;0,K5566/J5566,0)</f>
        <v>0.0738939441481017</v>
      </c>
    </row>
    <row r="5567" customFormat="false" ht="15" hidden="false" customHeight="false" outlineLevel="0" collapsed="false">
      <c r="A5567" s="15" t="s">
        <v>5624</v>
      </c>
      <c r="B5567" s="16" t="n">
        <v>45058</v>
      </c>
      <c r="C5567" s="15" t="s">
        <v>56</v>
      </c>
      <c r="D5567" s="15" t="s">
        <v>42</v>
      </c>
      <c r="E5567" s="15" t="s">
        <v>38</v>
      </c>
      <c r="F5567" s="15" t="s">
        <v>18</v>
      </c>
      <c r="G5567" s="15" t="s">
        <v>32</v>
      </c>
      <c r="H5567" s="15" t="n">
        <v>4</v>
      </c>
      <c r="I5567" s="17" t="n">
        <v>0.3</v>
      </c>
      <c r="J5567" s="18" t="n">
        <v>1190.63</v>
      </c>
      <c r="K5567" s="19" t="n">
        <v>-71.52</v>
      </c>
      <c r="L5567" s="15" t="n">
        <f aca="false">YEAR(B5567)</f>
        <v>2023</v>
      </c>
      <c r="M5567" s="20" t="n">
        <f aca="false">IF(J5567&gt;0,K5567/J5567,0)</f>
        <v>-0.0600690390801508</v>
      </c>
    </row>
    <row r="5568" customFormat="false" ht="15" hidden="false" customHeight="false" outlineLevel="0" collapsed="false">
      <c r="A5568" s="15" t="s">
        <v>5625</v>
      </c>
      <c r="B5568" s="16" t="n">
        <v>44918</v>
      </c>
      <c r="C5568" s="15" t="s">
        <v>58</v>
      </c>
      <c r="D5568" s="15" t="s">
        <v>42</v>
      </c>
      <c r="E5568" s="15" t="s">
        <v>39</v>
      </c>
      <c r="F5568" s="15" t="s">
        <v>18</v>
      </c>
      <c r="G5568" s="15" t="s">
        <v>30</v>
      </c>
      <c r="H5568" s="15" t="n">
        <v>2</v>
      </c>
      <c r="I5568" s="17" t="n">
        <v>0.05</v>
      </c>
      <c r="J5568" s="18" t="n">
        <v>70.14</v>
      </c>
      <c r="K5568" s="19" t="n">
        <v>11.41</v>
      </c>
      <c r="L5568" s="15" t="n">
        <f aca="false">YEAR(B5568)</f>
        <v>2022</v>
      </c>
      <c r="M5568" s="20" t="n">
        <f aca="false">IF(J5568&gt;0,K5568/J5568,0)</f>
        <v>0.162674650698603</v>
      </c>
    </row>
    <row r="5569" customFormat="false" ht="15" hidden="false" customHeight="false" outlineLevel="0" collapsed="false">
      <c r="A5569" s="15" t="s">
        <v>5626</v>
      </c>
      <c r="B5569" s="16" t="n">
        <v>45634</v>
      </c>
      <c r="C5569" s="15" t="s">
        <v>56</v>
      </c>
      <c r="D5569" s="15" t="s">
        <v>43</v>
      </c>
      <c r="E5569" s="15" t="s">
        <v>39</v>
      </c>
      <c r="F5569" s="15" t="s">
        <v>18</v>
      </c>
      <c r="G5569" s="15" t="s">
        <v>30</v>
      </c>
      <c r="H5569" s="15" t="n">
        <v>4</v>
      </c>
      <c r="I5569" s="17" t="n">
        <v>0.3</v>
      </c>
      <c r="J5569" s="18" t="n">
        <v>157.43</v>
      </c>
      <c r="K5569" s="19" t="n">
        <v>-2.38</v>
      </c>
      <c r="L5569" s="15" t="n">
        <f aca="false">YEAR(B5569)</f>
        <v>2024</v>
      </c>
      <c r="M5569" s="20" t="n">
        <f aca="false">IF(J5569&gt;0,K5569/J5569,0)</f>
        <v>-0.0151178301467319</v>
      </c>
    </row>
    <row r="5570" customFormat="false" ht="15" hidden="false" customHeight="false" outlineLevel="0" collapsed="false">
      <c r="A5570" s="15" t="s">
        <v>5627</v>
      </c>
      <c r="B5570" s="16" t="n">
        <v>45676</v>
      </c>
      <c r="C5570" s="15" t="s">
        <v>68</v>
      </c>
      <c r="D5570" s="15" t="s">
        <v>43</v>
      </c>
      <c r="E5570" s="15" t="s">
        <v>37</v>
      </c>
      <c r="F5570" s="15" t="s">
        <v>17</v>
      </c>
      <c r="G5570" s="15" t="s">
        <v>26</v>
      </c>
      <c r="H5570" s="15" t="n">
        <v>3</v>
      </c>
      <c r="I5570" s="17" t="n">
        <v>0.05</v>
      </c>
      <c r="J5570" s="18" t="n">
        <v>278.96</v>
      </c>
      <c r="K5570" s="19" t="n">
        <v>11.87</v>
      </c>
      <c r="L5570" s="15" t="n">
        <f aca="false">YEAR(B5570)</f>
        <v>2025</v>
      </c>
      <c r="M5570" s="20" t="n">
        <f aca="false">IF(J5570&gt;0,K5570/J5570,0)</f>
        <v>0.0425509033553198</v>
      </c>
    </row>
    <row r="5571" customFormat="false" ht="15" hidden="false" customHeight="false" outlineLevel="0" collapsed="false">
      <c r="A5571" s="15" t="s">
        <v>5628</v>
      </c>
      <c r="B5571" s="16" t="n">
        <v>45096</v>
      </c>
      <c r="C5571" s="15" t="s">
        <v>56</v>
      </c>
      <c r="D5571" s="15" t="s">
        <v>42</v>
      </c>
      <c r="E5571" s="15" t="s">
        <v>38</v>
      </c>
      <c r="F5571" s="15" t="s">
        <v>18</v>
      </c>
      <c r="G5571" s="15" t="s">
        <v>33</v>
      </c>
      <c r="H5571" s="15" t="n">
        <v>5</v>
      </c>
      <c r="I5571" s="17" t="n">
        <v>0</v>
      </c>
      <c r="J5571" s="18" t="n">
        <v>3708.55</v>
      </c>
      <c r="K5571" s="19" t="n">
        <v>943.13</v>
      </c>
      <c r="L5571" s="15" t="n">
        <f aca="false">YEAR(B5571)</f>
        <v>2023</v>
      </c>
      <c r="M5571" s="20" t="n">
        <f aca="false">IF(J5571&gt;0,K5571/J5571,0)</f>
        <v>0.254312332313168</v>
      </c>
    </row>
    <row r="5572" customFormat="false" ht="15" hidden="false" customHeight="false" outlineLevel="0" collapsed="false">
      <c r="A5572" s="15" t="s">
        <v>5629</v>
      </c>
      <c r="B5572" s="16" t="n">
        <v>45946</v>
      </c>
      <c r="C5572" s="15" t="s">
        <v>71</v>
      </c>
      <c r="D5572" s="15" t="s">
        <v>44</v>
      </c>
      <c r="E5572" s="15" t="s">
        <v>36</v>
      </c>
      <c r="F5572" s="15" t="s">
        <v>16</v>
      </c>
      <c r="G5572" s="15" t="s">
        <v>22</v>
      </c>
      <c r="H5572" s="15" t="n">
        <v>2</v>
      </c>
      <c r="I5572" s="17" t="n">
        <v>0.5</v>
      </c>
      <c r="J5572" s="18" t="n">
        <v>517.8</v>
      </c>
      <c r="K5572" s="19" t="n">
        <v>-263.42</v>
      </c>
      <c r="L5572" s="15" t="n">
        <f aca="false">YEAR(B5572)</f>
        <v>2025</v>
      </c>
      <c r="M5572" s="20" t="n">
        <f aca="false">IF(J5572&gt;0,K5572/J5572,0)</f>
        <v>-0.508729239088451</v>
      </c>
    </row>
    <row r="5573" customFormat="false" ht="15" hidden="false" customHeight="false" outlineLevel="0" collapsed="false">
      <c r="A5573" s="15" t="s">
        <v>5630</v>
      </c>
      <c r="B5573" s="16" t="n">
        <v>45914</v>
      </c>
      <c r="C5573" s="15" t="s">
        <v>56</v>
      </c>
      <c r="D5573" s="15" t="s">
        <v>43</v>
      </c>
      <c r="E5573" s="15" t="s">
        <v>39</v>
      </c>
      <c r="F5573" s="15" t="s">
        <v>18</v>
      </c>
      <c r="G5573" s="15" t="s">
        <v>32</v>
      </c>
      <c r="H5573" s="15" t="n">
        <v>5</v>
      </c>
      <c r="I5573" s="17" t="n">
        <v>0.2</v>
      </c>
      <c r="J5573" s="18" t="n">
        <v>1783.22</v>
      </c>
      <c r="K5573" s="19" t="n">
        <v>70.57</v>
      </c>
      <c r="L5573" s="15" t="n">
        <f aca="false">YEAR(B5573)</f>
        <v>2025</v>
      </c>
      <c r="M5573" s="20" t="n">
        <f aca="false">IF(J5573&gt;0,K5573/J5573,0)</f>
        <v>0.0395744776303541</v>
      </c>
    </row>
    <row r="5574" customFormat="false" ht="15" hidden="false" customHeight="false" outlineLevel="0" collapsed="false">
      <c r="A5574" s="15" t="s">
        <v>5631</v>
      </c>
      <c r="B5574" s="16" t="n">
        <v>45971</v>
      </c>
      <c r="C5574" s="15" t="s">
        <v>56</v>
      </c>
      <c r="D5574" s="15" t="s">
        <v>43</v>
      </c>
      <c r="E5574" s="15" t="s">
        <v>39</v>
      </c>
      <c r="F5574" s="15" t="s">
        <v>17</v>
      </c>
      <c r="G5574" s="15" t="s">
        <v>31</v>
      </c>
      <c r="H5574" s="15" t="n">
        <v>4</v>
      </c>
      <c r="I5574" s="17" t="n">
        <v>0</v>
      </c>
      <c r="J5574" s="18" t="n">
        <v>633.23</v>
      </c>
      <c r="K5574" s="19" t="n">
        <v>115.47</v>
      </c>
      <c r="L5574" s="15" t="n">
        <f aca="false">YEAR(B5574)</f>
        <v>2025</v>
      </c>
      <c r="M5574" s="20" t="n">
        <f aca="false">IF(J5574&gt;0,K5574/J5574,0)</f>
        <v>0.182350804604962</v>
      </c>
    </row>
    <row r="5575" customFormat="false" ht="15" hidden="false" customHeight="false" outlineLevel="0" collapsed="false">
      <c r="A5575" s="15" t="s">
        <v>5632</v>
      </c>
      <c r="B5575" s="16" t="n">
        <v>45750</v>
      </c>
      <c r="C5575" s="15" t="s">
        <v>71</v>
      </c>
      <c r="D5575" s="15" t="s">
        <v>42</v>
      </c>
      <c r="E5575" s="15" t="s">
        <v>39</v>
      </c>
      <c r="F5575" s="15" t="s">
        <v>18</v>
      </c>
      <c r="G5575" s="15" t="s">
        <v>30</v>
      </c>
      <c r="H5575" s="15" t="n">
        <v>4</v>
      </c>
      <c r="I5575" s="17" t="n">
        <v>0.3</v>
      </c>
      <c r="J5575" s="18" t="n">
        <v>126.46</v>
      </c>
      <c r="K5575" s="19" t="n">
        <v>6.04</v>
      </c>
      <c r="L5575" s="15" t="n">
        <f aca="false">YEAR(B5575)</f>
        <v>2025</v>
      </c>
      <c r="M5575" s="20" t="n">
        <f aca="false">IF(J5575&gt;0,K5575/J5575,0)</f>
        <v>0.0477621382255259</v>
      </c>
    </row>
    <row r="5576" customFormat="false" ht="15" hidden="false" customHeight="false" outlineLevel="0" collapsed="false">
      <c r="A5576" s="15" t="s">
        <v>5633</v>
      </c>
      <c r="B5576" s="16" t="n">
        <v>45806</v>
      </c>
      <c r="C5576" s="15" t="s">
        <v>71</v>
      </c>
      <c r="D5576" s="15" t="s">
        <v>43</v>
      </c>
      <c r="E5576" s="15" t="s">
        <v>36</v>
      </c>
      <c r="F5576" s="15" t="s">
        <v>18</v>
      </c>
      <c r="G5576" s="15" t="s">
        <v>30</v>
      </c>
      <c r="H5576" s="15" t="n">
        <v>7</v>
      </c>
      <c r="I5576" s="17" t="n">
        <v>0.15</v>
      </c>
      <c r="J5576" s="18" t="n">
        <v>259.75</v>
      </c>
      <c r="K5576" s="19" t="n">
        <v>52.34</v>
      </c>
      <c r="L5576" s="15" t="n">
        <f aca="false">YEAR(B5576)</f>
        <v>2025</v>
      </c>
      <c r="M5576" s="20" t="n">
        <f aca="false">IF(J5576&gt;0,K5576/J5576,0)</f>
        <v>0.201501443695861</v>
      </c>
    </row>
    <row r="5577" customFormat="false" ht="15" hidden="false" customHeight="false" outlineLevel="0" collapsed="false">
      <c r="A5577" s="15" t="s">
        <v>5634</v>
      </c>
      <c r="B5577" s="16" t="n">
        <v>45859</v>
      </c>
      <c r="C5577" s="15" t="s">
        <v>68</v>
      </c>
      <c r="D5577" s="15" t="s">
        <v>43</v>
      </c>
      <c r="E5577" s="15" t="s">
        <v>36</v>
      </c>
      <c r="F5577" s="15" t="s">
        <v>16</v>
      </c>
      <c r="G5577" s="15" t="s">
        <v>23</v>
      </c>
      <c r="H5577" s="15" t="n">
        <v>4</v>
      </c>
      <c r="I5577" s="17" t="n">
        <v>0.2</v>
      </c>
      <c r="J5577" s="18" t="n">
        <v>1188.42</v>
      </c>
      <c r="K5577" s="19" t="n">
        <v>-228.23</v>
      </c>
      <c r="L5577" s="15" t="n">
        <f aca="false">YEAR(B5577)</f>
        <v>2025</v>
      </c>
      <c r="M5577" s="20" t="n">
        <f aca="false">IF(J5577&gt;0,K5577/J5577,0)</f>
        <v>-0.192044899951196</v>
      </c>
    </row>
    <row r="5578" customFormat="false" ht="15" hidden="false" customHeight="false" outlineLevel="0" collapsed="false">
      <c r="A5578" s="15" t="s">
        <v>5635</v>
      </c>
      <c r="B5578" s="16" t="n">
        <v>45850</v>
      </c>
      <c r="C5578" s="15" t="s">
        <v>71</v>
      </c>
      <c r="D5578" s="15" t="s">
        <v>43</v>
      </c>
      <c r="E5578" s="15" t="s">
        <v>36</v>
      </c>
      <c r="F5578" s="15" t="s">
        <v>17</v>
      </c>
      <c r="G5578" s="15" t="s">
        <v>28</v>
      </c>
      <c r="H5578" s="15" t="n">
        <v>4</v>
      </c>
      <c r="I5578" s="17" t="n">
        <v>0</v>
      </c>
      <c r="J5578" s="18" t="n">
        <v>99.04</v>
      </c>
      <c r="K5578" s="19" t="n">
        <v>25.1</v>
      </c>
      <c r="L5578" s="15" t="n">
        <f aca="false">YEAR(B5578)</f>
        <v>2025</v>
      </c>
      <c r="M5578" s="20" t="n">
        <f aca="false">IF(J5578&gt;0,K5578/J5578,0)</f>
        <v>0.25343295638126</v>
      </c>
    </row>
    <row r="5579" customFormat="false" ht="15" hidden="false" customHeight="false" outlineLevel="0" collapsed="false">
      <c r="A5579" s="15" t="s">
        <v>5636</v>
      </c>
      <c r="B5579" s="16" t="n">
        <v>45979</v>
      </c>
      <c r="C5579" s="15" t="s">
        <v>56</v>
      </c>
      <c r="D5579" s="15" t="s">
        <v>42</v>
      </c>
      <c r="E5579" s="15" t="s">
        <v>37</v>
      </c>
      <c r="F5579" s="15" t="s">
        <v>16</v>
      </c>
      <c r="G5579" s="15" t="s">
        <v>27</v>
      </c>
      <c r="H5579" s="15" t="n">
        <v>3</v>
      </c>
      <c r="I5579" s="17" t="n">
        <v>0.4</v>
      </c>
      <c r="J5579" s="18" t="n">
        <v>122.26</v>
      </c>
      <c r="K5579" s="19" t="n">
        <v>-12.1</v>
      </c>
      <c r="L5579" s="15" t="n">
        <f aca="false">YEAR(B5579)</f>
        <v>2025</v>
      </c>
      <c r="M5579" s="20" t="n">
        <f aca="false">IF(J5579&gt;0,K5579/J5579,0)</f>
        <v>-0.0989694094552593</v>
      </c>
    </row>
    <row r="5580" customFormat="false" ht="15" hidden="false" customHeight="false" outlineLevel="0" collapsed="false">
      <c r="A5580" s="15" t="s">
        <v>5637</v>
      </c>
      <c r="B5580" s="16" t="n">
        <v>45833</v>
      </c>
      <c r="C5580" s="15" t="s">
        <v>56</v>
      </c>
      <c r="D5580" s="15" t="s">
        <v>43</v>
      </c>
      <c r="E5580" s="15" t="s">
        <v>38</v>
      </c>
      <c r="F5580" s="15" t="s">
        <v>17</v>
      </c>
      <c r="G5580" s="15" t="s">
        <v>29</v>
      </c>
      <c r="H5580" s="15" t="n">
        <v>3</v>
      </c>
      <c r="I5580" s="17" t="n">
        <v>0</v>
      </c>
      <c r="J5580" s="18" t="n">
        <v>59.77</v>
      </c>
      <c r="K5580" s="19" t="n">
        <v>24.93</v>
      </c>
      <c r="L5580" s="15" t="n">
        <f aca="false">YEAR(B5580)</f>
        <v>2025</v>
      </c>
      <c r="M5580" s="20" t="n">
        <f aca="false">IF(J5580&gt;0,K5580/J5580,0)</f>
        <v>0.417098879036306</v>
      </c>
    </row>
    <row r="5581" customFormat="false" ht="15" hidden="false" customHeight="false" outlineLevel="0" collapsed="false">
      <c r="A5581" s="15" t="s">
        <v>5638</v>
      </c>
      <c r="B5581" s="16" t="n">
        <v>45546</v>
      </c>
      <c r="C5581" s="15" t="s">
        <v>56</v>
      </c>
      <c r="D5581" s="15" t="s">
        <v>42</v>
      </c>
      <c r="E5581" s="15" t="s">
        <v>39</v>
      </c>
      <c r="F5581" s="15" t="s">
        <v>17</v>
      </c>
      <c r="G5581" s="15" t="s">
        <v>29</v>
      </c>
      <c r="H5581" s="15" t="n">
        <v>6</v>
      </c>
      <c r="I5581" s="17" t="n">
        <v>0</v>
      </c>
      <c r="J5581" s="18" t="n">
        <v>89.59</v>
      </c>
      <c r="K5581" s="19" t="n">
        <v>33.71</v>
      </c>
      <c r="L5581" s="15" t="n">
        <f aca="false">YEAR(B5581)</f>
        <v>2024</v>
      </c>
      <c r="M5581" s="20" t="n">
        <f aca="false">IF(J5581&gt;0,K5581/J5581,0)</f>
        <v>0.376269672954571</v>
      </c>
    </row>
    <row r="5582" customFormat="false" ht="15" hidden="false" customHeight="false" outlineLevel="0" collapsed="false">
      <c r="A5582" s="15" t="s">
        <v>5639</v>
      </c>
      <c r="B5582" s="16" t="n">
        <v>44613</v>
      </c>
      <c r="C5582" s="15" t="s">
        <v>56</v>
      </c>
      <c r="D5582" s="15" t="s">
        <v>42</v>
      </c>
      <c r="E5582" s="15" t="s">
        <v>38</v>
      </c>
      <c r="F5582" s="15" t="s">
        <v>18</v>
      </c>
      <c r="G5582" s="15" t="s">
        <v>30</v>
      </c>
      <c r="H5582" s="15" t="n">
        <v>3</v>
      </c>
      <c r="I5582" s="17" t="n">
        <v>0</v>
      </c>
      <c r="J5582" s="18" t="n">
        <v>115.51</v>
      </c>
      <c r="K5582" s="19" t="n">
        <v>28.62</v>
      </c>
      <c r="L5582" s="15" t="n">
        <f aca="false">YEAR(B5582)</f>
        <v>2022</v>
      </c>
      <c r="M5582" s="20" t="n">
        <f aca="false">IF(J5582&gt;0,K5582/J5582,0)</f>
        <v>0.24777075577872</v>
      </c>
    </row>
    <row r="5583" customFormat="false" ht="15" hidden="false" customHeight="false" outlineLevel="0" collapsed="false">
      <c r="A5583" s="15" t="s">
        <v>5640</v>
      </c>
      <c r="B5583" s="16" t="n">
        <v>45961</v>
      </c>
      <c r="C5583" s="15" t="s">
        <v>71</v>
      </c>
      <c r="D5583" s="15" t="s">
        <v>43</v>
      </c>
      <c r="E5583" s="15" t="s">
        <v>38</v>
      </c>
      <c r="F5583" s="15" t="s">
        <v>17</v>
      </c>
      <c r="G5583" s="15" t="s">
        <v>28</v>
      </c>
      <c r="H5583" s="15" t="n">
        <v>5</v>
      </c>
      <c r="I5583" s="17" t="n">
        <v>0.1</v>
      </c>
      <c r="J5583" s="18" t="n">
        <v>114.44</v>
      </c>
      <c r="K5583" s="19" t="n">
        <v>29.06</v>
      </c>
      <c r="L5583" s="15" t="n">
        <f aca="false">YEAR(B5583)</f>
        <v>2025</v>
      </c>
      <c r="M5583" s="20" t="n">
        <f aca="false">IF(J5583&gt;0,K5583/J5583,0)</f>
        <v>0.253932191541419</v>
      </c>
    </row>
    <row r="5584" customFormat="false" ht="15" hidden="false" customHeight="false" outlineLevel="0" collapsed="false">
      <c r="A5584" s="15" t="s">
        <v>5641</v>
      </c>
      <c r="B5584" s="16" t="n">
        <v>45413</v>
      </c>
      <c r="C5584" s="15" t="s">
        <v>68</v>
      </c>
      <c r="D5584" s="15" t="s">
        <v>42</v>
      </c>
      <c r="E5584" s="15" t="s">
        <v>36</v>
      </c>
      <c r="F5584" s="15" t="s">
        <v>18</v>
      </c>
      <c r="G5584" s="15" t="s">
        <v>30</v>
      </c>
      <c r="H5584" s="15" t="n">
        <v>2</v>
      </c>
      <c r="I5584" s="17" t="n">
        <v>0.15</v>
      </c>
      <c r="J5584" s="18" t="n">
        <v>80.53</v>
      </c>
      <c r="K5584" s="19" t="n">
        <v>11.42</v>
      </c>
      <c r="L5584" s="15" t="n">
        <f aca="false">YEAR(B5584)</f>
        <v>2024</v>
      </c>
      <c r="M5584" s="20" t="n">
        <f aca="false">IF(J5584&gt;0,K5584/J5584,0)</f>
        <v>0.141810505401714</v>
      </c>
    </row>
    <row r="5585" customFormat="false" ht="15" hidden="false" customHeight="false" outlineLevel="0" collapsed="false">
      <c r="A5585" s="15" t="s">
        <v>5642</v>
      </c>
      <c r="B5585" s="16" t="n">
        <v>45206</v>
      </c>
      <c r="C5585" s="15" t="s">
        <v>56</v>
      </c>
      <c r="D5585" s="15" t="s">
        <v>44</v>
      </c>
      <c r="E5585" s="15" t="s">
        <v>37</v>
      </c>
      <c r="F5585" s="15" t="s">
        <v>16</v>
      </c>
      <c r="G5585" s="15" t="s">
        <v>27</v>
      </c>
      <c r="H5585" s="15" t="n">
        <v>2</v>
      </c>
      <c r="I5585" s="17" t="n">
        <v>0.05</v>
      </c>
      <c r="J5585" s="18" t="n">
        <v>125.31</v>
      </c>
      <c r="K5585" s="19" t="n">
        <v>27.89</v>
      </c>
      <c r="L5585" s="15" t="n">
        <f aca="false">YEAR(B5585)</f>
        <v>2023</v>
      </c>
      <c r="M5585" s="20" t="n">
        <f aca="false">IF(J5585&gt;0,K5585/J5585,0)</f>
        <v>0.22256803128242</v>
      </c>
    </row>
    <row r="5586" customFormat="false" ht="15" hidden="false" customHeight="false" outlineLevel="0" collapsed="false">
      <c r="A5586" s="15" t="s">
        <v>5643</v>
      </c>
      <c r="B5586" s="16" t="n">
        <v>45585</v>
      </c>
      <c r="C5586" s="15" t="s">
        <v>58</v>
      </c>
      <c r="D5586" s="15" t="s">
        <v>42</v>
      </c>
      <c r="E5586" s="15" t="s">
        <v>39</v>
      </c>
      <c r="F5586" s="15" t="s">
        <v>17</v>
      </c>
      <c r="G5586" s="15" t="s">
        <v>28</v>
      </c>
      <c r="H5586" s="15" t="n">
        <v>1</v>
      </c>
      <c r="I5586" s="17" t="n">
        <v>0</v>
      </c>
      <c r="J5586" s="18" t="n">
        <v>31.27</v>
      </c>
      <c r="K5586" s="19" t="n">
        <v>8.93</v>
      </c>
      <c r="L5586" s="15" t="n">
        <f aca="false">YEAR(B5586)</f>
        <v>2024</v>
      </c>
      <c r="M5586" s="20" t="n">
        <f aca="false">IF(J5586&gt;0,K5586/J5586,0)</f>
        <v>0.285577230572434</v>
      </c>
    </row>
    <row r="5587" customFormat="false" ht="15" hidden="false" customHeight="false" outlineLevel="0" collapsed="false">
      <c r="A5587" s="15" t="s">
        <v>5644</v>
      </c>
      <c r="B5587" s="16" t="n">
        <v>45214</v>
      </c>
      <c r="C5587" s="15" t="s">
        <v>56</v>
      </c>
      <c r="D5587" s="15" t="s">
        <v>42</v>
      </c>
      <c r="E5587" s="15" t="s">
        <v>36</v>
      </c>
      <c r="F5587" s="15" t="s">
        <v>18</v>
      </c>
      <c r="G5587" s="15" t="s">
        <v>30</v>
      </c>
      <c r="H5587" s="15" t="n">
        <v>2</v>
      </c>
      <c r="I5587" s="17" t="n">
        <v>0.1</v>
      </c>
      <c r="J5587" s="18" t="n">
        <v>78.46</v>
      </c>
      <c r="K5587" s="19" t="n">
        <v>16.12</v>
      </c>
      <c r="L5587" s="15" t="n">
        <f aca="false">YEAR(B5587)</f>
        <v>2023</v>
      </c>
      <c r="M5587" s="20" t="n">
        <f aca="false">IF(J5587&gt;0,K5587/J5587,0)</f>
        <v>0.205455008921744</v>
      </c>
    </row>
    <row r="5588" customFormat="false" ht="15" hidden="false" customHeight="false" outlineLevel="0" collapsed="false">
      <c r="A5588" s="15" t="s">
        <v>5645</v>
      </c>
      <c r="B5588" s="16" t="n">
        <v>45205</v>
      </c>
      <c r="C5588" s="15" t="s">
        <v>56</v>
      </c>
      <c r="D5588" s="15" t="s">
        <v>43</v>
      </c>
      <c r="E5588" s="15" t="s">
        <v>38</v>
      </c>
      <c r="F5588" s="15" t="s">
        <v>17</v>
      </c>
      <c r="G5588" s="15" t="s">
        <v>28</v>
      </c>
      <c r="H5588" s="15" t="n">
        <v>5</v>
      </c>
      <c r="I5588" s="17" t="n">
        <v>0</v>
      </c>
      <c r="J5588" s="18" t="n">
        <v>108.9</v>
      </c>
      <c r="K5588" s="19" t="n">
        <v>27.49</v>
      </c>
      <c r="L5588" s="15" t="n">
        <f aca="false">YEAR(B5588)</f>
        <v>2023</v>
      </c>
      <c r="M5588" s="20" t="n">
        <f aca="false">IF(J5588&gt;0,K5588/J5588,0)</f>
        <v>0.252433425160698</v>
      </c>
    </row>
    <row r="5589" customFormat="false" ht="15" hidden="false" customHeight="false" outlineLevel="0" collapsed="false">
      <c r="A5589" s="15" t="s">
        <v>5646</v>
      </c>
      <c r="B5589" s="16" t="n">
        <v>45709</v>
      </c>
      <c r="C5589" s="15" t="s">
        <v>71</v>
      </c>
      <c r="D5589" s="15" t="s">
        <v>42</v>
      </c>
      <c r="E5589" s="15" t="s">
        <v>36</v>
      </c>
      <c r="F5589" s="15" t="s">
        <v>17</v>
      </c>
      <c r="G5589" s="15" t="s">
        <v>29</v>
      </c>
      <c r="H5589" s="15" t="n">
        <v>2</v>
      </c>
      <c r="I5589" s="17" t="n">
        <v>0.5</v>
      </c>
      <c r="J5589" s="18" t="n">
        <v>16.52</v>
      </c>
      <c r="K5589" s="19" t="n">
        <v>-1.72</v>
      </c>
      <c r="L5589" s="15" t="n">
        <f aca="false">YEAR(B5589)</f>
        <v>2025</v>
      </c>
      <c r="M5589" s="20" t="n">
        <f aca="false">IF(J5589&gt;0,K5589/J5589,0)</f>
        <v>-0.104116222760291</v>
      </c>
    </row>
    <row r="5590" customFormat="false" ht="15" hidden="false" customHeight="false" outlineLevel="0" collapsed="false">
      <c r="A5590" s="15" t="s">
        <v>5647</v>
      </c>
      <c r="B5590" s="16" t="n">
        <v>45834</v>
      </c>
      <c r="C5590" s="15" t="s">
        <v>56</v>
      </c>
      <c r="D5590" s="15" t="s">
        <v>44</v>
      </c>
      <c r="E5590" s="15" t="s">
        <v>38</v>
      </c>
      <c r="F5590" s="15" t="s">
        <v>16</v>
      </c>
      <c r="G5590" s="15" t="s">
        <v>27</v>
      </c>
      <c r="H5590" s="15" t="n">
        <v>5</v>
      </c>
      <c r="I5590" s="17" t="n">
        <v>0.2</v>
      </c>
      <c r="J5590" s="18" t="n">
        <v>221.42</v>
      </c>
      <c r="K5590" s="19" t="n">
        <v>3.11</v>
      </c>
      <c r="L5590" s="15" t="n">
        <f aca="false">YEAR(B5590)</f>
        <v>2025</v>
      </c>
      <c r="M5590" s="20" t="n">
        <f aca="false">IF(J5590&gt;0,K5590/J5590,0)</f>
        <v>0.0140457049950321</v>
      </c>
    </row>
    <row r="5591" customFormat="false" ht="15" hidden="false" customHeight="false" outlineLevel="0" collapsed="false">
      <c r="A5591" s="15" t="s">
        <v>5648</v>
      </c>
      <c r="B5591" s="16" t="n">
        <v>45877</v>
      </c>
      <c r="C5591" s="15" t="s">
        <v>58</v>
      </c>
      <c r="D5591" s="15" t="s">
        <v>44</v>
      </c>
      <c r="E5591" s="15" t="s">
        <v>39</v>
      </c>
      <c r="F5591" s="15" t="s">
        <v>17</v>
      </c>
      <c r="G5591" s="15" t="s">
        <v>29</v>
      </c>
      <c r="H5591" s="15" t="n">
        <v>1</v>
      </c>
      <c r="I5591" s="17" t="n">
        <v>0</v>
      </c>
      <c r="J5591" s="18" t="n">
        <v>18.57</v>
      </c>
      <c r="K5591" s="19" t="n">
        <v>6.56</v>
      </c>
      <c r="L5591" s="15" t="n">
        <f aca="false">YEAR(B5591)</f>
        <v>2025</v>
      </c>
      <c r="M5591" s="20" t="n">
        <f aca="false">IF(J5591&gt;0,K5591/J5591,0)</f>
        <v>0.353257942918686</v>
      </c>
    </row>
    <row r="5592" customFormat="false" ht="15" hidden="false" customHeight="false" outlineLevel="0" collapsed="false">
      <c r="A5592" s="15" t="s">
        <v>5649</v>
      </c>
      <c r="B5592" s="16" t="n">
        <v>45701</v>
      </c>
      <c r="C5592" s="15" t="s">
        <v>56</v>
      </c>
      <c r="D5592" s="15" t="s">
        <v>44</v>
      </c>
      <c r="E5592" s="15" t="s">
        <v>37</v>
      </c>
      <c r="F5592" s="15" t="s">
        <v>18</v>
      </c>
      <c r="G5592" s="15" t="s">
        <v>33</v>
      </c>
      <c r="H5592" s="15" t="n">
        <v>3</v>
      </c>
      <c r="I5592" s="17" t="n">
        <v>0.3</v>
      </c>
      <c r="J5592" s="18" t="n">
        <v>1768.49</v>
      </c>
      <c r="K5592" s="19" t="n">
        <v>75.69</v>
      </c>
      <c r="L5592" s="15" t="n">
        <f aca="false">YEAR(B5592)</f>
        <v>2025</v>
      </c>
      <c r="M5592" s="20" t="n">
        <f aca="false">IF(J5592&gt;0,K5592/J5592,0)</f>
        <v>0.0427992241969138</v>
      </c>
    </row>
    <row r="5593" customFormat="false" ht="15" hidden="false" customHeight="false" outlineLevel="0" collapsed="false">
      <c r="A5593" s="15" t="s">
        <v>5650</v>
      </c>
      <c r="B5593" s="16" t="n">
        <v>45423</v>
      </c>
      <c r="C5593" s="15" t="s">
        <v>56</v>
      </c>
      <c r="D5593" s="15" t="s">
        <v>42</v>
      </c>
      <c r="E5593" s="15" t="s">
        <v>36</v>
      </c>
      <c r="F5593" s="15" t="s">
        <v>18</v>
      </c>
      <c r="G5593" s="15" t="s">
        <v>32</v>
      </c>
      <c r="H5593" s="15" t="n">
        <v>4</v>
      </c>
      <c r="I5593" s="17" t="n">
        <v>0</v>
      </c>
      <c r="J5593" s="18" t="n">
        <v>1573.35</v>
      </c>
      <c r="K5593" s="19" t="n">
        <v>283.56</v>
      </c>
      <c r="L5593" s="15" t="n">
        <f aca="false">YEAR(B5593)</f>
        <v>2024</v>
      </c>
      <c r="M5593" s="20" t="n">
        <f aca="false">IF(J5593&gt;0,K5593/J5593,0)</f>
        <v>0.180226904376013</v>
      </c>
    </row>
    <row r="5594" customFormat="false" ht="15" hidden="false" customHeight="false" outlineLevel="0" collapsed="false">
      <c r="A5594" s="15" t="s">
        <v>5651</v>
      </c>
      <c r="B5594" s="16" t="n">
        <v>45219</v>
      </c>
      <c r="C5594" s="15" t="s">
        <v>71</v>
      </c>
      <c r="D5594" s="15" t="s">
        <v>43</v>
      </c>
      <c r="E5594" s="15" t="s">
        <v>37</v>
      </c>
      <c r="F5594" s="15" t="s">
        <v>16</v>
      </c>
      <c r="G5594" s="15" t="s">
        <v>27</v>
      </c>
      <c r="H5594" s="15" t="n">
        <v>3</v>
      </c>
      <c r="I5594" s="17" t="n">
        <v>0</v>
      </c>
      <c r="J5594" s="18" t="n">
        <v>189.15</v>
      </c>
      <c r="K5594" s="19" t="n">
        <v>47.39</v>
      </c>
      <c r="L5594" s="15" t="n">
        <f aca="false">YEAR(B5594)</f>
        <v>2023</v>
      </c>
      <c r="M5594" s="20" t="n">
        <f aca="false">IF(J5594&gt;0,K5594/J5594,0)</f>
        <v>0.250541897964578</v>
      </c>
    </row>
    <row r="5595" customFormat="false" ht="15" hidden="false" customHeight="false" outlineLevel="0" collapsed="false">
      <c r="A5595" s="15" t="s">
        <v>5652</v>
      </c>
      <c r="B5595" s="16" t="n">
        <v>44566</v>
      </c>
      <c r="C5595" s="15" t="s">
        <v>56</v>
      </c>
      <c r="D5595" s="15" t="s">
        <v>44</v>
      </c>
      <c r="E5595" s="15" t="s">
        <v>36</v>
      </c>
      <c r="F5595" s="15" t="s">
        <v>17</v>
      </c>
      <c r="G5595" s="15" t="s">
        <v>29</v>
      </c>
      <c r="H5595" s="15" t="n">
        <v>1</v>
      </c>
      <c r="I5595" s="17" t="n">
        <v>0.05</v>
      </c>
      <c r="J5595" s="18" t="n">
        <v>15.25</v>
      </c>
      <c r="K5595" s="19" t="n">
        <v>5.24</v>
      </c>
      <c r="L5595" s="15" t="n">
        <f aca="false">YEAR(B5595)</f>
        <v>2022</v>
      </c>
      <c r="M5595" s="20" t="n">
        <f aca="false">IF(J5595&gt;0,K5595/J5595,0)</f>
        <v>0.343606557377049</v>
      </c>
    </row>
    <row r="5596" customFormat="false" ht="15" hidden="false" customHeight="false" outlineLevel="0" collapsed="false">
      <c r="A5596" s="15" t="s">
        <v>5653</v>
      </c>
      <c r="B5596" s="16" t="n">
        <v>45258</v>
      </c>
      <c r="C5596" s="15" t="s">
        <v>56</v>
      </c>
      <c r="D5596" s="15" t="s">
        <v>43</v>
      </c>
      <c r="E5596" s="15" t="s">
        <v>37</v>
      </c>
      <c r="F5596" s="15" t="s">
        <v>17</v>
      </c>
      <c r="G5596" s="15" t="s">
        <v>28</v>
      </c>
      <c r="H5596" s="15" t="n">
        <v>4</v>
      </c>
      <c r="I5596" s="17" t="n">
        <v>0</v>
      </c>
      <c r="J5596" s="18" t="n">
        <v>120.86</v>
      </c>
      <c r="K5596" s="19" t="n">
        <v>33.77</v>
      </c>
      <c r="L5596" s="15" t="n">
        <f aca="false">YEAR(B5596)</f>
        <v>2023</v>
      </c>
      <c r="M5596" s="20" t="n">
        <f aca="false">IF(J5596&gt;0,K5596/J5596,0)</f>
        <v>0.279414198245904</v>
      </c>
    </row>
    <row r="5597" customFormat="false" ht="15" hidden="false" customHeight="false" outlineLevel="0" collapsed="false">
      <c r="A5597" s="15" t="s">
        <v>5654</v>
      </c>
      <c r="B5597" s="16" t="n">
        <v>45837</v>
      </c>
      <c r="C5597" s="15" t="s">
        <v>56</v>
      </c>
      <c r="D5597" s="15" t="s">
        <v>44</v>
      </c>
      <c r="E5597" s="15" t="s">
        <v>39</v>
      </c>
      <c r="F5597" s="15" t="s">
        <v>18</v>
      </c>
      <c r="G5597" s="15" t="s">
        <v>30</v>
      </c>
      <c r="H5597" s="15" t="n">
        <v>5</v>
      </c>
      <c r="I5597" s="17" t="n">
        <v>0.1</v>
      </c>
      <c r="J5597" s="18" t="n">
        <v>210.28</v>
      </c>
      <c r="K5597" s="19" t="n">
        <v>43.87</v>
      </c>
      <c r="L5597" s="15" t="n">
        <f aca="false">YEAR(B5597)</f>
        <v>2025</v>
      </c>
      <c r="M5597" s="20" t="n">
        <f aca="false">IF(J5597&gt;0,K5597/J5597,0)</f>
        <v>0.208626593113943</v>
      </c>
    </row>
    <row r="5598" customFormat="false" ht="15" hidden="false" customHeight="false" outlineLevel="0" collapsed="false">
      <c r="A5598" s="15" t="s">
        <v>5655</v>
      </c>
      <c r="B5598" s="16" t="n">
        <v>45312</v>
      </c>
      <c r="C5598" s="15" t="s">
        <v>71</v>
      </c>
      <c r="D5598" s="15" t="s">
        <v>42</v>
      </c>
      <c r="E5598" s="15" t="s">
        <v>39</v>
      </c>
      <c r="F5598" s="15" t="s">
        <v>18</v>
      </c>
      <c r="G5598" s="15" t="s">
        <v>32</v>
      </c>
      <c r="H5598" s="15" t="n">
        <v>4</v>
      </c>
      <c r="I5598" s="17" t="n">
        <v>0</v>
      </c>
      <c r="J5598" s="18" t="n">
        <v>1895.68</v>
      </c>
      <c r="K5598" s="19" t="n">
        <v>255.62</v>
      </c>
      <c r="L5598" s="15" t="n">
        <f aca="false">YEAR(B5598)</f>
        <v>2024</v>
      </c>
      <c r="M5598" s="20" t="n">
        <f aca="false">IF(J5598&gt;0,K5598/J5598,0)</f>
        <v>0.134843433490885</v>
      </c>
    </row>
    <row r="5599" customFormat="false" ht="15" hidden="false" customHeight="false" outlineLevel="0" collapsed="false">
      <c r="A5599" s="15" t="s">
        <v>5656</v>
      </c>
      <c r="B5599" s="16" t="n">
        <v>45249</v>
      </c>
      <c r="C5599" s="15" t="s">
        <v>71</v>
      </c>
      <c r="D5599" s="15" t="s">
        <v>42</v>
      </c>
      <c r="E5599" s="15" t="s">
        <v>37</v>
      </c>
      <c r="F5599" s="15" t="s">
        <v>16</v>
      </c>
      <c r="G5599" s="15" t="s">
        <v>25</v>
      </c>
      <c r="H5599" s="15" t="n">
        <v>2</v>
      </c>
      <c r="I5599" s="17" t="n">
        <v>0.2</v>
      </c>
      <c r="J5599" s="18" t="n">
        <v>432.04</v>
      </c>
      <c r="K5599" s="19" t="n">
        <v>-24.68</v>
      </c>
      <c r="L5599" s="15" t="n">
        <f aca="false">YEAR(B5599)</f>
        <v>2023</v>
      </c>
      <c r="M5599" s="20" t="n">
        <f aca="false">IF(J5599&gt;0,K5599/J5599,0)</f>
        <v>-0.0571243403388575</v>
      </c>
    </row>
    <row r="5600" customFormat="false" ht="15" hidden="false" customHeight="false" outlineLevel="0" collapsed="false">
      <c r="A5600" s="15" t="s">
        <v>5657</v>
      </c>
      <c r="B5600" s="16" t="n">
        <v>45889</v>
      </c>
      <c r="C5600" s="15" t="s">
        <v>56</v>
      </c>
      <c r="D5600" s="15" t="s">
        <v>42</v>
      </c>
      <c r="E5600" s="15" t="s">
        <v>37</v>
      </c>
      <c r="F5600" s="15" t="s">
        <v>17</v>
      </c>
      <c r="G5600" s="15" t="s">
        <v>29</v>
      </c>
      <c r="H5600" s="15" t="n">
        <v>4</v>
      </c>
      <c r="I5600" s="17" t="n">
        <v>0</v>
      </c>
      <c r="J5600" s="18" t="n">
        <v>73.92</v>
      </c>
      <c r="K5600" s="19" t="n">
        <v>32.13</v>
      </c>
      <c r="L5600" s="15" t="n">
        <f aca="false">YEAR(B5600)</f>
        <v>2025</v>
      </c>
      <c r="M5600" s="20" t="n">
        <f aca="false">IF(J5600&gt;0,K5600/J5600,0)</f>
        <v>0.434659090909091</v>
      </c>
    </row>
    <row r="5601" customFormat="false" ht="15" hidden="false" customHeight="false" outlineLevel="0" collapsed="false">
      <c r="A5601" s="15" t="s">
        <v>5658</v>
      </c>
      <c r="B5601" s="16" t="n">
        <v>45004</v>
      </c>
      <c r="C5601" s="15" t="s">
        <v>71</v>
      </c>
      <c r="D5601" s="15" t="s">
        <v>44</v>
      </c>
      <c r="E5601" s="15" t="s">
        <v>37</v>
      </c>
      <c r="F5601" s="15" t="s">
        <v>17</v>
      </c>
      <c r="G5601" s="15" t="s">
        <v>28</v>
      </c>
      <c r="H5601" s="15" t="n">
        <v>2</v>
      </c>
      <c r="I5601" s="17" t="n">
        <v>0.15</v>
      </c>
      <c r="J5601" s="18" t="n">
        <v>40.47</v>
      </c>
      <c r="K5601" s="19" t="n">
        <v>7.72</v>
      </c>
      <c r="L5601" s="15" t="n">
        <f aca="false">YEAR(B5601)</f>
        <v>2023</v>
      </c>
      <c r="M5601" s="20" t="n">
        <f aca="false">IF(J5601&gt;0,K5601/J5601,0)</f>
        <v>0.190758586607363</v>
      </c>
    </row>
    <row r="5602" customFormat="false" ht="15" hidden="false" customHeight="false" outlineLevel="0" collapsed="false">
      <c r="A5602" s="15" t="s">
        <v>5659</v>
      </c>
      <c r="B5602" s="16" t="n">
        <v>44863</v>
      </c>
      <c r="C5602" s="15" t="s">
        <v>56</v>
      </c>
      <c r="D5602" s="15" t="s">
        <v>42</v>
      </c>
      <c r="E5602" s="15" t="s">
        <v>39</v>
      </c>
      <c r="F5602" s="15" t="s">
        <v>17</v>
      </c>
      <c r="G5602" s="15" t="s">
        <v>28</v>
      </c>
      <c r="H5602" s="15" t="n">
        <v>4</v>
      </c>
      <c r="I5602" s="17" t="n">
        <v>0</v>
      </c>
      <c r="J5602" s="18" t="n">
        <v>94.9</v>
      </c>
      <c r="K5602" s="19" t="n">
        <v>26.58</v>
      </c>
      <c r="L5602" s="15" t="n">
        <f aca="false">YEAR(B5602)</f>
        <v>2022</v>
      </c>
      <c r="M5602" s="20" t="n">
        <f aca="false">IF(J5602&gt;0,K5602/J5602,0)</f>
        <v>0.280084299262381</v>
      </c>
    </row>
    <row r="5603" customFormat="false" ht="15" hidden="false" customHeight="false" outlineLevel="0" collapsed="false">
      <c r="A5603" s="15" t="s">
        <v>5660</v>
      </c>
      <c r="B5603" s="16" t="n">
        <v>45478</v>
      </c>
      <c r="C5603" s="15" t="s">
        <v>71</v>
      </c>
      <c r="D5603" s="15" t="s">
        <v>42</v>
      </c>
      <c r="E5603" s="15" t="s">
        <v>39</v>
      </c>
      <c r="F5603" s="15" t="s">
        <v>17</v>
      </c>
      <c r="G5603" s="15" t="s">
        <v>29</v>
      </c>
      <c r="H5603" s="15" t="n">
        <v>4</v>
      </c>
      <c r="I5603" s="17" t="n">
        <v>0.1</v>
      </c>
      <c r="J5603" s="18" t="n">
        <v>75.01</v>
      </c>
      <c r="K5603" s="19" t="n">
        <v>20.07</v>
      </c>
      <c r="L5603" s="15" t="n">
        <f aca="false">YEAR(B5603)</f>
        <v>2024</v>
      </c>
      <c r="M5603" s="20" t="n">
        <f aca="false">IF(J5603&gt;0,K5603/J5603,0)</f>
        <v>0.267564324756699</v>
      </c>
    </row>
    <row r="5604" customFormat="false" ht="15" hidden="false" customHeight="false" outlineLevel="0" collapsed="false">
      <c r="A5604" s="15" t="s">
        <v>5661</v>
      </c>
      <c r="B5604" s="16" t="n">
        <v>45968</v>
      </c>
      <c r="C5604" s="15" t="s">
        <v>56</v>
      </c>
      <c r="D5604" s="15" t="s">
        <v>42</v>
      </c>
      <c r="E5604" s="15" t="s">
        <v>37</v>
      </c>
      <c r="F5604" s="15" t="s">
        <v>17</v>
      </c>
      <c r="G5604" s="15" t="s">
        <v>26</v>
      </c>
      <c r="H5604" s="15" t="n">
        <v>2</v>
      </c>
      <c r="I5604" s="17" t="n">
        <v>0.15</v>
      </c>
      <c r="J5604" s="18" t="n">
        <v>151</v>
      </c>
      <c r="K5604" s="19" t="n">
        <v>1.01</v>
      </c>
      <c r="L5604" s="15" t="n">
        <f aca="false">YEAR(B5604)</f>
        <v>2025</v>
      </c>
      <c r="M5604" s="20" t="n">
        <f aca="false">IF(J5604&gt;0,K5604/J5604,0)</f>
        <v>0.0066887417218543</v>
      </c>
    </row>
    <row r="5605" customFormat="false" ht="15" hidden="false" customHeight="false" outlineLevel="0" collapsed="false">
      <c r="A5605" s="15" t="s">
        <v>5662</v>
      </c>
      <c r="B5605" s="16" t="n">
        <v>45982</v>
      </c>
      <c r="C5605" s="15" t="s">
        <v>56</v>
      </c>
      <c r="D5605" s="15" t="s">
        <v>43</v>
      </c>
      <c r="E5605" s="15" t="s">
        <v>38</v>
      </c>
      <c r="F5605" s="15" t="s">
        <v>18</v>
      </c>
      <c r="G5605" s="15" t="s">
        <v>30</v>
      </c>
      <c r="H5605" s="15" t="n">
        <v>3</v>
      </c>
      <c r="I5605" s="17" t="n">
        <v>0.15</v>
      </c>
      <c r="J5605" s="18" t="n">
        <v>113.58</v>
      </c>
      <c r="K5605" s="19" t="n">
        <v>17.48</v>
      </c>
      <c r="L5605" s="15" t="n">
        <f aca="false">YEAR(B5605)</f>
        <v>2025</v>
      </c>
      <c r="M5605" s="20" t="n">
        <f aca="false">IF(J5605&gt;0,K5605/J5605,0)</f>
        <v>0.153900334565945</v>
      </c>
    </row>
    <row r="5606" customFormat="false" ht="15" hidden="false" customHeight="false" outlineLevel="0" collapsed="false">
      <c r="A5606" s="15" t="s">
        <v>5663</v>
      </c>
      <c r="B5606" s="16" t="n">
        <v>45172</v>
      </c>
      <c r="C5606" s="15" t="s">
        <v>71</v>
      </c>
      <c r="D5606" s="15" t="s">
        <v>42</v>
      </c>
      <c r="E5606" s="15" t="s">
        <v>37</v>
      </c>
      <c r="F5606" s="15" t="s">
        <v>17</v>
      </c>
      <c r="G5606" s="15" t="s">
        <v>29</v>
      </c>
      <c r="H5606" s="15" t="n">
        <v>1</v>
      </c>
      <c r="I5606" s="17" t="n">
        <v>0.3</v>
      </c>
      <c r="J5606" s="18" t="n">
        <v>16.07</v>
      </c>
      <c r="K5606" s="19" t="n">
        <v>2.41</v>
      </c>
      <c r="L5606" s="15" t="n">
        <f aca="false">YEAR(B5606)</f>
        <v>2023</v>
      </c>
      <c r="M5606" s="20" t="n">
        <f aca="false">IF(J5606&gt;0,K5606/J5606,0)</f>
        <v>0.149968886123211</v>
      </c>
    </row>
    <row r="5607" customFormat="false" ht="15" hidden="false" customHeight="false" outlineLevel="0" collapsed="false">
      <c r="A5607" s="15" t="s">
        <v>5664</v>
      </c>
      <c r="B5607" s="16" t="n">
        <v>44616</v>
      </c>
      <c r="C5607" s="15" t="s">
        <v>56</v>
      </c>
      <c r="D5607" s="15" t="s">
        <v>43</v>
      </c>
      <c r="E5607" s="15" t="s">
        <v>37</v>
      </c>
      <c r="F5607" s="15" t="s">
        <v>16</v>
      </c>
      <c r="G5607" s="15" t="s">
        <v>27</v>
      </c>
      <c r="H5607" s="15" t="n">
        <v>4</v>
      </c>
      <c r="I5607" s="17" t="n">
        <v>0</v>
      </c>
      <c r="J5607" s="18" t="n">
        <v>219.95</v>
      </c>
      <c r="K5607" s="19" t="n">
        <v>38.93</v>
      </c>
      <c r="L5607" s="15" t="n">
        <f aca="false">YEAR(B5607)</f>
        <v>2022</v>
      </c>
      <c r="M5607" s="20" t="n">
        <f aca="false">IF(J5607&gt;0,K5607/J5607,0)</f>
        <v>0.176994771538986</v>
      </c>
    </row>
    <row r="5608" customFormat="false" ht="15" hidden="false" customHeight="false" outlineLevel="0" collapsed="false">
      <c r="A5608" s="15" t="s">
        <v>5665</v>
      </c>
      <c r="B5608" s="16" t="n">
        <v>45972</v>
      </c>
      <c r="C5608" s="15" t="s">
        <v>71</v>
      </c>
      <c r="D5608" s="15" t="s">
        <v>42</v>
      </c>
      <c r="E5608" s="15" t="s">
        <v>39</v>
      </c>
      <c r="F5608" s="15" t="s">
        <v>17</v>
      </c>
      <c r="G5608" s="15" t="s">
        <v>29</v>
      </c>
      <c r="H5608" s="15" t="n">
        <v>4</v>
      </c>
      <c r="I5608" s="17" t="n">
        <v>0</v>
      </c>
      <c r="J5608" s="18" t="n">
        <v>78.06</v>
      </c>
      <c r="K5608" s="19" t="n">
        <v>29.93</v>
      </c>
      <c r="L5608" s="15" t="n">
        <f aca="false">YEAR(B5608)</f>
        <v>2025</v>
      </c>
      <c r="M5608" s="20" t="n">
        <f aca="false">IF(J5608&gt;0,K5608/J5608,0)</f>
        <v>0.383423007942608</v>
      </c>
    </row>
    <row r="5609" customFormat="false" ht="15" hidden="false" customHeight="false" outlineLevel="0" collapsed="false">
      <c r="A5609" s="15" t="s">
        <v>5666</v>
      </c>
      <c r="B5609" s="16" t="n">
        <v>45889</v>
      </c>
      <c r="C5609" s="15" t="s">
        <v>56</v>
      </c>
      <c r="D5609" s="15" t="s">
        <v>42</v>
      </c>
      <c r="E5609" s="15" t="s">
        <v>36</v>
      </c>
      <c r="F5609" s="15" t="s">
        <v>17</v>
      </c>
      <c r="G5609" s="15" t="s">
        <v>26</v>
      </c>
      <c r="H5609" s="15" t="n">
        <v>4</v>
      </c>
      <c r="I5609" s="17" t="n">
        <v>0</v>
      </c>
      <c r="J5609" s="18" t="n">
        <v>307.56</v>
      </c>
      <c r="K5609" s="19" t="n">
        <v>36.8</v>
      </c>
      <c r="L5609" s="15" t="n">
        <f aca="false">YEAR(B5609)</f>
        <v>2025</v>
      </c>
      <c r="M5609" s="20" t="n">
        <f aca="false">IF(J5609&gt;0,K5609/J5609,0)</f>
        <v>0.119651450123553</v>
      </c>
    </row>
    <row r="5610" customFormat="false" ht="15" hidden="false" customHeight="false" outlineLevel="0" collapsed="false">
      <c r="A5610" s="15" t="s">
        <v>5667</v>
      </c>
      <c r="B5610" s="16" t="n">
        <v>44922</v>
      </c>
      <c r="C5610" s="15" t="s">
        <v>71</v>
      </c>
      <c r="D5610" s="15" t="s">
        <v>42</v>
      </c>
      <c r="E5610" s="15" t="s">
        <v>36</v>
      </c>
      <c r="F5610" s="15" t="s">
        <v>16</v>
      </c>
      <c r="G5610" s="15" t="s">
        <v>22</v>
      </c>
      <c r="H5610" s="15" t="n">
        <v>3</v>
      </c>
      <c r="I5610" s="17" t="n">
        <v>0</v>
      </c>
      <c r="J5610" s="18" t="n">
        <v>1474.98</v>
      </c>
      <c r="K5610" s="19" t="n">
        <v>18.66</v>
      </c>
      <c r="L5610" s="15" t="n">
        <f aca="false">YEAR(B5610)</f>
        <v>2022</v>
      </c>
      <c r="M5610" s="20" t="n">
        <f aca="false">IF(J5610&gt;0,K5610/J5610,0)</f>
        <v>0.0126510189968678</v>
      </c>
    </row>
    <row r="5611" customFormat="false" ht="15" hidden="false" customHeight="false" outlineLevel="0" collapsed="false">
      <c r="A5611" s="15" t="s">
        <v>5668</v>
      </c>
      <c r="B5611" s="16" t="n">
        <v>45725</v>
      </c>
      <c r="C5611" s="15" t="s">
        <v>58</v>
      </c>
      <c r="D5611" s="15" t="s">
        <v>44</v>
      </c>
      <c r="E5611" s="15" t="s">
        <v>39</v>
      </c>
      <c r="F5611" s="15" t="s">
        <v>16</v>
      </c>
      <c r="G5611" s="15" t="s">
        <v>22</v>
      </c>
      <c r="H5611" s="15" t="n">
        <v>4</v>
      </c>
      <c r="I5611" s="17" t="n">
        <v>0</v>
      </c>
      <c r="J5611" s="18" t="n">
        <v>2572.02</v>
      </c>
      <c r="K5611" s="19" t="n">
        <v>-149.73</v>
      </c>
      <c r="L5611" s="15" t="n">
        <f aca="false">YEAR(B5611)</f>
        <v>2025</v>
      </c>
      <c r="M5611" s="20" t="n">
        <f aca="false">IF(J5611&gt;0,K5611/J5611,0)</f>
        <v>-0.0582149438962372</v>
      </c>
    </row>
    <row r="5612" customFormat="false" ht="15" hidden="false" customHeight="false" outlineLevel="0" collapsed="false">
      <c r="A5612" s="15" t="s">
        <v>5669</v>
      </c>
      <c r="B5612" s="16" t="n">
        <v>45776</v>
      </c>
      <c r="C5612" s="15" t="s">
        <v>71</v>
      </c>
      <c r="D5612" s="15" t="s">
        <v>43</v>
      </c>
      <c r="E5612" s="15" t="s">
        <v>38</v>
      </c>
      <c r="F5612" s="15" t="s">
        <v>17</v>
      </c>
      <c r="G5612" s="15" t="s">
        <v>31</v>
      </c>
      <c r="H5612" s="15" t="n">
        <v>4</v>
      </c>
      <c r="I5612" s="17" t="n">
        <v>0.1</v>
      </c>
      <c r="J5612" s="18" t="n">
        <v>462.35</v>
      </c>
      <c r="K5612" s="19" t="n">
        <v>48.44</v>
      </c>
      <c r="L5612" s="15" t="n">
        <f aca="false">YEAR(B5612)</f>
        <v>2025</v>
      </c>
      <c r="M5612" s="20" t="n">
        <f aca="false">IF(J5612&gt;0,K5612/J5612,0)</f>
        <v>0.104769114307343</v>
      </c>
    </row>
    <row r="5613" customFormat="false" ht="15" hidden="false" customHeight="false" outlineLevel="0" collapsed="false">
      <c r="A5613" s="15" t="s">
        <v>5670</v>
      </c>
      <c r="B5613" s="16" t="n">
        <v>45463</v>
      </c>
      <c r="C5613" s="15" t="s">
        <v>68</v>
      </c>
      <c r="D5613" s="15" t="s">
        <v>43</v>
      </c>
      <c r="E5613" s="15" t="s">
        <v>39</v>
      </c>
      <c r="F5613" s="15" t="s">
        <v>17</v>
      </c>
      <c r="G5613" s="15" t="s">
        <v>26</v>
      </c>
      <c r="H5613" s="15" t="n">
        <v>4</v>
      </c>
      <c r="I5613" s="17" t="n">
        <v>0.4</v>
      </c>
      <c r="J5613" s="18" t="n">
        <v>280.3</v>
      </c>
      <c r="K5613" s="19" t="n">
        <v>-92.6</v>
      </c>
      <c r="L5613" s="15" t="n">
        <f aca="false">YEAR(B5613)</f>
        <v>2024</v>
      </c>
      <c r="M5613" s="20" t="n">
        <f aca="false">IF(J5613&gt;0,K5613/J5613,0)</f>
        <v>-0.330360328219765</v>
      </c>
    </row>
    <row r="5614" customFormat="false" ht="15" hidden="false" customHeight="false" outlineLevel="0" collapsed="false">
      <c r="A5614" s="15" t="s">
        <v>5671</v>
      </c>
      <c r="B5614" s="16" t="n">
        <v>45805</v>
      </c>
      <c r="C5614" s="15" t="s">
        <v>56</v>
      </c>
      <c r="D5614" s="15" t="s">
        <v>42</v>
      </c>
      <c r="E5614" s="15" t="s">
        <v>39</v>
      </c>
      <c r="F5614" s="15" t="s">
        <v>17</v>
      </c>
      <c r="G5614" s="15" t="s">
        <v>28</v>
      </c>
      <c r="H5614" s="15" t="n">
        <v>6</v>
      </c>
      <c r="I5614" s="17" t="n">
        <v>0</v>
      </c>
      <c r="J5614" s="18" t="n">
        <v>161.77</v>
      </c>
      <c r="K5614" s="19" t="n">
        <v>57.85</v>
      </c>
      <c r="L5614" s="15" t="n">
        <f aca="false">YEAR(B5614)</f>
        <v>2025</v>
      </c>
      <c r="M5614" s="20" t="n">
        <f aca="false">IF(J5614&gt;0,K5614/J5614,0)</f>
        <v>0.357606478333436</v>
      </c>
    </row>
    <row r="5615" customFormat="false" ht="15" hidden="false" customHeight="false" outlineLevel="0" collapsed="false">
      <c r="A5615" s="15" t="s">
        <v>5672</v>
      </c>
      <c r="B5615" s="16" t="n">
        <v>44921</v>
      </c>
      <c r="C5615" s="15" t="s">
        <v>58</v>
      </c>
      <c r="D5615" s="15" t="s">
        <v>42</v>
      </c>
      <c r="E5615" s="15" t="s">
        <v>37</v>
      </c>
      <c r="F5615" s="15" t="s">
        <v>18</v>
      </c>
      <c r="G5615" s="15" t="s">
        <v>30</v>
      </c>
      <c r="H5615" s="15" t="n">
        <v>2</v>
      </c>
      <c r="I5615" s="17" t="n">
        <v>0.3</v>
      </c>
      <c r="J5615" s="18" t="n">
        <v>66.26</v>
      </c>
      <c r="K5615" s="19" t="n">
        <v>-3.25</v>
      </c>
      <c r="L5615" s="15" t="n">
        <f aca="false">YEAR(B5615)</f>
        <v>2022</v>
      </c>
      <c r="M5615" s="20" t="n">
        <f aca="false">IF(J5615&gt;0,K5615/J5615,0)</f>
        <v>-0.0490492001207365</v>
      </c>
    </row>
    <row r="5616" customFormat="false" ht="15" hidden="false" customHeight="false" outlineLevel="0" collapsed="false">
      <c r="A5616" s="15" t="s">
        <v>5673</v>
      </c>
      <c r="B5616" s="16" t="n">
        <v>45051</v>
      </c>
      <c r="C5616" s="15" t="s">
        <v>56</v>
      </c>
      <c r="D5616" s="15" t="s">
        <v>42</v>
      </c>
      <c r="E5616" s="15" t="s">
        <v>39</v>
      </c>
      <c r="F5616" s="15" t="s">
        <v>17</v>
      </c>
      <c r="G5616" s="15" t="s">
        <v>26</v>
      </c>
      <c r="H5616" s="15" t="n">
        <v>3</v>
      </c>
      <c r="I5616" s="17" t="n">
        <v>0.05</v>
      </c>
      <c r="J5616" s="18" t="n">
        <v>246.9</v>
      </c>
      <c r="K5616" s="19" t="n">
        <v>17.12</v>
      </c>
      <c r="L5616" s="15" t="n">
        <f aca="false">YEAR(B5616)</f>
        <v>2023</v>
      </c>
      <c r="M5616" s="20" t="n">
        <f aca="false">IF(J5616&gt;0,K5616/J5616,0)</f>
        <v>0.0693398136897529</v>
      </c>
    </row>
    <row r="5617" customFormat="false" ht="15" hidden="false" customHeight="false" outlineLevel="0" collapsed="false">
      <c r="A5617" s="15" t="s">
        <v>5674</v>
      </c>
      <c r="B5617" s="16" t="n">
        <v>45548</v>
      </c>
      <c r="C5617" s="15" t="s">
        <v>56</v>
      </c>
      <c r="D5617" s="15" t="s">
        <v>43</v>
      </c>
      <c r="E5617" s="15" t="s">
        <v>38</v>
      </c>
      <c r="F5617" s="15" t="s">
        <v>17</v>
      </c>
      <c r="G5617" s="15" t="s">
        <v>26</v>
      </c>
      <c r="H5617" s="15" t="n">
        <v>5</v>
      </c>
      <c r="I5617" s="17" t="n">
        <v>0.1</v>
      </c>
      <c r="J5617" s="18" t="n">
        <v>310.66</v>
      </c>
      <c r="K5617" s="19" t="n">
        <v>11.77</v>
      </c>
      <c r="L5617" s="15" t="n">
        <f aca="false">YEAR(B5617)</f>
        <v>2024</v>
      </c>
      <c r="M5617" s="20" t="n">
        <f aca="false">IF(J5617&gt;0,K5617/J5617,0)</f>
        <v>0.0378870791218696</v>
      </c>
    </row>
    <row r="5618" customFormat="false" ht="15" hidden="false" customHeight="false" outlineLevel="0" collapsed="false">
      <c r="A5618" s="15" t="s">
        <v>5675</v>
      </c>
      <c r="B5618" s="16" t="n">
        <v>45863</v>
      </c>
      <c r="C5618" s="15" t="s">
        <v>56</v>
      </c>
      <c r="D5618" s="15" t="s">
        <v>44</v>
      </c>
      <c r="E5618" s="15" t="s">
        <v>37</v>
      </c>
      <c r="F5618" s="15" t="s">
        <v>16</v>
      </c>
      <c r="G5618" s="15" t="s">
        <v>25</v>
      </c>
      <c r="H5618" s="15" t="n">
        <v>6</v>
      </c>
      <c r="I5618" s="17" t="n">
        <v>0</v>
      </c>
      <c r="J5618" s="18" t="n">
        <v>1623.94</v>
      </c>
      <c r="K5618" s="19" t="n">
        <v>253.94</v>
      </c>
      <c r="L5618" s="15" t="n">
        <f aca="false">YEAR(B5618)</f>
        <v>2025</v>
      </c>
      <c r="M5618" s="20" t="n">
        <f aca="false">IF(J5618&gt;0,K5618/J5618,0)</f>
        <v>0.156372772393069</v>
      </c>
    </row>
    <row r="5619" customFormat="false" ht="15" hidden="false" customHeight="false" outlineLevel="0" collapsed="false">
      <c r="A5619" s="15" t="s">
        <v>5676</v>
      </c>
      <c r="B5619" s="16" t="n">
        <v>45752</v>
      </c>
      <c r="C5619" s="15" t="s">
        <v>58</v>
      </c>
      <c r="D5619" s="15" t="s">
        <v>42</v>
      </c>
      <c r="E5619" s="15" t="s">
        <v>37</v>
      </c>
      <c r="F5619" s="15" t="s">
        <v>17</v>
      </c>
      <c r="G5619" s="15" t="s">
        <v>29</v>
      </c>
      <c r="H5619" s="15" t="n">
        <v>2</v>
      </c>
      <c r="I5619" s="17" t="n">
        <v>0</v>
      </c>
      <c r="J5619" s="18" t="n">
        <v>38.36</v>
      </c>
      <c r="K5619" s="19" t="n">
        <v>14.47</v>
      </c>
      <c r="L5619" s="15" t="n">
        <f aca="false">YEAR(B5619)</f>
        <v>2025</v>
      </c>
      <c r="M5619" s="20" t="n">
        <f aca="false">IF(J5619&gt;0,K5619/J5619,0)</f>
        <v>0.377215849843587</v>
      </c>
    </row>
    <row r="5620" customFormat="false" ht="15" hidden="false" customHeight="false" outlineLevel="0" collapsed="false">
      <c r="A5620" s="15" t="s">
        <v>5677</v>
      </c>
      <c r="B5620" s="16" t="n">
        <v>44956</v>
      </c>
      <c r="C5620" s="15" t="s">
        <v>56</v>
      </c>
      <c r="D5620" s="15" t="s">
        <v>44</v>
      </c>
      <c r="E5620" s="15" t="s">
        <v>36</v>
      </c>
      <c r="F5620" s="15" t="s">
        <v>17</v>
      </c>
      <c r="G5620" s="15" t="s">
        <v>28</v>
      </c>
      <c r="H5620" s="15" t="n">
        <v>4</v>
      </c>
      <c r="I5620" s="17" t="n">
        <v>0.4</v>
      </c>
      <c r="J5620" s="18" t="n">
        <v>55.68</v>
      </c>
      <c r="K5620" s="19" t="n">
        <v>-2.51</v>
      </c>
      <c r="L5620" s="15" t="n">
        <f aca="false">YEAR(B5620)</f>
        <v>2023</v>
      </c>
      <c r="M5620" s="20" t="n">
        <f aca="false">IF(J5620&gt;0,K5620/J5620,0)</f>
        <v>-0.0450790229885057</v>
      </c>
    </row>
    <row r="5621" customFormat="false" ht="15" hidden="false" customHeight="false" outlineLevel="0" collapsed="false">
      <c r="A5621" s="15" t="s">
        <v>5678</v>
      </c>
      <c r="B5621" s="16" t="n">
        <v>45937</v>
      </c>
      <c r="C5621" s="15" t="s">
        <v>56</v>
      </c>
      <c r="D5621" s="15" t="s">
        <v>44</v>
      </c>
      <c r="E5621" s="15" t="s">
        <v>39</v>
      </c>
      <c r="F5621" s="15" t="s">
        <v>16</v>
      </c>
      <c r="G5621" s="15" t="s">
        <v>22</v>
      </c>
      <c r="H5621" s="15" t="n">
        <v>4</v>
      </c>
      <c r="I5621" s="17" t="n">
        <v>0.05</v>
      </c>
      <c r="J5621" s="18" t="n">
        <v>2106.03</v>
      </c>
      <c r="K5621" s="19" t="n">
        <v>-157.92</v>
      </c>
      <c r="L5621" s="15" t="n">
        <f aca="false">YEAR(B5621)</f>
        <v>2025</v>
      </c>
      <c r="M5621" s="20" t="n">
        <f aca="false">IF(J5621&gt;0,K5621/J5621,0)</f>
        <v>-0.074984686827823</v>
      </c>
    </row>
    <row r="5622" customFormat="false" ht="15" hidden="false" customHeight="false" outlineLevel="0" collapsed="false">
      <c r="A5622" s="15" t="s">
        <v>5679</v>
      </c>
      <c r="B5622" s="16" t="n">
        <v>45697</v>
      </c>
      <c r="C5622" s="15" t="s">
        <v>56</v>
      </c>
      <c r="D5622" s="15" t="s">
        <v>42</v>
      </c>
      <c r="E5622" s="15" t="s">
        <v>37</v>
      </c>
      <c r="F5622" s="15" t="s">
        <v>17</v>
      </c>
      <c r="G5622" s="15" t="s">
        <v>28</v>
      </c>
      <c r="H5622" s="15" t="n">
        <v>1</v>
      </c>
      <c r="I5622" s="17" t="n">
        <v>0</v>
      </c>
      <c r="J5622" s="18" t="n">
        <v>27.75</v>
      </c>
      <c r="K5622" s="19" t="n">
        <v>9.79</v>
      </c>
      <c r="L5622" s="15" t="n">
        <f aca="false">YEAR(B5622)</f>
        <v>2025</v>
      </c>
      <c r="M5622" s="20" t="n">
        <f aca="false">IF(J5622&gt;0,K5622/J5622,0)</f>
        <v>0.352792792792793</v>
      </c>
    </row>
    <row r="5623" customFormat="false" ht="15" hidden="false" customHeight="false" outlineLevel="0" collapsed="false">
      <c r="A5623" s="15" t="s">
        <v>5680</v>
      </c>
      <c r="B5623" s="16" t="n">
        <v>45627</v>
      </c>
      <c r="C5623" s="15" t="s">
        <v>56</v>
      </c>
      <c r="D5623" s="15" t="s">
        <v>42</v>
      </c>
      <c r="E5623" s="15" t="s">
        <v>39</v>
      </c>
      <c r="F5623" s="15" t="s">
        <v>17</v>
      </c>
      <c r="G5623" s="15" t="s">
        <v>26</v>
      </c>
      <c r="H5623" s="15" t="n">
        <v>5</v>
      </c>
      <c r="I5623" s="17" t="n">
        <v>0</v>
      </c>
      <c r="J5623" s="18" t="n">
        <v>358.38</v>
      </c>
      <c r="K5623" s="19" t="n">
        <v>31.75</v>
      </c>
      <c r="L5623" s="15" t="n">
        <f aca="false">YEAR(B5623)</f>
        <v>2024</v>
      </c>
      <c r="M5623" s="20" t="n">
        <f aca="false">IF(J5623&gt;0,K5623/J5623,0)</f>
        <v>0.0885931134549919</v>
      </c>
    </row>
    <row r="5624" customFormat="false" ht="15" hidden="false" customHeight="false" outlineLevel="0" collapsed="false">
      <c r="A5624" s="15" t="s">
        <v>5681</v>
      </c>
      <c r="B5624" s="16" t="n">
        <v>45475</v>
      </c>
      <c r="C5624" s="15" t="s">
        <v>68</v>
      </c>
      <c r="D5624" s="15" t="s">
        <v>42</v>
      </c>
      <c r="E5624" s="15" t="s">
        <v>39</v>
      </c>
      <c r="F5624" s="15" t="s">
        <v>17</v>
      </c>
      <c r="G5624" s="15" t="s">
        <v>31</v>
      </c>
      <c r="H5624" s="15" t="n">
        <v>5</v>
      </c>
      <c r="I5624" s="17" t="n">
        <v>0</v>
      </c>
      <c r="J5624" s="18" t="n">
        <v>686.72</v>
      </c>
      <c r="K5624" s="19" t="n">
        <v>116.61</v>
      </c>
      <c r="L5624" s="15" t="n">
        <f aca="false">YEAR(B5624)</f>
        <v>2024</v>
      </c>
      <c r="M5624" s="20" t="n">
        <f aca="false">IF(J5624&gt;0,K5624/J5624,0)</f>
        <v>0.16980719944082</v>
      </c>
    </row>
    <row r="5625" customFormat="false" ht="15" hidden="false" customHeight="false" outlineLevel="0" collapsed="false">
      <c r="A5625" s="15" t="s">
        <v>5682</v>
      </c>
      <c r="B5625" s="16" t="n">
        <v>46006</v>
      </c>
      <c r="C5625" s="15" t="s">
        <v>56</v>
      </c>
      <c r="D5625" s="15" t="s">
        <v>43</v>
      </c>
      <c r="E5625" s="15" t="s">
        <v>39</v>
      </c>
      <c r="F5625" s="15" t="s">
        <v>17</v>
      </c>
      <c r="G5625" s="15" t="s">
        <v>29</v>
      </c>
      <c r="H5625" s="15" t="n">
        <v>3</v>
      </c>
      <c r="I5625" s="17" t="n">
        <v>0.2</v>
      </c>
      <c r="J5625" s="18" t="n">
        <v>58.07</v>
      </c>
      <c r="K5625" s="19" t="n">
        <v>10.24</v>
      </c>
      <c r="L5625" s="15" t="n">
        <f aca="false">YEAR(B5625)</f>
        <v>2025</v>
      </c>
      <c r="M5625" s="20" t="n">
        <f aca="false">IF(J5625&gt;0,K5625/J5625,0)</f>
        <v>0.176338901325986</v>
      </c>
    </row>
    <row r="5626" customFormat="false" ht="15" hidden="false" customHeight="false" outlineLevel="0" collapsed="false">
      <c r="A5626" s="15" t="s">
        <v>5683</v>
      </c>
      <c r="B5626" s="16" t="n">
        <v>45418</v>
      </c>
      <c r="C5626" s="15" t="s">
        <v>56</v>
      </c>
      <c r="D5626" s="15" t="s">
        <v>42</v>
      </c>
      <c r="E5626" s="15" t="s">
        <v>36</v>
      </c>
      <c r="F5626" s="15" t="s">
        <v>17</v>
      </c>
      <c r="G5626" s="15" t="s">
        <v>29</v>
      </c>
      <c r="H5626" s="15" t="n">
        <v>2</v>
      </c>
      <c r="I5626" s="17" t="n">
        <v>0.15</v>
      </c>
      <c r="J5626" s="18" t="n">
        <v>27.7</v>
      </c>
      <c r="K5626" s="19" t="n">
        <v>7.31</v>
      </c>
      <c r="L5626" s="15" t="n">
        <f aca="false">YEAR(B5626)</f>
        <v>2024</v>
      </c>
      <c r="M5626" s="20" t="n">
        <f aca="false">IF(J5626&gt;0,K5626/J5626,0)</f>
        <v>0.263898916967509</v>
      </c>
    </row>
    <row r="5627" customFormat="false" ht="15" hidden="false" customHeight="false" outlineLevel="0" collapsed="false">
      <c r="A5627" s="15" t="s">
        <v>5684</v>
      </c>
      <c r="B5627" s="16" t="n">
        <v>44827</v>
      </c>
      <c r="C5627" s="15" t="s">
        <v>68</v>
      </c>
      <c r="D5627" s="15" t="s">
        <v>42</v>
      </c>
      <c r="E5627" s="15" t="s">
        <v>37</v>
      </c>
      <c r="F5627" s="15" t="s">
        <v>17</v>
      </c>
      <c r="G5627" s="15" t="s">
        <v>29</v>
      </c>
      <c r="H5627" s="15" t="n">
        <v>4</v>
      </c>
      <c r="I5627" s="17" t="n">
        <v>0.2</v>
      </c>
      <c r="J5627" s="18" t="n">
        <v>61.36</v>
      </c>
      <c r="K5627" s="19" t="n">
        <v>9.82</v>
      </c>
      <c r="L5627" s="15" t="n">
        <f aca="false">YEAR(B5627)</f>
        <v>2022</v>
      </c>
      <c r="M5627" s="20" t="n">
        <f aca="false">IF(J5627&gt;0,K5627/J5627,0)</f>
        <v>0.160039113428944</v>
      </c>
    </row>
    <row r="5628" customFormat="false" ht="15" hidden="false" customHeight="false" outlineLevel="0" collapsed="false">
      <c r="A5628" s="15" t="s">
        <v>5685</v>
      </c>
      <c r="B5628" s="16" t="n">
        <v>44836</v>
      </c>
      <c r="C5628" s="15" t="s">
        <v>56</v>
      </c>
      <c r="D5628" s="15" t="s">
        <v>42</v>
      </c>
      <c r="E5628" s="15" t="s">
        <v>37</v>
      </c>
      <c r="F5628" s="15" t="s">
        <v>17</v>
      </c>
      <c r="G5628" s="15" t="s">
        <v>28</v>
      </c>
      <c r="H5628" s="15" t="n">
        <v>5</v>
      </c>
      <c r="I5628" s="17" t="n">
        <v>0.05</v>
      </c>
      <c r="J5628" s="18" t="n">
        <v>115.19</v>
      </c>
      <c r="K5628" s="19" t="n">
        <v>32.91</v>
      </c>
      <c r="L5628" s="15" t="n">
        <f aca="false">YEAR(B5628)</f>
        <v>2022</v>
      </c>
      <c r="M5628" s="20" t="n">
        <f aca="false">IF(J5628&gt;0,K5628/J5628,0)</f>
        <v>0.285701883844084</v>
      </c>
    </row>
    <row r="5629" customFormat="false" ht="15" hidden="false" customHeight="false" outlineLevel="0" collapsed="false">
      <c r="A5629" s="15" t="s">
        <v>5686</v>
      </c>
      <c r="B5629" s="16" t="n">
        <v>45611</v>
      </c>
      <c r="C5629" s="15" t="s">
        <v>68</v>
      </c>
      <c r="D5629" s="15" t="s">
        <v>42</v>
      </c>
      <c r="E5629" s="15" t="s">
        <v>39</v>
      </c>
      <c r="F5629" s="15" t="s">
        <v>17</v>
      </c>
      <c r="G5629" s="15" t="s">
        <v>29</v>
      </c>
      <c r="H5629" s="15" t="n">
        <v>1</v>
      </c>
      <c r="I5629" s="17" t="n">
        <v>0</v>
      </c>
      <c r="J5629" s="18" t="n">
        <v>20.66</v>
      </c>
      <c r="K5629" s="19" t="n">
        <v>8.82</v>
      </c>
      <c r="L5629" s="15" t="n">
        <f aca="false">YEAR(B5629)</f>
        <v>2024</v>
      </c>
      <c r="M5629" s="20" t="n">
        <f aca="false">IF(J5629&gt;0,K5629/J5629,0)</f>
        <v>0.426911907066796</v>
      </c>
    </row>
    <row r="5630" customFormat="false" ht="15" hidden="false" customHeight="false" outlineLevel="0" collapsed="false">
      <c r="A5630" s="15" t="s">
        <v>5687</v>
      </c>
      <c r="B5630" s="16" t="n">
        <v>44857</v>
      </c>
      <c r="C5630" s="15" t="s">
        <v>56</v>
      </c>
      <c r="D5630" s="15" t="s">
        <v>42</v>
      </c>
      <c r="E5630" s="15" t="s">
        <v>39</v>
      </c>
      <c r="F5630" s="15" t="s">
        <v>18</v>
      </c>
      <c r="G5630" s="15" t="s">
        <v>32</v>
      </c>
      <c r="H5630" s="15" t="n">
        <v>2</v>
      </c>
      <c r="I5630" s="17" t="n">
        <v>0</v>
      </c>
      <c r="J5630" s="18" t="n">
        <v>767.7</v>
      </c>
      <c r="K5630" s="19" t="n">
        <v>177.29</v>
      </c>
      <c r="L5630" s="15" t="n">
        <f aca="false">YEAR(B5630)</f>
        <v>2022</v>
      </c>
      <c r="M5630" s="20" t="n">
        <f aca="false">IF(J5630&gt;0,K5630/J5630,0)</f>
        <v>0.230936563761886</v>
      </c>
    </row>
    <row r="5631" customFormat="false" ht="15" hidden="false" customHeight="false" outlineLevel="0" collapsed="false">
      <c r="A5631" s="15" t="s">
        <v>5688</v>
      </c>
      <c r="B5631" s="16" t="n">
        <v>45624</v>
      </c>
      <c r="C5631" s="15" t="s">
        <v>56</v>
      </c>
      <c r="D5631" s="15" t="s">
        <v>42</v>
      </c>
      <c r="E5631" s="15" t="s">
        <v>37</v>
      </c>
      <c r="F5631" s="15" t="s">
        <v>16</v>
      </c>
      <c r="G5631" s="15" t="s">
        <v>22</v>
      </c>
      <c r="H5631" s="15" t="n">
        <v>4</v>
      </c>
      <c r="I5631" s="17" t="n">
        <v>0.2</v>
      </c>
      <c r="J5631" s="18" t="n">
        <v>1491.9</v>
      </c>
      <c r="K5631" s="19" t="n">
        <v>-142.13</v>
      </c>
      <c r="L5631" s="15" t="n">
        <f aca="false">YEAR(B5631)</f>
        <v>2024</v>
      </c>
      <c r="M5631" s="20" t="n">
        <f aca="false">IF(J5631&gt;0,K5631/J5631,0)</f>
        <v>-0.0952677793417789</v>
      </c>
    </row>
    <row r="5632" customFormat="false" ht="15" hidden="false" customHeight="false" outlineLevel="0" collapsed="false">
      <c r="A5632" s="15" t="s">
        <v>5689</v>
      </c>
      <c r="B5632" s="16" t="n">
        <v>45632</v>
      </c>
      <c r="C5632" s="15" t="s">
        <v>56</v>
      </c>
      <c r="D5632" s="15" t="s">
        <v>42</v>
      </c>
      <c r="E5632" s="15" t="s">
        <v>39</v>
      </c>
      <c r="F5632" s="15" t="s">
        <v>17</v>
      </c>
      <c r="G5632" s="15" t="s">
        <v>31</v>
      </c>
      <c r="H5632" s="15" t="n">
        <v>2</v>
      </c>
      <c r="I5632" s="17" t="n">
        <v>0</v>
      </c>
      <c r="J5632" s="18" t="n">
        <v>344.88</v>
      </c>
      <c r="K5632" s="19" t="n">
        <v>76.58</v>
      </c>
      <c r="L5632" s="15" t="n">
        <f aca="false">YEAR(B5632)</f>
        <v>2024</v>
      </c>
      <c r="M5632" s="20" t="n">
        <f aca="false">IF(J5632&gt;0,K5632/J5632,0)</f>
        <v>0.222048248666203</v>
      </c>
    </row>
    <row r="5633" customFormat="false" ht="15" hidden="false" customHeight="false" outlineLevel="0" collapsed="false">
      <c r="A5633" s="15" t="s">
        <v>5690</v>
      </c>
      <c r="B5633" s="16" t="n">
        <v>45444</v>
      </c>
      <c r="C5633" s="15" t="s">
        <v>68</v>
      </c>
      <c r="D5633" s="15" t="s">
        <v>42</v>
      </c>
      <c r="E5633" s="15" t="s">
        <v>38</v>
      </c>
      <c r="F5633" s="15" t="s">
        <v>18</v>
      </c>
      <c r="G5633" s="15" t="s">
        <v>32</v>
      </c>
      <c r="H5633" s="15" t="n">
        <v>5</v>
      </c>
      <c r="I5633" s="17" t="n">
        <v>0.2</v>
      </c>
      <c r="J5633" s="18" t="n">
        <v>1543.05</v>
      </c>
      <c r="K5633" s="19" t="n">
        <v>-10.43</v>
      </c>
      <c r="L5633" s="15" t="n">
        <f aca="false">YEAR(B5633)</f>
        <v>2024</v>
      </c>
      <c r="M5633" s="20" t="n">
        <f aca="false">IF(J5633&gt;0,K5633/J5633,0)</f>
        <v>-0.00675934026765173</v>
      </c>
    </row>
    <row r="5634" customFormat="false" ht="15" hidden="false" customHeight="false" outlineLevel="0" collapsed="false">
      <c r="A5634" s="15" t="s">
        <v>5691</v>
      </c>
      <c r="B5634" s="16" t="n">
        <v>44875</v>
      </c>
      <c r="C5634" s="15" t="s">
        <v>56</v>
      </c>
      <c r="D5634" s="15" t="s">
        <v>42</v>
      </c>
      <c r="E5634" s="15" t="s">
        <v>38</v>
      </c>
      <c r="F5634" s="15" t="s">
        <v>17</v>
      </c>
      <c r="G5634" s="15" t="s">
        <v>29</v>
      </c>
      <c r="H5634" s="15" t="n">
        <v>3</v>
      </c>
      <c r="I5634" s="17" t="n">
        <v>0.1</v>
      </c>
      <c r="J5634" s="18" t="n">
        <v>38.19</v>
      </c>
      <c r="K5634" s="19" t="n">
        <v>12.4</v>
      </c>
      <c r="L5634" s="15" t="n">
        <f aca="false">YEAR(B5634)</f>
        <v>2022</v>
      </c>
      <c r="M5634" s="20" t="n">
        <f aca="false">IF(J5634&gt;0,K5634/J5634,0)</f>
        <v>0.324692327834512</v>
      </c>
    </row>
    <row r="5635" customFormat="false" ht="15" hidden="false" customHeight="false" outlineLevel="0" collapsed="false">
      <c r="A5635" s="15" t="s">
        <v>5692</v>
      </c>
      <c r="B5635" s="16" t="n">
        <v>45540</v>
      </c>
      <c r="C5635" s="15" t="s">
        <v>71</v>
      </c>
      <c r="D5635" s="15" t="s">
        <v>44</v>
      </c>
      <c r="E5635" s="15" t="s">
        <v>38</v>
      </c>
      <c r="F5635" s="15" t="s">
        <v>16</v>
      </c>
      <c r="G5635" s="15" t="s">
        <v>23</v>
      </c>
      <c r="H5635" s="15" t="n">
        <v>3</v>
      </c>
      <c r="I5635" s="17" t="n">
        <v>0.3</v>
      </c>
      <c r="J5635" s="18" t="n">
        <v>547.53</v>
      </c>
      <c r="K5635" s="19" t="n">
        <v>-165.06</v>
      </c>
      <c r="L5635" s="15" t="n">
        <f aca="false">YEAR(B5635)</f>
        <v>2024</v>
      </c>
      <c r="M5635" s="20" t="n">
        <f aca="false">IF(J5635&gt;0,K5635/J5635,0)</f>
        <v>-0.301462933537888</v>
      </c>
    </row>
    <row r="5636" customFormat="false" ht="15" hidden="false" customHeight="false" outlineLevel="0" collapsed="false">
      <c r="A5636" s="15" t="s">
        <v>5693</v>
      </c>
      <c r="B5636" s="16" t="n">
        <v>45782</v>
      </c>
      <c r="C5636" s="15" t="s">
        <v>56</v>
      </c>
      <c r="D5636" s="15" t="s">
        <v>42</v>
      </c>
      <c r="E5636" s="15" t="s">
        <v>36</v>
      </c>
      <c r="F5636" s="15" t="s">
        <v>16</v>
      </c>
      <c r="G5636" s="15" t="s">
        <v>22</v>
      </c>
      <c r="H5636" s="15" t="n">
        <v>3</v>
      </c>
      <c r="I5636" s="17" t="n">
        <v>0.2</v>
      </c>
      <c r="J5636" s="18" t="n">
        <v>1490.55</v>
      </c>
      <c r="K5636" s="19" t="n">
        <v>-354.42</v>
      </c>
      <c r="L5636" s="15" t="n">
        <f aca="false">YEAR(B5636)</f>
        <v>2025</v>
      </c>
      <c r="M5636" s="20" t="n">
        <f aca="false">IF(J5636&gt;0,K5636/J5636,0)</f>
        <v>-0.237778001408876</v>
      </c>
    </row>
    <row r="5637" customFormat="false" ht="15" hidden="false" customHeight="false" outlineLevel="0" collapsed="false">
      <c r="A5637" s="15" t="s">
        <v>5694</v>
      </c>
      <c r="B5637" s="16" t="n">
        <v>45772</v>
      </c>
      <c r="C5637" s="15" t="s">
        <v>56</v>
      </c>
      <c r="D5637" s="15" t="s">
        <v>42</v>
      </c>
      <c r="E5637" s="15" t="s">
        <v>39</v>
      </c>
      <c r="F5637" s="15" t="s">
        <v>17</v>
      </c>
      <c r="G5637" s="15" t="s">
        <v>26</v>
      </c>
      <c r="H5637" s="15" t="n">
        <v>2</v>
      </c>
      <c r="I5637" s="17" t="n">
        <v>0</v>
      </c>
      <c r="J5637" s="18" t="n">
        <v>179.39</v>
      </c>
      <c r="K5637" s="19" t="n">
        <v>24.93</v>
      </c>
      <c r="L5637" s="15" t="n">
        <f aca="false">YEAR(B5637)</f>
        <v>2025</v>
      </c>
      <c r="M5637" s="20" t="n">
        <f aca="false">IF(J5637&gt;0,K5637/J5637,0)</f>
        <v>0.138970957132505</v>
      </c>
    </row>
    <row r="5638" customFormat="false" ht="15" hidden="false" customHeight="false" outlineLevel="0" collapsed="false">
      <c r="A5638" s="15" t="s">
        <v>5695</v>
      </c>
      <c r="B5638" s="16" t="n">
        <v>45472</v>
      </c>
      <c r="C5638" s="15" t="s">
        <v>71</v>
      </c>
      <c r="D5638" s="15" t="s">
        <v>42</v>
      </c>
      <c r="E5638" s="15" t="s">
        <v>37</v>
      </c>
      <c r="F5638" s="15" t="s">
        <v>17</v>
      </c>
      <c r="G5638" s="15" t="s">
        <v>26</v>
      </c>
      <c r="H5638" s="15" t="n">
        <v>5</v>
      </c>
      <c r="I5638" s="17" t="n">
        <v>0.3</v>
      </c>
      <c r="J5638" s="18" t="n">
        <v>319.78</v>
      </c>
      <c r="K5638" s="19" t="n">
        <v>-54.81</v>
      </c>
      <c r="L5638" s="15" t="n">
        <f aca="false">YEAR(B5638)</f>
        <v>2024</v>
      </c>
      <c r="M5638" s="20" t="n">
        <f aca="false">IF(J5638&gt;0,K5638/J5638,0)</f>
        <v>-0.171399086872225</v>
      </c>
    </row>
    <row r="5639" customFormat="false" ht="15" hidden="false" customHeight="false" outlineLevel="0" collapsed="false">
      <c r="A5639" s="15" t="s">
        <v>5696</v>
      </c>
      <c r="B5639" s="16" t="n">
        <v>45852</v>
      </c>
      <c r="C5639" s="15" t="s">
        <v>56</v>
      </c>
      <c r="D5639" s="15" t="s">
        <v>42</v>
      </c>
      <c r="E5639" s="15" t="s">
        <v>36</v>
      </c>
      <c r="F5639" s="15" t="s">
        <v>17</v>
      </c>
      <c r="G5639" s="15" t="s">
        <v>28</v>
      </c>
      <c r="H5639" s="15" t="n">
        <v>3</v>
      </c>
      <c r="I5639" s="17" t="n">
        <v>0.1</v>
      </c>
      <c r="J5639" s="18" t="n">
        <v>72.43</v>
      </c>
      <c r="K5639" s="19" t="n">
        <v>15.67</v>
      </c>
      <c r="L5639" s="15" t="n">
        <f aca="false">YEAR(B5639)</f>
        <v>2025</v>
      </c>
      <c r="M5639" s="20" t="n">
        <f aca="false">IF(J5639&gt;0,K5639/J5639,0)</f>
        <v>0.21634681761701</v>
      </c>
    </row>
    <row r="5640" customFormat="false" ht="15" hidden="false" customHeight="false" outlineLevel="0" collapsed="false">
      <c r="A5640" s="15" t="s">
        <v>5697</v>
      </c>
      <c r="B5640" s="16" t="n">
        <v>44900</v>
      </c>
      <c r="C5640" s="15" t="s">
        <v>68</v>
      </c>
      <c r="D5640" s="15" t="s">
        <v>42</v>
      </c>
      <c r="E5640" s="15" t="s">
        <v>39</v>
      </c>
      <c r="F5640" s="15" t="s">
        <v>17</v>
      </c>
      <c r="G5640" s="15" t="s">
        <v>29</v>
      </c>
      <c r="H5640" s="15" t="n">
        <v>5</v>
      </c>
      <c r="I5640" s="17" t="n">
        <v>0.2</v>
      </c>
      <c r="J5640" s="18" t="n">
        <v>82.43</v>
      </c>
      <c r="K5640" s="19" t="n">
        <v>16.86</v>
      </c>
      <c r="L5640" s="15" t="n">
        <f aca="false">YEAR(B5640)</f>
        <v>2022</v>
      </c>
      <c r="M5640" s="20" t="n">
        <f aca="false">IF(J5640&gt;0,K5640/J5640,0)</f>
        <v>0.204537183064418</v>
      </c>
    </row>
    <row r="5641" customFormat="false" ht="15" hidden="false" customHeight="false" outlineLevel="0" collapsed="false">
      <c r="A5641" s="15" t="s">
        <v>5698</v>
      </c>
      <c r="B5641" s="16" t="n">
        <v>44997</v>
      </c>
      <c r="C5641" s="15" t="s">
        <v>56</v>
      </c>
      <c r="D5641" s="15" t="s">
        <v>44</v>
      </c>
      <c r="E5641" s="15" t="s">
        <v>39</v>
      </c>
      <c r="F5641" s="15" t="s">
        <v>16</v>
      </c>
      <c r="G5641" s="15" t="s">
        <v>22</v>
      </c>
      <c r="H5641" s="15" t="n">
        <v>3</v>
      </c>
      <c r="I5641" s="17" t="n">
        <v>0.4</v>
      </c>
      <c r="J5641" s="18" t="n">
        <v>1082.75</v>
      </c>
      <c r="K5641" s="19" t="n">
        <v>-468.17</v>
      </c>
      <c r="L5641" s="15" t="n">
        <f aca="false">YEAR(B5641)</f>
        <v>2023</v>
      </c>
      <c r="M5641" s="20" t="n">
        <f aca="false">IF(J5641&gt;0,K5641/J5641,0)</f>
        <v>-0.432389748326022</v>
      </c>
    </row>
    <row r="5642" customFormat="false" ht="15" hidden="false" customHeight="false" outlineLevel="0" collapsed="false">
      <c r="A5642" s="15" t="s">
        <v>5699</v>
      </c>
      <c r="B5642" s="16" t="n">
        <v>45401</v>
      </c>
      <c r="C5642" s="15" t="s">
        <v>71</v>
      </c>
      <c r="D5642" s="15" t="s">
        <v>44</v>
      </c>
      <c r="E5642" s="15" t="s">
        <v>36</v>
      </c>
      <c r="F5642" s="15" t="s">
        <v>17</v>
      </c>
      <c r="G5642" s="15" t="s">
        <v>29</v>
      </c>
      <c r="H5642" s="15" t="n">
        <v>4</v>
      </c>
      <c r="I5642" s="17" t="n">
        <v>0.1</v>
      </c>
      <c r="J5642" s="18" t="n">
        <v>58.63</v>
      </c>
      <c r="K5642" s="19" t="n">
        <v>15.82</v>
      </c>
      <c r="L5642" s="15" t="n">
        <f aca="false">YEAR(B5642)</f>
        <v>2024</v>
      </c>
      <c r="M5642" s="20" t="n">
        <f aca="false">IF(J5642&gt;0,K5642/J5642,0)</f>
        <v>0.269827733242367</v>
      </c>
    </row>
    <row r="5643" customFormat="false" ht="15" hidden="false" customHeight="false" outlineLevel="0" collapsed="false">
      <c r="A5643" s="15" t="s">
        <v>5700</v>
      </c>
      <c r="B5643" s="16" t="n">
        <v>45386</v>
      </c>
      <c r="C5643" s="15" t="s">
        <v>56</v>
      </c>
      <c r="D5643" s="15" t="s">
        <v>44</v>
      </c>
      <c r="E5643" s="15" t="s">
        <v>39</v>
      </c>
      <c r="F5643" s="15" t="s">
        <v>17</v>
      </c>
      <c r="G5643" s="15" t="s">
        <v>29</v>
      </c>
      <c r="H5643" s="15" t="n">
        <v>3</v>
      </c>
      <c r="I5643" s="17" t="n">
        <v>0.15</v>
      </c>
      <c r="J5643" s="18" t="n">
        <v>41.15</v>
      </c>
      <c r="K5643" s="19" t="n">
        <v>9.01</v>
      </c>
      <c r="L5643" s="15" t="n">
        <f aca="false">YEAR(B5643)</f>
        <v>2024</v>
      </c>
      <c r="M5643" s="20" t="n">
        <f aca="false">IF(J5643&gt;0,K5643/J5643,0)</f>
        <v>0.218955042527339</v>
      </c>
    </row>
    <row r="5644" customFormat="false" ht="15" hidden="false" customHeight="false" outlineLevel="0" collapsed="false">
      <c r="A5644" s="15" t="s">
        <v>5701</v>
      </c>
      <c r="B5644" s="16" t="n">
        <v>45910</v>
      </c>
      <c r="C5644" s="15" t="s">
        <v>68</v>
      </c>
      <c r="D5644" s="15" t="s">
        <v>42</v>
      </c>
      <c r="E5644" s="15" t="s">
        <v>36</v>
      </c>
      <c r="F5644" s="15" t="s">
        <v>17</v>
      </c>
      <c r="G5644" s="15" t="s">
        <v>26</v>
      </c>
      <c r="H5644" s="15" t="n">
        <v>3</v>
      </c>
      <c r="I5644" s="17" t="n">
        <v>0.1</v>
      </c>
      <c r="J5644" s="18" t="n">
        <v>203.2</v>
      </c>
      <c r="K5644" s="19" t="n">
        <v>14.08</v>
      </c>
      <c r="L5644" s="15" t="n">
        <f aca="false">YEAR(B5644)</f>
        <v>2025</v>
      </c>
      <c r="M5644" s="20" t="n">
        <f aca="false">IF(J5644&gt;0,K5644/J5644,0)</f>
        <v>0.0692913385826772</v>
      </c>
    </row>
    <row r="5645" customFormat="false" ht="15" hidden="false" customHeight="false" outlineLevel="0" collapsed="false">
      <c r="A5645" s="15" t="s">
        <v>5702</v>
      </c>
      <c r="B5645" s="16" t="n">
        <v>45562</v>
      </c>
      <c r="C5645" s="15" t="s">
        <v>68</v>
      </c>
      <c r="D5645" s="15" t="s">
        <v>43</v>
      </c>
      <c r="E5645" s="15" t="s">
        <v>39</v>
      </c>
      <c r="F5645" s="15" t="s">
        <v>17</v>
      </c>
      <c r="G5645" s="15" t="s">
        <v>29</v>
      </c>
      <c r="H5645" s="15" t="n">
        <v>5</v>
      </c>
      <c r="I5645" s="17" t="n">
        <v>0.2</v>
      </c>
      <c r="J5645" s="18" t="n">
        <v>98.9</v>
      </c>
      <c r="K5645" s="19" t="n">
        <v>24.19</v>
      </c>
      <c r="L5645" s="15" t="n">
        <f aca="false">YEAR(B5645)</f>
        <v>2024</v>
      </c>
      <c r="M5645" s="20" t="n">
        <f aca="false">IF(J5645&gt;0,K5645/J5645,0)</f>
        <v>0.244590495449949</v>
      </c>
    </row>
    <row r="5646" customFormat="false" ht="15" hidden="false" customHeight="false" outlineLevel="0" collapsed="false">
      <c r="A5646" s="15" t="s">
        <v>5703</v>
      </c>
      <c r="B5646" s="16" t="n">
        <v>45369</v>
      </c>
      <c r="C5646" s="15" t="s">
        <v>56</v>
      </c>
      <c r="D5646" s="15" t="s">
        <v>43</v>
      </c>
      <c r="E5646" s="15" t="s">
        <v>37</v>
      </c>
      <c r="F5646" s="15" t="s">
        <v>17</v>
      </c>
      <c r="G5646" s="15" t="s">
        <v>29</v>
      </c>
      <c r="H5646" s="15" t="n">
        <v>1</v>
      </c>
      <c r="I5646" s="17" t="n">
        <v>0.2</v>
      </c>
      <c r="J5646" s="18" t="n">
        <v>17.17</v>
      </c>
      <c r="K5646" s="19" t="n">
        <v>3.35</v>
      </c>
      <c r="L5646" s="15" t="n">
        <f aca="false">YEAR(B5646)</f>
        <v>2024</v>
      </c>
      <c r="M5646" s="20" t="n">
        <f aca="false">IF(J5646&gt;0,K5646/J5646,0)</f>
        <v>0.195107746068725</v>
      </c>
    </row>
    <row r="5647" customFormat="false" ht="15" hidden="false" customHeight="false" outlineLevel="0" collapsed="false">
      <c r="A5647" s="15" t="s">
        <v>5704</v>
      </c>
      <c r="B5647" s="16" t="n">
        <v>44740</v>
      </c>
      <c r="C5647" s="15" t="s">
        <v>71</v>
      </c>
      <c r="D5647" s="15" t="s">
        <v>42</v>
      </c>
      <c r="E5647" s="15" t="s">
        <v>36</v>
      </c>
      <c r="F5647" s="15" t="s">
        <v>17</v>
      </c>
      <c r="G5647" s="15" t="s">
        <v>31</v>
      </c>
      <c r="H5647" s="15" t="n">
        <v>3</v>
      </c>
      <c r="I5647" s="17" t="n">
        <v>0.1</v>
      </c>
      <c r="J5647" s="18" t="n">
        <v>312.37</v>
      </c>
      <c r="K5647" s="19" t="n">
        <v>23.15</v>
      </c>
      <c r="L5647" s="15" t="n">
        <f aca="false">YEAR(B5647)</f>
        <v>2022</v>
      </c>
      <c r="M5647" s="20" t="n">
        <f aca="false">IF(J5647&gt;0,K5647/J5647,0)</f>
        <v>0.0741108301053238</v>
      </c>
    </row>
    <row r="5648" customFormat="false" ht="15" hidden="false" customHeight="false" outlineLevel="0" collapsed="false">
      <c r="A5648" s="15" t="s">
        <v>5705</v>
      </c>
      <c r="B5648" s="16" t="n">
        <v>45366</v>
      </c>
      <c r="C5648" s="15" t="s">
        <v>56</v>
      </c>
      <c r="D5648" s="15" t="s">
        <v>42</v>
      </c>
      <c r="E5648" s="15" t="s">
        <v>37</v>
      </c>
      <c r="F5648" s="15" t="s">
        <v>18</v>
      </c>
      <c r="G5648" s="15" t="s">
        <v>30</v>
      </c>
      <c r="H5648" s="15" t="n">
        <v>6</v>
      </c>
      <c r="I5648" s="17" t="n">
        <v>0</v>
      </c>
      <c r="J5648" s="18" t="n">
        <v>289.69</v>
      </c>
      <c r="K5648" s="19" t="n">
        <v>86.81</v>
      </c>
      <c r="L5648" s="15" t="n">
        <f aca="false">YEAR(B5648)</f>
        <v>2024</v>
      </c>
      <c r="M5648" s="20" t="n">
        <f aca="false">IF(J5648&gt;0,K5648/J5648,0)</f>
        <v>0.299665159308226</v>
      </c>
    </row>
    <row r="5649" customFormat="false" ht="15" hidden="false" customHeight="false" outlineLevel="0" collapsed="false">
      <c r="A5649" s="15" t="s">
        <v>5706</v>
      </c>
      <c r="B5649" s="16" t="n">
        <v>45654</v>
      </c>
      <c r="C5649" s="15" t="s">
        <v>56</v>
      </c>
      <c r="D5649" s="15" t="s">
        <v>42</v>
      </c>
      <c r="E5649" s="15" t="s">
        <v>37</v>
      </c>
      <c r="F5649" s="15" t="s">
        <v>16</v>
      </c>
      <c r="G5649" s="15" t="s">
        <v>25</v>
      </c>
      <c r="H5649" s="15" t="n">
        <v>4</v>
      </c>
      <c r="I5649" s="17" t="n">
        <v>0.4</v>
      </c>
      <c r="J5649" s="18" t="n">
        <v>648.31</v>
      </c>
      <c r="K5649" s="19" t="n">
        <v>-152.05</v>
      </c>
      <c r="L5649" s="15" t="n">
        <f aca="false">YEAR(B5649)</f>
        <v>2024</v>
      </c>
      <c r="M5649" s="20" t="n">
        <f aca="false">IF(J5649&gt;0,K5649/J5649,0)</f>
        <v>-0.234532862365227</v>
      </c>
    </row>
    <row r="5650" customFormat="false" ht="15" hidden="false" customHeight="false" outlineLevel="0" collapsed="false">
      <c r="A5650" s="15" t="s">
        <v>5707</v>
      </c>
      <c r="B5650" s="16" t="n">
        <v>44948</v>
      </c>
      <c r="C5650" s="15" t="s">
        <v>71</v>
      </c>
      <c r="D5650" s="15" t="s">
        <v>42</v>
      </c>
      <c r="E5650" s="15" t="s">
        <v>37</v>
      </c>
      <c r="F5650" s="15" t="s">
        <v>17</v>
      </c>
      <c r="G5650" s="15" t="s">
        <v>29</v>
      </c>
      <c r="H5650" s="15" t="n">
        <v>3</v>
      </c>
      <c r="I5650" s="17" t="n">
        <v>0.3</v>
      </c>
      <c r="J5650" s="18" t="n">
        <v>30.83</v>
      </c>
      <c r="K5650" s="19" t="n">
        <v>1.19</v>
      </c>
      <c r="L5650" s="15" t="n">
        <f aca="false">YEAR(B5650)</f>
        <v>2023</v>
      </c>
      <c r="M5650" s="20" t="n">
        <f aca="false">IF(J5650&gt;0,K5650/J5650,0)</f>
        <v>0.0385987674343172</v>
      </c>
    </row>
    <row r="5651" customFormat="false" ht="15" hidden="false" customHeight="false" outlineLevel="0" collapsed="false">
      <c r="A5651" s="15" t="s">
        <v>5708</v>
      </c>
      <c r="B5651" s="16" t="n">
        <v>45269</v>
      </c>
      <c r="C5651" s="15" t="s">
        <v>56</v>
      </c>
      <c r="D5651" s="15" t="s">
        <v>42</v>
      </c>
      <c r="E5651" s="15" t="s">
        <v>38</v>
      </c>
      <c r="F5651" s="15" t="s">
        <v>18</v>
      </c>
      <c r="G5651" s="15" t="s">
        <v>32</v>
      </c>
      <c r="H5651" s="15" t="n">
        <v>3</v>
      </c>
      <c r="I5651" s="17" t="n">
        <v>0.4</v>
      </c>
      <c r="J5651" s="18" t="n">
        <v>829.69</v>
      </c>
      <c r="K5651" s="19" t="n">
        <v>-178.13</v>
      </c>
      <c r="L5651" s="15" t="n">
        <f aca="false">YEAR(B5651)</f>
        <v>2023</v>
      </c>
      <c r="M5651" s="20" t="n">
        <f aca="false">IF(J5651&gt;0,K5651/J5651,0)</f>
        <v>-0.214694644987887</v>
      </c>
    </row>
    <row r="5652" customFormat="false" ht="15" hidden="false" customHeight="false" outlineLevel="0" collapsed="false">
      <c r="A5652" s="15" t="s">
        <v>5709</v>
      </c>
      <c r="B5652" s="16" t="n">
        <v>45264</v>
      </c>
      <c r="C5652" s="15" t="s">
        <v>68</v>
      </c>
      <c r="D5652" s="15" t="s">
        <v>42</v>
      </c>
      <c r="E5652" s="15" t="s">
        <v>39</v>
      </c>
      <c r="F5652" s="15" t="s">
        <v>16</v>
      </c>
      <c r="G5652" s="15" t="s">
        <v>22</v>
      </c>
      <c r="H5652" s="15" t="n">
        <v>6</v>
      </c>
      <c r="I5652" s="17" t="n">
        <v>0</v>
      </c>
      <c r="J5652" s="18" t="n">
        <v>2596.91</v>
      </c>
      <c r="K5652" s="19" t="n">
        <v>-210.1</v>
      </c>
      <c r="L5652" s="15" t="n">
        <f aca="false">YEAR(B5652)</f>
        <v>2023</v>
      </c>
      <c r="M5652" s="20" t="n">
        <f aca="false">IF(J5652&gt;0,K5652/J5652,0)</f>
        <v>-0.0809038434139034</v>
      </c>
    </row>
    <row r="5653" customFormat="false" ht="15" hidden="false" customHeight="false" outlineLevel="0" collapsed="false">
      <c r="A5653" s="15" t="s">
        <v>5710</v>
      </c>
      <c r="B5653" s="16" t="n">
        <v>45018</v>
      </c>
      <c r="C5653" s="15" t="s">
        <v>56</v>
      </c>
      <c r="D5653" s="15" t="s">
        <v>43</v>
      </c>
      <c r="E5653" s="15" t="s">
        <v>39</v>
      </c>
      <c r="F5653" s="15" t="s">
        <v>17</v>
      </c>
      <c r="G5653" s="15" t="s">
        <v>26</v>
      </c>
      <c r="H5653" s="15" t="n">
        <v>1</v>
      </c>
      <c r="I5653" s="17" t="n">
        <v>0.2</v>
      </c>
      <c r="J5653" s="18" t="n">
        <v>70.53</v>
      </c>
      <c r="K5653" s="19" t="n">
        <v>-6.76</v>
      </c>
      <c r="L5653" s="15" t="n">
        <f aca="false">YEAR(B5653)</f>
        <v>2023</v>
      </c>
      <c r="M5653" s="20" t="n">
        <f aca="false">IF(J5653&gt;0,K5653/J5653,0)</f>
        <v>-0.095845739401673</v>
      </c>
    </row>
    <row r="5654" customFormat="false" ht="15" hidden="false" customHeight="false" outlineLevel="0" collapsed="false">
      <c r="A5654" s="15" t="s">
        <v>5711</v>
      </c>
      <c r="B5654" s="16" t="n">
        <v>45788</v>
      </c>
      <c r="C5654" s="15" t="s">
        <v>56</v>
      </c>
      <c r="D5654" s="15" t="s">
        <v>43</v>
      </c>
      <c r="E5654" s="15" t="s">
        <v>38</v>
      </c>
      <c r="F5654" s="15" t="s">
        <v>17</v>
      </c>
      <c r="G5654" s="15" t="s">
        <v>26</v>
      </c>
      <c r="H5654" s="15" t="n">
        <v>2</v>
      </c>
      <c r="I5654" s="17" t="n">
        <v>0.1</v>
      </c>
      <c r="J5654" s="18" t="n">
        <v>155.1</v>
      </c>
      <c r="K5654" s="19" t="n">
        <v>7.46</v>
      </c>
      <c r="L5654" s="15" t="n">
        <f aca="false">YEAR(B5654)</f>
        <v>2025</v>
      </c>
      <c r="M5654" s="20" t="n">
        <f aca="false">IF(J5654&gt;0,K5654/J5654,0)</f>
        <v>0.0480980012894907</v>
      </c>
    </row>
    <row r="5655" customFormat="false" ht="15" hidden="false" customHeight="false" outlineLevel="0" collapsed="false">
      <c r="A5655" s="15" t="s">
        <v>5712</v>
      </c>
      <c r="B5655" s="16" t="n">
        <v>44819</v>
      </c>
      <c r="C5655" s="15" t="s">
        <v>58</v>
      </c>
      <c r="D5655" s="15" t="s">
        <v>42</v>
      </c>
      <c r="E5655" s="15" t="s">
        <v>39</v>
      </c>
      <c r="F5655" s="15" t="s">
        <v>16</v>
      </c>
      <c r="G5655" s="15" t="s">
        <v>23</v>
      </c>
      <c r="H5655" s="15" t="n">
        <v>7</v>
      </c>
      <c r="I5655" s="17" t="n">
        <v>0.1</v>
      </c>
      <c r="J5655" s="18" t="n">
        <v>1960.65</v>
      </c>
      <c r="K5655" s="19" t="n">
        <v>-154.79</v>
      </c>
      <c r="L5655" s="15" t="n">
        <f aca="false">YEAR(B5655)</f>
        <v>2022</v>
      </c>
      <c r="M5655" s="20" t="n">
        <f aca="false">IF(J5655&gt;0,K5655/J5655,0)</f>
        <v>-0.0789483079590952</v>
      </c>
    </row>
    <row r="5656" customFormat="false" ht="15" hidden="false" customHeight="false" outlineLevel="0" collapsed="false">
      <c r="A5656" s="15" t="s">
        <v>5713</v>
      </c>
      <c r="B5656" s="16" t="n">
        <v>45914</v>
      </c>
      <c r="C5656" s="15" t="s">
        <v>56</v>
      </c>
      <c r="D5656" s="15" t="s">
        <v>43</v>
      </c>
      <c r="E5656" s="15" t="s">
        <v>37</v>
      </c>
      <c r="F5656" s="15" t="s">
        <v>18</v>
      </c>
      <c r="G5656" s="15" t="s">
        <v>32</v>
      </c>
      <c r="H5656" s="15" t="n">
        <v>4</v>
      </c>
      <c r="I5656" s="17" t="n">
        <v>0</v>
      </c>
      <c r="J5656" s="18" t="n">
        <v>2260.63</v>
      </c>
      <c r="K5656" s="19" t="n">
        <v>299.14</v>
      </c>
      <c r="L5656" s="15" t="n">
        <f aca="false">YEAR(B5656)</f>
        <v>2025</v>
      </c>
      <c r="M5656" s="20" t="n">
        <f aca="false">IF(J5656&gt;0,K5656/J5656,0)</f>
        <v>0.132325944537585</v>
      </c>
    </row>
    <row r="5657" customFormat="false" ht="15" hidden="false" customHeight="false" outlineLevel="0" collapsed="false">
      <c r="A5657" s="15" t="s">
        <v>5714</v>
      </c>
      <c r="B5657" s="16" t="n">
        <v>45548</v>
      </c>
      <c r="C5657" s="15" t="s">
        <v>56</v>
      </c>
      <c r="D5657" s="15" t="s">
        <v>42</v>
      </c>
      <c r="E5657" s="15" t="s">
        <v>39</v>
      </c>
      <c r="F5657" s="15" t="s">
        <v>17</v>
      </c>
      <c r="G5657" s="15" t="s">
        <v>29</v>
      </c>
      <c r="H5657" s="15" t="n">
        <v>2</v>
      </c>
      <c r="I5657" s="17" t="n">
        <v>0.05</v>
      </c>
      <c r="J5657" s="18" t="n">
        <v>30.06</v>
      </c>
      <c r="K5657" s="19" t="n">
        <v>9.49</v>
      </c>
      <c r="L5657" s="15" t="n">
        <f aca="false">YEAR(B5657)</f>
        <v>2024</v>
      </c>
      <c r="M5657" s="20" t="n">
        <f aca="false">IF(J5657&gt;0,K5657/J5657,0)</f>
        <v>0.315701929474385</v>
      </c>
    </row>
    <row r="5658" customFormat="false" ht="15" hidden="false" customHeight="false" outlineLevel="0" collapsed="false">
      <c r="A5658" s="15" t="s">
        <v>5715</v>
      </c>
      <c r="B5658" s="16" t="n">
        <v>45153</v>
      </c>
      <c r="C5658" s="15" t="s">
        <v>56</v>
      </c>
      <c r="D5658" s="15" t="s">
        <v>44</v>
      </c>
      <c r="E5658" s="15" t="s">
        <v>38</v>
      </c>
      <c r="F5658" s="15" t="s">
        <v>17</v>
      </c>
      <c r="G5658" s="15" t="s">
        <v>26</v>
      </c>
      <c r="H5658" s="15" t="n">
        <v>4</v>
      </c>
      <c r="I5658" s="17" t="n">
        <v>0.1</v>
      </c>
      <c r="J5658" s="18" t="n">
        <v>279.08</v>
      </c>
      <c r="K5658" s="19" t="n">
        <v>3.24</v>
      </c>
      <c r="L5658" s="15" t="n">
        <f aca="false">YEAR(B5658)</f>
        <v>2023</v>
      </c>
      <c r="M5658" s="20" t="n">
        <f aca="false">IF(J5658&gt;0,K5658/J5658,0)</f>
        <v>0.0116095743156084</v>
      </c>
    </row>
    <row r="5659" customFormat="false" ht="15" hidden="false" customHeight="false" outlineLevel="0" collapsed="false">
      <c r="A5659" s="15" t="s">
        <v>5716</v>
      </c>
      <c r="B5659" s="16" t="n">
        <v>45045</v>
      </c>
      <c r="C5659" s="15" t="s">
        <v>56</v>
      </c>
      <c r="D5659" s="15" t="s">
        <v>44</v>
      </c>
      <c r="E5659" s="15" t="s">
        <v>38</v>
      </c>
      <c r="F5659" s="15" t="s">
        <v>17</v>
      </c>
      <c r="G5659" s="15" t="s">
        <v>26</v>
      </c>
      <c r="H5659" s="15" t="n">
        <v>4</v>
      </c>
      <c r="I5659" s="17" t="n">
        <v>0.2</v>
      </c>
      <c r="J5659" s="18" t="n">
        <v>246.57</v>
      </c>
      <c r="K5659" s="19" t="n">
        <v>-22.44</v>
      </c>
      <c r="L5659" s="15" t="n">
        <f aca="false">YEAR(B5659)</f>
        <v>2023</v>
      </c>
      <c r="M5659" s="20" t="n">
        <f aca="false">IF(J5659&gt;0,K5659/J5659,0)</f>
        <v>-0.0910086385205013</v>
      </c>
    </row>
    <row r="5660" customFormat="false" ht="15" hidden="false" customHeight="false" outlineLevel="0" collapsed="false">
      <c r="A5660" s="15" t="s">
        <v>5717</v>
      </c>
      <c r="B5660" s="16" t="n">
        <v>44831</v>
      </c>
      <c r="C5660" s="15" t="s">
        <v>71</v>
      </c>
      <c r="D5660" s="15" t="s">
        <v>42</v>
      </c>
      <c r="E5660" s="15" t="s">
        <v>36</v>
      </c>
      <c r="F5660" s="15" t="s">
        <v>18</v>
      </c>
      <c r="G5660" s="15" t="s">
        <v>30</v>
      </c>
      <c r="H5660" s="15" t="n">
        <v>3</v>
      </c>
      <c r="I5660" s="17" t="n">
        <v>0.1</v>
      </c>
      <c r="J5660" s="18" t="n">
        <v>92.38</v>
      </c>
      <c r="K5660" s="19" t="n">
        <v>15.88</v>
      </c>
      <c r="L5660" s="15" t="n">
        <f aca="false">YEAR(B5660)</f>
        <v>2022</v>
      </c>
      <c r="M5660" s="20" t="n">
        <f aca="false">IF(J5660&gt;0,K5660/J5660,0)</f>
        <v>0.171898679367829</v>
      </c>
    </row>
    <row r="5661" customFormat="false" ht="15" hidden="false" customHeight="false" outlineLevel="0" collapsed="false">
      <c r="A5661" s="15" t="s">
        <v>5718</v>
      </c>
      <c r="B5661" s="16" t="n">
        <v>44965</v>
      </c>
      <c r="C5661" s="15" t="s">
        <v>58</v>
      </c>
      <c r="D5661" s="15" t="s">
        <v>44</v>
      </c>
      <c r="E5661" s="15" t="s">
        <v>37</v>
      </c>
      <c r="F5661" s="15" t="s">
        <v>17</v>
      </c>
      <c r="G5661" s="15" t="s">
        <v>29</v>
      </c>
      <c r="H5661" s="15" t="n">
        <v>4</v>
      </c>
      <c r="I5661" s="17" t="n">
        <v>0.15</v>
      </c>
      <c r="J5661" s="18" t="n">
        <v>86.44</v>
      </c>
      <c r="K5661" s="19" t="n">
        <v>19.73</v>
      </c>
      <c r="L5661" s="15" t="n">
        <f aca="false">YEAR(B5661)</f>
        <v>2023</v>
      </c>
      <c r="M5661" s="20" t="n">
        <f aca="false">IF(J5661&gt;0,K5661/J5661,0)</f>
        <v>0.228250809810273</v>
      </c>
    </row>
    <row r="5662" customFormat="false" ht="15" hidden="false" customHeight="false" outlineLevel="0" collapsed="false">
      <c r="A5662" s="15" t="s">
        <v>5719</v>
      </c>
      <c r="B5662" s="16" t="n">
        <v>44619</v>
      </c>
      <c r="C5662" s="15" t="s">
        <v>71</v>
      </c>
      <c r="D5662" s="15" t="s">
        <v>42</v>
      </c>
      <c r="E5662" s="15" t="s">
        <v>37</v>
      </c>
      <c r="F5662" s="15" t="s">
        <v>16</v>
      </c>
      <c r="G5662" s="15" t="s">
        <v>25</v>
      </c>
      <c r="H5662" s="15" t="n">
        <v>4</v>
      </c>
      <c r="I5662" s="17" t="n">
        <v>0</v>
      </c>
      <c r="J5662" s="18" t="n">
        <v>951.52</v>
      </c>
      <c r="K5662" s="19" t="n">
        <v>95.08</v>
      </c>
      <c r="L5662" s="15" t="n">
        <f aca="false">YEAR(B5662)</f>
        <v>2022</v>
      </c>
      <c r="M5662" s="20" t="n">
        <f aca="false">IF(J5662&gt;0,K5662/J5662,0)</f>
        <v>0.0999243315957626</v>
      </c>
    </row>
    <row r="5663" customFormat="false" ht="15" hidden="false" customHeight="false" outlineLevel="0" collapsed="false">
      <c r="A5663" s="15" t="s">
        <v>5720</v>
      </c>
      <c r="B5663" s="16" t="n">
        <v>45566</v>
      </c>
      <c r="C5663" s="15" t="s">
        <v>56</v>
      </c>
      <c r="D5663" s="15" t="s">
        <v>43</v>
      </c>
      <c r="E5663" s="15" t="s">
        <v>39</v>
      </c>
      <c r="F5663" s="15" t="s">
        <v>16</v>
      </c>
      <c r="G5663" s="15" t="s">
        <v>22</v>
      </c>
      <c r="H5663" s="15" t="n">
        <v>3</v>
      </c>
      <c r="I5663" s="17" t="n">
        <v>0</v>
      </c>
      <c r="J5663" s="18" t="n">
        <v>1777.19</v>
      </c>
      <c r="K5663" s="19" t="n">
        <v>-17.47</v>
      </c>
      <c r="L5663" s="15" t="n">
        <f aca="false">YEAR(B5663)</f>
        <v>2024</v>
      </c>
      <c r="M5663" s="20" t="n">
        <f aca="false">IF(J5663&gt;0,K5663/J5663,0)</f>
        <v>-0.00983012508510626</v>
      </c>
    </row>
    <row r="5664" customFormat="false" ht="15" hidden="false" customHeight="false" outlineLevel="0" collapsed="false">
      <c r="A5664" s="15" t="s">
        <v>5721</v>
      </c>
      <c r="B5664" s="16" t="n">
        <v>46021</v>
      </c>
      <c r="C5664" s="15" t="s">
        <v>56</v>
      </c>
      <c r="D5664" s="15" t="s">
        <v>43</v>
      </c>
      <c r="E5664" s="15" t="s">
        <v>36</v>
      </c>
      <c r="F5664" s="15" t="s">
        <v>18</v>
      </c>
      <c r="G5664" s="15" t="s">
        <v>30</v>
      </c>
      <c r="H5664" s="15" t="n">
        <v>7</v>
      </c>
      <c r="I5664" s="17" t="n">
        <v>0</v>
      </c>
      <c r="J5664" s="18" t="n">
        <v>297.44</v>
      </c>
      <c r="K5664" s="19" t="n">
        <v>72.84</v>
      </c>
      <c r="L5664" s="15" t="n">
        <f aca="false">YEAR(B5664)</f>
        <v>2025</v>
      </c>
      <c r="M5664" s="20" t="n">
        <f aca="false">IF(J5664&gt;0,K5664/J5664,0)</f>
        <v>0.244889725658956</v>
      </c>
    </row>
    <row r="5665" customFormat="false" ht="15" hidden="false" customHeight="false" outlineLevel="0" collapsed="false">
      <c r="A5665" s="15" t="s">
        <v>5722</v>
      </c>
      <c r="B5665" s="16" t="n">
        <v>44703</v>
      </c>
      <c r="C5665" s="15" t="s">
        <v>56</v>
      </c>
      <c r="D5665" s="15" t="s">
        <v>43</v>
      </c>
      <c r="E5665" s="15" t="s">
        <v>38</v>
      </c>
      <c r="F5665" s="15" t="s">
        <v>18</v>
      </c>
      <c r="G5665" s="15" t="s">
        <v>30</v>
      </c>
      <c r="H5665" s="15" t="n">
        <v>6</v>
      </c>
      <c r="I5665" s="17" t="n">
        <v>0</v>
      </c>
      <c r="J5665" s="18" t="n">
        <v>290.8</v>
      </c>
      <c r="K5665" s="19" t="n">
        <v>85.8</v>
      </c>
      <c r="L5665" s="15" t="n">
        <f aca="false">YEAR(B5665)</f>
        <v>2022</v>
      </c>
      <c r="M5665" s="20" t="n">
        <f aca="false">IF(J5665&gt;0,K5665/J5665,0)</f>
        <v>0.295048143053645</v>
      </c>
    </row>
    <row r="5666" customFormat="false" ht="15" hidden="false" customHeight="false" outlineLevel="0" collapsed="false">
      <c r="A5666" s="15" t="s">
        <v>5723</v>
      </c>
      <c r="B5666" s="16" t="n">
        <v>45554</v>
      </c>
      <c r="C5666" s="15" t="s">
        <v>56</v>
      </c>
      <c r="D5666" s="15" t="s">
        <v>42</v>
      </c>
      <c r="E5666" s="15" t="s">
        <v>37</v>
      </c>
      <c r="F5666" s="15" t="s">
        <v>17</v>
      </c>
      <c r="G5666" s="15" t="s">
        <v>29</v>
      </c>
      <c r="H5666" s="15" t="n">
        <v>5</v>
      </c>
      <c r="I5666" s="17" t="n">
        <v>0</v>
      </c>
      <c r="J5666" s="18" t="n">
        <v>79.09</v>
      </c>
      <c r="K5666" s="19" t="n">
        <v>31.96</v>
      </c>
      <c r="L5666" s="15" t="n">
        <f aca="false">YEAR(B5666)</f>
        <v>2024</v>
      </c>
      <c r="M5666" s="20" t="n">
        <f aca="false">IF(J5666&gt;0,K5666/J5666,0)</f>
        <v>0.404096598811481</v>
      </c>
    </row>
    <row r="5667" customFormat="false" ht="15" hidden="false" customHeight="false" outlineLevel="0" collapsed="false">
      <c r="A5667" s="15" t="s">
        <v>5724</v>
      </c>
      <c r="B5667" s="16" t="n">
        <v>44750</v>
      </c>
      <c r="C5667" s="15" t="s">
        <v>56</v>
      </c>
      <c r="D5667" s="15" t="s">
        <v>42</v>
      </c>
      <c r="E5667" s="15" t="s">
        <v>37</v>
      </c>
      <c r="F5667" s="15" t="s">
        <v>17</v>
      </c>
      <c r="G5667" s="15" t="s">
        <v>29</v>
      </c>
      <c r="H5667" s="15" t="n">
        <v>3</v>
      </c>
      <c r="I5667" s="17" t="n">
        <v>0</v>
      </c>
      <c r="J5667" s="18" t="n">
        <v>62.15</v>
      </c>
      <c r="K5667" s="19" t="n">
        <v>29.39</v>
      </c>
      <c r="L5667" s="15" t="n">
        <f aca="false">YEAR(B5667)</f>
        <v>2022</v>
      </c>
      <c r="M5667" s="20" t="n">
        <f aca="false">IF(J5667&gt;0,K5667/J5667,0)</f>
        <v>0.47288817377313</v>
      </c>
    </row>
    <row r="5668" customFormat="false" ht="15" hidden="false" customHeight="false" outlineLevel="0" collapsed="false">
      <c r="A5668" s="15" t="s">
        <v>5725</v>
      </c>
      <c r="B5668" s="16" t="n">
        <v>45045</v>
      </c>
      <c r="C5668" s="15" t="s">
        <v>71</v>
      </c>
      <c r="D5668" s="15" t="s">
        <v>43</v>
      </c>
      <c r="E5668" s="15" t="s">
        <v>38</v>
      </c>
      <c r="F5668" s="15" t="s">
        <v>17</v>
      </c>
      <c r="G5668" s="15" t="s">
        <v>29</v>
      </c>
      <c r="H5668" s="15" t="n">
        <v>1</v>
      </c>
      <c r="I5668" s="17" t="n">
        <v>0.4</v>
      </c>
      <c r="J5668" s="18" t="n">
        <v>12.1</v>
      </c>
      <c r="K5668" s="19" t="n">
        <v>0.2</v>
      </c>
      <c r="L5668" s="15" t="n">
        <f aca="false">YEAR(B5668)</f>
        <v>2023</v>
      </c>
      <c r="M5668" s="20" t="n">
        <f aca="false">IF(J5668&gt;0,K5668/J5668,0)</f>
        <v>0.0165289256198347</v>
      </c>
    </row>
    <row r="5669" customFormat="false" ht="15" hidden="false" customHeight="false" outlineLevel="0" collapsed="false">
      <c r="A5669" s="15" t="s">
        <v>5726</v>
      </c>
      <c r="B5669" s="16" t="n">
        <v>44877</v>
      </c>
      <c r="C5669" s="15" t="s">
        <v>56</v>
      </c>
      <c r="D5669" s="15" t="s">
        <v>43</v>
      </c>
      <c r="E5669" s="15" t="s">
        <v>39</v>
      </c>
      <c r="F5669" s="15" t="s">
        <v>18</v>
      </c>
      <c r="G5669" s="15" t="s">
        <v>33</v>
      </c>
      <c r="H5669" s="15" t="n">
        <v>2</v>
      </c>
      <c r="I5669" s="17" t="n">
        <v>0</v>
      </c>
      <c r="J5669" s="18" t="n">
        <v>2300.97</v>
      </c>
      <c r="K5669" s="19" t="n">
        <v>609.36</v>
      </c>
      <c r="L5669" s="15" t="n">
        <f aca="false">YEAR(B5669)</f>
        <v>2022</v>
      </c>
      <c r="M5669" s="20" t="n">
        <f aca="false">IF(J5669&gt;0,K5669/J5669,0)</f>
        <v>0.264827442339535</v>
      </c>
    </row>
    <row r="5670" customFormat="false" ht="15" hidden="false" customHeight="false" outlineLevel="0" collapsed="false">
      <c r="A5670" s="15" t="s">
        <v>5727</v>
      </c>
      <c r="B5670" s="16" t="n">
        <v>44927</v>
      </c>
      <c r="C5670" s="15" t="s">
        <v>68</v>
      </c>
      <c r="D5670" s="15" t="s">
        <v>42</v>
      </c>
      <c r="E5670" s="15" t="s">
        <v>38</v>
      </c>
      <c r="F5670" s="15" t="s">
        <v>17</v>
      </c>
      <c r="G5670" s="15" t="s">
        <v>29</v>
      </c>
      <c r="H5670" s="15" t="n">
        <v>6</v>
      </c>
      <c r="I5670" s="17" t="n">
        <v>0</v>
      </c>
      <c r="J5670" s="18" t="n">
        <v>96.61</v>
      </c>
      <c r="K5670" s="19" t="n">
        <v>37.77</v>
      </c>
      <c r="L5670" s="15" t="n">
        <f aca="false">YEAR(B5670)</f>
        <v>2023</v>
      </c>
      <c r="M5670" s="20" t="n">
        <f aca="false">IF(J5670&gt;0,K5670/J5670,0)</f>
        <v>0.390953317461961</v>
      </c>
    </row>
    <row r="5671" customFormat="false" ht="15" hidden="false" customHeight="false" outlineLevel="0" collapsed="false">
      <c r="A5671" s="15" t="s">
        <v>5728</v>
      </c>
      <c r="B5671" s="16" t="n">
        <v>46022</v>
      </c>
      <c r="C5671" s="15" t="s">
        <v>71</v>
      </c>
      <c r="D5671" s="15" t="s">
        <v>42</v>
      </c>
      <c r="E5671" s="15" t="s">
        <v>36</v>
      </c>
      <c r="F5671" s="15" t="s">
        <v>17</v>
      </c>
      <c r="G5671" s="15" t="s">
        <v>28</v>
      </c>
      <c r="H5671" s="15" t="n">
        <v>2</v>
      </c>
      <c r="I5671" s="17" t="n">
        <v>0.05</v>
      </c>
      <c r="J5671" s="18" t="n">
        <v>47.89</v>
      </c>
      <c r="K5671" s="19" t="n">
        <v>12.99</v>
      </c>
      <c r="L5671" s="15" t="n">
        <f aca="false">YEAR(B5671)</f>
        <v>2025</v>
      </c>
      <c r="M5671" s="20" t="n">
        <f aca="false">IF(J5671&gt;0,K5671/J5671,0)</f>
        <v>0.271246606807267</v>
      </c>
    </row>
    <row r="5672" customFormat="false" ht="15" hidden="false" customHeight="false" outlineLevel="0" collapsed="false">
      <c r="A5672" s="15" t="s">
        <v>5729</v>
      </c>
      <c r="B5672" s="16" t="n">
        <v>45351</v>
      </c>
      <c r="C5672" s="15" t="s">
        <v>56</v>
      </c>
      <c r="D5672" s="15" t="s">
        <v>42</v>
      </c>
      <c r="E5672" s="15" t="s">
        <v>39</v>
      </c>
      <c r="F5672" s="15" t="s">
        <v>17</v>
      </c>
      <c r="G5672" s="15" t="s">
        <v>28</v>
      </c>
      <c r="H5672" s="15" t="n">
        <v>6</v>
      </c>
      <c r="I5672" s="17" t="n">
        <v>0</v>
      </c>
      <c r="J5672" s="18" t="n">
        <v>144.38</v>
      </c>
      <c r="K5672" s="19" t="n">
        <v>33.99</v>
      </c>
      <c r="L5672" s="15" t="n">
        <f aca="false">YEAR(B5672)</f>
        <v>2024</v>
      </c>
      <c r="M5672" s="20" t="n">
        <f aca="false">IF(J5672&gt;0,K5672/J5672,0)</f>
        <v>0.23542041834049</v>
      </c>
    </row>
    <row r="5673" customFormat="false" ht="15" hidden="false" customHeight="false" outlineLevel="0" collapsed="false">
      <c r="A5673" s="15" t="s">
        <v>5730</v>
      </c>
      <c r="B5673" s="16" t="n">
        <v>45264</v>
      </c>
      <c r="C5673" s="15" t="s">
        <v>68</v>
      </c>
      <c r="D5673" s="15" t="s">
        <v>42</v>
      </c>
      <c r="E5673" s="15" t="s">
        <v>37</v>
      </c>
      <c r="F5673" s="15" t="s">
        <v>17</v>
      </c>
      <c r="G5673" s="15" t="s">
        <v>26</v>
      </c>
      <c r="H5673" s="15" t="n">
        <v>3</v>
      </c>
      <c r="I5673" s="17" t="n">
        <v>0.3</v>
      </c>
      <c r="J5673" s="18" t="n">
        <v>161.02</v>
      </c>
      <c r="K5673" s="19" t="n">
        <v>-24.69</v>
      </c>
      <c r="L5673" s="15" t="n">
        <f aca="false">YEAR(B5673)</f>
        <v>2023</v>
      </c>
      <c r="M5673" s="20" t="n">
        <f aca="false">IF(J5673&gt;0,K5673/J5673,0)</f>
        <v>-0.153334989442305</v>
      </c>
    </row>
    <row r="5674" customFormat="false" ht="15" hidden="false" customHeight="false" outlineLevel="0" collapsed="false">
      <c r="A5674" s="15" t="s">
        <v>5731</v>
      </c>
      <c r="B5674" s="16" t="n">
        <v>45410</v>
      </c>
      <c r="C5674" s="15" t="s">
        <v>71</v>
      </c>
      <c r="D5674" s="15" t="s">
        <v>42</v>
      </c>
      <c r="E5674" s="15" t="s">
        <v>36</v>
      </c>
      <c r="F5674" s="15" t="s">
        <v>17</v>
      </c>
      <c r="G5674" s="15" t="s">
        <v>28</v>
      </c>
      <c r="H5674" s="15" t="n">
        <v>2</v>
      </c>
      <c r="I5674" s="17" t="n">
        <v>0.1</v>
      </c>
      <c r="J5674" s="18" t="n">
        <v>36.33</v>
      </c>
      <c r="K5674" s="19" t="n">
        <v>4.94</v>
      </c>
      <c r="L5674" s="15" t="n">
        <f aca="false">YEAR(B5674)</f>
        <v>2024</v>
      </c>
      <c r="M5674" s="20" t="n">
        <f aca="false">IF(J5674&gt;0,K5674/J5674,0)</f>
        <v>0.135975777594275</v>
      </c>
    </row>
    <row r="5675" customFormat="false" ht="15" hidden="false" customHeight="false" outlineLevel="0" collapsed="false">
      <c r="A5675" s="15" t="s">
        <v>5732</v>
      </c>
      <c r="B5675" s="16" t="n">
        <v>45654</v>
      </c>
      <c r="C5675" s="15" t="s">
        <v>68</v>
      </c>
      <c r="D5675" s="15" t="s">
        <v>42</v>
      </c>
      <c r="E5675" s="15" t="s">
        <v>39</v>
      </c>
      <c r="F5675" s="15" t="s">
        <v>17</v>
      </c>
      <c r="G5675" s="15" t="s">
        <v>28</v>
      </c>
      <c r="H5675" s="15" t="n">
        <v>1</v>
      </c>
      <c r="I5675" s="17" t="n">
        <v>0</v>
      </c>
      <c r="J5675" s="18" t="n">
        <v>23.83</v>
      </c>
      <c r="K5675" s="19" t="n">
        <v>5.95</v>
      </c>
      <c r="L5675" s="15" t="n">
        <f aca="false">YEAR(B5675)</f>
        <v>2024</v>
      </c>
      <c r="M5675" s="20" t="n">
        <f aca="false">IF(J5675&gt;0,K5675/J5675,0)</f>
        <v>0.249685270667226</v>
      </c>
    </row>
    <row r="5676" customFormat="false" ht="15" hidden="false" customHeight="false" outlineLevel="0" collapsed="false">
      <c r="A5676" s="15" t="s">
        <v>5733</v>
      </c>
      <c r="B5676" s="16" t="n">
        <v>45695</v>
      </c>
      <c r="C5676" s="15" t="s">
        <v>56</v>
      </c>
      <c r="D5676" s="15" t="s">
        <v>42</v>
      </c>
      <c r="E5676" s="15" t="s">
        <v>36</v>
      </c>
      <c r="F5676" s="15" t="s">
        <v>17</v>
      </c>
      <c r="G5676" s="15" t="s">
        <v>28</v>
      </c>
      <c r="H5676" s="15" t="n">
        <v>3</v>
      </c>
      <c r="I5676" s="17" t="n">
        <v>0</v>
      </c>
      <c r="J5676" s="18" t="n">
        <v>66.21</v>
      </c>
      <c r="K5676" s="19" t="n">
        <v>24.64</v>
      </c>
      <c r="L5676" s="15" t="n">
        <f aca="false">YEAR(B5676)</f>
        <v>2025</v>
      </c>
      <c r="M5676" s="20" t="n">
        <f aca="false">IF(J5676&gt;0,K5676/J5676,0)</f>
        <v>0.372149222171877</v>
      </c>
    </row>
    <row r="5677" customFormat="false" ht="15" hidden="false" customHeight="false" outlineLevel="0" collapsed="false">
      <c r="A5677" s="15" t="s">
        <v>5734</v>
      </c>
      <c r="B5677" s="16" t="n">
        <v>45463</v>
      </c>
      <c r="C5677" s="15" t="s">
        <v>56</v>
      </c>
      <c r="D5677" s="15" t="s">
        <v>42</v>
      </c>
      <c r="E5677" s="15" t="s">
        <v>39</v>
      </c>
      <c r="F5677" s="15" t="s">
        <v>17</v>
      </c>
      <c r="G5677" s="15" t="s">
        <v>29</v>
      </c>
      <c r="H5677" s="15" t="n">
        <v>3</v>
      </c>
      <c r="I5677" s="17" t="n">
        <v>0.15</v>
      </c>
      <c r="J5677" s="18" t="n">
        <v>51.55</v>
      </c>
      <c r="K5677" s="19" t="n">
        <v>13.19</v>
      </c>
      <c r="L5677" s="15" t="n">
        <f aca="false">YEAR(B5677)</f>
        <v>2024</v>
      </c>
      <c r="M5677" s="20" t="n">
        <f aca="false">IF(J5677&gt;0,K5677/J5677,0)</f>
        <v>0.255868089233754</v>
      </c>
    </row>
    <row r="5678" customFormat="false" ht="15" hidden="false" customHeight="false" outlineLevel="0" collapsed="false">
      <c r="A5678" s="15" t="s">
        <v>5735</v>
      </c>
      <c r="B5678" s="16" t="n">
        <v>44980</v>
      </c>
      <c r="C5678" s="15" t="s">
        <v>58</v>
      </c>
      <c r="D5678" s="15" t="s">
        <v>42</v>
      </c>
      <c r="E5678" s="15" t="s">
        <v>37</v>
      </c>
      <c r="F5678" s="15" t="s">
        <v>16</v>
      </c>
      <c r="G5678" s="15" t="s">
        <v>22</v>
      </c>
      <c r="H5678" s="15" t="n">
        <v>5</v>
      </c>
      <c r="I5678" s="17" t="n">
        <v>0.15</v>
      </c>
      <c r="J5678" s="18" t="n">
        <v>2131.88</v>
      </c>
      <c r="K5678" s="19" t="n">
        <v>-357.79</v>
      </c>
      <c r="L5678" s="15" t="n">
        <f aca="false">YEAR(B5678)</f>
        <v>2023</v>
      </c>
      <c r="M5678" s="20" t="n">
        <f aca="false">IF(J5678&gt;0,K5678/J5678,0)</f>
        <v>-0.167828395594499</v>
      </c>
    </row>
    <row r="5679" customFormat="false" ht="15" hidden="false" customHeight="false" outlineLevel="0" collapsed="false">
      <c r="A5679" s="15" t="s">
        <v>5736</v>
      </c>
      <c r="B5679" s="16" t="n">
        <v>45436</v>
      </c>
      <c r="C5679" s="15" t="s">
        <v>56</v>
      </c>
      <c r="D5679" s="15" t="s">
        <v>42</v>
      </c>
      <c r="E5679" s="15" t="s">
        <v>39</v>
      </c>
      <c r="F5679" s="15" t="s">
        <v>16</v>
      </c>
      <c r="G5679" s="15" t="s">
        <v>25</v>
      </c>
      <c r="H5679" s="15" t="n">
        <v>7</v>
      </c>
      <c r="I5679" s="17" t="n">
        <v>0.3</v>
      </c>
      <c r="J5679" s="18" t="n">
        <v>1216.35</v>
      </c>
      <c r="K5679" s="19" t="n">
        <v>-209.48</v>
      </c>
      <c r="L5679" s="15" t="n">
        <f aca="false">YEAR(B5679)</f>
        <v>2024</v>
      </c>
      <c r="M5679" s="20" t="n">
        <f aca="false">IF(J5679&gt;0,K5679/J5679,0)</f>
        <v>-0.172220166892753</v>
      </c>
    </row>
    <row r="5680" customFormat="false" ht="15" hidden="false" customHeight="false" outlineLevel="0" collapsed="false">
      <c r="A5680" s="15" t="s">
        <v>5737</v>
      </c>
      <c r="B5680" s="16" t="n">
        <v>44938</v>
      </c>
      <c r="C5680" s="15" t="s">
        <v>68</v>
      </c>
      <c r="D5680" s="15" t="s">
        <v>42</v>
      </c>
      <c r="E5680" s="15" t="s">
        <v>36</v>
      </c>
      <c r="F5680" s="15" t="s">
        <v>16</v>
      </c>
      <c r="G5680" s="15" t="s">
        <v>25</v>
      </c>
      <c r="H5680" s="15" t="n">
        <v>2</v>
      </c>
      <c r="I5680" s="17" t="n">
        <v>0.1</v>
      </c>
      <c r="J5680" s="18" t="n">
        <v>445.7</v>
      </c>
      <c r="K5680" s="19" t="n">
        <v>34.36</v>
      </c>
      <c r="L5680" s="15" t="n">
        <f aca="false">YEAR(B5680)</f>
        <v>2023</v>
      </c>
      <c r="M5680" s="20" t="n">
        <f aca="false">IF(J5680&gt;0,K5680/J5680,0)</f>
        <v>0.0770922144940543</v>
      </c>
    </row>
    <row r="5681" customFormat="false" ht="15" hidden="false" customHeight="false" outlineLevel="0" collapsed="false">
      <c r="A5681" s="15" t="s">
        <v>5738</v>
      </c>
      <c r="B5681" s="16" t="n">
        <v>45808</v>
      </c>
      <c r="C5681" s="15" t="s">
        <v>56</v>
      </c>
      <c r="D5681" s="15" t="s">
        <v>42</v>
      </c>
      <c r="E5681" s="15" t="s">
        <v>36</v>
      </c>
      <c r="F5681" s="15" t="s">
        <v>18</v>
      </c>
      <c r="G5681" s="15" t="s">
        <v>30</v>
      </c>
      <c r="H5681" s="15" t="n">
        <v>4</v>
      </c>
      <c r="I5681" s="17" t="n">
        <v>0.05</v>
      </c>
      <c r="J5681" s="18" t="n">
        <v>165.08</v>
      </c>
      <c r="K5681" s="19" t="n">
        <v>44.02</v>
      </c>
      <c r="L5681" s="15" t="n">
        <f aca="false">YEAR(B5681)</f>
        <v>2025</v>
      </c>
      <c r="M5681" s="20" t="n">
        <f aca="false">IF(J5681&gt;0,K5681/J5681,0)</f>
        <v>0.266658589774655</v>
      </c>
    </row>
    <row r="5682" customFormat="false" ht="15" hidden="false" customHeight="false" outlineLevel="0" collapsed="false">
      <c r="A5682" s="15" t="s">
        <v>5739</v>
      </c>
      <c r="B5682" s="16" t="n">
        <v>45253</v>
      </c>
      <c r="C5682" s="15" t="s">
        <v>56</v>
      </c>
      <c r="D5682" s="15" t="s">
        <v>42</v>
      </c>
      <c r="E5682" s="15" t="s">
        <v>38</v>
      </c>
      <c r="F5682" s="15" t="s">
        <v>18</v>
      </c>
      <c r="G5682" s="15" t="s">
        <v>24</v>
      </c>
      <c r="H5682" s="15" t="n">
        <v>4</v>
      </c>
      <c r="I5682" s="17" t="n">
        <v>0.15</v>
      </c>
      <c r="J5682" s="18" t="n">
        <v>1915.6</v>
      </c>
      <c r="K5682" s="19" t="n">
        <v>-150.45</v>
      </c>
      <c r="L5682" s="15" t="n">
        <f aca="false">YEAR(B5682)</f>
        <v>2023</v>
      </c>
      <c r="M5682" s="20" t="n">
        <f aca="false">IF(J5682&gt;0,K5682/J5682,0)</f>
        <v>-0.0785393610357068</v>
      </c>
    </row>
    <row r="5683" customFormat="false" ht="15" hidden="false" customHeight="false" outlineLevel="0" collapsed="false">
      <c r="A5683" s="15" t="s">
        <v>5740</v>
      </c>
      <c r="B5683" s="16" t="n">
        <v>45041</v>
      </c>
      <c r="C5683" s="15" t="s">
        <v>56</v>
      </c>
      <c r="D5683" s="15" t="s">
        <v>42</v>
      </c>
      <c r="E5683" s="15" t="s">
        <v>37</v>
      </c>
      <c r="F5683" s="15" t="s">
        <v>16</v>
      </c>
      <c r="G5683" s="15" t="s">
        <v>25</v>
      </c>
      <c r="H5683" s="15" t="n">
        <v>4</v>
      </c>
      <c r="I5683" s="17" t="n">
        <v>0.1</v>
      </c>
      <c r="J5683" s="18" t="n">
        <v>1261.49</v>
      </c>
      <c r="K5683" s="19" t="n">
        <v>-52.01</v>
      </c>
      <c r="L5683" s="15" t="n">
        <f aca="false">YEAR(B5683)</f>
        <v>2023</v>
      </c>
      <c r="M5683" s="20" t="n">
        <f aca="false">IF(J5683&gt;0,K5683/J5683,0)</f>
        <v>-0.0412290228222182</v>
      </c>
    </row>
    <row r="5684" customFormat="false" ht="15" hidden="false" customHeight="false" outlineLevel="0" collapsed="false">
      <c r="A5684" s="15" t="s">
        <v>5741</v>
      </c>
      <c r="B5684" s="16" t="n">
        <v>44874</v>
      </c>
      <c r="C5684" s="15" t="s">
        <v>56</v>
      </c>
      <c r="D5684" s="15" t="s">
        <v>42</v>
      </c>
      <c r="E5684" s="15" t="s">
        <v>39</v>
      </c>
      <c r="F5684" s="15" t="s">
        <v>18</v>
      </c>
      <c r="G5684" s="15" t="s">
        <v>30</v>
      </c>
      <c r="H5684" s="15" t="n">
        <v>5</v>
      </c>
      <c r="I5684" s="17" t="n">
        <v>0.4</v>
      </c>
      <c r="J5684" s="18" t="n">
        <v>138.1</v>
      </c>
      <c r="K5684" s="19" t="n">
        <v>-8.67</v>
      </c>
      <c r="L5684" s="15" t="n">
        <f aca="false">YEAR(B5684)</f>
        <v>2022</v>
      </c>
      <c r="M5684" s="20" t="n">
        <f aca="false">IF(J5684&gt;0,K5684/J5684,0)</f>
        <v>-0.0627805937726285</v>
      </c>
    </row>
    <row r="5685" customFormat="false" ht="15" hidden="false" customHeight="false" outlineLevel="0" collapsed="false">
      <c r="A5685" s="15" t="s">
        <v>5742</v>
      </c>
      <c r="B5685" s="16" t="n">
        <v>44652</v>
      </c>
      <c r="C5685" s="15" t="s">
        <v>71</v>
      </c>
      <c r="D5685" s="15" t="s">
        <v>42</v>
      </c>
      <c r="E5685" s="15" t="s">
        <v>39</v>
      </c>
      <c r="F5685" s="15" t="s">
        <v>17</v>
      </c>
      <c r="G5685" s="15" t="s">
        <v>26</v>
      </c>
      <c r="H5685" s="15" t="n">
        <v>2</v>
      </c>
      <c r="I5685" s="17" t="n">
        <v>0.1</v>
      </c>
      <c r="J5685" s="18" t="n">
        <v>156.43</v>
      </c>
      <c r="K5685" s="19" t="n">
        <v>-5.76</v>
      </c>
      <c r="L5685" s="15" t="n">
        <f aca="false">YEAR(B5685)</f>
        <v>2022</v>
      </c>
      <c r="M5685" s="20" t="n">
        <f aca="false">IF(J5685&gt;0,K5685/J5685,0)</f>
        <v>-0.0368215815380681</v>
      </c>
    </row>
    <row r="5686" customFormat="false" ht="15" hidden="false" customHeight="false" outlineLevel="0" collapsed="false">
      <c r="A5686" s="15" t="s">
        <v>5743</v>
      </c>
      <c r="B5686" s="16" t="n">
        <v>45496</v>
      </c>
      <c r="C5686" s="15" t="s">
        <v>68</v>
      </c>
      <c r="D5686" s="15" t="s">
        <v>42</v>
      </c>
      <c r="E5686" s="15" t="s">
        <v>37</v>
      </c>
      <c r="F5686" s="15" t="s">
        <v>17</v>
      </c>
      <c r="G5686" s="15" t="s">
        <v>28</v>
      </c>
      <c r="H5686" s="15" t="n">
        <v>6</v>
      </c>
      <c r="I5686" s="17" t="n">
        <v>0.2</v>
      </c>
      <c r="J5686" s="18" t="n">
        <v>119.63</v>
      </c>
      <c r="K5686" s="19" t="n">
        <v>16.73</v>
      </c>
      <c r="L5686" s="15" t="n">
        <f aca="false">YEAR(B5686)</f>
        <v>2024</v>
      </c>
      <c r="M5686" s="20" t="n">
        <f aca="false">IF(J5686&gt;0,K5686/J5686,0)</f>
        <v>0.139847864248098</v>
      </c>
    </row>
    <row r="5687" customFormat="false" ht="15" hidden="false" customHeight="false" outlineLevel="0" collapsed="false">
      <c r="A5687" s="15" t="s">
        <v>5744</v>
      </c>
      <c r="B5687" s="16" t="n">
        <v>45176</v>
      </c>
      <c r="C5687" s="15" t="s">
        <v>56</v>
      </c>
      <c r="D5687" s="15" t="s">
        <v>43</v>
      </c>
      <c r="E5687" s="15" t="s">
        <v>39</v>
      </c>
      <c r="F5687" s="15" t="s">
        <v>17</v>
      </c>
      <c r="G5687" s="15" t="s">
        <v>28</v>
      </c>
      <c r="H5687" s="15" t="n">
        <v>6</v>
      </c>
      <c r="I5687" s="17" t="n">
        <v>0.5</v>
      </c>
      <c r="J5687" s="18" t="n">
        <v>83.13</v>
      </c>
      <c r="K5687" s="19" t="n">
        <v>-11.91</v>
      </c>
      <c r="L5687" s="15" t="n">
        <f aca="false">YEAR(B5687)</f>
        <v>2023</v>
      </c>
      <c r="M5687" s="20" t="n">
        <f aca="false">IF(J5687&gt;0,K5687/J5687,0)</f>
        <v>-0.143269577769758</v>
      </c>
    </row>
    <row r="5688" customFormat="false" ht="15" hidden="false" customHeight="false" outlineLevel="0" collapsed="false">
      <c r="A5688" s="15" t="s">
        <v>5745</v>
      </c>
      <c r="B5688" s="16" t="n">
        <v>45067</v>
      </c>
      <c r="C5688" s="15" t="s">
        <v>56</v>
      </c>
      <c r="D5688" s="15" t="s">
        <v>42</v>
      </c>
      <c r="E5688" s="15" t="s">
        <v>39</v>
      </c>
      <c r="F5688" s="15" t="s">
        <v>17</v>
      </c>
      <c r="G5688" s="15" t="s">
        <v>29</v>
      </c>
      <c r="H5688" s="15" t="n">
        <v>3</v>
      </c>
      <c r="I5688" s="17" t="n">
        <v>0.1</v>
      </c>
      <c r="J5688" s="18" t="n">
        <v>56.89</v>
      </c>
      <c r="K5688" s="19" t="n">
        <v>13.15</v>
      </c>
      <c r="L5688" s="15" t="n">
        <f aca="false">YEAR(B5688)</f>
        <v>2023</v>
      </c>
      <c r="M5688" s="20" t="n">
        <f aca="false">IF(J5688&gt;0,K5688/J5688,0)</f>
        <v>0.231147829143962</v>
      </c>
    </row>
    <row r="5689" customFormat="false" ht="15" hidden="false" customHeight="false" outlineLevel="0" collapsed="false">
      <c r="A5689" s="15" t="s">
        <v>5746</v>
      </c>
      <c r="B5689" s="16" t="n">
        <v>44740</v>
      </c>
      <c r="C5689" s="15" t="s">
        <v>68</v>
      </c>
      <c r="D5689" s="15" t="s">
        <v>42</v>
      </c>
      <c r="E5689" s="15" t="s">
        <v>39</v>
      </c>
      <c r="F5689" s="15" t="s">
        <v>16</v>
      </c>
      <c r="G5689" s="15" t="s">
        <v>25</v>
      </c>
      <c r="H5689" s="15" t="n">
        <v>2</v>
      </c>
      <c r="I5689" s="17" t="n">
        <v>0</v>
      </c>
      <c r="J5689" s="18" t="n">
        <v>545.22</v>
      </c>
      <c r="K5689" s="19" t="n">
        <v>61</v>
      </c>
      <c r="L5689" s="15" t="n">
        <f aca="false">YEAR(B5689)</f>
        <v>2022</v>
      </c>
      <c r="M5689" s="20" t="n">
        <f aca="false">IF(J5689&gt;0,K5689/J5689,0)</f>
        <v>0.111881442353545</v>
      </c>
    </row>
    <row r="5690" customFormat="false" ht="15" hidden="false" customHeight="false" outlineLevel="0" collapsed="false">
      <c r="A5690" s="15" t="s">
        <v>5747</v>
      </c>
      <c r="B5690" s="16" t="n">
        <v>45407</v>
      </c>
      <c r="C5690" s="15" t="s">
        <v>56</v>
      </c>
      <c r="D5690" s="15" t="s">
        <v>42</v>
      </c>
      <c r="E5690" s="15" t="s">
        <v>38</v>
      </c>
      <c r="F5690" s="15" t="s">
        <v>17</v>
      </c>
      <c r="G5690" s="15" t="s">
        <v>31</v>
      </c>
      <c r="H5690" s="15" t="n">
        <v>3</v>
      </c>
      <c r="I5690" s="17" t="n">
        <v>0.05</v>
      </c>
      <c r="J5690" s="18" t="n">
        <v>359.47</v>
      </c>
      <c r="K5690" s="19" t="n">
        <v>60.85</v>
      </c>
      <c r="L5690" s="15" t="n">
        <f aca="false">YEAR(B5690)</f>
        <v>2024</v>
      </c>
      <c r="M5690" s="20" t="n">
        <f aca="false">IF(J5690&gt;0,K5690/J5690,0)</f>
        <v>0.169276991125824</v>
      </c>
    </row>
    <row r="5691" customFormat="false" ht="15" hidden="false" customHeight="false" outlineLevel="0" collapsed="false">
      <c r="A5691" s="15" t="s">
        <v>5748</v>
      </c>
      <c r="B5691" s="16" t="n">
        <v>44794</v>
      </c>
      <c r="C5691" s="15" t="s">
        <v>56</v>
      </c>
      <c r="D5691" s="15" t="s">
        <v>43</v>
      </c>
      <c r="E5691" s="15" t="s">
        <v>39</v>
      </c>
      <c r="F5691" s="15" t="s">
        <v>17</v>
      </c>
      <c r="G5691" s="15" t="s">
        <v>29</v>
      </c>
      <c r="H5691" s="15" t="n">
        <v>2</v>
      </c>
      <c r="I5691" s="17" t="n">
        <v>0</v>
      </c>
      <c r="J5691" s="18" t="n">
        <v>35.81</v>
      </c>
      <c r="K5691" s="19" t="n">
        <v>13.41</v>
      </c>
      <c r="L5691" s="15" t="n">
        <f aca="false">YEAR(B5691)</f>
        <v>2022</v>
      </c>
      <c r="M5691" s="20" t="n">
        <f aca="false">IF(J5691&gt;0,K5691/J5691,0)</f>
        <v>0.374476403239319</v>
      </c>
    </row>
    <row r="5692" customFormat="false" ht="15" hidden="false" customHeight="false" outlineLevel="0" collapsed="false">
      <c r="A5692" s="15" t="s">
        <v>5749</v>
      </c>
      <c r="B5692" s="16" t="n">
        <v>45764</v>
      </c>
      <c r="C5692" s="15" t="s">
        <v>56</v>
      </c>
      <c r="D5692" s="15" t="s">
        <v>43</v>
      </c>
      <c r="E5692" s="15" t="s">
        <v>36</v>
      </c>
      <c r="F5692" s="15" t="s">
        <v>17</v>
      </c>
      <c r="G5692" s="15" t="s">
        <v>28</v>
      </c>
      <c r="H5692" s="15" t="n">
        <v>2</v>
      </c>
      <c r="I5692" s="17" t="n">
        <v>0.4</v>
      </c>
      <c r="J5692" s="18" t="n">
        <v>35.2</v>
      </c>
      <c r="K5692" s="19" t="n">
        <v>-2.75</v>
      </c>
      <c r="L5692" s="15" t="n">
        <f aca="false">YEAR(B5692)</f>
        <v>2025</v>
      </c>
      <c r="M5692" s="20" t="n">
        <f aca="false">IF(J5692&gt;0,K5692/J5692,0)</f>
        <v>-0.078125</v>
      </c>
    </row>
    <row r="5693" customFormat="false" ht="15" hidden="false" customHeight="false" outlineLevel="0" collapsed="false">
      <c r="A5693" s="15" t="s">
        <v>5750</v>
      </c>
      <c r="B5693" s="16" t="n">
        <v>45929</v>
      </c>
      <c r="C5693" s="15" t="s">
        <v>56</v>
      </c>
      <c r="D5693" s="15" t="s">
        <v>43</v>
      </c>
      <c r="E5693" s="15" t="s">
        <v>39</v>
      </c>
      <c r="F5693" s="15" t="s">
        <v>17</v>
      </c>
      <c r="G5693" s="15" t="s">
        <v>31</v>
      </c>
      <c r="H5693" s="15" t="n">
        <v>3</v>
      </c>
      <c r="I5693" s="17" t="n">
        <v>0.1</v>
      </c>
      <c r="J5693" s="18" t="n">
        <v>396.54</v>
      </c>
      <c r="K5693" s="19" t="n">
        <v>42.49</v>
      </c>
      <c r="L5693" s="15" t="n">
        <f aca="false">YEAR(B5693)</f>
        <v>2025</v>
      </c>
      <c r="M5693" s="20" t="n">
        <f aca="false">IF(J5693&gt;0,K5693/J5693,0)</f>
        <v>0.107151863620316</v>
      </c>
    </row>
    <row r="5694" customFormat="false" ht="15" hidden="false" customHeight="false" outlineLevel="0" collapsed="false">
      <c r="A5694" s="15" t="s">
        <v>5751</v>
      </c>
      <c r="B5694" s="16" t="n">
        <v>45237</v>
      </c>
      <c r="C5694" s="15" t="s">
        <v>56</v>
      </c>
      <c r="D5694" s="15" t="s">
        <v>43</v>
      </c>
      <c r="E5694" s="15" t="s">
        <v>36</v>
      </c>
      <c r="F5694" s="15" t="s">
        <v>17</v>
      </c>
      <c r="G5694" s="15" t="s">
        <v>28</v>
      </c>
      <c r="H5694" s="15" t="n">
        <v>1</v>
      </c>
      <c r="I5694" s="17" t="n">
        <v>0.3</v>
      </c>
      <c r="J5694" s="18" t="n">
        <v>14.74</v>
      </c>
      <c r="K5694" s="19" t="n">
        <v>-0.27</v>
      </c>
      <c r="L5694" s="15" t="n">
        <f aca="false">YEAR(B5694)</f>
        <v>2023</v>
      </c>
      <c r="M5694" s="20" t="n">
        <f aca="false">IF(J5694&gt;0,K5694/J5694,0)</f>
        <v>-0.0183175033921303</v>
      </c>
    </row>
    <row r="5695" customFormat="false" ht="15" hidden="false" customHeight="false" outlineLevel="0" collapsed="false">
      <c r="A5695" s="15" t="s">
        <v>5752</v>
      </c>
      <c r="B5695" s="16" t="n">
        <v>45674</v>
      </c>
      <c r="C5695" s="15" t="s">
        <v>56</v>
      </c>
      <c r="D5695" s="15" t="s">
        <v>43</v>
      </c>
      <c r="E5695" s="15" t="s">
        <v>39</v>
      </c>
      <c r="F5695" s="15" t="s">
        <v>17</v>
      </c>
      <c r="G5695" s="15" t="s">
        <v>26</v>
      </c>
      <c r="H5695" s="15" t="n">
        <v>4</v>
      </c>
      <c r="I5695" s="17" t="n">
        <v>0.1</v>
      </c>
      <c r="J5695" s="18" t="n">
        <v>297.72</v>
      </c>
      <c r="K5695" s="19" t="n">
        <v>-16.67</v>
      </c>
      <c r="L5695" s="15" t="n">
        <f aca="false">YEAR(B5695)</f>
        <v>2025</v>
      </c>
      <c r="M5695" s="20" t="n">
        <f aca="false">IF(J5695&gt;0,K5695/J5695,0)</f>
        <v>-0.0559922074432353</v>
      </c>
    </row>
    <row r="5696" customFormat="false" ht="15" hidden="false" customHeight="false" outlineLevel="0" collapsed="false">
      <c r="A5696" s="15" t="s">
        <v>5753</v>
      </c>
      <c r="B5696" s="16" t="n">
        <v>46009</v>
      </c>
      <c r="C5696" s="15" t="s">
        <v>58</v>
      </c>
      <c r="D5696" s="15" t="s">
        <v>43</v>
      </c>
      <c r="E5696" s="15" t="s">
        <v>37</v>
      </c>
      <c r="F5696" s="15" t="s">
        <v>17</v>
      </c>
      <c r="G5696" s="15" t="s">
        <v>28</v>
      </c>
      <c r="H5696" s="15" t="n">
        <v>6</v>
      </c>
      <c r="I5696" s="17" t="n">
        <v>0.4</v>
      </c>
      <c r="J5696" s="18" t="n">
        <v>96.98</v>
      </c>
      <c r="K5696" s="19" t="n">
        <v>-4.29</v>
      </c>
      <c r="L5696" s="15" t="n">
        <f aca="false">YEAR(B5696)</f>
        <v>2025</v>
      </c>
      <c r="M5696" s="20" t="n">
        <f aca="false">IF(J5696&gt;0,K5696/J5696,0)</f>
        <v>-0.0442359249329759</v>
      </c>
    </row>
    <row r="5697" customFormat="false" ht="15" hidden="false" customHeight="false" outlineLevel="0" collapsed="false">
      <c r="A5697" s="15" t="s">
        <v>5754</v>
      </c>
      <c r="B5697" s="16" t="n">
        <v>45286</v>
      </c>
      <c r="C5697" s="15" t="s">
        <v>56</v>
      </c>
      <c r="D5697" s="15" t="s">
        <v>43</v>
      </c>
      <c r="E5697" s="15" t="s">
        <v>36</v>
      </c>
      <c r="F5697" s="15" t="s">
        <v>17</v>
      </c>
      <c r="G5697" s="15" t="s">
        <v>29</v>
      </c>
      <c r="H5697" s="15" t="n">
        <v>4</v>
      </c>
      <c r="I5697" s="17" t="n">
        <v>0.2</v>
      </c>
      <c r="J5697" s="18" t="n">
        <v>58.86</v>
      </c>
      <c r="K5697" s="19" t="n">
        <v>8.22</v>
      </c>
      <c r="L5697" s="15" t="n">
        <f aca="false">YEAR(B5697)</f>
        <v>2023</v>
      </c>
      <c r="M5697" s="20" t="n">
        <f aca="false">IF(J5697&gt;0,K5697/J5697,0)</f>
        <v>0.139653414882773</v>
      </c>
    </row>
    <row r="5698" customFormat="false" ht="15" hidden="false" customHeight="false" outlineLevel="0" collapsed="false">
      <c r="A5698" s="15" t="s">
        <v>5755</v>
      </c>
      <c r="B5698" s="16" t="n">
        <v>44851</v>
      </c>
      <c r="C5698" s="15" t="s">
        <v>56</v>
      </c>
      <c r="D5698" s="15" t="s">
        <v>42</v>
      </c>
      <c r="E5698" s="15" t="s">
        <v>38</v>
      </c>
      <c r="F5698" s="15" t="s">
        <v>17</v>
      </c>
      <c r="G5698" s="15" t="s">
        <v>31</v>
      </c>
      <c r="H5698" s="15" t="n">
        <v>6</v>
      </c>
      <c r="I5698" s="17" t="n">
        <v>0</v>
      </c>
      <c r="J5698" s="18" t="n">
        <v>686.15</v>
      </c>
      <c r="K5698" s="19" t="n">
        <v>126.3</v>
      </c>
      <c r="L5698" s="15" t="n">
        <f aca="false">YEAR(B5698)</f>
        <v>2022</v>
      </c>
      <c r="M5698" s="20" t="n">
        <f aca="false">IF(J5698&gt;0,K5698/J5698,0)</f>
        <v>0.184070538511987</v>
      </c>
    </row>
    <row r="5699" customFormat="false" ht="15" hidden="false" customHeight="false" outlineLevel="0" collapsed="false">
      <c r="A5699" s="15" t="s">
        <v>5756</v>
      </c>
      <c r="B5699" s="16" t="n">
        <v>46006</v>
      </c>
      <c r="C5699" s="15" t="s">
        <v>56</v>
      </c>
      <c r="D5699" s="15" t="s">
        <v>42</v>
      </c>
      <c r="E5699" s="15" t="s">
        <v>39</v>
      </c>
      <c r="F5699" s="15" t="s">
        <v>17</v>
      </c>
      <c r="G5699" s="15" t="s">
        <v>28</v>
      </c>
      <c r="H5699" s="15" t="n">
        <v>5</v>
      </c>
      <c r="I5699" s="17" t="n">
        <v>0.1</v>
      </c>
      <c r="J5699" s="18" t="n">
        <v>101.81</v>
      </c>
      <c r="K5699" s="19" t="n">
        <v>24.47</v>
      </c>
      <c r="L5699" s="15" t="n">
        <f aca="false">YEAR(B5699)</f>
        <v>2025</v>
      </c>
      <c r="M5699" s="20" t="n">
        <f aca="false">IF(J5699&gt;0,K5699/J5699,0)</f>
        <v>0.240349670955702</v>
      </c>
    </row>
    <row r="5700" customFormat="false" ht="15" hidden="false" customHeight="false" outlineLevel="0" collapsed="false">
      <c r="A5700" s="15" t="s">
        <v>5757</v>
      </c>
      <c r="B5700" s="16" t="n">
        <v>44861</v>
      </c>
      <c r="C5700" s="15" t="s">
        <v>71</v>
      </c>
      <c r="D5700" s="15" t="s">
        <v>42</v>
      </c>
      <c r="E5700" s="15" t="s">
        <v>36</v>
      </c>
      <c r="F5700" s="15" t="s">
        <v>16</v>
      </c>
      <c r="G5700" s="15" t="s">
        <v>23</v>
      </c>
      <c r="H5700" s="15" t="n">
        <v>3</v>
      </c>
      <c r="I5700" s="17" t="n">
        <v>0</v>
      </c>
      <c r="J5700" s="18" t="n">
        <v>718.91</v>
      </c>
      <c r="K5700" s="19" t="n">
        <v>-10.47</v>
      </c>
      <c r="L5700" s="15" t="n">
        <f aca="false">YEAR(B5700)</f>
        <v>2022</v>
      </c>
      <c r="M5700" s="20" t="n">
        <f aca="false">IF(J5700&gt;0,K5700/J5700,0)</f>
        <v>-0.0145637145122477</v>
      </c>
    </row>
    <row r="5701" customFormat="false" ht="15" hidden="false" customHeight="false" outlineLevel="0" collapsed="false">
      <c r="A5701" s="15" t="s">
        <v>5758</v>
      </c>
      <c r="B5701" s="16" t="n">
        <v>44721</v>
      </c>
      <c r="C5701" s="15" t="s">
        <v>56</v>
      </c>
      <c r="D5701" s="15" t="s">
        <v>44</v>
      </c>
      <c r="E5701" s="15" t="s">
        <v>37</v>
      </c>
      <c r="F5701" s="15" t="s">
        <v>16</v>
      </c>
      <c r="G5701" s="15" t="s">
        <v>23</v>
      </c>
      <c r="H5701" s="15" t="n">
        <v>2</v>
      </c>
      <c r="I5701" s="17" t="n">
        <v>0</v>
      </c>
      <c r="J5701" s="18" t="n">
        <v>566.09</v>
      </c>
      <c r="K5701" s="19" t="n">
        <v>38.64</v>
      </c>
      <c r="L5701" s="15" t="n">
        <f aca="false">YEAR(B5701)</f>
        <v>2022</v>
      </c>
      <c r="M5701" s="20" t="n">
        <f aca="false">IF(J5701&gt;0,K5701/J5701,0)</f>
        <v>0.0682576975392606</v>
      </c>
    </row>
    <row r="5702" customFormat="false" ht="15" hidden="false" customHeight="false" outlineLevel="0" collapsed="false">
      <c r="A5702" s="15" t="s">
        <v>5759</v>
      </c>
      <c r="B5702" s="16" t="n">
        <v>44879</v>
      </c>
      <c r="C5702" s="15" t="s">
        <v>56</v>
      </c>
      <c r="D5702" s="15" t="s">
        <v>42</v>
      </c>
      <c r="E5702" s="15" t="s">
        <v>39</v>
      </c>
      <c r="F5702" s="15" t="s">
        <v>17</v>
      </c>
      <c r="G5702" s="15" t="s">
        <v>31</v>
      </c>
      <c r="H5702" s="15" t="n">
        <v>6</v>
      </c>
      <c r="I5702" s="17" t="n">
        <v>0.2</v>
      </c>
      <c r="J5702" s="18" t="n">
        <v>701.57</v>
      </c>
      <c r="K5702" s="19" t="n">
        <v>6.3</v>
      </c>
      <c r="L5702" s="15" t="n">
        <f aca="false">YEAR(B5702)</f>
        <v>2022</v>
      </c>
      <c r="M5702" s="20" t="n">
        <f aca="false">IF(J5702&gt;0,K5702/J5702,0)</f>
        <v>0.00897985945807261</v>
      </c>
    </row>
    <row r="5703" customFormat="false" ht="15" hidden="false" customHeight="false" outlineLevel="0" collapsed="false">
      <c r="A5703" s="15" t="s">
        <v>5760</v>
      </c>
      <c r="B5703" s="16" t="n">
        <v>45712</v>
      </c>
      <c r="C5703" s="15" t="s">
        <v>71</v>
      </c>
      <c r="D5703" s="15" t="s">
        <v>43</v>
      </c>
      <c r="E5703" s="15" t="s">
        <v>37</v>
      </c>
      <c r="F5703" s="15" t="s">
        <v>17</v>
      </c>
      <c r="G5703" s="15" t="s">
        <v>26</v>
      </c>
      <c r="H5703" s="15" t="n">
        <v>4</v>
      </c>
      <c r="I5703" s="17" t="n">
        <v>0.4</v>
      </c>
      <c r="J5703" s="18" t="n">
        <v>227.01</v>
      </c>
      <c r="K5703" s="19" t="n">
        <v>-56.78</v>
      </c>
      <c r="L5703" s="15" t="n">
        <f aca="false">YEAR(B5703)</f>
        <v>2025</v>
      </c>
      <c r="M5703" s="20" t="n">
        <f aca="false">IF(J5703&gt;0,K5703/J5703,0)</f>
        <v>-0.250121140037884</v>
      </c>
    </row>
    <row r="5704" customFormat="false" ht="15" hidden="false" customHeight="false" outlineLevel="0" collapsed="false">
      <c r="A5704" s="15" t="s">
        <v>5761</v>
      </c>
      <c r="B5704" s="16" t="n">
        <v>45747</v>
      </c>
      <c r="C5704" s="15" t="s">
        <v>68</v>
      </c>
      <c r="D5704" s="15" t="s">
        <v>42</v>
      </c>
      <c r="E5704" s="15" t="s">
        <v>38</v>
      </c>
      <c r="F5704" s="15" t="s">
        <v>17</v>
      </c>
      <c r="G5704" s="15" t="s">
        <v>29</v>
      </c>
      <c r="H5704" s="15" t="n">
        <v>2</v>
      </c>
      <c r="I5704" s="17" t="n">
        <v>0.4</v>
      </c>
      <c r="J5704" s="18" t="n">
        <v>22.48</v>
      </c>
      <c r="K5704" s="19" t="n">
        <v>0.66</v>
      </c>
      <c r="L5704" s="15" t="n">
        <f aca="false">YEAR(B5704)</f>
        <v>2025</v>
      </c>
      <c r="M5704" s="20" t="n">
        <f aca="false">IF(J5704&gt;0,K5704/J5704,0)</f>
        <v>0.0293594306049822</v>
      </c>
    </row>
    <row r="5705" customFormat="false" ht="15" hidden="false" customHeight="false" outlineLevel="0" collapsed="false">
      <c r="A5705" s="15" t="s">
        <v>5762</v>
      </c>
      <c r="B5705" s="16" t="n">
        <v>45802</v>
      </c>
      <c r="C5705" s="15" t="s">
        <v>58</v>
      </c>
      <c r="D5705" s="15" t="s">
        <v>43</v>
      </c>
      <c r="E5705" s="15" t="s">
        <v>37</v>
      </c>
      <c r="F5705" s="15" t="s">
        <v>17</v>
      </c>
      <c r="G5705" s="15" t="s">
        <v>26</v>
      </c>
      <c r="H5705" s="15" t="n">
        <v>8</v>
      </c>
      <c r="I5705" s="17" t="n">
        <v>0.4</v>
      </c>
      <c r="J5705" s="18" t="n">
        <v>499.82</v>
      </c>
      <c r="K5705" s="19" t="n">
        <v>-140.01</v>
      </c>
      <c r="L5705" s="15" t="n">
        <f aca="false">YEAR(B5705)</f>
        <v>2025</v>
      </c>
      <c r="M5705" s="20" t="n">
        <f aca="false">IF(J5705&gt;0,K5705/J5705,0)</f>
        <v>-0.280120843503661</v>
      </c>
    </row>
    <row r="5706" customFormat="false" ht="15" hidden="false" customHeight="false" outlineLevel="0" collapsed="false">
      <c r="A5706" s="15" t="s">
        <v>5763</v>
      </c>
      <c r="B5706" s="16" t="n">
        <v>45500</v>
      </c>
      <c r="C5706" s="15" t="s">
        <v>56</v>
      </c>
      <c r="D5706" s="15" t="s">
        <v>43</v>
      </c>
      <c r="E5706" s="15" t="s">
        <v>36</v>
      </c>
      <c r="F5706" s="15" t="s">
        <v>16</v>
      </c>
      <c r="G5706" s="15" t="s">
        <v>27</v>
      </c>
      <c r="H5706" s="15" t="n">
        <v>3</v>
      </c>
      <c r="I5706" s="17" t="n">
        <v>0.1</v>
      </c>
      <c r="J5706" s="18" t="n">
        <v>177.56</v>
      </c>
      <c r="K5706" s="19" t="n">
        <v>26.98</v>
      </c>
      <c r="L5706" s="15" t="n">
        <f aca="false">YEAR(B5706)</f>
        <v>2024</v>
      </c>
      <c r="M5706" s="20" t="n">
        <f aca="false">IF(J5706&gt;0,K5706/J5706,0)</f>
        <v>0.151948637080424</v>
      </c>
    </row>
    <row r="5707" customFormat="false" ht="15" hidden="false" customHeight="false" outlineLevel="0" collapsed="false">
      <c r="A5707" s="15" t="s">
        <v>5764</v>
      </c>
      <c r="B5707" s="16" t="n">
        <v>45031</v>
      </c>
      <c r="C5707" s="15" t="s">
        <v>56</v>
      </c>
      <c r="D5707" s="15" t="s">
        <v>42</v>
      </c>
      <c r="E5707" s="15" t="s">
        <v>37</v>
      </c>
      <c r="F5707" s="15" t="s">
        <v>18</v>
      </c>
      <c r="G5707" s="15" t="s">
        <v>24</v>
      </c>
      <c r="H5707" s="15" t="n">
        <v>6</v>
      </c>
      <c r="I5707" s="17" t="n">
        <v>0</v>
      </c>
      <c r="J5707" s="18" t="n">
        <v>4583.26</v>
      </c>
      <c r="K5707" s="19" t="n">
        <v>131.38</v>
      </c>
      <c r="L5707" s="15" t="n">
        <f aca="false">YEAR(B5707)</f>
        <v>2023</v>
      </c>
      <c r="M5707" s="20" t="n">
        <f aca="false">IF(J5707&gt;0,K5707/J5707,0)</f>
        <v>0.0286651859157019</v>
      </c>
    </row>
    <row r="5708" customFormat="false" ht="15" hidden="false" customHeight="false" outlineLevel="0" collapsed="false">
      <c r="A5708" s="15" t="s">
        <v>5765</v>
      </c>
      <c r="B5708" s="16" t="n">
        <v>45993</v>
      </c>
      <c r="C5708" s="15" t="s">
        <v>56</v>
      </c>
      <c r="D5708" s="15" t="s">
        <v>44</v>
      </c>
      <c r="E5708" s="15" t="s">
        <v>36</v>
      </c>
      <c r="F5708" s="15" t="s">
        <v>16</v>
      </c>
      <c r="G5708" s="15" t="s">
        <v>25</v>
      </c>
      <c r="H5708" s="15" t="n">
        <v>2</v>
      </c>
      <c r="I5708" s="17" t="n">
        <v>0.3</v>
      </c>
      <c r="J5708" s="18" t="n">
        <v>332.4</v>
      </c>
      <c r="K5708" s="19" t="n">
        <v>-57</v>
      </c>
      <c r="L5708" s="15" t="n">
        <f aca="false">YEAR(B5708)</f>
        <v>2025</v>
      </c>
      <c r="M5708" s="20" t="n">
        <f aca="false">IF(J5708&gt;0,K5708/J5708,0)</f>
        <v>-0.171480144404332</v>
      </c>
    </row>
    <row r="5709" customFormat="false" ht="15" hidden="false" customHeight="false" outlineLevel="0" collapsed="false">
      <c r="A5709" s="15" t="s">
        <v>5766</v>
      </c>
      <c r="B5709" s="16" t="n">
        <v>45990</v>
      </c>
      <c r="C5709" s="15" t="s">
        <v>56</v>
      </c>
      <c r="D5709" s="15" t="s">
        <v>42</v>
      </c>
      <c r="E5709" s="15" t="s">
        <v>38</v>
      </c>
      <c r="F5709" s="15" t="s">
        <v>17</v>
      </c>
      <c r="G5709" s="15" t="s">
        <v>28</v>
      </c>
      <c r="H5709" s="15" t="n">
        <v>4</v>
      </c>
      <c r="I5709" s="17" t="n">
        <v>0.05</v>
      </c>
      <c r="J5709" s="18" t="n">
        <v>74.27</v>
      </c>
      <c r="K5709" s="19" t="n">
        <v>13.92</v>
      </c>
      <c r="L5709" s="15" t="n">
        <f aca="false">YEAR(B5709)</f>
        <v>2025</v>
      </c>
      <c r="M5709" s="20" t="n">
        <f aca="false">IF(J5709&gt;0,K5709/J5709,0)</f>
        <v>0.187424262824828</v>
      </c>
    </row>
    <row r="5710" customFormat="false" ht="15" hidden="false" customHeight="false" outlineLevel="0" collapsed="false">
      <c r="A5710" s="15" t="s">
        <v>5767</v>
      </c>
      <c r="B5710" s="16" t="n">
        <v>44816</v>
      </c>
      <c r="C5710" s="15" t="s">
        <v>56</v>
      </c>
      <c r="D5710" s="15" t="s">
        <v>42</v>
      </c>
      <c r="E5710" s="15" t="s">
        <v>37</v>
      </c>
      <c r="F5710" s="15" t="s">
        <v>17</v>
      </c>
      <c r="G5710" s="15" t="s">
        <v>26</v>
      </c>
      <c r="H5710" s="15" t="n">
        <v>3</v>
      </c>
      <c r="I5710" s="17" t="n">
        <v>0.1</v>
      </c>
      <c r="J5710" s="18" t="n">
        <v>210.72</v>
      </c>
      <c r="K5710" s="19" t="n">
        <v>15.51</v>
      </c>
      <c r="L5710" s="15" t="n">
        <f aca="false">YEAR(B5710)</f>
        <v>2022</v>
      </c>
      <c r="M5710" s="20" t="n">
        <f aca="false">IF(J5710&gt;0,K5710/J5710,0)</f>
        <v>0.0736047835990888</v>
      </c>
    </row>
    <row r="5711" customFormat="false" ht="15" hidden="false" customHeight="false" outlineLevel="0" collapsed="false">
      <c r="A5711" s="15" t="s">
        <v>5768</v>
      </c>
      <c r="B5711" s="16" t="n">
        <v>45067</v>
      </c>
      <c r="C5711" s="15" t="s">
        <v>68</v>
      </c>
      <c r="D5711" s="15" t="s">
        <v>42</v>
      </c>
      <c r="E5711" s="15" t="s">
        <v>37</v>
      </c>
      <c r="F5711" s="15" t="s">
        <v>17</v>
      </c>
      <c r="G5711" s="15" t="s">
        <v>26</v>
      </c>
      <c r="H5711" s="15" t="n">
        <v>4</v>
      </c>
      <c r="I5711" s="17" t="n">
        <v>0</v>
      </c>
      <c r="J5711" s="18" t="n">
        <v>383.96</v>
      </c>
      <c r="K5711" s="19" t="n">
        <v>42.11</v>
      </c>
      <c r="L5711" s="15" t="n">
        <f aca="false">YEAR(B5711)</f>
        <v>2023</v>
      </c>
      <c r="M5711" s="20" t="n">
        <f aca="false">IF(J5711&gt;0,K5711/J5711,0)</f>
        <v>0.109672882591937</v>
      </c>
    </row>
    <row r="5712" customFormat="false" ht="15" hidden="false" customHeight="false" outlineLevel="0" collapsed="false">
      <c r="A5712" s="15" t="s">
        <v>5769</v>
      </c>
      <c r="B5712" s="16" t="n">
        <v>45930</v>
      </c>
      <c r="C5712" s="15" t="s">
        <v>58</v>
      </c>
      <c r="D5712" s="15" t="s">
        <v>42</v>
      </c>
      <c r="E5712" s="15" t="s">
        <v>37</v>
      </c>
      <c r="F5712" s="15" t="s">
        <v>16</v>
      </c>
      <c r="G5712" s="15" t="s">
        <v>25</v>
      </c>
      <c r="H5712" s="15" t="n">
        <v>7</v>
      </c>
      <c r="I5712" s="17" t="n">
        <v>0</v>
      </c>
      <c r="J5712" s="18" t="n">
        <v>1817.05</v>
      </c>
      <c r="K5712" s="19" t="n">
        <v>108.33</v>
      </c>
      <c r="L5712" s="15" t="n">
        <f aca="false">YEAR(B5712)</f>
        <v>2025</v>
      </c>
      <c r="M5712" s="20" t="n">
        <f aca="false">IF(J5712&gt;0,K5712/J5712,0)</f>
        <v>0.059618612586335</v>
      </c>
    </row>
    <row r="5713" customFormat="false" ht="15" hidden="false" customHeight="false" outlineLevel="0" collapsed="false">
      <c r="A5713" s="15" t="s">
        <v>5770</v>
      </c>
      <c r="B5713" s="16" t="n">
        <v>45536</v>
      </c>
      <c r="C5713" s="15" t="s">
        <v>56</v>
      </c>
      <c r="D5713" s="15" t="s">
        <v>42</v>
      </c>
      <c r="E5713" s="15" t="s">
        <v>37</v>
      </c>
      <c r="F5713" s="15" t="s">
        <v>18</v>
      </c>
      <c r="G5713" s="15" t="s">
        <v>30</v>
      </c>
      <c r="H5713" s="15" t="n">
        <v>3</v>
      </c>
      <c r="I5713" s="17" t="n">
        <v>0</v>
      </c>
      <c r="J5713" s="18" t="n">
        <v>146.37</v>
      </c>
      <c r="K5713" s="19" t="n">
        <v>47.09</v>
      </c>
      <c r="L5713" s="15" t="n">
        <f aca="false">YEAR(B5713)</f>
        <v>2024</v>
      </c>
      <c r="M5713" s="20" t="n">
        <f aca="false">IF(J5713&gt;0,K5713/J5713,0)</f>
        <v>0.321718931475029</v>
      </c>
    </row>
    <row r="5714" customFormat="false" ht="15" hidden="false" customHeight="false" outlineLevel="0" collapsed="false">
      <c r="A5714" s="15" t="s">
        <v>5771</v>
      </c>
      <c r="B5714" s="16" t="n">
        <v>45185</v>
      </c>
      <c r="C5714" s="15" t="s">
        <v>58</v>
      </c>
      <c r="D5714" s="15" t="s">
        <v>42</v>
      </c>
      <c r="E5714" s="15" t="s">
        <v>36</v>
      </c>
      <c r="F5714" s="15" t="s">
        <v>17</v>
      </c>
      <c r="G5714" s="15" t="s">
        <v>28</v>
      </c>
      <c r="H5714" s="15" t="n">
        <v>5</v>
      </c>
      <c r="I5714" s="17" t="n">
        <v>0.1</v>
      </c>
      <c r="J5714" s="18" t="n">
        <v>101.85</v>
      </c>
      <c r="K5714" s="19" t="n">
        <v>21.31</v>
      </c>
      <c r="L5714" s="15" t="n">
        <f aca="false">YEAR(B5714)</f>
        <v>2023</v>
      </c>
      <c r="M5714" s="20" t="n">
        <f aca="false">IF(J5714&gt;0,K5714/J5714,0)</f>
        <v>0.209229258713795</v>
      </c>
    </row>
    <row r="5715" customFormat="false" ht="15" hidden="false" customHeight="false" outlineLevel="0" collapsed="false">
      <c r="A5715" s="15" t="s">
        <v>5772</v>
      </c>
      <c r="B5715" s="16" t="n">
        <v>45721</v>
      </c>
      <c r="C5715" s="15" t="s">
        <v>71</v>
      </c>
      <c r="D5715" s="15" t="s">
        <v>42</v>
      </c>
      <c r="E5715" s="15" t="s">
        <v>39</v>
      </c>
      <c r="F5715" s="15" t="s">
        <v>17</v>
      </c>
      <c r="G5715" s="15" t="s">
        <v>28</v>
      </c>
      <c r="H5715" s="15" t="n">
        <v>2</v>
      </c>
      <c r="I5715" s="17" t="n">
        <v>0</v>
      </c>
      <c r="J5715" s="18" t="n">
        <v>44.77</v>
      </c>
      <c r="K5715" s="19" t="n">
        <v>13.52</v>
      </c>
      <c r="L5715" s="15" t="n">
        <f aca="false">YEAR(B5715)</f>
        <v>2025</v>
      </c>
      <c r="M5715" s="20" t="n">
        <f aca="false">IF(J5715&gt;0,K5715/J5715,0)</f>
        <v>0.301987938351575</v>
      </c>
    </row>
    <row r="5716" customFormat="false" ht="15" hidden="false" customHeight="false" outlineLevel="0" collapsed="false">
      <c r="A5716" s="15" t="s">
        <v>5773</v>
      </c>
      <c r="B5716" s="16" t="n">
        <v>45582</v>
      </c>
      <c r="C5716" s="15" t="s">
        <v>56</v>
      </c>
      <c r="D5716" s="15" t="s">
        <v>44</v>
      </c>
      <c r="E5716" s="15" t="s">
        <v>38</v>
      </c>
      <c r="F5716" s="15" t="s">
        <v>17</v>
      </c>
      <c r="G5716" s="15" t="s">
        <v>29</v>
      </c>
      <c r="H5716" s="15" t="n">
        <v>5</v>
      </c>
      <c r="I5716" s="17" t="n">
        <v>0.3</v>
      </c>
      <c r="J5716" s="18" t="n">
        <v>61.67</v>
      </c>
      <c r="K5716" s="19" t="n">
        <v>10.63</v>
      </c>
      <c r="L5716" s="15" t="n">
        <f aca="false">YEAR(B5716)</f>
        <v>2024</v>
      </c>
      <c r="M5716" s="20" t="n">
        <f aca="false">IF(J5716&gt;0,K5716/J5716,0)</f>
        <v>0.172369061131831</v>
      </c>
    </row>
    <row r="5717" customFormat="false" ht="15" hidden="false" customHeight="false" outlineLevel="0" collapsed="false">
      <c r="A5717" s="15" t="s">
        <v>5774</v>
      </c>
      <c r="B5717" s="16" t="n">
        <v>45934</v>
      </c>
      <c r="C5717" s="15" t="s">
        <v>56</v>
      </c>
      <c r="D5717" s="15" t="s">
        <v>44</v>
      </c>
      <c r="E5717" s="15" t="s">
        <v>39</v>
      </c>
      <c r="F5717" s="15" t="s">
        <v>17</v>
      </c>
      <c r="G5717" s="15" t="s">
        <v>28</v>
      </c>
      <c r="H5717" s="15" t="n">
        <v>7</v>
      </c>
      <c r="I5717" s="17" t="n">
        <v>0.2</v>
      </c>
      <c r="J5717" s="18" t="n">
        <v>166.79</v>
      </c>
      <c r="K5717" s="19" t="n">
        <v>25.23</v>
      </c>
      <c r="L5717" s="15" t="n">
        <f aca="false">YEAR(B5717)</f>
        <v>2025</v>
      </c>
      <c r="M5717" s="20" t="n">
        <f aca="false">IF(J5717&gt;0,K5717/J5717,0)</f>
        <v>0.151268061634391</v>
      </c>
    </row>
    <row r="5718" customFormat="false" ht="15" hidden="false" customHeight="false" outlineLevel="0" collapsed="false">
      <c r="A5718" s="15" t="s">
        <v>5775</v>
      </c>
      <c r="B5718" s="16" t="n">
        <v>44579</v>
      </c>
      <c r="C5718" s="15" t="s">
        <v>56</v>
      </c>
      <c r="D5718" s="15" t="s">
        <v>43</v>
      </c>
      <c r="E5718" s="15" t="s">
        <v>37</v>
      </c>
      <c r="F5718" s="15" t="s">
        <v>17</v>
      </c>
      <c r="G5718" s="15" t="s">
        <v>28</v>
      </c>
      <c r="H5718" s="15" t="n">
        <v>6</v>
      </c>
      <c r="I5718" s="17" t="n">
        <v>0.05</v>
      </c>
      <c r="J5718" s="18" t="n">
        <v>171.36</v>
      </c>
      <c r="K5718" s="19" t="n">
        <v>50.93</v>
      </c>
      <c r="L5718" s="15" t="n">
        <f aca="false">YEAR(B5718)</f>
        <v>2022</v>
      </c>
      <c r="M5718" s="20" t="n">
        <f aca="false">IF(J5718&gt;0,K5718/J5718,0)</f>
        <v>0.297210550887022</v>
      </c>
    </row>
    <row r="5719" customFormat="false" ht="15" hidden="false" customHeight="false" outlineLevel="0" collapsed="false">
      <c r="A5719" s="15" t="s">
        <v>5776</v>
      </c>
      <c r="B5719" s="16" t="n">
        <v>45893</v>
      </c>
      <c r="C5719" s="15" t="s">
        <v>56</v>
      </c>
      <c r="D5719" s="15" t="s">
        <v>42</v>
      </c>
      <c r="E5719" s="15" t="s">
        <v>39</v>
      </c>
      <c r="F5719" s="15" t="s">
        <v>17</v>
      </c>
      <c r="G5719" s="15" t="s">
        <v>28</v>
      </c>
      <c r="H5719" s="15" t="n">
        <v>5</v>
      </c>
      <c r="I5719" s="17" t="n">
        <v>0</v>
      </c>
      <c r="J5719" s="18" t="n">
        <v>125.89</v>
      </c>
      <c r="K5719" s="19" t="n">
        <v>45.96</v>
      </c>
      <c r="L5719" s="15" t="n">
        <f aca="false">YEAR(B5719)</f>
        <v>2025</v>
      </c>
      <c r="M5719" s="20" t="n">
        <f aca="false">IF(J5719&gt;0,K5719/J5719,0)</f>
        <v>0.365080625943284</v>
      </c>
    </row>
    <row r="5720" customFormat="false" ht="15" hidden="false" customHeight="false" outlineLevel="0" collapsed="false">
      <c r="A5720" s="15" t="s">
        <v>5777</v>
      </c>
      <c r="B5720" s="16" t="n">
        <v>45020</v>
      </c>
      <c r="C5720" s="15" t="s">
        <v>56</v>
      </c>
      <c r="D5720" s="15" t="s">
        <v>44</v>
      </c>
      <c r="E5720" s="15" t="s">
        <v>37</v>
      </c>
      <c r="F5720" s="15" t="s">
        <v>18</v>
      </c>
      <c r="G5720" s="15" t="s">
        <v>30</v>
      </c>
      <c r="H5720" s="15" t="n">
        <v>6</v>
      </c>
      <c r="I5720" s="17" t="n">
        <v>0.1</v>
      </c>
      <c r="J5720" s="18" t="n">
        <v>248.22</v>
      </c>
      <c r="K5720" s="19" t="n">
        <v>59.88</v>
      </c>
      <c r="L5720" s="15" t="n">
        <f aca="false">YEAR(B5720)</f>
        <v>2023</v>
      </c>
      <c r="M5720" s="20" t="n">
        <f aca="false">IF(J5720&gt;0,K5720/J5720,0)</f>
        <v>0.241237611795987</v>
      </c>
    </row>
    <row r="5721" customFormat="false" ht="15" hidden="false" customHeight="false" outlineLevel="0" collapsed="false">
      <c r="A5721" s="15" t="s">
        <v>5778</v>
      </c>
      <c r="B5721" s="16" t="n">
        <v>45765</v>
      </c>
      <c r="C5721" s="15" t="s">
        <v>56</v>
      </c>
      <c r="D5721" s="15" t="s">
        <v>43</v>
      </c>
      <c r="E5721" s="15" t="s">
        <v>38</v>
      </c>
      <c r="F5721" s="15" t="s">
        <v>16</v>
      </c>
      <c r="G5721" s="15" t="s">
        <v>25</v>
      </c>
      <c r="H5721" s="15" t="n">
        <v>3</v>
      </c>
      <c r="I5721" s="17" t="n">
        <v>0</v>
      </c>
      <c r="J5721" s="18" t="n">
        <v>820.67</v>
      </c>
      <c r="K5721" s="19" t="n">
        <v>71.86</v>
      </c>
      <c r="L5721" s="15" t="n">
        <f aca="false">YEAR(B5721)</f>
        <v>2025</v>
      </c>
      <c r="M5721" s="20" t="n">
        <f aca="false">IF(J5721&gt;0,K5721/J5721,0)</f>
        <v>0.0875626012891905</v>
      </c>
    </row>
    <row r="5722" customFormat="false" ht="15" hidden="false" customHeight="false" outlineLevel="0" collapsed="false">
      <c r="A5722" s="15" t="s">
        <v>5779</v>
      </c>
      <c r="B5722" s="16" t="n">
        <v>45611</v>
      </c>
      <c r="C5722" s="15" t="s">
        <v>56</v>
      </c>
      <c r="D5722" s="15" t="s">
        <v>44</v>
      </c>
      <c r="E5722" s="15" t="s">
        <v>38</v>
      </c>
      <c r="F5722" s="15" t="s">
        <v>16</v>
      </c>
      <c r="G5722" s="15" t="s">
        <v>22</v>
      </c>
      <c r="H5722" s="15" t="n">
        <v>3</v>
      </c>
      <c r="I5722" s="17" t="n">
        <v>0</v>
      </c>
      <c r="J5722" s="18" t="n">
        <v>1820.11</v>
      </c>
      <c r="K5722" s="19" t="n">
        <v>-155.88</v>
      </c>
      <c r="L5722" s="15" t="n">
        <f aca="false">YEAR(B5722)</f>
        <v>2024</v>
      </c>
      <c r="M5722" s="20" t="n">
        <f aca="false">IF(J5722&gt;0,K5722/J5722,0)</f>
        <v>-0.0856431754124751</v>
      </c>
    </row>
    <row r="5723" customFormat="false" ht="15" hidden="false" customHeight="false" outlineLevel="0" collapsed="false">
      <c r="A5723" s="15" t="s">
        <v>5780</v>
      </c>
      <c r="B5723" s="16" t="n">
        <v>45884</v>
      </c>
      <c r="C5723" s="15" t="s">
        <v>56</v>
      </c>
      <c r="D5723" s="15" t="s">
        <v>43</v>
      </c>
      <c r="E5723" s="15" t="s">
        <v>36</v>
      </c>
      <c r="F5723" s="15" t="s">
        <v>17</v>
      </c>
      <c r="G5723" s="15" t="s">
        <v>28</v>
      </c>
      <c r="H5723" s="15" t="n">
        <v>4</v>
      </c>
      <c r="I5723" s="17" t="n">
        <v>0.4</v>
      </c>
      <c r="J5723" s="18" t="n">
        <v>60.24</v>
      </c>
      <c r="K5723" s="19" t="n">
        <v>-4.37</v>
      </c>
      <c r="L5723" s="15" t="n">
        <f aca="false">YEAR(B5723)</f>
        <v>2025</v>
      </c>
      <c r="M5723" s="20" t="n">
        <f aca="false">IF(J5723&gt;0,K5723/J5723,0)</f>
        <v>-0.0725431606905711</v>
      </c>
    </row>
    <row r="5724" customFormat="false" ht="15" hidden="false" customHeight="false" outlineLevel="0" collapsed="false">
      <c r="A5724" s="15" t="s">
        <v>5781</v>
      </c>
      <c r="B5724" s="16" t="n">
        <v>45464</v>
      </c>
      <c r="C5724" s="15" t="s">
        <v>56</v>
      </c>
      <c r="D5724" s="15" t="s">
        <v>42</v>
      </c>
      <c r="E5724" s="15" t="s">
        <v>38</v>
      </c>
      <c r="F5724" s="15" t="s">
        <v>18</v>
      </c>
      <c r="G5724" s="15" t="s">
        <v>32</v>
      </c>
      <c r="H5724" s="15" t="n">
        <v>4</v>
      </c>
      <c r="I5724" s="17" t="n">
        <v>0</v>
      </c>
      <c r="J5724" s="18" t="n">
        <v>1859.65</v>
      </c>
      <c r="K5724" s="19" t="n">
        <v>413.68</v>
      </c>
      <c r="L5724" s="15" t="n">
        <f aca="false">YEAR(B5724)</f>
        <v>2024</v>
      </c>
      <c r="M5724" s="20" t="n">
        <f aca="false">IF(J5724&gt;0,K5724/J5724,0)</f>
        <v>0.222450461108273</v>
      </c>
    </row>
    <row r="5725" customFormat="false" ht="15" hidden="false" customHeight="false" outlineLevel="0" collapsed="false">
      <c r="A5725" s="15" t="s">
        <v>5782</v>
      </c>
      <c r="B5725" s="16" t="n">
        <v>45529</v>
      </c>
      <c r="C5725" s="15" t="s">
        <v>56</v>
      </c>
      <c r="D5725" s="15" t="s">
        <v>43</v>
      </c>
      <c r="E5725" s="15" t="s">
        <v>39</v>
      </c>
      <c r="F5725" s="15" t="s">
        <v>17</v>
      </c>
      <c r="G5725" s="15" t="s">
        <v>26</v>
      </c>
      <c r="H5725" s="15" t="n">
        <v>3</v>
      </c>
      <c r="I5725" s="17" t="n">
        <v>0.2</v>
      </c>
      <c r="J5725" s="18" t="n">
        <v>240.01</v>
      </c>
      <c r="K5725" s="19" t="n">
        <v>-16.19</v>
      </c>
      <c r="L5725" s="15" t="n">
        <f aca="false">YEAR(B5725)</f>
        <v>2024</v>
      </c>
      <c r="M5725" s="20" t="n">
        <f aca="false">IF(J5725&gt;0,K5725/J5725,0)</f>
        <v>-0.0674555226865547</v>
      </c>
    </row>
    <row r="5726" customFormat="false" ht="15" hidden="false" customHeight="false" outlineLevel="0" collapsed="false">
      <c r="A5726" s="15" t="s">
        <v>5783</v>
      </c>
      <c r="B5726" s="16" t="n">
        <v>45226</v>
      </c>
      <c r="C5726" s="15" t="s">
        <v>68</v>
      </c>
      <c r="D5726" s="15" t="s">
        <v>44</v>
      </c>
      <c r="E5726" s="15" t="s">
        <v>36</v>
      </c>
      <c r="F5726" s="15" t="s">
        <v>17</v>
      </c>
      <c r="G5726" s="15" t="s">
        <v>28</v>
      </c>
      <c r="H5726" s="15" t="n">
        <v>9</v>
      </c>
      <c r="I5726" s="17" t="n">
        <v>0</v>
      </c>
      <c r="J5726" s="18" t="n">
        <v>211.63</v>
      </c>
      <c r="K5726" s="19" t="n">
        <v>59.29</v>
      </c>
      <c r="L5726" s="15" t="n">
        <f aca="false">YEAR(B5726)</f>
        <v>2023</v>
      </c>
      <c r="M5726" s="20" t="n">
        <f aca="false">IF(J5726&gt;0,K5726/J5726,0)</f>
        <v>0.28015876766054</v>
      </c>
    </row>
    <row r="5727" customFormat="false" ht="15" hidden="false" customHeight="false" outlineLevel="0" collapsed="false">
      <c r="A5727" s="15" t="s">
        <v>5784</v>
      </c>
      <c r="B5727" s="16" t="n">
        <v>45039</v>
      </c>
      <c r="C5727" s="15" t="s">
        <v>68</v>
      </c>
      <c r="D5727" s="15" t="s">
        <v>42</v>
      </c>
      <c r="E5727" s="15" t="s">
        <v>39</v>
      </c>
      <c r="F5727" s="15" t="s">
        <v>17</v>
      </c>
      <c r="G5727" s="15" t="s">
        <v>26</v>
      </c>
      <c r="H5727" s="15" t="n">
        <v>2</v>
      </c>
      <c r="I5727" s="17" t="n">
        <v>0.3</v>
      </c>
      <c r="J5727" s="18" t="n">
        <v>100.26</v>
      </c>
      <c r="K5727" s="19" t="n">
        <v>-5.61</v>
      </c>
      <c r="L5727" s="15" t="n">
        <f aca="false">YEAR(B5727)</f>
        <v>2023</v>
      </c>
      <c r="M5727" s="20" t="n">
        <f aca="false">IF(J5727&gt;0,K5727/J5727,0)</f>
        <v>-0.0559545182525434</v>
      </c>
    </row>
    <row r="5728" customFormat="false" ht="15" hidden="false" customHeight="false" outlineLevel="0" collapsed="false">
      <c r="A5728" s="15" t="s">
        <v>5785</v>
      </c>
      <c r="B5728" s="16" t="n">
        <v>45604</v>
      </c>
      <c r="C5728" s="15" t="s">
        <v>56</v>
      </c>
      <c r="D5728" s="15" t="s">
        <v>43</v>
      </c>
      <c r="E5728" s="15" t="s">
        <v>37</v>
      </c>
      <c r="F5728" s="15" t="s">
        <v>16</v>
      </c>
      <c r="G5728" s="15" t="s">
        <v>25</v>
      </c>
      <c r="H5728" s="15" t="n">
        <v>6</v>
      </c>
      <c r="I5728" s="17" t="n">
        <v>0.2</v>
      </c>
      <c r="J5728" s="18" t="n">
        <v>1509.06</v>
      </c>
      <c r="K5728" s="19" t="n">
        <v>-75.12</v>
      </c>
      <c r="L5728" s="15" t="n">
        <f aca="false">YEAR(B5728)</f>
        <v>2024</v>
      </c>
      <c r="M5728" s="20" t="n">
        <f aca="false">IF(J5728&gt;0,K5728/J5728,0)</f>
        <v>-0.0497793328297086</v>
      </c>
    </row>
    <row r="5729" customFormat="false" ht="15" hidden="false" customHeight="false" outlineLevel="0" collapsed="false">
      <c r="A5729" s="15" t="s">
        <v>5786</v>
      </c>
      <c r="B5729" s="16" t="n">
        <v>45701</v>
      </c>
      <c r="C5729" s="15" t="s">
        <v>56</v>
      </c>
      <c r="D5729" s="15" t="s">
        <v>44</v>
      </c>
      <c r="E5729" s="15" t="s">
        <v>39</v>
      </c>
      <c r="F5729" s="15" t="s">
        <v>18</v>
      </c>
      <c r="G5729" s="15" t="s">
        <v>32</v>
      </c>
      <c r="H5729" s="15" t="n">
        <v>2</v>
      </c>
      <c r="I5729" s="17" t="n">
        <v>0</v>
      </c>
      <c r="J5729" s="18" t="n">
        <v>1032.31</v>
      </c>
      <c r="K5729" s="19" t="n">
        <v>149.04</v>
      </c>
      <c r="L5729" s="15" t="n">
        <f aca="false">YEAR(B5729)</f>
        <v>2025</v>
      </c>
      <c r="M5729" s="20" t="n">
        <f aca="false">IF(J5729&gt;0,K5729/J5729,0)</f>
        <v>0.144375236120933</v>
      </c>
    </row>
    <row r="5730" customFormat="false" ht="15" hidden="false" customHeight="false" outlineLevel="0" collapsed="false">
      <c r="A5730" s="15" t="s">
        <v>5787</v>
      </c>
      <c r="B5730" s="16" t="n">
        <v>45065</v>
      </c>
      <c r="C5730" s="15" t="s">
        <v>56</v>
      </c>
      <c r="D5730" s="15" t="s">
        <v>42</v>
      </c>
      <c r="E5730" s="15" t="s">
        <v>36</v>
      </c>
      <c r="F5730" s="15" t="s">
        <v>17</v>
      </c>
      <c r="G5730" s="15" t="s">
        <v>28</v>
      </c>
      <c r="H5730" s="15" t="n">
        <v>2</v>
      </c>
      <c r="I5730" s="17" t="n">
        <v>0</v>
      </c>
      <c r="J5730" s="18" t="n">
        <v>49.17</v>
      </c>
      <c r="K5730" s="19" t="n">
        <v>14.86</v>
      </c>
      <c r="L5730" s="15" t="n">
        <f aca="false">YEAR(B5730)</f>
        <v>2023</v>
      </c>
      <c r="M5730" s="20" t="n">
        <f aca="false">IF(J5730&gt;0,K5730/J5730,0)</f>
        <v>0.302216798861094</v>
      </c>
    </row>
    <row r="5731" customFormat="false" ht="15" hidden="false" customHeight="false" outlineLevel="0" collapsed="false">
      <c r="A5731" s="15" t="s">
        <v>5788</v>
      </c>
      <c r="B5731" s="16" t="n">
        <v>45104</v>
      </c>
      <c r="C5731" s="15" t="s">
        <v>68</v>
      </c>
      <c r="D5731" s="15" t="s">
        <v>42</v>
      </c>
      <c r="E5731" s="15" t="s">
        <v>39</v>
      </c>
      <c r="F5731" s="15" t="s">
        <v>16</v>
      </c>
      <c r="G5731" s="15" t="s">
        <v>22</v>
      </c>
      <c r="H5731" s="15" t="n">
        <v>3</v>
      </c>
      <c r="I5731" s="17" t="n">
        <v>0.05</v>
      </c>
      <c r="J5731" s="18" t="n">
        <v>1728.76</v>
      </c>
      <c r="K5731" s="19" t="n">
        <v>-228.15</v>
      </c>
      <c r="L5731" s="15" t="n">
        <f aca="false">YEAR(B5731)</f>
        <v>2023</v>
      </c>
      <c r="M5731" s="20" t="n">
        <f aca="false">IF(J5731&gt;0,K5731/J5731,0)</f>
        <v>-0.131973206228742</v>
      </c>
    </row>
    <row r="5732" customFormat="false" ht="15" hidden="false" customHeight="false" outlineLevel="0" collapsed="false">
      <c r="A5732" s="15" t="s">
        <v>5789</v>
      </c>
      <c r="B5732" s="16" t="n">
        <v>45951</v>
      </c>
      <c r="C5732" s="15" t="s">
        <v>71</v>
      </c>
      <c r="D5732" s="15" t="s">
        <v>44</v>
      </c>
      <c r="E5732" s="15" t="s">
        <v>38</v>
      </c>
      <c r="F5732" s="15" t="s">
        <v>18</v>
      </c>
      <c r="G5732" s="15" t="s">
        <v>32</v>
      </c>
      <c r="H5732" s="15" t="n">
        <v>6</v>
      </c>
      <c r="I5732" s="17" t="n">
        <v>0</v>
      </c>
      <c r="J5732" s="18" t="n">
        <v>2028.44</v>
      </c>
      <c r="K5732" s="19" t="n">
        <v>309.62</v>
      </c>
      <c r="L5732" s="15" t="n">
        <f aca="false">YEAR(B5732)</f>
        <v>2025</v>
      </c>
      <c r="M5732" s="20" t="n">
        <f aca="false">IF(J5732&gt;0,K5732/J5732,0)</f>
        <v>0.152639466782355</v>
      </c>
    </row>
    <row r="5733" customFormat="false" ht="15" hidden="false" customHeight="false" outlineLevel="0" collapsed="false">
      <c r="A5733" s="15" t="s">
        <v>5790</v>
      </c>
      <c r="B5733" s="16" t="n">
        <v>45849</v>
      </c>
      <c r="C5733" s="15" t="s">
        <v>58</v>
      </c>
      <c r="D5733" s="15" t="s">
        <v>43</v>
      </c>
      <c r="E5733" s="15" t="s">
        <v>37</v>
      </c>
      <c r="F5733" s="15" t="s">
        <v>16</v>
      </c>
      <c r="G5733" s="15" t="s">
        <v>27</v>
      </c>
      <c r="H5733" s="15" t="n">
        <v>4</v>
      </c>
      <c r="I5733" s="17" t="n">
        <v>0.5</v>
      </c>
      <c r="J5733" s="18" t="n">
        <v>134.92</v>
      </c>
      <c r="K5733" s="19" t="n">
        <v>-35.65</v>
      </c>
      <c r="L5733" s="15" t="n">
        <f aca="false">YEAR(B5733)</f>
        <v>2025</v>
      </c>
      <c r="M5733" s="20" t="n">
        <f aca="false">IF(J5733&gt;0,K5733/J5733,0)</f>
        <v>-0.264230655203083</v>
      </c>
    </row>
    <row r="5734" customFormat="false" ht="15" hidden="false" customHeight="false" outlineLevel="0" collapsed="false">
      <c r="A5734" s="15" t="s">
        <v>5791</v>
      </c>
      <c r="B5734" s="16" t="n">
        <v>44824</v>
      </c>
      <c r="C5734" s="15" t="s">
        <v>56</v>
      </c>
      <c r="D5734" s="15" t="s">
        <v>42</v>
      </c>
      <c r="E5734" s="15" t="s">
        <v>36</v>
      </c>
      <c r="F5734" s="15" t="s">
        <v>18</v>
      </c>
      <c r="G5734" s="15" t="s">
        <v>30</v>
      </c>
      <c r="H5734" s="15" t="n">
        <v>4</v>
      </c>
      <c r="I5734" s="17" t="n">
        <v>0.1</v>
      </c>
      <c r="J5734" s="18" t="n">
        <v>153.71</v>
      </c>
      <c r="K5734" s="19" t="n">
        <v>35.78</v>
      </c>
      <c r="L5734" s="15" t="n">
        <f aca="false">YEAR(B5734)</f>
        <v>2022</v>
      </c>
      <c r="M5734" s="20" t="n">
        <f aca="false">IF(J5734&gt;0,K5734/J5734,0)</f>
        <v>0.232776006765988</v>
      </c>
    </row>
    <row r="5735" customFormat="false" ht="15" hidden="false" customHeight="false" outlineLevel="0" collapsed="false">
      <c r="A5735" s="15" t="s">
        <v>5792</v>
      </c>
      <c r="B5735" s="16" t="n">
        <v>46004</v>
      </c>
      <c r="C5735" s="15" t="s">
        <v>56</v>
      </c>
      <c r="D5735" s="15" t="s">
        <v>42</v>
      </c>
      <c r="E5735" s="15" t="s">
        <v>37</v>
      </c>
      <c r="F5735" s="15" t="s">
        <v>17</v>
      </c>
      <c r="G5735" s="15" t="s">
        <v>26</v>
      </c>
      <c r="H5735" s="15" t="n">
        <v>4</v>
      </c>
      <c r="I5735" s="17" t="n">
        <v>0.1</v>
      </c>
      <c r="J5735" s="18" t="n">
        <v>330.18</v>
      </c>
      <c r="K5735" s="19" t="n">
        <v>11.12</v>
      </c>
      <c r="L5735" s="15" t="n">
        <f aca="false">YEAR(B5735)</f>
        <v>2025</v>
      </c>
      <c r="M5735" s="20" t="n">
        <f aca="false">IF(J5735&gt;0,K5735/J5735,0)</f>
        <v>0.0336785995517596</v>
      </c>
    </row>
    <row r="5736" customFormat="false" ht="15" hidden="false" customHeight="false" outlineLevel="0" collapsed="false">
      <c r="A5736" s="15" t="s">
        <v>5793</v>
      </c>
      <c r="B5736" s="16" t="n">
        <v>45603</v>
      </c>
      <c r="C5736" s="15" t="s">
        <v>56</v>
      </c>
      <c r="D5736" s="15" t="s">
        <v>43</v>
      </c>
      <c r="E5736" s="15" t="s">
        <v>38</v>
      </c>
      <c r="F5736" s="15" t="s">
        <v>16</v>
      </c>
      <c r="G5736" s="15" t="s">
        <v>22</v>
      </c>
      <c r="H5736" s="15" t="n">
        <v>2</v>
      </c>
      <c r="I5736" s="17" t="n">
        <v>0.05</v>
      </c>
      <c r="J5736" s="18" t="n">
        <v>1077.98</v>
      </c>
      <c r="K5736" s="19" t="n">
        <v>-77.64</v>
      </c>
      <c r="L5736" s="15" t="n">
        <f aca="false">YEAR(B5736)</f>
        <v>2024</v>
      </c>
      <c r="M5736" s="20" t="n">
        <f aca="false">IF(J5736&gt;0,K5736/J5736,0)</f>
        <v>-0.0720235996957272</v>
      </c>
    </row>
    <row r="5737" customFormat="false" ht="15" hidden="false" customHeight="false" outlineLevel="0" collapsed="false">
      <c r="A5737" s="15" t="s">
        <v>5794</v>
      </c>
      <c r="B5737" s="16" t="n">
        <v>45993</v>
      </c>
      <c r="C5737" s="15" t="s">
        <v>56</v>
      </c>
      <c r="D5737" s="15" t="s">
        <v>42</v>
      </c>
      <c r="E5737" s="15" t="s">
        <v>36</v>
      </c>
      <c r="F5737" s="15" t="s">
        <v>17</v>
      </c>
      <c r="G5737" s="15" t="s">
        <v>31</v>
      </c>
      <c r="H5737" s="15" t="n">
        <v>3</v>
      </c>
      <c r="I5737" s="17" t="n">
        <v>0.4</v>
      </c>
      <c r="J5737" s="18" t="n">
        <v>212.02</v>
      </c>
      <c r="K5737" s="19" t="n">
        <v>-31.65</v>
      </c>
      <c r="L5737" s="15" t="n">
        <f aca="false">YEAR(B5737)</f>
        <v>2025</v>
      </c>
      <c r="M5737" s="20" t="n">
        <f aca="false">IF(J5737&gt;0,K5737/J5737,0)</f>
        <v>-0.149278369965098</v>
      </c>
    </row>
    <row r="5738" customFormat="false" ht="15" hidden="false" customHeight="false" outlineLevel="0" collapsed="false">
      <c r="A5738" s="15" t="s">
        <v>5795</v>
      </c>
      <c r="B5738" s="16" t="n">
        <v>45956</v>
      </c>
      <c r="C5738" s="15" t="s">
        <v>71</v>
      </c>
      <c r="D5738" s="15" t="s">
        <v>42</v>
      </c>
      <c r="E5738" s="15" t="s">
        <v>36</v>
      </c>
      <c r="F5738" s="15" t="s">
        <v>18</v>
      </c>
      <c r="G5738" s="15" t="s">
        <v>32</v>
      </c>
      <c r="H5738" s="15" t="n">
        <v>3</v>
      </c>
      <c r="I5738" s="17" t="n">
        <v>0.05</v>
      </c>
      <c r="J5738" s="18" t="n">
        <v>1235.15</v>
      </c>
      <c r="K5738" s="19" t="n">
        <v>105.34</v>
      </c>
      <c r="L5738" s="15" t="n">
        <f aca="false">YEAR(B5738)</f>
        <v>2025</v>
      </c>
      <c r="M5738" s="20" t="n">
        <f aca="false">IF(J5738&gt;0,K5738/J5738,0)</f>
        <v>0.085285188033842</v>
      </c>
    </row>
    <row r="5739" customFormat="false" ht="15" hidden="false" customHeight="false" outlineLevel="0" collapsed="false">
      <c r="A5739" s="15" t="s">
        <v>5796</v>
      </c>
      <c r="B5739" s="16" t="n">
        <v>45432</v>
      </c>
      <c r="C5739" s="15" t="s">
        <v>56</v>
      </c>
      <c r="D5739" s="15" t="s">
        <v>42</v>
      </c>
      <c r="E5739" s="15" t="s">
        <v>39</v>
      </c>
      <c r="F5739" s="15" t="s">
        <v>18</v>
      </c>
      <c r="G5739" s="15" t="s">
        <v>32</v>
      </c>
      <c r="H5739" s="15" t="n">
        <v>3</v>
      </c>
      <c r="I5739" s="17" t="n">
        <v>0.5</v>
      </c>
      <c r="J5739" s="18" t="n">
        <v>854.48</v>
      </c>
      <c r="K5739" s="19" t="n">
        <v>-268.58</v>
      </c>
      <c r="L5739" s="15" t="n">
        <f aca="false">YEAR(B5739)</f>
        <v>2024</v>
      </c>
      <c r="M5739" s="20" t="n">
        <f aca="false">IF(J5739&gt;0,K5739/J5739,0)</f>
        <v>-0.31431982024155</v>
      </c>
    </row>
    <row r="5740" customFormat="false" ht="15" hidden="false" customHeight="false" outlineLevel="0" collapsed="false">
      <c r="A5740" s="15" t="s">
        <v>5797</v>
      </c>
      <c r="B5740" s="16" t="n">
        <v>45549</v>
      </c>
      <c r="C5740" s="15" t="s">
        <v>56</v>
      </c>
      <c r="D5740" s="15" t="s">
        <v>42</v>
      </c>
      <c r="E5740" s="15" t="s">
        <v>39</v>
      </c>
      <c r="F5740" s="15" t="s">
        <v>16</v>
      </c>
      <c r="G5740" s="15" t="s">
        <v>25</v>
      </c>
      <c r="H5740" s="15" t="n">
        <v>7</v>
      </c>
      <c r="I5740" s="17" t="n">
        <v>0</v>
      </c>
      <c r="J5740" s="18" t="n">
        <v>2755.6</v>
      </c>
      <c r="K5740" s="19" t="n">
        <v>95.97</v>
      </c>
      <c r="L5740" s="15" t="n">
        <f aca="false">YEAR(B5740)</f>
        <v>2024</v>
      </c>
      <c r="M5740" s="20" t="n">
        <f aca="false">IF(J5740&gt;0,K5740/J5740,0)</f>
        <v>0.0348272608506314</v>
      </c>
    </row>
    <row r="5741" customFormat="false" ht="15" hidden="false" customHeight="false" outlineLevel="0" collapsed="false">
      <c r="A5741" s="15" t="s">
        <v>5798</v>
      </c>
      <c r="B5741" s="16" t="n">
        <v>45588</v>
      </c>
      <c r="C5741" s="15" t="s">
        <v>58</v>
      </c>
      <c r="D5741" s="15" t="s">
        <v>44</v>
      </c>
      <c r="E5741" s="15" t="s">
        <v>38</v>
      </c>
      <c r="F5741" s="15" t="s">
        <v>17</v>
      </c>
      <c r="G5741" s="15" t="s">
        <v>26</v>
      </c>
      <c r="H5741" s="15" t="n">
        <v>6</v>
      </c>
      <c r="I5741" s="17" t="n">
        <v>0</v>
      </c>
      <c r="J5741" s="18" t="n">
        <v>503.66</v>
      </c>
      <c r="K5741" s="19" t="n">
        <v>105.93</v>
      </c>
      <c r="L5741" s="15" t="n">
        <f aca="false">YEAR(B5741)</f>
        <v>2024</v>
      </c>
      <c r="M5741" s="20" t="n">
        <f aca="false">IF(J5741&gt;0,K5741/J5741,0)</f>
        <v>0.210320454274709</v>
      </c>
    </row>
    <row r="5742" customFormat="false" ht="15" hidden="false" customHeight="false" outlineLevel="0" collapsed="false">
      <c r="A5742" s="15" t="s">
        <v>5799</v>
      </c>
      <c r="B5742" s="16" t="n">
        <v>45630</v>
      </c>
      <c r="C5742" s="15" t="s">
        <v>56</v>
      </c>
      <c r="D5742" s="15" t="s">
        <v>43</v>
      </c>
      <c r="E5742" s="15" t="s">
        <v>39</v>
      </c>
      <c r="F5742" s="15" t="s">
        <v>16</v>
      </c>
      <c r="G5742" s="15" t="s">
        <v>27</v>
      </c>
      <c r="H5742" s="15" t="n">
        <v>6</v>
      </c>
      <c r="I5742" s="17" t="n">
        <v>0</v>
      </c>
      <c r="J5742" s="18" t="n">
        <v>380.9</v>
      </c>
      <c r="K5742" s="19" t="n">
        <v>93.45</v>
      </c>
      <c r="L5742" s="15" t="n">
        <f aca="false">YEAR(B5742)</f>
        <v>2024</v>
      </c>
      <c r="M5742" s="20" t="n">
        <f aca="false">IF(J5742&gt;0,K5742/J5742,0)</f>
        <v>0.245339984247834</v>
      </c>
    </row>
    <row r="5743" customFormat="false" ht="15" hidden="false" customHeight="false" outlineLevel="0" collapsed="false">
      <c r="A5743" s="15" t="s">
        <v>5800</v>
      </c>
      <c r="B5743" s="16" t="n">
        <v>45269</v>
      </c>
      <c r="C5743" s="15" t="s">
        <v>56</v>
      </c>
      <c r="D5743" s="15" t="s">
        <v>43</v>
      </c>
      <c r="E5743" s="15" t="s">
        <v>38</v>
      </c>
      <c r="F5743" s="15" t="s">
        <v>16</v>
      </c>
      <c r="G5743" s="15" t="s">
        <v>25</v>
      </c>
      <c r="H5743" s="15" t="n">
        <v>2</v>
      </c>
      <c r="I5743" s="17" t="n">
        <v>0</v>
      </c>
      <c r="J5743" s="18" t="n">
        <v>509.53</v>
      </c>
      <c r="K5743" s="19" t="n">
        <v>57.51</v>
      </c>
      <c r="L5743" s="15" t="n">
        <f aca="false">YEAR(B5743)</f>
        <v>2023</v>
      </c>
      <c r="M5743" s="20" t="n">
        <f aca="false">IF(J5743&gt;0,K5743/J5743,0)</f>
        <v>0.112868722155712</v>
      </c>
    </row>
    <row r="5744" customFormat="false" ht="15" hidden="false" customHeight="false" outlineLevel="0" collapsed="false">
      <c r="A5744" s="15" t="s">
        <v>5801</v>
      </c>
      <c r="B5744" s="16" t="n">
        <v>45012</v>
      </c>
      <c r="C5744" s="15" t="s">
        <v>58</v>
      </c>
      <c r="D5744" s="15" t="s">
        <v>42</v>
      </c>
      <c r="E5744" s="15" t="s">
        <v>39</v>
      </c>
      <c r="F5744" s="15" t="s">
        <v>16</v>
      </c>
      <c r="G5744" s="15" t="s">
        <v>23</v>
      </c>
      <c r="H5744" s="15" t="n">
        <v>4</v>
      </c>
      <c r="I5744" s="17" t="n">
        <v>0.1</v>
      </c>
      <c r="J5744" s="18" t="n">
        <v>1084.42</v>
      </c>
      <c r="K5744" s="19" t="n">
        <v>-63.47</v>
      </c>
      <c r="L5744" s="15" t="n">
        <f aca="false">YEAR(B5744)</f>
        <v>2023</v>
      </c>
      <c r="M5744" s="20" t="n">
        <f aca="false">IF(J5744&gt;0,K5744/J5744,0)</f>
        <v>-0.0585289832352778</v>
      </c>
    </row>
    <row r="5745" customFormat="false" ht="15" hidden="false" customHeight="false" outlineLevel="0" collapsed="false">
      <c r="A5745" s="15" t="s">
        <v>5802</v>
      </c>
      <c r="B5745" s="16" t="n">
        <v>45487</v>
      </c>
      <c r="C5745" s="15" t="s">
        <v>56</v>
      </c>
      <c r="D5745" s="15" t="s">
        <v>42</v>
      </c>
      <c r="E5745" s="15" t="s">
        <v>38</v>
      </c>
      <c r="F5745" s="15" t="s">
        <v>16</v>
      </c>
      <c r="G5745" s="15" t="s">
        <v>27</v>
      </c>
      <c r="H5745" s="15" t="n">
        <v>2</v>
      </c>
      <c r="I5745" s="17" t="n">
        <v>0.3</v>
      </c>
      <c r="J5745" s="18" t="n">
        <v>65.65</v>
      </c>
      <c r="K5745" s="19" t="n">
        <v>-4.52</v>
      </c>
      <c r="L5745" s="15" t="n">
        <f aca="false">YEAR(B5745)</f>
        <v>2024</v>
      </c>
      <c r="M5745" s="20" t="n">
        <f aca="false">IF(J5745&gt;0,K5745/J5745,0)</f>
        <v>-0.0688499619192688</v>
      </c>
    </row>
    <row r="5746" customFormat="false" ht="15" hidden="false" customHeight="false" outlineLevel="0" collapsed="false">
      <c r="A5746" s="15" t="s">
        <v>5803</v>
      </c>
      <c r="B5746" s="16" t="n">
        <v>45033</v>
      </c>
      <c r="C5746" s="15" t="s">
        <v>71</v>
      </c>
      <c r="D5746" s="15" t="s">
        <v>43</v>
      </c>
      <c r="E5746" s="15" t="s">
        <v>39</v>
      </c>
      <c r="F5746" s="15" t="s">
        <v>17</v>
      </c>
      <c r="G5746" s="15" t="s">
        <v>31</v>
      </c>
      <c r="H5746" s="15" t="n">
        <v>2</v>
      </c>
      <c r="I5746" s="17" t="n">
        <v>0.2</v>
      </c>
      <c r="J5746" s="18" t="n">
        <v>238.21</v>
      </c>
      <c r="K5746" s="19" t="n">
        <v>3.57</v>
      </c>
      <c r="L5746" s="15" t="n">
        <f aca="false">YEAR(B5746)</f>
        <v>2023</v>
      </c>
      <c r="M5746" s="20" t="n">
        <f aca="false">IF(J5746&gt;0,K5746/J5746,0)</f>
        <v>0.0149867763737878</v>
      </c>
    </row>
    <row r="5747" customFormat="false" ht="15" hidden="false" customHeight="false" outlineLevel="0" collapsed="false">
      <c r="A5747" s="15" t="s">
        <v>5804</v>
      </c>
      <c r="B5747" s="16" t="n">
        <v>45539</v>
      </c>
      <c r="C5747" s="15" t="s">
        <v>56</v>
      </c>
      <c r="D5747" s="15" t="s">
        <v>44</v>
      </c>
      <c r="E5747" s="15" t="s">
        <v>39</v>
      </c>
      <c r="F5747" s="15" t="s">
        <v>17</v>
      </c>
      <c r="G5747" s="15" t="s">
        <v>29</v>
      </c>
      <c r="H5747" s="15" t="n">
        <v>3</v>
      </c>
      <c r="I5747" s="17" t="n">
        <v>0</v>
      </c>
      <c r="J5747" s="18" t="n">
        <v>56.58</v>
      </c>
      <c r="K5747" s="19" t="n">
        <v>26.36</v>
      </c>
      <c r="L5747" s="15" t="n">
        <f aca="false">YEAR(B5747)</f>
        <v>2024</v>
      </c>
      <c r="M5747" s="20" t="n">
        <f aca="false">IF(J5747&gt;0,K5747/J5747,0)</f>
        <v>0.465889006716154</v>
      </c>
    </row>
    <row r="5748" customFormat="false" ht="15" hidden="false" customHeight="false" outlineLevel="0" collapsed="false">
      <c r="A5748" s="15" t="s">
        <v>5805</v>
      </c>
      <c r="B5748" s="16" t="n">
        <v>45927</v>
      </c>
      <c r="C5748" s="15" t="s">
        <v>71</v>
      </c>
      <c r="D5748" s="15" t="s">
        <v>42</v>
      </c>
      <c r="E5748" s="15" t="s">
        <v>39</v>
      </c>
      <c r="F5748" s="15" t="s">
        <v>16</v>
      </c>
      <c r="G5748" s="15" t="s">
        <v>25</v>
      </c>
      <c r="H5748" s="15" t="n">
        <v>5</v>
      </c>
      <c r="I5748" s="17" t="n">
        <v>0</v>
      </c>
      <c r="J5748" s="18" t="n">
        <v>1322.01</v>
      </c>
      <c r="K5748" s="19" t="n">
        <v>106.03</v>
      </c>
      <c r="L5748" s="15" t="n">
        <f aca="false">YEAR(B5748)</f>
        <v>2025</v>
      </c>
      <c r="M5748" s="20" t="n">
        <f aca="false">IF(J5748&gt;0,K5748/J5748,0)</f>
        <v>0.0802036293220172</v>
      </c>
    </row>
    <row r="5749" customFormat="false" ht="15" hidden="false" customHeight="false" outlineLevel="0" collapsed="false">
      <c r="A5749" s="15" t="s">
        <v>5806</v>
      </c>
      <c r="B5749" s="16" t="n">
        <v>45688</v>
      </c>
      <c r="C5749" s="15" t="s">
        <v>56</v>
      </c>
      <c r="D5749" s="15" t="s">
        <v>42</v>
      </c>
      <c r="E5749" s="15" t="s">
        <v>37</v>
      </c>
      <c r="F5749" s="15" t="s">
        <v>18</v>
      </c>
      <c r="G5749" s="15" t="s">
        <v>32</v>
      </c>
      <c r="H5749" s="15" t="n">
        <v>3</v>
      </c>
      <c r="I5749" s="17" t="n">
        <v>0.15</v>
      </c>
      <c r="J5749" s="18" t="n">
        <v>1092.7</v>
      </c>
      <c r="K5749" s="19" t="n">
        <v>61.85</v>
      </c>
      <c r="L5749" s="15" t="n">
        <f aca="false">YEAR(B5749)</f>
        <v>2025</v>
      </c>
      <c r="M5749" s="20" t="n">
        <f aca="false">IF(J5749&gt;0,K5749/J5749,0)</f>
        <v>0.0566029102223849</v>
      </c>
    </row>
    <row r="5750" customFormat="false" ht="15" hidden="false" customHeight="false" outlineLevel="0" collapsed="false">
      <c r="A5750" s="15" t="s">
        <v>5807</v>
      </c>
      <c r="B5750" s="16" t="n">
        <v>45967</v>
      </c>
      <c r="C5750" s="15" t="s">
        <v>68</v>
      </c>
      <c r="D5750" s="15" t="s">
        <v>44</v>
      </c>
      <c r="E5750" s="15" t="s">
        <v>38</v>
      </c>
      <c r="F5750" s="15" t="s">
        <v>18</v>
      </c>
      <c r="G5750" s="15" t="s">
        <v>30</v>
      </c>
      <c r="H5750" s="15" t="n">
        <v>3</v>
      </c>
      <c r="I5750" s="17" t="n">
        <v>0</v>
      </c>
      <c r="J5750" s="18" t="n">
        <v>111.34</v>
      </c>
      <c r="K5750" s="19" t="n">
        <v>28.17</v>
      </c>
      <c r="L5750" s="15" t="n">
        <f aca="false">YEAR(B5750)</f>
        <v>2025</v>
      </c>
      <c r="M5750" s="20" t="n">
        <f aca="false">IF(J5750&gt;0,K5750/J5750,0)</f>
        <v>0.253008801868152</v>
      </c>
    </row>
    <row r="5751" customFormat="false" ht="15" hidden="false" customHeight="false" outlineLevel="0" collapsed="false">
      <c r="A5751" s="15" t="s">
        <v>5808</v>
      </c>
      <c r="B5751" s="16" t="n">
        <v>45311</v>
      </c>
      <c r="C5751" s="15" t="s">
        <v>56</v>
      </c>
      <c r="D5751" s="15" t="s">
        <v>43</v>
      </c>
      <c r="E5751" s="15" t="s">
        <v>39</v>
      </c>
      <c r="F5751" s="15" t="s">
        <v>17</v>
      </c>
      <c r="G5751" s="15" t="s">
        <v>26</v>
      </c>
      <c r="H5751" s="15" t="n">
        <v>4</v>
      </c>
      <c r="I5751" s="17" t="n">
        <v>0.3</v>
      </c>
      <c r="J5751" s="18" t="n">
        <v>299.16</v>
      </c>
      <c r="K5751" s="19" t="n">
        <v>-48.53</v>
      </c>
      <c r="L5751" s="15" t="n">
        <f aca="false">YEAR(B5751)</f>
        <v>2024</v>
      </c>
      <c r="M5751" s="20" t="n">
        <f aca="false">IF(J5751&gt;0,K5751/J5751,0)</f>
        <v>-0.162220885145073</v>
      </c>
    </row>
    <row r="5752" customFormat="false" ht="15" hidden="false" customHeight="false" outlineLevel="0" collapsed="false">
      <c r="A5752" s="15" t="s">
        <v>5809</v>
      </c>
      <c r="B5752" s="16" t="n">
        <v>44956</v>
      </c>
      <c r="C5752" s="15" t="s">
        <v>56</v>
      </c>
      <c r="D5752" s="15" t="s">
        <v>43</v>
      </c>
      <c r="E5752" s="15" t="s">
        <v>39</v>
      </c>
      <c r="F5752" s="15" t="s">
        <v>17</v>
      </c>
      <c r="G5752" s="15" t="s">
        <v>31</v>
      </c>
      <c r="H5752" s="15" t="n">
        <v>4</v>
      </c>
      <c r="I5752" s="17" t="n">
        <v>0</v>
      </c>
      <c r="J5752" s="18" t="n">
        <v>528.51</v>
      </c>
      <c r="K5752" s="19" t="n">
        <v>96.88</v>
      </c>
      <c r="L5752" s="15" t="n">
        <f aca="false">YEAR(B5752)</f>
        <v>2023</v>
      </c>
      <c r="M5752" s="20" t="n">
        <f aca="false">IF(J5752&gt;0,K5752/J5752,0)</f>
        <v>0.183307789824223</v>
      </c>
    </row>
    <row r="5753" customFormat="false" ht="15" hidden="false" customHeight="false" outlineLevel="0" collapsed="false">
      <c r="A5753" s="15" t="s">
        <v>5810</v>
      </c>
      <c r="B5753" s="16" t="n">
        <v>45917</v>
      </c>
      <c r="C5753" s="15" t="s">
        <v>58</v>
      </c>
      <c r="D5753" s="15" t="s">
        <v>42</v>
      </c>
      <c r="E5753" s="15" t="s">
        <v>37</v>
      </c>
      <c r="F5753" s="15" t="s">
        <v>17</v>
      </c>
      <c r="G5753" s="15" t="s">
        <v>29</v>
      </c>
      <c r="H5753" s="15" t="n">
        <v>2</v>
      </c>
      <c r="I5753" s="17" t="n">
        <v>0</v>
      </c>
      <c r="J5753" s="18" t="n">
        <v>29.73</v>
      </c>
      <c r="K5753" s="19" t="n">
        <v>8.19</v>
      </c>
      <c r="L5753" s="15" t="n">
        <f aca="false">YEAR(B5753)</f>
        <v>2025</v>
      </c>
      <c r="M5753" s="20" t="n">
        <f aca="false">IF(J5753&gt;0,K5753/J5753,0)</f>
        <v>0.27547931382442</v>
      </c>
    </row>
    <row r="5754" customFormat="false" ht="15" hidden="false" customHeight="false" outlineLevel="0" collapsed="false">
      <c r="A5754" s="15" t="s">
        <v>5811</v>
      </c>
      <c r="B5754" s="16" t="n">
        <v>45876</v>
      </c>
      <c r="C5754" s="15" t="s">
        <v>56</v>
      </c>
      <c r="D5754" s="15" t="s">
        <v>42</v>
      </c>
      <c r="E5754" s="15" t="s">
        <v>39</v>
      </c>
      <c r="F5754" s="15" t="s">
        <v>16</v>
      </c>
      <c r="G5754" s="15" t="s">
        <v>27</v>
      </c>
      <c r="H5754" s="15" t="n">
        <v>5</v>
      </c>
      <c r="I5754" s="17" t="n">
        <v>0.2</v>
      </c>
      <c r="J5754" s="18" t="n">
        <v>244.33</v>
      </c>
      <c r="K5754" s="19" t="n">
        <v>5.88</v>
      </c>
      <c r="L5754" s="15" t="n">
        <f aca="false">YEAR(B5754)</f>
        <v>2025</v>
      </c>
      <c r="M5754" s="20" t="n">
        <f aca="false">IF(J5754&gt;0,K5754/J5754,0)</f>
        <v>0.0240658126304588</v>
      </c>
    </row>
    <row r="5755" customFormat="false" ht="15" hidden="false" customHeight="false" outlineLevel="0" collapsed="false">
      <c r="A5755" s="15" t="s">
        <v>5812</v>
      </c>
      <c r="B5755" s="16" t="n">
        <v>45990</v>
      </c>
      <c r="C5755" s="15" t="s">
        <v>56</v>
      </c>
      <c r="D5755" s="15" t="s">
        <v>42</v>
      </c>
      <c r="E5755" s="15" t="s">
        <v>37</v>
      </c>
      <c r="F5755" s="15" t="s">
        <v>18</v>
      </c>
      <c r="G5755" s="15" t="s">
        <v>33</v>
      </c>
      <c r="H5755" s="15" t="n">
        <v>1</v>
      </c>
      <c r="I5755" s="17" t="n">
        <v>0</v>
      </c>
      <c r="J5755" s="18" t="n">
        <v>803.77</v>
      </c>
      <c r="K5755" s="19" t="n">
        <v>221.01</v>
      </c>
      <c r="L5755" s="15" t="n">
        <f aca="false">YEAR(B5755)</f>
        <v>2025</v>
      </c>
      <c r="M5755" s="20" t="n">
        <f aca="false">IF(J5755&gt;0,K5755/J5755,0)</f>
        <v>0.274966719335133</v>
      </c>
    </row>
    <row r="5756" customFormat="false" ht="15" hidden="false" customHeight="false" outlineLevel="0" collapsed="false">
      <c r="A5756" s="15" t="s">
        <v>5813</v>
      </c>
      <c r="B5756" s="16" t="n">
        <v>45367</v>
      </c>
      <c r="C5756" s="15" t="s">
        <v>56</v>
      </c>
      <c r="D5756" s="15" t="s">
        <v>44</v>
      </c>
      <c r="E5756" s="15" t="s">
        <v>39</v>
      </c>
      <c r="F5756" s="15" t="s">
        <v>16</v>
      </c>
      <c r="G5756" s="15" t="s">
        <v>25</v>
      </c>
      <c r="H5756" s="15" t="n">
        <v>1</v>
      </c>
      <c r="I5756" s="17" t="n">
        <v>0</v>
      </c>
      <c r="J5756" s="18" t="n">
        <v>304.51</v>
      </c>
      <c r="K5756" s="19" t="n">
        <v>7.79</v>
      </c>
      <c r="L5756" s="15" t="n">
        <f aca="false">YEAR(B5756)</f>
        <v>2024</v>
      </c>
      <c r="M5756" s="20" t="n">
        <f aca="false">IF(J5756&gt;0,K5756/J5756,0)</f>
        <v>0.0255820826902236</v>
      </c>
    </row>
    <row r="5757" customFormat="false" ht="15" hidden="false" customHeight="false" outlineLevel="0" collapsed="false">
      <c r="A5757" s="15" t="s">
        <v>5814</v>
      </c>
      <c r="B5757" s="16" t="n">
        <v>44670</v>
      </c>
      <c r="C5757" s="15" t="s">
        <v>58</v>
      </c>
      <c r="D5757" s="15" t="s">
        <v>43</v>
      </c>
      <c r="E5757" s="15" t="s">
        <v>37</v>
      </c>
      <c r="F5757" s="15" t="s">
        <v>18</v>
      </c>
      <c r="G5757" s="15" t="s">
        <v>33</v>
      </c>
      <c r="H5757" s="15" t="n">
        <v>3</v>
      </c>
      <c r="I5757" s="17" t="n">
        <v>0</v>
      </c>
      <c r="J5757" s="18" t="n">
        <v>3273.02</v>
      </c>
      <c r="K5757" s="19" t="n">
        <v>623.43</v>
      </c>
      <c r="L5757" s="15" t="n">
        <f aca="false">YEAR(B5757)</f>
        <v>2022</v>
      </c>
      <c r="M5757" s="20" t="n">
        <f aca="false">IF(J5757&gt;0,K5757/J5757,0)</f>
        <v>0.190475463028029</v>
      </c>
    </row>
    <row r="5758" customFormat="false" ht="15" hidden="false" customHeight="false" outlineLevel="0" collapsed="false">
      <c r="A5758" s="15" t="s">
        <v>5815</v>
      </c>
      <c r="B5758" s="16" t="n">
        <v>44638</v>
      </c>
      <c r="C5758" s="15" t="s">
        <v>56</v>
      </c>
      <c r="D5758" s="15" t="s">
        <v>42</v>
      </c>
      <c r="E5758" s="15" t="s">
        <v>39</v>
      </c>
      <c r="F5758" s="15" t="s">
        <v>17</v>
      </c>
      <c r="G5758" s="15" t="s">
        <v>31</v>
      </c>
      <c r="H5758" s="15" t="n">
        <v>3</v>
      </c>
      <c r="I5758" s="17" t="n">
        <v>0</v>
      </c>
      <c r="J5758" s="18" t="n">
        <v>423.67</v>
      </c>
      <c r="K5758" s="19" t="n">
        <v>121.58</v>
      </c>
      <c r="L5758" s="15" t="n">
        <f aca="false">YEAR(B5758)</f>
        <v>2022</v>
      </c>
      <c r="M5758" s="20" t="n">
        <f aca="false">IF(J5758&gt;0,K5758/J5758,0)</f>
        <v>0.286968631246017</v>
      </c>
    </row>
    <row r="5759" customFormat="false" ht="15" hidden="false" customHeight="false" outlineLevel="0" collapsed="false">
      <c r="A5759" s="15" t="s">
        <v>5816</v>
      </c>
      <c r="B5759" s="16" t="n">
        <v>44940</v>
      </c>
      <c r="C5759" s="15" t="s">
        <v>56</v>
      </c>
      <c r="D5759" s="15" t="s">
        <v>43</v>
      </c>
      <c r="E5759" s="15" t="s">
        <v>37</v>
      </c>
      <c r="F5759" s="15" t="s">
        <v>16</v>
      </c>
      <c r="G5759" s="15" t="s">
        <v>25</v>
      </c>
      <c r="H5759" s="15" t="n">
        <v>5</v>
      </c>
      <c r="I5759" s="17" t="n">
        <v>0</v>
      </c>
      <c r="J5759" s="18" t="n">
        <v>1800.97</v>
      </c>
      <c r="K5759" s="19" t="n">
        <v>118.57</v>
      </c>
      <c r="L5759" s="15" t="n">
        <f aca="false">YEAR(B5759)</f>
        <v>2023</v>
      </c>
      <c r="M5759" s="20" t="n">
        <f aca="false">IF(J5759&gt;0,K5759/J5759,0)</f>
        <v>0.0658367435326518</v>
      </c>
    </row>
    <row r="5760" customFormat="false" ht="15" hidden="false" customHeight="false" outlineLevel="0" collapsed="false">
      <c r="A5760" s="15" t="s">
        <v>5817</v>
      </c>
      <c r="B5760" s="16" t="n">
        <v>44707</v>
      </c>
      <c r="C5760" s="15" t="s">
        <v>71</v>
      </c>
      <c r="D5760" s="15" t="s">
        <v>42</v>
      </c>
      <c r="E5760" s="15" t="s">
        <v>39</v>
      </c>
      <c r="F5760" s="15" t="s">
        <v>17</v>
      </c>
      <c r="G5760" s="15" t="s">
        <v>28</v>
      </c>
      <c r="H5760" s="15" t="n">
        <v>2</v>
      </c>
      <c r="I5760" s="17" t="n">
        <v>0.2</v>
      </c>
      <c r="J5760" s="18" t="n">
        <v>39.65</v>
      </c>
      <c r="K5760" s="19" t="n">
        <v>5.34</v>
      </c>
      <c r="L5760" s="15" t="n">
        <f aca="false">YEAR(B5760)</f>
        <v>2022</v>
      </c>
      <c r="M5760" s="20" t="n">
        <f aca="false">IF(J5760&gt;0,K5760/J5760,0)</f>
        <v>0.134678436317781</v>
      </c>
    </row>
    <row r="5761" customFormat="false" ht="15" hidden="false" customHeight="false" outlineLevel="0" collapsed="false">
      <c r="A5761" s="15" t="s">
        <v>5818</v>
      </c>
      <c r="B5761" s="16" t="n">
        <v>45884</v>
      </c>
      <c r="C5761" s="15" t="s">
        <v>68</v>
      </c>
      <c r="D5761" s="15" t="s">
        <v>44</v>
      </c>
      <c r="E5761" s="15" t="s">
        <v>39</v>
      </c>
      <c r="F5761" s="15" t="s">
        <v>18</v>
      </c>
      <c r="G5761" s="15" t="s">
        <v>32</v>
      </c>
      <c r="H5761" s="15" t="n">
        <v>5</v>
      </c>
      <c r="I5761" s="17" t="n">
        <v>0</v>
      </c>
      <c r="J5761" s="18" t="n">
        <v>2380.45</v>
      </c>
      <c r="K5761" s="19" t="n">
        <v>570.09</v>
      </c>
      <c r="L5761" s="15" t="n">
        <f aca="false">YEAR(B5761)</f>
        <v>2025</v>
      </c>
      <c r="M5761" s="20" t="n">
        <f aca="false">IF(J5761&gt;0,K5761/J5761,0)</f>
        <v>0.23948833203806</v>
      </c>
    </row>
    <row r="5762" customFormat="false" ht="15" hidden="false" customHeight="false" outlineLevel="0" collapsed="false">
      <c r="A5762" s="15" t="s">
        <v>5819</v>
      </c>
      <c r="B5762" s="16" t="n">
        <v>45283</v>
      </c>
      <c r="C5762" s="15" t="s">
        <v>68</v>
      </c>
      <c r="D5762" s="15" t="s">
        <v>42</v>
      </c>
      <c r="E5762" s="15" t="s">
        <v>37</v>
      </c>
      <c r="F5762" s="15" t="s">
        <v>17</v>
      </c>
      <c r="G5762" s="15" t="s">
        <v>26</v>
      </c>
      <c r="H5762" s="15" t="n">
        <v>3</v>
      </c>
      <c r="I5762" s="17" t="n">
        <v>0</v>
      </c>
      <c r="J5762" s="18" t="n">
        <v>212.25</v>
      </c>
      <c r="K5762" s="19" t="n">
        <v>17.81</v>
      </c>
      <c r="L5762" s="15" t="n">
        <f aca="false">YEAR(B5762)</f>
        <v>2023</v>
      </c>
      <c r="M5762" s="20" t="n">
        <f aca="false">IF(J5762&gt;0,K5762/J5762,0)</f>
        <v>0.0839104829210836</v>
      </c>
    </row>
    <row r="5763" customFormat="false" ht="15" hidden="false" customHeight="false" outlineLevel="0" collapsed="false">
      <c r="A5763" s="15" t="s">
        <v>5820</v>
      </c>
      <c r="B5763" s="16" t="n">
        <v>45573</v>
      </c>
      <c r="C5763" s="15" t="s">
        <v>56</v>
      </c>
      <c r="D5763" s="15" t="s">
        <v>42</v>
      </c>
      <c r="E5763" s="15" t="s">
        <v>36</v>
      </c>
      <c r="F5763" s="15" t="s">
        <v>17</v>
      </c>
      <c r="G5763" s="15" t="s">
        <v>28</v>
      </c>
      <c r="H5763" s="15" t="n">
        <v>4</v>
      </c>
      <c r="I5763" s="17" t="n">
        <v>0.15</v>
      </c>
      <c r="J5763" s="18" t="n">
        <v>75.18</v>
      </c>
      <c r="K5763" s="19" t="n">
        <v>16.71</v>
      </c>
      <c r="L5763" s="15" t="n">
        <f aca="false">YEAR(B5763)</f>
        <v>2024</v>
      </c>
      <c r="M5763" s="20" t="n">
        <f aca="false">IF(J5763&gt;0,K5763/J5763,0)</f>
        <v>0.222266560255387</v>
      </c>
    </row>
    <row r="5764" customFormat="false" ht="15" hidden="false" customHeight="false" outlineLevel="0" collapsed="false">
      <c r="A5764" s="15" t="s">
        <v>5821</v>
      </c>
      <c r="B5764" s="16" t="n">
        <v>45592</v>
      </c>
      <c r="C5764" s="15" t="s">
        <v>56</v>
      </c>
      <c r="D5764" s="15" t="s">
        <v>44</v>
      </c>
      <c r="E5764" s="15" t="s">
        <v>39</v>
      </c>
      <c r="F5764" s="15" t="s">
        <v>17</v>
      </c>
      <c r="G5764" s="15" t="s">
        <v>26</v>
      </c>
      <c r="H5764" s="15" t="n">
        <v>4</v>
      </c>
      <c r="I5764" s="17" t="n">
        <v>0.1</v>
      </c>
      <c r="J5764" s="18" t="n">
        <v>340.75</v>
      </c>
      <c r="K5764" s="19" t="n">
        <v>2.77</v>
      </c>
      <c r="L5764" s="15" t="n">
        <f aca="false">YEAR(B5764)</f>
        <v>2024</v>
      </c>
      <c r="M5764" s="20" t="n">
        <f aca="false">IF(J5764&gt;0,K5764/J5764,0)</f>
        <v>0.00812912692589875</v>
      </c>
    </row>
    <row r="5765" customFormat="false" ht="15" hidden="false" customHeight="false" outlineLevel="0" collapsed="false">
      <c r="A5765" s="15" t="s">
        <v>5822</v>
      </c>
      <c r="B5765" s="16" t="n">
        <v>45248</v>
      </c>
      <c r="C5765" s="15" t="s">
        <v>56</v>
      </c>
      <c r="D5765" s="15" t="s">
        <v>42</v>
      </c>
      <c r="E5765" s="15" t="s">
        <v>36</v>
      </c>
      <c r="F5765" s="15" t="s">
        <v>16</v>
      </c>
      <c r="G5765" s="15" t="s">
        <v>25</v>
      </c>
      <c r="H5765" s="15" t="n">
        <v>2</v>
      </c>
      <c r="I5765" s="17" t="n">
        <v>0.05</v>
      </c>
      <c r="J5765" s="18" t="n">
        <v>559.66</v>
      </c>
      <c r="K5765" s="19" t="n">
        <v>-17.82</v>
      </c>
      <c r="L5765" s="15" t="n">
        <f aca="false">YEAR(B5765)</f>
        <v>2023</v>
      </c>
      <c r="M5765" s="20" t="n">
        <f aca="false">IF(J5765&gt;0,K5765/J5765,0)</f>
        <v>-0.0318407604617089</v>
      </c>
    </row>
    <row r="5766" customFormat="false" ht="15" hidden="false" customHeight="false" outlineLevel="0" collapsed="false">
      <c r="A5766" s="15" t="s">
        <v>5823</v>
      </c>
      <c r="B5766" s="16" t="n">
        <v>44765</v>
      </c>
      <c r="C5766" s="15" t="s">
        <v>56</v>
      </c>
      <c r="D5766" s="15" t="s">
        <v>42</v>
      </c>
      <c r="E5766" s="15" t="s">
        <v>37</v>
      </c>
      <c r="F5766" s="15" t="s">
        <v>17</v>
      </c>
      <c r="G5766" s="15" t="s">
        <v>31</v>
      </c>
      <c r="H5766" s="15" t="n">
        <v>4</v>
      </c>
      <c r="I5766" s="17" t="n">
        <v>0.2</v>
      </c>
      <c r="J5766" s="18" t="n">
        <v>534.86</v>
      </c>
      <c r="K5766" s="19" t="n">
        <v>2.56</v>
      </c>
      <c r="L5766" s="15" t="n">
        <f aca="false">YEAR(B5766)</f>
        <v>2022</v>
      </c>
      <c r="M5766" s="20" t="n">
        <f aca="false">IF(J5766&gt;0,K5766/J5766,0)</f>
        <v>0.00478629921848708</v>
      </c>
    </row>
    <row r="5767" customFormat="false" ht="15" hidden="false" customHeight="false" outlineLevel="0" collapsed="false">
      <c r="A5767" s="15" t="s">
        <v>5824</v>
      </c>
      <c r="B5767" s="16" t="n">
        <v>45410</v>
      </c>
      <c r="C5767" s="15" t="s">
        <v>71</v>
      </c>
      <c r="D5767" s="15" t="s">
        <v>43</v>
      </c>
      <c r="E5767" s="15" t="s">
        <v>39</v>
      </c>
      <c r="F5767" s="15" t="s">
        <v>16</v>
      </c>
      <c r="G5767" s="15" t="s">
        <v>22</v>
      </c>
      <c r="H5767" s="15" t="n">
        <v>2</v>
      </c>
      <c r="I5767" s="17" t="n">
        <v>0</v>
      </c>
      <c r="J5767" s="18" t="n">
        <v>1162.39</v>
      </c>
      <c r="K5767" s="19" t="n">
        <v>-7.8</v>
      </c>
      <c r="L5767" s="15" t="n">
        <f aca="false">YEAR(B5767)</f>
        <v>2024</v>
      </c>
      <c r="M5767" s="20" t="n">
        <f aca="false">IF(J5767&gt;0,K5767/J5767,0)</f>
        <v>-0.00671031237364396</v>
      </c>
    </row>
    <row r="5768" customFormat="false" ht="15" hidden="false" customHeight="false" outlineLevel="0" collapsed="false">
      <c r="A5768" s="15" t="s">
        <v>5825</v>
      </c>
      <c r="B5768" s="16" t="n">
        <v>45623</v>
      </c>
      <c r="C5768" s="15" t="s">
        <v>56</v>
      </c>
      <c r="D5768" s="15" t="s">
        <v>44</v>
      </c>
      <c r="E5768" s="15" t="s">
        <v>36</v>
      </c>
      <c r="F5768" s="15" t="s">
        <v>17</v>
      </c>
      <c r="G5768" s="15" t="s">
        <v>29</v>
      </c>
      <c r="H5768" s="15" t="n">
        <v>2</v>
      </c>
      <c r="I5768" s="17" t="n">
        <v>0</v>
      </c>
      <c r="J5768" s="18" t="n">
        <v>31.16</v>
      </c>
      <c r="K5768" s="19" t="n">
        <v>14.72</v>
      </c>
      <c r="L5768" s="15" t="n">
        <f aca="false">YEAR(B5768)</f>
        <v>2024</v>
      </c>
      <c r="M5768" s="20" t="n">
        <f aca="false">IF(J5768&gt;0,K5768/J5768,0)</f>
        <v>0.472400513478819</v>
      </c>
    </row>
    <row r="5769" customFormat="false" ht="15" hidden="false" customHeight="false" outlineLevel="0" collapsed="false">
      <c r="A5769" s="15" t="s">
        <v>5826</v>
      </c>
      <c r="B5769" s="16" t="n">
        <v>44603</v>
      </c>
      <c r="C5769" s="15" t="s">
        <v>68</v>
      </c>
      <c r="D5769" s="15" t="s">
        <v>42</v>
      </c>
      <c r="E5769" s="15" t="s">
        <v>37</v>
      </c>
      <c r="F5769" s="15" t="s">
        <v>17</v>
      </c>
      <c r="G5769" s="15" t="s">
        <v>31</v>
      </c>
      <c r="H5769" s="15" t="n">
        <v>2</v>
      </c>
      <c r="I5769" s="17" t="n">
        <v>0.1</v>
      </c>
      <c r="J5769" s="18" t="n">
        <v>274.3</v>
      </c>
      <c r="K5769" s="19" t="n">
        <v>36.03</v>
      </c>
      <c r="L5769" s="15" t="n">
        <f aca="false">YEAR(B5769)</f>
        <v>2022</v>
      </c>
      <c r="M5769" s="20" t="n">
        <f aca="false">IF(J5769&gt;0,K5769/J5769,0)</f>
        <v>0.131352533722202</v>
      </c>
    </row>
    <row r="5770" customFormat="false" ht="15" hidden="false" customHeight="false" outlineLevel="0" collapsed="false">
      <c r="A5770" s="15" t="s">
        <v>5827</v>
      </c>
      <c r="B5770" s="16" t="n">
        <v>45932</v>
      </c>
      <c r="C5770" s="15" t="s">
        <v>56</v>
      </c>
      <c r="D5770" s="15" t="s">
        <v>43</v>
      </c>
      <c r="E5770" s="15" t="s">
        <v>38</v>
      </c>
      <c r="F5770" s="15" t="s">
        <v>18</v>
      </c>
      <c r="G5770" s="15" t="s">
        <v>30</v>
      </c>
      <c r="H5770" s="15" t="n">
        <v>2</v>
      </c>
      <c r="I5770" s="17" t="n">
        <v>0.1</v>
      </c>
      <c r="J5770" s="18" t="n">
        <v>94.92</v>
      </c>
      <c r="K5770" s="19" t="n">
        <v>19.03</v>
      </c>
      <c r="L5770" s="15" t="n">
        <f aca="false">YEAR(B5770)</f>
        <v>2025</v>
      </c>
      <c r="M5770" s="20" t="n">
        <f aca="false">IF(J5770&gt;0,K5770/J5770,0)</f>
        <v>0.200484618626212</v>
      </c>
    </row>
    <row r="5771" customFormat="false" ht="15" hidden="false" customHeight="false" outlineLevel="0" collapsed="false">
      <c r="A5771" s="15" t="s">
        <v>5828</v>
      </c>
      <c r="B5771" s="16" t="n">
        <v>44866</v>
      </c>
      <c r="C5771" s="15" t="s">
        <v>56</v>
      </c>
      <c r="D5771" s="15" t="s">
        <v>42</v>
      </c>
      <c r="E5771" s="15" t="s">
        <v>38</v>
      </c>
      <c r="F5771" s="15" t="s">
        <v>16</v>
      </c>
      <c r="G5771" s="15" t="s">
        <v>25</v>
      </c>
      <c r="H5771" s="15" t="n">
        <v>2</v>
      </c>
      <c r="I5771" s="17" t="n">
        <v>0</v>
      </c>
      <c r="J5771" s="18" t="n">
        <v>518.9</v>
      </c>
      <c r="K5771" s="19" t="n">
        <v>38.37</v>
      </c>
      <c r="L5771" s="15" t="n">
        <f aca="false">YEAR(B5771)</f>
        <v>2022</v>
      </c>
      <c r="M5771" s="20" t="n">
        <f aca="false">IF(J5771&gt;0,K5771/J5771,0)</f>
        <v>0.0739448834072076</v>
      </c>
    </row>
    <row r="5772" customFormat="false" ht="15" hidden="false" customHeight="false" outlineLevel="0" collapsed="false">
      <c r="A5772" s="15" t="s">
        <v>5829</v>
      </c>
      <c r="B5772" s="16" t="n">
        <v>45255</v>
      </c>
      <c r="C5772" s="15" t="s">
        <v>68</v>
      </c>
      <c r="D5772" s="15" t="s">
        <v>42</v>
      </c>
      <c r="E5772" s="15" t="s">
        <v>37</v>
      </c>
      <c r="F5772" s="15" t="s">
        <v>16</v>
      </c>
      <c r="G5772" s="15" t="s">
        <v>22</v>
      </c>
      <c r="H5772" s="15" t="n">
        <v>6</v>
      </c>
      <c r="I5772" s="17" t="n">
        <v>0</v>
      </c>
      <c r="J5772" s="18" t="n">
        <v>3376.53</v>
      </c>
      <c r="K5772" s="19" t="n">
        <v>-40.81</v>
      </c>
      <c r="L5772" s="15" t="n">
        <f aca="false">YEAR(B5772)</f>
        <v>2023</v>
      </c>
      <c r="M5772" s="20" t="n">
        <f aca="false">IF(J5772&gt;0,K5772/J5772,0)</f>
        <v>-0.0120863726962296</v>
      </c>
    </row>
    <row r="5773" customFormat="false" ht="15" hidden="false" customHeight="false" outlineLevel="0" collapsed="false">
      <c r="A5773" s="15" t="s">
        <v>5830</v>
      </c>
      <c r="B5773" s="16" t="n">
        <v>45870</v>
      </c>
      <c r="C5773" s="15" t="s">
        <v>56</v>
      </c>
      <c r="D5773" s="15" t="s">
        <v>42</v>
      </c>
      <c r="E5773" s="15" t="s">
        <v>39</v>
      </c>
      <c r="F5773" s="15" t="s">
        <v>16</v>
      </c>
      <c r="G5773" s="15" t="s">
        <v>25</v>
      </c>
      <c r="H5773" s="15" t="n">
        <v>3</v>
      </c>
      <c r="I5773" s="17" t="n">
        <v>0.4</v>
      </c>
      <c r="J5773" s="18" t="n">
        <v>670.62</v>
      </c>
      <c r="K5773" s="19" t="n">
        <v>-172.95</v>
      </c>
      <c r="L5773" s="15" t="n">
        <f aca="false">YEAR(B5773)</f>
        <v>2025</v>
      </c>
      <c r="M5773" s="20" t="n">
        <f aca="false">IF(J5773&gt;0,K5773/J5773,0)</f>
        <v>-0.257895678625749</v>
      </c>
    </row>
    <row r="5774" customFormat="false" ht="15" hidden="false" customHeight="false" outlineLevel="0" collapsed="false">
      <c r="A5774" s="15" t="s">
        <v>5831</v>
      </c>
      <c r="B5774" s="16" t="n">
        <v>46018</v>
      </c>
      <c r="C5774" s="15" t="s">
        <v>56</v>
      </c>
      <c r="D5774" s="15" t="s">
        <v>42</v>
      </c>
      <c r="E5774" s="15" t="s">
        <v>39</v>
      </c>
      <c r="F5774" s="15" t="s">
        <v>16</v>
      </c>
      <c r="G5774" s="15" t="s">
        <v>25</v>
      </c>
      <c r="H5774" s="15" t="n">
        <v>4</v>
      </c>
      <c r="I5774" s="17" t="n">
        <v>0</v>
      </c>
      <c r="J5774" s="18" t="n">
        <v>1102.15</v>
      </c>
      <c r="K5774" s="19" t="n">
        <v>179.82</v>
      </c>
      <c r="L5774" s="15" t="n">
        <f aca="false">YEAR(B5774)</f>
        <v>2025</v>
      </c>
      <c r="M5774" s="20" t="n">
        <f aca="false">IF(J5774&gt;0,K5774/J5774,0)</f>
        <v>0.163153835684798</v>
      </c>
    </row>
    <row r="5775" customFormat="false" ht="15" hidden="false" customHeight="false" outlineLevel="0" collapsed="false">
      <c r="A5775" s="15" t="s">
        <v>5832</v>
      </c>
      <c r="B5775" s="16" t="n">
        <v>45434</v>
      </c>
      <c r="C5775" s="15" t="s">
        <v>71</v>
      </c>
      <c r="D5775" s="15" t="s">
        <v>44</v>
      </c>
      <c r="E5775" s="15" t="s">
        <v>37</v>
      </c>
      <c r="F5775" s="15" t="s">
        <v>17</v>
      </c>
      <c r="G5775" s="15" t="s">
        <v>28</v>
      </c>
      <c r="H5775" s="15" t="n">
        <v>2</v>
      </c>
      <c r="I5775" s="17" t="n">
        <v>0.1</v>
      </c>
      <c r="J5775" s="18" t="n">
        <v>43.14</v>
      </c>
      <c r="K5775" s="19" t="n">
        <v>10.69</v>
      </c>
      <c r="L5775" s="15" t="n">
        <f aca="false">YEAR(B5775)</f>
        <v>2024</v>
      </c>
      <c r="M5775" s="20" t="n">
        <f aca="false">IF(J5775&gt;0,K5775/J5775,0)</f>
        <v>0.247797867408438</v>
      </c>
    </row>
    <row r="5776" customFormat="false" ht="15" hidden="false" customHeight="false" outlineLevel="0" collapsed="false">
      <c r="A5776" s="15" t="s">
        <v>5833</v>
      </c>
      <c r="B5776" s="16" t="n">
        <v>45271</v>
      </c>
      <c r="C5776" s="15" t="s">
        <v>68</v>
      </c>
      <c r="D5776" s="15" t="s">
        <v>44</v>
      </c>
      <c r="E5776" s="15" t="s">
        <v>37</v>
      </c>
      <c r="F5776" s="15" t="s">
        <v>17</v>
      </c>
      <c r="G5776" s="15" t="s">
        <v>31</v>
      </c>
      <c r="H5776" s="15" t="n">
        <v>1</v>
      </c>
      <c r="I5776" s="17" t="n">
        <v>0.2</v>
      </c>
      <c r="J5776" s="18" t="n">
        <v>111.26</v>
      </c>
      <c r="K5776" s="19" t="n">
        <v>7.86</v>
      </c>
      <c r="L5776" s="15" t="n">
        <f aca="false">YEAR(B5776)</f>
        <v>2023</v>
      </c>
      <c r="M5776" s="20" t="n">
        <f aca="false">IF(J5776&gt;0,K5776/J5776,0)</f>
        <v>0.070645335250764</v>
      </c>
    </row>
    <row r="5777" customFormat="false" ht="15" hidden="false" customHeight="false" outlineLevel="0" collapsed="false">
      <c r="A5777" s="15" t="s">
        <v>5834</v>
      </c>
      <c r="B5777" s="16" t="n">
        <v>44823</v>
      </c>
      <c r="C5777" s="15" t="s">
        <v>56</v>
      </c>
      <c r="D5777" s="15" t="s">
        <v>42</v>
      </c>
      <c r="E5777" s="15" t="s">
        <v>39</v>
      </c>
      <c r="F5777" s="15" t="s">
        <v>16</v>
      </c>
      <c r="G5777" s="15" t="s">
        <v>23</v>
      </c>
      <c r="H5777" s="15" t="n">
        <v>4</v>
      </c>
      <c r="I5777" s="17" t="n">
        <v>0</v>
      </c>
      <c r="J5777" s="18" t="n">
        <v>1282.24</v>
      </c>
      <c r="K5777" s="19" t="n">
        <v>26.74</v>
      </c>
      <c r="L5777" s="15" t="n">
        <f aca="false">YEAR(B5777)</f>
        <v>2022</v>
      </c>
      <c r="M5777" s="20" t="n">
        <f aca="false">IF(J5777&gt;0,K5777/J5777,0)</f>
        <v>0.020854130272024</v>
      </c>
    </row>
    <row r="5778" customFormat="false" ht="15" hidden="false" customHeight="false" outlineLevel="0" collapsed="false">
      <c r="A5778" s="15" t="s">
        <v>5835</v>
      </c>
      <c r="B5778" s="16" t="n">
        <v>45018</v>
      </c>
      <c r="C5778" s="15" t="s">
        <v>71</v>
      </c>
      <c r="D5778" s="15" t="s">
        <v>43</v>
      </c>
      <c r="E5778" s="15" t="s">
        <v>37</v>
      </c>
      <c r="F5778" s="15" t="s">
        <v>16</v>
      </c>
      <c r="G5778" s="15" t="s">
        <v>23</v>
      </c>
      <c r="H5778" s="15" t="n">
        <v>2</v>
      </c>
      <c r="I5778" s="17" t="n">
        <v>0.3</v>
      </c>
      <c r="J5778" s="18" t="n">
        <v>396.19</v>
      </c>
      <c r="K5778" s="19" t="n">
        <v>-109.77</v>
      </c>
      <c r="L5778" s="15" t="n">
        <f aca="false">YEAR(B5778)</f>
        <v>2023</v>
      </c>
      <c r="M5778" s="20" t="n">
        <f aca="false">IF(J5778&gt;0,K5778/J5778,0)</f>
        <v>-0.277064034932734</v>
      </c>
    </row>
    <row r="5779" customFormat="false" ht="15" hidden="false" customHeight="false" outlineLevel="0" collapsed="false">
      <c r="A5779" s="15" t="s">
        <v>5836</v>
      </c>
      <c r="B5779" s="16" t="n">
        <v>45659</v>
      </c>
      <c r="C5779" s="15" t="s">
        <v>56</v>
      </c>
      <c r="D5779" s="15" t="s">
        <v>42</v>
      </c>
      <c r="E5779" s="15" t="s">
        <v>37</v>
      </c>
      <c r="F5779" s="15" t="s">
        <v>16</v>
      </c>
      <c r="G5779" s="15" t="s">
        <v>25</v>
      </c>
      <c r="H5779" s="15" t="n">
        <v>2</v>
      </c>
      <c r="I5779" s="17" t="n">
        <v>0</v>
      </c>
      <c r="J5779" s="18" t="n">
        <v>604.26</v>
      </c>
      <c r="K5779" s="19" t="n">
        <v>68.01</v>
      </c>
      <c r="L5779" s="15" t="n">
        <f aca="false">YEAR(B5779)</f>
        <v>2025</v>
      </c>
      <c r="M5779" s="20" t="n">
        <f aca="false">IF(J5779&gt;0,K5779/J5779,0)</f>
        <v>0.112550888690299</v>
      </c>
    </row>
    <row r="5780" customFormat="false" ht="15" hidden="false" customHeight="false" outlineLevel="0" collapsed="false">
      <c r="A5780" s="15" t="s">
        <v>5837</v>
      </c>
      <c r="B5780" s="16" t="n">
        <v>44919</v>
      </c>
      <c r="C5780" s="15" t="s">
        <v>71</v>
      </c>
      <c r="D5780" s="15" t="s">
        <v>42</v>
      </c>
      <c r="E5780" s="15" t="s">
        <v>38</v>
      </c>
      <c r="F5780" s="15" t="s">
        <v>18</v>
      </c>
      <c r="G5780" s="15" t="s">
        <v>30</v>
      </c>
      <c r="H5780" s="15" t="n">
        <v>3</v>
      </c>
      <c r="I5780" s="17" t="n">
        <v>0</v>
      </c>
      <c r="J5780" s="18" t="n">
        <v>125.36</v>
      </c>
      <c r="K5780" s="19" t="n">
        <v>36.58</v>
      </c>
      <c r="L5780" s="15" t="n">
        <f aca="false">YEAR(B5780)</f>
        <v>2022</v>
      </c>
      <c r="M5780" s="20" t="n">
        <f aca="false">IF(J5780&gt;0,K5780/J5780,0)</f>
        <v>0.291799617102744</v>
      </c>
    </row>
    <row r="5781" customFormat="false" ht="15" hidden="false" customHeight="false" outlineLevel="0" collapsed="false">
      <c r="A5781" s="15" t="s">
        <v>5838</v>
      </c>
      <c r="B5781" s="16" t="n">
        <v>45285</v>
      </c>
      <c r="C5781" s="15" t="s">
        <v>56</v>
      </c>
      <c r="D5781" s="15" t="s">
        <v>43</v>
      </c>
      <c r="E5781" s="15" t="s">
        <v>39</v>
      </c>
      <c r="F5781" s="15" t="s">
        <v>17</v>
      </c>
      <c r="G5781" s="15" t="s">
        <v>29</v>
      </c>
      <c r="H5781" s="15" t="n">
        <v>5</v>
      </c>
      <c r="I5781" s="17" t="n">
        <v>0.2</v>
      </c>
      <c r="J5781" s="18" t="n">
        <v>94.29</v>
      </c>
      <c r="K5781" s="19" t="n">
        <v>25.82</v>
      </c>
      <c r="L5781" s="15" t="n">
        <f aca="false">YEAR(B5781)</f>
        <v>2023</v>
      </c>
      <c r="M5781" s="20" t="n">
        <f aca="false">IF(J5781&gt;0,K5781/J5781,0)</f>
        <v>0.27383603775586</v>
      </c>
    </row>
    <row r="5782" customFormat="false" ht="15" hidden="false" customHeight="false" outlineLevel="0" collapsed="false">
      <c r="A5782" s="15" t="s">
        <v>5839</v>
      </c>
      <c r="B5782" s="16" t="n">
        <v>45662</v>
      </c>
      <c r="C5782" s="15" t="s">
        <v>58</v>
      </c>
      <c r="D5782" s="15" t="s">
        <v>43</v>
      </c>
      <c r="E5782" s="15" t="s">
        <v>39</v>
      </c>
      <c r="F5782" s="15" t="s">
        <v>17</v>
      </c>
      <c r="G5782" s="15" t="s">
        <v>26</v>
      </c>
      <c r="H5782" s="15" t="n">
        <v>3</v>
      </c>
      <c r="I5782" s="17" t="n">
        <v>0.05</v>
      </c>
      <c r="J5782" s="18" t="n">
        <v>311.41</v>
      </c>
      <c r="K5782" s="19" t="n">
        <v>31.66</v>
      </c>
      <c r="L5782" s="15" t="n">
        <f aca="false">YEAR(B5782)</f>
        <v>2025</v>
      </c>
      <c r="M5782" s="20" t="n">
        <f aca="false">IF(J5782&gt;0,K5782/J5782,0)</f>
        <v>0.101666613146656</v>
      </c>
    </row>
    <row r="5783" customFormat="false" ht="15" hidden="false" customHeight="false" outlineLevel="0" collapsed="false">
      <c r="A5783" s="15" t="s">
        <v>5840</v>
      </c>
      <c r="B5783" s="16" t="n">
        <v>45417</v>
      </c>
      <c r="C5783" s="15" t="s">
        <v>56</v>
      </c>
      <c r="D5783" s="15" t="s">
        <v>42</v>
      </c>
      <c r="E5783" s="15" t="s">
        <v>36</v>
      </c>
      <c r="F5783" s="15" t="s">
        <v>17</v>
      </c>
      <c r="G5783" s="15" t="s">
        <v>29</v>
      </c>
      <c r="H5783" s="15" t="n">
        <v>3</v>
      </c>
      <c r="I5783" s="17" t="n">
        <v>0</v>
      </c>
      <c r="J5783" s="18" t="n">
        <v>39.27</v>
      </c>
      <c r="K5783" s="19" t="n">
        <v>14.69</v>
      </c>
      <c r="L5783" s="15" t="n">
        <f aca="false">YEAR(B5783)</f>
        <v>2024</v>
      </c>
      <c r="M5783" s="20" t="n">
        <f aca="false">IF(J5783&gt;0,K5783/J5783,0)</f>
        <v>0.374076903488668</v>
      </c>
    </row>
    <row r="5784" customFormat="false" ht="15" hidden="false" customHeight="false" outlineLevel="0" collapsed="false">
      <c r="A5784" s="15" t="s">
        <v>5841</v>
      </c>
      <c r="B5784" s="16" t="n">
        <v>44678</v>
      </c>
      <c r="C5784" s="15" t="s">
        <v>68</v>
      </c>
      <c r="D5784" s="15" t="s">
        <v>43</v>
      </c>
      <c r="E5784" s="15" t="s">
        <v>37</v>
      </c>
      <c r="F5784" s="15" t="s">
        <v>17</v>
      </c>
      <c r="G5784" s="15" t="s">
        <v>31</v>
      </c>
      <c r="H5784" s="15" t="n">
        <v>3</v>
      </c>
      <c r="I5784" s="17" t="n">
        <v>0</v>
      </c>
      <c r="J5784" s="18" t="n">
        <v>333.09</v>
      </c>
      <c r="K5784" s="19" t="n">
        <v>62.92</v>
      </c>
      <c r="L5784" s="15" t="n">
        <f aca="false">YEAR(B5784)</f>
        <v>2022</v>
      </c>
      <c r="M5784" s="20" t="n">
        <f aca="false">IF(J5784&gt;0,K5784/J5784,0)</f>
        <v>0.188897895463689</v>
      </c>
    </row>
    <row r="5785" customFormat="false" ht="15" hidden="false" customHeight="false" outlineLevel="0" collapsed="false">
      <c r="A5785" s="15" t="s">
        <v>5842</v>
      </c>
      <c r="B5785" s="16" t="n">
        <v>45987</v>
      </c>
      <c r="C5785" s="15" t="s">
        <v>71</v>
      </c>
      <c r="D5785" s="15" t="s">
        <v>42</v>
      </c>
      <c r="E5785" s="15" t="s">
        <v>39</v>
      </c>
      <c r="F5785" s="15" t="s">
        <v>17</v>
      </c>
      <c r="G5785" s="15" t="s">
        <v>31</v>
      </c>
      <c r="H5785" s="15" t="n">
        <v>3</v>
      </c>
      <c r="I5785" s="17" t="n">
        <v>0</v>
      </c>
      <c r="J5785" s="18" t="n">
        <v>382.27</v>
      </c>
      <c r="K5785" s="19" t="n">
        <v>70.73</v>
      </c>
      <c r="L5785" s="15" t="n">
        <f aca="false">YEAR(B5785)</f>
        <v>2025</v>
      </c>
      <c r="M5785" s="20" t="n">
        <f aca="false">IF(J5785&gt;0,K5785/J5785,0)</f>
        <v>0.185026290318361</v>
      </c>
    </row>
    <row r="5786" customFormat="false" ht="15" hidden="false" customHeight="false" outlineLevel="0" collapsed="false">
      <c r="A5786" s="15" t="s">
        <v>5843</v>
      </c>
      <c r="B5786" s="16" t="n">
        <v>44789</v>
      </c>
      <c r="C5786" s="15" t="s">
        <v>56</v>
      </c>
      <c r="D5786" s="15" t="s">
        <v>43</v>
      </c>
      <c r="E5786" s="15" t="s">
        <v>37</v>
      </c>
      <c r="F5786" s="15" t="s">
        <v>17</v>
      </c>
      <c r="G5786" s="15" t="s">
        <v>29</v>
      </c>
      <c r="H5786" s="15" t="n">
        <v>6</v>
      </c>
      <c r="I5786" s="17" t="n">
        <v>0</v>
      </c>
      <c r="J5786" s="18" t="n">
        <v>95.29</v>
      </c>
      <c r="K5786" s="19" t="n">
        <v>34.45</v>
      </c>
      <c r="L5786" s="15" t="n">
        <f aca="false">YEAR(B5786)</f>
        <v>2022</v>
      </c>
      <c r="M5786" s="20" t="n">
        <f aca="false">IF(J5786&gt;0,K5786/J5786,0)</f>
        <v>0.361527967257845</v>
      </c>
    </row>
    <row r="5787" customFormat="false" ht="15" hidden="false" customHeight="false" outlineLevel="0" collapsed="false">
      <c r="A5787" s="15" t="s">
        <v>5844</v>
      </c>
      <c r="B5787" s="16" t="n">
        <v>45259</v>
      </c>
      <c r="C5787" s="15" t="s">
        <v>68</v>
      </c>
      <c r="D5787" s="15" t="s">
        <v>43</v>
      </c>
      <c r="E5787" s="15" t="s">
        <v>39</v>
      </c>
      <c r="F5787" s="15" t="s">
        <v>17</v>
      </c>
      <c r="G5787" s="15" t="s">
        <v>28</v>
      </c>
      <c r="H5787" s="15" t="n">
        <v>4</v>
      </c>
      <c r="I5787" s="17" t="n">
        <v>0.05</v>
      </c>
      <c r="J5787" s="18" t="n">
        <v>84.96</v>
      </c>
      <c r="K5787" s="19" t="n">
        <v>22.83</v>
      </c>
      <c r="L5787" s="15" t="n">
        <f aca="false">YEAR(B5787)</f>
        <v>2023</v>
      </c>
      <c r="M5787" s="20" t="n">
        <f aca="false">IF(J5787&gt;0,K5787/J5787,0)</f>
        <v>0.268714689265537</v>
      </c>
    </row>
    <row r="5788" customFormat="false" ht="15" hidden="false" customHeight="false" outlineLevel="0" collapsed="false">
      <c r="A5788" s="15" t="s">
        <v>5845</v>
      </c>
      <c r="B5788" s="16" t="n">
        <v>44859</v>
      </c>
      <c r="C5788" s="15" t="s">
        <v>56</v>
      </c>
      <c r="D5788" s="15" t="s">
        <v>42</v>
      </c>
      <c r="E5788" s="15" t="s">
        <v>36</v>
      </c>
      <c r="F5788" s="15" t="s">
        <v>17</v>
      </c>
      <c r="G5788" s="15" t="s">
        <v>28</v>
      </c>
      <c r="H5788" s="15" t="n">
        <v>3</v>
      </c>
      <c r="I5788" s="17" t="n">
        <v>0.1</v>
      </c>
      <c r="J5788" s="18" t="n">
        <v>62.95</v>
      </c>
      <c r="K5788" s="19" t="n">
        <v>14.43</v>
      </c>
      <c r="L5788" s="15" t="n">
        <f aca="false">YEAR(B5788)</f>
        <v>2022</v>
      </c>
      <c r="M5788" s="20" t="n">
        <f aca="false">IF(J5788&gt;0,K5788/J5788,0)</f>
        <v>0.22922954725973</v>
      </c>
    </row>
    <row r="5789" customFormat="false" ht="15" hidden="false" customHeight="false" outlineLevel="0" collapsed="false">
      <c r="A5789" s="15" t="s">
        <v>5846</v>
      </c>
      <c r="B5789" s="16" t="n">
        <v>45415</v>
      </c>
      <c r="C5789" s="15" t="s">
        <v>56</v>
      </c>
      <c r="D5789" s="15" t="s">
        <v>42</v>
      </c>
      <c r="E5789" s="15" t="s">
        <v>37</v>
      </c>
      <c r="F5789" s="15" t="s">
        <v>17</v>
      </c>
      <c r="G5789" s="15" t="s">
        <v>26</v>
      </c>
      <c r="H5789" s="15" t="n">
        <v>4</v>
      </c>
      <c r="I5789" s="17" t="n">
        <v>0.5</v>
      </c>
      <c r="J5789" s="18" t="n">
        <v>168.1</v>
      </c>
      <c r="K5789" s="19" t="n">
        <v>-59.54</v>
      </c>
      <c r="L5789" s="15" t="n">
        <f aca="false">YEAR(B5789)</f>
        <v>2024</v>
      </c>
      <c r="M5789" s="20" t="n">
        <f aca="false">IF(J5789&gt;0,K5789/J5789,0)</f>
        <v>-0.354193932183224</v>
      </c>
    </row>
    <row r="5790" customFormat="false" ht="15" hidden="false" customHeight="false" outlineLevel="0" collapsed="false">
      <c r="A5790" s="15" t="s">
        <v>5847</v>
      </c>
      <c r="B5790" s="16" t="n">
        <v>45897</v>
      </c>
      <c r="C5790" s="15" t="s">
        <v>71</v>
      </c>
      <c r="D5790" s="15" t="s">
        <v>42</v>
      </c>
      <c r="E5790" s="15" t="s">
        <v>37</v>
      </c>
      <c r="F5790" s="15" t="s">
        <v>17</v>
      </c>
      <c r="G5790" s="15" t="s">
        <v>26</v>
      </c>
      <c r="H5790" s="15" t="n">
        <v>2</v>
      </c>
      <c r="I5790" s="17" t="n">
        <v>0</v>
      </c>
      <c r="J5790" s="18" t="n">
        <v>206.4</v>
      </c>
      <c r="K5790" s="19" t="n">
        <v>19.45</v>
      </c>
      <c r="L5790" s="15" t="n">
        <f aca="false">YEAR(B5790)</f>
        <v>2025</v>
      </c>
      <c r="M5790" s="20" t="n">
        <f aca="false">IF(J5790&gt;0,K5790/J5790,0)</f>
        <v>0.094234496124031</v>
      </c>
    </row>
    <row r="5791" customFormat="false" ht="15" hidden="false" customHeight="false" outlineLevel="0" collapsed="false">
      <c r="A5791" s="15" t="s">
        <v>5848</v>
      </c>
      <c r="B5791" s="16" t="n">
        <v>44894</v>
      </c>
      <c r="C5791" s="15" t="s">
        <v>56</v>
      </c>
      <c r="D5791" s="15" t="s">
        <v>43</v>
      </c>
      <c r="E5791" s="15" t="s">
        <v>38</v>
      </c>
      <c r="F5791" s="15" t="s">
        <v>17</v>
      </c>
      <c r="G5791" s="15" t="s">
        <v>26</v>
      </c>
      <c r="H5791" s="15" t="n">
        <v>2</v>
      </c>
      <c r="I5791" s="17" t="n">
        <v>0.3</v>
      </c>
      <c r="J5791" s="18" t="n">
        <v>123.2</v>
      </c>
      <c r="K5791" s="19" t="n">
        <v>-12.44</v>
      </c>
      <c r="L5791" s="15" t="n">
        <f aca="false">YEAR(B5791)</f>
        <v>2022</v>
      </c>
      <c r="M5791" s="20" t="n">
        <f aca="false">IF(J5791&gt;0,K5791/J5791,0)</f>
        <v>-0.100974025974026</v>
      </c>
    </row>
    <row r="5792" customFormat="false" ht="15" hidden="false" customHeight="false" outlineLevel="0" collapsed="false">
      <c r="A5792" s="15" t="s">
        <v>5849</v>
      </c>
      <c r="B5792" s="16" t="n">
        <v>45015</v>
      </c>
      <c r="C5792" s="15" t="s">
        <v>56</v>
      </c>
      <c r="D5792" s="15" t="s">
        <v>42</v>
      </c>
      <c r="E5792" s="15" t="s">
        <v>38</v>
      </c>
      <c r="F5792" s="15" t="s">
        <v>17</v>
      </c>
      <c r="G5792" s="15" t="s">
        <v>29</v>
      </c>
      <c r="H5792" s="15" t="n">
        <v>4</v>
      </c>
      <c r="I5792" s="17" t="n">
        <v>0.1</v>
      </c>
      <c r="J5792" s="18" t="n">
        <v>66.43</v>
      </c>
      <c r="K5792" s="19" t="n">
        <v>19.35</v>
      </c>
      <c r="L5792" s="15" t="n">
        <f aca="false">YEAR(B5792)</f>
        <v>2023</v>
      </c>
      <c r="M5792" s="20" t="n">
        <f aca="false">IF(J5792&gt;0,K5792/J5792,0)</f>
        <v>0.291284058407346</v>
      </c>
    </row>
    <row r="5793" customFormat="false" ht="15" hidden="false" customHeight="false" outlineLevel="0" collapsed="false">
      <c r="A5793" s="15" t="s">
        <v>5850</v>
      </c>
      <c r="B5793" s="16" t="n">
        <v>44716</v>
      </c>
      <c r="C5793" s="15" t="s">
        <v>58</v>
      </c>
      <c r="D5793" s="15" t="s">
        <v>44</v>
      </c>
      <c r="E5793" s="15" t="s">
        <v>38</v>
      </c>
      <c r="F5793" s="15" t="s">
        <v>16</v>
      </c>
      <c r="G5793" s="15" t="s">
        <v>25</v>
      </c>
      <c r="H5793" s="15" t="n">
        <v>4</v>
      </c>
      <c r="I5793" s="17" t="n">
        <v>0.15</v>
      </c>
      <c r="J5793" s="18" t="n">
        <v>975.74</v>
      </c>
      <c r="K5793" s="19" t="n">
        <v>2.54</v>
      </c>
      <c r="L5793" s="15" t="n">
        <f aca="false">YEAR(B5793)</f>
        <v>2022</v>
      </c>
      <c r="M5793" s="20" t="n">
        <f aca="false">IF(J5793&gt;0,K5793/J5793,0)</f>
        <v>0.00260315247914403</v>
      </c>
    </row>
    <row r="5794" customFormat="false" ht="15" hidden="false" customHeight="false" outlineLevel="0" collapsed="false">
      <c r="A5794" s="15" t="s">
        <v>5851</v>
      </c>
      <c r="B5794" s="16" t="n">
        <v>46012</v>
      </c>
      <c r="C5794" s="15" t="s">
        <v>71</v>
      </c>
      <c r="D5794" s="15" t="s">
        <v>43</v>
      </c>
      <c r="E5794" s="15" t="s">
        <v>39</v>
      </c>
      <c r="F5794" s="15" t="s">
        <v>16</v>
      </c>
      <c r="G5794" s="15" t="s">
        <v>27</v>
      </c>
      <c r="H5794" s="15" t="n">
        <v>3</v>
      </c>
      <c r="I5794" s="17" t="n">
        <v>0</v>
      </c>
      <c r="J5794" s="18" t="n">
        <v>205.45</v>
      </c>
      <c r="K5794" s="19" t="n">
        <v>49</v>
      </c>
      <c r="L5794" s="15" t="n">
        <f aca="false">YEAR(B5794)</f>
        <v>2025</v>
      </c>
      <c r="M5794" s="20" t="n">
        <f aca="false">IF(J5794&gt;0,K5794/J5794,0)</f>
        <v>0.238500851788756</v>
      </c>
    </row>
    <row r="5795" customFormat="false" ht="15" hidden="false" customHeight="false" outlineLevel="0" collapsed="false">
      <c r="A5795" s="15" t="s">
        <v>5852</v>
      </c>
      <c r="B5795" s="16" t="n">
        <v>45273</v>
      </c>
      <c r="C5795" s="15" t="s">
        <v>56</v>
      </c>
      <c r="D5795" s="15" t="s">
        <v>42</v>
      </c>
      <c r="E5795" s="15" t="s">
        <v>39</v>
      </c>
      <c r="F5795" s="15" t="s">
        <v>16</v>
      </c>
      <c r="G5795" s="15" t="s">
        <v>23</v>
      </c>
      <c r="H5795" s="15" t="n">
        <v>7</v>
      </c>
      <c r="I5795" s="17" t="n">
        <v>0.4</v>
      </c>
      <c r="J5795" s="18" t="n">
        <v>1693.27</v>
      </c>
      <c r="K5795" s="19" t="n">
        <v>-572.31</v>
      </c>
      <c r="L5795" s="15" t="n">
        <f aca="false">YEAR(B5795)</f>
        <v>2023</v>
      </c>
      <c r="M5795" s="20" t="n">
        <f aca="false">IF(J5795&gt;0,K5795/J5795,0)</f>
        <v>-0.337990987851908</v>
      </c>
    </row>
    <row r="5796" customFormat="false" ht="15" hidden="false" customHeight="false" outlineLevel="0" collapsed="false">
      <c r="A5796" s="15" t="s">
        <v>5853</v>
      </c>
      <c r="B5796" s="16" t="n">
        <v>45974</v>
      </c>
      <c r="C5796" s="15" t="s">
        <v>56</v>
      </c>
      <c r="D5796" s="15" t="s">
        <v>44</v>
      </c>
      <c r="E5796" s="15" t="s">
        <v>36</v>
      </c>
      <c r="F5796" s="15" t="s">
        <v>18</v>
      </c>
      <c r="G5796" s="15" t="s">
        <v>30</v>
      </c>
      <c r="H5796" s="15" t="n">
        <v>6</v>
      </c>
      <c r="I5796" s="17" t="n">
        <v>0.4</v>
      </c>
      <c r="J5796" s="18" t="n">
        <v>168.75</v>
      </c>
      <c r="K5796" s="19" t="n">
        <v>-14.47</v>
      </c>
      <c r="L5796" s="15" t="n">
        <f aca="false">YEAR(B5796)</f>
        <v>2025</v>
      </c>
      <c r="M5796" s="20" t="n">
        <f aca="false">IF(J5796&gt;0,K5796/J5796,0)</f>
        <v>-0.0857481481481482</v>
      </c>
    </row>
    <row r="5797" customFormat="false" ht="15" hidden="false" customHeight="false" outlineLevel="0" collapsed="false">
      <c r="A5797" s="15" t="s">
        <v>5854</v>
      </c>
      <c r="B5797" s="16" t="n">
        <v>45676</v>
      </c>
      <c r="C5797" s="15" t="s">
        <v>56</v>
      </c>
      <c r="D5797" s="15" t="s">
        <v>42</v>
      </c>
      <c r="E5797" s="15" t="s">
        <v>37</v>
      </c>
      <c r="F5797" s="15" t="s">
        <v>17</v>
      </c>
      <c r="G5797" s="15" t="s">
        <v>29</v>
      </c>
      <c r="H5797" s="15" t="n">
        <v>3</v>
      </c>
      <c r="I5797" s="17" t="n">
        <v>0</v>
      </c>
      <c r="J5797" s="18" t="n">
        <v>50.57</v>
      </c>
      <c r="K5797" s="19" t="n">
        <v>20.8</v>
      </c>
      <c r="L5797" s="15" t="n">
        <f aca="false">YEAR(B5797)</f>
        <v>2025</v>
      </c>
      <c r="M5797" s="20" t="n">
        <f aca="false">IF(J5797&gt;0,K5797/J5797,0)</f>
        <v>0.411311053984576</v>
      </c>
    </row>
    <row r="5798" customFormat="false" ht="15" hidden="false" customHeight="false" outlineLevel="0" collapsed="false">
      <c r="A5798" s="15" t="s">
        <v>5855</v>
      </c>
      <c r="B5798" s="16" t="n">
        <v>46018</v>
      </c>
      <c r="C5798" s="15" t="s">
        <v>56</v>
      </c>
      <c r="D5798" s="15" t="s">
        <v>42</v>
      </c>
      <c r="E5798" s="15" t="s">
        <v>37</v>
      </c>
      <c r="F5798" s="15" t="s">
        <v>16</v>
      </c>
      <c r="G5798" s="15" t="s">
        <v>23</v>
      </c>
      <c r="H5798" s="15" t="n">
        <v>1</v>
      </c>
      <c r="I5798" s="17" t="n">
        <v>0</v>
      </c>
      <c r="J5798" s="18" t="n">
        <v>336.41</v>
      </c>
      <c r="K5798" s="19" t="n">
        <v>13.43</v>
      </c>
      <c r="L5798" s="15" t="n">
        <f aca="false">YEAR(B5798)</f>
        <v>2025</v>
      </c>
      <c r="M5798" s="20" t="n">
        <f aca="false">IF(J5798&gt;0,K5798/J5798,0)</f>
        <v>0.0399215243304301</v>
      </c>
    </row>
    <row r="5799" customFormat="false" ht="15" hidden="false" customHeight="false" outlineLevel="0" collapsed="false">
      <c r="A5799" s="15" t="s">
        <v>5856</v>
      </c>
      <c r="B5799" s="16" t="n">
        <v>45741</v>
      </c>
      <c r="C5799" s="15" t="s">
        <v>56</v>
      </c>
      <c r="D5799" s="15" t="s">
        <v>42</v>
      </c>
      <c r="E5799" s="15" t="s">
        <v>37</v>
      </c>
      <c r="F5799" s="15" t="s">
        <v>17</v>
      </c>
      <c r="G5799" s="15" t="s">
        <v>31</v>
      </c>
      <c r="H5799" s="15" t="n">
        <v>1</v>
      </c>
      <c r="I5799" s="17" t="n">
        <v>0</v>
      </c>
      <c r="J5799" s="18" t="n">
        <v>149.21</v>
      </c>
      <c r="K5799" s="19" t="n">
        <v>29.99</v>
      </c>
      <c r="L5799" s="15" t="n">
        <f aca="false">YEAR(B5799)</f>
        <v>2025</v>
      </c>
      <c r="M5799" s="20" t="n">
        <f aca="false">IF(J5799&gt;0,K5799/J5799,0)</f>
        <v>0.200991890623953</v>
      </c>
    </row>
    <row r="5800" customFormat="false" ht="15" hidden="false" customHeight="false" outlineLevel="0" collapsed="false">
      <c r="A5800" s="15" t="s">
        <v>5857</v>
      </c>
      <c r="B5800" s="16" t="n">
        <v>44954</v>
      </c>
      <c r="C5800" s="15" t="s">
        <v>56</v>
      </c>
      <c r="D5800" s="15" t="s">
        <v>42</v>
      </c>
      <c r="E5800" s="15" t="s">
        <v>39</v>
      </c>
      <c r="F5800" s="15" t="s">
        <v>17</v>
      </c>
      <c r="G5800" s="15" t="s">
        <v>28</v>
      </c>
      <c r="H5800" s="15" t="n">
        <v>3</v>
      </c>
      <c r="I5800" s="17" t="n">
        <v>0</v>
      </c>
      <c r="J5800" s="18" t="n">
        <v>78.3</v>
      </c>
      <c r="K5800" s="19" t="n">
        <v>25.19</v>
      </c>
      <c r="L5800" s="15" t="n">
        <f aca="false">YEAR(B5800)</f>
        <v>2023</v>
      </c>
      <c r="M5800" s="20" t="n">
        <f aca="false">IF(J5800&gt;0,K5800/J5800,0)</f>
        <v>0.321711366538953</v>
      </c>
    </row>
    <row r="5801" customFormat="false" ht="15" hidden="false" customHeight="false" outlineLevel="0" collapsed="false">
      <c r="A5801" s="15" t="s">
        <v>5858</v>
      </c>
      <c r="B5801" s="16" t="n">
        <v>44811</v>
      </c>
      <c r="C5801" s="15" t="s">
        <v>71</v>
      </c>
      <c r="D5801" s="15" t="s">
        <v>44</v>
      </c>
      <c r="E5801" s="15" t="s">
        <v>37</v>
      </c>
      <c r="F5801" s="15" t="s">
        <v>17</v>
      </c>
      <c r="G5801" s="15" t="s">
        <v>28</v>
      </c>
      <c r="H5801" s="15" t="n">
        <v>2</v>
      </c>
      <c r="I5801" s="17" t="n">
        <v>0</v>
      </c>
      <c r="J5801" s="18" t="n">
        <v>51.93</v>
      </c>
      <c r="K5801" s="19" t="n">
        <v>14.94</v>
      </c>
      <c r="L5801" s="15" t="n">
        <f aca="false">YEAR(B5801)</f>
        <v>2022</v>
      </c>
      <c r="M5801" s="20" t="n">
        <f aca="false">IF(J5801&gt;0,K5801/J5801,0)</f>
        <v>0.287694974003466</v>
      </c>
    </row>
    <row r="5802" customFormat="false" ht="15" hidden="false" customHeight="false" outlineLevel="0" collapsed="false">
      <c r="A5802" s="15" t="s">
        <v>5859</v>
      </c>
      <c r="B5802" s="16" t="n">
        <v>44607</v>
      </c>
      <c r="C5802" s="15" t="s">
        <v>56</v>
      </c>
      <c r="D5802" s="15" t="s">
        <v>44</v>
      </c>
      <c r="E5802" s="15" t="s">
        <v>39</v>
      </c>
      <c r="F5802" s="15" t="s">
        <v>17</v>
      </c>
      <c r="G5802" s="15" t="s">
        <v>26</v>
      </c>
      <c r="H5802" s="15" t="n">
        <v>4</v>
      </c>
      <c r="I5802" s="17" t="n">
        <v>0.2</v>
      </c>
      <c r="J5802" s="18" t="n">
        <v>260.09</v>
      </c>
      <c r="K5802" s="19" t="n">
        <v>3.96</v>
      </c>
      <c r="L5802" s="15" t="n">
        <f aca="false">YEAR(B5802)</f>
        <v>2022</v>
      </c>
      <c r="M5802" s="20" t="n">
        <f aca="false">IF(J5802&gt;0,K5802/J5802,0)</f>
        <v>0.0152254988657772</v>
      </c>
    </row>
    <row r="5803" customFormat="false" ht="15" hidden="false" customHeight="false" outlineLevel="0" collapsed="false">
      <c r="A5803" s="15" t="s">
        <v>5860</v>
      </c>
      <c r="B5803" s="16" t="n">
        <v>45025</v>
      </c>
      <c r="C5803" s="15" t="s">
        <v>58</v>
      </c>
      <c r="D5803" s="15" t="s">
        <v>42</v>
      </c>
      <c r="E5803" s="15" t="s">
        <v>39</v>
      </c>
      <c r="F5803" s="15" t="s">
        <v>17</v>
      </c>
      <c r="G5803" s="15" t="s">
        <v>26</v>
      </c>
      <c r="H5803" s="15" t="n">
        <v>3</v>
      </c>
      <c r="I5803" s="17" t="n">
        <v>0.4</v>
      </c>
      <c r="J5803" s="18" t="n">
        <v>188.71</v>
      </c>
      <c r="K5803" s="19" t="n">
        <v>-46.75</v>
      </c>
      <c r="L5803" s="15" t="n">
        <f aca="false">YEAR(B5803)</f>
        <v>2023</v>
      </c>
      <c r="M5803" s="20" t="n">
        <f aca="false">IF(J5803&gt;0,K5803/J5803,0)</f>
        <v>-0.247734619257061</v>
      </c>
    </row>
    <row r="5804" customFormat="false" ht="15" hidden="false" customHeight="false" outlineLevel="0" collapsed="false">
      <c r="A5804" s="15" t="s">
        <v>5861</v>
      </c>
      <c r="B5804" s="16" t="n">
        <v>45649</v>
      </c>
      <c r="C5804" s="15" t="s">
        <v>56</v>
      </c>
      <c r="D5804" s="15" t="s">
        <v>42</v>
      </c>
      <c r="E5804" s="15" t="s">
        <v>39</v>
      </c>
      <c r="F5804" s="15" t="s">
        <v>16</v>
      </c>
      <c r="G5804" s="15" t="s">
        <v>27</v>
      </c>
      <c r="H5804" s="15" t="n">
        <v>2</v>
      </c>
      <c r="I5804" s="17" t="n">
        <v>0</v>
      </c>
      <c r="J5804" s="18" t="n">
        <v>131.07</v>
      </c>
      <c r="K5804" s="19" t="n">
        <v>28.41</v>
      </c>
      <c r="L5804" s="15" t="n">
        <f aca="false">YEAR(B5804)</f>
        <v>2024</v>
      </c>
      <c r="M5804" s="20" t="n">
        <f aca="false">IF(J5804&gt;0,K5804/J5804,0)</f>
        <v>0.216754406042573</v>
      </c>
    </row>
    <row r="5805" customFormat="false" ht="15" hidden="false" customHeight="false" outlineLevel="0" collapsed="false">
      <c r="A5805" s="15" t="s">
        <v>5862</v>
      </c>
      <c r="B5805" s="16" t="n">
        <v>45408</v>
      </c>
      <c r="C5805" s="15" t="s">
        <v>71</v>
      </c>
      <c r="D5805" s="15" t="s">
        <v>44</v>
      </c>
      <c r="E5805" s="15" t="s">
        <v>39</v>
      </c>
      <c r="F5805" s="15" t="s">
        <v>17</v>
      </c>
      <c r="G5805" s="15" t="s">
        <v>26</v>
      </c>
      <c r="H5805" s="15" t="n">
        <v>2</v>
      </c>
      <c r="I5805" s="17" t="n">
        <v>0.05</v>
      </c>
      <c r="J5805" s="18" t="n">
        <v>211.41</v>
      </c>
      <c r="K5805" s="19" t="n">
        <v>9.24</v>
      </c>
      <c r="L5805" s="15" t="n">
        <f aca="false">YEAR(B5805)</f>
        <v>2024</v>
      </c>
      <c r="M5805" s="20" t="n">
        <f aca="false">IF(J5805&gt;0,K5805/J5805,0)</f>
        <v>0.043706541790833</v>
      </c>
    </row>
    <row r="5806" customFormat="false" ht="15" hidden="false" customHeight="false" outlineLevel="0" collapsed="false">
      <c r="A5806" s="15" t="s">
        <v>5863</v>
      </c>
      <c r="B5806" s="16" t="n">
        <v>44816</v>
      </c>
      <c r="C5806" s="15" t="s">
        <v>68</v>
      </c>
      <c r="D5806" s="15" t="s">
        <v>42</v>
      </c>
      <c r="E5806" s="15" t="s">
        <v>37</v>
      </c>
      <c r="F5806" s="15" t="s">
        <v>17</v>
      </c>
      <c r="G5806" s="15" t="s">
        <v>28</v>
      </c>
      <c r="H5806" s="15" t="n">
        <v>4</v>
      </c>
      <c r="I5806" s="17" t="n">
        <v>0.3</v>
      </c>
      <c r="J5806" s="18" t="n">
        <v>85.63</v>
      </c>
      <c r="K5806" s="19" t="n">
        <v>-0.29</v>
      </c>
      <c r="L5806" s="15" t="n">
        <f aca="false">YEAR(B5806)</f>
        <v>2022</v>
      </c>
      <c r="M5806" s="20" t="n">
        <f aca="false">IF(J5806&gt;0,K5806/J5806,0)</f>
        <v>-0.00338666355249329</v>
      </c>
    </row>
    <row r="5807" customFormat="false" ht="15" hidden="false" customHeight="false" outlineLevel="0" collapsed="false">
      <c r="A5807" s="15" t="s">
        <v>5864</v>
      </c>
      <c r="B5807" s="16" t="n">
        <v>45143</v>
      </c>
      <c r="C5807" s="15" t="s">
        <v>58</v>
      </c>
      <c r="D5807" s="15" t="s">
        <v>42</v>
      </c>
      <c r="E5807" s="15" t="s">
        <v>36</v>
      </c>
      <c r="F5807" s="15" t="s">
        <v>17</v>
      </c>
      <c r="G5807" s="15" t="s">
        <v>28</v>
      </c>
      <c r="H5807" s="15" t="n">
        <v>5</v>
      </c>
      <c r="I5807" s="17" t="n">
        <v>0</v>
      </c>
      <c r="J5807" s="18" t="n">
        <v>114.52</v>
      </c>
      <c r="K5807" s="19" t="n">
        <v>21.8</v>
      </c>
      <c r="L5807" s="15" t="n">
        <f aca="false">YEAR(B5807)</f>
        <v>2023</v>
      </c>
      <c r="M5807" s="20" t="n">
        <f aca="false">IF(J5807&gt;0,K5807/J5807,0)</f>
        <v>0.190359762486902</v>
      </c>
    </row>
    <row r="5808" customFormat="false" ht="15" hidden="false" customHeight="false" outlineLevel="0" collapsed="false">
      <c r="A5808" s="15" t="s">
        <v>5865</v>
      </c>
      <c r="B5808" s="16" t="n">
        <v>44737</v>
      </c>
      <c r="C5808" s="15" t="s">
        <v>68</v>
      </c>
      <c r="D5808" s="15" t="s">
        <v>42</v>
      </c>
      <c r="E5808" s="15" t="s">
        <v>38</v>
      </c>
      <c r="F5808" s="15" t="s">
        <v>16</v>
      </c>
      <c r="G5808" s="15" t="s">
        <v>23</v>
      </c>
      <c r="H5808" s="15" t="n">
        <v>4</v>
      </c>
      <c r="I5808" s="17" t="n">
        <v>0</v>
      </c>
      <c r="J5808" s="18" t="n">
        <v>1035.74</v>
      </c>
      <c r="K5808" s="19" t="n">
        <v>27.55</v>
      </c>
      <c r="L5808" s="15" t="n">
        <f aca="false">YEAR(B5808)</f>
        <v>2022</v>
      </c>
      <c r="M5808" s="20" t="n">
        <f aca="false">IF(J5808&gt;0,K5808/J5808,0)</f>
        <v>0.026599339602603</v>
      </c>
    </row>
    <row r="5809" customFormat="false" ht="15" hidden="false" customHeight="false" outlineLevel="0" collapsed="false">
      <c r="A5809" s="15" t="s">
        <v>5866</v>
      </c>
      <c r="B5809" s="16" t="n">
        <v>45371</v>
      </c>
      <c r="C5809" s="15" t="s">
        <v>56</v>
      </c>
      <c r="D5809" s="15" t="s">
        <v>42</v>
      </c>
      <c r="E5809" s="15" t="s">
        <v>38</v>
      </c>
      <c r="F5809" s="15" t="s">
        <v>17</v>
      </c>
      <c r="G5809" s="15" t="s">
        <v>29</v>
      </c>
      <c r="H5809" s="15" t="n">
        <v>5</v>
      </c>
      <c r="I5809" s="17" t="n">
        <v>0.15</v>
      </c>
      <c r="J5809" s="18" t="n">
        <v>71.33</v>
      </c>
      <c r="K5809" s="19" t="n">
        <v>13.95</v>
      </c>
      <c r="L5809" s="15" t="n">
        <f aca="false">YEAR(B5809)</f>
        <v>2024</v>
      </c>
      <c r="M5809" s="20" t="n">
        <f aca="false">IF(J5809&gt;0,K5809/J5809,0)</f>
        <v>0.195569886443292</v>
      </c>
    </row>
    <row r="5810" customFormat="false" ht="15" hidden="false" customHeight="false" outlineLevel="0" collapsed="false">
      <c r="A5810" s="15" t="s">
        <v>5867</v>
      </c>
      <c r="B5810" s="16" t="n">
        <v>44785</v>
      </c>
      <c r="C5810" s="15" t="s">
        <v>68</v>
      </c>
      <c r="D5810" s="15" t="s">
        <v>43</v>
      </c>
      <c r="E5810" s="15" t="s">
        <v>38</v>
      </c>
      <c r="F5810" s="15" t="s">
        <v>18</v>
      </c>
      <c r="G5810" s="15" t="s">
        <v>30</v>
      </c>
      <c r="H5810" s="15" t="n">
        <v>3</v>
      </c>
      <c r="I5810" s="17" t="n">
        <v>0</v>
      </c>
      <c r="J5810" s="18" t="n">
        <v>133.46</v>
      </c>
      <c r="K5810" s="19" t="n">
        <v>44.18</v>
      </c>
      <c r="L5810" s="15" t="n">
        <f aca="false">YEAR(B5810)</f>
        <v>2022</v>
      </c>
      <c r="M5810" s="20" t="n">
        <f aca="false">IF(J5810&gt;0,K5810/J5810,0)</f>
        <v>0.331035516259553</v>
      </c>
    </row>
    <row r="5811" customFormat="false" ht="15" hidden="false" customHeight="false" outlineLevel="0" collapsed="false">
      <c r="A5811" s="15" t="s">
        <v>5868</v>
      </c>
      <c r="B5811" s="16" t="n">
        <v>45139</v>
      </c>
      <c r="C5811" s="15" t="s">
        <v>56</v>
      </c>
      <c r="D5811" s="15" t="s">
        <v>43</v>
      </c>
      <c r="E5811" s="15" t="s">
        <v>36</v>
      </c>
      <c r="F5811" s="15" t="s">
        <v>17</v>
      </c>
      <c r="G5811" s="15" t="s">
        <v>28</v>
      </c>
      <c r="H5811" s="15" t="n">
        <v>7</v>
      </c>
      <c r="I5811" s="17" t="n">
        <v>0.05</v>
      </c>
      <c r="J5811" s="18" t="n">
        <v>190.21</v>
      </c>
      <c r="K5811" s="19" t="n">
        <v>42.12</v>
      </c>
      <c r="L5811" s="15" t="n">
        <f aca="false">YEAR(B5811)</f>
        <v>2023</v>
      </c>
      <c r="M5811" s="20" t="n">
        <f aca="false">IF(J5811&gt;0,K5811/J5811,0)</f>
        <v>0.221439461647653</v>
      </c>
    </row>
    <row r="5812" customFormat="false" ht="15" hidden="false" customHeight="false" outlineLevel="0" collapsed="false">
      <c r="A5812" s="15" t="s">
        <v>5869</v>
      </c>
      <c r="B5812" s="16" t="n">
        <v>45657</v>
      </c>
      <c r="C5812" s="15" t="s">
        <v>56</v>
      </c>
      <c r="D5812" s="15" t="s">
        <v>42</v>
      </c>
      <c r="E5812" s="15" t="s">
        <v>37</v>
      </c>
      <c r="F5812" s="15" t="s">
        <v>17</v>
      </c>
      <c r="G5812" s="15" t="s">
        <v>29</v>
      </c>
      <c r="H5812" s="15" t="n">
        <v>2</v>
      </c>
      <c r="I5812" s="17" t="n">
        <v>0</v>
      </c>
      <c r="J5812" s="18" t="n">
        <v>33.71</v>
      </c>
      <c r="K5812" s="19" t="n">
        <v>13.27</v>
      </c>
      <c r="L5812" s="15" t="n">
        <f aca="false">YEAR(B5812)</f>
        <v>2024</v>
      </c>
      <c r="M5812" s="20" t="n">
        <f aca="false">IF(J5812&gt;0,K5812/J5812,0)</f>
        <v>0.393651735390092</v>
      </c>
    </row>
    <row r="5813" customFormat="false" ht="15" hidden="false" customHeight="false" outlineLevel="0" collapsed="false">
      <c r="A5813" s="15" t="s">
        <v>5870</v>
      </c>
      <c r="B5813" s="16" t="n">
        <v>44778</v>
      </c>
      <c r="C5813" s="15" t="s">
        <v>56</v>
      </c>
      <c r="D5813" s="15" t="s">
        <v>43</v>
      </c>
      <c r="E5813" s="15" t="s">
        <v>37</v>
      </c>
      <c r="F5813" s="15" t="s">
        <v>17</v>
      </c>
      <c r="G5813" s="15" t="s">
        <v>26</v>
      </c>
      <c r="H5813" s="15" t="n">
        <v>2</v>
      </c>
      <c r="I5813" s="17" t="n">
        <v>0</v>
      </c>
      <c r="J5813" s="18" t="n">
        <v>186.92</v>
      </c>
      <c r="K5813" s="19" t="n">
        <v>19.42</v>
      </c>
      <c r="L5813" s="15" t="n">
        <f aca="false">YEAR(B5813)</f>
        <v>2022</v>
      </c>
      <c r="M5813" s="20" t="n">
        <f aca="false">IF(J5813&gt;0,K5813/J5813,0)</f>
        <v>0.103894714316285</v>
      </c>
    </row>
    <row r="5814" customFormat="false" ht="15" hidden="false" customHeight="false" outlineLevel="0" collapsed="false">
      <c r="A5814" s="15" t="s">
        <v>5871</v>
      </c>
      <c r="B5814" s="16" t="n">
        <v>45194</v>
      </c>
      <c r="C5814" s="15" t="s">
        <v>56</v>
      </c>
      <c r="D5814" s="15" t="s">
        <v>42</v>
      </c>
      <c r="E5814" s="15" t="s">
        <v>37</v>
      </c>
      <c r="F5814" s="15" t="s">
        <v>17</v>
      </c>
      <c r="G5814" s="15" t="s">
        <v>29</v>
      </c>
      <c r="H5814" s="15" t="n">
        <v>4</v>
      </c>
      <c r="I5814" s="17" t="n">
        <v>0</v>
      </c>
      <c r="J5814" s="18" t="n">
        <v>95.08</v>
      </c>
      <c r="K5814" s="19" t="n">
        <v>42.73</v>
      </c>
      <c r="L5814" s="15" t="n">
        <f aca="false">YEAR(B5814)</f>
        <v>2023</v>
      </c>
      <c r="M5814" s="20" t="n">
        <f aca="false">IF(J5814&gt;0,K5814/J5814,0)</f>
        <v>0.449411022297013</v>
      </c>
    </row>
    <row r="5815" customFormat="false" ht="15" hidden="false" customHeight="false" outlineLevel="0" collapsed="false">
      <c r="A5815" s="15" t="s">
        <v>5872</v>
      </c>
      <c r="B5815" s="16" t="n">
        <v>45032</v>
      </c>
      <c r="C5815" s="15" t="s">
        <v>71</v>
      </c>
      <c r="D5815" s="15" t="s">
        <v>44</v>
      </c>
      <c r="E5815" s="15" t="s">
        <v>39</v>
      </c>
      <c r="F5815" s="15" t="s">
        <v>17</v>
      </c>
      <c r="G5815" s="15" t="s">
        <v>29</v>
      </c>
      <c r="H5815" s="15" t="n">
        <v>2</v>
      </c>
      <c r="I5815" s="17" t="n">
        <v>0</v>
      </c>
      <c r="J5815" s="18" t="n">
        <v>47.86</v>
      </c>
      <c r="K5815" s="19" t="n">
        <v>17.21</v>
      </c>
      <c r="L5815" s="15" t="n">
        <f aca="false">YEAR(B5815)</f>
        <v>2023</v>
      </c>
      <c r="M5815" s="20" t="n">
        <f aca="false">IF(J5815&gt;0,K5815/J5815,0)</f>
        <v>0.359590472210614</v>
      </c>
    </row>
    <row r="5816" customFormat="false" ht="15" hidden="false" customHeight="false" outlineLevel="0" collapsed="false">
      <c r="A5816" s="15" t="s">
        <v>5873</v>
      </c>
      <c r="B5816" s="16" t="n">
        <v>46002</v>
      </c>
      <c r="C5816" s="15" t="s">
        <v>71</v>
      </c>
      <c r="D5816" s="15" t="s">
        <v>43</v>
      </c>
      <c r="E5816" s="15" t="s">
        <v>39</v>
      </c>
      <c r="F5816" s="15" t="s">
        <v>16</v>
      </c>
      <c r="G5816" s="15" t="s">
        <v>25</v>
      </c>
      <c r="H5816" s="15" t="n">
        <v>2</v>
      </c>
      <c r="I5816" s="17" t="n">
        <v>0</v>
      </c>
      <c r="J5816" s="18" t="n">
        <v>628.18</v>
      </c>
      <c r="K5816" s="19" t="n">
        <v>69.6</v>
      </c>
      <c r="L5816" s="15" t="n">
        <f aca="false">YEAR(B5816)</f>
        <v>2025</v>
      </c>
      <c r="M5816" s="20" t="n">
        <f aca="false">IF(J5816&gt;0,K5816/J5816,0)</f>
        <v>0.110796268585437</v>
      </c>
    </row>
    <row r="5817" customFormat="false" ht="15" hidden="false" customHeight="false" outlineLevel="0" collapsed="false">
      <c r="A5817" s="15" t="s">
        <v>5874</v>
      </c>
      <c r="B5817" s="16" t="n">
        <v>45632</v>
      </c>
      <c r="C5817" s="15" t="s">
        <v>56</v>
      </c>
      <c r="D5817" s="15" t="s">
        <v>42</v>
      </c>
      <c r="E5817" s="15" t="s">
        <v>37</v>
      </c>
      <c r="F5817" s="15" t="s">
        <v>17</v>
      </c>
      <c r="G5817" s="15" t="s">
        <v>31</v>
      </c>
      <c r="H5817" s="15" t="n">
        <v>5</v>
      </c>
      <c r="I5817" s="17" t="n">
        <v>0.3</v>
      </c>
      <c r="J5817" s="18" t="n">
        <v>587.62</v>
      </c>
      <c r="K5817" s="19" t="n">
        <v>-25.07</v>
      </c>
      <c r="L5817" s="15" t="n">
        <f aca="false">YEAR(B5817)</f>
        <v>2024</v>
      </c>
      <c r="M5817" s="20" t="n">
        <f aca="false">IF(J5817&gt;0,K5817/J5817,0)</f>
        <v>-0.042663626152956</v>
      </c>
    </row>
    <row r="5818" customFormat="false" ht="15" hidden="false" customHeight="false" outlineLevel="0" collapsed="false">
      <c r="A5818" s="15" t="s">
        <v>5875</v>
      </c>
      <c r="B5818" s="16" t="n">
        <v>45906</v>
      </c>
      <c r="C5818" s="15" t="s">
        <v>68</v>
      </c>
      <c r="D5818" s="15" t="s">
        <v>42</v>
      </c>
      <c r="E5818" s="15" t="s">
        <v>39</v>
      </c>
      <c r="F5818" s="15" t="s">
        <v>18</v>
      </c>
      <c r="G5818" s="15" t="s">
        <v>24</v>
      </c>
      <c r="H5818" s="15" t="n">
        <v>4</v>
      </c>
      <c r="I5818" s="17" t="n">
        <v>0</v>
      </c>
      <c r="J5818" s="18" t="n">
        <v>2564.89</v>
      </c>
      <c r="K5818" s="19" t="n">
        <v>118.49</v>
      </c>
      <c r="L5818" s="15" t="n">
        <f aca="false">YEAR(B5818)</f>
        <v>2025</v>
      </c>
      <c r="M5818" s="20" t="n">
        <f aca="false">IF(J5818&gt;0,K5818/J5818,0)</f>
        <v>0.0461969129280398</v>
      </c>
    </row>
    <row r="5819" customFormat="false" ht="15" hidden="false" customHeight="false" outlineLevel="0" collapsed="false">
      <c r="A5819" s="15" t="s">
        <v>5876</v>
      </c>
      <c r="B5819" s="16" t="n">
        <v>45481</v>
      </c>
      <c r="C5819" s="15" t="s">
        <v>56</v>
      </c>
      <c r="D5819" s="15" t="s">
        <v>43</v>
      </c>
      <c r="E5819" s="15" t="s">
        <v>39</v>
      </c>
      <c r="F5819" s="15" t="s">
        <v>17</v>
      </c>
      <c r="G5819" s="15" t="s">
        <v>26</v>
      </c>
      <c r="H5819" s="15" t="n">
        <v>3</v>
      </c>
      <c r="I5819" s="17" t="n">
        <v>0.05</v>
      </c>
      <c r="J5819" s="18" t="n">
        <v>296.94</v>
      </c>
      <c r="K5819" s="19" t="n">
        <v>5.97</v>
      </c>
      <c r="L5819" s="15" t="n">
        <f aca="false">YEAR(B5819)</f>
        <v>2024</v>
      </c>
      <c r="M5819" s="20" t="n">
        <f aca="false">IF(J5819&gt;0,K5819/J5819,0)</f>
        <v>0.020105071731663</v>
      </c>
    </row>
    <row r="5820" customFormat="false" ht="15" hidden="false" customHeight="false" outlineLevel="0" collapsed="false">
      <c r="A5820" s="15" t="s">
        <v>5877</v>
      </c>
      <c r="B5820" s="16" t="n">
        <v>45320</v>
      </c>
      <c r="C5820" s="15" t="s">
        <v>56</v>
      </c>
      <c r="D5820" s="15" t="s">
        <v>42</v>
      </c>
      <c r="E5820" s="15" t="s">
        <v>38</v>
      </c>
      <c r="F5820" s="15" t="s">
        <v>18</v>
      </c>
      <c r="G5820" s="15" t="s">
        <v>30</v>
      </c>
      <c r="H5820" s="15" t="n">
        <v>3</v>
      </c>
      <c r="I5820" s="17" t="n">
        <v>0</v>
      </c>
      <c r="J5820" s="18" t="n">
        <v>137.67</v>
      </c>
      <c r="K5820" s="19" t="n">
        <v>45.51</v>
      </c>
      <c r="L5820" s="15" t="n">
        <f aca="false">YEAR(B5820)</f>
        <v>2024</v>
      </c>
      <c r="M5820" s="20" t="n">
        <f aca="false">IF(J5820&gt;0,K5820/J5820,0)</f>
        <v>0.330573109609937</v>
      </c>
    </row>
    <row r="5821" customFormat="false" ht="15" hidden="false" customHeight="false" outlineLevel="0" collapsed="false">
      <c r="A5821" s="15" t="s">
        <v>5878</v>
      </c>
      <c r="B5821" s="16" t="n">
        <v>45959</v>
      </c>
      <c r="C5821" s="15" t="s">
        <v>56</v>
      </c>
      <c r="D5821" s="15" t="s">
        <v>42</v>
      </c>
      <c r="E5821" s="15" t="s">
        <v>37</v>
      </c>
      <c r="F5821" s="15" t="s">
        <v>17</v>
      </c>
      <c r="G5821" s="15" t="s">
        <v>31</v>
      </c>
      <c r="H5821" s="15" t="n">
        <v>5</v>
      </c>
      <c r="I5821" s="17" t="n">
        <v>0</v>
      </c>
      <c r="J5821" s="18" t="n">
        <v>643.66</v>
      </c>
      <c r="K5821" s="19" t="n">
        <v>108.95</v>
      </c>
      <c r="L5821" s="15" t="n">
        <f aca="false">YEAR(B5821)</f>
        <v>2025</v>
      </c>
      <c r="M5821" s="20" t="n">
        <f aca="false">IF(J5821&gt;0,K5821/J5821,0)</f>
        <v>0.169266382872945</v>
      </c>
    </row>
    <row r="5822" customFormat="false" ht="15" hidden="false" customHeight="false" outlineLevel="0" collapsed="false">
      <c r="A5822" s="15" t="s">
        <v>5879</v>
      </c>
      <c r="B5822" s="16" t="n">
        <v>44910</v>
      </c>
      <c r="C5822" s="15" t="s">
        <v>56</v>
      </c>
      <c r="D5822" s="15" t="s">
        <v>42</v>
      </c>
      <c r="E5822" s="15" t="s">
        <v>39</v>
      </c>
      <c r="F5822" s="15" t="s">
        <v>16</v>
      </c>
      <c r="G5822" s="15" t="s">
        <v>25</v>
      </c>
      <c r="H5822" s="15" t="n">
        <v>3</v>
      </c>
      <c r="I5822" s="17" t="n">
        <v>0.1</v>
      </c>
      <c r="J5822" s="18" t="n">
        <v>883.71</v>
      </c>
      <c r="K5822" s="19" t="n">
        <v>-13.51</v>
      </c>
      <c r="L5822" s="15" t="n">
        <f aca="false">YEAR(B5822)</f>
        <v>2022</v>
      </c>
      <c r="M5822" s="20" t="n">
        <f aca="false">IF(J5822&gt;0,K5822/J5822,0)</f>
        <v>-0.0152878206651503</v>
      </c>
    </row>
    <row r="5823" customFormat="false" ht="15" hidden="false" customHeight="false" outlineLevel="0" collapsed="false">
      <c r="A5823" s="15" t="s">
        <v>5880</v>
      </c>
      <c r="B5823" s="16" t="n">
        <v>44908</v>
      </c>
      <c r="C5823" s="15" t="s">
        <v>71</v>
      </c>
      <c r="D5823" s="15" t="s">
        <v>42</v>
      </c>
      <c r="E5823" s="15" t="s">
        <v>39</v>
      </c>
      <c r="F5823" s="15" t="s">
        <v>17</v>
      </c>
      <c r="G5823" s="15" t="s">
        <v>26</v>
      </c>
      <c r="H5823" s="15" t="n">
        <v>6</v>
      </c>
      <c r="I5823" s="17" t="n">
        <v>0</v>
      </c>
      <c r="J5823" s="18" t="n">
        <v>566.52</v>
      </c>
      <c r="K5823" s="19" t="n">
        <v>52.84</v>
      </c>
      <c r="L5823" s="15" t="n">
        <f aca="false">YEAR(B5823)</f>
        <v>2022</v>
      </c>
      <c r="M5823" s="20" t="n">
        <f aca="false">IF(J5823&gt;0,K5823/J5823,0)</f>
        <v>0.0932711996046036</v>
      </c>
    </row>
    <row r="5824" customFormat="false" ht="15" hidden="false" customHeight="false" outlineLevel="0" collapsed="false">
      <c r="A5824" s="15" t="s">
        <v>5881</v>
      </c>
      <c r="B5824" s="16" t="n">
        <v>46000</v>
      </c>
      <c r="C5824" s="15" t="s">
        <v>71</v>
      </c>
      <c r="D5824" s="15" t="s">
        <v>42</v>
      </c>
      <c r="E5824" s="15" t="s">
        <v>38</v>
      </c>
      <c r="F5824" s="15" t="s">
        <v>17</v>
      </c>
      <c r="G5824" s="15" t="s">
        <v>31</v>
      </c>
      <c r="H5824" s="15" t="n">
        <v>3</v>
      </c>
      <c r="I5824" s="17" t="n">
        <v>0</v>
      </c>
      <c r="J5824" s="18" t="n">
        <v>322.57</v>
      </c>
      <c r="K5824" s="19" t="n">
        <v>43.85</v>
      </c>
      <c r="L5824" s="15" t="n">
        <f aca="false">YEAR(B5824)</f>
        <v>2025</v>
      </c>
      <c r="M5824" s="20" t="n">
        <f aca="false">IF(J5824&gt;0,K5824/J5824,0)</f>
        <v>0.135939486003038</v>
      </c>
    </row>
    <row r="5825" customFormat="false" ht="15" hidden="false" customHeight="false" outlineLevel="0" collapsed="false">
      <c r="A5825" s="15" t="s">
        <v>5882</v>
      </c>
      <c r="B5825" s="16" t="n">
        <v>45987</v>
      </c>
      <c r="C5825" s="15" t="s">
        <v>68</v>
      </c>
      <c r="D5825" s="15" t="s">
        <v>44</v>
      </c>
      <c r="E5825" s="15" t="s">
        <v>39</v>
      </c>
      <c r="F5825" s="15" t="s">
        <v>17</v>
      </c>
      <c r="G5825" s="15" t="s">
        <v>26</v>
      </c>
      <c r="H5825" s="15" t="n">
        <v>4</v>
      </c>
      <c r="I5825" s="17" t="n">
        <v>0.1</v>
      </c>
      <c r="J5825" s="18" t="n">
        <v>301.02</v>
      </c>
      <c r="K5825" s="19" t="n">
        <v>11.47</v>
      </c>
      <c r="L5825" s="15" t="n">
        <f aca="false">YEAR(B5825)</f>
        <v>2025</v>
      </c>
      <c r="M5825" s="20" t="n">
        <f aca="false">IF(J5825&gt;0,K5825/J5825,0)</f>
        <v>0.0381037804797024</v>
      </c>
    </row>
    <row r="5826" customFormat="false" ht="15" hidden="false" customHeight="false" outlineLevel="0" collapsed="false">
      <c r="A5826" s="15" t="s">
        <v>5883</v>
      </c>
      <c r="B5826" s="16" t="n">
        <v>45718</v>
      </c>
      <c r="C5826" s="15" t="s">
        <v>71</v>
      </c>
      <c r="D5826" s="15" t="s">
        <v>42</v>
      </c>
      <c r="E5826" s="15" t="s">
        <v>36</v>
      </c>
      <c r="F5826" s="15" t="s">
        <v>18</v>
      </c>
      <c r="G5826" s="15" t="s">
        <v>30</v>
      </c>
      <c r="H5826" s="15" t="n">
        <v>3</v>
      </c>
      <c r="I5826" s="17" t="n">
        <v>0.05</v>
      </c>
      <c r="J5826" s="18" t="n">
        <v>127.56</v>
      </c>
      <c r="K5826" s="19" t="n">
        <v>30.62</v>
      </c>
      <c r="L5826" s="15" t="n">
        <f aca="false">YEAR(B5826)</f>
        <v>2025</v>
      </c>
      <c r="M5826" s="20" t="n">
        <f aca="false">IF(J5826&gt;0,K5826/J5826,0)</f>
        <v>0.240043900909376</v>
      </c>
    </row>
    <row r="5827" customFormat="false" ht="15" hidden="false" customHeight="false" outlineLevel="0" collapsed="false">
      <c r="A5827" s="15" t="s">
        <v>5884</v>
      </c>
      <c r="B5827" s="16" t="n">
        <v>45274</v>
      </c>
      <c r="C5827" s="15" t="s">
        <v>56</v>
      </c>
      <c r="D5827" s="15" t="s">
        <v>42</v>
      </c>
      <c r="E5827" s="15" t="s">
        <v>38</v>
      </c>
      <c r="F5827" s="15" t="s">
        <v>17</v>
      </c>
      <c r="G5827" s="15" t="s">
        <v>28</v>
      </c>
      <c r="H5827" s="15" t="n">
        <v>6</v>
      </c>
      <c r="I5827" s="17" t="n">
        <v>0.05</v>
      </c>
      <c r="J5827" s="18" t="n">
        <v>134.64</v>
      </c>
      <c r="K5827" s="19" t="n">
        <v>34.94</v>
      </c>
      <c r="L5827" s="15" t="n">
        <f aca="false">YEAR(B5827)</f>
        <v>2023</v>
      </c>
      <c r="M5827" s="20" t="n">
        <f aca="false">IF(J5827&gt;0,K5827/J5827,0)</f>
        <v>0.259506833036245</v>
      </c>
    </row>
    <row r="5828" customFormat="false" ht="15" hidden="false" customHeight="false" outlineLevel="0" collapsed="false">
      <c r="A5828" s="15" t="s">
        <v>5885</v>
      </c>
      <c r="B5828" s="16" t="n">
        <v>45211</v>
      </c>
      <c r="C5828" s="15" t="s">
        <v>71</v>
      </c>
      <c r="D5828" s="15" t="s">
        <v>42</v>
      </c>
      <c r="E5828" s="15" t="s">
        <v>37</v>
      </c>
      <c r="F5828" s="15" t="s">
        <v>17</v>
      </c>
      <c r="G5828" s="15" t="s">
        <v>31</v>
      </c>
      <c r="H5828" s="15" t="n">
        <v>6</v>
      </c>
      <c r="I5828" s="17" t="n">
        <v>0.15</v>
      </c>
      <c r="J5828" s="18" t="n">
        <v>595.18</v>
      </c>
      <c r="K5828" s="19" t="n">
        <v>90.92</v>
      </c>
      <c r="L5828" s="15" t="n">
        <f aca="false">YEAR(B5828)</f>
        <v>2023</v>
      </c>
      <c r="M5828" s="20" t="n">
        <f aca="false">IF(J5828&gt;0,K5828/J5828,0)</f>
        <v>0.15276050942572</v>
      </c>
    </row>
    <row r="5829" customFormat="false" ht="15" hidden="false" customHeight="false" outlineLevel="0" collapsed="false">
      <c r="A5829" s="15" t="s">
        <v>5886</v>
      </c>
      <c r="B5829" s="16" t="n">
        <v>45985</v>
      </c>
      <c r="C5829" s="15" t="s">
        <v>71</v>
      </c>
      <c r="D5829" s="15" t="s">
        <v>42</v>
      </c>
      <c r="E5829" s="15" t="s">
        <v>39</v>
      </c>
      <c r="F5829" s="15" t="s">
        <v>18</v>
      </c>
      <c r="G5829" s="15" t="s">
        <v>32</v>
      </c>
      <c r="H5829" s="15" t="n">
        <v>1</v>
      </c>
      <c r="I5829" s="17" t="n">
        <v>0.2</v>
      </c>
      <c r="J5829" s="18" t="n">
        <v>357.15</v>
      </c>
      <c r="K5829" s="19" t="n">
        <v>-0.82</v>
      </c>
      <c r="L5829" s="15" t="n">
        <f aca="false">YEAR(B5829)</f>
        <v>2025</v>
      </c>
      <c r="M5829" s="20" t="n">
        <f aca="false">IF(J5829&gt;0,K5829/J5829,0)</f>
        <v>-0.00229595408091838</v>
      </c>
    </row>
    <row r="5830" customFormat="false" ht="15" hidden="false" customHeight="false" outlineLevel="0" collapsed="false">
      <c r="A5830" s="15" t="s">
        <v>5887</v>
      </c>
      <c r="B5830" s="16" t="n">
        <v>44796</v>
      </c>
      <c r="C5830" s="15" t="s">
        <v>68</v>
      </c>
      <c r="D5830" s="15" t="s">
        <v>44</v>
      </c>
      <c r="E5830" s="15" t="s">
        <v>37</v>
      </c>
      <c r="F5830" s="15" t="s">
        <v>17</v>
      </c>
      <c r="G5830" s="15" t="s">
        <v>31</v>
      </c>
      <c r="H5830" s="15" t="n">
        <v>7</v>
      </c>
      <c r="I5830" s="17" t="n">
        <v>0</v>
      </c>
      <c r="J5830" s="18" t="n">
        <v>1063.04</v>
      </c>
      <c r="K5830" s="19" t="n">
        <v>149.21</v>
      </c>
      <c r="L5830" s="15" t="n">
        <f aca="false">YEAR(B5830)</f>
        <v>2022</v>
      </c>
      <c r="M5830" s="20" t="n">
        <f aca="false">IF(J5830&gt;0,K5830/J5830,0)</f>
        <v>0.140361604455148</v>
      </c>
    </row>
    <row r="5831" customFormat="false" ht="15" hidden="false" customHeight="false" outlineLevel="0" collapsed="false">
      <c r="A5831" s="15" t="s">
        <v>5888</v>
      </c>
      <c r="B5831" s="16" t="n">
        <v>44923</v>
      </c>
      <c r="C5831" s="15" t="s">
        <v>56</v>
      </c>
      <c r="D5831" s="15" t="s">
        <v>42</v>
      </c>
      <c r="E5831" s="15" t="s">
        <v>39</v>
      </c>
      <c r="F5831" s="15" t="s">
        <v>18</v>
      </c>
      <c r="G5831" s="15" t="s">
        <v>30</v>
      </c>
      <c r="H5831" s="15" t="n">
        <v>3</v>
      </c>
      <c r="I5831" s="17" t="n">
        <v>0</v>
      </c>
      <c r="J5831" s="18" t="n">
        <v>187.21</v>
      </c>
      <c r="K5831" s="19" t="n">
        <v>50.61</v>
      </c>
      <c r="L5831" s="15" t="n">
        <f aca="false">YEAR(B5831)</f>
        <v>2022</v>
      </c>
      <c r="M5831" s="20" t="n">
        <f aca="false">IF(J5831&gt;0,K5831/J5831,0)</f>
        <v>0.270338122963517</v>
      </c>
    </row>
    <row r="5832" customFormat="false" ht="15" hidden="false" customHeight="false" outlineLevel="0" collapsed="false">
      <c r="A5832" s="15" t="s">
        <v>5889</v>
      </c>
      <c r="B5832" s="16" t="n">
        <v>45406</v>
      </c>
      <c r="C5832" s="15" t="s">
        <v>58</v>
      </c>
      <c r="D5832" s="15" t="s">
        <v>42</v>
      </c>
      <c r="E5832" s="15" t="s">
        <v>37</v>
      </c>
      <c r="F5832" s="15" t="s">
        <v>18</v>
      </c>
      <c r="G5832" s="15" t="s">
        <v>32</v>
      </c>
      <c r="H5832" s="15" t="n">
        <v>3</v>
      </c>
      <c r="I5832" s="17" t="n">
        <v>0.2</v>
      </c>
      <c r="J5832" s="18" t="n">
        <v>999.33</v>
      </c>
      <c r="K5832" s="19" t="n">
        <v>-23.91</v>
      </c>
      <c r="L5832" s="15" t="n">
        <f aca="false">YEAR(B5832)</f>
        <v>2024</v>
      </c>
      <c r="M5832" s="20" t="n">
        <f aca="false">IF(J5832&gt;0,K5832/J5832,0)</f>
        <v>-0.0239260304403951</v>
      </c>
    </row>
    <row r="5833" customFormat="false" ht="15" hidden="false" customHeight="false" outlineLevel="0" collapsed="false">
      <c r="A5833" s="15" t="s">
        <v>5890</v>
      </c>
      <c r="B5833" s="16" t="n">
        <v>44705</v>
      </c>
      <c r="C5833" s="15" t="s">
        <v>56</v>
      </c>
      <c r="D5833" s="15" t="s">
        <v>42</v>
      </c>
      <c r="E5833" s="15" t="s">
        <v>39</v>
      </c>
      <c r="F5833" s="15" t="s">
        <v>17</v>
      </c>
      <c r="G5833" s="15" t="s">
        <v>28</v>
      </c>
      <c r="H5833" s="15" t="n">
        <v>2</v>
      </c>
      <c r="I5833" s="17" t="n">
        <v>0</v>
      </c>
      <c r="J5833" s="18" t="n">
        <v>43.98</v>
      </c>
      <c r="K5833" s="19" t="n">
        <v>11.11</v>
      </c>
      <c r="L5833" s="15" t="n">
        <f aca="false">YEAR(B5833)</f>
        <v>2022</v>
      </c>
      <c r="M5833" s="20" t="n">
        <f aca="false">IF(J5833&gt;0,K5833/J5833,0)</f>
        <v>0.252614824920418</v>
      </c>
    </row>
    <row r="5834" customFormat="false" ht="15" hidden="false" customHeight="false" outlineLevel="0" collapsed="false">
      <c r="A5834" s="15" t="s">
        <v>5891</v>
      </c>
      <c r="B5834" s="16" t="n">
        <v>46006</v>
      </c>
      <c r="C5834" s="15" t="s">
        <v>56</v>
      </c>
      <c r="D5834" s="15" t="s">
        <v>44</v>
      </c>
      <c r="E5834" s="15" t="s">
        <v>36</v>
      </c>
      <c r="F5834" s="15" t="s">
        <v>18</v>
      </c>
      <c r="G5834" s="15" t="s">
        <v>33</v>
      </c>
      <c r="H5834" s="15" t="n">
        <v>5</v>
      </c>
      <c r="I5834" s="17" t="n">
        <v>0</v>
      </c>
      <c r="J5834" s="18" t="n">
        <v>3948.54</v>
      </c>
      <c r="K5834" s="19" t="n">
        <v>1359.67</v>
      </c>
      <c r="L5834" s="15" t="n">
        <f aca="false">YEAR(B5834)</f>
        <v>2025</v>
      </c>
      <c r="M5834" s="20" t="n">
        <f aca="false">IF(J5834&gt;0,K5834/J5834,0)</f>
        <v>0.344347530986137</v>
      </c>
    </row>
    <row r="5835" customFormat="false" ht="15" hidden="false" customHeight="false" outlineLevel="0" collapsed="false">
      <c r="A5835" s="15" t="s">
        <v>5892</v>
      </c>
      <c r="B5835" s="16" t="n">
        <v>45487</v>
      </c>
      <c r="C5835" s="15" t="s">
        <v>56</v>
      </c>
      <c r="D5835" s="15" t="s">
        <v>42</v>
      </c>
      <c r="E5835" s="15" t="s">
        <v>38</v>
      </c>
      <c r="F5835" s="15" t="s">
        <v>16</v>
      </c>
      <c r="G5835" s="15" t="s">
        <v>23</v>
      </c>
      <c r="H5835" s="15" t="n">
        <v>6</v>
      </c>
      <c r="I5835" s="17" t="n">
        <v>0.05</v>
      </c>
      <c r="J5835" s="18" t="n">
        <v>1524.38</v>
      </c>
      <c r="K5835" s="19" t="n">
        <v>27.06</v>
      </c>
      <c r="L5835" s="15" t="n">
        <f aca="false">YEAR(B5835)</f>
        <v>2024</v>
      </c>
      <c r="M5835" s="20" t="n">
        <f aca="false">IF(J5835&gt;0,K5835/J5835,0)</f>
        <v>0.0177514792899408</v>
      </c>
    </row>
    <row r="5836" customFormat="false" ht="15" hidden="false" customHeight="false" outlineLevel="0" collapsed="false">
      <c r="A5836" s="15" t="s">
        <v>5893</v>
      </c>
      <c r="B5836" s="16" t="n">
        <v>45650</v>
      </c>
      <c r="C5836" s="15" t="s">
        <v>56</v>
      </c>
      <c r="D5836" s="15" t="s">
        <v>44</v>
      </c>
      <c r="E5836" s="15" t="s">
        <v>38</v>
      </c>
      <c r="F5836" s="15" t="s">
        <v>17</v>
      </c>
      <c r="G5836" s="15" t="s">
        <v>26</v>
      </c>
      <c r="H5836" s="15" t="n">
        <v>4</v>
      </c>
      <c r="I5836" s="17" t="n">
        <v>0</v>
      </c>
      <c r="J5836" s="18" t="n">
        <v>330.19</v>
      </c>
      <c r="K5836" s="19" t="n">
        <v>52.08</v>
      </c>
      <c r="L5836" s="15" t="n">
        <f aca="false">YEAR(B5836)</f>
        <v>2024</v>
      </c>
      <c r="M5836" s="20" t="n">
        <f aca="false">IF(J5836&gt;0,K5836/J5836,0)</f>
        <v>0.157727369090524</v>
      </c>
    </row>
    <row r="5837" customFormat="false" ht="15" hidden="false" customHeight="false" outlineLevel="0" collapsed="false">
      <c r="A5837" s="15" t="s">
        <v>5894</v>
      </c>
      <c r="B5837" s="16" t="n">
        <v>45805</v>
      </c>
      <c r="C5837" s="15" t="s">
        <v>71</v>
      </c>
      <c r="D5837" s="15" t="s">
        <v>44</v>
      </c>
      <c r="E5837" s="15" t="s">
        <v>39</v>
      </c>
      <c r="F5837" s="15" t="s">
        <v>17</v>
      </c>
      <c r="G5837" s="15" t="s">
        <v>26</v>
      </c>
      <c r="H5837" s="15" t="n">
        <v>8</v>
      </c>
      <c r="I5837" s="17" t="n">
        <v>0</v>
      </c>
      <c r="J5837" s="18" t="n">
        <v>670.64</v>
      </c>
      <c r="K5837" s="19" t="n">
        <v>98.79</v>
      </c>
      <c r="L5837" s="15" t="n">
        <f aca="false">YEAR(B5837)</f>
        <v>2025</v>
      </c>
      <c r="M5837" s="20" t="n">
        <f aca="false">IF(J5837&gt;0,K5837/J5837,0)</f>
        <v>0.147307049982107</v>
      </c>
    </row>
    <row r="5838" customFormat="false" ht="15" hidden="false" customHeight="false" outlineLevel="0" collapsed="false">
      <c r="A5838" s="15" t="s">
        <v>5895</v>
      </c>
      <c r="B5838" s="16" t="n">
        <v>45985</v>
      </c>
      <c r="C5838" s="15" t="s">
        <v>56</v>
      </c>
      <c r="D5838" s="15" t="s">
        <v>42</v>
      </c>
      <c r="E5838" s="15" t="s">
        <v>37</v>
      </c>
      <c r="F5838" s="15" t="s">
        <v>17</v>
      </c>
      <c r="G5838" s="15" t="s">
        <v>29</v>
      </c>
      <c r="H5838" s="15" t="n">
        <v>4</v>
      </c>
      <c r="I5838" s="17" t="n">
        <v>0.2</v>
      </c>
      <c r="J5838" s="18" t="n">
        <v>53.91</v>
      </c>
      <c r="K5838" s="19" t="n">
        <v>9.87</v>
      </c>
      <c r="L5838" s="15" t="n">
        <f aca="false">YEAR(B5838)</f>
        <v>2025</v>
      </c>
      <c r="M5838" s="20" t="n">
        <f aca="false">IF(J5838&gt;0,K5838/J5838,0)</f>
        <v>0.183082915971063</v>
      </c>
    </row>
    <row r="5839" customFormat="false" ht="15" hidden="false" customHeight="false" outlineLevel="0" collapsed="false">
      <c r="A5839" s="15" t="s">
        <v>5896</v>
      </c>
      <c r="B5839" s="16" t="n">
        <v>45548</v>
      </c>
      <c r="C5839" s="15" t="s">
        <v>56</v>
      </c>
      <c r="D5839" s="15" t="s">
        <v>42</v>
      </c>
      <c r="E5839" s="15" t="s">
        <v>39</v>
      </c>
      <c r="F5839" s="15" t="s">
        <v>16</v>
      </c>
      <c r="G5839" s="15" t="s">
        <v>25</v>
      </c>
      <c r="H5839" s="15" t="n">
        <v>6</v>
      </c>
      <c r="I5839" s="17" t="n">
        <v>0</v>
      </c>
      <c r="J5839" s="18" t="n">
        <v>1914.64</v>
      </c>
      <c r="K5839" s="19" t="n">
        <v>236.97</v>
      </c>
      <c r="L5839" s="15" t="n">
        <f aca="false">YEAR(B5839)</f>
        <v>2024</v>
      </c>
      <c r="M5839" s="20" t="n">
        <f aca="false">IF(J5839&gt;0,K5839/J5839,0)</f>
        <v>0.123767392303514</v>
      </c>
    </row>
    <row r="5840" customFormat="false" ht="15" hidden="false" customHeight="false" outlineLevel="0" collapsed="false">
      <c r="A5840" s="15" t="s">
        <v>5897</v>
      </c>
      <c r="B5840" s="16" t="n">
        <v>45646</v>
      </c>
      <c r="C5840" s="15" t="s">
        <v>56</v>
      </c>
      <c r="D5840" s="15" t="s">
        <v>43</v>
      </c>
      <c r="E5840" s="15" t="s">
        <v>39</v>
      </c>
      <c r="F5840" s="15" t="s">
        <v>17</v>
      </c>
      <c r="G5840" s="15" t="s">
        <v>31</v>
      </c>
      <c r="H5840" s="15" t="n">
        <v>4</v>
      </c>
      <c r="I5840" s="17" t="n">
        <v>0.2</v>
      </c>
      <c r="J5840" s="18" t="n">
        <v>572.27</v>
      </c>
      <c r="K5840" s="19" t="n">
        <v>9.99</v>
      </c>
      <c r="L5840" s="15" t="n">
        <f aca="false">YEAR(B5840)</f>
        <v>2024</v>
      </c>
      <c r="M5840" s="20" t="n">
        <f aca="false">IF(J5840&gt;0,K5840/J5840,0)</f>
        <v>0.0174567948695546</v>
      </c>
    </row>
    <row r="5841" customFormat="false" ht="15" hidden="false" customHeight="false" outlineLevel="0" collapsed="false">
      <c r="A5841" s="15" t="s">
        <v>5898</v>
      </c>
      <c r="B5841" s="16" t="n">
        <v>45741</v>
      </c>
      <c r="C5841" s="15" t="s">
        <v>56</v>
      </c>
      <c r="D5841" s="15" t="s">
        <v>42</v>
      </c>
      <c r="E5841" s="15" t="s">
        <v>39</v>
      </c>
      <c r="F5841" s="15" t="s">
        <v>17</v>
      </c>
      <c r="G5841" s="15" t="s">
        <v>29</v>
      </c>
      <c r="H5841" s="15" t="n">
        <v>4</v>
      </c>
      <c r="I5841" s="17" t="n">
        <v>0.2</v>
      </c>
      <c r="J5841" s="18" t="n">
        <v>50.74</v>
      </c>
      <c r="K5841" s="19" t="n">
        <v>10.31</v>
      </c>
      <c r="L5841" s="15" t="n">
        <f aca="false">YEAR(B5841)</f>
        <v>2025</v>
      </c>
      <c r="M5841" s="20" t="n">
        <f aca="false">IF(J5841&gt;0,K5841/J5841,0)</f>
        <v>0.203192747339377</v>
      </c>
    </row>
    <row r="5842" customFormat="false" ht="15" hidden="false" customHeight="false" outlineLevel="0" collapsed="false">
      <c r="A5842" s="15" t="s">
        <v>5899</v>
      </c>
      <c r="B5842" s="16" t="n">
        <v>45553</v>
      </c>
      <c r="C5842" s="15" t="s">
        <v>56</v>
      </c>
      <c r="D5842" s="15" t="s">
        <v>42</v>
      </c>
      <c r="E5842" s="15" t="s">
        <v>39</v>
      </c>
      <c r="F5842" s="15" t="s">
        <v>17</v>
      </c>
      <c r="G5842" s="15" t="s">
        <v>28</v>
      </c>
      <c r="H5842" s="15" t="n">
        <v>3</v>
      </c>
      <c r="I5842" s="17" t="n">
        <v>0.05</v>
      </c>
      <c r="J5842" s="18" t="n">
        <v>85.38</v>
      </c>
      <c r="K5842" s="19" t="n">
        <v>14.48</v>
      </c>
      <c r="L5842" s="15" t="n">
        <f aca="false">YEAR(B5842)</f>
        <v>2024</v>
      </c>
      <c r="M5842" s="20" t="n">
        <f aca="false">IF(J5842&gt;0,K5842/J5842,0)</f>
        <v>0.169594752869525</v>
      </c>
    </row>
    <row r="5843" customFormat="false" ht="15" hidden="false" customHeight="false" outlineLevel="0" collapsed="false">
      <c r="A5843" s="15" t="s">
        <v>5900</v>
      </c>
      <c r="B5843" s="16" t="n">
        <v>45892</v>
      </c>
      <c r="C5843" s="15" t="s">
        <v>56</v>
      </c>
      <c r="D5843" s="15" t="s">
        <v>43</v>
      </c>
      <c r="E5843" s="15" t="s">
        <v>37</v>
      </c>
      <c r="F5843" s="15" t="s">
        <v>17</v>
      </c>
      <c r="G5843" s="15" t="s">
        <v>28</v>
      </c>
      <c r="H5843" s="15" t="n">
        <v>3</v>
      </c>
      <c r="I5843" s="17" t="n">
        <v>0</v>
      </c>
      <c r="J5843" s="18" t="n">
        <v>95.78</v>
      </c>
      <c r="K5843" s="19" t="n">
        <v>40.67</v>
      </c>
      <c r="L5843" s="15" t="n">
        <f aca="false">YEAR(B5843)</f>
        <v>2025</v>
      </c>
      <c r="M5843" s="20" t="n">
        <f aca="false">IF(J5843&gt;0,K5843/J5843,0)</f>
        <v>0.424618918354563</v>
      </c>
    </row>
    <row r="5844" customFormat="false" ht="15" hidden="false" customHeight="false" outlineLevel="0" collapsed="false">
      <c r="A5844" s="15" t="s">
        <v>5901</v>
      </c>
      <c r="B5844" s="16" t="n">
        <v>45558</v>
      </c>
      <c r="C5844" s="15" t="s">
        <v>58</v>
      </c>
      <c r="D5844" s="15" t="s">
        <v>42</v>
      </c>
      <c r="E5844" s="15" t="s">
        <v>37</v>
      </c>
      <c r="F5844" s="15" t="s">
        <v>17</v>
      </c>
      <c r="G5844" s="15" t="s">
        <v>26</v>
      </c>
      <c r="H5844" s="15" t="n">
        <v>3</v>
      </c>
      <c r="I5844" s="17" t="n">
        <v>0</v>
      </c>
      <c r="J5844" s="18" t="n">
        <v>267.39</v>
      </c>
      <c r="K5844" s="19" t="n">
        <v>45</v>
      </c>
      <c r="L5844" s="15" t="n">
        <f aca="false">YEAR(B5844)</f>
        <v>2024</v>
      </c>
      <c r="M5844" s="20" t="n">
        <f aca="false">IF(J5844&gt;0,K5844/J5844,0)</f>
        <v>0.168293503870751</v>
      </c>
    </row>
    <row r="5845" customFormat="false" ht="15" hidden="false" customHeight="false" outlineLevel="0" collapsed="false">
      <c r="A5845" s="15" t="s">
        <v>5902</v>
      </c>
      <c r="B5845" s="16" t="n">
        <v>45242</v>
      </c>
      <c r="C5845" s="15" t="s">
        <v>56</v>
      </c>
      <c r="D5845" s="15" t="s">
        <v>42</v>
      </c>
      <c r="E5845" s="15" t="s">
        <v>39</v>
      </c>
      <c r="F5845" s="15" t="s">
        <v>16</v>
      </c>
      <c r="G5845" s="15" t="s">
        <v>22</v>
      </c>
      <c r="H5845" s="15" t="n">
        <v>4</v>
      </c>
      <c r="I5845" s="17" t="n">
        <v>0</v>
      </c>
      <c r="J5845" s="18" t="n">
        <v>1927.1</v>
      </c>
      <c r="K5845" s="19" t="n">
        <v>-35.45</v>
      </c>
      <c r="L5845" s="15" t="n">
        <f aca="false">YEAR(B5845)</f>
        <v>2023</v>
      </c>
      <c r="M5845" s="20" t="n">
        <f aca="false">IF(J5845&gt;0,K5845/J5845,0)</f>
        <v>-0.0183955165793161</v>
      </c>
    </row>
    <row r="5846" customFormat="false" ht="15" hidden="false" customHeight="false" outlineLevel="0" collapsed="false">
      <c r="A5846" s="15" t="s">
        <v>5903</v>
      </c>
      <c r="B5846" s="16" t="n">
        <v>44867</v>
      </c>
      <c r="C5846" s="15" t="s">
        <v>56</v>
      </c>
      <c r="D5846" s="15" t="s">
        <v>43</v>
      </c>
      <c r="E5846" s="15" t="s">
        <v>36</v>
      </c>
      <c r="F5846" s="15" t="s">
        <v>16</v>
      </c>
      <c r="G5846" s="15" t="s">
        <v>27</v>
      </c>
      <c r="H5846" s="15" t="n">
        <v>2</v>
      </c>
      <c r="I5846" s="17" t="n">
        <v>0.2</v>
      </c>
      <c r="J5846" s="18" t="n">
        <v>88.68</v>
      </c>
      <c r="K5846" s="19" t="n">
        <v>7.99</v>
      </c>
      <c r="L5846" s="15" t="n">
        <f aca="false">YEAR(B5846)</f>
        <v>2022</v>
      </c>
      <c r="M5846" s="20" t="n">
        <f aca="false">IF(J5846&gt;0,K5846/J5846,0)</f>
        <v>0.0900992331980153</v>
      </c>
    </row>
    <row r="5847" customFormat="false" ht="15" hidden="false" customHeight="false" outlineLevel="0" collapsed="false">
      <c r="A5847" s="15" t="s">
        <v>5904</v>
      </c>
      <c r="B5847" s="16" t="n">
        <v>44636</v>
      </c>
      <c r="C5847" s="15" t="s">
        <v>56</v>
      </c>
      <c r="D5847" s="15" t="s">
        <v>43</v>
      </c>
      <c r="E5847" s="15" t="s">
        <v>37</v>
      </c>
      <c r="F5847" s="15" t="s">
        <v>18</v>
      </c>
      <c r="G5847" s="15" t="s">
        <v>30</v>
      </c>
      <c r="H5847" s="15" t="n">
        <v>4</v>
      </c>
      <c r="I5847" s="17" t="n">
        <v>0.5</v>
      </c>
      <c r="J5847" s="18" t="n">
        <v>102.41</v>
      </c>
      <c r="K5847" s="19" t="n">
        <v>-9.24</v>
      </c>
      <c r="L5847" s="15" t="n">
        <f aca="false">YEAR(B5847)</f>
        <v>2022</v>
      </c>
      <c r="M5847" s="20" t="n">
        <f aca="false">IF(J5847&gt;0,K5847/J5847,0)</f>
        <v>-0.0902255639097744</v>
      </c>
    </row>
    <row r="5848" customFormat="false" ht="15" hidden="false" customHeight="false" outlineLevel="0" collapsed="false">
      <c r="A5848" s="15" t="s">
        <v>5905</v>
      </c>
      <c r="B5848" s="16" t="n">
        <v>45241</v>
      </c>
      <c r="C5848" s="15" t="s">
        <v>56</v>
      </c>
      <c r="D5848" s="15" t="s">
        <v>43</v>
      </c>
      <c r="E5848" s="15" t="s">
        <v>37</v>
      </c>
      <c r="F5848" s="15" t="s">
        <v>18</v>
      </c>
      <c r="G5848" s="15" t="s">
        <v>33</v>
      </c>
      <c r="H5848" s="15" t="n">
        <v>2</v>
      </c>
      <c r="I5848" s="17" t="n">
        <v>0.05</v>
      </c>
      <c r="J5848" s="18" t="n">
        <v>1918.76</v>
      </c>
      <c r="K5848" s="19" t="n">
        <v>344.72</v>
      </c>
      <c r="L5848" s="15" t="n">
        <f aca="false">YEAR(B5848)</f>
        <v>2023</v>
      </c>
      <c r="M5848" s="20" t="n">
        <f aca="false">IF(J5848&gt;0,K5848/J5848,0)</f>
        <v>0.179657695595072</v>
      </c>
    </row>
    <row r="5849" customFormat="false" ht="15" hidden="false" customHeight="false" outlineLevel="0" collapsed="false">
      <c r="A5849" s="15" t="s">
        <v>5906</v>
      </c>
      <c r="B5849" s="16" t="n">
        <v>45959</v>
      </c>
      <c r="C5849" s="15" t="s">
        <v>56</v>
      </c>
      <c r="D5849" s="15" t="s">
        <v>42</v>
      </c>
      <c r="E5849" s="15" t="s">
        <v>36</v>
      </c>
      <c r="F5849" s="15" t="s">
        <v>17</v>
      </c>
      <c r="G5849" s="15" t="s">
        <v>29</v>
      </c>
      <c r="H5849" s="15" t="n">
        <v>3</v>
      </c>
      <c r="I5849" s="17" t="n">
        <v>0</v>
      </c>
      <c r="J5849" s="18" t="n">
        <v>60.35</v>
      </c>
      <c r="K5849" s="19" t="n">
        <v>21.92</v>
      </c>
      <c r="L5849" s="15" t="n">
        <f aca="false">YEAR(B5849)</f>
        <v>2025</v>
      </c>
      <c r="M5849" s="20" t="n">
        <f aca="false">IF(J5849&gt;0,K5849/J5849,0)</f>
        <v>0.363214581607291</v>
      </c>
    </row>
    <row r="5850" customFormat="false" ht="15" hidden="false" customHeight="false" outlineLevel="0" collapsed="false">
      <c r="A5850" s="15" t="s">
        <v>5907</v>
      </c>
      <c r="B5850" s="16" t="n">
        <v>45165</v>
      </c>
      <c r="C5850" s="15" t="s">
        <v>56</v>
      </c>
      <c r="D5850" s="15" t="s">
        <v>42</v>
      </c>
      <c r="E5850" s="15" t="s">
        <v>36</v>
      </c>
      <c r="F5850" s="15" t="s">
        <v>17</v>
      </c>
      <c r="G5850" s="15" t="s">
        <v>29</v>
      </c>
      <c r="H5850" s="15" t="n">
        <v>3</v>
      </c>
      <c r="I5850" s="17" t="n">
        <v>0</v>
      </c>
      <c r="J5850" s="18" t="n">
        <v>47.54</v>
      </c>
      <c r="K5850" s="19" t="n">
        <v>24.09</v>
      </c>
      <c r="L5850" s="15" t="n">
        <f aca="false">YEAR(B5850)</f>
        <v>2023</v>
      </c>
      <c r="M5850" s="20" t="n">
        <f aca="false">IF(J5850&gt;0,K5850/J5850,0)</f>
        <v>0.506731173748422</v>
      </c>
    </row>
    <row r="5851" customFormat="false" ht="15" hidden="false" customHeight="false" outlineLevel="0" collapsed="false">
      <c r="A5851" s="15" t="s">
        <v>5908</v>
      </c>
      <c r="B5851" s="16" t="n">
        <v>45480</v>
      </c>
      <c r="C5851" s="15" t="s">
        <v>56</v>
      </c>
      <c r="D5851" s="15" t="s">
        <v>42</v>
      </c>
      <c r="E5851" s="15" t="s">
        <v>39</v>
      </c>
      <c r="F5851" s="15" t="s">
        <v>16</v>
      </c>
      <c r="G5851" s="15" t="s">
        <v>23</v>
      </c>
      <c r="H5851" s="15" t="n">
        <v>3</v>
      </c>
      <c r="I5851" s="17" t="n">
        <v>0</v>
      </c>
      <c r="J5851" s="18" t="n">
        <v>826.22</v>
      </c>
      <c r="K5851" s="19" t="n">
        <v>66.48</v>
      </c>
      <c r="L5851" s="15" t="n">
        <f aca="false">YEAR(B5851)</f>
        <v>2024</v>
      </c>
      <c r="M5851" s="20" t="n">
        <f aca="false">IF(J5851&gt;0,K5851/J5851,0)</f>
        <v>0.080462830723052</v>
      </c>
    </row>
    <row r="5852" customFormat="false" ht="15" hidden="false" customHeight="false" outlineLevel="0" collapsed="false">
      <c r="A5852" s="15" t="s">
        <v>5909</v>
      </c>
      <c r="B5852" s="16" t="n">
        <v>45949</v>
      </c>
      <c r="C5852" s="15" t="s">
        <v>56</v>
      </c>
      <c r="D5852" s="15" t="s">
        <v>42</v>
      </c>
      <c r="E5852" s="15" t="s">
        <v>39</v>
      </c>
      <c r="F5852" s="15" t="s">
        <v>17</v>
      </c>
      <c r="G5852" s="15" t="s">
        <v>28</v>
      </c>
      <c r="H5852" s="15" t="n">
        <v>4</v>
      </c>
      <c r="I5852" s="17" t="n">
        <v>0.15</v>
      </c>
      <c r="J5852" s="18" t="n">
        <v>88.13</v>
      </c>
      <c r="K5852" s="19" t="n">
        <v>15.62</v>
      </c>
      <c r="L5852" s="15" t="n">
        <f aca="false">YEAR(B5852)</f>
        <v>2025</v>
      </c>
      <c r="M5852" s="20" t="n">
        <f aca="false">IF(J5852&gt;0,K5852/J5852,0)</f>
        <v>0.177238170883922</v>
      </c>
    </row>
    <row r="5853" customFormat="false" ht="15" hidden="false" customHeight="false" outlineLevel="0" collapsed="false">
      <c r="A5853" s="15" t="s">
        <v>5910</v>
      </c>
      <c r="B5853" s="16" t="n">
        <v>45278</v>
      </c>
      <c r="C5853" s="15" t="s">
        <v>56</v>
      </c>
      <c r="D5853" s="15" t="s">
        <v>42</v>
      </c>
      <c r="E5853" s="15" t="s">
        <v>36</v>
      </c>
      <c r="F5853" s="15" t="s">
        <v>17</v>
      </c>
      <c r="G5853" s="15" t="s">
        <v>28</v>
      </c>
      <c r="H5853" s="15" t="n">
        <v>1</v>
      </c>
      <c r="I5853" s="17" t="n">
        <v>0</v>
      </c>
      <c r="J5853" s="18" t="n">
        <v>25.16</v>
      </c>
      <c r="K5853" s="19" t="n">
        <v>8.24</v>
      </c>
      <c r="L5853" s="15" t="n">
        <f aca="false">YEAR(B5853)</f>
        <v>2023</v>
      </c>
      <c r="M5853" s="20" t="n">
        <f aca="false">IF(J5853&gt;0,K5853/J5853,0)</f>
        <v>0.327503974562798</v>
      </c>
    </row>
    <row r="5854" customFormat="false" ht="15" hidden="false" customHeight="false" outlineLevel="0" collapsed="false">
      <c r="A5854" s="15" t="s">
        <v>5911</v>
      </c>
      <c r="B5854" s="16" t="n">
        <v>45938</v>
      </c>
      <c r="C5854" s="15" t="s">
        <v>56</v>
      </c>
      <c r="D5854" s="15" t="s">
        <v>42</v>
      </c>
      <c r="E5854" s="15" t="s">
        <v>37</v>
      </c>
      <c r="F5854" s="15" t="s">
        <v>16</v>
      </c>
      <c r="G5854" s="15" t="s">
        <v>25</v>
      </c>
      <c r="H5854" s="15" t="n">
        <v>4</v>
      </c>
      <c r="I5854" s="17" t="n">
        <v>0</v>
      </c>
      <c r="J5854" s="18" t="n">
        <v>1208.27</v>
      </c>
      <c r="K5854" s="19" t="n">
        <v>93.75</v>
      </c>
      <c r="L5854" s="15" t="n">
        <f aca="false">YEAR(B5854)</f>
        <v>2025</v>
      </c>
      <c r="M5854" s="20" t="n">
        <f aca="false">IF(J5854&gt;0,K5854/J5854,0)</f>
        <v>0.0775902736971041</v>
      </c>
    </row>
    <row r="5855" customFormat="false" ht="15" hidden="false" customHeight="false" outlineLevel="0" collapsed="false">
      <c r="A5855" s="15" t="s">
        <v>5912</v>
      </c>
      <c r="B5855" s="16" t="n">
        <v>45046</v>
      </c>
      <c r="C5855" s="15" t="s">
        <v>56</v>
      </c>
      <c r="D5855" s="15" t="s">
        <v>42</v>
      </c>
      <c r="E5855" s="15" t="s">
        <v>39</v>
      </c>
      <c r="F5855" s="15" t="s">
        <v>17</v>
      </c>
      <c r="G5855" s="15" t="s">
        <v>29</v>
      </c>
      <c r="H5855" s="15" t="n">
        <v>2</v>
      </c>
      <c r="I5855" s="17" t="n">
        <v>0.1</v>
      </c>
      <c r="J5855" s="18" t="n">
        <v>28.88</v>
      </c>
      <c r="K5855" s="19" t="n">
        <v>8.91</v>
      </c>
      <c r="L5855" s="15" t="n">
        <f aca="false">YEAR(B5855)</f>
        <v>2023</v>
      </c>
      <c r="M5855" s="20" t="n">
        <f aca="false">IF(J5855&gt;0,K5855/J5855,0)</f>
        <v>0.308518005540166</v>
      </c>
    </row>
    <row r="5856" customFormat="false" ht="15" hidden="false" customHeight="false" outlineLevel="0" collapsed="false">
      <c r="A5856" s="15" t="s">
        <v>5913</v>
      </c>
      <c r="B5856" s="16" t="n">
        <v>45790</v>
      </c>
      <c r="C5856" s="15" t="s">
        <v>71</v>
      </c>
      <c r="D5856" s="15" t="s">
        <v>42</v>
      </c>
      <c r="E5856" s="15" t="s">
        <v>38</v>
      </c>
      <c r="F5856" s="15" t="s">
        <v>16</v>
      </c>
      <c r="G5856" s="15" t="s">
        <v>25</v>
      </c>
      <c r="H5856" s="15" t="n">
        <v>3</v>
      </c>
      <c r="I5856" s="17" t="n">
        <v>0.2</v>
      </c>
      <c r="J5856" s="18" t="n">
        <v>700.65</v>
      </c>
      <c r="K5856" s="19" t="n">
        <v>-57.28</v>
      </c>
      <c r="L5856" s="15" t="n">
        <f aca="false">YEAR(B5856)</f>
        <v>2025</v>
      </c>
      <c r="M5856" s="20" t="n">
        <f aca="false">IF(J5856&gt;0,K5856/J5856,0)</f>
        <v>-0.0817526582459145</v>
      </c>
    </row>
    <row r="5857" customFormat="false" ht="15" hidden="false" customHeight="false" outlineLevel="0" collapsed="false">
      <c r="A5857" s="15" t="s">
        <v>5914</v>
      </c>
      <c r="B5857" s="16" t="n">
        <v>45261</v>
      </c>
      <c r="C5857" s="15" t="s">
        <v>71</v>
      </c>
      <c r="D5857" s="15" t="s">
        <v>42</v>
      </c>
      <c r="E5857" s="15" t="s">
        <v>36</v>
      </c>
      <c r="F5857" s="15" t="s">
        <v>18</v>
      </c>
      <c r="G5857" s="15" t="s">
        <v>24</v>
      </c>
      <c r="H5857" s="15" t="n">
        <v>3</v>
      </c>
      <c r="I5857" s="17" t="n">
        <v>0</v>
      </c>
      <c r="J5857" s="18" t="n">
        <v>1439.56</v>
      </c>
      <c r="K5857" s="19" t="n">
        <v>99.57</v>
      </c>
      <c r="L5857" s="15" t="n">
        <f aca="false">YEAR(B5857)</f>
        <v>2023</v>
      </c>
      <c r="M5857" s="20" t="n">
        <f aca="false">IF(J5857&gt;0,K5857/J5857,0)</f>
        <v>0.0691669676845703</v>
      </c>
    </row>
    <row r="5858" customFormat="false" ht="15" hidden="false" customHeight="false" outlineLevel="0" collapsed="false">
      <c r="A5858" s="15" t="s">
        <v>5915</v>
      </c>
      <c r="B5858" s="16" t="n">
        <v>44630</v>
      </c>
      <c r="C5858" s="15" t="s">
        <v>58</v>
      </c>
      <c r="D5858" s="15" t="s">
        <v>42</v>
      </c>
      <c r="E5858" s="15" t="s">
        <v>36</v>
      </c>
      <c r="F5858" s="15" t="s">
        <v>17</v>
      </c>
      <c r="G5858" s="15" t="s">
        <v>28</v>
      </c>
      <c r="H5858" s="15" t="n">
        <v>3</v>
      </c>
      <c r="I5858" s="17" t="n">
        <v>0</v>
      </c>
      <c r="J5858" s="18" t="n">
        <v>58.46</v>
      </c>
      <c r="K5858" s="19" t="n">
        <v>19.23</v>
      </c>
      <c r="L5858" s="15" t="n">
        <f aca="false">YEAR(B5858)</f>
        <v>2022</v>
      </c>
      <c r="M5858" s="20" t="n">
        <f aca="false">IF(J5858&gt;0,K5858/J5858,0)</f>
        <v>0.328942866917551</v>
      </c>
    </row>
    <row r="5859" customFormat="false" ht="15" hidden="false" customHeight="false" outlineLevel="0" collapsed="false">
      <c r="A5859" s="15" t="s">
        <v>5916</v>
      </c>
      <c r="B5859" s="16" t="n">
        <v>44893</v>
      </c>
      <c r="C5859" s="15" t="s">
        <v>56</v>
      </c>
      <c r="D5859" s="15" t="s">
        <v>42</v>
      </c>
      <c r="E5859" s="15" t="s">
        <v>37</v>
      </c>
      <c r="F5859" s="15" t="s">
        <v>17</v>
      </c>
      <c r="G5859" s="15" t="s">
        <v>26</v>
      </c>
      <c r="H5859" s="15" t="n">
        <v>6</v>
      </c>
      <c r="I5859" s="17" t="n">
        <v>0.3</v>
      </c>
      <c r="J5859" s="18" t="n">
        <v>295.14</v>
      </c>
      <c r="K5859" s="19" t="n">
        <v>-36.03</v>
      </c>
      <c r="L5859" s="15" t="n">
        <f aca="false">YEAR(B5859)</f>
        <v>2022</v>
      </c>
      <c r="M5859" s="20" t="n">
        <f aca="false">IF(J5859&gt;0,K5859/J5859,0)</f>
        <v>-0.122077658060581</v>
      </c>
    </row>
    <row r="5860" customFormat="false" ht="15" hidden="false" customHeight="false" outlineLevel="0" collapsed="false">
      <c r="A5860" s="15" t="s">
        <v>5917</v>
      </c>
      <c r="B5860" s="16" t="n">
        <v>46003</v>
      </c>
      <c r="C5860" s="15" t="s">
        <v>56</v>
      </c>
      <c r="D5860" s="15" t="s">
        <v>44</v>
      </c>
      <c r="E5860" s="15" t="s">
        <v>37</v>
      </c>
      <c r="F5860" s="15" t="s">
        <v>18</v>
      </c>
      <c r="G5860" s="15" t="s">
        <v>30</v>
      </c>
      <c r="H5860" s="15" t="n">
        <v>4</v>
      </c>
      <c r="I5860" s="17" t="n">
        <v>0</v>
      </c>
      <c r="J5860" s="18" t="n">
        <v>227.94</v>
      </c>
      <c r="K5860" s="19" t="n">
        <v>74.98</v>
      </c>
      <c r="L5860" s="15" t="n">
        <f aca="false">YEAR(B5860)</f>
        <v>2025</v>
      </c>
      <c r="M5860" s="20" t="n">
        <f aca="false">IF(J5860&gt;0,K5860/J5860,0)</f>
        <v>0.328946213915943</v>
      </c>
    </row>
    <row r="5861" customFormat="false" ht="15" hidden="false" customHeight="false" outlineLevel="0" collapsed="false">
      <c r="A5861" s="15" t="s">
        <v>5918</v>
      </c>
      <c r="B5861" s="16" t="n">
        <v>44884</v>
      </c>
      <c r="C5861" s="15" t="s">
        <v>68</v>
      </c>
      <c r="D5861" s="15" t="s">
        <v>42</v>
      </c>
      <c r="E5861" s="15" t="s">
        <v>36</v>
      </c>
      <c r="F5861" s="15" t="s">
        <v>17</v>
      </c>
      <c r="G5861" s="15" t="s">
        <v>28</v>
      </c>
      <c r="H5861" s="15" t="n">
        <v>2</v>
      </c>
      <c r="I5861" s="17" t="n">
        <v>0</v>
      </c>
      <c r="J5861" s="18" t="n">
        <v>47.68</v>
      </c>
      <c r="K5861" s="19" t="n">
        <v>17.22</v>
      </c>
      <c r="L5861" s="15" t="n">
        <f aca="false">YEAR(B5861)</f>
        <v>2022</v>
      </c>
      <c r="M5861" s="20" t="n">
        <f aca="false">IF(J5861&gt;0,K5861/J5861,0)</f>
        <v>0.361157718120805</v>
      </c>
    </row>
    <row r="5862" customFormat="false" ht="15" hidden="false" customHeight="false" outlineLevel="0" collapsed="false">
      <c r="A5862" s="15" t="s">
        <v>5919</v>
      </c>
      <c r="B5862" s="16" t="n">
        <v>45718</v>
      </c>
      <c r="C5862" s="15" t="s">
        <v>71</v>
      </c>
      <c r="D5862" s="15" t="s">
        <v>43</v>
      </c>
      <c r="E5862" s="15" t="s">
        <v>36</v>
      </c>
      <c r="F5862" s="15" t="s">
        <v>17</v>
      </c>
      <c r="G5862" s="15" t="s">
        <v>31</v>
      </c>
      <c r="H5862" s="15" t="n">
        <v>4</v>
      </c>
      <c r="I5862" s="17" t="n">
        <v>0.2</v>
      </c>
      <c r="J5862" s="18" t="n">
        <v>409.53</v>
      </c>
      <c r="K5862" s="19" t="n">
        <v>23.81</v>
      </c>
      <c r="L5862" s="15" t="n">
        <f aca="false">YEAR(B5862)</f>
        <v>2025</v>
      </c>
      <c r="M5862" s="20" t="n">
        <f aca="false">IF(J5862&gt;0,K5862/J5862,0)</f>
        <v>0.0581398188166923</v>
      </c>
    </row>
    <row r="5863" customFormat="false" ht="15" hidden="false" customHeight="false" outlineLevel="0" collapsed="false">
      <c r="A5863" s="15" t="s">
        <v>5920</v>
      </c>
      <c r="B5863" s="16" t="n">
        <v>44784</v>
      </c>
      <c r="C5863" s="15" t="s">
        <v>68</v>
      </c>
      <c r="D5863" s="15" t="s">
        <v>44</v>
      </c>
      <c r="E5863" s="15" t="s">
        <v>39</v>
      </c>
      <c r="F5863" s="15" t="s">
        <v>18</v>
      </c>
      <c r="G5863" s="15" t="s">
        <v>32</v>
      </c>
      <c r="H5863" s="15" t="n">
        <v>3</v>
      </c>
      <c r="I5863" s="17" t="n">
        <v>0.2</v>
      </c>
      <c r="J5863" s="18" t="n">
        <v>1253.3</v>
      </c>
      <c r="K5863" s="19" t="n">
        <v>6.51</v>
      </c>
      <c r="L5863" s="15" t="n">
        <f aca="false">YEAR(B5863)</f>
        <v>2022</v>
      </c>
      <c r="M5863" s="20" t="n">
        <f aca="false">IF(J5863&gt;0,K5863/J5863,0)</f>
        <v>0.00519428708210325</v>
      </c>
    </row>
    <row r="5864" customFormat="false" ht="15" hidden="false" customHeight="false" outlineLevel="0" collapsed="false">
      <c r="A5864" s="15" t="s">
        <v>5921</v>
      </c>
      <c r="B5864" s="16" t="n">
        <v>45629</v>
      </c>
      <c r="C5864" s="15" t="s">
        <v>56</v>
      </c>
      <c r="D5864" s="15" t="s">
        <v>42</v>
      </c>
      <c r="E5864" s="15" t="s">
        <v>39</v>
      </c>
      <c r="F5864" s="15" t="s">
        <v>16</v>
      </c>
      <c r="G5864" s="15" t="s">
        <v>25</v>
      </c>
      <c r="H5864" s="15" t="n">
        <v>3</v>
      </c>
      <c r="I5864" s="17" t="n">
        <v>0.3</v>
      </c>
      <c r="J5864" s="18" t="n">
        <v>668.07</v>
      </c>
      <c r="K5864" s="19" t="n">
        <v>-122.31</v>
      </c>
      <c r="L5864" s="15" t="n">
        <f aca="false">YEAR(B5864)</f>
        <v>2024</v>
      </c>
      <c r="M5864" s="20" t="n">
        <f aca="false">IF(J5864&gt;0,K5864/J5864,0)</f>
        <v>-0.183079617405362</v>
      </c>
    </row>
    <row r="5865" customFormat="false" ht="15" hidden="false" customHeight="false" outlineLevel="0" collapsed="false">
      <c r="A5865" s="15" t="s">
        <v>5922</v>
      </c>
      <c r="B5865" s="16" t="n">
        <v>45367</v>
      </c>
      <c r="C5865" s="15" t="s">
        <v>56</v>
      </c>
      <c r="D5865" s="15" t="s">
        <v>44</v>
      </c>
      <c r="E5865" s="15" t="s">
        <v>36</v>
      </c>
      <c r="F5865" s="15" t="s">
        <v>16</v>
      </c>
      <c r="G5865" s="15" t="s">
        <v>23</v>
      </c>
      <c r="H5865" s="15" t="n">
        <v>4</v>
      </c>
      <c r="I5865" s="17" t="n">
        <v>0</v>
      </c>
      <c r="J5865" s="18" t="n">
        <v>1188.49</v>
      </c>
      <c r="K5865" s="19" t="n">
        <v>43.9</v>
      </c>
      <c r="L5865" s="15" t="n">
        <f aca="false">YEAR(B5865)</f>
        <v>2024</v>
      </c>
      <c r="M5865" s="20" t="n">
        <f aca="false">IF(J5865&gt;0,K5865/J5865,0)</f>
        <v>0.0369376267364471</v>
      </c>
    </row>
    <row r="5866" customFormat="false" ht="15" hidden="false" customHeight="false" outlineLevel="0" collapsed="false">
      <c r="A5866" s="15" t="s">
        <v>5923</v>
      </c>
      <c r="B5866" s="16" t="n">
        <v>44723</v>
      </c>
      <c r="C5866" s="15" t="s">
        <v>56</v>
      </c>
      <c r="D5866" s="15" t="s">
        <v>42</v>
      </c>
      <c r="E5866" s="15" t="s">
        <v>37</v>
      </c>
      <c r="F5866" s="15" t="s">
        <v>17</v>
      </c>
      <c r="G5866" s="15" t="s">
        <v>26</v>
      </c>
      <c r="H5866" s="15" t="n">
        <v>5</v>
      </c>
      <c r="I5866" s="17" t="n">
        <v>0</v>
      </c>
      <c r="J5866" s="18" t="n">
        <v>387.76</v>
      </c>
      <c r="K5866" s="19" t="n">
        <v>51.7</v>
      </c>
      <c r="L5866" s="15" t="n">
        <f aca="false">YEAR(B5866)</f>
        <v>2022</v>
      </c>
      <c r="M5866" s="20" t="n">
        <f aca="false">IF(J5866&gt;0,K5866/J5866,0)</f>
        <v>0.133329894780276</v>
      </c>
    </row>
    <row r="5867" customFormat="false" ht="15" hidden="false" customHeight="false" outlineLevel="0" collapsed="false">
      <c r="A5867" s="15" t="s">
        <v>5924</v>
      </c>
      <c r="B5867" s="16" t="n">
        <v>45246</v>
      </c>
      <c r="C5867" s="15" t="s">
        <v>56</v>
      </c>
      <c r="D5867" s="15" t="s">
        <v>44</v>
      </c>
      <c r="E5867" s="15" t="s">
        <v>37</v>
      </c>
      <c r="F5867" s="15" t="s">
        <v>18</v>
      </c>
      <c r="G5867" s="15" t="s">
        <v>33</v>
      </c>
      <c r="H5867" s="15" t="n">
        <v>4</v>
      </c>
      <c r="I5867" s="17" t="n">
        <v>0.1</v>
      </c>
      <c r="J5867" s="18" t="n">
        <v>3338.28</v>
      </c>
      <c r="K5867" s="19" t="n">
        <v>633.35</v>
      </c>
      <c r="L5867" s="15" t="n">
        <f aca="false">YEAR(B5867)</f>
        <v>2023</v>
      </c>
      <c r="M5867" s="20" t="n">
        <f aca="false">IF(J5867&gt;0,K5867/J5867,0)</f>
        <v>0.189723450399607</v>
      </c>
    </row>
    <row r="5868" customFormat="false" ht="15" hidden="false" customHeight="false" outlineLevel="0" collapsed="false">
      <c r="A5868" s="15" t="s">
        <v>5925</v>
      </c>
      <c r="B5868" s="16" t="n">
        <v>45493</v>
      </c>
      <c r="C5868" s="15" t="s">
        <v>71</v>
      </c>
      <c r="D5868" s="15" t="s">
        <v>43</v>
      </c>
      <c r="E5868" s="15" t="s">
        <v>39</v>
      </c>
      <c r="F5868" s="15" t="s">
        <v>16</v>
      </c>
      <c r="G5868" s="15" t="s">
        <v>27</v>
      </c>
      <c r="H5868" s="15" t="n">
        <v>3</v>
      </c>
      <c r="I5868" s="17" t="n">
        <v>0.2</v>
      </c>
      <c r="J5868" s="18" t="n">
        <v>131.88</v>
      </c>
      <c r="K5868" s="19" t="n">
        <v>6.08</v>
      </c>
      <c r="L5868" s="15" t="n">
        <f aca="false">YEAR(B5868)</f>
        <v>2024</v>
      </c>
      <c r="M5868" s="20" t="n">
        <f aca="false">IF(J5868&gt;0,K5868/J5868,0)</f>
        <v>0.0461025174400971</v>
      </c>
    </row>
    <row r="5869" customFormat="false" ht="15" hidden="false" customHeight="false" outlineLevel="0" collapsed="false">
      <c r="A5869" s="15" t="s">
        <v>5926</v>
      </c>
      <c r="B5869" s="16" t="n">
        <v>44942</v>
      </c>
      <c r="C5869" s="15" t="s">
        <v>58</v>
      </c>
      <c r="D5869" s="15" t="s">
        <v>42</v>
      </c>
      <c r="E5869" s="15" t="s">
        <v>39</v>
      </c>
      <c r="F5869" s="15" t="s">
        <v>17</v>
      </c>
      <c r="G5869" s="15" t="s">
        <v>29</v>
      </c>
      <c r="H5869" s="15" t="n">
        <v>3</v>
      </c>
      <c r="I5869" s="17" t="n">
        <v>0</v>
      </c>
      <c r="J5869" s="18" t="n">
        <v>48.05</v>
      </c>
      <c r="K5869" s="19" t="n">
        <v>18.85</v>
      </c>
      <c r="L5869" s="15" t="n">
        <f aca="false">YEAR(B5869)</f>
        <v>2023</v>
      </c>
      <c r="M5869" s="20" t="n">
        <f aca="false">IF(J5869&gt;0,K5869/J5869,0)</f>
        <v>0.392299687825182</v>
      </c>
    </row>
    <row r="5870" customFormat="false" ht="15" hidden="false" customHeight="false" outlineLevel="0" collapsed="false">
      <c r="A5870" s="15" t="s">
        <v>5927</v>
      </c>
      <c r="B5870" s="16" t="n">
        <v>45750</v>
      </c>
      <c r="C5870" s="15" t="s">
        <v>56</v>
      </c>
      <c r="D5870" s="15" t="s">
        <v>44</v>
      </c>
      <c r="E5870" s="15" t="s">
        <v>38</v>
      </c>
      <c r="F5870" s="15" t="s">
        <v>18</v>
      </c>
      <c r="G5870" s="15" t="s">
        <v>30</v>
      </c>
      <c r="H5870" s="15" t="n">
        <v>4</v>
      </c>
      <c r="I5870" s="17" t="n">
        <v>0.05</v>
      </c>
      <c r="J5870" s="18" t="n">
        <v>158.31</v>
      </c>
      <c r="K5870" s="19" t="n">
        <v>49.99</v>
      </c>
      <c r="L5870" s="15" t="n">
        <f aca="false">YEAR(B5870)</f>
        <v>2025</v>
      </c>
      <c r="M5870" s="20" t="n">
        <f aca="false">IF(J5870&gt;0,K5870/J5870,0)</f>
        <v>0.315772850735898</v>
      </c>
    </row>
    <row r="5871" customFormat="false" ht="15" hidden="false" customHeight="false" outlineLevel="0" collapsed="false">
      <c r="A5871" s="15" t="s">
        <v>5928</v>
      </c>
      <c r="B5871" s="16" t="n">
        <v>45516</v>
      </c>
      <c r="C5871" s="15" t="s">
        <v>68</v>
      </c>
      <c r="D5871" s="15" t="s">
        <v>43</v>
      </c>
      <c r="E5871" s="15" t="s">
        <v>37</v>
      </c>
      <c r="F5871" s="15" t="s">
        <v>18</v>
      </c>
      <c r="G5871" s="15" t="s">
        <v>32</v>
      </c>
      <c r="H5871" s="15" t="n">
        <v>3</v>
      </c>
      <c r="I5871" s="17" t="n">
        <v>0</v>
      </c>
      <c r="J5871" s="18" t="n">
        <v>1294.67</v>
      </c>
      <c r="K5871" s="19" t="n">
        <v>256.72</v>
      </c>
      <c r="L5871" s="15" t="n">
        <f aca="false">YEAR(B5871)</f>
        <v>2024</v>
      </c>
      <c r="M5871" s="20" t="n">
        <f aca="false">IF(J5871&gt;0,K5871/J5871,0)</f>
        <v>0.198289911714954</v>
      </c>
    </row>
    <row r="5872" customFormat="false" ht="15" hidden="false" customHeight="false" outlineLevel="0" collapsed="false">
      <c r="A5872" s="15" t="s">
        <v>5929</v>
      </c>
      <c r="B5872" s="16" t="n">
        <v>45288</v>
      </c>
      <c r="C5872" s="15" t="s">
        <v>56</v>
      </c>
      <c r="D5872" s="15" t="s">
        <v>43</v>
      </c>
      <c r="E5872" s="15" t="s">
        <v>39</v>
      </c>
      <c r="F5872" s="15" t="s">
        <v>17</v>
      </c>
      <c r="G5872" s="15" t="s">
        <v>31</v>
      </c>
      <c r="H5872" s="15" t="n">
        <v>2</v>
      </c>
      <c r="I5872" s="17" t="n">
        <v>0</v>
      </c>
      <c r="J5872" s="18" t="n">
        <v>281.42</v>
      </c>
      <c r="K5872" s="19" t="n">
        <v>52.72</v>
      </c>
      <c r="L5872" s="15" t="n">
        <f aca="false">YEAR(B5872)</f>
        <v>2023</v>
      </c>
      <c r="M5872" s="20" t="n">
        <f aca="false">IF(J5872&gt;0,K5872/J5872,0)</f>
        <v>0.187335654893042</v>
      </c>
    </row>
    <row r="5873" customFormat="false" ht="15" hidden="false" customHeight="false" outlineLevel="0" collapsed="false">
      <c r="A5873" s="15" t="s">
        <v>5930</v>
      </c>
      <c r="B5873" s="16" t="n">
        <v>45570</v>
      </c>
      <c r="C5873" s="15" t="s">
        <v>56</v>
      </c>
      <c r="D5873" s="15" t="s">
        <v>42</v>
      </c>
      <c r="E5873" s="15" t="s">
        <v>39</v>
      </c>
      <c r="F5873" s="15" t="s">
        <v>17</v>
      </c>
      <c r="G5873" s="15" t="s">
        <v>29</v>
      </c>
      <c r="H5873" s="15" t="n">
        <v>5</v>
      </c>
      <c r="I5873" s="17" t="n">
        <v>0.5</v>
      </c>
      <c r="J5873" s="18" t="n">
        <v>46.93</v>
      </c>
      <c r="K5873" s="19" t="n">
        <v>-2.41</v>
      </c>
      <c r="L5873" s="15" t="n">
        <f aca="false">YEAR(B5873)</f>
        <v>2024</v>
      </c>
      <c r="M5873" s="20" t="n">
        <f aca="false">IF(J5873&gt;0,K5873/J5873,0)</f>
        <v>-0.0513530790539101</v>
      </c>
    </row>
    <row r="5874" customFormat="false" ht="15" hidden="false" customHeight="false" outlineLevel="0" collapsed="false">
      <c r="A5874" s="15" t="s">
        <v>5931</v>
      </c>
      <c r="B5874" s="16" t="n">
        <v>45098</v>
      </c>
      <c r="C5874" s="15" t="s">
        <v>56</v>
      </c>
      <c r="D5874" s="15" t="s">
        <v>42</v>
      </c>
      <c r="E5874" s="15" t="s">
        <v>37</v>
      </c>
      <c r="F5874" s="15" t="s">
        <v>17</v>
      </c>
      <c r="G5874" s="15" t="s">
        <v>29</v>
      </c>
      <c r="H5874" s="15" t="n">
        <v>3</v>
      </c>
      <c r="I5874" s="17" t="n">
        <v>0</v>
      </c>
      <c r="J5874" s="18" t="n">
        <v>55.57</v>
      </c>
      <c r="K5874" s="19" t="n">
        <v>21.64</v>
      </c>
      <c r="L5874" s="15" t="n">
        <f aca="false">YEAR(B5874)</f>
        <v>2023</v>
      </c>
      <c r="M5874" s="20" t="n">
        <f aca="false">IF(J5874&gt;0,K5874/J5874,0)</f>
        <v>0.389418751124708</v>
      </c>
    </row>
    <row r="5875" customFormat="false" ht="15" hidden="false" customHeight="false" outlineLevel="0" collapsed="false">
      <c r="A5875" s="15" t="s">
        <v>5932</v>
      </c>
      <c r="B5875" s="16" t="n">
        <v>45080</v>
      </c>
      <c r="C5875" s="15" t="s">
        <v>56</v>
      </c>
      <c r="D5875" s="15" t="s">
        <v>42</v>
      </c>
      <c r="E5875" s="15" t="s">
        <v>37</v>
      </c>
      <c r="F5875" s="15" t="s">
        <v>18</v>
      </c>
      <c r="G5875" s="15" t="s">
        <v>24</v>
      </c>
      <c r="H5875" s="15" t="n">
        <v>4</v>
      </c>
      <c r="I5875" s="17" t="n">
        <v>0.2</v>
      </c>
      <c r="J5875" s="18" t="n">
        <v>2002.03</v>
      </c>
      <c r="K5875" s="19" t="n">
        <v>-263.16</v>
      </c>
      <c r="L5875" s="15" t="n">
        <f aca="false">YEAR(B5875)</f>
        <v>2023</v>
      </c>
      <c r="M5875" s="20" t="n">
        <f aca="false">IF(J5875&gt;0,K5875/J5875,0)</f>
        <v>-0.131446581719555</v>
      </c>
    </row>
    <row r="5876" customFormat="false" ht="15" hidden="false" customHeight="false" outlineLevel="0" collapsed="false">
      <c r="A5876" s="15" t="s">
        <v>5933</v>
      </c>
      <c r="B5876" s="16" t="n">
        <v>44919</v>
      </c>
      <c r="C5876" s="15" t="s">
        <v>56</v>
      </c>
      <c r="D5876" s="15" t="s">
        <v>42</v>
      </c>
      <c r="E5876" s="15" t="s">
        <v>36</v>
      </c>
      <c r="F5876" s="15" t="s">
        <v>17</v>
      </c>
      <c r="G5876" s="15" t="s">
        <v>29</v>
      </c>
      <c r="H5876" s="15" t="n">
        <v>3</v>
      </c>
      <c r="I5876" s="17" t="n">
        <v>0</v>
      </c>
      <c r="J5876" s="18" t="n">
        <v>51.46</v>
      </c>
      <c r="K5876" s="19" t="n">
        <v>16.7</v>
      </c>
      <c r="L5876" s="15" t="n">
        <f aca="false">YEAR(B5876)</f>
        <v>2022</v>
      </c>
      <c r="M5876" s="20" t="n">
        <f aca="false">IF(J5876&gt;0,K5876/J5876,0)</f>
        <v>0.324523902059852</v>
      </c>
    </row>
    <row r="5877" customFormat="false" ht="15" hidden="false" customHeight="false" outlineLevel="0" collapsed="false">
      <c r="A5877" s="15" t="s">
        <v>5934</v>
      </c>
      <c r="B5877" s="16" t="n">
        <v>45155</v>
      </c>
      <c r="C5877" s="15" t="s">
        <v>56</v>
      </c>
      <c r="D5877" s="15" t="s">
        <v>42</v>
      </c>
      <c r="E5877" s="15" t="s">
        <v>39</v>
      </c>
      <c r="F5877" s="15" t="s">
        <v>18</v>
      </c>
      <c r="G5877" s="15" t="s">
        <v>32</v>
      </c>
      <c r="H5877" s="15" t="n">
        <v>4</v>
      </c>
      <c r="I5877" s="17" t="n">
        <v>0</v>
      </c>
      <c r="J5877" s="18" t="n">
        <v>1604.7</v>
      </c>
      <c r="K5877" s="19" t="n">
        <v>257.4</v>
      </c>
      <c r="L5877" s="15" t="n">
        <f aca="false">YEAR(B5877)</f>
        <v>2023</v>
      </c>
      <c r="M5877" s="20" t="n">
        <f aca="false">IF(J5877&gt;0,K5877/J5877,0)</f>
        <v>0.160403813796971</v>
      </c>
    </row>
    <row r="5878" customFormat="false" ht="15" hidden="false" customHeight="false" outlineLevel="0" collapsed="false">
      <c r="A5878" s="15" t="s">
        <v>5935</v>
      </c>
      <c r="B5878" s="16" t="n">
        <v>45029</v>
      </c>
      <c r="C5878" s="15" t="s">
        <v>56</v>
      </c>
      <c r="D5878" s="15" t="s">
        <v>42</v>
      </c>
      <c r="E5878" s="15" t="s">
        <v>39</v>
      </c>
      <c r="F5878" s="15" t="s">
        <v>17</v>
      </c>
      <c r="G5878" s="15" t="s">
        <v>26</v>
      </c>
      <c r="H5878" s="15" t="n">
        <v>4</v>
      </c>
      <c r="I5878" s="17" t="n">
        <v>0.2</v>
      </c>
      <c r="J5878" s="18" t="n">
        <v>288.55</v>
      </c>
      <c r="K5878" s="19" t="n">
        <v>-32.12</v>
      </c>
      <c r="L5878" s="15" t="n">
        <f aca="false">YEAR(B5878)</f>
        <v>2023</v>
      </c>
      <c r="M5878" s="20" t="n">
        <f aca="false">IF(J5878&gt;0,K5878/J5878,0)</f>
        <v>-0.11131519667302</v>
      </c>
    </row>
    <row r="5879" customFormat="false" ht="15" hidden="false" customHeight="false" outlineLevel="0" collapsed="false">
      <c r="A5879" s="15" t="s">
        <v>5936</v>
      </c>
      <c r="B5879" s="16" t="n">
        <v>45607</v>
      </c>
      <c r="C5879" s="15" t="s">
        <v>71</v>
      </c>
      <c r="D5879" s="15" t="s">
        <v>42</v>
      </c>
      <c r="E5879" s="15" t="s">
        <v>38</v>
      </c>
      <c r="F5879" s="15" t="s">
        <v>16</v>
      </c>
      <c r="G5879" s="15" t="s">
        <v>23</v>
      </c>
      <c r="H5879" s="15" t="n">
        <v>3</v>
      </c>
      <c r="I5879" s="17" t="n">
        <v>0</v>
      </c>
      <c r="J5879" s="18" t="n">
        <v>664.33</v>
      </c>
      <c r="K5879" s="19" t="n">
        <v>37.18</v>
      </c>
      <c r="L5879" s="15" t="n">
        <f aca="false">YEAR(B5879)</f>
        <v>2024</v>
      </c>
      <c r="M5879" s="20" t="n">
        <f aca="false">IF(J5879&gt;0,K5879/J5879,0)</f>
        <v>0.0559661613956919</v>
      </c>
    </row>
    <row r="5880" customFormat="false" ht="15" hidden="false" customHeight="false" outlineLevel="0" collapsed="false">
      <c r="A5880" s="15" t="s">
        <v>5937</v>
      </c>
      <c r="B5880" s="16" t="n">
        <v>45258</v>
      </c>
      <c r="C5880" s="15" t="s">
        <v>58</v>
      </c>
      <c r="D5880" s="15" t="s">
        <v>42</v>
      </c>
      <c r="E5880" s="15" t="s">
        <v>39</v>
      </c>
      <c r="F5880" s="15" t="s">
        <v>16</v>
      </c>
      <c r="G5880" s="15" t="s">
        <v>22</v>
      </c>
      <c r="H5880" s="15" t="n">
        <v>1</v>
      </c>
      <c r="I5880" s="17" t="n">
        <v>0.2</v>
      </c>
      <c r="J5880" s="18" t="n">
        <v>361.16</v>
      </c>
      <c r="K5880" s="19" t="n">
        <v>-84.44</v>
      </c>
      <c r="L5880" s="15" t="n">
        <f aca="false">YEAR(B5880)</f>
        <v>2023</v>
      </c>
      <c r="M5880" s="20" t="n">
        <f aca="false">IF(J5880&gt;0,K5880/J5880,0)</f>
        <v>-0.23380219293388</v>
      </c>
    </row>
    <row r="5881" customFormat="false" ht="15" hidden="false" customHeight="false" outlineLevel="0" collapsed="false">
      <c r="A5881" s="15" t="s">
        <v>5938</v>
      </c>
      <c r="B5881" s="16" t="n">
        <v>44728</v>
      </c>
      <c r="C5881" s="15" t="s">
        <v>56</v>
      </c>
      <c r="D5881" s="15" t="s">
        <v>42</v>
      </c>
      <c r="E5881" s="15" t="s">
        <v>36</v>
      </c>
      <c r="F5881" s="15" t="s">
        <v>17</v>
      </c>
      <c r="G5881" s="15" t="s">
        <v>26</v>
      </c>
      <c r="H5881" s="15" t="n">
        <v>4</v>
      </c>
      <c r="I5881" s="17" t="n">
        <v>0.1</v>
      </c>
      <c r="J5881" s="18" t="n">
        <v>301.63</v>
      </c>
      <c r="K5881" s="19" t="n">
        <v>18.03</v>
      </c>
      <c r="L5881" s="15" t="n">
        <f aca="false">YEAR(B5881)</f>
        <v>2022</v>
      </c>
      <c r="M5881" s="20" t="n">
        <f aca="false">IF(J5881&gt;0,K5881/J5881,0)</f>
        <v>0.0597752212976163</v>
      </c>
    </row>
    <row r="5882" customFormat="false" ht="15" hidden="false" customHeight="false" outlineLevel="0" collapsed="false">
      <c r="A5882" s="15" t="s">
        <v>5939</v>
      </c>
      <c r="B5882" s="16" t="n">
        <v>44711</v>
      </c>
      <c r="C5882" s="15" t="s">
        <v>56</v>
      </c>
      <c r="D5882" s="15" t="s">
        <v>42</v>
      </c>
      <c r="E5882" s="15" t="s">
        <v>37</v>
      </c>
      <c r="F5882" s="15" t="s">
        <v>17</v>
      </c>
      <c r="G5882" s="15" t="s">
        <v>29</v>
      </c>
      <c r="H5882" s="15" t="n">
        <v>5</v>
      </c>
      <c r="I5882" s="17" t="n">
        <v>0</v>
      </c>
      <c r="J5882" s="18" t="n">
        <v>102.7</v>
      </c>
      <c r="K5882" s="19" t="n">
        <v>43.82</v>
      </c>
      <c r="L5882" s="15" t="n">
        <f aca="false">YEAR(B5882)</f>
        <v>2022</v>
      </c>
      <c r="M5882" s="20" t="n">
        <f aca="false">IF(J5882&gt;0,K5882/J5882,0)</f>
        <v>0.42667964946446</v>
      </c>
    </row>
    <row r="5883" customFormat="false" ht="15" hidden="false" customHeight="false" outlineLevel="0" collapsed="false">
      <c r="A5883" s="15" t="s">
        <v>5940</v>
      </c>
      <c r="B5883" s="16" t="n">
        <v>46006</v>
      </c>
      <c r="C5883" s="15" t="s">
        <v>71</v>
      </c>
      <c r="D5883" s="15" t="s">
        <v>43</v>
      </c>
      <c r="E5883" s="15" t="s">
        <v>39</v>
      </c>
      <c r="F5883" s="15" t="s">
        <v>16</v>
      </c>
      <c r="G5883" s="15" t="s">
        <v>27</v>
      </c>
      <c r="H5883" s="15" t="n">
        <v>5</v>
      </c>
      <c r="I5883" s="17" t="n">
        <v>0</v>
      </c>
      <c r="J5883" s="18" t="n">
        <v>314.4</v>
      </c>
      <c r="K5883" s="19" t="n">
        <v>65.03</v>
      </c>
      <c r="L5883" s="15" t="n">
        <f aca="false">YEAR(B5883)</f>
        <v>2025</v>
      </c>
      <c r="M5883" s="20" t="n">
        <f aca="false">IF(J5883&gt;0,K5883/J5883,0)</f>
        <v>0.206838422391858</v>
      </c>
    </row>
    <row r="5884" customFormat="false" ht="15" hidden="false" customHeight="false" outlineLevel="0" collapsed="false">
      <c r="A5884" s="15" t="s">
        <v>5941</v>
      </c>
      <c r="B5884" s="16" t="n">
        <v>45186</v>
      </c>
      <c r="C5884" s="15" t="s">
        <v>56</v>
      </c>
      <c r="D5884" s="15" t="s">
        <v>43</v>
      </c>
      <c r="E5884" s="15" t="s">
        <v>39</v>
      </c>
      <c r="F5884" s="15" t="s">
        <v>17</v>
      </c>
      <c r="G5884" s="15" t="s">
        <v>26</v>
      </c>
      <c r="H5884" s="15" t="n">
        <v>7</v>
      </c>
      <c r="I5884" s="17" t="n">
        <v>0.1</v>
      </c>
      <c r="J5884" s="18" t="n">
        <v>697.4</v>
      </c>
      <c r="K5884" s="19" t="n">
        <v>-4.17</v>
      </c>
      <c r="L5884" s="15" t="n">
        <f aca="false">YEAR(B5884)</f>
        <v>2023</v>
      </c>
      <c r="M5884" s="20" t="n">
        <f aca="false">IF(J5884&gt;0,K5884/J5884,0)</f>
        <v>-0.00597935187840551</v>
      </c>
    </row>
    <row r="5885" customFormat="false" ht="15" hidden="false" customHeight="false" outlineLevel="0" collapsed="false">
      <c r="A5885" s="15" t="s">
        <v>5942</v>
      </c>
      <c r="B5885" s="16" t="n">
        <v>45019</v>
      </c>
      <c r="C5885" s="15" t="s">
        <v>56</v>
      </c>
      <c r="D5885" s="15" t="s">
        <v>44</v>
      </c>
      <c r="E5885" s="15" t="s">
        <v>36</v>
      </c>
      <c r="F5885" s="15" t="s">
        <v>17</v>
      </c>
      <c r="G5885" s="15" t="s">
        <v>29</v>
      </c>
      <c r="H5885" s="15" t="n">
        <v>1</v>
      </c>
      <c r="I5885" s="17" t="n">
        <v>0.4</v>
      </c>
      <c r="J5885" s="18" t="n">
        <v>9.99</v>
      </c>
      <c r="K5885" s="19" t="n">
        <v>0.26</v>
      </c>
      <c r="L5885" s="15" t="n">
        <f aca="false">YEAR(B5885)</f>
        <v>2023</v>
      </c>
      <c r="M5885" s="20" t="n">
        <f aca="false">IF(J5885&gt;0,K5885/J5885,0)</f>
        <v>0.026026026026026</v>
      </c>
    </row>
    <row r="5886" customFormat="false" ht="15" hidden="false" customHeight="false" outlineLevel="0" collapsed="false">
      <c r="A5886" s="15" t="s">
        <v>5943</v>
      </c>
      <c r="B5886" s="16" t="n">
        <v>46008</v>
      </c>
      <c r="C5886" s="15" t="s">
        <v>71</v>
      </c>
      <c r="D5886" s="15" t="s">
        <v>42</v>
      </c>
      <c r="E5886" s="15" t="s">
        <v>37</v>
      </c>
      <c r="F5886" s="15" t="s">
        <v>17</v>
      </c>
      <c r="G5886" s="15" t="s">
        <v>29</v>
      </c>
      <c r="H5886" s="15" t="n">
        <v>2</v>
      </c>
      <c r="I5886" s="17" t="n">
        <v>0.1</v>
      </c>
      <c r="J5886" s="18" t="n">
        <v>36.53</v>
      </c>
      <c r="K5886" s="19" t="n">
        <v>11.09</v>
      </c>
      <c r="L5886" s="15" t="n">
        <f aca="false">YEAR(B5886)</f>
        <v>2025</v>
      </c>
      <c r="M5886" s="20" t="n">
        <f aca="false">IF(J5886&gt;0,K5886/J5886,0)</f>
        <v>0.303586093621681</v>
      </c>
    </row>
    <row r="5887" customFormat="false" ht="15" hidden="false" customHeight="false" outlineLevel="0" collapsed="false">
      <c r="A5887" s="15" t="s">
        <v>5944</v>
      </c>
      <c r="B5887" s="16" t="n">
        <v>45843</v>
      </c>
      <c r="C5887" s="15" t="s">
        <v>56</v>
      </c>
      <c r="D5887" s="15" t="s">
        <v>42</v>
      </c>
      <c r="E5887" s="15" t="s">
        <v>36</v>
      </c>
      <c r="F5887" s="15" t="s">
        <v>17</v>
      </c>
      <c r="G5887" s="15" t="s">
        <v>28</v>
      </c>
      <c r="H5887" s="15" t="n">
        <v>2</v>
      </c>
      <c r="I5887" s="17" t="n">
        <v>0</v>
      </c>
      <c r="J5887" s="18" t="n">
        <v>50.72</v>
      </c>
      <c r="K5887" s="19" t="n">
        <v>16.31</v>
      </c>
      <c r="L5887" s="15" t="n">
        <f aca="false">YEAR(B5887)</f>
        <v>2025</v>
      </c>
      <c r="M5887" s="20" t="n">
        <f aca="false">IF(J5887&gt;0,K5887/J5887,0)</f>
        <v>0.321569400630915</v>
      </c>
    </row>
    <row r="5888" customFormat="false" ht="15" hidden="false" customHeight="false" outlineLevel="0" collapsed="false">
      <c r="A5888" s="15" t="s">
        <v>5945</v>
      </c>
      <c r="B5888" s="16" t="n">
        <v>44939</v>
      </c>
      <c r="C5888" s="15" t="s">
        <v>56</v>
      </c>
      <c r="D5888" s="15" t="s">
        <v>42</v>
      </c>
      <c r="E5888" s="15" t="s">
        <v>39</v>
      </c>
      <c r="F5888" s="15" t="s">
        <v>18</v>
      </c>
      <c r="G5888" s="15" t="s">
        <v>32</v>
      </c>
      <c r="H5888" s="15" t="n">
        <v>3</v>
      </c>
      <c r="I5888" s="17" t="n">
        <v>0.4</v>
      </c>
      <c r="J5888" s="18" t="n">
        <v>660.56</v>
      </c>
      <c r="K5888" s="19" t="n">
        <v>-128.7</v>
      </c>
      <c r="L5888" s="15" t="n">
        <f aca="false">YEAR(B5888)</f>
        <v>2023</v>
      </c>
      <c r="M5888" s="20" t="n">
        <f aca="false">IF(J5888&gt;0,K5888/J5888,0)</f>
        <v>-0.194834685721206</v>
      </c>
    </row>
    <row r="5889" customFormat="false" ht="15" hidden="false" customHeight="false" outlineLevel="0" collapsed="false">
      <c r="A5889" s="15" t="s">
        <v>5946</v>
      </c>
      <c r="B5889" s="16" t="n">
        <v>45986</v>
      </c>
      <c r="C5889" s="15" t="s">
        <v>71</v>
      </c>
      <c r="D5889" s="15" t="s">
        <v>42</v>
      </c>
      <c r="E5889" s="15" t="s">
        <v>39</v>
      </c>
      <c r="F5889" s="15" t="s">
        <v>17</v>
      </c>
      <c r="G5889" s="15" t="s">
        <v>29</v>
      </c>
      <c r="H5889" s="15" t="n">
        <v>5</v>
      </c>
      <c r="I5889" s="17" t="n">
        <v>0</v>
      </c>
      <c r="J5889" s="18" t="n">
        <v>89.63</v>
      </c>
      <c r="K5889" s="19" t="n">
        <v>24.08</v>
      </c>
      <c r="L5889" s="15" t="n">
        <f aca="false">YEAR(B5889)</f>
        <v>2025</v>
      </c>
      <c r="M5889" s="20" t="n">
        <f aca="false">IF(J5889&gt;0,K5889/J5889,0)</f>
        <v>0.268660046859311</v>
      </c>
    </row>
    <row r="5890" customFormat="false" ht="15" hidden="false" customHeight="false" outlineLevel="0" collapsed="false">
      <c r="A5890" s="15" t="s">
        <v>5947</v>
      </c>
      <c r="B5890" s="16" t="n">
        <v>45798</v>
      </c>
      <c r="C5890" s="15" t="s">
        <v>71</v>
      </c>
      <c r="D5890" s="15" t="s">
        <v>42</v>
      </c>
      <c r="E5890" s="15" t="s">
        <v>36</v>
      </c>
      <c r="F5890" s="15" t="s">
        <v>17</v>
      </c>
      <c r="G5890" s="15" t="s">
        <v>28</v>
      </c>
      <c r="H5890" s="15" t="n">
        <v>3</v>
      </c>
      <c r="I5890" s="17" t="n">
        <v>0</v>
      </c>
      <c r="J5890" s="18" t="n">
        <v>81.04</v>
      </c>
      <c r="K5890" s="19" t="n">
        <v>24.78</v>
      </c>
      <c r="L5890" s="15" t="n">
        <f aca="false">YEAR(B5890)</f>
        <v>2025</v>
      </c>
      <c r="M5890" s="20" t="n">
        <f aca="false">IF(J5890&gt;0,K5890/J5890,0)</f>
        <v>0.305774925962488</v>
      </c>
    </row>
    <row r="5891" customFormat="false" ht="15" hidden="false" customHeight="false" outlineLevel="0" collapsed="false">
      <c r="A5891" s="15" t="s">
        <v>5948</v>
      </c>
      <c r="B5891" s="16" t="n">
        <v>44634</v>
      </c>
      <c r="C5891" s="15" t="s">
        <v>56</v>
      </c>
      <c r="D5891" s="15" t="s">
        <v>43</v>
      </c>
      <c r="E5891" s="15" t="s">
        <v>39</v>
      </c>
      <c r="F5891" s="15" t="s">
        <v>16</v>
      </c>
      <c r="G5891" s="15" t="s">
        <v>27</v>
      </c>
      <c r="H5891" s="15" t="n">
        <v>6</v>
      </c>
      <c r="I5891" s="17" t="n">
        <v>0</v>
      </c>
      <c r="J5891" s="18" t="n">
        <v>326.35</v>
      </c>
      <c r="K5891" s="19" t="n">
        <v>42.46</v>
      </c>
      <c r="L5891" s="15" t="n">
        <f aca="false">YEAR(B5891)</f>
        <v>2022</v>
      </c>
      <c r="M5891" s="20" t="n">
        <f aca="false">IF(J5891&gt;0,K5891/J5891,0)</f>
        <v>0.130105714723456</v>
      </c>
    </row>
    <row r="5892" customFormat="false" ht="15" hidden="false" customHeight="false" outlineLevel="0" collapsed="false">
      <c r="A5892" s="15" t="s">
        <v>5949</v>
      </c>
      <c r="B5892" s="16" t="n">
        <v>45142</v>
      </c>
      <c r="C5892" s="15" t="s">
        <v>68</v>
      </c>
      <c r="D5892" s="15" t="s">
        <v>43</v>
      </c>
      <c r="E5892" s="15" t="s">
        <v>36</v>
      </c>
      <c r="F5892" s="15" t="s">
        <v>18</v>
      </c>
      <c r="G5892" s="15" t="s">
        <v>33</v>
      </c>
      <c r="H5892" s="15" t="n">
        <v>10</v>
      </c>
      <c r="I5892" s="17" t="n">
        <v>0</v>
      </c>
      <c r="J5892" s="18" t="n">
        <v>10285.78</v>
      </c>
      <c r="K5892" s="19" t="n">
        <v>2131.61</v>
      </c>
      <c r="L5892" s="15" t="n">
        <f aca="false">YEAR(B5892)</f>
        <v>2023</v>
      </c>
      <c r="M5892" s="20" t="n">
        <f aca="false">IF(J5892&gt;0,K5892/J5892,0)</f>
        <v>0.207238537087124</v>
      </c>
    </row>
    <row r="5893" customFormat="false" ht="15" hidden="false" customHeight="false" outlineLevel="0" collapsed="false">
      <c r="A5893" s="15" t="s">
        <v>5950</v>
      </c>
      <c r="B5893" s="16" t="n">
        <v>45469</v>
      </c>
      <c r="C5893" s="15" t="s">
        <v>58</v>
      </c>
      <c r="D5893" s="15" t="s">
        <v>42</v>
      </c>
      <c r="E5893" s="15" t="s">
        <v>37</v>
      </c>
      <c r="F5893" s="15" t="s">
        <v>18</v>
      </c>
      <c r="G5893" s="15" t="s">
        <v>33</v>
      </c>
      <c r="H5893" s="15" t="n">
        <v>3</v>
      </c>
      <c r="I5893" s="17" t="n">
        <v>0.15</v>
      </c>
      <c r="J5893" s="18" t="n">
        <v>2292.73</v>
      </c>
      <c r="K5893" s="19" t="n">
        <v>461.4</v>
      </c>
      <c r="L5893" s="15" t="n">
        <f aca="false">YEAR(B5893)</f>
        <v>2024</v>
      </c>
      <c r="M5893" s="20" t="n">
        <f aca="false">IF(J5893&gt;0,K5893/J5893,0)</f>
        <v>0.20124480422902</v>
      </c>
    </row>
    <row r="5894" customFormat="false" ht="15" hidden="false" customHeight="false" outlineLevel="0" collapsed="false">
      <c r="A5894" s="15" t="s">
        <v>5951</v>
      </c>
      <c r="B5894" s="16" t="n">
        <v>45123</v>
      </c>
      <c r="C5894" s="15" t="s">
        <v>68</v>
      </c>
      <c r="D5894" s="15" t="s">
        <v>43</v>
      </c>
      <c r="E5894" s="15" t="s">
        <v>36</v>
      </c>
      <c r="F5894" s="15" t="s">
        <v>17</v>
      </c>
      <c r="G5894" s="15" t="s">
        <v>29</v>
      </c>
      <c r="H5894" s="15" t="n">
        <v>4</v>
      </c>
      <c r="I5894" s="17" t="n">
        <v>0.4</v>
      </c>
      <c r="J5894" s="18" t="n">
        <v>41.7</v>
      </c>
      <c r="K5894" s="19" t="n">
        <v>-0.99</v>
      </c>
      <c r="L5894" s="15" t="n">
        <f aca="false">YEAR(B5894)</f>
        <v>2023</v>
      </c>
      <c r="M5894" s="20" t="n">
        <f aca="false">IF(J5894&gt;0,K5894/J5894,0)</f>
        <v>-0.0237410071942446</v>
      </c>
    </row>
    <row r="5895" customFormat="false" ht="15" hidden="false" customHeight="false" outlineLevel="0" collapsed="false">
      <c r="A5895" s="15" t="s">
        <v>5952</v>
      </c>
      <c r="B5895" s="16" t="n">
        <v>45210</v>
      </c>
      <c r="C5895" s="15" t="s">
        <v>58</v>
      </c>
      <c r="D5895" s="15" t="s">
        <v>43</v>
      </c>
      <c r="E5895" s="15" t="s">
        <v>39</v>
      </c>
      <c r="F5895" s="15" t="s">
        <v>17</v>
      </c>
      <c r="G5895" s="15" t="s">
        <v>29</v>
      </c>
      <c r="H5895" s="15" t="n">
        <v>3</v>
      </c>
      <c r="I5895" s="17" t="n">
        <v>0.15</v>
      </c>
      <c r="J5895" s="18" t="n">
        <v>56.23</v>
      </c>
      <c r="K5895" s="19" t="n">
        <v>15.29</v>
      </c>
      <c r="L5895" s="15" t="n">
        <f aca="false">YEAR(B5895)</f>
        <v>2023</v>
      </c>
      <c r="M5895" s="20" t="n">
        <f aca="false">IF(J5895&gt;0,K5895/J5895,0)</f>
        <v>0.271918904499378</v>
      </c>
    </row>
    <row r="5896" customFormat="false" ht="15" hidden="false" customHeight="false" outlineLevel="0" collapsed="false">
      <c r="A5896" s="15" t="s">
        <v>5953</v>
      </c>
      <c r="B5896" s="16" t="n">
        <v>45238</v>
      </c>
      <c r="C5896" s="15" t="s">
        <v>71</v>
      </c>
      <c r="D5896" s="15" t="s">
        <v>42</v>
      </c>
      <c r="E5896" s="15" t="s">
        <v>36</v>
      </c>
      <c r="F5896" s="15" t="s">
        <v>18</v>
      </c>
      <c r="G5896" s="15" t="s">
        <v>30</v>
      </c>
      <c r="H5896" s="15" t="n">
        <v>7</v>
      </c>
      <c r="I5896" s="17" t="n">
        <v>0.2</v>
      </c>
      <c r="J5896" s="18" t="n">
        <v>275.45</v>
      </c>
      <c r="K5896" s="19" t="n">
        <v>34.16</v>
      </c>
      <c r="L5896" s="15" t="n">
        <f aca="false">YEAR(B5896)</f>
        <v>2023</v>
      </c>
      <c r="M5896" s="20" t="n">
        <f aca="false">IF(J5896&gt;0,K5896/J5896,0)</f>
        <v>0.124015247776366</v>
      </c>
    </row>
    <row r="5897" customFormat="false" ht="15" hidden="false" customHeight="false" outlineLevel="0" collapsed="false">
      <c r="A5897" s="15" t="s">
        <v>5954</v>
      </c>
      <c r="B5897" s="16" t="n">
        <v>45406</v>
      </c>
      <c r="C5897" s="15" t="s">
        <v>56</v>
      </c>
      <c r="D5897" s="15" t="s">
        <v>42</v>
      </c>
      <c r="E5897" s="15" t="s">
        <v>39</v>
      </c>
      <c r="F5897" s="15" t="s">
        <v>16</v>
      </c>
      <c r="G5897" s="15" t="s">
        <v>23</v>
      </c>
      <c r="H5897" s="15" t="n">
        <v>3</v>
      </c>
      <c r="I5897" s="17" t="n">
        <v>0</v>
      </c>
      <c r="J5897" s="18" t="n">
        <v>932.41</v>
      </c>
      <c r="K5897" s="19" t="n">
        <v>13.55</v>
      </c>
      <c r="L5897" s="15" t="n">
        <f aca="false">YEAR(B5897)</f>
        <v>2024</v>
      </c>
      <c r="M5897" s="20" t="n">
        <f aca="false">IF(J5897&gt;0,K5897/J5897,0)</f>
        <v>0.0145322336740275</v>
      </c>
    </row>
    <row r="5898" customFormat="false" ht="15" hidden="false" customHeight="false" outlineLevel="0" collapsed="false">
      <c r="A5898" s="15" t="s">
        <v>5955</v>
      </c>
      <c r="B5898" s="16" t="n">
        <v>45530</v>
      </c>
      <c r="C5898" s="15" t="s">
        <v>56</v>
      </c>
      <c r="D5898" s="15" t="s">
        <v>42</v>
      </c>
      <c r="E5898" s="15" t="s">
        <v>38</v>
      </c>
      <c r="F5898" s="15" t="s">
        <v>18</v>
      </c>
      <c r="G5898" s="15" t="s">
        <v>33</v>
      </c>
      <c r="H5898" s="15" t="n">
        <v>7</v>
      </c>
      <c r="I5898" s="17" t="n">
        <v>0</v>
      </c>
      <c r="J5898" s="18" t="n">
        <v>5123.56</v>
      </c>
      <c r="K5898" s="19" t="n">
        <v>1556.77</v>
      </c>
      <c r="L5898" s="15" t="n">
        <f aca="false">YEAR(B5898)</f>
        <v>2024</v>
      </c>
      <c r="M5898" s="20" t="n">
        <f aca="false">IF(J5898&gt;0,K5898/J5898,0)</f>
        <v>0.303845373138989</v>
      </c>
    </row>
    <row r="5899" customFormat="false" ht="15" hidden="false" customHeight="false" outlineLevel="0" collapsed="false">
      <c r="A5899" s="15" t="s">
        <v>5956</v>
      </c>
      <c r="B5899" s="16" t="n">
        <v>45511</v>
      </c>
      <c r="C5899" s="15" t="s">
        <v>56</v>
      </c>
      <c r="D5899" s="15" t="s">
        <v>44</v>
      </c>
      <c r="E5899" s="15" t="s">
        <v>36</v>
      </c>
      <c r="F5899" s="15" t="s">
        <v>17</v>
      </c>
      <c r="G5899" s="15" t="s">
        <v>31</v>
      </c>
      <c r="H5899" s="15" t="n">
        <v>3</v>
      </c>
      <c r="I5899" s="17" t="n">
        <v>0</v>
      </c>
      <c r="J5899" s="18" t="n">
        <v>428.62</v>
      </c>
      <c r="K5899" s="19" t="n">
        <v>86.06</v>
      </c>
      <c r="L5899" s="15" t="n">
        <f aca="false">YEAR(B5899)</f>
        <v>2024</v>
      </c>
      <c r="M5899" s="20" t="n">
        <f aca="false">IF(J5899&gt;0,K5899/J5899,0)</f>
        <v>0.200783911156736</v>
      </c>
    </row>
    <row r="5900" customFormat="false" ht="15" hidden="false" customHeight="false" outlineLevel="0" collapsed="false">
      <c r="A5900" s="15" t="s">
        <v>5957</v>
      </c>
      <c r="B5900" s="16" t="n">
        <v>45023</v>
      </c>
      <c r="C5900" s="15" t="s">
        <v>71</v>
      </c>
      <c r="D5900" s="15" t="s">
        <v>43</v>
      </c>
      <c r="E5900" s="15" t="s">
        <v>37</v>
      </c>
      <c r="F5900" s="15" t="s">
        <v>16</v>
      </c>
      <c r="G5900" s="15" t="s">
        <v>25</v>
      </c>
      <c r="H5900" s="15" t="n">
        <v>3</v>
      </c>
      <c r="I5900" s="17" t="n">
        <v>0.1</v>
      </c>
      <c r="J5900" s="18" t="n">
        <v>1060.49</v>
      </c>
      <c r="K5900" s="19" t="n">
        <v>-16.72</v>
      </c>
      <c r="L5900" s="15" t="n">
        <f aca="false">YEAR(B5900)</f>
        <v>2023</v>
      </c>
      <c r="M5900" s="20" t="n">
        <f aca="false">IF(J5900&gt;0,K5900/J5900,0)</f>
        <v>-0.0157662967118973</v>
      </c>
    </row>
    <row r="5901" customFormat="false" ht="15" hidden="false" customHeight="false" outlineLevel="0" collapsed="false">
      <c r="A5901" s="15" t="s">
        <v>5958</v>
      </c>
      <c r="B5901" s="16" t="n">
        <v>45419</v>
      </c>
      <c r="C5901" s="15" t="s">
        <v>56</v>
      </c>
      <c r="D5901" s="15" t="s">
        <v>44</v>
      </c>
      <c r="E5901" s="15" t="s">
        <v>38</v>
      </c>
      <c r="F5901" s="15" t="s">
        <v>16</v>
      </c>
      <c r="G5901" s="15" t="s">
        <v>22</v>
      </c>
      <c r="H5901" s="15" t="n">
        <v>6</v>
      </c>
      <c r="I5901" s="17" t="n">
        <v>0.05</v>
      </c>
      <c r="J5901" s="18" t="n">
        <v>2395.37</v>
      </c>
      <c r="K5901" s="19" t="n">
        <v>-175.09</v>
      </c>
      <c r="L5901" s="15" t="n">
        <f aca="false">YEAR(B5901)</f>
        <v>2024</v>
      </c>
      <c r="M5901" s="20" t="n">
        <f aca="false">IF(J5901&gt;0,K5901/J5901,0)</f>
        <v>-0.0730951794503563</v>
      </c>
    </row>
    <row r="5902" customFormat="false" ht="15" hidden="false" customHeight="false" outlineLevel="0" collapsed="false">
      <c r="A5902" s="15" t="s">
        <v>5959</v>
      </c>
      <c r="B5902" s="16" t="n">
        <v>45901</v>
      </c>
      <c r="C5902" s="15" t="s">
        <v>58</v>
      </c>
      <c r="D5902" s="15" t="s">
        <v>42</v>
      </c>
      <c r="E5902" s="15" t="s">
        <v>37</v>
      </c>
      <c r="F5902" s="15" t="s">
        <v>16</v>
      </c>
      <c r="G5902" s="15" t="s">
        <v>27</v>
      </c>
      <c r="H5902" s="15" t="n">
        <v>3</v>
      </c>
      <c r="I5902" s="17" t="n">
        <v>0.15</v>
      </c>
      <c r="J5902" s="18" t="n">
        <v>148</v>
      </c>
      <c r="K5902" s="19" t="n">
        <v>19.45</v>
      </c>
      <c r="L5902" s="15" t="n">
        <f aca="false">YEAR(B5902)</f>
        <v>2025</v>
      </c>
      <c r="M5902" s="20" t="n">
        <f aca="false">IF(J5902&gt;0,K5902/J5902,0)</f>
        <v>0.131418918918919</v>
      </c>
    </row>
    <row r="5903" customFormat="false" ht="15" hidden="false" customHeight="false" outlineLevel="0" collapsed="false">
      <c r="A5903" s="15" t="s">
        <v>5960</v>
      </c>
      <c r="B5903" s="16" t="n">
        <v>44683</v>
      </c>
      <c r="C5903" s="15" t="s">
        <v>68</v>
      </c>
      <c r="D5903" s="15" t="s">
        <v>42</v>
      </c>
      <c r="E5903" s="15" t="s">
        <v>36</v>
      </c>
      <c r="F5903" s="15" t="s">
        <v>17</v>
      </c>
      <c r="G5903" s="15" t="s">
        <v>29</v>
      </c>
      <c r="H5903" s="15" t="n">
        <v>3</v>
      </c>
      <c r="I5903" s="17" t="n">
        <v>0</v>
      </c>
      <c r="J5903" s="18" t="n">
        <v>47.01</v>
      </c>
      <c r="K5903" s="19" t="n">
        <v>18.51</v>
      </c>
      <c r="L5903" s="15" t="n">
        <f aca="false">YEAR(B5903)</f>
        <v>2022</v>
      </c>
      <c r="M5903" s="20" t="n">
        <f aca="false">IF(J5903&gt;0,K5903/J5903,0)</f>
        <v>0.393746011486918</v>
      </c>
    </row>
    <row r="5904" customFormat="false" ht="15" hidden="false" customHeight="false" outlineLevel="0" collapsed="false">
      <c r="A5904" s="15" t="s">
        <v>5961</v>
      </c>
      <c r="B5904" s="16" t="n">
        <v>45011</v>
      </c>
      <c r="C5904" s="15" t="s">
        <v>71</v>
      </c>
      <c r="D5904" s="15" t="s">
        <v>43</v>
      </c>
      <c r="E5904" s="15" t="s">
        <v>36</v>
      </c>
      <c r="F5904" s="15" t="s">
        <v>17</v>
      </c>
      <c r="G5904" s="15" t="s">
        <v>29</v>
      </c>
      <c r="H5904" s="15" t="n">
        <v>4</v>
      </c>
      <c r="I5904" s="17" t="n">
        <v>0</v>
      </c>
      <c r="J5904" s="18" t="n">
        <v>79.25</v>
      </c>
      <c r="K5904" s="19" t="n">
        <v>29.13</v>
      </c>
      <c r="L5904" s="15" t="n">
        <f aca="false">YEAR(B5904)</f>
        <v>2023</v>
      </c>
      <c r="M5904" s="20" t="n">
        <f aca="false">IF(J5904&gt;0,K5904/J5904,0)</f>
        <v>0.367570977917981</v>
      </c>
    </row>
    <row r="5905" customFormat="false" ht="15" hidden="false" customHeight="false" outlineLevel="0" collapsed="false">
      <c r="A5905" s="15" t="s">
        <v>5962</v>
      </c>
      <c r="B5905" s="16" t="n">
        <v>45541</v>
      </c>
      <c r="C5905" s="15" t="s">
        <v>56</v>
      </c>
      <c r="D5905" s="15" t="s">
        <v>42</v>
      </c>
      <c r="E5905" s="15" t="s">
        <v>39</v>
      </c>
      <c r="F5905" s="15" t="s">
        <v>17</v>
      </c>
      <c r="G5905" s="15" t="s">
        <v>26</v>
      </c>
      <c r="H5905" s="15" t="n">
        <v>3</v>
      </c>
      <c r="I5905" s="17" t="n">
        <v>0.05</v>
      </c>
      <c r="J5905" s="18" t="n">
        <v>249.89</v>
      </c>
      <c r="K5905" s="19" t="n">
        <v>39.05</v>
      </c>
      <c r="L5905" s="15" t="n">
        <f aca="false">YEAR(B5905)</f>
        <v>2024</v>
      </c>
      <c r="M5905" s="20" t="n">
        <f aca="false">IF(J5905&gt;0,K5905/J5905,0)</f>
        <v>0.156268758253632</v>
      </c>
    </row>
    <row r="5906" customFormat="false" ht="15" hidden="false" customHeight="false" outlineLevel="0" collapsed="false">
      <c r="A5906" s="15" t="s">
        <v>5963</v>
      </c>
      <c r="B5906" s="16" t="n">
        <v>45630</v>
      </c>
      <c r="C5906" s="15" t="s">
        <v>56</v>
      </c>
      <c r="D5906" s="15" t="s">
        <v>42</v>
      </c>
      <c r="E5906" s="15" t="s">
        <v>38</v>
      </c>
      <c r="F5906" s="15" t="s">
        <v>17</v>
      </c>
      <c r="G5906" s="15" t="s">
        <v>29</v>
      </c>
      <c r="H5906" s="15" t="n">
        <v>3</v>
      </c>
      <c r="I5906" s="17" t="n">
        <v>0.1</v>
      </c>
      <c r="J5906" s="18" t="n">
        <v>48.41</v>
      </c>
      <c r="K5906" s="19" t="n">
        <v>17.54</v>
      </c>
      <c r="L5906" s="15" t="n">
        <f aca="false">YEAR(B5906)</f>
        <v>2024</v>
      </c>
      <c r="M5906" s="20" t="n">
        <f aca="false">IF(J5906&gt;0,K5906/J5906,0)</f>
        <v>0.36232183433175</v>
      </c>
    </row>
    <row r="5907" customFormat="false" ht="15" hidden="false" customHeight="false" outlineLevel="0" collapsed="false">
      <c r="A5907" s="15" t="s">
        <v>5964</v>
      </c>
      <c r="B5907" s="16" t="n">
        <v>45072</v>
      </c>
      <c r="C5907" s="15" t="s">
        <v>56</v>
      </c>
      <c r="D5907" s="15" t="s">
        <v>42</v>
      </c>
      <c r="E5907" s="15" t="s">
        <v>36</v>
      </c>
      <c r="F5907" s="15" t="s">
        <v>16</v>
      </c>
      <c r="G5907" s="15" t="s">
        <v>27</v>
      </c>
      <c r="H5907" s="15" t="n">
        <v>3</v>
      </c>
      <c r="I5907" s="17" t="n">
        <v>0</v>
      </c>
      <c r="J5907" s="18" t="n">
        <v>162.79</v>
      </c>
      <c r="K5907" s="19" t="n">
        <v>36.51</v>
      </c>
      <c r="L5907" s="15" t="n">
        <f aca="false">YEAR(B5907)</f>
        <v>2023</v>
      </c>
      <c r="M5907" s="20" t="n">
        <f aca="false">IF(J5907&gt;0,K5907/J5907,0)</f>
        <v>0.224276675471466</v>
      </c>
    </row>
    <row r="5908" customFormat="false" ht="15" hidden="false" customHeight="false" outlineLevel="0" collapsed="false">
      <c r="A5908" s="15" t="s">
        <v>5965</v>
      </c>
      <c r="B5908" s="16" t="n">
        <v>44564</v>
      </c>
      <c r="C5908" s="15" t="s">
        <v>56</v>
      </c>
      <c r="D5908" s="15" t="s">
        <v>42</v>
      </c>
      <c r="E5908" s="15" t="s">
        <v>37</v>
      </c>
      <c r="F5908" s="15" t="s">
        <v>17</v>
      </c>
      <c r="G5908" s="15" t="s">
        <v>28</v>
      </c>
      <c r="H5908" s="15" t="n">
        <v>3</v>
      </c>
      <c r="I5908" s="17" t="n">
        <v>0</v>
      </c>
      <c r="J5908" s="18" t="n">
        <v>73.08</v>
      </c>
      <c r="K5908" s="19" t="n">
        <v>21.88</v>
      </c>
      <c r="L5908" s="15" t="n">
        <f aca="false">YEAR(B5908)</f>
        <v>2022</v>
      </c>
      <c r="M5908" s="20" t="n">
        <f aca="false">IF(J5908&gt;0,K5908/J5908,0)</f>
        <v>0.299397920087575</v>
      </c>
    </row>
    <row r="5909" customFormat="false" ht="15" hidden="false" customHeight="false" outlineLevel="0" collapsed="false">
      <c r="A5909" s="15" t="s">
        <v>5966</v>
      </c>
      <c r="B5909" s="16" t="n">
        <v>45253</v>
      </c>
      <c r="C5909" s="15" t="s">
        <v>71</v>
      </c>
      <c r="D5909" s="15" t="s">
        <v>42</v>
      </c>
      <c r="E5909" s="15" t="s">
        <v>37</v>
      </c>
      <c r="F5909" s="15" t="s">
        <v>17</v>
      </c>
      <c r="G5909" s="15" t="s">
        <v>29</v>
      </c>
      <c r="H5909" s="15" t="n">
        <v>2</v>
      </c>
      <c r="I5909" s="17" t="n">
        <v>0.2</v>
      </c>
      <c r="J5909" s="18" t="n">
        <v>27.38</v>
      </c>
      <c r="K5909" s="19" t="n">
        <v>5.45</v>
      </c>
      <c r="L5909" s="15" t="n">
        <f aca="false">YEAR(B5909)</f>
        <v>2023</v>
      </c>
      <c r="M5909" s="20" t="n">
        <f aca="false">IF(J5909&gt;0,K5909/J5909,0)</f>
        <v>0.199050401753104</v>
      </c>
    </row>
    <row r="5910" customFormat="false" ht="15" hidden="false" customHeight="false" outlineLevel="0" collapsed="false">
      <c r="A5910" s="15" t="s">
        <v>5967</v>
      </c>
      <c r="B5910" s="16" t="n">
        <v>45949</v>
      </c>
      <c r="C5910" s="15" t="s">
        <v>56</v>
      </c>
      <c r="D5910" s="15" t="s">
        <v>42</v>
      </c>
      <c r="E5910" s="15" t="s">
        <v>37</v>
      </c>
      <c r="F5910" s="15" t="s">
        <v>16</v>
      </c>
      <c r="G5910" s="15" t="s">
        <v>23</v>
      </c>
      <c r="H5910" s="15" t="n">
        <v>4</v>
      </c>
      <c r="I5910" s="17" t="n">
        <v>0</v>
      </c>
      <c r="J5910" s="18" t="n">
        <v>1390.71</v>
      </c>
      <c r="K5910" s="19" t="n">
        <v>-17.71</v>
      </c>
      <c r="L5910" s="15" t="n">
        <f aca="false">YEAR(B5910)</f>
        <v>2025</v>
      </c>
      <c r="M5910" s="20" t="n">
        <f aca="false">IF(J5910&gt;0,K5910/J5910,0)</f>
        <v>-0.0127345025202954</v>
      </c>
    </row>
    <row r="5911" customFormat="false" ht="15" hidden="false" customHeight="false" outlineLevel="0" collapsed="false">
      <c r="A5911" s="15" t="s">
        <v>5968</v>
      </c>
      <c r="B5911" s="16" t="n">
        <v>45455</v>
      </c>
      <c r="C5911" s="15" t="s">
        <v>56</v>
      </c>
      <c r="D5911" s="15" t="s">
        <v>42</v>
      </c>
      <c r="E5911" s="15" t="s">
        <v>37</v>
      </c>
      <c r="F5911" s="15" t="s">
        <v>17</v>
      </c>
      <c r="G5911" s="15" t="s">
        <v>28</v>
      </c>
      <c r="H5911" s="15" t="n">
        <v>6</v>
      </c>
      <c r="I5911" s="17" t="n">
        <v>0.1</v>
      </c>
      <c r="J5911" s="18" t="n">
        <v>140.17</v>
      </c>
      <c r="K5911" s="19" t="n">
        <v>24.11</v>
      </c>
      <c r="L5911" s="15" t="n">
        <f aca="false">YEAR(B5911)</f>
        <v>2024</v>
      </c>
      <c r="M5911" s="20" t="n">
        <f aca="false">IF(J5911&gt;0,K5911/J5911,0)</f>
        <v>0.172005421987587</v>
      </c>
    </row>
    <row r="5912" customFormat="false" ht="15" hidden="false" customHeight="false" outlineLevel="0" collapsed="false">
      <c r="A5912" s="15" t="s">
        <v>5969</v>
      </c>
      <c r="B5912" s="16" t="n">
        <v>45374</v>
      </c>
      <c r="C5912" s="15" t="s">
        <v>56</v>
      </c>
      <c r="D5912" s="15" t="s">
        <v>42</v>
      </c>
      <c r="E5912" s="15" t="s">
        <v>36</v>
      </c>
      <c r="F5912" s="15" t="s">
        <v>16</v>
      </c>
      <c r="G5912" s="15" t="s">
        <v>23</v>
      </c>
      <c r="H5912" s="15" t="n">
        <v>6</v>
      </c>
      <c r="I5912" s="17" t="n">
        <v>0.3</v>
      </c>
      <c r="J5912" s="18" t="n">
        <v>991.72</v>
      </c>
      <c r="K5912" s="19" t="n">
        <v>-217.16</v>
      </c>
      <c r="L5912" s="15" t="n">
        <f aca="false">YEAR(B5912)</f>
        <v>2024</v>
      </c>
      <c r="M5912" s="20" t="n">
        <f aca="false">IF(J5912&gt;0,K5912/J5912,0)</f>
        <v>-0.21897309724519</v>
      </c>
    </row>
    <row r="5913" customFormat="false" ht="15" hidden="false" customHeight="false" outlineLevel="0" collapsed="false">
      <c r="A5913" s="15" t="s">
        <v>5970</v>
      </c>
      <c r="B5913" s="16" t="n">
        <v>45557</v>
      </c>
      <c r="C5913" s="15" t="s">
        <v>68</v>
      </c>
      <c r="D5913" s="15" t="s">
        <v>42</v>
      </c>
      <c r="E5913" s="15" t="s">
        <v>39</v>
      </c>
      <c r="F5913" s="15" t="s">
        <v>17</v>
      </c>
      <c r="G5913" s="15" t="s">
        <v>28</v>
      </c>
      <c r="H5913" s="15" t="n">
        <v>5</v>
      </c>
      <c r="I5913" s="17" t="n">
        <v>0.3</v>
      </c>
      <c r="J5913" s="18" t="n">
        <v>74.01</v>
      </c>
      <c r="K5913" s="19" t="n">
        <v>8.39</v>
      </c>
      <c r="L5913" s="15" t="n">
        <f aca="false">YEAR(B5913)</f>
        <v>2024</v>
      </c>
      <c r="M5913" s="20" t="n">
        <f aca="false">IF(J5913&gt;0,K5913/J5913,0)</f>
        <v>0.113363059046075</v>
      </c>
    </row>
    <row r="5914" customFormat="false" ht="15" hidden="false" customHeight="false" outlineLevel="0" collapsed="false">
      <c r="A5914" s="15" t="s">
        <v>5971</v>
      </c>
      <c r="B5914" s="16" t="n">
        <v>45909</v>
      </c>
      <c r="C5914" s="15" t="s">
        <v>56</v>
      </c>
      <c r="D5914" s="15" t="s">
        <v>43</v>
      </c>
      <c r="E5914" s="15" t="s">
        <v>39</v>
      </c>
      <c r="F5914" s="15" t="s">
        <v>17</v>
      </c>
      <c r="G5914" s="15" t="s">
        <v>31</v>
      </c>
      <c r="H5914" s="15" t="n">
        <v>1</v>
      </c>
      <c r="I5914" s="17" t="n">
        <v>0</v>
      </c>
      <c r="J5914" s="18" t="n">
        <v>163.42</v>
      </c>
      <c r="K5914" s="19" t="n">
        <v>30.51</v>
      </c>
      <c r="L5914" s="15" t="n">
        <f aca="false">YEAR(B5914)</f>
        <v>2025</v>
      </c>
      <c r="M5914" s="20" t="n">
        <f aca="false">IF(J5914&gt;0,K5914/J5914,0)</f>
        <v>0.186696854730143</v>
      </c>
    </row>
    <row r="5915" customFormat="false" ht="15" hidden="false" customHeight="false" outlineLevel="0" collapsed="false">
      <c r="A5915" s="15" t="s">
        <v>5972</v>
      </c>
      <c r="B5915" s="16" t="n">
        <v>45050</v>
      </c>
      <c r="C5915" s="15" t="s">
        <v>68</v>
      </c>
      <c r="D5915" s="15" t="s">
        <v>43</v>
      </c>
      <c r="E5915" s="15" t="s">
        <v>36</v>
      </c>
      <c r="F5915" s="15" t="s">
        <v>17</v>
      </c>
      <c r="G5915" s="15" t="s">
        <v>26</v>
      </c>
      <c r="H5915" s="15" t="n">
        <v>4</v>
      </c>
      <c r="I5915" s="17" t="n">
        <v>0.3</v>
      </c>
      <c r="J5915" s="18" t="n">
        <v>254.02</v>
      </c>
      <c r="K5915" s="19" t="n">
        <v>-48.52</v>
      </c>
      <c r="L5915" s="15" t="n">
        <f aca="false">YEAR(B5915)</f>
        <v>2023</v>
      </c>
      <c r="M5915" s="20" t="n">
        <f aca="false">IF(J5915&gt;0,K5915/J5915,0)</f>
        <v>-0.191008582001417</v>
      </c>
    </row>
    <row r="5916" customFormat="false" ht="15" hidden="false" customHeight="false" outlineLevel="0" collapsed="false">
      <c r="A5916" s="15" t="s">
        <v>5973</v>
      </c>
      <c r="B5916" s="16" t="n">
        <v>44922</v>
      </c>
      <c r="C5916" s="15" t="s">
        <v>58</v>
      </c>
      <c r="D5916" s="15" t="s">
        <v>43</v>
      </c>
      <c r="E5916" s="15" t="s">
        <v>36</v>
      </c>
      <c r="F5916" s="15" t="s">
        <v>18</v>
      </c>
      <c r="G5916" s="15" t="s">
        <v>30</v>
      </c>
      <c r="H5916" s="15" t="n">
        <v>4</v>
      </c>
      <c r="I5916" s="17" t="n">
        <v>0</v>
      </c>
      <c r="J5916" s="18" t="n">
        <v>227.42</v>
      </c>
      <c r="K5916" s="19" t="n">
        <v>75.72</v>
      </c>
      <c r="L5916" s="15" t="n">
        <f aca="false">YEAR(B5916)</f>
        <v>2022</v>
      </c>
      <c r="M5916" s="20" t="n">
        <f aca="false">IF(J5916&gt;0,K5916/J5916,0)</f>
        <v>0.33295224694398</v>
      </c>
    </row>
    <row r="5917" customFormat="false" ht="15" hidden="false" customHeight="false" outlineLevel="0" collapsed="false">
      <c r="A5917" s="15" t="s">
        <v>5974</v>
      </c>
      <c r="B5917" s="16" t="n">
        <v>45994</v>
      </c>
      <c r="C5917" s="15" t="s">
        <v>56</v>
      </c>
      <c r="D5917" s="15" t="s">
        <v>43</v>
      </c>
      <c r="E5917" s="15" t="s">
        <v>36</v>
      </c>
      <c r="F5917" s="15" t="s">
        <v>17</v>
      </c>
      <c r="G5917" s="15" t="s">
        <v>28</v>
      </c>
      <c r="H5917" s="15" t="n">
        <v>5</v>
      </c>
      <c r="I5917" s="17" t="n">
        <v>0</v>
      </c>
      <c r="J5917" s="18" t="n">
        <v>125.4</v>
      </c>
      <c r="K5917" s="19" t="n">
        <v>35.08</v>
      </c>
      <c r="L5917" s="15" t="n">
        <f aca="false">YEAR(B5917)</f>
        <v>2025</v>
      </c>
      <c r="M5917" s="20" t="n">
        <f aca="false">IF(J5917&gt;0,K5917/J5917,0)</f>
        <v>0.279744816586922</v>
      </c>
    </row>
    <row r="5918" customFormat="false" ht="15" hidden="false" customHeight="false" outlineLevel="0" collapsed="false">
      <c r="A5918" s="15" t="s">
        <v>5975</v>
      </c>
      <c r="B5918" s="16" t="n">
        <v>45021</v>
      </c>
      <c r="C5918" s="15" t="s">
        <v>58</v>
      </c>
      <c r="D5918" s="15" t="s">
        <v>42</v>
      </c>
      <c r="E5918" s="15" t="s">
        <v>36</v>
      </c>
      <c r="F5918" s="15" t="s">
        <v>18</v>
      </c>
      <c r="G5918" s="15" t="s">
        <v>32</v>
      </c>
      <c r="H5918" s="15" t="n">
        <v>2</v>
      </c>
      <c r="I5918" s="17" t="n">
        <v>0</v>
      </c>
      <c r="J5918" s="18" t="n">
        <v>777.76</v>
      </c>
      <c r="K5918" s="19" t="n">
        <v>62.56</v>
      </c>
      <c r="L5918" s="15" t="n">
        <f aca="false">YEAR(B5918)</f>
        <v>2023</v>
      </c>
      <c r="M5918" s="20" t="n">
        <f aca="false">IF(J5918&gt;0,K5918/J5918,0)</f>
        <v>0.0804361242542687</v>
      </c>
    </row>
    <row r="5919" customFormat="false" ht="15" hidden="false" customHeight="false" outlineLevel="0" collapsed="false">
      <c r="A5919" s="15" t="s">
        <v>5976</v>
      </c>
      <c r="B5919" s="16" t="n">
        <v>44802</v>
      </c>
      <c r="C5919" s="15" t="s">
        <v>56</v>
      </c>
      <c r="D5919" s="15" t="s">
        <v>43</v>
      </c>
      <c r="E5919" s="15" t="s">
        <v>36</v>
      </c>
      <c r="F5919" s="15" t="s">
        <v>17</v>
      </c>
      <c r="G5919" s="15" t="s">
        <v>28</v>
      </c>
      <c r="H5919" s="15" t="n">
        <v>3</v>
      </c>
      <c r="I5919" s="17" t="n">
        <v>0.2</v>
      </c>
      <c r="J5919" s="18" t="n">
        <v>58.03</v>
      </c>
      <c r="K5919" s="19" t="n">
        <v>6.37</v>
      </c>
      <c r="L5919" s="15" t="n">
        <f aca="false">YEAR(B5919)</f>
        <v>2022</v>
      </c>
      <c r="M5919" s="20" t="n">
        <f aca="false">IF(J5919&gt;0,K5919/J5919,0)</f>
        <v>0.109770808202654</v>
      </c>
    </row>
    <row r="5920" customFormat="false" ht="15" hidden="false" customHeight="false" outlineLevel="0" collapsed="false">
      <c r="A5920" s="15" t="s">
        <v>5977</v>
      </c>
      <c r="B5920" s="16" t="n">
        <v>45721</v>
      </c>
      <c r="C5920" s="15" t="s">
        <v>68</v>
      </c>
      <c r="D5920" s="15" t="s">
        <v>43</v>
      </c>
      <c r="E5920" s="15" t="s">
        <v>36</v>
      </c>
      <c r="F5920" s="15" t="s">
        <v>18</v>
      </c>
      <c r="G5920" s="15" t="s">
        <v>30</v>
      </c>
      <c r="H5920" s="15" t="n">
        <v>5</v>
      </c>
      <c r="I5920" s="17" t="n">
        <v>0</v>
      </c>
      <c r="J5920" s="18" t="n">
        <v>230.46</v>
      </c>
      <c r="K5920" s="19" t="n">
        <v>83.01</v>
      </c>
      <c r="L5920" s="15" t="n">
        <f aca="false">YEAR(B5920)</f>
        <v>2025</v>
      </c>
      <c r="M5920" s="20" t="n">
        <f aca="false">IF(J5920&gt;0,K5920/J5920,0)</f>
        <v>0.360192658161937</v>
      </c>
    </row>
    <row r="5921" customFormat="false" ht="15" hidden="false" customHeight="false" outlineLevel="0" collapsed="false">
      <c r="A5921" s="15" t="s">
        <v>5978</v>
      </c>
      <c r="B5921" s="16" t="n">
        <v>44811</v>
      </c>
      <c r="C5921" s="15" t="s">
        <v>71</v>
      </c>
      <c r="D5921" s="15" t="s">
        <v>44</v>
      </c>
      <c r="E5921" s="15" t="s">
        <v>36</v>
      </c>
      <c r="F5921" s="15" t="s">
        <v>17</v>
      </c>
      <c r="G5921" s="15" t="s">
        <v>31</v>
      </c>
      <c r="H5921" s="15" t="n">
        <v>4</v>
      </c>
      <c r="I5921" s="17" t="n">
        <v>0.05</v>
      </c>
      <c r="J5921" s="18" t="n">
        <v>449.96</v>
      </c>
      <c r="K5921" s="19" t="n">
        <v>103.5</v>
      </c>
      <c r="L5921" s="15" t="n">
        <f aca="false">YEAR(B5921)</f>
        <v>2022</v>
      </c>
      <c r="M5921" s="20" t="n">
        <f aca="false">IF(J5921&gt;0,K5921/J5921,0)</f>
        <v>0.23002044626189</v>
      </c>
    </row>
    <row r="5922" customFormat="false" ht="15" hidden="false" customHeight="false" outlineLevel="0" collapsed="false">
      <c r="A5922" s="15" t="s">
        <v>5979</v>
      </c>
      <c r="B5922" s="16" t="n">
        <v>44961</v>
      </c>
      <c r="C5922" s="15" t="s">
        <v>56</v>
      </c>
      <c r="D5922" s="15" t="s">
        <v>42</v>
      </c>
      <c r="E5922" s="15" t="s">
        <v>39</v>
      </c>
      <c r="F5922" s="15" t="s">
        <v>17</v>
      </c>
      <c r="G5922" s="15" t="s">
        <v>29</v>
      </c>
      <c r="H5922" s="15" t="n">
        <v>6</v>
      </c>
      <c r="I5922" s="17" t="n">
        <v>0.3</v>
      </c>
      <c r="J5922" s="18" t="n">
        <v>88.55</v>
      </c>
      <c r="K5922" s="19" t="n">
        <v>14.83</v>
      </c>
      <c r="L5922" s="15" t="n">
        <f aca="false">YEAR(B5922)</f>
        <v>2023</v>
      </c>
      <c r="M5922" s="20" t="n">
        <f aca="false">IF(J5922&gt;0,K5922/J5922,0)</f>
        <v>0.167476002258611</v>
      </c>
    </row>
    <row r="5923" customFormat="false" ht="15" hidden="false" customHeight="false" outlineLevel="0" collapsed="false">
      <c r="A5923" s="15" t="s">
        <v>5980</v>
      </c>
      <c r="B5923" s="16" t="n">
        <v>45290</v>
      </c>
      <c r="C5923" s="15" t="s">
        <v>68</v>
      </c>
      <c r="D5923" s="15" t="s">
        <v>43</v>
      </c>
      <c r="E5923" s="15" t="s">
        <v>37</v>
      </c>
      <c r="F5923" s="15" t="s">
        <v>18</v>
      </c>
      <c r="G5923" s="15" t="s">
        <v>32</v>
      </c>
      <c r="H5923" s="15" t="n">
        <v>5</v>
      </c>
      <c r="I5923" s="17" t="n">
        <v>0</v>
      </c>
      <c r="J5923" s="18" t="n">
        <v>2063.07</v>
      </c>
      <c r="K5923" s="19" t="n">
        <v>249.19</v>
      </c>
      <c r="L5923" s="15" t="n">
        <f aca="false">YEAR(B5923)</f>
        <v>2023</v>
      </c>
      <c r="M5923" s="20" t="n">
        <f aca="false">IF(J5923&gt;0,K5923/J5923,0)</f>
        <v>0.120786013077598</v>
      </c>
    </row>
    <row r="5924" customFormat="false" ht="15" hidden="false" customHeight="false" outlineLevel="0" collapsed="false">
      <c r="A5924" s="15" t="s">
        <v>5981</v>
      </c>
      <c r="B5924" s="16" t="n">
        <v>45938</v>
      </c>
      <c r="C5924" s="15" t="s">
        <v>56</v>
      </c>
      <c r="D5924" s="15" t="s">
        <v>42</v>
      </c>
      <c r="E5924" s="15" t="s">
        <v>39</v>
      </c>
      <c r="F5924" s="15" t="s">
        <v>16</v>
      </c>
      <c r="G5924" s="15" t="s">
        <v>22</v>
      </c>
      <c r="H5924" s="15" t="n">
        <v>4</v>
      </c>
      <c r="I5924" s="17" t="n">
        <v>0</v>
      </c>
      <c r="J5924" s="18" t="n">
        <v>1803.16</v>
      </c>
      <c r="K5924" s="19" t="n">
        <v>-11.18</v>
      </c>
      <c r="L5924" s="15" t="n">
        <f aca="false">YEAR(B5924)</f>
        <v>2025</v>
      </c>
      <c r="M5924" s="20" t="n">
        <f aca="false">IF(J5924&gt;0,K5924/J5924,0)</f>
        <v>-0.0062002262694381</v>
      </c>
    </row>
    <row r="5925" customFormat="false" ht="15" hidden="false" customHeight="false" outlineLevel="0" collapsed="false">
      <c r="A5925" s="15" t="s">
        <v>5982</v>
      </c>
      <c r="B5925" s="16" t="n">
        <v>45605</v>
      </c>
      <c r="C5925" s="15" t="s">
        <v>68</v>
      </c>
      <c r="D5925" s="15" t="s">
        <v>44</v>
      </c>
      <c r="E5925" s="15" t="s">
        <v>38</v>
      </c>
      <c r="F5925" s="15" t="s">
        <v>17</v>
      </c>
      <c r="G5925" s="15" t="s">
        <v>29</v>
      </c>
      <c r="H5925" s="15" t="n">
        <v>3</v>
      </c>
      <c r="I5925" s="17" t="n">
        <v>0</v>
      </c>
      <c r="J5925" s="18" t="n">
        <v>48.94</v>
      </c>
      <c r="K5925" s="19" t="n">
        <v>14.2</v>
      </c>
      <c r="L5925" s="15" t="n">
        <f aca="false">YEAR(B5925)</f>
        <v>2024</v>
      </c>
      <c r="M5925" s="20" t="n">
        <f aca="false">IF(J5925&gt;0,K5925/J5925,0)</f>
        <v>0.290151205557826</v>
      </c>
    </row>
    <row r="5926" customFormat="false" ht="15" hidden="false" customHeight="false" outlineLevel="0" collapsed="false">
      <c r="A5926" s="15" t="s">
        <v>5983</v>
      </c>
      <c r="B5926" s="16" t="n">
        <v>45773</v>
      </c>
      <c r="C5926" s="15" t="s">
        <v>56</v>
      </c>
      <c r="D5926" s="15" t="s">
        <v>43</v>
      </c>
      <c r="E5926" s="15" t="s">
        <v>37</v>
      </c>
      <c r="F5926" s="15" t="s">
        <v>18</v>
      </c>
      <c r="G5926" s="15" t="s">
        <v>24</v>
      </c>
      <c r="H5926" s="15" t="n">
        <v>4</v>
      </c>
      <c r="I5926" s="17" t="n">
        <v>0.2</v>
      </c>
      <c r="J5926" s="18" t="n">
        <v>2548.32</v>
      </c>
      <c r="K5926" s="19" t="n">
        <v>-306.72</v>
      </c>
      <c r="L5926" s="15" t="n">
        <f aca="false">YEAR(B5926)</f>
        <v>2025</v>
      </c>
      <c r="M5926" s="20" t="n">
        <f aca="false">IF(J5926&gt;0,K5926/J5926,0)</f>
        <v>-0.120361650028254</v>
      </c>
    </row>
    <row r="5927" customFormat="false" ht="15" hidden="false" customHeight="false" outlineLevel="0" collapsed="false">
      <c r="A5927" s="15" t="s">
        <v>5984</v>
      </c>
      <c r="B5927" s="16" t="n">
        <v>45402</v>
      </c>
      <c r="C5927" s="15" t="s">
        <v>71</v>
      </c>
      <c r="D5927" s="15" t="s">
        <v>43</v>
      </c>
      <c r="E5927" s="15" t="s">
        <v>36</v>
      </c>
      <c r="F5927" s="15" t="s">
        <v>18</v>
      </c>
      <c r="G5927" s="15" t="s">
        <v>30</v>
      </c>
      <c r="H5927" s="15" t="n">
        <v>1</v>
      </c>
      <c r="I5927" s="17" t="n">
        <v>0.1</v>
      </c>
      <c r="J5927" s="18" t="n">
        <v>46.44</v>
      </c>
      <c r="K5927" s="19" t="n">
        <v>6.72</v>
      </c>
      <c r="L5927" s="15" t="n">
        <f aca="false">YEAR(B5927)</f>
        <v>2024</v>
      </c>
      <c r="M5927" s="20" t="n">
        <f aca="false">IF(J5927&gt;0,K5927/J5927,0)</f>
        <v>0.144702842377261</v>
      </c>
    </row>
    <row r="5928" customFormat="false" ht="15" hidden="false" customHeight="false" outlineLevel="0" collapsed="false">
      <c r="A5928" s="15" t="s">
        <v>5985</v>
      </c>
      <c r="B5928" s="16" t="n">
        <v>45967</v>
      </c>
      <c r="C5928" s="15" t="s">
        <v>56</v>
      </c>
      <c r="D5928" s="15" t="s">
        <v>42</v>
      </c>
      <c r="E5928" s="15" t="s">
        <v>37</v>
      </c>
      <c r="F5928" s="15" t="s">
        <v>17</v>
      </c>
      <c r="G5928" s="15" t="s">
        <v>28</v>
      </c>
      <c r="H5928" s="15" t="n">
        <v>3</v>
      </c>
      <c r="I5928" s="17" t="n">
        <v>0.3</v>
      </c>
      <c r="J5928" s="18" t="n">
        <v>56.98</v>
      </c>
      <c r="K5928" s="19" t="n">
        <v>0.33</v>
      </c>
      <c r="L5928" s="15" t="n">
        <f aca="false">YEAR(B5928)</f>
        <v>2025</v>
      </c>
      <c r="M5928" s="20" t="n">
        <f aca="false">IF(J5928&gt;0,K5928/J5928,0)</f>
        <v>0.00579150579150579</v>
      </c>
    </row>
    <row r="5929" customFormat="false" ht="15" hidden="false" customHeight="false" outlineLevel="0" collapsed="false">
      <c r="A5929" s="15" t="s">
        <v>5986</v>
      </c>
      <c r="B5929" s="16" t="n">
        <v>45278</v>
      </c>
      <c r="C5929" s="15" t="s">
        <v>56</v>
      </c>
      <c r="D5929" s="15" t="s">
        <v>42</v>
      </c>
      <c r="E5929" s="15" t="s">
        <v>36</v>
      </c>
      <c r="F5929" s="15" t="s">
        <v>17</v>
      </c>
      <c r="G5929" s="15" t="s">
        <v>29</v>
      </c>
      <c r="H5929" s="15" t="n">
        <v>2</v>
      </c>
      <c r="I5929" s="17" t="n">
        <v>0</v>
      </c>
      <c r="J5929" s="18" t="n">
        <v>39.11</v>
      </c>
      <c r="K5929" s="19" t="n">
        <v>13.86</v>
      </c>
      <c r="L5929" s="15" t="n">
        <f aca="false">YEAR(B5929)</f>
        <v>2023</v>
      </c>
      <c r="M5929" s="20" t="n">
        <f aca="false">IF(J5929&gt;0,K5929/J5929,0)</f>
        <v>0.354385067757607</v>
      </c>
    </row>
    <row r="5930" customFormat="false" ht="15" hidden="false" customHeight="false" outlineLevel="0" collapsed="false">
      <c r="A5930" s="15" t="s">
        <v>5987</v>
      </c>
      <c r="B5930" s="16" t="n">
        <v>45976</v>
      </c>
      <c r="C5930" s="15" t="s">
        <v>71</v>
      </c>
      <c r="D5930" s="15" t="s">
        <v>42</v>
      </c>
      <c r="E5930" s="15" t="s">
        <v>37</v>
      </c>
      <c r="F5930" s="15" t="s">
        <v>17</v>
      </c>
      <c r="G5930" s="15" t="s">
        <v>28</v>
      </c>
      <c r="H5930" s="15" t="n">
        <v>2</v>
      </c>
      <c r="I5930" s="17" t="n">
        <v>0.3</v>
      </c>
      <c r="J5930" s="18" t="n">
        <v>31.92</v>
      </c>
      <c r="K5930" s="19" t="n">
        <v>0.58</v>
      </c>
      <c r="L5930" s="15" t="n">
        <f aca="false">YEAR(B5930)</f>
        <v>2025</v>
      </c>
      <c r="M5930" s="20" t="n">
        <f aca="false">IF(J5930&gt;0,K5930/J5930,0)</f>
        <v>0.0181704260651629</v>
      </c>
    </row>
    <row r="5931" customFormat="false" ht="15" hidden="false" customHeight="false" outlineLevel="0" collapsed="false">
      <c r="A5931" s="15" t="s">
        <v>5988</v>
      </c>
      <c r="B5931" s="16" t="n">
        <v>45161</v>
      </c>
      <c r="C5931" s="15" t="s">
        <v>58</v>
      </c>
      <c r="D5931" s="15" t="s">
        <v>42</v>
      </c>
      <c r="E5931" s="15" t="s">
        <v>39</v>
      </c>
      <c r="F5931" s="15" t="s">
        <v>17</v>
      </c>
      <c r="G5931" s="15" t="s">
        <v>28</v>
      </c>
      <c r="H5931" s="15" t="n">
        <v>6</v>
      </c>
      <c r="I5931" s="17" t="n">
        <v>0.15</v>
      </c>
      <c r="J5931" s="18" t="n">
        <v>143.18</v>
      </c>
      <c r="K5931" s="19" t="n">
        <v>37.63</v>
      </c>
      <c r="L5931" s="15" t="n">
        <f aca="false">YEAR(B5931)</f>
        <v>2023</v>
      </c>
      <c r="M5931" s="20" t="n">
        <f aca="false">IF(J5931&gt;0,K5931/J5931,0)</f>
        <v>0.262816035759184</v>
      </c>
    </row>
    <row r="5932" customFormat="false" ht="15" hidden="false" customHeight="false" outlineLevel="0" collapsed="false">
      <c r="A5932" s="15" t="s">
        <v>5989</v>
      </c>
      <c r="B5932" s="16" t="n">
        <v>44753</v>
      </c>
      <c r="C5932" s="15" t="s">
        <v>68</v>
      </c>
      <c r="D5932" s="15" t="s">
        <v>43</v>
      </c>
      <c r="E5932" s="15" t="s">
        <v>38</v>
      </c>
      <c r="F5932" s="15" t="s">
        <v>17</v>
      </c>
      <c r="G5932" s="15" t="s">
        <v>28</v>
      </c>
      <c r="H5932" s="15" t="n">
        <v>3</v>
      </c>
      <c r="I5932" s="17" t="n">
        <v>0.2</v>
      </c>
      <c r="J5932" s="18" t="n">
        <v>58.27</v>
      </c>
      <c r="K5932" s="19" t="n">
        <v>6.99</v>
      </c>
      <c r="L5932" s="15" t="n">
        <f aca="false">YEAR(B5932)</f>
        <v>2022</v>
      </c>
      <c r="M5932" s="20" t="n">
        <f aca="false">IF(J5932&gt;0,K5932/J5932,0)</f>
        <v>0.119958812424918</v>
      </c>
    </row>
    <row r="5933" customFormat="false" ht="15" hidden="false" customHeight="false" outlineLevel="0" collapsed="false">
      <c r="A5933" s="15" t="s">
        <v>5990</v>
      </c>
      <c r="B5933" s="16" t="n">
        <v>45094</v>
      </c>
      <c r="C5933" s="15" t="s">
        <v>56</v>
      </c>
      <c r="D5933" s="15" t="s">
        <v>43</v>
      </c>
      <c r="E5933" s="15" t="s">
        <v>36</v>
      </c>
      <c r="F5933" s="15" t="s">
        <v>18</v>
      </c>
      <c r="G5933" s="15" t="s">
        <v>33</v>
      </c>
      <c r="H5933" s="15" t="n">
        <v>2</v>
      </c>
      <c r="I5933" s="17" t="n">
        <v>0.3</v>
      </c>
      <c r="J5933" s="18" t="n">
        <v>1112.98</v>
      </c>
      <c r="K5933" s="19" t="n">
        <v>2.81</v>
      </c>
      <c r="L5933" s="15" t="n">
        <f aca="false">YEAR(B5933)</f>
        <v>2023</v>
      </c>
      <c r="M5933" s="20" t="n">
        <f aca="false">IF(J5933&gt;0,K5933/J5933,0)</f>
        <v>0.00252475336484034</v>
      </c>
    </row>
    <row r="5934" customFormat="false" ht="15" hidden="false" customHeight="false" outlineLevel="0" collapsed="false">
      <c r="A5934" s="15" t="s">
        <v>5991</v>
      </c>
      <c r="B5934" s="16" t="n">
        <v>44915</v>
      </c>
      <c r="C5934" s="15" t="s">
        <v>68</v>
      </c>
      <c r="D5934" s="15" t="s">
        <v>42</v>
      </c>
      <c r="E5934" s="15" t="s">
        <v>36</v>
      </c>
      <c r="F5934" s="15" t="s">
        <v>18</v>
      </c>
      <c r="G5934" s="15" t="s">
        <v>30</v>
      </c>
      <c r="H5934" s="15" t="n">
        <v>6</v>
      </c>
      <c r="I5934" s="17" t="n">
        <v>0</v>
      </c>
      <c r="J5934" s="18" t="n">
        <v>236.69</v>
      </c>
      <c r="K5934" s="19" t="n">
        <v>57.28</v>
      </c>
      <c r="L5934" s="15" t="n">
        <f aca="false">YEAR(B5934)</f>
        <v>2022</v>
      </c>
      <c r="M5934" s="20" t="n">
        <f aca="false">IF(J5934&gt;0,K5934/J5934,0)</f>
        <v>0.242004309434281</v>
      </c>
    </row>
    <row r="5935" customFormat="false" ht="15" hidden="false" customHeight="false" outlineLevel="0" collapsed="false">
      <c r="A5935" s="15" t="s">
        <v>5992</v>
      </c>
      <c r="B5935" s="16" t="n">
        <v>45116</v>
      </c>
      <c r="C5935" s="15" t="s">
        <v>71</v>
      </c>
      <c r="D5935" s="15" t="s">
        <v>42</v>
      </c>
      <c r="E5935" s="15" t="s">
        <v>37</v>
      </c>
      <c r="F5935" s="15" t="s">
        <v>17</v>
      </c>
      <c r="G5935" s="15" t="s">
        <v>29</v>
      </c>
      <c r="H5935" s="15" t="n">
        <v>1</v>
      </c>
      <c r="I5935" s="17" t="n">
        <v>0.15</v>
      </c>
      <c r="J5935" s="18" t="n">
        <v>18.09</v>
      </c>
      <c r="K5935" s="19" t="n">
        <v>5.12</v>
      </c>
      <c r="L5935" s="15" t="n">
        <f aca="false">YEAR(B5935)</f>
        <v>2023</v>
      </c>
      <c r="M5935" s="20" t="n">
        <f aca="false">IF(J5935&gt;0,K5935/J5935,0)</f>
        <v>0.283029297954671</v>
      </c>
    </row>
    <row r="5936" customFormat="false" ht="15" hidden="false" customHeight="false" outlineLevel="0" collapsed="false">
      <c r="A5936" s="15" t="s">
        <v>5993</v>
      </c>
      <c r="B5936" s="16" t="n">
        <v>45592</v>
      </c>
      <c r="C5936" s="15" t="s">
        <v>71</v>
      </c>
      <c r="D5936" s="15" t="s">
        <v>43</v>
      </c>
      <c r="E5936" s="15" t="s">
        <v>39</v>
      </c>
      <c r="F5936" s="15" t="s">
        <v>17</v>
      </c>
      <c r="G5936" s="15" t="s">
        <v>26</v>
      </c>
      <c r="H5936" s="15" t="n">
        <v>2</v>
      </c>
      <c r="I5936" s="17" t="n">
        <v>0.05</v>
      </c>
      <c r="J5936" s="18" t="n">
        <v>162.24</v>
      </c>
      <c r="K5936" s="19" t="n">
        <v>7.35</v>
      </c>
      <c r="L5936" s="15" t="n">
        <f aca="false">YEAR(B5936)</f>
        <v>2024</v>
      </c>
      <c r="M5936" s="20" t="n">
        <f aca="false">IF(J5936&gt;0,K5936/J5936,0)</f>
        <v>0.0453032544378698</v>
      </c>
    </row>
    <row r="5937" customFormat="false" ht="15" hidden="false" customHeight="false" outlineLevel="0" collapsed="false">
      <c r="A5937" s="15" t="s">
        <v>5994</v>
      </c>
      <c r="B5937" s="16" t="n">
        <v>45474</v>
      </c>
      <c r="C5937" s="15" t="s">
        <v>58</v>
      </c>
      <c r="D5937" s="15" t="s">
        <v>42</v>
      </c>
      <c r="E5937" s="15" t="s">
        <v>39</v>
      </c>
      <c r="F5937" s="15" t="s">
        <v>17</v>
      </c>
      <c r="G5937" s="15" t="s">
        <v>26</v>
      </c>
      <c r="H5937" s="15" t="n">
        <v>2</v>
      </c>
      <c r="I5937" s="17" t="n">
        <v>0</v>
      </c>
      <c r="J5937" s="18" t="n">
        <v>175.76</v>
      </c>
      <c r="K5937" s="19" t="n">
        <v>28.82</v>
      </c>
      <c r="L5937" s="15" t="n">
        <f aca="false">YEAR(B5937)</f>
        <v>2024</v>
      </c>
      <c r="M5937" s="20" t="n">
        <f aca="false">IF(J5937&gt;0,K5937/J5937,0)</f>
        <v>0.163973600364133</v>
      </c>
    </row>
    <row r="5938" customFormat="false" ht="15" hidden="false" customHeight="false" outlineLevel="0" collapsed="false">
      <c r="A5938" s="15" t="s">
        <v>5995</v>
      </c>
      <c r="B5938" s="16" t="n">
        <v>44816</v>
      </c>
      <c r="C5938" s="15" t="s">
        <v>71</v>
      </c>
      <c r="D5938" s="15" t="s">
        <v>43</v>
      </c>
      <c r="E5938" s="15" t="s">
        <v>37</v>
      </c>
      <c r="F5938" s="15" t="s">
        <v>18</v>
      </c>
      <c r="G5938" s="15" t="s">
        <v>30</v>
      </c>
      <c r="H5938" s="15" t="n">
        <v>1</v>
      </c>
      <c r="I5938" s="17" t="n">
        <v>0.1</v>
      </c>
      <c r="J5938" s="18" t="n">
        <v>41.05</v>
      </c>
      <c r="K5938" s="19" t="n">
        <v>7.09</v>
      </c>
      <c r="L5938" s="15" t="n">
        <f aca="false">YEAR(B5938)</f>
        <v>2022</v>
      </c>
      <c r="M5938" s="20" t="n">
        <f aca="false">IF(J5938&gt;0,K5938/J5938,0)</f>
        <v>0.172716199756395</v>
      </c>
    </row>
    <row r="5939" customFormat="false" ht="15" hidden="false" customHeight="false" outlineLevel="0" collapsed="false">
      <c r="A5939" s="15" t="s">
        <v>5996</v>
      </c>
      <c r="B5939" s="16" t="n">
        <v>45740</v>
      </c>
      <c r="C5939" s="15" t="s">
        <v>71</v>
      </c>
      <c r="D5939" s="15" t="s">
        <v>42</v>
      </c>
      <c r="E5939" s="15" t="s">
        <v>36</v>
      </c>
      <c r="F5939" s="15" t="s">
        <v>17</v>
      </c>
      <c r="G5939" s="15" t="s">
        <v>29</v>
      </c>
      <c r="H5939" s="15" t="n">
        <v>6</v>
      </c>
      <c r="I5939" s="17" t="n">
        <v>0.05</v>
      </c>
      <c r="J5939" s="18" t="n">
        <v>78.94</v>
      </c>
      <c r="K5939" s="19" t="n">
        <v>27.91</v>
      </c>
      <c r="L5939" s="15" t="n">
        <f aca="false">YEAR(B5939)</f>
        <v>2025</v>
      </c>
      <c r="M5939" s="20" t="n">
        <f aca="false">IF(J5939&gt;0,K5939/J5939,0)</f>
        <v>0.353559665568786</v>
      </c>
    </row>
    <row r="5940" customFormat="false" ht="15" hidden="false" customHeight="false" outlineLevel="0" collapsed="false">
      <c r="A5940" s="15" t="s">
        <v>5997</v>
      </c>
      <c r="B5940" s="16" t="n">
        <v>45414</v>
      </c>
      <c r="C5940" s="15" t="s">
        <v>56</v>
      </c>
      <c r="D5940" s="15" t="s">
        <v>42</v>
      </c>
      <c r="E5940" s="15" t="s">
        <v>37</v>
      </c>
      <c r="F5940" s="15" t="s">
        <v>16</v>
      </c>
      <c r="G5940" s="15" t="s">
        <v>22</v>
      </c>
      <c r="H5940" s="15" t="n">
        <v>5</v>
      </c>
      <c r="I5940" s="17" t="n">
        <v>0.1</v>
      </c>
      <c r="J5940" s="18" t="n">
        <v>2136.92</v>
      </c>
      <c r="K5940" s="19" t="n">
        <v>-298.5</v>
      </c>
      <c r="L5940" s="15" t="n">
        <f aca="false">YEAR(B5940)</f>
        <v>2024</v>
      </c>
      <c r="M5940" s="20" t="n">
        <f aca="false">IF(J5940&gt;0,K5940/J5940,0)</f>
        <v>-0.139687026187223</v>
      </c>
    </row>
    <row r="5941" customFormat="false" ht="15" hidden="false" customHeight="false" outlineLevel="0" collapsed="false">
      <c r="A5941" s="15" t="s">
        <v>5998</v>
      </c>
      <c r="B5941" s="16" t="n">
        <v>45032</v>
      </c>
      <c r="C5941" s="15" t="s">
        <v>56</v>
      </c>
      <c r="D5941" s="15" t="s">
        <v>44</v>
      </c>
      <c r="E5941" s="15" t="s">
        <v>38</v>
      </c>
      <c r="F5941" s="15" t="s">
        <v>18</v>
      </c>
      <c r="G5941" s="15" t="s">
        <v>30</v>
      </c>
      <c r="H5941" s="15" t="n">
        <v>3</v>
      </c>
      <c r="I5941" s="17" t="n">
        <v>0</v>
      </c>
      <c r="J5941" s="18" t="n">
        <v>138.8</v>
      </c>
      <c r="K5941" s="19" t="n">
        <v>44</v>
      </c>
      <c r="L5941" s="15" t="n">
        <f aca="false">YEAR(B5941)</f>
        <v>2023</v>
      </c>
      <c r="M5941" s="20" t="n">
        <f aca="false">IF(J5941&gt;0,K5941/J5941,0)</f>
        <v>0.31700288184438</v>
      </c>
    </row>
    <row r="5942" customFormat="false" ht="15" hidden="false" customHeight="false" outlineLevel="0" collapsed="false">
      <c r="A5942" s="15" t="s">
        <v>5999</v>
      </c>
      <c r="B5942" s="16" t="n">
        <v>45913</v>
      </c>
      <c r="C5942" s="15" t="s">
        <v>56</v>
      </c>
      <c r="D5942" s="15" t="s">
        <v>43</v>
      </c>
      <c r="E5942" s="15" t="s">
        <v>37</v>
      </c>
      <c r="F5942" s="15" t="s">
        <v>17</v>
      </c>
      <c r="G5942" s="15" t="s">
        <v>29</v>
      </c>
      <c r="H5942" s="15" t="n">
        <v>1</v>
      </c>
      <c r="I5942" s="17" t="n">
        <v>0</v>
      </c>
      <c r="J5942" s="18" t="n">
        <v>21.7</v>
      </c>
      <c r="K5942" s="19" t="n">
        <v>7.84</v>
      </c>
      <c r="L5942" s="15" t="n">
        <f aca="false">YEAR(B5942)</f>
        <v>2025</v>
      </c>
      <c r="M5942" s="20" t="n">
        <f aca="false">IF(J5942&gt;0,K5942/J5942,0)</f>
        <v>0.361290322580645</v>
      </c>
    </row>
    <row r="5943" customFormat="false" ht="15" hidden="false" customHeight="false" outlineLevel="0" collapsed="false">
      <c r="A5943" s="15" t="s">
        <v>6000</v>
      </c>
      <c r="B5943" s="16" t="n">
        <v>45483</v>
      </c>
      <c r="C5943" s="15" t="s">
        <v>56</v>
      </c>
      <c r="D5943" s="15" t="s">
        <v>42</v>
      </c>
      <c r="E5943" s="15" t="s">
        <v>37</v>
      </c>
      <c r="F5943" s="15" t="s">
        <v>18</v>
      </c>
      <c r="G5943" s="15" t="s">
        <v>32</v>
      </c>
      <c r="H5943" s="15" t="n">
        <v>5</v>
      </c>
      <c r="I5943" s="17" t="n">
        <v>0</v>
      </c>
      <c r="J5943" s="18" t="n">
        <v>2451.11</v>
      </c>
      <c r="K5943" s="19" t="n">
        <v>423.76</v>
      </c>
      <c r="L5943" s="15" t="n">
        <f aca="false">YEAR(B5943)</f>
        <v>2024</v>
      </c>
      <c r="M5943" s="20" t="n">
        <f aca="false">IF(J5943&gt;0,K5943/J5943,0)</f>
        <v>0.172884937844487</v>
      </c>
    </row>
    <row r="5944" customFormat="false" ht="15" hidden="false" customHeight="false" outlineLevel="0" collapsed="false">
      <c r="A5944" s="15" t="s">
        <v>6001</v>
      </c>
      <c r="B5944" s="16" t="n">
        <v>45082</v>
      </c>
      <c r="C5944" s="15" t="s">
        <v>56</v>
      </c>
      <c r="D5944" s="15" t="s">
        <v>43</v>
      </c>
      <c r="E5944" s="15" t="s">
        <v>39</v>
      </c>
      <c r="F5944" s="15" t="s">
        <v>18</v>
      </c>
      <c r="G5944" s="15" t="s">
        <v>30</v>
      </c>
      <c r="H5944" s="15" t="n">
        <v>4</v>
      </c>
      <c r="I5944" s="17" t="n">
        <v>0.1</v>
      </c>
      <c r="J5944" s="18" t="n">
        <v>218.27</v>
      </c>
      <c r="K5944" s="19" t="n">
        <v>43.19</v>
      </c>
      <c r="L5944" s="15" t="n">
        <f aca="false">YEAR(B5944)</f>
        <v>2023</v>
      </c>
      <c r="M5944" s="20" t="n">
        <f aca="false">IF(J5944&gt;0,K5944/J5944,0)</f>
        <v>0.197874192513859</v>
      </c>
    </row>
    <row r="5945" customFormat="false" ht="15" hidden="false" customHeight="false" outlineLevel="0" collapsed="false">
      <c r="A5945" s="15" t="s">
        <v>6002</v>
      </c>
      <c r="B5945" s="16" t="n">
        <v>45924</v>
      </c>
      <c r="C5945" s="15" t="s">
        <v>56</v>
      </c>
      <c r="D5945" s="15" t="s">
        <v>43</v>
      </c>
      <c r="E5945" s="15" t="s">
        <v>39</v>
      </c>
      <c r="F5945" s="15" t="s">
        <v>18</v>
      </c>
      <c r="G5945" s="15" t="s">
        <v>30</v>
      </c>
      <c r="H5945" s="15" t="n">
        <v>7</v>
      </c>
      <c r="I5945" s="17" t="n">
        <v>0</v>
      </c>
      <c r="J5945" s="18" t="n">
        <v>307.5</v>
      </c>
      <c r="K5945" s="19" t="n">
        <v>72.36</v>
      </c>
      <c r="L5945" s="15" t="n">
        <f aca="false">YEAR(B5945)</f>
        <v>2025</v>
      </c>
      <c r="M5945" s="20" t="n">
        <f aca="false">IF(J5945&gt;0,K5945/J5945,0)</f>
        <v>0.235317073170732</v>
      </c>
    </row>
    <row r="5946" customFormat="false" ht="15" hidden="false" customHeight="false" outlineLevel="0" collapsed="false">
      <c r="A5946" s="15" t="s">
        <v>6003</v>
      </c>
      <c r="B5946" s="16" t="n">
        <v>45024</v>
      </c>
      <c r="C5946" s="15" t="s">
        <v>56</v>
      </c>
      <c r="D5946" s="15" t="s">
        <v>42</v>
      </c>
      <c r="E5946" s="15" t="s">
        <v>38</v>
      </c>
      <c r="F5946" s="15" t="s">
        <v>17</v>
      </c>
      <c r="G5946" s="15" t="s">
        <v>26</v>
      </c>
      <c r="H5946" s="15" t="n">
        <v>2</v>
      </c>
      <c r="I5946" s="17" t="n">
        <v>0.5</v>
      </c>
      <c r="J5946" s="18" t="n">
        <v>70.57</v>
      </c>
      <c r="K5946" s="19" t="n">
        <v>-22.74</v>
      </c>
      <c r="L5946" s="15" t="n">
        <f aca="false">YEAR(B5946)</f>
        <v>2023</v>
      </c>
      <c r="M5946" s="20" t="n">
        <f aca="false">IF(J5946&gt;0,K5946/J5946,0)</f>
        <v>-0.322233243587927</v>
      </c>
    </row>
    <row r="5947" customFormat="false" ht="15" hidden="false" customHeight="false" outlineLevel="0" collapsed="false">
      <c r="A5947" s="15" t="s">
        <v>6004</v>
      </c>
      <c r="B5947" s="16" t="n">
        <v>44911</v>
      </c>
      <c r="C5947" s="15" t="s">
        <v>68</v>
      </c>
      <c r="D5947" s="15" t="s">
        <v>42</v>
      </c>
      <c r="E5947" s="15" t="s">
        <v>39</v>
      </c>
      <c r="F5947" s="15" t="s">
        <v>17</v>
      </c>
      <c r="G5947" s="15" t="s">
        <v>28</v>
      </c>
      <c r="H5947" s="15" t="n">
        <v>3</v>
      </c>
      <c r="I5947" s="17" t="n">
        <v>0</v>
      </c>
      <c r="J5947" s="18" t="n">
        <v>71.41</v>
      </c>
      <c r="K5947" s="19" t="n">
        <v>23.14</v>
      </c>
      <c r="L5947" s="15" t="n">
        <f aca="false">YEAR(B5947)</f>
        <v>2022</v>
      </c>
      <c r="M5947" s="20" t="n">
        <f aca="false">IF(J5947&gt;0,K5947/J5947,0)</f>
        <v>0.324044251505391</v>
      </c>
    </row>
    <row r="5948" customFormat="false" ht="15" hidden="false" customHeight="false" outlineLevel="0" collapsed="false">
      <c r="A5948" s="15" t="s">
        <v>6005</v>
      </c>
      <c r="B5948" s="16" t="n">
        <v>44711</v>
      </c>
      <c r="C5948" s="15" t="s">
        <v>56</v>
      </c>
      <c r="D5948" s="15" t="s">
        <v>42</v>
      </c>
      <c r="E5948" s="15" t="s">
        <v>37</v>
      </c>
      <c r="F5948" s="15" t="s">
        <v>17</v>
      </c>
      <c r="G5948" s="15" t="s">
        <v>31</v>
      </c>
      <c r="H5948" s="15" t="n">
        <v>5</v>
      </c>
      <c r="I5948" s="17" t="n">
        <v>0.1</v>
      </c>
      <c r="J5948" s="18" t="n">
        <v>718.9</v>
      </c>
      <c r="K5948" s="19" t="n">
        <v>50.8</v>
      </c>
      <c r="L5948" s="15" t="n">
        <f aca="false">YEAR(B5948)</f>
        <v>2022</v>
      </c>
      <c r="M5948" s="20" t="n">
        <f aca="false">IF(J5948&gt;0,K5948/J5948,0)</f>
        <v>0.0706635137014884</v>
      </c>
    </row>
    <row r="5949" customFormat="false" ht="15" hidden="false" customHeight="false" outlineLevel="0" collapsed="false">
      <c r="A5949" s="15" t="s">
        <v>6006</v>
      </c>
      <c r="B5949" s="16" t="n">
        <v>45421</v>
      </c>
      <c r="C5949" s="15" t="s">
        <v>68</v>
      </c>
      <c r="D5949" s="15" t="s">
        <v>42</v>
      </c>
      <c r="E5949" s="15" t="s">
        <v>37</v>
      </c>
      <c r="F5949" s="15" t="s">
        <v>17</v>
      </c>
      <c r="G5949" s="15" t="s">
        <v>28</v>
      </c>
      <c r="H5949" s="15" t="n">
        <v>4</v>
      </c>
      <c r="I5949" s="17" t="n">
        <v>0.15</v>
      </c>
      <c r="J5949" s="18" t="n">
        <v>83.08</v>
      </c>
      <c r="K5949" s="19" t="n">
        <v>13.15</v>
      </c>
      <c r="L5949" s="15" t="n">
        <f aca="false">YEAR(B5949)</f>
        <v>2024</v>
      </c>
      <c r="M5949" s="20" t="n">
        <f aca="false">IF(J5949&gt;0,K5949/J5949,0)</f>
        <v>0.158281174771305</v>
      </c>
    </row>
    <row r="5950" customFormat="false" ht="15" hidden="false" customHeight="false" outlineLevel="0" collapsed="false">
      <c r="A5950" s="15" t="s">
        <v>6007</v>
      </c>
      <c r="B5950" s="16" t="n">
        <v>45759</v>
      </c>
      <c r="C5950" s="15" t="s">
        <v>71</v>
      </c>
      <c r="D5950" s="15" t="s">
        <v>42</v>
      </c>
      <c r="E5950" s="15" t="s">
        <v>39</v>
      </c>
      <c r="F5950" s="15" t="s">
        <v>17</v>
      </c>
      <c r="G5950" s="15" t="s">
        <v>28</v>
      </c>
      <c r="H5950" s="15" t="n">
        <v>2</v>
      </c>
      <c r="I5950" s="17" t="n">
        <v>0.2</v>
      </c>
      <c r="J5950" s="18" t="n">
        <v>41.27</v>
      </c>
      <c r="K5950" s="19" t="n">
        <v>9.14</v>
      </c>
      <c r="L5950" s="15" t="n">
        <f aca="false">YEAR(B5950)</f>
        <v>2025</v>
      </c>
      <c r="M5950" s="20" t="n">
        <f aca="false">IF(J5950&gt;0,K5950/J5950,0)</f>
        <v>0.221468378967773</v>
      </c>
    </row>
    <row r="5951" customFormat="false" ht="15" hidden="false" customHeight="false" outlineLevel="0" collapsed="false">
      <c r="A5951" s="15" t="s">
        <v>6008</v>
      </c>
      <c r="B5951" s="16" t="n">
        <v>44653</v>
      </c>
      <c r="C5951" s="15" t="s">
        <v>56</v>
      </c>
      <c r="D5951" s="15" t="s">
        <v>44</v>
      </c>
      <c r="E5951" s="15" t="s">
        <v>37</v>
      </c>
      <c r="F5951" s="15" t="s">
        <v>18</v>
      </c>
      <c r="G5951" s="15" t="s">
        <v>33</v>
      </c>
      <c r="H5951" s="15" t="n">
        <v>4</v>
      </c>
      <c r="I5951" s="17" t="n">
        <v>0.2</v>
      </c>
      <c r="J5951" s="18" t="n">
        <v>2792.39</v>
      </c>
      <c r="K5951" s="19" t="n">
        <v>300.19</v>
      </c>
      <c r="L5951" s="15" t="n">
        <f aca="false">YEAR(B5951)</f>
        <v>2022</v>
      </c>
      <c r="M5951" s="20" t="n">
        <f aca="false">IF(J5951&gt;0,K5951/J5951,0)</f>
        <v>0.107502891788038</v>
      </c>
    </row>
    <row r="5952" customFormat="false" ht="15" hidden="false" customHeight="false" outlineLevel="0" collapsed="false">
      <c r="A5952" s="15" t="s">
        <v>6009</v>
      </c>
      <c r="B5952" s="16" t="n">
        <v>45753</v>
      </c>
      <c r="C5952" s="15" t="s">
        <v>56</v>
      </c>
      <c r="D5952" s="15" t="s">
        <v>42</v>
      </c>
      <c r="E5952" s="15" t="s">
        <v>36</v>
      </c>
      <c r="F5952" s="15" t="s">
        <v>17</v>
      </c>
      <c r="G5952" s="15" t="s">
        <v>26</v>
      </c>
      <c r="H5952" s="15" t="n">
        <v>4</v>
      </c>
      <c r="I5952" s="17" t="n">
        <v>0</v>
      </c>
      <c r="J5952" s="18" t="n">
        <v>266.28</v>
      </c>
      <c r="K5952" s="19" t="n">
        <v>52.5</v>
      </c>
      <c r="L5952" s="15" t="n">
        <f aca="false">YEAR(B5952)</f>
        <v>2025</v>
      </c>
      <c r="M5952" s="20" t="n">
        <f aca="false">IF(J5952&gt;0,K5952/J5952,0)</f>
        <v>0.197160883280757</v>
      </c>
    </row>
    <row r="5953" customFormat="false" ht="15" hidden="false" customHeight="false" outlineLevel="0" collapsed="false">
      <c r="A5953" s="15" t="s">
        <v>6010</v>
      </c>
      <c r="B5953" s="16" t="n">
        <v>45873</v>
      </c>
      <c r="C5953" s="15" t="s">
        <v>56</v>
      </c>
      <c r="D5953" s="15" t="s">
        <v>44</v>
      </c>
      <c r="E5953" s="15" t="s">
        <v>39</v>
      </c>
      <c r="F5953" s="15" t="s">
        <v>18</v>
      </c>
      <c r="G5953" s="15" t="s">
        <v>30</v>
      </c>
      <c r="H5953" s="15" t="n">
        <v>5</v>
      </c>
      <c r="I5953" s="17" t="n">
        <v>0.2</v>
      </c>
      <c r="J5953" s="18" t="n">
        <v>172.38</v>
      </c>
      <c r="K5953" s="19" t="n">
        <v>21.6</v>
      </c>
      <c r="L5953" s="15" t="n">
        <f aca="false">YEAR(B5953)</f>
        <v>2025</v>
      </c>
      <c r="M5953" s="20" t="n">
        <f aca="false">IF(J5953&gt;0,K5953/J5953,0)</f>
        <v>0.1253045596937</v>
      </c>
    </row>
    <row r="5954" customFormat="false" ht="15" hidden="false" customHeight="false" outlineLevel="0" collapsed="false">
      <c r="A5954" s="15" t="s">
        <v>6011</v>
      </c>
      <c r="B5954" s="16" t="n">
        <v>45265</v>
      </c>
      <c r="C5954" s="15" t="s">
        <v>58</v>
      </c>
      <c r="D5954" s="15" t="s">
        <v>42</v>
      </c>
      <c r="E5954" s="15" t="s">
        <v>38</v>
      </c>
      <c r="F5954" s="15" t="s">
        <v>17</v>
      </c>
      <c r="G5954" s="15" t="s">
        <v>26</v>
      </c>
      <c r="H5954" s="15" t="n">
        <v>1</v>
      </c>
      <c r="I5954" s="17" t="n">
        <v>0</v>
      </c>
      <c r="J5954" s="18" t="n">
        <v>80.63</v>
      </c>
      <c r="K5954" s="19" t="n">
        <v>6.7</v>
      </c>
      <c r="L5954" s="15" t="n">
        <f aca="false">YEAR(B5954)</f>
        <v>2023</v>
      </c>
      <c r="M5954" s="20" t="n">
        <f aca="false">IF(J5954&gt;0,K5954/J5954,0)</f>
        <v>0.0830956219769317</v>
      </c>
    </row>
    <row r="5955" customFormat="false" ht="15" hidden="false" customHeight="false" outlineLevel="0" collapsed="false">
      <c r="A5955" s="15" t="s">
        <v>6012</v>
      </c>
      <c r="B5955" s="16" t="n">
        <v>45994</v>
      </c>
      <c r="C5955" s="15" t="s">
        <v>71</v>
      </c>
      <c r="D5955" s="15" t="s">
        <v>42</v>
      </c>
      <c r="E5955" s="15" t="s">
        <v>36</v>
      </c>
      <c r="F5955" s="15" t="s">
        <v>17</v>
      </c>
      <c r="G5955" s="15" t="s">
        <v>28</v>
      </c>
      <c r="H5955" s="15" t="n">
        <v>5</v>
      </c>
      <c r="I5955" s="17" t="n">
        <v>0.4</v>
      </c>
      <c r="J5955" s="18" t="n">
        <v>97.26</v>
      </c>
      <c r="K5955" s="19" t="n">
        <v>-6.02</v>
      </c>
      <c r="L5955" s="15" t="n">
        <f aca="false">YEAR(B5955)</f>
        <v>2025</v>
      </c>
      <c r="M5955" s="20" t="n">
        <f aca="false">IF(J5955&gt;0,K5955/J5955,0)</f>
        <v>-0.0618959490026732</v>
      </c>
    </row>
    <row r="5956" customFormat="false" ht="15" hidden="false" customHeight="false" outlineLevel="0" collapsed="false">
      <c r="A5956" s="15" t="s">
        <v>6013</v>
      </c>
      <c r="B5956" s="16" t="n">
        <v>45188</v>
      </c>
      <c r="C5956" s="15" t="s">
        <v>56</v>
      </c>
      <c r="D5956" s="15" t="s">
        <v>43</v>
      </c>
      <c r="E5956" s="15" t="s">
        <v>36</v>
      </c>
      <c r="F5956" s="15" t="s">
        <v>18</v>
      </c>
      <c r="G5956" s="15" t="s">
        <v>30</v>
      </c>
      <c r="H5956" s="15" t="n">
        <v>3</v>
      </c>
      <c r="I5956" s="17" t="n">
        <v>0</v>
      </c>
      <c r="J5956" s="18" t="n">
        <v>141.11</v>
      </c>
      <c r="K5956" s="19" t="n">
        <v>40.83</v>
      </c>
      <c r="L5956" s="15" t="n">
        <f aca="false">YEAR(B5956)</f>
        <v>2023</v>
      </c>
      <c r="M5956" s="20" t="n">
        <f aca="false">IF(J5956&gt;0,K5956/J5956,0)</f>
        <v>0.28934873502941</v>
      </c>
    </row>
    <row r="5957" customFormat="false" ht="15" hidden="false" customHeight="false" outlineLevel="0" collapsed="false">
      <c r="A5957" s="15" t="s">
        <v>6014</v>
      </c>
      <c r="B5957" s="16" t="n">
        <v>44589</v>
      </c>
      <c r="C5957" s="15" t="s">
        <v>56</v>
      </c>
      <c r="D5957" s="15" t="s">
        <v>43</v>
      </c>
      <c r="E5957" s="15" t="s">
        <v>37</v>
      </c>
      <c r="F5957" s="15" t="s">
        <v>16</v>
      </c>
      <c r="G5957" s="15" t="s">
        <v>27</v>
      </c>
      <c r="H5957" s="15" t="n">
        <v>6</v>
      </c>
      <c r="I5957" s="17" t="n">
        <v>0</v>
      </c>
      <c r="J5957" s="18" t="n">
        <v>419.16</v>
      </c>
      <c r="K5957" s="19" t="n">
        <v>96.21</v>
      </c>
      <c r="L5957" s="15" t="n">
        <f aca="false">YEAR(B5957)</f>
        <v>2022</v>
      </c>
      <c r="M5957" s="20" t="n">
        <f aca="false">IF(J5957&gt;0,K5957/J5957,0)</f>
        <v>0.22953048955053</v>
      </c>
    </row>
    <row r="5958" customFormat="false" ht="15" hidden="false" customHeight="false" outlineLevel="0" collapsed="false">
      <c r="A5958" s="15" t="s">
        <v>6015</v>
      </c>
      <c r="B5958" s="16" t="n">
        <v>45640</v>
      </c>
      <c r="C5958" s="15" t="s">
        <v>56</v>
      </c>
      <c r="D5958" s="15" t="s">
        <v>42</v>
      </c>
      <c r="E5958" s="15" t="s">
        <v>37</v>
      </c>
      <c r="F5958" s="15" t="s">
        <v>16</v>
      </c>
      <c r="G5958" s="15" t="s">
        <v>27</v>
      </c>
      <c r="H5958" s="15" t="n">
        <v>2</v>
      </c>
      <c r="I5958" s="17" t="n">
        <v>0</v>
      </c>
      <c r="J5958" s="18" t="n">
        <v>103.72</v>
      </c>
      <c r="K5958" s="19" t="n">
        <v>17.13</v>
      </c>
      <c r="L5958" s="15" t="n">
        <f aca="false">YEAR(B5958)</f>
        <v>2024</v>
      </c>
      <c r="M5958" s="20" t="n">
        <f aca="false">IF(J5958&gt;0,K5958/J5958,0)</f>
        <v>0.165156189741612</v>
      </c>
    </row>
    <row r="5959" customFormat="false" ht="15" hidden="false" customHeight="false" outlineLevel="0" collapsed="false">
      <c r="A5959" s="15" t="s">
        <v>6016</v>
      </c>
      <c r="B5959" s="16" t="n">
        <v>45504</v>
      </c>
      <c r="C5959" s="15" t="s">
        <v>56</v>
      </c>
      <c r="D5959" s="15" t="s">
        <v>44</v>
      </c>
      <c r="E5959" s="15" t="s">
        <v>39</v>
      </c>
      <c r="F5959" s="15" t="s">
        <v>17</v>
      </c>
      <c r="G5959" s="15" t="s">
        <v>28</v>
      </c>
      <c r="H5959" s="15" t="n">
        <v>3</v>
      </c>
      <c r="I5959" s="17" t="n">
        <v>0</v>
      </c>
      <c r="J5959" s="18" t="n">
        <v>87.56</v>
      </c>
      <c r="K5959" s="19" t="n">
        <v>29.25</v>
      </c>
      <c r="L5959" s="15" t="n">
        <f aca="false">YEAR(B5959)</f>
        <v>2024</v>
      </c>
      <c r="M5959" s="20" t="n">
        <f aca="false">IF(J5959&gt;0,K5959/J5959,0)</f>
        <v>0.334056646870717</v>
      </c>
    </row>
    <row r="5960" customFormat="false" ht="15" hidden="false" customHeight="false" outlineLevel="0" collapsed="false">
      <c r="A5960" s="15" t="s">
        <v>6017</v>
      </c>
      <c r="B5960" s="16" t="n">
        <v>44886</v>
      </c>
      <c r="C5960" s="15" t="s">
        <v>56</v>
      </c>
      <c r="D5960" s="15" t="s">
        <v>44</v>
      </c>
      <c r="E5960" s="15" t="s">
        <v>39</v>
      </c>
      <c r="F5960" s="15" t="s">
        <v>17</v>
      </c>
      <c r="G5960" s="15" t="s">
        <v>29</v>
      </c>
      <c r="H5960" s="15" t="n">
        <v>5</v>
      </c>
      <c r="I5960" s="17" t="n">
        <v>0</v>
      </c>
      <c r="J5960" s="18" t="n">
        <v>99.43</v>
      </c>
      <c r="K5960" s="19" t="n">
        <v>38.45</v>
      </c>
      <c r="L5960" s="15" t="n">
        <f aca="false">YEAR(B5960)</f>
        <v>2022</v>
      </c>
      <c r="M5960" s="20" t="n">
        <f aca="false">IF(J5960&gt;0,K5960/J5960,0)</f>
        <v>0.386704214019914</v>
      </c>
    </row>
    <row r="5961" customFormat="false" ht="15" hidden="false" customHeight="false" outlineLevel="0" collapsed="false">
      <c r="A5961" s="15" t="s">
        <v>6018</v>
      </c>
      <c r="B5961" s="16" t="n">
        <v>45244</v>
      </c>
      <c r="C5961" s="15" t="s">
        <v>71</v>
      </c>
      <c r="D5961" s="15" t="s">
        <v>42</v>
      </c>
      <c r="E5961" s="15" t="s">
        <v>38</v>
      </c>
      <c r="F5961" s="15" t="s">
        <v>17</v>
      </c>
      <c r="G5961" s="15" t="s">
        <v>28</v>
      </c>
      <c r="H5961" s="15" t="n">
        <v>4</v>
      </c>
      <c r="I5961" s="17" t="n">
        <v>0.1</v>
      </c>
      <c r="J5961" s="18" t="n">
        <v>65.72</v>
      </c>
      <c r="K5961" s="19" t="n">
        <v>13.68</v>
      </c>
      <c r="L5961" s="15" t="n">
        <f aca="false">YEAR(B5961)</f>
        <v>2023</v>
      </c>
      <c r="M5961" s="20" t="n">
        <f aca="false">IF(J5961&gt;0,K5961/J5961,0)</f>
        <v>0.20815581253804</v>
      </c>
    </row>
    <row r="5962" customFormat="false" ht="15" hidden="false" customHeight="false" outlineLevel="0" collapsed="false">
      <c r="A5962" s="15" t="s">
        <v>6019</v>
      </c>
      <c r="B5962" s="16" t="n">
        <v>45615</v>
      </c>
      <c r="C5962" s="15" t="s">
        <v>56</v>
      </c>
      <c r="D5962" s="15" t="s">
        <v>42</v>
      </c>
      <c r="E5962" s="15" t="s">
        <v>39</v>
      </c>
      <c r="F5962" s="15" t="s">
        <v>16</v>
      </c>
      <c r="G5962" s="15" t="s">
        <v>27</v>
      </c>
      <c r="H5962" s="15" t="n">
        <v>3</v>
      </c>
      <c r="I5962" s="17" t="n">
        <v>0</v>
      </c>
      <c r="J5962" s="18" t="n">
        <v>202.79</v>
      </c>
      <c r="K5962" s="19" t="n">
        <v>33.25</v>
      </c>
      <c r="L5962" s="15" t="n">
        <f aca="false">YEAR(B5962)</f>
        <v>2024</v>
      </c>
      <c r="M5962" s="20" t="n">
        <f aca="false">IF(J5962&gt;0,K5962/J5962,0)</f>
        <v>0.16396272005523</v>
      </c>
    </row>
    <row r="5963" customFormat="false" ht="15" hidden="false" customHeight="false" outlineLevel="0" collapsed="false">
      <c r="A5963" s="15" t="s">
        <v>6020</v>
      </c>
      <c r="B5963" s="16" t="n">
        <v>45252</v>
      </c>
      <c r="C5963" s="15" t="s">
        <v>71</v>
      </c>
      <c r="D5963" s="15" t="s">
        <v>43</v>
      </c>
      <c r="E5963" s="15" t="s">
        <v>37</v>
      </c>
      <c r="F5963" s="15" t="s">
        <v>18</v>
      </c>
      <c r="G5963" s="15" t="s">
        <v>33</v>
      </c>
      <c r="H5963" s="15" t="n">
        <v>2</v>
      </c>
      <c r="I5963" s="17" t="n">
        <v>0</v>
      </c>
      <c r="J5963" s="18" t="n">
        <v>1825.85</v>
      </c>
      <c r="K5963" s="19" t="n">
        <v>570.52</v>
      </c>
      <c r="L5963" s="15" t="n">
        <f aca="false">YEAR(B5963)</f>
        <v>2023</v>
      </c>
      <c r="M5963" s="20" t="n">
        <f aca="false">IF(J5963&gt;0,K5963/J5963,0)</f>
        <v>0.312468165511953</v>
      </c>
    </row>
    <row r="5964" customFormat="false" ht="15" hidden="false" customHeight="false" outlineLevel="0" collapsed="false">
      <c r="A5964" s="15" t="s">
        <v>6021</v>
      </c>
      <c r="B5964" s="16" t="n">
        <v>45896</v>
      </c>
      <c r="C5964" s="15" t="s">
        <v>58</v>
      </c>
      <c r="D5964" s="15" t="s">
        <v>44</v>
      </c>
      <c r="E5964" s="15" t="s">
        <v>36</v>
      </c>
      <c r="F5964" s="15" t="s">
        <v>17</v>
      </c>
      <c r="G5964" s="15" t="s">
        <v>26</v>
      </c>
      <c r="H5964" s="15" t="n">
        <v>6</v>
      </c>
      <c r="I5964" s="17" t="n">
        <v>0</v>
      </c>
      <c r="J5964" s="18" t="n">
        <v>491.68</v>
      </c>
      <c r="K5964" s="19" t="n">
        <v>48.45</v>
      </c>
      <c r="L5964" s="15" t="n">
        <f aca="false">YEAR(B5964)</f>
        <v>2025</v>
      </c>
      <c r="M5964" s="20" t="n">
        <f aca="false">IF(J5964&gt;0,K5964/J5964,0)</f>
        <v>0.0985397006182883</v>
      </c>
    </row>
    <row r="5965" customFormat="false" ht="15" hidden="false" customHeight="false" outlineLevel="0" collapsed="false">
      <c r="A5965" s="15" t="s">
        <v>6022</v>
      </c>
      <c r="B5965" s="16" t="n">
        <v>45629</v>
      </c>
      <c r="C5965" s="15" t="s">
        <v>56</v>
      </c>
      <c r="D5965" s="15" t="s">
        <v>42</v>
      </c>
      <c r="E5965" s="15" t="s">
        <v>39</v>
      </c>
      <c r="F5965" s="15" t="s">
        <v>17</v>
      </c>
      <c r="G5965" s="15" t="s">
        <v>28</v>
      </c>
      <c r="H5965" s="15" t="n">
        <v>3</v>
      </c>
      <c r="I5965" s="17" t="n">
        <v>0</v>
      </c>
      <c r="J5965" s="18" t="n">
        <v>64.49</v>
      </c>
      <c r="K5965" s="19" t="n">
        <v>16.06</v>
      </c>
      <c r="L5965" s="15" t="n">
        <f aca="false">YEAR(B5965)</f>
        <v>2024</v>
      </c>
      <c r="M5965" s="20" t="n">
        <f aca="false">IF(J5965&gt;0,K5965/J5965,0)</f>
        <v>0.249030857497286</v>
      </c>
    </row>
    <row r="5966" customFormat="false" ht="15" hidden="false" customHeight="false" outlineLevel="0" collapsed="false">
      <c r="A5966" s="15" t="s">
        <v>6023</v>
      </c>
      <c r="B5966" s="16" t="n">
        <v>44883</v>
      </c>
      <c r="C5966" s="15" t="s">
        <v>56</v>
      </c>
      <c r="D5966" s="15" t="s">
        <v>43</v>
      </c>
      <c r="E5966" s="15" t="s">
        <v>39</v>
      </c>
      <c r="F5966" s="15" t="s">
        <v>17</v>
      </c>
      <c r="G5966" s="15" t="s">
        <v>29</v>
      </c>
      <c r="H5966" s="15" t="n">
        <v>3</v>
      </c>
      <c r="I5966" s="17" t="n">
        <v>0.5</v>
      </c>
      <c r="J5966" s="18" t="n">
        <v>31.17</v>
      </c>
      <c r="K5966" s="19" t="n">
        <v>-1.51</v>
      </c>
      <c r="L5966" s="15" t="n">
        <f aca="false">YEAR(B5966)</f>
        <v>2022</v>
      </c>
      <c r="M5966" s="20" t="n">
        <f aca="false">IF(J5966&gt;0,K5966/J5966,0)</f>
        <v>-0.0484440166827077</v>
      </c>
    </row>
    <row r="5967" customFormat="false" ht="15" hidden="false" customHeight="false" outlineLevel="0" collapsed="false">
      <c r="A5967" s="15" t="s">
        <v>6024</v>
      </c>
      <c r="B5967" s="16" t="n">
        <v>45484</v>
      </c>
      <c r="C5967" s="15" t="s">
        <v>71</v>
      </c>
      <c r="D5967" s="15" t="s">
        <v>42</v>
      </c>
      <c r="E5967" s="15" t="s">
        <v>37</v>
      </c>
      <c r="F5967" s="15" t="s">
        <v>18</v>
      </c>
      <c r="G5967" s="15" t="s">
        <v>33</v>
      </c>
      <c r="H5967" s="15" t="n">
        <v>3</v>
      </c>
      <c r="I5967" s="17" t="n">
        <v>0</v>
      </c>
      <c r="J5967" s="18" t="n">
        <v>2827.88</v>
      </c>
      <c r="K5967" s="19" t="n">
        <v>707.85</v>
      </c>
      <c r="L5967" s="15" t="n">
        <f aca="false">YEAR(B5967)</f>
        <v>2024</v>
      </c>
      <c r="M5967" s="20" t="n">
        <f aca="false">IF(J5967&gt;0,K5967/J5967,0)</f>
        <v>0.250311187179088</v>
      </c>
    </row>
    <row r="5968" customFormat="false" ht="15" hidden="false" customHeight="false" outlineLevel="0" collapsed="false">
      <c r="A5968" s="15" t="s">
        <v>6025</v>
      </c>
      <c r="B5968" s="16" t="n">
        <v>45968</v>
      </c>
      <c r="C5968" s="15" t="s">
        <v>68</v>
      </c>
      <c r="D5968" s="15" t="s">
        <v>43</v>
      </c>
      <c r="E5968" s="15" t="s">
        <v>37</v>
      </c>
      <c r="F5968" s="15" t="s">
        <v>16</v>
      </c>
      <c r="G5968" s="15" t="s">
        <v>22</v>
      </c>
      <c r="H5968" s="15" t="n">
        <v>4</v>
      </c>
      <c r="I5968" s="17" t="n">
        <v>0.2</v>
      </c>
      <c r="J5968" s="18" t="n">
        <v>1858.34</v>
      </c>
      <c r="K5968" s="19" t="n">
        <v>-513.12</v>
      </c>
      <c r="L5968" s="15" t="n">
        <f aca="false">YEAR(B5968)</f>
        <v>2025</v>
      </c>
      <c r="M5968" s="20" t="n">
        <f aca="false">IF(J5968&gt;0,K5968/J5968,0)</f>
        <v>-0.276117395094547</v>
      </c>
    </row>
    <row r="5969" customFormat="false" ht="15" hidden="false" customHeight="false" outlineLevel="0" collapsed="false">
      <c r="A5969" s="15" t="s">
        <v>6026</v>
      </c>
      <c r="B5969" s="16" t="n">
        <v>45414</v>
      </c>
      <c r="C5969" s="15" t="s">
        <v>56</v>
      </c>
      <c r="D5969" s="15" t="s">
        <v>43</v>
      </c>
      <c r="E5969" s="15" t="s">
        <v>39</v>
      </c>
      <c r="F5969" s="15" t="s">
        <v>18</v>
      </c>
      <c r="G5969" s="15" t="s">
        <v>32</v>
      </c>
      <c r="H5969" s="15" t="n">
        <v>4</v>
      </c>
      <c r="I5969" s="17" t="n">
        <v>0</v>
      </c>
      <c r="J5969" s="18" t="n">
        <v>2052.12</v>
      </c>
      <c r="K5969" s="19" t="n">
        <v>331.68</v>
      </c>
      <c r="L5969" s="15" t="n">
        <f aca="false">YEAR(B5969)</f>
        <v>2024</v>
      </c>
      <c r="M5969" s="20" t="n">
        <f aca="false">IF(J5969&gt;0,K5969/J5969,0)</f>
        <v>0.161627974972224</v>
      </c>
    </row>
    <row r="5970" customFormat="false" ht="15" hidden="false" customHeight="false" outlineLevel="0" collapsed="false">
      <c r="A5970" s="15" t="s">
        <v>6027</v>
      </c>
      <c r="B5970" s="16" t="n">
        <v>45351</v>
      </c>
      <c r="C5970" s="15" t="s">
        <v>71</v>
      </c>
      <c r="D5970" s="15" t="s">
        <v>44</v>
      </c>
      <c r="E5970" s="15" t="s">
        <v>39</v>
      </c>
      <c r="F5970" s="15" t="s">
        <v>17</v>
      </c>
      <c r="G5970" s="15" t="s">
        <v>26</v>
      </c>
      <c r="H5970" s="15" t="n">
        <v>4</v>
      </c>
      <c r="I5970" s="17" t="n">
        <v>0.1</v>
      </c>
      <c r="J5970" s="18" t="n">
        <v>286.57</v>
      </c>
      <c r="K5970" s="19" t="n">
        <v>7.56</v>
      </c>
      <c r="L5970" s="15" t="n">
        <f aca="false">YEAR(B5970)</f>
        <v>2024</v>
      </c>
      <c r="M5970" s="20" t="n">
        <f aca="false">IF(J5970&gt;0,K5970/J5970,0)</f>
        <v>0.0263809889381303</v>
      </c>
    </row>
    <row r="5971" customFormat="false" ht="15" hidden="false" customHeight="false" outlineLevel="0" collapsed="false">
      <c r="A5971" s="15" t="s">
        <v>6028</v>
      </c>
      <c r="B5971" s="16" t="n">
        <v>45254</v>
      </c>
      <c r="C5971" s="15" t="s">
        <v>71</v>
      </c>
      <c r="D5971" s="15" t="s">
        <v>43</v>
      </c>
      <c r="E5971" s="15" t="s">
        <v>37</v>
      </c>
      <c r="F5971" s="15" t="s">
        <v>17</v>
      </c>
      <c r="G5971" s="15" t="s">
        <v>26</v>
      </c>
      <c r="H5971" s="15" t="n">
        <v>5</v>
      </c>
      <c r="I5971" s="17" t="n">
        <v>0.4</v>
      </c>
      <c r="J5971" s="18" t="n">
        <v>301.17</v>
      </c>
      <c r="K5971" s="19" t="n">
        <v>-52.14</v>
      </c>
      <c r="L5971" s="15" t="n">
        <f aca="false">YEAR(B5971)</f>
        <v>2023</v>
      </c>
      <c r="M5971" s="20" t="n">
        <f aca="false">IF(J5971&gt;0,K5971/J5971,0)</f>
        <v>-0.173124813228409</v>
      </c>
    </row>
    <row r="5972" customFormat="false" ht="15" hidden="false" customHeight="false" outlineLevel="0" collapsed="false">
      <c r="A5972" s="15" t="s">
        <v>6029</v>
      </c>
      <c r="B5972" s="16" t="n">
        <v>45595</v>
      </c>
      <c r="C5972" s="15" t="s">
        <v>56</v>
      </c>
      <c r="D5972" s="15" t="s">
        <v>43</v>
      </c>
      <c r="E5972" s="15" t="s">
        <v>36</v>
      </c>
      <c r="F5972" s="15" t="s">
        <v>18</v>
      </c>
      <c r="G5972" s="15" t="s">
        <v>32</v>
      </c>
      <c r="H5972" s="15" t="n">
        <v>4</v>
      </c>
      <c r="I5972" s="17" t="n">
        <v>0.2</v>
      </c>
      <c r="J5972" s="18" t="n">
        <v>1074.69</v>
      </c>
      <c r="K5972" s="19" t="n">
        <v>-33.21</v>
      </c>
      <c r="L5972" s="15" t="n">
        <f aca="false">YEAR(B5972)</f>
        <v>2024</v>
      </c>
      <c r="M5972" s="20" t="n">
        <f aca="false">IF(J5972&gt;0,K5972/J5972,0)</f>
        <v>-0.0309019345113475</v>
      </c>
    </row>
    <row r="5973" customFormat="false" ht="15" hidden="false" customHeight="false" outlineLevel="0" collapsed="false">
      <c r="A5973" s="15" t="s">
        <v>6030</v>
      </c>
      <c r="B5973" s="16" t="n">
        <v>44984</v>
      </c>
      <c r="C5973" s="15" t="s">
        <v>56</v>
      </c>
      <c r="D5973" s="15" t="s">
        <v>44</v>
      </c>
      <c r="E5973" s="15" t="s">
        <v>36</v>
      </c>
      <c r="F5973" s="15" t="s">
        <v>17</v>
      </c>
      <c r="G5973" s="15" t="s">
        <v>28</v>
      </c>
      <c r="H5973" s="15" t="n">
        <v>1</v>
      </c>
      <c r="I5973" s="17" t="n">
        <v>0</v>
      </c>
      <c r="J5973" s="18" t="n">
        <v>26.61</v>
      </c>
      <c r="K5973" s="19" t="n">
        <v>7.57</v>
      </c>
      <c r="L5973" s="15" t="n">
        <f aca="false">YEAR(B5973)</f>
        <v>2023</v>
      </c>
      <c r="M5973" s="20" t="n">
        <f aca="false">IF(J5973&gt;0,K5973/J5973,0)</f>
        <v>0.284479518977828</v>
      </c>
    </row>
    <row r="5974" customFormat="false" ht="15" hidden="false" customHeight="false" outlineLevel="0" collapsed="false">
      <c r="A5974" s="15" t="s">
        <v>6031</v>
      </c>
      <c r="B5974" s="16" t="n">
        <v>44702</v>
      </c>
      <c r="C5974" s="15" t="s">
        <v>68</v>
      </c>
      <c r="D5974" s="15" t="s">
        <v>42</v>
      </c>
      <c r="E5974" s="15" t="s">
        <v>37</v>
      </c>
      <c r="F5974" s="15" t="s">
        <v>16</v>
      </c>
      <c r="G5974" s="15" t="s">
        <v>27</v>
      </c>
      <c r="H5974" s="15" t="n">
        <v>4</v>
      </c>
      <c r="I5974" s="17" t="n">
        <v>0.1</v>
      </c>
      <c r="J5974" s="18" t="n">
        <v>270.09</v>
      </c>
      <c r="K5974" s="19" t="n">
        <v>34.41</v>
      </c>
      <c r="L5974" s="15" t="n">
        <f aca="false">YEAR(B5974)</f>
        <v>2022</v>
      </c>
      <c r="M5974" s="20" t="n">
        <f aca="false">IF(J5974&gt;0,K5974/J5974,0)</f>
        <v>0.127401977118738</v>
      </c>
    </row>
    <row r="5975" customFormat="false" ht="15" hidden="false" customHeight="false" outlineLevel="0" collapsed="false">
      <c r="A5975" s="15" t="s">
        <v>6032</v>
      </c>
      <c r="B5975" s="16" t="n">
        <v>45988</v>
      </c>
      <c r="C5975" s="15" t="s">
        <v>68</v>
      </c>
      <c r="D5975" s="15" t="s">
        <v>44</v>
      </c>
      <c r="E5975" s="15" t="s">
        <v>36</v>
      </c>
      <c r="F5975" s="15" t="s">
        <v>17</v>
      </c>
      <c r="G5975" s="15" t="s">
        <v>29</v>
      </c>
      <c r="H5975" s="15" t="n">
        <v>1</v>
      </c>
      <c r="I5975" s="17" t="n">
        <v>0.15</v>
      </c>
      <c r="J5975" s="18" t="n">
        <v>18.87</v>
      </c>
      <c r="K5975" s="19" t="n">
        <v>3.4</v>
      </c>
      <c r="L5975" s="15" t="n">
        <f aca="false">YEAR(B5975)</f>
        <v>2025</v>
      </c>
      <c r="M5975" s="20" t="n">
        <f aca="false">IF(J5975&gt;0,K5975/J5975,0)</f>
        <v>0.18018018018018</v>
      </c>
    </row>
    <row r="5976" customFormat="false" ht="15" hidden="false" customHeight="false" outlineLevel="0" collapsed="false">
      <c r="A5976" s="15" t="s">
        <v>6033</v>
      </c>
      <c r="B5976" s="16" t="n">
        <v>45839</v>
      </c>
      <c r="C5976" s="15" t="s">
        <v>56</v>
      </c>
      <c r="D5976" s="15" t="s">
        <v>42</v>
      </c>
      <c r="E5976" s="15" t="s">
        <v>39</v>
      </c>
      <c r="F5976" s="15" t="s">
        <v>17</v>
      </c>
      <c r="G5976" s="15" t="s">
        <v>31</v>
      </c>
      <c r="H5976" s="15" t="n">
        <v>2</v>
      </c>
      <c r="I5976" s="17" t="n">
        <v>0</v>
      </c>
      <c r="J5976" s="18" t="n">
        <v>268.11</v>
      </c>
      <c r="K5976" s="19" t="n">
        <v>46.41</v>
      </c>
      <c r="L5976" s="15" t="n">
        <f aca="false">YEAR(B5976)</f>
        <v>2025</v>
      </c>
      <c r="M5976" s="20" t="n">
        <f aca="false">IF(J5976&gt;0,K5976/J5976,0)</f>
        <v>0.17310059304017</v>
      </c>
    </row>
    <row r="5977" customFormat="false" ht="15" hidden="false" customHeight="false" outlineLevel="0" collapsed="false">
      <c r="A5977" s="15" t="s">
        <v>6034</v>
      </c>
      <c r="B5977" s="16" t="n">
        <v>45938</v>
      </c>
      <c r="C5977" s="15" t="s">
        <v>71</v>
      </c>
      <c r="D5977" s="15" t="s">
        <v>42</v>
      </c>
      <c r="E5977" s="15" t="s">
        <v>36</v>
      </c>
      <c r="F5977" s="15" t="s">
        <v>18</v>
      </c>
      <c r="G5977" s="15" t="s">
        <v>30</v>
      </c>
      <c r="H5977" s="15" t="n">
        <v>2</v>
      </c>
      <c r="I5977" s="17" t="n">
        <v>0.1</v>
      </c>
      <c r="J5977" s="18" t="n">
        <v>95.21</v>
      </c>
      <c r="K5977" s="19" t="n">
        <v>27.07</v>
      </c>
      <c r="L5977" s="15" t="n">
        <f aca="false">YEAR(B5977)</f>
        <v>2025</v>
      </c>
      <c r="M5977" s="20" t="n">
        <f aca="false">IF(J5977&gt;0,K5977/J5977,0)</f>
        <v>0.28431887406785</v>
      </c>
    </row>
    <row r="5978" customFormat="false" ht="15" hidden="false" customHeight="false" outlineLevel="0" collapsed="false">
      <c r="A5978" s="15" t="s">
        <v>6035</v>
      </c>
      <c r="B5978" s="16" t="n">
        <v>45163</v>
      </c>
      <c r="C5978" s="15" t="s">
        <v>56</v>
      </c>
      <c r="D5978" s="15" t="s">
        <v>43</v>
      </c>
      <c r="E5978" s="15" t="s">
        <v>37</v>
      </c>
      <c r="F5978" s="15" t="s">
        <v>17</v>
      </c>
      <c r="G5978" s="15" t="s">
        <v>29</v>
      </c>
      <c r="H5978" s="15" t="n">
        <v>4</v>
      </c>
      <c r="I5978" s="17" t="n">
        <v>0.1</v>
      </c>
      <c r="J5978" s="18" t="n">
        <v>67.43</v>
      </c>
      <c r="K5978" s="19" t="n">
        <v>20.27</v>
      </c>
      <c r="L5978" s="15" t="n">
        <f aca="false">YEAR(B5978)</f>
        <v>2023</v>
      </c>
      <c r="M5978" s="20" t="n">
        <f aca="false">IF(J5978&gt;0,K5978/J5978,0)</f>
        <v>0.300608037965297</v>
      </c>
    </row>
    <row r="5979" customFormat="false" ht="15" hidden="false" customHeight="false" outlineLevel="0" collapsed="false">
      <c r="A5979" s="15" t="s">
        <v>6036</v>
      </c>
      <c r="B5979" s="16" t="n">
        <v>45962</v>
      </c>
      <c r="C5979" s="15" t="s">
        <v>56</v>
      </c>
      <c r="D5979" s="15" t="s">
        <v>44</v>
      </c>
      <c r="E5979" s="15" t="s">
        <v>38</v>
      </c>
      <c r="F5979" s="15" t="s">
        <v>17</v>
      </c>
      <c r="G5979" s="15" t="s">
        <v>26</v>
      </c>
      <c r="H5979" s="15" t="n">
        <v>4</v>
      </c>
      <c r="I5979" s="17" t="n">
        <v>0.05</v>
      </c>
      <c r="J5979" s="18" t="n">
        <v>267.27</v>
      </c>
      <c r="K5979" s="19" t="n">
        <v>17.77</v>
      </c>
      <c r="L5979" s="15" t="n">
        <f aca="false">YEAR(B5979)</f>
        <v>2025</v>
      </c>
      <c r="M5979" s="20" t="n">
        <f aca="false">IF(J5979&gt;0,K5979/J5979,0)</f>
        <v>0.0664870729973435</v>
      </c>
    </row>
    <row r="5980" customFormat="false" ht="15" hidden="false" customHeight="false" outlineLevel="0" collapsed="false">
      <c r="A5980" s="15" t="s">
        <v>6037</v>
      </c>
      <c r="B5980" s="16" t="n">
        <v>46006</v>
      </c>
      <c r="C5980" s="15" t="s">
        <v>56</v>
      </c>
      <c r="D5980" s="15" t="s">
        <v>42</v>
      </c>
      <c r="E5980" s="15" t="s">
        <v>39</v>
      </c>
      <c r="F5980" s="15" t="s">
        <v>17</v>
      </c>
      <c r="G5980" s="15" t="s">
        <v>26</v>
      </c>
      <c r="H5980" s="15" t="n">
        <v>4</v>
      </c>
      <c r="I5980" s="17" t="n">
        <v>0.2</v>
      </c>
      <c r="J5980" s="18" t="n">
        <v>343.42</v>
      </c>
      <c r="K5980" s="19" t="n">
        <v>-30.63</v>
      </c>
      <c r="L5980" s="15" t="n">
        <f aca="false">YEAR(B5980)</f>
        <v>2025</v>
      </c>
      <c r="M5980" s="20" t="n">
        <f aca="false">IF(J5980&gt;0,K5980/J5980,0)</f>
        <v>-0.0891910779803156</v>
      </c>
    </row>
    <row r="5981" customFormat="false" ht="15" hidden="false" customHeight="false" outlineLevel="0" collapsed="false">
      <c r="A5981" s="15" t="s">
        <v>6038</v>
      </c>
      <c r="B5981" s="16" t="n">
        <v>45667</v>
      </c>
      <c r="C5981" s="15" t="s">
        <v>56</v>
      </c>
      <c r="D5981" s="15" t="s">
        <v>43</v>
      </c>
      <c r="E5981" s="15" t="s">
        <v>37</v>
      </c>
      <c r="F5981" s="15" t="s">
        <v>17</v>
      </c>
      <c r="G5981" s="15" t="s">
        <v>29</v>
      </c>
      <c r="H5981" s="15" t="n">
        <v>4</v>
      </c>
      <c r="I5981" s="17" t="n">
        <v>0.3</v>
      </c>
      <c r="J5981" s="18" t="n">
        <v>52.27</v>
      </c>
      <c r="K5981" s="19" t="n">
        <v>6.21</v>
      </c>
      <c r="L5981" s="15" t="n">
        <f aca="false">YEAR(B5981)</f>
        <v>2025</v>
      </c>
      <c r="M5981" s="20" t="n">
        <f aca="false">IF(J5981&gt;0,K5981/J5981,0)</f>
        <v>0.118806198584274</v>
      </c>
    </row>
    <row r="5982" customFormat="false" ht="15" hidden="false" customHeight="false" outlineLevel="0" collapsed="false">
      <c r="A5982" s="15" t="s">
        <v>6039</v>
      </c>
      <c r="B5982" s="16" t="n">
        <v>45902</v>
      </c>
      <c r="C5982" s="15" t="s">
        <v>56</v>
      </c>
      <c r="D5982" s="15" t="s">
        <v>42</v>
      </c>
      <c r="E5982" s="15" t="s">
        <v>37</v>
      </c>
      <c r="F5982" s="15" t="s">
        <v>16</v>
      </c>
      <c r="G5982" s="15" t="s">
        <v>25</v>
      </c>
      <c r="H5982" s="15" t="n">
        <v>3</v>
      </c>
      <c r="I5982" s="17" t="n">
        <v>0</v>
      </c>
      <c r="J5982" s="18" t="n">
        <v>946.15</v>
      </c>
      <c r="K5982" s="19" t="n">
        <v>77.46</v>
      </c>
      <c r="L5982" s="15" t="n">
        <f aca="false">YEAR(B5982)</f>
        <v>2025</v>
      </c>
      <c r="M5982" s="20" t="n">
        <f aca="false">IF(J5982&gt;0,K5982/J5982,0)</f>
        <v>0.0818686254822174</v>
      </c>
    </row>
    <row r="5983" customFormat="false" ht="15" hidden="false" customHeight="false" outlineLevel="0" collapsed="false">
      <c r="A5983" s="15" t="s">
        <v>6040</v>
      </c>
      <c r="B5983" s="16" t="n">
        <v>45704</v>
      </c>
      <c r="C5983" s="15" t="s">
        <v>71</v>
      </c>
      <c r="D5983" s="15" t="s">
        <v>43</v>
      </c>
      <c r="E5983" s="15" t="s">
        <v>37</v>
      </c>
      <c r="F5983" s="15" t="s">
        <v>16</v>
      </c>
      <c r="G5983" s="15" t="s">
        <v>27</v>
      </c>
      <c r="H5983" s="15" t="n">
        <v>4</v>
      </c>
      <c r="I5983" s="17" t="n">
        <v>0.1</v>
      </c>
      <c r="J5983" s="18" t="n">
        <v>240.16</v>
      </c>
      <c r="K5983" s="19" t="n">
        <v>34.07</v>
      </c>
      <c r="L5983" s="15" t="n">
        <f aca="false">YEAR(B5983)</f>
        <v>2025</v>
      </c>
      <c r="M5983" s="20" t="n">
        <f aca="false">IF(J5983&gt;0,K5983/J5983,0)</f>
        <v>0.141863757495003</v>
      </c>
    </row>
    <row r="5984" customFormat="false" ht="15" hidden="false" customHeight="false" outlineLevel="0" collapsed="false">
      <c r="A5984" s="15" t="s">
        <v>6041</v>
      </c>
      <c r="B5984" s="16" t="n">
        <v>45390</v>
      </c>
      <c r="C5984" s="15" t="s">
        <v>56</v>
      </c>
      <c r="D5984" s="15" t="s">
        <v>43</v>
      </c>
      <c r="E5984" s="15" t="s">
        <v>37</v>
      </c>
      <c r="F5984" s="15" t="s">
        <v>17</v>
      </c>
      <c r="G5984" s="15" t="s">
        <v>31</v>
      </c>
      <c r="H5984" s="15" t="n">
        <v>3</v>
      </c>
      <c r="I5984" s="17" t="n">
        <v>0</v>
      </c>
      <c r="J5984" s="18" t="n">
        <v>437.88</v>
      </c>
      <c r="K5984" s="19" t="n">
        <v>97.35</v>
      </c>
      <c r="L5984" s="15" t="n">
        <f aca="false">YEAR(B5984)</f>
        <v>2024</v>
      </c>
      <c r="M5984" s="20" t="n">
        <f aca="false">IF(J5984&gt;0,K5984/J5984,0)</f>
        <v>0.222321183885996</v>
      </c>
    </row>
    <row r="5985" customFormat="false" ht="15" hidden="false" customHeight="false" outlineLevel="0" collapsed="false">
      <c r="A5985" s="15" t="s">
        <v>6042</v>
      </c>
      <c r="B5985" s="16" t="n">
        <v>45470</v>
      </c>
      <c r="C5985" s="15" t="s">
        <v>56</v>
      </c>
      <c r="D5985" s="15" t="s">
        <v>43</v>
      </c>
      <c r="E5985" s="15" t="s">
        <v>37</v>
      </c>
      <c r="F5985" s="15" t="s">
        <v>17</v>
      </c>
      <c r="G5985" s="15" t="s">
        <v>31</v>
      </c>
      <c r="H5985" s="15" t="n">
        <v>1</v>
      </c>
      <c r="I5985" s="17" t="n">
        <v>0</v>
      </c>
      <c r="J5985" s="18" t="n">
        <v>121.54</v>
      </c>
      <c r="K5985" s="19" t="n">
        <v>30.01</v>
      </c>
      <c r="L5985" s="15" t="n">
        <f aca="false">YEAR(B5985)</f>
        <v>2024</v>
      </c>
      <c r="M5985" s="20" t="n">
        <f aca="false">IF(J5985&gt;0,K5985/J5985,0)</f>
        <v>0.246914596017772</v>
      </c>
    </row>
    <row r="5986" customFormat="false" ht="15" hidden="false" customHeight="false" outlineLevel="0" collapsed="false">
      <c r="A5986" s="15" t="s">
        <v>6043</v>
      </c>
      <c r="B5986" s="16" t="n">
        <v>45613</v>
      </c>
      <c r="C5986" s="15" t="s">
        <v>68</v>
      </c>
      <c r="D5986" s="15" t="s">
        <v>43</v>
      </c>
      <c r="E5986" s="15" t="s">
        <v>38</v>
      </c>
      <c r="F5986" s="15" t="s">
        <v>16</v>
      </c>
      <c r="G5986" s="15" t="s">
        <v>23</v>
      </c>
      <c r="H5986" s="15" t="n">
        <v>6</v>
      </c>
      <c r="I5986" s="17" t="n">
        <v>0.5</v>
      </c>
      <c r="J5986" s="18" t="n">
        <v>699.45</v>
      </c>
      <c r="K5986" s="19" t="n">
        <v>-299.67</v>
      </c>
      <c r="L5986" s="15" t="n">
        <f aca="false">YEAR(B5986)</f>
        <v>2024</v>
      </c>
      <c r="M5986" s="20" t="n">
        <f aca="false">IF(J5986&gt;0,K5986/J5986,0)</f>
        <v>-0.428436628779756</v>
      </c>
    </row>
    <row r="5987" customFormat="false" ht="15" hidden="false" customHeight="false" outlineLevel="0" collapsed="false">
      <c r="A5987" s="15" t="s">
        <v>6044</v>
      </c>
      <c r="B5987" s="16" t="n">
        <v>44657</v>
      </c>
      <c r="C5987" s="15" t="s">
        <v>56</v>
      </c>
      <c r="D5987" s="15" t="s">
        <v>43</v>
      </c>
      <c r="E5987" s="15" t="s">
        <v>36</v>
      </c>
      <c r="F5987" s="15" t="s">
        <v>17</v>
      </c>
      <c r="G5987" s="15" t="s">
        <v>26</v>
      </c>
      <c r="H5987" s="15" t="n">
        <v>1</v>
      </c>
      <c r="I5987" s="17" t="n">
        <v>0</v>
      </c>
      <c r="J5987" s="18" t="n">
        <v>95.28</v>
      </c>
      <c r="K5987" s="19" t="n">
        <v>18.83</v>
      </c>
      <c r="L5987" s="15" t="n">
        <f aca="false">YEAR(B5987)</f>
        <v>2022</v>
      </c>
      <c r="M5987" s="20" t="n">
        <f aca="false">IF(J5987&gt;0,K5987/J5987,0)</f>
        <v>0.197628043660789</v>
      </c>
    </row>
    <row r="5988" customFormat="false" ht="15" hidden="false" customHeight="false" outlineLevel="0" collapsed="false">
      <c r="A5988" s="15" t="s">
        <v>6045</v>
      </c>
      <c r="B5988" s="16" t="n">
        <v>44948</v>
      </c>
      <c r="C5988" s="15" t="s">
        <v>68</v>
      </c>
      <c r="D5988" s="15" t="s">
        <v>42</v>
      </c>
      <c r="E5988" s="15" t="s">
        <v>37</v>
      </c>
      <c r="F5988" s="15" t="s">
        <v>16</v>
      </c>
      <c r="G5988" s="15" t="s">
        <v>23</v>
      </c>
      <c r="H5988" s="15" t="n">
        <v>3</v>
      </c>
      <c r="I5988" s="17" t="n">
        <v>0</v>
      </c>
      <c r="J5988" s="18" t="n">
        <v>897.35</v>
      </c>
      <c r="K5988" s="19" t="n">
        <v>72.86</v>
      </c>
      <c r="L5988" s="15" t="n">
        <f aca="false">YEAR(B5988)</f>
        <v>2023</v>
      </c>
      <c r="M5988" s="20" t="n">
        <f aca="false">IF(J5988&gt;0,K5988/J5988,0)</f>
        <v>0.0811946286287402</v>
      </c>
    </row>
    <row r="5989" customFormat="false" ht="15" hidden="false" customHeight="false" outlineLevel="0" collapsed="false">
      <c r="A5989" s="15" t="s">
        <v>6046</v>
      </c>
      <c r="B5989" s="16" t="n">
        <v>45767</v>
      </c>
      <c r="C5989" s="15" t="s">
        <v>71</v>
      </c>
      <c r="D5989" s="15" t="s">
        <v>44</v>
      </c>
      <c r="E5989" s="15" t="s">
        <v>39</v>
      </c>
      <c r="F5989" s="15" t="s">
        <v>17</v>
      </c>
      <c r="G5989" s="15" t="s">
        <v>29</v>
      </c>
      <c r="H5989" s="15" t="n">
        <v>3</v>
      </c>
      <c r="I5989" s="17" t="n">
        <v>0</v>
      </c>
      <c r="J5989" s="18" t="n">
        <v>54.68</v>
      </c>
      <c r="K5989" s="19" t="n">
        <v>18.77</v>
      </c>
      <c r="L5989" s="15" t="n">
        <f aca="false">YEAR(B5989)</f>
        <v>2025</v>
      </c>
      <c r="M5989" s="20" t="n">
        <f aca="false">IF(J5989&gt;0,K5989/J5989,0)</f>
        <v>0.343269934162399</v>
      </c>
    </row>
    <row r="5990" customFormat="false" ht="15" hidden="false" customHeight="false" outlineLevel="0" collapsed="false">
      <c r="A5990" s="15" t="s">
        <v>6047</v>
      </c>
      <c r="B5990" s="16" t="n">
        <v>44915</v>
      </c>
      <c r="C5990" s="15" t="s">
        <v>68</v>
      </c>
      <c r="D5990" s="15" t="s">
        <v>42</v>
      </c>
      <c r="E5990" s="15" t="s">
        <v>38</v>
      </c>
      <c r="F5990" s="15" t="s">
        <v>18</v>
      </c>
      <c r="G5990" s="15" t="s">
        <v>30</v>
      </c>
      <c r="H5990" s="15" t="n">
        <v>5</v>
      </c>
      <c r="I5990" s="17" t="n">
        <v>0</v>
      </c>
      <c r="J5990" s="18" t="n">
        <v>192.58</v>
      </c>
      <c r="K5990" s="19" t="n">
        <v>56.97</v>
      </c>
      <c r="L5990" s="15" t="n">
        <f aca="false">YEAR(B5990)</f>
        <v>2022</v>
      </c>
      <c r="M5990" s="20" t="n">
        <f aca="false">IF(J5990&gt;0,K5990/J5990,0)</f>
        <v>0.295825111641915</v>
      </c>
    </row>
    <row r="5991" customFormat="false" ht="15" hidden="false" customHeight="false" outlineLevel="0" collapsed="false">
      <c r="A5991" s="15" t="s">
        <v>6048</v>
      </c>
      <c r="B5991" s="16" t="n">
        <v>45254</v>
      </c>
      <c r="C5991" s="15" t="s">
        <v>56</v>
      </c>
      <c r="D5991" s="15" t="s">
        <v>44</v>
      </c>
      <c r="E5991" s="15" t="s">
        <v>37</v>
      </c>
      <c r="F5991" s="15" t="s">
        <v>16</v>
      </c>
      <c r="G5991" s="15" t="s">
        <v>25</v>
      </c>
      <c r="H5991" s="15" t="n">
        <v>4</v>
      </c>
      <c r="I5991" s="17" t="n">
        <v>0.3</v>
      </c>
      <c r="J5991" s="18" t="n">
        <v>720.9</v>
      </c>
      <c r="K5991" s="19" t="n">
        <v>-61.66</v>
      </c>
      <c r="L5991" s="15" t="n">
        <f aca="false">YEAR(B5991)</f>
        <v>2023</v>
      </c>
      <c r="M5991" s="20" t="n">
        <f aca="false">IF(J5991&gt;0,K5991/J5991,0)</f>
        <v>-0.085531973921487</v>
      </c>
    </row>
    <row r="5992" customFormat="false" ht="15" hidden="false" customHeight="false" outlineLevel="0" collapsed="false">
      <c r="A5992" s="15" t="s">
        <v>6049</v>
      </c>
      <c r="B5992" s="16" t="n">
        <v>45252</v>
      </c>
      <c r="C5992" s="15" t="s">
        <v>68</v>
      </c>
      <c r="D5992" s="15" t="s">
        <v>43</v>
      </c>
      <c r="E5992" s="15" t="s">
        <v>39</v>
      </c>
      <c r="F5992" s="15" t="s">
        <v>18</v>
      </c>
      <c r="G5992" s="15" t="s">
        <v>30</v>
      </c>
      <c r="H5992" s="15" t="n">
        <v>3</v>
      </c>
      <c r="I5992" s="17" t="n">
        <v>0.2</v>
      </c>
      <c r="J5992" s="18" t="n">
        <v>127.22</v>
      </c>
      <c r="K5992" s="19" t="n">
        <v>14.34</v>
      </c>
      <c r="L5992" s="15" t="n">
        <f aca="false">YEAR(B5992)</f>
        <v>2023</v>
      </c>
      <c r="M5992" s="20" t="n">
        <f aca="false">IF(J5992&gt;0,K5992/J5992,0)</f>
        <v>0.112718126080805</v>
      </c>
    </row>
    <row r="5993" customFormat="false" ht="15" hidden="false" customHeight="false" outlineLevel="0" collapsed="false">
      <c r="A5993" s="15" t="s">
        <v>6050</v>
      </c>
      <c r="B5993" s="16" t="n">
        <v>45508</v>
      </c>
      <c r="C5993" s="15" t="s">
        <v>56</v>
      </c>
      <c r="D5993" s="15" t="s">
        <v>44</v>
      </c>
      <c r="E5993" s="15" t="s">
        <v>36</v>
      </c>
      <c r="F5993" s="15" t="s">
        <v>17</v>
      </c>
      <c r="G5993" s="15" t="s">
        <v>26</v>
      </c>
      <c r="H5993" s="15" t="n">
        <v>5</v>
      </c>
      <c r="I5993" s="17" t="n">
        <v>0.2</v>
      </c>
      <c r="J5993" s="18" t="n">
        <v>413.92</v>
      </c>
      <c r="K5993" s="19" t="n">
        <v>-17.69</v>
      </c>
      <c r="L5993" s="15" t="n">
        <f aca="false">YEAR(B5993)</f>
        <v>2024</v>
      </c>
      <c r="M5993" s="20" t="n">
        <f aca="false">IF(J5993&gt;0,K5993/J5993,0)</f>
        <v>-0.0427377270970236</v>
      </c>
    </row>
    <row r="5994" customFormat="false" ht="15" hidden="false" customHeight="false" outlineLevel="0" collapsed="false">
      <c r="A5994" s="15" t="s">
        <v>6051</v>
      </c>
      <c r="B5994" s="16" t="n">
        <v>45038</v>
      </c>
      <c r="C5994" s="15" t="s">
        <v>56</v>
      </c>
      <c r="D5994" s="15" t="s">
        <v>43</v>
      </c>
      <c r="E5994" s="15" t="s">
        <v>37</v>
      </c>
      <c r="F5994" s="15" t="s">
        <v>17</v>
      </c>
      <c r="G5994" s="15" t="s">
        <v>28</v>
      </c>
      <c r="H5994" s="15" t="n">
        <v>4</v>
      </c>
      <c r="I5994" s="17" t="n">
        <v>0</v>
      </c>
      <c r="J5994" s="18" t="n">
        <v>94.63</v>
      </c>
      <c r="K5994" s="19" t="n">
        <v>30.5</v>
      </c>
      <c r="L5994" s="15" t="n">
        <f aca="false">YEAR(B5994)</f>
        <v>2023</v>
      </c>
      <c r="M5994" s="20" t="n">
        <f aca="false">IF(J5994&gt;0,K5994/J5994,0)</f>
        <v>0.322307936172461</v>
      </c>
    </row>
    <row r="5995" customFormat="false" ht="15" hidden="false" customHeight="false" outlineLevel="0" collapsed="false">
      <c r="A5995" s="15" t="s">
        <v>6052</v>
      </c>
      <c r="B5995" s="16" t="n">
        <v>45348</v>
      </c>
      <c r="C5995" s="15" t="s">
        <v>68</v>
      </c>
      <c r="D5995" s="15" t="s">
        <v>42</v>
      </c>
      <c r="E5995" s="15" t="s">
        <v>37</v>
      </c>
      <c r="F5995" s="15" t="s">
        <v>16</v>
      </c>
      <c r="G5995" s="15" t="s">
        <v>23</v>
      </c>
      <c r="H5995" s="15" t="n">
        <v>2</v>
      </c>
      <c r="I5995" s="17" t="n">
        <v>0</v>
      </c>
      <c r="J5995" s="18" t="n">
        <v>560.12</v>
      </c>
      <c r="K5995" s="19" t="n">
        <v>-24.51</v>
      </c>
      <c r="L5995" s="15" t="n">
        <f aca="false">YEAR(B5995)</f>
        <v>2024</v>
      </c>
      <c r="M5995" s="20" t="n">
        <f aca="false">IF(J5995&gt;0,K5995/J5995,0)</f>
        <v>-0.0437584803256445</v>
      </c>
    </row>
    <row r="5996" customFormat="false" ht="15" hidden="false" customHeight="false" outlineLevel="0" collapsed="false">
      <c r="A5996" s="15" t="s">
        <v>6053</v>
      </c>
      <c r="B5996" s="16" t="n">
        <v>45543</v>
      </c>
      <c r="C5996" s="15" t="s">
        <v>71</v>
      </c>
      <c r="D5996" s="15" t="s">
        <v>43</v>
      </c>
      <c r="E5996" s="15" t="s">
        <v>38</v>
      </c>
      <c r="F5996" s="15" t="s">
        <v>17</v>
      </c>
      <c r="G5996" s="15" t="s">
        <v>26</v>
      </c>
      <c r="H5996" s="15" t="n">
        <v>4</v>
      </c>
      <c r="I5996" s="17" t="n">
        <v>0</v>
      </c>
      <c r="J5996" s="18" t="n">
        <v>310.22</v>
      </c>
      <c r="K5996" s="19" t="n">
        <v>35.23</v>
      </c>
      <c r="L5996" s="15" t="n">
        <f aca="false">YEAR(B5996)</f>
        <v>2024</v>
      </c>
      <c r="M5996" s="20" t="n">
        <f aca="false">IF(J5996&gt;0,K5996/J5996,0)</f>
        <v>0.113564567081426</v>
      </c>
    </row>
    <row r="5997" customFormat="false" ht="15" hidden="false" customHeight="false" outlineLevel="0" collapsed="false">
      <c r="A5997" s="15" t="s">
        <v>6054</v>
      </c>
      <c r="B5997" s="16" t="n">
        <v>45475</v>
      </c>
      <c r="C5997" s="15" t="s">
        <v>56</v>
      </c>
      <c r="D5997" s="15" t="s">
        <v>42</v>
      </c>
      <c r="E5997" s="15" t="s">
        <v>39</v>
      </c>
      <c r="F5997" s="15" t="s">
        <v>18</v>
      </c>
      <c r="G5997" s="15" t="s">
        <v>32</v>
      </c>
      <c r="H5997" s="15" t="n">
        <v>3</v>
      </c>
      <c r="I5997" s="17" t="n">
        <v>0</v>
      </c>
      <c r="J5997" s="18" t="n">
        <v>1521.04</v>
      </c>
      <c r="K5997" s="19" t="n">
        <v>343.75</v>
      </c>
      <c r="L5997" s="15" t="n">
        <f aca="false">YEAR(B5997)</f>
        <v>2024</v>
      </c>
      <c r="M5997" s="20" t="n">
        <f aca="false">IF(J5997&gt;0,K5997/J5997,0)</f>
        <v>0.225996686477673</v>
      </c>
    </row>
    <row r="5998" customFormat="false" ht="15" hidden="false" customHeight="false" outlineLevel="0" collapsed="false">
      <c r="A5998" s="15" t="s">
        <v>6055</v>
      </c>
      <c r="B5998" s="16" t="n">
        <v>45665</v>
      </c>
      <c r="C5998" s="15" t="s">
        <v>56</v>
      </c>
      <c r="D5998" s="15" t="s">
        <v>43</v>
      </c>
      <c r="E5998" s="15" t="s">
        <v>36</v>
      </c>
      <c r="F5998" s="15" t="s">
        <v>17</v>
      </c>
      <c r="G5998" s="15" t="s">
        <v>29</v>
      </c>
      <c r="H5998" s="15" t="n">
        <v>5</v>
      </c>
      <c r="I5998" s="17" t="n">
        <v>0</v>
      </c>
      <c r="J5998" s="18" t="n">
        <v>97.14</v>
      </c>
      <c r="K5998" s="19" t="n">
        <v>42.47</v>
      </c>
      <c r="L5998" s="15" t="n">
        <f aca="false">YEAR(B5998)</f>
        <v>2025</v>
      </c>
      <c r="M5998" s="20" t="n">
        <f aca="false">IF(J5998&gt;0,K5998/J5998,0)</f>
        <v>0.437204035412806</v>
      </c>
    </row>
    <row r="5999" customFormat="false" ht="15" hidden="false" customHeight="false" outlineLevel="0" collapsed="false">
      <c r="A5999" s="15" t="s">
        <v>6056</v>
      </c>
      <c r="B5999" s="16" t="n">
        <v>45979</v>
      </c>
      <c r="C5999" s="15" t="s">
        <v>71</v>
      </c>
      <c r="D5999" s="15" t="s">
        <v>44</v>
      </c>
      <c r="E5999" s="15" t="s">
        <v>36</v>
      </c>
      <c r="F5999" s="15" t="s">
        <v>18</v>
      </c>
      <c r="G5999" s="15" t="s">
        <v>30</v>
      </c>
      <c r="H5999" s="15" t="n">
        <v>1</v>
      </c>
      <c r="I5999" s="17" t="n">
        <v>0</v>
      </c>
      <c r="J5999" s="18" t="n">
        <v>38.66</v>
      </c>
      <c r="K5999" s="19" t="n">
        <v>10</v>
      </c>
      <c r="L5999" s="15" t="n">
        <f aca="false">YEAR(B5999)</f>
        <v>2025</v>
      </c>
      <c r="M5999" s="20" t="n">
        <f aca="false">IF(J5999&gt;0,K5999/J5999,0)</f>
        <v>0.258665287118469</v>
      </c>
    </row>
    <row r="6000" customFormat="false" ht="15" hidden="false" customHeight="false" outlineLevel="0" collapsed="false">
      <c r="A6000" s="15" t="s">
        <v>6057</v>
      </c>
      <c r="B6000" s="16" t="n">
        <v>45264</v>
      </c>
      <c r="C6000" s="15" t="s">
        <v>56</v>
      </c>
      <c r="D6000" s="15" t="s">
        <v>43</v>
      </c>
      <c r="E6000" s="15" t="s">
        <v>39</v>
      </c>
      <c r="F6000" s="15" t="s">
        <v>17</v>
      </c>
      <c r="G6000" s="15" t="s">
        <v>31</v>
      </c>
      <c r="H6000" s="15" t="n">
        <v>3</v>
      </c>
      <c r="I6000" s="17" t="n">
        <v>0.3</v>
      </c>
      <c r="J6000" s="18" t="n">
        <v>330.75</v>
      </c>
      <c r="K6000" s="19" t="n">
        <v>-19.64</v>
      </c>
      <c r="L6000" s="15" t="n">
        <f aca="false">YEAR(B6000)</f>
        <v>2023</v>
      </c>
      <c r="M6000" s="20" t="n">
        <f aca="false">IF(J6000&gt;0,K6000/J6000,0)</f>
        <v>-0.0593801965230537</v>
      </c>
    </row>
    <row r="6001" customFormat="false" ht="15" hidden="false" customHeight="false" outlineLevel="0" collapsed="false">
      <c r="A6001" s="15" t="s">
        <v>6058</v>
      </c>
      <c r="B6001" s="16" t="n">
        <v>45625</v>
      </c>
      <c r="C6001" s="15" t="s">
        <v>56</v>
      </c>
      <c r="D6001" s="15" t="s">
        <v>42</v>
      </c>
      <c r="E6001" s="15" t="s">
        <v>38</v>
      </c>
      <c r="F6001" s="15" t="s">
        <v>17</v>
      </c>
      <c r="G6001" s="15" t="s">
        <v>29</v>
      </c>
      <c r="H6001" s="15" t="n">
        <v>3</v>
      </c>
      <c r="I6001" s="17" t="n">
        <v>0.3</v>
      </c>
      <c r="J6001" s="18" t="n">
        <v>33.04</v>
      </c>
      <c r="K6001" s="19" t="n">
        <v>1.38</v>
      </c>
      <c r="L6001" s="15" t="n">
        <f aca="false">YEAR(B6001)</f>
        <v>2024</v>
      </c>
      <c r="M6001" s="20" t="n">
        <f aca="false">IF(J6001&gt;0,K6001/J6001,0)</f>
        <v>0.0417675544794189</v>
      </c>
    </row>
    <row r="6002" customFormat="false" ht="15" hidden="false" customHeight="false" outlineLevel="0" collapsed="false">
      <c r="A6002" s="15" t="s">
        <v>6059</v>
      </c>
      <c r="B6002" s="16" t="n">
        <v>45738</v>
      </c>
      <c r="C6002" s="15" t="s">
        <v>56</v>
      </c>
      <c r="D6002" s="15" t="s">
        <v>43</v>
      </c>
      <c r="E6002" s="15" t="s">
        <v>38</v>
      </c>
      <c r="F6002" s="15" t="s">
        <v>16</v>
      </c>
      <c r="G6002" s="15" t="s">
        <v>23</v>
      </c>
      <c r="H6002" s="15" t="n">
        <v>5</v>
      </c>
      <c r="I6002" s="17" t="n">
        <v>0.2</v>
      </c>
      <c r="J6002" s="18" t="n">
        <v>1245.91</v>
      </c>
      <c r="K6002" s="19" t="n">
        <v>-305.38</v>
      </c>
      <c r="L6002" s="15" t="n">
        <f aca="false">YEAR(B6002)</f>
        <v>2025</v>
      </c>
      <c r="M6002" s="20" t="n">
        <f aca="false">IF(J6002&gt;0,K6002/J6002,0)</f>
        <v>-0.245105986788773</v>
      </c>
    </row>
    <row r="6003" customFormat="false" ht="15" hidden="false" customHeight="false" outlineLevel="0" collapsed="false">
      <c r="A6003" s="15" t="s">
        <v>6060</v>
      </c>
      <c r="B6003" s="16" t="n">
        <v>45745</v>
      </c>
      <c r="C6003" s="15" t="s">
        <v>56</v>
      </c>
      <c r="D6003" s="15" t="s">
        <v>43</v>
      </c>
      <c r="E6003" s="15" t="s">
        <v>39</v>
      </c>
      <c r="F6003" s="15" t="s">
        <v>16</v>
      </c>
      <c r="G6003" s="15" t="s">
        <v>27</v>
      </c>
      <c r="H6003" s="15" t="n">
        <v>2</v>
      </c>
      <c r="I6003" s="17" t="n">
        <v>0.1</v>
      </c>
      <c r="J6003" s="18" t="n">
        <v>106.09</v>
      </c>
      <c r="K6003" s="19" t="n">
        <v>15.73</v>
      </c>
      <c r="L6003" s="15" t="n">
        <f aca="false">YEAR(B6003)</f>
        <v>2025</v>
      </c>
      <c r="M6003" s="20" t="n">
        <f aca="false">IF(J6003&gt;0,K6003/J6003,0)</f>
        <v>0.14827033650674</v>
      </c>
    </row>
    <row r="6004" customFormat="false" ht="15" hidden="false" customHeight="false" outlineLevel="0" collapsed="false">
      <c r="A6004" s="15" t="s">
        <v>6061</v>
      </c>
      <c r="B6004" s="16" t="n">
        <v>45563</v>
      </c>
      <c r="C6004" s="15" t="s">
        <v>56</v>
      </c>
      <c r="D6004" s="15" t="s">
        <v>43</v>
      </c>
      <c r="E6004" s="15" t="s">
        <v>36</v>
      </c>
      <c r="F6004" s="15" t="s">
        <v>17</v>
      </c>
      <c r="G6004" s="15" t="s">
        <v>31</v>
      </c>
      <c r="H6004" s="15" t="n">
        <v>4</v>
      </c>
      <c r="I6004" s="17" t="n">
        <v>0</v>
      </c>
      <c r="J6004" s="18" t="n">
        <v>477.68</v>
      </c>
      <c r="K6004" s="19" t="n">
        <v>92.42</v>
      </c>
      <c r="L6004" s="15" t="n">
        <f aca="false">YEAR(B6004)</f>
        <v>2024</v>
      </c>
      <c r="M6004" s="20" t="n">
        <f aca="false">IF(J6004&gt;0,K6004/J6004,0)</f>
        <v>0.193476804555351</v>
      </c>
    </row>
    <row r="6005" customFormat="false" ht="15" hidden="false" customHeight="false" outlineLevel="0" collapsed="false">
      <c r="A6005" s="15" t="s">
        <v>6062</v>
      </c>
      <c r="B6005" s="16" t="n">
        <v>44829</v>
      </c>
      <c r="C6005" s="15" t="s">
        <v>56</v>
      </c>
      <c r="D6005" s="15" t="s">
        <v>42</v>
      </c>
      <c r="E6005" s="15" t="s">
        <v>36</v>
      </c>
      <c r="F6005" s="15" t="s">
        <v>16</v>
      </c>
      <c r="G6005" s="15" t="s">
        <v>22</v>
      </c>
      <c r="H6005" s="15" t="n">
        <v>4</v>
      </c>
      <c r="I6005" s="17" t="n">
        <v>0</v>
      </c>
      <c r="J6005" s="18" t="n">
        <v>1805.38</v>
      </c>
      <c r="K6005" s="19" t="n">
        <v>-127.55</v>
      </c>
      <c r="L6005" s="15" t="n">
        <f aca="false">YEAR(B6005)</f>
        <v>2022</v>
      </c>
      <c r="M6005" s="20" t="n">
        <f aca="false">IF(J6005&gt;0,K6005/J6005,0)</f>
        <v>-0.070649946271699</v>
      </c>
    </row>
    <row r="6006" customFormat="false" ht="15" hidden="false" customHeight="false" outlineLevel="0" collapsed="false">
      <c r="A6006" s="15" t="s">
        <v>6063</v>
      </c>
      <c r="B6006" s="16" t="n">
        <v>46021</v>
      </c>
      <c r="C6006" s="15" t="s">
        <v>68</v>
      </c>
      <c r="D6006" s="15" t="s">
        <v>43</v>
      </c>
      <c r="E6006" s="15" t="s">
        <v>39</v>
      </c>
      <c r="F6006" s="15" t="s">
        <v>17</v>
      </c>
      <c r="G6006" s="15" t="s">
        <v>31</v>
      </c>
      <c r="H6006" s="15" t="n">
        <v>2</v>
      </c>
      <c r="I6006" s="17" t="n">
        <v>0.15</v>
      </c>
      <c r="J6006" s="18" t="n">
        <v>245.64</v>
      </c>
      <c r="K6006" s="19" t="n">
        <v>23.68</v>
      </c>
      <c r="L6006" s="15" t="n">
        <f aca="false">YEAR(B6006)</f>
        <v>2025</v>
      </c>
      <c r="M6006" s="20" t="n">
        <f aca="false">IF(J6006&gt;0,K6006/J6006,0)</f>
        <v>0.0964012375834555</v>
      </c>
    </row>
    <row r="6007" customFormat="false" ht="15" hidden="false" customHeight="false" outlineLevel="0" collapsed="false">
      <c r="A6007" s="15" t="s">
        <v>6064</v>
      </c>
      <c r="B6007" s="16" t="n">
        <v>44870</v>
      </c>
      <c r="C6007" s="15" t="s">
        <v>56</v>
      </c>
      <c r="D6007" s="15" t="s">
        <v>42</v>
      </c>
      <c r="E6007" s="15" t="s">
        <v>38</v>
      </c>
      <c r="F6007" s="15" t="s">
        <v>16</v>
      </c>
      <c r="G6007" s="15" t="s">
        <v>27</v>
      </c>
      <c r="H6007" s="15" t="n">
        <v>4</v>
      </c>
      <c r="I6007" s="17" t="n">
        <v>0</v>
      </c>
      <c r="J6007" s="18" t="n">
        <v>234.3</v>
      </c>
      <c r="K6007" s="19" t="n">
        <v>50.12</v>
      </c>
      <c r="L6007" s="15" t="n">
        <f aca="false">YEAR(B6007)</f>
        <v>2022</v>
      </c>
      <c r="M6007" s="20" t="n">
        <f aca="false">IF(J6007&gt;0,K6007/J6007,0)</f>
        <v>0.213913785744772</v>
      </c>
    </row>
    <row r="6008" customFormat="false" ht="15" hidden="false" customHeight="false" outlineLevel="0" collapsed="false">
      <c r="A6008" s="15" t="s">
        <v>6065</v>
      </c>
      <c r="B6008" s="16" t="n">
        <v>45978</v>
      </c>
      <c r="C6008" s="15" t="s">
        <v>71</v>
      </c>
      <c r="D6008" s="15" t="s">
        <v>43</v>
      </c>
      <c r="E6008" s="15" t="s">
        <v>38</v>
      </c>
      <c r="F6008" s="15" t="s">
        <v>17</v>
      </c>
      <c r="G6008" s="15" t="s">
        <v>29</v>
      </c>
      <c r="H6008" s="15" t="n">
        <v>3</v>
      </c>
      <c r="I6008" s="17" t="n">
        <v>0.05</v>
      </c>
      <c r="J6008" s="18" t="n">
        <v>51.3</v>
      </c>
      <c r="K6008" s="19" t="n">
        <v>16.4</v>
      </c>
      <c r="L6008" s="15" t="n">
        <f aca="false">YEAR(B6008)</f>
        <v>2025</v>
      </c>
      <c r="M6008" s="20" t="n">
        <f aca="false">IF(J6008&gt;0,K6008/J6008,0)</f>
        <v>0.319688109161793</v>
      </c>
    </row>
    <row r="6009" customFormat="false" ht="15" hidden="false" customHeight="false" outlineLevel="0" collapsed="false">
      <c r="A6009" s="15" t="s">
        <v>6066</v>
      </c>
      <c r="B6009" s="16" t="n">
        <v>45968</v>
      </c>
      <c r="C6009" s="15" t="s">
        <v>56</v>
      </c>
      <c r="D6009" s="15" t="s">
        <v>43</v>
      </c>
      <c r="E6009" s="15" t="s">
        <v>38</v>
      </c>
      <c r="F6009" s="15" t="s">
        <v>18</v>
      </c>
      <c r="G6009" s="15" t="s">
        <v>32</v>
      </c>
      <c r="H6009" s="15" t="n">
        <v>1</v>
      </c>
      <c r="I6009" s="17" t="n">
        <v>0.1</v>
      </c>
      <c r="J6009" s="18" t="n">
        <v>331.85</v>
      </c>
      <c r="K6009" s="19" t="n">
        <v>36.99</v>
      </c>
      <c r="L6009" s="15" t="n">
        <f aca="false">YEAR(B6009)</f>
        <v>2025</v>
      </c>
      <c r="M6009" s="20" t="n">
        <f aca="false">IF(J6009&gt;0,K6009/J6009,0)</f>
        <v>0.111466023805936</v>
      </c>
    </row>
    <row r="6010" customFormat="false" ht="15" hidden="false" customHeight="false" outlineLevel="0" collapsed="false">
      <c r="A6010" s="15" t="s">
        <v>6067</v>
      </c>
      <c r="B6010" s="16" t="n">
        <v>45681</v>
      </c>
      <c r="C6010" s="15" t="s">
        <v>56</v>
      </c>
      <c r="D6010" s="15" t="s">
        <v>42</v>
      </c>
      <c r="E6010" s="15" t="s">
        <v>37</v>
      </c>
      <c r="F6010" s="15" t="s">
        <v>17</v>
      </c>
      <c r="G6010" s="15" t="s">
        <v>31</v>
      </c>
      <c r="H6010" s="15" t="n">
        <v>5</v>
      </c>
      <c r="I6010" s="17" t="n">
        <v>0.1</v>
      </c>
      <c r="J6010" s="18" t="n">
        <v>586.27</v>
      </c>
      <c r="K6010" s="19" t="n">
        <v>45.09</v>
      </c>
      <c r="L6010" s="15" t="n">
        <f aca="false">YEAR(B6010)</f>
        <v>2025</v>
      </c>
      <c r="M6010" s="20" t="n">
        <f aca="false">IF(J6010&gt;0,K6010/J6010,0)</f>
        <v>0.0769099561635424</v>
      </c>
    </row>
    <row r="6011" customFormat="false" ht="15" hidden="false" customHeight="false" outlineLevel="0" collapsed="false">
      <c r="A6011" s="15" t="s">
        <v>6068</v>
      </c>
      <c r="B6011" s="16" t="n">
        <v>45949</v>
      </c>
      <c r="C6011" s="15" t="s">
        <v>56</v>
      </c>
      <c r="D6011" s="15" t="s">
        <v>42</v>
      </c>
      <c r="E6011" s="15" t="s">
        <v>36</v>
      </c>
      <c r="F6011" s="15" t="s">
        <v>17</v>
      </c>
      <c r="G6011" s="15" t="s">
        <v>31</v>
      </c>
      <c r="H6011" s="15" t="n">
        <v>2</v>
      </c>
      <c r="I6011" s="17" t="n">
        <v>0.05</v>
      </c>
      <c r="J6011" s="18" t="n">
        <v>256.15</v>
      </c>
      <c r="K6011" s="19" t="n">
        <v>65.96</v>
      </c>
      <c r="L6011" s="15" t="n">
        <f aca="false">YEAR(B6011)</f>
        <v>2025</v>
      </c>
      <c r="M6011" s="20" t="n">
        <f aca="false">IF(J6011&gt;0,K6011/J6011,0)</f>
        <v>0.257505367948468</v>
      </c>
    </row>
    <row r="6012" customFormat="false" ht="15" hidden="false" customHeight="false" outlineLevel="0" collapsed="false">
      <c r="A6012" s="15" t="s">
        <v>6069</v>
      </c>
      <c r="B6012" s="16" t="n">
        <v>44774</v>
      </c>
      <c r="C6012" s="15" t="s">
        <v>56</v>
      </c>
      <c r="D6012" s="15" t="s">
        <v>42</v>
      </c>
      <c r="E6012" s="15" t="s">
        <v>39</v>
      </c>
      <c r="F6012" s="15" t="s">
        <v>18</v>
      </c>
      <c r="G6012" s="15" t="s">
        <v>33</v>
      </c>
      <c r="H6012" s="15" t="n">
        <v>3</v>
      </c>
      <c r="I6012" s="17" t="n">
        <v>0</v>
      </c>
      <c r="J6012" s="18" t="n">
        <v>2913.53</v>
      </c>
      <c r="K6012" s="19" t="n">
        <v>927.89</v>
      </c>
      <c r="L6012" s="15" t="n">
        <f aca="false">YEAR(B6012)</f>
        <v>2022</v>
      </c>
      <c r="M6012" s="20" t="n">
        <f aca="false">IF(J6012&gt;0,K6012/J6012,0)</f>
        <v>0.318476212704177</v>
      </c>
    </row>
    <row r="6013" customFormat="false" ht="15" hidden="false" customHeight="false" outlineLevel="0" collapsed="false">
      <c r="A6013" s="15" t="s">
        <v>6070</v>
      </c>
      <c r="B6013" s="16" t="n">
        <v>45025</v>
      </c>
      <c r="C6013" s="15" t="s">
        <v>68</v>
      </c>
      <c r="D6013" s="15" t="s">
        <v>42</v>
      </c>
      <c r="E6013" s="15" t="s">
        <v>38</v>
      </c>
      <c r="F6013" s="15" t="s">
        <v>17</v>
      </c>
      <c r="G6013" s="15" t="s">
        <v>26</v>
      </c>
      <c r="H6013" s="15" t="n">
        <v>4</v>
      </c>
      <c r="I6013" s="17" t="n">
        <v>0.1</v>
      </c>
      <c r="J6013" s="18" t="n">
        <v>255.86</v>
      </c>
      <c r="K6013" s="19" t="n">
        <v>-15.2</v>
      </c>
      <c r="L6013" s="15" t="n">
        <f aca="false">YEAR(B6013)</f>
        <v>2023</v>
      </c>
      <c r="M6013" s="20" t="n">
        <f aca="false">IF(J6013&gt;0,K6013/J6013,0)</f>
        <v>-0.0594074884702572</v>
      </c>
    </row>
    <row r="6014" customFormat="false" ht="15" hidden="false" customHeight="false" outlineLevel="0" collapsed="false">
      <c r="A6014" s="15" t="s">
        <v>6071</v>
      </c>
      <c r="B6014" s="16" t="n">
        <v>45088</v>
      </c>
      <c r="C6014" s="15" t="s">
        <v>68</v>
      </c>
      <c r="D6014" s="15" t="s">
        <v>42</v>
      </c>
      <c r="E6014" s="15" t="s">
        <v>37</v>
      </c>
      <c r="F6014" s="15" t="s">
        <v>17</v>
      </c>
      <c r="G6014" s="15" t="s">
        <v>28</v>
      </c>
      <c r="H6014" s="15" t="n">
        <v>3</v>
      </c>
      <c r="I6014" s="17" t="n">
        <v>0</v>
      </c>
      <c r="J6014" s="18" t="n">
        <v>69.43</v>
      </c>
      <c r="K6014" s="19" t="n">
        <v>24.48</v>
      </c>
      <c r="L6014" s="15" t="n">
        <f aca="false">YEAR(B6014)</f>
        <v>2023</v>
      </c>
      <c r="M6014" s="20" t="n">
        <f aca="false">IF(J6014&gt;0,K6014/J6014,0)</f>
        <v>0.352585337750252</v>
      </c>
    </row>
    <row r="6015" customFormat="false" ht="15" hidden="false" customHeight="false" outlineLevel="0" collapsed="false">
      <c r="A6015" s="15" t="s">
        <v>6072</v>
      </c>
      <c r="B6015" s="16" t="n">
        <v>45784</v>
      </c>
      <c r="C6015" s="15" t="s">
        <v>56</v>
      </c>
      <c r="D6015" s="15" t="s">
        <v>42</v>
      </c>
      <c r="E6015" s="15" t="s">
        <v>38</v>
      </c>
      <c r="F6015" s="15" t="s">
        <v>18</v>
      </c>
      <c r="G6015" s="15" t="s">
        <v>30</v>
      </c>
      <c r="H6015" s="15" t="n">
        <v>5</v>
      </c>
      <c r="I6015" s="17" t="n">
        <v>0.2</v>
      </c>
      <c r="J6015" s="18" t="n">
        <v>192.01</v>
      </c>
      <c r="K6015" s="19" t="n">
        <v>6.54</v>
      </c>
      <c r="L6015" s="15" t="n">
        <f aca="false">YEAR(B6015)</f>
        <v>2025</v>
      </c>
      <c r="M6015" s="20" t="n">
        <f aca="false">IF(J6015&gt;0,K6015/J6015,0)</f>
        <v>0.034060726003854</v>
      </c>
    </row>
    <row r="6016" customFormat="false" ht="15" hidden="false" customHeight="false" outlineLevel="0" collapsed="false">
      <c r="A6016" s="15" t="s">
        <v>6073</v>
      </c>
      <c r="B6016" s="16" t="n">
        <v>44911</v>
      </c>
      <c r="C6016" s="15" t="s">
        <v>68</v>
      </c>
      <c r="D6016" s="15" t="s">
        <v>42</v>
      </c>
      <c r="E6016" s="15" t="s">
        <v>39</v>
      </c>
      <c r="F6016" s="15" t="s">
        <v>17</v>
      </c>
      <c r="G6016" s="15" t="s">
        <v>28</v>
      </c>
      <c r="H6016" s="15" t="n">
        <v>3</v>
      </c>
      <c r="I6016" s="17" t="n">
        <v>0.05</v>
      </c>
      <c r="J6016" s="18" t="n">
        <v>79.58</v>
      </c>
      <c r="K6016" s="19" t="n">
        <v>24.78</v>
      </c>
      <c r="L6016" s="15" t="n">
        <f aca="false">YEAR(B6016)</f>
        <v>2022</v>
      </c>
      <c r="M6016" s="20" t="n">
        <f aca="false">IF(J6016&gt;0,K6016/J6016,0)</f>
        <v>0.311384770042724</v>
      </c>
    </row>
    <row r="6017" customFormat="false" ht="15" hidden="false" customHeight="false" outlineLevel="0" collapsed="false">
      <c r="A6017" s="15" t="s">
        <v>6074</v>
      </c>
      <c r="B6017" s="16" t="n">
        <v>45533</v>
      </c>
      <c r="C6017" s="15" t="s">
        <v>71</v>
      </c>
      <c r="D6017" s="15" t="s">
        <v>43</v>
      </c>
      <c r="E6017" s="15" t="s">
        <v>38</v>
      </c>
      <c r="F6017" s="15" t="s">
        <v>17</v>
      </c>
      <c r="G6017" s="15" t="s">
        <v>26</v>
      </c>
      <c r="H6017" s="15" t="n">
        <v>4</v>
      </c>
      <c r="I6017" s="17" t="n">
        <v>0.05</v>
      </c>
      <c r="J6017" s="18" t="n">
        <v>213.62</v>
      </c>
      <c r="K6017" s="19" t="n">
        <v>13.08</v>
      </c>
      <c r="L6017" s="15" t="n">
        <f aca="false">YEAR(B6017)</f>
        <v>2024</v>
      </c>
      <c r="M6017" s="20" t="n">
        <f aca="false">IF(J6017&gt;0,K6017/J6017,0)</f>
        <v>0.0612302218893362</v>
      </c>
    </row>
    <row r="6018" customFormat="false" ht="15" hidden="false" customHeight="false" outlineLevel="0" collapsed="false">
      <c r="A6018" s="15" t="s">
        <v>6075</v>
      </c>
      <c r="B6018" s="16" t="n">
        <v>45609</v>
      </c>
      <c r="C6018" s="15" t="s">
        <v>56</v>
      </c>
      <c r="D6018" s="15" t="s">
        <v>42</v>
      </c>
      <c r="E6018" s="15" t="s">
        <v>36</v>
      </c>
      <c r="F6018" s="15" t="s">
        <v>17</v>
      </c>
      <c r="G6018" s="15" t="s">
        <v>26</v>
      </c>
      <c r="H6018" s="15" t="n">
        <v>2</v>
      </c>
      <c r="I6018" s="17" t="n">
        <v>0.05</v>
      </c>
      <c r="J6018" s="18" t="n">
        <v>134.25</v>
      </c>
      <c r="K6018" s="19" t="n">
        <v>18.42</v>
      </c>
      <c r="L6018" s="15" t="n">
        <f aca="false">YEAR(B6018)</f>
        <v>2024</v>
      </c>
      <c r="M6018" s="20" t="n">
        <f aca="false">IF(J6018&gt;0,K6018/J6018,0)</f>
        <v>0.137206703910615</v>
      </c>
    </row>
    <row r="6019" customFormat="false" ht="15" hidden="false" customHeight="false" outlineLevel="0" collapsed="false">
      <c r="A6019" s="15" t="s">
        <v>6076</v>
      </c>
      <c r="B6019" s="16" t="n">
        <v>44765</v>
      </c>
      <c r="C6019" s="15" t="s">
        <v>56</v>
      </c>
      <c r="D6019" s="15" t="s">
        <v>43</v>
      </c>
      <c r="E6019" s="15" t="s">
        <v>36</v>
      </c>
      <c r="F6019" s="15" t="s">
        <v>17</v>
      </c>
      <c r="G6019" s="15" t="s">
        <v>28</v>
      </c>
      <c r="H6019" s="15" t="n">
        <v>5</v>
      </c>
      <c r="I6019" s="17" t="n">
        <v>0.3</v>
      </c>
      <c r="J6019" s="18" t="n">
        <v>75.77</v>
      </c>
      <c r="K6019" s="19" t="n">
        <v>1.33</v>
      </c>
      <c r="L6019" s="15" t="n">
        <f aca="false">YEAR(B6019)</f>
        <v>2022</v>
      </c>
      <c r="M6019" s="20" t="n">
        <f aca="false">IF(J6019&gt;0,K6019/J6019,0)</f>
        <v>0.0175531212881088</v>
      </c>
    </row>
    <row r="6020" customFormat="false" ht="15" hidden="false" customHeight="false" outlineLevel="0" collapsed="false">
      <c r="A6020" s="15" t="s">
        <v>6077</v>
      </c>
      <c r="B6020" s="16" t="n">
        <v>46022</v>
      </c>
      <c r="C6020" s="15" t="s">
        <v>56</v>
      </c>
      <c r="D6020" s="15" t="s">
        <v>42</v>
      </c>
      <c r="E6020" s="15" t="s">
        <v>36</v>
      </c>
      <c r="F6020" s="15" t="s">
        <v>16</v>
      </c>
      <c r="G6020" s="15" t="s">
        <v>25</v>
      </c>
      <c r="H6020" s="15" t="n">
        <v>5</v>
      </c>
      <c r="I6020" s="17" t="n">
        <v>0</v>
      </c>
      <c r="J6020" s="18" t="n">
        <v>1241.23</v>
      </c>
      <c r="K6020" s="19" t="n">
        <v>127.59</v>
      </c>
      <c r="L6020" s="15" t="n">
        <f aca="false">YEAR(B6020)</f>
        <v>2025</v>
      </c>
      <c r="M6020" s="20" t="n">
        <f aca="false">IF(J6020&gt;0,K6020/J6020,0)</f>
        <v>0.102793197070648</v>
      </c>
    </row>
    <row r="6021" customFormat="false" ht="15" hidden="false" customHeight="false" outlineLevel="0" collapsed="false">
      <c r="A6021" s="15" t="s">
        <v>6078</v>
      </c>
      <c r="B6021" s="16" t="n">
        <v>44704</v>
      </c>
      <c r="C6021" s="15" t="s">
        <v>56</v>
      </c>
      <c r="D6021" s="15" t="s">
        <v>43</v>
      </c>
      <c r="E6021" s="15" t="s">
        <v>36</v>
      </c>
      <c r="F6021" s="15" t="s">
        <v>18</v>
      </c>
      <c r="G6021" s="15" t="s">
        <v>32</v>
      </c>
      <c r="H6021" s="15" t="n">
        <v>3</v>
      </c>
      <c r="I6021" s="17" t="n">
        <v>0</v>
      </c>
      <c r="J6021" s="18" t="n">
        <v>1174.45</v>
      </c>
      <c r="K6021" s="19" t="n">
        <v>201.14</v>
      </c>
      <c r="L6021" s="15" t="n">
        <f aca="false">YEAR(B6021)</f>
        <v>2022</v>
      </c>
      <c r="M6021" s="20" t="n">
        <f aca="false">IF(J6021&gt;0,K6021/J6021,0)</f>
        <v>0.171263144450594</v>
      </c>
    </row>
    <row r="6022" customFormat="false" ht="15" hidden="false" customHeight="false" outlineLevel="0" collapsed="false">
      <c r="A6022" s="15" t="s">
        <v>6079</v>
      </c>
      <c r="B6022" s="16" t="n">
        <v>44621</v>
      </c>
      <c r="C6022" s="15" t="s">
        <v>68</v>
      </c>
      <c r="D6022" s="15" t="s">
        <v>44</v>
      </c>
      <c r="E6022" s="15" t="s">
        <v>39</v>
      </c>
      <c r="F6022" s="15" t="s">
        <v>18</v>
      </c>
      <c r="G6022" s="15" t="s">
        <v>32</v>
      </c>
      <c r="H6022" s="15" t="n">
        <v>3</v>
      </c>
      <c r="I6022" s="17" t="n">
        <v>0.1</v>
      </c>
      <c r="J6022" s="18" t="n">
        <v>1172.35</v>
      </c>
      <c r="K6022" s="19" t="n">
        <v>56.41</v>
      </c>
      <c r="L6022" s="15" t="n">
        <f aca="false">YEAR(B6022)</f>
        <v>2022</v>
      </c>
      <c r="M6022" s="20" t="n">
        <f aca="false">IF(J6022&gt;0,K6022/J6022,0)</f>
        <v>0.048117029897215</v>
      </c>
    </row>
    <row r="6023" customFormat="false" ht="15" hidden="false" customHeight="false" outlineLevel="0" collapsed="false">
      <c r="A6023" s="15" t="s">
        <v>6080</v>
      </c>
      <c r="B6023" s="16" t="n">
        <v>44899</v>
      </c>
      <c r="C6023" s="15" t="s">
        <v>56</v>
      </c>
      <c r="D6023" s="15" t="s">
        <v>42</v>
      </c>
      <c r="E6023" s="15" t="s">
        <v>37</v>
      </c>
      <c r="F6023" s="15" t="s">
        <v>17</v>
      </c>
      <c r="G6023" s="15" t="s">
        <v>26</v>
      </c>
      <c r="H6023" s="15" t="n">
        <v>4</v>
      </c>
      <c r="I6023" s="17" t="n">
        <v>0</v>
      </c>
      <c r="J6023" s="18" t="n">
        <v>312.19</v>
      </c>
      <c r="K6023" s="19" t="n">
        <v>37.48</v>
      </c>
      <c r="L6023" s="15" t="n">
        <f aca="false">YEAR(B6023)</f>
        <v>2022</v>
      </c>
      <c r="M6023" s="20" t="n">
        <f aca="false">IF(J6023&gt;0,K6023/J6023,0)</f>
        <v>0.120055094653897</v>
      </c>
    </row>
    <row r="6024" customFormat="false" ht="15" hidden="false" customHeight="false" outlineLevel="0" collapsed="false">
      <c r="A6024" s="15" t="s">
        <v>6081</v>
      </c>
      <c r="B6024" s="16" t="n">
        <v>44967</v>
      </c>
      <c r="C6024" s="15" t="s">
        <v>68</v>
      </c>
      <c r="D6024" s="15" t="s">
        <v>43</v>
      </c>
      <c r="E6024" s="15" t="s">
        <v>39</v>
      </c>
      <c r="F6024" s="15" t="s">
        <v>17</v>
      </c>
      <c r="G6024" s="15" t="s">
        <v>31</v>
      </c>
      <c r="H6024" s="15" t="n">
        <v>6</v>
      </c>
      <c r="I6024" s="17" t="n">
        <v>0.1</v>
      </c>
      <c r="J6024" s="18" t="n">
        <v>709.73</v>
      </c>
      <c r="K6024" s="19" t="n">
        <v>111.22</v>
      </c>
      <c r="L6024" s="15" t="n">
        <f aca="false">YEAR(B6024)</f>
        <v>2023</v>
      </c>
      <c r="M6024" s="20" t="n">
        <f aca="false">IF(J6024&gt;0,K6024/J6024,0)</f>
        <v>0.156707480309413</v>
      </c>
    </row>
    <row r="6025" customFormat="false" ht="15" hidden="false" customHeight="false" outlineLevel="0" collapsed="false">
      <c r="A6025" s="15" t="s">
        <v>6082</v>
      </c>
      <c r="B6025" s="16" t="n">
        <v>45195</v>
      </c>
      <c r="C6025" s="15" t="s">
        <v>68</v>
      </c>
      <c r="D6025" s="15" t="s">
        <v>43</v>
      </c>
      <c r="E6025" s="15" t="s">
        <v>37</v>
      </c>
      <c r="F6025" s="15" t="s">
        <v>18</v>
      </c>
      <c r="G6025" s="15" t="s">
        <v>32</v>
      </c>
      <c r="H6025" s="15" t="n">
        <v>3</v>
      </c>
      <c r="I6025" s="17" t="n">
        <v>0</v>
      </c>
      <c r="J6025" s="18" t="n">
        <v>1240.22</v>
      </c>
      <c r="K6025" s="19" t="n">
        <v>215.1</v>
      </c>
      <c r="L6025" s="15" t="n">
        <f aca="false">YEAR(B6025)</f>
        <v>2023</v>
      </c>
      <c r="M6025" s="20" t="n">
        <f aca="false">IF(J6025&gt;0,K6025/J6025,0)</f>
        <v>0.173436970860009</v>
      </c>
    </row>
    <row r="6026" customFormat="false" ht="15" hidden="false" customHeight="false" outlineLevel="0" collapsed="false">
      <c r="A6026" s="15" t="s">
        <v>6083</v>
      </c>
      <c r="B6026" s="16" t="n">
        <v>45627</v>
      </c>
      <c r="C6026" s="15" t="s">
        <v>68</v>
      </c>
      <c r="D6026" s="15" t="s">
        <v>43</v>
      </c>
      <c r="E6026" s="15" t="s">
        <v>36</v>
      </c>
      <c r="F6026" s="15" t="s">
        <v>17</v>
      </c>
      <c r="G6026" s="15" t="s">
        <v>28</v>
      </c>
      <c r="H6026" s="15" t="n">
        <v>4</v>
      </c>
      <c r="I6026" s="17" t="n">
        <v>0.15</v>
      </c>
      <c r="J6026" s="18" t="n">
        <v>93.51</v>
      </c>
      <c r="K6026" s="19" t="n">
        <v>12.97</v>
      </c>
      <c r="L6026" s="15" t="n">
        <f aca="false">YEAR(B6026)</f>
        <v>2024</v>
      </c>
      <c r="M6026" s="20" t="n">
        <f aca="false">IF(J6026&gt;0,K6026/J6026,0)</f>
        <v>0.138701743129077</v>
      </c>
    </row>
    <row r="6027" customFormat="false" ht="15" hidden="false" customHeight="false" outlineLevel="0" collapsed="false">
      <c r="A6027" s="15" t="s">
        <v>6084</v>
      </c>
      <c r="B6027" s="16" t="n">
        <v>44780</v>
      </c>
      <c r="C6027" s="15" t="s">
        <v>56</v>
      </c>
      <c r="D6027" s="15" t="s">
        <v>42</v>
      </c>
      <c r="E6027" s="15" t="s">
        <v>38</v>
      </c>
      <c r="F6027" s="15" t="s">
        <v>17</v>
      </c>
      <c r="G6027" s="15" t="s">
        <v>29</v>
      </c>
      <c r="H6027" s="15" t="n">
        <v>3</v>
      </c>
      <c r="I6027" s="17" t="n">
        <v>0.3</v>
      </c>
      <c r="J6027" s="18" t="n">
        <v>33.42</v>
      </c>
      <c r="K6027" s="19" t="n">
        <v>4.81</v>
      </c>
      <c r="L6027" s="15" t="n">
        <f aca="false">YEAR(B6027)</f>
        <v>2022</v>
      </c>
      <c r="M6027" s="20" t="n">
        <f aca="false">IF(J6027&gt;0,K6027/J6027,0)</f>
        <v>0.14392579293836</v>
      </c>
    </row>
    <row r="6028" customFormat="false" ht="15" hidden="false" customHeight="false" outlineLevel="0" collapsed="false">
      <c r="A6028" s="15" t="s">
        <v>6085</v>
      </c>
      <c r="B6028" s="16" t="n">
        <v>44715</v>
      </c>
      <c r="C6028" s="15" t="s">
        <v>56</v>
      </c>
      <c r="D6028" s="15" t="s">
        <v>42</v>
      </c>
      <c r="E6028" s="15" t="s">
        <v>36</v>
      </c>
      <c r="F6028" s="15" t="s">
        <v>17</v>
      </c>
      <c r="G6028" s="15" t="s">
        <v>31</v>
      </c>
      <c r="H6028" s="15" t="n">
        <v>4</v>
      </c>
      <c r="I6028" s="17" t="n">
        <v>0.3</v>
      </c>
      <c r="J6028" s="18" t="n">
        <v>377.42</v>
      </c>
      <c r="K6028" s="19" t="n">
        <v>-13.72</v>
      </c>
      <c r="L6028" s="15" t="n">
        <f aca="false">YEAR(B6028)</f>
        <v>2022</v>
      </c>
      <c r="M6028" s="20" t="n">
        <f aca="false">IF(J6028&gt;0,K6028/J6028,0)</f>
        <v>-0.0363520746118383</v>
      </c>
    </row>
    <row r="6029" customFormat="false" ht="15" hidden="false" customHeight="false" outlineLevel="0" collapsed="false">
      <c r="A6029" s="15" t="s">
        <v>6086</v>
      </c>
      <c r="B6029" s="16" t="n">
        <v>45771</v>
      </c>
      <c r="C6029" s="15" t="s">
        <v>71</v>
      </c>
      <c r="D6029" s="15" t="s">
        <v>42</v>
      </c>
      <c r="E6029" s="15" t="s">
        <v>37</v>
      </c>
      <c r="F6029" s="15" t="s">
        <v>17</v>
      </c>
      <c r="G6029" s="15" t="s">
        <v>29</v>
      </c>
      <c r="H6029" s="15" t="n">
        <v>1</v>
      </c>
      <c r="I6029" s="17" t="n">
        <v>0.3</v>
      </c>
      <c r="J6029" s="18" t="n">
        <v>13.03</v>
      </c>
      <c r="K6029" s="19" t="n">
        <v>1.49</v>
      </c>
      <c r="L6029" s="15" t="n">
        <f aca="false">YEAR(B6029)</f>
        <v>2025</v>
      </c>
      <c r="M6029" s="20" t="n">
        <f aca="false">IF(J6029&gt;0,K6029/J6029,0)</f>
        <v>0.114351496546431</v>
      </c>
    </row>
    <row r="6030" customFormat="false" ht="15" hidden="false" customHeight="false" outlineLevel="0" collapsed="false">
      <c r="A6030" s="15" t="s">
        <v>6087</v>
      </c>
      <c r="B6030" s="16" t="n">
        <v>45654</v>
      </c>
      <c r="C6030" s="15" t="s">
        <v>71</v>
      </c>
      <c r="D6030" s="15" t="s">
        <v>42</v>
      </c>
      <c r="E6030" s="15" t="s">
        <v>37</v>
      </c>
      <c r="F6030" s="15" t="s">
        <v>17</v>
      </c>
      <c r="G6030" s="15" t="s">
        <v>31</v>
      </c>
      <c r="H6030" s="15" t="n">
        <v>3</v>
      </c>
      <c r="I6030" s="17" t="n">
        <v>0</v>
      </c>
      <c r="J6030" s="18" t="n">
        <v>440.24</v>
      </c>
      <c r="K6030" s="19" t="n">
        <v>113.76</v>
      </c>
      <c r="L6030" s="15" t="n">
        <f aca="false">YEAR(B6030)</f>
        <v>2024</v>
      </c>
      <c r="M6030" s="20" t="n">
        <f aca="false">IF(J6030&gt;0,K6030/J6030,0)</f>
        <v>0.258404506632746</v>
      </c>
    </row>
    <row r="6031" customFormat="false" ht="15" hidden="false" customHeight="false" outlineLevel="0" collapsed="false">
      <c r="A6031" s="15" t="s">
        <v>6088</v>
      </c>
      <c r="B6031" s="16" t="n">
        <v>44958</v>
      </c>
      <c r="C6031" s="15" t="s">
        <v>56</v>
      </c>
      <c r="D6031" s="15" t="s">
        <v>42</v>
      </c>
      <c r="E6031" s="15" t="s">
        <v>39</v>
      </c>
      <c r="F6031" s="15" t="s">
        <v>17</v>
      </c>
      <c r="G6031" s="15" t="s">
        <v>28</v>
      </c>
      <c r="H6031" s="15" t="n">
        <v>7</v>
      </c>
      <c r="I6031" s="17" t="n">
        <v>0.1</v>
      </c>
      <c r="J6031" s="18" t="n">
        <v>180.38</v>
      </c>
      <c r="K6031" s="19" t="n">
        <v>29.28</v>
      </c>
      <c r="L6031" s="15" t="n">
        <f aca="false">YEAR(B6031)</f>
        <v>2023</v>
      </c>
      <c r="M6031" s="20" t="n">
        <f aca="false">IF(J6031&gt;0,K6031/J6031,0)</f>
        <v>0.162323982703182</v>
      </c>
    </row>
    <row r="6032" customFormat="false" ht="15" hidden="false" customHeight="false" outlineLevel="0" collapsed="false">
      <c r="A6032" s="15" t="s">
        <v>6089</v>
      </c>
      <c r="B6032" s="16" t="n">
        <v>44610</v>
      </c>
      <c r="C6032" s="15" t="s">
        <v>68</v>
      </c>
      <c r="D6032" s="15" t="s">
        <v>42</v>
      </c>
      <c r="E6032" s="15" t="s">
        <v>38</v>
      </c>
      <c r="F6032" s="15" t="s">
        <v>17</v>
      </c>
      <c r="G6032" s="15" t="s">
        <v>29</v>
      </c>
      <c r="H6032" s="15" t="n">
        <v>4</v>
      </c>
      <c r="I6032" s="17" t="n">
        <v>0.05</v>
      </c>
      <c r="J6032" s="18" t="n">
        <v>69.01</v>
      </c>
      <c r="K6032" s="19" t="n">
        <v>20.78</v>
      </c>
      <c r="L6032" s="15" t="n">
        <f aca="false">YEAR(B6032)</f>
        <v>2022</v>
      </c>
      <c r="M6032" s="20" t="n">
        <f aca="false">IF(J6032&gt;0,K6032/J6032,0)</f>
        <v>0.301115780321693</v>
      </c>
    </row>
    <row r="6033" customFormat="false" ht="15" hidden="false" customHeight="false" outlineLevel="0" collapsed="false">
      <c r="A6033" s="15" t="s">
        <v>6090</v>
      </c>
      <c r="B6033" s="16" t="n">
        <v>45477</v>
      </c>
      <c r="C6033" s="15" t="s">
        <v>68</v>
      </c>
      <c r="D6033" s="15" t="s">
        <v>42</v>
      </c>
      <c r="E6033" s="15" t="s">
        <v>37</v>
      </c>
      <c r="F6033" s="15" t="s">
        <v>16</v>
      </c>
      <c r="G6033" s="15" t="s">
        <v>25</v>
      </c>
      <c r="H6033" s="15" t="n">
        <v>2</v>
      </c>
      <c r="I6033" s="17" t="n">
        <v>0.1</v>
      </c>
      <c r="J6033" s="18" t="n">
        <v>523.63</v>
      </c>
      <c r="K6033" s="19" t="n">
        <v>-41.79</v>
      </c>
      <c r="L6033" s="15" t="n">
        <f aca="false">YEAR(B6033)</f>
        <v>2024</v>
      </c>
      <c r="M6033" s="20" t="n">
        <f aca="false">IF(J6033&gt;0,K6033/J6033,0)</f>
        <v>-0.0798082615587342</v>
      </c>
    </row>
    <row r="6034" customFormat="false" ht="15" hidden="false" customHeight="false" outlineLevel="0" collapsed="false">
      <c r="A6034" s="15" t="s">
        <v>6091</v>
      </c>
      <c r="B6034" s="16" t="n">
        <v>45728</v>
      </c>
      <c r="C6034" s="15" t="s">
        <v>56</v>
      </c>
      <c r="D6034" s="15" t="s">
        <v>43</v>
      </c>
      <c r="E6034" s="15" t="s">
        <v>36</v>
      </c>
      <c r="F6034" s="15" t="s">
        <v>17</v>
      </c>
      <c r="G6034" s="15" t="s">
        <v>28</v>
      </c>
      <c r="H6034" s="15" t="n">
        <v>4</v>
      </c>
      <c r="I6034" s="17" t="n">
        <v>0</v>
      </c>
      <c r="J6034" s="18" t="n">
        <v>81.29</v>
      </c>
      <c r="K6034" s="19" t="n">
        <v>25.76</v>
      </c>
      <c r="L6034" s="15" t="n">
        <f aca="false">YEAR(B6034)</f>
        <v>2025</v>
      </c>
      <c r="M6034" s="20" t="n">
        <f aca="false">IF(J6034&gt;0,K6034/J6034,0)</f>
        <v>0.31689014638947</v>
      </c>
    </row>
    <row r="6035" customFormat="false" ht="15" hidden="false" customHeight="false" outlineLevel="0" collapsed="false">
      <c r="A6035" s="15" t="s">
        <v>6092</v>
      </c>
      <c r="B6035" s="16" t="n">
        <v>45978</v>
      </c>
      <c r="C6035" s="15" t="s">
        <v>68</v>
      </c>
      <c r="D6035" s="15" t="s">
        <v>43</v>
      </c>
      <c r="E6035" s="15" t="s">
        <v>36</v>
      </c>
      <c r="F6035" s="15" t="s">
        <v>17</v>
      </c>
      <c r="G6035" s="15" t="s">
        <v>31</v>
      </c>
      <c r="H6035" s="15" t="n">
        <v>2</v>
      </c>
      <c r="I6035" s="17" t="n">
        <v>0.1</v>
      </c>
      <c r="J6035" s="18" t="n">
        <v>304.02</v>
      </c>
      <c r="K6035" s="19" t="n">
        <v>17.1</v>
      </c>
      <c r="L6035" s="15" t="n">
        <f aca="false">YEAR(B6035)</f>
        <v>2025</v>
      </c>
      <c r="M6035" s="20" t="n">
        <f aca="false">IF(J6035&gt;0,K6035/J6035,0)</f>
        <v>0.0562462995855536</v>
      </c>
    </row>
    <row r="6036" customFormat="false" ht="15" hidden="false" customHeight="false" outlineLevel="0" collapsed="false">
      <c r="A6036" s="15" t="s">
        <v>6093</v>
      </c>
      <c r="B6036" s="16" t="n">
        <v>45727</v>
      </c>
      <c r="C6036" s="15" t="s">
        <v>56</v>
      </c>
      <c r="D6036" s="15" t="s">
        <v>42</v>
      </c>
      <c r="E6036" s="15" t="s">
        <v>39</v>
      </c>
      <c r="F6036" s="15" t="s">
        <v>17</v>
      </c>
      <c r="G6036" s="15" t="s">
        <v>28</v>
      </c>
      <c r="H6036" s="15" t="n">
        <v>3</v>
      </c>
      <c r="I6036" s="17" t="n">
        <v>0.05</v>
      </c>
      <c r="J6036" s="18" t="n">
        <v>81.38</v>
      </c>
      <c r="K6036" s="19" t="n">
        <v>28.9</v>
      </c>
      <c r="L6036" s="15" t="n">
        <f aca="false">YEAR(B6036)</f>
        <v>2025</v>
      </c>
      <c r="M6036" s="20" t="n">
        <f aca="false">IF(J6036&gt;0,K6036/J6036,0)</f>
        <v>0.355124109117719</v>
      </c>
    </row>
    <row r="6037" customFormat="false" ht="15" hidden="false" customHeight="false" outlineLevel="0" collapsed="false">
      <c r="A6037" s="15" t="s">
        <v>6094</v>
      </c>
      <c r="B6037" s="16" t="n">
        <v>45429</v>
      </c>
      <c r="C6037" s="15" t="s">
        <v>56</v>
      </c>
      <c r="D6037" s="15" t="s">
        <v>42</v>
      </c>
      <c r="E6037" s="15" t="s">
        <v>37</v>
      </c>
      <c r="F6037" s="15" t="s">
        <v>16</v>
      </c>
      <c r="G6037" s="15" t="s">
        <v>27</v>
      </c>
      <c r="H6037" s="15" t="n">
        <v>1</v>
      </c>
      <c r="I6037" s="17" t="n">
        <v>0.4</v>
      </c>
      <c r="J6037" s="18" t="n">
        <v>40.24</v>
      </c>
      <c r="K6037" s="19" t="n">
        <v>-5.8</v>
      </c>
      <c r="L6037" s="15" t="n">
        <f aca="false">YEAR(B6037)</f>
        <v>2024</v>
      </c>
      <c r="M6037" s="20" t="n">
        <f aca="false">IF(J6037&gt;0,K6037/J6037,0)</f>
        <v>-0.144135188866799</v>
      </c>
    </row>
    <row r="6038" customFormat="false" ht="15" hidden="false" customHeight="false" outlineLevel="0" collapsed="false">
      <c r="A6038" s="15" t="s">
        <v>6095</v>
      </c>
      <c r="B6038" s="16" t="n">
        <v>44774</v>
      </c>
      <c r="C6038" s="15" t="s">
        <v>56</v>
      </c>
      <c r="D6038" s="15" t="s">
        <v>43</v>
      </c>
      <c r="E6038" s="15" t="s">
        <v>37</v>
      </c>
      <c r="F6038" s="15" t="s">
        <v>16</v>
      </c>
      <c r="G6038" s="15" t="s">
        <v>23</v>
      </c>
      <c r="H6038" s="15" t="n">
        <v>6</v>
      </c>
      <c r="I6038" s="17" t="n">
        <v>0</v>
      </c>
      <c r="J6038" s="18" t="n">
        <v>2336.16</v>
      </c>
      <c r="K6038" s="19" t="n">
        <v>-167.96</v>
      </c>
      <c r="L6038" s="15" t="n">
        <f aca="false">YEAR(B6038)</f>
        <v>2022</v>
      </c>
      <c r="M6038" s="20" t="n">
        <f aca="false">IF(J6038&gt;0,K6038/J6038,0)</f>
        <v>-0.0718957605643449</v>
      </c>
    </row>
    <row r="6039" customFormat="false" ht="15" hidden="false" customHeight="false" outlineLevel="0" collapsed="false">
      <c r="A6039" s="15" t="s">
        <v>6096</v>
      </c>
      <c r="B6039" s="16" t="n">
        <v>44871</v>
      </c>
      <c r="C6039" s="15" t="s">
        <v>56</v>
      </c>
      <c r="D6039" s="15" t="s">
        <v>43</v>
      </c>
      <c r="E6039" s="15" t="s">
        <v>38</v>
      </c>
      <c r="F6039" s="15" t="s">
        <v>17</v>
      </c>
      <c r="G6039" s="15" t="s">
        <v>29</v>
      </c>
      <c r="H6039" s="15" t="n">
        <v>3</v>
      </c>
      <c r="I6039" s="17" t="n">
        <v>0.1</v>
      </c>
      <c r="J6039" s="18" t="n">
        <v>41.12</v>
      </c>
      <c r="K6039" s="19" t="n">
        <v>12.72</v>
      </c>
      <c r="L6039" s="15" t="n">
        <f aca="false">YEAR(B6039)</f>
        <v>2022</v>
      </c>
      <c r="M6039" s="20" t="n">
        <f aca="false">IF(J6039&gt;0,K6039/J6039,0)</f>
        <v>0.309338521400778</v>
      </c>
    </row>
    <row r="6040" customFormat="false" ht="15" hidden="false" customHeight="false" outlineLevel="0" collapsed="false">
      <c r="A6040" s="15" t="s">
        <v>6097</v>
      </c>
      <c r="B6040" s="16" t="n">
        <v>45416</v>
      </c>
      <c r="C6040" s="15" t="s">
        <v>68</v>
      </c>
      <c r="D6040" s="15" t="s">
        <v>42</v>
      </c>
      <c r="E6040" s="15" t="s">
        <v>38</v>
      </c>
      <c r="F6040" s="15" t="s">
        <v>18</v>
      </c>
      <c r="G6040" s="15" t="s">
        <v>30</v>
      </c>
      <c r="H6040" s="15" t="n">
        <v>3</v>
      </c>
      <c r="I6040" s="17" t="n">
        <v>0.15</v>
      </c>
      <c r="J6040" s="18" t="n">
        <v>134.58</v>
      </c>
      <c r="K6040" s="19" t="n">
        <v>26.27</v>
      </c>
      <c r="L6040" s="15" t="n">
        <f aca="false">YEAR(B6040)</f>
        <v>2024</v>
      </c>
      <c r="M6040" s="20" t="n">
        <f aca="false">IF(J6040&gt;0,K6040/J6040,0)</f>
        <v>0.195199881111606</v>
      </c>
    </row>
    <row r="6041" customFormat="false" ht="15" hidden="false" customHeight="false" outlineLevel="0" collapsed="false">
      <c r="A6041" s="15" t="s">
        <v>6098</v>
      </c>
      <c r="B6041" s="16" t="n">
        <v>45488</v>
      </c>
      <c r="C6041" s="15" t="s">
        <v>71</v>
      </c>
      <c r="D6041" s="15" t="s">
        <v>42</v>
      </c>
      <c r="E6041" s="15" t="s">
        <v>37</v>
      </c>
      <c r="F6041" s="15" t="s">
        <v>17</v>
      </c>
      <c r="G6041" s="15" t="s">
        <v>28</v>
      </c>
      <c r="H6041" s="15" t="n">
        <v>2</v>
      </c>
      <c r="I6041" s="17" t="n">
        <v>0.15</v>
      </c>
      <c r="J6041" s="18" t="n">
        <v>38.68</v>
      </c>
      <c r="K6041" s="19" t="n">
        <v>7.84</v>
      </c>
      <c r="L6041" s="15" t="n">
        <f aca="false">YEAR(B6041)</f>
        <v>2024</v>
      </c>
      <c r="M6041" s="20" t="n">
        <f aca="false">IF(J6041&gt;0,K6041/J6041,0)</f>
        <v>0.202688728024819</v>
      </c>
    </row>
    <row r="6042" customFormat="false" ht="15" hidden="false" customHeight="false" outlineLevel="0" collapsed="false">
      <c r="A6042" s="15" t="s">
        <v>6099</v>
      </c>
      <c r="B6042" s="16" t="n">
        <v>45593</v>
      </c>
      <c r="C6042" s="15" t="s">
        <v>68</v>
      </c>
      <c r="D6042" s="15" t="s">
        <v>44</v>
      </c>
      <c r="E6042" s="15" t="s">
        <v>38</v>
      </c>
      <c r="F6042" s="15" t="s">
        <v>17</v>
      </c>
      <c r="G6042" s="15" t="s">
        <v>26</v>
      </c>
      <c r="H6042" s="15" t="n">
        <v>2</v>
      </c>
      <c r="I6042" s="17" t="n">
        <v>0</v>
      </c>
      <c r="J6042" s="18" t="n">
        <v>151.64</v>
      </c>
      <c r="K6042" s="19" t="n">
        <v>20.94</v>
      </c>
      <c r="L6042" s="15" t="n">
        <f aca="false">YEAR(B6042)</f>
        <v>2024</v>
      </c>
      <c r="M6042" s="20" t="n">
        <f aca="false">IF(J6042&gt;0,K6042/J6042,0)</f>
        <v>0.138090213663941</v>
      </c>
    </row>
    <row r="6043" customFormat="false" ht="15" hidden="false" customHeight="false" outlineLevel="0" collapsed="false">
      <c r="A6043" s="15" t="s">
        <v>6100</v>
      </c>
      <c r="B6043" s="16" t="n">
        <v>45946</v>
      </c>
      <c r="C6043" s="15" t="s">
        <v>71</v>
      </c>
      <c r="D6043" s="15" t="s">
        <v>42</v>
      </c>
      <c r="E6043" s="15" t="s">
        <v>37</v>
      </c>
      <c r="F6043" s="15" t="s">
        <v>18</v>
      </c>
      <c r="G6043" s="15" t="s">
        <v>33</v>
      </c>
      <c r="H6043" s="15" t="n">
        <v>3</v>
      </c>
      <c r="I6043" s="17" t="n">
        <v>0.15</v>
      </c>
      <c r="J6043" s="18" t="n">
        <v>2497.05</v>
      </c>
      <c r="K6043" s="19" t="n">
        <v>265.8</v>
      </c>
      <c r="L6043" s="15" t="n">
        <f aca="false">YEAR(B6043)</f>
        <v>2025</v>
      </c>
      <c r="M6043" s="20" t="n">
        <f aca="false">IF(J6043&gt;0,K6043/J6043,0)</f>
        <v>0.106445605814862</v>
      </c>
    </row>
    <row r="6044" customFormat="false" ht="15" hidden="false" customHeight="false" outlineLevel="0" collapsed="false">
      <c r="A6044" s="15" t="s">
        <v>6101</v>
      </c>
      <c r="B6044" s="16" t="n">
        <v>45635</v>
      </c>
      <c r="C6044" s="15" t="s">
        <v>56</v>
      </c>
      <c r="D6044" s="15" t="s">
        <v>43</v>
      </c>
      <c r="E6044" s="15" t="s">
        <v>36</v>
      </c>
      <c r="F6044" s="15" t="s">
        <v>18</v>
      </c>
      <c r="G6044" s="15" t="s">
        <v>32</v>
      </c>
      <c r="H6044" s="15" t="n">
        <v>3</v>
      </c>
      <c r="I6044" s="17" t="n">
        <v>0</v>
      </c>
      <c r="J6044" s="18" t="n">
        <v>1352.31</v>
      </c>
      <c r="K6044" s="19" t="n">
        <v>197.29</v>
      </c>
      <c r="L6044" s="15" t="n">
        <f aca="false">YEAR(B6044)</f>
        <v>2024</v>
      </c>
      <c r="M6044" s="20" t="n">
        <f aca="false">IF(J6044&gt;0,K6044/J6044,0)</f>
        <v>0.145891104850219</v>
      </c>
    </row>
    <row r="6045" customFormat="false" ht="15" hidden="false" customHeight="false" outlineLevel="0" collapsed="false">
      <c r="A6045" s="15" t="s">
        <v>6102</v>
      </c>
      <c r="B6045" s="16" t="n">
        <v>45684</v>
      </c>
      <c r="C6045" s="15" t="s">
        <v>56</v>
      </c>
      <c r="D6045" s="15" t="s">
        <v>43</v>
      </c>
      <c r="E6045" s="15" t="s">
        <v>36</v>
      </c>
      <c r="F6045" s="15" t="s">
        <v>17</v>
      </c>
      <c r="G6045" s="15" t="s">
        <v>28</v>
      </c>
      <c r="H6045" s="15" t="n">
        <v>1</v>
      </c>
      <c r="I6045" s="17" t="n">
        <v>0</v>
      </c>
      <c r="J6045" s="18" t="n">
        <v>25.74</v>
      </c>
      <c r="K6045" s="19" t="n">
        <v>7.27</v>
      </c>
      <c r="L6045" s="15" t="n">
        <f aca="false">YEAR(B6045)</f>
        <v>2025</v>
      </c>
      <c r="M6045" s="20" t="n">
        <f aca="false">IF(J6045&gt;0,K6045/J6045,0)</f>
        <v>0.282439782439782</v>
      </c>
    </row>
    <row r="6046" customFormat="false" ht="15" hidden="false" customHeight="false" outlineLevel="0" collapsed="false">
      <c r="A6046" s="15" t="s">
        <v>6103</v>
      </c>
      <c r="B6046" s="16" t="n">
        <v>45647</v>
      </c>
      <c r="C6046" s="15" t="s">
        <v>58</v>
      </c>
      <c r="D6046" s="15" t="s">
        <v>43</v>
      </c>
      <c r="E6046" s="15" t="s">
        <v>37</v>
      </c>
      <c r="F6046" s="15" t="s">
        <v>17</v>
      </c>
      <c r="G6046" s="15" t="s">
        <v>29</v>
      </c>
      <c r="H6046" s="15" t="n">
        <v>4</v>
      </c>
      <c r="I6046" s="17" t="n">
        <v>0</v>
      </c>
      <c r="J6046" s="18" t="n">
        <v>72.5</v>
      </c>
      <c r="K6046" s="19" t="n">
        <v>33.31</v>
      </c>
      <c r="L6046" s="15" t="n">
        <f aca="false">YEAR(B6046)</f>
        <v>2024</v>
      </c>
      <c r="M6046" s="20" t="n">
        <f aca="false">IF(J6046&gt;0,K6046/J6046,0)</f>
        <v>0.459448275862069</v>
      </c>
    </row>
    <row r="6047" customFormat="false" ht="15" hidden="false" customHeight="false" outlineLevel="0" collapsed="false">
      <c r="A6047" s="15" t="s">
        <v>6104</v>
      </c>
      <c r="B6047" s="16" t="n">
        <v>45977</v>
      </c>
      <c r="C6047" s="15" t="s">
        <v>56</v>
      </c>
      <c r="D6047" s="15" t="s">
        <v>44</v>
      </c>
      <c r="E6047" s="15" t="s">
        <v>36</v>
      </c>
      <c r="F6047" s="15" t="s">
        <v>17</v>
      </c>
      <c r="G6047" s="15" t="s">
        <v>29</v>
      </c>
      <c r="H6047" s="15" t="n">
        <v>3</v>
      </c>
      <c r="I6047" s="17" t="n">
        <v>0.2</v>
      </c>
      <c r="J6047" s="18" t="n">
        <v>48.48</v>
      </c>
      <c r="K6047" s="19" t="n">
        <v>5.12</v>
      </c>
      <c r="L6047" s="15" t="n">
        <f aca="false">YEAR(B6047)</f>
        <v>2025</v>
      </c>
      <c r="M6047" s="20" t="n">
        <f aca="false">IF(J6047&gt;0,K6047/J6047,0)</f>
        <v>0.105610561056106</v>
      </c>
    </row>
    <row r="6048" customFormat="false" ht="15" hidden="false" customHeight="false" outlineLevel="0" collapsed="false">
      <c r="A6048" s="15" t="s">
        <v>6105</v>
      </c>
      <c r="B6048" s="16" t="n">
        <v>45131</v>
      </c>
      <c r="C6048" s="15" t="s">
        <v>71</v>
      </c>
      <c r="D6048" s="15" t="s">
        <v>44</v>
      </c>
      <c r="E6048" s="15" t="s">
        <v>39</v>
      </c>
      <c r="F6048" s="15" t="s">
        <v>18</v>
      </c>
      <c r="G6048" s="15" t="s">
        <v>24</v>
      </c>
      <c r="H6048" s="15" t="n">
        <v>4</v>
      </c>
      <c r="I6048" s="17" t="n">
        <v>0</v>
      </c>
      <c r="J6048" s="18" t="n">
        <v>2699.73</v>
      </c>
      <c r="K6048" s="19" t="n">
        <v>101.32</v>
      </c>
      <c r="L6048" s="15" t="n">
        <f aca="false">YEAR(B6048)</f>
        <v>2023</v>
      </c>
      <c r="M6048" s="20" t="n">
        <f aca="false">IF(J6048&gt;0,K6048/J6048,0)</f>
        <v>0.0375296788938153</v>
      </c>
    </row>
    <row r="6049" customFormat="false" ht="15" hidden="false" customHeight="false" outlineLevel="0" collapsed="false">
      <c r="A6049" s="15" t="s">
        <v>6106</v>
      </c>
      <c r="B6049" s="16" t="n">
        <v>44929</v>
      </c>
      <c r="C6049" s="15" t="s">
        <v>68</v>
      </c>
      <c r="D6049" s="15" t="s">
        <v>42</v>
      </c>
      <c r="E6049" s="15" t="s">
        <v>37</v>
      </c>
      <c r="F6049" s="15" t="s">
        <v>17</v>
      </c>
      <c r="G6049" s="15" t="s">
        <v>29</v>
      </c>
      <c r="H6049" s="15" t="n">
        <v>2</v>
      </c>
      <c r="I6049" s="17" t="n">
        <v>0.2</v>
      </c>
      <c r="J6049" s="18" t="n">
        <v>35.04</v>
      </c>
      <c r="K6049" s="19" t="n">
        <v>7.55</v>
      </c>
      <c r="L6049" s="15" t="n">
        <f aca="false">YEAR(B6049)</f>
        <v>2023</v>
      </c>
      <c r="M6049" s="20" t="n">
        <f aca="false">IF(J6049&gt;0,K6049/J6049,0)</f>
        <v>0.21546803652968</v>
      </c>
    </row>
    <row r="6050" customFormat="false" ht="15" hidden="false" customHeight="false" outlineLevel="0" collapsed="false">
      <c r="A6050" s="15" t="s">
        <v>6107</v>
      </c>
      <c r="B6050" s="16" t="n">
        <v>45091</v>
      </c>
      <c r="C6050" s="15" t="s">
        <v>71</v>
      </c>
      <c r="D6050" s="15" t="s">
        <v>43</v>
      </c>
      <c r="E6050" s="15" t="s">
        <v>36</v>
      </c>
      <c r="F6050" s="15" t="s">
        <v>17</v>
      </c>
      <c r="G6050" s="15" t="s">
        <v>31</v>
      </c>
      <c r="H6050" s="15" t="n">
        <v>3</v>
      </c>
      <c r="I6050" s="17" t="n">
        <v>0.1</v>
      </c>
      <c r="J6050" s="18" t="n">
        <v>314.7</v>
      </c>
      <c r="K6050" s="19" t="n">
        <v>15.13</v>
      </c>
      <c r="L6050" s="15" t="n">
        <f aca="false">YEAR(B6050)</f>
        <v>2023</v>
      </c>
      <c r="M6050" s="20" t="n">
        <f aca="false">IF(J6050&gt;0,K6050/J6050,0)</f>
        <v>0.048077534159517</v>
      </c>
    </row>
    <row r="6051" customFormat="false" ht="15" hidden="false" customHeight="false" outlineLevel="0" collapsed="false">
      <c r="A6051" s="15" t="s">
        <v>6108</v>
      </c>
      <c r="B6051" s="16" t="n">
        <v>45216</v>
      </c>
      <c r="C6051" s="15" t="s">
        <v>56</v>
      </c>
      <c r="D6051" s="15" t="s">
        <v>44</v>
      </c>
      <c r="E6051" s="15" t="s">
        <v>37</v>
      </c>
      <c r="F6051" s="15" t="s">
        <v>17</v>
      </c>
      <c r="G6051" s="15" t="s">
        <v>28</v>
      </c>
      <c r="H6051" s="15" t="n">
        <v>5</v>
      </c>
      <c r="I6051" s="17" t="n">
        <v>0</v>
      </c>
      <c r="J6051" s="18" t="n">
        <v>114.13</v>
      </c>
      <c r="K6051" s="19" t="n">
        <v>40.7</v>
      </c>
      <c r="L6051" s="15" t="n">
        <f aca="false">YEAR(B6051)</f>
        <v>2023</v>
      </c>
      <c r="M6051" s="20" t="n">
        <f aca="false">IF(J6051&gt;0,K6051/J6051,0)</f>
        <v>0.356610882327171</v>
      </c>
    </row>
    <row r="6052" customFormat="false" ht="15" hidden="false" customHeight="false" outlineLevel="0" collapsed="false">
      <c r="A6052" s="15" t="s">
        <v>6109</v>
      </c>
      <c r="B6052" s="16" t="n">
        <v>45988</v>
      </c>
      <c r="C6052" s="15" t="s">
        <v>56</v>
      </c>
      <c r="D6052" s="15" t="s">
        <v>42</v>
      </c>
      <c r="E6052" s="15" t="s">
        <v>36</v>
      </c>
      <c r="F6052" s="15" t="s">
        <v>18</v>
      </c>
      <c r="G6052" s="15" t="s">
        <v>30</v>
      </c>
      <c r="H6052" s="15" t="n">
        <v>6</v>
      </c>
      <c r="I6052" s="17" t="n">
        <v>0.2</v>
      </c>
      <c r="J6052" s="18" t="n">
        <v>193.55</v>
      </c>
      <c r="K6052" s="19" t="n">
        <v>27.97</v>
      </c>
      <c r="L6052" s="15" t="n">
        <f aca="false">YEAR(B6052)</f>
        <v>2025</v>
      </c>
      <c r="M6052" s="20" t="n">
        <f aca="false">IF(J6052&gt;0,K6052/J6052,0)</f>
        <v>0.144510462412813</v>
      </c>
    </row>
    <row r="6053" customFormat="false" ht="15" hidden="false" customHeight="false" outlineLevel="0" collapsed="false">
      <c r="A6053" s="15" t="s">
        <v>6110</v>
      </c>
      <c r="B6053" s="16" t="n">
        <v>46007</v>
      </c>
      <c r="C6053" s="15" t="s">
        <v>56</v>
      </c>
      <c r="D6053" s="15" t="s">
        <v>42</v>
      </c>
      <c r="E6053" s="15" t="s">
        <v>37</v>
      </c>
      <c r="F6053" s="15" t="s">
        <v>17</v>
      </c>
      <c r="G6053" s="15" t="s">
        <v>29</v>
      </c>
      <c r="H6053" s="15" t="n">
        <v>1</v>
      </c>
      <c r="I6053" s="17" t="n">
        <v>0.15</v>
      </c>
      <c r="J6053" s="18" t="n">
        <v>16.08</v>
      </c>
      <c r="K6053" s="19" t="n">
        <v>4.81</v>
      </c>
      <c r="L6053" s="15" t="n">
        <f aca="false">YEAR(B6053)</f>
        <v>2025</v>
      </c>
      <c r="M6053" s="20" t="n">
        <f aca="false">IF(J6053&gt;0,K6053/J6053,0)</f>
        <v>0.299129353233831</v>
      </c>
    </row>
    <row r="6054" customFormat="false" ht="15" hidden="false" customHeight="false" outlineLevel="0" collapsed="false">
      <c r="A6054" s="15" t="s">
        <v>6111</v>
      </c>
      <c r="B6054" s="16" t="n">
        <v>45691</v>
      </c>
      <c r="C6054" s="15" t="s">
        <v>68</v>
      </c>
      <c r="D6054" s="15" t="s">
        <v>44</v>
      </c>
      <c r="E6054" s="15" t="s">
        <v>38</v>
      </c>
      <c r="F6054" s="15" t="s">
        <v>17</v>
      </c>
      <c r="G6054" s="15" t="s">
        <v>29</v>
      </c>
      <c r="H6054" s="15" t="n">
        <v>4</v>
      </c>
      <c r="I6054" s="17" t="n">
        <v>0.05</v>
      </c>
      <c r="J6054" s="18" t="n">
        <v>62.01</v>
      </c>
      <c r="K6054" s="19" t="n">
        <v>20.46</v>
      </c>
      <c r="L6054" s="15" t="n">
        <f aca="false">YEAR(B6054)</f>
        <v>2025</v>
      </c>
      <c r="M6054" s="20" t="n">
        <f aca="false">IF(J6054&gt;0,K6054/J6054,0)</f>
        <v>0.329946782776972</v>
      </c>
    </row>
    <row r="6055" customFormat="false" ht="15" hidden="false" customHeight="false" outlineLevel="0" collapsed="false">
      <c r="A6055" s="15" t="s">
        <v>6112</v>
      </c>
      <c r="B6055" s="16" t="n">
        <v>45750</v>
      </c>
      <c r="C6055" s="15" t="s">
        <v>56</v>
      </c>
      <c r="D6055" s="15" t="s">
        <v>44</v>
      </c>
      <c r="E6055" s="15" t="s">
        <v>36</v>
      </c>
      <c r="F6055" s="15" t="s">
        <v>17</v>
      </c>
      <c r="G6055" s="15" t="s">
        <v>28</v>
      </c>
      <c r="H6055" s="15" t="n">
        <v>2</v>
      </c>
      <c r="I6055" s="17" t="n">
        <v>0.05</v>
      </c>
      <c r="J6055" s="18" t="n">
        <v>43.51</v>
      </c>
      <c r="K6055" s="19" t="n">
        <v>10.84</v>
      </c>
      <c r="L6055" s="15" t="n">
        <f aca="false">YEAR(B6055)</f>
        <v>2025</v>
      </c>
      <c r="M6055" s="20" t="n">
        <f aca="false">IF(J6055&gt;0,K6055/J6055,0)</f>
        <v>0.249138129165709</v>
      </c>
    </row>
    <row r="6056" customFormat="false" ht="15" hidden="false" customHeight="false" outlineLevel="0" collapsed="false">
      <c r="A6056" s="15" t="s">
        <v>6113</v>
      </c>
      <c r="B6056" s="16" t="n">
        <v>45433</v>
      </c>
      <c r="C6056" s="15" t="s">
        <v>68</v>
      </c>
      <c r="D6056" s="15" t="s">
        <v>43</v>
      </c>
      <c r="E6056" s="15" t="s">
        <v>37</v>
      </c>
      <c r="F6056" s="15" t="s">
        <v>17</v>
      </c>
      <c r="G6056" s="15" t="s">
        <v>29</v>
      </c>
      <c r="H6056" s="15" t="n">
        <v>4</v>
      </c>
      <c r="I6056" s="17" t="n">
        <v>0.3</v>
      </c>
      <c r="J6056" s="18" t="n">
        <v>77.75</v>
      </c>
      <c r="K6056" s="19" t="n">
        <v>6.91</v>
      </c>
      <c r="L6056" s="15" t="n">
        <f aca="false">YEAR(B6056)</f>
        <v>2024</v>
      </c>
      <c r="M6056" s="20" t="n">
        <f aca="false">IF(J6056&gt;0,K6056/J6056,0)</f>
        <v>0.0888745980707396</v>
      </c>
    </row>
    <row r="6057" customFormat="false" ht="15" hidden="false" customHeight="false" outlineLevel="0" collapsed="false">
      <c r="A6057" s="15" t="s">
        <v>6114</v>
      </c>
      <c r="B6057" s="16" t="n">
        <v>45208</v>
      </c>
      <c r="C6057" s="15" t="s">
        <v>56</v>
      </c>
      <c r="D6057" s="15" t="s">
        <v>42</v>
      </c>
      <c r="E6057" s="15" t="s">
        <v>39</v>
      </c>
      <c r="F6057" s="15" t="s">
        <v>17</v>
      </c>
      <c r="G6057" s="15" t="s">
        <v>29</v>
      </c>
      <c r="H6057" s="15" t="n">
        <v>2</v>
      </c>
      <c r="I6057" s="17" t="n">
        <v>0.1</v>
      </c>
      <c r="J6057" s="18" t="n">
        <v>31.07</v>
      </c>
      <c r="K6057" s="19" t="n">
        <v>9.17</v>
      </c>
      <c r="L6057" s="15" t="n">
        <f aca="false">YEAR(B6057)</f>
        <v>2023</v>
      </c>
      <c r="M6057" s="20" t="n">
        <f aca="false">IF(J6057&gt;0,K6057/J6057,0)</f>
        <v>0.295140006437078</v>
      </c>
    </row>
    <row r="6058" customFormat="false" ht="15" hidden="false" customHeight="false" outlineLevel="0" collapsed="false">
      <c r="A6058" s="15" t="s">
        <v>6115</v>
      </c>
      <c r="B6058" s="16" t="n">
        <v>45922</v>
      </c>
      <c r="C6058" s="15" t="s">
        <v>71</v>
      </c>
      <c r="D6058" s="15" t="s">
        <v>43</v>
      </c>
      <c r="E6058" s="15" t="s">
        <v>39</v>
      </c>
      <c r="F6058" s="15" t="s">
        <v>18</v>
      </c>
      <c r="G6058" s="15" t="s">
        <v>32</v>
      </c>
      <c r="H6058" s="15" t="n">
        <v>3</v>
      </c>
      <c r="I6058" s="17" t="n">
        <v>0.05</v>
      </c>
      <c r="J6058" s="18" t="n">
        <v>1281.91</v>
      </c>
      <c r="K6058" s="19" t="n">
        <v>130.57</v>
      </c>
      <c r="L6058" s="15" t="n">
        <f aca="false">YEAR(B6058)</f>
        <v>2025</v>
      </c>
      <c r="M6058" s="20" t="n">
        <f aca="false">IF(J6058&gt;0,K6058/J6058,0)</f>
        <v>0.101855824511861</v>
      </c>
    </row>
    <row r="6059" customFormat="false" ht="15" hidden="false" customHeight="false" outlineLevel="0" collapsed="false">
      <c r="A6059" s="15" t="s">
        <v>6116</v>
      </c>
      <c r="B6059" s="16" t="n">
        <v>45832</v>
      </c>
      <c r="C6059" s="15" t="s">
        <v>56</v>
      </c>
      <c r="D6059" s="15" t="s">
        <v>43</v>
      </c>
      <c r="E6059" s="15" t="s">
        <v>39</v>
      </c>
      <c r="F6059" s="15" t="s">
        <v>18</v>
      </c>
      <c r="G6059" s="15" t="s">
        <v>24</v>
      </c>
      <c r="H6059" s="15" t="n">
        <v>3</v>
      </c>
      <c r="I6059" s="17" t="n">
        <v>0.05</v>
      </c>
      <c r="J6059" s="18" t="n">
        <v>2609.87</v>
      </c>
      <c r="K6059" s="19" t="n">
        <v>40.62</v>
      </c>
      <c r="L6059" s="15" t="n">
        <f aca="false">YEAR(B6059)</f>
        <v>2025</v>
      </c>
      <c r="M6059" s="20" t="n">
        <f aca="false">IF(J6059&gt;0,K6059/J6059,0)</f>
        <v>0.0155639936088771</v>
      </c>
    </row>
    <row r="6060" customFormat="false" ht="15" hidden="false" customHeight="false" outlineLevel="0" collapsed="false">
      <c r="A6060" s="15" t="s">
        <v>6117</v>
      </c>
      <c r="B6060" s="16" t="n">
        <v>45934</v>
      </c>
      <c r="C6060" s="15" t="s">
        <v>71</v>
      </c>
      <c r="D6060" s="15" t="s">
        <v>44</v>
      </c>
      <c r="E6060" s="15" t="s">
        <v>37</v>
      </c>
      <c r="F6060" s="15" t="s">
        <v>17</v>
      </c>
      <c r="G6060" s="15" t="s">
        <v>29</v>
      </c>
      <c r="H6060" s="15" t="n">
        <v>6</v>
      </c>
      <c r="I6060" s="17" t="n">
        <v>0.1</v>
      </c>
      <c r="J6060" s="18" t="n">
        <v>84.95</v>
      </c>
      <c r="K6060" s="19" t="n">
        <v>20.47</v>
      </c>
      <c r="L6060" s="15" t="n">
        <f aca="false">YEAR(B6060)</f>
        <v>2025</v>
      </c>
      <c r="M6060" s="20" t="n">
        <f aca="false">IF(J6060&gt;0,K6060/J6060,0)</f>
        <v>0.240965273690406</v>
      </c>
    </row>
    <row r="6061" customFormat="false" ht="15" hidden="false" customHeight="false" outlineLevel="0" collapsed="false">
      <c r="A6061" s="15" t="s">
        <v>6118</v>
      </c>
      <c r="B6061" s="16" t="n">
        <v>44987</v>
      </c>
      <c r="C6061" s="15" t="s">
        <v>56</v>
      </c>
      <c r="D6061" s="15" t="s">
        <v>42</v>
      </c>
      <c r="E6061" s="15" t="s">
        <v>38</v>
      </c>
      <c r="F6061" s="15" t="s">
        <v>18</v>
      </c>
      <c r="G6061" s="15" t="s">
        <v>32</v>
      </c>
      <c r="H6061" s="15" t="n">
        <v>2</v>
      </c>
      <c r="I6061" s="17" t="n">
        <v>0.1</v>
      </c>
      <c r="J6061" s="18" t="n">
        <v>625.59</v>
      </c>
      <c r="K6061" s="19" t="n">
        <v>36.11</v>
      </c>
      <c r="L6061" s="15" t="n">
        <f aca="false">YEAR(B6061)</f>
        <v>2023</v>
      </c>
      <c r="M6061" s="20" t="n">
        <f aca="false">IF(J6061&gt;0,K6061/J6061,0)</f>
        <v>0.0577215108937163</v>
      </c>
    </row>
    <row r="6062" customFormat="false" ht="15" hidden="false" customHeight="false" outlineLevel="0" collapsed="false">
      <c r="A6062" s="15" t="s">
        <v>6119</v>
      </c>
      <c r="B6062" s="16" t="n">
        <v>44965</v>
      </c>
      <c r="C6062" s="15" t="s">
        <v>58</v>
      </c>
      <c r="D6062" s="15" t="s">
        <v>42</v>
      </c>
      <c r="E6062" s="15" t="s">
        <v>39</v>
      </c>
      <c r="F6062" s="15" t="s">
        <v>17</v>
      </c>
      <c r="G6062" s="15" t="s">
        <v>31</v>
      </c>
      <c r="H6062" s="15" t="n">
        <v>2</v>
      </c>
      <c r="I6062" s="17" t="n">
        <v>0.2</v>
      </c>
      <c r="J6062" s="18" t="n">
        <v>188.42</v>
      </c>
      <c r="K6062" s="19" t="n">
        <v>2.72</v>
      </c>
      <c r="L6062" s="15" t="n">
        <f aca="false">YEAR(B6062)</f>
        <v>2023</v>
      </c>
      <c r="M6062" s="20" t="n">
        <f aca="false">IF(J6062&gt;0,K6062/J6062,0)</f>
        <v>0.0144358348370661</v>
      </c>
    </row>
    <row r="6063" customFormat="false" ht="15" hidden="false" customHeight="false" outlineLevel="0" collapsed="false">
      <c r="A6063" s="15" t="s">
        <v>6120</v>
      </c>
      <c r="B6063" s="16" t="n">
        <v>45964</v>
      </c>
      <c r="C6063" s="15" t="s">
        <v>68</v>
      </c>
      <c r="D6063" s="15" t="s">
        <v>43</v>
      </c>
      <c r="E6063" s="15" t="s">
        <v>37</v>
      </c>
      <c r="F6063" s="15" t="s">
        <v>16</v>
      </c>
      <c r="G6063" s="15" t="s">
        <v>25</v>
      </c>
      <c r="H6063" s="15" t="n">
        <v>3</v>
      </c>
      <c r="I6063" s="17" t="n">
        <v>0</v>
      </c>
      <c r="J6063" s="18" t="n">
        <v>892.43</v>
      </c>
      <c r="K6063" s="19" t="n">
        <v>90.8</v>
      </c>
      <c r="L6063" s="15" t="n">
        <f aca="false">YEAR(B6063)</f>
        <v>2025</v>
      </c>
      <c r="M6063" s="20" t="n">
        <f aca="false">IF(J6063&gt;0,K6063/J6063,0)</f>
        <v>0.101744674652354</v>
      </c>
    </row>
    <row r="6064" customFormat="false" ht="15" hidden="false" customHeight="false" outlineLevel="0" collapsed="false">
      <c r="A6064" s="15" t="s">
        <v>6121</v>
      </c>
      <c r="B6064" s="16" t="n">
        <v>45883</v>
      </c>
      <c r="C6064" s="15" t="s">
        <v>71</v>
      </c>
      <c r="D6064" s="15" t="s">
        <v>42</v>
      </c>
      <c r="E6064" s="15" t="s">
        <v>38</v>
      </c>
      <c r="F6064" s="15" t="s">
        <v>17</v>
      </c>
      <c r="G6064" s="15" t="s">
        <v>28</v>
      </c>
      <c r="H6064" s="15" t="n">
        <v>3</v>
      </c>
      <c r="I6064" s="17" t="n">
        <v>0.1</v>
      </c>
      <c r="J6064" s="18" t="n">
        <v>60</v>
      </c>
      <c r="K6064" s="19" t="n">
        <v>13.45</v>
      </c>
      <c r="L6064" s="15" t="n">
        <f aca="false">YEAR(B6064)</f>
        <v>2025</v>
      </c>
      <c r="M6064" s="20" t="n">
        <f aca="false">IF(J6064&gt;0,K6064/J6064,0)</f>
        <v>0.224166666666667</v>
      </c>
    </row>
    <row r="6065" customFormat="false" ht="15" hidden="false" customHeight="false" outlineLevel="0" collapsed="false">
      <c r="A6065" s="15" t="s">
        <v>6122</v>
      </c>
      <c r="B6065" s="16" t="n">
        <v>45725</v>
      </c>
      <c r="C6065" s="15" t="s">
        <v>56</v>
      </c>
      <c r="D6065" s="15" t="s">
        <v>42</v>
      </c>
      <c r="E6065" s="15" t="s">
        <v>39</v>
      </c>
      <c r="F6065" s="15" t="s">
        <v>18</v>
      </c>
      <c r="G6065" s="15" t="s">
        <v>24</v>
      </c>
      <c r="H6065" s="15" t="n">
        <v>7</v>
      </c>
      <c r="I6065" s="17" t="n">
        <v>0</v>
      </c>
      <c r="J6065" s="18" t="n">
        <v>5406.95</v>
      </c>
      <c r="K6065" s="19" t="n">
        <v>417.83</v>
      </c>
      <c r="L6065" s="15" t="n">
        <f aca="false">YEAR(B6065)</f>
        <v>2025</v>
      </c>
      <c r="M6065" s="20" t="n">
        <f aca="false">IF(J6065&gt;0,K6065/J6065,0)</f>
        <v>0.0772764682491978</v>
      </c>
    </row>
    <row r="6066" customFormat="false" ht="15" hidden="false" customHeight="false" outlineLevel="0" collapsed="false">
      <c r="A6066" s="15" t="s">
        <v>6123</v>
      </c>
      <c r="B6066" s="16" t="n">
        <v>45479</v>
      </c>
      <c r="C6066" s="15" t="s">
        <v>56</v>
      </c>
      <c r="D6066" s="15" t="s">
        <v>42</v>
      </c>
      <c r="E6066" s="15" t="s">
        <v>36</v>
      </c>
      <c r="F6066" s="15" t="s">
        <v>16</v>
      </c>
      <c r="G6066" s="15" t="s">
        <v>25</v>
      </c>
      <c r="H6066" s="15" t="n">
        <v>4</v>
      </c>
      <c r="I6066" s="17" t="n">
        <v>0</v>
      </c>
      <c r="J6066" s="18" t="n">
        <v>1030.11</v>
      </c>
      <c r="K6066" s="19" t="n">
        <v>124.34</v>
      </c>
      <c r="L6066" s="15" t="n">
        <f aca="false">YEAR(B6066)</f>
        <v>2024</v>
      </c>
      <c r="M6066" s="20" t="n">
        <f aca="false">IF(J6066&gt;0,K6066/J6066,0)</f>
        <v>0.120705555717351</v>
      </c>
    </row>
    <row r="6067" customFormat="false" ht="15" hidden="false" customHeight="false" outlineLevel="0" collapsed="false">
      <c r="A6067" s="15" t="s">
        <v>6124</v>
      </c>
      <c r="B6067" s="16" t="n">
        <v>44696</v>
      </c>
      <c r="C6067" s="15" t="s">
        <v>71</v>
      </c>
      <c r="D6067" s="15" t="s">
        <v>42</v>
      </c>
      <c r="E6067" s="15" t="s">
        <v>39</v>
      </c>
      <c r="F6067" s="15" t="s">
        <v>17</v>
      </c>
      <c r="G6067" s="15" t="s">
        <v>29</v>
      </c>
      <c r="H6067" s="15" t="n">
        <v>7</v>
      </c>
      <c r="I6067" s="17" t="n">
        <v>0</v>
      </c>
      <c r="J6067" s="18" t="n">
        <v>127.17</v>
      </c>
      <c r="K6067" s="19" t="n">
        <v>39.89</v>
      </c>
      <c r="L6067" s="15" t="n">
        <f aca="false">YEAR(B6067)</f>
        <v>2022</v>
      </c>
      <c r="M6067" s="20" t="n">
        <f aca="false">IF(J6067&gt;0,K6067/J6067,0)</f>
        <v>0.313674608791382</v>
      </c>
    </row>
    <row r="6068" customFormat="false" ht="15" hidden="false" customHeight="false" outlineLevel="0" collapsed="false">
      <c r="A6068" s="15" t="s">
        <v>6125</v>
      </c>
      <c r="B6068" s="16" t="n">
        <v>44874</v>
      </c>
      <c r="C6068" s="15" t="s">
        <v>71</v>
      </c>
      <c r="D6068" s="15" t="s">
        <v>43</v>
      </c>
      <c r="E6068" s="15" t="s">
        <v>38</v>
      </c>
      <c r="F6068" s="15" t="s">
        <v>16</v>
      </c>
      <c r="G6068" s="15" t="s">
        <v>25</v>
      </c>
      <c r="H6068" s="15" t="n">
        <v>9</v>
      </c>
      <c r="I6068" s="17" t="n">
        <v>0.4</v>
      </c>
      <c r="J6068" s="18" t="n">
        <v>1407.99</v>
      </c>
      <c r="K6068" s="19" t="n">
        <v>-300.13</v>
      </c>
      <c r="L6068" s="15" t="n">
        <f aca="false">YEAR(B6068)</f>
        <v>2022</v>
      </c>
      <c r="M6068" s="20" t="n">
        <f aca="false">IF(J6068&gt;0,K6068/J6068,0)</f>
        <v>-0.213162025298475</v>
      </c>
    </row>
    <row r="6069" customFormat="false" ht="15" hidden="false" customHeight="false" outlineLevel="0" collapsed="false">
      <c r="A6069" s="15" t="s">
        <v>6126</v>
      </c>
      <c r="B6069" s="16" t="n">
        <v>45744</v>
      </c>
      <c r="C6069" s="15" t="s">
        <v>56</v>
      </c>
      <c r="D6069" s="15" t="s">
        <v>42</v>
      </c>
      <c r="E6069" s="15" t="s">
        <v>38</v>
      </c>
      <c r="F6069" s="15" t="s">
        <v>16</v>
      </c>
      <c r="G6069" s="15" t="s">
        <v>27</v>
      </c>
      <c r="H6069" s="15" t="n">
        <v>4</v>
      </c>
      <c r="I6069" s="17" t="n">
        <v>0</v>
      </c>
      <c r="J6069" s="18" t="n">
        <v>243.24</v>
      </c>
      <c r="K6069" s="19" t="n">
        <v>57.68</v>
      </c>
      <c r="L6069" s="15" t="n">
        <f aca="false">YEAR(B6069)</f>
        <v>2025</v>
      </c>
      <c r="M6069" s="20" t="n">
        <f aca="false">IF(J6069&gt;0,K6069/J6069,0)</f>
        <v>0.237132050649564</v>
      </c>
    </row>
    <row r="6070" customFormat="false" ht="15" hidden="false" customHeight="false" outlineLevel="0" collapsed="false">
      <c r="A6070" s="15" t="s">
        <v>6127</v>
      </c>
      <c r="B6070" s="16" t="n">
        <v>45082</v>
      </c>
      <c r="C6070" s="15" t="s">
        <v>68</v>
      </c>
      <c r="D6070" s="15" t="s">
        <v>42</v>
      </c>
      <c r="E6070" s="15" t="s">
        <v>36</v>
      </c>
      <c r="F6070" s="15" t="s">
        <v>18</v>
      </c>
      <c r="G6070" s="15" t="s">
        <v>30</v>
      </c>
      <c r="H6070" s="15" t="n">
        <v>4</v>
      </c>
      <c r="I6070" s="17" t="n">
        <v>0.2</v>
      </c>
      <c r="J6070" s="18" t="n">
        <v>118.58</v>
      </c>
      <c r="K6070" s="19" t="n">
        <v>10.12</v>
      </c>
      <c r="L6070" s="15" t="n">
        <f aca="false">YEAR(B6070)</f>
        <v>2023</v>
      </c>
      <c r="M6070" s="20" t="n">
        <f aca="false">IF(J6070&gt;0,K6070/J6070,0)</f>
        <v>0.0853432282003711</v>
      </c>
    </row>
    <row r="6071" customFormat="false" ht="15" hidden="false" customHeight="false" outlineLevel="0" collapsed="false">
      <c r="A6071" s="15" t="s">
        <v>6128</v>
      </c>
      <c r="B6071" s="16" t="n">
        <v>44939</v>
      </c>
      <c r="C6071" s="15" t="s">
        <v>56</v>
      </c>
      <c r="D6071" s="15" t="s">
        <v>44</v>
      </c>
      <c r="E6071" s="15" t="s">
        <v>39</v>
      </c>
      <c r="F6071" s="15" t="s">
        <v>18</v>
      </c>
      <c r="G6071" s="15" t="s">
        <v>30</v>
      </c>
      <c r="H6071" s="15" t="n">
        <v>2</v>
      </c>
      <c r="I6071" s="17" t="n">
        <v>0.1</v>
      </c>
      <c r="J6071" s="18" t="n">
        <v>67.14</v>
      </c>
      <c r="K6071" s="19" t="n">
        <v>20.12</v>
      </c>
      <c r="L6071" s="15" t="n">
        <f aca="false">YEAR(B6071)</f>
        <v>2023</v>
      </c>
      <c r="M6071" s="20" t="n">
        <f aca="false">IF(J6071&gt;0,K6071/J6071,0)</f>
        <v>0.299672326481978</v>
      </c>
    </row>
    <row r="6072" customFormat="false" ht="15" hidden="false" customHeight="false" outlineLevel="0" collapsed="false">
      <c r="A6072" s="15" t="s">
        <v>6129</v>
      </c>
      <c r="B6072" s="16" t="n">
        <v>46010</v>
      </c>
      <c r="C6072" s="15" t="s">
        <v>56</v>
      </c>
      <c r="D6072" s="15" t="s">
        <v>42</v>
      </c>
      <c r="E6072" s="15" t="s">
        <v>36</v>
      </c>
      <c r="F6072" s="15" t="s">
        <v>18</v>
      </c>
      <c r="G6072" s="15" t="s">
        <v>32</v>
      </c>
      <c r="H6072" s="15" t="n">
        <v>4</v>
      </c>
      <c r="I6072" s="17" t="n">
        <v>0.3</v>
      </c>
      <c r="J6072" s="18" t="n">
        <v>1255.61</v>
      </c>
      <c r="K6072" s="19" t="n">
        <v>-100.31</v>
      </c>
      <c r="L6072" s="15" t="n">
        <f aca="false">YEAR(B6072)</f>
        <v>2025</v>
      </c>
      <c r="M6072" s="20" t="n">
        <f aca="false">IF(J6072&gt;0,K6072/J6072,0)</f>
        <v>-0.0798894561209293</v>
      </c>
    </row>
    <row r="6073" customFormat="false" ht="15" hidden="false" customHeight="false" outlineLevel="0" collapsed="false">
      <c r="A6073" s="15" t="s">
        <v>6130</v>
      </c>
      <c r="B6073" s="16" t="n">
        <v>45110</v>
      </c>
      <c r="C6073" s="15" t="s">
        <v>58</v>
      </c>
      <c r="D6073" s="15" t="s">
        <v>42</v>
      </c>
      <c r="E6073" s="15" t="s">
        <v>37</v>
      </c>
      <c r="F6073" s="15" t="s">
        <v>16</v>
      </c>
      <c r="G6073" s="15" t="s">
        <v>23</v>
      </c>
      <c r="H6073" s="15" t="n">
        <v>4</v>
      </c>
      <c r="I6073" s="17" t="n">
        <v>0.5</v>
      </c>
      <c r="J6073" s="18" t="n">
        <v>676.44</v>
      </c>
      <c r="K6073" s="19" t="n">
        <v>-264.71</v>
      </c>
      <c r="L6073" s="15" t="n">
        <f aca="false">YEAR(B6073)</f>
        <v>2023</v>
      </c>
      <c r="M6073" s="20" t="n">
        <f aca="false">IF(J6073&gt;0,K6073/J6073,0)</f>
        <v>-0.391328129619774</v>
      </c>
    </row>
    <row r="6074" customFormat="false" ht="15" hidden="false" customHeight="false" outlineLevel="0" collapsed="false">
      <c r="A6074" s="15" t="s">
        <v>6131</v>
      </c>
      <c r="B6074" s="16" t="n">
        <v>44935</v>
      </c>
      <c r="C6074" s="15" t="s">
        <v>56</v>
      </c>
      <c r="D6074" s="15" t="s">
        <v>43</v>
      </c>
      <c r="E6074" s="15" t="s">
        <v>39</v>
      </c>
      <c r="F6074" s="15" t="s">
        <v>18</v>
      </c>
      <c r="G6074" s="15" t="s">
        <v>24</v>
      </c>
      <c r="H6074" s="15" t="n">
        <v>6</v>
      </c>
      <c r="I6074" s="17" t="n">
        <v>0</v>
      </c>
      <c r="J6074" s="18" t="n">
        <v>3542.07</v>
      </c>
      <c r="K6074" s="19" t="n">
        <v>96.29</v>
      </c>
      <c r="L6074" s="15" t="n">
        <f aca="false">YEAR(B6074)</f>
        <v>2023</v>
      </c>
      <c r="M6074" s="20" t="n">
        <f aca="false">IF(J6074&gt;0,K6074/J6074,0)</f>
        <v>0.0271846688518296</v>
      </c>
    </row>
    <row r="6075" customFormat="false" ht="15" hidden="false" customHeight="false" outlineLevel="0" collapsed="false">
      <c r="A6075" s="15" t="s">
        <v>6132</v>
      </c>
      <c r="B6075" s="16" t="n">
        <v>46012</v>
      </c>
      <c r="C6075" s="15" t="s">
        <v>71</v>
      </c>
      <c r="D6075" s="15" t="s">
        <v>44</v>
      </c>
      <c r="E6075" s="15" t="s">
        <v>36</v>
      </c>
      <c r="F6075" s="15" t="s">
        <v>18</v>
      </c>
      <c r="G6075" s="15" t="s">
        <v>32</v>
      </c>
      <c r="H6075" s="15" t="n">
        <v>5</v>
      </c>
      <c r="I6075" s="17" t="n">
        <v>0.1</v>
      </c>
      <c r="J6075" s="18" t="n">
        <v>1776.14</v>
      </c>
      <c r="K6075" s="19" t="n">
        <v>306.07</v>
      </c>
      <c r="L6075" s="15" t="n">
        <f aca="false">YEAR(B6075)</f>
        <v>2025</v>
      </c>
      <c r="M6075" s="20" t="n">
        <f aca="false">IF(J6075&gt;0,K6075/J6075,0)</f>
        <v>0.172323127681376</v>
      </c>
    </row>
    <row r="6076" customFormat="false" ht="15" hidden="false" customHeight="false" outlineLevel="0" collapsed="false">
      <c r="A6076" s="15" t="s">
        <v>6133</v>
      </c>
      <c r="B6076" s="16" t="n">
        <v>45585</v>
      </c>
      <c r="C6076" s="15" t="s">
        <v>58</v>
      </c>
      <c r="D6076" s="15" t="s">
        <v>44</v>
      </c>
      <c r="E6076" s="15" t="s">
        <v>39</v>
      </c>
      <c r="F6076" s="15" t="s">
        <v>16</v>
      </c>
      <c r="G6076" s="15" t="s">
        <v>23</v>
      </c>
      <c r="H6076" s="15" t="n">
        <v>4</v>
      </c>
      <c r="I6076" s="17" t="n">
        <v>0.4</v>
      </c>
      <c r="J6076" s="18" t="n">
        <v>883.09</v>
      </c>
      <c r="K6076" s="19" t="n">
        <v>-291.8</v>
      </c>
      <c r="L6076" s="15" t="n">
        <f aca="false">YEAR(B6076)</f>
        <v>2024</v>
      </c>
      <c r="M6076" s="20" t="n">
        <f aca="false">IF(J6076&gt;0,K6076/J6076,0)</f>
        <v>-0.330430646932929</v>
      </c>
    </row>
    <row r="6077" customFormat="false" ht="15" hidden="false" customHeight="false" outlineLevel="0" collapsed="false">
      <c r="A6077" s="15" t="s">
        <v>6134</v>
      </c>
      <c r="B6077" s="16" t="n">
        <v>45840</v>
      </c>
      <c r="C6077" s="15" t="s">
        <v>58</v>
      </c>
      <c r="D6077" s="15" t="s">
        <v>42</v>
      </c>
      <c r="E6077" s="15" t="s">
        <v>39</v>
      </c>
      <c r="F6077" s="15" t="s">
        <v>17</v>
      </c>
      <c r="G6077" s="15" t="s">
        <v>31</v>
      </c>
      <c r="H6077" s="15" t="n">
        <v>4</v>
      </c>
      <c r="I6077" s="17" t="n">
        <v>0.05</v>
      </c>
      <c r="J6077" s="18" t="n">
        <v>564.24</v>
      </c>
      <c r="K6077" s="19" t="n">
        <v>88.22</v>
      </c>
      <c r="L6077" s="15" t="n">
        <f aca="false">YEAR(B6077)</f>
        <v>2025</v>
      </c>
      <c r="M6077" s="20" t="n">
        <f aca="false">IF(J6077&gt;0,K6077/J6077,0)</f>
        <v>0.156351906989933</v>
      </c>
    </row>
    <row r="6078" customFormat="false" ht="15" hidden="false" customHeight="false" outlineLevel="0" collapsed="false">
      <c r="A6078" s="15" t="s">
        <v>6135</v>
      </c>
      <c r="B6078" s="16" t="n">
        <v>45606</v>
      </c>
      <c r="C6078" s="15" t="s">
        <v>56</v>
      </c>
      <c r="D6078" s="15" t="s">
        <v>42</v>
      </c>
      <c r="E6078" s="15" t="s">
        <v>37</v>
      </c>
      <c r="F6078" s="15" t="s">
        <v>17</v>
      </c>
      <c r="G6078" s="15" t="s">
        <v>31</v>
      </c>
      <c r="H6078" s="15" t="n">
        <v>2</v>
      </c>
      <c r="I6078" s="17" t="n">
        <v>0</v>
      </c>
      <c r="J6078" s="18" t="n">
        <v>246.29</v>
      </c>
      <c r="K6078" s="19" t="n">
        <v>42.33</v>
      </c>
      <c r="L6078" s="15" t="n">
        <f aca="false">YEAR(B6078)</f>
        <v>2024</v>
      </c>
      <c r="M6078" s="20" t="n">
        <f aca="false">IF(J6078&gt;0,K6078/J6078,0)</f>
        <v>0.171870559096999</v>
      </c>
    </row>
    <row r="6079" customFormat="false" ht="15" hidden="false" customHeight="false" outlineLevel="0" collapsed="false">
      <c r="A6079" s="15" t="s">
        <v>6136</v>
      </c>
      <c r="B6079" s="16" t="n">
        <v>44987</v>
      </c>
      <c r="C6079" s="15" t="s">
        <v>68</v>
      </c>
      <c r="D6079" s="15" t="s">
        <v>42</v>
      </c>
      <c r="E6079" s="15" t="s">
        <v>39</v>
      </c>
      <c r="F6079" s="15" t="s">
        <v>17</v>
      </c>
      <c r="G6079" s="15" t="s">
        <v>29</v>
      </c>
      <c r="H6079" s="15" t="n">
        <v>3</v>
      </c>
      <c r="I6079" s="17" t="n">
        <v>0.1</v>
      </c>
      <c r="J6079" s="18" t="n">
        <v>59.94</v>
      </c>
      <c r="K6079" s="19" t="n">
        <v>22.21</v>
      </c>
      <c r="L6079" s="15" t="n">
        <f aca="false">YEAR(B6079)</f>
        <v>2023</v>
      </c>
      <c r="M6079" s="20" t="n">
        <f aca="false">IF(J6079&gt;0,K6079/J6079,0)</f>
        <v>0.370537203870537</v>
      </c>
    </row>
    <row r="6080" customFormat="false" ht="15" hidden="false" customHeight="false" outlineLevel="0" collapsed="false">
      <c r="A6080" s="15" t="s">
        <v>6137</v>
      </c>
      <c r="B6080" s="16" t="n">
        <v>45963</v>
      </c>
      <c r="C6080" s="15" t="s">
        <v>56</v>
      </c>
      <c r="D6080" s="15" t="s">
        <v>44</v>
      </c>
      <c r="E6080" s="15" t="s">
        <v>36</v>
      </c>
      <c r="F6080" s="15" t="s">
        <v>17</v>
      </c>
      <c r="G6080" s="15" t="s">
        <v>28</v>
      </c>
      <c r="H6080" s="15" t="n">
        <v>4</v>
      </c>
      <c r="I6080" s="17" t="n">
        <v>0</v>
      </c>
      <c r="J6080" s="18" t="n">
        <v>111.58</v>
      </c>
      <c r="K6080" s="19" t="n">
        <v>39.63</v>
      </c>
      <c r="L6080" s="15" t="n">
        <f aca="false">YEAR(B6080)</f>
        <v>2025</v>
      </c>
      <c r="M6080" s="20" t="n">
        <f aca="false">IF(J6080&gt;0,K6080/J6080,0)</f>
        <v>0.3551711776304</v>
      </c>
    </row>
    <row r="6081" customFormat="false" ht="15" hidden="false" customHeight="false" outlineLevel="0" collapsed="false">
      <c r="A6081" s="15" t="s">
        <v>6138</v>
      </c>
      <c r="B6081" s="16" t="n">
        <v>45577</v>
      </c>
      <c r="C6081" s="15" t="s">
        <v>56</v>
      </c>
      <c r="D6081" s="15" t="s">
        <v>42</v>
      </c>
      <c r="E6081" s="15" t="s">
        <v>37</v>
      </c>
      <c r="F6081" s="15" t="s">
        <v>17</v>
      </c>
      <c r="G6081" s="15" t="s">
        <v>29</v>
      </c>
      <c r="H6081" s="15" t="n">
        <v>5</v>
      </c>
      <c r="I6081" s="17" t="n">
        <v>0.2</v>
      </c>
      <c r="J6081" s="18" t="n">
        <v>82.62</v>
      </c>
      <c r="K6081" s="19" t="n">
        <v>15.34</v>
      </c>
      <c r="L6081" s="15" t="n">
        <f aca="false">YEAR(B6081)</f>
        <v>2024</v>
      </c>
      <c r="M6081" s="20" t="n">
        <f aca="false">IF(J6081&gt;0,K6081/J6081,0)</f>
        <v>0.185669329460179</v>
      </c>
    </row>
    <row r="6082" customFormat="false" ht="15" hidden="false" customHeight="false" outlineLevel="0" collapsed="false">
      <c r="A6082" s="15" t="s">
        <v>6139</v>
      </c>
      <c r="B6082" s="16" t="n">
        <v>44686</v>
      </c>
      <c r="C6082" s="15" t="s">
        <v>56</v>
      </c>
      <c r="D6082" s="15" t="s">
        <v>42</v>
      </c>
      <c r="E6082" s="15" t="s">
        <v>37</v>
      </c>
      <c r="F6082" s="15" t="s">
        <v>18</v>
      </c>
      <c r="G6082" s="15" t="s">
        <v>33</v>
      </c>
      <c r="H6082" s="15" t="n">
        <v>1</v>
      </c>
      <c r="I6082" s="17" t="n">
        <v>0</v>
      </c>
      <c r="J6082" s="18" t="n">
        <v>709.67</v>
      </c>
      <c r="K6082" s="19" t="n">
        <v>209.13</v>
      </c>
      <c r="L6082" s="15" t="n">
        <f aca="false">YEAR(B6082)</f>
        <v>2022</v>
      </c>
      <c r="M6082" s="20" t="n">
        <f aca="false">IF(J6082&gt;0,K6082/J6082,0)</f>
        <v>0.294686262629109</v>
      </c>
    </row>
    <row r="6083" customFormat="false" ht="15" hidden="false" customHeight="false" outlineLevel="0" collapsed="false">
      <c r="A6083" s="15" t="s">
        <v>6140</v>
      </c>
      <c r="B6083" s="16" t="n">
        <v>45568</v>
      </c>
      <c r="C6083" s="15" t="s">
        <v>56</v>
      </c>
      <c r="D6083" s="15" t="s">
        <v>44</v>
      </c>
      <c r="E6083" s="15" t="s">
        <v>37</v>
      </c>
      <c r="F6083" s="15" t="s">
        <v>17</v>
      </c>
      <c r="G6083" s="15" t="s">
        <v>31</v>
      </c>
      <c r="H6083" s="15" t="n">
        <v>3</v>
      </c>
      <c r="I6083" s="17" t="n">
        <v>0.2</v>
      </c>
      <c r="J6083" s="18" t="n">
        <v>320.69</v>
      </c>
      <c r="K6083" s="19" t="n">
        <v>2.58</v>
      </c>
      <c r="L6083" s="15" t="n">
        <f aca="false">YEAR(B6083)</f>
        <v>2024</v>
      </c>
      <c r="M6083" s="20" t="n">
        <f aca="false">IF(J6083&gt;0,K6083/J6083,0)</f>
        <v>0.00804515263962082</v>
      </c>
    </row>
    <row r="6084" customFormat="false" ht="15" hidden="false" customHeight="false" outlineLevel="0" collapsed="false">
      <c r="A6084" s="15" t="s">
        <v>6141</v>
      </c>
      <c r="B6084" s="16" t="n">
        <v>44764</v>
      </c>
      <c r="C6084" s="15" t="s">
        <v>56</v>
      </c>
      <c r="D6084" s="15" t="s">
        <v>44</v>
      </c>
      <c r="E6084" s="15" t="s">
        <v>39</v>
      </c>
      <c r="F6084" s="15" t="s">
        <v>18</v>
      </c>
      <c r="G6084" s="15" t="s">
        <v>30</v>
      </c>
      <c r="H6084" s="15" t="n">
        <v>7</v>
      </c>
      <c r="I6084" s="17" t="n">
        <v>0.05</v>
      </c>
      <c r="J6084" s="18" t="n">
        <v>311.67</v>
      </c>
      <c r="K6084" s="19" t="n">
        <v>92.61</v>
      </c>
      <c r="L6084" s="15" t="n">
        <f aca="false">YEAR(B6084)</f>
        <v>2022</v>
      </c>
      <c r="M6084" s="20" t="n">
        <f aca="false">IF(J6084&gt;0,K6084/J6084,0)</f>
        <v>0.297141207045914</v>
      </c>
    </row>
    <row r="6085" customFormat="false" ht="15" hidden="false" customHeight="false" outlineLevel="0" collapsed="false">
      <c r="A6085" s="15" t="s">
        <v>6142</v>
      </c>
      <c r="B6085" s="16" t="n">
        <v>45231</v>
      </c>
      <c r="C6085" s="15" t="s">
        <v>56</v>
      </c>
      <c r="D6085" s="15" t="s">
        <v>44</v>
      </c>
      <c r="E6085" s="15" t="s">
        <v>36</v>
      </c>
      <c r="F6085" s="15" t="s">
        <v>18</v>
      </c>
      <c r="G6085" s="15" t="s">
        <v>33</v>
      </c>
      <c r="H6085" s="15" t="n">
        <v>6</v>
      </c>
      <c r="I6085" s="17" t="n">
        <v>0.2</v>
      </c>
      <c r="J6085" s="18" t="n">
        <v>4319.96</v>
      </c>
      <c r="K6085" s="19" t="n">
        <v>425.84</v>
      </c>
      <c r="L6085" s="15" t="n">
        <f aca="false">YEAR(B6085)</f>
        <v>2023</v>
      </c>
      <c r="M6085" s="20" t="n">
        <f aca="false">IF(J6085&gt;0,K6085/J6085,0)</f>
        <v>0.0985749868054334</v>
      </c>
    </row>
    <row r="6086" customFormat="false" ht="15" hidden="false" customHeight="false" outlineLevel="0" collapsed="false">
      <c r="A6086" s="15" t="s">
        <v>6143</v>
      </c>
      <c r="B6086" s="16" t="n">
        <v>45427</v>
      </c>
      <c r="C6086" s="15" t="s">
        <v>56</v>
      </c>
      <c r="D6086" s="15" t="s">
        <v>43</v>
      </c>
      <c r="E6086" s="15" t="s">
        <v>39</v>
      </c>
      <c r="F6086" s="15" t="s">
        <v>16</v>
      </c>
      <c r="G6086" s="15" t="s">
        <v>23</v>
      </c>
      <c r="H6086" s="15" t="n">
        <v>5</v>
      </c>
      <c r="I6086" s="17" t="n">
        <v>0.2</v>
      </c>
      <c r="J6086" s="18" t="n">
        <v>1595.77</v>
      </c>
      <c r="K6086" s="19" t="n">
        <v>-233.2</v>
      </c>
      <c r="L6086" s="15" t="n">
        <f aca="false">YEAR(B6086)</f>
        <v>2024</v>
      </c>
      <c r="M6086" s="20" t="n">
        <f aca="false">IF(J6086&gt;0,K6086/J6086,0)</f>
        <v>-0.146136347969946</v>
      </c>
    </row>
    <row r="6087" customFormat="false" ht="15" hidden="false" customHeight="false" outlineLevel="0" collapsed="false">
      <c r="A6087" s="15" t="s">
        <v>6144</v>
      </c>
      <c r="B6087" s="16" t="n">
        <v>46016</v>
      </c>
      <c r="C6087" s="15" t="s">
        <v>56</v>
      </c>
      <c r="D6087" s="15" t="s">
        <v>43</v>
      </c>
      <c r="E6087" s="15" t="s">
        <v>37</v>
      </c>
      <c r="F6087" s="15" t="s">
        <v>16</v>
      </c>
      <c r="G6087" s="15" t="s">
        <v>27</v>
      </c>
      <c r="H6087" s="15" t="n">
        <v>2</v>
      </c>
      <c r="I6087" s="17" t="n">
        <v>0</v>
      </c>
      <c r="J6087" s="18" t="n">
        <v>127.81</v>
      </c>
      <c r="K6087" s="19" t="n">
        <v>32.89</v>
      </c>
      <c r="L6087" s="15" t="n">
        <f aca="false">YEAR(B6087)</f>
        <v>2025</v>
      </c>
      <c r="M6087" s="20" t="n">
        <f aca="false">IF(J6087&gt;0,K6087/J6087,0)</f>
        <v>0.257335106799155</v>
      </c>
    </row>
    <row r="6088" customFormat="false" ht="15" hidden="false" customHeight="false" outlineLevel="0" collapsed="false">
      <c r="A6088" s="15" t="s">
        <v>6145</v>
      </c>
      <c r="B6088" s="16" t="n">
        <v>45003</v>
      </c>
      <c r="C6088" s="15" t="s">
        <v>56</v>
      </c>
      <c r="D6088" s="15" t="s">
        <v>42</v>
      </c>
      <c r="E6088" s="15" t="s">
        <v>38</v>
      </c>
      <c r="F6088" s="15" t="s">
        <v>17</v>
      </c>
      <c r="G6088" s="15" t="s">
        <v>29</v>
      </c>
      <c r="H6088" s="15" t="n">
        <v>1</v>
      </c>
      <c r="I6088" s="17" t="n">
        <v>0</v>
      </c>
      <c r="J6088" s="18" t="n">
        <v>20.5</v>
      </c>
      <c r="K6088" s="19" t="n">
        <v>8.55</v>
      </c>
      <c r="L6088" s="15" t="n">
        <f aca="false">YEAR(B6088)</f>
        <v>2023</v>
      </c>
      <c r="M6088" s="20" t="n">
        <f aca="false">IF(J6088&gt;0,K6088/J6088,0)</f>
        <v>0.417073170731707</v>
      </c>
    </row>
    <row r="6089" customFormat="false" ht="15" hidden="false" customHeight="false" outlineLevel="0" collapsed="false">
      <c r="A6089" s="15" t="s">
        <v>6146</v>
      </c>
      <c r="B6089" s="16" t="n">
        <v>45957</v>
      </c>
      <c r="C6089" s="15" t="s">
        <v>71</v>
      </c>
      <c r="D6089" s="15" t="s">
        <v>42</v>
      </c>
      <c r="E6089" s="15" t="s">
        <v>37</v>
      </c>
      <c r="F6089" s="15" t="s">
        <v>18</v>
      </c>
      <c r="G6089" s="15" t="s">
        <v>30</v>
      </c>
      <c r="H6089" s="15" t="n">
        <v>4</v>
      </c>
      <c r="I6089" s="17" t="n">
        <v>0.2</v>
      </c>
      <c r="J6089" s="18" t="n">
        <v>147.87</v>
      </c>
      <c r="K6089" s="19" t="n">
        <v>11.4</v>
      </c>
      <c r="L6089" s="15" t="n">
        <f aca="false">YEAR(B6089)</f>
        <v>2025</v>
      </c>
      <c r="M6089" s="20" t="n">
        <f aca="false">IF(J6089&gt;0,K6089/J6089,0)</f>
        <v>0.0770947453844593</v>
      </c>
    </row>
    <row r="6090" customFormat="false" ht="15" hidden="false" customHeight="false" outlineLevel="0" collapsed="false">
      <c r="A6090" s="15" t="s">
        <v>6147</v>
      </c>
      <c r="B6090" s="16" t="n">
        <v>45576</v>
      </c>
      <c r="C6090" s="15" t="s">
        <v>68</v>
      </c>
      <c r="D6090" s="15" t="s">
        <v>42</v>
      </c>
      <c r="E6090" s="15" t="s">
        <v>39</v>
      </c>
      <c r="F6090" s="15" t="s">
        <v>18</v>
      </c>
      <c r="G6090" s="15" t="s">
        <v>30</v>
      </c>
      <c r="H6090" s="15" t="n">
        <v>3</v>
      </c>
      <c r="I6090" s="17" t="n">
        <v>0</v>
      </c>
      <c r="J6090" s="18" t="n">
        <v>131.01</v>
      </c>
      <c r="K6090" s="19" t="n">
        <v>43.54</v>
      </c>
      <c r="L6090" s="15" t="n">
        <f aca="false">YEAR(B6090)</f>
        <v>2024</v>
      </c>
      <c r="M6090" s="20" t="n">
        <f aca="false">IF(J6090&gt;0,K6090/J6090,0)</f>
        <v>0.332341042668499</v>
      </c>
    </row>
    <row r="6091" customFormat="false" ht="15" hidden="false" customHeight="false" outlineLevel="0" collapsed="false">
      <c r="A6091" s="15" t="s">
        <v>6148</v>
      </c>
      <c r="B6091" s="16" t="n">
        <v>45950</v>
      </c>
      <c r="C6091" s="15" t="s">
        <v>56</v>
      </c>
      <c r="D6091" s="15" t="s">
        <v>42</v>
      </c>
      <c r="E6091" s="15" t="s">
        <v>39</v>
      </c>
      <c r="F6091" s="15" t="s">
        <v>18</v>
      </c>
      <c r="G6091" s="15" t="s">
        <v>33</v>
      </c>
      <c r="H6091" s="15" t="n">
        <v>2</v>
      </c>
      <c r="I6091" s="17" t="n">
        <v>0</v>
      </c>
      <c r="J6091" s="18" t="n">
        <v>1951.53</v>
      </c>
      <c r="K6091" s="19" t="n">
        <v>545.29</v>
      </c>
      <c r="L6091" s="15" t="n">
        <f aca="false">YEAR(B6091)</f>
        <v>2025</v>
      </c>
      <c r="M6091" s="20" t="n">
        <f aca="false">IF(J6091&gt;0,K6091/J6091,0)</f>
        <v>0.279416662823528</v>
      </c>
    </row>
    <row r="6092" customFormat="false" ht="15" hidden="false" customHeight="false" outlineLevel="0" collapsed="false">
      <c r="A6092" s="15" t="s">
        <v>6149</v>
      </c>
      <c r="B6092" s="16" t="n">
        <v>44664</v>
      </c>
      <c r="C6092" s="15" t="s">
        <v>56</v>
      </c>
      <c r="D6092" s="15" t="s">
        <v>43</v>
      </c>
      <c r="E6092" s="15" t="s">
        <v>38</v>
      </c>
      <c r="F6092" s="15" t="s">
        <v>17</v>
      </c>
      <c r="G6092" s="15" t="s">
        <v>29</v>
      </c>
      <c r="H6092" s="15" t="n">
        <v>5</v>
      </c>
      <c r="I6092" s="17" t="n">
        <v>0.1</v>
      </c>
      <c r="J6092" s="18" t="n">
        <v>70.15</v>
      </c>
      <c r="K6092" s="19" t="n">
        <v>23.25</v>
      </c>
      <c r="L6092" s="15" t="n">
        <f aca="false">YEAR(B6092)</f>
        <v>2022</v>
      </c>
      <c r="M6092" s="20" t="n">
        <f aca="false">IF(J6092&gt;0,K6092/J6092,0)</f>
        <v>0.331432644333571</v>
      </c>
    </row>
    <row r="6093" customFormat="false" ht="15" hidden="false" customHeight="false" outlineLevel="0" collapsed="false">
      <c r="A6093" s="15" t="s">
        <v>6150</v>
      </c>
      <c r="B6093" s="16" t="n">
        <v>44966</v>
      </c>
      <c r="C6093" s="15" t="s">
        <v>68</v>
      </c>
      <c r="D6093" s="15" t="s">
        <v>43</v>
      </c>
      <c r="E6093" s="15" t="s">
        <v>37</v>
      </c>
      <c r="F6093" s="15" t="s">
        <v>17</v>
      </c>
      <c r="G6093" s="15" t="s">
        <v>28</v>
      </c>
      <c r="H6093" s="15" t="n">
        <v>3</v>
      </c>
      <c r="I6093" s="17" t="n">
        <v>0.05</v>
      </c>
      <c r="J6093" s="18" t="n">
        <v>84.66</v>
      </c>
      <c r="K6093" s="19" t="n">
        <v>24.17</v>
      </c>
      <c r="L6093" s="15" t="n">
        <f aca="false">YEAR(B6093)</f>
        <v>2023</v>
      </c>
      <c r="M6093" s="20" t="n">
        <f aca="false">IF(J6093&gt;0,K6093/J6093,0)</f>
        <v>0.28549492085991</v>
      </c>
    </row>
    <row r="6094" customFormat="false" ht="15" hidden="false" customHeight="false" outlineLevel="0" collapsed="false">
      <c r="A6094" s="15" t="s">
        <v>6151</v>
      </c>
      <c r="B6094" s="16" t="n">
        <v>45502</v>
      </c>
      <c r="C6094" s="15" t="s">
        <v>71</v>
      </c>
      <c r="D6094" s="15" t="s">
        <v>42</v>
      </c>
      <c r="E6094" s="15" t="s">
        <v>37</v>
      </c>
      <c r="F6094" s="15" t="s">
        <v>17</v>
      </c>
      <c r="G6094" s="15" t="s">
        <v>28</v>
      </c>
      <c r="H6094" s="15" t="n">
        <v>3</v>
      </c>
      <c r="I6094" s="17" t="n">
        <v>0</v>
      </c>
      <c r="J6094" s="18" t="n">
        <v>71.57</v>
      </c>
      <c r="K6094" s="19" t="n">
        <v>24.07</v>
      </c>
      <c r="L6094" s="15" t="n">
        <f aca="false">YEAR(B6094)</f>
        <v>2024</v>
      </c>
      <c r="M6094" s="20" t="n">
        <f aca="false">IF(J6094&gt;0,K6094/J6094,0)</f>
        <v>0.33631409808579</v>
      </c>
    </row>
    <row r="6095" customFormat="false" ht="15" hidden="false" customHeight="false" outlineLevel="0" collapsed="false">
      <c r="A6095" s="15" t="s">
        <v>6152</v>
      </c>
      <c r="B6095" s="16" t="n">
        <v>45604</v>
      </c>
      <c r="C6095" s="15" t="s">
        <v>68</v>
      </c>
      <c r="D6095" s="15" t="s">
        <v>42</v>
      </c>
      <c r="E6095" s="15" t="s">
        <v>36</v>
      </c>
      <c r="F6095" s="15" t="s">
        <v>17</v>
      </c>
      <c r="G6095" s="15" t="s">
        <v>31</v>
      </c>
      <c r="H6095" s="15" t="n">
        <v>4</v>
      </c>
      <c r="I6095" s="17" t="n">
        <v>0.2</v>
      </c>
      <c r="J6095" s="18" t="n">
        <v>431.8</v>
      </c>
      <c r="K6095" s="19" t="n">
        <v>29.19</v>
      </c>
      <c r="L6095" s="15" t="n">
        <f aca="false">YEAR(B6095)</f>
        <v>2024</v>
      </c>
      <c r="M6095" s="20" t="n">
        <f aca="false">IF(J6095&gt;0,K6095/J6095,0)</f>
        <v>0.0676007410838351</v>
      </c>
    </row>
    <row r="6096" customFormat="false" ht="15" hidden="false" customHeight="false" outlineLevel="0" collapsed="false">
      <c r="A6096" s="15" t="s">
        <v>6153</v>
      </c>
      <c r="B6096" s="16" t="n">
        <v>46009</v>
      </c>
      <c r="C6096" s="15" t="s">
        <v>71</v>
      </c>
      <c r="D6096" s="15" t="s">
        <v>42</v>
      </c>
      <c r="E6096" s="15" t="s">
        <v>39</v>
      </c>
      <c r="F6096" s="15" t="s">
        <v>17</v>
      </c>
      <c r="G6096" s="15" t="s">
        <v>29</v>
      </c>
      <c r="H6096" s="15" t="n">
        <v>4</v>
      </c>
      <c r="I6096" s="17" t="n">
        <v>0.3</v>
      </c>
      <c r="J6096" s="18" t="n">
        <v>55.32</v>
      </c>
      <c r="K6096" s="19" t="n">
        <v>3.72</v>
      </c>
      <c r="L6096" s="15" t="n">
        <f aca="false">YEAR(B6096)</f>
        <v>2025</v>
      </c>
      <c r="M6096" s="20" t="n">
        <f aca="false">IF(J6096&gt;0,K6096/J6096,0)</f>
        <v>0.0672451193058568</v>
      </c>
    </row>
    <row r="6097" customFormat="false" ht="15" hidden="false" customHeight="false" outlineLevel="0" collapsed="false">
      <c r="A6097" s="15" t="s">
        <v>6154</v>
      </c>
      <c r="B6097" s="16" t="n">
        <v>44848</v>
      </c>
      <c r="C6097" s="15" t="s">
        <v>58</v>
      </c>
      <c r="D6097" s="15" t="s">
        <v>42</v>
      </c>
      <c r="E6097" s="15" t="s">
        <v>39</v>
      </c>
      <c r="F6097" s="15" t="s">
        <v>17</v>
      </c>
      <c r="G6097" s="15" t="s">
        <v>31</v>
      </c>
      <c r="H6097" s="15" t="n">
        <v>3</v>
      </c>
      <c r="I6097" s="17" t="n">
        <v>0.1</v>
      </c>
      <c r="J6097" s="18" t="n">
        <v>368.18</v>
      </c>
      <c r="K6097" s="19" t="n">
        <v>26.81</v>
      </c>
      <c r="L6097" s="15" t="n">
        <f aca="false">YEAR(B6097)</f>
        <v>2022</v>
      </c>
      <c r="M6097" s="20" t="n">
        <f aca="false">IF(J6097&gt;0,K6097/J6097,0)</f>
        <v>0.0728176435439187</v>
      </c>
    </row>
    <row r="6098" customFormat="false" ht="15" hidden="false" customHeight="false" outlineLevel="0" collapsed="false">
      <c r="A6098" s="15" t="s">
        <v>6155</v>
      </c>
      <c r="B6098" s="16" t="n">
        <v>45764</v>
      </c>
      <c r="C6098" s="15" t="s">
        <v>68</v>
      </c>
      <c r="D6098" s="15" t="s">
        <v>43</v>
      </c>
      <c r="E6098" s="15" t="s">
        <v>38</v>
      </c>
      <c r="F6098" s="15" t="s">
        <v>17</v>
      </c>
      <c r="G6098" s="15" t="s">
        <v>29</v>
      </c>
      <c r="H6098" s="15" t="n">
        <v>5</v>
      </c>
      <c r="I6098" s="17" t="n">
        <v>0.05</v>
      </c>
      <c r="J6098" s="18" t="n">
        <v>90.43</v>
      </c>
      <c r="K6098" s="19" t="n">
        <v>29.14</v>
      </c>
      <c r="L6098" s="15" t="n">
        <f aca="false">YEAR(B6098)</f>
        <v>2025</v>
      </c>
      <c r="M6098" s="20" t="n">
        <f aca="false">IF(J6098&gt;0,K6098/J6098,0)</f>
        <v>0.322238195289174</v>
      </c>
    </row>
    <row r="6099" customFormat="false" ht="15" hidden="false" customHeight="false" outlineLevel="0" collapsed="false">
      <c r="A6099" s="15" t="s">
        <v>6156</v>
      </c>
      <c r="B6099" s="16" t="n">
        <v>45801</v>
      </c>
      <c r="C6099" s="15" t="s">
        <v>71</v>
      </c>
      <c r="D6099" s="15" t="s">
        <v>43</v>
      </c>
      <c r="E6099" s="15" t="s">
        <v>37</v>
      </c>
      <c r="F6099" s="15" t="s">
        <v>17</v>
      </c>
      <c r="G6099" s="15" t="s">
        <v>31</v>
      </c>
      <c r="H6099" s="15" t="n">
        <v>2</v>
      </c>
      <c r="I6099" s="17" t="n">
        <v>0</v>
      </c>
      <c r="J6099" s="18" t="n">
        <v>228.37</v>
      </c>
      <c r="K6099" s="19" t="n">
        <v>39.95</v>
      </c>
      <c r="L6099" s="15" t="n">
        <f aca="false">YEAR(B6099)</f>
        <v>2025</v>
      </c>
      <c r="M6099" s="20" t="n">
        <f aca="false">IF(J6099&gt;0,K6099/J6099,0)</f>
        <v>0.174935411831677</v>
      </c>
    </row>
    <row r="6100" customFormat="false" ht="15" hidden="false" customHeight="false" outlineLevel="0" collapsed="false">
      <c r="A6100" s="15" t="s">
        <v>6157</v>
      </c>
      <c r="B6100" s="16" t="n">
        <v>45347</v>
      </c>
      <c r="C6100" s="15" t="s">
        <v>71</v>
      </c>
      <c r="D6100" s="15" t="s">
        <v>43</v>
      </c>
      <c r="E6100" s="15" t="s">
        <v>36</v>
      </c>
      <c r="F6100" s="15" t="s">
        <v>17</v>
      </c>
      <c r="G6100" s="15" t="s">
        <v>28</v>
      </c>
      <c r="H6100" s="15" t="n">
        <v>3</v>
      </c>
      <c r="I6100" s="17" t="n">
        <v>0.2</v>
      </c>
      <c r="J6100" s="18" t="n">
        <v>64.32</v>
      </c>
      <c r="K6100" s="19" t="n">
        <v>7.53</v>
      </c>
      <c r="L6100" s="15" t="n">
        <f aca="false">YEAR(B6100)</f>
        <v>2024</v>
      </c>
      <c r="M6100" s="20" t="n">
        <f aca="false">IF(J6100&gt;0,K6100/J6100,0)</f>
        <v>0.117070895522388</v>
      </c>
    </row>
    <row r="6101" customFormat="false" ht="15" hidden="false" customHeight="false" outlineLevel="0" collapsed="false">
      <c r="A6101" s="15" t="s">
        <v>6158</v>
      </c>
      <c r="B6101" s="16" t="n">
        <v>44925</v>
      </c>
      <c r="C6101" s="15" t="s">
        <v>56</v>
      </c>
      <c r="D6101" s="15" t="s">
        <v>43</v>
      </c>
      <c r="E6101" s="15" t="s">
        <v>38</v>
      </c>
      <c r="F6101" s="15" t="s">
        <v>16</v>
      </c>
      <c r="G6101" s="15" t="s">
        <v>23</v>
      </c>
      <c r="H6101" s="15" t="n">
        <v>5</v>
      </c>
      <c r="I6101" s="17" t="n">
        <v>0.3</v>
      </c>
      <c r="J6101" s="18" t="n">
        <v>965.09</v>
      </c>
      <c r="K6101" s="19" t="n">
        <v>-237.24</v>
      </c>
      <c r="L6101" s="15" t="n">
        <f aca="false">YEAR(B6101)</f>
        <v>2022</v>
      </c>
      <c r="M6101" s="20" t="n">
        <f aca="false">IF(J6101&gt;0,K6101/J6101,0)</f>
        <v>-0.245821633215555</v>
      </c>
    </row>
    <row r="6102" customFormat="false" ht="15" hidden="false" customHeight="false" outlineLevel="0" collapsed="false">
      <c r="A6102" s="15" t="s">
        <v>6159</v>
      </c>
      <c r="B6102" s="16" t="n">
        <v>45937</v>
      </c>
      <c r="C6102" s="15" t="s">
        <v>56</v>
      </c>
      <c r="D6102" s="15" t="s">
        <v>44</v>
      </c>
      <c r="E6102" s="15" t="s">
        <v>39</v>
      </c>
      <c r="F6102" s="15" t="s">
        <v>17</v>
      </c>
      <c r="G6102" s="15" t="s">
        <v>28</v>
      </c>
      <c r="H6102" s="15" t="n">
        <v>3</v>
      </c>
      <c r="I6102" s="17" t="n">
        <v>0.1</v>
      </c>
      <c r="J6102" s="18" t="n">
        <v>60.85</v>
      </c>
      <c r="K6102" s="19" t="n">
        <v>14.23</v>
      </c>
      <c r="L6102" s="15" t="n">
        <f aca="false">YEAR(B6102)</f>
        <v>2025</v>
      </c>
      <c r="M6102" s="20" t="n">
        <f aca="false">IF(J6102&gt;0,K6102/J6102,0)</f>
        <v>0.233853738701726</v>
      </c>
    </row>
    <row r="6103" customFormat="false" ht="15" hidden="false" customHeight="false" outlineLevel="0" collapsed="false">
      <c r="A6103" s="15" t="s">
        <v>6160</v>
      </c>
      <c r="B6103" s="16" t="n">
        <v>44803</v>
      </c>
      <c r="C6103" s="15" t="s">
        <v>56</v>
      </c>
      <c r="D6103" s="15" t="s">
        <v>43</v>
      </c>
      <c r="E6103" s="15" t="s">
        <v>39</v>
      </c>
      <c r="F6103" s="15" t="s">
        <v>17</v>
      </c>
      <c r="G6103" s="15" t="s">
        <v>29</v>
      </c>
      <c r="H6103" s="15" t="n">
        <v>4</v>
      </c>
      <c r="I6103" s="17" t="n">
        <v>0</v>
      </c>
      <c r="J6103" s="18" t="n">
        <v>83.13</v>
      </c>
      <c r="K6103" s="19" t="n">
        <v>30.48</v>
      </c>
      <c r="L6103" s="15" t="n">
        <f aca="false">YEAR(B6103)</f>
        <v>2022</v>
      </c>
      <c r="M6103" s="20" t="n">
        <f aca="false">IF(J6103&gt;0,K6103/J6103,0)</f>
        <v>0.366654637315049</v>
      </c>
    </row>
    <row r="6104" customFormat="false" ht="15" hidden="false" customHeight="false" outlineLevel="0" collapsed="false">
      <c r="A6104" s="15" t="s">
        <v>6161</v>
      </c>
      <c r="B6104" s="16" t="n">
        <v>45792</v>
      </c>
      <c r="C6104" s="15" t="s">
        <v>56</v>
      </c>
      <c r="D6104" s="15" t="s">
        <v>42</v>
      </c>
      <c r="E6104" s="15" t="s">
        <v>39</v>
      </c>
      <c r="F6104" s="15" t="s">
        <v>17</v>
      </c>
      <c r="G6104" s="15" t="s">
        <v>28</v>
      </c>
      <c r="H6104" s="15" t="n">
        <v>7</v>
      </c>
      <c r="I6104" s="17" t="n">
        <v>0.15</v>
      </c>
      <c r="J6104" s="18" t="n">
        <v>153.49</v>
      </c>
      <c r="K6104" s="19" t="n">
        <v>21.04</v>
      </c>
      <c r="L6104" s="15" t="n">
        <f aca="false">YEAR(B6104)</f>
        <v>2025</v>
      </c>
      <c r="M6104" s="20" t="n">
        <f aca="false">IF(J6104&gt;0,K6104/J6104,0)</f>
        <v>0.137077334028275</v>
      </c>
    </row>
    <row r="6105" customFormat="false" ht="15" hidden="false" customHeight="false" outlineLevel="0" collapsed="false">
      <c r="A6105" s="15" t="s">
        <v>6162</v>
      </c>
      <c r="B6105" s="16" t="n">
        <v>44857</v>
      </c>
      <c r="C6105" s="15" t="s">
        <v>56</v>
      </c>
      <c r="D6105" s="15" t="s">
        <v>44</v>
      </c>
      <c r="E6105" s="15" t="s">
        <v>38</v>
      </c>
      <c r="F6105" s="15" t="s">
        <v>18</v>
      </c>
      <c r="G6105" s="15" t="s">
        <v>24</v>
      </c>
      <c r="H6105" s="15" t="n">
        <v>7</v>
      </c>
      <c r="I6105" s="17" t="n">
        <v>0</v>
      </c>
      <c r="J6105" s="18" t="n">
        <v>5253.59</v>
      </c>
      <c r="K6105" s="19" t="n">
        <v>59.83</v>
      </c>
      <c r="L6105" s="15" t="n">
        <f aca="false">YEAR(B6105)</f>
        <v>2022</v>
      </c>
      <c r="M6105" s="20" t="n">
        <f aca="false">IF(J6105&gt;0,K6105/J6105,0)</f>
        <v>0.0113884029777733</v>
      </c>
    </row>
    <row r="6106" customFormat="false" ht="15" hidden="false" customHeight="false" outlineLevel="0" collapsed="false">
      <c r="A6106" s="15" t="s">
        <v>6163</v>
      </c>
      <c r="B6106" s="16" t="n">
        <v>45848</v>
      </c>
      <c r="C6106" s="15" t="s">
        <v>71</v>
      </c>
      <c r="D6106" s="15" t="s">
        <v>43</v>
      </c>
      <c r="E6106" s="15" t="s">
        <v>39</v>
      </c>
      <c r="F6106" s="15" t="s">
        <v>17</v>
      </c>
      <c r="G6106" s="15" t="s">
        <v>28</v>
      </c>
      <c r="H6106" s="15" t="n">
        <v>2</v>
      </c>
      <c r="I6106" s="17" t="n">
        <v>0</v>
      </c>
      <c r="J6106" s="18" t="n">
        <v>53.96</v>
      </c>
      <c r="K6106" s="19" t="n">
        <v>13.14</v>
      </c>
      <c r="L6106" s="15" t="n">
        <f aca="false">YEAR(B6106)</f>
        <v>2025</v>
      </c>
      <c r="M6106" s="20" t="n">
        <f aca="false">IF(J6106&gt;0,K6106/J6106,0)</f>
        <v>0.24351371386212</v>
      </c>
    </row>
    <row r="6107" customFormat="false" ht="15" hidden="false" customHeight="false" outlineLevel="0" collapsed="false">
      <c r="A6107" s="15" t="s">
        <v>6164</v>
      </c>
      <c r="B6107" s="16" t="n">
        <v>44681</v>
      </c>
      <c r="C6107" s="15" t="s">
        <v>56</v>
      </c>
      <c r="D6107" s="15" t="s">
        <v>43</v>
      </c>
      <c r="E6107" s="15" t="s">
        <v>39</v>
      </c>
      <c r="F6107" s="15" t="s">
        <v>17</v>
      </c>
      <c r="G6107" s="15" t="s">
        <v>31</v>
      </c>
      <c r="H6107" s="15" t="n">
        <v>4</v>
      </c>
      <c r="I6107" s="17" t="n">
        <v>0.1</v>
      </c>
      <c r="J6107" s="18" t="n">
        <v>702.54</v>
      </c>
      <c r="K6107" s="19" t="n">
        <v>76.4</v>
      </c>
      <c r="L6107" s="15" t="n">
        <f aca="false">YEAR(B6107)</f>
        <v>2022</v>
      </c>
      <c r="M6107" s="20" t="n">
        <f aca="false">IF(J6107&gt;0,K6107/J6107,0)</f>
        <v>0.108748256327042</v>
      </c>
    </row>
    <row r="6108" customFormat="false" ht="15" hidden="false" customHeight="false" outlineLevel="0" collapsed="false">
      <c r="A6108" s="15" t="s">
        <v>6165</v>
      </c>
      <c r="B6108" s="16" t="n">
        <v>45121</v>
      </c>
      <c r="C6108" s="15" t="s">
        <v>56</v>
      </c>
      <c r="D6108" s="15" t="s">
        <v>43</v>
      </c>
      <c r="E6108" s="15" t="s">
        <v>36</v>
      </c>
      <c r="F6108" s="15" t="s">
        <v>17</v>
      </c>
      <c r="G6108" s="15" t="s">
        <v>31</v>
      </c>
      <c r="H6108" s="15" t="n">
        <v>2</v>
      </c>
      <c r="I6108" s="17" t="n">
        <v>0.2</v>
      </c>
      <c r="J6108" s="18" t="n">
        <v>206.39</v>
      </c>
      <c r="K6108" s="19" t="n">
        <v>13.27</v>
      </c>
      <c r="L6108" s="15" t="n">
        <f aca="false">YEAR(B6108)</f>
        <v>2023</v>
      </c>
      <c r="M6108" s="20" t="n">
        <f aca="false">IF(J6108&gt;0,K6108/J6108,0)</f>
        <v>0.0642957507631184</v>
      </c>
    </row>
    <row r="6109" customFormat="false" ht="15" hidden="false" customHeight="false" outlineLevel="0" collapsed="false">
      <c r="A6109" s="15" t="s">
        <v>6166</v>
      </c>
      <c r="B6109" s="16" t="n">
        <v>45831</v>
      </c>
      <c r="C6109" s="15" t="s">
        <v>56</v>
      </c>
      <c r="D6109" s="15" t="s">
        <v>42</v>
      </c>
      <c r="E6109" s="15" t="s">
        <v>37</v>
      </c>
      <c r="F6109" s="15" t="s">
        <v>17</v>
      </c>
      <c r="G6109" s="15" t="s">
        <v>31</v>
      </c>
      <c r="H6109" s="15" t="n">
        <v>4</v>
      </c>
      <c r="I6109" s="17" t="n">
        <v>0</v>
      </c>
      <c r="J6109" s="18" t="n">
        <v>575.55</v>
      </c>
      <c r="K6109" s="19" t="n">
        <v>117.05</v>
      </c>
      <c r="L6109" s="15" t="n">
        <f aca="false">YEAR(B6109)</f>
        <v>2025</v>
      </c>
      <c r="M6109" s="20" t="n">
        <f aca="false">IF(J6109&gt;0,K6109/J6109,0)</f>
        <v>0.203370688906264</v>
      </c>
    </row>
    <row r="6110" customFormat="false" ht="15" hidden="false" customHeight="false" outlineLevel="0" collapsed="false">
      <c r="A6110" s="15" t="s">
        <v>6167</v>
      </c>
      <c r="B6110" s="16" t="n">
        <v>44901</v>
      </c>
      <c r="C6110" s="15" t="s">
        <v>71</v>
      </c>
      <c r="D6110" s="15" t="s">
        <v>43</v>
      </c>
      <c r="E6110" s="15" t="s">
        <v>39</v>
      </c>
      <c r="F6110" s="15" t="s">
        <v>16</v>
      </c>
      <c r="G6110" s="15" t="s">
        <v>27</v>
      </c>
      <c r="H6110" s="15" t="n">
        <v>3</v>
      </c>
      <c r="I6110" s="17" t="n">
        <v>0</v>
      </c>
      <c r="J6110" s="18" t="n">
        <v>243.75</v>
      </c>
      <c r="K6110" s="19" t="n">
        <v>39.25</v>
      </c>
      <c r="L6110" s="15" t="n">
        <f aca="false">YEAR(B6110)</f>
        <v>2022</v>
      </c>
      <c r="M6110" s="20" t="n">
        <f aca="false">IF(J6110&gt;0,K6110/J6110,0)</f>
        <v>0.161025641025641</v>
      </c>
    </row>
    <row r="6111" customFormat="false" ht="15" hidden="false" customHeight="false" outlineLevel="0" collapsed="false">
      <c r="A6111" s="15" t="s">
        <v>6168</v>
      </c>
      <c r="B6111" s="16" t="n">
        <v>45992</v>
      </c>
      <c r="C6111" s="15" t="s">
        <v>56</v>
      </c>
      <c r="D6111" s="15" t="s">
        <v>42</v>
      </c>
      <c r="E6111" s="15" t="s">
        <v>36</v>
      </c>
      <c r="F6111" s="15" t="s">
        <v>16</v>
      </c>
      <c r="G6111" s="15" t="s">
        <v>25</v>
      </c>
      <c r="H6111" s="15" t="n">
        <v>5</v>
      </c>
      <c r="I6111" s="17" t="n">
        <v>0.05</v>
      </c>
      <c r="J6111" s="18" t="n">
        <v>1384.58</v>
      </c>
      <c r="K6111" s="19" t="n">
        <v>-39.4</v>
      </c>
      <c r="L6111" s="15" t="n">
        <f aca="false">YEAR(B6111)</f>
        <v>2025</v>
      </c>
      <c r="M6111" s="20" t="n">
        <f aca="false">IF(J6111&gt;0,K6111/J6111,0)</f>
        <v>-0.0284562827716708</v>
      </c>
    </row>
    <row r="6112" customFormat="false" ht="15" hidden="false" customHeight="false" outlineLevel="0" collapsed="false">
      <c r="A6112" s="15" t="s">
        <v>6169</v>
      </c>
      <c r="B6112" s="16" t="n">
        <v>44828</v>
      </c>
      <c r="C6112" s="15" t="s">
        <v>56</v>
      </c>
      <c r="D6112" s="15" t="s">
        <v>42</v>
      </c>
      <c r="E6112" s="15" t="s">
        <v>37</v>
      </c>
      <c r="F6112" s="15" t="s">
        <v>18</v>
      </c>
      <c r="G6112" s="15" t="s">
        <v>30</v>
      </c>
      <c r="H6112" s="15" t="n">
        <v>2</v>
      </c>
      <c r="I6112" s="17" t="n">
        <v>0.2</v>
      </c>
      <c r="J6112" s="18" t="n">
        <v>70.99</v>
      </c>
      <c r="K6112" s="19" t="n">
        <v>9.81</v>
      </c>
      <c r="L6112" s="15" t="n">
        <f aca="false">YEAR(B6112)</f>
        <v>2022</v>
      </c>
      <c r="M6112" s="20" t="n">
        <f aca="false">IF(J6112&gt;0,K6112/J6112,0)</f>
        <v>0.138188477250317</v>
      </c>
    </row>
    <row r="6113" customFormat="false" ht="15" hidden="false" customHeight="false" outlineLevel="0" collapsed="false">
      <c r="A6113" s="15" t="s">
        <v>6170</v>
      </c>
      <c r="B6113" s="16" t="n">
        <v>45067</v>
      </c>
      <c r="C6113" s="15" t="s">
        <v>56</v>
      </c>
      <c r="D6113" s="15" t="s">
        <v>44</v>
      </c>
      <c r="E6113" s="15" t="s">
        <v>37</v>
      </c>
      <c r="F6113" s="15" t="s">
        <v>17</v>
      </c>
      <c r="G6113" s="15" t="s">
        <v>29</v>
      </c>
      <c r="H6113" s="15" t="n">
        <v>4</v>
      </c>
      <c r="I6113" s="17" t="n">
        <v>0.05</v>
      </c>
      <c r="J6113" s="18" t="n">
        <v>91.94</v>
      </c>
      <c r="K6113" s="19" t="n">
        <v>33.4</v>
      </c>
      <c r="L6113" s="15" t="n">
        <f aca="false">YEAR(B6113)</f>
        <v>2023</v>
      </c>
      <c r="M6113" s="20" t="n">
        <f aca="false">IF(J6113&gt;0,K6113/J6113,0)</f>
        <v>0.36328040026104</v>
      </c>
    </row>
    <row r="6114" customFormat="false" ht="15" hidden="false" customHeight="false" outlineLevel="0" collapsed="false">
      <c r="A6114" s="15" t="s">
        <v>6171</v>
      </c>
      <c r="B6114" s="16" t="n">
        <v>44835</v>
      </c>
      <c r="C6114" s="15" t="s">
        <v>68</v>
      </c>
      <c r="D6114" s="15" t="s">
        <v>44</v>
      </c>
      <c r="E6114" s="15" t="s">
        <v>39</v>
      </c>
      <c r="F6114" s="15" t="s">
        <v>17</v>
      </c>
      <c r="G6114" s="15" t="s">
        <v>28</v>
      </c>
      <c r="H6114" s="15" t="n">
        <v>5</v>
      </c>
      <c r="I6114" s="17" t="n">
        <v>0.1</v>
      </c>
      <c r="J6114" s="18" t="n">
        <v>127.74</v>
      </c>
      <c r="K6114" s="19" t="n">
        <v>27.63</v>
      </c>
      <c r="L6114" s="15" t="n">
        <f aca="false">YEAR(B6114)</f>
        <v>2022</v>
      </c>
      <c r="M6114" s="20" t="n">
        <f aca="false">IF(J6114&gt;0,K6114/J6114,0)</f>
        <v>0.216298731798967</v>
      </c>
    </row>
    <row r="6115" customFormat="false" ht="15" hidden="false" customHeight="false" outlineLevel="0" collapsed="false">
      <c r="A6115" s="15" t="s">
        <v>6172</v>
      </c>
      <c r="B6115" s="16" t="n">
        <v>45667</v>
      </c>
      <c r="C6115" s="15" t="s">
        <v>56</v>
      </c>
      <c r="D6115" s="15" t="s">
        <v>43</v>
      </c>
      <c r="E6115" s="15" t="s">
        <v>38</v>
      </c>
      <c r="F6115" s="15" t="s">
        <v>18</v>
      </c>
      <c r="G6115" s="15" t="s">
        <v>32</v>
      </c>
      <c r="H6115" s="15" t="n">
        <v>5</v>
      </c>
      <c r="I6115" s="17" t="n">
        <v>0</v>
      </c>
      <c r="J6115" s="18" t="n">
        <v>2231.33</v>
      </c>
      <c r="K6115" s="19" t="n">
        <v>277.46</v>
      </c>
      <c r="L6115" s="15" t="n">
        <f aca="false">YEAR(B6115)</f>
        <v>2025</v>
      </c>
      <c r="M6115" s="20" t="n">
        <f aca="false">IF(J6115&gt;0,K6115/J6115,0)</f>
        <v>0.124347362335468</v>
      </c>
    </row>
    <row r="6116" customFormat="false" ht="15" hidden="false" customHeight="false" outlineLevel="0" collapsed="false">
      <c r="A6116" s="15" t="s">
        <v>6173</v>
      </c>
      <c r="B6116" s="16" t="n">
        <v>45546</v>
      </c>
      <c r="C6116" s="15" t="s">
        <v>68</v>
      </c>
      <c r="D6116" s="15" t="s">
        <v>43</v>
      </c>
      <c r="E6116" s="15" t="s">
        <v>37</v>
      </c>
      <c r="F6116" s="15" t="s">
        <v>17</v>
      </c>
      <c r="G6116" s="15" t="s">
        <v>31</v>
      </c>
      <c r="H6116" s="15" t="n">
        <v>5</v>
      </c>
      <c r="I6116" s="17" t="n">
        <v>0</v>
      </c>
      <c r="J6116" s="18" t="n">
        <v>561.02</v>
      </c>
      <c r="K6116" s="19" t="n">
        <v>120.97</v>
      </c>
      <c r="L6116" s="15" t="n">
        <f aca="false">YEAR(B6116)</f>
        <v>2024</v>
      </c>
      <c r="M6116" s="20" t="n">
        <f aca="false">IF(J6116&gt;0,K6116/J6116,0)</f>
        <v>0.215625111404228</v>
      </c>
    </row>
    <row r="6117" customFormat="false" ht="15" hidden="false" customHeight="false" outlineLevel="0" collapsed="false">
      <c r="A6117" s="15" t="s">
        <v>6174</v>
      </c>
      <c r="B6117" s="16" t="n">
        <v>45973</v>
      </c>
      <c r="C6117" s="15" t="s">
        <v>56</v>
      </c>
      <c r="D6117" s="15" t="s">
        <v>43</v>
      </c>
      <c r="E6117" s="15" t="s">
        <v>39</v>
      </c>
      <c r="F6117" s="15" t="s">
        <v>17</v>
      </c>
      <c r="G6117" s="15" t="s">
        <v>28</v>
      </c>
      <c r="H6117" s="15" t="n">
        <v>2</v>
      </c>
      <c r="I6117" s="17" t="n">
        <v>0</v>
      </c>
      <c r="J6117" s="18" t="n">
        <v>70.34</v>
      </c>
      <c r="K6117" s="19" t="n">
        <v>21.23</v>
      </c>
      <c r="L6117" s="15" t="n">
        <f aca="false">YEAR(B6117)</f>
        <v>2025</v>
      </c>
      <c r="M6117" s="20" t="n">
        <f aca="false">IF(J6117&gt;0,K6117/J6117,0)</f>
        <v>0.301819732726756</v>
      </c>
    </row>
    <row r="6118" customFormat="false" ht="15" hidden="false" customHeight="false" outlineLevel="0" collapsed="false">
      <c r="A6118" s="15" t="s">
        <v>6175</v>
      </c>
      <c r="B6118" s="16" t="n">
        <v>45858</v>
      </c>
      <c r="C6118" s="15" t="s">
        <v>71</v>
      </c>
      <c r="D6118" s="15" t="s">
        <v>42</v>
      </c>
      <c r="E6118" s="15" t="s">
        <v>38</v>
      </c>
      <c r="F6118" s="15" t="s">
        <v>16</v>
      </c>
      <c r="G6118" s="15" t="s">
        <v>22</v>
      </c>
      <c r="H6118" s="15" t="n">
        <v>2</v>
      </c>
      <c r="I6118" s="17" t="n">
        <v>0.05</v>
      </c>
      <c r="J6118" s="18" t="n">
        <v>1111.58</v>
      </c>
      <c r="K6118" s="19" t="n">
        <v>-66.27</v>
      </c>
      <c r="L6118" s="15" t="n">
        <f aca="false">YEAR(B6118)</f>
        <v>2025</v>
      </c>
      <c r="M6118" s="20" t="n">
        <f aca="false">IF(J6118&gt;0,K6118/J6118,0)</f>
        <v>-0.0596178412709836</v>
      </c>
    </row>
    <row r="6119" customFormat="false" ht="15" hidden="false" customHeight="false" outlineLevel="0" collapsed="false">
      <c r="A6119" s="15" t="s">
        <v>6176</v>
      </c>
      <c r="B6119" s="16" t="n">
        <v>45642</v>
      </c>
      <c r="C6119" s="15" t="s">
        <v>71</v>
      </c>
      <c r="D6119" s="15" t="s">
        <v>42</v>
      </c>
      <c r="E6119" s="15" t="s">
        <v>39</v>
      </c>
      <c r="F6119" s="15" t="s">
        <v>18</v>
      </c>
      <c r="G6119" s="15" t="s">
        <v>30</v>
      </c>
      <c r="H6119" s="15" t="n">
        <v>4</v>
      </c>
      <c r="I6119" s="17" t="n">
        <v>0.1</v>
      </c>
      <c r="J6119" s="18" t="n">
        <v>183.09</v>
      </c>
      <c r="K6119" s="19" t="n">
        <v>46.25</v>
      </c>
      <c r="L6119" s="15" t="n">
        <f aca="false">YEAR(B6119)</f>
        <v>2024</v>
      </c>
      <c r="M6119" s="20" t="n">
        <f aca="false">IF(J6119&gt;0,K6119/J6119,0)</f>
        <v>0.252608006991097</v>
      </c>
    </row>
    <row r="6120" customFormat="false" ht="15" hidden="false" customHeight="false" outlineLevel="0" collapsed="false">
      <c r="A6120" s="15" t="s">
        <v>6177</v>
      </c>
      <c r="B6120" s="16" t="n">
        <v>44772</v>
      </c>
      <c r="C6120" s="15" t="s">
        <v>56</v>
      </c>
      <c r="D6120" s="15" t="s">
        <v>44</v>
      </c>
      <c r="E6120" s="15" t="s">
        <v>36</v>
      </c>
      <c r="F6120" s="15" t="s">
        <v>17</v>
      </c>
      <c r="G6120" s="15" t="s">
        <v>29</v>
      </c>
      <c r="H6120" s="15" t="n">
        <v>1</v>
      </c>
      <c r="I6120" s="17" t="n">
        <v>0</v>
      </c>
      <c r="J6120" s="18" t="n">
        <v>15.95</v>
      </c>
      <c r="K6120" s="19" t="n">
        <v>6.26</v>
      </c>
      <c r="L6120" s="15" t="n">
        <f aca="false">YEAR(B6120)</f>
        <v>2022</v>
      </c>
      <c r="M6120" s="20" t="n">
        <f aca="false">IF(J6120&gt;0,K6120/J6120,0)</f>
        <v>0.392476489028213</v>
      </c>
    </row>
    <row r="6121" customFormat="false" ht="15" hidden="false" customHeight="false" outlineLevel="0" collapsed="false">
      <c r="A6121" s="15" t="s">
        <v>6178</v>
      </c>
      <c r="B6121" s="16" t="n">
        <v>45150</v>
      </c>
      <c r="C6121" s="15" t="s">
        <v>71</v>
      </c>
      <c r="D6121" s="15" t="s">
        <v>42</v>
      </c>
      <c r="E6121" s="15" t="s">
        <v>38</v>
      </c>
      <c r="F6121" s="15" t="s">
        <v>18</v>
      </c>
      <c r="G6121" s="15" t="s">
        <v>30</v>
      </c>
      <c r="H6121" s="15" t="n">
        <v>1</v>
      </c>
      <c r="I6121" s="17" t="n">
        <v>0</v>
      </c>
      <c r="J6121" s="18" t="n">
        <v>46.37</v>
      </c>
      <c r="K6121" s="19" t="n">
        <v>12.53</v>
      </c>
      <c r="L6121" s="15" t="n">
        <f aca="false">YEAR(B6121)</f>
        <v>2023</v>
      </c>
      <c r="M6121" s="20" t="n">
        <f aca="false">IF(J6121&gt;0,K6121/J6121,0)</f>
        <v>0.27021781324132</v>
      </c>
    </row>
    <row r="6122" customFormat="false" ht="15" hidden="false" customHeight="false" outlineLevel="0" collapsed="false">
      <c r="A6122" s="15" t="s">
        <v>6179</v>
      </c>
      <c r="B6122" s="16" t="n">
        <v>45513</v>
      </c>
      <c r="C6122" s="15" t="s">
        <v>56</v>
      </c>
      <c r="D6122" s="15" t="s">
        <v>43</v>
      </c>
      <c r="E6122" s="15" t="s">
        <v>38</v>
      </c>
      <c r="F6122" s="15" t="s">
        <v>17</v>
      </c>
      <c r="G6122" s="15" t="s">
        <v>31</v>
      </c>
      <c r="H6122" s="15" t="n">
        <v>3</v>
      </c>
      <c r="I6122" s="17" t="n">
        <v>0.2</v>
      </c>
      <c r="J6122" s="18" t="n">
        <v>348.44</v>
      </c>
      <c r="K6122" s="19" t="n">
        <v>-3.42</v>
      </c>
      <c r="L6122" s="15" t="n">
        <f aca="false">YEAR(B6122)</f>
        <v>2024</v>
      </c>
      <c r="M6122" s="20" t="n">
        <f aca="false">IF(J6122&gt;0,K6122/J6122,0)</f>
        <v>-0.00981517621398232</v>
      </c>
    </row>
    <row r="6123" customFormat="false" ht="15" hidden="false" customHeight="false" outlineLevel="0" collapsed="false">
      <c r="A6123" s="15" t="s">
        <v>6180</v>
      </c>
      <c r="B6123" s="16" t="n">
        <v>45491</v>
      </c>
      <c r="C6123" s="15" t="s">
        <v>56</v>
      </c>
      <c r="D6123" s="15" t="s">
        <v>42</v>
      </c>
      <c r="E6123" s="15" t="s">
        <v>37</v>
      </c>
      <c r="F6123" s="15" t="s">
        <v>17</v>
      </c>
      <c r="G6123" s="15" t="s">
        <v>29</v>
      </c>
      <c r="H6123" s="15" t="n">
        <v>3</v>
      </c>
      <c r="I6123" s="17" t="n">
        <v>0.1</v>
      </c>
      <c r="J6123" s="18" t="n">
        <v>43.94</v>
      </c>
      <c r="K6123" s="19" t="n">
        <v>13.82</v>
      </c>
      <c r="L6123" s="15" t="n">
        <f aca="false">YEAR(B6123)</f>
        <v>2024</v>
      </c>
      <c r="M6123" s="20" t="n">
        <f aca="false">IF(J6123&gt;0,K6123/J6123,0)</f>
        <v>0.3145197997269</v>
      </c>
    </row>
    <row r="6124" customFormat="false" ht="15" hidden="false" customHeight="false" outlineLevel="0" collapsed="false">
      <c r="A6124" s="15" t="s">
        <v>6181</v>
      </c>
      <c r="B6124" s="16" t="n">
        <v>45543</v>
      </c>
      <c r="C6124" s="15" t="s">
        <v>56</v>
      </c>
      <c r="D6124" s="15" t="s">
        <v>42</v>
      </c>
      <c r="E6124" s="15" t="s">
        <v>37</v>
      </c>
      <c r="F6124" s="15" t="s">
        <v>17</v>
      </c>
      <c r="G6124" s="15" t="s">
        <v>26</v>
      </c>
      <c r="H6124" s="15" t="n">
        <v>3</v>
      </c>
      <c r="I6124" s="17" t="n">
        <v>0</v>
      </c>
      <c r="J6124" s="18" t="n">
        <v>233.14</v>
      </c>
      <c r="K6124" s="19" t="n">
        <v>22.27</v>
      </c>
      <c r="L6124" s="15" t="n">
        <f aca="false">YEAR(B6124)</f>
        <v>2024</v>
      </c>
      <c r="M6124" s="20" t="n">
        <f aca="false">IF(J6124&gt;0,K6124/J6124,0)</f>
        <v>0.0955220039461268</v>
      </c>
    </row>
    <row r="6125" customFormat="false" ht="15" hidden="false" customHeight="false" outlineLevel="0" collapsed="false">
      <c r="A6125" s="15" t="s">
        <v>6182</v>
      </c>
      <c r="B6125" s="16" t="n">
        <v>44695</v>
      </c>
      <c r="C6125" s="15" t="s">
        <v>71</v>
      </c>
      <c r="D6125" s="15" t="s">
        <v>42</v>
      </c>
      <c r="E6125" s="15" t="s">
        <v>36</v>
      </c>
      <c r="F6125" s="15" t="s">
        <v>17</v>
      </c>
      <c r="G6125" s="15" t="s">
        <v>31</v>
      </c>
      <c r="H6125" s="15" t="n">
        <v>3</v>
      </c>
      <c r="I6125" s="17" t="n">
        <v>0</v>
      </c>
      <c r="J6125" s="18" t="n">
        <v>363.38</v>
      </c>
      <c r="K6125" s="19" t="n">
        <v>68.95</v>
      </c>
      <c r="L6125" s="15" t="n">
        <f aca="false">YEAR(B6125)</f>
        <v>2022</v>
      </c>
      <c r="M6125" s="20" t="n">
        <f aca="false">IF(J6125&gt;0,K6125/J6125,0)</f>
        <v>0.18974627112114</v>
      </c>
    </row>
    <row r="6126" customFormat="false" ht="15" hidden="false" customHeight="false" outlineLevel="0" collapsed="false">
      <c r="A6126" s="15" t="s">
        <v>6183</v>
      </c>
      <c r="B6126" s="16" t="n">
        <v>45507</v>
      </c>
      <c r="C6126" s="15" t="s">
        <v>56</v>
      </c>
      <c r="D6126" s="15" t="s">
        <v>42</v>
      </c>
      <c r="E6126" s="15" t="s">
        <v>39</v>
      </c>
      <c r="F6126" s="15" t="s">
        <v>17</v>
      </c>
      <c r="G6126" s="15" t="s">
        <v>29</v>
      </c>
      <c r="H6126" s="15" t="n">
        <v>3</v>
      </c>
      <c r="I6126" s="17" t="n">
        <v>0</v>
      </c>
      <c r="J6126" s="18" t="n">
        <v>66.17</v>
      </c>
      <c r="K6126" s="19" t="n">
        <v>26.02</v>
      </c>
      <c r="L6126" s="15" t="n">
        <f aca="false">YEAR(B6126)</f>
        <v>2024</v>
      </c>
      <c r="M6126" s="20" t="n">
        <f aca="false">IF(J6126&gt;0,K6126/J6126,0)</f>
        <v>0.393229560223666</v>
      </c>
    </row>
    <row r="6127" customFormat="false" ht="15" hidden="false" customHeight="false" outlineLevel="0" collapsed="false">
      <c r="A6127" s="15" t="s">
        <v>6184</v>
      </c>
      <c r="B6127" s="16" t="n">
        <v>44823</v>
      </c>
      <c r="C6127" s="15" t="s">
        <v>56</v>
      </c>
      <c r="D6127" s="15" t="s">
        <v>43</v>
      </c>
      <c r="E6127" s="15" t="s">
        <v>36</v>
      </c>
      <c r="F6127" s="15" t="s">
        <v>17</v>
      </c>
      <c r="G6127" s="15" t="s">
        <v>28</v>
      </c>
      <c r="H6127" s="15" t="n">
        <v>2</v>
      </c>
      <c r="I6127" s="17" t="n">
        <v>0.15</v>
      </c>
      <c r="J6127" s="18" t="n">
        <v>41.09</v>
      </c>
      <c r="K6127" s="19" t="n">
        <v>6.3</v>
      </c>
      <c r="L6127" s="15" t="n">
        <f aca="false">YEAR(B6127)</f>
        <v>2022</v>
      </c>
      <c r="M6127" s="20" t="n">
        <f aca="false">IF(J6127&gt;0,K6127/J6127,0)</f>
        <v>0.153321976149915</v>
      </c>
    </row>
    <row r="6128" customFormat="false" ht="15" hidden="false" customHeight="false" outlineLevel="0" collapsed="false">
      <c r="A6128" s="15" t="s">
        <v>6185</v>
      </c>
      <c r="B6128" s="16" t="n">
        <v>46014</v>
      </c>
      <c r="C6128" s="15" t="s">
        <v>56</v>
      </c>
      <c r="D6128" s="15" t="s">
        <v>44</v>
      </c>
      <c r="E6128" s="15" t="s">
        <v>39</v>
      </c>
      <c r="F6128" s="15" t="s">
        <v>18</v>
      </c>
      <c r="G6128" s="15" t="s">
        <v>30</v>
      </c>
      <c r="H6128" s="15" t="n">
        <v>5</v>
      </c>
      <c r="I6128" s="17" t="n">
        <v>0.4</v>
      </c>
      <c r="J6128" s="18" t="n">
        <v>195.8</v>
      </c>
      <c r="K6128" s="19" t="n">
        <v>-14.95</v>
      </c>
      <c r="L6128" s="15" t="n">
        <f aca="false">YEAR(B6128)</f>
        <v>2025</v>
      </c>
      <c r="M6128" s="20" t="n">
        <f aca="false">IF(J6128&gt;0,K6128/J6128,0)</f>
        <v>-0.0763534218590398</v>
      </c>
    </row>
    <row r="6129" customFormat="false" ht="15" hidden="false" customHeight="false" outlineLevel="0" collapsed="false">
      <c r="A6129" s="15" t="s">
        <v>6186</v>
      </c>
      <c r="B6129" s="16" t="n">
        <v>45886</v>
      </c>
      <c r="C6129" s="15" t="s">
        <v>56</v>
      </c>
      <c r="D6129" s="15" t="s">
        <v>43</v>
      </c>
      <c r="E6129" s="15" t="s">
        <v>36</v>
      </c>
      <c r="F6129" s="15" t="s">
        <v>16</v>
      </c>
      <c r="G6129" s="15" t="s">
        <v>25</v>
      </c>
      <c r="H6129" s="15" t="n">
        <v>8</v>
      </c>
      <c r="I6129" s="17" t="n">
        <v>0.2</v>
      </c>
      <c r="J6129" s="18" t="n">
        <v>1791.97</v>
      </c>
      <c r="K6129" s="19" t="n">
        <v>-242.96</v>
      </c>
      <c r="L6129" s="15" t="n">
        <f aca="false">YEAR(B6129)</f>
        <v>2025</v>
      </c>
      <c r="M6129" s="20" t="n">
        <f aca="false">IF(J6129&gt;0,K6129/J6129,0)</f>
        <v>-0.135582626941299</v>
      </c>
    </row>
    <row r="6130" customFormat="false" ht="15" hidden="false" customHeight="false" outlineLevel="0" collapsed="false">
      <c r="A6130" s="15" t="s">
        <v>6187</v>
      </c>
      <c r="B6130" s="16" t="n">
        <v>45967</v>
      </c>
      <c r="C6130" s="15" t="s">
        <v>58</v>
      </c>
      <c r="D6130" s="15" t="s">
        <v>43</v>
      </c>
      <c r="E6130" s="15" t="s">
        <v>37</v>
      </c>
      <c r="F6130" s="15" t="s">
        <v>17</v>
      </c>
      <c r="G6130" s="15" t="s">
        <v>26</v>
      </c>
      <c r="H6130" s="15" t="n">
        <v>3</v>
      </c>
      <c r="I6130" s="17" t="n">
        <v>0.1</v>
      </c>
      <c r="J6130" s="18" t="n">
        <v>205.83</v>
      </c>
      <c r="K6130" s="19" t="n">
        <v>11.13</v>
      </c>
      <c r="L6130" s="15" t="n">
        <f aca="false">YEAR(B6130)</f>
        <v>2025</v>
      </c>
      <c r="M6130" s="20" t="n">
        <f aca="false">IF(J6130&gt;0,K6130/J6130,0)</f>
        <v>0.0540737501821892</v>
      </c>
    </row>
    <row r="6131" customFormat="false" ht="15" hidden="false" customHeight="false" outlineLevel="0" collapsed="false">
      <c r="A6131" s="15" t="s">
        <v>6188</v>
      </c>
      <c r="B6131" s="16" t="n">
        <v>45218</v>
      </c>
      <c r="C6131" s="15" t="s">
        <v>56</v>
      </c>
      <c r="D6131" s="15" t="s">
        <v>42</v>
      </c>
      <c r="E6131" s="15" t="s">
        <v>39</v>
      </c>
      <c r="F6131" s="15" t="s">
        <v>16</v>
      </c>
      <c r="G6131" s="15" t="s">
        <v>23</v>
      </c>
      <c r="H6131" s="15" t="n">
        <v>3</v>
      </c>
      <c r="I6131" s="17" t="n">
        <v>0.1</v>
      </c>
      <c r="J6131" s="18" t="n">
        <v>888.14</v>
      </c>
      <c r="K6131" s="19" t="n">
        <v>-43.02</v>
      </c>
      <c r="L6131" s="15" t="n">
        <f aca="false">YEAR(B6131)</f>
        <v>2023</v>
      </c>
      <c r="M6131" s="20" t="n">
        <f aca="false">IF(J6131&gt;0,K6131/J6131,0)</f>
        <v>-0.0484383092755647</v>
      </c>
    </row>
    <row r="6132" customFormat="false" ht="15" hidden="false" customHeight="false" outlineLevel="0" collapsed="false">
      <c r="A6132" s="15" t="s">
        <v>6189</v>
      </c>
      <c r="B6132" s="16" t="n">
        <v>45974</v>
      </c>
      <c r="C6132" s="15" t="s">
        <v>56</v>
      </c>
      <c r="D6132" s="15" t="s">
        <v>42</v>
      </c>
      <c r="E6132" s="15" t="s">
        <v>36</v>
      </c>
      <c r="F6132" s="15" t="s">
        <v>16</v>
      </c>
      <c r="G6132" s="15" t="s">
        <v>25</v>
      </c>
      <c r="H6132" s="15" t="n">
        <v>5</v>
      </c>
      <c r="I6132" s="17" t="n">
        <v>0.1</v>
      </c>
      <c r="J6132" s="18" t="n">
        <v>1102.09</v>
      </c>
      <c r="K6132" s="19" t="n">
        <v>-19.88</v>
      </c>
      <c r="L6132" s="15" t="n">
        <f aca="false">YEAR(B6132)</f>
        <v>2025</v>
      </c>
      <c r="M6132" s="20" t="n">
        <f aca="false">IF(J6132&gt;0,K6132/J6132,0)</f>
        <v>-0.0180384542097288</v>
      </c>
    </row>
    <row r="6133" customFormat="false" ht="15" hidden="false" customHeight="false" outlineLevel="0" collapsed="false">
      <c r="A6133" s="15" t="s">
        <v>6190</v>
      </c>
      <c r="B6133" s="16" t="n">
        <v>45147</v>
      </c>
      <c r="C6133" s="15" t="s">
        <v>71</v>
      </c>
      <c r="D6133" s="15" t="s">
        <v>42</v>
      </c>
      <c r="E6133" s="15" t="s">
        <v>37</v>
      </c>
      <c r="F6133" s="15" t="s">
        <v>17</v>
      </c>
      <c r="G6133" s="15" t="s">
        <v>29</v>
      </c>
      <c r="H6133" s="15" t="n">
        <v>8</v>
      </c>
      <c r="I6133" s="17" t="n">
        <v>0</v>
      </c>
      <c r="J6133" s="18" t="n">
        <v>175.8</v>
      </c>
      <c r="K6133" s="19" t="n">
        <v>79</v>
      </c>
      <c r="L6133" s="15" t="n">
        <f aca="false">YEAR(B6133)</f>
        <v>2023</v>
      </c>
      <c r="M6133" s="20" t="n">
        <f aca="false">IF(J6133&gt;0,K6133/J6133,0)</f>
        <v>0.449374288964733</v>
      </c>
    </row>
    <row r="6134" customFormat="false" ht="15" hidden="false" customHeight="false" outlineLevel="0" collapsed="false">
      <c r="A6134" s="15" t="s">
        <v>6191</v>
      </c>
      <c r="B6134" s="16" t="n">
        <v>45324</v>
      </c>
      <c r="C6134" s="15" t="s">
        <v>71</v>
      </c>
      <c r="D6134" s="15" t="s">
        <v>42</v>
      </c>
      <c r="E6134" s="15" t="s">
        <v>39</v>
      </c>
      <c r="F6134" s="15" t="s">
        <v>17</v>
      </c>
      <c r="G6134" s="15" t="s">
        <v>26</v>
      </c>
      <c r="H6134" s="15" t="n">
        <v>1</v>
      </c>
      <c r="I6134" s="17" t="n">
        <v>0.2</v>
      </c>
      <c r="J6134" s="18" t="n">
        <v>67.01</v>
      </c>
      <c r="K6134" s="19" t="n">
        <v>-6.7</v>
      </c>
      <c r="L6134" s="15" t="n">
        <f aca="false">YEAR(B6134)</f>
        <v>2024</v>
      </c>
      <c r="M6134" s="20" t="n">
        <f aca="false">IF(J6134&gt;0,K6134/J6134,0)</f>
        <v>-0.0999850768542009</v>
      </c>
    </row>
    <row r="6135" customFormat="false" ht="15" hidden="false" customHeight="false" outlineLevel="0" collapsed="false">
      <c r="A6135" s="15" t="s">
        <v>6192</v>
      </c>
      <c r="B6135" s="16" t="n">
        <v>45196</v>
      </c>
      <c r="C6135" s="15" t="s">
        <v>58</v>
      </c>
      <c r="D6135" s="15" t="s">
        <v>43</v>
      </c>
      <c r="E6135" s="15" t="s">
        <v>37</v>
      </c>
      <c r="F6135" s="15" t="s">
        <v>17</v>
      </c>
      <c r="G6135" s="15" t="s">
        <v>29</v>
      </c>
      <c r="H6135" s="15" t="n">
        <v>6</v>
      </c>
      <c r="I6135" s="17" t="n">
        <v>0.1</v>
      </c>
      <c r="J6135" s="18" t="n">
        <v>99.7</v>
      </c>
      <c r="K6135" s="19" t="n">
        <v>20.41</v>
      </c>
      <c r="L6135" s="15" t="n">
        <f aca="false">YEAR(B6135)</f>
        <v>2023</v>
      </c>
      <c r="M6135" s="20" t="n">
        <f aca="false">IF(J6135&gt;0,K6135/J6135,0)</f>
        <v>0.204714142427282</v>
      </c>
    </row>
    <row r="6136" customFormat="false" ht="15" hidden="false" customHeight="false" outlineLevel="0" collapsed="false">
      <c r="A6136" s="15" t="s">
        <v>6193</v>
      </c>
      <c r="B6136" s="16" t="n">
        <v>45619</v>
      </c>
      <c r="C6136" s="15" t="s">
        <v>56</v>
      </c>
      <c r="D6136" s="15" t="s">
        <v>42</v>
      </c>
      <c r="E6136" s="15" t="s">
        <v>37</v>
      </c>
      <c r="F6136" s="15" t="s">
        <v>17</v>
      </c>
      <c r="G6136" s="15" t="s">
        <v>26</v>
      </c>
      <c r="H6136" s="15" t="n">
        <v>3</v>
      </c>
      <c r="I6136" s="17" t="n">
        <v>0.2</v>
      </c>
      <c r="J6136" s="18" t="n">
        <v>190.46</v>
      </c>
      <c r="K6136" s="19" t="n">
        <v>-21.21</v>
      </c>
      <c r="L6136" s="15" t="n">
        <f aca="false">YEAR(B6136)</f>
        <v>2024</v>
      </c>
      <c r="M6136" s="20" t="n">
        <f aca="false">IF(J6136&gt;0,K6136/J6136,0)</f>
        <v>-0.11136196576709</v>
      </c>
    </row>
    <row r="6137" customFormat="false" ht="15" hidden="false" customHeight="false" outlineLevel="0" collapsed="false">
      <c r="A6137" s="15" t="s">
        <v>6194</v>
      </c>
      <c r="B6137" s="16" t="n">
        <v>46022</v>
      </c>
      <c r="C6137" s="15" t="s">
        <v>56</v>
      </c>
      <c r="D6137" s="15" t="s">
        <v>42</v>
      </c>
      <c r="E6137" s="15" t="s">
        <v>39</v>
      </c>
      <c r="F6137" s="15" t="s">
        <v>18</v>
      </c>
      <c r="G6137" s="15" t="s">
        <v>32</v>
      </c>
      <c r="H6137" s="15" t="n">
        <v>2</v>
      </c>
      <c r="I6137" s="17" t="n">
        <v>0.4</v>
      </c>
      <c r="J6137" s="18" t="n">
        <v>490.27</v>
      </c>
      <c r="K6137" s="19" t="n">
        <v>-92.54</v>
      </c>
      <c r="L6137" s="15" t="n">
        <f aca="false">YEAR(B6137)</f>
        <v>2025</v>
      </c>
      <c r="M6137" s="20" t="n">
        <f aca="false">IF(J6137&gt;0,K6137/J6137,0)</f>
        <v>-0.188753136027087</v>
      </c>
    </row>
    <row r="6138" customFormat="false" ht="15" hidden="false" customHeight="false" outlineLevel="0" collapsed="false">
      <c r="A6138" s="15" t="s">
        <v>6195</v>
      </c>
      <c r="B6138" s="16" t="n">
        <v>45077</v>
      </c>
      <c r="C6138" s="15" t="s">
        <v>68</v>
      </c>
      <c r="D6138" s="15" t="s">
        <v>44</v>
      </c>
      <c r="E6138" s="15" t="s">
        <v>39</v>
      </c>
      <c r="F6138" s="15" t="s">
        <v>16</v>
      </c>
      <c r="G6138" s="15" t="s">
        <v>27</v>
      </c>
      <c r="H6138" s="15" t="n">
        <v>3</v>
      </c>
      <c r="I6138" s="17" t="n">
        <v>0.1</v>
      </c>
      <c r="J6138" s="18" t="n">
        <v>198.98</v>
      </c>
      <c r="K6138" s="19" t="n">
        <v>22.24</v>
      </c>
      <c r="L6138" s="15" t="n">
        <f aca="false">YEAR(B6138)</f>
        <v>2023</v>
      </c>
      <c r="M6138" s="20" t="n">
        <f aca="false">IF(J6138&gt;0,K6138/J6138,0)</f>
        <v>0.111770027138406</v>
      </c>
    </row>
    <row r="6139" customFormat="false" ht="15" hidden="false" customHeight="false" outlineLevel="0" collapsed="false">
      <c r="A6139" s="15" t="s">
        <v>6196</v>
      </c>
      <c r="B6139" s="16" t="n">
        <v>45121</v>
      </c>
      <c r="C6139" s="15" t="s">
        <v>71</v>
      </c>
      <c r="D6139" s="15" t="s">
        <v>43</v>
      </c>
      <c r="E6139" s="15" t="s">
        <v>39</v>
      </c>
      <c r="F6139" s="15" t="s">
        <v>17</v>
      </c>
      <c r="G6139" s="15" t="s">
        <v>31</v>
      </c>
      <c r="H6139" s="15" t="n">
        <v>5</v>
      </c>
      <c r="I6139" s="17" t="n">
        <v>0.15</v>
      </c>
      <c r="J6139" s="18" t="n">
        <v>610.81</v>
      </c>
      <c r="K6139" s="19" t="n">
        <v>17.93</v>
      </c>
      <c r="L6139" s="15" t="n">
        <f aca="false">YEAR(B6139)</f>
        <v>2023</v>
      </c>
      <c r="M6139" s="20" t="n">
        <f aca="false">IF(J6139&gt;0,K6139/J6139,0)</f>
        <v>0.0293544637448634</v>
      </c>
    </row>
    <row r="6140" customFormat="false" ht="15" hidden="false" customHeight="false" outlineLevel="0" collapsed="false">
      <c r="A6140" s="15" t="s">
        <v>6197</v>
      </c>
      <c r="B6140" s="16" t="n">
        <v>45868</v>
      </c>
      <c r="C6140" s="15" t="s">
        <v>56</v>
      </c>
      <c r="D6140" s="15" t="s">
        <v>43</v>
      </c>
      <c r="E6140" s="15" t="s">
        <v>36</v>
      </c>
      <c r="F6140" s="15" t="s">
        <v>17</v>
      </c>
      <c r="G6140" s="15" t="s">
        <v>31</v>
      </c>
      <c r="H6140" s="15" t="n">
        <v>1</v>
      </c>
      <c r="I6140" s="17" t="n">
        <v>0.3</v>
      </c>
      <c r="J6140" s="18" t="n">
        <v>86.41</v>
      </c>
      <c r="K6140" s="19" t="n">
        <v>-9.92</v>
      </c>
      <c r="L6140" s="15" t="n">
        <f aca="false">YEAR(B6140)</f>
        <v>2025</v>
      </c>
      <c r="M6140" s="20" t="n">
        <f aca="false">IF(J6140&gt;0,K6140/J6140,0)</f>
        <v>-0.114801527600972</v>
      </c>
    </row>
    <row r="6141" customFormat="false" ht="15" hidden="false" customHeight="false" outlineLevel="0" collapsed="false">
      <c r="A6141" s="15" t="s">
        <v>6198</v>
      </c>
      <c r="B6141" s="16" t="n">
        <v>45144</v>
      </c>
      <c r="C6141" s="15" t="s">
        <v>56</v>
      </c>
      <c r="D6141" s="15" t="s">
        <v>42</v>
      </c>
      <c r="E6141" s="15" t="s">
        <v>36</v>
      </c>
      <c r="F6141" s="15" t="s">
        <v>16</v>
      </c>
      <c r="G6141" s="15" t="s">
        <v>27</v>
      </c>
      <c r="H6141" s="15" t="n">
        <v>3</v>
      </c>
      <c r="I6141" s="17" t="n">
        <v>0</v>
      </c>
      <c r="J6141" s="18" t="n">
        <v>176.06</v>
      </c>
      <c r="K6141" s="19" t="n">
        <v>41.86</v>
      </c>
      <c r="L6141" s="15" t="n">
        <f aca="false">YEAR(B6141)</f>
        <v>2023</v>
      </c>
      <c r="M6141" s="20" t="n">
        <f aca="false">IF(J6141&gt;0,K6141/J6141,0)</f>
        <v>0.237759854595024</v>
      </c>
    </row>
    <row r="6142" customFormat="false" ht="15" hidden="false" customHeight="false" outlineLevel="0" collapsed="false">
      <c r="A6142" s="15" t="s">
        <v>6199</v>
      </c>
      <c r="B6142" s="16" t="n">
        <v>45503</v>
      </c>
      <c r="C6142" s="15" t="s">
        <v>56</v>
      </c>
      <c r="D6142" s="15" t="s">
        <v>42</v>
      </c>
      <c r="E6142" s="15" t="s">
        <v>36</v>
      </c>
      <c r="F6142" s="15" t="s">
        <v>18</v>
      </c>
      <c r="G6142" s="15" t="s">
        <v>24</v>
      </c>
      <c r="H6142" s="15" t="n">
        <v>9</v>
      </c>
      <c r="I6142" s="17" t="n">
        <v>0</v>
      </c>
      <c r="J6142" s="18" t="n">
        <v>4458.59</v>
      </c>
      <c r="K6142" s="19" t="n">
        <v>487.24</v>
      </c>
      <c r="L6142" s="15" t="n">
        <f aca="false">YEAR(B6142)</f>
        <v>2024</v>
      </c>
      <c r="M6142" s="20" t="n">
        <f aca="false">IF(J6142&gt;0,K6142/J6142,0)</f>
        <v>0.109281185307463</v>
      </c>
    </row>
    <row r="6143" customFormat="false" ht="15" hidden="false" customHeight="false" outlineLevel="0" collapsed="false">
      <c r="A6143" s="15" t="s">
        <v>6200</v>
      </c>
      <c r="B6143" s="16" t="n">
        <v>45755</v>
      </c>
      <c r="C6143" s="15" t="s">
        <v>56</v>
      </c>
      <c r="D6143" s="15" t="s">
        <v>42</v>
      </c>
      <c r="E6143" s="15" t="s">
        <v>38</v>
      </c>
      <c r="F6143" s="15" t="s">
        <v>16</v>
      </c>
      <c r="G6143" s="15" t="s">
        <v>22</v>
      </c>
      <c r="H6143" s="15" t="n">
        <v>3</v>
      </c>
      <c r="I6143" s="17" t="n">
        <v>0.05</v>
      </c>
      <c r="J6143" s="18" t="n">
        <v>1371.91</v>
      </c>
      <c r="K6143" s="19" t="n">
        <v>-112.77</v>
      </c>
      <c r="L6143" s="15" t="n">
        <f aca="false">YEAR(B6143)</f>
        <v>2025</v>
      </c>
      <c r="M6143" s="20" t="n">
        <f aca="false">IF(J6143&gt;0,K6143/J6143,0)</f>
        <v>-0.0821992696313898</v>
      </c>
    </row>
    <row r="6144" customFormat="false" ht="15" hidden="false" customHeight="false" outlineLevel="0" collapsed="false">
      <c r="A6144" s="15" t="s">
        <v>6201</v>
      </c>
      <c r="B6144" s="16" t="n">
        <v>45244</v>
      </c>
      <c r="C6144" s="15" t="s">
        <v>71</v>
      </c>
      <c r="D6144" s="15" t="s">
        <v>43</v>
      </c>
      <c r="E6144" s="15" t="s">
        <v>37</v>
      </c>
      <c r="F6144" s="15" t="s">
        <v>18</v>
      </c>
      <c r="G6144" s="15" t="s">
        <v>32</v>
      </c>
      <c r="H6144" s="15" t="n">
        <v>3</v>
      </c>
      <c r="I6144" s="17" t="n">
        <v>0</v>
      </c>
      <c r="J6144" s="18" t="n">
        <v>1682.68</v>
      </c>
      <c r="K6144" s="19" t="n">
        <v>269.03</v>
      </c>
      <c r="L6144" s="15" t="n">
        <f aca="false">YEAR(B6144)</f>
        <v>2023</v>
      </c>
      <c r="M6144" s="20" t="n">
        <f aca="false">IF(J6144&gt;0,K6144/J6144,0)</f>
        <v>0.159881855135855</v>
      </c>
    </row>
    <row r="6145" customFormat="false" ht="15" hidden="false" customHeight="false" outlineLevel="0" collapsed="false">
      <c r="A6145" s="15" t="s">
        <v>6202</v>
      </c>
      <c r="B6145" s="16" t="n">
        <v>45956</v>
      </c>
      <c r="C6145" s="15" t="s">
        <v>56</v>
      </c>
      <c r="D6145" s="15" t="s">
        <v>43</v>
      </c>
      <c r="E6145" s="15" t="s">
        <v>36</v>
      </c>
      <c r="F6145" s="15" t="s">
        <v>17</v>
      </c>
      <c r="G6145" s="15" t="s">
        <v>31</v>
      </c>
      <c r="H6145" s="15" t="n">
        <v>2</v>
      </c>
      <c r="I6145" s="17" t="n">
        <v>0</v>
      </c>
      <c r="J6145" s="18" t="n">
        <v>224.32</v>
      </c>
      <c r="K6145" s="19" t="n">
        <v>47.3</v>
      </c>
      <c r="L6145" s="15" t="n">
        <f aca="false">YEAR(B6145)</f>
        <v>2025</v>
      </c>
      <c r="M6145" s="20" t="n">
        <f aca="false">IF(J6145&gt;0,K6145/J6145,0)</f>
        <v>0.210859486447932</v>
      </c>
    </row>
    <row r="6146" customFormat="false" ht="15" hidden="false" customHeight="false" outlineLevel="0" collapsed="false">
      <c r="A6146" s="15" t="s">
        <v>6203</v>
      </c>
      <c r="B6146" s="16" t="n">
        <v>45677</v>
      </c>
      <c r="C6146" s="15" t="s">
        <v>56</v>
      </c>
      <c r="D6146" s="15" t="s">
        <v>42</v>
      </c>
      <c r="E6146" s="15" t="s">
        <v>37</v>
      </c>
      <c r="F6146" s="15" t="s">
        <v>17</v>
      </c>
      <c r="G6146" s="15" t="s">
        <v>28</v>
      </c>
      <c r="H6146" s="15" t="n">
        <v>3</v>
      </c>
      <c r="I6146" s="17" t="n">
        <v>0.05</v>
      </c>
      <c r="J6146" s="18" t="n">
        <v>82.58</v>
      </c>
      <c r="K6146" s="19" t="n">
        <v>21.15</v>
      </c>
      <c r="L6146" s="15" t="n">
        <f aca="false">YEAR(B6146)</f>
        <v>2025</v>
      </c>
      <c r="M6146" s="20" t="n">
        <f aca="false">IF(J6146&gt;0,K6146/J6146,0)</f>
        <v>0.256115282150642</v>
      </c>
    </row>
    <row r="6147" customFormat="false" ht="15" hidden="false" customHeight="false" outlineLevel="0" collapsed="false">
      <c r="A6147" s="15" t="s">
        <v>6204</v>
      </c>
      <c r="B6147" s="16" t="n">
        <v>45074</v>
      </c>
      <c r="C6147" s="15" t="s">
        <v>71</v>
      </c>
      <c r="D6147" s="15" t="s">
        <v>42</v>
      </c>
      <c r="E6147" s="15" t="s">
        <v>38</v>
      </c>
      <c r="F6147" s="15" t="s">
        <v>18</v>
      </c>
      <c r="G6147" s="15" t="s">
        <v>30</v>
      </c>
      <c r="H6147" s="15" t="n">
        <v>5</v>
      </c>
      <c r="I6147" s="17" t="n">
        <v>0.4</v>
      </c>
      <c r="J6147" s="18" t="n">
        <v>135.62</v>
      </c>
      <c r="K6147" s="19" t="n">
        <v>-8.22</v>
      </c>
      <c r="L6147" s="15" t="n">
        <f aca="false">YEAR(B6147)</f>
        <v>2023</v>
      </c>
      <c r="M6147" s="20" t="n">
        <f aca="false">IF(J6147&gt;0,K6147/J6147,0)</f>
        <v>-0.0606105294204395</v>
      </c>
    </row>
    <row r="6148" customFormat="false" ht="15" hidden="false" customHeight="false" outlineLevel="0" collapsed="false">
      <c r="A6148" s="15" t="s">
        <v>6205</v>
      </c>
      <c r="B6148" s="16" t="n">
        <v>45086</v>
      </c>
      <c r="C6148" s="15" t="s">
        <v>56</v>
      </c>
      <c r="D6148" s="15" t="s">
        <v>42</v>
      </c>
      <c r="E6148" s="15" t="s">
        <v>37</v>
      </c>
      <c r="F6148" s="15" t="s">
        <v>17</v>
      </c>
      <c r="G6148" s="15" t="s">
        <v>29</v>
      </c>
      <c r="H6148" s="15" t="n">
        <v>2</v>
      </c>
      <c r="I6148" s="17" t="n">
        <v>0.15</v>
      </c>
      <c r="J6148" s="18" t="n">
        <v>37.32</v>
      </c>
      <c r="K6148" s="19" t="n">
        <v>7.79</v>
      </c>
      <c r="L6148" s="15" t="n">
        <f aca="false">YEAR(B6148)</f>
        <v>2023</v>
      </c>
      <c r="M6148" s="20" t="n">
        <f aca="false">IF(J6148&gt;0,K6148/J6148,0)</f>
        <v>0.208735262593784</v>
      </c>
    </row>
    <row r="6149" customFormat="false" ht="15" hidden="false" customHeight="false" outlineLevel="0" collapsed="false">
      <c r="A6149" s="15" t="s">
        <v>6206</v>
      </c>
      <c r="B6149" s="16" t="n">
        <v>45902</v>
      </c>
      <c r="C6149" s="15" t="s">
        <v>71</v>
      </c>
      <c r="D6149" s="15" t="s">
        <v>43</v>
      </c>
      <c r="E6149" s="15" t="s">
        <v>39</v>
      </c>
      <c r="F6149" s="15" t="s">
        <v>17</v>
      </c>
      <c r="G6149" s="15" t="s">
        <v>26</v>
      </c>
      <c r="H6149" s="15" t="n">
        <v>3</v>
      </c>
      <c r="I6149" s="17" t="n">
        <v>0</v>
      </c>
      <c r="J6149" s="18" t="n">
        <v>306.05</v>
      </c>
      <c r="K6149" s="19" t="n">
        <v>28.56</v>
      </c>
      <c r="L6149" s="15" t="n">
        <f aca="false">YEAR(B6149)</f>
        <v>2025</v>
      </c>
      <c r="M6149" s="20" t="n">
        <f aca="false">IF(J6149&gt;0,K6149/J6149,0)</f>
        <v>0.093318085280183</v>
      </c>
    </row>
    <row r="6150" customFormat="false" ht="15" hidden="false" customHeight="false" outlineLevel="0" collapsed="false">
      <c r="A6150" s="15" t="s">
        <v>6207</v>
      </c>
      <c r="B6150" s="16" t="n">
        <v>45649</v>
      </c>
      <c r="C6150" s="15" t="s">
        <v>68</v>
      </c>
      <c r="D6150" s="15" t="s">
        <v>43</v>
      </c>
      <c r="E6150" s="15" t="s">
        <v>38</v>
      </c>
      <c r="F6150" s="15" t="s">
        <v>17</v>
      </c>
      <c r="G6150" s="15" t="s">
        <v>26</v>
      </c>
      <c r="H6150" s="15" t="n">
        <v>5</v>
      </c>
      <c r="I6150" s="17" t="n">
        <v>0.15</v>
      </c>
      <c r="J6150" s="18" t="n">
        <v>355.67</v>
      </c>
      <c r="K6150" s="19" t="n">
        <v>-16.8</v>
      </c>
      <c r="L6150" s="15" t="n">
        <f aca="false">YEAR(B6150)</f>
        <v>2024</v>
      </c>
      <c r="M6150" s="20" t="n">
        <f aca="false">IF(J6150&gt;0,K6150/J6150,0)</f>
        <v>-0.047234796299941</v>
      </c>
    </row>
    <row r="6151" customFormat="false" ht="15" hidden="false" customHeight="false" outlineLevel="0" collapsed="false">
      <c r="A6151" s="15" t="s">
        <v>6208</v>
      </c>
      <c r="B6151" s="16" t="n">
        <v>45481</v>
      </c>
      <c r="C6151" s="15" t="s">
        <v>56</v>
      </c>
      <c r="D6151" s="15" t="s">
        <v>42</v>
      </c>
      <c r="E6151" s="15" t="s">
        <v>38</v>
      </c>
      <c r="F6151" s="15" t="s">
        <v>17</v>
      </c>
      <c r="G6151" s="15" t="s">
        <v>26</v>
      </c>
      <c r="H6151" s="15" t="n">
        <v>5</v>
      </c>
      <c r="I6151" s="17" t="n">
        <v>0</v>
      </c>
      <c r="J6151" s="18" t="n">
        <v>363.98</v>
      </c>
      <c r="K6151" s="19" t="n">
        <v>26.17</v>
      </c>
      <c r="L6151" s="15" t="n">
        <f aca="false">YEAR(B6151)</f>
        <v>2024</v>
      </c>
      <c r="M6151" s="20" t="n">
        <f aca="false">IF(J6151&gt;0,K6151/J6151,0)</f>
        <v>0.0718995549206</v>
      </c>
    </row>
    <row r="6152" customFormat="false" ht="15" hidden="false" customHeight="false" outlineLevel="0" collapsed="false">
      <c r="A6152" s="15" t="s">
        <v>6209</v>
      </c>
      <c r="B6152" s="16" t="n">
        <v>44814</v>
      </c>
      <c r="C6152" s="15" t="s">
        <v>71</v>
      </c>
      <c r="D6152" s="15" t="s">
        <v>42</v>
      </c>
      <c r="E6152" s="15" t="s">
        <v>37</v>
      </c>
      <c r="F6152" s="15" t="s">
        <v>17</v>
      </c>
      <c r="G6152" s="15" t="s">
        <v>28</v>
      </c>
      <c r="H6152" s="15" t="n">
        <v>9</v>
      </c>
      <c r="I6152" s="17" t="n">
        <v>0</v>
      </c>
      <c r="J6152" s="18" t="n">
        <v>238.5</v>
      </c>
      <c r="K6152" s="19" t="n">
        <v>64.93</v>
      </c>
      <c r="L6152" s="15" t="n">
        <f aca="false">YEAR(B6152)</f>
        <v>2022</v>
      </c>
      <c r="M6152" s="20" t="n">
        <f aca="false">IF(J6152&gt;0,K6152/J6152,0)</f>
        <v>0.272243186582809</v>
      </c>
    </row>
    <row r="6153" customFormat="false" ht="15" hidden="false" customHeight="false" outlineLevel="0" collapsed="false">
      <c r="A6153" s="15" t="s">
        <v>6210</v>
      </c>
      <c r="B6153" s="16" t="n">
        <v>45354</v>
      </c>
      <c r="C6153" s="15" t="s">
        <v>56</v>
      </c>
      <c r="D6153" s="15" t="s">
        <v>42</v>
      </c>
      <c r="E6153" s="15" t="s">
        <v>36</v>
      </c>
      <c r="F6153" s="15" t="s">
        <v>16</v>
      </c>
      <c r="G6153" s="15" t="s">
        <v>25</v>
      </c>
      <c r="H6153" s="15" t="n">
        <v>2</v>
      </c>
      <c r="I6153" s="17" t="n">
        <v>0</v>
      </c>
      <c r="J6153" s="18" t="n">
        <v>498.77</v>
      </c>
      <c r="K6153" s="19" t="n">
        <v>10.03</v>
      </c>
      <c r="L6153" s="15" t="n">
        <f aca="false">YEAR(B6153)</f>
        <v>2024</v>
      </c>
      <c r="M6153" s="20" t="n">
        <f aca="false">IF(J6153&gt;0,K6153/J6153,0)</f>
        <v>0.0201094692944644</v>
      </c>
    </row>
    <row r="6154" customFormat="false" ht="15" hidden="false" customHeight="false" outlineLevel="0" collapsed="false">
      <c r="A6154" s="15" t="s">
        <v>6211</v>
      </c>
      <c r="B6154" s="16" t="n">
        <v>45677</v>
      </c>
      <c r="C6154" s="15" t="s">
        <v>56</v>
      </c>
      <c r="D6154" s="15" t="s">
        <v>42</v>
      </c>
      <c r="E6154" s="15" t="s">
        <v>39</v>
      </c>
      <c r="F6154" s="15" t="s">
        <v>17</v>
      </c>
      <c r="G6154" s="15" t="s">
        <v>28</v>
      </c>
      <c r="H6154" s="15" t="n">
        <v>3</v>
      </c>
      <c r="I6154" s="17" t="n">
        <v>0.15</v>
      </c>
      <c r="J6154" s="18" t="n">
        <v>61.6</v>
      </c>
      <c r="K6154" s="19" t="n">
        <v>10.39</v>
      </c>
      <c r="L6154" s="15" t="n">
        <f aca="false">YEAR(B6154)</f>
        <v>2025</v>
      </c>
      <c r="M6154" s="20" t="n">
        <f aca="false">IF(J6154&gt;0,K6154/J6154,0)</f>
        <v>0.168668831168831</v>
      </c>
    </row>
    <row r="6155" customFormat="false" ht="15" hidden="false" customHeight="false" outlineLevel="0" collapsed="false">
      <c r="A6155" s="15" t="s">
        <v>6212</v>
      </c>
      <c r="B6155" s="16" t="n">
        <v>44983</v>
      </c>
      <c r="C6155" s="15" t="s">
        <v>71</v>
      </c>
      <c r="D6155" s="15" t="s">
        <v>44</v>
      </c>
      <c r="E6155" s="15" t="s">
        <v>37</v>
      </c>
      <c r="F6155" s="15" t="s">
        <v>17</v>
      </c>
      <c r="G6155" s="15" t="s">
        <v>31</v>
      </c>
      <c r="H6155" s="15" t="n">
        <v>6</v>
      </c>
      <c r="I6155" s="17" t="n">
        <v>0</v>
      </c>
      <c r="J6155" s="18" t="n">
        <v>794.18</v>
      </c>
      <c r="K6155" s="19" t="n">
        <v>152.54</v>
      </c>
      <c r="L6155" s="15" t="n">
        <f aca="false">YEAR(B6155)</f>
        <v>2023</v>
      </c>
      <c r="M6155" s="20" t="n">
        <f aca="false">IF(J6155&gt;0,K6155/J6155,0)</f>
        <v>0.192072326172908</v>
      </c>
    </row>
    <row r="6156" customFormat="false" ht="15" hidden="false" customHeight="false" outlineLevel="0" collapsed="false">
      <c r="A6156" s="15" t="s">
        <v>6213</v>
      </c>
      <c r="B6156" s="16" t="n">
        <v>45055</v>
      </c>
      <c r="C6156" s="15" t="s">
        <v>56</v>
      </c>
      <c r="D6156" s="15" t="s">
        <v>43</v>
      </c>
      <c r="E6156" s="15" t="s">
        <v>39</v>
      </c>
      <c r="F6156" s="15" t="s">
        <v>16</v>
      </c>
      <c r="G6156" s="15" t="s">
        <v>23</v>
      </c>
      <c r="H6156" s="15" t="n">
        <v>2</v>
      </c>
      <c r="I6156" s="17" t="n">
        <v>0.15</v>
      </c>
      <c r="J6156" s="18" t="n">
        <v>616.88</v>
      </c>
      <c r="K6156" s="19" t="n">
        <v>-112.99</v>
      </c>
      <c r="L6156" s="15" t="n">
        <f aca="false">YEAR(B6156)</f>
        <v>2023</v>
      </c>
      <c r="M6156" s="20" t="n">
        <f aca="false">IF(J6156&gt;0,K6156/J6156,0)</f>
        <v>-0.18316366230061</v>
      </c>
    </row>
    <row r="6157" customFormat="false" ht="15" hidden="false" customHeight="false" outlineLevel="0" collapsed="false">
      <c r="A6157" s="15" t="s">
        <v>6214</v>
      </c>
      <c r="B6157" s="16" t="n">
        <v>45473</v>
      </c>
      <c r="C6157" s="15" t="s">
        <v>56</v>
      </c>
      <c r="D6157" s="15" t="s">
        <v>43</v>
      </c>
      <c r="E6157" s="15" t="s">
        <v>37</v>
      </c>
      <c r="F6157" s="15" t="s">
        <v>16</v>
      </c>
      <c r="G6157" s="15" t="s">
        <v>27</v>
      </c>
      <c r="H6157" s="15" t="n">
        <v>2</v>
      </c>
      <c r="I6157" s="17" t="n">
        <v>0</v>
      </c>
      <c r="J6157" s="18" t="n">
        <v>157.34</v>
      </c>
      <c r="K6157" s="19" t="n">
        <v>32.29</v>
      </c>
      <c r="L6157" s="15" t="n">
        <f aca="false">YEAR(B6157)</f>
        <v>2024</v>
      </c>
      <c r="M6157" s="20" t="n">
        <f aca="false">IF(J6157&gt;0,K6157/J6157,0)</f>
        <v>0.205224354900216</v>
      </c>
    </row>
    <row r="6158" customFormat="false" ht="15" hidden="false" customHeight="false" outlineLevel="0" collapsed="false">
      <c r="A6158" s="15" t="s">
        <v>6215</v>
      </c>
      <c r="B6158" s="16" t="n">
        <v>44970</v>
      </c>
      <c r="C6158" s="15" t="s">
        <v>56</v>
      </c>
      <c r="D6158" s="15" t="s">
        <v>43</v>
      </c>
      <c r="E6158" s="15" t="s">
        <v>39</v>
      </c>
      <c r="F6158" s="15" t="s">
        <v>17</v>
      </c>
      <c r="G6158" s="15" t="s">
        <v>29</v>
      </c>
      <c r="H6158" s="15" t="n">
        <v>4</v>
      </c>
      <c r="I6158" s="17" t="n">
        <v>0.2</v>
      </c>
      <c r="J6158" s="18" t="n">
        <v>68.27</v>
      </c>
      <c r="K6158" s="19" t="n">
        <v>17.17</v>
      </c>
      <c r="L6158" s="15" t="n">
        <f aca="false">YEAR(B6158)</f>
        <v>2023</v>
      </c>
      <c r="M6158" s="20" t="n">
        <f aca="false">IF(J6158&gt;0,K6158/J6158,0)</f>
        <v>0.251501391533617</v>
      </c>
    </row>
    <row r="6159" customFormat="false" ht="15" hidden="false" customHeight="false" outlineLevel="0" collapsed="false">
      <c r="A6159" s="15" t="s">
        <v>6216</v>
      </c>
      <c r="B6159" s="16" t="n">
        <v>45747</v>
      </c>
      <c r="C6159" s="15" t="s">
        <v>56</v>
      </c>
      <c r="D6159" s="15" t="s">
        <v>43</v>
      </c>
      <c r="E6159" s="15" t="s">
        <v>39</v>
      </c>
      <c r="F6159" s="15" t="s">
        <v>17</v>
      </c>
      <c r="G6159" s="15" t="s">
        <v>29</v>
      </c>
      <c r="H6159" s="15" t="n">
        <v>4</v>
      </c>
      <c r="I6159" s="17" t="n">
        <v>0.05</v>
      </c>
      <c r="J6159" s="18" t="n">
        <v>88.83</v>
      </c>
      <c r="K6159" s="19" t="n">
        <v>29.62</v>
      </c>
      <c r="L6159" s="15" t="n">
        <f aca="false">YEAR(B6159)</f>
        <v>2025</v>
      </c>
      <c r="M6159" s="20" t="n">
        <f aca="false">IF(J6159&gt;0,K6159/J6159,0)</f>
        <v>0.333445907913993</v>
      </c>
    </row>
    <row r="6160" customFormat="false" ht="15" hidden="false" customHeight="false" outlineLevel="0" collapsed="false">
      <c r="A6160" s="15" t="s">
        <v>6217</v>
      </c>
      <c r="B6160" s="16" t="n">
        <v>45917</v>
      </c>
      <c r="C6160" s="15" t="s">
        <v>56</v>
      </c>
      <c r="D6160" s="15" t="s">
        <v>43</v>
      </c>
      <c r="E6160" s="15" t="s">
        <v>39</v>
      </c>
      <c r="F6160" s="15" t="s">
        <v>17</v>
      </c>
      <c r="G6160" s="15" t="s">
        <v>29</v>
      </c>
      <c r="H6160" s="15" t="n">
        <v>7</v>
      </c>
      <c r="I6160" s="17" t="n">
        <v>0.05</v>
      </c>
      <c r="J6160" s="18" t="n">
        <v>116.81</v>
      </c>
      <c r="K6160" s="19" t="n">
        <v>25.56</v>
      </c>
      <c r="L6160" s="15" t="n">
        <f aca="false">YEAR(B6160)</f>
        <v>2025</v>
      </c>
      <c r="M6160" s="20" t="n">
        <f aca="false">IF(J6160&gt;0,K6160/J6160,0)</f>
        <v>0.218816882116257</v>
      </c>
    </row>
    <row r="6161" customFormat="false" ht="15" hidden="false" customHeight="false" outlineLevel="0" collapsed="false">
      <c r="A6161" s="15" t="s">
        <v>6218</v>
      </c>
      <c r="B6161" s="16" t="n">
        <v>45855</v>
      </c>
      <c r="C6161" s="15" t="s">
        <v>71</v>
      </c>
      <c r="D6161" s="15" t="s">
        <v>42</v>
      </c>
      <c r="E6161" s="15" t="s">
        <v>37</v>
      </c>
      <c r="F6161" s="15" t="s">
        <v>17</v>
      </c>
      <c r="G6161" s="15" t="s">
        <v>29</v>
      </c>
      <c r="H6161" s="15" t="n">
        <v>4</v>
      </c>
      <c r="I6161" s="17" t="n">
        <v>0.2</v>
      </c>
      <c r="J6161" s="18" t="n">
        <v>72.89</v>
      </c>
      <c r="K6161" s="19" t="n">
        <v>14.25</v>
      </c>
      <c r="L6161" s="15" t="n">
        <f aca="false">YEAR(B6161)</f>
        <v>2025</v>
      </c>
      <c r="M6161" s="20" t="n">
        <f aca="false">IF(J6161&gt;0,K6161/J6161,0)</f>
        <v>0.195500068596515</v>
      </c>
    </row>
    <row r="6162" customFormat="false" ht="15" hidden="false" customHeight="false" outlineLevel="0" collapsed="false">
      <c r="A6162" s="15" t="s">
        <v>6219</v>
      </c>
      <c r="B6162" s="16" t="n">
        <v>44626</v>
      </c>
      <c r="C6162" s="15" t="s">
        <v>56</v>
      </c>
      <c r="D6162" s="15" t="s">
        <v>42</v>
      </c>
      <c r="E6162" s="15" t="s">
        <v>39</v>
      </c>
      <c r="F6162" s="15" t="s">
        <v>17</v>
      </c>
      <c r="G6162" s="15" t="s">
        <v>31</v>
      </c>
      <c r="H6162" s="15" t="n">
        <v>7</v>
      </c>
      <c r="I6162" s="17" t="n">
        <v>0</v>
      </c>
      <c r="J6162" s="18" t="n">
        <v>1036.02</v>
      </c>
      <c r="K6162" s="19" t="n">
        <v>153.36</v>
      </c>
      <c r="L6162" s="15" t="n">
        <f aca="false">YEAR(B6162)</f>
        <v>2022</v>
      </c>
      <c r="M6162" s="20" t="n">
        <f aca="false">IF(J6162&gt;0,K6162/J6162,0)</f>
        <v>0.148028030346905</v>
      </c>
    </row>
    <row r="6163" customFormat="false" ht="15" hidden="false" customHeight="false" outlineLevel="0" collapsed="false">
      <c r="A6163" s="15" t="s">
        <v>6220</v>
      </c>
      <c r="B6163" s="16" t="n">
        <v>44802</v>
      </c>
      <c r="C6163" s="15" t="s">
        <v>71</v>
      </c>
      <c r="D6163" s="15" t="s">
        <v>42</v>
      </c>
      <c r="E6163" s="15" t="s">
        <v>36</v>
      </c>
      <c r="F6163" s="15" t="s">
        <v>18</v>
      </c>
      <c r="G6163" s="15" t="s">
        <v>30</v>
      </c>
      <c r="H6163" s="15" t="n">
        <v>3</v>
      </c>
      <c r="I6163" s="17" t="n">
        <v>0</v>
      </c>
      <c r="J6163" s="18" t="n">
        <v>132.8</v>
      </c>
      <c r="K6163" s="19" t="n">
        <v>36.53</v>
      </c>
      <c r="L6163" s="15" t="n">
        <f aca="false">YEAR(B6163)</f>
        <v>2022</v>
      </c>
      <c r="M6163" s="20" t="n">
        <f aca="false">IF(J6163&gt;0,K6163/J6163,0)</f>
        <v>0.275075301204819</v>
      </c>
    </row>
    <row r="6164" customFormat="false" ht="15" hidden="false" customHeight="false" outlineLevel="0" collapsed="false">
      <c r="A6164" s="15" t="s">
        <v>6221</v>
      </c>
      <c r="B6164" s="16" t="n">
        <v>44945</v>
      </c>
      <c r="C6164" s="15" t="s">
        <v>58</v>
      </c>
      <c r="D6164" s="15" t="s">
        <v>42</v>
      </c>
      <c r="E6164" s="15" t="s">
        <v>38</v>
      </c>
      <c r="F6164" s="15" t="s">
        <v>16</v>
      </c>
      <c r="G6164" s="15" t="s">
        <v>23</v>
      </c>
      <c r="H6164" s="15" t="n">
        <v>4</v>
      </c>
      <c r="I6164" s="17" t="n">
        <v>0</v>
      </c>
      <c r="J6164" s="18" t="n">
        <v>1223.64</v>
      </c>
      <c r="K6164" s="19" t="n">
        <v>-20.58</v>
      </c>
      <c r="L6164" s="15" t="n">
        <f aca="false">YEAR(B6164)</f>
        <v>2023</v>
      </c>
      <c r="M6164" s="20" t="n">
        <f aca="false">IF(J6164&gt;0,K6164/J6164,0)</f>
        <v>-0.016818672158478</v>
      </c>
    </row>
    <row r="6165" customFormat="false" ht="15" hidden="false" customHeight="false" outlineLevel="0" collapsed="false">
      <c r="A6165" s="15" t="s">
        <v>6222</v>
      </c>
      <c r="B6165" s="16" t="n">
        <v>45777</v>
      </c>
      <c r="C6165" s="15" t="s">
        <v>71</v>
      </c>
      <c r="D6165" s="15" t="s">
        <v>43</v>
      </c>
      <c r="E6165" s="15" t="s">
        <v>39</v>
      </c>
      <c r="F6165" s="15" t="s">
        <v>17</v>
      </c>
      <c r="G6165" s="15" t="s">
        <v>29</v>
      </c>
      <c r="H6165" s="15" t="n">
        <v>4</v>
      </c>
      <c r="I6165" s="17" t="n">
        <v>0.2</v>
      </c>
      <c r="J6165" s="18" t="n">
        <v>59.46</v>
      </c>
      <c r="K6165" s="19" t="n">
        <v>11.98</v>
      </c>
      <c r="L6165" s="15" t="n">
        <f aca="false">YEAR(B6165)</f>
        <v>2025</v>
      </c>
      <c r="M6165" s="20" t="n">
        <f aca="false">IF(J6165&gt;0,K6165/J6165,0)</f>
        <v>0.201479986545577</v>
      </c>
    </row>
    <row r="6166" customFormat="false" ht="15" hidden="false" customHeight="false" outlineLevel="0" collapsed="false">
      <c r="A6166" s="15" t="s">
        <v>6223</v>
      </c>
      <c r="B6166" s="16" t="n">
        <v>45517</v>
      </c>
      <c r="C6166" s="15" t="s">
        <v>68</v>
      </c>
      <c r="D6166" s="15" t="s">
        <v>43</v>
      </c>
      <c r="E6166" s="15" t="s">
        <v>38</v>
      </c>
      <c r="F6166" s="15" t="s">
        <v>18</v>
      </c>
      <c r="G6166" s="15" t="s">
        <v>24</v>
      </c>
      <c r="H6166" s="15" t="n">
        <v>2</v>
      </c>
      <c r="I6166" s="17" t="n">
        <v>0.15</v>
      </c>
      <c r="J6166" s="18" t="n">
        <v>944.32</v>
      </c>
      <c r="K6166" s="19" t="n">
        <v>-49.51</v>
      </c>
      <c r="L6166" s="15" t="n">
        <f aca="false">YEAR(B6166)</f>
        <v>2024</v>
      </c>
      <c r="M6166" s="20" t="n">
        <f aca="false">IF(J6166&gt;0,K6166/J6166,0)</f>
        <v>-0.052429261267367</v>
      </c>
    </row>
    <row r="6167" customFormat="false" ht="15" hidden="false" customHeight="false" outlineLevel="0" collapsed="false">
      <c r="A6167" s="15" t="s">
        <v>6224</v>
      </c>
      <c r="B6167" s="16" t="n">
        <v>44868</v>
      </c>
      <c r="C6167" s="15" t="s">
        <v>56</v>
      </c>
      <c r="D6167" s="15" t="s">
        <v>43</v>
      </c>
      <c r="E6167" s="15" t="s">
        <v>37</v>
      </c>
      <c r="F6167" s="15" t="s">
        <v>18</v>
      </c>
      <c r="G6167" s="15" t="s">
        <v>33</v>
      </c>
      <c r="H6167" s="15" t="n">
        <v>1</v>
      </c>
      <c r="I6167" s="17" t="n">
        <v>0</v>
      </c>
      <c r="J6167" s="18" t="n">
        <v>872.17</v>
      </c>
      <c r="K6167" s="19" t="n">
        <v>233.35</v>
      </c>
      <c r="L6167" s="15" t="n">
        <f aca="false">YEAR(B6167)</f>
        <v>2022</v>
      </c>
      <c r="M6167" s="20" t="n">
        <f aca="false">IF(J6167&gt;0,K6167/J6167,0)</f>
        <v>0.267551050827247</v>
      </c>
    </row>
    <row r="6168" customFormat="false" ht="15" hidden="false" customHeight="false" outlineLevel="0" collapsed="false">
      <c r="A6168" s="15" t="s">
        <v>6225</v>
      </c>
      <c r="B6168" s="16" t="n">
        <v>45006</v>
      </c>
      <c r="C6168" s="15" t="s">
        <v>56</v>
      </c>
      <c r="D6168" s="15" t="s">
        <v>42</v>
      </c>
      <c r="E6168" s="15" t="s">
        <v>36</v>
      </c>
      <c r="F6168" s="15" t="s">
        <v>17</v>
      </c>
      <c r="G6168" s="15" t="s">
        <v>28</v>
      </c>
      <c r="H6168" s="15" t="n">
        <v>2</v>
      </c>
      <c r="I6168" s="17" t="n">
        <v>0.3</v>
      </c>
      <c r="J6168" s="18" t="n">
        <v>42.14</v>
      </c>
      <c r="K6168" s="19" t="n">
        <v>1.7</v>
      </c>
      <c r="L6168" s="15" t="n">
        <f aca="false">YEAR(B6168)</f>
        <v>2023</v>
      </c>
      <c r="M6168" s="20" t="n">
        <f aca="false">IF(J6168&gt;0,K6168/J6168,0)</f>
        <v>0.0403417180825819</v>
      </c>
    </row>
    <row r="6169" customFormat="false" ht="15" hidden="false" customHeight="false" outlineLevel="0" collapsed="false">
      <c r="A6169" s="15" t="s">
        <v>6226</v>
      </c>
      <c r="B6169" s="16" t="n">
        <v>44731</v>
      </c>
      <c r="C6169" s="15" t="s">
        <v>56</v>
      </c>
      <c r="D6169" s="15" t="s">
        <v>42</v>
      </c>
      <c r="E6169" s="15" t="s">
        <v>36</v>
      </c>
      <c r="F6169" s="15" t="s">
        <v>16</v>
      </c>
      <c r="G6169" s="15" t="s">
        <v>27</v>
      </c>
      <c r="H6169" s="15" t="n">
        <v>4</v>
      </c>
      <c r="I6169" s="17" t="n">
        <v>0.05</v>
      </c>
      <c r="J6169" s="18" t="n">
        <v>160.8</v>
      </c>
      <c r="K6169" s="19" t="n">
        <v>29.15</v>
      </c>
      <c r="L6169" s="15" t="n">
        <f aca="false">YEAR(B6169)</f>
        <v>2022</v>
      </c>
      <c r="M6169" s="20" t="n">
        <f aca="false">IF(J6169&gt;0,K6169/J6169,0)</f>
        <v>0.181281094527363</v>
      </c>
    </row>
    <row r="6170" customFormat="false" ht="15" hidden="false" customHeight="false" outlineLevel="0" collapsed="false">
      <c r="A6170" s="15" t="s">
        <v>6227</v>
      </c>
      <c r="B6170" s="16" t="n">
        <v>44822</v>
      </c>
      <c r="C6170" s="15" t="s">
        <v>71</v>
      </c>
      <c r="D6170" s="15" t="s">
        <v>42</v>
      </c>
      <c r="E6170" s="15" t="s">
        <v>39</v>
      </c>
      <c r="F6170" s="15" t="s">
        <v>18</v>
      </c>
      <c r="G6170" s="15" t="s">
        <v>30</v>
      </c>
      <c r="H6170" s="15" t="n">
        <v>3</v>
      </c>
      <c r="I6170" s="17" t="n">
        <v>0</v>
      </c>
      <c r="J6170" s="18" t="n">
        <v>137.88</v>
      </c>
      <c r="K6170" s="19" t="n">
        <v>38.98</v>
      </c>
      <c r="L6170" s="15" t="n">
        <f aca="false">YEAR(B6170)</f>
        <v>2022</v>
      </c>
      <c r="M6170" s="20" t="n">
        <f aca="false">IF(J6170&gt;0,K6170/J6170,0)</f>
        <v>0.282709602552945</v>
      </c>
    </row>
    <row r="6171" customFormat="false" ht="15" hidden="false" customHeight="false" outlineLevel="0" collapsed="false">
      <c r="A6171" s="15" t="s">
        <v>6228</v>
      </c>
      <c r="B6171" s="16" t="n">
        <v>45281</v>
      </c>
      <c r="C6171" s="15" t="s">
        <v>71</v>
      </c>
      <c r="D6171" s="15" t="s">
        <v>42</v>
      </c>
      <c r="E6171" s="15" t="s">
        <v>36</v>
      </c>
      <c r="F6171" s="15" t="s">
        <v>17</v>
      </c>
      <c r="G6171" s="15" t="s">
        <v>28</v>
      </c>
      <c r="H6171" s="15" t="n">
        <v>2</v>
      </c>
      <c r="I6171" s="17" t="n">
        <v>0</v>
      </c>
      <c r="J6171" s="18" t="n">
        <v>44.26</v>
      </c>
      <c r="K6171" s="19" t="n">
        <v>16.21</v>
      </c>
      <c r="L6171" s="15" t="n">
        <f aca="false">YEAR(B6171)</f>
        <v>2023</v>
      </c>
      <c r="M6171" s="20" t="n">
        <f aca="false">IF(J6171&gt;0,K6171/J6171,0)</f>
        <v>0.366244916403073</v>
      </c>
    </row>
    <row r="6172" customFormat="false" ht="15" hidden="false" customHeight="false" outlineLevel="0" collapsed="false">
      <c r="A6172" s="15" t="s">
        <v>6229</v>
      </c>
      <c r="B6172" s="16" t="n">
        <v>45716</v>
      </c>
      <c r="C6172" s="15" t="s">
        <v>71</v>
      </c>
      <c r="D6172" s="15" t="s">
        <v>44</v>
      </c>
      <c r="E6172" s="15" t="s">
        <v>39</v>
      </c>
      <c r="F6172" s="15" t="s">
        <v>17</v>
      </c>
      <c r="G6172" s="15" t="s">
        <v>26</v>
      </c>
      <c r="H6172" s="15" t="n">
        <v>5</v>
      </c>
      <c r="I6172" s="17" t="n">
        <v>0.1</v>
      </c>
      <c r="J6172" s="18" t="n">
        <v>424.92</v>
      </c>
      <c r="K6172" s="19" t="n">
        <v>40.91</v>
      </c>
      <c r="L6172" s="15" t="n">
        <f aca="false">YEAR(B6172)</f>
        <v>2025</v>
      </c>
      <c r="M6172" s="20" t="n">
        <f aca="false">IF(J6172&gt;0,K6172/J6172,0)</f>
        <v>0.0962769462487056</v>
      </c>
    </row>
    <row r="6173" customFormat="false" ht="15" hidden="false" customHeight="false" outlineLevel="0" collapsed="false">
      <c r="A6173" s="15" t="s">
        <v>6230</v>
      </c>
      <c r="B6173" s="16" t="n">
        <v>45494</v>
      </c>
      <c r="C6173" s="15" t="s">
        <v>71</v>
      </c>
      <c r="D6173" s="15" t="s">
        <v>42</v>
      </c>
      <c r="E6173" s="15" t="s">
        <v>37</v>
      </c>
      <c r="F6173" s="15" t="s">
        <v>17</v>
      </c>
      <c r="G6173" s="15" t="s">
        <v>31</v>
      </c>
      <c r="H6173" s="15" t="n">
        <v>5</v>
      </c>
      <c r="I6173" s="17" t="n">
        <v>0</v>
      </c>
      <c r="J6173" s="18" t="n">
        <v>595.66</v>
      </c>
      <c r="K6173" s="19" t="n">
        <v>136.98</v>
      </c>
      <c r="L6173" s="15" t="n">
        <f aca="false">YEAR(B6173)</f>
        <v>2024</v>
      </c>
      <c r="M6173" s="20" t="n">
        <f aca="false">IF(J6173&gt;0,K6173/J6173,0)</f>
        <v>0.229963401940704</v>
      </c>
    </row>
    <row r="6174" customFormat="false" ht="15" hidden="false" customHeight="false" outlineLevel="0" collapsed="false">
      <c r="A6174" s="15" t="s">
        <v>6231</v>
      </c>
      <c r="B6174" s="16" t="n">
        <v>44919</v>
      </c>
      <c r="C6174" s="15" t="s">
        <v>58</v>
      </c>
      <c r="D6174" s="15" t="s">
        <v>42</v>
      </c>
      <c r="E6174" s="15" t="s">
        <v>39</v>
      </c>
      <c r="F6174" s="15" t="s">
        <v>17</v>
      </c>
      <c r="G6174" s="15" t="s">
        <v>29</v>
      </c>
      <c r="H6174" s="15" t="n">
        <v>5</v>
      </c>
      <c r="I6174" s="17" t="n">
        <v>0</v>
      </c>
      <c r="J6174" s="18" t="n">
        <v>161.92</v>
      </c>
      <c r="K6174" s="19" t="n">
        <v>74.96</v>
      </c>
      <c r="L6174" s="15" t="n">
        <f aca="false">YEAR(B6174)</f>
        <v>2022</v>
      </c>
      <c r="M6174" s="20" t="n">
        <f aca="false">IF(J6174&gt;0,K6174/J6174,0)</f>
        <v>0.462944664031621</v>
      </c>
    </row>
    <row r="6175" customFormat="false" ht="15" hidden="false" customHeight="false" outlineLevel="0" collapsed="false">
      <c r="A6175" s="15" t="s">
        <v>6232</v>
      </c>
      <c r="B6175" s="16" t="n">
        <v>45650</v>
      </c>
      <c r="C6175" s="15" t="s">
        <v>68</v>
      </c>
      <c r="D6175" s="15" t="s">
        <v>44</v>
      </c>
      <c r="E6175" s="15" t="s">
        <v>36</v>
      </c>
      <c r="F6175" s="15" t="s">
        <v>16</v>
      </c>
      <c r="G6175" s="15" t="s">
        <v>27</v>
      </c>
      <c r="H6175" s="15" t="n">
        <v>2</v>
      </c>
      <c r="I6175" s="17" t="n">
        <v>0.4</v>
      </c>
      <c r="J6175" s="18" t="n">
        <v>82.92</v>
      </c>
      <c r="K6175" s="19" t="n">
        <v>-7.05</v>
      </c>
      <c r="L6175" s="15" t="n">
        <f aca="false">YEAR(B6175)</f>
        <v>2024</v>
      </c>
      <c r="M6175" s="20" t="n">
        <f aca="false">IF(J6175&gt;0,K6175/J6175,0)</f>
        <v>-0.0850217076700434</v>
      </c>
    </row>
    <row r="6176" customFormat="false" ht="15" hidden="false" customHeight="false" outlineLevel="0" collapsed="false">
      <c r="A6176" s="15" t="s">
        <v>6233</v>
      </c>
      <c r="B6176" s="16" t="n">
        <v>45087</v>
      </c>
      <c r="C6176" s="15" t="s">
        <v>56</v>
      </c>
      <c r="D6176" s="15" t="s">
        <v>42</v>
      </c>
      <c r="E6176" s="15" t="s">
        <v>39</v>
      </c>
      <c r="F6176" s="15" t="s">
        <v>17</v>
      </c>
      <c r="G6176" s="15" t="s">
        <v>28</v>
      </c>
      <c r="H6176" s="15" t="n">
        <v>6</v>
      </c>
      <c r="I6176" s="17" t="n">
        <v>0.2</v>
      </c>
      <c r="J6176" s="18" t="n">
        <v>163.38</v>
      </c>
      <c r="K6176" s="19" t="n">
        <v>15.34</v>
      </c>
      <c r="L6176" s="15" t="n">
        <f aca="false">YEAR(B6176)</f>
        <v>2023</v>
      </c>
      <c r="M6176" s="20" t="n">
        <f aca="false">IF(J6176&gt;0,K6176/J6176,0)</f>
        <v>0.0938915411923124</v>
      </c>
    </row>
    <row r="6177" customFormat="false" ht="15" hidden="false" customHeight="false" outlineLevel="0" collapsed="false">
      <c r="A6177" s="15" t="s">
        <v>6234</v>
      </c>
      <c r="B6177" s="16" t="n">
        <v>45233</v>
      </c>
      <c r="C6177" s="15" t="s">
        <v>56</v>
      </c>
      <c r="D6177" s="15" t="s">
        <v>42</v>
      </c>
      <c r="E6177" s="15" t="s">
        <v>38</v>
      </c>
      <c r="F6177" s="15" t="s">
        <v>18</v>
      </c>
      <c r="G6177" s="15" t="s">
        <v>33</v>
      </c>
      <c r="H6177" s="15" t="n">
        <v>2</v>
      </c>
      <c r="I6177" s="17" t="n">
        <v>0</v>
      </c>
      <c r="J6177" s="18" t="n">
        <v>1620.95</v>
      </c>
      <c r="K6177" s="19" t="n">
        <v>448.49</v>
      </c>
      <c r="L6177" s="15" t="n">
        <f aca="false">YEAR(B6177)</f>
        <v>2023</v>
      </c>
      <c r="M6177" s="20" t="n">
        <f aca="false">IF(J6177&gt;0,K6177/J6177,0)</f>
        <v>0.276683426385761</v>
      </c>
    </row>
    <row r="6178" customFormat="false" ht="15" hidden="false" customHeight="false" outlineLevel="0" collapsed="false">
      <c r="A6178" s="15" t="s">
        <v>6235</v>
      </c>
      <c r="B6178" s="16" t="n">
        <v>45727</v>
      </c>
      <c r="C6178" s="15" t="s">
        <v>58</v>
      </c>
      <c r="D6178" s="15" t="s">
        <v>42</v>
      </c>
      <c r="E6178" s="15" t="s">
        <v>39</v>
      </c>
      <c r="F6178" s="15" t="s">
        <v>18</v>
      </c>
      <c r="G6178" s="15" t="s">
        <v>30</v>
      </c>
      <c r="H6178" s="15" t="n">
        <v>5</v>
      </c>
      <c r="I6178" s="17" t="n">
        <v>0.1</v>
      </c>
      <c r="J6178" s="18" t="n">
        <v>181.71</v>
      </c>
      <c r="K6178" s="19" t="n">
        <v>36.1</v>
      </c>
      <c r="L6178" s="15" t="n">
        <f aca="false">YEAR(B6178)</f>
        <v>2025</v>
      </c>
      <c r="M6178" s="20" t="n">
        <f aca="false">IF(J6178&gt;0,K6178/J6178,0)</f>
        <v>0.198668207583512</v>
      </c>
    </row>
    <row r="6179" customFormat="false" ht="15" hidden="false" customHeight="false" outlineLevel="0" collapsed="false">
      <c r="A6179" s="15" t="s">
        <v>6236</v>
      </c>
      <c r="B6179" s="16" t="n">
        <v>44807</v>
      </c>
      <c r="C6179" s="15" t="s">
        <v>56</v>
      </c>
      <c r="D6179" s="15" t="s">
        <v>42</v>
      </c>
      <c r="E6179" s="15" t="s">
        <v>39</v>
      </c>
      <c r="F6179" s="15" t="s">
        <v>17</v>
      </c>
      <c r="G6179" s="15" t="s">
        <v>29</v>
      </c>
      <c r="H6179" s="15" t="n">
        <v>4</v>
      </c>
      <c r="I6179" s="17" t="n">
        <v>0.2</v>
      </c>
      <c r="J6179" s="18" t="n">
        <v>59.41</v>
      </c>
      <c r="K6179" s="19" t="n">
        <v>16.76</v>
      </c>
      <c r="L6179" s="15" t="n">
        <f aca="false">YEAR(B6179)</f>
        <v>2022</v>
      </c>
      <c r="M6179" s="20" t="n">
        <f aca="false">IF(J6179&gt;0,K6179/J6179,0)</f>
        <v>0.282107389328396</v>
      </c>
    </row>
    <row r="6180" customFormat="false" ht="15" hidden="false" customHeight="false" outlineLevel="0" collapsed="false">
      <c r="A6180" s="15" t="s">
        <v>6237</v>
      </c>
      <c r="B6180" s="16" t="n">
        <v>45625</v>
      </c>
      <c r="C6180" s="15" t="s">
        <v>68</v>
      </c>
      <c r="D6180" s="15" t="s">
        <v>44</v>
      </c>
      <c r="E6180" s="15" t="s">
        <v>37</v>
      </c>
      <c r="F6180" s="15" t="s">
        <v>17</v>
      </c>
      <c r="G6180" s="15" t="s">
        <v>29</v>
      </c>
      <c r="H6180" s="15" t="n">
        <v>2</v>
      </c>
      <c r="I6180" s="17" t="n">
        <v>0</v>
      </c>
      <c r="J6180" s="18" t="n">
        <v>36.44</v>
      </c>
      <c r="K6180" s="19" t="n">
        <v>12.79</v>
      </c>
      <c r="L6180" s="15" t="n">
        <f aca="false">YEAR(B6180)</f>
        <v>2024</v>
      </c>
      <c r="M6180" s="20" t="n">
        <f aca="false">IF(J6180&gt;0,K6180/J6180,0)</f>
        <v>0.350987925356751</v>
      </c>
    </row>
    <row r="6181" customFormat="false" ht="15" hidden="false" customHeight="false" outlineLevel="0" collapsed="false">
      <c r="A6181" s="15" t="s">
        <v>6238</v>
      </c>
      <c r="B6181" s="16" t="n">
        <v>45018</v>
      </c>
      <c r="C6181" s="15" t="s">
        <v>56</v>
      </c>
      <c r="D6181" s="15" t="s">
        <v>42</v>
      </c>
      <c r="E6181" s="15" t="s">
        <v>36</v>
      </c>
      <c r="F6181" s="15" t="s">
        <v>18</v>
      </c>
      <c r="G6181" s="15" t="s">
        <v>24</v>
      </c>
      <c r="H6181" s="15" t="n">
        <v>6</v>
      </c>
      <c r="I6181" s="17" t="n">
        <v>0</v>
      </c>
      <c r="J6181" s="18" t="n">
        <v>3099.68</v>
      </c>
      <c r="K6181" s="19" t="n">
        <v>109.2</v>
      </c>
      <c r="L6181" s="15" t="n">
        <f aca="false">YEAR(B6181)</f>
        <v>2023</v>
      </c>
      <c r="M6181" s="20" t="n">
        <f aca="false">IF(J6181&gt;0,K6181/J6181,0)</f>
        <v>0.0352294430392815</v>
      </c>
    </row>
    <row r="6182" customFormat="false" ht="15" hidden="false" customHeight="false" outlineLevel="0" collapsed="false">
      <c r="A6182" s="15" t="s">
        <v>6239</v>
      </c>
      <c r="B6182" s="16" t="n">
        <v>45704</v>
      </c>
      <c r="C6182" s="15" t="s">
        <v>56</v>
      </c>
      <c r="D6182" s="15" t="s">
        <v>42</v>
      </c>
      <c r="E6182" s="15" t="s">
        <v>39</v>
      </c>
      <c r="F6182" s="15" t="s">
        <v>16</v>
      </c>
      <c r="G6182" s="15" t="s">
        <v>22</v>
      </c>
      <c r="H6182" s="15" t="n">
        <v>4</v>
      </c>
      <c r="I6182" s="17" t="n">
        <v>0.05</v>
      </c>
      <c r="J6182" s="18" t="n">
        <v>2556.8</v>
      </c>
      <c r="K6182" s="19" t="n">
        <v>-300.5</v>
      </c>
      <c r="L6182" s="15" t="n">
        <f aca="false">YEAR(B6182)</f>
        <v>2025</v>
      </c>
      <c r="M6182" s="20" t="n">
        <f aca="false">IF(J6182&gt;0,K6182/J6182,0)</f>
        <v>-0.11752972465582</v>
      </c>
    </row>
    <row r="6183" customFormat="false" ht="15" hidden="false" customHeight="false" outlineLevel="0" collapsed="false">
      <c r="A6183" s="15" t="s">
        <v>6240</v>
      </c>
      <c r="B6183" s="16" t="n">
        <v>45083</v>
      </c>
      <c r="C6183" s="15" t="s">
        <v>56</v>
      </c>
      <c r="D6183" s="15" t="s">
        <v>42</v>
      </c>
      <c r="E6183" s="15" t="s">
        <v>39</v>
      </c>
      <c r="F6183" s="15" t="s">
        <v>17</v>
      </c>
      <c r="G6183" s="15" t="s">
        <v>29</v>
      </c>
      <c r="H6183" s="15" t="n">
        <v>7</v>
      </c>
      <c r="I6183" s="17" t="n">
        <v>0</v>
      </c>
      <c r="J6183" s="18" t="n">
        <v>142.9</v>
      </c>
      <c r="K6183" s="19" t="n">
        <v>57.65</v>
      </c>
      <c r="L6183" s="15" t="n">
        <f aca="false">YEAR(B6183)</f>
        <v>2023</v>
      </c>
      <c r="M6183" s="20" t="n">
        <f aca="false">IF(J6183&gt;0,K6183/J6183,0)</f>
        <v>0.403428971308607</v>
      </c>
    </row>
    <row r="6184" customFormat="false" ht="15" hidden="false" customHeight="false" outlineLevel="0" collapsed="false">
      <c r="A6184" s="15" t="s">
        <v>6241</v>
      </c>
      <c r="B6184" s="16" t="n">
        <v>44647</v>
      </c>
      <c r="C6184" s="15" t="s">
        <v>71</v>
      </c>
      <c r="D6184" s="15" t="s">
        <v>44</v>
      </c>
      <c r="E6184" s="15" t="s">
        <v>39</v>
      </c>
      <c r="F6184" s="15" t="s">
        <v>17</v>
      </c>
      <c r="G6184" s="15" t="s">
        <v>28</v>
      </c>
      <c r="H6184" s="15" t="n">
        <v>2</v>
      </c>
      <c r="I6184" s="17" t="n">
        <v>0.1</v>
      </c>
      <c r="J6184" s="18" t="n">
        <v>55.3</v>
      </c>
      <c r="K6184" s="19" t="n">
        <v>7.32</v>
      </c>
      <c r="L6184" s="15" t="n">
        <f aca="false">YEAR(B6184)</f>
        <v>2022</v>
      </c>
      <c r="M6184" s="20" t="n">
        <f aca="false">IF(J6184&gt;0,K6184/J6184,0)</f>
        <v>0.132368896925859</v>
      </c>
    </row>
    <row r="6185" customFormat="false" ht="15" hidden="false" customHeight="false" outlineLevel="0" collapsed="false">
      <c r="A6185" s="15" t="s">
        <v>6242</v>
      </c>
      <c r="B6185" s="16" t="n">
        <v>45088</v>
      </c>
      <c r="C6185" s="15" t="s">
        <v>58</v>
      </c>
      <c r="D6185" s="15" t="s">
        <v>43</v>
      </c>
      <c r="E6185" s="15" t="s">
        <v>39</v>
      </c>
      <c r="F6185" s="15" t="s">
        <v>17</v>
      </c>
      <c r="G6185" s="15" t="s">
        <v>26</v>
      </c>
      <c r="H6185" s="15" t="n">
        <v>3</v>
      </c>
      <c r="I6185" s="17" t="n">
        <v>0</v>
      </c>
      <c r="J6185" s="18" t="n">
        <v>246.71</v>
      </c>
      <c r="K6185" s="19" t="n">
        <v>34.09</v>
      </c>
      <c r="L6185" s="15" t="n">
        <f aca="false">YEAR(B6185)</f>
        <v>2023</v>
      </c>
      <c r="M6185" s="20" t="n">
        <f aca="false">IF(J6185&gt;0,K6185/J6185,0)</f>
        <v>0.13817842811398</v>
      </c>
    </row>
    <row r="6186" customFormat="false" ht="15" hidden="false" customHeight="false" outlineLevel="0" collapsed="false">
      <c r="A6186" s="15" t="s">
        <v>6243</v>
      </c>
      <c r="B6186" s="16" t="n">
        <v>45022</v>
      </c>
      <c r="C6186" s="15" t="s">
        <v>56</v>
      </c>
      <c r="D6186" s="15" t="s">
        <v>42</v>
      </c>
      <c r="E6186" s="15" t="s">
        <v>37</v>
      </c>
      <c r="F6186" s="15" t="s">
        <v>17</v>
      </c>
      <c r="G6186" s="15" t="s">
        <v>28</v>
      </c>
      <c r="H6186" s="15" t="n">
        <v>3</v>
      </c>
      <c r="I6186" s="17" t="n">
        <v>0</v>
      </c>
      <c r="J6186" s="18" t="n">
        <v>79.52</v>
      </c>
      <c r="K6186" s="19" t="n">
        <v>30.98</v>
      </c>
      <c r="L6186" s="15" t="n">
        <f aca="false">YEAR(B6186)</f>
        <v>2023</v>
      </c>
      <c r="M6186" s="20" t="n">
        <f aca="false">IF(J6186&gt;0,K6186/J6186,0)</f>
        <v>0.389587525150905</v>
      </c>
    </row>
    <row r="6187" customFormat="false" ht="15" hidden="false" customHeight="false" outlineLevel="0" collapsed="false">
      <c r="A6187" s="15" t="s">
        <v>6244</v>
      </c>
      <c r="B6187" s="16" t="n">
        <v>45781</v>
      </c>
      <c r="C6187" s="15" t="s">
        <v>68</v>
      </c>
      <c r="D6187" s="15" t="s">
        <v>44</v>
      </c>
      <c r="E6187" s="15" t="s">
        <v>38</v>
      </c>
      <c r="F6187" s="15" t="s">
        <v>18</v>
      </c>
      <c r="G6187" s="15" t="s">
        <v>32</v>
      </c>
      <c r="H6187" s="15" t="n">
        <v>3</v>
      </c>
      <c r="I6187" s="17" t="n">
        <v>0</v>
      </c>
      <c r="J6187" s="18" t="n">
        <v>1130.63</v>
      </c>
      <c r="K6187" s="19" t="n">
        <v>180.31</v>
      </c>
      <c r="L6187" s="15" t="n">
        <f aca="false">YEAR(B6187)</f>
        <v>2025</v>
      </c>
      <c r="M6187" s="20" t="n">
        <f aca="false">IF(J6187&gt;0,K6187/J6187,0)</f>
        <v>0.159477459469499</v>
      </c>
    </row>
    <row r="6188" customFormat="false" ht="15" hidden="false" customHeight="false" outlineLevel="0" collapsed="false">
      <c r="A6188" s="15" t="s">
        <v>6245</v>
      </c>
      <c r="B6188" s="16" t="n">
        <v>45071</v>
      </c>
      <c r="C6188" s="15" t="s">
        <v>58</v>
      </c>
      <c r="D6188" s="15" t="s">
        <v>43</v>
      </c>
      <c r="E6188" s="15" t="s">
        <v>37</v>
      </c>
      <c r="F6188" s="15" t="s">
        <v>16</v>
      </c>
      <c r="G6188" s="15" t="s">
        <v>23</v>
      </c>
      <c r="H6188" s="15" t="n">
        <v>2</v>
      </c>
      <c r="I6188" s="17" t="n">
        <v>0.2</v>
      </c>
      <c r="J6188" s="18" t="n">
        <v>526.46</v>
      </c>
      <c r="K6188" s="19" t="n">
        <v>-38.05</v>
      </c>
      <c r="L6188" s="15" t="n">
        <f aca="false">YEAR(B6188)</f>
        <v>2023</v>
      </c>
      <c r="M6188" s="20" t="n">
        <f aca="false">IF(J6188&gt;0,K6188/J6188,0)</f>
        <v>-0.0722751965961326</v>
      </c>
    </row>
    <row r="6189" customFormat="false" ht="15" hidden="false" customHeight="false" outlineLevel="0" collapsed="false">
      <c r="A6189" s="15" t="s">
        <v>6246</v>
      </c>
      <c r="B6189" s="16" t="n">
        <v>45552</v>
      </c>
      <c r="C6189" s="15" t="s">
        <v>68</v>
      </c>
      <c r="D6189" s="15" t="s">
        <v>42</v>
      </c>
      <c r="E6189" s="15" t="s">
        <v>37</v>
      </c>
      <c r="F6189" s="15" t="s">
        <v>17</v>
      </c>
      <c r="G6189" s="15" t="s">
        <v>29</v>
      </c>
      <c r="H6189" s="15" t="n">
        <v>2</v>
      </c>
      <c r="I6189" s="17" t="n">
        <v>0.3</v>
      </c>
      <c r="J6189" s="18" t="n">
        <v>24.03</v>
      </c>
      <c r="K6189" s="19" t="n">
        <v>0.55</v>
      </c>
      <c r="L6189" s="15" t="n">
        <f aca="false">YEAR(B6189)</f>
        <v>2024</v>
      </c>
      <c r="M6189" s="20" t="n">
        <f aca="false">IF(J6189&gt;0,K6189/J6189,0)</f>
        <v>0.0228880565959218</v>
      </c>
    </row>
    <row r="6190" customFormat="false" ht="15" hidden="false" customHeight="false" outlineLevel="0" collapsed="false">
      <c r="A6190" s="15" t="s">
        <v>6247</v>
      </c>
      <c r="B6190" s="16" t="n">
        <v>45497</v>
      </c>
      <c r="C6190" s="15" t="s">
        <v>68</v>
      </c>
      <c r="D6190" s="15" t="s">
        <v>42</v>
      </c>
      <c r="E6190" s="15" t="s">
        <v>36</v>
      </c>
      <c r="F6190" s="15" t="s">
        <v>17</v>
      </c>
      <c r="G6190" s="15" t="s">
        <v>26</v>
      </c>
      <c r="H6190" s="15" t="n">
        <v>1</v>
      </c>
      <c r="I6190" s="17" t="n">
        <v>0.05</v>
      </c>
      <c r="J6190" s="18" t="n">
        <v>70.61</v>
      </c>
      <c r="K6190" s="19" t="n">
        <v>10.22</v>
      </c>
      <c r="L6190" s="15" t="n">
        <f aca="false">YEAR(B6190)</f>
        <v>2024</v>
      </c>
      <c r="M6190" s="20" t="n">
        <f aca="false">IF(J6190&gt;0,K6190/J6190,0)</f>
        <v>0.144738705565784</v>
      </c>
    </row>
    <row r="6191" customFormat="false" ht="15" hidden="false" customHeight="false" outlineLevel="0" collapsed="false">
      <c r="A6191" s="15" t="s">
        <v>6248</v>
      </c>
      <c r="B6191" s="16" t="n">
        <v>45001</v>
      </c>
      <c r="C6191" s="15" t="s">
        <v>56</v>
      </c>
      <c r="D6191" s="15" t="s">
        <v>44</v>
      </c>
      <c r="E6191" s="15" t="s">
        <v>38</v>
      </c>
      <c r="F6191" s="15" t="s">
        <v>16</v>
      </c>
      <c r="G6191" s="15" t="s">
        <v>25</v>
      </c>
      <c r="H6191" s="15" t="n">
        <v>4</v>
      </c>
      <c r="I6191" s="17" t="n">
        <v>0</v>
      </c>
      <c r="J6191" s="18" t="n">
        <v>835.4</v>
      </c>
      <c r="K6191" s="19" t="n">
        <v>63.65</v>
      </c>
      <c r="L6191" s="15" t="n">
        <f aca="false">YEAR(B6191)</f>
        <v>2023</v>
      </c>
      <c r="M6191" s="20" t="n">
        <f aca="false">IF(J6191&gt;0,K6191/J6191,0)</f>
        <v>0.0761910462054106</v>
      </c>
    </row>
    <row r="6192" customFormat="false" ht="15" hidden="false" customHeight="false" outlineLevel="0" collapsed="false">
      <c r="A6192" s="15" t="s">
        <v>6249</v>
      </c>
      <c r="B6192" s="16" t="n">
        <v>45176</v>
      </c>
      <c r="C6192" s="15" t="s">
        <v>56</v>
      </c>
      <c r="D6192" s="15" t="s">
        <v>42</v>
      </c>
      <c r="E6192" s="15" t="s">
        <v>38</v>
      </c>
      <c r="F6192" s="15" t="s">
        <v>17</v>
      </c>
      <c r="G6192" s="15" t="s">
        <v>29</v>
      </c>
      <c r="H6192" s="15" t="n">
        <v>1</v>
      </c>
      <c r="I6192" s="17" t="n">
        <v>0</v>
      </c>
      <c r="J6192" s="18" t="n">
        <v>16.34</v>
      </c>
      <c r="K6192" s="19" t="n">
        <v>7.01</v>
      </c>
      <c r="L6192" s="15" t="n">
        <f aca="false">YEAR(B6192)</f>
        <v>2023</v>
      </c>
      <c r="M6192" s="20" t="n">
        <f aca="false">IF(J6192&gt;0,K6192/J6192,0)</f>
        <v>0.429008567931457</v>
      </c>
    </row>
    <row r="6193" customFormat="false" ht="15" hidden="false" customHeight="false" outlineLevel="0" collapsed="false">
      <c r="A6193" s="15" t="s">
        <v>6250</v>
      </c>
      <c r="B6193" s="16" t="n">
        <v>45938</v>
      </c>
      <c r="C6193" s="15" t="s">
        <v>68</v>
      </c>
      <c r="D6193" s="15" t="s">
        <v>43</v>
      </c>
      <c r="E6193" s="15" t="s">
        <v>37</v>
      </c>
      <c r="F6193" s="15" t="s">
        <v>17</v>
      </c>
      <c r="G6193" s="15" t="s">
        <v>26</v>
      </c>
      <c r="H6193" s="15" t="n">
        <v>2</v>
      </c>
      <c r="I6193" s="17" t="n">
        <v>0.05</v>
      </c>
      <c r="J6193" s="18" t="n">
        <v>202.19</v>
      </c>
      <c r="K6193" s="19" t="n">
        <v>9</v>
      </c>
      <c r="L6193" s="15" t="n">
        <f aca="false">YEAR(B6193)</f>
        <v>2025</v>
      </c>
      <c r="M6193" s="20" t="n">
        <f aca="false">IF(J6193&gt;0,K6193/J6193,0)</f>
        <v>0.0445125871704832</v>
      </c>
    </row>
    <row r="6194" customFormat="false" ht="15" hidden="false" customHeight="false" outlineLevel="0" collapsed="false">
      <c r="A6194" s="15" t="s">
        <v>6251</v>
      </c>
      <c r="B6194" s="16" t="n">
        <v>45601</v>
      </c>
      <c r="C6194" s="15" t="s">
        <v>56</v>
      </c>
      <c r="D6194" s="15" t="s">
        <v>42</v>
      </c>
      <c r="E6194" s="15" t="s">
        <v>39</v>
      </c>
      <c r="F6194" s="15" t="s">
        <v>17</v>
      </c>
      <c r="G6194" s="15" t="s">
        <v>28</v>
      </c>
      <c r="H6194" s="15" t="n">
        <v>4</v>
      </c>
      <c r="I6194" s="17" t="n">
        <v>0</v>
      </c>
      <c r="J6194" s="18" t="n">
        <v>107.21</v>
      </c>
      <c r="K6194" s="19" t="n">
        <v>35.8</v>
      </c>
      <c r="L6194" s="15" t="n">
        <f aca="false">YEAR(B6194)</f>
        <v>2024</v>
      </c>
      <c r="M6194" s="20" t="n">
        <f aca="false">IF(J6194&gt;0,K6194/J6194,0)</f>
        <v>0.333924074246805</v>
      </c>
    </row>
    <row r="6195" customFormat="false" ht="15" hidden="false" customHeight="false" outlineLevel="0" collapsed="false">
      <c r="A6195" s="15" t="s">
        <v>6252</v>
      </c>
      <c r="B6195" s="16" t="n">
        <v>45289</v>
      </c>
      <c r="C6195" s="15" t="s">
        <v>56</v>
      </c>
      <c r="D6195" s="15" t="s">
        <v>42</v>
      </c>
      <c r="E6195" s="15" t="s">
        <v>39</v>
      </c>
      <c r="F6195" s="15" t="s">
        <v>18</v>
      </c>
      <c r="G6195" s="15" t="s">
        <v>33</v>
      </c>
      <c r="H6195" s="15" t="n">
        <v>4</v>
      </c>
      <c r="I6195" s="17" t="n">
        <v>0.1</v>
      </c>
      <c r="J6195" s="18" t="n">
        <v>3448.77</v>
      </c>
      <c r="K6195" s="19" t="n">
        <v>699.48</v>
      </c>
      <c r="L6195" s="15" t="n">
        <f aca="false">YEAR(B6195)</f>
        <v>2023</v>
      </c>
      <c r="M6195" s="20" t="n">
        <f aca="false">IF(J6195&gt;0,K6195/J6195,0)</f>
        <v>0.202820135874529</v>
      </c>
    </row>
    <row r="6196" customFormat="false" ht="15" hidden="false" customHeight="false" outlineLevel="0" collapsed="false">
      <c r="A6196" s="15" t="s">
        <v>6253</v>
      </c>
      <c r="B6196" s="16" t="n">
        <v>44871</v>
      </c>
      <c r="C6196" s="15" t="s">
        <v>68</v>
      </c>
      <c r="D6196" s="15" t="s">
        <v>43</v>
      </c>
      <c r="E6196" s="15" t="s">
        <v>37</v>
      </c>
      <c r="F6196" s="15" t="s">
        <v>16</v>
      </c>
      <c r="G6196" s="15" t="s">
        <v>27</v>
      </c>
      <c r="H6196" s="15" t="n">
        <v>6</v>
      </c>
      <c r="I6196" s="17" t="n">
        <v>0.1</v>
      </c>
      <c r="J6196" s="18" t="n">
        <v>345.97</v>
      </c>
      <c r="K6196" s="19" t="n">
        <v>51.1</v>
      </c>
      <c r="L6196" s="15" t="n">
        <f aca="false">YEAR(B6196)</f>
        <v>2022</v>
      </c>
      <c r="M6196" s="20" t="n">
        <f aca="false">IF(J6196&gt;0,K6196/J6196,0)</f>
        <v>0.14770066768795</v>
      </c>
    </row>
    <row r="6197" customFormat="false" ht="15" hidden="false" customHeight="false" outlineLevel="0" collapsed="false">
      <c r="A6197" s="15" t="s">
        <v>6254</v>
      </c>
      <c r="B6197" s="16" t="n">
        <v>45771</v>
      </c>
      <c r="C6197" s="15" t="s">
        <v>56</v>
      </c>
      <c r="D6197" s="15" t="s">
        <v>42</v>
      </c>
      <c r="E6197" s="15" t="s">
        <v>36</v>
      </c>
      <c r="F6197" s="15" t="s">
        <v>17</v>
      </c>
      <c r="G6197" s="15" t="s">
        <v>31</v>
      </c>
      <c r="H6197" s="15" t="n">
        <v>4</v>
      </c>
      <c r="I6197" s="17" t="n">
        <v>0.15</v>
      </c>
      <c r="J6197" s="18" t="n">
        <v>411.01</v>
      </c>
      <c r="K6197" s="19" t="n">
        <v>17.75</v>
      </c>
      <c r="L6197" s="15" t="n">
        <f aca="false">YEAR(B6197)</f>
        <v>2025</v>
      </c>
      <c r="M6197" s="20" t="n">
        <f aca="false">IF(J6197&gt;0,K6197/J6197,0)</f>
        <v>0.0431862971703852</v>
      </c>
    </row>
    <row r="6198" customFormat="false" ht="15" hidden="false" customHeight="false" outlineLevel="0" collapsed="false">
      <c r="A6198" s="15" t="s">
        <v>6255</v>
      </c>
      <c r="B6198" s="16" t="n">
        <v>45066</v>
      </c>
      <c r="C6198" s="15" t="s">
        <v>71</v>
      </c>
      <c r="D6198" s="15" t="s">
        <v>43</v>
      </c>
      <c r="E6198" s="15" t="s">
        <v>38</v>
      </c>
      <c r="F6198" s="15" t="s">
        <v>16</v>
      </c>
      <c r="G6198" s="15" t="s">
        <v>27</v>
      </c>
      <c r="H6198" s="15" t="n">
        <v>3</v>
      </c>
      <c r="I6198" s="17" t="n">
        <v>0</v>
      </c>
      <c r="J6198" s="18" t="n">
        <v>171.34</v>
      </c>
      <c r="K6198" s="19" t="n">
        <v>48.44</v>
      </c>
      <c r="L6198" s="15" t="n">
        <f aca="false">YEAR(B6198)</f>
        <v>2023</v>
      </c>
      <c r="M6198" s="20" t="n">
        <f aca="false">IF(J6198&gt;0,K6198/J6198,0)</f>
        <v>0.282712734913038</v>
      </c>
    </row>
    <row r="6199" customFormat="false" ht="15" hidden="false" customHeight="false" outlineLevel="0" collapsed="false">
      <c r="A6199" s="15" t="s">
        <v>6256</v>
      </c>
      <c r="B6199" s="16" t="n">
        <v>45656</v>
      </c>
      <c r="C6199" s="15" t="s">
        <v>68</v>
      </c>
      <c r="D6199" s="15" t="s">
        <v>44</v>
      </c>
      <c r="E6199" s="15" t="s">
        <v>37</v>
      </c>
      <c r="F6199" s="15" t="s">
        <v>16</v>
      </c>
      <c r="G6199" s="15" t="s">
        <v>22</v>
      </c>
      <c r="H6199" s="15" t="n">
        <v>5</v>
      </c>
      <c r="I6199" s="17" t="n">
        <v>0</v>
      </c>
      <c r="J6199" s="18" t="n">
        <v>2565.74</v>
      </c>
      <c r="K6199" s="19" t="n">
        <v>-401.37</v>
      </c>
      <c r="L6199" s="15" t="n">
        <f aca="false">YEAR(B6199)</f>
        <v>2024</v>
      </c>
      <c r="M6199" s="20" t="n">
        <f aca="false">IF(J6199&gt;0,K6199/J6199,0)</f>
        <v>-0.156434400991527</v>
      </c>
    </row>
    <row r="6200" customFormat="false" ht="15" hidden="false" customHeight="false" outlineLevel="0" collapsed="false">
      <c r="A6200" s="15" t="s">
        <v>6257</v>
      </c>
      <c r="B6200" s="16" t="n">
        <v>45792</v>
      </c>
      <c r="C6200" s="15" t="s">
        <v>56</v>
      </c>
      <c r="D6200" s="15" t="s">
        <v>42</v>
      </c>
      <c r="E6200" s="15" t="s">
        <v>39</v>
      </c>
      <c r="F6200" s="15" t="s">
        <v>17</v>
      </c>
      <c r="G6200" s="15" t="s">
        <v>26</v>
      </c>
      <c r="H6200" s="15" t="n">
        <v>3</v>
      </c>
      <c r="I6200" s="17" t="n">
        <v>0</v>
      </c>
      <c r="J6200" s="18" t="n">
        <v>254.27</v>
      </c>
      <c r="K6200" s="19" t="n">
        <v>23.4</v>
      </c>
      <c r="L6200" s="15" t="n">
        <f aca="false">YEAR(B6200)</f>
        <v>2025</v>
      </c>
      <c r="M6200" s="20" t="n">
        <f aca="false">IF(J6200&gt;0,K6200/J6200,0)</f>
        <v>0.0920281590435364</v>
      </c>
    </row>
    <row r="6201" customFormat="false" ht="15" hidden="false" customHeight="false" outlineLevel="0" collapsed="false">
      <c r="A6201" s="15" t="s">
        <v>6258</v>
      </c>
      <c r="B6201" s="16" t="n">
        <v>45814</v>
      </c>
      <c r="C6201" s="15" t="s">
        <v>56</v>
      </c>
      <c r="D6201" s="15" t="s">
        <v>44</v>
      </c>
      <c r="E6201" s="15" t="s">
        <v>36</v>
      </c>
      <c r="F6201" s="15" t="s">
        <v>17</v>
      </c>
      <c r="G6201" s="15" t="s">
        <v>31</v>
      </c>
      <c r="H6201" s="15" t="n">
        <v>2</v>
      </c>
      <c r="I6201" s="17" t="n">
        <v>0.2</v>
      </c>
      <c r="J6201" s="18" t="n">
        <v>189</v>
      </c>
      <c r="K6201" s="19" t="n">
        <v>-1.18</v>
      </c>
      <c r="L6201" s="15" t="n">
        <f aca="false">YEAR(B6201)</f>
        <v>2025</v>
      </c>
      <c r="M6201" s="20" t="n">
        <f aca="false">IF(J6201&gt;0,K6201/J6201,0)</f>
        <v>-0.00624338624338624</v>
      </c>
    </row>
    <row r="6202" customFormat="false" ht="15" hidden="false" customHeight="false" outlineLevel="0" collapsed="false">
      <c r="A6202" s="15" t="s">
        <v>6259</v>
      </c>
      <c r="B6202" s="16" t="n">
        <v>45831</v>
      </c>
      <c r="C6202" s="15" t="s">
        <v>68</v>
      </c>
      <c r="D6202" s="15" t="s">
        <v>42</v>
      </c>
      <c r="E6202" s="15" t="s">
        <v>39</v>
      </c>
      <c r="F6202" s="15" t="s">
        <v>17</v>
      </c>
      <c r="G6202" s="15" t="s">
        <v>29</v>
      </c>
      <c r="H6202" s="15" t="n">
        <v>5</v>
      </c>
      <c r="I6202" s="17" t="n">
        <v>0.2</v>
      </c>
      <c r="J6202" s="18" t="n">
        <v>81.53</v>
      </c>
      <c r="K6202" s="19" t="n">
        <v>16.67</v>
      </c>
      <c r="L6202" s="15" t="n">
        <f aca="false">YEAR(B6202)</f>
        <v>2025</v>
      </c>
      <c r="M6202" s="20" t="n">
        <f aca="false">IF(J6202&gt;0,K6202/J6202,0)</f>
        <v>0.204464614252422</v>
      </c>
    </row>
    <row r="6203" customFormat="false" ht="15" hidden="false" customHeight="false" outlineLevel="0" collapsed="false">
      <c r="A6203" s="15" t="s">
        <v>6260</v>
      </c>
      <c r="B6203" s="16" t="n">
        <v>45564</v>
      </c>
      <c r="C6203" s="15" t="s">
        <v>56</v>
      </c>
      <c r="D6203" s="15" t="s">
        <v>43</v>
      </c>
      <c r="E6203" s="15" t="s">
        <v>37</v>
      </c>
      <c r="F6203" s="15" t="s">
        <v>17</v>
      </c>
      <c r="G6203" s="15" t="s">
        <v>28</v>
      </c>
      <c r="H6203" s="15" t="n">
        <v>5</v>
      </c>
      <c r="I6203" s="17" t="n">
        <v>0.2</v>
      </c>
      <c r="J6203" s="18" t="n">
        <v>96.93</v>
      </c>
      <c r="K6203" s="19" t="n">
        <v>11.21</v>
      </c>
      <c r="L6203" s="15" t="n">
        <f aca="false">YEAR(B6203)</f>
        <v>2024</v>
      </c>
      <c r="M6203" s="20" t="n">
        <f aca="false">IF(J6203&gt;0,K6203/J6203,0)</f>
        <v>0.115650469410915</v>
      </c>
    </row>
    <row r="6204" customFormat="false" ht="15" hidden="false" customHeight="false" outlineLevel="0" collapsed="false">
      <c r="A6204" s="15" t="s">
        <v>6261</v>
      </c>
      <c r="B6204" s="16" t="n">
        <v>46016</v>
      </c>
      <c r="C6204" s="15" t="s">
        <v>56</v>
      </c>
      <c r="D6204" s="15" t="s">
        <v>42</v>
      </c>
      <c r="E6204" s="15" t="s">
        <v>39</v>
      </c>
      <c r="F6204" s="15" t="s">
        <v>17</v>
      </c>
      <c r="G6204" s="15" t="s">
        <v>31</v>
      </c>
      <c r="H6204" s="15" t="n">
        <v>4</v>
      </c>
      <c r="I6204" s="17" t="n">
        <v>0</v>
      </c>
      <c r="J6204" s="18" t="n">
        <v>462.41</v>
      </c>
      <c r="K6204" s="19" t="n">
        <v>92.55</v>
      </c>
      <c r="L6204" s="15" t="n">
        <f aca="false">YEAR(B6204)</f>
        <v>2025</v>
      </c>
      <c r="M6204" s="20" t="n">
        <f aca="false">IF(J6204&gt;0,K6204/J6204,0)</f>
        <v>0.20014705564326</v>
      </c>
    </row>
    <row r="6205" customFormat="false" ht="15" hidden="false" customHeight="false" outlineLevel="0" collapsed="false">
      <c r="A6205" s="15" t="s">
        <v>6262</v>
      </c>
      <c r="B6205" s="16" t="n">
        <v>44675</v>
      </c>
      <c r="C6205" s="15" t="s">
        <v>56</v>
      </c>
      <c r="D6205" s="15" t="s">
        <v>42</v>
      </c>
      <c r="E6205" s="15" t="s">
        <v>37</v>
      </c>
      <c r="F6205" s="15" t="s">
        <v>16</v>
      </c>
      <c r="G6205" s="15" t="s">
        <v>25</v>
      </c>
      <c r="H6205" s="15" t="n">
        <v>3</v>
      </c>
      <c r="I6205" s="17" t="n">
        <v>0</v>
      </c>
      <c r="J6205" s="18" t="n">
        <v>785.56</v>
      </c>
      <c r="K6205" s="19" t="n">
        <v>71.9</v>
      </c>
      <c r="L6205" s="15" t="n">
        <f aca="false">YEAR(B6205)</f>
        <v>2022</v>
      </c>
      <c r="M6205" s="20" t="n">
        <f aca="false">IF(J6205&gt;0,K6205/J6205,0)</f>
        <v>0.0915270634961047</v>
      </c>
    </row>
    <row r="6206" customFormat="false" ht="15" hidden="false" customHeight="false" outlineLevel="0" collapsed="false">
      <c r="A6206" s="15" t="s">
        <v>6263</v>
      </c>
      <c r="B6206" s="16" t="n">
        <v>45903</v>
      </c>
      <c r="C6206" s="15" t="s">
        <v>68</v>
      </c>
      <c r="D6206" s="15" t="s">
        <v>42</v>
      </c>
      <c r="E6206" s="15" t="s">
        <v>39</v>
      </c>
      <c r="F6206" s="15" t="s">
        <v>16</v>
      </c>
      <c r="G6206" s="15" t="s">
        <v>27</v>
      </c>
      <c r="H6206" s="15" t="n">
        <v>2</v>
      </c>
      <c r="I6206" s="17" t="n">
        <v>0</v>
      </c>
      <c r="J6206" s="18" t="n">
        <v>132.44</v>
      </c>
      <c r="K6206" s="19" t="n">
        <v>38.53</v>
      </c>
      <c r="L6206" s="15" t="n">
        <f aca="false">YEAR(B6206)</f>
        <v>2025</v>
      </c>
      <c r="M6206" s="20" t="n">
        <f aca="false">IF(J6206&gt;0,K6206/J6206,0)</f>
        <v>0.290924192086983</v>
      </c>
    </row>
    <row r="6207" customFormat="false" ht="15" hidden="false" customHeight="false" outlineLevel="0" collapsed="false">
      <c r="A6207" s="15" t="s">
        <v>6264</v>
      </c>
      <c r="B6207" s="16" t="n">
        <v>44848</v>
      </c>
      <c r="C6207" s="15" t="s">
        <v>71</v>
      </c>
      <c r="D6207" s="15" t="s">
        <v>42</v>
      </c>
      <c r="E6207" s="15" t="s">
        <v>39</v>
      </c>
      <c r="F6207" s="15" t="s">
        <v>18</v>
      </c>
      <c r="G6207" s="15" t="s">
        <v>33</v>
      </c>
      <c r="H6207" s="15" t="n">
        <v>3</v>
      </c>
      <c r="I6207" s="17" t="n">
        <v>0.1</v>
      </c>
      <c r="J6207" s="18" t="n">
        <v>3124.24</v>
      </c>
      <c r="K6207" s="19" t="n">
        <v>577.78</v>
      </c>
      <c r="L6207" s="15" t="n">
        <f aca="false">YEAR(B6207)</f>
        <v>2022</v>
      </c>
      <c r="M6207" s="20" t="n">
        <f aca="false">IF(J6207&gt;0,K6207/J6207,0)</f>
        <v>0.184934576088905</v>
      </c>
    </row>
    <row r="6208" customFormat="false" ht="15" hidden="false" customHeight="false" outlineLevel="0" collapsed="false">
      <c r="A6208" s="15" t="s">
        <v>6265</v>
      </c>
      <c r="B6208" s="16" t="n">
        <v>45615</v>
      </c>
      <c r="C6208" s="15" t="s">
        <v>68</v>
      </c>
      <c r="D6208" s="15" t="s">
        <v>42</v>
      </c>
      <c r="E6208" s="15" t="s">
        <v>39</v>
      </c>
      <c r="F6208" s="15" t="s">
        <v>17</v>
      </c>
      <c r="G6208" s="15" t="s">
        <v>26</v>
      </c>
      <c r="H6208" s="15" t="n">
        <v>3</v>
      </c>
      <c r="I6208" s="17" t="n">
        <v>0.4</v>
      </c>
      <c r="J6208" s="18" t="n">
        <v>152.37</v>
      </c>
      <c r="K6208" s="19" t="n">
        <v>-35.72</v>
      </c>
      <c r="L6208" s="15" t="n">
        <f aca="false">YEAR(B6208)</f>
        <v>2024</v>
      </c>
      <c r="M6208" s="20" t="n">
        <f aca="false">IF(J6208&gt;0,K6208/J6208,0)</f>
        <v>-0.234429349609503</v>
      </c>
    </row>
    <row r="6209" customFormat="false" ht="15" hidden="false" customHeight="false" outlineLevel="0" collapsed="false">
      <c r="A6209" s="15" t="s">
        <v>6266</v>
      </c>
      <c r="B6209" s="16" t="n">
        <v>45263</v>
      </c>
      <c r="C6209" s="15" t="s">
        <v>71</v>
      </c>
      <c r="D6209" s="15" t="s">
        <v>42</v>
      </c>
      <c r="E6209" s="15" t="s">
        <v>38</v>
      </c>
      <c r="F6209" s="15" t="s">
        <v>17</v>
      </c>
      <c r="G6209" s="15" t="s">
        <v>29</v>
      </c>
      <c r="H6209" s="15" t="n">
        <v>2</v>
      </c>
      <c r="I6209" s="17" t="n">
        <v>0.4</v>
      </c>
      <c r="J6209" s="18" t="n">
        <v>20.36</v>
      </c>
      <c r="K6209" s="19" t="n">
        <v>-0.43</v>
      </c>
      <c r="L6209" s="15" t="n">
        <f aca="false">YEAR(B6209)</f>
        <v>2023</v>
      </c>
      <c r="M6209" s="20" t="n">
        <f aca="false">IF(J6209&gt;0,K6209/J6209,0)</f>
        <v>-0.0211198428290766</v>
      </c>
    </row>
    <row r="6210" customFormat="false" ht="15" hidden="false" customHeight="false" outlineLevel="0" collapsed="false">
      <c r="A6210" s="15" t="s">
        <v>6267</v>
      </c>
      <c r="B6210" s="16" t="n">
        <v>44656</v>
      </c>
      <c r="C6210" s="15" t="s">
        <v>58</v>
      </c>
      <c r="D6210" s="15" t="s">
        <v>42</v>
      </c>
      <c r="E6210" s="15" t="s">
        <v>36</v>
      </c>
      <c r="F6210" s="15" t="s">
        <v>16</v>
      </c>
      <c r="G6210" s="15" t="s">
        <v>27</v>
      </c>
      <c r="H6210" s="15" t="n">
        <v>4</v>
      </c>
      <c r="I6210" s="17" t="n">
        <v>0.1</v>
      </c>
      <c r="J6210" s="18" t="n">
        <v>188.02</v>
      </c>
      <c r="K6210" s="19" t="n">
        <v>27.1</v>
      </c>
      <c r="L6210" s="15" t="n">
        <f aca="false">YEAR(B6210)</f>
        <v>2022</v>
      </c>
      <c r="M6210" s="20" t="n">
        <f aca="false">IF(J6210&gt;0,K6210/J6210,0)</f>
        <v>0.144133602808212</v>
      </c>
    </row>
    <row r="6211" customFormat="false" ht="15" hidden="false" customHeight="false" outlineLevel="0" collapsed="false">
      <c r="A6211" s="15" t="s">
        <v>6268</v>
      </c>
      <c r="B6211" s="16" t="n">
        <v>45512</v>
      </c>
      <c r="C6211" s="15" t="s">
        <v>71</v>
      </c>
      <c r="D6211" s="15" t="s">
        <v>42</v>
      </c>
      <c r="E6211" s="15" t="s">
        <v>39</v>
      </c>
      <c r="F6211" s="15" t="s">
        <v>17</v>
      </c>
      <c r="G6211" s="15" t="s">
        <v>31</v>
      </c>
      <c r="H6211" s="15" t="n">
        <v>3</v>
      </c>
      <c r="I6211" s="17" t="n">
        <v>0.05</v>
      </c>
      <c r="J6211" s="18" t="n">
        <v>354.62</v>
      </c>
      <c r="K6211" s="19" t="n">
        <v>49.72</v>
      </c>
      <c r="L6211" s="15" t="n">
        <f aca="false">YEAR(B6211)</f>
        <v>2024</v>
      </c>
      <c r="M6211" s="20" t="n">
        <f aca="false">IF(J6211&gt;0,K6211/J6211,0)</f>
        <v>0.140206418137725</v>
      </c>
    </row>
    <row r="6212" customFormat="false" ht="15" hidden="false" customHeight="false" outlineLevel="0" collapsed="false">
      <c r="A6212" s="15" t="s">
        <v>6269</v>
      </c>
      <c r="B6212" s="16" t="n">
        <v>45907</v>
      </c>
      <c r="C6212" s="15" t="s">
        <v>56</v>
      </c>
      <c r="D6212" s="15" t="s">
        <v>42</v>
      </c>
      <c r="E6212" s="15" t="s">
        <v>39</v>
      </c>
      <c r="F6212" s="15" t="s">
        <v>17</v>
      </c>
      <c r="G6212" s="15" t="s">
        <v>29</v>
      </c>
      <c r="H6212" s="15" t="n">
        <v>4</v>
      </c>
      <c r="I6212" s="17" t="n">
        <v>0.2</v>
      </c>
      <c r="J6212" s="18" t="n">
        <v>55.17</v>
      </c>
      <c r="K6212" s="19" t="n">
        <v>7</v>
      </c>
      <c r="L6212" s="15" t="n">
        <f aca="false">YEAR(B6212)</f>
        <v>2025</v>
      </c>
      <c r="M6212" s="20" t="n">
        <f aca="false">IF(J6212&gt;0,K6212/J6212,0)</f>
        <v>0.126880551024107</v>
      </c>
    </row>
    <row r="6213" customFormat="false" ht="15" hidden="false" customHeight="false" outlineLevel="0" collapsed="false">
      <c r="A6213" s="15" t="s">
        <v>6270</v>
      </c>
      <c r="B6213" s="16" t="n">
        <v>45898</v>
      </c>
      <c r="C6213" s="15" t="s">
        <v>68</v>
      </c>
      <c r="D6213" s="15" t="s">
        <v>42</v>
      </c>
      <c r="E6213" s="15" t="s">
        <v>38</v>
      </c>
      <c r="F6213" s="15" t="s">
        <v>17</v>
      </c>
      <c r="G6213" s="15" t="s">
        <v>31</v>
      </c>
      <c r="H6213" s="15" t="n">
        <v>3</v>
      </c>
      <c r="I6213" s="17" t="n">
        <v>0.1</v>
      </c>
      <c r="J6213" s="18" t="n">
        <v>326.26</v>
      </c>
      <c r="K6213" s="19" t="n">
        <v>53</v>
      </c>
      <c r="L6213" s="15" t="n">
        <f aca="false">YEAR(B6213)</f>
        <v>2025</v>
      </c>
      <c r="M6213" s="20" t="n">
        <f aca="false">IF(J6213&gt;0,K6213/J6213,0)</f>
        <v>0.162447128057378</v>
      </c>
    </row>
    <row r="6214" customFormat="false" ht="15" hidden="false" customHeight="false" outlineLevel="0" collapsed="false">
      <c r="A6214" s="15" t="s">
        <v>6271</v>
      </c>
      <c r="B6214" s="16" t="n">
        <v>45608</v>
      </c>
      <c r="C6214" s="15" t="s">
        <v>71</v>
      </c>
      <c r="D6214" s="15" t="s">
        <v>42</v>
      </c>
      <c r="E6214" s="15" t="s">
        <v>36</v>
      </c>
      <c r="F6214" s="15" t="s">
        <v>17</v>
      </c>
      <c r="G6214" s="15" t="s">
        <v>28</v>
      </c>
      <c r="H6214" s="15" t="n">
        <v>2</v>
      </c>
      <c r="I6214" s="17" t="n">
        <v>0</v>
      </c>
      <c r="J6214" s="18" t="n">
        <v>48.06</v>
      </c>
      <c r="K6214" s="19" t="n">
        <v>18.45</v>
      </c>
      <c r="L6214" s="15" t="n">
        <f aca="false">YEAR(B6214)</f>
        <v>2024</v>
      </c>
      <c r="M6214" s="20" t="n">
        <f aca="false">IF(J6214&gt;0,K6214/J6214,0)</f>
        <v>0.383895131086142</v>
      </c>
    </row>
    <row r="6215" customFormat="false" ht="15" hidden="false" customHeight="false" outlineLevel="0" collapsed="false">
      <c r="A6215" s="15" t="s">
        <v>6272</v>
      </c>
      <c r="B6215" s="16" t="n">
        <v>45500</v>
      </c>
      <c r="C6215" s="15" t="s">
        <v>56</v>
      </c>
      <c r="D6215" s="15" t="s">
        <v>44</v>
      </c>
      <c r="E6215" s="15" t="s">
        <v>37</v>
      </c>
      <c r="F6215" s="15" t="s">
        <v>17</v>
      </c>
      <c r="G6215" s="15" t="s">
        <v>26</v>
      </c>
      <c r="H6215" s="15" t="n">
        <v>3</v>
      </c>
      <c r="I6215" s="17" t="n">
        <v>0.1</v>
      </c>
      <c r="J6215" s="18" t="n">
        <v>229.69</v>
      </c>
      <c r="K6215" s="19" t="n">
        <v>15.84</v>
      </c>
      <c r="L6215" s="15" t="n">
        <f aca="false">YEAR(B6215)</f>
        <v>2024</v>
      </c>
      <c r="M6215" s="20" t="n">
        <f aca="false">IF(J6215&gt;0,K6215/J6215,0)</f>
        <v>0.0689625146937176</v>
      </c>
    </row>
    <row r="6216" customFormat="false" ht="15" hidden="false" customHeight="false" outlineLevel="0" collapsed="false">
      <c r="A6216" s="15" t="s">
        <v>6273</v>
      </c>
      <c r="B6216" s="16" t="n">
        <v>45058</v>
      </c>
      <c r="C6216" s="15" t="s">
        <v>56</v>
      </c>
      <c r="D6216" s="15" t="s">
        <v>44</v>
      </c>
      <c r="E6216" s="15" t="s">
        <v>36</v>
      </c>
      <c r="F6216" s="15" t="s">
        <v>17</v>
      </c>
      <c r="G6216" s="15" t="s">
        <v>28</v>
      </c>
      <c r="H6216" s="15" t="n">
        <v>5</v>
      </c>
      <c r="I6216" s="17" t="n">
        <v>0.2</v>
      </c>
      <c r="J6216" s="18" t="n">
        <v>96.96</v>
      </c>
      <c r="K6216" s="19" t="n">
        <v>12.52</v>
      </c>
      <c r="L6216" s="15" t="n">
        <f aca="false">YEAR(B6216)</f>
        <v>2023</v>
      </c>
      <c r="M6216" s="20" t="n">
        <f aca="false">IF(J6216&gt;0,K6216/J6216,0)</f>
        <v>0.129125412541254</v>
      </c>
    </row>
    <row r="6217" customFormat="false" ht="15" hidden="false" customHeight="false" outlineLevel="0" collapsed="false">
      <c r="A6217" s="15" t="s">
        <v>6274</v>
      </c>
      <c r="B6217" s="16" t="n">
        <v>44568</v>
      </c>
      <c r="C6217" s="15" t="s">
        <v>56</v>
      </c>
      <c r="D6217" s="15" t="s">
        <v>44</v>
      </c>
      <c r="E6217" s="15" t="s">
        <v>39</v>
      </c>
      <c r="F6217" s="15" t="s">
        <v>17</v>
      </c>
      <c r="G6217" s="15" t="s">
        <v>26</v>
      </c>
      <c r="H6217" s="15" t="n">
        <v>2</v>
      </c>
      <c r="I6217" s="17" t="n">
        <v>0</v>
      </c>
      <c r="J6217" s="18" t="n">
        <v>197.27</v>
      </c>
      <c r="K6217" s="19" t="n">
        <v>19.88</v>
      </c>
      <c r="L6217" s="15" t="n">
        <f aca="false">YEAR(B6217)</f>
        <v>2022</v>
      </c>
      <c r="M6217" s="20" t="n">
        <f aca="false">IF(J6217&gt;0,K6217/J6217,0)</f>
        <v>0.100775586759264</v>
      </c>
    </row>
    <row r="6218" customFormat="false" ht="15" hidden="false" customHeight="false" outlineLevel="0" collapsed="false">
      <c r="A6218" s="15" t="s">
        <v>6275</v>
      </c>
      <c r="B6218" s="16" t="n">
        <v>44979</v>
      </c>
      <c r="C6218" s="15" t="s">
        <v>56</v>
      </c>
      <c r="D6218" s="15" t="s">
        <v>42</v>
      </c>
      <c r="E6218" s="15" t="s">
        <v>37</v>
      </c>
      <c r="F6218" s="15" t="s">
        <v>17</v>
      </c>
      <c r="G6218" s="15" t="s">
        <v>26</v>
      </c>
      <c r="H6218" s="15" t="n">
        <v>4</v>
      </c>
      <c r="I6218" s="17" t="n">
        <v>0</v>
      </c>
      <c r="J6218" s="18" t="n">
        <v>305.26</v>
      </c>
      <c r="K6218" s="19" t="n">
        <v>26.14</v>
      </c>
      <c r="L6218" s="15" t="n">
        <f aca="false">YEAR(B6218)</f>
        <v>2023</v>
      </c>
      <c r="M6218" s="20" t="n">
        <f aca="false">IF(J6218&gt;0,K6218/J6218,0)</f>
        <v>0.0856319203302103</v>
      </c>
    </row>
    <row r="6219" customFormat="false" ht="15" hidden="false" customHeight="false" outlineLevel="0" collapsed="false">
      <c r="A6219" s="15" t="s">
        <v>6276</v>
      </c>
      <c r="B6219" s="16" t="n">
        <v>44901</v>
      </c>
      <c r="C6219" s="15" t="s">
        <v>68</v>
      </c>
      <c r="D6219" s="15" t="s">
        <v>42</v>
      </c>
      <c r="E6219" s="15" t="s">
        <v>38</v>
      </c>
      <c r="F6219" s="15" t="s">
        <v>18</v>
      </c>
      <c r="G6219" s="15" t="s">
        <v>30</v>
      </c>
      <c r="H6219" s="15" t="n">
        <v>2</v>
      </c>
      <c r="I6219" s="17" t="n">
        <v>0.15</v>
      </c>
      <c r="J6219" s="18" t="n">
        <v>65.42</v>
      </c>
      <c r="K6219" s="19" t="n">
        <v>11.18</v>
      </c>
      <c r="L6219" s="15" t="n">
        <f aca="false">YEAR(B6219)</f>
        <v>2022</v>
      </c>
      <c r="M6219" s="20" t="n">
        <f aca="false">IF(J6219&gt;0,K6219/J6219,0)</f>
        <v>0.170895750535005</v>
      </c>
    </row>
    <row r="6220" customFormat="false" ht="15" hidden="false" customHeight="false" outlineLevel="0" collapsed="false">
      <c r="A6220" s="15" t="s">
        <v>6277</v>
      </c>
      <c r="B6220" s="16" t="n">
        <v>44733</v>
      </c>
      <c r="C6220" s="15" t="s">
        <v>58</v>
      </c>
      <c r="D6220" s="15" t="s">
        <v>43</v>
      </c>
      <c r="E6220" s="15" t="s">
        <v>38</v>
      </c>
      <c r="F6220" s="15" t="s">
        <v>17</v>
      </c>
      <c r="G6220" s="15" t="s">
        <v>31</v>
      </c>
      <c r="H6220" s="15" t="n">
        <v>5</v>
      </c>
      <c r="I6220" s="17" t="n">
        <v>0</v>
      </c>
      <c r="J6220" s="18" t="n">
        <v>697.16</v>
      </c>
      <c r="K6220" s="19" t="n">
        <v>137.7</v>
      </c>
      <c r="L6220" s="15" t="n">
        <f aca="false">YEAR(B6220)</f>
        <v>2022</v>
      </c>
      <c r="M6220" s="20" t="n">
        <f aca="false">IF(J6220&gt;0,K6220/J6220,0)</f>
        <v>0.197515634861438</v>
      </c>
    </row>
    <row r="6221" customFormat="false" ht="15" hidden="false" customHeight="false" outlineLevel="0" collapsed="false">
      <c r="A6221" s="15" t="s">
        <v>6278</v>
      </c>
      <c r="B6221" s="16" t="n">
        <v>45792</v>
      </c>
      <c r="C6221" s="15" t="s">
        <v>56</v>
      </c>
      <c r="D6221" s="15" t="s">
        <v>43</v>
      </c>
      <c r="E6221" s="15" t="s">
        <v>39</v>
      </c>
      <c r="F6221" s="15" t="s">
        <v>17</v>
      </c>
      <c r="G6221" s="15" t="s">
        <v>26</v>
      </c>
      <c r="H6221" s="15" t="n">
        <v>5</v>
      </c>
      <c r="I6221" s="17" t="n">
        <v>0.05</v>
      </c>
      <c r="J6221" s="18" t="n">
        <v>462.94</v>
      </c>
      <c r="K6221" s="19" t="n">
        <v>6.76</v>
      </c>
      <c r="L6221" s="15" t="n">
        <f aca="false">YEAR(B6221)</f>
        <v>2025</v>
      </c>
      <c r="M6221" s="20" t="n">
        <f aca="false">IF(J6221&gt;0,K6221/J6221,0)</f>
        <v>0.0146023242752841</v>
      </c>
    </row>
    <row r="6222" customFormat="false" ht="15" hidden="false" customHeight="false" outlineLevel="0" collapsed="false">
      <c r="A6222" s="15" t="s">
        <v>6279</v>
      </c>
      <c r="B6222" s="16" t="n">
        <v>45107</v>
      </c>
      <c r="C6222" s="15" t="s">
        <v>56</v>
      </c>
      <c r="D6222" s="15" t="s">
        <v>44</v>
      </c>
      <c r="E6222" s="15" t="s">
        <v>39</v>
      </c>
      <c r="F6222" s="15" t="s">
        <v>16</v>
      </c>
      <c r="G6222" s="15" t="s">
        <v>25</v>
      </c>
      <c r="H6222" s="15" t="n">
        <v>7</v>
      </c>
      <c r="I6222" s="17" t="n">
        <v>0.1</v>
      </c>
      <c r="J6222" s="18" t="n">
        <v>1672.34</v>
      </c>
      <c r="K6222" s="19" t="n">
        <v>20.67</v>
      </c>
      <c r="L6222" s="15" t="n">
        <f aca="false">YEAR(B6222)</f>
        <v>2023</v>
      </c>
      <c r="M6222" s="20" t="n">
        <f aca="false">IF(J6222&gt;0,K6222/J6222,0)</f>
        <v>0.0123599268091417</v>
      </c>
    </row>
    <row r="6223" customFormat="false" ht="15" hidden="false" customHeight="false" outlineLevel="0" collapsed="false">
      <c r="A6223" s="15" t="s">
        <v>6280</v>
      </c>
      <c r="B6223" s="16" t="n">
        <v>44866</v>
      </c>
      <c r="C6223" s="15" t="s">
        <v>56</v>
      </c>
      <c r="D6223" s="15" t="s">
        <v>43</v>
      </c>
      <c r="E6223" s="15" t="s">
        <v>37</v>
      </c>
      <c r="F6223" s="15" t="s">
        <v>17</v>
      </c>
      <c r="G6223" s="15" t="s">
        <v>28</v>
      </c>
      <c r="H6223" s="15" t="n">
        <v>3</v>
      </c>
      <c r="I6223" s="17" t="n">
        <v>0.05</v>
      </c>
      <c r="J6223" s="18" t="n">
        <v>89.31</v>
      </c>
      <c r="K6223" s="19" t="n">
        <v>22.74</v>
      </c>
      <c r="L6223" s="15" t="n">
        <f aca="false">YEAR(B6223)</f>
        <v>2022</v>
      </c>
      <c r="M6223" s="20" t="n">
        <f aca="false">IF(J6223&gt;0,K6223/J6223,0)</f>
        <v>0.254618743701713</v>
      </c>
    </row>
    <row r="6224" customFormat="false" ht="15" hidden="false" customHeight="false" outlineLevel="0" collapsed="false">
      <c r="A6224" s="15" t="s">
        <v>6281</v>
      </c>
      <c r="B6224" s="16" t="n">
        <v>45915</v>
      </c>
      <c r="C6224" s="15" t="s">
        <v>56</v>
      </c>
      <c r="D6224" s="15" t="s">
        <v>42</v>
      </c>
      <c r="E6224" s="15" t="s">
        <v>39</v>
      </c>
      <c r="F6224" s="15" t="s">
        <v>17</v>
      </c>
      <c r="G6224" s="15" t="s">
        <v>26</v>
      </c>
      <c r="H6224" s="15" t="n">
        <v>2</v>
      </c>
      <c r="I6224" s="17" t="n">
        <v>0.5</v>
      </c>
      <c r="J6224" s="18" t="n">
        <v>80.31</v>
      </c>
      <c r="K6224" s="19" t="n">
        <v>-24.84</v>
      </c>
      <c r="L6224" s="15" t="n">
        <f aca="false">YEAR(B6224)</f>
        <v>2025</v>
      </c>
      <c r="M6224" s="20" t="n">
        <f aca="false">IF(J6224&gt;0,K6224/J6224,0)</f>
        <v>-0.309301456854688</v>
      </c>
    </row>
    <row r="6225" customFormat="false" ht="15" hidden="false" customHeight="false" outlineLevel="0" collapsed="false">
      <c r="A6225" s="15" t="s">
        <v>6282</v>
      </c>
      <c r="B6225" s="16" t="n">
        <v>45059</v>
      </c>
      <c r="C6225" s="15" t="s">
        <v>71</v>
      </c>
      <c r="D6225" s="15" t="s">
        <v>43</v>
      </c>
      <c r="E6225" s="15" t="s">
        <v>38</v>
      </c>
      <c r="F6225" s="15" t="s">
        <v>17</v>
      </c>
      <c r="G6225" s="15" t="s">
        <v>26</v>
      </c>
      <c r="H6225" s="15" t="n">
        <v>4</v>
      </c>
      <c r="I6225" s="17" t="n">
        <v>0</v>
      </c>
      <c r="J6225" s="18" t="n">
        <v>315.46</v>
      </c>
      <c r="K6225" s="19" t="n">
        <v>41.37</v>
      </c>
      <c r="L6225" s="15" t="n">
        <f aca="false">YEAR(B6225)</f>
        <v>2023</v>
      </c>
      <c r="M6225" s="20" t="n">
        <f aca="false">IF(J6225&gt;0,K6225/J6225,0)</f>
        <v>0.131141824637038</v>
      </c>
    </row>
    <row r="6226" customFormat="false" ht="15" hidden="false" customHeight="false" outlineLevel="0" collapsed="false">
      <c r="A6226" s="15" t="s">
        <v>6283</v>
      </c>
      <c r="B6226" s="16" t="n">
        <v>45266</v>
      </c>
      <c r="C6226" s="15" t="s">
        <v>71</v>
      </c>
      <c r="D6226" s="15" t="s">
        <v>42</v>
      </c>
      <c r="E6226" s="15" t="s">
        <v>36</v>
      </c>
      <c r="F6226" s="15" t="s">
        <v>17</v>
      </c>
      <c r="G6226" s="15" t="s">
        <v>31</v>
      </c>
      <c r="H6226" s="15" t="n">
        <v>3</v>
      </c>
      <c r="I6226" s="17" t="n">
        <v>0</v>
      </c>
      <c r="J6226" s="18" t="n">
        <v>368.39</v>
      </c>
      <c r="K6226" s="19" t="n">
        <v>76.55</v>
      </c>
      <c r="L6226" s="15" t="n">
        <f aca="false">YEAR(B6226)</f>
        <v>2023</v>
      </c>
      <c r="M6226" s="20" t="n">
        <f aca="false">IF(J6226&gt;0,K6226/J6226,0)</f>
        <v>0.207796085670078</v>
      </c>
    </row>
    <row r="6227" customFormat="false" ht="15" hidden="false" customHeight="false" outlineLevel="0" collapsed="false">
      <c r="A6227" s="15" t="s">
        <v>6284</v>
      </c>
      <c r="B6227" s="16" t="n">
        <v>45032</v>
      </c>
      <c r="C6227" s="15" t="s">
        <v>56</v>
      </c>
      <c r="D6227" s="15" t="s">
        <v>42</v>
      </c>
      <c r="E6227" s="15" t="s">
        <v>36</v>
      </c>
      <c r="F6227" s="15" t="s">
        <v>16</v>
      </c>
      <c r="G6227" s="15" t="s">
        <v>23</v>
      </c>
      <c r="H6227" s="15" t="n">
        <v>6</v>
      </c>
      <c r="I6227" s="17" t="n">
        <v>0.4</v>
      </c>
      <c r="J6227" s="18" t="n">
        <v>1079.15</v>
      </c>
      <c r="K6227" s="19" t="n">
        <v>-316.99</v>
      </c>
      <c r="L6227" s="15" t="n">
        <f aca="false">YEAR(B6227)</f>
        <v>2023</v>
      </c>
      <c r="M6227" s="20" t="n">
        <f aca="false">IF(J6227&gt;0,K6227/J6227,0)</f>
        <v>-0.293740443867859</v>
      </c>
    </row>
    <row r="6228" customFormat="false" ht="15" hidden="false" customHeight="false" outlineLevel="0" collapsed="false">
      <c r="A6228" s="15" t="s">
        <v>6285</v>
      </c>
      <c r="B6228" s="16" t="n">
        <v>44678</v>
      </c>
      <c r="C6228" s="15" t="s">
        <v>68</v>
      </c>
      <c r="D6228" s="15" t="s">
        <v>43</v>
      </c>
      <c r="E6228" s="15" t="s">
        <v>39</v>
      </c>
      <c r="F6228" s="15" t="s">
        <v>17</v>
      </c>
      <c r="G6228" s="15" t="s">
        <v>26</v>
      </c>
      <c r="H6228" s="15" t="n">
        <v>3</v>
      </c>
      <c r="I6228" s="17" t="n">
        <v>0.2</v>
      </c>
      <c r="J6228" s="18" t="n">
        <v>265.82</v>
      </c>
      <c r="K6228" s="19" t="n">
        <v>-20.4</v>
      </c>
      <c r="L6228" s="15" t="n">
        <f aca="false">YEAR(B6228)</f>
        <v>2022</v>
      </c>
      <c r="M6228" s="20" t="n">
        <f aca="false">IF(J6228&gt;0,K6228/J6228,0)</f>
        <v>-0.0767436611240689</v>
      </c>
    </row>
    <row r="6229" customFormat="false" ht="15" hidden="false" customHeight="false" outlineLevel="0" collapsed="false">
      <c r="A6229" s="15" t="s">
        <v>6286</v>
      </c>
      <c r="B6229" s="16" t="n">
        <v>45501</v>
      </c>
      <c r="C6229" s="15" t="s">
        <v>68</v>
      </c>
      <c r="D6229" s="15" t="s">
        <v>43</v>
      </c>
      <c r="E6229" s="15" t="s">
        <v>36</v>
      </c>
      <c r="F6229" s="15" t="s">
        <v>17</v>
      </c>
      <c r="G6229" s="15" t="s">
        <v>29</v>
      </c>
      <c r="H6229" s="15" t="n">
        <v>4</v>
      </c>
      <c r="I6229" s="17" t="n">
        <v>0.1</v>
      </c>
      <c r="J6229" s="18" t="n">
        <v>66.15</v>
      </c>
      <c r="K6229" s="19" t="n">
        <v>18.87</v>
      </c>
      <c r="L6229" s="15" t="n">
        <f aca="false">YEAR(B6229)</f>
        <v>2024</v>
      </c>
      <c r="M6229" s="20" t="n">
        <f aca="false">IF(J6229&gt;0,K6229/J6229,0)</f>
        <v>0.285260770975057</v>
      </c>
    </row>
    <row r="6230" customFormat="false" ht="15" hidden="false" customHeight="false" outlineLevel="0" collapsed="false">
      <c r="A6230" s="15" t="s">
        <v>6287</v>
      </c>
      <c r="B6230" s="16" t="n">
        <v>45330</v>
      </c>
      <c r="C6230" s="15" t="s">
        <v>56</v>
      </c>
      <c r="D6230" s="15" t="s">
        <v>44</v>
      </c>
      <c r="E6230" s="15" t="s">
        <v>39</v>
      </c>
      <c r="F6230" s="15" t="s">
        <v>18</v>
      </c>
      <c r="G6230" s="15" t="s">
        <v>30</v>
      </c>
      <c r="H6230" s="15" t="n">
        <v>2</v>
      </c>
      <c r="I6230" s="17" t="n">
        <v>0.2</v>
      </c>
      <c r="J6230" s="18" t="n">
        <v>69.31</v>
      </c>
      <c r="K6230" s="19" t="n">
        <v>12.56</v>
      </c>
      <c r="L6230" s="15" t="n">
        <f aca="false">YEAR(B6230)</f>
        <v>2024</v>
      </c>
      <c r="M6230" s="20" t="n">
        <f aca="false">IF(J6230&gt;0,K6230/J6230,0)</f>
        <v>0.181214831914587</v>
      </c>
    </row>
    <row r="6231" customFormat="false" ht="15" hidden="false" customHeight="false" outlineLevel="0" collapsed="false">
      <c r="A6231" s="15" t="s">
        <v>6288</v>
      </c>
      <c r="B6231" s="16" t="n">
        <v>45925</v>
      </c>
      <c r="C6231" s="15" t="s">
        <v>71</v>
      </c>
      <c r="D6231" s="15" t="s">
        <v>42</v>
      </c>
      <c r="E6231" s="15" t="s">
        <v>38</v>
      </c>
      <c r="F6231" s="15" t="s">
        <v>17</v>
      </c>
      <c r="G6231" s="15" t="s">
        <v>28</v>
      </c>
      <c r="H6231" s="15" t="n">
        <v>1</v>
      </c>
      <c r="I6231" s="17" t="n">
        <v>0</v>
      </c>
      <c r="J6231" s="18" t="n">
        <v>22.24</v>
      </c>
      <c r="K6231" s="19" t="n">
        <v>7.49</v>
      </c>
      <c r="L6231" s="15" t="n">
        <f aca="false">YEAR(B6231)</f>
        <v>2025</v>
      </c>
      <c r="M6231" s="20" t="n">
        <f aca="false">IF(J6231&gt;0,K6231/J6231,0)</f>
        <v>0.336780575539568</v>
      </c>
    </row>
    <row r="6232" customFormat="false" ht="15" hidden="false" customHeight="false" outlineLevel="0" collapsed="false">
      <c r="A6232" s="15" t="s">
        <v>6289</v>
      </c>
      <c r="B6232" s="16" t="n">
        <v>45311</v>
      </c>
      <c r="C6232" s="15" t="s">
        <v>56</v>
      </c>
      <c r="D6232" s="15" t="s">
        <v>43</v>
      </c>
      <c r="E6232" s="15" t="s">
        <v>38</v>
      </c>
      <c r="F6232" s="15" t="s">
        <v>16</v>
      </c>
      <c r="G6232" s="15" t="s">
        <v>25</v>
      </c>
      <c r="H6232" s="15" t="n">
        <v>4</v>
      </c>
      <c r="I6232" s="17" t="n">
        <v>0</v>
      </c>
      <c r="J6232" s="18" t="n">
        <v>1210.41</v>
      </c>
      <c r="K6232" s="19" t="n">
        <v>100.73</v>
      </c>
      <c r="L6232" s="15" t="n">
        <f aca="false">YEAR(B6232)</f>
        <v>2024</v>
      </c>
      <c r="M6232" s="20" t="n">
        <f aca="false">IF(J6232&gt;0,K6232/J6232,0)</f>
        <v>0.0832197354615378</v>
      </c>
    </row>
    <row r="6233" customFormat="false" ht="15" hidden="false" customHeight="false" outlineLevel="0" collapsed="false">
      <c r="A6233" s="15" t="s">
        <v>6290</v>
      </c>
      <c r="B6233" s="16" t="n">
        <v>44878</v>
      </c>
      <c r="C6233" s="15" t="s">
        <v>71</v>
      </c>
      <c r="D6233" s="15" t="s">
        <v>42</v>
      </c>
      <c r="E6233" s="15" t="s">
        <v>36</v>
      </c>
      <c r="F6233" s="15" t="s">
        <v>18</v>
      </c>
      <c r="G6233" s="15" t="s">
        <v>30</v>
      </c>
      <c r="H6233" s="15" t="n">
        <v>2</v>
      </c>
      <c r="I6233" s="17" t="n">
        <v>0</v>
      </c>
      <c r="J6233" s="18" t="n">
        <v>67.49</v>
      </c>
      <c r="K6233" s="19" t="n">
        <v>24.47</v>
      </c>
      <c r="L6233" s="15" t="n">
        <f aca="false">YEAR(B6233)</f>
        <v>2022</v>
      </c>
      <c r="M6233" s="20" t="n">
        <f aca="false">IF(J6233&gt;0,K6233/J6233,0)</f>
        <v>0.362572232923396</v>
      </c>
    </row>
    <row r="6234" customFormat="false" ht="15" hidden="false" customHeight="false" outlineLevel="0" collapsed="false">
      <c r="A6234" s="15" t="s">
        <v>6291</v>
      </c>
      <c r="B6234" s="16" t="n">
        <v>45256</v>
      </c>
      <c r="C6234" s="15" t="s">
        <v>56</v>
      </c>
      <c r="D6234" s="15" t="s">
        <v>43</v>
      </c>
      <c r="E6234" s="15" t="s">
        <v>39</v>
      </c>
      <c r="F6234" s="15" t="s">
        <v>18</v>
      </c>
      <c r="G6234" s="15" t="s">
        <v>24</v>
      </c>
      <c r="H6234" s="15" t="n">
        <v>6</v>
      </c>
      <c r="I6234" s="17" t="n">
        <v>0</v>
      </c>
      <c r="J6234" s="18" t="n">
        <v>5376.51</v>
      </c>
      <c r="K6234" s="19" t="n">
        <v>383.41</v>
      </c>
      <c r="L6234" s="15" t="n">
        <f aca="false">YEAR(B6234)</f>
        <v>2023</v>
      </c>
      <c r="M6234" s="20" t="n">
        <f aca="false">IF(J6234&gt;0,K6234/J6234,0)</f>
        <v>0.0713120593098497</v>
      </c>
    </row>
    <row r="6235" customFormat="false" ht="15" hidden="false" customHeight="false" outlineLevel="0" collapsed="false">
      <c r="A6235" s="15" t="s">
        <v>6292</v>
      </c>
      <c r="B6235" s="16" t="n">
        <v>44639</v>
      </c>
      <c r="C6235" s="15" t="s">
        <v>56</v>
      </c>
      <c r="D6235" s="15" t="s">
        <v>42</v>
      </c>
      <c r="E6235" s="15" t="s">
        <v>38</v>
      </c>
      <c r="F6235" s="15" t="s">
        <v>17</v>
      </c>
      <c r="G6235" s="15" t="s">
        <v>28</v>
      </c>
      <c r="H6235" s="15" t="n">
        <v>3</v>
      </c>
      <c r="I6235" s="17" t="n">
        <v>0</v>
      </c>
      <c r="J6235" s="18" t="n">
        <v>62.12</v>
      </c>
      <c r="K6235" s="19" t="n">
        <v>20.47</v>
      </c>
      <c r="L6235" s="15" t="n">
        <f aca="false">YEAR(B6235)</f>
        <v>2022</v>
      </c>
      <c r="M6235" s="20" t="n">
        <f aca="false">IF(J6235&gt;0,K6235/J6235,0)</f>
        <v>0.329523502897618</v>
      </c>
    </row>
    <row r="6236" customFormat="false" ht="15" hidden="false" customHeight="false" outlineLevel="0" collapsed="false">
      <c r="A6236" s="15" t="s">
        <v>6293</v>
      </c>
      <c r="B6236" s="16" t="n">
        <v>45405</v>
      </c>
      <c r="C6236" s="15" t="s">
        <v>56</v>
      </c>
      <c r="D6236" s="15" t="s">
        <v>43</v>
      </c>
      <c r="E6236" s="15" t="s">
        <v>37</v>
      </c>
      <c r="F6236" s="15" t="s">
        <v>17</v>
      </c>
      <c r="G6236" s="15" t="s">
        <v>26</v>
      </c>
      <c r="H6236" s="15" t="n">
        <v>3</v>
      </c>
      <c r="I6236" s="17" t="n">
        <v>0.1</v>
      </c>
      <c r="J6236" s="18" t="n">
        <v>288.36</v>
      </c>
      <c r="K6236" s="19" t="n">
        <v>14.23</v>
      </c>
      <c r="L6236" s="15" t="n">
        <f aca="false">YEAR(B6236)</f>
        <v>2024</v>
      </c>
      <c r="M6236" s="20" t="n">
        <f aca="false">IF(J6236&gt;0,K6236/J6236,0)</f>
        <v>0.0493480371757525</v>
      </c>
    </row>
    <row r="6237" customFormat="false" ht="15" hidden="false" customHeight="false" outlineLevel="0" collapsed="false">
      <c r="A6237" s="15" t="s">
        <v>6294</v>
      </c>
      <c r="B6237" s="16" t="n">
        <v>45358</v>
      </c>
      <c r="C6237" s="15" t="s">
        <v>56</v>
      </c>
      <c r="D6237" s="15" t="s">
        <v>42</v>
      </c>
      <c r="E6237" s="15" t="s">
        <v>38</v>
      </c>
      <c r="F6237" s="15" t="s">
        <v>18</v>
      </c>
      <c r="G6237" s="15" t="s">
        <v>30</v>
      </c>
      <c r="H6237" s="15" t="n">
        <v>4</v>
      </c>
      <c r="I6237" s="17" t="n">
        <v>0</v>
      </c>
      <c r="J6237" s="18" t="n">
        <v>176.3</v>
      </c>
      <c r="K6237" s="19" t="n">
        <v>49.01</v>
      </c>
      <c r="L6237" s="15" t="n">
        <f aca="false">YEAR(B6237)</f>
        <v>2024</v>
      </c>
      <c r="M6237" s="20" t="n">
        <f aca="false">IF(J6237&gt;0,K6237/J6237,0)</f>
        <v>0.277992058990357</v>
      </c>
    </row>
    <row r="6238" customFormat="false" ht="15" hidden="false" customHeight="false" outlineLevel="0" collapsed="false">
      <c r="A6238" s="15" t="s">
        <v>6295</v>
      </c>
      <c r="B6238" s="16" t="n">
        <v>45454</v>
      </c>
      <c r="C6238" s="15" t="s">
        <v>56</v>
      </c>
      <c r="D6238" s="15" t="s">
        <v>42</v>
      </c>
      <c r="E6238" s="15" t="s">
        <v>37</v>
      </c>
      <c r="F6238" s="15" t="s">
        <v>18</v>
      </c>
      <c r="G6238" s="15" t="s">
        <v>30</v>
      </c>
      <c r="H6238" s="15" t="n">
        <v>7</v>
      </c>
      <c r="I6238" s="17" t="n">
        <v>0</v>
      </c>
      <c r="J6238" s="18" t="n">
        <v>330.69</v>
      </c>
      <c r="K6238" s="19" t="n">
        <v>91.19</v>
      </c>
      <c r="L6238" s="15" t="n">
        <f aca="false">YEAR(B6238)</f>
        <v>2024</v>
      </c>
      <c r="M6238" s="20" t="n">
        <f aca="false">IF(J6238&gt;0,K6238/J6238,0)</f>
        <v>0.275756751035713</v>
      </c>
    </row>
    <row r="6239" customFormat="false" ht="15" hidden="false" customHeight="false" outlineLevel="0" collapsed="false">
      <c r="A6239" s="15" t="s">
        <v>6296</v>
      </c>
      <c r="B6239" s="16" t="n">
        <v>45240</v>
      </c>
      <c r="C6239" s="15" t="s">
        <v>56</v>
      </c>
      <c r="D6239" s="15" t="s">
        <v>42</v>
      </c>
      <c r="E6239" s="15" t="s">
        <v>37</v>
      </c>
      <c r="F6239" s="15" t="s">
        <v>17</v>
      </c>
      <c r="G6239" s="15" t="s">
        <v>28</v>
      </c>
      <c r="H6239" s="15" t="n">
        <v>4</v>
      </c>
      <c r="I6239" s="17" t="n">
        <v>0.1</v>
      </c>
      <c r="J6239" s="18" t="n">
        <v>75.7</v>
      </c>
      <c r="K6239" s="19" t="n">
        <v>21</v>
      </c>
      <c r="L6239" s="15" t="n">
        <f aca="false">YEAR(B6239)</f>
        <v>2023</v>
      </c>
      <c r="M6239" s="20" t="n">
        <f aca="false">IF(J6239&gt;0,K6239/J6239,0)</f>
        <v>0.277410832232497</v>
      </c>
    </row>
    <row r="6240" customFormat="false" ht="15" hidden="false" customHeight="false" outlineLevel="0" collapsed="false">
      <c r="A6240" s="15" t="s">
        <v>6297</v>
      </c>
      <c r="B6240" s="16" t="n">
        <v>45906</v>
      </c>
      <c r="C6240" s="15" t="s">
        <v>56</v>
      </c>
      <c r="D6240" s="15" t="s">
        <v>43</v>
      </c>
      <c r="E6240" s="15" t="s">
        <v>39</v>
      </c>
      <c r="F6240" s="15" t="s">
        <v>17</v>
      </c>
      <c r="G6240" s="15" t="s">
        <v>26</v>
      </c>
      <c r="H6240" s="15" t="n">
        <v>7</v>
      </c>
      <c r="I6240" s="17" t="n">
        <v>0</v>
      </c>
      <c r="J6240" s="18" t="n">
        <v>777.87</v>
      </c>
      <c r="K6240" s="19" t="n">
        <v>114.26</v>
      </c>
      <c r="L6240" s="15" t="n">
        <f aca="false">YEAR(B6240)</f>
        <v>2025</v>
      </c>
      <c r="M6240" s="20" t="n">
        <f aca="false">IF(J6240&gt;0,K6240/J6240,0)</f>
        <v>0.146888297530436</v>
      </c>
    </row>
    <row r="6241" customFormat="false" ht="15" hidden="false" customHeight="false" outlineLevel="0" collapsed="false">
      <c r="A6241" s="15" t="s">
        <v>6298</v>
      </c>
      <c r="B6241" s="16" t="n">
        <v>45077</v>
      </c>
      <c r="C6241" s="15" t="s">
        <v>56</v>
      </c>
      <c r="D6241" s="15" t="s">
        <v>43</v>
      </c>
      <c r="E6241" s="15" t="s">
        <v>37</v>
      </c>
      <c r="F6241" s="15" t="s">
        <v>17</v>
      </c>
      <c r="G6241" s="15" t="s">
        <v>29</v>
      </c>
      <c r="H6241" s="15" t="n">
        <v>4</v>
      </c>
      <c r="I6241" s="17" t="n">
        <v>0.3</v>
      </c>
      <c r="J6241" s="18" t="n">
        <v>52.25</v>
      </c>
      <c r="K6241" s="19" t="n">
        <v>7.39</v>
      </c>
      <c r="L6241" s="15" t="n">
        <f aca="false">YEAR(B6241)</f>
        <v>2023</v>
      </c>
      <c r="M6241" s="20" t="n">
        <f aca="false">IF(J6241&gt;0,K6241/J6241,0)</f>
        <v>0.141435406698565</v>
      </c>
    </row>
    <row r="6242" customFormat="false" ht="15" hidden="false" customHeight="false" outlineLevel="0" collapsed="false">
      <c r="A6242" s="15" t="s">
        <v>6299</v>
      </c>
      <c r="B6242" s="16" t="n">
        <v>44865</v>
      </c>
      <c r="C6242" s="15" t="s">
        <v>56</v>
      </c>
      <c r="D6242" s="15" t="s">
        <v>43</v>
      </c>
      <c r="E6242" s="15" t="s">
        <v>38</v>
      </c>
      <c r="F6242" s="15" t="s">
        <v>17</v>
      </c>
      <c r="G6242" s="15" t="s">
        <v>28</v>
      </c>
      <c r="H6242" s="15" t="n">
        <v>7</v>
      </c>
      <c r="I6242" s="17" t="n">
        <v>0</v>
      </c>
      <c r="J6242" s="18" t="n">
        <v>173.01</v>
      </c>
      <c r="K6242" s="19" t="n">
        <v>38.7</v>
      </c>
      <c r="L6242" s="15" t="n">
        <f aca="false">YEAR(B6242)</f>
        <v>2022</v>
      </c>
      <c r="M6242" s="20" t="n">
        <f aca="false">IF(J6242&gt;0,K6242/J6242,0)</f>
        <v>0.223686492110283</v>
      </c>
    </row>
    <row r="6243" customFormat="false" ht="15" hidden="false" customHeight="false" outlineLevel="0" collapsed="false">
      <c r="A6243" s="15" t="s">
        <v>6300</v>
      </c>
      <c r="B6243" s="16" t="n">
        <v>45980</v>
      </c>
      <c r="C6243" s="15" t="s">
        <v>68</v>
      </c>
      <c r="D6243" s="15" t="s">
        <v>42</v>
      </c>
      <c r="E6243" s="15" t="s">
        <v>38</v>
      </c>
      <c r="F6243" s="15" t="s">
        <v>18</v>
      </c>
      <c r="G6243" s="15" t="s">
        <v>32</v>
      </c>
      <c r="H6243" s="15" t="n">
        <v>6</v>
      </c>
      <c r="I6243" s="17" t="n">
        <v>0.2</v>
      </c>
      <c r="J6243" s="18" t="n">
        <v>1653.18</v>
      </c>
      <c r="K6243" s="19" t="n">
        <v>-106.14</v>
      </c>
      <c r="L6243" s="15" t="n">
        <f aca="false">YEAR(B6243)</f>
        <v>2025</v>
      </c>
      <c r="M6243" s="20" t="n">
        <f aca="false">IF(J6243&gt;0,K6243/J6243,0)</f>
        <v>-0.0642035350052626</v>
      </c>
    </row>
    <row r="6244" customFormat="false" ht="15" hidden="false" customHeight="false" outlineLevel="0" collapsed="false">
      <c r="A6244" s="15" t="s">
        <v>6301</v>
      </c>
      <c r="B6244" s="16" t="n">
        <v>45912</v>
      </c>
      <c r="C6244" s="15" t="s">
        <v>56</v>
      </c>
      <c r="D6244" s="15" t="s">
        <v>42</v>
      </c>
      <c r="E6244" s="15" t="s">
        <v>39</v>
      </c>
      <c r="F6244" s="15" t="s">
        <v>17</v>
      </c>
      <c r="G6244" s="15" t="s">
        <v>28</v>
      </c>
      <c r="H6244" s="15" t="n">
        <v>3</v>
      </c>
      <c r="I6244" s="17" t="n">
        <v>0.15</v>
      </c>
      <c r="J6244" s="18" t="n">
        <v>53.05</v>
      </c>
      <c r="K6244" s="19" t="n">
        <v>10.99</v>
      </c>
      <c r="L6244" s="15" t="n">
        <f aca="false">YEAR(B6244)</f>
        <v>2025</v>
      </c>
      <c r="M6244" s="20" t="n">
        <f aca="false">IF(J6244&gt;0,K6244/J6244,0)</f>
        <v>0.207163053722903</v>
      </c>
    </row>
    <row r="6245" customFormat="false" ht="15" hidden="false" customHeight="false" outlineLevel="0" collapsed="false">
      <c r="A6245" s="15" t="s">
        <v>6302</v>
      </c>
      <c r="B6245" s="16" t="n">
        <v>44708</v>
      </c>
      <c r="C6245" s="15" t="s">
        <v>58</v>
      </c>
      <c r="D6245" s="15" t="s">
        <v>44</v>
      </c>
      <c r="E6245" s="15" t="s">
        <v>39</v>
      </c>
      <c r="F6245" s="15" t="s">
        <v>16</v>
      </c>
      <c r="G6245" s="15" t="s">
        <v>23</v>
      </c>
      <c r="H6245" s="15" t="n">
        <v>6</v>
      </c>
      <c r="I6245" s="17" t="n">
        <v>0.2</v>
      </c>
      <c r="J6245" s="18" t="n">
        <v>1729.25</v>
      </c>
      <c r="K6245" s="19" t="n">
        <v>-151.45</v>
      </c>
      <c r="L6245" s="15" t="n">
        <f aca="false">YEAR(B6245)</f>
        <v>2022</v>
      </c>
      <c r="M6245" s="20" t="n">
        <f aca="false">IF(J6245&gt;0,K6245/J6245,0)</f>
        <v>-0.0875813213821021</v>
      </c>
    </row>
    <row r="6246" customFormat="false" ht="15" hidden="false" customHeight="false" outlineLevel="0" collapsed="false">
      <c r="A6246" s="15" t="s">
        <v>6303</v>
      </c>
      <c r="B6246" s="16" t="n">
        <v>45365</v>
      </c>
      <c r="C6246" s="15" t="s">
        <v>56</v>
      </c>
      <c r="D6246" s="15" t="s">
        <v>43</v>
      </c>
      <c r="E6246" s="15" t="s">
        <v>37</v>
      </c>
      <c r="F6246" s="15" t="s">
        <v>17</v>
      </c>
      <c r="G6246" s="15" t="s">
        <v>26</v>
      </c>
      <c r="H6246" s="15" t="n">
        <v>2</v>
      </c>
      <c r="I6246" s="17" t="n">
        <v>0</v>
      </c>
      <c r="J6246" s="18" t="n">
        <v>165.76</v>
      </c>
      <c r="K6246" s="19" t="n">
        <v>17.09</v>
      </c>
      <c r="L6246" s="15" t="n">
        <f aca="false">YEAR(B6246)</f>
        <v>2024</v>
      </c>
      <c r="M6246" s="20" t="n">
        <f aca="false">IF(J6246&gt;0,K6246/J6246,0)</f>
        <v>0.103100868725869</v>
      </c>
    </row>
    <row r="6247" customFormat="false" ht="15" hidden="false" customHeight="false" outlineLevel="0" collapsed="false">
      <c r="A6247" s="15" t="s">
        <v>6304</v>
      </c>
      <c r="B6247" s="16" t="n">
        <v>45914</v>
      </c>
      <c r="C6247" s="15" t="s">
        <v>68</v>
      </c>
      <c r="D6247" s="15" t="s">
        <v>42</v>
      </c>
      <c r="E6247" s="15" t="s">
        <v>39</v>
      </c>
      <c r="F6247" s="15" t="s">
        <v>18</v>
      </c>
      <c r="G6247" s="15" t="s">
        <v>30</v>
      </c>
      <c r="H6247" s="15" t="n">
        <v>4</v>
      </c>
      <c r="I6247" s="17" t="n">
        <v>0</v>
      </c>
      <c r="J6247" s="18" t="n">
        <v>204.7</v>
      </c>
      <c r="K6247" s="19" t="n">
        <v>54.67</v>
      </c>
      <c r="L6247" s="15" t="n">
        <f aca="false">YEAR(B6247)</f>
        <v>2025</v>
      </c>
      <c r="M6247" s="20" t="n">
        <f aca="false">IF(J6247&gt;0,K6247/J6247,0)</f>
        <v>0.267073766487543</v>
      </c>
    </row>
    <row r="6248" customFormat="false" ht="15" hidden="false" customHeight="false" outlineLevel="0" collapsed="false">
      <c r="A6248" s="15" t="s">
        <v>6305</v>
      </c>
      <c r="B6248" s="16" t="n">
        <v>45438</v>
      </c>
      <c r="C6248" s="15" t="s">
        <v>56</v>
      </c>
      <c r="D6248" s="15" t="s">
        <v>43</v>
      </c>
      <c r="E6248" s="15" t="s">
        <v>37</v>
      </c>
      <c r="F6248" s="15" t="s">
        <v>18</v>
      </c>
      <c r="G6248" s="15" t="s">
        <v>33</v>
      </c>
      <c r="H6248" s="15" t="n">
        <v>5</v>
      </c>
      <c r="I6248" s="17" t="n">
        <v>0</v>
      </c>
      <c r="J6248" s="18" t="n">
        <v>5436.81</v>
      </c>
      <c r="K6248" s="19" t="n">
        <v>1583.65</v>
      </c>
      <c r="L6248" s="15" t="n">
        <f aca="false">YEAR(B6248)</f>
        <v>2024</v>
      </c>
      <c r="M6248" s="20" t="n">
        <f aca="false">IF(J6248&gt;0,K6248/J6248,0)</f>
        <v>0.291282939812133</v>
      </c>
    </row>
    <row r="6249" customFormat="false" ht="15" hidden="false" customHeight="false" outlineLevel="0" collapsed="false">
      <c r="A6249" s="15" t="s">
        <v>6306</v>
      </c>
      <c r="B6249" s="16" t="n">
        <v>44718</v>
      </c>
      <c r="C6249" s="15" t="s">
        <v>56</v>
      </c>
      <c r="D6249" s="15" t="s">
        <v>43</v>
      </c>
      <c r="E6249" s="15" t="s">
        <v>37</v>
      </c>
      <c r="F6249" s="15" t="s">
        <v>16</v>
      </c>
      <c r="G6249" s="15" t="s">
        <v>27</v>
      </c>
      <c r="H6249" s="15" t="n">
        <v>6</v>
      </c>
      <c r="I6249" s="17" t="n">
        <v>0.15</v>
      </c>
      <c r="J6249" s="18" t="n">
        <v>279.37</v>
      </c>
      <c r="K6249" s="19" t="n">
        <v>40.67</v>
      </c>
      <c r="L6249" s="15" t="n">
        <f aca="false">YEAR(B6249)</f>
        <v>2022</v>
      </c>
      <c r="M6249" s="20" t="n">
        <f aca="false">IF(J6249&gt;0,K6249/J6249,0)</f>
        <v>0.145577549486344</v>
      </c>
    </row>
    <row r="6250" customFormat="false" ht="15" hidden="false" customHeight="false" outlineLevel="0" collapsed="false">
      <c r="A6250" s="15" t="s">
        <v>6307</v>
      </c>
      <c r="B6250" s="16" t="n">
        <v>46001</v>
      </c>
      <c r="C6250" s="15" t="s">
        <v>56</v>
      </c>
      <c r="D6250" s="15" t="s">
        <v>42</v>
      </c>
      <c r="E6250" s="15" t="s">
        <v>39</v>
      </c>
      <c r="F6250" s="15" t="s">
        <v>16</v>
      </c>
      <c r="G6250" s="15" t="s">
        <v>25</v>
      </c>
      <c r="H6250" s="15" t="n">
        <v>5</v>
      </c>
      <c r="I6250" s="17" t="n">
        <v>0</v>
      </c>
      <c r="J6250" s="18" t="n">
        <v>1373.91</v>
      </c>
      <c r="K6250" s="19" t="n">
        <v>168.06</v>
      </c>
      <c r="L6250" s="15" t="n">
        <f aca="false">YEAR(B6250)</f>
        <v>2025</v>
      </c>
      <c r="M6250" s="20" t="n">
        <f aca="false">IF(J6250&gt;0,K6250/J6250,0)</f>
        <v>0.122322422866127</v>
      </c>
    </row>
    <row r="6251" customFormat="false" ht="15" hidden="false" customHeight="false" outlineLevel="0" collapsed="false">
      <c r="A6251" s="15" t="s">
        <v>6308</v>
      </c>
      <c r="B6251" s="16" t="n">
        <v>45617</v>
      </c>
      <c r="C6251" s="15" t="s">
        <v>68</v>
      </c>
      <c r="D6251" s="15" t="s">
        <v>43</v>
      </c>
      <c r="E6251" s="15" t="s">
        <v>37</v>
      </c>
      <c r="F6251" s="15" t="s">
        <v>17</v>
      </c>
      <c r="G6251" s="15" t="s">
        <v>29</v>
      </c>
      <c r="H6251" s="15" t="n">
        <v>2</v>
      </c>
      <c r="I6251" s="17" t="n">
        <v>0.1</v>
      </c>
      <c r="J6251" s="18" t="n">
        <v>40.68</v>
      </c>
      <c r="K6251" s="19" t="n">
        <v>10.38</v>
      </c>
      <c r="L6251" s="15" t="n">
        <f aca="false">YEAR(B6251)</f>
        <v>2024</v>
      </c>
      <c r="M6251" s="20" t="n">
        <f aca="false">IF(J6251&gt;0,K6251/J6251,0)</f>
        <v>0.255162241887906</v>
      </c>
    </row>
    <row r="6252" customFormat="false" ht="15" hidden="false" customHeight="false" outlineLevel="0" collapsed="false">
      <c r="A6252" s="15" t="s">
        <v>6309</v>
      </c>
      <c r="B6252" s="16" t="n">
        <v>45671</v>
      </c>
      <c r="C6252" s="15" t="s">
        <v>56</v>
      </c>
      <c r="D6252" s="15" t="s">
        <v>42</v>
      </c>
      <c r="E6252" s="15" t="s">
        <v>38</v>
      </c>
      <c r="F6252" s="15" t="s">
        <v>17</v>
      </c>
      <c r="G6252" s="15" t="s">
        <v>29</v>
      </c>
      <c r="H6252" s="15" t="n">
        <v>2</v>
      </c>
      <c r="I6252" s="17" t="n">
        <v>0.3</v>
      </c>
      <c r="J6252" s="18" t="n">
        <v>20.65</v>
      </c>
      <c r="K6252" s="19" t="n">
        <v>3.64</v>
      </c>
      <c r="L6252" s="15" t="n">
        <f aca="false">YEAR(B6252)</f>
        <v>2025</v>
      </c>
      <c r="M6252" s="20" t="n">
        <f aca="false">IF(J6252&gt;0,K6252/J6252,0)</f>
        <v>0.176271186440678</v>
      </c>
    </row>
    <row r="6253" customFormat="false" ht="15" hidden="false" customHeight="false" outlineLevel="0" collapsed="false">
      <c r="A6253" s="15" t="s">
        <v>6310</v>
      </c>
      <c r="B6253" s="16" t="n">
        <v>45230</v>
      </c>
      <c r="C6253" s="15" t="s">
        <v>56</v>
      </c>
      <c r="D6253" s="15" t="s">
        <v>42</v>
      </c>
      <c r="E6253" s="15" t="s">
        <v>38</v>
      </c>
      <c r="F6253" s="15" t="s">
        <v>16</v>
      </c>
      <c r="G6253" s="15" t="s">
        <v>25</v>
      </c>
      <c r="H6253" s="15" t="n">
        <v>4</v>
      </c>
      <c r="I6253" s="17" t="n">
        <v>0.05</v>
      </c>
      <c r="J6253" s="18" t="n">
        <v>924.15</v>
      </c>
      <c r="K6253" s="19" t="n">
        <v>98.52</v>
      </c>
      <c r="L6253" s="15" t="n">
        <f aca="false">YEAR(B6253)</f>
        <v>2023</v>
      </c>
      <c r="M6253" s="20" t="n">
        <f aca="false">IF(J6253&gt;0,K6253/J6253,0)</f>
        <v>0.10660607044311</v>
      </c>
    </row>
    <row r="6254" customFormat="false" ht="15" hidden="false" customHeight="false" outlineLevel="0" collapsed="false">
      <c r="A6254" s="15" t="s">
        <v>6311</v>
      </c>
      <c r="B6254" s="16" t="n">
        <v>45651</v>
      </c>
      <c r="C6254" s="15" t="s">
        <v>56</v>
      </c>
      <c r="D6254" s="15" t="s">
        <v>42</v>
      </c>
      <c r="E6254" s="15" t="s">
        <v>39</v>
      </c>
      <c r="F6254" s="15" t="s">
        <v>17</v>
      </c>
      <c r="G6254" s="15" t="s">
        <v>31</v>
      </c>
      <c r="H6254" s="15" t="n">
        <v>3</v>
      </c>
      <c r="I6254" s="17" t="n">
        <v>0</v>
      </c>
      <c r="J6254" s="18" t="n">
        <v>398.34</v>
      </c>
      <c r="K6254" s="19" t="n">
        <v>74.58</v>
      </c>
      <c r="L6254" s="15" t="n">
        <f aca="false">YEAR(B6254)</f>
        <v>2024</v>
      </c>
      <c r="M6254" s="20" t="n">
        <f aca="false">IF(J6254&gt;0,K6254/J6254,0)</f>
        <v>0.18722699201687</v>
      </c>
    </row>
    <row r="6255" customFormat="false" ht="15" hidden="false" customHeight="false" outlineLevel="0" collapsed="false">
      <c r="A6255" s="15" t="s">
        <v>6312</v>
      </c>
      <c r="B6255" s="16" t="n">
        <v>45152</v>
      </c>
      <c r="C6255" s="15" t="s">
        <v>56</v>
      </c>
      <c r="D6255" s="15" t="s">
        <v>42</v>
      </c>
      <c r="E6255" s="15" t="s">
        <v>39</v>
      </c>
      <c r="F6255" s="15" t="s">
        <v>17</v>
      </c>
      <c r="G6255" s="15" t="s">
        <v>31</v>
      </c>
      <c r="H6255" s="15" t="n">
        <v>3</v>
      </c>
      <c r="I6255" s="17" t="n">
        <v>0.15</v>
      </c>
      <c r="J6255" s="18" t="n">
        <v>377.93</v>
      </c>
      <c r="K6255" s="19" t="n">
        <v>-2.66</v>
      </c>
      <c r="L6255" s="15" t="n">
        <f aca="false">YEAR(B6255)</f>
        <v>2023</v>
      </c>
      <c r="M6255" s="20" t="n">
        <f aca="false">IF(J6255&gt;0,K6255/J6255,0)</f>
        <v>-0.0070383404334136</v>
      </c>
    </row>
    <row r="6256" customFormat="false" ht="15" hidden="false" customHeight="false" outlineLevel="0" collapsed="false">
      <c r="A6256" s="15" t="s">
        <v>6313</v>
      </c>
      <c r="B6256" s="16" t="n">
        <v>45975</v>
      </c>
      <c r="C6256" s="15" t="s">
        <v>68</v>
      </c>
      <c r="D6256" s="15" t="s">
        <v>42</v>
      </c>
      <c r="E6256" s="15" t="s">
        <v>36</v>
      </c>
      <c r="F6256" s="15" t="s">
        <v>16</v>
      </c>
      <c r="G6256" s="15" t="s">
        <v>23</v>
      </c>
      <c r="H6256" s="15" t="n">
        <v>3</v>
      </c>
      <c r="I6256" s="17" t="n">
        <v>0</v>
      </c>
      <c r="J6256" s="18" t="n">
        <v>806.46</v>
      </c>
      <c r="K6256" s="19" t="n">
        <v>-41.9</v>
      </c>
      <c r="L6256" s="15" t="n">
        <f aca="false">YEAR(B6256)</f>
        <v>2025</v>
      </c>
      <c r="M6256" s="20" t="n">
        <f aca="false">IF(J6256&gt;0,K6256/J6256,0)</f>
        <v>-0.0519554596632195</v>
      </c>
    </row>
    <row r="6257" customFormat="false" ht="15" hidden="false" customHeight="false" outlineLevel="0" collapsed="false">
      <c r="A6257" s="15" t="s">
        <v>6314</v>
      </c>
      <c r="B6257" s="16" t="n">
        <v>45455</v>
      </c>
      <c r="C6257" s="15" t="s">
        <v>71</v>
      </c>
      <c r="D6257" s="15" t="s">
        <v>42</v>
      </c>
      <c r="E6257" s="15" t="s">
        <v>36</v>
      </c>
      <c r="F6257" s="15" t="s">
        <v>16</v>
      </c>
      <c r="G6257" s="15" t="s">
        <v>25</v>
      </c>
      <c r="H6257" s="15" t="n">
        <v>2</v>
      </c>
      <c r="I6257" s="17" t="n">
        <v>0</v>
      </c>
      <c r="J6257" s="18" t="n">
        <v>423.72</v>
      </c>
      <c r="K6257" s="19" t="n">
        <v>21.64</v>
      </c>
      <c r="L6257" s="15" t="n">
        <f aca="false">YEAR(B6257)</f>
        <v>2024</v>
      </c>
      <c r="M6257" s="20" t="n">
        <f aca="false">IF(J6257&gt;0,K6257/J6257,0)</f>
        <v>0.0510714622864156</v>
      </c>
    </row>
    <row r="6258" customFormat="false" ht="15" hidden="false" customHeight="false" outlineLevel="0" collapsed="false">
      <c r="A6258" s="15" t="s">
        <v>6315</v>
      </c>
      <c r="B6258" s="16" t="n">
        <v>45071</v>
      </c>
      <c r="C6258" s="15" t="s">
        <v>56</v>
      </c>
      <c r="D6258" s="15" t="s">
        <v>44</v>
      </c>
      <c r="E6258" s="15" t="s">
        <v>39</v>
      </c>
      <c r="F6258" s="15" t="s">
        <v>16</v>
      </c>
      <c r="G6258" s="15" t="s">
        <v>23</v>
      </c>
      <c r="H6258" s="15" t="n">
        <v>3</v>
      </c>
      <c r="I6258" s="17" t="n">
        <v>0</v>
      </c>
      <c r="J6258" s="18" t="n">
        <v>996.86</v>
      </c>
      <c r="K6258" s="19" t="n">
        <v>55.5</v>
      </c>
      <c r="L6258" s="15" t="n">
        <f aca="false">YEAR(B6258)</f>
        <v>2023</v>
      </c>
      <c r="M6258" s="20" t="n">
        <f aca="false">IF(J6258&gt;0,K6258/J6258,0)</f>
        <v>0.0556748189314447</v>
      </c>
    </row>
    <row r="6259" customFormat="false" ht="15" hidden="false" customHeight="false" outlineLevel="0" collapsed="false">
      <c r="A6259" s="15" t="s">
        <v>6316</v>
      </c>
      <c r="B6259" s="16" t="n">
        <v>45819</v>
      </c>
      <c r="C6259" s="15" t="s">
        <v>58</v>
      </c>
      <c r="D6259" s="15" t="s">
        <v>42</v>
      </c>
      <c r="E6259" s="15" t="s">
        <v>37</v>
      </c>
      <c r="F6259" s="15" t="s">
        <v>17</v>
      </c>
      <c r="G6259" s="15" t="s">
        <v>29</v>
      </c>
      <c r="H6259" s="15" t="n">
        <v>5</v>
      </c>
      <c r="I6259" s="17" t="n">
        <v>0.15</v>
      </c>
      <c r="J6259" s="18" t="n">
        <v>97.2</v>
      </c>
      <c r="K6259" s="19" t="n">
        <v>23.28</v>
      </c>
      <c r="L6259" s="15" t="n">
        <f aca="false">YEAR(B6259)</f>
        <v>2025</v>
      </c>
      <c r="M6259" s="20" t="n">
        <f aca="false">IF(J6259&gt;0,K6259/J6259,0)</f>
        <v>0.239506172839506</v>
      </c>
    </row>
    <row r="6260" customFormat="false" ht="15" hidden="false" customHeight="false" outlineLevel="0" collapsed="false">
      <c r="A6260" s="15" t="s">
        <v>6317</v>
      </c>
      <c r="B6260" s="16" t="n">
        <v>45532</v>
      </c>
      <c r="C6260" s="15" t="s">
        <v>71</v>
      </c>
      <c r="D6260" s="15" t="s">
        <v>42</v>
      </c>
      <c r="E6260" s="15" t="s">
        <v>39</v>
      </c>
      <c r="F6260" s="15" t="s">
        <v>16</v>
      </c>
      <c r="G6260" s="15" t="s">
        <v>22</v>
      </c>
      <c r="H6260" s="15" t="n">
        <v>2</v>
      </c>
      <c r="I6260" s="17" t="n">
        <v>0</v>
      </c>
      <c r="J6260" s="18" t="n">
        <v>1100.22</v>
      </c>
      <c r="K6260" s="19" t="n">
        <v>-70.51</v>
      </c>
      <c r="L6260" s="15" t="n">
        <f aca="false">YEAR(B6260)</f>
        <v>2024</v>
      </c>
      <c r="M6260" s="20" t="n">
        <f aca="false">IF(J6260&gt;0,K6260/J6260,0)</f>
        <v>-0.0640871825634873</v>
      </c>
    </row>
    <row r="6261" customFormat="false" ht="15" hidden="false" customHeight="false" outlineLevel="0" collapsed="false">
      <c r="A6261" s="15" t="s">
        <v>6318</v>
      </c>
      <c r="B6261" s="16" t="n">
        <v>45959</v>
      </c>
      <c r="C6261" s="15" t="s">
        <v>56</v>
      </c>
      <c r="D6261" s="15" t="s">
        <v>42</v>
      </c>
      <c r="E6261" s="15" t="s">
        <v>37</v>
      </c>
      <c r="F6261" s="15" t="s">
        <v>17</v>
      </c>
      <c r="G6261" s="15" t="s">
        <v>28</v>
      </c>
      <c r="H6261" s="15" t="n">
        <v>3</v>
      </c>
      <c r="I6261" s="17" t="n">
        <v>0.2</v>
      </c>
      <c r="J6261" s="18" t="n">
        <v>70.33</v>
      </c>
      <c r="K6261" s="19" t="n">
        <v>-0.33</v>
      </c>
      <c r="L6261" s="15" t="n">
        <f aca="false">YEAR(B6261)</f>
        <v>2025</v>
      </c>
      <c r="M6261" s="20" t="n">
        <f aca="false">IF(J6261&gt;0,K6261/J6261,0)</f>
        <v>-0.00469216550547419</v>
      </c>
    </row>
    <row r="6262" customFormat="false" ht="15" hidden="false" customHeight="false" outlineLevel="0" collapsed="false">
      <c r="A6262" s="15" t="s">
        <v>6319</v>
      </c>
      <c r="B6262" s="16" t="n">
        <v>45307</v>
      </c>
      <c r="C6262" s="15" t="s">
        <v>56</v>
      </c>
      <c r="D6262" s="15" t="s">
        <v>44</v>
      </c>
      <c r="E6262" s="15" t="s">
        <v>38</v>
      </c>
      <c r="F6262" s="15" t="s">
        <v>17</v>
      </c>
      <c r="G6262" s="15" t="s">
        <v>29</v>
      </c>
      <c r="H6262" s="15" t="n">
        <v>3</v>
      </c>
      <c r="I6262" s="17" t="n">
        <v>0</v>
      </c>
      <c r="J6262" s="18" t="n">
        <v>53.71</v>
      </c>
      <c r="K6262" s="19" t="n">
        <v>23.45</v>
      </c>
      <c r="L6262" s="15" t="n">
        <f aca="false">YEAR(B6262)</f>
        <v>2024</v>
      </c>
      <c r="M6262" s="20" t="n">
        <f aca="false">IF(J6262&gt;0,K6262/J6262,0)</f>
        <v>0.436603984360454</v>
      </c>
    </row>
    <row r="6263" customFormat="false" ht="15" hidden="false" customHeight="false" outlineLevel="0" collapsed="false">
      <c r="A6263" s="15" t="s">
        <v>6320</v>
      </c>
      <c r="B6263" s="16" t="n">
        <v>45291</v>
      </c>
      <c r="C6263" s="15" t="s">
        <v>56</v>
      </c>
      <c r="D6263" s="15" t="s">
        <v>42</v>
      </c>
      <c r="E6263" s="15" t="s">
        <v>37</v>
      </c>
      <c r="F6263" s="15" t="s">
        <v>17</v>
      </c>
      <c r="G6263" s="15" t="s">
        <v>29</v>
      </c>
      <c r="H6263" s="15" t="n">
        <v>4</v>
      </c>
      <c r="I6263" s="17" t="n">
        <v>0</v>
      </c>
      <c r="J6263" s="18" t="n">
        <v>71.55</v>
      </c>
      <c r="K6263" s="19" t="n">
        <v>26.83</v>
      </c>
      <c r="L6263" s="15" t="n">
        <f aca="false">YEAR(B6263)</f>
        <v>2023</v>
      </c>
      <c r="M6263" s="20" t="n">
        <f aca="false">IF(J6263&gt;0,K6263/J6263,0)</f>
        <v>0.374982529699511</v>
      </c>
    </row>
    <row r="6264" customFormat="false" ht="15" hidden="false" customHeight="false" outlineLevel="0" collapsed="false">
      <c r="A6264" s="15" t="s">
        <v>6321</v>
      </c>
      <c r="B6264" s="16" t="n">
        <v>45001</v>
      </c>
      <c r="C6264" s="15" t="s">
        <v>68</v>
      </c>
      <c r="D6264" s="15" t="s">
        <v>42</v>
      </c>
      <c r="E6264" s="15" t="s">
        <v>37</v>
      </c>
      <c r="F6264" s="15" t="s">
        <v>18</v>
      </c>
      <c r="G6264" s="15" t="s">
        <v>30</v>
      </c>
      <c r="H6264" s="15" t="n">
        <v>5</v>
      </c>
      <c r="I6264" s="17" t="n">
        <v>0</v>
      </c>
      <c r="J6264" s="18" t="n">
        <v>195.25</v>
      </c>
      <c r="K6264" s="19" t="n">
        <v>59.71</v>
      </c>
      <c r="L6264" s="15" t="n">
        <f aca="false">YEAR(B6264)</f>
        <v>2023</v>
      </c>
      <c r="M6264" s="20" t="n">
        <f aca="false">IF(J6264&gt;0,K6264/J6264,0)</f>
        <v>0.305813060179257</v>
      </c>
    </row>
    <row r="6265" customFormat="false" ht="15" hidden="false" customHeight="false" outlineLevel="0" collapsed="false">
      <c r="A6265" s="15" t="s">
        <v>6322</v>
      </c>
      <c r="B6265" s="16" t="n">
        <v>44727</v>
      </c>
      <c r="C6265" s="15" t="s">
        <v>58</v>
      </c>
      <c r="D6265" s="15" t="s">
        <v>43</v>
      </c>
      <c r="E6265" s="15" t="s">
        <v>39</v>
      </c>
      <c r="F6265" s="15" t="s">
        <v>18</v>
      </c>
      <c r="G6265" s="15" t="s">
        <v>32</v>
      </c>
      <c r="H6265" s="15" t="n">
        <v>4</v>
      </c>
      <c r="I6265" s="17" t="n">
        <v>0</v>
      </c>
      <c r="J6265" s="18" t="n">
        <v>1844.5</v>
      </c>
      <c r="K6265" s="19" t="n">
        <v>326.69</v>
      </c>
      <c r="L6265" s="15" t="n">
        <f aca="false">YEAR(B6265)</f>
        <v>2022</v>
      </c>
      <c r="M6265" s="20" t="n">
        <f aca="false">IF(J6265&gt;0,K6265/J6265,0)</f>
        <v>0.177115749525617</v>
      </c>
    </row>
    <row r="6266" customFormat="false" ht="15" hidden="false" customHeight="false" outlineLevel="0" collapsed="false">
      <c r="A6266" s="15" t="s">
        <v>6323</v>
      </c>
      <c r="B6266" s="16" t="n">
        <v>45650</v>
      </c>
      <c r="C6266" s="15" t="s">
        <v>71</v>
      </c>
      <c r="D6266" s="15" t="s">
        <v>44</v>
      </c>
      <c r="E6266" s="15" t="s">
        <v>37</v>
      </c>
      <c r="F6266" s="15" t="s">
        <v>16</v>
      </c>
      <c r="G6266" s="15" t="s">
        <v>23</v>
      </c>
      <c r="H6266" s="15" t="n">
        <v>2</v>
      </c>
      <c r="I6266" s="17" t="n">
        <v>0</v>
      </c>
      <c r="J6266" s="18" t="n">
        <v>633.64</v>
      </c>
      <c r="K6266" s="19" t="n">
        <v>43.06</v>
      </c>
      <c r="L6266" s="15" t="n">
        <f aca="false">YEAR(B6266)</f>
        <v>2024</v>
      </c>
      <c r="M6266" s="20" t="n">
        <f aca="false">IF(J6266&gt;0,K6266/J6266,0)</f>
        <v>0.0679565683984597</v>
      </c>
    </row>
    <row r="6267" customFormat="false" ht="15" hidden="false" customHeight="false" outlineLevel="0" collapsed="false">
      <c r="A6267" s="15" t="s">
        <v>6324</v>
      </c>
      <c r="B6267" s="16" t="n">
        <v>45192</v>
      </c>
      <c r="C6267" s="15" t="s">
        <v>56</v>
      </c>
      <c r="D6267" s="15" t="s">
        <v>43</v>
      </c>
      <c r="E6267" s="15" t="s">
        <v>37</v>
      </c>
      <c r="F6267" s="15" t="s">
        <v>17</v>
      </c>
      <c r="G6267" s="15" t="s">
        <v>26</v>
      </c>
      <c r="H6267" s="15" t="n">
        <v>4</v>
      </c>
      <c r="I6267" s="17" t="n">
        <v>0.1</v>
      </c>
      <c r="J6267" s="18" t="n">
        <v>339.01</v>
      </c>
      <c r="K6267" s="19" t="n">
        <v>9.36</v>
      </c>
      <c r="L6267" s="15" t="n">
        <f aca="false">YEAR(B6267)</f>
        <v>2023</v>
      </c>
      <c r="M6267" s="20" t="n">
        <f aca="false">IF(J6267&gt;0,K6267/J6267,0)</f>
        <v>0.0276098050205009</v>
      </c>
    </row>
    <row r="6268" customFormat="false" ht="15" hidden="false" customHeight="false" outlineLevel="0" collapsed="false">
      <c r="A6268" s="15" t="s">
        <v>6325</v>
      </c>
      <c r="B6268" s="16" t="n">
        <v>45923</v>
      </c>
      <c r="C6268" s="15" t="s">
        <v>58</v>
      </c>
      <c r="D6268" s="15" t="s">
        <v>43</v>
      </c>
      <c r="E6268" s="15" t="s">
        <v>39</v>
      </c>
      <c r="F6268" s="15" t="s">
        <v>16</v>
      </c>
      <c r="G6268" s="15" t="s">
        <v>23</v>
      </c>
      <c r="H6268" s="15" t="n">
        <v>4</v>
      </c>
      <c r="I6268" s="17" t="n">
        <v>0</v>
      </c>
      <c r="J6268" s="18" t="n">
        <v>1276.52</v>
      </c>
      <c r="K6268" s="19" t="n">
        <v>82.29</v>
      </c>
      <c r="L6268" s="15" t="n">
        <f aca="false">YEAR(B6268)</f>
        <v>2025</v>
      </c>
      <c r="M6268" s="20" t="n">
        <f aca="false">IF(J6268&gt;0,K6268/J6268,0)</f>
        <v>0.0644643248832764</v>
      </c>
    </row>
    <row r="6269" customFormat="false" ht="15" hidden="false" customHeight="false" outlineLevel="0" collapsed="false">
      <c r="A6269" s="15" t="s">
        <v>6326</v>
      </c>
      <c r="B6269" s="16" t="n">
        <v>45702</v>
      </c>
      <c r="C6269" s="15" t="s">
        <v>56</v>
      </c>
      <c r="D6269" s="15" t="s">
        <v>43</v>
      </c>
      <c r="E6269" s="15" t="s">
        <v>39</v>
      </c>
      <c r="F6269" s="15" t="s">
        <v>18</v>
      </c>
      <c r="G6269" s="15" t="s">
        <v>33</v>
      </c>
      <c r="H6269" s="15" t="n">
        <v>3</v>
      </c>
      <c r="I6269" s="17" t="n">
        <v>0</v>
      </c>
      <c r="J6269" s="18" t="n">
        <v>2782.65</v>
      </c>
      <c r="K6269" s="19" t="n">
        <v>843.33</v>
      </c>
      <c r="L6269" s="15" t="n">
        <f aca="false">YEAR(B6269)</f>
        <v>2025</v>
      </c>
      <c r="M6269" s="20" t="n">
        <f aca="false">IF(J6269&gt;0,K6269/J6269,0)</f>
        <v>0.303067220095952</v>
      </c>
    </row>
    <row r="6270" customFormat="false" ht="15" hidden="false" customHeight="false" outlineLevel="0" collapsed="false">
      <c r="A6270" s="15" t="s">
        <v>6327</v>
      </c>
      <c r="B6270" s="16" t="n">
        <v>45865</v>
      </c>
      <c r="C6270" s="15" t="s">
        <v>56</v>
      </c>
      <c r="D6270" s="15" t="s">
        <v>42</v>
      </c>
      <c r="E6270" s="15" t="s">
        <v>39</v>
      </c>
      <c r="F6270" s="15" t="s">
        <v>17</v>
      </c>
      <c r="G6270" s="15" t="s">
        <v>28</v>
      </c>
      <c r="H6270" s="15" t="n">
        <v>7</v>
      </c>
      <c r="I6270" s="17" t="n">
        <v>0.3</v>
      </c>
      <c r="J6270" s="18" t="n">
        <v>131.83</v>
      </c>
      <c r="K6270" s="19" t="n">
        <v>8.8</v>
      </c>
      <c r="L6270" s="15" t="n">
        <f aca="false">YEAR(B6270)</f>
        <v>2025</v>
      </c>
      <c r="M6270" s="20" t="n">
        <f aca="false">IF(J6270&gt;0,K6270/J6270,0)</f>
        <v>0.0667526359705682</v>
      </c>
    </row>
    <row r="6271" customFormat="false" ht="15" hidden="false" customHeight="false" outlineLevel="0" collapsed="false">
      <c r="A6271" s="15" t="s">
        <v>6328</v>
      </c>
      <c r="B6271" s="16" t="n">
        <v>45311</v>
      </c>
      <c r="C6271" s="15" t="s">
        <v>56</v>
      </c>
      <c r="D6271" s="15" t="s">
        <v>42</v>
      </c>
      <c r="E6271" s="15" t="s">
        <v>39</v>
      </c>
      <c r="F6271" s="15" t="s">
        <v>17</v>
      </c>
      <c r="G6271" s="15" t="s">
        <v>29</v>
      </c>
      <c r="H6271" s="15" t="n">
        <v>3</v>
      </c>
      <c r="I6271" s="17" t="n">
        <v>0</v>
      </c>
      <c r="J6271" s="18" t="n">
        <v>64.39</v>
      </c>
      <c r="K6271" s="19" t="n">
        <v>21.09</v>
      </c>
      <c r="L6271" s="15" t="n">
        <f aca="false">YEAR(B6271)</f>
        <v>2024</v>
      </c>
      <c r="M6271" s="20" t="n">
        <f aca="false">IF(J6271&gt;0,K6271/J6271,0)</f>
        <v>0.327535331573226</v>
      </c>
    </row>
    <row r="6272" customFormat="false" ht="15" hidden="false" customHeight="false" outlineLevel="0" collapsed="false">
      <c r="A6272" s="15" t="s">
        <v>6329</v>
      </c>
      <c r="B6272" s="16" t="n">
        <v>45126</v>
      </c>
      <c r="C6272" s="15" t="s">
        <v>56</v>
      </c>
      <c r="D6272" s="15" t="s">
        <v>43</v>
      </c>
      <c r="E6272" s="15" t="s">
        <v>37</v>
      </c>
      <c r="F6272" s="15" t="s">
        <v>17</v>
      </c>
      <c r="G6272" s="15" t="s">
        <v>31</v>
      </c>
      <c r="H6272" s="15" t="n">
        <v>1</v>
      </c>
      <c r="I6272" s="17" t="n">
        <v>0.2</v>
      </c>
      <c r="J6272" s="18" t="n">
        <v>101.86</v>
      </c>
      <c r="K6272" s="19" t="n">
        <v>-2.32</v>
      </c>
      <c r="L6272" s="15" t="n">
        <f aca="false">YEAR(B6272)</f>
        <v>2023</v>
      </c>
      <c r="M6272" s="20" t="n">
        <f aca="false">IF(J6272&gt;0,K6272/J6272,0)</f>
        <v>-0.0227763597094051</v>
      </c>
    </row>
    <row r="6273" customFormat="false" ht="15" hidden="false" customHeight="false" outlineLevel="0" collapsed="false">
      <c r="A6273" s="15" t="s">
        <v>6330</v>
      </c>
      <c r="B6273" s="16" t="n">
        <v>45259</v>
      </c>
      <c r="C6273" s="15" t="s">
        <v>58</v>
      </c>
      <c r="D6273" s="15" t="s">
        <v>43</v>
      </c>
      <c r="E6273" s="15" t="s">
        <v>39</v>
      </c>
      <c r="F6273" s="15" t="s">
        <v>17</v>
      </c>
      <c r="G6273" s="15" t="s">
        <v>29</v>
      </c>
      <c r="H6273" s="15" t="n">
        <v>8</v>
      </c>
      <c r="I6273" s="17" t="n">
        <v>0</v>
      </c>
      <c r="J6273" s="18" t="n">
        <v>150.87</v>
      </c>
      <c r="K6273" s="19" t="n">
        <v>62.42</v>
      </c>
      <c r="L6273" s="15" t="n">
        <f aca="false">YEAR(B6273)</f>
        <v>2023</v>
      </c>
      <c r="M6273" s="20" t="n">
        <f aca="false">IF(J6273&gt;0,K6273/J6273,0)</f>
        <v>0.413733678000928</v>
      </c>
    </row>
    <row r="6274" customFormat="false" ht="15" hidden="false" customHeight="false" outlineLevel="0" collapsed="false">
      <c r="A6274" s="15" t="s">
        <v>6331</v>
      </c>
      <c r="B6274" s="16" t="n">
        <v>45645</v>
      </c>
      <c r="C6274" s="15" t="s">
        <v>68</v>
      </c>
      <c r="D6274" s="15" t="s">
        <v>42</v>
      </c>
      <c r="E6274" s="15" t="s">
        <v>37</v>
      </c>
      <c r="F6274" s="15" t="s">
        <v>18</v>
      </c>
      <c r="G6274" s="15" t="s">
        <v>30</v>
      </c>
      <c r="H6274" s="15" t="n">
        <v>3</v>
      </c>
      <c r="I6274" s="17" t="n">
        <v>0.3</v>
      </c>
      <c r="J6274" s="18" t="n">
        <v>113.52</v>
      </c>
      <c r="K6274" s="19" t="n">
        <v>8.71</v>
      </c>
      <c r="L6274" s="15" t="n">
        <f aca="false">YEAR(B6274)</f>
        <v>2024</v>
      </c>
      <c r="M6274" s="20" t="n">
        <f aca="false">IF(J6274&gt;0,K6274/J6274,0)</f>
        <v>0.0767265680056378</v>
      </c>
    </row>
    <row r="6275" customFormat="false" ht="15" hidden="false" customHeight="false" outlineLevel="0" collapsed="false">
      <c r="A6275" s="15" t="s">
        <v>6332</v>
      </c>
      <c r="B6275" s="16" t="n">
        <v>45468</v>
      </c>
      <c r="C6275" s="15" t="s">
        <v>56</v>
      </c>
      <c r="D6275" s="15" t="s">
        <v>43</v>
      </c>
      <c r="E6275" s="15" t="s">
        <v>39</v>
      </c>
      <c r="F6275" s="15" t="s">
        <v>16</v>
      </c>
      <c r="G6275" s="15" t="s">
        <v>23</v>
      </c>
      <c r="H6275" s="15" t="n">
        <v>2</v>
      </c>
      <c r="I6275" s="17" t="n">
        <v>0.2</v>
      </c>
      <c r="J6275" s="18" t="n">
        <v>566.87</v>
      </c>
      <c r="K6275" s="19" t="n">
        <v>-99.29</v>
      </c>
      <c r="L6275" s="15" t="n">
        <f aca="false">YEAR(B6275)</f>
        <v>2024</v>
      </c>
      <c r="M6275" s="20" t="n">
        <f aca="false">IF(J6275&gt;0,K6275/J6275,0)</f>
        <v>-0.175154797396228</v>
      </c>
    </row>
    <row r="6276" customFormat="false" ht="15" hidden="false" customHeight="false" outlineLevel="0" collapsed="false">
      <c r="A6276" s="15" t="s">
        <v>6333</v>
      </c>
      <c r="B6276" s="16" t="n">
        <v>45611</v>
      </c>
      <c r="C6276" s="15" t="s">
        <v>56</v>
      </c>
      <c r="D6276" s="15" t="s">
        <v>44</v>
      </c>
      <c r="E6276" s="15" t="s">
        <v>39</v>
      </c>
      <c r="F6276" s="15" t="s">
        <v>18</v>
      </c>
      <c r="G6276" s="15" t="s">
        <v>32</v>
      </c>
      <c r="H6276" s="15" t="n">
        <v>4</v>
      </c>
      <c r="I6276" s="17" t="n">
        <v>0</v>
      </c>
      <c r="J6276" s="18" t="n">
        <v>1971.31</v>
      </c>
      <c r="K6276" s="19" t="n">
        <v>398.3</v>
      </c>
      <c r="L6276" s="15" t="n">
        <f aca="false">YEAR(B6276)</f>
        <v>2024</v>
      </c>
      <c r="M6276" s="20" t="n">
        <f aca="false">IF(J6276&gt;0,K6276/J6276,0)</f>
        <v>0.202048384069477</v>
      </c>
    </row>
    <row r="6277" customFormat="false" ht="15" hidden="false" customHeight="false" outlineLevel="0" collapsed="false">
      <c r="A6277" s="15" t="s">
        <v>6334</v>
      </c>
      <c r="B6277" s="16" t="n">
        <v>45408</v>
      </c>
      <c r="C6277" s="15" t="s">
        <v>56</v>
      </c>
      <c r="D6277" s="15" t="s">
        <v>43</v>
      </c>
      <c r="E6277" s="15" t="s">
        <v>36</v>
      </c>
      <c r="F6277" s="15" t="s">
        <v>17</v>
      </c>
      <c r="G6277" s="15" t="s">
        <v>29</v>
      </c>
      <c r="H6277" s="15" t="n">
        <v>2</v>
      </c>
      <c r="I6277" s="17" t="n">
        <v>0.2</v>
      </c>
      <c r="J6277" s="18" t="n">
        <v>26.56</v>
      </c>
      <c r="K6277" s="19" t="n">
        <v>4.66</v>
      </c>
      <c r="L6277" s="15" t="n">
        <f aca="false">YEAR(B6277)</f>
        <v>2024</v>
      </c>
      <c r="M6277" s="20" t="n">
        <f aca="false">IF(J6277&gt;0,K6277/J6277,0)</f>
        <v>0.175451807228916</v>
      </c>
    </row>
    <row r="6278" customFormat="false" ht="15" hidden="false" customHeight="false" outlineLevel="0" collapsed="false">
      <c r="A6278" s="15" t="s">
        <v>6335</v>
      </c>
      <c r="B6278" s="16" t="n">
        <v>45593</v>
      </c>
      <c r="C6278" s="15" t="s">
        <v>71</v>
      </c>
      <c r="D6278" s="15" t="s">
        <v>43</v>
      </c>
      <c r="E6278" s="15" t="s">
        <v>37</v>
      </c>
      <c r="F6278" s="15" t="s">
        <v>18</v>
      </c>
      <c r="G6278" s="15" t="s">
        <v>30</v>
      </c>
      <c r="H6278" s="15" t="n">
        <v>2</v>
      </c>
      <c r="I6278" s="17" t="n">
        <v>0.1</v>
      </c>
      <c r="J6278" s="18" t="n">
        <v>96.12</v>
      </c>
      <c r="K6278" s="19" t="n">
        <v>19.31</v>
      </c>
      <c r="L6278" s="15" t="n">
        <f aca="false">YEAR(B6278)</f>
        <v>2024</v>
      </c>
      <c r="M6278" s="20" t="n">
        <f aca="false">IF(J6278&gt;0,K6278/J6278,0)</f>
        <v>0.200894714939659</v>
      </c>
    </row>
    <row r="6279" customFormat="false" ht="15" hidden="false" customHeight="false" outlineLevel="0" collapsed="false">
      <c r="A6279" s="15" t="s">
        <v>6336</v>
      </c>
      <c r="B6279" s="16" t="n">
        <v>45301</v>
      </c>
      <c r="C6279" s="15" t="s">
        <v>56</v>
      </c>
      <c r="D6279" s="15" t="s">
        <v>42</v>
      </c>
      <c r="E6279" s="15" t="s">
        <v>37</v>
      </c>
      <c r="F6279" s="15" t="s">
        <v>17</v>
      </c>
      <c r="G6279" s="15" t="s">
        <v>31</v>
      </c>
      <c r="H6279" s="15" t="n">
        <v>2</v>
      </c>
      <c r="I6279" s="17" t="n">
        <v>0</v>
      </c>
      <c r="J6279" s="18" t="n">
        <v>260.72</v>
      </c>
      <c r="K6279" s="19" t="n">
        <v>65.84</v>
      </c>
      <c r="L6279" s="15" t="n">
        <f aca="false">YEAR(B6279)</f>
        <v>2024</v>
      </c>
      <c r="M6279" s="20" t="n">
        <f aca="false">IF(J6279&gt;0,K6279/J6279,0)</f>
        <v>0.25253145136545</v>
      </c>
    </row>
    <row r="6280" customFormat="false" ht="15" hidden="false" customHeight="false" outlineLevel="0" collapsed="false">
      <c r="A6280" s="15" t="s">
        <v>6337</v>
      </c>
      <c r="B6280" s="16" t="n">
        <v>45014</v>
      </c>
      <c r="C6280" s="15" t="s">
        <v>56</v>
      </c>
      <c r="D6280" s="15" t="s">
        <v>43</v>
      </c>
      <c r="E6280" s="15" t="s">
        <v>39</v>
      </c>
      <c r="F6280" s="15" t="s">
        <v>18</v>
      </c>
      <c r="G6280" s="15" t="s">
        <v>32</v>
      </c>
      <c r="H6280" s="15" t="n">
        <v>1</v>
      </c>
      <c r="I6280" s="17" t="n">
        <v>0.1</v>
      </c>
      <c r="J6280" s="18" t="n">
        <v>431.25</v>
      </c>
      <c r="K6280" s="19" t="n">
        <v>28.04</v>
      </c>
      <c r="L6280" s="15" t="n">
        <f aca="false">YEAR(B6280)</f>
        <v>2023</v>
      </c>
      <c r="M6280" s="20" t="n">
        <f aca="false">IF(J6280&gt;0,K6280/J6280,0)</f>
        <v>0.0650202898550725</v>
      </c>
    </row>
    <row r="6281" customFormat="false" ht="15" hidden="false" customHeight="false" outlineLevel="0" collapsed="false">
      <c r="A6281" s="15" t="s">
        <v>6338</v>
      </c>
      <c r="B6281" s="16" t="n">
        <v>46018</v>
      </c>
      <c r="C6281" s="15" t="s">
        <v>71</v>
      </c>
      <c r="D6281" s="15" t="s">
        <v>43</v>
      </c>
      <c r="E6281" s="15" t="s">
        <v>37</v>
      </c>
      <c r="F6281" s="15" t="s">
        <v>17</v>
      </c>
      <c r="G6281" s="15" t="s">
        <v>26</v>
      </c>
      <c r="H6281" s="15" t="n">
        <v>4</v>
      </c>
      <c r="I6281" s="17" t="n">
        <v>0.05</v>
      </c>
      <c r="J6281" s="18" t="n">
        <v>313.61</v>
      </c>
      <c r="K6281" s="19" t="n">
        <v>21.12</v>
      </c>
      <c r="L6281" s="15" t="n">
        <f aca="false">YEAR(B6281)</f>
        <v>2025</v>
      </c>
      <c r="M6281" s="20" t="n">
        <f aca="false">IF(J6281&gt;0,K6281/J6281,0)</f>
        <v>0.0673447913012978</v>
      </c>
    </row>
    <row r="6282" customFormat="false" ht="15" hidden="false" customHeight="false" outlineLevel="0" collapsed="false">
      <c r="A6282" s="15" t="s">
        <v>6339</v>
      </c>
      <c r="B6282" s="16" t="n">
        <v>45031</v>
      </c>
      <c r="C6282" s="15" t="s">
        <v>68</v>
      </c>
      <c r="D6282" s="15" t="s">
        <v>44</v>
      </c>
      <c r="E6282" s="15" t="s">
        <v>39</v>
      </c>
      <c r="F6282" s="15" t="s">
        <v>16</v>
      </c>
      <c r="G6282" s="15" t="s">
        <v>23</v>
      </c>
      <c r="H6282" s="15" t="n">
        <v>2</v>
      </c>
      <c r="I6282" s="17" t="n">
        <v>0.05</v>
      </c>
      <c r="J6282" s="18" t="n">
        <v>733.86</v>
      </c>
      <c r="K6282" s="19" t="n">
        <v>-32.17</v>
      </c>
      <c r="L6282" s="15" t="n">
        <f aca="false">YEAR(B6282)</f>
        <v>2023</v>
      </c>
      <c r="M6282" s="20" t="n">
        <f aca="false">IF(J6282&gt;0,K6282/J6282,0)</f>
        <v>-0.0438366990979206</v>
      </c>
    </row>
    <row r="6283" customFormat="false" ht="15" hidden="false" customHeight="false" outlineLevel="0" collapsed="false">
      <c r="A6283" s="15" t="s">
        <v>6340</v>
      </c>
      <c r="B6283" s="16" t="n">
        <v>45456</v>
      </c>
      <c r="C6283" s="15" t="s">
        <v>71</v>
      </c>
      <c r="D6283" s="15" t="s">
        <v>43</v>
      </c>
      <c r="E6283" s="15" t="s">
        <v>38</v>
      </c>
      <c r="F6283" s="15" t="s">
        <v>17</v>
      </c>
      <c r="G6283" s="15" t="s">
        <v>29</v>
      </c>
      <c r="H6283" s="15" t="n">
        <v>5</v>
      </c>
      <c r="I6283" s="17" t="n">
        <v>0.3</v>
      </c>
      <c r="J6283" s="18" t="n">
        <v>57.57</v>
      </c>
      <c r="K6283" s="19" t="n">
        <v>10.3</v>
      </c>
      <c r="L6283" s="15" t="n">
        <f aca="false">YEAR(B6283)</f>
        <v>2024</v>
      </c>
      <c r="M6283" s="20" t="n">
        <f aca="false">IF(J6283&gt;0,K6283/J6283,0)</f>
        <v>0.178912628104916</v>
      </c>
    </row>
    <row r="6284" customFormat="false" ht="15" hidden="false" customHeight="false" outlineLevel="0" collapsed="false">
      <c r="A6284" s="15" t="s">
        <v>6341</v>
      </c>
      <c r="B6284" s="16" t="n">
        <v>44691</v>
      </c>
      <c r="C6284" s="15" t="s">
        <v>56</v>
      </c>
      <c r="D6284" s="15" t="s">
        <v>42</v>
      </c>
      <c r="E6284" s="15" t="s">
        <v>39</v>
      </c>
      <c r="F6284" s="15" t="s">
        <v>17</v>
      </c>
      <c r="G6284" s="15" t="s">
        <v>29</v>
      </c>
      <c r="H6284" s="15" t="n">
        <v>6</v>
      </c>
      <c r="I6284" s="17" t="n">
        <v>0.2</v>
      </c>
      <c r="J6284" s="18" t="n">
        <v>99.4</v>
      </c>
      <c r="K6284" s="19" t="n">
        <v>10.91</v>
      </c>
      <c r="L6284" s="15" t="n">
        <f aca="false">YEAR(B6284)</f>
        <v>2022</v>
      </c>
      <c r="M6284" s="20" t="n">
        <f aca="false">IF(J6284&gt;0,K6284/J6284,0)</f>
        <v>0.109758551307847</v>
      </c>
    </row>
    <row r="6285" customFormat="false" ht="15" hidden="false" customHeight="false" outlineLevel="0" collapsed="false">
      <c r="A6285" s="15" t="s">
        <v>6342</v>
      </c>
      <c r="B6285" s="16" t="n">
        <v>44691</v>
      </c>
      <c r="C6285" s="15" t="s">
        <v>68</v>
      </c>
      <c r="D6285" s="15" t="s">
        <v>42</v>
      </c>
      <c r="E6285" s="15" t="s">
        <v>38</v>
      </c>
      <c r="F6285" s="15" t="s">
        <v>18</v>
      </c>
      <c r="G6285" s="15" t="s">
        <v>32</v>
      </c>
      <c r="H6285" s="15" t="n">
        <v>2</v>
      </c>
      <c r="I6285" s="17" t="n">
        <v>0</v>
      </c>
      <c r="J6285" s="18" t="n">
        <v>780.52</v>
      </c>
      <c r="K6285" s="19" t="n">
        <v>95.64</v>
      </c>
      <c r="L6285" s="15" t="n">
        <f aca="false">YEAR(B6285)</f>
        <v>2022</v>
      </c>
      <c r="M6285" s="20" t="n">
        <f aca="false">IF(J6285&gt;0,K6285/J6285,0)</f>
        <v>0.122533695485061</v>
      </c>
    </row>
    <row r="6286" customFormat="false" ht="15" hidden="false" customHeight="false" outlineLevel="0" collapsed="false">
      <c r="A6286" s="15" t="s">
        <v>6343</v>
      </c>
      <c r="B6286" s="16" t="n">
        <v>45532</v>
      </c>
      <c r="C6286" s="15" t="s">
        <v>56</v>
      </c>
      <c r="D6286" s="15" t="s">
        <v>42</v>
      </c>
      <c r="E6286" s="15" t="s">
        <v>38</v>
      </c>
      <c r="F6286" s="15" t="s">
        <v>16</v>
      </c>
      <c r="G6286" s="15" t="s">
        <v>27</v>
      </c>
      <c r="H6286" s="15" t="n">
        <v>3</v>
      </c>
      <c r="I6286" s="17" t="n">
        <v>0.15</v>
      </c>
      <c r="J6286" s="18" t="n">
        <v>116.07</v>
      </c>
      <c r="K6286" s="19" t="n">
        <v>5.25</v>
      </c>
      <c r="L6286" s="15" t="n">
        <f aca="false">YEAR(B6286)</f>
        <v>2024</v>
      </c>
      <c r="M6286" s="20" t="n">
        <f aca="false">IF(J6286&gt;0,K6286/J6286,0)</f>
        <v>0.0452313259240114</v>
      </c>
    </row>
    <row r="6287" customFormat="false" ht="15" hidden="false" customHeight="false" outlineLevel="0" collapsed="false">
      <c r="A6287" s="15" t="s">
        <v>6344</v>
      </c>
      <c r="B6287" s="16" t="n">
        <v>45874</v>
      </c>
      <c r="C6287" s="15" t="s">
        <v>58</v>
      </c>
      <c r="D6287" s="15" t="s">
        <v>44</v>
      </c>
      <c r="E6287" s="15" t="s">
        <v>38</v>
      </c>
      <c r="F6287" s="15" t="s">
        <v>17</v>
      </c>
      <c r="G6287" s="15" t="s">
        <v>28</v>
      </c>
      <c r="H6287" s="15" t="n">
        <v>4</v>
      </c>
      <c r="I6287" s="17" t="n">
        <v>0.05</v>
      </c>
      <c r="J6287" s="18" t="n">
        <v>95.85</v>
      </c>
      <c r="K6287" s="19" t="n">
        <v>24.05</v>
      </c>
      <c r="L6287" s="15" t="n">
        <f aca="false">YEAR(B6287)</f>
        <v>2025</v>
      </c>
      <c r="M6287" s="20" t="n">
        <f aca="false">IF(J6287&gt;0,K6287/J6287,0)</f>
        <v>0.250912884715702</v>
      </c>
    </row>
    <row r="6288" customFormat="false" ht="15" hidden="false" customHeight="false" outlineLevel="0" collapsed="false">
      <c r="A6288" s="15" t="s">
        <v>6345</v>
      </c>
      <c r="B6288" s="16" t="n">
        <v>45906</v>
      </c>
      <c r="C6288" s="15" t="s">
        <v>56</v>
      </c>
      <c r="D6288" s="15" t="s">
        <v>42</v>
      </c>
      <c r="E6288" s="15" t="s">
        <v>37</v>
      </c>
      <c r="F6288" s="15" t="s">
        <v>16</v>
      </c>
      <c r="G6288" s="15" t="s">
        <v>27</v>
      </c>
      <c r="H6288" s="15" t="n">
        <v>4</v>
      </c>
      <c r="I6288" s="17" t="n">
        <v>0.5</v>
      </c>
      <c r="J6288" s="18" t="n">
        <v>103.83</v>
      </c>
      <c r="K6288" s="19" t="n">
        <v>-25.19</v>
      </c>
      <c r="L6288" s="15" t="n">
        <f aca="false">YEAR(B6288)</f>
        <v>2025</v>
      </c>
      <c r="M6288" s="20" t="n">
        <f aca="false">IF(J6288&gt;0,K6288/J6288,0)</f>
        <v>-0.242608109409612</v>
      </c>
    </row>
    <row r="6289" customFormat="false" ht="15" hidden="false" customHeight="false" outlineLevel="0" collapsed="false">
      <c r="A6289" s="15" t="s">
        <v>6346</v>
      </c>
      <c r="B6289" s="16" t="n">
        <v>45952</v>
      </c>
      <c r="C6289" s="15" t="s">
        <v>68</v>
      </c>
      <c r="D6289" s="15" t="s">
        <v>42</v>
      </c>
      <c r="E6289" s="15" t="s">
        <v>36</v>
      </c>
      <c r="F6289" s="15" t="s">
        <v>16</v>
      </c>
      <c r="G6289" s="15" t="s">
        <v>27</v>
      </c>
      <c r="H6289" s="15" t="n">
        <v>4</v>
      </c>
      <c r="I6289" s="17" t="n">
        <v>0.2</v>
      </c>
      <c r="J6289" s="18" t="n">
        <v>179.14</v>
      </c>
      <c r="K6289" s="19" t="n">
        <v>-8.43</v>
      </c>
      <c r="L6289" s="15" t="n">
        <f aca="false">YEAR(B6289)</f>
        <v>2025</v>
      </c>
      <c r="M6289" s="20" t="n">
        <f aca="false">IF(J6289&gt;0,K6289/J6289,0)</f>
        <v>-0.0470581667969186</v>
      </c>
    </row>
    <row r="6290" customFormat="false" ht="15" hidden="false" customHeight="false" outlineLevel="0" collapsed="false">
      <c r="A6290" s="15" t="s">
        <v>6347</v>
      </c>
      <c r="B6290" s="16" t="n">
        <v>45988</v>
      </c>
      <c r="C6290" s="15" t="s">
        <v>56</v>
      </c>
      <c r="D6290" s="15" t="s">
        <v>44</v>
      </c>
      <c r="E6290" s="15" t="s">
        <v>39</v>
      </c>
      <c r="F6290" s="15" t="s">
        <v>17</v>
      </c>
      <c r="G6290" s="15" t="s">
        <v>28</v>
      </c>
      <c r="H6290" s="15" t="n">
        <v>4</v>
      </c>
      <c r="I6290" s="17" t="n">
        <v>0.1</v>
      </c>
      <c r="J6290" s="18" t="n">
        <v>91.19</v>
      </c>
      <c r="K6290" s="19" t="n">
        <v>17.57</v>
      </c>
      <c r="L6290" s="15" t="n">
        <f aca="false">YEAR(B6290)</f>
        <v>2025</v>
      </c>
      <c r="M6290" s="20" t="n">
        <f aca="false">IF(J6290&gt;0,K6290/J6290,0)</f>
        <v>0.192674635376686</v>
      </c>
    </row>
    <row r="6291" customFormat="false" ht="15" hidden="false" customHeight="false" outlineLevel="0" collapsed="false">
      <c r="A6291" s="15" t="s">
        <v>6348</v>
      </c>
      <c r="B6291" s="16" t="n">
        <v>45837</v>
      </c>
      <c r="C6291" s="15" t="s">
        <v>56</v>
      </c>
      <c r="D6291" s="15" t="s">
        <v>42</v>
      </c>
      <c r="E6291" s="15" t="s">
        <v>39</v>
      </c>
      <c r="F6291" s="15" t="s">
        <v>17</v>
      </c>
      <c r="G6291" s="15" t="s">
        <v>28</v>
      </c>
      <c r="H6291" s="15" t="n">
        <v>4</v>
      </c>
      <c r="I6291" s="17" t="n">
        <v>0.2</v>
      </c>
      <c r="J6291" s="18" t="n">
        <v>76.07</v>
      </c>
      <c r="K6291" s="19" t="n">
        <v>13.39</v>
      </c>
      <c r="L6291" s="15" t="n">
        <f aca="false">YEAR(B6291)</f>
        <v>2025</v>
      </c>
      <c r="M6291" s="20" t="n">
        <f aca="false">IF(J6291&gt;0,K6291/J6291,0)</f>
        <v>0.176022084921783</v>
      </c>
    </row>
    <row r="6292" customFormat="false" ht="15" hidden="false" customHeight="false" outlineLevel="0" collapsed="false">
      <c r="A6292" s="15" t="s">
        <v>6349</v>
      </c>
      <c r="B6292" s="16" t="n">
        <v>44752</v>
      </c>
      <c r="C6292" s="15" t="s">
        <v>56</v>
      </c>
      <c r="D6292" s="15" t="s">
        <v>42</v>
      </c>
      <c r="E6292" s="15" t="s">
        <v>37</v>
      </c>
      <c r="F6292" s="15" t="s">
        <v>18</v>
      </c>
      <c r="G6292" s="15" t="s">
        <v>30</v>
      </c>
      <c r="H6292" s="15" t="n">
        <v>1</v>
      </c>
      <c r="I6292" s="17" t="n">
        <v>0.2</v>
      </c>
      <c r="J6292" s="18" t="n">
        <v>37.58</v>
      </c>
      <c r="K6292" s="19" t="n">
        <v>3.94</v>
      </c>
      <c r="L6292" s="15" t="n">
        <f aca="false">YEAR(B6292)</f>
        <v>2022</v>
      </c>
      <c r="M6292" s="20" t="n">
        <f aca="false">IF(J6292&gt;0,K6292/J6292,0)</f>
        <v>0.104843001596594</v>
      </c>
    </row>
    <row r="6293" customFormat="false" ht="15" hidden="false" customHeight="false" outlineLevel="0" collapsed="false">
      <c r="A6293" s="15" t="s">
        <v>6350</v>
      </c>
      <c r="B6293" s="16" t="n">
        <v>45987</v>
      </c>
      <c r="C6293" s="15" t="s">
        <v>56</v>
      </c>
      <c r="D6293" s="15" t="s">
        <v>43</v>
      </c>
      <c r="E6293" s="15" t="s">
        <v>39</v>
      </c>
      <c r="F6293" s="15" t="s">
        <v>17</v>
      </c>
      <c r="G6293" s="15" t="s">
        <v>31</v>
      </c>
      <c r="H6293" s="15" t="n">
        <v>4</v>
      </c>
      <c r="I6293" s="17" t="n">
        <v>0.05</v>
      </c>
      <c r="J6293" s="18" t="n">
        <v>567.72</v>
      </c>
      <c r="K6293" s="19" t="n">
        <v>62.7</v>
      </c>
      <c r="L6293" s="15" t="n">
        <f aca="false">YEAR(B6293)</f>
        <v>2025</v>
      </c>
      <c r="M6293" s="20" t="n">
        <f aca="false">IF(J6293&gt;0,K6293/J6293,0)</f>
        <v>0.110441767068273</v>
      </c>
    </row>
    <row r="6294" customFormat="false" ht="15" hidden="false" customHeight="false" outlineLevel="0" collapsed="false">
      <c r="A6294" s="15" t="s">
        <v>6351</v>
      </c>
      <c r="B6294" s="16" t="n">
        <v>45722</v>
      </c>
      <c r="C6294" s="15" t="s">
        <v>56</v>
      </c>
      <c r="D6294" s="15" t="s">
        <v>42</v>
      </c>
      <c r="E6294" s="15" t="s">
        <v>39</v>
      </c>
      <c r="F6294" s="15" t="s">
        <v>18</v>
      </c>
      <c r="G6294" s="15" t="s">
        <v>30</v>
      </c>
      <c r="H6294" s="15" t="n">
        <v>2</v>
      </c>
      <c r="I6294" s="17" t="n">
        <v>0</v>
      </c>
      <c r="J6294" s="18" t="n">
        <v>83.45</v>
      </c>
      <c r="K6294" s="19" t="n">
        <v>25.41</v>
      </c>
      <c r="L6294" s="15" t="n">
        <f aca="false">YEAR(B6294)</f>
        <v>2025</v>
      </c>
      <c r="M6294" s="20" t="n">
        <f aca="false">IF(J6294&gt;0,K6294/J6294,0)</f>
        <v>0.304493708807669</v>
      </c>
    </row>
    <row r="6295" customFormat="false" ht="15" hidden="false" customHeight="false" outlineLevel="0" collapsed="false">
      <c r="A6295" s="15" t="s">
        <v>6352</v>
      </c>
      <c r="B6295" s="16" t="n">
        <v>45565</v>
      </c>
      <c r="C6295" s="15" t="s">
        <v>68</v>
      </c>
      <c r="D6295" s="15" t="s">
        <v>44</v>
      </c>
      <c r="E6295" s="15" t="s">
        <v>39</v>
      </c>
      <c r="F6295" s="15" t="s">
        <v>17</v>
      </c>
      <c r="G6295" s="15" t="s">
        <v>28</v>
      </c>
      <c r="H6295" s="15" t="n">
        <v>4</v>
      </c>
      <c r="I6295" s="17" t="n">
        <v>0</v>
      </c>
      <c r="J6295" s="18" t="n">
        <v>99.78</v>
      </c>
      <c r="K6295" s="19" t="n">
        <v>28.08</v>
      </c>
      <c r="L6295" s="15" t="n">
        <f aca="false">YEAR(B6295)</f>
        <v>2024</v>
      </c>
      <c r="M6295" s="20" t="n">
        <f aca="false">IF(J6295&gt;0,K6295/J6295,0)</f>
        <v>0.281419122068551</v>
      </c>
    </row>
    <row r="6296" customFormat="false" ht="15" hidden="false" customHeight="false" outlineLevel="0" collapsed="false">
      <c r="A6296" s="15" t="s">
        <v>6353</v>
      </c>
      <c r="B6296" s="16" t="n">
        <v>45613</v>
      </c>
      <c r="C6296" s="15" t="s">
        <v>56</v>
      </c>
      <c r="D6296" s="15" t="s">
        <v>42</v>
      </c>
      <c r="E6296" s="15" t="s">
        <v>39</v>
      </c>
      <c r="F6296" s="15" t="s">
        <v>17</v>
      </c>
      <c r="G6296" s="15" t="s">
        <v>26</v>
      </c>
      <c r="H6296" s="15" t="n">
        <v>3</v>
      </c>
      <c r="I6296" s="17" t="n">
        <v>0.5</v>
      </c>
      <c r="J6296" s="18" t="n">
        <v>149.57</v>
      </c>
      <c r="K6296" s="19" t="n">
        <v>-56.19</v>
      </c>
      <c r="L6296" s="15" t="n">
        <f aca="false">YEAR(B6296)</f>
        <v>2024</v>
      </c>
      <c r="M6296" s="20" t="n">
        <f aca="false">IF(J6296&gt;0,K6296/J6296,0)</f>
        <v>-0.375676940562947</v>
      </c>
    </row>
    <row r="6297" customFormat="false" ht="15" hidden="false" customHeight="false" outlineLevel="0" collapsed="false">
      <c r="A6297" s="15" t="s">
        <v>6354</v>
      </c>
      <c r="B6297" s="16" t="n">
        <v>44719</v>
      </c>
      <c r="C6297" s="15" t="s">
        <v>58</v>
      </c>
      <c r="D6297" s="15" t="s">
        <v>44</v>
      </c>
      <c r="E6297" s="15" t="s">
        <v>36</v>
      </c>
      <c r="F6297" s="15" t="s">
        <v>17</v>
      </c>
      <c r="G6297" s="15" t="s">
        <v>26</v>
      </c>
      <c r="H6297" s="15" t="n">
        <v>5</v>
      </c>
      <c r="I6297" s="17" t="n">
        <v>0</v>
      </c>
      <c r="J6297" s="18" t="n">
        <v>458.84</v>
      </c>
      <c r="K6297" s="19" t="n">
        <v>68.32</v>
      </c>
      <c r="L6297" s="15" t="n">
        <f aca="false">YEAR(B6297)</f>
        <v>2022</v>
      </c>
      <c r="M6297" s="20" t="n">
        <f aca="false">IF(J6297&gt;0,K6297/J6297,0)</f>
        <v>0.148897219074187</v>
      </c>
    </row>
    <row r="6298" customFormat="false" ht="15" hidden="false" customHeight="false" outlineLevel="0" collapsed="false">
      <c r="A6298" s="15" t="s">
        <v>6355</v>
      </c>
      <c r="B6298" s="16" t="n">
        <v>45823</v>
      </c>
      <c r="C6298" s="15" t="s">
        <v>56</v>
      </c>
      <c r="D6298" s="15" t="s">
        <v>43</v>
      </c>
      <c r="E6298" s="15" t="s">
        <v>36</v>
      </c>
      <c r="F6298" s="15" t="s">
        <v>16</v>
      </c>
      <c r="G6298" s="15" t="s">
        <v>23</v>
      </c>
      <c r="H6298" s="15" t="n">
        <v>3</v>
      </c>
      <c r="I6298" s="17" t="n">
        <v>0.2</v>
      </c>
      <c r="J6298" s="18" t="n">
        <v>608.09</v>
      </c>
      <c r="K6298" s="19" t="n">
        <v>-133.57</v>
      </c>
      <c r="L6298" s="15" t="n">
        <f aca="false">YEAR(B6298)</f>
        <v>2025</v>
      </c>
      <c r="M6298" s="20" t="n">
        <f aca="false">IF(J6298&gt;0,K6298/J6298,0)</f>
        <v>-0.219654985281784</v>
      </c>
    </row>
    <row r="6299" customFormat="false" ht="15" hidden="false" customHeight="false" outlineLevel="0" collapsed="false">
      <c r="A6299" s="15" t="s">
        <v>6356</v>
      </c>
      <c r="B6299" s="16" t="n">
        <v>45008</v>
      </c>
      <c r="C6299" s="15" t="s">
        <v>71</v>
      </c>
      <c r="D6299" s="15" t="s">
        <v>42</v>
      </c>
      <c r="E6299" s="15" t="s">
        <v>37</v>
      </c>
      <c r="F6299" s="15" t="s">
        <v>18</v>
      </c>
      <c r="G6299" s="15" t="s">
        <v>32</v>
      </c>
      <c r="H6299" s="15" t="n">
        <v>3</v>
      </c>
      <c r="I6299" s="17" t="n">
        <v>0</v>
      </c>
      <c r="J6299" s="18" t="n">
        <v>1482.57</v>
      </c>
      <c r="K6299" s="19" t="n">
        <v>342.69</v>
      </c>
      <c r="L6299" s="15" t="n">
        <f aca="false">YEAR(B6299)</f>
        <v>2023</v>
      </c>
      <c r="M6299" s="20" t="n">
        <f aca="false">IF(J6299&gt;0,K6299/J6299,0)</f>
        <v>0.231145915538558</v>
      </c>
    </row>
    <row r="6300" customFormat="false" ht="15" hidden="false" customHeight="false" outlineLevel="0" collapsed="false">
      <c r="A6300" s="15" t="s">
        <v>6357</v>
      </c>
      <c r="B6300" s="16" t="n">
        <v>45770</v>
      </c>
      <c r="C6300" s="15" t="s">
        <v>68</v>
      </c>
      <c r="D6300" s="15" t="s">
        <v>42</v>
      </c>
      <c r="E6300" s="15" t="s">
        <v>39</v>
      </c>
      <c r="F6300" s="15" t="s">
        <v>17</v>
      </c>
      <c r="G6300" s="15" t="s">
        <v>29</v>
      </c>
      <c r="H6300" s="15" t="n">
        <v>4</v>
      </c>
      <c r="I6300" s="17" t="n">
        <v>0</v>
      </c>
      <c r="J6300" s="18" t="n">
        <v>61.5</v>
      </c>
      <c r="K6300" s="19" t="n">
        <v>24.88</v>
      </c>
      <c r="L6300" s="15" t="n">
        <f aca="false">YEAR(B6300)</f>
        <v>2025</v>
      </c>
      <c r="M6300" s="20" t="n">
        <f aca="false">IF(J6300&gt;0,K6300/J6300,0)</f>
        <v>0.404552845528455</v>
      </c>
    </row>
    <row r="6301" customFormat="false" ht="15" hidden="false" customHeight="false" outlineLevel="0" collapsed="false">
      <c r="A6301" s="15" t="s">
        <v>6358</v>
      </c>
      <c r="B6301" s="16" t="n">
        <v>44657</v>
      </c>
      <c r="C6301" s="15" t="s">
        <v>56</v>
      </c>
      <c r="D6301" s="15" t="s">
        <v>44</v>
      </c>
      <c r="E6301" s="15" t="s">
        <v>37</v>
      </c>
      <c r="F6301" s="15" t="s">
        <v>17</v>
      </c>
      <c r="G6301" s="15" t="s">
        <v>29</v>
      </c>
      <c r="H6301" s="15" t="n">
        <v>4</v>
      </c>
      <c r="I6301" s="17" t="n">
        <v>0</v>
      </c>
      <c r="J6301" s="18" t="n">
        <v>80.7</v>
      </c>
      <c r="K6301" s="19" t="n">
        <v>31.38</v>
      </c>
      <c r="L6301" s="15" t="n">
        <f aca="false">YEAR(B6301)</f>
        <v>2022</v>
      </c>
      <c r="M6301" s="20" t="n">
        <f aca="false">IF(J6301&gt;0,K6301/J6301,0)</f>
        <v>0.388847583643123</v>
      </c>
    </row>
    <row r="6302" customFormat="false" ht="15" hidden="false" customHeight="false" outlineLevel="0" collapsed="false">
      <c r="A6302" s="15" t="s">
        <v>6359</v>
      </c>
      <c r="B6302" s="16" t="n">
        <v>45681</v>
      </c>
      <c r="C6302" s="15" t="s">
        <v>56</v>
      </c>
      <c r="D6302" s="15" t="s">
        <v>43</v>
      </c>
      <c r="E6302" s="15" t="s">
        <v>37</v>
      </c>
      <c r="F6302" s="15" t="s">
        <v>18</v>
      </c>
      <c r="G6302" s="15" t="s">
        <v>30</v>
      </c>
      <c r="H6302" s="15" t="n">
        <v>4</v>
      </c>
      <c r="I6302" s="17" t="n">
        <v>0.2</v>
      </c>
      <c r="J6302" s="18" t="n">
        <v>155.37</v>
      </c>
      <c r="K6302" s="19" t="n">
        <v>26.09</v>
      </c>
      <c r="L6302" s="15" t="n">
        <f aca="false">YEAR(B6302)</f>
        <v>2025</v>
      </c>
      <c r="M6302" s="20" t="n">
        <f aca="false">IF(J6302&gt;0,K6302/J6302,0)</f>
        <v>0.167921735212718</v>
      </c>
    </row>
    <row r="6303" customFormat="false" ht="15" hidden="false" customHeight="false" outlineLevel="0" collapsed="false">
      <c r="A6303" s="15" t="s">
        <v>6360</v>
      </c>
      <c r="B6303" s="16" t="n">
        <v>45338</v>
      </c>
      <c r="C6303" s="15" t="s">
        <v>71</v>
      </c>
      <c r="D6303" s="15" t="s">
        <v>42</v>
      </c>
      <c r="E6303" s="15" t="s">
        <v>39</v>
      </c>
      <c r="F6303" s="15" t="s">
        <v>17</v>
      </c>
      <c r="G6303" s="15" t="s">
        <v>26</v>
      </c>
      <c r="H6303" s="15" t="n">
        <v>4</v>
      </c>
      <c r="I6303" s="17" t="n">
        <v>0</v>
      </c>
      <c r="J6303" s="18" t="n">
        <v>369.16</v>
      </c>
      <c r="K6303" s="19" t="n">
        <v>23.36</v>
      </c>
      <c r="L6303" s="15" t="n">
        <f aca="false">YEAR(B6303)</f>
        <v>2024</v>
      </c>
      <c r="M6303" s="20" t="n">
        <f aca="false">IF(J6303&gt;0,K6303/J6303,0)</f>
        <v>0.0632787951023946</v>
      </c>
    </row>
    <row r="6304" customFormat="false" ht="15" hidden="false" customHeight="false" outlineLevel="0" collapsed="false">
      <c r="A6304" s="15" t="s">
        <v>6361</v>
      </c>
      <c r="B6304" s="16" t="n">
        <v>44660</v>
      </c>
      <c r="C6304" s="15" t="s">
        <v>58</v>
      </c>
      <c r="D6304" s="15" t="s">
        <v>43</v>
      </c>
      <c r="E6304" s="15" t="s">
        <v>37</v>
      </c>
      <c r="F6304" s="15" t="s">
        <v>18</v>
      </c>
      <c r="G6304" s="15" t="s">
        <v>30</v>
      </c>
      <c r="H6304" s="15" t="n">
        <v>3</v>
      </c>
      <c r="I6304" s="17" t="n">
        <v>0</v>
      </c>
      <c r="J6304" s="18" t="n">
        <v>136.84</v>
      </c>
      <c r="K6304" s="19" t="n">
        <v>36.45</v>
      </c>
      <c r="L6304" s="15" t="n">
        <f aca="false">YEAR(B6304)</f>
        <v>2022</v>
      </c>
      <c r="M6304" s="20" t="n">
        <f aca="false">IF(J6304&gt;0,K6304/J6304,0)</f>
        <v>0.266369482607425</v>
      </c>
    </row>
    <row r="6305" customFormat="false" ht="15" hidden="false" customHeight="false" outlineLevel="0" collapsed="false">
      <c r="A6305" s="15" t="s">
        <v>6362</v>
      </c>
      <c r="B6305" s="16" t="n">
        <v>46021</v>
      </c>
      <c r="C6305" s="15" t="s">
        <v>71</v>
      </c>
      <c r="D6305" s="15" t="s">
        <v>42</v>
      </c>
      <c r="E6305" s="15" t="s">
        <v>36</v>
      </c>
      <c r="F6305" s="15" t="s">
        <v>17</v>
      </c>
      <c r="G6305" s="15" t="s">
        <v>31</v>
      </c>
      <c r="H6305" s="15" t="n">
        <v>4</v>
      </c>
      <c r="I6305" s="17" t="n">
        <v>0.2</v>
      </c>
      <c r="J6305" s="18" t="n">
        <v>421.97</v>
      </c>
      <c r="K6305" s="19" t="n">
        <v>8.46</v>
      </c>
      <c r="L6305" s="15" t="n">
        <f aca="false">YEAR(B6305)</f>
        <v>2025</v>
      </c>
      <c r="M6305" s="20" t="n">
        <f aca="false">IF(J6305&gt;0,K6305/J6305,0)</f>
        <v>0.020048818636396</v>
      </c>
    </row>
    <row r="6306" customFormat="false" ht="15" hidden="false" customHeight="false" outlineLevel="0" collapsed="false">
      <c r="A6306" s="15" t="s">
        <v>6363</v>
      </c>
      <c r="B6306" s="16" t="n">
        <v>45012</v>
      </c>
      <c r="C6306" s="15" t="s">
        <v>56</v>
      </c>
      <c r="D6306" s="15" t="s">
        <v>44</v>
      </c>
      <c r="E6306" s="15" t="s">
        <v>38</v>
      </c>
      <c r="F6306" s="15" t="s">
        <v>17</v>
      </c>
      <c r="G6306" s="15" t="s">
        <v>26</v>
      </c>
      <c r="H6306" s="15" t="n">
        <v>2</v>
      </c>
      <c r="I6306" s="17" t="n">
        <v>0</v>
      </c>
      <c r="J6306" s="18" t="n">
        <v>170.17</v>
      </c>
      <c r="K6306" s="19" t="n">
        <v>17.78</v>
      </c>
      <c r="L6306" s="15" t="n">
        <f aca="false">YEAR(B6306)</f>
        <v>2023</v>
      </c>
      <c r="M6306" s="20" t="n">
        <f aca="false">IF(J6306&gt;0,K6306/J6306,0)</f>
        <v>0.104483751542575</v>
      </c>
    </row>
    <row r="6307" customFormat="false" ht="15" hidden="false" customHeight="false" outlineLevel="0" collapsed="false">
      <c r="A6307" s="15" t="s">
        <v>6364</v>
      </c>
      <c r="B6307" s="16" t="n">
        <v>45846</v>
      </c>
      <c r="C6307" s="15" t="s">
        <v>58</v>
      </c>
      <c r="D6307" s="15" t="s">
        <v>42</v>
      </c>
      <c r="E6307" s="15" t="s">
        <v>39</v>
      </c>
      <c r="F6307" s="15" t="s">
        <v>17</v>
      </c>
      <c r="G6307" s="15" t="s">
        <v>26</v>
      </c>
      <c r="H6307" s="15" t="n">
        <v>6</v>
      </c>
      <c r="I6307" s="17" t="n">
        <v>0.05</v>
      </c>
      <c r="J6307" s="18" t="n">
        <v>466.52</v>
      </c>
      <c r="K6307" s="19" t="n">
        <v>7.4</v>
      </c>
      <c r="L6307" s="15" t="n">
        <f aca="false">YEAR(B6307)</f>
        <v>2025</v>
      </c>
      <c r="M6307" s="20" t="n">
        <f aca="false">IF(J6307&gt;0,K6307/J6307,0)</f>
        <v>0.015862128097402</v>
      </c>
    </row>
    <row r="6308" customFormat="false" ht="15" hidden="false" customHeight="false" outlineLevel="0" collapsed="false">
      <c r="A6308" s="15" t="s">
        <v>6365</v>
      </c>
      <c r="B6308" s="16" t="n">
        <v>44895</v>
      </c>
      <c r="C6308" s="15" t="s">
        <v>56</v>
      </c>
      <c r="D6308" s="15" t="s">
        <v>42</v>
      </c>
      <c r="E6308" s="15" t="s">
        <v>37</v>
      </c>
      <c r="F6308" s="15" t="s">
        <v>18</v>
      </c>
      <c r="G6308" s="15" t="s">
        <v>30</v>
      </c>
      <c r="H6308" s="15" t="n">
        <v>5</v>
      </c>
      <c r="I6308" s="17" t="n">
        <v>0.2</v>
      </c>
      <c r="J6308" s="18" t="n">
        <v>194.8</v>
      </c>
      <c r="K6308" s="19" t="n">
        <v>15.79</v>
      </c>
      <c r="L6308" s="15" t="n">
        <f aca="false">YEAR(B6308)</f>
        <v>2022</v>
      </c>
      <c r="M6308" s="20" t="n">
        <f aca="false">IF(J6308&gt;0,K6308/J6308,0)</f>
        <v>0.0810574948665298</v>
      </c>
    </row>
    <row r="6309" customFormat="false" ht="15" hidden="false" customHeight="false" outlineLevel="0" collapsed="false">
      <c r="A6309" s="15" t="s">
        <v>6366</v>
      </c>
      <c r="B6309" s="16" t="n">
        <v>44924</v>
      </c>
      <c r="C6309" s="15" t="s">
        <v>56</v>
      </c>
      <c r="D6309" s="15" t="s">
        <v>44</v>
      </c>
      <c r="E6309" s="15" t="s">
        <v>39</v>
      </c>
      <c r="F6309" s="15" t="s">
        <v>17</v>
      </c>
      <c r="G6309" s="15" t="s">
        <v>28</v>
      </c>
      <c r="H6309" s="15" t="n">
        <v>3</v>
      </c>
      <c r="I6309" s="17" t="n">
        <v>0.15</v>
      </c>
      <c r="J6309" s="18" t="n">
        <v>66.16</v>
      </c>
      <c r="K6309" s="19" t="n">
        <v>11.95</v>
      </c>
      <c r="L6309" s="15" t="n">
        <f aca="false">YEAR(B6309)</f>
        <v>2022</v>
      </c>
      <c r="M6309" s="20" t="n">
        <f aca="false">IF(J6309&gt;0,K6309/J6309,0)</f>
        <v>0.180622732769045</v>
      </c>
    </row>
    <row r="6310" customFormat="false" ht="15" hidden="false" customHeight="false" outlineLevel="0" collapsed="false">
      <c r="A6310" s="15" t="s">
        <v>6367</v>
      </c>
      <c r="B6310" s="16" t="n">
        <v>45250</v>
      </c>
      <c r="C6310" s="15" t="s">
        <v>68</v>
      </c>
      <c r="D6310" s="15" t="s">
        <v>42</v>
      </c>
      <c r="E6310" s="15" t="s">
        <v>36</v>
      </c>
      <c r="F6310" s="15" t="s">
        <v>17</v>
      </c>
      <c r="G6310" s="15" t="s">
        <v>31</v>
      </c>
      <c r="H6310" s="15" t="n">
        <v>2</v>
      </c>
      <c r="I6310" s="17" t="n">
        <v>0.2</v>
      </c>
      <c r="J6310" s="18" t="n">
        <v>195.27</v>
      </c>
      <c r="K6310" s="19" t="n">
        <v>-3.84</v>
      </c>
      <c r="L6310" s="15" t="n">
        <f aca="false">YEAR(B6310)</f>
        <v>2023</v>
      </c>
      <c r="M6310" s="20" t="n">
        <f aca="false">IF(J6310&gt;0,K6310/J6310,0)</f>
        <v>-0.0196650791212168</v>
      </c>
    </row>
    <row r="6311" customFormat="false" ht="15" hidden="false" customHeight="false" outlineLevel="0" collapsed="false">
      <c r="A6311" s="15" t="s">
        <v>6368</v>
      </c>
      <c r="B6311" s="16" t="n">
        <v>44792</v>
      </c>
      <c r="C6311" s="15" t="s">
        <v>71</v>
      </c>
      <c r="D6311" s="15" t="s">
        <v>42</v>
      </c>
      <c r="E6311" s="15" t="s">
        <v>36</v>
      </c>
      <c r="F6311" s="15" t="s">
        <v>18</v>
      </c>
      <c r="G6311" s="15" t="s">
        <v>30</v>
      </c>
      <c r="H6311" s="15" t="n">
        <v>2</v>
      </c>
      <c r="I6311" s="17" t="n">
        <v>0</v>
      </c>
      <c r="J6311" s="18" t="n">
        <v>78.04</v>
      </c>
      <c r="K6311" s="19" t="n">
        <v>21.92</v>
      </c>
      <c r="L6311" s="15" t="n">
        <f aca="false">YEAR(B6311)</f>
        <v>2022</v>
      </c>
      <c r="M6311" s="20" t="n">
        <f aca="false">IF(J6311&gt;0,K6311/J6311,0)</f>
        <v>0.280881599179908</v>
      </c>
    </row>
    <row r="6312" customFormat="false" ht="15" hidden="false" customHeight="false" outlineLevel="0" collapsed="false">
      <c r="A6312" s="15" t="s">
        <v>6369</v>
      </c>
      <c r="B6312" s="16" t="n">
        <v>45152</v>
      </c>
      <c r="C6312" s="15" t="s">
        <v>71</v>
      </c>
      <c r="D6312" s="15" t="s">
        <v>42</v>
      </c>
      <c r="E6312" s="15" t="s">
        <v>36</v>
      </c>
      <c r="F6312" s="15" t="s">
        <v>16</v>
      </c>
      <c r="G6312" s="15" t="s">
        <v>23</v>
      </c>
      <c r="H6312" s="15" t="n">
        <v>1</v>
      </c>
      <c r="I6312" s="17" t="n">
        <v>0.2</v>
      </c>
      <c r="J6312" s="18" t="n">
        <v>259.55</v>
      </c>
      <c r="K6312" s="19" t="n">
        <v>-36.95</v>
      </c>
      <c r="L6312" s="15" t="n">
        <f aca="false">YEAR(B6312)</f>
        <v>2023</v>
      </c>
      <c r="M6312" s="20" t="n">
        <f aca="false">IF(J6312&gt;0,K6312/J6312,0)</f>
        <v>-0.142361780003853</v>
      </c>
    </row>
    <row r="6313" customFormat="false" ht="15" hidden="false" customHeight="false" outlineLevel="0" collapsed="false">
      <c r="A6313" s="15" t="s">
        <v>6370</v>
      </c>
      <c r="B6313" s="16" t="n">
        <v>45999</v>
      </c>
      <c r="C6313" s="15" t="s">
        <v>71</v>
      </c>
      <c r="D6313" s="15" t="s">
        <v>42</v>
      </c>
      <c r="E6313" s="15" t="s">
        <v>36</v>
      </c>
      <c r="F6313" s="15" t="s">
        <v>16</v>
      </c>
      <c r="G6313" s="15" t="s">
        <v>27</v>
      </c>
      <c r="H6313" s="15" t="n">
        <v>3</v>
      </c>
      <c r="I6313" s="17" t="n">
        <v>0.05</v>
      </c>
      <c r="J6313" s="18" t="n">
        <v>174.81</v>
      </c>
      <c r="K6313" s="19" t="n">
        <v>24.28</v>
      </c>
      <c r="L6313" s="15" t="n">
        <f aca="false">YEAR(B6313)</f>
        <v>2025</v>
      </c>
      <c r="M6313" s="20" t="n">
        <f aca="false">IF(J6313&gt;0,K6313/J6313,0)</f>
        <v>0.138893655969338</v>
      </c>
    </row>
    <row r="6314" customFormat="false" ht="15" hidden="false" customHeight="false" outlineLevel="0" collapsed="false">
      <c r="A6314" s="15" t="s">
        <v>6371</v>
      </c>
      <c r="B6314" s="16" t="n">
        <v>46014</v>
      </c>
      <c r="C6314" s="15" t="s">
        <v>71</v>
      </c>
      <c r="D6314" s="15" t="s">
        <v>43</v>
      </c>
      <c r="E6314" s="15" t="s">
        <v>39</v>
      </c>
      <c r="F6314" s="15" t="s">
        <v>18</v>
      </c>
      <c r="G6314" s="15" t="s">
        <v>30</v>
      </c>
      <c r="H6314" s="15" t="n">
        <v>3</v>
      </c>
      <c r="I6314" s="17" t="n">
        <v>0.5</v>
      </c>
      <c r="J6314" s="18" t="n">
        <v>93.01</v>
      </c>
      <c r="K6314" s="19" t="n">
        <v>-17.28</v>
      </c>
      <c r="L6314" s="15" t="n">
        <f aca="false">YEAR(B6314)</f>
        <v>2025</v>
      </c>
      <c r="M6314" s="20" t="n">
        <f aca="false">IF(J6314&gt;0,K6314/J6314,0)</f>
        <v>-0.185786474572627</v>
      </c>
    </row>
    <row r="6315" customFormat="false" ht="15" hidden="false" customHeight="false" outlineLevel="0" collapsed="false">
      <c r="A6315" s="15" t="s">
        <v>6372</v>
      </c>
      <c r="B6315" s="16" t="n">
        <v>45722</v>
      </c>
      <c r="C6315" s="15" t="s">
        <v>56</v>
      </c>
      <c r="D6315" s="15" t="s">
        <v>42</v>
      </c>
      <c r="E6315" s="15" t="s">
        <v>39</v>
      </c>
      <c r="F6315" s="15" t="s">
        <v>17</v>
      </c>
      <c r="G6315" s="15" t="s">
        <v>28</v>
      </c>
      <c r="H6315" s="15" t="n">
        <v>3</v>
      </c>
      <c r="I6315" s="17" t="n">
        <v>0</v>
      </c>
      <c r="J6315" s="18" t="n">
        <v>78.73</v>
      </c>
      <c r="K6315" s="19" t="n">
        <v>26.08</v>
      </c>
      <c r="L6315" s="15" t="n">
        <f aca="false">YEAR(B6315)</f>
        <v>2025</v>
      </c>
      <c r="M6315" s="20" t="n">
        <f aca="false">IF(J6315&gt;0,K6315/J6315,0)</f>
        <v>0.331258732376477</v>
      </c>
    </row>
    <row r="6316" customFormat="false" ht="15" hidden="false" customHeight="false" outlineLevel="0" collapsed="false">
      <c r="A6316" s="15" t="s">
        <v>6373</v>
      </c>
      <c r="B6316" s="16" t="n">
        <v>44656</v>
      </c>
      <c r="C6316" s="15" t="s">
        <v>56</v>
      </c>
      <c r="D6316" s="15" t="s">
        <v>42</v>
      </c>
      <c r="E6316" s="15" t="s">
        <v>39</v>
      </c>
      <c r="F6316" s="15" t="s">
        <v>18</v>
      </c>
      <c r="G6316" s="15" t="s">
        <v>32</v>
      </c>
      <c r="H6316" s="15" t="n">
        <v>4</v>
      </c>
      <c r="I6316" s="17" t="n">
        <v>0</v>
      </c>
      <c r="J6316" s="18" t="n">
        <v>1957.17</v>
      </c>
      <c r="K6316" s="19" t="n">
        <v>342.86</v>
      </c>
      <c r="L6316" s="15" t="n">
        <f aca="false">YEAR(B6316)</f>
        <v>2022</v>
      </c>
      <c r="M6316" s="20" t="n">
        <f aca="false">IF(J6316&gt;0,K6316/J6316,0)</f>
        <v>0.175181512081219</v>
      </c>
    </row>
    <row r="6317" customFormat="false" ht="15" hidden="false" customHeight="false" outlineLevel="0" collapsed="false">
      <c r="A6317" s="15" t="s">
        <v>6374</v>
      </c>
      <c r="B6317" s="16" t="n">
        <v>45275</v>
      </c>
      <c r="C6317" s="15" t="s">
        <v>56</v>
      </c>
      <c r="D6317" s="15" t="s">
        <v>44</v>
      </c>
      <c r="E6317" s="15" t="s">
        <v>38</v>
      </c>
      <c r="F6317" s="15" t="s">
        <v>17</v>
      </c>
      <c r="G6317" s="15" t="s">
        <v>31</v>
      </c>
      <c r="H6317" s="15" t="n">
        <v>3</v>
      </c>
      <c r="I6317" s="17" t="n">
        <v>0</v>
      </c>
      <c r="J6317" s="18" t="n">
        <v>373.29</v>
      </c>
      <c r="K6317" s="19" t="n">
        <v>90.28</v>
      </c>
      <c r="L6317" s="15" t="n">
        <f aca="false">YEAR(B6317)</f>
        <v>2023</v>
      </c>
      <c r="M6317" s="20" t="n">
        <f aca="false">IF(J6317&gt;0,K6317/J6317,0)</f>
        <v>0.241849500388438</v>
      </c>
    </row>
    <row r="6318" customFormat="false" ht="15" hidden="false" customHeight="false" outlineLevel="0" collapsed="false">
      <c r="A6318" s="15" t="s">
        <v>6375</v>
      </c>
      <c r="B6318" s="16" t="n">
        <v>45704</v>
      </c>
      <c r="C6318" s="15" t="s">
        <v>56</v>
      </c>
      <c r="D6318" s="15" t="s">
        <v>42</v>
      </c>
      <c r="E6318" s="15" t="s">
        <v>39</v>
      </c>
      <c r="F6318" s="15" t="s">
        <v>17</v>
      </c>
      <c r="G6318" s="15" t="s">
        <v>28</v>
      </c>
      <c r="H6318" s="15" t="n">
        <v>5</v>
      </c>
      <c r="I6318" s="17" t="n">
        <v>0</v>
      </c>
      <c r="J6318" s="18" t="n">
        <v>108.78</v>
      </c>
      <c r="K6318" s="19" t="n">
        <v>35.31</v>
      </c>
      <c r="L6318" s="15" t="n">
        <f aca="false">YEAR(B6318)</f>
        <v>2025</v>
      </c>
      <c r="M6318" s="20" t="n">
        <f aca="false">IF(J6318&gt;0,K6318/J6318,0)</f>
        <v>0.324600110314396</v>
      </c>
    </row>
    <row r="6319" customFormat="false" ht="15" hidden="false" customHeight="false" outlineLevel="0" collapsed="false">
      <c r="A6319" s="15" t="s">
        <v>6376</v>
      </c>
      <c r="B6319" s="16" t="n">
        <v>44841</v>
      </c>
      <c r="C6319" s="15" t="s">
        <v>56</v>
      </c>
      <c r="D6319" s="15" t="s">
        <v>43</v>
      </c>
      <c r="E6319" s="15" t="s">
        <v>39</v>
      </c>
      <c r="F6319" s="15" t="s">
        <v>18</v>
      </c>
      <c r="G6319" s="15" t="s">
        <v>32</v>
      </c>
      <c r="H6319" s="15" t="n">
        <v>5</v>
      </c>
      <c r="I6319" s="17" t="n">
        <v>0.2</v>
      </c>
      <c r="J6319" s="18" t="n">
        <v>1585</v>
      </c>
      <c r="K6319" s="19" t="n">
        <v>-52.76</v>
      </c>
      <c r="L6319" s="15" t="n">
        <f aca="false">YEAR(B6319)</f>
        <v>2022</v>
      </c>
      <c r="M6319" s="20" t="n">
        <f aca="false">IF(J6319&gt;0,K6319/J6319,0)</f>
        <v>-0.0332870662460568</v>
      </c>
    </row>
    <row r="6320" customFormat="false" ht="15" hidden="false" customHeight="false" outlineLevel="0" collapsed="false">
      <c r="A6320" s="15" t="s">
        <v>6377</v>
      </c>
      <c r="B6320" s="16" t="n">
        <v>45751</v>
      </c>
      <c r="C6320" s="15" t="s">
        <v>71</v>
      </c>
      <c r="D6320" s="15" t="s">
        <v>42</v>
      </c>
      <c r="E6320" s="15" t="s">
        <v>39</v>
      </c>
      <c r="F6320" s="15" t="s">
        <v>16</v>
      </c>
      <c r="G6320" s="15" t="s">
        <v>22</v>
      </c>
      <c r="H6320" s="15" t="n">
        <v>5</v>
      </c>
      <c r="I6320" s="17" t="n">
        <v>0.1</v>
      </c>
      <c r="J6320" s="18" t="n">
        <v>2160.14</v>
      </c>
      <c r="K6320" s="19" t="n">
        <v>-414.9</v>
      </c>
      <c r="L6320" s="15" t="n">
        <f aca="false">YEAR(B6320)</f>
        <v>2025</v>
      </c>
      <c r="M6320" s="20" t="n">
        <f aca="false">IF(J6320&gt;0,K6320/J6320,0)</f>
        <v>-0.192070884294536</v>
      </c>
    </row>
    <row r="6321" customFormat="false" ht="15" hidden="false" customHeight="false" outlineLevel="0" collapsed="false">
      <c r="A6321" s="15" t="s">
        <v>6378</v>
      </c>
      <c r="B6321" s="16" t="n">
        <v>45490</v>
      </c>
      <c r="C6321" s="15" t="s">
        <v>58</v>
      </c>
      <c r="D6321" s="15" t="s">
        <v>43</v>
      </c>
      <c r="E6321" s="15" t="s">
        <v>36</v>
      </c>
      <c r="F6321" s="15" t="s">
        <v>18</v>
      </c>
      <c r="G6321" s="15" t="s">
        <v>30</v>
      </c>
      <c r="H6321" s="15" t="n">
        <v>3</v>
      </c>
      <c r="I6321" s="17" t="n">
        <v>0.05</v>
      </c>
      <c r="J6321" s="18" t="n">
        <v>112.16</v>
      </c>
      <c r="K6321" s="19" t="n">
        <v>26.27</v>
      </c>
      <c r="L6321" s="15" t="n">
        <f aca="false">YEAR(B6321)</f>
        <v>2024</v>
      </c>
      <c r="M6321" s="20" t="n">
        <f aca="false">IF(J6321&gt;0,K6321/J6321,0)</f>
        <v>0.234218972895863</v>
      </c>
    </row>
    <row r="6322" customFormat="false" ht="15" hidden="false" customHeight="false" outlineLevel="0" collapsed="false">
      <c r="A6322" s="15" t="s">
        <v>6379</v>
      </c>
      <c r="B6322" s="16" t="n">
        <v>45258</v>
      </c>
      <c r="C6322" s="15" t="s">
        <v>71</v>
      </c>
      <c r="D6322" s="15" t="s">
        <v>42</v>
      </c>
      <c r="E6322" s="15" t="s">
        <v>37</v>
      </c>
      <c r="F6322" s="15" t="s">
        <v>17</v>
      </c>
      <c r="G6322" s="15" t="s">
        <v>28</v>
      </c>
      <c r="H6322" s="15" t="n">
        <v>3</v>
      </c>
      <c r="I6322" s="17" t="n">
        <v>0.2</v>
      </c>
      <c r="J6322" s="18" t="n">
        <v>80.43</v>
      </c>
      <c r="K6322" s="19" t="n">
        <v>7.5</v>
      </c>
      <c r="L6322" s="15" t="n">
        <f aca="false">YEAR(B6322)</f>
        <v>2023</v>
      </c>
      <c r="M6322" s="20" t="n">
        <f aca="false">IF(J6322&gt;0,K6322/J6322,0)</f>
        <v>0.093248787765759</v>
      </c>
    </row>
    <row r="6323" customFormat="false" ht="15" hidden="false" customHeight="false" outlineLevel="0" collapsed="false">
      <c r="A6323" s="15" t="s">
        <v>6380</v>
      </c>
      <c r="B6323" s="16" t="n">
        <v>44891</v>
      </c>
      <c r="C6323" s="15" t="s">
        <v>71</v>
      </c>
      <c r="D6323" s="15" t="s">
        <v>44</v>
      </c>
      <c r="E6323" s="15" t="s">
        <v>37</v>
      </c>
      <c r="F6323" s="15" t="s">
        <v>16</v>
      </c>
      <c r="G6323" s="15" t="s">
        <v>27</v>
      </c>
      <c r="H6323" s="15" t="n">
        <v>3</v>
      </c>
      <c r="I6323" s="17" t="n">
        <v>0.2</v>
      </c>
      <c r="J6323" s="18" t="n">
        <v>173.92</v>
      </c>
      <c r="K6323" s="19" t="n">
        <v>2.99</v>
      </c>
      <c r="L6323" s="15" t="n">
        <f aca="false">YEAR(B6323)</f>
        <v>2022</v>
      </c>
      <c r="M6323" s="20" t="n">
        <f aca="false">IF(J6323&gt;0,K6323/J6323,0)</f>
        <v>0.0171918123275069</v>
      </c>
    </row>
    <row r="6324" customFormat="false" ht="15" hidden="false" customHeight="false" outlineLevel="0" collapsed="false">
      <c r="A6324" s="15" t="s">
        <v>6381</v>
      </c>
      <c r="B6324" s="16" t="n">
        <v>45647</v>
      </c>
      <c r="C6324" s="15" t="s">
        <v>71</v>
      </c>
      <c r="D6324" s="15" t="s">
        <v>42</v>
      </c>
      <c r="E6324" s="15" t="s">
        <v>39</v>
      </c>
      <c r="F6324" s="15" t="s">
        <v>18</v>
      </c>
      <c r="G6324" s="15" t="s">
        <v>30</v>
      </c>
      <c r="H6324" s="15" t="n">
        <v>3</v>
      </c>
      <c r="I6324" s="17" t="n">
        <v>0.1</v>
      </c>
      <c r="J6324" s="18" t="n">
        <v>145.71</v>
      </c>
      <c r="K6324" s="19" t="n">
        <v>28.36</v>
      </c>
      <c r="L6324" s="15" t="n">
        <f aca="false">YEAR(B6324)</f>
        <v>2024</v>
      </c>
      <c r="M6324" s="20" t="n">
        <f aca="false">IF(J6324&gt;0,K6324/J6324,0)</f>
        <v>0.194633175485553</v>
      </c>
    </row>
    <row r="6325" customFormat="false" ht="15" hidden="false" customHeight="false" outlineLevel="0" collapsed="false">
      <c r="A6325" s="15" t="s">
        <v>6382</v>
      </c>
      <c r="B6325" s="16" t="n">
        <v>45804</v>
      </c>
      <c r="C6325" s="15" t="s">
        <v>68</v>
      </c>
      <c r="D6325" s="15" t="s">
        <v>42</v>
      </c>
      <c r="E6325" s="15" t="s">
        <v>36</v>
      </c>
      <c r="F6325" s="15" t="s">
        <v>17</v>
      </c>
      <c r="G6325" s="15" t="s">
        <v>28</v>
      </c>
      <c r="H6325" s="15" t="n">
        <v>4</v>
      </c>
      <c r="I6325" s="17" t="n">
        <v>0.05</v>
      </c>
      <c r="J6325" s="18" t="n">
        <v>107.98</v>
      </c>
      <c r="K6325" s="19" t="n">
        <v>27.68</v>
      </c>
      <c r="L6325" s="15" t="n">
        <f aca="false">YEAR(B6325)</f>
        <v>2025</v>
      </c>
      <c r="M6325" s="20" t="n">
        <f aca="false">IF(J6325&gt;0,K6325/J6325,0)</f>
        <v>0.256343767364327</v>
      </c>
    </row>
    <row r="6326" customFormat="false" ht="15" hidden="false" customHeight="false" outlineLevel="0" collapsed="false">
      <c r="A6326" s="15" t="s">
        <v>6383</v>
      </c>
      <c r="B6326" s="16" t="n">
        <v>45075</v>
      </c>
      <c r="C6326" s="15" t="s">
        <v>56</v>
      </c>
      <c r="D6326" s="15" t="s">
        <v>44</v>
      </c>
      <c r="E6326" s="15" t="s">
        <v>37</v>
      </c>
      <c r="F6326" s="15" t="s">
        <v>17</v>
      </c>
      <c r="G6326" s="15" t="s">
        <v>29</v>
      </c>
      <c r="H6326" s="15" t="n">
        <v>3</v>
      </c>
      <c r="I6326" s="17" t="n">
        <v>0.1</v>
      </c>
      <c r="J6326" s="18" t="n">
        <v>47.95</v>
      </c>
      <c r="K6326" s="19" t="n">
        <v>16.83</v>
      </c>
      <c r="L6326" s="15" t="n">
        <f aca="false">YEAR(B6326)</f>
        <v>2023</v>
      </c>
      <c r="M6326" s="20" t="n">
        <f aca="false">IF(J6326&gt;0,K6326/J6326,0)</f>
        <v>0.350990615224192</v>
      </c>
    </row>
    <row r="6327" customFormat="false" ht="15" hidden="false" customHeight="false" outlineLevel="0" collapsed="false">
      <c r="A6327" s="15" t="s">
        <v>6384</v>
      </c>
      <c r="B6327" s="16" t="n">
        <v>45224</v>
      </c>
      <c r="C6327" s="15" t="s">
        <v>68</v>
      </c>
      <c r="D6327" s="15" t="s">
        <v>42</v>
      </c>
      <c r="E6327" s="15" t="s">
        <v>36</v>
      </c>
      <c r="F6327" s="15" t="s">
        <v>18</v>
      </c>
      <c r="G6327" s="15" t="s">
        <v>32</v>
      </c>
      <c r="H6327" s="15" t="n">
        <v>3</v>
      </c>
      <c r="I6327" s="17" t="n">
        <v>0</v>
      </c>
      <c r="J6327" s="18" t="n">
        <v>1229.11</v>
      </c>
      <c r="K6327" s="19" t="n">
        <v>166.1</v>
      </c>
      <c r="L6327" s="15" t="n">
        <f aca="false">YEAR(B6327)</f>
        <v>2023</v>
      </c>
      <c r="M6327" s="20" t="n">
        <f aca="false">IF(J6327&gt;0,K6327/J6327,0)</f>
        <v>0.135138433500663</v>
      </c>
    </row>
    <row r="6328" customFormat="false" ht="15" hidden="false" customHeight="false" outlineLevel="0" collapsed="false">
      <c r="A6328" s="15" t="s">
        <v>6385</v>
      </c>
      <c r="B6328" s="16" t="n">
        <v>44972</v>
      </c>
      <c r="C6328" s="15" t="s">
        <v>56</v>
      </c>
      <c r="D6328" s="15" t="s">
        <v>42</v>
      </c>
      <c r="E6328" s="15" t="s">
        <v>37</v>
      </c>
      <c r="F6328" s="15" t="s">
        <v>16</v>
      </c>
      <c r="G6328" s="15" t="s">
        <v>27</v>
      </c>
      <c r="H6328" s="15" t="n">
        <v>2</v>
      </c>
      <c r="I6328" s="17" t="n">
        <v>0.1</v>
      </c>
      <c r="J6328" s="18" t="n">
        <v>113.87</v>
      </c>
      <c r="K6328" s="19" t="n">
        <v>15.79</v>
      </c>
      <c r="L6328" s="15" t="n">
        <f aca="false">YEAR(B6328)</f>
        <v>2023</v>
      </c>
      <c r="M6328" s="20" t="n">
        <f aca="false">IF(J6328&gt;0,K6328/J6328,0)</f>
        <v>0.138666900851849</v>
      </c>
    </row>
    <row r="6329" customFormat="false" ht="15" hidden="false" customHeight="false" outlineLevel="0" collapsed="false">
      <c r="A6329" s="15" t="s">
        <v>6386</v>
      </c>
      <c r="B6329" s="16" t="n">
        <v>44750</v>
      </c>
      <c r="C6329" s="15" t="s">
        <v>71</v>
      </c>
      <c r="D6329" s="15" t="s">
        <v>42</v>
      </c>
      <c r="E6329" s="15" t="s">
        <v>39</v>
      </c>
      <c r="F6329" s="15" t="s">
        <v>17</v>
      </c>
      <c r="G6329" s="15" t="s">
        <v>29</v>
      </c>
      <c r="H6329" s="15" t="n">
        <v>7</v>
      </c>
      <c r="I6329" s="17" t="n">
        <v>0</v>
      </c>
      <c r="J6329" s="18" t="n">
        <v>127.27</v>
      </c>
      <c r="K6329" s="19" t="n">
        <v>54.39</v>
      </c>
      <c r="L6329" s="15" t="n">
        <f aca="false">YEAR(B6329)</f>
        <v>2022</v>
      </c>
      <c r="M6329" s="20" t="n">
        <f aca="false">IF(J6329&gt;0,K6329/J6329,0)</f>
        <v>0.427359157696236</v>
      </c>
    </row>
    <row r="6330" customFormat="false" ht="15" hidden="false" customHeight="false" outlineLevel="0" collapsed="false">
      <c r="A6330" s="15" t="s">
        <v>6387</v>
      </c>
      <c r="B6330" s="16" t="n">
        <v>45537</v>
      </c>
      <c r="C6330" s="15" t="s">
        <v>58</v>
      </c>
      <c r="D6330" s="15" t="s">
        <v>42</v>
      </c>
      <c r="E6330" s="15" t="s">
        <v>36</v>
      </c>
      <c r="F6330" s="15" t="s">
        <v>17</v>
      </c>
      <c r="G6330" s="15" t="s">
        <v>28</v>
      </c>
      <c r="H6330" s="15" t="n">
        <v>4</v>
      </c>
      <c r="I6330" s="17" t="n">
        <v>0</v>
      </c>
      <c r="J6330" s="18" t="n">
        <v>76.28</v>
      </c>
      <c r="K6330" s="19" t="n">
        <v>22.89</v>
      </c>
      <c r="L6330" s="15" t="n">
        <f aca="false">YEAR(B6330)</f>
        <v>2024</v>
      </c>
      <c r="M6330" s="20" t="n">
        <f aca="false">IF(J6330&gt;0,K6330/J6330,0)</f>
        <v>0.300078657577347</v>
      </c>
    </row>
    <row r="6331" customFormat="false" ht="15" hidden="false" customHeight="false" outlineLevel="0" collapsed="false">
      <c r="A6331" s="15" t="s">
        <v>6388</v>
      </c>
      <c r="B6331" s="16" t="n">
        <v>45988</v>
      </c>
      <c r="C6331" s="15" t="s">
        <v>71</v>
      </c>
      <c r="D6331" s="15" t="s">
        <v>42</v>
      </c>
      <c r="E6331" s="15" t="s">
        <v>36</v>
      </c>
      <c r="F6331" s="15" t="s">
        <v>16</v>
      </c>
      <c r="G6331" s="15" t="s">
        <v>22</v>
      </c>
      <c r="H6331" s="15" t="n">
        <v>5</v>
      </c>
      <c r="I6331" s="17" t="n">
        <v>0.3</v>
      </c>
      <c r="J6331" s="18" t="n">
        <v>1541.44</v>
      </c>
      <c r="K6331" s="19" t="n">
        <v>-462.76</v>
      </c>
      <c r="L6331" s="15" t="n">
        <f aca="false">YEAR(B6331)</f>
        <v>2025</v>
      </c>
      <c r="M6331" s="20" t="n">
        <f aca="false">IF(J6331&gt;0,K6331/J6331,0)</f>
        <v>-0.30021278804235</v>
      </c>
    </row>
    <row r="6332" customFormat="false" ht="15" hidden="false" customHeight="false" outlineLevel="0" collapsed="false">
      <c r="A6332" s="15" t="s">
        <v>6389</v>
      </c>
      <c r="B6332" s="16" t="n">
        <v>45242</v>
      </c>
      <c r="C6332" s="15" t="s">
        <v>56</v>
      </c>
      <c r="D6332" s="15" t="s">
        <v>43</v>
      </c>
      <c r="E6332" s="15" t="s">
        <v>39</v>
      </c>
      <c r="F6332" s="15" t="s">
        <v>17</v>
      </c>
      <c r="G6332" s="15" t="s">
        <v>29</v>
      </c>
      <c r="H6332" s="15" t="n">
        <v>2</v>
      </c>
      <c r="I6332" s="17" t="n">
        <v>0.2</v>
      </c>
      <c r="J6332" s="18" t="n">
        <v>29.24</v>
      </c>
      <c r="K6332" s="19" t="n">
        <v>5.75</v>
      </c>
      <c r="L6332" s="15" t="n">
        <f aca="false">YEAR(B6332)</f>
        <v>2023</v>
      </c>
      <c r="M6332" s="20" t="n">
        <f aca="false">IF(J6332&gt;0,K6332/J6332,0)</f>
        <v>0.196648426812586</v>
      </c>
    </row>
    <row r="6333" customFormat="false" ht="15" hidden="false" customHeight="false" outlineLevel="0" collapsed="false">
      <c r="A6333" s="15" t="s">
        <v>6390</v>
      </c>
      <c r="B6333" s="16" t="n">
        <v>44700</v>
      </c>
      <c r="C6333" s="15" t="s">
        <v>71</v>
      </c>
      <c r="D6333" s="15" t="s">
        <v>43</v>
      </c>
      <c r="E6333" s="15" t="s">
        <v>39</v>
      </c>
      <c r="F6333" s="15" t="s">
        <v>18</v>
      </c>
      <c r="G6333" s="15" t="s">
        <v>32</v>
      </c>
      <c r="H6333" s="15" t="n">
        <v>5</v>
      </c>
      <c r="I6333" s="17" t="n">
        <v>0</v>
      </c>
      <c r="J6333" s="18" t="n">
        <v>1966.26</v>
      </c>
      <c r="K6333" s="19" t="n">
        <v>333.55</v>
      </c>
      <c r="L6333" s="15" t="n">
        <f aca="false">YEAR(B6333)</f>
        <v>2022</v>
      </c>
      <c r="M6333" s="20" t="n">
        <f aca="false">IF(J6333&gt;0,K6333/J6333,0)</f>
        <v>0.169636772349537</v>
      </c>
    </row>
    <row r="6334" customFormat="false" ht="15" hidden="false" customHeight="false" outlineLevel="0" collapsed="false">
      <c r="A6334" s="15" t="s">
        <v>6391</v>
      </c>
      <c r="B6334" s="16" t="n">
        <v>45071</v>
      </c>
      <c r="C6334" s="15" t="s">
        <v>56</v>
      </c>
      <c r="D6334" s="15" t="s">
        <v>43</v>
      </c>
      <c r="E6334" s="15" t="s">
        <v>36</v>
      </c>
      <c r="F6334" s="15" t="s">
        <v>17</v>
      </c>
      <c r="G6334" s="15" t="s">
        <v>28</v>
      </c>
      <c r="H6334" s="15" t="n">
        <v>3</v>
      </c>
      <c r="I6334" s="17" t="n">
        <v>0</v>
      </c>
      <c r="J6334" s="18" t="n">
        <v>74.25</v>
      </c>
      <c r="K6334" s="19" t="n">
        <v>19.03</v>
      </c>
      <c r="L6334" s="15" t="n">
        <f aca="false">YEAR(B6334)</f>
        <v>2023</v>
      </c>
      <c r="M6334" s="20" t="n">
        <f aca="false">IF(J6334&gt;0,K6334/J6334,0)</f>
        <v>0.256296296296296</v>
      </c>
    </row>
    <row r="6335" customFormat="false" ht="15" hidden="false" customHeight="false" outlineLevel="0" collapsed="false">
      <c r="A6335" s="15" t="s">
        <v>6392</v>
      </c>
      <c r="B6335" s="16" t="n">
        <v>45552</v>
      </c>
      <c r="C6335" s="15" t="s">
        <v>71</v>
      </c>
      <c r="D6335" s="15" t="s">
        <v>43</v>
      </c>
      <c r="E6335" s="15" t="s">
        <v>38</v>
      </c>
      <c r="F6335" s="15" t="s">
        <v>17</v>
      </c>
      <c r="G6335" s="15" t="s">
        <v>31</v>
      </c>
      <c r="H6335" s="15" t="n">
        <v>3</v>
      </c>
      <c r="I6335" s="17" t="n">
        <v>0.1</v>
      </c>
      <c r="J6335" s="18" t="n">
        <v>335.48</v>
      </c>
      <c r="K6335" s="19" t="n">
        <v>49.38</v>
      </c>
      <c r="L6335" s="15" t="n">
        <f aca="false">YEAR(B6335)</f>
        <v>2024</v>
      </c>
      <c r="M6335" s="20" t="n">
        <f aca="false">IF(J6335&gt;0,K6335/J6335,0)</f>
        <v>0.147192082985573</v>
      </c>
    </row>
    <row r="6336" customFormat="false" ht="15" hidden="false" customHeight="false" outlineLevel="0" collapsed="false">
      <c r="A6336" s="15" t="s">
        <v>6393</v>
      </c>
      <c r="B6336" s="16" t="n">
        <v>45530</v>
      </c>
      <c r="C6336" s="15" t="s">
        <v>68</v>
      </c>
      <c r="D6336" s="15" t="s">
        <v>42</v>
      </c>
      <c r="E6336" s="15" t="s">
        <v>39</v>
      </c>
      <c r="F6336" s="15" t="s">
        <v>18</v>
      </c>
      <c r="G6336" s="15" t="s">
        <v>24</v>
      </c>
      <c r="H6336" s="15" t="n">
        <v>6</v>
      </c>
      <c r="I6336" s="17" t="n">
        <v>0</v>
      </c>
      <c r="J6336" s="18" t="n">
        <v>4161.17</v>
      </c>
      <c r="K6336" s="19" t="n">
        <v>276</v>
      </c>
      <c r="L6336" s="15" t="n">
        <f aca="false">YEAR(B6336)</f>
        <v>2024</v>
      </c>
      <c r="M6336" s="20" t="n">
        <f aca="false">IF(J6336&gt;0,K6336/J6336,0)</f>
        <v>0.0663274992369934</v>
      </c>
    </row>
    <row r="6337" customFormat="false" ht="15" hidden="false" customHeight="false" outlineLevel="0" collapsed="false">
      <c r="A6337" s="15" t="s">
        <v>6394</v>
      </c>
      <c r="B6337" s="16" t="n">
        <v>45828</v>
      </c>
      <c r="C6337" s="15" t="s">
        <v>68</v>
      </c>
      <c r="D6337" s="15" t="s">
        <v>43</v>
      </c>
      <c r="E6337" s="15" t="s">
        <v>36</v>
      </c>
      <c r="F6337" s="15" t="s">
        <v>16</v>
      </c>
      <c r="G6337" s="15" t="s">
        <v>22</v>
      </c>
      <c r="H6337" s="15" t="n">
        <v>6</v>
      </c>
      <c r="I6337" s="17" t="n">
        <v>0</v>
      </c>
      <c r="J6337" s="18" t="n">
        <v>2805.64</v>
      </c>
      <c r="K6337" s="19" t="n">
        <v>-352.4</v>
      </c>
      <c r="L6337" s="15" t="n">
        <f aca="false">YEAR(B6337)</f>
        <v>2025</v>
      </c>
      <c r="M6337" s="20" t="n">
        <f aca="false">IF(J6337&gt;0,K6337/J6337,0)</f>
        <v>-0.125604140231819</v>
      </c>
    </row>
    <row r="6338" customFormat="false" ht="15" hidden="false" customHeight="false" outlineLevel="0" collapsed="false">
      <c r="A6338" s="15" t="s">
        <v>6395</v>
      </c>
      <c r="B6338" s="16" t="n">
        <v>45401</v>
      </c>
      <c r="C6338" s="15" t="s">
        <v>56</v>
      </c>
      <c r="D6338" s="15" t="s">
        <v>42</v>
      </c>
      <c r="E6338" s="15" t="s">
        <v>36</v>
      </c>
      <c r="F6338" s="15" t="s">
        <v>18</v>
      </c>
      <c r="G6338" s="15" t="s">
        <v>30</v>
      </c>
      <c r="H6338" s="15" t="n">
        <v>1</v>
      </c>
      <c r="I6338" s="17" t="n">
        <v>0.15</v>
      </c>
      <c r="J6338" s="18" t="n">
        <v>34.81</v>
      </c>
      <c r="K6338" s="19" t="n">
        <v>6.28</v>
      </c>
      <c r="L6338" s="15" t="n">
        <f aca="false">YEAR(B6338)</f>
        <v>2024</v>
      </c>
      <c r="M6338" s="20" t="n">
        <f aca="false">IF(J6338&gt;0,K6338/J6338,0)</f>
        <v>0.180407928756105</v>
      </c>
    </row>
    <row r="6339" customFormat="false" ht="15" hidden="false" customHeight="false" outlineLevel="0" collapsed="false">
      <c r="A6339" s="15" t="s">
        <v>6396</v>
      </c>
      <c r="B6339" s="16" t="n">
        <v>44905</v>
      </c>
      <c r="C6339" s="15" t="s">
        <v>56</v>
      </c>
      <c r="D6339" s="15" t="s">
        <v>43</v>
      </c>
      <c r="E6339" s="15" t="s">
        <v>36</v>
      </c>
      <c r="F6339" s="15" t="s">
        <v>17</v>
      </c>
      <c r="G6339" s="15" t="s">
        <v>31</v>
      </c>
      <c r="H6339" s="15" t="n">
        <v>4</v>
      </c>
      <c r="I6339" s="17" t="n">
        <v>0.2</v>
      </c>
      <c r="J6339" s="18" t="n">
        <v>462.58</v>
      </c>
      <c r="K6339" s="19" t="n">
        <v>-25.04</v>
      </c>
      <c r="L6339" s="15" t="n">
        <f aca="false">YEAR(B6339)</f>
        <v>2022</v>
      </c>
      <c r="M6339" s="20" t="n">
        <f aca="false">IF(J6339&gt;0,K6339/J6339,0)</f>
        <v>-0.0541311773098707</v>
      </c>
    </row>
    <row r="6340" customFormat="false" ht="15" hidden="false" customHeight="false" outlineLevel="0" collapsed="false">
      <c r="A6340" s="15" t="s">
        <v>6397</v>
      </c>
      <c r="B6340" s="16" t="n">
        <v>44657</v>
      </c>
      <c r="C6340" s="15" t="s">
        <v>56</v>
      </c>
      <c r="D6340" s="15" t="s">
        <v>43</v>
      </c>
      <c r="E6340" s="15" t="s">
        <v>37</v>
      </c>
      <c r="F6340" s="15" t="s">
        <v>16</v>
      </c>
      <c r="G6340" s="15" t="s">
        <v>25</v>
      </c>
      <c r="H6340" s="15" t="n">
        <v>3</v>
      </c>
      <c r="I6340" s="17" t="n">
        <v>0</v>
      </c>
      <c r="J6340" s="18" t="n">
        <v>924.8</v>
      </c>
      <c r="K6340" s="19" t="n">
        <v>126.81</v>
      </c>
      <c r="L6340" s="15" t="n">
        <f aca="false">YEAR(B6340)</f>
        <v>2022</v>
      </c>
      <c r="M6340" s="20" t="n">
        <f aca="false">IF(J6340&gt;0,K6340/J6340,0)</f>
        <v>0.137121539792388</v>
      </c>
    </row>
    <row r="6341" customFormat="false" ht="15" hidden="false" customHeight="false" outlineLevel="0" collapsed="false">
      <c r="A6341" s="15" t="s">
        <v>6398</v>
      </c>
      <c r="B6341" s="16" t="n">
        <v>45680</v>
      </c>
      <c r="C6341" s="15" t="s">
        <v>56</v>
      </c>
      <c r="D6341" s="15" t="s">
        <v>42</v>
      </c>
      <c r="E6341" s="15" t="s">
        <v>39</v>
      </c>
      <c r="F6341" s="15" t="s">
        <v>18</v>
      </c>
      <c r="G6341" s="15" t="s">
        <v>30</v>
      </c>
      <c r="H6341" s="15" t="n">
        <v>6</v>
      </c>
      <c r="I6341" s="17" t="n">
        <v>0.05</v>
      </c>
      <c r="J6341" s="18" t="n">
        <v>235.56</v>
      </c>
      <c r="K6341" s="19" t="n">
        <v>63.88</v>
      </c>
      <c r="L6341" s="15" t="n">
        <f aca="false">YEAR(B6341)</f>
        <v>2025</v>
      </c>
      <c r="M6341" s="20" t="n">
        <f aca="false">IF(J6341&gt;0,K6341/J6341,0)</f>
        <v>0.271183562574291</v>
      </c>
    </row>
    <row r="6342" customFormat="false" ht="15" hidden="false" customHeight="false" outlineLevel="0" collapsed="false">
      <c r="A6342" s="15" t="s">
        <v>6399</v>
      </c>
      <c r="B6342" s="16" t="n">
        <v>45661</v>
      </c>
      <c r="C6342" s="15" t="s">
        <v>71</v>
      </c>
      <c r="D6342" s="15" t="s">
        <v>44</v>
      </c>
      <c r="E6342" s="15" t="s">
        <v>39</v>
      </c>
      <c r="F6342" s="15" t="s">
        <v>16</v>
      </c>
      <c r="G6342" s="15" t="s">
        <v>25</v>
      </c>
      <c r="H6342" s="15" t="n">
        <v>2</v>
      </c>
      <c r="I6342" s="17" t="n">
        <v>0.1</v>
      </c>
      <c r="J6342" s="18" t="n">
        <v>625.64</v>
      </c>
      <c r="K6342" s="19" t="n">
        <v>29.93</v>
      </c>
      <c r="L6342" s="15" t="n">
        <f aca="false">YEAR(B6342)</f>
        <v>2025</v>
      </c>
      <c r="M6342" s="20" t="n">
        <f aca="false">IF(J6342&gt;0,K6342/J6342,0)</f>
        <v>0.0478390128508407</v>
      </c>
    </row>
    <row r="6343" customFormat="false" ht="15" hidden="false" customHeight="false" outlineLevel="0" collapsed="false">
      <c r="A6343" s="15" t="s">
        <v>6400</v>
      </c>
      <c r="B6343" s="16" t="n">
        <v>45361</v>
      </c>
      <c r="C6343" s="15" t="s">
        <v>71</v>
      </c>
      <c r="D6343" s="15" t="s">
        <v>44</v>
      </c>
      <c r="E6343" s="15" t="s">
        <v>38</v>
      </c>
      <c r="F6343" s="15" t="s">
        <v>16</v>
      </c>
      <c r="G6343" s="15" t="s">
        <v>25</v>
      </c>
      <c r="H6343" s="15" t="n">
        <v>4</v>
      </c>
      <c r="I6343" s="17" t="n">
        <v>0.1</v>
      </c>
      <c r="J6343" s="18" t="n">
        <v>907.85</v>
      </c>
      <c r="K6343" s="19" t="n">
        <v>53.23</v>
      </c>
      <c r="L6343" s="15" t="n">
        <f aca="false">YEAR(B6343)</f>
        <v>2024</v>
      </c>
      <c r="M6343" s="20" t="n">
        <f aca="false">IF(J6343&gt;0,K6343/J6343,0)</f>
        <v>0.0586330340915349</v>
      </c>
    </row>
    <row r="6344" customFormat="false" ht="15" hidden="false" customHeight="false" outlineLevel="0" collapsed="false">
      <c r="A6344" s="15" t="s">
        <v>6401</v>
      </c>
      <c r="B6344" s="16" t="n">
        <v>44606</v>
      </c>
      <c r="C6344" s="15" t="s">
        <v>68</v>
      </c>
      <c r="D6344" s="15" t="s">
        <v>43</v>
      </c>
      <c r="E6344" s="15" t="s">
        <v>38</v>
      </c>
      <c r="F6344" s="15" t="s">
        <v>16</v>
      </c>
      <c r="G6344" s="15" t="s">
        <v>27</v>
      </c>
      <c r="H6344" s="15" t="n">
        <v>10</v>
      </c>
      <c r="I6344" s="17" t="n">
        <v>0.2</v>
      </c>
      <c r="J6344" s="18" t="n">
        <v>510.69</v>
      </c>
      <c r="K6344" s="19" t="n">
        <v>27</v>
      </c>
      <c r="L6344" s="15" t="n">
        <f aca="false">YEAR(B6344)</f>
        <v>2022</v>
      </c>
      <c r="M6344" s="20" t="n">
        <f aca="false">IF(J6344&gt;0,K6344/J6344,0)</f>
        <v>0.0528696469482465</v>
      </c>
    </row>
    <row r="6345" customFormat="false" ht="15" hidden="false" customHeight="false" outlineLevel="0" collapsed="false">
      <c r="A6345" s="15" t="s">
        <v>6402</v>
      </c>
      <c r="B6345" s="16" t="n">
        <v>44904</v>
      </c>
      <c r="C6345" s="15" t="s">
        <v>71</v>
      </c>
      <c r="D6345" s="15" t="s">
        <v>42</v>
      </c>
      <c r="E6345" s="15" t="s">
        <v>36</v>
      </c>
      <c r="F6345" s="15" t="s">
        <v>18</v>
      </c>
      <c r="G6345" s="15" t="s">
        <v>30</v>
      </c>
      <c r="H6345" s="15" t="n">
        <v>4</v>
      </c>
      <c r="I6345" s="17" t="n">
        <v>0.15</v>
      </c>
      <c r="J6345" s="18" t="n">
        <v>141.57</v>
      </c>
      <c r="K6345" s="19" t="n">
        <v>21.44</v>
      </c>
      <c r="L6345" s="15" t="n">
        <f aca="false">YEAR(B6345)</f>
        <v>2022</v>
      </c>
      <c r="M6345" s="20" t="n">
        <f aca="false">IF(J6345&gt;0,K6345/J6345,0)</f>
        <v>0.151444515080879</v>
      </c>
    </row>
    <row r="6346" customFormat="false" ht="15" hidden="false" customHeight="false" outlineLevel="0" collapsed="false">
      <c r="A6346" s="15" t="s">
        <v>6403</v>
      </c>
      <c r="B6346" s="16" t="n">
        <v>45170</v>
      </c>
      <c r="C6346" s="15" t="s">
        <v>56</v>
      </c>
      <c r="D6346" s="15" t="s">
        <v>42</v>
      </c>
      <c r="E6346" s="15" t="s">
        <v>38</v>
      </c>
      <c r="F6346" s="15" t="s">
        <v>18</v>
      </c>
      <c r="G6346" s="15" t="s">
        <v>30</v>
      </c>
      <c r="H6346" s="15" t="n">
        <v>4</v>
      </c>
      <c r="I6346" s="17" t="n">
        <v>0.2</v>
      </c>
      <c r="J6346" s="18" t="n">
        <v>131.25</v>
      </c>
      <c r="K6346" s="19" t="n">
        <v>13.63</v>
      </c>
      <c r="L6346" s="15" t="n">
        <f aca="false">YEAR(B6346)</f>
        <v>2023</v>
      </c>
      <c r="M6346" s="20" t="n">
        <f aca="false">IF(J6346&gt;0,K6346/J6346,0)</f>
        <v>0.103847619047619</v>
      </c>
    </row>
    <row r="6347" customFormat="false" ht="15" hidden="false" customHeight="false" outlineLevel="0" collapsed="false">
      <c r="A6347" s="15" t="s">
        <v>6404</v>
      </c>
      <c r="B6347" s="16" t="n">
        <v>45886</v>
      </c>
      <c r="C6347" s="15" t="s">
        <v>56</v>
      </c>
      <c r="D6347" s="15" t="s">
        <v>43</v>
      </c>
      <c r="E6347" s="15" t="s">
        <v>36</v>
      </c>
      <c r="F6347" s="15" t="s">
        <v>17</v>
      </c>
      <c r="G6347" s="15" t="s">
        <v>28</v>
      </c>
      <c r="H6347" s="15" t="n">
        <v>1</v>
      </c>
      <c r="I6347" s="17" t="n">
        <v>0.2</v>
      </c>
      <c r="J6347" s="18" t="n">
        <v>17.33</v>
      </c>
      <c r="K6347" s="19" t="n">
        <v>2.92</v>
      </c>
      <c r="L6347" s="15" t="n">
        <f aca="false">YEAR(B6347)</f>
        <v>2025</v>
      </c>
      <c r="M6347" s="20" t="n">
        <f aca="false">IF(J6347&gt;0,K6347/J6347,0)</f>
        <v>0.168493941142527</v>
      </c>
    </row>
    <row r="6348" customFormat="false" ht="15" hidden="false" customHeight="false" outlineLevel="0" collapsed="false">
      <c r="A6348" s="15" t="s">
        <v>6405</v>
      </c>
      <c r="B6348" s="16" t="n">
        <v>44665</v>
      </c>
      <c r="C6348" s="15" t="s">
        <v>56</v>
      </c>
      <c r="D6348" s="15" t="s">
        <v>42</v>
      </c>
      <c r="E6348" s="15" t="s">
        <v>37</v>
      </c>
      <c r="F6348" s="15" t="s">
        <v>18</v>
      </c>
      <c r="G6348" s="15" t="s">
        <v>30</v>
      </c>
      <c r="H6348" s="15" t="n">
        <v>4</v>
      </c>
      <c r="I6348" s="17" t="n">
        <v>0.05</v>
      </c>
      <c r="J6348" s="18" t="n">
        <v>160.85</v>
      </c>
      <c r="K6348" s="19" t="n">
        <v>38.56</v>
      </c>
      <c r="L6348" s="15" t="n">
        <f aca="false">YEAR(B6348)</f>
        <v>2022</v>
      </c>
      <c r="M6348" s="20" t="n">
        <f aca="false">IF(J6348&gt;0,K6348/J6348,0)</f>
        <v>0.239726453217283</v>
      </c>
    </row>
    <row r="6349" customFormat="false" ht="15" hidden="false" customHeight="false" outlineLevel="0" collapsed="false">
      <c r="A6349" s="15" t="s">
        <v>6406</v>
      </c>
      <c r="B6349" s="16" t="n">
        <v>45990</v>
      </c>
      <c r="C6349" s="15" t="s">
        <v>56</v>
      </c>
      <c r="D6349" s="15" t="s">
        <v>43</v>
      </c>
      <c r="E6349" s="15" t="s">
        <v>39</v>
      </c>
      <c r="F6349" s="15" t="s">
        <v>18</v>
      </c>
      <c r="G6349" s="15" t="s">
        <v>30</v>
      </c>
      <c r="H6349" s="15" t="n">
        <v>1</v>
      </c>
      <c r="I6349" s="17" t="n">
        <v>0</v>
      </c>
      <c r="J6349" s="18" t="n">
        <v>58.66</v>
      </c>
      <c r="K6349" s="19" t="n">
        <v>20.14</v>
      </c>
      <c r="L6349" s="15" t="n">
        <f aca="false">YEAR(B6349)</f>
        <v>2025</v>
      </c>
      <c r="M6349" s="20" t="n">
        <f aca="false">IF(J6349&gt;0,K6349/J6349,0)</f>
        <v>0.343334469826117</v>
      </c>
    </row>
    <row r="6350" customFormat="false" ht="15" hidden="false" customHeight="false" outlineLevel="0" collapsed="false">
      <c r="A6350" s="15" t="s">
        <v>6407</v>
      </c>
      <c r="B6350" s="16" t="n">
        <v>45228</v>
      </c>
      <c r="C6350" s="15" t="s">
        <v>56</v>
      </c>
      <c r="D6350" s="15" t="s">
        <v>44</v>
      </c>
      <c r="E6350" s="15" t="s">
        <v>36</v>
      </c>
      <c r="F6350" s="15" t="s">
        <v>18</v>
      </c>
      <c r="G6350" s="15" t="s">
        <v>24</v>
      </c>
      <c r="H6350" s="15" t="n">
        <v>3</v>
      </c>
      <c r="I6350" s="17" t="n">
        <v>0.5</v>
      </c>
      <c r="J6350" s="18" t="n">
        <v>932.46</v>
      </c>
      <c r="K6350" s="19" t="n">
        <v>-354.99</v>
      </c>
      <c r="L6350" s="15" t="n">
        <f aca="false">YEAR(B6350)</f>
        <v>2023</v>
      </c>
      <c r="M6350" s="20" t="n">
        <f aca="false">IF(J6350&gt;0,K6350/J6350,0)</f>
        <v>-0.380702657486648</v>
      </c>
    </row>
    <row r="6351" customFormat="false" ht="15" hidden="false" customHeight="false" outlineLevel="0" collapsed="false">
      <c r="A6351" s="15" t="s">
        <v>6408</v>
      </c>
      <c r="B6351" s="16" t="n">
        <v>45636</v>
      </c>
      <c r="C6351" s="15" t="s">
        <v>56</v>
      </c>
      <c r="D6351" s="15" t="s">
        <v>42</v>
      </c>
      <c r="E6351" s="15" t="s">
        <v>38</v>
      </c>
      <c r="F6351" s="15" t="s">
        <v>18</v>
      </c>
      <c r="G6351" s="15" t="s">
        <v>32</v>
      </c>
      <c r="H6351" s="15" t="n">
        <v>4</v>
      </c>
      <c r="I6351" s="17" t="n">
        <v>0</v>
      </c>
      <c r="J6351" s="18" t="n">
        <v>1419.77</v>
      </c>
      <c r="K6351" s="19" t="n">
        <v>155.62</v>
      </c>
      <c r="L6351" s="15" t="n">
        <f aca="false">YEAR(B6351)</f>
        <v>2024</v>
      </c>
      <c r="M6351" s="20" t="n">
        <f aca="false">IF(J6351&gt;0,K6351/J6351,0)</f>
        <v>0.109609302915261</v>
      </c>
    </row>
    <row r="6352" customFormat="false" ht="15" hidden="false" customHeight="false" outlineLevel="0" collapsed="false">
      <c r="A6352" s="15" t="s">
        <v>6409</v>
      </c>
      <c r="B6352" s="16" t="n">
        <v>45330</v>
      </c>
      <c r="C6352" s="15" t="s">
        <v>58</v>
      </c>
      <c r="D6352" s="15" t="s">
        <v>43</v>
      </c>
      <c r="E6352" s="15" t="s">
        <v>36</v>
      </c>
      <c r="F6352" s="15" t="s">
        <v>18</v>
      </c>
      <c r="G6352" s="15" t="s">
        <v>30</v>
      </c>
      <c r="H6352" s="15" t="n">
        <v>2</v>
      </c>
      <c r="I6352" s="17" t="n">
        <v>0.3</v>
      </c>
      <c r="J6352" s="18" t="n">
        <v>54.22</v>
      </c>
      <c r="K6352" s="19" t="n">
        <v>3.23</v>
      </c>
      <c r="L6352" s="15" t="n">
        <f aca="false">YEAR(B6352)</f>
        <v>2024</v>
      </c>
      <c r="M6352" s="20" t="n">
        <f aca="false">IF(J6352&gt;0,K6352/J6352,0)</f>
        <v>0.0595721136112136</v>
      </c>
    </row>
    <row r="6353" customFormat="false" ht="15" hidden="false" customHeight="false" outlineLevel="0" collapsed="false">
      <c r="A6353" s="15" t="s">
        <v>6410</v>
      </c>
      <c r="B6353" s="16" t="n">
        <v>45243</v>
      </c>
      <c r="C6353" s="15" t="s">
        <v>56</v>
      </c>
      <c r="D6353" s="15" t="s">
        <v>43</v>
      </c>
      <c r="E6353" s="15" t="s">
        <v>37</v>
      </c>
      <c r="F6353" s="15" t="s">
        <v>16</v>
      </c>
      <c r="G6353" s="15" t="s">
        <v>27</v>
      </c>
      <c r="H6353" s="15" t="n">
        <v>2</v>
      </c>
      <c r="I6353" s="17" t="n">
        <v>0.5</v>
      </c>
      <c r="J6353" s="18" t="n">
        <v>69.31</v>
      </c>
      <c r="K6353" s="19" t="n">
        <v>-13.84</v>
      </c>
      <c r="L6353" s="15" t="n">
        <f aca="false">YEAR(B6353)</f>
        <v>2023</v>
      </c>
      <c r="M6353" s="20" t="n">
        <f aca="false">IF(J6353&gt;0,K6353/J6353,0)</f>
        <v>-0.1996825854855</v>
      </c>
    </row>
    <row r="6354" customFormat="false" ht="15" hidden="false" customHeight="false" outlineLevel="0" collapsed="false">
      <c r="A6354" s="15" t="s">
        <v>6411</v>
      </c>
      <c r="B6354" s="16" t="n">
        <v>45198</v>
      </c>
      <c r="C6354" s="15" t="s">
        <v>56</v>
      </c>
      <c r="D6354" s="15" t="s">
        <v>44</v>
      </c>
      <c r="E6354" s="15" t="s">
        <v>38</v>
      </c>
      <c r="F6354" s="15" t="s">
        <v>18</v>
      </c>
      <c r="G6354" s="15" t="s">
        <v>30</v>
      </c>
      <c r="H6354" s="15" t="n">
        <v>2</v>
      </c>
      <c r="I6354" s="17" t="n">
        <v>0.05</v>
      </c>
      <c r="J6354" s="18" t="n">
        <v>64.05</v>
      </c>
      <c r="K6354" s="19" t="n">
        <v>17.3</v>
      </c>
      <c r="L6354" s="15" t="n">
        <f aca="false">YEAR(B6354)</f>
        <v>2023</v>
      </c>
      <c r="M6354" s="20" t="n">
        <f aca="false">IF(J6354&gt;0,K6354/J6354,0)</f>
        <v>0.270101483216237</v>
      </c>
    </row>
    <row r="6355" customFormat="false" ht="15" hidden="false" customHeight="false" outlineLevel="0" collapsed="false">
      <c r="A6355" s="15" t="s">
        <v>6412</v>
      </c>
      <c r="B6355" s="16" t="n">
        <v>45468</v>
      </c>
      <c r="C6355" s="15" t="s">
        <v>71</v>
      </c>
      <c r="D6355" s="15" t="s">
        <v>42</v>
      </c>
      <c r="E6355" s="15" t="s">
        <v>39</v>
      </c>
      <c r="F6355" s="15" t="s">
        <v>17</v>
      </c>
      <c r="G6355" s="15" t="s">
        <v>29</v>
      </c>
      <c r="H6355" s="15" t="n">
        <v>2</v>
      </c>
      <c r="I6355" s="17" t="n">
        <v>0.2</v>
      </c>
      <c r="J6355" s="18" t="n">
        <v>34.51</v>
      </c>
      <c r="K6355" s="19" t="n">
        <v>5.48</v>
      </c>
      <c r="L6355" s="15" t="n">
        <f aca="false">YEAR(B6355)</f>
        <v>2024</v>
      </c>
      <c r="M6355" s="20" t="n">
        <f aca="false">IF(J6355&gt;0,K6355/J6355,0)</f>
        <v>0.15879455230368</v>
      </c>
    </row>
    <row r="6356" customFormat="false" ht="15" hidden="false" customHeight="false" outlineLevel="0" collapsed="false">
      <c r="A6356" s="15" t="s">
        <v>6413</v>
      </c>
      <c r="B6356" s="16" t="n">
        <v>44806</v>
      </c>
      <c r="C6356" s="15" t="s">
        <v>58</v>
      </c>
      <c r="D6356" s="15" t="s">
        <v>42</v>
      </c>
      <c r="E6356" s="15" t="s">
        <v>36</v>
      </c>
      <c r="F6356" s="15" t="s">
        <v>17</v>
      </c>
      <c r="G6356" s="15" t="s">
        <v>29</v>
      </c>
      <c r="H6356" s="15" t="n">
        <v>2</v>
      </c>
      <c r="I6356" s="17" t="n">
        <v>0.05</v>
      </c>
      <c r="J6356" s="18" t="n">
        <v>33.25</v>
      </c>
      <c r="K6356" s="19" t="n">
        <v>13.86</v>
      </c>
      <c r="L6356" s="15" t="n">
        <f aca="false">YEAR(B6356)</f>
        <v>2022</v>
      </c>
      <c r="M6356" s="20" t="n">
        <f aca="false">IF(J6356&gt;0,K6356/J6356,0)</f>
        <v>0.416842105263158</v>
      </c>
    </row>
    <row r="6357" customFormat="false" ht="15" hidden="false" customHeight="false" outlineLevel="0" collapsed="false">
      <c r="A6357" s="15" t="s">
        <v>6414</v>
      </c>
      <c r="B6357" s="16" t="n">
        <v>45980</v>
      </c>
      <c r="C6357" s="15" t="s">
        <v>56</v>
      </c>
      <c r="D6357" s="15" t="s">
        <v>43</v>
      </c>
      <c r="E6357" s="15" t="s">
        <v>39</v>
      </c>
      <c r="F6357" s="15" t="s">
        <v>17</v>
      </c>
      <c r="G6357" s="15" t="s">
        <v>26</v>
      </c>
      <c r="H6357" s="15" t="n">
        <v>5</v>
      </c>
      <c r="I6357" s="17" t="n">
        <v>0</v>
      </c>
      <c r="J6357" s="18" t="n">
        <v>538.19</v>
      </c>
      <c r="K6357" s="19" t="n">
        <v>61.99</v>
      </c>
      <c r="L6357" s="15" t="n">
        <f aca="false">YEAR(B6357)</f>
        <v>2025</v>
      </c>
      <c r="M6357" s="20" t="n">
        <f aca="false">IF(J6357&gt;0,K6357/J6357,0)</f>
        <v>0.115182370538286</v>
      </c>
    </row>
    <row r="6358" customFormat="false" ht="15" hidden="false" customHeight="false" outlineLevel="0" collapsed="false">
      <c r="A6358" s="15" t="s">
        <v>6415</v>
      </c>
      <c r="B6358" s="16" t="n">
        <v>45910</v>
      </c>
      <c r="C6358" s="15" t="s">
        <v>56</v>
      </c>
      <c r="D6358" s="15" t="s">
        <v>42</v>
      </c>
      <c r="E6358" s="15" t="s">
        <v>38</v>
      </c>
      <c r="F6358" s="15" t="s">
        <v>17</v>
      </c>
      <c r="G6358" s="15" t="s">
        <v>26</v>
      </c>
      <c r="H6358" s="15" t="n">
        <v>6</v>
      </c>
      <c r="I6358" s="17" t="n">
        <v>0.15</v>
      </c>
      <c r="J6358" s="18" t="n">
        <v>353.41</v>
      </c>
      <c r="K6358" s="19" t="n">
        <v>-21.16</v>
      </c>
      <c r="L6358" s="15" t="n">
        <f aca="false">YEAR(B6358)</f>
        <v>2025</v>
      </c>
      <c r="M6358" s="20" t="n">
        <f aca="false">IF(J6358&gt;0,K6358/J6358,0)</f>
        <v>-0.0598738009677145</v>
      </c>
    </row>
    <row r="6359" customFormat="false" ht="15" hidden="false" customHeight="false" outlineLevel="0" collapsed="false">
      <c r="A6359" s="15" t="s">
        <v>6416</v>
      </c>
      <c r="B6359" s="16" t="n">
        <v>46011</v>
      </c>
      <c r="C6359" s="15" t="s">
        <v>58</v>
      </c>
      <c r="D6359" s="15" t="s">
        <v>43</v>
      </c>
      <c r="E6359" s="15" t="s">
        <v>37</v>
      </c>
      <c r="F6359" s="15" t="s">
        <v>17</v>
      </c>
      <c r="G6359" s="15" t="s">
        <v>26</v>
      </c>
      <c r="H6359" s="15" t="n">
        <v>3</v>
      </c>
      <c r="I6359" s="17" t="n">
        <v>0</v>
      </c>
      <c r="J6359" s="18" t="n">
        <v>291.06</v>
      </c>
      <c r="K6359" s="19" t="n">
        <v>36.09</v>
      </c>
      <c r="L6359" s="15" t="n">
        <f aca="false">YEAR(B6359)</f>
        <v>2025</v>
      </c>
      <c r="M6359" s="20" t="n">
        <f aca="false">IF(J6359&gt;0,K6359/J6359,0)</f>
        <v>0.123995052566481</v>
      </c>
    </row>
    <row r="6360" customFormat="false" ht="15" hidden="false" customHeight="false" outlineLevel="0" collapsed="false">
      <c r="A6360" s="15" t="s">
        <v>6417</v>
      </c>
      <c r="B6360" s="16" t="n">
        <v>44768</v>
      </c>
      <c r="C6360" s="15" t="s">
        <v>56</v>
      </c>
      <c r="D6360" s="15" t="s">
        <v>42</v>
      </c>
      <c r="E6360" s="15" t="s">
        <v>37</v>
      </c>
      <c r="F6360" s="15" t="s">
        <v>18</v>
      </c>
      <c r="G6360" s="15" t="s">
        <v>30</v>
      </c>
      <c r="H6360" s="15" t="n">
        <v>7</v>
      </c>
      <c r="I6360" s="17" t="n">
        <v>0.1</v>
      </c>
      <c r="J6360" s="18" t="n">
        <v>294</v>
      </c>
      <c r="K6360" s="19" t="n">
        <v>71.01</v>
      </c>
      <c r="L6360" s="15" t="n">
        <f aca="false">YEAR(B6360)</f>
        <v>2022</v>
      </c>
      <c r="M6360" s="20" t="n">
        <f aca="false">IF(J6360&gt;0,K6360/J6360,0)</f>
        <v>0.241530612244898</v>
      </c>
    </row>
    <row r="6361" customFormat="false" ht="15" hidden="false" customHeight="false" outlineLevel="0" collapsed="false">
      <c r="A6361" s="15" t="s">
        <v>6418</v>
      </c>
      <c r="B6361" s="16" t="n">
        <v>45284</v>
      </c>
      <c r="C6361" s="15" t="s">
        <v>68</v>
      </c>
      <c r="D6361" s="15" t="s">
        <v>43</v>
      </c>
      <c r="E6361" s="15" t="s">
        <v>37</v>
      </c>
      <c r="F6361" s="15" t="s">
        <v>17</v>
      </c>
      <c r="G6361" s="15" t="s">
        <v>29</v>
      </c>
      <c r="H6361" s="15" t="n">
        <v>4</v>
      </c>
      <c r="I6361" s="17" t="n">
        <v>0</v>
      </c>
      <c r="J6361" s="18" t="n">
        <v>80.56</v>
      </c>
      <c r="K6361" s="19" t="n">
        <v>31.68</v>
      </c>
      <c r="L6361" s="15" t="n">
        <f aca="false">YEAR(B6361)</f>
        <v>2023</v>
      </c>
      <c r="M6361" s="20" t="n">
        <f aca="false">IF(J6361&gt;0,K6361/J6361,0)</f>
        <v>0.393247269116187</v>
      </c>
    </row>
    <row r="6362" customFormat="false" ht="15" hidden="false" customHeight="false" outlineLevel="0" collapsed="false">
      <c r="A6362" s="15" t="s">
        <v>6419</v>
      </c>
      <c r="B6362" s="16" t="n">
        <v>44580</v>
      </c>
      <c r="C6362" s="15" t="s">
        <v>56</v>
      </c>
      <c r="D6362" s="15" t="s">
        <v>43</v>
      </c>
      <c r="E6362" s="15" t="s">
        <v>39</v>
      </c>
      <c r="F6362" s="15" t="s">
        <v>18</v>
      </c>
      <c r="G6362" s="15" t="s">
        <v>32</v>
      </c>
      <c r="H6362" s="15" t="n">
        <v>3</v>
      </c>
      <c r="I6362" s="17" t="n">
        <v>0.3</v>
      </c>
      <c r="J6362" s="18" t="n">
        <v>896.41</v>
      </c>
      <c r="K6362" s="19" t="n">
        <v>-107.4</v>
      </c>
      <c r="L6362" s="15" t="n">
        <f aca="false">YEAR(B6362)</f>
        <v>2022</v>
      </c>
      <c r="M6362" s="20" t="n">
        <f aca="false">IF(J6362&gt;0,K6362/J6362,0)</f>
        <v>-0.119811247085597</v>
      </c>
    </row>
    <row r="6363" customFormat="false" ht="15" hidden="false" customHeight="false" outlineLevel="0" collapsed="false">
      <c r="A6363" s="15" t="s">
        <v>6420</v>
      </c>
      <c r="B6363" s="16" t="n">
        <v>45016</v>
      </c>
      <c r="C6363" s="15" t="s">
        <v>68</v>
      </c>
      <c r="D6363" s="15" t="s">
        <v>42</v>
      </c>
      <c r="E6363" s="15" t="s">
        <v>37</v>
      </c>
      <c r="F6363" s="15" t="s">
        <v>17</v>
      </c>
      <c r="G6363" s="15" t="s">
        <v>28</v>
      </c>
      <c r="H6363" s="15" t="n">
        <v>9</v>
      </c>
      <c r="I6363" s="17" t="n">
        <v>0.05</v>
      </c>
      <c r="J6363" s="18" t="n">
        <v>234.99</v>
      </c>
      <c r="K6363" s="19" t="n">
        <v>70.69</v>
      </c>
      <c r="L6363" s="15" t="n">
        <f aca="false">YEAR(B6363)</f>
        <v>2023</v>
      </c>
      <c r="M6363" s="20" t="n">
        <f aca="false">IF(J6363&gt;0,K6363/J6363,0)</f>
        <v>0.300821311545172</v>
      </c>
    </row>
    <row r="6364" customFormat="false" ht="15" hidden="false" customHeight="false" outlineLevel="0" collapsed="false">
      <c r="A6364" s="15" t="s">
        <v>6421</v>
      </c>
      <c r="B6364" s="16" t="n">
        <v>45853</v>
      </c>
      <c r="C6364" s="15" t="s">
        <v>56</v>
      </c>
      <c r="D6364" s="15" t="s">
        <v>42</v>
      </c>
      <c r="E6364" s="15" t="s">
        <v>38</v>
      </c>
      <c r="F6364" s="15" t="s">
        <v>18</v>
      </c>
      <c r="G6364" s="15" t="s">
        <v>30</v>
      </c>
      <c r="H6364" s="15" t="n">
        <v>3</v>
      </c>
      <c r="I6364" s="17" t="n">
        <v>0.15</v>
      </c>
      <c r="J6364" s="18" t="n">
        <v>102.87</v>
      </c>
      <c r="K6364" s="19" t="n">
        <v>22.15</v>
      </c>
      <c r="L6364" s="15" t="n">
        <f aca="false">YEAR(B6364)</f>
        <v>2025</v>
      </c>
      <c r="M6364" s="20" t="n">
        <f aca="false">IF(J6364&gt;0,K6364/J6364,0)</f>
        <v>0.215320307183824</v>
      </c>
    </row>
    <row r="6365" customFormat="false" ht="15" hidden="false" customHeight="false" outlineLevel="0" collapsed="false">
      <c r="A6365" s="15" t="s">
        <v>6422</v>
      </c>
      <c r="B6365" s="16" t="n">
        <v>46022</v>
      </c>
      <c r="C6365" s="15" t="s">
        <v>56</v>
      </c>
      <c r="D6365" s="15" t="s">
        <v>44</v>
      </c>
      <c r="E6365" s="15" t="s">
        <v>39</v>
      </c>
      <c r="F6365" s="15" t="s">
        <v>17</v>
      </c>
      <c r="G6365" s="15" t="s">
        <v>26</v>
      </c>
      <c r="H6365" s="15" t="n">
        <v>5</v>
      </c>
      <c r="I6365" s="17" t="n">
        <v>0.1</v>
      </c>
      <c r="J6365" s="18" t="n">
        <v>408.69</v>
      </c>
      <c r="K6365" s="19" t="n">
        <v>-6.01</v>
      </c>
      <c r="L6365" s="15" t="n">
        <f aca="false">YEAR(B6365)</f>
        <v>2025</v>
      </c>
      <c r="M6365" s="20" t="n">
        <f aca="false">IF(J6365&gt;0,K6365/J6365,0)</f>
        <v>-0.0147055225231838</v>
      </c>
    </row>
    <row r="6366" customFormat="false" ht="15" hidden="false" customHeight="false" outlineLevel="0" collapsed="false">
      <c r="A6366" s="15" t="s">
        <v>6423</v>
      </c>
      <c r="B6366" s="16" t="n">
        <v>45989</v>
      </c>
      <c r="C6366" s="15" t="s">
        <v>71</v>
      </c>
      <c r="D6366" s="15" t="s">
        <v>44</v>
      </c>
      <c r="E6366" s="15" t="s">
        <v>37</v>
      </c>
      <c r="F6366" s="15" t="s">
        <v>18</v>
      </c>
      <c r="G6366" s="15" t="s">
        <v>32</v>
      </c>
      <c r="H6366" s="15" t="n">
        <v>3</v>
      </c>
      <c r="I6366" s="17" t="n">
        <v>0</v>
      </c>
      <c r="J6366" s="18" t="n">
        <v>1660.74</v>
      </c>
      <c r="K6366" s="19" t="n">
        <v>265.8</v>
      </c>
      <c r="L6366" s="15" t="n">
        <f aca="false">YEAR(B6366)</f>
        <v>2025</v>
      </c>
      <c r="M6366" s="20" t="n">
        <f aca="false">IF(J6366&gt;0,K6366/J6366,0)</f>
        <v>0.160049134723075</v>
      </c>
    </row>
    <row r="6367" customFormat="false" ht="15" hidden="false" customHeight="false" outlineLevel="0" collapsed="false">
      <c r="A6367" s="15" t="s">
        <v>6424</v>
      </c>
      <c r="B6367" s="16" t="n">
        <v>45864</v>
      </c>
      <c r="C6367" s="15" t="s">
        <v>56</v>
      </c>
      <c r="D6367" s="15" t="s">
        <v>42</v>
      </c>
      <c r="E6367" s="15" t="s">
        <v>37</v>
      </c>
      <c r="F6367" s="15" t="s">
        <v>16</v>
      </c>
      <c r="G6367" s="15" t="s">
        <v>27</v>
      </c>
      <c r="H6367" s="15" t="n">
        <v>1</v>
      </c>
      <c r="I6367" s="17" t="n">
        <v>0</v>
      </c>
      <c r="J6367" s="18" t="n">
        <v>69.13</v>
      </c>
      <c r="K6367" s="19" t="n">
        <v>14.79</v>
      </c>
      <c r="L6367" s="15" t="n">
        <f aca="false">YEAR(B6367)</f>
        <v>2025</v>
      </c>
      <c r="M6367" s="20" t="n">
        <f aca="false">IF(J6367&gt;0,K6367/J6367,0)</f>
        <v>0.213944741790829</v>
      </c>
    </row>
    <row r="6368" customFormat="false" ht="15" hidden="false" customHeight="false" outlineLevel="0" collapsed="false">
      <c r="A6368" s="15" t="s">
        <v>6425</v>
      </c>
      <c r="B6368" s="16" t="n">
        <v>45984</v>
      </c>
      <c r="C6368" s="15" t="s">
        <v>56</v>
      </c>
      <c r="D6368" s="15" t="s">
        <v>43</v>
      </c>
      <c r="E6368" s="15" t="s">
        <v>36</v>
      </c>
      <c r="F6368" s="15" t="s">
        <v>17</v>
      </c>
      <c r="G6368" s="15" t="s">
        <v>28</v>
      </c>
      <c r="H6368" s="15" t="n">
        <v>5</v>
      </c>
      <c r="I6368" s="17" t="n">
        <v>0</v>
      </c>
      <c r="J6368" s="18" t="n">
        <v>114.12</v>
      </c>
      <c r="K6368" s="19" t="n">
        <v>29.36</v>
      </c>
      <c r="L6368" s="15" t="n">
        <f aca="false">YEAR(B6368)</f>
        <v>2025</v>
      </c>
      <c r="M6368" s="20" t="n">
        <f aca="false">IF(J6368&gt;0,K6368/J6368,0)</f>
        <v>0.257273045916579</v>
      </c>
    </row>
    <row r="6369" customFormat="false" ht="15" hidden="false" customHeight="false" outlineLevel="0" collapsed="false">
      <c r="A6369" s="15" t="s">
        <v>6426</v>
      </c>
      <c r="B6369" s="16" t="n">
        <v>44754</v>
      </c>
      <c r="C6369" s="15" t="s">
        <v>68</v>
      </c>
      <c r="D6369" s="15" t="s">
        <v>42</v>
      </c>
      <c r="E6369" s="15" t="s">
        <v>38</v>
      </c>
      <c r="F6369" s="15" t="s">
        <v>18</v>
      </c>
      <c r="G6369" s="15" t="s">
        <v>33</v>
      </c>
      <c r="H6369" s="15" t="n">
        <v>4</v>
      </c>
      <c r="I6369" s="17" t="n">
        <v>0.05</v>
      </c>
      <c r="J6369" s="18" t="n">
        <v>3013.54</v>
      </c>
      <c r="K6369" s="19" t="n">
        <v>747.82</v>
      </c>
      <c r="L6369" s="15" t="n">
        <f aca="false">YEAR(B6369)</f>
        <v>2022</v>
      </c>
      <c r="M6369" s="20" t="n">
        <f aca="false">IF(J6369&gt;0,K6369/J6369,0)</f>
        <v>0.248153334616431</v>
      </c>
    </row>
    <row r="6370" customFormat="false" ht="15" hidden="false" customHeight="false" outlineLevel="0" collapsed="false">
      <c r="A6370" s="15" t="s">
        <v>6427</v>
      </c>
      <c r="B6370" s="16" t="n">
        <v>45022</v>
      </c>
      <c r="C6370" s="15" t="s">
        <v>56</v>
      </c>
      <c r="D6370" s="15" t="s">
        <v>42</v>
      </c>
      <c r="E6370" s="15" t="s">
        <v>38</v>
      </c>
      <c r="F6370" s="15" t="s">
        <v>16</v>
      </c>
      <c r="G6370" s="15" t="s">
        <v>22</v>
      </c>
      <c r="H6370" s="15" t="n">
        <v>5</v>
      </c>
      <c r="I6370" s="17" t="n">
        <v>0.05</v>
      </c>
      <c r="J6370" s="18" t="n">
        <v>2397.74</v>
      </c>
      <c r="K6370" s="19" t="n">
        <v>-254.62</v>
      </c>
      <c r="L6370" s="15" t="n">
        <f aca="false">YEAR(B6370)</f>
        <v>2023</v>
      </c>
      <c r="M6370" s="20" t="n">
        <f aca="false">IF(J6370&gt;0,K6370/J6370,0)</f>
        <v>-0.106191663816761</v>
      </c>
    </row>
    <row r="6371" customFormat="false" ht="15" hidden="false" customHeight="false" outlineLevel="0" collapsed="false">
      <c r="A6371" s="15" t="s">
        <v>6428</v>
      </c>
      <c r="B6371" s="16" t="n">
        <v>45312</v>
      </c>
      <c r="C6371" s="15" t="s">
        <v>68</v>
      </c>
      <c r="D6371" s="15" t="s">
        <v>43</v>
      </c>
      <c r="E6371" s="15" t="s">
        <v>37</v>
      </c>
      <c r="F6371" s="15" t="s">
        <v>17</v>
      </c>
      <c r="G6371" s="15" t="s">
        <v>28</v>
      </c>
      <c r="H6371" s="15" t="n">
        <v>3</v>
      </c>
      <c r="I6371" s="17" t="n">
        <v>0.2</v>
      </c>
      <c r="J6371" s="18" t="n">
        <v>60.22</v>
      </c>
      <c r="K6371" s="19" t="n">
        <v>5.14</v>
      </c>
      <c r="L6371" s="15" t="n">
        <f aca="false">YEAR(B6371)</f>
        <v>2024</v>
      </c>
      <c r="M6371" s="20" t="n">
        <f aca="false">IF(J6371&gt;0,K6371/J6371,0)</f>
        <v>0.0853537030886749</v>
      </c>
    </row>
    <row r="6372" customFormat="false" ht="15" hidden="false" customHeight="false" outlineLevel="0" collapsed="false">
      <c r="A6372" s="15" t="s">
        <v>6429</v>
      </c>
      <c r="B6372" s="16" t="n">
        <v>45281</v>
      </c>
      <c r="C6372" s="15" t="s">
        <v>68</v>
      </c>
      <c r="D6372" s="15" t="s">
        <v>42</v>
      </c>
      <c r="E6372" s="15" t="s">
        <v>38</v>
      </c>
      <c r="F6372" s="15" t="s">
        <v>17</v>
      </c>
      <c r="G6372" s="15" t="s">
        <v>28</v>
      </c>
      <c r="H6372" s="15" t="n">
        <v>7</v>
      </c>
      <c r="I6372" s="17" t="n">
        <v>0.1</v>
      </c>
      <c r="J6372" s="18" t="n">
        <v>116.92</v>
      </c>
      <c r="K6372" s="19" t="n">
        <v>24.07</v>
      </c>
      <c r="L6372" s="15" t="n">
        <f aca="false">YEAR(B6372)</f>
        <v>2023</v>
      </c>
      <c r="M6372" s="20" t="n">
        <f aca="false">IF(J6372&gt;0,K6372/J6372,0)</f>
        <v>0.205867259664728</v>
      </c>
    </row>
    <row r="6373" customFormat="false" ht="15" hidden="false" customHeight="false" outlineLevel="0" collapsed="false">
      <c r="A6373" s="15" t="s">
        <v>6430</v>
      </c>
      <c r="B6373" s="16" t="n">
        <v>45669</v>
      </c>
      <c r="C6373" s="15" t="s">
        <v>58</v>
      </c>
      <c r="D6373" s="15" t="s">
        <v>43</v>
      </c>
      <c r="E6373" s="15" t="s">
        <v>37</v>
      </c>
      <c r="F6373" s="15" t="s">
        <v>16</v>
      </c>
      <c r="G6373" s="15" t="s">
        <v>25</v>
      </c>
      <c r="H6373" s="15" t="n">
        <v>4</v>
      </c>
      <c r="I6373" s="17" t="n">
        <v>0.1</v>
      </c>
      <c r="J6373" s="18" t="n">
        <v>1071.74</v>
      </c>
      <c r="K6373" s="19" t="n">
        <v>22.99</v>
      </c>
      <c r="L6373" s="15" t="n">
        <f aca="false">YEAR(B6373)</f>
        <v>2025</v>
      </c>
      <c r="M6373" s="20" t="n">
        <f aca="false">IF(J6373&gt;0,K6373/J6373,0)</f>
        <v>0.0214510982141191</v>
      </c>
    </row>
    <row r="6374" customFormat="false" ht="15" hidden="false" customHeight="false" outlineLevel="0" collapsed="false">
      <c r="A6374" s="15" t="s">
        <v>6431</v>
      </c>
      <c r="B6374" s="16" t="n">
        <v>45938</v>
      </c>
      <c r="C6374" s="15" t="s">
        <v>56</v>
      </c>
      <c r="D6374" s="15" t="s">
        <v>42</v>
      </c>
      <c r="E6374" s="15" t="s">
        <v>38</v>
      </c>
      <c r="F6374" s="15" t="s">
        <v>17</v>
      </c>
      <c r="G6374" s="15" t="s">
        <v>28</v>
      </c>
      <c r="H6374" s="15" t="n">
        <v>4</v>
      </c>
      <c r="I6374" s="17" t="n">
        <v>0.2</v>
      </c>
      <c r="J6374" s="18" t="n">
        <v>78.76</v>
      </c>
      <c r="K6374" s="19" t="n">
        <v>8.9</v>
      </c>
      <c r="L6374" s="15" t="n">
        <f aca="false">YEAR(B6374)</f>
        <v>2025</v>
      </c>
      <c r="M6374" s="20" t="n">
        <f aca="false">IF(J6374&gt;0,K6374/J6374,0)</f>
        <v>0.113001523616049</v>
      </c>
    </row>
    <row r="6375" customFormat="false" ht="15" hidden="false" customHeight="false" outlineLevel="0" collapsed="false">
      <c r="A6375" s="15" t="s">
        <v>6432</v>
      </c>
      <c r="B6375" s="16" t="n">
        <v>45979</v>
      </c>
      <c r="C6375" s="15" t="s">
        <v>56</v>
      </c>
      <c r="D6375" s="15" t="s">
        <v>43</v>
      </c>
      <c r="E6375" s="15" t="s">
        <v>37</v>
      </c>
      <c r="F6375" s="15" t="s">
        <v>16</v>
      </c>
      <c r="G6375" s="15" t="s">
        <v>22</v>
      </c>
      <c r="H6375" s="15" t="n">
        <v>3</v>
      </c>
      <c r="I6375" s="17" t="n">
        <v>0</v>
      </c>
      <c r="J6375" s="18" t="n">
        <v>1522.63</v>
      </c>
      <c r="K6375" s="19" t="n">
        <v>-134.27</v>
      </c>
      <c r="L6375" s="15" t="n">
        <f aca="false">YEAR(B6375)</f>
        <v>2025</v>
      </c>
      <c r="M6375" s="20" t="n">
        <f aca="false">IF(J6375&gt;0,K6375/J6375,0)</f>
        <v>-0.0881829466121119</v>
      </c>
    </row>
    <row r="6376" customFormat="false" ht="15" hidden="false" customHeight="false" outlineLevel="0" collapsed="false">
      <c r="A6376" s="15" t="s">
        <v>6433</v>
      </c>
      <c r="B6376" s="16" t="n">
        <v>45250</v>
      </c>
      <c r="C6376" s="15" t="s">
        <v>56</v>
      </c>
      <c r="D6376" s="15" t="s">
        <v>44</v>
      </c>
      <c r="E6376" s="15" t="s">
        <v>39</v>
      </c>
      <c r="F6376" s="15" t="s">
        <v>17</v>
      </c>
      <c r="G6376" s="15" t="s">
        <v>29</v>
      </c>
      <c r="H6376" s="15" t="n">
        <v>6</v>
      </c>
      <c r="I6376" s="17" t="n">
        <v>0</v>
      </c>
      <c r="J6376" s="18" t="n">
        <v>106.73</v>
      </c>
      <c r="K6376" s="19" t="n">
        <v>45.54</v>
      </c>
      <c r="L6376" s="15" t="n">
        <f aca="false">YEAR(B6376)</f>
        <v>2023</v>
      </c>
      <c r="M6376" s="20" t="n">
        <f aca="false">IF(J6376&gt;0,K6376/J6376,0)</f>
        <v>0.426684156282207</v>
      </c>
    </row>
    <row r="6377" customFormat="false" ht="15" hidden="false" customHeight="false" outlineLevel="0" collapsed="false">
      <c r="A6377" s="15" t="s">
        <v>6434</v>
      </c>
      <c r="B6377" s="16" t="n">
        <v>45828</v>
      </c>
      <c r="C6377" s="15" t="s">
        <v>58</v>
      </c>
      <c r="D6377" s="15" t="s">
        <v>43</v>
      </c>
      <c r="E6377" s="15" t="s">
        <v>37</v>
      </c>
      <c r="F6377" s="15" t="s">
        <v>17</v>
      </c>
      <c r="G6377" s="15" t="s">
        <v>28</v>
      </c>
      <c r="H6377" s="15" t="n">
        <v>1</v>
      </c>
      <c r="I6377" s="17" t="n">
        <v>0.05</v>
      </c>
      <c r="J6377" s="18" t="n">
        <v>26.49</v>
      </c>
      <c r="K6377" s="19" t="n">
        <v>7.94</v>
      </c>
      <c r="L6377" s="15" t="n">
        <f aca="false">YEAR(B6377)</f>
        <v>2025</v>
      </c>
      <c r="M6377" s="20" t="n">
        <f aca="false">IF(J6377&gt;0,K6377/J6377,0)</f>
        <v>0.299735749339373</v>
      </c>
    </row>
    <row r="6378" customFormat="false" ht="15" hidden="false" customHeight="false" outlineLevel="0" collapsed="false">
      <c r="A6378" s="15" t="s">
        <v>6435</v>
      </c>
      <c r="B6378" s="16" t="n">
        <v>45646</v>
      </c>
      <c r="C6378" s="15" t="s">
        <v>56</v>
      </c>
      <c r="D6378" s="15" t="s">
        <v>42</v>
      </c>
      <c r="E6378" s="15" t="s">
        <v>39</v>
      </c>
      <c r="F6378" s="15" t="s">
        <v>18</v>
      </c>
      <c r="G6378" s="15" t="s">
        <v>32</v>
      </c>
      <c r="H6378" s="15" t="n">
        <v>1</v>
      </c>
      <c r="I6378" s="17" t="n">
        <v>0.05</v>
      </c>
      <c r="J6378" s="18" t="n">
        <v>379.87</v>
      </c>
      <c r="K6378" s="19" t="n">
        <v>68.16</v>
      </c>
      <c r="L6378" s="15" t="n">
        <f aca="false">YEAR(B6378)</f>
        <v>2024</v>
      </c>
      <c r="M6378" s="20" t="n">
        <f aca="false">IF(J6378&gt;0,K6378/J6378,0)</f>
        <v>0.179429804933267</v>
      </c>
    </row>
    <row r="6379" customFormat="false" ht="15" hidden="false" customHeight="false" outlineLevel="0" collapsed="false">
      <c r="A6379" s="15" t="s">
        <v>6436</v>
      </c>
      <c r="B6379" s="16" t="n">
        <v>44670</v>
      </c>
      <c r="C6379" s="15" t="s">
        <v>56</v>
      </c>
      <c r="D6379" s="15" t="s">
        <v>42</v>
      </c>
      <c r="E6379" s="15" t="s">
        <v>36</v>
      </c>
      <c r="F6379" s="15" t="s">
        <v>17</v>
      </c>
      <c r="G6379" s="15" t="s">
        <v>28</v>
      </c>
      <c r="H6379" s="15" t="n">
        <v>2</v>
      </c>
      <c r="I6379" s="17" t="n">
        <v>0</v>
      </c>
      <c r="J6379" s="18" t="n">
        <v>51.96</v>
      </c>
      <c r="K6379" s="19" t="n">
        <v>18.63</v>
      </c>
      <c r="L6379" s="15" t="n">
        <f aca="false">YEAR(B6379)</f>
        <v>2022</v>
      </c>
      <c r="M6379" s="20" t="n">
        <f aca="false">IF(J6379&gt;0,K6379/J6379,0)</f>
        <v>0.358545034642032</v>
      </c>
    </row>
    <row r="6380" customFormat="false" ht="15" hidden="false" customHeight="false" outlineLevel="0" collapsed="false">
      <c r="A6380" s="15" t="s">
        <v>6437</v>
      </c>
      <c r="B6380" s="16" t="n">
        <v>44662</v>
      </c>
      <c r="C6380" s="15" t="s">
        <v>71</v>
      </c>
      <c r="D6380" s="15" t="s">
        <v>42</v>
      </c>
      <c r="E6380" s="15" t="s">
        <v>39</v>
      </c>
      <c r="F6380" s="15" t="s">
        <v>17</v>
      </c>
      <c r="G6380" s="15" t="s">
        <v>28</v>
      </c>
      <c r="H6380" s="15" t="n">
        <v>5</v>
      </c>
      <c r="I6380" s="17" t="n">
        <v>0.05</v>
      </c>
      <c r="J6380" s="18" t="n">
        <v>128.37</v>
      </c>
      <c r="K6380" s="19" t="n">
        <v>28.84</v>
      </c>
      <c r="L6380" s="15" t="n">
        <f aca="false">YEAR(B6380)</f>
        <v>2022</v>
      </c>
      <c r="M6380" s="20" t="n">
        <f aca="false">IF(J6380&gt;0,K6380/J6380,0)</f>
        <v>0.224663083274908</v>
      </c>
    </row>
    <row r="6381" customFormat="false" ht="15" hidden="false" customHeight="false" outlineLevel="0" collapsed="false">
      <c r="A6381" s="15" t="s">
        <v>6438</v>
      </c>
      <c r="B6381" s="16" t="n">
        <v>45825</v>
      </c>
      <c r="C6381" s="15" t="s">
        <v>56</v>
      </c>
      <c r="D6381" s="15" t="s">
        <v>42</v>
      </c>
      <c r="E6381" s="15" t="s">
        <v>38</v>
      </c>
      <c r="F6381" s="15" t="s">
        <v>16</v>
      </c>
      <c r="G6381" s="15" t="s">
        <v>22</v>
      </c>
      <c r="H6381" s="15" t="n">
        <v>3</v>
      </c>
      <c r="I6381" s="17" t="n">
        <v>0.2</v>
      </c>
      <c r="J6381" s="18" t="n">
        <v>989.94</v>
      </c>
      <c r="K6381" s="19" t="n">
        <v>-263.31</v>
      </c>
      <c r="L6381" s="15" t="n">
        <f aca="false">YEAR(B6381)</f>
        <v>2025</v>
      </c>
      <c r="M6381" s="20" t="n">
        <f aca="false">IF(J6381&gt;0,K6381/J6381,0)</f>
        <v>-0.265985817322262</v>
      </c>
    </row>
    <row r="6382" customFormat="false" ht="15" hidden="false" customHeight="false" outlineLevel="0" collapsed="false">
      <c r="A6382" s="15" t="s">
        <v>6439</v>
      </c>
      <c r="B6382" s="16" t="n">
        <v>44566</v>
      </c>
      <c r="C6382" s="15" t="s">
        <v>56</v>
      </c>
      <c r="D6382" s="15" t="s">
        <v>44</v>
      </c>
      <c r="E6382" s="15" t="s">
        <v>38</v>
      </c>
      <c r="F6382" s="15" t="s">
        <v>17</v>
      </c>
      <c r="G6382" s="15" t="s">
        <v>29</v>
      </c>
      <c r="H6382" s="15" t="n">
        <v>3</v>
      </c>
      <c r="I6382" s="17" t="n">
        <v>0</v>
      </c>
      <c r="J6382" s="18" t="n">
        <v>50.42</v>
      </c>
      <c r="K6382" s="19" t="n">
        <v>18.14</v>
      </c>
      <c r="L6382" s="15" t="n">
        <f aca="false">YEAR(B6382)</f>
        <v>2022</v>
      </c>
      <c r="M6382" s="20" t="n">
        <f aca="false">IF(J6382&gt;0,K6382/J6382,0)</f>
        <v>0.35977786592622</v>
      </c>
    </row>
    <row r="6383" customFormat="false" ht="15" hidden="false" customHeight="false" outlineLevel="0" collapsed="false">
      <c r="A6383" s="15" t="s">
        <v>6440</v>
      </c>
      <c r="B6383" s="16" t="n">
        <v>45826</v>
      </c>
      <c r="C6383" s="15" t="s">
        <v>56</v>
      </c>
      <c r="D6383" s="15" t="s">
        <v>42</v>
      </c>
      <c r="E6383" s="15" t="s">
        <v>36</v>
      </c>
      <c r="F6383" s="15" t="s">
        <v>18</v>
      </c>
      <c r="G6383" s="15" t="s">
        <v>33</v>
      </c>
      <c r="H6383" s="15" t="n">
        <v>2</v>
      </c>
      <c r="I6383" s="17" t="n">
        <v>0.05</v>
      </c>
      <c r="J6383" s="18" t="n">
        <v>1722.69</v>
      </c>
      <c r="K6383" s="19" t="n">
        <v>352.42</v>
      </c>
      <c r="L6383" s="15" t="n">
        <f aca="false">YEAR(B6383)</f>
        <v>2025</v>
      </c>
      <c r="M6383" s="20" t="n">
        <f aca="false">IF(J6383&gt;0,K6383/J6383,0)</f>
        <v>0.204575402422955</v>
      </c>
    </row>
    <row r="6384" customFormat="false" ht="15" hidden="false" customHeight="false" outlineLevel="0" collapsed="false">
      <c r="A6384" s="15" t="s">
        <v>6441</v>
      </c>
      <c r="B6384" s="16" t="n">
        <v>45335</v>
      </c>
      <c r="C6384" s="15" t="s">
        <v>56</v>
      </c>
      <c r="D6384" s="15" t="s">
        <v>43</v>
      </c>
      <c r="E6384" s="15" t="s">
        <v>36</v>
      </c>
      <c r="F6384" s="15" t="s">
        <v>17</v>
      </c>
      <c r="G6384" s="15" t="s">
        <v>26</v>
      </c>
      <c r="H6384" s="15" t="n">
        <v>4</v>
      </c>
      <c r="I6384" s="17" t="n">
        <v>0</v>
      </c>
      <c r="J6384" s="18" t="n">
        <v>406.81</v>
      </c>
      <c r="K6384" s="19" t="n">
        <v>78.55</v>
      </c>
      <c r="L6384" s="15" t="n">
        <f aca="false">YEAR(B6384)</f>
        <v>2024</v>
      </c>
      <c r="M6384" s="20" t="n">
        <f aca="false">IF(J6384&gt;0,K6384/J6384,0)</f>
        <v>0.193087682210368</v>
      </c>
    </row>
    <row r="6385" customFormat="false" ht="15" hidden="false" customHeight="false" outlineLevel="0" collapsed="false">
      <c r="A6385" s="15" t="s">
        <v>6442</v>
      </c>
      <c r="B6385" s="16" t="n">
        <v>45094</v>
      </c>
      <c r="C6385" s="15" t="s">
        <v>68</v>
      </c>
      <c r="D6385" s="15" t="s">
        <v>44</v>
      </c>
      <c r="E6385" s="15" t="s">
        <v>38</v>
      </c>
      <c r="F6385" s="15" t="s">
        <v>17</v>
      </c>
      <c r="G6385" s="15" t="s">
        <v>28</v>
      </c>
      <c r="H6385" s="15" t="n">
        <v>5</v>
      </c>
      <c r="I6385" s="17" t="n">
        <v>0</v>
      </c>
      <c r="J6385" s="18" t="n">
        <v>129.66</v>
      </c>
      <c r="K6385" s="19" t="n">
        <v>38.18</v>
      </c>
      <c r="L6385" s="15" t="n">
        <f aca="false">YEAR(B6385)</f>
        <v>2023</v>
      </c>
      <c r="M6385" s="20" t="n">
        <f aca="false">IF(J6385&gt;0,K6385/J6385,0)</f>
        <v>0.294462440228289</v>
      </c>
    </row>
    <row r="6386" customFormat="false" ht="15" hidden="false" customHeight="false" outlineLevel="0" collapsed="false">
      <c r="A6386" s="15" t="s">
        <v>6443</v>
      </c>
      <c r="B6386" s="16" t="n">
        <v>45053</v>
      </c>
      <c r="C6386" s="15" t="s">
        <v>56</v>
      </c>
      <c r="D6386" s="15" t="s">
        <v>42</v>
      </c>
      <c r="E6386" s="15" t="s">
        <v>39</v>
      </c>
      <c r="F6386" s="15" t="s">
        <v>16</v>
      </c>
      <c r="G6386" s="15" t="s">
        <v>25</v>
      </c>
      <c r="H6386" s="15" t="n">
        <v>3</v>
      </c>
      <c r="I6386" s="17" t="n">
        <v>0.3</v>
      </c>
      <c r="J6386" s="18" t="n">
        <v>650.18</v>
      </c>
      <c r="K6386" s="19" t="n">
        <v>-106.65</v>
      </c>
      <c r="L6386" s="15" t="n">
        <f aca="false">YEAR(B6386)</f>
        <v>2023</v>
      </c>
      <c r="M6386" s="20" t="n">
        <f aca="false">IF(J6386&gt;0,K6386/J6386,0)</f>
        <v>-0.164031498969516</v>
      </c>
    </row>
    <row r="6387" customFormat="false" ht="15" hidden="false" customHeight="false" outlineLevel="0" collapsed="false">
      <c r="A6387" s="15" t="s">
        <v>6444</v>
      </c>
      <c r="B6387" s="16" t="n">
        <v>45779</v>
      </c>
      <c r="C6387" s="15" t="s">
        <v>56</v>
      </c>
      <c r="D6387" s="15" t="s">
        <v>44</v>
      </c>
      <c r="E6387" s="15" t="s">
        <v>37</v>
      </c>
      <c r="F6387" s="15" t="s">
        <v>17</v>
      </c>
      <c r="G6387" s="15" t="s">
        <v>29</v>
      </c>
      <c r="H6387" s="15" t="n">
        <v>6</v>
      </c>
      <c r="I6387" s="17" t="n">
        <v>0</v>
      </c>
      <c r="J6387" s="18" t="n">
        <v>120.02</v>
      </c>
      <c r="K6387" s="19" t="n">
        <v>47.23</v>
      </c>
      <c r="L6387" s="15" t="n">
        <f aca="false">YEAR(B6387)</f>
        <v>2025</v>
      </c>
      <c r="M6387" s="20" t="n">
        <f aca="false">IF(J6387&gt;0,K6387/J6387,0)</f>
        <v>0.39351774704216</v>
      </c>
    </row>
    <row r="6388" customFormat="false" ht="15" hidden="false" customHeight="false" outlineLevel="0" collapsed="false">
      <c r="A6388" s="15" t="s">
        <v>6445</v>
      </c>
      <c r="B6388" s="16" t="n">
        <v>45718</v>
      </c>
      <c r="C6388" s="15" t="s">
        <v>56</v>
      </c>
      <c r="D6388" s="15" t="s">
        <v>43</v>
      </c>
      <c r="E6388" s="15" t="s">
        <v>38</v>
      </c>
      <c r="F6388" s="15" t="s">
        <v>16</v>
      </c>
      <c r="G6388" s="15" t="s">
        <v>25</v>
      </c>
      <c r="H6388" s="15" t="n">
        <v>2</v>
      </c>
      <c r="I6388" s="17" t="n">
        <v>0</v>
      </c>
      <c r="J6388" s="18" t="n">
        <v>618.01</v>
      </c>
      <c r="K6388" s="19" t="n">
        <v>91.85</v>
      </c>
      <c r="L6388" s="15" t="n">
        <f aca="false">YEAR(B6388)</f>
        <v>2025</v>
      </c>
      <c r="M6388" s="20" t="n">
        <f aca="false">IF(J6388&gt;0,K6388/J6388,0)</f>
        <v>0.14862219057944</v>
      </c>
    </row>
    <row r="6389" customFormat="false" ht="15" hidden="false" customHeight="false" outlineLevel="0" collapsed="false">
      <c r="A6389" s="15" t="s">
        <v>6446</v>
      </c>
      <c r="B6389" s="16" t="n">
        <v>45234</v>
      </c>
      <c r="C6389" s="15" t="s">
        <v>71</v>
      </c>
      <c r="D6389" s="15" t="s">
        <v>44</v>
      </c>
      <c r="E6389" s="15" t="s">
        <v>38</v>
      </c>
      <c r="F6389" s="15" t="s">
        <v>17</v>
      </c>
      <c r="G6389" s="15" t="s">
        <v>26</v>
      </c>
      <c r="H6389" s="15" t="n">
        <v>2</v>
      </c>
      <c r="I6389" s="17" t="n">
        <v>0.1</v>
      </c>
      <c r="J6389" s="18" t="n">
        <v>134.9</v>
      </c>
      <c r="K6389" s="19" t="n">
        <v>10.06</v>
      </c>
      <c r="L6389" s="15" t="n">
        <f aca="false">YEAR(B6389)</f>
        <v>2023</v>
      </c>
      <c r="M6389" s="20" t="n">
        <f aca="false">IF(J6389&gt;0,K6389/J6389,0)</f>
        <v>0.0745737583395107</v>
      </c>
    </row>
    <row r="6390" customFormat="false" ht="15" hidden="false" customHeight="false" outlineLevel="0" collapsed="false">
      <c r="A6390" s="15" t="s">
        <v>6447</v>
      </c>
      <c r="B6390" s="16" t="n">
        <v>45620</v>
      </c>
      <c r="C6390" s="15" t="s">
        <v>71</v>
      </c>
      <c r="D6390" s="15" t="s">
        <v>42</v>
      </c>
      <c r="E6390" s="15" t="s">
        <v>38</v>
      </c>
      <c r="F6390" s="15" t="s">
        <v>17</v>
      </c>
      <c r="G6390" s="15" t="s">
        <v>28</v>
      </c>
      <c r="H6390" s="15" t="n">
        <v>3</v>
      </c>
      <c r="I6390" s="17" t="n">
        <v>0.15</v>
      </c>
      <c r="J6390" s="18" t="n">
        <v>55.08</v>
      </c>
      <c r="K6390" s="19" t="n">
        <v>9.25</v>
      </c>
      <c r="L6390" s="15" t="n">
        <f aca="false">YEAR(B6390)</f>
        <v>2024</v>
      </c>
      <c r="M6390" s="20" t="n">
        <f aca="false">IF(J6390&gt;0,K6390/J6390,0)</f>
        <v>0.167937545388526</v>
      </c>
    </row>
    <row r="6391" customFormat="false" ht="15" hidden="false" customHeight="false" outlineLevel="0" collapsed="false">
      <c r="A6391" s="15" t="s">
        <v>6448</v>
      </c>
      <c r="B6391" s="16" t="n">
        <v>44875</v>
      </c>
      <c r="C6391" s="15" t="s">
        <v>56</v>
      </c>
      <c r="D6391" s="15" t="s">
        <v>42</v>
      </c>
      <c r="E6391" s="15" t="s">
        <v>39</v>
      </c>
      <c r="F6391" s="15" t="s">
        <v>17</v>
      </c>
      <c r="G6391" s="15" t="s">
        <v>29</v>
      </c>
      <c r="H6391" s="15" t="n">
        <v>6</v>
      </c>
      <c r="I6391" s="17" t="n">
        <v>0</v>
      </c>
      <c r="J6391" s="18" t="n">
        <v>134.9</v>
      </c>
      <c r="K6391" s="19" t="n">
        <v>53.41</v>
      </c>
      <c r="L6391" s="15" t="n">
        <f aca="false">YEAR(B6391)</f>
        <v>2022</v>
      </c>
      <c r="M6391" s="20" t="n">
        <f aca="false">IF(J6391&gt;0,K6391/J6391,0)</f>
        <v>0.39592290585619</v>
      </c>
    </row>
    <row r="6392" customFormat="false" ht="15" hidden="false" customHeight="false" outlineLevel="0" collapsed="false">
      <c r="A6392" s="15" t="s">
        <v>6449</v>
      </c>
      <c r="B6392" s="16" t="n">
        <v>45790</v>
      </c>
      <c r="C6392" s="15" t="s">
        <v>56</v>
      </c>
      <c r="D6392" s="15" t="s">
        <v>42</v>
      </c>
      <c r="E6392" s="15" t="s">
        <v>36</v>
      </c>
      <c r="F6392" s="15" t="s">
        <v>17</v>
      </c>
      <c r="G6392" s="15" t="s">
        <v>31</v>
      </c>
      <c r="H6392" s="15" t="n">
        <v>6</v>
      </c>
      <c r="I6392" s="17" t="n">
        <v>0</v>
      </c>
      <c r="J6392" s="18" t="n">
        <v>687.62</v>
      </c>
      <c r="K6392" s="19" t="n">
        <v>123.28</v>
      </c>
      <c r="L6392" s="15" t="n">
        <f aca="false">YEAR(B6392)</f>
        <v>2025</v>
      </c>
      <c r="M6392" s="20" t="n">
        <f aca="false">IF(J6392&gt;0,K6392/J6392,0)</f>
        <v>0.179285070242285</v>
      </c>
    </row>
    <row r="6393" customFormat="false" ht="15" hidden="false" customHeight="false" outlineLevel="0" collapsed="false">
      <c r="A6393" s="15" t="s">
        <v>6450</v>
      </c>
      <c r="B6393" s="16" t="n">
        <v>46020</v>
      </c>
      <c r="C6393" s="15" t="s">
        <v>56</v>
      </c>
      <c r="D6393" s="15" t="s">
        <v>44</v>
      </c>
      <c r="E6393" s="15" t="s">
        <v>37</v>
      </c>
      <c r="F6393" s="15" t="s">
        <v>18</v>
      </c>
      <c r="G6393" s="15" t="s">
        <v>32</v>
      </c>
      <c r="H6393" s="15" t="n">
        <v>4</v>
      </c>
      <c r="I6393" s="17" t="n">
        <v>0.05</v>
      </c>
      <c r="J6393" s="18" t="n">
        <v>1705.45</v>
      </c>
      <c r="K6393" s="19" t="n">
        <v>212.04</v>
      </c>
      <c r="L6393" s="15" t="n">
        <f aca="false">YEAR(B6393)</f>
        <v>2025</v>
      </c>
      <c r="M6393" s="20" t="n">
        <f aca="false">IF(J6393&gt;0,K6393/J6393,0)</f>
        <v>0.124330821777244</v>
      </c>
    </row>
    <row r="6394" customFormat="false" ht="15" hidden="false" customHeight="false" outlineLevel="0" collapsed="false">
      <c r="A6394" s="15" t="s">
        <v>6451</v>
      </c>
      <c r="B6394" s="16" t="n">
        <v>45717</v>
      </c>
      <c r="C6394" s="15" t="s">
        <v>71</v>
      </c>
      <c r="D6394" s="15" t="s">
        <v>42</v>
      </c>
      <c r="E6394" s="15" t="s">
        <v>36</v>
      </c>
      <c r="F6394" s="15" t="s">
        <v>17</v>
      </c>
      <c r="G6394" s="15" t="s">
        <v>26</v>
      </c>
      <c r="H6394" s="15" t="n">
        <v>4</v>
      </c>
      <c r="I6394" s="17" t="n">
        <v>0.1</v>
      </c>
      <c r="J6394" s="18" t="n">
        <v>349.19</v>
      </c>
      <c r="K6394" s="19" t="n">
        <v>-5.64</v>
      </c>
      <c r="L6394" s="15" t="n">
        <f aca="false">YEAR(B6394)</f>
        <v>2025</v>
      </c>
      <c r="M6394" s="20" t="n">
        <f aca="false">IF(J6394&gt;0,K6394/J6394,0)</f>
        <v>-0.016151665282511</v>
      </c>
    </row>
    <row r="6395" customFormat="false" ht="15" hidden="false" customHeight="false" outlineLevel="0" collapsed="false">
      <c r="A6395" s="15" t="s">
        <v>6452</v>
      </c>
      <c r="B6395" s="16" t="n">
        <v>45693</v>
      </c>
      <c r="C6395" s="15" t="s">
        <v>56</v>
      </c>
      <c r="D6395" s="15" t="s">
        <v>43</v>
      </c>
      <c r="E6395" s="15" t="s">
        <v>36</v>
      </c>
      <c r="F6395" s="15" t="s">
        <v>18</v>
      </c>
      <c r="G6395" s="15" t="s">
        <v>32</v>
      </c>
      <c r="H6395" s="15" t="n">
        <v>6</v>
      </c>
      <c r="I6395" s="17" t="n">
        <v>0.3</v>
      </c>
      <c r="J6395" s="18" t="n">
        <v>1934.94</v>
      </c>
      <c r="K6395" s="19" t="n">
        <v>-236.06</v>
      </c>
      <c r="L6395" s="15" t="n">
        <f aca="false">YEAR(B6395)</f>
        <v>2025</v>
      </c>
      <c r="M6395" s="20" t="n">
        <f aca="false">IF(J6395&gt;0,K6395/J6395,0)</f>
        <v>-0.121998614944133</v>
      </c>
    </row>
    <row r="6396" customFormat="false" ht="15" hidden="false" customHeight="false" outlineLevel="0" collapsed="false">
      <c r="A6396" s="15" t="s">
        <v>6453</v>
      </c>
      <c r="B6396" s="16" t="n">
        <v>45274</v>
      </c>
      <c r="C6396" s="15" t="s">
        <v>58</v>
      </c>
      <c r="D6396" s="15" t="s">
        <v>43</v>
      </c>
      <c r="E6396" s="15" t="s">
        <v>37</v>
      </c>
      <c r="F6396" s="15" t="s">
        <v>18</v>
      </c>
      <c r="G6396" s="15" t="s">
        <v>30</v>
      </c>
      <c r="H6396" s="15" t="n">
        <v>2</v>
      </c>
      <c r="I6396" s="17" t="n">
        <v>0.1</v>
      </c>
      <c r="J6396" s="18" t="n">
        <v>88.53</v>
      </c>
      <c r="K6396" s="19" t="n">
        <v>21.21</v>
      </c>
      <c r="L6396" s="15" t="n">
        <f aca="false">YEAR(B6396)</f>
        <v>2023</v>
      </c>
      <c r="M6396" s="20" t="n">
        <f aca="false">IF(J6396&gt;0,K6396/J6396,0)</f>
        <v>0.239579803456455</v>
      </c>
    </row>
    <row r="6397" customFormat="false" ht="15" hidden="false" customHeight="false" outlineLevel="0" collapsed="false">
      <c r="A6397" s="15" t="s">
        <v>6454</v>
      </c>
      <c r="B6397" s="16" t="n">
        <v>45966</v>
      </c>
      <c r="C6397" s="15" t="s">
        <v>56</v>
      </c>
      <c r="D6397" s="15" t="s">
        <v>44</v>
      </c>
      <c r="E6397" s="15" t="s">
        <v>36</v>
      </c>
      <c r="F6397" s="15" t="s">
        <v>18</v>
      </c>
      <c r="G6397" s="15" t="s">
        <v>32</v>
      </c>
      <c r="H6397" s="15" t="n">
        <v>8</v>
      </c>
      <c r="I6397" s="17" t="n">
        <v>0.2</v>
      </c>
      <c r="J6397" s="18" t="n">
        <v>2440.12</v>
      </c>
      <c r="K6397" s="19" t="n">
        <v>109.93</v>
      </c>
      <c r="L6397" s="15" t="n">
        <f aca="false">YEAR(B6397)</f>
        <v>2025</v>
      </c>
      <c r="M6397" s="20" t="n">
        <f aca="false">IF(J6397&gt;0,K6397/J6397,0)</f>
        <v>0.0450510630624723</v>
      </c>
    </row>
    <row r="6398" customFormat="false" ht="15" hidden="false" customHeight="false" outlineLevel="0" collapsed="false">
      <c r="A6398" s="15" t="s">
        <v>6455</v>
      </c>
      <c r="B6398" s="16" t="n">
        <v>45576</v>
      </c>
      <c r="C6398" s="15" t="s">
        <v>56</v>
      </c>
      <c r="D6398" s="15" t="s">
        <v>43</v>
      </c>
      <c r="E6398" s="15" t="s">
        <v>37</v>
      </c>
      <c r="F6398" s="15" t="s">
        <v>17</v>
      </c>
      <c r="G6398" s="15" t="s">
        <v>29</v>
      </c>
      <c r="H6398" s="15" t="n">
        <v>3</v>
      </c>
      <c r="I6398" s="17" t="n">
        <v>0.05</v>
      </c>
      <c r="J6398" s="18" t="n">
        <v>59</v>
      </c>
      <c r="K6398" s="19" t="n">
        <v>18.67</v>
      </c>
      <c r="L6398" s="15" t="n">
        <f aca="false">YEAR(B6398)</f>
        <v>2024</v>
      </c>
      <c r="M6398" s="20" t="n">
        <f aca="false">IF(J6398&gt;0,K6398/J6398,0)</f>
        <v>0.316440677966102</v>
      </c>
    </row>
    <row r="6399" customFormat="false" ht="15" hidden="false" customHeight="false" outlineLevel="0" collapsed="false">
      <c r="A6399" s="15" t="s">
        <v>6456</v>
      </c>
      <c r="B6399" s="16" t="n">
        <v>45890</v>
      </c>
      <c r="C6399" s="15" t="s">
        <v>56</v>
      </c>
      <c r="D6399" s="15" t="s">
        <v>43</v>
      </c>
      <c r="E6399" s="15" t="s">
        <v>36</v>
      </c>
      <c r="F6399" s="15" t="s">
        <v>17</v>
      </c>
      <c r="G6399" s="15" t="s">
        <v>29</v>
      </c>
      <c r="H6399" s="15" t="n">
        <v>1</v>
      </c>
      <c r="I6399" s="17" t="n">
        <v>0.2</v>
      </c>
      <c r="J6399" s="18" t="n">
        <v>15.34</v>
      </c>
      <c r="K6399" s="19" t="n">
        <v>2.45</v>
      </c>
      <c r="L6399" s="15" t="n">
        <f aca="false">YEAR(B6399)</f>
        <v>2025</v>
      </c>
      <c r="M6399" s="20" t="n">
        <f aca="false">IF(J6399&gt;0,K6399/J6399,0)</f>
        <v>0.159713168187744</v>
      </c>
    </row>
    <row r="6400" customFormat="false" ht="15" hidden="false" customHeight="false" outlineLevel="0" collapsed="false">
      <c r="A6400" s="15" t="s">
        <v>6457</v>
      </c>
      <c r="B6400" s="16" t="n">
        <v>45598</v>
      </c>
      <c r="C6400" s="15" t="s">
        <v>56</v>
      </c>
      <c r="D6400" s="15" t="s">
        <v>43</v>
      </c>
      <c r="E6400" s="15" t="s">
        <v>37</v>
      </c>
      <c r="F6400" s="15" t="s">
        <v>18</v>
      </c>
      <c r="G6400" s="15" t="s">
        <v>30</v>
      </c>
      <c r="H6400" s="15" t="n">
        <v>3</v>
      </c>
      <c r="I6400" s="17" t="n">
        <v>0.1</v>
      </c>
      <c r="J6400" s="18" t="n">
        <v>150.65</v>
      </c>
      <c r="K6400" s="19" t="n">
        <v>28.36</v>
      </c>
      <c r="L6400" s="15" t="n">
        <f aca="false">YEAR(B6400)</f>
        <v>2024</v>
      </c>
      <c r="M6400" s="20" t="n">
        <f aca="false">IF(J6400&gt;0,K6400/J6400,0)</f>
        <v>0.188250912711583</v>
      </c>
    </row>
    <row r="6401" customFormat="false" ht="15" hidden="false" customHeight="false" outlineLevel="0" collapsed="false">
      <c r="A6401" s="15" t="s">
        <v>6458</v>
      </c>
      <c r="B6401" s="16" t="n">
        <v>46005</v>
      </c>
      <c r="C6401" s="15" t="s">
        <v>56</v>
      </c>
      <c r="D6401" s="15" t="s">
        <v>42</v>
      </c>
      <c r="E6401" s="15" t="s">
        <v>39</v>
      </c>
      <c r="F6401" s="15" t="s">
        <v>16</v>
      </c>
      <c r="G6401" s="15" t="s">
        <v>27</v>
      </c>
      <c r="H6401" s="15" t="n">
        <v>5</v>
      </c>
      <c r="I6401" s="17" t="n">
        <v>0.4</v>
      </c>
      <c r="J6401" s="18" t="n">
        <v>206.85</v>
      </c>
      <c r="K6401" s="19" t="n">
        <v>-32.99</v>
      </c>
      <c r="L6401" s="15" t="n">
        <f aca="false">YEAR(B6401)</f>
        <v>2025</v>
      </c>
      <c r="M6401" s="20" t="n">
        <f aca="false">IF(J6401&gt;0,K6401/J6401,0)</f>
        <v>-0.159487551365724</v>
      </c>
    </row>
    <row r="6402" customFormat="false" ht="15" hidden="false" customHeight="false" outlineLevel="0" collapsed="false">
      <c r="A6402" s="15" t="s">
        <v>6459</v>
      </c>
      <c r="B6402" s="16" t="n">
        <v>45431</v>
      </c>
      <c r="C6402" s="15" t="s">
        <v>56</v>
      </c>
      <c r="D6402" s="15" t="s">
        <v>43</v>
      </c>
      <c r="E6402" s="15" t="s">
        <v>38</v>
      </c>
      <c r="F6402" s="15" t="s">
        <v>17</v>
      </c>
      <c r="G6402" s="15" t="s">
        <v>26</v>
      </c>
      <c r="H6402" s="15" t="n">
        <v>5</v>
      </c>
      <c r="I6402" s="17" t="n">
        <v>0.5</v>
      </c>
      <c r="J6402" s="18" t="n">
        <v>221.46</v>
      </c>
      <c r="K6402" s="19" t="n">
        <v>-76.75</v>
      </c>
      <c r="L6402" s="15" t="n">
        <f aca="false">YEAR(B6402)</f>
        <v>2024</v>
      </c>
      <c r="M6402" s="20" t="n">
        <f aca="false">IF(J6402&gt;0,K6402/J6402,0)</f>
        <v>-0.346563713537433</v>
      </c>
    </row>
    <row r="6403" customFormat="false" ht="15" hidden="false" customHeight="false" outlineLevel="0" collapsed="false">
      <c r="A6403" s="15" t="s">
        <v>6460</v>
      </c>
      <c r="B6403" s="16" t="n">
        <v>45868</v>
      </c>
      <c r="C6403" s="15" t="s">
        <v>68</v>
      </c>
      <c r="D6403" s="15" t="s">
        <v>42</v>
      </c>
      <c r="E6403" s="15" t="s">
        <v>37</v>
      </c>
      <c r="F6403" s="15" t="s">
        <v>18</v>
      </c>
      <c r="G6403" s="15" t="s">
        <v>30</v>
      </c>
      <c r="H6403" s="15" t="n">
        <v>5</v>
      </c>
      <c r="I6403" s="17" t="n">
        <v>0.3</v>
      </c>
      <c r="J6403" s="18" t="n">
        <v>180.94</v>
      </c>
      <c r="K6403" s="19" t="n">
        <v>4.81</v>
      </c>
      <c r="L6403" s="15" t="n">
        <f aca="false">YEAR(B6403)</f>
        <v>2025</v>
      </c>
      <c r="M6403" s="20" t="n">
        <f aca="false">IF(J6403&gt;0,K6403/J6403,0)</f>
        <v>0.0265833978114292</v>
      </c>
    </row>
    <row r="6404" customFormat="false" ht="15" hidden="false" customHeight="false" outlineLevel="0" collapsed="false">
      <c r="A6404" s="15" t="s">
        <v>6461</v>
      </c>
      <c r="B6404" s="16" t="n">
        <v>45605</v>
      </c>
      <c r="C6404" s="15" t="s">
        <v>71</v>
      </c>
      <c r="D6404" s="15" t="s">
        <v>42</v>
      </c>
      <c r="E6404" s="15" t="s">
        <v>37</v>
      </c>
      <c r="F6404" s="15" t="s">
        <v>17</v>
      </c>
      <c r="G6404" s="15" t="s">
        <v>26</v>
      </c>
      <c r="H6404" s="15" t="n">
        <v>2</v>
      </c>
      <c r="I6404" s="17" t="n">
        <v>0</v>
      </c>
      <c r="J6404" s="18" t="n">
        <v>174.17</v>
      </c>
      <c r="K6404" s="19" t="n">
        <v>24.09</v>
      </c>
      <c r="L6404" s="15" t="n">
        <f aca="false">YEAR(B6404)</f>
        <v>2024</v>
      </c>
      <c r="M6404" s="20" t="n">
        <f aca="false">IF(J6404&gt;0,K6404/J6404,0)</f>
        <v>0.138313142332204</v>
      </c>
    </row>
    <row r="6405" customFormat="false" ht="15" hidden="false" customHeight="false" outlineLevel="0" collapsed="false">
      <c r="A6405" s="15" t="s">
        <v>6462</v>
      </c>
      <c r="B6405" s="16" t="n">
        <v>45037</v>
      </c>
      <c r="C6405" s="15" t="s">
        <v>71</v>
      </c>
      <c r="D6405" s="15" t="s">
        <v>42</v>
      </c>
      <c r="E6405" s="15" t="s">
        <v>39</v>
      </c>
      <c r="F6405" s="15" t="s">
        <v>18</v>
      </c>
      <c r="G6405" s="15" t="s">
        <v>30</v>
      </c>
      <c r="H6405" s="15" t="n">
        <v>4</v>
      </c>
      <c r="I6405" s="17" t="n">
        <v>0</v>
      </c>
      <c r="J6405" s="18" t="n">
        <v>180.03</v>
      </c>
      <c r="K6405" s="19" t="n">
        <v>44.13</v>
      </c>
      <c r="L6405" s="15" t="n">
        <f aca="false">YEAR(B6405)</f>
        <v>2023</v>
      </c>
      <c r="M6405" s="20" t="n">
        <f aca="false">IF(J6405&gt;0,K6405/J6405,0)</f>
        <v>0.245125812364606</v>
      </c>
    </row>
    <row r="6406" customFormat="false" ht="15" hidden="false" customHeight="false" outlineLevel="0" collapsed="false">
      <c r="A6406" s="15" t="s">
        <v>6463</v>
      </c>
      <c r="B6406" s="16" t="n">
        <v>45619</v>
      </c>
      <c r="C6406" s="15" t="s">
        <v>68</v>
      </c>
      <c r="D6406" s="15" t="s">
        <v>44</v>
      </c>
      <c r="E6406" s="15" t="s">
        <v>39</v>
      </c>
      <c r="F6406" s="15" t="s">
        <v>17</v>
      </c>
      <c r="G6406" s="15" t="s">
        <v>26</v>
      </c>
      <c r="H6406" s="15" t="n">
        <v>4</v>
      </c>
      <c r="I6406" s="17" t="n">
        <v>0</v>
      </c>
      <c r="J6406" s="18" t="n">
        <v>269.56</v>
      </c>
      <c r="K6406" s="19" t="n">
        <v>37.36</v>
      </c>
      <c r="L6406" s="15" t="n">
        <f aca="false">YEAR(B6406)</f>
        <v>2024</v>
      </c>
      <c r="M6406" s="20" t="n">
        <f aca="false">IF(J6406&gt;0,K6406/J6406,0)</f>
        <v>0.138596230894792</v>
      </c>
    </row>
    <row r="6407" customFormat="false" ht="15" hidden="false" customHeight="false" outlineLevel="0" collapsed="false">
      <c r="A6407" s="15" t="s">
        <v>6464</v>
      </c>
      <c r="B6407" s="16" t="n">
        <v>45444</v>
      </c>
      <c r="C6407" s="15" t="s">
        <v>71</v>
      </c>
      <c r="D6407" s="15" t="s">
        <v>43</v>
      </c>
      <c r="E6407" s="15" t="s">
        <v>39</v>
      </c>
      <c r="F6407" s="15" t="s">
        <v>18</v>
      </c>
      <c r="G6407" s="15" t="s">
        <v>30</v>
      </c>
      <c r="H6407" s="15" t="n">
        <v>10</v>
      </c>
      <c r="I6407" s="17" t="n">
        <v>0.3</v>
      </c>
      <c r="J6407" s="18" t="n">
        <v>402.66</v>
      </c>
      <c r="K6407" s="19" t="n">
        <v>-10.75</v>
      </c>
      <c r="L6407" s="15" t="n">
        <f aca="false">YEAR(B6407)</f>
        <v>2024</v>
      </c>
      <c r="M6407" s="20" t="n">
        <f aca="false">IF(J6407&gt;0,K6407/J6407,0)</f>
        <v>-0.0266974618785079</v>
      </c>
    </row>
    <row r="6408" customFormat="false" ht="15" hidden="false" customHeight="false" outlineLevel="0" collapsed="false">
      <c r="A6408" s="15" t="s">
        <v>6465</v>
      </c>
      <c r="B6408" s="16" t="n">
        <v>45053</v>
      </c>
      <c r="C6408" s="15" t="s">
        <v>71</v>
      </c>
      <c r="D6408" s="15" t="s">
        <v>42</v>
      </c>
      <c r="E6408" s="15" t="s">
        <v>37</v>
      </c>
      <c r="F6408" s="15" t="s">
        <v>16</v>
      </c>
      <c r="G6408" s="15" t="s">
        <v>25</v>
      </c>
      <c r="H6408" s="15" t="n">
        <v>2</v>
      </c>
      <c r="I6408" s="17" t="n">
        <v>0</v>
      </c>
      <c r="J6408" s="18" t="n">
        <v>581.79</v>
      </c>
      <c r="K6408" s="19" t="n">
        <v>60.39</v>
      </c>
      <c r="L6408" s="15" t="n">
        <f aca="false">YEAR(B6408)</f>
        <v>2023</v>
      </c>
      <c r="M6408" s="20" t="n">
        <f aca="false">IF(J6408&gt;0,K6408/J6408,0)</f>
        <v>0.103800340328985</v>
      </c>
    </row>
    <row r="6409" customFormat="false" ht="15" hidden="false" customHeight="false" outlineLevel="0" collapsed="false">
      <c r="A6409" s="15" t="s">
        <v>6466</v>
      </c>
      <c r="B6409" s="16" t="n">
        <v>46008</v>
      </c>
      <c r="C6409" s="15" t="s">
        <v>68</v>
      </c>
      <c r="D6409" s="15" t="s">
        <v>42</v>
      </c>
      <c r="E6409" s="15" t="s">
        <v>37</v>
      </c>
      <c r="F6409" s="15" t="s">
        <v>16</v>
      </c>
      <c r="G6409" s="15" t="s">
        <v>27</v>
      </c>
      <c r="H6409" s="15" t="n">
        <v>1</v>
      </c>
      <c r="I6409" s="17" t="n">
        <v>0.15</v>
      </c>
      <c r="J6409" s="18" t="n">
        <v>40.64</v>
      </c>
      <c r="K6409" s="19" t="n">
        <v>1.74</v>
      </c>
      <c r="L6409" s="15" t="n">
        <f aca="false">YEAR(B6409)</f>
        <v>2025</v>
      </c>
      <c r="M6409" s="20" t="n">
        <f aca="false">IF(J6409&gt;0,K6409/J6409,0)</f>
        <v>0.0428149606299213</v>
      </c>
    </row>
    <row r="6410" customFormat="false" ht="15" hidden="false" customHeight="false" outlineLevel="0" collapsed="false">
      <c r="A6410" s="15" t="s">
        <v>6467</v>
      </c>
      <c r="B6410" s="16" t="n">
        <v>45409</v>
      </c>
      <c r="C6410" s="15" t="s">
        <v>71</v>
      </c>
      <c r="D6410" s="15" t="s">
        <v>42</v>
      </c>
      <c r="E6410" s="15" t="s">
        <v>39</v>
      </c>
      <c r="F6410" s="15" t="s">
        <v>17</v>
      </c>
      <c r="G6410" s="15" t="s">
        <v>29</v>
      </c>
      <c r="H6410" s="15" t="n">
        <v>2</v>
      </c>
      <c r="I6410" s="17" t="n">
        <v>0.05</v>
      </c>
      <c r="J6410" s="18" t="n">
        <v>29.87</v>
      </c>
      <c r="K6410" s="19" t="n">
        <v>9.13</v>
      </c>
      <c r="L6410" s="15" t="n">
        <f aca="false">YEAR(B6410)</f>
        <v>2024</v>
      </c>
      <c r="M6410" s="20" t="n">
        <f aca="false">IF(J6410&gt;0,K6410/J6410,0)</f>
        <v>0.305657850686307</v>
      </c>
    </row>
    <row r="6411" customFormat="false" ht="15" hidden="false" customHeight="false" outlineLevel="0" collapsed="false">
      <c r="A6411" s="15" t="s">
        <v>6468</v>
      </c>
      <c r="B6411" s="16" t="n">
        <v>45870</v>
      </c>
      <c r="C6411" s="15" t="s">
        <v>56</v>
      </c>
      <c r="D6411" s="15" t="s">
        <v>42</v>
      </c>
      <c r="E6411" s="15" t="s">
        <v>37</v>
      </c>
      <c r="F6411" s="15" t="s">
        <v>16</v>
      </c>
      <c r="G6411" s="15" t="s">
        <v>23</v>
      </c>
      <c r="H6411" s="15" t="n">
        <v>1</v>
      </c>
      <c r="I6411" s="17" t="n">
        <v>0.05</v>
      </c>
      <c r="J6411" s="18" t="n">
        <v>330.06</v>
      </c>
      <c r="K6411" s="19" t="n">
        <v>-2.35</v>
      </c>
      <c r="L6411" s="15" t="n">
        <f aca="false">YEAR(B6411)</f>
        <v>2025</v>
      </c>
      <c r="M6411" s="20" t="n">
        <f aca="false">IF(J6411&gt;0,K6411/J6411,0)</f>
        <v>-0.00711991759074108</v>
      </c>
    </row>
    <row r="6412" customFormat="false" ht="15" hidden="false" customHeight="false" outlineLevel="0" collapsed="false">
      <c r="A6412" s="15" t="s">
        <v>6469</v>
      </c>
      <c r="B6412" s="16" t="n">
        <v>44679</v>
      </c>
      <c r="C6412" s="15" t="s">
        <v>56</v>
      </c>
      <c r="D6412" s="15" t="s">
        <v>44</v>
      </c>
      <c r="E6412" s="15" t="s">
        <v>36</v>
      </c>
      <c r="F6412" s="15" t="s">
        <v>17</v>
      </c>
      <c r="G6412" s="15" t="s">
        <v>31</v>
      </c>
      <c r="H6412" s="15" t="n">
        <v>6</v>
      </c>
      <c r="I6412" s="17" t="n">
        <v>0</v>
      </c>
      <c r="J6412" s="18" t="n">
        <v>952.1</v>
      </c>
      <c r="K6412" s="19" t="n">
        <v>260.66</v>
      </c>
      <c r="L6412" s="15" t="n">
        <f aca="false">YEAR(B6412)</f>
        <v>2022</v>
      </c>
      <c r="M6412" s="20" t="n">
        <f aca="false">IF(J6412&gt;0,K6412/J6412,0)</f>
        <v>0.273773763260162</v>
      </c>
    </row>
    <row r="6413" customFormat="false" ht="15" hidden="false" customHeight="false" outlineLevel="0" collapsed="false">
      <c r="A6413" s="15" t="s">
        <v>6470</v>
      </c>
      <c r="B6413" s="16" t="n">
        <v>44611</v>
      </c>
      <c r="C6413" s="15" t="s">
        <v>71</v>
      </c>
      <c r="D6413" s="15" t="s">
        <v>43</v>
      </c>
      <c r="E6413" s="15" t="s">
        <v>36</v>
      </c>
      <c r="F6413" s="15" t="s">
        <v>17</v>
      </c>
      <c r="G6413" s="15" t="s">
        <v>28</v>
      </c>
      <c r="H6413" s="15" t="n">
        <v>3</v>
      </c>
      <c r="I6413" s="17" t="n">
        <v>0.2</v>
      </c>
      <c r="J6413" s="18" t="n">
        <v>68.82</v>
      </c>
      <c r="K6413" s="19" t="n">
        <v>4.51</v>
      </c>
      <c r="L6413" s="15" t="n">
        <f aca="false">YEAR(B6413)</f>
        <v>2022</v>
      </c>
      <c r="M6413" s="20" t="n">
        <f aca="false">IF(J6413&gt;0,K6413/J6413,0)</f>
        <v>0.0655332752106946</v>
      </c>
    </row>
    <row r="6414" customFormat="false" ht="15" hidden="false" customHeight="false" outlineLevel="0" collapsed="false">
      <c r="A6414" s="15" t="s">
        <v>6471</v>
      </c>
      <c r="B6414" s="16" t="n">
        <v>45961</v>
      </c>
      <c r="C6414" s="15" t="s">
        <v>68</v>
      </c>
      <c r="D6414" s="15" t="s">
        <v>42</v>
      </c>
      <c r="E6414" s="15" t="s">
        <v>39</v>
      </c>
      <c r="F6414" s="15" t="s">
        <v>17</v>
      </c>
      <c r="G6414" s="15" t="s">
        <v>28</v>
      </c>
      <c r="H6414" s="15" t="n">
        <v>3</v>
      </c>
      <c r="I6414" s="17" t="n">
        <v>0.05</v>
      </c>
      <c r="J6414" s="18" t="n">
        <v>72.83</v>
      </c>
      <c r="K6414" s="19" t="n">
        <v>14.35</v>
      </c>
      <c r="L6414" s="15" t="n">
        <f aca="false">YEAR(B6414)</f>
        <v>2025</v>
      </c>
      <c r="M6414" s="20" t="n">
        <f aca="false">IF(J6414&gt;0,K6414/J6414,0)</f>
        <v>0.197034189207744</v>
      </c>
    </row>
    <row r="6415" customFormat="false" ht="15" hidden="false" customHeight="false" outlineLevel="0" collapsed="false">
      <c r="A6415" s="15" t="s">
        <v>6472</v>
      </c>
      <c r="B6415" s="16" t="n">
        <v>45988</v>
      </c>
      <c r="C6415" s="15" t="s">
        <v>71</v>
      </c>
      <c r="D6415" s="15" t="s">
        <v>43</v>
      </c>
      <c r="E6415" s="15" t="s">
        <v>38</v>
      </c>
      <c r="F6415" s="15" t="s">
        <v>18</v>
      </c>
      <c r="G6415" s="15" t="s">
        <v>30</v>
      </c>
      <c r="H6415" s="15" t="n">
        <v>5</v>
      </c>
      <c r="I6415" s="17" t="n">
        <v>0.05</v>
      </c>
      <c r="J6415" s="18" t="n">
        <v>234.11</v>
      </c>
      <c r="K6415" s="19" t="n">
        <v>67.32</v>
      </c>
      <c r="L6415" s="15" t="n">
        <f aca="false">YEAR(B6415)</f>
        <v>2025</v>
      </c>
      <c r="M6415" s="20" t="n">
        <f aca="false">IF(J6415&gt;0,K6415/J6415,0)</f>
        <v>0.287557131263081</v>
      </c>
    </row>
    <row r="6416" customFormat="false" ht="15" hidden="false" customHeight="false" outlineLevel="0" collapsed="false">
      <c r="A6416" s="15" t="s">
        <v>6473</v>
      </c>
      <c r="B6416" s="16" t="n">
        <v>45767</v>
      </c>
      <c r="C6416" s="15" t="s">
        <v>56</v>
      </c>
      <c r="D6416" s="15" t="s">
        <v>43</v>
      </c>
      <c r="E6416" s="15" t="s">
        <v>38</v>
      </c>
      <c r="F6416" s="15" t="s">
        <v>17</v>
      </c>
      <c r="G6416" s="15" t="s">
        <v>29</v>
      </c>
      <c r="H6416" s="15" t="n">
        <v>1</v>
      </c>
      <c r="I6416" s="17" t="n">
        <v>0</v>
      </c>
      <c r="J6416" s="18" t="n">
        <v>13.36</v>
      </c>
      <c r="K6416" s="19" t="n">
        <v>4.22</v>
      </c>
      <c r="L6416" s="15" t="n">
        <f aca="false">YEAR(B6416)</f>
        <v>2025</v>
      </c>
      <c r="M6416" s="20" t="n">
        <f aca="false">IF(J6416&gt;0,K6416/J6416,0)</f>
        <v>0.315868263473054</v>
      </c>
    </row>
    <row r="6417" customFormat="false" ht="15" hidden="false" customHeight="false" outlineLevel="0" collapsed="false">
      <c r="A6417" s="15" t="s">
        <v>6474</v>
      </c>
      <c r="B6417" s="16" t="n">
        <v>46008</v>
      </c>
      <c r="C6417" s="15" t="s">
        <v>56</v>
      </c>
      <c r="D6417" s="15" t="s">
        <v>43</v>
      </c>
      <c r="E6417" s="15" t="s">
        <v>39</v>
      </c>
      <c r="F6417" s="15" t="s">
        <v>18</v>
      </c>
      <c r="G6417" s="15" t="s">
        <v>30</v>
      </c>
      <c r="H6417" s="15" t="n">
        <v>3</v>
      </c>
      <c r="I6417" s="17" t="n">
        <v>0</v>
      </c>
      <c r="J6417" s="18" t="n">
        <v>143.61</v>
      </c>
      <c r="K6417" s="19" t="n">
        <v>40.14</v>
      </c>
      <c r="L6417" s="15" t="n">
        <f aca="false">YEAR(B6417)</f>
        <v>2025</v>
      </c>
      <c r="M6417" s="20" t="n">
        <f aca="false">IF(J6417&gt;0,K6417/J6417,0)</f>
        <v>0.279506998119908</v>
      </c>
    </row>
    <row r="6418" customFormat="false" ht="15" hidden="false" customHeight="false" outlineLevel="0" collapsed="false">
      <c r="A6418" s="15" t="s">
        <v>6475</v>
      </c>
      <c r="B6418" s="16" t="n">
        <v>44628</v>
      </c>
      <c r="C6418" s="15" t="s">
        <v>71</v>
      </c>
      <c r="D6418" s="15" t="s">
        <v>42</v>
      </c>
      <c r="E6418" s="15" t="s">
        <v>39</v>
      </c>
      <c r="F6418" s="15" t="s">
        <v>17</v>
      </c>
      <c r="G6418" s="15" t="s">
        <v>28</v>
      </c>
      <c r="H6418" s="15" t="n">
        <v>4</v>
      </c>
      <c r="I6418" s="17" t="n">
        <v>0</v>
      </c>
      <c r="J6418" s="18" t="n">
        <v>71.69</v>
      </c>
      <c r="K6418" s="19" t="n">
        <v>16.69</v>
      </c>
      <c r="L6418" s="15" t="n">
        <f aca="false">YEAR(B6418)</f>
        <v>2022</v>
      </c>
      <c r="M6418" s="20" t="n">
        <f aca="false">IF(J6418&gt;0,K6418/J6418,0)</f>
        <v>0.232807923001813</v>
      </c>
    </row>
    <row r="6419" customFormat="false" ht="15" hidden="false" customHeight="false" outlineLevel="0" collapsed="false">
      <c r="A6419" s="15" t="s">
        <v>6476</v>
      </c>
      <c r="B6419" s="16" t="n">
        <v>44966</v>
      </c>
      <c r="C6419" s="15" t="s">
        <v>56</v>
      </c>
      <c r="D6419" s="15" t="s">
        <v>42</v>
      </c>
      <c r="E6419" s="15" t="s">
        <v>39</v>
      </c>
      <c r="F6419" s="15" t="s">
        <v>17</v>
      </c>
      <c r="G6419" s="15" t="s">
        <v>26</v>
      </c>
      <c r="H6419" s="15" t="n">
        <v>4</v>
      </c>
      <c r="I6419" s="17" t="n">
        <v>0.1</v>
      </c>
      <c r="J6419" s="18" t="n">
        <v>269.47</v>
      </c>
      <c r="K6419" s="19" t="n">
        <v>11.53</v>
      </c>
      <c r="L6419" s="15" t="n">
        <f aca="false">YEAR(B6419)</f>
        <v>2023</v>
      </c>
      <c r="M6419" s="20" t="n">
        <f aca="false">IF(J6419&gt;0,K6419/J6419,0)</f>
        <v>0.0427876943630089</v>
      </c>
    </row>
    <row r="6420" customFormat="false" ht="15" hidden="false" customHeight="false" outlineLevel="0" collapsed="false">
      <c r="A6420" s="15" t="s">
        <v>6477</v>
      </c>
      <c r="B6420" s="16" t="n">
        <v>45656</v>
      </c>
      <c r="C6420" s="15" t="s">
        <v>56</v>
      </c>
      <c r="D6420" s="15" t="s">
        <v>44</v>
      </c>
      <c r="E6420" s="15" t="s">
        <v>38</v>
      </c>
      <c r="F6420" s="15" t="s">
        <v>18</v>
      </c>
      <c r="G6420" s="15" t="s">
        <v>32</v>
      </c>
      <c r="H6420" s="15" t="n">
        <v>1</v>
      </c>
      <c r="I6420" s="17" t="n">
        <v>0.3</v>
      </c>
      <c r="J6420" s="18" t="n">
        <v>253.42</v>
      </c>
      <c r="K6420" s="19" t="n">
        <v>-23.01</v>
      </c>
      <c r="L6420" s="15" t="n">
        <f aca="false">YEAR(B6420)</f>
        <v>2024</v>
      </c>
      <c r="M6420" s="20" t="n">
        <f aca="false">IF(J6420&gt;0,K6420/J6420,0)</f>
        <v>-0.0907978849341015</v>
      </c>
    </row>
    <row r="6421" customFormat="false" ht="15" hidden="false" customHeight="false" outlineLevel="0" collapsed="false">
      <c r="A6421" s="15" t="s">
        <v>6478</v>
      </c>
      <c r="B6421" s="16" t="n">
        <v>45169</v>
      </c>
      <c r="C6421" s="15" t="s">
        <v>56</v>
      </c>
      <c r="D6421" s="15" t="s">
        <v>42</v>
      </c>
      <c r="E6421" s="15" t="s">
        <v>36</v>
      </c>
      <c r="F6421" s="15" t="s">
        <v>17</v>
      </c>
      <c r="G6421" s="15" t="s">
        <v>26</v>
      </c>
      <c r="H6421" s="15" t="n">
        <v>6</v>
      </c>
      <c r="I6421" s="17" t="n">
        <v>0.1</v>
      </c>
      <c r="J6421" s="18" t="n">
        <v>454.42</v>
      </c>
      <c r="K6421" s="19" t="n">
        <v>-2.1</v>
      </c>
      <c r="L6421" s="15" t="n">
        <f aca="false">YEAR(B6421)</f>
        <v>2023</v>
      </c>
      <c r="M6421" s="20" t="n">
        <f aca="false">IF(J6421&gt;0,K6421/J6421,0)</f>
        <v>-0.00462127547203028</v>
      </c>
    </row>
    <row r="6422" customFormat="false" ht="15" hidden="false" customHeight="false" outlineLevel="0" collapsed="false">
      <c r="A6422" s="15" t="s">
        <v>6479</v>
      </c>
      <c r="B6422" s="16" t="n">
        <v>45639</v>
      </c>
      <c r="C6422" s="15" t="s">
        <v>68</v>
      </c>
      <c r="D6422" s="15" t="s">
        <v>44</v>
      </c>
      <c r="E6422" s="15" t="s">
        <v>39</v>
      </c>
      <c r="F6422" s="15" t="s">
        <v>16</v>
      </c>
      <c r="G6422" s="15" t="s">
        <v>22</v>
      </c>
      <c r="H6422" s="15" t="n">
        <v>3</v>
      </c>
      <c r="I6422" s="17" t="n">
        <v>0.1</v>
      </c>
      <c r="J6422" s="18" t="n">
        <v>1650.65</v>
      </c>
      <c r="K6422" s="19" t="n">
        <v>-193.72</v>
      </c>
      <c r="L6422" s="15" t="n">
        <f aca="false">YEAR(B6422)</f>
        <v>2024</v>
      </c>
      <c r="M6422" s="20" t="n">
        <f aca="false">IF(J6422&gt;0,K6422/J6422,0)</f>
        <v>-0.117359827946566</v>
      </c>
    </row>
    <row r="6423" customFormat="false" ht="15" hidden="false" customHeight="false" outlineLevel="0" collapsed="false">
      <c r="A6423" s="15" t="s">
        <v>6480</v>
      </c>
      <c r="B6423" s="16" t="n">
        <v>44779</v>
      </c>
      <c r="C6423" s="15" t="s">
        <v>71</v>
      </c>
      <c r="D6423" s="15" t="s">
        <v>43</v>
      </c>
      <c r="E6423" s="15" t="s">
        <v>36</v>
      </c>
      <c r="F6423" s="15" t="s">
        <v>18</v>
      </c>
      <c r="G6423" s="15" t="s">
        <v>24</v>
      </c>
      <c r="H6423" s="15" t="n">
        <v>4</v>
      </c>
      <c r="I6423" s="17" t="n">
        <v>0</v>
      </c>
      <c r="J6423" s="18" t="n">
        <v>2754.56</v>
      </c>
      <c r="K6423" s="19" t="n">
        <v>-18.5</v>
      </c>
      <c r="L6423" s="15" t="n">
        <f aca="false">YEAR(B6423)</f>
        <v>2022</v>
      </c>
      <c r="M6423" s="20" t="n">
        <f aca="false">IF(J6423&gt;0,K6423/J6423,0)</f>
        <v>-0.00671613615241636</v>
      </c>
    </row>
    <row r="6424" customFormat="false" ht="15" hidden="false" customHeight="false" outlineLevel="0" collapsed="false">
      <c r="A6424" s="15" t="s">
        <v>6481</v>
      </c>
      <c r="B6424" s="16" t="n">
        <v>45556</v>
      </c>
      <c r="C6424" s="15" t="s">
        <v>68</v>
      </c>
      <c r="D6424" s="15" t="s">
        <v>42</v>
      </c>
      <c r="E6424" s="15" t="s">
        <v>36</v>
      </c>
      <c r="F6424" s="15" t="s">
        <v>17</v>
      </c>
      <c r="G6424" s="15" t="s">
        <v>28</v>
      </c>
      <c r="H6424" s="15" t="n">
        <v>5</v>
      </c>
      <c r="I6424" s="17" t="n">
        <v>0.15</v>
      </c>
      <c r="J6424" s="18" t="n">
        <v>97.38</v>
      </c>
      <c r="K6424" s="19" t="n">
        <v>22.38</v>
      </c>
      <c r="L6424" s="15" t="n">
        <f aca="false">YEAR(B6424)</f>
        <v>2024</v>
      </c>
      <c r="M6424" s="20" t="n">
        <f aca="false">IF(J6424&gt;0,K6424/J6424,0)</f>
        <v>0.229821318545903</v>
      </c>
    </row>
    <row r="6425" customFormat="false" ht="15" hidden="false" customHeight="false" outlineLevel="0" collapsed="false">
      <c r="A6425" s="15" t="s">
        <v>6482</v>
      </c>
      <c r="B6425" s="16" t="n">
        <v>46012</v>
      </c>
      <c r="C6425" s="15" t="s">
        <v>56</v>
      </c>
      <c r="D6425" s="15" t="s">
        <v>43</v>
      </c>
      <c r="E6425" s="15" t="s">
        <v>37</v>
      </c>
      <c r="F6425" s="15" t="s">
        <v>17</v>
      </c>
      <c r="G6425" s="15" t="s">
        <v>26</v>
      </c>
      <c r="H6425" s="15" t="n">
        <v>5</v>
      </c>
      <c r="I6425" s="17" t="n">
        <v>0.2</v>
      </c>
      <c r="J6425" s="18" t="n">
        <v>455.56</v>
      </c>
      <c r="K6425" s="19" t="n">
        <v>-52.79</v>
      </c>
      <c r="L6425" s="15" t="n">
        <f aca="false">YEAR(B6425)</f>
        <v>2025</v>
      </c>
      <c r="M6425" s="20" t="n">
        <f aca="false">IF(J6425&gt;0,K6425/J6425,0)</f>
        <v>-0.115879357274563</v>
      </c>
    </row>
    <row r="6426" customFormat="false" ht="15" hidden="false" customHeight="false" outlineLevel="0" collapsed="false">
      <c r="A6426" s="15" t="s">
        <v>6483</v>
      </c>
      <c r="B6426" s="16" t="n">
        <v>45876</v>
      </c>
      <c r="C6426" s="15" t="s">
        <v>68</v>
      </c>
      <c r="D6426" s="15" t="s">
        <v>42</v>
      </c>
      <c r="E6426" s="15" t="s">
        <v>37</v>
      </c>
      <c r="F6426" s="15" t="s">
        <v>18</v>
      </c>
      <c r="G6426" s="15" t="s">
        <v>33</v>
      </c>
      <c r="H6426" s="15" t="n">
        <v>3</v>
      </c>
      <c r="I6426" s="17" t="n">
        <v>0.15</v>
      </c>
      <c r="J6426" s="18" t="n">
        <v>2488.7</v>
      </c>
      <c r="K6426" s="19" t="n">
        <v>320.29</v>
      </c>
      <c r="L6426" s="15" t="n">
        <f aca="false">YEAR(B6426)</f>
        <v>2025</v>
      </c>
      <c r="M6426" s="20" t="n">
        <f aca="false">IF(J6426&gt;0,K6426/J6426,0)</f>
        <v>0.128697713665769</v>
      </c>
    </row>
    <row r="6427" customFormat="false" ht="15" hidden="false" customHeight="false" outlineLevel="0" collapsed="false">
      <c r="A6427" s="15" t="s">
        <v>6484</v>
      </c>
      <c r="B6427" s="16" t="n">
        <v>45449</v>
      </c>
      <c r="C6427" s="15" t="s">
        <v>68</v>
      </c>
      <c r="D6427" s="15" t="s">
        <v>44</v>
      </c>
      <c r="E6427" s="15" t="s">
        <v>39</v>
      </c>
      <c r="F6427" s="15" t="s">
        <v>16</v>
      </c>
      <c r="G6427" s="15" t="s">
        <v>23</v>
      </c>
      <c r="H6427" s="15" t="n">
        <v>6</v>
      </c>
      <c r="I6427" s="17" t="n">
        <v>0</v>
      </c>
      <c r="J6427" s="18" t="n">
        <v>1916.27</v>
      </c>
      <c r="K6427" s="19" t="n">
        <v>64.62</v>
      </c>
      <c r="L6427" s="15" t="n">
        <f aca="false">YEAR(B6427)</f>
        <v>2024</v>
      </c>
      <c r="M6427" s="20" t="n">
        <f aca="false">IF(J6427&gt;0,K6427/J6427,0)</f>
        <v>0.0337217615471724</v>
      </c>
    </row>
    <row r="6428" customFormat="false" ht="15" hidden="false" customHeight="false" outlineLevel="0" collapsed="false">
      <c r="A6428" s="15" t="s">
        <v>6485</v>
      </c>
      <c r="B6428" s="16" t="n">
        <v>45024</v>
      </c>
      <c r="C6428" s="15" t="s">
        <v>71</v>
      </c>
      <c r="D6428" s="15" t="s">
        <v>42</v>
      </c>
      <c r="E6428" s="15" t="s">
        <v>39</v>
      </c>
      <c r="F6428" s="15" t="s">
        <v>17</v>
      </c>
      <c r="G6428" s="15" t="s">
        <v>28</v>
      </c>
      <c r="H6428" s="15" t="n">
        <v>2</v>
      </c>
      <c r="I6428" s="17" t="n">
        <v>0</v>
      </c>
      <c r="J6428" s="18" t="n">
        <v>58.38</v>
      </c>
      <c r="K6428" s="19" t="n">
        <v>18.8</v>
      </c>
      <c r="L6428" s="15" t="n">
        <f aca="false">YEAR(B6428)</f>
        <v>2023</v>
      </c>
      <c r="M6428" s="20" t="n">
        <f aca="false">IF(J6428&gt;0,K6428/J6428,0)</f>
        <v>0.322028091812265</v>
      </c>
    </row>
    <row r="6429" customFormat="false" ht="15" hidden="false" customHeight="false" outlineLevel="0" collapsed="false">
      <c r="A6429" s="15" t="s">
        <v>6486</v>
      </c>
      <c r="B6429" s="16" t="n">
        <v>45675</v>
      </c>
      <c r="C6429" s="15" t="s">
        <v>56</v>
      </c>
      <c r="D6429" s="15" t="s">
        <v>44</v>
      </c>
      <c r="E6429" s="15" t="s">
        <v>37</v>
      </c>
      <c r="F6429" s="15" t="s">
        <v>18</v>
      </c>
      <c r="G6429" s="15" t="s">
        <v>30</v>
      </c>
      <c r="H6429" s="15" t="n">
        <v>2</v>
      </c>
      <c r="I6429" s="17" t="n">
        <v>0</v>
      </c>
      <c r="J6429" s="18" t="n">
        <v>88.12</v>
      </c>
      <c r="K6429" s="19" t="n">
        <v>28.17</v>
      </c>
      <c r="L6429" s="15" t="n">
        <f aca="false">YEAR(B6429)</f>
        <v>2025</v>
      </c>
      <c r="M6429" s="20" t="n">
        <f aca="false">IF(J6429&gt;0,K6429/J6429,0)</f>
        <v>0.319677712210622</v>
      </c>
    </row>
    <row r="6430" customFormat="false" ht="15" hidden="false" customHeight="false" outlineLevel="0" collapsed="false">
      <c r="A6430" s="15" t="s">
        <v>6487</v>
      </c>
      <c r="B6430" s="16" t="n">
        <v>45391</v>
      </c>
      <c r="C6430" s="15" t="s">
        <v>56</v>
      </c>
      <c r="D6430" s="15" t="s">
        <v>42</v>
      </c>
      <c r="E6430" s="15" t="s">
        <v>37</v>
      </c>
      <c r="F6430" s="15" t="s">
        <v>18</v>
      </c>
      <c r="G6430" s="15" t="s">
        <v>30</v>
      </c>
      <c r="H6430" s="15" t="n">
        <v>5</v>
      </c>
      <c r="I6430" s="17" t="n">
        <v>0</v>
      </c>
      <c r="J6430" s="18" t="n">
        <v>234.25</v>
      </c>
      <c r="K6430" s="19" t="n">
        <v>66.46</v>
      </c>
      <c r="L6430" s="15" t="n">
        <f aca="false">YEAR(B6430)</f>
        <v>2024</v>
      </c>
      <c r="M6430" s="20" t="n">
        <f aca="false">IF(J6430&gt;0,K6430/J6430,0)</f>
        <v>0.283713980789755</v>
      </c>
    </row>
    <row r="6431" customFormat="false" ht="15" hidden="false" customHeight="false" outlineLevel="0" collapsed="false">
      <c r="A6431" s="15" t="s">
        <v>6488</v>
      </c>
      <c r="B6431" s="16" t="n">
        <v>45525</v>
      </c>
      <c r="C6431" s="15" t="s">
        <v>68</v>
      </c>
      <c r="D6431" s="15" t="s">
        <v>42</v>
      </c>
      <c r="E6431" s="15" t="s">
        <v>39</v>
      </c>
      <c r="F6431" s="15" t="s">
        <v>17</v>
      </c>
      <c r="G6431" s="15" t="s">
        <v>29</v>
      </c>
      <c r="H6431" s="15" t="n">
        <v>5</v>
      </c>
      <c r="I6431" s="17" t="n">
        <v>0</v>
      </c>
      <c r="J6431" s="18" t="n">
        <v>77.88</v>
      </c>
      <c r="K6431" s="19" t="n">
        <v>25.29</v>
      </c>
      <c r="L6431" s="15" t="n">
        <f aca="false">YEAR(B6431)</f>
        <v>2024</v>
      </c>
      <c r="M6431" s="20" t="n">
        <f aca="false">IF(J6431&gt;0,K6431/J6431,0)</f>
        <v>0.324730354391371</v>
      </c>
    </row>
    <row r="6432" customFormat="false" ht="15" hidden="false" customHeight="false" outlineLevel="0" collapsed="false">
      <c r="A6432" s="15" t="s">
        <v>6489</v>
      </c>
      <c r="B6432" s="16" t="n">
        <v>45411</v>
      </c>
      <c r="C6432" s="15" t="s">
        <v>56</v>
      </c>
      <c r="D6432" s="15" t="s">
        <v>43</v>
      </c>
      <c r="E6432" s="15" t="s">
        <v>37</v>
      </c>
      <c r="F6432" s="15" t="s">
        <v>17</v>
      </c>
      <c r="G6432" s="15" t="s">
        <v>29</v>
      </c>
      <c r="H6432" s="15" t="n">
        <v>3</v>
      </c>
      <c r="I6432" s="17" t="n">
        <v>0</v>
      </c>
      <c r="J6432" s="18" t="n">
        <v>60.63</v>
      </c>
      <c r="K6432" s="19" t="n">
        <v>24.92</v>
      </c>
      <c r="L6432" s="15" t="n">
        <f aca="false">YEAR(B6432)</f>
        <v>2024</v>
      </c>
      <c r="M6432" s="20" t="n">
        <f aca="false">IF(J6432&gt;0,K6432/J6432,0)</f>
        <v>0.411017648029029</v>
      </c>
    </row>
    <row r="6433" customFormat="false" ht="15" hidden="false" customHeight="false" outlineLevel="0" collapsed="false">
      <c r="A6433" s="15" t="s">
        <v>6490</v>
      </c>
      <c r="B6433" s="16" t="n">
        <v>45262</v>
      </c>
      <c r="C6433" s="15" t="s">
        <v>56</v>
      </c>
      <c r="D6433" s="15" t="s">
        <v>43</v>
      </c>
      <c r="E6433" s="15" t="s">
        <v>39</v>
      </c>
      <c r="F6433" s="15" t="s">
        <v>17</v>
      </c>
      <c r="G6433" s="15" t="s">
        <v>28</v>
      </c>
      <c r="H6433" s="15" t="n">
        <v>2</v>
      </c>
      <c r="I6433" s="17" t="n">
        <v>0.3</v>
      </c>
      <c r="J6433" s="18" t="n">
        <v>40.39</v>
      </c>
      <c r="K6433" s="19" t="n">
        <v>3.98</v>
      </c>
      <c r="L6433" s="15" t="n">
        <f aca="false">YEAR(B6433)</f>
        <v>2023</v>
      </c>
      <c r="M6433" s="20" t="n">
        <f aca="false">IF(J6433&gt;0,K6433/J6433,0)</f>
        <v>0.0985392423867294</v>
      </c>
    </row>
    <row r="6434" customFormat="false" ht="15" hidden="false" customHeight="false" outlineLevel="0" collapsed="false">
      <c r="A6434" s="15" t="s">
        <v>6491</v>
      </c>
      <c r="B6434" s="16" t="n">
        <v>45938</v>
      </c>
      <c r="C6434" s="15" t="s">
        <v>56</v>
      </c>
      <c r="D6434" s="15" t="s">
        <v>43</v>
      </c>
      <c r="E6434" s="15" t="s">
        <v>38</v>
      </c>
      <c r="F6434" s="15" t="s">
        <v>17</v>
      </c>
      <c r="G6434" s="15" t="s">
        <v>28</v>
      </c>
      <c r="H6434" s="15" t="n">
        <v>5</v>
      </c>
      <c r="I6434" s="17" t="n">
        <v>0.1</v>
      </c>
      <c r="J6434" s="18" t="n">
        <v>122.01</v>
      </c>
      <c r="K6434" s="19" t="n">
        <v>21.23</v>
      </c>
      <c r="L6434" s="15" t="n">
        <f aca="false">YEAR(B6434)</f>
        <v>2025</v>
      </c>
      <c r="M6434" s="20" t="n">
        <f aca="false">IF(J6434&gt;0,K6434/J6434,0)</f>
        <v>0.174002130972871</v>
      </c>
    </row>
    <row r="6435" customFormat="false" ht="15" hidden="false" customHeight="false" outlineLevel="0" collapsed="false">
      <c r="A6435" s="15" t="s">
        <v>6492</v>
      </c>
      <c r="B6435" s="16" t="n">
        <v>45632</v>
      </c>
      <c r="C6435" s="15" t="s">
        <v>56</v>
      </c>
      <c r="D6435" s="15" t="s">
        <v>43</v>
      </c>
      <c r="E6435" s="15" t="s">
        <v>36</v>
      </c>
      <c r="F6435" s="15" t="s">
        <v>17</v>
      </c>
      <c r="G6435" s="15" t="s">
        <v>28</v>
      </c>
      <c r="H6435" s="15" t="n">
        <v>9</v>
      </c>
      <c r="I6435" s="17" t="n">
        <v>0.1</v>
      </c>
      <c r="J6435" s="18" t="n">
        <v>220.85</v>
      </c>
      <c r="K6435" s="19" t="n">
        <v>38.41</v>
      </c>
      <c r="L6435" s="15" t="n">
        <f aca="false">YEAR(B6435)</f>
        <v>2024</v>
      </c>
      <c r="M6435" s="20" t="n">
        <f aca="false">IF(J6435&gt;0,K6435/J6435,0)</f>
        <v>0.173918949513244</v>
      </c>
    </row>
    <row r="6436" customFormat="false" ht="15" hidden="false" customHeight="false" outlineLevel="0" collapsed="false">
      <c r="A6436" s="15" t="s">
        <v>6493</v>
      </c>
      <c r="B6436" s="16" t="n">
        <v>44916</v>
      </c>
      <c r="C6436" s="15" t="s">
        <v>56</v>
      </c>
      <c r="D6436" s="15" t="s">
        <v>42</v>
      </c>
      <c r="E6436" s="15" t="s">
        <v>37</v>
      </c>
      <c r="F6436" s="15" t="s">
        <v>17</v>
      </c>
      <c r="G6436" s="15" t="s">
        <v>29</v>
      </c>
      <c r="H6436" s="15" t="n">
        <v>2</v>
      </c>
      <c r="I6436" s="17" t="n">
        <v>0</v>
      </c>
      <c r="J6436" s="18" t="n">
        <v>35.81</v>
      </c>
      <c r="K6436" s="19" t="n">
        <v>10.88</v>
      </c>
      <c r="L6436" s="15" t="n">
        <f aca="false">YEAR(B6436)</f>
        <v>2022</v>
      </c>
      <c r="M6436" s="20" t="n">
        <f aca="false">IF(J6436&gt;0,K6436/J6436,0)</f>
        <v>0.303825746998045</v>
      </c>
    </row>
    <row r="6437" customFormat="false" ht="15" hidden="false" customHeight="false" outlineLevel="0" collapsed="false">
      <c r="A6437" s="15" t="s">
        <v>6494</v>
      </c>
      <c r="B6437" s="16" t="n">
        <v>44887</v>
      </c>
      <c r="C6437" s="15" t="s">
        <v>56</v>
      </c>
      <c r="D6437" s="15" t="s">
        <v>44</v>
      </c>
      <c r="E6437" s="15" t="s">
        <v>39</v>
      </c>
      <c r="F6437" s="15" t="s">
        <v>17</v>
      </c>
      <c r="G6437" s="15" t="s">
        <v>28</v>
      </c>
      <c r="H6437" s="15" t="n">
        <v>4</v>
      </c>
      <c r="I6437" s="17" t="n">
        <v>0.2</v>
      </c>
      <c r="J6437" s="18" t="n">
        <v>90.65</v>
      </c>
      <c r="K6437" s="19" t="n">
        <v>6.25</v>
      </c>
      <c r="L6437" s="15" t="n">
        <f aca="false">YEAR(B6437)</f>
        <v>2022</v>
      </c>
      <c r="M6437" s="20" t="n">
        <f aca="false">IF(J6437&gt;0,K6437/J6437,0)</f>
        <v>0.0689464975179261</v>
      </c>
    </row>
    <row r="6438" customFormat="false" ht="15" hidden="false" customHeight="false" outlineLevel="0" collapsed="false">
      <c r="A6438" s="15" t="s">
        <v>6495</v>
      </c>
      <c r="B6438" s="16" t="n">
        <v>45158</v>
      </c>
      <c r="C6438" s="15" t="s">
        <v>58</v>
      </c>
      <c r="D6438" s="15" t="s">
        <v>44</v>
      </c>
      <c r="E6438" s="15" t="s">
        <v>36</v>
      </c>
      <c r="F6438" s="15" t="s">
        <v>17</v>
      </c>
      <c r="G6438" s="15" t="s">
        <v>28</v>
      </c>
      <c r="H6438" s="15" t="n">
        <v>2</v>
      </c>
      <c r="I6438" s="17" t="n">
        <v>0</v>
      </c>
      <c r="J6438" s="18" t="n">
        <v>42.13</v>
      </c>
      <c r="K6438" s="19" t="n">
        <v>15.26</v>
      </c>
      <c r="L6438" s="15" t="n">
        <f aca="false">YEAR(B6438)</f>
        <v>2023</v>
      </c>
      <c r="M6438" s="20" t="n">
        <f aca="false">IF(J6438&gt;0,K6438/J6438,0)</f>
        <v>0.362212200332305</v>
      </c>
    </row>
    <row r="6439" customFormat="false" ht="15" hidden="false" customHeight="false" outlineLevel="0" collapsed="false">
      <c r="A6439" s="15" t="s">
        <v>6496</v>
      </c>
      <c r="B6439" s="16" t="n">
        <v>45837</v>
      </c>
      <c r="C6439" s="15" t="s">
        <v>56</v>
      </c>
      <c r="D6439" s="15" t="s">
        <v>44</v>
      </c>
      <c r="E6439" s="15" t="s">
        <v>36</v>
      </c>
      <c r="F6439" s="15" t="s">
        <v>17</v>
      </c>
      <c r="G6439" s="15" t="s">
        <v>26</v>
      </c>
      <c r="H6439" s="15" t="n">
        <v>1</v>
      </c>
      <c r="I6439" s="17" t="n">
        <v>0.05</v>
      </c>
      <c r="J6439" s="18" t="n">
        <v>70.57</v>
      </c>
      <c r="K6439" s="19" t="n">
        <v>10.89</v>
      </c>
      <c r="L6439" s="15" t="n">
        <f aca="false">YEAR(B6439)</f>
        <v>2025</v>
      </c>
      <c r="M6439" s="20" t="n">
        <f aca="false">IF(J6439&gt;0,K6439/J6439,0)</f>
        <v>0.154314864673374</v>
      </c>
    </row>
    <row r="6440" customFormat="false" ht="15" hidden="false" customHeight="false" outlineLevel="0" collapsed="false">
      <c r="A6440" s="15" t="s">
        <v>6497</v>
      </c>
      <c r="B6440" s="16" t="n">
        <v>45648</v>
      </c>
      <c r="C6440" s="15" t="s">
        <v>68</v>
      </c>
      <c r="D6440" s="15" t="s">
        <v>43</v>
      </c>
      <c r="E6440" s="15" t="s">
        <v>39</v>
      </c>
      <c r="F6440" s="15" t="s">
        <v>18</v>
      </c>
      <c r="G6440" s="15" t="s">
        <v>30</v>
      </c>
      <c r="H6440" s="15" t="n">
        <v>4</v>
      </c>
      <c r="I6440" s="17" t="n">
        <v>0.1</v>
      </c>
      <c r="J6440" s="18" t="n">
        <v>175.61</v>
      </c>
      <c r="K6440" s="19" t="n">
        <v>39.63</v>
      </c>
      <c r="L6440" s="15" t="n">
        <f aca="false">YEAR(B6440)</f>
        <v>2024</v>
      </c>
      <c r="M6440" s="20" t="n">
        <f aca="false">IF(J6440&gt;0,K6440/J6440,0)</f>
        <v>0.225670519902056</v>
      </c>
    </row>
    <row r="6441" customFormat="false" ht="15" hidden="false" customHeight="false" outlineLevel="0" collapsed="false">
      <c r="A6441" s="15" t="s">
        <v>6498</v>
      </c>
      <c r="B6441" s="16" t="n">
        <v>44974</v>
      </c>
      <c r="C6441" s="15" t="s">
        <v>56</v>
      </c>
      <c r="D6441" s="15" t="s">
        <v>42</v>
      </c>
      <c r="E6441" s="15" t="s">
        <v>37</v>
      </c>
      <c r="F6441" s="15" t="s">
        <v>17</v>
      </c>
      <c r="G6441" s="15" t="s">
        <v>28</v>
      </c>
      <c r="H6441" s="15" t="n">
        <v>3</v>
      </c>
      <c r="I6441" s="17" t="n">
        <v>0.2</v>
      </c>
      <c r="J6441" s="18" t="n">
        <v>60.93</v>
      </c>
      <c r="K6441" s="19" t="n">
        <v>6.14</v>
      </c>
      <c r="L6441" s="15" t="n">
        <f aca="false">YEAR(B6441)</f>
        <v>2023</v>
      </c>
      <c r="M6441" s="20" t="n">
        <f aca="false">IF(J6441&gt;0,K6441/J6441,0)</f>
        <v>0.100771376989989</v>
      </c>
    </row>
    <row r="6442" customFormat="false" ht="15" hidden="false" customHeight="false" outlineLevel="0" collapsed="false">
      <c r="A6442" s="15" t="s">
        <v>6499</v>
      </c>
      <c r="B6442" s="16" t="n">
        <v>44749</v>
      </c>
      <c r="C6442" s="15" t="s">
        <v>68</v>
      </c>
      <c r="D6442" s="15" t="s">
        <v>43</v>
      </c>
      <c r="E6442" s="15" t="s">
        <v>38</v>
      </c>
      <c r="F6442" s="15" t="s">
        <v>17</v>
      </c>
      <c r="G6442" s="15" t="s">
        <v>29</v>
      </c>
      <c r="H6442" s="15" t="n">
        <v>2</v>
      </c>
      <c r="I6442" s="17" t="n">
        <v>0</v>
      </c>
      <c r="J6442" s="18" t="n">
        <v>28.64</v>
      </c>
      <c r="K6442" s="19" t="n">
        <v>10.94</v>
      </c>
      <c r="L6442" s="15" t="n">
        <f aca="false">YEAR(B6442)</f>
        <v>2022</v>
      </c>
      <c r="M6442" s="20" t="n">
        <f aca="false">IF(J6442&gt;0,K6442/J6442,0)</f>
        <v>0.381983240223464</v>
      </c>
    </row>
    <row r="6443" customFormat="false" ht="15" hidden="false" customHeight="false" outlineLevel="0" collapsed="false">
      <c r="A6443" s="15" t="s">
        <v>6500</v>
      </c>
      <c r="B6443" s="16" t="n">
        <v>45577</v>
      </c>
      <c r="C6443" s="15" t="s">
        <v>71</v>
      </c>
      <c r="D6443" s="15" t="s">
        <v>43</v>
      </c>
      <c r="E6443" s="15" t="s">
        <v>39</v>
      </c>
      <c r="F6443" s="15" t="s">
        <v>18</v>
      </c>
      <c r="G6443" s="15" t="s">
        <v>33</v>
      </c>
      <c r="H6443" s="15" t="n">
        <v>1</v>
      </c>
      <c r="I6443" s="17" t="n">
        <v>0</v>
      </c>
      <c r="J6443" s="18" t="n">
        <v>900.9</v>
      </c>
      <c r="K6443" s="19" t="n">
        <v>269.42</v>
      </c>
      <c r="L6443" s="15" t="n">
        <f aca="false">YEAR(B6443)</f>
        <v>2024</v>
      </c>
      <c r="M6443" s="20" t="n">
        <f aca="false">IF(J6443&gt;0,K6443/J6443,0)</f>
        <v>0.299056499056499</v>
      </c>
    </row>
    <row r="6444" customFormat="false" ht="15" hidden="false" customHeight="false" outlineLevel="0" collapsed="false">
      <c r="A6444" s="15" t="s">
        <v>6501</v>
      </c>
      <c r="B6444" s="16" t="n">
        <v>44881</v>
      </c>
      <c r="C6444" s="15" t="s">
        <v>56</v>
      </c>
      <c r="D6444" s="15" t="s">
        <v>44</v>
      </c>
      <c r="E6444" s="15" t="s">
        <v>39</v>
      </c>
      <c r="F6444" s="15" t="s">
        <v>18</v>
      </c>
      <c r="G6444" s="15" t="s">
        <v>32</v>
      </c>
      <c r="H6444" s="15" t="n">
        <v>3</v>
      </c>
      <c r="I6444" s="17" t="n">
        <v>0</v>
      </c>
      <c r="J6444" s="18" t="n">
        <v>1508.38</v>
      </c>
      <c r="K6444" s="19" t="n">
        <v>310.89</v>
      </c>
      <c r="L6444" s="15" t="n">
        <f aca="false">YEAR(B6444)</f>
        <v>2022</v>
      </c>
      <c r="M6444" s="20" t="n">
        <f aca="false">IF(J6444&gt;0,K6444/J6444,0)</f>
        <v>0.206108540288256</v>
      </c>
    </row>
    <row r="6445" customFormat="false" ht="15" hidden="false" customHeight="false" outlineLevel="0" collapsed="false">
      <c r="A6445" s="15" t="s">
        <v>6502</v>
      </c>
      <c r="B6445" s="16" t="n">
        <v>45204</v>
      </c>
      <c r="C6445" s="15" t="s">
        <v>71</v>
      </c>
      <c r="D6445" s="15" t="s">
        <v>43</v>
      </c>
      <c r="E6445" s="15" t="s">
        <v>37</v>
      </c>
      <c r="F6445" s="15" t="s">
        <v>17</v>
      </c>
      <c r="G6445" s="15" t="s">
        <v>26</v>
      </c>
      <c r="H6445" s="15" t="n">
        <v>3</v>
      </c>
      <c r="I6445" s="17" t="n">
        <v>0.2</v>
      </c>
      <c r="J6445" s="18" t="n">
        <v>236.28</v>
      </c>
      <c r="K6445" s="19" t="n">
        <v>11.74</v>
      </c>
      <c r="L6445" s="15" t="n">
        <f aca="false">YEAR(B6445)</f>
        <v>2023</v>
      </c>
      <c r="M6445" s="20" t="n">
        <f aca="false">IF(J6445&gt;0,K6445/J6445,0)</f>
        <v>0.0496868122566447</v>
      </c>
    </row>
    <row r="6446" customFormat="false" ht="15" hidden="false" customHeight="false" outlineLevel="0" collapsed="false">
      <c r="A6446" s="15" t="s">
        <v>6503</v>
      </c>
      <c r="B6446" s="16" t="n">
        <v>45398</v>
      </c>
      <c r="C6446" s="15" t="s">
        <v>71</v>
      </c>
      <c r="D6446" s="15" t="s">
        <v>42</v>
      </c>
      <c r="E6446" s="15" t="s">
        <v>37</v>
      </c>
      <c r="F6446" s="15" t="s">
        <v>18</v>
      </c>
      <c r="G6446" s="15" t="s">
        <v>30</v>
      </c>
      <c r="H6446" s="15" t="n">
        <v>2</v>
      </c>
      <c r="I6446" s="17" t="n">
        <v>0.1</v>
      </c>
      <c r="J6446" s="18" t="n">
        <v>71.53</v>
      </c>
      <c r="K6446" s="19" t="n">
        <v>15.47</v>
      </c>
      <c r="L6446" s="15" t="n">
        <f aca="false">YEAR(B6446)</f>
        <v>2024</v>
      </c>
      <c r="M6446" s="20" t="n">
        <f aca="false">IF(J6446&gt;0,K6446/J6446,0)</f>
        <v>0.21627289249266</v>
      </c>
    </row>
    <row r="6447" customFormat="false" ht="15" hidden="false" customHeight="false" outlineLevel="0" collapsed="false">
      <c r="A6447" s="15" t="s">
        <v>6504</v>
      </c>
      <c r="B6447" s="16" t="n">
        <v>45339</v>
      </c>
      <c r="C6447" s="15" t="s">
        <v>56</v>
      </c>
      <c r="D6447" s="15" t="s">
        <v>44</v>
      </c>
      <c r="E6447" s="15" t="s">
        <v>37</v>
      </c>
      <c r="F6447" s="15" t="s">
        <v>17</v>
      </c>
      <c r="G6447" s="15" t="s">
        <v>28</v>
      </c>
      <c r="H6447" s="15" t="n">
        <v>3</v>
      </c>
      <c r="I6447" s="17" t="n">
        <v>0.1</v>
      </c>
      <c r="J6447" s="18" t="n">
        <v>88.54</v>
      </c>
      <c r="K6447" s="19" t="n">
        <v>21.86</v>
      </c>
      <c r="L6447" s="15" t="n">
        <f aca="false">YEAR(B6447)</f>
        <v>2024</v>
      </c>
      <c r="M6447" s="20" t="n">
        <f aca="false">IF(J6447&gt;0,K6447/J6447,0)</f>
        <v>0.24689405918229</v>
      </c>
    </row>
    <row r="6448" customFormat="false" ht="15" hidden="false" customHeight="false" outlineLevel="0" collapsed="false">
      <c r="A6448" s="15" t="s">
        <v>6505</v>
      </c>
      <c r="B6448" s="16" t="n">
        <v>45938</v>
      </c>
      <c r="C6448" s="15" t="s">
        <v>68</v>
      </c>
      <c r="D6448" s="15" t="s">
        <v>44</v>
      </c>
      <c r="E6448" s="15" t="s">
        <v>38</v>
      </c>
      <c r="F6448" s="15" t="s">
        <v>16</v>
      </c>
      <c r="G6448" s="15" t="s">
        <v>27</v>
      </c>
      <c r="H6448" s="15" t="n">
        <v>2</v>
      </c>
      <c r="I6448" s="17" t="n">
        <v>0.05</v>
      </c>
      <c r="J6448" s="18" t="n">
        <v>92.75</v>
      </c>
      <c r="K6448" s="19" t="n">
        <v>22.84</v>
      </c>
      <c r="L6448" s="15" t="n">
        <f aca="false">YEAR(B6448)</f>
        <v>2025</v>
      </c>
      <c r="M6448" s="20" t="n">
        <f aca="false">IF(J6448&gt;0,K6448/J6448,0)</f>
        <v>0.246253369272237</v>
      </c>
    </row>
    <row r="6449" customFormat="false" ht="15" hidden="false" customHeight="false" outlineLevel="0" collapsed="false">
      <c r="A6449" s="15" t="s">
        <v>6506</v>
      </c>
      <c r="B6449" s="16" t="n">
        <v>45201</v>
      </c>
      <c r="C6449" s="15" t="s">
        <v>56</v>
      </c>
      <c r="D6449" s="15" t="s">
        <v>43</v>
      </c>
      <c r="E6449" s="15" t="s">
        <v>39</v>
      </c>
      <c r="F6449" s="15" t="s">
        <v>18</v>
      </c>
      <c r="G6449" s="15" t="s">
        <v>24</v>
      </c>
      <c r="H6449" s="15" t="n">
        <v>1</v>
      </c>
      <c r="I6449" s="17" t="n">
        <v>0.05</v>
      </c>
      <c r="J6449" s="18" t="n">
        <v>653.18</v>
      </c>
      <c r="K6449" s="19" t="n">
        <v>27.11</v>
      </c>
      <c r="L6449" s="15" t="n">
        <f aca="false">YEAR(B6449)</f>
        <v>2023</v>
      </c>
      <c r="M6449" s="20" t="n">
        <f aca="false">IF(J6449&gt;0,K6449/J6449,0)</f>
        <v>0.0415046388438103</v>
      </c>
    </row>
    <row r="6450" customFormat="false" ht="15" hidden="false" customHeight="false" outlineLevel="0" collapsed="false">
      <c r="A6450" s="15" t="s">
        <v>6507</v>
      </c>
      <c r="B6450" s="16" t="n">
        <v>44762</v>
      </c>
      <c r="C6450" s="15" t="s">
        <v>56</v>
      </c>
      <c r="D6450" s="15" t="s">
        <v>42</v>
      </c>
      <c r="E6450" s="15" t="s">
        <v>36</v>
      </c>
      <c r="F6450" s="15" t="s">
        <v>17</v>
      </c>
      <c r="G6450" s="15" t="s">
        <v>26</v>
      </c>
      <c r="H6450" s="15" t="n">
        <v>4</v>
      </c>
      <c r="I6450" s="17" t="n">
        <v>0.4</v>
      </c>
      <c r="J6450" s="18" t="n">
        <v>184.45</v>
      </c>
      <c r="K6450" s="19" t="n">
        <v>-49.26</v>
      </c>
      <c r="L6450" s="15" t="n">
        <f aca="false">YEAR(B6450)</f>
        <v>2022</v>
      </c>
      <c r="M6450" s="20" t="n">
        <f aca="false">IF(J6450&gt;0,K6450/J6450,0)</f>
        <v>-0.26706424505286</v>
      </c>
    </row>
    <row r="6451" customFormat="false" ht="15" hidden="false" customHeight="false" outlineLevel="0" collapsed="false">
      <c r="A6451" s="15" t="s">
        <v>6508</v>
      </c>
      <c r="B6451" s="16" t="n">
        <v>44868</v>
      </c>
      <c r="C6451" s="15" t="s">
        <v>56</v>
      </c>
      <c r="D6451" s="15" t="s">
        <v>42</v>
      </c>
      <c r="E6451" s="15" t="s">
        <v>37</v>
      </c>
      <c r="F6451" s="15" t="s">
        <v>17</v>
      </c>
      <c r="G6451" s="15" t="s">
        <v>28</v>
      </c>
      <c r="H6451" s="15" t="n">
        <v>3</v>
      </c>
      <c r="I6451" s="17" t="n">
        <v>0</v>
      </c>
      <c r="J6451" s="18" t="n">
        <v>75.21</v>
      </c>
      <c r="K6451" s="19" t="n">
        <v>25.15</v>
      </c>
      <c r="L6451" s="15" t="n">
        <f aca="false">YEAR(B6451)</f>
        <v>2022</v>
      </c>
      <c r="M6451" s="20" t="n">
        <f aca="false">IF(J6451&gt;0,K6451/J6451,0)</f>
        <v>0.33439702167265</v>
      </c>
    </row>
    <row r="6452" customFormat="false" ht="15" hidden="false" customHeight="false" outlineLevel="0" collapsed="false">
      <c r="A6452" s="15" t="s">
        <v>6509</v>
      </c>
      <c r="B6452" s="16" t="n">
        <v>44866</v>
      </c>
      <c r="C6452" s="15" t="s">
        <v>56</v>
      </c>
      <c r="D6452" s="15" t="s">
        <v>43</v>
      </c>
      <c r="E6452" s="15" t="s">
        <v>37</v>
      </c>
      <c r="F6452" s="15" t="s">
        <v>18</v>
      </c>
      <c r="G6452" s="15" t="s">
        <v>32</v>
      </c>
      <c r="H6452" s="15" t="n">
        <v>7</v>
      </c>
      <c r="I6452" s="17" t="n">
        <v>0</v>
      </c>
      <c r="J6452" s="18" t="n">
        <v>3471.81</v>
      </c>
      <c r="K6452" s="19" t="n">
        <v>591.21</v>
      </c>
      <c r="L6452" s="15" t="n">
        <f aca="false">YEAR(B6452)</f>
        <v>2022</v>
      </c>
      <c r="M6452" s="20" t="n">
        <f aca="false">IF(J6452&gt;0,K6452/J6452,0)</f>
        <v>0.170288696674069</v>
      </c>
    </row>
    <row r="6453" customFormat="false" ht="15" hidden="false" customHeight="false" outlineLevel="0" collapsed="false">
      <c r="A6453" s="15" t="s">
        <v>6510</v>
      </c>
      <c r="B6453" s="16" t="n">
        <v>44999</v>
      </c>
      <c r="C6453" s="15" t="s">
        <v>56</v>
      </c>
      <c r="D6453" s="15" t="s">
        <v>42</v>
      </c>
      <c r="E6453" s="15" t="s">
        <v>39</v>
      </c>
      <c r="F6453" s="15" t="s">
        <v>18</v>
      </c>
      <c r="G6453" s="15" t="s">
        <v>30</v>
      </c>
      <c r="H6453" s="15" t="n">
        <v>2</v>
      </c>
      <c r="I6453" s="17" t="n">
        <v>0</v>
      </c>
      <c r="J6453" s="18" t="n">
        <v>91.9</v>
      </c>
      <c r="K6453" s="19" t="n">
        <v>23.23</v>
      </c>
      <c r="L6453" s="15" t="n">
        <f aca="false">YEAR(B6453)</f>
        <v>2023</v>
      </c>
      <c r="M6453" s="20" t="n">
        <f aca="false">IF(J6453&gt;0,K6453/J6453,0)</f>
        <v>0.252774755168662</v>
      </c>
    </row>
    <row r="6454" customFormat="false" ht="15" hidden="false" customHeight="false" outlineLevel="0" collapsed="false">
      <c r="A6454" s="15" t="s">
        <v>6511</v>
      </c>
      <c r="B6454" s="16" t="n">
        <v>45574</v>
      </c>
      <c r="C6454" s="15" t="s">
        <v>56</v>
      </c>
      <c r="D6454" s="15" t="s">
        <v>42</v>
      </c>
      <c r="E6454" s="15" t="s">
        <v>39</v>
      </c>
      <c r="F6454" s="15" t="s">
        <v>18</v>
      </c>
      <c r="G6454" s="15" t="s">
        <v>33</v>
      </c>
      <c r="H6454" s="15" t="n">
        <v>6</v>
      </c>
      <c r="I6454" s="17" t="n">
        <v>0</v>
      </c>
      <c r="J6454" s="18" t="n">
        <v>5556.01</v>
      </c>
      <c r="K6454" s="19" t="n">
        <v>1440.38</v>
      </c>
      <c r="L6454" s="15" t="n">
        <f aca="false">YEAR(B6454)</f>
        <v>2024</v>
      </c>
      <c r="M6454" s="20" t="n">
        <f aca="false">IF(J6454&gt;0,K6454/J6454,0)</f>
        <v>0.259247193579565</v>
      </c>
    </row>
    <row r="6455" customFormat="false" ht="15" hidden="false" customHeight="false" outlineLevel="0" collapsed="false">
      <c r="A6455" s="15" t="s">
        <v>6512</v>
      </c>
      <c r="B6455" s="16" t="n">
        <v>44899</v>
      </c>
      <c r="C6455" s="15" t="s">
        <v>71</v>
      </c>
      <c r="D6455" s="15" t="s">
        <v>42</v>
      </c>
      <c r="E6455" s="15" t="s">
        <v>37</v>
      </c>
      <c r="F6455" s="15" t="s">
        <v>17</v>
      </c>
      <c r="G6455" s="15" t="s">
        <v>28</v>
      </c>
      <c r="H6455" s="15" t="n">
        <v>4</v>
      </c>
      <c r="I6455" s="17" t="n">
        <v>0.1</v>
      </c>
      <c r="J6455" s="18" t="n">
        <v>77.36</v>
      </c>
      <c r="K6455" s="19" t="n">
        <v>14.19</v>
      </c>
      <c r="L6455" s="15" t="n">
        <f aca="false">YEAR(B6455)</f>
        <v>2022</v>
      </c>
      <c r="M6455" s="20" t="n">
        <f aca="false">IF(J6455&gt;0,K6455/J6455,0)</f>
        <v>0.183428128231644</v>
      </c>
    </row>
    <row r="6456" customFormat="false" ht="15" hidden="false" customHeight="false" outlineLevel="0" collapsed="false">
      <c r="A6456" s="15" t="s">
        <v>6513</v>
      </c>
      <c r="B6456" s="16" t="n">
        <v>45606</v>
      </c>
      <c r="C6456" s="15" t="s">
        <v>56</v>
      </c>
      <c r="D6456" s="15" t="s">
        <v>44</v>
      </c>
      <c r="E6456" s="15" t="s">
        <v>39</v>
      </c>
      <c r="F6456" s="15" t="s">
        <v>16</v>
      </c>
      <c r="G6456" s="15" t="s">
        <v>23</v>
      </c>
      <c r="H6456" s="15" t="n">
        <v>1</v>
      </c>
      <c r="I6456" s="17" t="n">
        <v>0</v>
      </c>
      <c r="J6456" s="18" t="n">
        <v>366.39</v>
      </c>
      <c r="K6456" s="19" t="n">
        <v>6.48</v>
      </c>
      <c r="L6456" s="15" t="n">
        <f aca="false">YEAR(B6456)</f>
        <v>2024</v>
      </c>
      <c r="M6456" s="20" t="n">
        <f aca="false">IF(J6456&gt;0,K6456/J6456,0)</f>
        <v>0.0176860722181282</v>
      </c>
    </row>
    <row r="6457" customFormat="false" ht="15" hidden="false" customHeight="false" outlineLevel="0" collapsed="false">
      <c r="A6457" s="15" t="s">
        <v>6514</v>
      </c>
      <c r="B6457" s="16" t="n">
        <v>44710</v>
      </c>
      <c r="C6457" s="15" t="s">
        <v>58</v>
      </c>
      <c r="D6457" s="15" t="s">
        <v>42</v>
      </c>
      <c r="E6457" s="15" t="s">
        <v>38</v>
      </c>
      <c r="F6457" s="15" t="s">
        <v>17</v>
      </c>
      <c r="G6457" s="15" t="s">
        <v>31</v>
      </c>
      <c r="H6457" s="15" t="n">
        <v>3</v>
      </c>
      <c r="I6457" s="17" t="n">
        <v>0.1</v>
      </c>
      <c r="J6457" s="18" t="n">
        <v>247.47</v>
      </c>
      <c r="K6457" s="19" t="n">
        <v>44.8</v>
      </c>
      <c r="L6457" s="15" t="n">
        <f aca="false">YEAR(B6457)</f>
        <v>2022</v>
      </c>
      <c r="M6457" s="20" t="n">
        <f aca="false">IF(J6457&gt;0,K6457/J6457,0)</f>
        <v>0.181032044288197</v>
      </c>
    </row>
    <row r="6458" customFormat="false" ht="15" hidden="false" customHeight="false" outlineLevel="0" collapsed="false">
      <c r="A6458" s="15" t="s">
        <v>6515</v>
      </c>
      <c r="B6458" s="16" t="n">
        <v>44664</v>
      </c>
      <c r="C6458" s="15" t="s">
        <v>56</v>
      </c>
      <c r="D6458" s="15" t="s">
        <v>44</v>
      </c>
      <c r="E6458" s="15" t="s">
        <v>37</v>
      </c>
      <c r="F6458" s="15" t="s">
        <v>17</v>
      </c>
      <c r="G6458" s="15" t="s">
        <v>29</v>
      </c>
      <c r="H6458" s="15" t="n">
        <v>4</v>
      </c>
      <c r="I6458" s="17" t="n">
        <v>0.05</v>
      </c>
      <c r="J6458" s="18" t="n">
        <v>75.89</v>
      </c>
      <c r="K6458" s="19" t="n">
        <v>18.85</v>
      </c>
      <c r="L6458" s="15" t="n">
        <f aca="false">YEAR(B6458)</f>
        <v>2022</v>
      </c>
      <c r="M6458" s="20" t="n">
        <f aca="false">IF(J6458&gt;0,K6458/J6458,0)</f>
        <v>0.248385821583871</v>
      </c>
    </row>
    <row r="6459" customFormat="false" ht="15" hidden="false" customHeight="false" outlineLevel="0" collapsed="false">
      <c r="A6459" s="15" t="s">
        <v>6516</v>
      </c>
      <c r="B6459" s="16" t="n">
        <v>45662</v>
      </c>
      <c r="C6459" s="15" t="s">
        <v>58</v>
      </c>
      <c r="D6459" s="15" t="s">
        <v>44</v>
      </c>
      <c r="E6459" s="15" t="s">
        <v>39</v>
      </c>
      <c r="F6459" s="15" t="s">
        <v>16</v>
      </c>
      <c r="G6459" s="15" t="s">
        <v>25</v>
      </c>
      <c r="H6459" s="15" t="n">
        <v>3</v>
      </c>
      <c r="I6459" s="17" t="n">
        <v>0.1</v>
      </c>
      <c r="J6459" s="18" t="n">
        <v>650.11</v>
      </c>
      <c r="K6459" s="19" t="n">
        <v>-43.33</v>
      </c>
      <c r="L6459" s="15" t="n">
        <f aca="false">YEAR(B6459)</f>
        <v>2025</v>
      </c>
      <c r="M6459" s="20" t="n">
        <f aca="false">IF(J6459&gt;0,K6459/J6459,0)</f>
        <v>-0.0666502591869068</v>
      </c>
    </row>
    <row r="6460" customFormat="false" ht="15" hidden="false" customHeight="false" outlineLevel="0" collapsed="false">
      <c r="A6460" s="15" t="s">
        <v>6517</v>
      </c>
      <c r="B6460" s="16" t="n">
        <v>44775</v>
      </c>
      <c r="C6460" s="15" t="s">
        <v>56</v>
      </c>
      <c r="D6460" s="15" t="s">
        <v>42</v>
      </c>
      <c r="E6460" s="15" t="s">
        <v>37</v>
      </c>
      <c r="F6460" s="15" t="s">
        <v>17</v>
      </c>
      <c r="G6460" s="15" t="s">
        <v>29</v>
      </c>
      <c r="H6460" s="15" t="n">
        <v>2</v>
      </c>
      <c r="I6460" s="17" t="n">
        <v>0</v>
      </c>
      <c r="J6460" s="18" t="n">
        <v>35.93</v>
      </c>
      <c r="K6460" s="19" t="n">
        <v>12.17</v>
      </c>
      <c r="L6460" s="15" t="n">
        <f aca="false">YEAR(B6460)</f>
        <v>2022</v>
      </c>
      <c r="M6460" s="20" t="n">
        <f aca="false">IF(J6460&gt;0,K6460/J6460,0)</f>
        <v>0.338714166434734</v>
      </c>
    </row>
    <row r="6461" customFormat="false" ht="15" hidden="false" customHeight="false" outlineLevel="0" collapsed="false">
      <c r="A6461" s="15" t="s">
        <v>6518</v>
      </c>
      <c r="B6461" s="16" t="n">
        <v>45243</v>
      </c>
      <c r="C6461" s="15" t="s">
        <v>56</v>
      </c>
      <c r="D6461" s="15" t="s">
        <v>42</v>
      </c>
      <c r="E6461" s="15" t="s">
        <v>36</v>
      </c>
      <c r="F6461" s="15" t="s">
        <v>18</v>
      </c>
      <c r="G6461" s="15" t="s">
        <v>33</v>
      </c>
      <c r="H6461" s="15" t="n">
        <v>3</v>
      </c>
      <c r="I6461" s="17" t="n">
        <v>0</v>
      </c>
      <c r="J6461" s="18" t="n">
        <v>3013.38</v>
      </c>
      <c r="K6461" s="19" t="n">
        <v>897.62</v>
      </c>
      <c r="L6461" s="15" t="n">
        <f aca="false">YEAR(B6461)</f>
        <v>2023</v>
      </c>
      <c r="M6461" s="20" t="n">
        <f aca="false">IF(J6461&gt;0,K6461/J6461,0)</f>
        <v>0.297878130205948</v>
      </c>
    </row>
    <row r="6462" customFormat="false" ht="15" hidden="false" customHeight="false" outlineLevel="0" collapsed="false">
      <c r="A6462" s="15" t="s">
        <v>6519</v>
      </c>
      <c r="B6462" s="16" t="n">
        <v>45354</v>
      </c>
      <c r="C6462" s="15" t="s">
        <v>71</v>
      </c>
      <c r="D6462" s="15" t="s">
        <v>43</v>
      </c>
      <c r="E6462" s="15" t="s">
        <v>37</v>
      </c>
      <c r="F6462" s="15" t="s">
        <v>17</v>
      </c>
      <c r="G6462" s="15" t="s">
        <v>29</v>
      </c>
      <c r="H6462" s="15" t="n">
        <v>6</v>
      </c>
      <c r="I6462" s="17" t="n">
        <v>0.5</v>
      </c>
      <c r="J6462" s="18" t="n">
        <v>58.93</v>
      </c>
      <c r="K6462" s="19" t="n">
        <v>0.47</v>
      </c>
      <c r="L6462" s="15" t="n">
        <f aca="false">YEAR(B6462)</f>
        <v>2024</v>
      </c>
      <c r="M6462" s="20" t="n">
        <f aca="false">IF(J6462&gt;0,K6462/J6462,0)</f>
        <v>0.00797556422874597</v>
      </c>
    </row>
    <row r="6463" customFormat="false" ht="15" hidden="false" customHeight="false" outlineLevel="0" collapsed="false">
      <c r="A6463" s="15" t="s">
        <v>6520</v>
      </c>
      <c r="B6463" s="16" t="n">
        <v>44830</v>
      </c>
      <c r="C6463" s="15" t="s">
        <v>56</v>
      </c>
      <c r="D6463" s="15" t="s">
        <v>44</v>
      </c>
      <c r="E6463" s="15" t="s">
        <v>39</v>
      </c>
      <c r="F6463" s="15" t="s">
        <v>17</v>
      </c>
      <c r="G6463" s="15" t="s">
        <v>29</v>
      </c>
      <c r="H6463" s="15" t="n">
        <v>3</v>
      </c>
      <c r="I6463" s="17" t="n">
        <v>0.1</v>
      </c>
      <c r="J6463" s="18" t="n">
        <v>54.08</v>
      </c>
      <c r="K6463" s="19" t="n">
        <v>14.9</v>
      </c>
      <c r="L6463" s="15" t="n">
        <f aca="false">YEAR(B6463)</f>
        <v>2022</v>
      </c>
      <c r="M6463" s="20" t="n">
        <f aca="false">IF(J6463&gt;0,K6463/J6463,0)</f>
        <v>0.27551775147929</v>
      </c>
    </row>
    <row r="6464" customFormat="false" ht="15" hidden="false" customHeight="false" outlineLevel="0" collapsed="false">
      <c r="A6464" s="15" t="s">
        <v>6521</v>
      </c>
      <c r="B6464" s="16" t="n">
        <v>45545</v>
      </c>
      <c r="C6464" s="15" t="s">
        <v>71</v>
      </c>
      <c r="D6464" s="15" t="s">
        <v>43</v>
      </c>
      <c r="E6464" s="15" t="s">
        <v>36</v>
      </c>
      <c r="F6464" s="15" t="s">
        <v>17</v>
      </c>
      <c r="G6464" s="15" t="s">
        <v>29</v>
      </c>
      <c r="H6464" s="15" t="n">
        <v>4</v>
      </c>
      <c r="I6464" s="17" t="n">
        <v>0</v>
      </c>
      <c r="J6464" s="18" t="n">
        <v>63.58</v>
      </c>
      <c r="K6464" s="19" t="n">
        <v>23.81</v>
      </c>
      <c r="L6464" s="15" t="n">
        <f aca="false">YEAR(B6464)</f>
        <v>2024</v>
      </c>
      <c r="M6464" s="20" t="n">
        <f aca="false">IF(J6464&gt;0,K6464/J6464,0)</f>
        <v>0.374488832966342</v>
      </c>
    </row>
    <row r="6465" customFormat="false" ht="15" hidden="false" customHeight="false" outlineLevel="0" collapsed="false">
      <c r="A6465" s="15" t="s">
        <v>6522</v>
      </c>
      <c r="B6465" s="16" t="n">
        <v>45343</v>
      </c>
      <c r="C6465" s="15" t="s">
        <v>56</v>
      </c>
      <c r="D6465" s="15" t="s">
        <v>42</v>
      </c>
      <c r="E6465" s="15" t="s">
        <v>36</v>
      </c>
      <c r="F6465" s="15" t="s">
        <v>16</v>
      </c>
      <c r="G6465" s="15" t="s">
        <v>25</v>
      </c>
      <c r="H6465" s="15" t="n">
        <v>3</v>
      </c>
      <c r="I6465" s="17" t="n">
        <v>0.05</v>
      </c>
      <c r="J6465" s="18" t="n">
        <v>852.39</v>
      </c>
      <c r="K6465" s="19" t="n">
        <v>54</v>
      </c>
      <c r="L6465" s="15" t="n">
        <f aca="false">YEAR(B6465)</f>
        <v>2024</v>
      </c>
      <c r="M6465" s="20" t="n">
        <f aca="false">IF(J6465&gt;0,K6465/J6465,0)</f>
        <v>0.063351282863478</v>
      </c>
    </row>
    <row r="6466" customFormat="false" ht="15" hidden="false" customHeight="false" outlineLevel="0" collapsed="false">
      <c r="A6466" s="15" t="s">
        <v>6523</v>
      </c>
      <c r="B6466" s="16" t="n">
        <v>45510</v>
      </c>
      <c r="C6466" s="15" t="s">
        <v>56</v>
      </c>
      <c r="D6466" s="15" t="s">
        <v>43</v>
      </c>
      <c r="E6466" s="15" t="s">
        <v>38</v>
      </c>
      <c r="F6466" s="15" t="s">
        <v>17</v>
      </c>
      <c r="G6466" s="15" t="s">
        <v>29</v>
      </c>
      <c r="H6466" s="15" t="n">
        <v>2</v>
      </c>
      <c r="I6466" s="17" t="n">
        <v>0.1</v>
      </c>
      <c r="J6466" s="18" t="n">
        <v>31.51</v>
      </c>
      <c r="K6466" s="19" t="n">
        <v>9.43</v>
      </c>
      <c r="L6466" s="15" t="n">
        <f aca="false">YEAR(B6466)</f>
        <v>2024</v>
      </c>
      <c r="M6466" s="20" t="n">
        <f aca="false">IF(J6466&gt;0,K6466/J6466,0)</f>
        <v>0.299270072992701</v>
      </c>
    </row>
    <row r="6467" customFormat="false" ht="15" hidden="false" customHeight="false" outlineLevel="0" collapsed="false">
      <c r="A6467" s="15" t="s">
        <v>6524</v>
      </c>
      <c r="B6467" s="16" t="n">
        <v>45728</v>
      </c>
      <c r="C6467" s="15" t="s">
        <v>56</v>
      </c>
      <c r="D6467" s="15" t="s">
        <v>42</v>
      </c>
      <c r="E6467" s="15" t="s">
        <v>39</v>
      </c>
      <c r="F6467" s="15" t="s">
        <v>17</v>
      </c>
      <c r="G6467" s="15" t="s">
        <v>29</v>
      </c>
      <c r="H6467" s="15" t="n">
        <v>1</v>
      </c>
      <c r="I6467" s="17" t="n">
        <v>0</v>
      </c>
      <c r="J6467" s="18" t="n">
        <v>21.28</v>
      </c>
      <c r="K6467" s="19" t="n">
        <v>7.75</v>
      </c>
      <c r="L6467" s="15" t="n">
        <f aca="false">YEAR(B6467)</f>
        <v>2025</v>
      </c>
      <c r="M6467" s="20" t="n">
        <f aca="false">IF(J6467&gt;0,K6467/J6467,0)</f>
        <v>0.364191729323308</v>
      </c>
    </row>
    <row r="6468" customFormat="false" ht="15" hidden="false" customHeight="false" outlineLevel="0" collapsed="false">
      <c r="A6468" s="15" t="s">
        <v>6525</v>
      </c>
      <c r="B6468" s="16" t="n">
        <v>44995</v>
      </c>
      <c r="C6468" s="15" t="s">
        <v>56</v>
      </c>
      <c r="D6468" s="15" t="s">
        <v>43</v>
      </c>
      <c r="E6468" s="15" t="s">
        <v>37</v>
      </c>
      <c r="F6468" s="15" t="s">
        <v>16</v>
      </c>
      <c r="G6468" s="15" t="s">
        <v>25</v>
      </c>
      <c r="H6468" s="15" t="n">
        <v>1</v>
      </c>
      <c r="I6468" s="17" t="n">
        <v>0.4</v>
      </c>
      <c r="J6468" s="18" t="n">
        <v>154.05</v>
      </c>
      <c r="K6468" s="19" t="n">
        <v>-36.03</v>
      </c>
      <c r="L6468" s="15" t="n">
        <f aca="false">YEAR(B6468)</f>
        <v>2023</v>
      </c>
      <c r="M6468" s="20" t="n">
        <f aca="false">IF(J6468&gt;0,K6468/J6468,0)</f>
        <v>-0.233885102239533</v>
      </c>
    </row>
    <row r="6469" customFormat="false" ht="15" hidden="false" customHeight="false" outlineLevel="0" collapsed="false">
      <c r="A6469" s="15" t="s">
        <v>6526</v>
      </c>
      <c r="B6469" s="16" t="n">
        <v>45488</v>
      </c>
      <c r="C6469" s="15" t="s">
        <v>56</v>
      </c>
      <c r="D6469" s="15" t="s">
        <v>43</v>
      </c>
      <c r="E6469" s="15" t="s">
        <v>37</v>
      </c>
      <c r="F6469" s="15" t="s">
        <v>16</v>
      </c>
      <c r="G6469" s="15" t="s">
        <v>27</v>
      </c>
      <c r="H6469" s="15" t="n">
        <v>2</v>
      </c>
      <c r="I6469" s="17" t="n">
        <v>0</v>
      </c>
      <c r="J6469" s="18" t="n">
        <v>119.91</v>
      </c>
      <c r="K6469" s="19" t="n">
        <v>26.19</v>
      </c>
      <c r="L6469" s="15" t="n">
        <f aca="false">YEAR(B6469)</f>
        <v>2024</v>
      </c>
      <c r="M6469" s="20" t="n">
        <f aca="false">IF(J6469&gt;0,K6469/J6469,0)</f>
        <v>0.218413810357768</v>
      </c>
    </row>
    <row r="6470" customFormat="false" ht="15" hidden="false" customHeight="false" outlineLevel="0" collapsed="false">
      <c r="A6470" s="15" t="s">
        <v>6527</v>
      </c>
      <c r="B6470" s="16" t="n">
        <v>44677</v>
      </c>
      <c r="C6470" s="15" t="s">
        <v>56</v>
      </c>
      <c r="D6470" s="15" t="s">
        <v>42</v>
      </c>
      <c r="E6470" s="15" t="s">
        <v>36</v>
      </c>
      <c r="F6470" s="15" t="s">
        <v>18</v>
      </c>
      <c r="G6470" s="15" t="s">
        <v>33</v>
      </c>
      <c r="H6470" s="15" t="n">
        <v>2</v>
      </c>
      <c r="I6470" s="17" t="n">
        <v>0.05</v>
      </c>
      <c r="J6470" s="18" t="n">
        <v>1871.26</v>
      </c>
      <c r="K6470" s="19" t="n">
        <v>384.69</v>
      </c>
      <c r="L6470" s="15" t="n">
        <f aca="false">YEAR(B6470)</f>
        <v>2022</v>
      </c>
      <c r="M6470" s="20" t="n">
        <f aca="false">IF(J6470&gt;0,K6470/J6470,0)</f>
        <v>0.205578059703088</v>
      </c>
    </row>
    <row r="6471" customFormat="false" ht="15" hidden="false" customHeight="false" outlineLevel="0" collapsed="false">
      <c r="A6471" s="15" t="s">
        <v>6528</v>
      </c>
      <c r="B6471" s="16" t="n">
        <v>45995</v>
      </c>
      <c r="C6471" s="15" t="s">
        <v>56</v>
      </c>
      <c r="D6471" s="15" t="s">
        <v>42</v>
      </c>
      <c r="E6471" s="15" t="s">
        <v>36</v>
      </c>
      <c r="F6471" s="15" t="s">
        <v>17</v>
      </c>
      <c r="G6471" s="15" t="s">
        <v>29</v>
      </c>
      <c r="H6471" s="15" t="n">
        <v>2</v>
      </c>
      <c r="I6471" s="17" t="n">
        <v>0.1</v>
      </c>
      <c r="J6471" s="18" t="n">
        <v>35.39</v>
      </c>
      <c r="K6471" s="19" t="n">
        <v>7.77</v>
      </c>
      <c r="L6471" s="15" t="n">
        <f aca="false">YEAR(B6471)</f>
        <v>2025</v>
      </c>
      <c r="M6471" s="20" t="n">
        <f aca="false">IF(J6471&gt;0,K6471/J6471,0)</f>
        <v>0.219553546199491</v>
      </c>
    </row>
    <row r="6472" customFormat="false" ht="15" hidden="false" customHeight="false" outlineLevel="0" collapsed="false">
      <c r="A6472" s="15" t="s">
        <v>6529</v>
      </c>
      <c r="B6472" s="16" t="n">
        <v>45503</v>
      </c>
      <c r="C6472" s="15" t="s">
        <v>56</v>
      </c>
      <c r="D6472" s="15" t="s">
        <v>43</v>
      </c>
      <c r="E6472" s="15" t="s">
        <v>38</v>
      </c>
      <c r="F6472" s="15" t="s">
        <v>17</v>
      </c>
      <c r="G6472" s="15" t="s">
        <v>28</v>
      </c>
      <c r="H6472" s="15" t="n">
        <v>2</v>
      </c>
      <c r="I6472" s="17" t="n">
        <v>0.05</v>
      </c>
      <c r="J6472" s="18" t="n">
        <v>40.3</v>
      </c>
      <c r="K6472" s="19" t="n">
        <v>7.6</v>
      </c>
      <c r="L6472" s="15" t="n">
        <f aca="false">YEAR(B6472)</f>
        <v>2024</v>
      </c>
      <c r="M6472" s="20" t="n">
        <f aca="false">IF(J6472&gt;0,K6472/J6472,0)</f>
        <v>0.188585607940447</v>
      </c>
    </row>
    <row r="6473" customFormat="false" ht="15" hidden="false" customHeight="false" outlineLevel="0" collapsed="false">
      <c r="A6473" s="15" t="s">
        <v>6530</v>
      </c>
      <c r="B6473" s="16" t="n">
        <v>44952</v>
      </c>
      <c r="C6473" s="15" t="s">
        <v>68</v>
      </c>
      <c r="D6473" s="15" t="s">
        <v>43</v>
      </c>
      <c r="E6473" s="15" t="s">
        <v>38</v>
      </c>
      <c r="F6473" s="15" t="s">
        <v>16</v>
      </c>
      <c r="G6473" s="15" t="s">
        <v>27</v>
      </c>
      <c r="H6473" s="15" t="n">
        <v>5</v>
      </c>
      <c r="I6473" s="17" t="n">
        <v>0.2</v>
      </c>
      <c r="J6473" s="18" t="n">
        <v>222.95</v>
      </c>
      <c r="K6473" s="19" t="n">
        <v>13.69</v>
      </c>
      <c r="L6473" s="15" t="n">
        <f aca="false">YEAR(B6473)</f>
        <v>2023</v>
      </c>
      <c r="M6473" s="20" t="n">
        <f aca="false">IF(J6473&gt;0,K6473/J6473,0)</f>
        <v>0.0614039022202288</v>
      </c>
    </row>
    <row r="6474" customFormat="false" ht="15" hidden="false" customHeight="false" outlineLevel="0" collapsed="false">
      <c r="A6474" s="15" t="s">
        <v>6531</v>
      </c>
      <c r="B6474" s="16" t="n">
        <v>45536</v>
      </c>
      <c r="C6474" s="15" t="s">
        <v>56</v>
      </c>
      <c r="D6474" s="15" t="s">
        <v>42</v>
      </c>
      <c r="E6474" s="15" t="s">
        <v>37</v>
      </c>
      <c r="F6474" s="15" t="s">
        <v>17</v>
      </c>
      <c r="G6474" s="15" t="s">
        <v>31</v>
      </c>
      <c r="H6474" s="15" t="n">
        <v>2</v>
      </c>
      <c r="I6474" s="17" t="n">
        <v>0</v>
      </c>
      <c r="J6474" s="18" t="n">
        <v>267.92</v>
      </c>
      <c r="K6474" s="19" t="n">
        <v>54.61</v>
      </c>
      <c r="L6474" s="15" t="n">
        <f aca="false">YEAR(B6474)</f>
        <v>2024</v>
      </c>
      <c r="M6474" s="20" t="n">
        <f aca="false">IF(J6474&gt;0,K6474/J6474,0)</f>
        <v>0.203829501343685</v>
      </c>
    </row>
    <row r="6475" customFormat="false" ht="15" hidden="false" customHeight="false" outlineLevel="0" collapsed="false">
      <c r="A6475" s="15" t="s">
        <v>6532</v>
      </c>
      <c r="B6475" s="16" t="n">
        <v>44729</v>
      </c>
      <c r="C6475" s="15" t="s">
        <v>56</v>
      </c>
      <c r="D6475" s="15" t="s">
        <v>42</v>
      </c>
      <c r="E6475" s="15" t="s">
        <v>39</v>
      </c>
      <c r="F6475" s="15" t="s">
        <v>18</v>
      </c>
      <c r="G6475" s="15" t="s">
        <v>30</v>
      </c>
      <c r="H6475" s="15" t="n">
        <v>3</v>
      </c>
      <c r="I6475" s="17" t="n">
        <v>0</v>
      </c>
      <c r="J6475" s="18" t="n">
        <v>107.17</v>
      </c>
      <c r="K6475" s="19" t="n">
        <v>31.69</v>
      </c>
      <c r="L6475" s="15" t="n">
        <f aca="false">YEAR(B6475)</f>
        <v>2022</v>
      </c>
      <c r="M6475" s="20" t="n">
        <f aca="false">IF(J6475&gt;0,K6475/J6475,0)</f>
        <v>0.295698423066157</v>
      </c>
    </row>
    <row r="6476" customFormat="false" ht="15" hidden="false" customHeight="false" outlineLevel="0" collapsed="false">
      <c r="A6476" s="15" t="s">
        <v>6533</v>
      </c>
      <c r="B6476" s="16" t="n">
        <v>45991</v>
      </c>
      <c r="C6476" s="15" t="s">
        <v>56</v>
      </c>
      <c r="D6476" s="15" t="s">
        <v>42</v>
      </c>
      <c r="E6476" s="15" t="s">
        <v>39</v>
      </c>
      <c r="F6476" s="15" t="s">
        <v>16</v>
      </c>
      <c r="G6476" s="15" t="s">
        <v>22</v>
      </c>
      <c r="H6476" s="15" t="n">
        <v>2</v>
      </c>
      <c r="I6476" s="17" t="n">
        <v>0.1</v>
      </c>
      <c r="J6476" s="18" t="n">
        <v>921.69</v>
      </c>
      <c r="K6476" s="19" t="n">
        <v>-25.16</v>
      </c>
      <c r="L6476" s="15" t="n">
        <f aca="false">YEAR(B6476)</f>
        <v>2025</v>
      </c>
      <c r="M6476" s="20" t="n">
        <f aca="false">IF(J6476&gt;0,K6476/J6476,0)</f>
        <v>-0.0272976814330198</v>
      </c>
    </row>
    <row r="6477" customFormat="false" ht="15" hidden="false" customHeight="false" outlineLevel="0" collapsed="false">
      <c r="A6477" s="15" t="s">
        <v>6534</v>
      </c>
      <c r="B6477" s="16" t="n">
        <v>46012</v>
      </c>
      <c r="C6477" s="15" t="s">
        <v>71</v>
      </c>
      <c r="D6477" s="15" t="s">
        <v>42</v>
      </c>
      <c r="E6477" s="15" t="s">
        <v>39</v>
      </c>
      <c r="F6477" s="15" t="s">
        <v>16</v>
      </c>
      <c r="G6477" s="15" t="s">
        <v>22</v>
      </c>
      <c r="H6477" s="15" t="n">
        <v>3</v>
      </c>
      <c r="I6477" s="17" t="n">
        <v>0</v>
      </c>
      <c r="J6477" s="18" t="n">
        <v>1746.25</v>
      </c>
      <c r="K6477" s="19" t="n">
        <v>35.97</v>
      </c>
      <c r="L6477" s="15" t="n">
        <f aca="false">YEAR(B6477)</f>
        <v>2025</v>
      </c>
      <c r="M6477" s="20" t="n">
        <f aca="false">IF(J6477&gt;0,K6477/J6477,0)</f>
        <v>0.0205984251968504</v>
      </c>
    </row>
    <row r="6478" customFormat="false" ht="15" hidden="false" customHeight="false" outlineLevel="0" collapsed="false">
      <c r="A6478" s="15" t="s">
        <v>6535</v>
      </c>
      <c r="B6478" s="16" t="n">
        <v>45679</v>
      </c>
      <c r="C6478" s="15" t="s">
        <v>71</v>
      </c>
      <c r="D6478" s="15" t="s">
        <v>42</v>
      </c>
      <c r="E6478" s="15" t="s">
        <v>38</v>
      </c>
      <c r="F6478" s="15" t="s">
        <v>16</v>
      </c>
      <c r="G6478" s="15" t="s">
        <v>23</v>
      </c>
      <c r="H6478" s="15" t="n">
        <v>3</v>
      </c>
      <c r="I6478" s="17" t="n">
        <v>0</v>
      </c>
      <c r="J6478" s="18" t="n">
        <v>949.84</v>
      </c>
      <c r="K6478" s="19" t="n">
        <v>-63.56</v>
      </c>
      <c r="L6478" s="15" t="n">
        <f aca="false">YEAR(B6478)</f>
        <v>2025</v>
      </c>
      <c r="M6478" s="20" t="n">
        <f aca="false">IF(J6478&gt;0,K6478/J6478,0)</f>
        <v>-0.0669165333108734</v>
      </c>
    </row>
    <row r="6479" customFormat="false" ht="15" hidden="false" customHeight="false" outlineLevel="0" collapsed="false">
      <c r="A6479" s="15" t="s">
        <v>6536</v>
      </c>
      <c r="B6479" s="16" t="n">
        <v>44953</v>
      </c>
      <c r="C6479" s="15" t="s">
        <v>56</v>
      </c>
      <c r="D6479" s="15" t="s">
        <v>42</v>
      </c>
      <c r="E6479" s="15" t="s">
        <v>38</v>
      </c>
      <c r="F6479" s="15" t="s">
        <v>17</v>
      </c>
      <c r="G6479" s="15" t="s">
        <v>29</v>
      </c>
      <c r="H6479" s="15" t="n">
        <v>3</v>
      </c>
      <c r="I6479" s="17" t="n">
        <v>0.2</v>
      </c>
      <c r="J6479" s="18" t="n">
        <v>36.03</v>
      </c>
      <c r="K6479" s="19" t="n">
        <v>9.75</v>
      </c>
      <c r="L6479" s="15" t="n">
        <f aca="false">YEAR(B6479)</f>
        <v>2023</v>
      </c>
      <c r="M6479" s="20" t="n">
        <f aca="false">IF(J6479&gt;0,K6479/J6479,0)</f>
        <v>0.270607826810991</v>
      </c>
    </row>
    <row r="6480" customFormat="false" ht="15" hidden="false" customHeight="false" outlineLevel="0" collapsed="false">
      <c r="A6480" s="15" t="s">
        <v>6537</v>
      </c>
      <c r="B6480" s="16" t="n">
        <v>45569</v>
      </c>
      <c r="C6480" s="15" t="s">
        <v>56</v>
      </c>
      <c r="D6480" s="15" t="s">
        <v>44</v>
      </c>
      <c r="E6480" s="15" t="s">
        <v>39</v>
      </c>
      <c r="F6480" s="15" t="s">
        <v>17</v>
      </c>
      <c r="G6480" s="15" t="s">
        <v>29</v>
      </c>
      <c r="H6480" s="15" t="n">
        <v>3</v>
      </c>
      <c r="I6480" s="17" t="n">
        <v>0</v>
      </c>
      <c r="J6480" s="18" t="n">
        <v>69.01</v>
      </c>
      <c r="K6480" s="19" t="n">
        <v>28.46</v>
      </c>
      <c r="L6480" s="15" t="n">
        <f aca="false">YEAR(B6480)</f>
        <v>2024</v>
      </c>
      <c r="M6480" s="20" t="n">
        <f aca="false">IF(J6480&gt;0,K6480/J6480,0)</f>
        <v>0.412403999420374</v>
      </c>
    </row>
    <row r="6481" customFormat="false" ht="15" hidden="false" customHeight="false" outlineLevel="0" collapsed="false">
      <c r="A6481" s="15" t="s">
        <v>6538</v>
      </c>
      <c r="B6481" s="16" t="n">
        <v>45971</v>
      </c>
      <c r="C6481" s="15" t="s">
        <v>56</v>
      </c>
      <c r="D6481" s="15" t="s">
        <v>42</v>
      </c>
      <c r="E6481" s="15" t="s">
        <v>36</v>
      </c>
      <c r="F6481" s="15" t="s">
        <v>18</v>
      </c>
      <c r="G6481" s="15" t="s">
        <v>33</v>
      </c>
      <c r="H6481" s="15" t="n">
        <v>3</v>
      </c>
      <c r="I6481" s="17" t="n">
        <v>0</v>
      </c>
      <c r="J6481" s="18" t="n">
        <v>2263.14</v>
      </c>
      <c r="K6481" s="19" t="n">
        <v>525.31</v>
      </c>
      <c r="L6481" s="15" t="n">
        <f aca="false">YEAR(B6481)</f>
        <v>2025</v>
      </c>
      <c r="M6481" s="20" t="n">
        <f aca="false">IF(J6481&gt;0,K6481/J6481,0)</f>
        <v>0.232115556262538</v>
      </c>
    </row>
    <row r="6482" customFormat="false" ht="15" hidden="false" customHeight="false" outlineLevel="0" collapsed="false">
      <c r="A6482" s="15" t="s">
        <v>6539</v>
      </c>
      <c r="B6482" s="16" t="n">
        <v>45101</v>
      </c>
      <c r="C6482" s="15" t="s">
        <v>56</v>
      </c>
      <c r="D6482" s="15" t="s">
        <v>43</v>
      </c>
      <c r="E6482" s="15" t="s">
        <v>38</v>
      </c>
      <c r="F6482" s="15" t="s">
        <v>17</v>
      </c>
      <c r="G6482" s="15" t="s">
        <v>28</v>
      </c>
      <c r="H6482" s="15" t="n">
        <v>1</v>
      </c>
      <c r="I6482" s="17" t="n">
        <v>0.1</v>
      </c>
      <c r="J6482" s="18" t="n">
        <v>21.99</v>
      </c>
      <c r="K6482" s="19" t="n">
        <v>4.85</v>
      </c>
      <c r="L6482" s="15" t="n">
        <f aca="false">YEAR(B6482)</f>
        <v>2023</v>
      </c>
      <c r="M6482" s="20" t="n">
        <f aca="false">IF(J6482&gt;0,K6482/J6482,0)</f>
        <v>0.220554797635289</v>
      </c>
    </row>
    <row r="6483" customFormat="false" ht="15" hidden="false" customHeight="false" outlineLevel="0" collapsed="false">
      <c r="A6483" s="15" t="s">
        <v>6540</v>
      </c>
      <c r="B6483" s="16" t="n">
        <v>45812</v>
      </c>
      <c r="C6483" s="15" t="s">
        <v>71</v>
      </c>
      <c r="D6483" s="15" t="s">
        <v>42</v>
      </c>
      <c r="E6483" s="15" t="s">
        <v>39</v>
      </c>
      <c r="F6483" s="15" t="s">
        <v>18</v>
      </c>
      <c r="G6483" s="15" t="s">
        <v>24</v>
      </c>
      <c r="H6483" s="15" t="n">
        <v>2</v>
      </c>
      <c r="I6483" s="17" t="n">
        <v>0</v>
      </c>
      <c r="J6483" s="18" t="n">
        <v>1253.42</v>
      </c>
      <c r="K6483" s="19" t="n">
        <v>58.55</v>
      </c>
      <c r="L6483" s="15" t="n">
        <f aca="false">YEAR(B6483)</f>
        <v>2025</v>
      </c>
      <c r="M6483" s="20" t="n">
        <f aca="false">IF(J6483&gt;0,K6483/J6483,0)</f>
        <v>0.0467121954332945</v>
      </c>
    </row>
    <row r="6484" customFormat="false" ht="15" hidden="false" customHeight="false" outlineLevel="0" collapsed="false">
      <c r="A6484" s="15" t="s">
        <v>6541</v>
      </c>
      <c r="B6484" s="16" t="n">
        <v>45818</v>
      </c>
      <c r="C6484" s="15" t="s">
        <v>56</v>
      </c>
      <c r="D6484" s="15" t="s">
        <v>44</v>
      </c>
      <c r="E6484" s="15" t="s">
        <v>39</v>
      </c>
      <c r="F6484" s="15" t="s">
        <v>18</v>
      </c>
      <c r="G6484" s="15" t="s">
        <v>30</v>
      </c>
      <c r="H6484" s="15" t="n">
        <v>1</v>
      </c>
      <c r="I6484" s="17" t="n">
        <v>0</v>
      </c>
      <c r="J6484" s="18" t="n">
        <v>54.52</v>
      </c>
      <c r="K6484" s="19" t="n">
        <v>13.63</v>
      </c>
      <c r="L6484" s="15" t="n">
        <f aca="false">YEAR(B6484)</f>
        <v>2025</v>
      </c>
      <c r="M6484" s="20" t="n">
        <f aca="false">IF(J6484&gt;0,K6484/J6484,0)</f>
        <v>0.25</v>
      </c>
    </row>
    <row r="6485" customFormat="false" ht="15" hidden="false" customHeight="false" outlineLevel="0" collapsed="false">
      <c r="A6485" s="15" t="s">
        <v>6542</v>
      </c>
      <c r="B6485" s="16" t="n">
        <v>45365</v>
      </c>
      <c r="C6485" s="15" t="s">
        <v>58</v>
      </c>
      <c r="D6485" s="15" t="s">
        <v>42</v>
      </c>
      <c r="E6485" s="15" t="s">
        <v>36</v>
      </c>
      <c r="F6485" s="15" t="s">
        <v>17</v>
      </c>
      <c r="G6485" s="15" t="s">
        <v>29</v>
      </c>
      <c r="H6485" s="15" t="n">
        <v>2</v>
      </c>
      <c r="I6485" s="17" t="n">
        <v>0</v>
      </c>
      <c r="J6485" s="18" t="n">
        <v>35.19</v>
      </c>
      <c r="K6485" s="19" t="n">
        <v>11.24</v>
      </c>
      <c r="L6485" s="15" t="n">
        <f aca="false">YEAR(B6485)</f>
        <v>2024</v>
      </c>
      <c r="M6485" s="20" t="n">
        <f aca="false">IF(J6485&gt;0,K6485/J6485,0)</f>
        <v>0.319408922989486</v>
      </c>
    </row>
    <row r="6486" customFormat="false" ht="15" hidden="false" customHeight="false" outlineLevel="0" collapsed="false">
      <c r="A6486" s="15" t="s">
        <v>6543</v>
      </c>
      <c r="B6486" s="16" t="n">
        <v>45320</v>
      </c>
      <c r="C6486" s="15" t="s">
        <v>56</v>
      </c>
      <c r="D6486" s="15" t="s">
        <v>42</v>
      </c>
      <c r="E6486" s="15" t="s">
        <v>36</v>
      </c>
      <c r="F6486" s="15" t="s">
        <v>16</v>
      </c>
      <c r="G6486" s="15" t="s">
        <v>25</v>
      </c>
      <c r="H6486" s="15" t="n">
        <v>2</v>
      </c>
      <c r="I6486" s="17" t="n">
        <v>0.15</v>
      </c>
      <c r="J6486" s="18" t="n">
        <v>499.12</v>
      </c>
      <c r="K6486" s="19" t="n">
        <v>-47.73</v>
      </c>
      <c r="L6486" s="15" t="n">
        <f aca="false">YEAR(B6486)</f>
        <v>2024</v>
      </c>
      <c r="M6486" s="20" t="n">
        <f aca="false">IF(J6486&gt;0,K6486/J6486,0)</f>
        <v>-0.0956283058182401</v>
      </c>
    </row>
    <row r="6487" customFormat="false" ht="15" hidden="false" customHeight="false" outlineLevel="0" collapsed="false">
      <c r="A6487" s="15" t="s">
        <v>6544</v>
      </c>
      <c r="B6487" s="16" t="n">
        <v>44935</v>
      </c>
      <c r="C6487" s="15" t="s">
        <v>71</v>
      </c>
      <c r="D6487" s="15" t="s">
        <v>42</v>
      </c>
      <c r="E6487" s="15" t="s">
        <v>37</v>
      </c>
      <c r="F6487" s="15" t="s">
        <v>17</v>
      </c>
      <c r="G6487" s="15" t="s">
        <v>26</v>
      </c>
      <c r="H6487" s="15" t="n">
        <v>8</v>
      </c>
      <c r="I6487" s="17" t="n">
        <v>0.2</v>
      </c>
      <c r="J6487" s="18" t="n">
        <v>497.53</v>
      </c>
      <c r="K6487" s="19" t="n">
        <v>8.49</v>
      </c>
      <c r="L6487" s="15" t="n">
        <f aca="false">YEAR(B6487)</f>
        <v>2023</v>
      </c>
      <c r="M6487" s="20" t="n">
        <f aca="false">IF(J6487&gt;0,K6487/J6487,0)</f>
        <v>0.0170642976302937</v>
      </c>
    </row>
    <row r="6488" customFormat="false" ht="15" hidden="false" customHeight="false" outlineLevel="0" collapsed="false">
      <c r="A6488" s="15" t="s">
        <v>6545</v>
      </c>
      <c r="B6488" s="16" t="n">
        <v>45833</v>
      </c>
      <c r="C6488" s="15" t="s">
        <v>56</v>
      </c>
      <c r="D6488" s="15" t="s">
        <v>42</v>
      </c>
      <c r="E6488" s="15" t="s">
        <v>39</v>
      </c>
      <c r="F6488" s="15" t="s">
        <v>17</v>
      </c>
      <c r="G6488" s="15" t="s">
        <v>28</v>
      </c>
      <c r="H6488" s="15" t="n">
        <v>2</v>
      </c>
      <c r="I6488" s="17" t="n">
        <v>0</v>
      </c>
      <c r="J6488" s="18" t="n">
        <v>51.14</v>
      </c>
      <c r="K6488" s="19" t="n">
        <v>14.88</v>
      </c>
      <c r="L6488" s="15" t="n">
        <f aca="false">YEAR(B6488)</f>
        <v>2025</v>
      </c>
      <c r="M6488" s="20" t="n">
        <f aca="false">IF(J6488&gt;0,K6488/J6488,0)</f>
        <v>0.290965975752835</v>
      </c>
    </row>
    <row r="6489" customFormat="false" ht="15" hidden="false" customHeight="false" outlineLevel="0" collapsed="false">
      <c r="A6489" s="15" t="s">
        <v>6546</v>
      </c>
      <c r="B6489" s="16" t="n">
        <v>45392</v>
      </c>
      <c r="C6489" s="15" t="s">
        <v>56</v>
      </c>
      <c r="D6489" s="15" t="s">
        <v>43</v>
      </c>
      <c r="E6489" s="15" t="s">
        <v>39</v>
      </c>
      <c r="F6489" s="15" t="s">
        <v>17</v>
      </c>
      <c r="G6489" s="15" t="s">
        <v>26</v>
      </c>
      <c r="H6489" s="15" t="n">
        <v>2</v>
      </c>
      <c r="I6489" s="17" t="n">
        <v>0</v>
      </c>
      <c r="J6489" s="18" t="n">
        <v>213.75</v>
      </c>
      <c r="K6489" s="19" t="n">
        <v>34.66</v>
      </c>
      <c r="L6489" s="15" t="n">
        <f aca="false">YEAR(B6489)</f>
        <v>2024</v>
      </c>
      <c r="M6489" s="20" t="n">
        <f aca="false">IF(J6489&gt;0,K6489/J6489,0)</f>
        <v>0.162152046783626</v>
      </c>
    </row>
    <row r="6490" customFormat="false" ht="15" hidden="false" customHeight="false" outlineLevel="0" collapsed="false">
      <c r="A6490" s="15" t="s">
        <v>6547</v>
      </c>
      <c r="B6490" s="16" t="n">
        <v>45063</v>
      </c>
      <c r="C6490" s="15" t="s">
        <v>56</v>
      </c>
      <c r="D6490" s="15" t="s">
        <v>43</v>
      </c>
      <c r="E6490" s="15" t="s">
        <v>39</v>
      </c>
      <c r="F6490" s="15" t="s">
        <v>17</v>
      </c>
      <c r="G6490" s="15" t="s">
        <v>29</v>
      </c>
      <c r="H6490" s="15" t="n">
        <v>4</v>
      </c>
      <c r="I6490" s="17" t="n">
        <v>0</v>
      </c>
      <c r="J6490" s="18" t="n">
        <v>85.93</v>
      </c>
      <c r="K6490" s="19" t="n">
        <v>28.84</v>
      </c>
      <c r="L6490" s="15" t="n">
        <f aca="false">YEAR(B6490)</f>
        <v>2023</v>
      </c>
      <c r="M6490" s="20" t="n">
        <f aca="false">IF(J6490&gt;0,K6490/J6490,0)</f>
        <v>0.335622017921564</v>
      </c>
    </row>
    <row r="6491" customFormat="false" ht="15" hidden="false" customHeight="false" outlineLevel="0" collapsed="false">
      <c r="A6491" s="15" t="s">
        <v>6548</v>
      </c>
      <c r="B6491" s="16" t="n">
        <v>45775</v>
      </c>
      <c r="C6491" s="15" t="s">
        <v>56</v>
      </c>
      <c r="D6491" s="15" t="s">
        <v>42</v>
      </c>
      <c r="E6491" s="15" t="s">
        <v>37</v>
      </c>
      <c r="F6491" s="15" t="s">
        <v>17</v>
      </c>
      <c r="G6491" s="15" t="s">
        <v>31</v>
      </c>
      <c r="H6491" s="15" t="n">
        <v>4</v>
      </c>
      <c r="I6491" s="17" t="n">
        <v>0</v>
      </c>
      <c r="J6491" s="18" t="n">
        <v>474.59</v>
      </c>
      <c r="K6491" s="19" t="n">
        <v>68.37</v>
      </c>
      <c r="L6491" s="15" t="n">
        <f aca="false">YEAR(B6491)</f>
        <v>2025</v>
      </c>
      <c r="M6491" s="20" t="n">
        <f aca="false">IF(J6491&gt;0,K6491/J6491,0)</f>
        <v>0.144061189658442</v>
      </c>
    </row>
    <row r="6492" customFormat="false" ht="15" hidden="false" customHeight="false" outlineLevel="0" collapsed="false">
      <c r="A6492" s="15" t="s">
        <v>6549</v>
      </c>
      <c r="B6492" s="16" t="n">
        <v>45159</v>
      </c>
      <c r="C6492" s="15" t="s">
        <v>71</v>
      </c>
      <c r="D6492" s="15" t="s">
        <v>42</v>
      </c>
      <c r="E6492" s="15" t="s">
        <v>36</v>
      </c>
      <c r="F6492" s="15" t="s">
        <v>17</v>
      </c>
      <c r="G6492" s="15" t="s">
        <v>28</v>
      </c>
      <c r="H6492" s="15" t="n">
        <v>8</v>
      </c>
      <c r="I6492" s="17" t="n">
        <v>0.2</v>
      </c>
      <c r="J6492" s="18" t="n">
        <v>161.09</v>
      </c>
      <c r="K6492" s="19" t="n">
        <v>28.85</v>
      </c>
      <c r="L6492" s="15" t="n">
        <f aca="false">YEAR(B6492)</f>
        <v>2023</v>
      </c>
      <c r="M6492" s="20" t="n">
        <f aca="false">IF(J6492&gt;0,K6492/J6492,0)</f>
        <v>0.17909243280154</v>
      </c>
    </row>
    <row r="6493" customFormat="false" ht="15" hidden="false" customHeight="false" outlineLevel="0" collapsed="false">
      <c r="A6493" s="15" t="s">
        <v>6550</v>
      </c>
      <c r="B6493" s="16" t="n">
        <v>45592</v>
      </c>
      <c r="C6493" s="15" t="s">
        <v>71</v>
      </c>
      <c r="D6493" s="15" t="s">
        <v>42</v>
      </c>
      <c r="E6493" s="15" t="s">
        <v>36</v>
      </c>
      <c r="F6493" s="15" t="s">
        <v>16</v>
      </c>
      <c r="G6493" s="15" t="s">
        <v>25</v>
      </c>
      <c r="H6493" s="15" t="n">
        <v>3</v>
      </c>
      <c r="I6493" s="17" t="n">
        <v>0.05</v>
      </c>
      <c r="J6493" s="18" t="n">
        <v>744.11</v>
      </c>
      <c r="K6493" s="19" t="n">
        <v>31.15</v>
      </c>
      <c r="L6493" s="15" t="n">
        <f aca="false">YEAR(B6493)</f>
        <v>2024</v>
      </c>
      <c r="M6493" s="20" t="n">
        <f aca="false">IF(J6493&gt;0,K6493/J6493,0)</f>
        <v>0.0418620902823507</v>
      </c>
    </row>
    <row r="6494" customFormat="false" ht="15" hidden="false" customHeight="false" outlineLevel="0" collapsed="false">
      <c r="A6494" s="15" t="s">
        <v>6551</v>
      </c>
      <c r="B6494" s="16" t="n">
        <v>45246</v>
      </c>
      <c r="C6494" s="15" t="s">
        <v>56</v>
      </c>
      <c r="D6494" s="15" t="s">
        <v>42</v>
      </c>
      <c r="E6494" s="15" t="s">
        <v>37</v>
      </c>
      <c r="F6494" s="15" t="s">
        <v>18</v>
      </c>
      <c r="G6494" s="15" t="s">
        <v>30</v>
      </c>
      <c r="H6494" s="15" t="n">
        <v>3</v>
      </c>
      <c r="I6494" s="17" t="n">
        <v>0</v>
      </c>
      <c r="J6494" s="18" t="n">
        <v>166.36</v>
      </c>
      <c r="K6494" s="19" t="n">
        <v>38.99</v>
      </c>
      <c r="L6494" s="15" t="n">
        <f aca="false">YEAR(B6494)</f>
        <v>2023</v>
      </c>
      <c r="M6494" s="20" t="n">
        <f aca="false">IF(J6494&gt;0,K6494/J6494,0)</f>
        <v>0.234371243087281</v>
      </c>
    </row>
    <row r="6495" customFormat="false" ht="15" hidden="false" customHeight="false" outlineLevel="0" collapsed="false">
      <c r="A6495" s="15" t="s">
        <v>6552</v>
      </c>
      <c r="B6495" s="16" t="n">
        <v>44766</v>
      </c>
      <c r="C6495" s="15" t="s">
        <v>56</v>
      </c>
      <c r="D6495" s="15" t="s">
        <v>44</v>
      </c>
      <c r="E6495" s="15" t="s">
        <v>37</v>
      </c>
      <c r="F6495" s="15" t="s">
        <v>17</v>
      </c>
      <c r="G6495" s="15" t="s">
        <v>28</v>
      </c>
      <c r="H6495" s="15" t="n">
        <v>1</v>
      </c>
      <c r="I6495" s="17" t="n">
        <v>0.15</v>
      </c>
      <c r="J6495" s="18" t="n">
        <v>23.83</v>
      </c>
      <c r="K6495" s="19" t="n">
        <v>2.67</v>
      </c>
      <c r="L6495" s="15" t="n">
        <f aca="false">YEAR(B6495)</f>
        <v>2022</v>
      </c>
      <c r="M6495" s="20" t="n">
        <f aca="false">IF(J6495&gt;0,K6495/J6495,0)</f>
        <v>0.112043642467478</v>
      </c>
    </row>
    <row r="6496" customFormat="false" ht="15" hidden="false" customHeight="false" outlineLevel="0" collapsed="false">
      <c r="A6496" s="15" t="s">
        <v>6553</v>
      </c>
      <c r="B6496" s="16" t="n">
        <v>44695</v>
      </c>
      <c r="C6496" s="15" t="s">
        <v>58</v>
      </c>
      <c r="D6496" s="15" t="s">
        <v>43</v>
      </c>
      <c r="E6496" s="15" t="s">
        <v>36</v>
      </c>
      <c r="F6496" s="15" t="s">
        <v>16</v>
      </c>
      <c r="G6496" s="15" t="s">
        <v>27</v>
      </c>
      <c r="H6496" s="15" t="n">
        <v>2</v>
      </c>
      <c r="I6496" s="17" t="n">
        <v>0</v>
      </c>
      <c r="J6496" s="18" t="n">
        <v>131.67</v>
      </c>
      <c r="K6496" s="19" t="n">
        <v>34.8</v>
      </c>
      <c r="L6496" s="15" t="n">
        <f aca="false">YEAR(B6496)</f>
        <v>2022</v>
      </c>
      <c r="M6496" s="20" t="n">
        <f aca="false">IF(J6496&gt;0,K6496/J6496,0)</f>
        <v>0.26429710640237</v>
      </c>
    </row>
    <row r="6497" customFormat="false" ht="15" hidden="false" customHeight="false" outlineLevel="0" collapsed="false">
      <c r="A6497" s="15" t="s">
        <v>6554</v>
      </c>
      <c r="B6497" s="16" t="n">
        <v>45263</v>
      </c>
      <c r="C6497" s="15" t="s">
        <v>71</v>
      </c>
      <c r="D6497" s="15" t="s">
        <v>43</v>
      </c>
      <c r="E6497" s="15" t="s">
        <v>39</v>
      </c>
      <c r="F6497" s="15" t="s">
        <v>18</v>
      </c>
      <c r="G6497" s="15" t="s">
        <v>30</v>
      </c>
      <c r="H6497" s="15" t="n">
        <v>4</v>
      </c>
      <c r="I6497" s="17" t="n">
        <v>0</v>
      </c>
      <c r="J6497" s="18" t="n">
        <v>231.87</v>
      </c>
      <c r="K6497" s="19" t="n">
        <v>63.7</v>
      </c>
      <c r="L6497" s="15" t="n">
        <f aca="false">YEAR(B6497)</f>
        <v>2023</v>
      </c>
      <c r="M6497" s="20" t="n">
        <f aca="false">IF(J6497&gt;0,K6497/J6497,0)</f>
        <v>0.27472290507612</v>
      </c>
    </row>
    <row r="6498" customFormat="false" ht="15" hidden="false" customHeight="false" outlineLevel="0" collapsed="false">
      <c r="A6498" s="15" t="s">
        <v>6555</v>
      </c>
      <c r="B6498" s="16" t="n">
        <v>45331</v>
      </c>
      <c r="C6498" s="15" t="s">
        <v>56</v>
      </c>
      <c r="D6498" s="15" t="s">
        <v>43</v>
      </c>
      <c r="E6498" s="15" t="s">
        <v>37</v>
      </c>
      <c r="F6498" s="15" t="s">
        <v>18</v>
      </c>
      <c r="G6498" s="15" t="s">
        <v>30</v>
      </c>
      <c r="H6498" s="15" t="n">
        <v>3</v>
      </c>
      <c r="I6498" s="17" t="n">
        <v>0.15</v>
      </c>
      <c r="J6498" s="18" t="n">
        <v>131.51</v>
      </c>
      <c r="K6498" s="19" t="n">
        <v>30.56</v>
      </c>
      <c r="L6498" s="15" t="n">
        <f aca="false">YEAR(B6498)</f>
        <v>2024</v>
      </c>
      <c r="M6498" s="20" t="n">
        <f aca="false">IF(J6498&gt;0,K6498/J6498,0)</f>
        <v>0.232377765949357</v>
      </c>
    </row>
    <row r="6499" customFormat="false" ht="15" hidden="false" customHeight="false" outlineLevel="0" collapsed="false">
      <c r="A6499" s="15" t="s">
        <v>6556</v>
      </c>
      <c r="B6499" s="16" t="n">
        <v>45256</v>
      </c>
      <c r="C6499" s="15" t="s">
        <v>68</v>
      </c>
      <c r="D6499" s="15" t="s">
        <v>42</v>
      </c>
      <c r="E6499" s="15" t="s">
        <v>37</v>
      </c>
      <c r="F6499" s="15" t="s">
        <v>17</v>
      </c>
      <c r="G6499" s="15" t="s">
        <v>28</v>
      </c>
      <c r="H6499" s="15" t="n">
        <v>2</v>
      </c>
      <c r="I6499" s="17" t="n">
        <v>0.2</v>
      </c>
      <c r="J6499" s="18" t="n">
        <v>41.13</v>
      </c>
      <c r="K6499" s="19" t="n">
        <v>2.95</v>
      </c>
      <c r="L6499" s="15" t="n">
        <f aca="false">YEAR(B6499)</f>
        <v>2023</v>
      </c>
      <c r="M6499" s="20" t="n">
        <f aca="false">IF(J6499&gt;0,K6499/J6499,0)</f>
        <v>0.0717238025771943</v>
      </c>
    </row>
    <row r="6500" customFormat="false" ht="15" hidden="false" customHeight="false" outlineLevel="0" collapsed="false">
      <c r="A6500" s="15" t="s">
        <v>6557</v>
      </c>
      <c r="B6500" s="16" t="n">
        <v>45900</v>
      </c>
      <c r="C6500" s="15" t="s">
        <v>56</v>
      </c>
      <c r="D6500" s="15" t="s">
        <v>43</v>
      </c>
      <c r="E6500" s="15" t="s">
        <v>36</v>
      </c>
      <c r="F6500" s="15" t="s">
        <v>17</v>
      </c>
      <c r="G6500" s="15" t="s">
        <v>28</v>
      </c>
      <c r="H6500" s="15" t="n">
        <v>5</v>
      </c>
      <c r="I6500" s="17" t="n">
        <v>0</v>
      </c>
      <c r="J6500" s="18" t="n">
        <v>156.28</v>
      </c>
      <c r="K6500" s="19" t="n">
        <v>58.75</v>
      </c>
      <c r="L6500" s="15" t="n">
        <f aca="false">YEAR(B6500)</f>
        <v>2025</v>
      </c>
      <c r="M6500" s="20" t="n">
        <f aca="false">IF(J6500&gt;0,K6500/J6500,0)</f>
        <v>0.375927821858203</v>
      </c>
    </row>
    <row r="6501" customFormat="false" ht="15" hidden="false" customHeight="false" outlineLevel="0" collapsed="false">
      <c r="A6501" s="15" t="s">
        <v>6558</v>
      </c>
      <c r="B6501" s="16" t="n">
        <v>45623</v>
      </c>
      <c r="C6501" s="15" t="s">
        <v>56</v>
      </c>
      <c r="D6501" s="15" t="s">
        <v>43</v>
      </c>
      <c r="E6501" s="15" t="s">
        <v>36</v>
      </c>
      <c r="F6501" s="15" t="s">
        <v>17</v>
      </c>
      <c r="G6501" s="15" t="s">
        <v>29</v>
      </c>
      <c r="H6501" s="15" t="n">
        <v>7</v>
      </c>
      <c r="I6501" s="17" t="n">
        <v>0.3</v>
      </c>
      <c r="J6501" s="18" t="n">
        <v>87.5</v>
      </c>
      <c r="K6501" s="19" t="n">
        <v>12.88</v>
      </c>
      <c r="L6501" s="15" t="n">
        <f aca="false">YEAR(B6501)</f>
        <v>2024</v>
      </c>
      <c r="M6501" s="20" t="n">
        <f aca="false">IF(J6501&gt;0,K6501/J6501,0)</f>
        <v>0.1472</v>
      </c>
    </row>
    <row r="6502" customFormat="false" ht="15" hidden="false" customHeight="false" outlineLevel="0" collapsed="false">
      <c r="A6502" s="15" t="s">
        <v>6559</v>
      </c>
      <c r="B6502" s="16" t="n">
        <v>45718</v>
      </c>
      <c r="C6502" s="15" t="s">
        <v>56</v>
      </c>
      <c r="D6502" s="15" t="s">
        <v>42</v>
      </c>
      <c r="E6502" s="15" t="s">
        <v>39</v>
      </c>
      <c r="F6502" s="15" t="s">
        <v>18</v>
      </c>
      <c r="G6502" s="15" t="s">
        <v>30</v>
      </c>
      <c r="H6502" s="15" t="n">
        <v>8</v>
      </c>
      <c r="I6502" s="17" t="n">
        <v>0.1</v>
      </c>
      <c r="J6502" s="18" t="n">
        <v>345.68</v>
      </c>
      <c r="K6502" s="19" t="n">
        <v>52.71</v>
      </c>
      <c r="L6502" s="15" t="n">
        <f aca="false">YEAR(B6502)</f>
        <v>2025</v>
      </c>
      <c r="M6502" s="20" t="n">
        <f aca="false">IF(J6502&gt;0,K6502/J6502,0)</f>
        <v>0.152482064336959</v>
      </c>
    </row>
    <row r="6503" customFormat="false" ht="15" hidden="false" customHeight="false" outlineLevel="0" collapsed="false">
      <c r="A6503" s="15" t="s">
        <v>6560</v>
      </c>
      <c r="B6503" s="16" t="n">
        <v>45922</v>
      </c>
      <c r="C6503" s="15" t="s">
        <v>56</v>
      </c>
      <c r="D6503" s="15" t="s">
        <v>42</v>
      </c>
      <c r="E6503" s="15" t="s">
        <v>37</v>
      </c>
      <c r="F6503" s="15" t="s">
        <v>16</v>
      </c>
      <c r="G6503" s="15" t="s">
        <v>25</v>
      </c>
      <c r="H6503" s="15" t="n">
        <v>4</v>
      </c>
      <c r="I6503" s="17" t="n">
        <v>0.1</v>
      </c>
      <c r="J6503" s="18" t="n">
        <v>1110.69</v>
      </c>
      <c r="K6503" s="19" t="n">
        <v>16.96</v>
      </c>
      <c r="L6503" s="15" t="n">
        <f aca="false">YEAR(B6503)</f>
        <v>2025</v>
      </c>
      <c r="M6503" s="20" t="n">
        <f aca="false">IF(J6503&gt;0,K6503/J6503,0)</f>
        <v>0.0152697872493675</v>
      </c>
    </row>
    <row r="6504" customFormat="false" ht="15" hidden="false" customHeight="false" outlineLevel="0" collapsed="false">
      <c r="A6504" s="15" t="s">
        <v>6561</v>
      </c>
      <c r="B6504" s="16" t="n">
        <v>45734</v>
      </c>
      <c r="C6504" s="15" t="s">
        <v>71</v>
      </c>
      <c r="D6504" s="15" t="s">
        <v>43</v>
      </c>
      <c r="E6504" s="15" t="s">
        <v>36</v>
      </c>
      <c r="F6504" s="15" t="s">
        <v>17</v>
      </c>
      <c r="G6504" s="15" t="s">
        <v>29</v>
      </c>
      <c r="H6504" s="15" t="n">
        <v>4</v>
      </c>
      <c r="I6504" s="17" t="n">
        <v>0</v>
      </c>
      <c r="J6504" s="18" t="n">
        <v>73.88</v>
      </c>
      <c r="K6504" s="19" t="n">
        <v>28.77</v>
      </c>
      <c r="L6504" s="15" t="n">
        <f aca="false">YEAR(B6504)</f>
        <v>2025</v>
      </c>
      <c r="M6504" s="20" t="n">
        <f aca="false">IF(J6504&gt;0,K6504/J6504,0)</f>
        <v>0.389415268002166</v>
      </c>
    </row>
    <row r="6505" customFormat="false" ht="15" hidden="false" customHeight="false" outlineLevel="0" collapsed="false">
      <c r="A6505" s="15" t="s">
        <v>6562</v>
      </c>
      <c r="B6505" s="16" t="n">
        <v>45147</v>
      </c>
      <c r="C6505" s="15" t="s">
        <v>56</v>
      </c>
      <c r="D6505" s="15" t="s">
        <v>42</v>
      </c>
      <c r="E6505" s="15" t="s">
        <v>36</v>
      </c>
      <c r="F6505" s="15" t="s">
        <v>16</v>
      </c>
      <c r="G6505" s="15" t="s">
        <v>25</v>
      </c>
      <c r="H6505" s="15" t="n">
        <v>3</v>
      </c>
      <c r="I6505" s="17" t="n">
        <v>0.2</v>
      </c>
      <c r="J6505" s="18" t="n">
        <v>643.52</v>
      </c>
      <c r="K6505" s="19" t="n">
        <v>-37.69</v>
      </c>
      <c r="L6505" s="15" t="n">
        <f aca="false">YEAR(B6505)</f>
        <v>2023</v>
      </c>
      <c r="M6505" s="20" t="n">
        <f aca="false">IF(J6505&gt;0,K6505/J6505,0)</f>
        <v>-0.0585684982595724</v>
      </c>
    </row>
    <row r="6506" customFormat="false" ht="15" hidden="false" customHeight="false" outlineLevel="0" collapsed="false">
      <c r="A6506" s="15" t="s">
        <v>6563</v>
      </c>
      <c r="B6506" s="16" t="n">
        <v>45068</v>
      </c>
      <c r="C6506" s="15" t="s">
        <v>56</v>
      </c>
      <c r="D6506" s="15" t="s">
        <v>43</v>
      </c>
      <c r="E6506" s="15" t="s">
        <v>38</v>
      </c>
      <c r="F6506" s="15" t="s">
        <v>17</v>
      </c>
      <c r="G6506" s="15" t="s">
        <v>28</v>
      </c>
      <c r="H6506" s="15" t="n">
        <v>5</v>
      </c>
      <c r="I6506" s="17" t="n">
        <v>0.15</v>
      </c>
      <c r="J6506" s="18" t="n">
        <v>95.4</v>
      </c>
      <c r="K6506" s="19" t="n">
        <v>13.11</v>
      </c>
      <c r="L6506" s="15" t="n">
        <f aca="false">YEAR(B6506)</f>
        <v>2023</v>
      </c>
      <c r="M6506" s="20" t="n">
        <f aca="false">IF(J6506&gt;0,K6506/J6506,0)</f>
        <v>0.137421383647799</v>
      </c>
    </row>
    <row r="6507" customFormat="false" ht="15" hidden="false" customHeight="false" outlineLevel="0" collapsed="false">
      <c r="A6507" s="15" t="s">
        <v>6564</v>
      </c>
      <c r="B6507" s="16" t="n">
        <v>45591</v>
      </c>
      <c r="C6507" s="15" t="s">
        <v>56</v>
      </c>
      <c r="D6507" s="15" t="s">
        <v>43</v>
      </c>
      <c r="E6507" s="15" t="s">
        <v>37</v>
      </c>
      <c r="F6507" s="15" t="s">
        <v>16</v>
      </c>
      <c r="G6507" s="15" t="s">
        <v>27</v>
      </c>
      <c r="H6507" s="15" t="n">
        <v>6</v>
      </c>
      <c r="I6507" s="17" t="n">
        <v>0.1</v>
      </c>
      <c r="J6507" s="18" t="n">
        <v>375.59</v>
      </c>
      <c r="K6507" s="19" t="n">
        <v>55.45</v>
      </c>
      <c r="L6507" s="15" t="n">
        <f aca="false">YEAR(B6507)</f>
        <v>2024</v>
      </c>
      <c r="M6507" s="20" t="n">
        <f aca="false">IF(J6507&gt;0,K6507/J6507,0)</f>
        <v>0.147634388561996</v>
      </c>
    </row>
    <row r="6508" customFormat="false" ht="15" hidden="false" customHeight="false" outlineLevel="0" collapsed="false">
      <c r="A6508" s="15" t="s">
        <v>6565</v>
      </c>
      <c r="B6508" s="16" t="n">
        <v>44809</v>
      </c>
      <c r="C6508" s="15" t="s">
        <v>56</v>
      </c>
      <c r="D6508" s="15" t="s">
        <v>42</v>
      </c>
      <c r="E6508" s="15" t="s">
        <v>37</v>
      </c>
      <c r="F6508" s="15" t="s">
        <v>17</v>
      </c>
      <c r="G6508" s="15" t="s">
        <v>31</v>
      </c>
      <c r="H6508" s="15" t="n">
        <v>2</v>
      </c>
      <c r="I6508" s="17" t="n">
        <v>0</v>
      </c>
      <c r="J6508" s="18" t="n">
        <v>241.51</v>
      </c>
      <c r="K6508" s="19" t="n">
        <v>55</v>
      </c>
      <c r="L6508" s="15" t="n">
        <f aca="false">YEAR(B6508)</f>
        <v>2022</v>
      </c>
      <c r="M6508" s="20" t="n">
        <f aca="false">IF(J6508&gt;0,K6508/J6508,0)</f>
        <v>0.22773384124881</v>
      </c>
    </row>
    <row r="6509" customFormat="false" ht="15" hidden="false" customHeight="false" outlineLevel="0" collapsed="false">
      <c r="A6509" s="15" t="s">
        <v>6566</v>
      </c>
      <c r="B6509" s="16" t="n">
        <v>44955</v>
      </c>
      <c r="C6509" s="15" t="s">
        <v>56</v>
      </c>
      <c r="D6509" s="15" t="s">
        <v>42</v>
      </c>
      <c r="E6509" s="15" t="s">
        <v>36</v>
      </c>
      <c r="F6509" s="15" t="s">
        <v>18</v>
      </c>
      <c r="G6509" s="15" t="s">
        <v>33</v>
      </c>
      <c r="H6509" s="15" t="n">
        <v>2</v>
      </c>
      <c r="I6509" s="17" t="n">
        <v>0.2</v>
      </c>
      <c r="J6509" s="18" t="n">
        <v>1639.48</v>
      </c>
      <c r="K6509" s="19" t="n">
        <v>106.11</v>
      </c>
      <c r="L6509" s="15" t="n">
        <f aca="false">YEAR(B6509)</f>
        <v>2023</v>
      </c>
      <c r="M6509" s="20" t="n">
        <f aca="false">IF(J6509&gt;0,K6509/J6509,0)</f>
        <v>0.0647217410398419</v>
      </c>
    </row>
    <row r="6510" customFormat="false" ht="15" hidden="false" customHeight="false" outlineLevel="0" collapsed="false">
      <c r="A6510" s="15" t="s">
        <v>6567</v>
      </c>
      <c r="B6510" s="16" t="n">
        <v>45068</v>
      </c>
      <c r="C6510" s="15" t="s">
        <v>56</v>
      </c>
      <c r="D6510" s="15" t="s">
        <v>44</v>
      </c>
      <c r="E6510" s="15" t="s">
        <v>37</v>
      </c>
      <c r="F6510" s="15" t="s">
        <v>17</v>
      </c>
      <c r="G6510" s="15" t="s">
        <v>28</v>
      </c>
      <c r="H6510" s="15" t="n">
        <v>2</v>
      </c>
      <c r="I6510" s="17" t="n">
        <v>0.3</v>
      </c>
      <c r="J6510" s="18" t="n">
        <v>29.23</v>
      </c>
      <c r="K6510" s="19" t="n">
        <v>1.29</v>
      </c>
      <c r="L6510" s="15" t="n">
        <f aca="false">YEAR(B6510)</f>
        <v>2023</v>
      </c>
      <c r="M6510" s="20" t="n">
        <f aca="false">IF(J6510&gt;0,K6510/J6510,0)</f>
        <v>0.044132740335272</v>
      </c>
    </row>
    <row r="6511" customFormat="false" ht="15" hidden="false" customHeight="false" outlineLevel="0" collapsed="false">
      <c r="A6511" s="15" t="s">
        <v>6568</v>
      </c>
      <c r="B6511" s="16" t="n">
        <v>45808</v>
      </c>
      <c r="C6511" s="15" t="s">
        <v>56</v>
      </c>
      <c r="D6511" s="15" t="s">
        <v>43</v>
      </c>
      <c r="E6511" s="15" t="s">
        <v>38</v>
      </c>
      <c r="F6511" s="15" t="s">
        <v>17</v>
      </c>
      <c r="G6511" s="15" t="s">
        <v>31</v>
      </c>
      <c r="H6511" s="15" t="n">
        <v>6</v>
      </c>
      <c r="I6511" s="17" t="n">
        <v>0</v>
      </c>
      <c r="J6511" s="18" t="n">
        <v>672.04</v>
      </c>
      <c r="K6511" s="19" t="n">
        <v>167.84</v>
      </c>
      <c r="L6511" s="15" t="n">
        <f aca="false">YEAR(B6511)</f>
        <v>2025</v>
      </c>
      <c r="M6511" s="20" t="n">
        <f aca="false">IF(J6511&gt;0,K6511/J6511,0)</f>
        <v>0.249747038866734</v>
      </c>
    </row>
    <row r="6512" customFormat="false" ht="15" hidden="false" customHeight="false" outlineLevel="0" collapsed="false">
      <c r="A6512" s="15" t="s">
        <v>6569</v>
      </c>
      <c r="B6512" s="16" t="n">
        <v>45685</v>
      </c>
      <c r="C6512" s="15" t="s">
        <v>71</v>
      </c>
      <c r="D6512" s="15" t="s">
        <v>42</v>
      </c>
      <c r="E6512" s="15" t="s">
        <v>36</v>
      </c>
      <c r="F6512" s="15" t="s">
        <v>17</v>
      </c>
      <c r="G6512" s="15" t="s">
        <v>29</v>
      </c>
      <c r="H6512" s="15" t="n">
        <v>4</v>
      </c>
      <c r="I6512" s="17" t="n">
        <v>0</v>
      </c>
      <c r="J6512" s="18" t="n">
        <v>60.4</v>
      </c>
      <c r="K6512" s="19" t="n">
        <v>18.54</v>
      </c>
      <c r="L6512" s="15" t="n">
        <f aca="false">YEAR(B6512)</f>
        <v>2025</v>
      </c>
      <c r="M6512" s="20" t="n">
        <f aca="false">IF(J6512&gt;0,K6512/J6512,0)</f>
        <v>0.306953642384106</v>
      </c>
    </row>
    <row r="6513" customFormat="false" ht="15" hidden="false" customHeight="false" outlineLevel="0" collapsed="false">
      <c r="A6513" s="15" t="s">
        <v>6570</v>
      </c>
      <c r="B6513" s="16" t="n">
        <v>44628</v>
      </c>
      <c r="C6513" s="15" t="s">
        <v>71</v>
      </c>
      <c r="D6513" s="15" t="s">
        <v>42</v>
      </c>
      <c r="E6513" s="15" t="s">
        <v>36</v>
      </c>
      <c r="F6513" s="15" t="s">
        <v>17</v>
      </c>
      <c r="G6513" s="15" t="s">
        <v>29</v>
      </c>
      <c r="H6513" s="15" t="n">
        <v>3</v>
      </c>
      <c r="I6513" s="17" t="n">
        <v>0.1</v>
      </c>
      <c r="J6513" s="18" t="n">
        <v>56.93</v>
      </c>
      <c r="K6513" s="19" t="n">
        <v>14.47</v>
      </c>
      <c r="L6513" s="15" t="n">
        <f aca="false">YEAR(B6513)</f>
        <v>2022</v>
      </c>
      <c r="M6513" s="20" t="n">
        <f aca="false">IF(J6513&gt;0,K6513/J6513,0)</f>
        <v>0.254171789917443</v>
      </c>
    </row>
    <row r="6514" customFormat="false" ht="15" hidden="false" customHeight="false" outlineLevel="0" collapsed="false">
      <c r="A6514" s="15" t="s">
        <v>6571</v>
      </c>
      <c r="B6514" s="16" t="n">
        <v>45464</v>
      </c>
      <c r="C6514" s="15" t="s">
        <v>58</v>
      </c>
      <c r="D6514" s="15" t="s">
        <v>44</v>
      </c>
      <c r="E6514" s="15" t="s">
        <v>39</v>
      </c>
      <c r="F6514" s="15" t="s">
        <v>17</v>
      </c>
      <c r="G6514" s="15" t="s">
        <v>28</v>
      </c>
      <c r="H6514" s="15" t="n">
        <v>2</v>
      </c>
      <c r="I6514" s="17" t="n">
        <v>0</v>
      </c>
      <c r="J6514" s="18" t="n">
        <v>60.93</v>
      </c>
      <c r="K6514" s="19" t="n">
        <v>22.4</v>
      </c>
      <c r="L6514" s="15" t="n">
        <f aca="false">YEAR(B6514)</f>
        <v>2024</v>
      </c>
      <c r="M6514" s="20" t="n">
        <f aca="false">IF(J6514&gt;0,K6514/J6514,0)</f>
        <v>0.367634990973248</v>
      </c>
    </row>
    <row r="6515" customFormat="false" ht="15" hidden="false" customHeight="false" outlineLevel="0" collapsed="false">
      <c r="A6515" s="15" t="s">
        <v>6572</v>
      </c>
      <c r="B6515" s="16" t="n">
        <v>45677</v>
      </c>
      <c r="C6515" s="15" t="s">
        <v>56</v>
      </c>
      <c r="D6515" s="15" t="s">
        <v>43</v>
      </c>
      <c r="E6515" s="15" t="s">
        <v>39</v>
      </c>
      <c r="F6515" s="15" t="s">
        <v>16</v>
      </c>
      <c r="G6515" s="15" t="s">
        <v>22</v>
      </c>
      <c r="H6515" s="15" t="n">
        <v>2</v>
      </c>
      <c r="I6515" s="17" t="n">
        <v>0</v>
      </c>
      <c r="J6515" s="18" t="n">
        <v>1079.98</v>
      </c>
      <c r="K6515" s="19" t="n">
        <v>-70.61</v>
      </c>
      <c r="L6515" s="15" t="n">
        <f aca="false">YEAR(B6515)</f>
        <v>2025</v>
      </c>
      <c r="M6515" s="20" t="n">
        <f aca="false">IF(J6515&gt;0,K6515/J6515,0)</f>
        <v>-0.0653808403859331</v>
      </c>
    </row>
    <row r="6516" customFormat="false" ht="15" hidden="false" customHeight="false" outlineLevel="0" collapsed="false">
      <c r="A6516" s="15" t="s">
        <v>6573</v>
      </c>
      <c r="B6516" s="16" t="n">
        <v>44823</v>
      </c>
      <c r="C6516" s="15" t="s">
        <v>71</v>
      </c>
      <c r="D6516" s="15" t="s">
        <v>42</v>
      </c>
      <c r="E6516" s="15" t="s">
        <v>37</v>
      </c>
      <c r="F6516" s="15" t="s">
        <v>17</v>
      </c>
      <c r="G6516" s="15" t="s">
        <v>26</v>
      </c>
      <c r="H6516" s="15" t="n">
        <v>1</v>
      </c>
      <c r="I6516" s="17" t="n">
        <v>0</v>
      </c>
      <c r="J6516" s="18" t="n">
        <v>104.46</v>
      </c>
      <c r="K6516" s="19" t="n">
        <v>12.55</v>
      </c>
      <c r="L6516" s="15" t="n">
        <f aca="false">YEAR(B6516)</f>
        <v>2022</v>
      </c>
      <c r="M6516" s="20" t="n">
        <f aca="false">IF(J6516&gt;0,K6516/J6516,0)</f>
        <v>0.12014168102623</v>
      </c>
    </row>
    <row r="6517" customFormat="false" ht="15" hidden="false" customHeight="false" outlineLevel="0" collapsed="false">
      <c r="A6517" s="15" t="s">
        <v>6574</v>
      </c>
      <c r="B6517" s="16" t="n">
        <v>45606</v>
      </c>
      <c r="C6517" s="15" t="s">
        <v>56</v>
      </c>
      <c r="D6517" s="15" t="s">
        <v>43</v>
      </c>
      <c r="E6517" s="15" t="s">
        <v>39</v>
      </c>
      <c r="F6517" s="15" t="s">
        <v>16</v>
      </c>
      <c r="G6517" s="15" t="s">
        <v>27</v>
      </c>
      <c r="H6517" s="15" t="n">
        <v>6</v>
      </c>
      <c r="I6517" s="17" t="n">
        <v>0.15</v>
      </c>
      <c r="J6517" s="18" t="n">
        <v>397.02</v>
      </c>
      <c r="K6517" s="19" t="n">
        <v>58.35</v>
      </c>
      <c r="L6517" s="15" t="n">
        <f aca="false">YEAR(B6517)</f>
        <v>2024</v>
      </c>
      <c r="M6517" s="20" t="n">
        <f aca="false">IF(J6517&gt;0,K6517/J6517,0)</f>
        <v>0.146969925948315</v>
      </c>
    </row>
    <row r="6518" customFormat="false" ht="15" hidden="false" customHeight="false" outlineLevel="0" collapsed="false">
      <c r="A6518" s="15" t="s">
        <v>6575</v>
      </c>
      <c r="B6518" s="16" t="n">
        <v>45934</v>
      </c>
      <c r="C6518" s="15" t="s">
        <v>56</v>
      </c>
      <c r="D6518" s="15" t="s">
        <v>42</v>
      </c>
      <c r="E6518" s="15" t="s">
        <v>38</v>
      </c>
      <c r="F6518" s="15" t="s">
        <v>18</v>
      </c>
      <c r="G6518" s="15" t="s">
        <v>32</v>
      </c>
      <c r="H6518" s="15" t="n">
        <v>4</v>
      </c>
      <c r="I6518" s="17" t="n">
        <v>0.2</v>
      </c>
      <c r="J6518" s="18" t="n">
        <v>1158.35</v>
      </c>
      <c r="K6518" s="19" t="n">
        <v>46</v>
      </c>
      <c r="L6518" s="15" t="n">
        <f aca="false">YEAR(B6518)</f>
        <v>2025</v>
      </c>
      <c r="M6518" s="20" t="n">
        <f aca="false">IF(J6518&gt;0,K6518/J6518,0)</f>
        <v>0.0397116588250529</v>
      </c>
    </row>
    <row r="6519" customFormat="false" ht="15" hidden="false" customHeight="false" outlineLevel="0" collapsed="false">
      <c r="A6519" s="15" t="s">
        <v>6576</v>
      </c>
      <c r="B6519" s="16" t="n">
        <v>45348</v>
      </c>
      <c r="C6519" s="15" t="s">
        <v>56</v>
      </c>
      <c r="D6519" s="15" t="s">
        <v>42</v>
      </c>
      <c r="E6519" s="15" t="s">
        <v>39</v>
      </c>
      <c r="F6519" s="15" t="s">
        <v>17</v>
      </c>
      <c r="G6519" s="15" t="s">
        <v>26</v>
      </c>
      <c r="H6519" s="15" t="n">
        <v>5</v>
      </c>
      <c r="I6519" s="17" t="n">
        <v>0</v>
      </c>
      <c r="J6519" s="18" t="n">
        <v>416.53</v>
      </c>
      <c r="K6519" s="19" t="n">
        <v>72.01</v>
      </c>
      <c r="L6519" s="15" t="n">
        <f aca="false">YEAR(B6519)</f>
        <v>2024</v>
      </c>
      <c r="M6519" s="20" t="n">
        <f aca="false">IF(J6519&gt;0,K6519/J6519,0)</f>
        <v>0.172880704871198</v>
      </c>
    </row>
    <row r="6520" customFormat="false" ht="15" hidden="false" customHeight="false" outlineLevel="0" collapsed="false">
      <c r="A6520" s="15" t="s">
        <v>6577</v>
      </c>
      <c r="B6520" s="16" t="n">
        <v>45885</v>
      </c>
      <c r="C6520" s="15" t="s">
        <v>56</v>
      </c>
      <c r="D6520" s="15" t="s">
        <v>43</v>
      </c>
      <c r="E6520" s="15" t="s">
        <v>38</v>
      </c>
      <c r="F6520" s="15" t="s">
        <v>16</v>
      </c>
      <c r="G6520" s="15" t="s">
        <v>23</v>
      </c>
      <c r="H6520" s="15" t="n">
        <v>4</v>
      </c>
      <c r="I6520" s="17" t="n">
        <v>0.2</v>
      </c>
      <c r="J6520" s="18" t="n">
        <v>831.44</v>
      </c>
      <c r="K6520" s="19" t="n">
        <v>-151.44</v>
      </c>
      <c r="L6520" s="15" t="n">
        <f aca="false">YEAR(B6520)</f>
        <v>2025</v>
      </c>
      <c r="M6520" s="20" t="n">
        <f aca="false">IF(J6520&gt;0,K6520/J6520,0)</f>
        <v>-0.182141826229193</v>
      </c>
    </row>
    <row r="6521" customFormat="false" ht="15" hidden="false" customHeight="false" outlineLevel="0" collapsed="false">
      <c r="A6521" s="15" t="s">
        <v>6578</v>
      </c>
      <c r="B6521" s="16" t="n">
        <v>45814</v>
      </c>
      <c r="C6521" s="15" t="s">
        <v>56</v>
      </c>
      <c r="D6521" s="15" t="s">
        <v>42</v>
      </c>
      <c r="E6521" s="15" t="s">
        <v>36</v>
      </c>
      <c r="F6521" s="15" t="s">
        <v>17</v>
      </c>
      <c r="G6521" s="15" t="s">
        <v>28</v>
      </c>
      <c r="H6521" s="15" t="n">
        <v>3</v>
      </c>
      <c r="I6521" s="17" t="n">
        <v>0</v>
      </c>
      <c r="J6521" s="18" t="n">
        <v>90.65</v>
      </c>
      <c r="K6521" s="19" t="n">
        <v>30</v>
      </c>
      <c r="L6521" s="15" t="n">
        <f aca="false">YEAR(B6521)</f>
        <v>2025</v>
      </c>
      <c r="M6521" s="20" t="n">
        <f aca="false">IF(J6521&gt;0,K6521/J6521,0)</f>
        <v>0.330943188086045</v>
      </c>
    </row>
    <row r="6522" customFormat="false" ht="15" hidden="false" customHeight="false" outlineLevel="0" collapsed="false">
      <c r="A6522" s="15" t="s">
        <v>6579</v>
      </c>
      <c r="B6522" s="16" t="n">
        <v>45831</v>
      </c>
      <c r="C6522" s="15" t="s">
        <v>56</v>
      </c>
      <c r="D6522" s="15" t="s">
        <v>43</v>
      </c>
      <c r="E6522" s="15" t="s">
        <v>39</v>
      </c>
      <c r="F6522" s="15" t="s">
        <v>18</v>
      </c>
      <c r="G6522" s="15" t="s">
        <v>30</v>
      </c>
      <c r="H6522" s="15" t="n">
        <v>5</v>
      </c>
      <c r="I6522" s="17" t="n">
        <v>0</v>
      </c>
      <c r="J6522" s="18" t="n">
        <v>259.42</v>
      </c>
      <c r="K6522" s="19" t="n">
        <v>80.41</v>
      </c>
      <c r="L6522" s="15" t="n">
        <f aca="false">YEAR(B6522)</f>
        <v>2025</v>
      </c>
      <c r="M6522" s="20" t="n">
        <f aca="false">IF(J6522&gt;0,K6522/J6522,0)</f>
        <v>0.309960681520315</v>
      </c>
    </row>
    <row r="6523" customFormat="false" ht="15" hidden="false" customHeight="false" outlineLevel="0" collapsed="false">
      <c r="A6523" s="15" t="s">
        <v>6580</v>
      </c>
      <c r="B6523" s="16" t="n">
        <v>45573</v>
      </c>
      <c r="C6523" s="15" t="s">
        <v>71</v>
      </c>
      <c r="D6523" s="15" t="s">
        <v>44</v>
      </c>
      <c r="E6523" s="15" t="s">
        <v>36</v>
      </c>
      <c r="F6523" s="15" t="s">
        <v>17</v>
      </c>
      <c r="G6523" s="15" t="s">
        <v>31</v>
      </c>
      <c r="H6523" s="15" t="n">
        <v>3</v>
      </c>
      <c r="I6523" s="17" t="n">
        <v>0.1</v>
      </c>
      <c r="J6523" s="18" t="n">
        <v>384.08</v>
      </c>
      <c r="K6523" s="19" t="n">
        <v>52.71</v>
      </c>
      <c r="L6523" s="15" t="n">
        <f aca="false">YEAR(B6523)</f>
        <v>2024</v>
      </c>
      <c r="M6523" s="20" t="n">
        <f aca="false">IF(J6523&gt;0,K6523/J6523,0)</f>
        <v>0.13723703395126</v>
      </c>
    </row>
    <row r="6524" customFormat="false" ht="15" hidden="false" customHeight="false" outlineLevel="0" collapsed="false">
      <c r="A6524" s="15" t="s">
        <v>6581</v>
      </c>
      <c r="B6524" s="16" t="n">
        <v>45882</v>
      </c>
      <c r="C6524" s="15" t="s">
        <v>56</v>
      </c>
      <c r="D6524" s="15" t="s">
        <v>43</v>
      </c>
      <c r="E6524" s="15" t="s">
        <v>39</v>
      </c>
      <c r="F6524" s="15" t="s">
        <v>18</v>
      </c>
      <c r="G6524" s="15" t="s">
        <v>30</v>
      </c>
      <c r="H6524" s="15" t="n">
        <v>5</v>
      </c>
      <c r="I6524" s="17" t="n">
        <v>0.4</v>
      </c>
      <c r="J6524" s="18" t="n">
        <v>176.43</v>
      </c>
      <c r="K6524" s="19" t="n">
        <v>4.38</v>
      </c>
      <c r="L6524" s="15" t="n">
        <f aca="false">YEAR(B6524)</f>
        <v>2025</v>
      </c>
      <c r="M6524" s="20" t="n">
        <f aca="false">IF(J6524&gt;0,K6524/J6524,0)</f>
        <v>0.0248257099132801</v>
      </c>
    </row>
    <row r="6525" customFormat="false" ht="15" hidden="false" customHeight="false" outlineLevel="0" collapsed="false">
      <c r="A6525" s="15" t="s">
        <v>6582</v>
      </c>
      <c r="B6525" s="16" t="n">
        <v>45905</v>
      </c>
      <c r="C6525" s="15" t="s">
        <v>56</v>
      </c>
      <c r="D6525" s="15" t="s">
        <v>43</v>
      </c>
      <c r="E6525" s="15" t="s">
        <v>37</v>
      </c>
      <c r="F6525" s="15" t="s">
        <v>17</v>
      </c>
      <c r="G6525" s="15" t="s">
        <v>28</v>
      </c>
      <c r="H6525" s="15" t="n">
        <v>5</v>
      </c>
      <c r="I6525" s="17" t="n">
        <v>0</v>
      </c>
      <c r="J6525" s="18" t="n">
        <v>129.1</v>
      </c>
      <c r="K6525" s="19" t="n">
        <v>38.96</v>
      </c>
      <c r="L6525" s="15" t="n">
        <f aca="false">YEAR(B6525)</f>
        <v>2025</v>
      </c>
      <c r="M6525" s="20" t="n">
        <f aca="false">IF(J6525&gt;0,K6525/J6525,0)</f>
        <v>0.301781564678544</v>
      </c>
    </row>
    <row r="6526" customFormat="false" ht="15" hidden="false" customHeight="false" outlineLevel="0" collapsed="false">
      <c r="A6526" s="15" t="s">
        <v>6583</v>
      </c>
      <c r="B6526" s="16" t="n">
        <v>45607</v>
      </c>
      <c r="C6526" s="15" t="s">
        <v>68</v>
      </c>
      <c r="D6526" s="15" t="s">
        <v>43</v>
      </c>
      <c r="E6526" s="15" t="s">
        <v>38</v>
      </c>
      <c r="F6526" s="15" t="s">
        <v>18</v>
      </c>
      <c r="G6526" s="15" t="s">
        <v>30</v>
      </c>
      <c r="H6526" s="15" t="n">
        <v>4</v>
      </c>
      <c r="I6526" s="17" t="n">
        <v>0</v>
      </c>
      <c r="J6526" s="18" t="n">
        <v>193.82</v>
      </c>
      <c r="K6526" s="19" t="n">
        <v>50.74</v>
      </c>
      <c r="L6526" s="15" t="n">
        <f aca="false">YEAR(B6526)</f>
        <v>2024</v>
      </c>
      <c r="M6526" s="20" t="n">
        <f aca="false">IF(J6526&gt;0,K6526/J6526,0)</f>
        <v>0.26178928903106</v>
      </c>
    </row>
    <row r="6527" customFormat="false" ht="15" hidden="false" customHeight="false" outlineLevel="0" collapsed="false">
      <c r="A6527" s="15" t="s">
        <v>6584</v>
      </c>
      <c r="B6527" s="16" t="n">
        <v>45150</v>
      </c>
      <c r="C6527" s="15" t="s">
        <v>56</v>
      </c>
      <c r="D6527" s="15" t="s">
        <v>42</v>
      </c>
      <c r="E6527" s="15" t="s">
        <v>37</v>
      </c>
      <c r="F6527" s="15" t="s">
        <v>16</v>
      </c>
      <c r="G6527" s="15" t="s">
        <v>25</v>
      </c>
      <c r="H6527" s="15" t="n">
        <v>6</v>
      </c>
      <c r="I6527" s="17" t="n">
        <v>0</v>
      </c>
      <c r="J6527" s="18" t="n">
        <v>1551.15</v>
      </c>
      <c r="K6527" s="19" t="n">
        <v>57.4</v>
      </c>
      <c r="L6527" s="15" t="n">
        <f aca="false">YEAR(B6527)</f>
        <v>2023</v>
      </c>
      <c r="M6527" s="20" t="n">
        <f aca="false">IF(J6527&gt;0,K6527/J6527,0)</f>
        <v>0.0370048028881797</v>
      </c>
    </row>
    <row r="6528" customFormat="false" ht="15" hidden="false" customHeight="false" outlineLevel="0" collapsed="false">
      <c r="A6528" s="15" t="s">
        <v>6585</v>
      </c>
      <c r="B6528" s="16" t="n">
        <v>45889</v>
      </c>
      <c r="C6528" s="15" t="s">
        <v>56</v>
      </c>
      <c r="D6528" s="15" t="s">
        <v>43</v>
      </c>
      <c r="E6528" s="15" t="s">
        <v>36</v>
      </c>
      <c r="F6528" s="15" t="s">
        <v>18</v>
      </c>
      <c r="G6528" s="15" t="s">
        <v>30</v>
      </c>
      <c r="H6528" s="15" t="n">
        <v>2</v>
      </c>
      <c r="I6528" s="17" t="n">
        <v>0.4</v>
      </c>
      <c r="J6528" s="18" t="n">
        <v>57.77</v>
      </c>
      <c r="K6528" s="19" t="n">
        <v>-7.51</v>
      </c>
      <c r="L6528" s="15" t="n">
        <f aca="false">YEAR(B6528)</f>
        <v>2025</v>
      </c>
      <c r="M6528" s="20" t="n">
        <f aca="false">IF(J6528&gt;0,K6528/J6528,0)</f>
        <v>-0.12999826899775</v>
      </c>
    </row>
    <row r="6529" customFormat="false" ht="15" hidden="false" customHeight="false" outlineLevel="0" collapsed="false">
      <c r="A6529" s="15" t="s">
        <v>6586</v>
      </c>
      <c r="B6529" s="16" t="n">
        <v>45554</v>
      </c>
      <c r="C6529" s="15" t="s">
        <v>56</v>
      </c>
      <c r="D6529" s="15" t="s">
        <v>42</v>
      </c>
      <c r="E6529" s="15" t="s">
        <v>38</v>
      </c>
      <c r="F6529" s="15" t="s">
        <v>17</v>
      </c>
      <c r="G6529" s="15" t="s">
        <v>31</v>
      </c>
      <c r="H6529" s="15" t="n">
        <v>4</v>
      </c>
      <c r="I6529" s="17" t="n">
        <v>0</v>
      </c>
      <c r="J6529" s="18" t="n">
        <v>464.38</v>
      </c>
      <c r="K6529" s="19" t="n">
        <v>82.73</v>
      </c>
      <c r="L6529" s="15" t="n">
        <f aca="false">YEAR(B6529)</f>
        <v>2024</v>
      </c>
      <c r="M6529" s="20" t="n">
        <f aca="false">IF(J6529&gt;0,K6529/J6529,0)</f>
        <v>0.178151513846419</v>
      </c>
    </row>
    <row r="6530" customFormat="false" ht="15" hidden="false" customHeight="false" outlineLevel="0" collapsed="false">
      <c r="A6530" s="15" t="s">
        <v>6587</v>
      </c>
      <c r="B6530" s="16" t="n">
        <v>45857</v>
      </c>
      <c r="C6530" s="15" t="s">
        <v>71</v>
      </c>
      <c r="D6530" s="15" t="s">
        <v>42</v>
      </c>
      <c r="E6530" s="15" t="s">
        <v>39</v>
      </c>
      <c r="F6530" s="15" t="s">
        <v>16</v>
      </c>
      <c r="G6530" s="15" t="s">
        <v>23</v>
      </c>
      <c r="H6530" s="15" t="n">
        <v>3</v>
      </c>
      <c r="I6530" s="17" t="n">
        <v>0</v>
      </c>
      <c r="J6530" s="18" t="n">
        <v>1148.91</v>
      </c>
      <c r="K6530" s="19" t="n">
        <v>-33.2</v>
      </c>
      <c r="L6530" s="15" t="n">
        <f aca="false">YEAR(B6530)</f>
        <v>2025</v>
      </c>
      <c r="M6530" s="20" t="n">
        <f aca="false">IF(J6530&gt;0,K6530/J6530,0)</f>
        <v>-0.0288969545047045</v>
      </c>
    </row>
    <row r="6531" customFormat="false" ht="15" hidden="false" customHeight="false" outlineLevel="0" collapsed="false">
      <c r="A6531" s="15" t="s">
        <v>6588</v>
      </c>
      <c r="B6531" s="16" t="n">
        <v>45717</v>
      </c>
      <c r="C6531" s="15" t="s">
        <v>68</v>
      </c>
      <c r="D6531" s="15" t="s">
        <v>43</v>
      </c>
      <c r="E6531" s="15" t="s">
        <v>38</v>
      </c>
      <c r="F6531" s="15" t="s">
        <v>17</v>
      </c>
      <c r="G6531" s="15" t="s">
        <v>29</v>
      </c>
      <c r="H6531" s="15" t="n">
        <v>6</v>
      </c>
      <c r="I6531" s="17" t="n">
        <v>0.4</v>
      </c>
      <c r="J6531" s="18" t="n">
        <v>93.26</v>
      </c>
      <c r="K6531" s="19" t="n">
        <v>2.42</v>
      </c>
      <c r="L6531" s="15" t="n">
        <f aca="false">YEAR(B6531)</f>
        <v>2025</v>
      </c>
      <c r="M6531" s="20" t="n">
        <f aca="false">IF(J6531&gt;0,K6531/J6531,0)</f>
        <v>0.025948959897062</v>
      </c>
    </row>
    <row r="6532" customFormat="false" ht="15" hidden="false" customHeight="false" outlineLevel="0" collapsed="false">
      <c r="A6532" s="15" t="s">
        <v>6589</v>
      </c>
      <c r="B6532" s="16" t="n">
        <v>45823</v>
      </c>
      <c r="C6532" s="15" t="s">
        <v>56</v>
      </c>
      <c r="D6532" s="15" t="s">
        <v>42</v>
      </c>
      <c r="E6532" s="15" t="s">
        <v>36</v>
      </c>
      <c r="F6532" s="15" t="s">
        <v>17</v>
      </c>
      <c r="G6532" s="15" t="s">
        <v>28</v>
      </c>
      <c r="H6532" s="15" t="n">
        <v>6</v>
      </c>
      <c r="I6532" s="17" t="n">
        <v>0</v>
      </c>
      <c r="J6532" s="18" t="n">
        <v>131.66</v>
      </c>
      <c r="K6532" s="19" t="n">
        <v>36.92</v>
      </c>
      <c r="L6532" s="15" t="n">
        <f aca="false">YEAR(B6532)</f>
        <v>2025</v>
      </c>
      <c r="M6532" s="20" t="n">
        <f aca="false">IF(J6532&gt;0,K6532/J6532,0)</f>
        <v>0.280419261734771</v>
      </c>
    </row>
    <row r="6533" customFormat="false" ht="15" hidden="false" customHeight="false" outlineLevel="0" collapsed="false">
      <c r="A6533" s="15" t="s">
        <v>6590</v>
      </c>
      <c r="B6533" s="16" t="n">
        <v>45284</v>
      </c>
      <c r="C6533" s="15" t="s">
        <v>56</v>
      </c>
      <c r="D6533" s="15" t="s">
        <v>44</v>
      </c>
      <c r="E6533" s="15" t="s">
        <v>38</v>
      </c>
      <c r="F6533" s="15" t="s">
        <v>17</v>
      </c>
      <c r="G6533" s="15" t="s">
        <v>29</v>
      </c>
      <c r="H6533" s="15" t="n">
        <v>4</v>
      </c>
      <c r="I6533" s="17" t="n">
        <v>0.1</v>
      </c>
      <c r="J6533" s="18" t="n">
        <v>67.18</v>
      </c>
      <c r="K6533" s="19" t="n">
        <v>15.89</v>
      </c>
      <c r="L6533" s="15" t="n">
        <f aca="false">YEAR(B6533)</f>
        <v>2023</v>
      </c>
      <c r="M6533" s="20" t="n">
        <f aca="false">IF(J6533&gt;0,K6533/J6533,0)</f>
        <v>0.23652872878833</v>
      </c>
    </row>
    <row r="6534" customFormat="false" ht="15" hidden="false" customHeight="false" outlineLevel="0" collapsed="false">
      <c r="A6534" s="15" t="s">
        <v>6591</v>
      </c>
      <c r="B6534" s="16" t="n">
        <v>45176</v>
      </c>
      <c r="C6534" s="15" t="s">
        <v>58</v>
      </c>
      <c r="D6534" s="15" t="s">
        <v>42</v>
      </c>
      <c r="E6534" s="15" t="s">
        <v>39</v>
      </c>
      <c r="F6534" s="15" t="s">
        <v>17</v>
      </c>
      <c r="G6534" s="15" t="s">
        <v>26</v>
      </c>
      <c r="H6534" s="15" t="n">
        <v>5</v>
      </c>
      <c r="I6534" s="17" t="n">
        <v>0.2</v>
      </c>
      <c r="J6534" s="18" t="n">
        <v>345.17</v>
      </c>
      <c r="K6534" s="19" t="n">
        <v>-28.14</v>
      </c>
      <c r="L6534" s="15" t="n">
        <f aca="false">YEAR(B6534)</f>
        <v>2023</v>
      </c>
      <c r="M6534" s="20" t="n">
        <f aca="false">IF(J6534&gt;0,K6534/J6534,0)</f>
        <v>-0.0815250456296897</v>
      </c>
    </row>
    <row r="6535" customFormat="false" ht="15" hidden="false" customHeight="false" outlineLevel="0" collapsed="false">
      <c r="A6535" s="15" t="s">
        <v>6592</v>
      </c>
      <c r="B6535" s="16" t="n">
        <v>45976</v>
      </c>
      <c r="C6535" s="15" t="s">
        <v>56</v>
      </c>
      <c r="D6535" s="15" t="s">
        <v>44</v>
      </c>
      <c r="E6535" s="15" t="s">
        <v>37</v>
      </c>
      <c r="F6535" s="15" t="s">
        <v>16</v>
      </c>
      <c r="G6535" s="15" t="s">
        <v>23</v>
      </c>
      <c r="H6535" s="15" t="n">
        <v>3</v>
      </c>
      <c r="I6535" s="17" t="n">
        <v>0.1</v>
      </c>
      <c r="J6535" s="18" t="n">
        <v>1022.77</v>
      </c>
      <c r="K6535" s="19" t="n">
        <v>-69.15</v>
      </c>
      <c r="L6535" s="15" t="n">
        <f aca="false">YEAR(B6535)</f>
        <v>2025</v>
      </c>
      <c r="M6535" s="20" t="n">
        <f aca="false">IF(J6535&gt;0,K6535/J6535,0)</f>
        <v>-0.0676105087165247</v>
      </c>
    </row>
    <row r="6536" customFormat="false" ht="15" hidden="false" customHeight="false" outlineLevel="0" collapsed="false">
      <c r="A6536" s="15" t="s">
        <v>6593</v>
      </c>
      <c r="B6536" s="16" t="n">
        <v>45594</v>
      </c>
      <c r="C6536" s="15" t="s">
        <v>56</v>
      </c>
      <c r="D6536" s="15" t="s">
        <v>44</v>
      </c>
      <c r="E6536" s="15" t="s">
        <v>39</v>
      </c>
      <c r="F6536" s="15" t="s">
        <v>17</v>
      </c>
      <c r="G6536" s="15" t="s">
        <v>28</v>
      </c>
      <c r="H6536" s="15" t="n">
        <v>3</v>
      </c>
      <c r="I6536" s="17" t="n">
        <v>0.15</v>
      </c>
      <c r="J6536" s="18" t="n">
        <v>78.66</v>
      </c>
      <c r="K6536" s="19" t="n">
        <v>9.4</v>
      </c>
      <c r="L6536" s="15" t="n">
        <f aca="false">YEAR(B6536)</f>
        <v>2024</v>
      </c>
      <c r="M6536" s="20" t="n">
        <f aca="false">IF(J6536&gt;0,K6536/J6536,0)</f>
        <v>0.119501652682431</v>
      </c>
    </row>
    <row r="6537" customFormat="false" ht="15" hidden="false" customHeight="false" outlineLevel="0" collapsed="false">
      <c r="A6537" s="15" t="s">
        <v>6594</v>
      </c>
      <c r="B6537" s="16" t="n">
        <v>45309</v>
      </c>
      <c r="C6537" s="15" t="s">
        <v>56</v>
      </c>
      <c r="D6537" s="15" t="s">
        <v>42</v>
      </c>
      <c r="E6537" s="15" t="s">
        <v>36</v>
      </c>
      <c r="F6537" s="15" t="s">
        <v>16</v>
      </c>
      <c r="G6537" s="15" t="s">
        <v>25</v>
      </c>
      <c r="H6537" s="15" t="n">
        <v>6</v>
      </c>
      <c r="I6537" s="17" t="n">
        <v>0.05</v>
      </c>
      <c r="J6537" s="18" t="n">
        <v>1288.17</v>
      </c>
      <c r="K6537" s="19" t="n">
        <v>84.84</v>
      </c>
      <c r="L6537" s="15" t="n">
        <f aca="false">YEAR(B6537)</f>
        <v>2024</v>
      </c>
      <c r="M6537" s="20" t="n">
        <f aca="false">IF(J6537&gt;0,K6537/J6537,0)</f>
        <v>0.0658608724003819</v>
      </c>
    </row>
    <row r="6538" customFormat="false" ht="15" hidden="false" customHeight="false" outlineLevel="0" collapsed="false">
      <c r="A6538" s="15" t="s">
        <v>6595</v>
      </c>
      <c r="B6538" s="16" t="n">
        <v>45200</v>
      </c>
      <c r="C6538" s="15" t="s">
        <v>71</v>
      </c>
      <c r="D6538" s="15" t="s">
        <v>43</v>
      </c>
      <c r="E6538" s="15" t="s">
        <v>37</v>
      </c>
      <c r="F6538" s="15" t="s">
        <v>17</v>
      </c>
      <c r="G6538" s="15" t="s">
        <v>29</v>
      </c>
      <c r="H6538" s="15" t="n">
        <v>4</v>
      </c>
      <c r="I6538" s="17" t="n">
        <v>0</v>
      </c>
      <c r="J6538" s="18" t="n">
        <v>73.89</v>
      </c>
      <c r="K6538" s="19" t="n">
        <v>35.51</v>
      </c>
      <c r="L6538" s="15" t="n">
        <f aca="false">YEAR(B6538)</f>
        <v>2023</v>
      </c>
      <c r="M6538" s="20" t="n">
        <f aca="false">IF(J6538&gt;0,K6538/J6538,0)</f>
        <v>0.480579239409934</v>
      </c>
    </row>
    <row r="6539" customFormat="false" ht="15" hidden="false" customHeight="false" outlineLevel="0" collapsed="false">
      <c r="A6539" s="15" t="s">
        <v>6596</v>
      </c>
      <c r="B6539" s="16" t="n">
        <v>45191</v>
      </c>
      <c r="C6539" s="15" t="s">
        <v>56</v>
      </c>
      <c r="D6539" s="15" t="s">
        <v>42</v>
      </c>
      <c r="E6539" s="15" t="s">
        <v>37</v>
      </c>
      <c r="F6539" s="15" t="s">
        <v>17</v>
      </c>
      <c r="G6539" s="15" t="s">
        <v>28</v>
      </c>
      <c r="H6539" s="15" t="n">
        <v>5</v>
      </c>
      <c r="I6539" s="17" t="n">
        <v>0.05</v>
      </c>
      <c r="J6539" s="18" t="n">
        <v>139.02</v>
      </c>
      <c r="K6539" s="19" t="n">
        <v>30.46</v>
      </c>
      <c r="L6539" s="15" t="n">
        <f aca="false">YEAR(B6539)</f>
        <v>2023</v>
      </c>
      <c r="M6539" s="20" t="n">
        <f aca="false">IF(J6539&gt;0,K6539/J6539,0)</f>
        <v>0.2191051647245</v>
      </c>
    </row>
    <row r="6540" customFormat="false" ht="15" hidden="false" customHeight="false" outlineLevel="0" collapsed="false">
      <c r="A6540" s="15" t="s">
        <v>6597</v>
      </c>
      <c r="B6540" s="16" t="n">
        <v>44924</v>
      </c>
      <c r="C6540" s="15" t="s">
        <v>56</v>
      </c>
      <c r="D6540" s="15" t="s">
        <v>43</v>
      </c>
      <c r="E6540" s="15" t="s">
        <v>38</v>
      </c>
      <c r="F6540" s="15" t="s">
        <v>17</v>
      </c>
      <c r="G6540" s="15" t="s">
        <v>29</v>
      </c>
      <c r="H6540" s="15" t="n">
        <v>5</v>
      </c>
      <c r="I6540" s="17" t="n">
        <v>0.15</v>
      </c>
      <c r="J6540" s="18" t="n">
        <v>74.68</v>
      </c>
      <c r="K6540" s="19" t="n">
        <v>19.31</v>
      </c>
      <c r="L6540" s="15" t="n">
        <f aca="false">YEAR(B6540)</f>
        <v>2022</v>
      </c>
      <c r="M6540" s="20" t="n">
        <f aca="false">IF(J6540&gt;0,K6540/J6540,0)</f>
        <v>0.258569898232458</v>
      </c>
    </row>
    <row r="6541" customFormat="false" ht="15" hidden="false" customHeight="false" outlineLevel="0" collapsed="false">
      <c r="A6541" s="15" t="s">
        <v>6598</v>
      </c>
      <c r="B6541" s="16" t="n">
        <v>45557</v>
      </c>
      <c r="C6541" s="15" t="s">
        <v>56</v>
      </c>
      <c r="D6541" s="15" t="s">
        <v>42</v>
      </c>
      <c r="E6541" s="15" t="s">
        <v>36</v>
      </c>
      <c r="F6541" s="15" t="s">
        <v>18</v>
      </c>
      <c r="G6541" s="15" t="s">
        <v>30</v>
      </c>
      <c r="H6541" s="15" t="n">
        <v>5</v>
      </c>
      <c r="I6541" s="17" t="n">
        <v>0.05</v>
      </c>
      <c r="J6541" s="18" t="n">
        <v>164.66</v>
      </c>
      <c r="K6541" s="19" t="n">
        <v>42.49</v>
      </c>
      <c r="L6541" s="15" t="n">
        <f aca="false">YEAR(B6541)</f>
        <v>2024</v>
      </c>
      <c r="M6541" s="20" t="n">
        <f aca="false">IF(J6541&gt;0,K6541/J6541,0)</f>
        <v>0.258046884489251</v>
      </c>
    </row>
    <row r="6542" customFormat="false" ht="15" hidden="false" customHeight="false" outlineLevel="0" collapsed="false">
      <c r="A6542" s="15" t="s">
        <v>6599</v>
      </c>
      <c r="B6542" s="16" t="n">
        <v>44706</v>
      </c>
      <c r="C6542" s="15" t="s">
        <v>56</v>
      </c>
      <c r="D6542" s="15" t="s">
        <v>44</v>
      </c>
      <c r="E6542" s="15" t="s">
        <v>39</v>
      </c>
      <c r="F6542" s="15" t="s">
        <v>17</v>
      </c>
      <c r="G6542" s="15" t="s">
        <v>29</v>
      </c>
      <c r="H6542" s="15" t="n">
        <v>3</v>
      </c>
      <c r="I6542" s="17" t="n">
        <v>0</v>
      </c>
      <c r="J6542" s="18" t="n">
        <v>50.7</v>
      </c>
      <c r="K6542" s="19" t="n">
        <v>16.27</v>
      </c>
      <c r="L6542" s="15" t="n">
        <f aca="false">YEAR(B6542)</f>
        <v>2022</v>
      </c>
      <c r="M6542" s="20" t="n">
        <f aca="false">IF(J6542&gt;0,K6542/J6542,0)</f>
        <v>0.320907297830375</v>
      </c>
    </row>
    <row r="6543" customFormat="false" ht="15" hidden="false" customHeight="false" outlineLevel="0" collapsed="false">
      <c r="A6543" s="15" t="s">
        <v>6600</v>
      </c>
      <c r="B6543" s="16" t="n">
        <v>45104</v>
      </c>
      <c r="C6543" s="15" t="s">
        <v>71</v>
      </c>
      <c r="D6543" s="15" t="s">
        <v>43</v>
      </c>
      <c r="E6543" s="15" t="s">
        <v>36</v>
      </c>
      <c r="F6543" s="15" t="s">
        <v>18</v>
      </c>
      <c r="G6543" s="15" t="s">
        <v>32</v>
      </c>
      <c r="H6543" s="15" t="n">
        <v>2</v>
      </c>
      <c r="I6543" s="17" t="n">
        <v>0.4</v>
      </c>
      <c r="J6543" s="18" t="n">
        <v>543.15</v>
      </c>
      <c r="K6543" s="19" t="n">
        <v>-108.54</v>
      </c>
      <c r="L6543" s="15" t="n">
        <f aca="false">YEAR(B6543)</f>
        <v>2023</v>
      </c>
      <c r="M6543" s="20" t="n">
        <f aca="false">IF(J6543&gt;0,K6543/J6543,0)</f>
        <v>-0.19983429991715</v>
      </c>
    </row>
    <row r="6544" customFormat="false" ht="15" hidden="false" customHeight="false" outlineLevel="0" collapsed="false">
      <c r="A6544" s="15" t="s">
        <v>6601</v>
      </c>
      <c r="B6544" s="16" t="n">
        <v>45320</v>
      </c>
      <c r="C6544" s="15" t="s">
        <v>56</v>
      </c>
      <c r="D6544" s="15" t="s">
        <v>44</v>
      </c>
      <c r="E6544" s="15" t="s">
        <v>39</v>
      </c>
      <c r="F6544" s="15" t="s">
        <v>18</v>
      </c>
      <c r="G6544" s="15" t="s">
        <v>33</v>
      </c>
      <c r="H6544" s="15" t="n">
        <v>3</v>
      </c>
      <c r="I6544" s="17" t="n">
        <v>0</v>
      </c>
      <c r="J6544" s="18" t="n">
        <v>2516.15</v>
      </c>
      <c r="K6544" s="19" t="n">
        <v>614.57</v>
      </c>
      <c r="L6544" s="15" t="n">
        <f aca="false">YEAR(B6544)</f>
        <v>2024</v>
      </c>
      <c r="M6544" s="20" t="n">
        <f aca="false">IF(J6544&gt;0,K6544/J6544,0)</f>
        <v>0.244250144069312</v>
      </c>
    </row>
    <row r="6545" customFormat="false" ht="15" hidden="false" customHeight="false" outlineLevel="0" collapsed="false">
      <c r="A6545" s="15" t="s">
        <v>6602</v>
      </c>
      <c r="B6545" s="16" t="n">
        <v>44699</v>
      </c>
      <c r="C6545" s="15" t="s">
        <v>56</v>
      </c>
      <c r="D6545" s="15" t="s">
        <v>42</v>
      </c>
      <c r="E6545" s="15" t="s">
        <v>37</v>
      </c>
      <c r="F6545" s="15" t="s">
        <v>17</v>
      </c>
      <c r="G6545" s="15" t="s">
        <v>29</v>
      </c>
      <c r="H6545" s="15" t="n">
        <v>2</v>
      </c>
      <c r="I6545" s="17" t="n">
        <v>0.2</v>
      </c>
      <c r="J6545" s="18" t="n">
        <v>30.17</v>
      </c>
      <c r="K6545" s="19" t="n">
        <v>6.29</v>
      </c>
      <c r="L6545" s="15" t="n">
        <f aca="false">YEAR(B6545)</f>
        <v>2022</v>
      </c>
      <c r="M6545" s="20" t="n">
        <f aca="false">IF(J6545&gt;0,K6545/J6545,0)</f>
        <v>0.208485250248591</v>
      </c>
    </row>
    <row r="6546" customFormat="false" ht="15" hidden="false" customHeight="false" outlineLevel="0" collapsed="false">
      <c r="A6546" s="15" t="s">
        <v>6603</v>
      </c>
      <c r="B6546" s="16" t="n">
        <v>45994</v>
      </c>
      <c r="C6546" s="15" t="s">
        <v>56</v>
      </c>
      <c r="D6546" s="15" t="s">
        <v>44</v>
      </c>
      <c r="E6546" s="15" t="s">
        <v>38</v>
      </c>
      <c r="F6546" s="15" t="s">
        <v>17</v>
      </c>
      <c r="G6546" s="15" t="s">
        <v>26</v>
      </c>
      <c r="H6546" s="15" t="n">
        <v>3</v>
      </c>
      <c r="I6546" s="17" t="n">
        <v>0.1</v>
      </c>
      <c r="J6546" s="18" t="n">
        <v>216.03</v>
      </c>
      <c r="K6546" s="19" t="n">
        <v>-5.72</v>
      </c>
      <c r="L6546" s="15" t="n">
        <f aca="false">YEAR(B6546)</f>
        <v>2025</v>
      </c>
      <c r="M6546" s="20" t="n">
        <f aca="false">IF(J6546&gt;0,K6546/J6546,0)</f>
        <v>-0.0264778040087025</v>
      </c>
    </row>
    <row r="6547" customFormat="false" ht="15" hidden="false" customHeight="false" outlineLevel="0" collapsed="false">
      <c r="A6547" s="15" t="s">
        <v>6604</v>
      </c>
      <c r="B6547" s="16" t="n">
        <v>44629</v>
      </c>
      <c r="C6547" s="15" t="s">
        <v>68</v>
      </c>
      <c r="D6547" s="15" t="s">
        <v>42</v>
      </c>
      <c r="E6547" s="15" t="s">
        <v>37</v>
      </c>
      <c r="F6547" s="15" t="s">
        <v>16</v>
      </c>
      <c r="G6547" s="15" t="s">
        <v>25</v>
      </c>
      <c r="H6547" s="15" t="n">
        <v>5</v>
      </c>
      <c r="I6547" s="17" t="n">
        <v>0.1</v>
      </c>
      <c r="J6547" s="18" t="n">
        <v>1158.43</v>
      </c>
      <c r="K6547" s="19" t="n">
        <v>-13.58</v>
      </c>
      <c r="L6547" s="15" t="n">
        <f aca="false">YEAR(B6547)</f>
        <v>2022</v>
      </c>
      <c r="M6547" s="20" t="n">
        <f aca="false">IF(J6547&gt;0,K6547/J6547,0)</f>
        <v>-0.0117227627046951</v>
      </c>
    </row>
    <row r="6548" customFormat="false" ht="15" hidden="false" customHeight="false" outlineLevel="0" collapsed="false">
      <c r="A6548" s="15" t="s">
        <v>6605</v>
      </c>
      <c r="B6548" s="16" t="n">
        <v>45543</v>
      </c>
      <c r="C6548" s="15" t="s">
        <v>56</v>
      </c>
      <c r="D6548" s="15" t="s">
        <v>44</v>
      </c>
      <c r="E6548" s="15" t="s">
        <v>39</v>
      </c>
      <c r="F6548" s="15" t="s">
        <v>17</v>
      </c>
      <c r="G6548" s="15" t="s">
        <v>29</v>
      </c>
      <c r="H6548" s="15" t="n">
        <v>1</v>
      </c>
      <c r="I6548" s="17" t="n">
        <v>0.2</v>
      </c>
      <c r="J6548" s="18" t="n">
        <v>14.66</v>
      </c>
      <c r="K6548" s="19" t="n">
        <v>2.17</v>
      </c>
      <c r="L6548" s="15" t="n">
        <f aca="false">YEAR(B6548)</f>
        <v>2024</v>
      </c>
      <c r="M6548" s="20" t="n">
        <f aca="false">IF(J6548&gt;0,K6548/J6548,0)</f>
        <v>0.148021828103683</v>
      </c>
    </row>
    <row r="6549" customFormat="false" ht="15" hidden="false" customHeight="false" outlineLevel="0" collapsed="false">
      <c r="A6549" s="15" t="s">
        <v>6606</v>
      </c>
      <c r="B6549" s="16" t="n">
        <v>45383</v>
      </c>
      <c r="C6549" s="15" t="s">
        <v>58</v>
      </c>
      <c r="D6549" s="15" t="s">
        <v>42</v>
      </c>
      <c r="E6549" s="15" t="s">
        <v>39</v>
      </c>
      <c r="F6549" s="15" t="s">
        <v>16</v>
      </c>
      <c r="G6549" s="15" t="s">
        <v>22</v>
      </c>
      <c r="H6549" s="15" t="n">
        <v>3</v>
      </c>
      <c r="I6549" s="17" t="n">
        <v>0.2</v>
      </c>
      <c r="J6549" s="18" t="n">
        <v>1244.34</v>
      </c>
      <c r="K6549" s="19" t="n">
        <v>-247.49</v>
      </c>
      <c r="L6549" s="15" t="n">
        <f aca="false">YEAR(B6549)</f>
        <v>2024</v>
      </c>
      <c r="M6549" s="20" t="n">
        <f aca="false">IF(J6549&gt;0,K6549/J6549,0)</f>
        <v>-0.198892585627722</v>
      </c>
    </row>
    <row r="6550" customFormat="false" ht="15" hidden="false" customHeight="false" outlineLevel="0" collapsed="false">
      <c r="A6550" s="15" t="s">
        <v>6607</v>
      </c>
      <c r="B6550" s="16" t="n">
        <v>45744</v>
      </c>
      <c r="C6550" s="15" t="s">
        <v>56</v>
      </c>
      <c r="D6550" s="15" t="s">
        <v>43</v>
      </c>
      <c r="E6550" s="15" t="s">
        <v>37</v>
      </c>
      <c r="F6550" s="15" t="s">
        <v>17</v>
      </c>
      <c r="G6550" s="15" t="s">
        <v>29</v>
      </c>
      <c r="H6550" s="15" t="n">
        <v>1</v>
      </c>
      <c r="I6550" s="17" t="n">
        <v>0</v>
      </c>
      <c r="J6550" s="18" t="n">
        <v>19.33</v>
      </c>
      <c r="K6550" s="19" t="n">
        <v>7.16</v>
      </c>
      <c r="L6550" s="15" t="n">
        <f aca="false">YEAR(B6550)</f>
        <v>2025</v>
      </c>
      <c r="M6550" s="20" t="n">
        <f aca="false">IF(J6550&gt;0,K6550/J6550,0)</f>
        <v>0.370408691153647</v>
      </c>
    </row>
    <row r="6551" customFormat="false" ht="15" hidden="false" customHeight="false" outlineLevel="0" collapsed="false">
      <c r="A6551" s="15" t="s">
        <v>6608</v>
      </c>
      <c r="B6551" s="16" t="n">
        <v>44665</v>
      </c>
      <c r="C6551" s="15" t="s">
        <v>56</v>
      </c>
      <c r="D6551" s="15" t="s">
        <v>43</v>
      </c>
      <c r="E6551" s="15" t="s">
        <v>36</v>
      </c>
      <c r="F6551" s="15" t="s">
        <v>17</v>
      </c>
      <c r="G6551" s="15" t="s">
        <v>28</v>
      </c>
      <c r="H6551" s="15" t="n">
        <v>3</v>
      </c>
      <c r="I6551" s="17" t="n">
        <v>0.05</v>
      </c>
      <c r="J6551" s="18" t="n">
        <v>78.92</v>
      </c>
      <c r="K6551" s="19" t="n">
        <v>13.36</v>
      </c>
      <c r="L6551" s="15" t="n">
        <f aca="false">YEAR(B6551)</f>
        <v>2022</v>
      </c>
      <c r="M6551" s="20" t="n">
        <f aca="false">IF(J6551&gt;0,K6551/J6551,0)</f>
        <v>0.169285352255449</v>
      </c>
    </row>
    <row r="6552" customFormat="false" ht="15" hidden="false" customHeight="false" outlineLevel="0" collapsed="false">
      <c r="A6552" s="15" t="s">
        <v>6609</v>
      </c>
      <c r="B6552" s="16" t="n">
        <v>44873</v>
      </c>
      <c r="C6552" s="15" t="s">
        <v>56</v>
      </c>
      <c r="D6552" s="15" t="s">
        <v>44</v>
      </c>
      <c r="E6552" s="15" t="s">
        <v>37</v>
      </c>
      <c r="F6552" s="15" t="s">
        <v>17</v>
      </c>
      <c r="G6552" s="15" t="s">
        <v>31</v>
      </c>
      <c r="H6552" s="15" t="n">
        <v>2</v>
      </c>
      <c r="I6552" s="17" t="n">
        <v>0</v>
      </c>
      <c r="J6552" s="18" t="n">
        <v>321.72</v>
      </c>
      <c r="K6552" s="19" t="n">
        <v>70.75</v>
      </c>
      <c r="L6552" s="15" t="n">
        <f aca="false">YEAR(B6552)</f>
        <v>2022</v>
      </c>
      <c r="M6552" s="20" t="n">
        <f aca="false">IF(J6552&gt;0,K6552/J6552,0)</f>
        <v>0.219911724480915</v>
      </c>
    </row>
    <row r="6553" customFormat="false" ht="15" hidden="false" customHeight="false" outlineLevel="0" collapsed="false">
      <c r="A6553" s="15" t="s">
        <v>6610</v>
      </c>
      <c r="B6553" s="16" t="n">
        <v>44635</v>
      </c>
      <c r="C6553" s="15" t="s">
        <v>56</v>
      </c>
      <c r="D6553" s="15" t="s">
        <v>42</v>
      </c>
      <c r="E6553" s="15" t="s">
        <v>36</v>
      </c>
      <c r="F6553" s="15" t="s">
        <v>18</v>
      </c>
      <c r="G6553" s="15" t="s">
        <v>30</v>
      </c>
      <c r="H6553" s="15" t="n">
        <v>3</v>
      </c>
      <c r="I6553" s="17" t="n">
        <v>0.1</v>
      </c>
      <c r="J6553" s="18" t="n">
        <v>135.5</v>
      </c>
      <c r="K6553" s="19" t="n">
        <v>25.17</v>
      </c>
      <c r="L6553" s="15" t="n">
        <f aca="false">YEAR(B6553)</f>
        <v>2022</v>
      </c>
      <c r="M6553" s="20" t="n">
        <f aca="false">IF(J6553&gt;0,K6553/J6553,0)</f>
        <v>0.185756457564576</v>
      </c>
    </row>
    <row r="6554" customFormat="false" ht="15" hidden="false" customHeight="false" outlineLevel="0" collapsed="false">
      <c r="A6554" s="15" t="s">
        <v>6611</v>
      </c>
      <c r="B6554" s="16" t="n">
        <v>45706</v>
      </c>
      <c r="C6554" s="15" t="s">
        <v>71</v>
      </c>
      <c r="D6554" s="15" t="s">
        <v>42</v>
      </c>
      <c r="E6554" s="15" t="s">
        <v>37</v>
      </c>
      <c r="F6554" s="15" t="s">
        <v>17</v>
      </c>
      <c r="G6554" s="15" t="s">
        <v>29</v>
      </c>
      <c r="H6554" s="15" t="n">
        <v>5</v>
      </c>
      <c r="I6554" s="17" t="n">
        <v>0.05</v>
      </c>
      <c r="J6554" s="18" t="n">
        <v>103.12</v>
      </c>
      <c r="K6554" s="19" t="n">
        <v>38.76</v>
      </c>
      <c r="L6554" s="15" t="n">
        <f aca="false">YEAR(B6554)</f>
        <v>2025</v>
      </c>
      <c r="M6554" s="20" t="n">
        <f aca="false">IF(J6554&gt;0,K6554/J6554,0)</f>
        <v>0.375872769588829</v>
      </c>
    </row>
    <row r="6555" customFormat="false" ht="15" hidden="false" customHeight="false" outlineLevel="0" collapsed="false">
      <c r="A6555" s="15" t="s">
        <v>6612</v>
      </c>
      <c r="B6555" s="16" t="n">
        <v>45986</v>
      </c>
      <c r="C6555" s="15" t="s">
        <v>71</v>
      </c>
      <c r="D6555" s="15" t="s">
        <v>42</v>
      </c>
      <c r="E6555" s="15" t="s">
        <v>36</v>
      </c>
      <c r="F6555" s="15" t="s">
        <v>17</v>
      </c>
      <c r="G6555" s="15" t="s">
        <v>31</v>
      </c>
      <c r="H6555" s="15" t="n">
        <v>4</v>
      </c>
      <c r="I6555" s="17" t="n">
        <v>0</v>
      </c>
      <c r="J6555" s="18" t="n">
        <v>494.67</v>
      </c>
      <c r="K6555" s="19" t="n">
        <v>103.42</v>
      </c>
      <c r="L6555" s="15" t="n">
        <f aca="false">YEAR(B6555)</f>
        <v>2025</v>
      </c>
      <c r="M6555" s="20" t="n">
        <f aca="false">IF(J6555&gt;0,K6555/J6555,0)</f>
        <v>0.209068672043989</v>
      </c>
    </row>
    <row r="6556" customFormat="false" ht="15" hidden="false" customHeight="false" outlineLevel="0" collapsed="false">
      <c r="A6556" s="15" t="s">
        <v>6613</v>
      </c>
      <c r="B6556" s="16" t="n">
        <v>44907</v>
      </c>
      <c r="C6556" s="15" t="s">
        <v>68</v>
      </c>
      <c r="D6556" s="15" t="s">
        <v>43</v>
      </c>
      <c r="E6556" s="15" t="s">
        <v>37</v>
      </c>
      <c r="F6556" s="15" t="s">
        <v>17</v>
      </c>
      <c r="G6556" s="15" t="s">
        <v>31</v>
      </c>
      <c r="H6556" s="15" t="n">
        <v>8</v>
      </c>
      <c r="I6556" s="17" t="n">
        <v>0.15</v>
      </c>
      <c r="J6556" s="18" t="n">
        <v>1060.04</v>
      </c>
      <c r="K6556" s="19" t="n">
        <v>110.21</v>
      </c>
      <c r="L6556" s="15" t="n">
        <f aca="false">YEAR(B6556)</f>
        <v>2022</v>
      </c>
      <c r="M6556" s="20" t="n">
        <f aca="false">IF(J6556&gt;0,K6556/J6556,0)</f>
        <v>0.103967774800951</v>
      </c>
    </row>
    <row r="6557" customFormat="false" ht="15" hidden="false" customHeight="false" outlineLevel="0" collapsed="false">
      <c r="A6557" s="15" t="s">
        <v>6614</v>
      </c>
      <c r="B6557" s="16" t="n">
        <v>44911</v>
      </c>
      <c r="C6557" s="15" t="s">
        <v>68</v>
      </c>
      <c r="D6557" s="15" t="s">
        <v>43</v>
      </c>
      <c r="E6557" s="15" t="s">
        <v>37</v>
      </c>
      <c r="F6557" s="15" t="s">
        <v>17</v>
      </c>
      <c r="G6557" s="15" t="s">
        <v>31</v>
      </c>
      <c r="H6557" s="15" t="n">
        <v>3</v>
      </c>
      <c r="I6557" s="17" t="n">
        <v>0</v>
      </c>
      <c r="J6557" s="18" t="n">
        <v>474.14</v>
      </c>
      <c r="K6557" s="19" t="n">
        <v>122.17</v>
      </c>
      <c r="L6557" s="15" t="n">
        <f aca="false">YEAR(B6557)</f>
        <v>2022</v>
      </c>
      <c r="M6557" s="20" t="n">
        <f aca="false">IF(J6557&gt;0,K6557/J6557,0)</f>
        <v>0.257666512000675</v>
      </c>
    </row>
    <row r="6558" customFormat="false" ht="15" hidden="false" customHeight="false" outlineLevel="0" collapsed="false">
      <c r="A6558" s="15" t="s">
        <v>6615</v>
      </c>
      <c r="B6558" s="16" t="n">
        <v>45974</v>
      </c>
      <c r="C6558" s="15" t="s">
        <v>56</v>
      </c>
      <c r="D6558" s="15" t="s">
        <v>42</v>
      </c>
      <c r="E6558" s="15" t="s">
        <v>37</v>
      </c>
      <c r="F6558" s="15" t="s">
        <v>16</v>
      </c>
      <c r="G6558" s="15" t="s">
        <v>25</v>
      </c>
      <c r="H6558" s="15" t="n">
        <v>1</v>
      </c>
      <c r="I6558" s="17" t="n">
        <v>0.1</v>
      </c>
      <c r="J6558" s="18" t="n">
        <v>235.3</v>
      </c>
      <c r="K6558" s="19" t="n">
        <v>12.19</v>
      </c>
      <c r="L6558" s="15" t="n">
        <f aca="false">YEAR(B6558)</f>
        <v>2025</v>
      </c>
      <c r="M6558" s="20" t="n">
        <f aca="false">IF(J6558&gt;0,K6558/J6558,0)</f>
        <v>0.0518062048448789</v>
      </c>
    </row>
    <row r="6559" customFormat="false" ht="15" hidden="false" customHeight="false" outlineLevel="0" collapsed="false">
      <c r="A6559" s="15" t="s">
        <v>6616</v>
      </c>
      <c r="B6559" s="16" t="n">
        <v>45467</v>
      </c>
      <c r="C6559" s="15" t="s">
        <v>56</v>
      </c>
      <c r="D6559" s="15" t="s">
        <v>42</v>
      </c>
      <c r="E6559" s="15" t="s">
        <v>39</v>
      </c>
      <c r="F6559" s="15" t="s">
        <v>17</v>
      </c>
      <c r="G6559" s="15" t="s">
        <v>26</v>
      </c>
      <c r="H6559" s="15" t="n">
        <v>3</v>
      </c>
      <c r="I6559" s="17" t="n">
        <v>0.05</v>
      </c>
      <c r="J6559" s="18" t="n">
        <v>245.25</v>
      </c>
      <c r="K6559" s="19" t="n">
        <v>20.81</v>
      </c>
      <c r="L6559" s="15" t="n">
        <f aca="false">YEAR(B6559)</f>
        <v>2024</v>
      </c>
      <c r="M6559" s="20" t="n">
        <f aca="false">IF(J6559&gt;0,K6559/J6559,0)</f>
        <v>0.0848521916411825</v>
      </c>
    </row>
    <row r="6560" customFormat="false" ht="15" hidden="false" customHeight="false" outlineLevel="0" collapsed="false">
      <c r="A6560" s="15" t="s">
        <v>6617</v>
      </c>
      <c r="B6560" s="16" t="n">
        <v>45611</v>
      </c>
      <c r="C6560" s="15" t="s">
        <v>56</v>
      </c>
      <c r="D6560" s="15" t="s">
        <v>42</v>
      </c>
      <c r="E6560" s="15" t="s">
        <v>36</v>
      </c>
      <c r="F6560" s="15" t="s">
        <v>18</v>
      </c>
      <c r="G6560" s="15" t="s">
        <v>32</v>
      </c>
      <c r="H6560" s="15" t="n">
        <v>5</v>
      </c>
      <c r="I6560" s="17" t="n">
        <v>0.3</v>
      </c>
      <c r="J6560" s="18" t="n">
        <v>1328.48</v>
      </c>
      <c r="K6560" s="19" t="n">
        <v>-74.48</v>
      </c>
      <c r="L6560" s="15" t="n">
        <f aca="false">YEAR(B6560)</f>
        <v>2024</v>
      </c>
      <c r="M6560" s="20" t="n">
        <f aca="false">IF(J6560&gt;0,K6560/J6560,0)</f>
        <v>-0.0560640732265446</v>
      </c>
    </row>
    <row r="6561" customFormat="false" ht="15" hidden="false" customHeight="false" outlineLevel="0" collapsed="false">
      <c r="A6561" s="15" t="s">
        <v>6618</v>
      </c>
      <c r="B6561" s="16" t="n">
        <v>45064</v>
      </c>
      <c r="C6561" s="15" t="s">
        <v>56</v>
      </c>
      <c r="D6561" s="15" t="s">
        <v>42</v>
      </c>
      <c r="E6561" s="15" t="s">
        <v>38</v>
      </c>
      <c r="F6561" s="15" t="s">
        <v>18</v>
      </c>
      <c r="G6561" s="15" t="s">
        <v>32</v>
      </c>
      <c r="H6561" s="15" t="n">
        <v>3</v>
      </c>
      <c r="I6561" s="17" t="n">
        <v>0.05</v>
      </c>
      <c r="J6561" s="18" t="n">
        <v>975.43</v>
      </c>
      <c r="K6561" s="19" t="n">
        <v>158.78</v>
      </c>
      <c r="L6561" s="15" t="n">
        <f aca="false">YEAR(B6561)</f>
        <v>2023</v>
      </c>
      <c r="M6561" s="20" t="n">
        <f aca="false">IF(J6561&gt;0,K6561/J6561,0)</f>
        <v>0.162779492121423</v>
      </c>
    </row>
    <row r="6562" customFormat="false" ht="15" hidden="false" customHeight="false" outlineLevel="0" collapsed="false">
      <c r="A6562" s="15" t="s">
        <v>6619</v>
      </c>
      <c r="B6562" s="16" t="n">
        <v>45627</v>
      </c>
      <c r="C6562" s="15" t="s">
        <v>68</v>
      </c>
      <c r="D6562" s="15" t="s">
        <v>42</v>
      </c>
      <c r="E6562" s="15" t="s">
        <v>39</v>
      </c>
      <c r="F6562" s="15" t="s">
        <v>17</v>
      </c>
      <c r="G6562" s="15" t="s">
        <v>28</v>
      </c>
      <c r="H6562" s="15" t="n">
        <v>6</v>
      </c>
      <c r="I6562" s="17" t="n">
        <v>0.05</v>
      </c>
      <c r="J6562" s="18" t="n">
        <v>131.8</v>
      </c>
      <c r="K6562" s="19" t="n">
        <v>24.95</v>
      </c>
      <c r="L6562" s="15" t="n">
        <f aca="false">YEAR(B6562)</f>
        <v>2024</v>
      </c>
      <c r="M6562" s="20" t="n">
        <f aca="false">IF(J6562&gt;0,K6562/J6562,0)</f>
        <v>0.189301972685888</v>
      </c>
    </row>
    <row r="6563" customFormat="false" ht="15" hidden="false" customHeight="false" outlineLevel="0" collapsed="false">
      <c r="A6563" s="15" t="s">
        <v>6620</v>
      </c>
      <c r="B6563" s="16" t="n">
        <v>45710</v>
      </c>
      <c r="C6563" s="15" t="s">
        <v>58</v>
      </c>
      <c r="D6563" s="15" t="s">
        <v>42</v>
      </c>
      <c r="E6563" s="15" t="s">
        <v>37</v>
      </c>
      <c r="F6563" s="15" t="s">
        <v>16</v>
      </c>
      <c r="G6563" s="15" t="s">
        <v>22</v>
      </c>
      <c r="H6563" s="15" t="n">
        <v>2</v>
      </c>
      <c r="I6563" s="17" t="n">
        <v>0</v>
      </c>
      <c r="J6563" s="18" t="n">
        <v>981.73</v>
      </c>
      <c r="K6563" s="19" t="n">
        <v>-57.42</v>
      </c>
      <c r="L6563" s="15" t="n">
        <f aca="false">YEAR(B6563)</f>
        <v>2025</v>
      </c>
      <c r="M6563" s="20" t="n">
        <f aca="false">IF(J6563&gt;0,K6563/J6563,0)</f>
        <v>-0.0584885864748964</v>
      </c>
    </row>
    <row r="6564" customFormat="false" ht="15" hidden="false" customHeight="false" outlineLevel="0" collapsed="false">
      <c r="A6564" s="15" t="s">
        <v>6621</v>
      </c>
      <c r="B6564" s="16" t="n">
        <v>44652</v>
      </c>
      <c r="C6564" s="15" t="s">
        <v>56</v>
      </c>
      <c r="D6564" s="15" t="s">
        <v>43</v>
      </c>
      <c r="E6564" s="15" t="s">
        <v>37</v>
      </c>
      <c r="F6564" s="15" t="s">
        <v>18</v>
      </c>
      <c r="G6564" s="15" t="s">
        <v>32</v>
      </c>
      <c r="H6564" s="15" t="n">
        <v>2</v>
      </c>
      <c r="I6564" s="17" t="n">
        <v>0.2</v>
      </c>
      <c r="J6564" s="18" t="n">
        <v>609.63</v>
      </c>
      <c r="K6564" s="19" t="n">
        <v>-20.05</v>
      </c>
      <c r="L6564" s="15" t="n">
        <f aca="false">YEAR(B6564)</f>
        <v>2022</v>
      </c>
      <c r="M6564" s="20" t="n">
        <f aca="false">IF(J6564&gt;0,K6564/J6564,0)</f>
        <v>-0.0328888014041304</v>
      </c>
    </row>
    <row r="6565" customFormat="false" ht="15" hidden="false" customHeight="false" outlineLevel="0" collapsed="false">
      <c r="A6565" s="15" t="s">
        <v>6622</v>
      </c>
      <c r="B6565" s="16" t="n">
        <v>45751</v>
      </c>
      <c r="C6565" s="15" t="s">
        <v>56</v>
      </c>
      <c r="D6565" s="15" t="s">
        <v>42</v>
      </c>
      <c r="E6565" s="15" t="s">
        <v>36</v>
      </c>
      <c r="F6565" s="15" t="s">
        <v>17</v>
      </c>
      <c r="G6565" s="15" t="s">
        <v>31</v>
      </c>
      <c r="H6565" s="15" t="n">
        <v>4</v>
      </c>
      <c r="I6565" s="17" t="n">
        <v>0</v>
      </c>
      <c r="J6565" s="18" t="n">
        <v>624.66</v>
      </c>
      <c r="K6565" s="19" t="n">
        <v>149</v>
      </c>
      <c r="L6565" s="15" t="n">
        <f aca="false">YEAR(B6565)</f>
        <v>2025</v>
      </c>
      <c r="M6565" s="20" t="n">
        <f aca="false">IF(J6565&gt;0,K6565/J6565,0)</f>
        <v>0.238529760189543</v>
      </c>
    </row>
    <row r="6566" customFormat="false" ht="15" hidden="false" customHeight="false" outlineLevel="0" collapsed="false">
      <c r="A6566" s="15" t="s">
        <v>6623</v>
      </c>
      <c r="B6566" s="16" t="n">
        <v>44894</v>
      </c>
      <c r="C6566" s="15" t="s">
        <v>56</v>
      </c>
      <c r="D6566" s="15" t="s">
        <v>43</v>
      </c>
      <c r="E6566" s="15" t="s">
        <v>38</v>
      </c>
      <c r="F6566" s="15" t="s">
        <v>17</v>
      </c>
      <c r="G6566" s="15" t="s">
        <v>29</v>
      </c>
      <c r="H6566" s="15" t="n">
        <v>1</v>
      </c>
      <c r="I6566" s="17" t="n">
        <v>0.2</v>
      </c>
      <c r="J6566" s="18" t="n">
        <v>15.85</v>
      </c>
      <c r="K6566" s="19" t="n">
        <v>2.94</v>
      </c>
      <c r="L6566" s="15" t="n">
        <f aca="false">YEAR(B6566)</f>
        <v>2022</v>
      </c>
      <c r="M6566" s="20" t="n">
        <f aca="false">IF(J6566&gt;0,K6566/J6566,0)</f>
        <v>0.185488958990536</v>
      </c>
    </row>
    <row r="6567" customFormat="false" ht="15" hidden="false" customHeight="false" outlineLevel="0" collapsed="false">
      <c r="A6567" s="15" t="s">
        <v>6624</v>
      </c>
      <c r="B6567" s="16" t="n">
        <v>45925</v>
      </c>
      <c r="C6567" s="15" t="s">
        <v>71</v>
      </c>
      <c r="D6567" s="15" t="s">
        <v>43</v>
      </c>
      <c r="E6567" s="15" t="s">
        <v>37</v>
      </c>
      <c r="F6567" s="15" t="s">
        <v>17</v>
      </c>
      <c r="G6567" s="15" t="s">
        <v>26</v>
      </c>
      <c r="H6567" s="15" t="n">
        <v>4</v>
      </c>
      <c r="I6567" s="17" t="n">
        <v>0.1</v>
      </c>
      <c r="J6567" s="18" t="n">
        <v>339.11</v>
      </c>
      <c r="K6567" s="19" t="n">
        <v>28.83</v>
      </c>
      <c r="L6567" s="15" t="n">
        <f aca="false">YEAR(B6567)</f>
        <v>2025</v>
      </c>
      <c r="M6567" s="20" t="n">
        <f aca="false">IF(J6567&gt;0,K6567/J6567,0)</f>
        <v>0.085016661260358</v>
      </c>
    </row>
    <row r="6568" customFormat="false" ht="15" hidden="false" customHeight="false" outlineLevel="0" collapsed="false">
      <c r="A6568" s="15" t="s">
        <v>6625</v>
      </c>
      <c r="B6568" s="16" t="n">
        <v>45593</v>
      </c>
      <c r="C6568" s="15" t="s">
        <v>56</v>
      </c>
      <c r="D6568" s="15" t="s">
        <v>43</v>
      </c>
      <c r="E6568" s="15" t="s">
        <v>39</v>
      </c>
      <c r="F6568" s="15" t="s">
        <v>17</v>
      </c>
      <c r="G6568" s="15" t="s">
        <v>28</v>
      </c>
      <c r="H6568" s="15" t="n">
        <v>4</v>
      </c>
      <c r="I6568" s="17" t="n">
        <v>0.2</v>
      </c>
      <c r="J6568" s="18" t="n">
        <v>102.66</v>
      </c>
      <c r="K6568" s="19" t="n">
        <v>14.84</v>
      </c>
      <c r="L6568" s="15" t="n">
        <f aca="false">YEAR(B6568)</f>
        <v>2024</v>
      </c>
      <c r="M6568" s="20" t="n">
        <f aca="false">IF(J6568&gt;0,K6568/J6568,0)</f>
        <v>0.144554841223456</v>
      </c>
    </row>
    <row r="6569" customFormat="false" ht="15" hidden="false" customHeight="false" outlineLevel="0" collapsed="false">
      <c r="A6569" s="15" t="s">
        <v>6626</v>
      </c>
      <c r="B6569" s="16" t="n">
        <v>45407</v>
      </c>
      <c r="C6569" s="15" t="s">
        <v>56</v>
      </c>
      <c r="D6569" s="15" t="s">
        <v>43</v>
      </c>
      <c r="E6569" s="15" t="s">
        <v>37</v>
      </c>
      <c r="F6569" s="15" t="s">
        <v>16</v>
      </c>
      <c r="G6569" s="15" t="s">
        <v>27</v>
      </c>
      <c r="H6569" s="15" t="n">
        <v>4</v>
      </c>
      <c r="I6569" s="17" t="n">
        <v>0.3</v>
      </c>
      <c r="J6569" s="18" t="n">
        <v>209.26</v>
      </c>
      <c r="K6569" s="19" t="n">
        <v>-10.56</v>
      </c>
      <c r="L6569" s="15" t="n">
        <f aca="false">YEAR(B6569)</f>
        <v>2024</v>
      </c>
      <c r="M6569" s="20" t="n">
        <f aca="false">IF(J6569&gt;0,K6569/J6569,0)</f>
        <v>-0.0504635381821657</v>
      </c>
    </row>
    <row r="6570" customFormat="false" ht="15" hidden="false" customHeight="false" outlineLevel="0" collapsed="false">
      <c r="A6570" s="15" t="s">
        <v>6627</v>
      </c>
      <c r="B6570" s="16" t="n">
        <v>45263</v>
      </c>
      <c r="C6570" s="15" t="s">
        <v>56</v>
      </c>
      <c r="D6570" s="15" t="s">
        <v>42</v>
      </c>
      <c r="E6570" s="15" t="s">
        <v>39</v>
      </c>
      <c r="F6570" s="15" t="s">
        <v>18</v>
      </c>
      <c r="G6570" s="15" t="s">
        <v>30</v>
      </c>
      <c r="H6570" s="15" t="n">
        <v>3</v>
      </c>
      <c r="I6570" s="17" t="n">
        <v>0</v>
      </c>
      <c r="J6570" s="18" t="n">
        <v>147.48</v>
      </c>
      <c r="K6570" s="19" t="n">
        <v>47.06</v>
      </c>
      <c r="L6570" s="15" t="n">
        <f aca="false">YEAR(B6570)</f>
        <v>2023</v>
      </c>
      <c r="M6570" s="20" t="n">
        <f aca="false">IF(J6570&gt;0,K6570/J6570,0)</f>
        <v>0.319094114456198</v>
      </c>
    </row>
    <row r="6571" customFormat="false" ht="15" hidden="false" customHeight="false" outlineLevel="0" collapsed="false">
      <c r="A6571" s="15" t="s">
        <v>6628</v>
      </c>
      <c r="B6571" s="16" t="n">
        <v>45073</v>
      </c>
      <c r="C6571" s="15" t="s">
        <v>58</v>
      </c>
      <c r="D6571" s="15" t="s">
        <v>44</v>
      </c>
      <c r="E6571" s="15" t="s">
        <v>39</v>
      </c>
      <c r="F6571" s="15" t="s">
        <v>18</v>
      </c>
      <c r="G6571" s="15" t="s">
        <v>33</v>
      </c>
      <c r="H6571" s="15" t="n">
        <v>3</v>
      </c>
      <c r="I6571" s="17" t="n">
        <v>0.05</v>
      </c>
      <c r="J6571" s="18" t="n">
        <v>2448.76</v>
      </c>
      <c r="K6571" s="19" t="n">
        <v>564.85</v>
      </c>
      <c r="L6571" s="15" t="n">
        <f aca="false">YEAR(B6571)</f>
        <v>2023</v>
      </c>
      <c r="M6571" s="20" t="n">
        <f aca="false">IF(J6571&gt;0,K6571/J6571,0)</f>
        <v>0.230667766543067</v>
      </c>
    </row>
    <row r="6572" customFormat="false" ht="15" hidden="false" customHeight="false" outlineLevel="0" collapsed="false">
      <c r="A6572" s="15" t="s">
        <v>6629</v>
      </c>
      <c r="B6572" s="16" t="n">
        <v>45115</v>
      </c>
      <c r="C6572" s="15" t="s">
        <v>56</v>
      </c>
      <c r="D6572" s="15" t="s">
        <v>43</v>
      </c>
      <c r="E6572" s="15" t="s">
        <v>37</v>
      </c>
      <c r="F6572" s="15" t="s">
        <v>18</v>
      </c>
      <c r="G6572" s="15" t="s">
        <v>32</v>
      </c>
      <c r="H6572" s="15" t="n">
        <v>7</v>
      </c>
      <c r="I6572" s="17" t="n">
        <v>0.05</v>
      </c>
      <c r="J6572" s="18" t="n">
        <v>2821.41</v>
      </c>
      <c r="K6572" s="19" t="n">
        <v>444.11</v>
      </c>
      <c r="L6572" s="15" t="n">
        <f aca="false">YEAR(B6572)</f>
        <v>2023</v>
      </c>
      <c r="M6572" s="20" t="n">
        <f aca="false">IF(J6572&gt;0,K6572/J6572,0)</f>
        <v>0.157407112046813</v>
      </c>
    </row>
    <row r="6573" customFormat="false" ht="15" hidden="false" customHeight="false" outlineLevel="0" collapsed="false">
      <c r="A6573" s="15" t="s">
        <v>6630</v>
      </c>
      <c r="B6573" s="16" t="n">
        <v>44884</v>
      </c>
      <c r="C6573" s="15" t="s">
        <v>68</v>
      </c>
      <c r="D6573" s="15" t="s">
        <v>42</v>
      </c>
      <c r="E6573" s="15" t="s">
        <v>37</v>
      </c>
      <c r="F6573" s="15" t="s">
        <v>17</v>
      </c>
      <c r="G6573" s="15" t="s">
        <v>28</v>
      </c>
      <c r="H6573" s="15" t="n">
        <v>4</v>
      </c>
      <c r="I6573" s="17" t="n">
        <v>0.1</v>
      </c>
      <c r="J6573" s="18" t="n">
        <v>95.78</v>
      </c>
      <c r="K6573" s="19" t="n">
        <v>19.93</v>
      </c>
      <c r="L6573" s="15" t="n">
        <f aca="false">YEAR(B6573)</f>
        <v>2022</v>
      </c>
      <c r="M6573" s="20" t="n">
        <f aca="false">IF(J6573&gt;0,K6573/J6573,0)</f>
        <v>0.208081019001879</v>
      </c>
    </row>
    <row r="6574" customFormat="false" ht="15" hidden="false" customHeight="false" outlineLevel="0" collapsed="false">
      <c r="A6574" s="15" t="s">
        <v>6631</v>
      </c>
      <c r="B6574" s="16" t="n">
        <v>45823</v>
      </c>
      <c r="C6574" s="15" t="s">
        <v>56</v>
      </c>
      <c r="D6574" s="15" t="s">
        <v>44</v>
      </c>
      <c r="E6574" s="15" t="s">
        <v>36</v>
      </c>
      <c r="F6574" s="15" t="s">
        <v>18</v>
      </c>
      <c r="G6574" s="15" t="s">
        <v>32</v>
      </c>
      <c r="H6574" s="15" t="n">
        <v>2</v>
      </c>
      <c r="I6574" s="17" t="n">
        <v>0</v>
      </c>
      <c r="J6574" s="18" t="n">
        <v>878.33</v>
      </c>
      <c r="K6574" s="19" t="n">
        <v>233.79</v>
      </c>
      <c r="L6574" s="15" t="n">
        <f aca="false">YEAR(B6574)</f>
        <v>2025</v>
      </c>
      <c r="M6574" s="20" t="n">
        <f aca="false">IF(J6574&gt;0,K6574/J6574,0)</f>
        <v>0.266175583209044</v>
      </c>
    </row>
    <row r="6575" customFormat="false" ht="15" hidden="false" customHeight="false" outlineLevel="0" collapsed="false">
      <c r="A6575" s="15" t="s">
        <v>6632</v>
      </c>
      <c r="B6575" s="16" t="n">
        <v>45125</v>
      </c>
      <c r="C6575" s="15" t="s">
        <v>56</v>
      </c>
      <c r="D6575" s="15" t="s">
        <v>44</v>
      </c>
      <c r="E6575" s="15" t="s">
        <v>39</v>
      </c>
      <c r="F6575" s="15" t="s">
        <v>18</v>
      </c>
      <c r="G6575" s="15" t="s">
        <v>33</v>
      </c>
      <c r="H6575" s="15" t="n">
        <v>2</v>
      </c>
      <c r="I6575" s="17" t="n">
        <v>0</v>
      </c>
      <c r="J6575" s="18" t="n">
        <v>1595.99</v>
      </c>
      <c r="K6575" s="19" t="n">
        <v>497.66</v>
      </c>
      <c r="L6575" s="15" t="n">
        <f aca="false">YEAR(B6575)</f>
        <v>2023</v>
      </c>
      <c r="M6575" s="20" t="n">
        <f aca="false">IF(J6575&gt;0,K6575/J6575,0)</f>
        <v>0.311818996359626</v>
      </c>
    </row>
    <row r="6576" customFormat="false" ht="15" hidden="false" customHeight="false" outlineLevel="0" collapsed="false">
      <c r="A6576" s="15" t="s">
        <v>6633</v>
      </c>
      <c r="B6576" s="16" t="n">
        <v>44802</v>
      </c>
      <c r="C6576" s="15" t="s">
        <v>56</v>
      </c>
      <c r="D6576" s="15" t="s">
        <v>43</v>
      </c>
      <c r="E6576" s="15" t="s">
        <v>37</v>
      </c>
      <c r="F6576" s="15" t="s">
        <v>18</v>
      </c>
      <c r="G6576" s="15" t="s">
        <v>32</v>
      </c>
      <c r="H6576" s="15" t="n">
        <v>3</v>
      </c>
      <c r="I6576" s="17" t="n">
        <v>0.1</v>
      </c>
      <c r="J6576" s="18" t="n">
        <v>1180.7</v>
      </c>
      <c r="K6576" s="19" t="n">
        <v>69.3</v>
      </c>
      <c r="L6576" s="15" t="n">
        <f aca="false">YEAR(B6576)</f>
        <v>2022</v>
      </c>
      <c r="M6576" s="20" t="n">
        <f aca="false">IF(J6576&gt;0,K6576/J6576,0)</f>
        <v>0.0586939950876599</v>
      </c>
    </row>
    <row r="6577" customFormat="false" ht="15" hidden="false" customHeight="false" outlineLevel="0" collapsed="false">
      <c r="A6577" s="15" t="s">
        <v>6634</v>
      </c>
      <c r="B6577" s="16" t="n">
        <v>45997</v>
      </c>
      <c r="C6577" s="15" t="s">
        <v>68</v>
      </c>
      <c r="D6577" s="15" t="s">
        <v>43</v>
      </c>
      <c r="E6577" s="15" t="s">
        <v>38</v>
      </c>
      <c r="F6577" s="15" t="s">
        <v>17</v>
      </c>
      <c r="G6577" s="15" t="s">
        <v>31</v>
      </c>
      <c r="H6577" s="15" t="n">
        <v>4</v>
      </c>
      <c r="I6577" s="17" t="n">
        <v>0</v>
      </c>
      <c r="J6577" s="18" t="n">
        <v>591.92</v>
      </c>
      <c r="K6577" s="19" t="n">
        <v>115.03</v>
      </c>
      <c r="L6577" s="15" t="n">
        <f aca="false">YEAR(B6577)</f>
        <v>2025</v>
      </c>
      <c r="M6577" s="20" t="n">
        <f aca="false">IF(J6577&gt;0,K6577/J6577,0)</f>
        <v>0.194333693742398</v>
      </c>
    </row>
    <row r="6578" customFormat="false" ht="15" hidden="false" customHeight="false" outlineLevel="0" collapsed="false">
      <c r="A6578" s="15" t="s">
        <v>6635</v>
      </c>
      <c r="B6578" s="16" t="n">
        <v>45910</v>
      </c>
      <c r="C6578" s="15" t="s">
        <v>56</v>
      </c>
      <c r="D6578" s="15" t="s">
        <v>43</v>
      </c>
      <c r="E6578" s="15" t="s">
        <v>38</v>
      </c>
      <c r="F6578" s="15" t="s">
        <v>17</v>
      </c>
      <c r="G6578" s="15" t="s">
        <v>28</v>
      </c>
      <c r="H6578" s="15" t="n">
        <v>2</v>
      </c>
      <c r="I6578" s="17" t="n">
        <v>0</v>
      </c>
      <c r="J6578" s="18" t="n">
        <v>40.4</v>
      </c>
      <c r="K6578" s="19" t="n">
        <v>13.6</v>
      </c>
      <c r="L6578" s="15" t="n">
        <f aca="false">YEAR(B6578)</f>
        <v>2025</v>
      </c>
      <c r="M6578" s="20" t="n">
        <f aca="false">IF(J6578&gt;0,K6578/J6578,0)</f>
        <v>0.336633663366337</v>
      </c>
    </row>
    <row r="6579" customFormat="false" ht="15" hidden="false" customHeight="false" outlineLevel="0" collapsed="false">
      <c r="A6579" s="15" t="s">
        <v>6636</v>
      </c>
      <c r="B6579" s="16" t="n">
        <v>44917</v>
      </c>
      <c r="C6579" s="15" t="s">
        <v>68</v>
      </c>
      <c r="D6579" s="15" t="s">
        <v>42</v>
      </c>
      <c r="E6579" s="15" t="s">
        <v>37</v>
      </c>
      <c r="F6579" s="15" t="s">
        <v>16</v>
      </c>
      <c r="G6579" s="15" t="s">
        <v>25</v>
      </c>
      <c r="H6579" s="15" t="n">
        <v>7</v>
      </c>
      <c r="I6579" s="17" t="n">
        <v>0.1</v>
      </c>
      <c r="J6579" s="18" t="n">
        <v>1754.8</v>
      </c>
      <c r="K6579" s="19" t="n">
        <v>0.23</v>
      </c>
      <c r="L6579" s="15" t="n">
        <f aca="false">YEAR(B6579)</f>
        <v>2022</v>
      </c>
      <c r="M6579" s="20" t="n">
        <f aca="false">IF(J6579&gt;0,K6579/J6579,0)</f>
        <v>0.000131069067700023</v>
      </c>
    </row>
    <row r="6580" customFormat="false" ht="15" hidden="false" customHeight="false" outlineLevel="0" collapsed="false">
      <c r="A6580" s="15" t="s">
        <v>6637</v>
      </c>
      <c r="B6580" s="16" t="n">
        <v>45404</v>
      </c>
      <c r="C6580" s="15" t="s">
        <v>56</v>
      </c>
      <c r="D6580" s="15" t="s">
        <v>42</v>
      </c>
      <c r="E6580" s="15" t="s">
        <v>36</v>
      </c>
      <c r="F6580" s="15" t="s">
        <v>17</v>
      </c>
      <c r="G6580" s="15" t="s">
        <v>29</v>
      </c>
      <c r="H6580" s="15" t="n">
        <v>2</v>
      </c>
      <c r="I6580" s="17" t="n">
        <v>0</v>
      </c>
      <c r="J6580" s="18" t="n">
        <v>28.6</v>
      </c>
      <c r="K6580" s="19" t="n">
        <v>11.44</v>
      </c>
      <c r="L6580" s="15" t="n">
        <f aca="false">YEAR(B6580)</f>
        <v>2024</v>
      </c>
      <c r="M6580" s="20" t="n">
        <f aca="false">IF(J6580&gt;0,K6580/J6580,0)</f>
        <v>0.4</v>
      </c>
    </row>
    <row r="6581" customFormat="false" ht="15" hidden="false" customHeight="false" outlineLevel="0" collapsed="false">
      <c r="A6581" s="15" t="s">
        <v>6638</v>
      </c>
      <c r="B6581" s="16" t="n">
        <v>45690</v>
      </c>
      <c r="C6581" s="15" t="s">
        <v>58</v>
      </c>
      <c r="D6581" s="15" t="s">
        <v>44</v>
      </c>
      <c r="E6581" s="15" t="s">
        <v>38</v>
      </c>
      <c r="F6581" s="15" t="s">
        <v>17</v>
      </c>
      <c r="G6581" s="15" t="s">
        <v>29</v>
      </c>
      <c r="H6581" s="15" t="n">
        <v>3</v>
      </c>
      <c r="I6581" s="17" t="n">
        <v>0.4</v>
      </c>
      <c r="J6581" s="18" t="n">
        <v>31.96</v>
      </c>
      <c r="K6581" s="19" t="n">
        <v>2.16</v>
      </c>
      <c r="L6581" s="15" t="n">
        <f aca="false">YEAR(B6581)</f>
        <v>2025</v>
      </c>
      <c r="M6581" s="20" t="n">
        <f aca="false">IF(J6581&gt;0,K6581/J6581,0)</f>
        <v>0.0675844806007509</v>
      </c>
    </row>
    <row r="6582" customFormat="false" ht="15" hidden="false" customHeight="false" outlineLevel="0" collapsed="false">
      <c r="A6582" s="15" t="s">
        <v>6639</v>
      </c>
      <c r="B6582" s="16" t="n">
        <v>45300</v>
      </c>
      <c r="C6582" s="15" t="s">
        <v>56</v>
      </c>
      <c r="D6582" s="15" t="s">
        <v>42</v>
      </c>
      <c r="E6582" s="15" t="s">
        <v>38</v>
      </c>
      <c r="F6582" s="15" t="s">
        <v>17</v>
      </c>
      <c r="G6582" s="15" t="s">
        <v>29</v>
      </c>
      <c r="H6582" s="15" t="n">
        <v>4</v>
      </c>
      <c r="I6582" s="17" t="n">
        <v>0.05</v>
      </c>
      <c r="J6582" s="18" t="n">
        <v>65</v>
      </c>
      <c r="K6582" s="19" t="n">
        <v>23.52</v>
      </c>
      <c r="L6582" s="15" t="n">
        <f aca="false">YEAR(B6582)</f>
        <v>2024</v>
      </c>
      <c r="M6582" s="20" t="n">
        <f aca="false">IF(J6582&gt;0,K6582/J6582,0)</f>
        <v>0.361846153846154</v>
      </c>
    </row>
    <row r="6583" customFormat="false" ht="15" hidden="false" customHeight="false" outlineLevel="0" collapsed="false">
      <c r="A6583" s="15" t="s">
        <v>6640</v>
      </c>
      <c r="B6583" s="16" t="n">
        <v>45886</v>
      </c>
      <c r="C6583" s="15" t="s">
        <v>56</v>
      </c>
      <c r="D6583" s="15" t="s">
        <v>44</v>
      </c>
      <c r="E6583" s="15" t="s">
        <v>37</v>
      </c>
      <c r="F6583" s="15" t="s">
        <v>16</v>
      </c>
      <c r="G6583" s="15" t="s">
        <v>27</v>
      </c>
      <c r="H6583" s="15" t="n">
        <v>2</v>
      </c>
      <c r="I6583" s="17" t="n">
        <v>0</v>
      </c>
      <c r="J6583" s="18" t="n">
        <v>102.14</v>
      </c>
      <c r="K6583" s="19" t="n">
        <v>25.02</v>
      </c>
      <c r="L6583" s="15" t="n">
        <f aca="false">YEAR(B6583)</f>
        <v>2025</v>
      </c>
      <c r="M6583" s="20" t="n">
        <f aca="false">IF(J6583&gt;0,K6583/J6583,0)</f>
        <v>0.244957900920305</v>
      </c>
    </row>
    <row r="6584" customFormat="false" ht="15" hidden="false" customHeight="false" outlineLevel="0" collapsed="false">
      <c r="A6584" s="15" t="s">
        <v>6641</v>
      </c>
      <c r="B6584" s="16" t="n">
        <v>45998</v>
      </c>
      <c r="C6584" s="15" t="s">
        <v>56</v>
      </c>
      <c r="D6584" s="15" t="s">
        <v>43</v>
      </c>
      <c r="E6584" s="15" t="s">
        <v>37</v>
      </c>
      <c r="F6584" s="15" t="s">
        <v>17</v>
      </c>
      <c r="G6584" s="15" t="s">
        <v>26</v>
      </c>
      <c r="H6584" s="15" t="n">
        <v>3</v>
      </c>
      <c r="I6584" s="17" t="n">
        <v>0.2</v>
      </c>
      <c r="J6584" s="18" t="n">
        <v>237.27</v>
      </c>
      <c r="K6584" s="19" t="n">
        <v>-5.2</v>
      </c>
      <c r="L6584" s="15" t="n">
        <f aca="false">YEAR(B6584)</f>
        <v>2025</v>
      </c>
      <c r="M6584" s="20" t="n">
        <f aca="false">IF(J6584&gt;0,K6584/J6584,0)</f>
        <v>-0.021915960719855</v>
      </c>
    </row>
    <row r="6585" customFormat="false" ht="15" hidden="false" customHeight="false" outlineLevel="0" collapsed="false">
      <c r="A6585" s="15" t="s">
        <v>6642</v>
      </c>
      <c r="B6585" s="16" t="n">
        <v>45980</v>
      </c>
      <c r="C6585" s="15" t="s">
        <v>56</v>
      </c>
      <c r="D6585" s="15" t="s">
        <v>44</v>
      </c>
      <c r="E6585" s="15" t="s">
        <v>36</v>
      </c>
      <c r="F6585" s="15" t="s">
        <v>17</v>
      </c>
      <c r="G6585" s="15" t="s">
        <v>26</v>
      </c>
      <c r="H6585" s="15" t="n">
        <v>5</v>
      </c>
      <c r="I6585" s="17" t="n">
        <v>0.3</v>
      </c>
      <c r="J6585" s="18" t="n">
        <v>276.38</v>
      </c>
      <c r="K6585" s="19" t="n">
        <v>-48.24</v>
      </c>
      <c r="L6585" s="15" t="n">
        <f aca="false">YEAR(B6585)</f>
        <v>2025</v>
      </c>
      <c r="M6585" s="20" t="n">
        <f aca="false">IF(J6585&gt;0,K6585/J6585,0)</f>
        <v>-0.174542296837687</v>
      </c>
    </row>
    <row r="6586" customFormat="false" ht="15" hidden="false" customHeight="false" outlineLevel="0" collapsed="false">
      <c r="A6586" s="15" t="s">
        <v>6643</v>
      </c>
      <c r="B6586" s="16" t="n">
        <v>45996</v>
      </c>
      <c r="C6586" s="15" t="s">
        <v>56</v>
      </c>
      <c r="D6586" s="15" t="s">
        <v>44</v>
      </c>
      <c r="E6586" s="15" t="s">
        <v>39</v>
      </c>
      <c r="F6586" s="15" t="s">
        <v>16</v>
      </c>
      <c r="G6586" s="15" t="s">
        <v>22</v>
      </c>
      <c r="H6586" s="15" t="n">
        <v>2</v>
      </c>
      <c r="I6586" s="17" t="n">
        <v>0</v>
      </c>
      <c r="J6586" s="18" t="n">
        <v>1024.34</v>
      </c>
      <c r="K6586" s="19" t="n">
        <v>-82.7</v>
      </c>
      <c r="L6586" s="15" t="n">
        <f aca="false">YEAR(B6586)</f>
        <v>2025</v>
      </c>
      <c r="M6586" s="20" t="n">
        <f aca="false">IF(J6586&gt;0,K6586/J6586,0)</f>
        <v>-0.0807349122361716</v>
      </c>
    </row>
    <row r="6587" customFormat="false" ht="15" hidden="false" customHeight="false" outlineLevel="0" collapsed="false">
      <c r="A6587" s="15" t="s">
        <v>6644</v>
      </c>
      <c r="B6587" s="16" t="n">
        <v>44656</v>
      </c>
      <c r="C6587" s="15" t="s">
        <v>68</v>
      </c>
      <c r="D6587" s="15" t="s">
        <v>44</v>
      </c>
      <c r="E6587" s="15" t="s">
        <v>37</v>
      </c>
      <c r="F6587" s="15" t="s">
        <v>17</v>
      </c>
      <c r="G6587" s="15" t="s">
        <v>28</v>
      </c>
      <c r="H6587" s="15" t="n">
        <v>3</v>
      </c>
      <c r="I6587" s="17" t="n">
        <v>0.3</v>
      </c>
      <c r="J6587" s="18" t="n">
        <v>69.19</v>
      </c>
      <c r="K6587" s="19" t="n">
        <v>-0.13</v>
      </c>
      <c r="L6587" s="15" t="n">
        <f aca="false">YEAR(B6587)</f>
        <v>2022</v>
      </c>
      <c r="M6587" s="20" t="n">
        <f aca="false">IF(J6587&gt;0,K6587/J6587,0)</f>
        <v>-0.00187888423182541</v>
      </c>
    </row>
    <row r="6588" customFormat="false" ht="15" hidden="false" customHeight="false" outlineLevel="0" collapsed="false">
      <c r="A6588" s="15" t="s">
        <v>6645</v>
      </c>
      <c r="B6588" s="16" t="n">
        <v>45536</v>
      </c>
      <c r="C6588" s="15" t="s">
        <v>56</v>
      </c>
      <c r="D6588" s="15" t="s">
        <v>42</v>
      </c>
      <c r="E6588" s="15" t="s">
        <v>37</v>
      </c>
      <c r="F6588" s="15" t="s">
        <v>17</v>
      </c>
      <c r="G6588" s="15" t="s">
        <v>26</v>
      </c>
      <c r="H6588" s="15" t="n">
        <v>3</v>
      </c>
      <c r="I6588" s="17" t="n">
        <v>0.05</v>
      </c>
      <c r="J6588" s="18" t="n">
        <v>206.96</v>
      </c>
      <c r="K6588" s="19" t="n">
        <v>14.89</v>
      </c>
      <c r="L6588" s="15" t="n">
        <f aca="false">YEAR(B6588)</f>
        <v>2024</v>
      </c>
      <c r="M6588" s="20" t="n">
        <f aca="false">IF(J6588&gt;0,K6588/J6588,0)</f>
        <v>0.0719462698105914</v>
      </c>
    </row>
    <row r="6589" customFormat="false" ht="15" hidden="false" customHeight="false" outlineLevel="0" collapsed="false">
      <c r="A6589" s="15" t="s">
        <v>6646</v>
      </c>
      <c r="B6589" s="16" t="n">
        <v>46022</v>
      </c>
      <c r="C6589" s="15" t="s">
        <v>71</v>
      </c>
      <c r="D6589" s="15" t="s">
        <v>42</v>
      </c>
      <c r="E6589" s="15" t="s">
        <v>39</v>
      </c>
      <c r="F6589" s="15" t="s">
        <v>18</v>
      </c>
      <c r="G6589" s="15" t="s">
        <v>30</v>
      </c>
      <c r="H6589" s="15" t="n">
        <v>2</v>
      </c>
      <c r="I6589" s="17" t="n">
        <v>0.1</v>
      </c>
      <c r="J6589" s="18" t="n">
        <v>88.52</v>
      </c>
      <c r="K6589" s="19" t="n">
        <v>20.09</v>
      </c>
      <c r="L6589" s="15" t="n">
        <f aca="false">YEAR(B6589)</f>
        <v>2025</v>
      </c>
      <c r="M6589" s="20" t="n">
        <f aca="false">IF(J6589&gt;0,K6589/J6589,0)</f>
        <v>0.226954360596475</v>
      </c>
    </row>
    <row r="6590" customFormat="false" ht="15" hidden="false" customHeight="false" outlineLevel="0" collapsed="false">
      <c r="A6590" s="15" t="s">
        <v>6647</v>
      </c>
      <c r="B6590" s="16" t="n">
        <v>45768</v>
      </c>
      <c r="C6590" s="15" t="s">
        <v>56</v>
      </c>
      <c r="D6590" s="15" t="s">
        <v>42</v>
      </c>
      <c r="E6590" s="15" t="s">
        <v>39</v>
      </c>
      <c r="F6590" s="15" t="s">
        <v>17</v>
      </c>
      <c r="G6590" s="15" t="s">
        <v>29</v>
      </c>
      <c r="H6590" s="15" t="n">
        <v>3</v>
      </c>
      <c r="I6590" s="17" t="n">
        <v>0</v>
      </c>
      <c r="J6590" s="18" t="n">
        <v>57.85</v>
      </c>
      <c r="K6590" s="19" t="n">
        <v>19.4</v>
      </c>
      <c r="L6590" s="15" t="n">
        <f aca="false">YEAR(B6590)</f>
        <v>2025</v>
      </c>
      <c r="M6590" s="20" t="n">
        <f aca="false">IF(J6590&gt;0,K6590/J6590,0)</f>
        <v>0.335350043215212</v>
      </c>
    </row>
    <row r="6591" customFormat="false" ht="15" hidden="false" customHeight="false" outlineLevel="0" collapsed="false">
      <c r="A6591" s="15" t="s">
        <v>6648</v>
      </c>
      <c r="B6591" s="16" t="n">
        <v>45979</v>
      </c>
      <c r="C6591" s="15" t="s">
        <v>56</v>
      </c>
      <c r="D6591" s="15" t="s">
        <v>43</v>
      </c>
      <c r="E6591" s="15" t="s">
        <v>39</v>
      </c>
      <c r="F6591" s="15" t="s">
        <v>16</v>
      </c>
      <c r="G6591" s="15" t="s">
        <v>23</v>
      </c>
      <c r="H6591" s="15" t="n">
        <v>2</v>
      </c>
      <c r="I6591" s="17" t="n">
        <v>0.1</v>
      </c>
      <c r="J6591" s="18" t="n">
        <v>664.25</v>
      </c>
      <c r="K6591" s="19" t="n">
        <v>-55.98</v>
      </c>
      <c r="L6591" s="15" t="n">
        <f aca="false">YEAR(B6591)</f>
        <v>2025</v>
      </c>
      <c r="M6591" s="20" t="n">
        <f aca="false">IF(J6591&gt;0,K6591/J6591,0)</f>
        <v>-0.0842754986827249</v>
      </c>
    </row>
    <row r="6592" customFormat="false" ht="15" hidden="false" customHeight="false" outlineLevel="0" collapsed="false">
      <c r="A6592" s="15" t="s">
        <v>6649</v>
      </c>
      <c r="B6592" s="16" t="n">
        <v>45431</v>
      </c>
      <c r="C6592" s="15" t="s">
        <v>71</v>
      </c>
      <c r="D6592" s="15" t="s">
        <v>43</v>
      </c>
      <c r="E6592" s="15" t="s">
        <v>37</v>
      </c>
      <c r="F6592" s="15" t="s">
        <v>17</v>
      </c>
      <c r="G6592" s="15" t="s">
        <v>31</v>
      </c>
      <c r="H6592" s="15" t="n">
        <v>4</v>
      </c>
      <c r="I6592" s="17" t="n">
        <v>0.2</v>
      </c>
      <c r="J6592" s="18" t="n">
        <v>451.94</v>
      </c>
      <c r="K6592" s="19" t="n">
        <v>20.77</v>
      </c>
      <c r="L6592" s="15" t="n">
        <f aca="false">YEAR(B6592)</f>
        <v>2024</v>
      </c>
      <c r="M6592" s="20" t="n">
        <f aca="false">IF(J6592&gt;0,K6592/J6592,0)</f>
        <v>0.0459574279771651</v>
      </c>
    </row>
    <row r="6593" customFormat="false" ht="15" hidden="false" customHeight="false" outlineLevel="0" collapsed="false">
      <c r="A6593" s="15" t="s">
        <v>6650</v>
      </c>
      <c r="B6593" s="16" t="n">
        <v>45384</v>
      </c>
      <c r="C6593" s="15" t="s">
        <v>56</v>
      </c>
      <c r="D6593" s="15" t="s">
        <v>42</v>
      </c>
      <c r="E6593" s="15" t="s">
        <v>38</v>
      </c>
      <c r="F6593" s="15" t="s">
        <v>17</v>
      </c>
      <c r="G6593" s="15" t="s">
        <v>26</v>
      </c>
      <c r="H6593" s="15" t="n">
        <v>5</v>
      </c>
      <c r="I6593" s="17" t="n">
        <v>0</v>
      </c>
      <c r="J6593" s="18" t="n">
        <v>401.68</v>
      </c>
      <c r="K6593" s="19" t="n">
        <v>50.41</v>
      </c>
      <c r="L6593" s="15" t="n">
        <f aca="false">YEAR(B6593)</f>
        <v>2024</v>
      </c>
      <c r="M6593" s="20" t="n">
        <f aca="false">IF(J6593&gt;0,K6593/J6593,0)</f>
        <v>0.125497908783111</v>
      </c>
    </row>
    <row r="6594" customFormat="false" ht="15" hidden="false" customHeight="false" outlineLevel="0" collapsed="false">
      <c r="A6594" s="15" t="s">
        <v>6651</v>
      </c>
      <c r="B6594" s="16" t="n">
        <v>45899</v>
      </c>
      <c r="C6594" s="15" t="s">
        <v>56</v>
      </c>
      <c r="D6594" s="15" t="s">
        <v>43</v>
      </c>
      <c r="E6594" s="15" t="s">
        <v>37</v>
      </c>
      <c r="F6594" s="15" t="s">
        <v>17</v>
      </c>
      <c r="G6594" s="15" t="s">
        <v>29</v>
      </c>
      <c r="H6594" s="15" t="n">
        <v>2</v>
      </c>
      <c r="I6594" s="17" t="n">
        <v>0.2</v>
      </c>
      <c r="J6594" s="18" t="n">
        <v>34.8</v>
      </c>
      <c r="K6594" s="19" t="n">
        <v>6.36</v>
      </c>
      <c r="L6594" s="15" t="n">
        <f aca="false">YEAR(B6594)</f>
        <v>2025</v>
      </c>
      <c r="M6594" s="20" t="n">
        <f aca="false">IF(J6594&gt;0,K6594/J6594,0)</f>
        <v>0.182758620689655</v>
      </c>
    </row>
    <row r="6595" customFormat="false" ht="15" hidden="false" customHeight="false" outlineLevel="0" collapsed="false">
      <c r="A6595" s="15" t="s">
        <v>6652</v>
      </c>
      <c r="B6595" s="16" t="n">
        <v>45990</v>
      </c>
      <c r="C6595" s="15" t="s">
        <v>56</v>
      </c>
      <c r="D6595" s="15" t="s">
        <v>43</v>
      </c>
      <c r="E6595" s="15" t="s">
        <v>36</v>
      </c>
      <c r="F6595" s="15" t="s">
        <v>17</v>
      </c>
      <c r="G6595" s="15" t="s">
        <v>29</v>
      </c>
      <c r="H6595" s="15" t="n">
        <v>5</v>
      </c>
      <c r="I6595" s="17" t="n">
        <v>0</v>
      </c>
      <c r="J6595" s="18" t="n">
        <v>89.14</v>
      </c>
      <c r="K6595" s="19" t="n">
        <v>36.3</v>
      </c>
      <c r="L6595" s="15" t="n">
        <f aca="false">YEAR(B6595)</f>
        <v>2025</v>
      </c>
      <c r="M6595" s="20" t="n">
        <f aca="false">IF(J6595&gt;0,K6595/J6595,0)</f>
        <v>0.407224590531748</v>
      </c>
    </row>
    <row r="6596" customFormat="false" ht="15" hidden="false" customHeight="false" outlineLevel="0" collapsed="false">
      <c r="A6596" s="15" t="s">
        <v>6653</v>
      </c>
      <c r="B6596" s="16" t="n">
        <v>45074</v>
      </c>
      <c r="C6596" s="15" t="s">
        <v>56</v>
      </c>
      <c r="D6596" s="15" t="s">
        <v>44</v>
      </c>
      <c r="E6596" s="15" t="s">
        <v>37</v>
      </c>
      <c r="F6596" s="15" t="s">
        <v>16</v>
      </c>
      <c r="G6596" s="15" t="s">
        <v>27</v>
      </c>
      <c r="H6596" s="15" t="n">
        <v>3</v>
      </c>
      <c r="I6596" s="17" t="n">
        <v>0.4</v>
      </c>
      <c r="J6596" s="18" t="n">
        <v>104.81</v>
      </c>
      <c r="K6596" s="19" t="n">
        <v>-12.19</v>
      </c>
      <c r="L6596" s="15" t="n">
        <f aca="false">YEAR(B6596)</f>
        <v>2023</v>
      </c>
      <c r="M6596" s="20" t="n">
        <f aca="false">IF(J6596&gt;0,K6596/J6596,0)</f>
        <v>-0.116305696021372</v>
      </c>
    </row>
    <row r="6597" customFormat="false" ht="15" hidden="false" customHeight="false" outlineLevel="0" collapsed="false">
      <c r="A6597" s="15" t="s">
        <v>6654</v>
      </c>
      <c r="B6597" s="16" t="n">
        <v>45753</v>
      </c>
      <c r="C6597" s="15" t="s">
        <v>56</v>
      </c>
      <c r="D6597" s="15" t="s">
        <v>42</v>
      </c>
      <c r="E6597" s="15" t="s">
        <v>39</v>
      </c>
      <c r="F6597" s="15" t="s">
        <v>18</v>
      </c>
      <c r="G6597" s="15" t="s">
        <v>32</v>
      </c>
      <c r="H6597" s="15" t="n">
        <v>2</v>
      </c>
      <c r="I6597" s="17" t="n">
        <v>0.2</v>
      </c>
      <c r="J6597" s="18" t="n">
        <v>677.96</v>
      </c>
      <c r="K6597" s="19" t="n">
        <v>-19.19</v>
      </c>
      <c r="L6597" s="15" t="n">
        <f aca="false">YEAR(B6597)</f>
        <v>2025</v>
      </c>
      <c r="M6597" s="20" t="n">
        <f aca="false">IF(J6597&gt;0,K6597/J6597,0)</f>
        <v>-0.0283055047495427</v>
      </c>
    </row>
    <row r="6598" customFormat="false" ht="15" hidden="false" customHeight="false" outlineLevel="0" collapsed="false">
      <c r="A6598" s="15" t="s">
        <v>6655</v>
      </c>
      <c r="B6598" s="16" t="n">
        <v>45992</v>
      </c>
      <c r="C6598" s="15" t="s">
        <v>56</v>
      </c>
      <c r="D6598" s="15" t="s">
        <v>42</v>
      </c>
      <c r="E6598" s="15" t="s">
        <v>38</v>
      </c>
      <c r="F6598" s="15" t="s">
        <v>17</v>
      </c>
      <c r="G6598" s="15" t="s">
        <v>28</v>
      </c>
      <c r="H6598" s="15" t="n">
        <v>5</v>
      </c>
      <c r="I6598" s="17" t="n">
        <v>0.2</v>
      </c>
      <c r="J6598" s="18" t="n">
        <v>84.14</v>
      </c>
      <c r="K6598" s="19" t="n">
        <v>7.49</v>
      </c>
      <c r="L6598" s="15" t="n">
        <f aca="false">YEAR(B6598)</f>
        <v>2025</v>
      </c>
      <c r="M6598" s="20" t="n">
        <f aca="false">IF(J6598&gt;0,K6598/J6598,0)</f>
        <v>0.089018302828619</v>
      </c>
    </row>
    <row r="6599" customFormat="false" ht="15" hidden="false" customHeight="false" outlineLevel="0" collapsed="false">
      <c r="A6599" s="15" t="s">
        <v>6656</v>
      </c>
      <c r="B6599" s="16" t="n">
        <v>45553</v>
      </c>
      <c r="C6599" s="15" t="s">
        <v>56</v>
      </c>
      <c r="D6599" s="15" t="s">
        <v>44</v>
      </c>
      <c r="E6599" s="15" t="s">
        <v>37</v>
      </c>
      <c r="F6599" s="15" t="s">
        <v>17</v>
      </c>
      <c r="G6599" s="15" t="s">
        <v>28</v>
      </c>
      <c r="H6599" s="15" t="n">
        <v>5</v>
      </c>
      <c r="I6599" s="17" t="n">
        <v>0</v>
      </c>
      <c r="J6599" s="18" t="n">
        <v>134.16</v>
      </c>
      <c r="K6599" s="19" t="n">
        <v>36.7</v>
      </c>
      <c r="L6599" s="15" t="n">
        <f aca="false">YEAR(B6599)</f>
        <v>2024</v>
      </c>
      <c r="M6599" s="20" t="n">
        <f aca="false">IF(J6599&gt;0,K6599/J6599,0)</f>
        <v>0.273553965414431</v>
      </c>
    </row>
    <row r="6600" customFormat="false" ht="15" hidden="false" customHeight="false" outlineLevel="0" collapsed="false">
      <c r="A6600" s="15" t="s">
        <v>6657</v>
      </c>
      <c r="B6600" s="16" t="n">
        <v>45993</v>
      </c>
      <c r="C6600" s="15" t="s">
        <v>56</v>
      </c>
      <c r="D6600" s="15" t="s">
        <v>42</v>
      </c>
      <c r="E6600" s="15" t="s">
        <v>39</v>
      </c>
      <c r="F6600" s="15" t="s">
        <v>17</v>
      </c>
      <c r="G6600" s="15" t="s">
        <v>26</v>
      </c>
      <c r="H6600" s="15" t="n">
        <v>3</v>
      </c>
      <c r="I6600" s="17" t="n">
        <v>0.2</v>
      </c>
      <c r="J6600" s="18" t="n">
        <v>204.81</v>
      </c>
      <c r="K6600" s="19" t="n">
        <v>-22.79</v>
      </c>
      <c r="L6600" s="15" t="n">
        <f aca="false">YEAR(B6600)</f>
        <v>2025</v>
      </c>
      <c r="M6600" s="20" t="n">
        <f aca="false">IF(J6600&gt;0,K6600/J6600,0)</f>
        <v>-0.11127386358088</v>
      </c>
    </row>
    <row r="6601" customFormat="false" ht="15" hidden="false" customHeight="false" outlineLevel="0" collapsed="false">
      <c r="A6601" s="15" t="s">
        <v>6658</v>
      </c>
      <c r="B6601" s="16" t="n">
        <v>45168</v>
      </c>
      <c r="C6601" s="15" t="s">
        <v>56</v>
      </c>
      <c r="D6601" s="15" t="s">
        <v>43</v>
      </c>
      <c r="E6601" s="15" t="s">
        <v>38</v>
      </c>
      <c r="F6601" s="15" t="s">
        <v>17</v>
      </c>
      <c r="G6601" s="15" t="s">
        <v>29</v>
      </c>
      <c r="H6601" s="15" t="n">
        <v>3</v>
      </c>
      <c r="I6601" s="17" t="n">
        <v>0</v>
      </c>
      <c r="J6601" s="18" t="n">
        <v>51.05</v>
      </c>
      <c r="K6601" s="19" t="n">
        <v>22.5</v>
      </c>
      <c r="L6601" s="15" t="n">
        <f aca="false">YEAR(B6601)</f>
        <v>2023</v>
      </c>
      <c r="M6601" s="20" t="n">
        <f aca="false">IF(J6601&gt;0,K6601/J6601,0)</f>
        <v>0.440744368266406</v>
      </c>
    </row>
    <row r="6602" customFormat="false" ht="15" hidden="false" customHeight="false" outlineLevel="0" collapsed="false">
      <c r="A6602" s="15" t="s">
        <v>6659</v>
      </c>
      <c r="B6602" s="16" t="n">
        <v>45147</v>
      </c>
      <c r="C6602" s="15" t="s">
        <v>56</v>
      </c>
      <c r="D6602" s="15" t="s">
        <v>44</v>
      </c>
      <c r="E6602" s="15" t="s">
        <v>38</v>
      </c>
      <c r="F6602" s="15" t="s">
        <v>18</v>
      </c>
      <c r="G6602" s="15" t="s">
        <v>33</v>
      </c>
      <c r="H6602" s="15" t="n">
        <v>4</v>
      </c>
      <c r="I6602" s="17" t="n">
        <v>0</v>
      </c>
      <c r="J6602" s="18" t="n">
        <v>2900.4</v>
      </c>
      <c r="K6602" s="19" t="n">
        <v>826.49</v>
      </c>
      <c r="L6602" s="15" t="n">
        <f aca="false">YEAR(B6602)</f>
        <v>2023</v>
      </c>
      <c r="M6602" s="20" t="n">
        <f aca="false">IF(J6602&gt;0,K6602/J6602,0)</f>
        <v>0.284957247276238</v>
      </c>
    </row>
    <row r="6603" customFormat="false" ht="15" hidden="false" customHeight="false" outlineLevel="0" collapsed="false">
      <c r="A6603" s="15" t="s">
        <v>6660</v>
      </c>
      <c r="B6603" s="16" t="n">
        <v>44988</v>
      </c>
      <c r="C6603" s="15" t="s">
        <v>56</v>
      </c>
      <c r="D6603" s="15" t="s">
        <v>42</v>
      </c>
      <c r="E6603" s="15" t="s">
        <v>39</v>
      </c>
      <c r="F6603" s="15" t="s">
        <v>17</v>
      </c>
      <c r="G6603" s="15" t="s">
        <v>29</v>
      </c>
      <c r="H6603" s="15" t="n">
        <v>5</v>
      </c>
      <c r="I6603" s="17" t="n">
        <v>0.1</v>
      </c>
      <c r="J6603" s="18" t="n">
        <v>79.94</v>
      </c>
      <c r="K6603" s="19" t="n">
        <v>19.29</v>
      </c>
      <c r="L6603" s="15" t="n">
        <f aca="false">YEAR(B6603)</f>
        <v>2023</v>
      </c>
      <c r="M6603" s="20" t="n">
        <f aca="false">IF(J6603&gt;0,K6603/J6603,0)</f>
        <v>0.241305979484613</v>
      </c>
    </row>
    <row r="6604" customFormat="false" ht="15" hidden="false" customHeight="false" outlineLevel="0" collapsed="false">
      <c r="A6604" s="15" t="s">
        <v>6661</v>
      </c>
      <c r="B6604" s="16" t="n">
        <v>44715</v>
      </c>
      <c r="C6604" s="15" t="s">
        <v>58</v>
      </c>
      <c r="D6604" s="15" t="s">
        <v>43</v>
      </c>
      <c r="E6604" s="15" t="s">
        <v>36</v>
      </c>
      <c r="F6604" s="15" t="s">
        <v>18</v>
      </c>
      <c r="G6604" s="15" t="s">
        <v>24</v>
      </c>
      <c r="H6604" s="15" t="n">
        <v>3</v>
      </c>
      <c r="I6604" s="17" t="n">
        <v>0.15</v>
      </c>
      <c r="J6604" s="18" t="n">
        <v>1622.66</v>
      </c>
      <c r="K6604" s="19" t="n">
        <v>-155.02</v>
      </c>
      <c r="L6604" s="15" t="n">
        <f aca="false">YEAR(B6604)</f>
        <v>2022</v>
      </c>
      <c r="M6604" s="20" t="n">
        <f aca="false">IF(J6604&gt;0,K6604/J6604,0)</f>
        <v>-0.095534492746478</v>
      </c>
    </row>
    <row r="6605" customFormat="false" ht="15" hidden="false" customHeight="false" outlineLevel="0" collapsed="false">
      <c r="A6605" s="15" t="s">
        <v>6662</v>
      </c>
      <c r="B6605" s="16" t="n">
        <v>45063</v>
      </c>
      <c r="C6605" s="15" t="s">
        <v>56</v>
      </c>
      <c r="D6605" s="15" t="s">
        <v>44</v>
      </c>
      <c r="E6605" s="15" t="s">
        <v>38</v>
      </c>
      <c r="F6605" s="15" t="s">
        <v>18</v>
      </c>
      <c r="G6605" s="15" t="s">
        <v>30</v>
      </c>
      <c r="H6605" s="15" t="n">
        <v>4</v>
      </c>
      <c r="I6605" s="17" t="n">
        <v>0.2</v>
      </c>
      <c r="J6605" s="18" t="n">
        <v>155.15</v>
      </c>
      <c r="K6605" s="19" t="n">
        <v>22.18</v>
      </c>
      <c r="L6605" s="15" t="n">
        <f aca="false">YEAR(B6605)</f>
        <v>2023</v>
      </c>
      <c r="M6605" s="20" t="n">
        <f aca="false">IF(J6605&gt;0,K6605/J6605,0)</f>
        <v>0.142958427328392</v>
      </c>
    </row>
    <row r="6606" customFormat="false" ht="15" hidden="false" customHeight="false" outlineLevel="0" collapsed="false">
      <c r="A6606" s="15" t="s">
        <v>6663</v>
      </c>
      <c r="B6606" s="16" t="n">
        <v>45092</v>
      </c>
      <c r="C6606" s="15" t="s">
        <v>56</v>
      </c>
      <c r="D6606" s="15" t="s">
        <v>43</v>
      </c>
      <c r="E6606" s="15" t="s">
        <v>38</v>
      </c>
      <c r="F6606" s="15" t="s">
        <v>17</v>
      </c>
      <c r="G6606" s="15" t="s">
        <v>29</v>
      </c>
      <c r="H6606" s="15" t="n">
        <v>6</v>
      </c>
      <c r="I6606" s="17" t="n">
        <v>0</v>
      </c>
      <c r="J6606" s="18" t="n">
        <v>103.77</v>
      </c>
      <c r="K6606" s="19" t="n">
        <v>39.13</v>
      </c>
      <c r="L6606" s="15" t="n">
        <f aca="false">YEAR(B6606)</f>
        <v>2023</v>
      </c>
      <c r="M6606" s="20" t="n">
        <f aca="false">IF(J6606&gt;0,K6606/J6606,0)</f>
        <v>0.377083935626867</v>
      </c>
    </row>
    <row r="6607" customFormat="false" ht="15" hidden="false" customHeight="false" outlineLevel="0" collapsed="false">
      <c r="A6607" s="15" t="s">
        <v>6664</v>
      </c>
      <c r="B6607" s="16" t="n">
        <v>45985</v>
      </c>
      <c r="C6607" s="15" t="s">
        <v>56</v>
      </c>
      <c r="D6607" s="15" t="s">
        <v>42</v>
      </c>
      <c r="E6607" s="15" t="s">
        <v>39</v>
      </c>
      <c r="F6607" s="15" t="s">
        <v>18</v>
      </c>
      <c r="G6607" s="15" t="s">
        <v>32</v>
      </c>
      <c r="H6607" s="15" t="n">
        <v>3</v>
      </c>
      <c r="I6607" s="17" t="n">
        <v>0.2</v>
      </c>
      <c r="J6607" s="18" t="n">
        <v>950.03</v>
      </c>
      <c r="K6607" s="19" t="n">
        <v>-39.5</v>
      </c>
      <c r="L6607" s="15" t="n">
        <f aca="false">YEAR(B6607)</f>
        <v>2025</v>
      </c>
      <c r="M6607" s="20" t="n">
        <f aca="false">IF(J6607&gt;0,K6607/J6607,0)</f>
        <v>-0.0415776343904929</v>
      </c>
    </row>
    <row r="6608" customFormat="false" ht="15" hidden="false" customHeight="false" outlineLevel="0" collapsed="false">
      <c r="A6608" s="15" t="s">
        <v>6665</v>
      </c>
      <c r="B6608" s="16" t="n">
        <v>45375</v>
      </c>
      <c r="C6608" s="15" t="s">
        <v>56</v>
      </c>
      <c r="D6608" s="15" t="s">
        <v>42</v>
      </c>
      <c r="E6608" s="15" t="s">
        <v>36</v>
      </c>
      <c r="F6608" s="15" t="s">
        <v>18</v>
      </c>
      <c r="G6608" s="15" t="s">
        <v>30</v>
      </c>
      <c r="H6608" s="15" t="n">
        <v>4</v>
      </c>
      <c r="I6608" s="17" t="n">
        <v>0.2</v>
      </c>
      <c r="J6608" s="18" t="n">
        <v>140.8</v>
      </c>
      <c r="K6608" s="19" t="n">
        <v>13.79</v>
      </c>
      <c r="L6608" s="15" t="n">
        <f aca="false">YEAR(B6608)</f>
        <v>2024</v>
      </c>
      <c r="M6608" s="20" t="n">
        <f aca="false">IF(J6608&gt;0,K6608/J6608,0)</f>
        <v>0.0979403409090909</v>
      </c>
    </row>
    <row r="6609" customFormat="false" ht="15" hidden="false" customHeight="false" outlineLevel="0" collapsed="false">
      <c r="A6609" s="15" t="s">
        <v>6666</v>
      </c>
      <c r="B6609" s="16" t="n">
        <v>45805</v>
      </c>
      <c r="C6609" s="15" t="s">
        <v>56</v>
      </c>
      <c r="D6609" s="15" t="s">
        <v>43</v>
      </c>
      <c r="E6609" s="15" t="s">
        <v>38</v>
      </c>
      <c r="F6609" s="15" t="s">
        <v>18</v>
      </c>
      <c r="G6609" s="15" t="s">
        <v>32</v>
      </c>
      <c r="H6609" s="15" t="n">
        <v>6</v>
      </c>
      <c r="I6609" s="17" t="n">
        <v>0.15</v>
      </c>
      <c r="J6609" s="18" t="n">
        <v>2385.94</v>
      </c>
      <c r="K6609" s="19" t="n">
        <v>282.98</v>
      </c>
      <c r="L6609" s="15" t="n">
        <f aca="false">YEAR(B6609)</f>
        <v>2025</v>
      </c>
      <c r="M6609" s="20" t="n">
        <f aca="false">IF(J6609&gt;0,K6609/J6609,0)</f>
        <v>0.118603150121126</v>
      </c>
    </row>
    <row r="6610" customFormat="false" ht="15" hidden="false" customHeight="false" outlineLevel="0" collapsed="false">
      <c r="A6610" s="15" t="s">
        <v>6667</v>
      </c>
      <c r="B6610" s="16" t="n">
        <v>45818</v>
      </c>
      <c r="C6610" s="15" t="s">
        <v>71</v>
      </c>
      <c r="D6610" s="15" t="s">
        <v>43</v>
      </c>
      <c r="E6610" s="15" t="s">
        <v>38</v>
      </c>
      <c r="F6610" s="15" t="s">
        <v>17</v>
      </c>
      <c r="G6610" s="15" t="s">
        <v>28</v>
      </c>
      <c r="H6610" s="15" t="n">
        <v>3</v>
      </c>
      <c r="I6610" s="17" t="n">
        <v>0.15</v>
      </c>
      <c r="J6610" s="18" t="n">
        <v>67.22</v>
      </c>
      <c r="K6610" s="19" t="n">
        <v>16.73</v>
      </c>
      <c r="L6610" s="15" t="n">
        <f aca="false">YEAR(B6610)</f>
        <v>2025</v>
      </c>
      <c r="M6610" s="20" t="n">
        <f aca="false">IF(J6610&gt;0,K6610/J6610,0)</f>
        <v>0.248884260636715</v>
      </c>
    </row>
    <row r="6611" customFormat="false" ht="15" hidden="false" customHeight="false" outlineLevel="0" collapsed="false">
      <c r="A6611" s="15" t="s">
        <v>6668</v>
      </c>
      <c r="B6611" s="16" t="n">
        <v>45034</v>
      </c>
      <c r="C6611" s="15" t="s">
        <v>58</v>
      </c>
      <c r="D6611" s="15" t="s">
        <v>43</v>
      </c>
      <c r="E6611" s="15" t="s">
        <v>39</v>
      </c>
      <c r="F6611" s="15" t="s">
        <v>18</v>
      </c>
      <c r="G6611" s="15" t="s">
        <v>30</v>
      </c>
      <c r="H6611" s="15" t="n">
        <v>7</v>
      </c>
      <c r="I6611" s="17" t="n">
        <v>0</v>
      </c>
      <c r="J6611" s="18" t="n">
        <v>356</v>
      </c>
      <c r="K6611" s="19" t="n">
        <v>113.11</v>
      </c>
      <c r="L6611" s="15" t="n">
        <f aca="false">YEAR(B6611)</f>
        <v>2023</v>
      </c>
      <c r="M6611" s="20" t="n">
        <f aca="false">IF(J6611&gt;0,K6611/J6611,0)</f>
        <v>0.317724719101124</v>
      </c>
    </row>
    <row r="6612" customFormat="false" ht="15" hidden="false" customHeight="false" outlineLevel="0" collapsed="false">
      <c r="A6612" s="15" t="s">
        <v>6669</v>
      </c>
      <c r="B6612" s="16" t="n">
        <v>45974</v>
      </c>
      <c r="C6612" s="15" t="s">
        <v>56</v>
      </c>
      <c r="D6612" s="15" t="s">
        <v>43</v>
      </c>
      <c r="E6612" s="15" t="s">
        <v>39</v>
      </c>
      <c r="F6612" s="15" t="s">
        <v>17</v>
      </c>
      <c r="G6612" s="15" t="s">
        <v>29</v>
      </c>
      <c r="H6612" s="15" t="n">
        <v>4</v>
      </c>
      <c r="I6612" s="17" t="n">
        <v>0</v>
      </c>
      <c r="J6612" s="18" t="n">
        <v>73.51</v>
      </c>
      <c r="K6612" s="19" t="n">
        <v>29.06</v>
      </c>
      <c r="L6612" s="15" t="n">
        <f aca="false">YEAR(B6612)</f>
        <v>2025</v>
      </c>
      <c r="M6612" s="20" t="n">
        <f aca="false">IF(J6612&gt;0,K6612/J6612,0)</f>
        <v>0.395320364576248</v>
      </c>
    </row>
    <row r="6613" customFormat="false" ht="15" hidden="false" customHeight="false" outlineLevel="0" collapsed="false">
      <c r="A6613" s="15" t="s">
        <v>6670</v>
      </c>
      <c r="B6613" s="16" t="n">
        <v>45698</v>
      </c>
      <c r="C6613" s="15" t="s">
        <v>56</v>
      </c>
      <c r="D6613" s="15" t="s">
        <v>44</v>
      </c>
      <c r="E6613" s="15" t="s">
        <v>36</v>
      </c>
      <c r="F6613" s="15" t="s">
        <v>18</v>
      </c>
      <c r="G6613" s="15" t="s">
        <v>32</v>
      </c>
      <c r="H6613" s="15" t="n">
        <v>4</v>
      </c>
      <c r="I6613" s="17" t="n">
        <v>0.05</v>
      </c>
      <c r="J6613" s="18" t="n">
        <v>1577.54</v>
      </c>
      <c r="K6613" s="19" t="n">
        <v>217.71</v>
      </c>
      <c r="L6613" s="15" t="n">
        <f aca="false">YEAR(B6613)</f>
        <v>2025</v>
      </c>
      <c r="M6613" s="20" t="n">
        <f aca="false">IF(J6613&gt;0,K6613/J6613,0)</f>
        <v>0.13800600935634</v>
      </c>
    </row>
    <row r="6614" customFormat="false" ht="15" hidden="false" customHeight="false" outlineLevel="0" collapsed="false">
      <c r="A6614" s="15" t="s">
        <v>6671</v>
      </c>
      <c r="B6614" s="16" t="n">
        <v>45248</v>
      </c>
      <c r="C6614" s="15" t="s">
        <v>56</v>
      </c>
      <c r="D6614" s="15" t="s">
        <v>42</v>
      </c>
      <c r="E6614" s="15" t="s">
        <v>37</v>
      </c>
      <c r="F6614" s="15" t="s">
        <v>17</v>
      </c>
      <c r="G6614" s="15" t="s">
        <v>31</v>
      </c>
      <c r="H6614" s="15" t="n">
        <v>6</v>
      </c>
      <c r="I6614" s="17" t="n">
        <v>0</v>
      </c>
      <c r="J6614" s="18" t="n">
        <v>724.01</v>
      </c>
      <c r="K6614" s="19" t="n">
        <v>146.5</v>
      </c>
      <c r="L6614" s="15" t="n">
        <f aca="false">YEAR(B6614)</f>
        <v>2023</v>
      </c>
      <c r="M6614" s="20" t="n">
        <f aca="false">IF(J6614&gt;0,K6614/J6614,0)</f>
        <v>0.202345271474151</v>
      </c>
    </row>
    <row r="6615" customFormat="false" ht="15" hidden="false" customHeight="false" outlineLevel="0" collapsed="false">
      <c r="A6615" s="15" t="s">
        <v>6672</v>
      </c>
      <c r="B6615" s="16" t="n">
        <v>45559</v>
      </c>
      <c r="C6615" s="15" t="s">
        <v>56</v>
      </c>
      <c r="D6615" s="15" t="s">
        <v>42</v>
      </c>
      <c r="E6615" s="15" t="s">
        <v>36</v>
      </c>
      <c r="F6615" s="15" t="s">
        <v>17</v>
      </c>
      <c r="G6615" s="15" t="s">
        <v>31</v>
      </c>
      <c r="H6615" s="15" t="n">
        <v>4</v>
      </c>
      <c r="I6615" s="17" t="n">
        <v>0.15</v>
      </c>
      <c r="J6615" s="18" t="n">
        <v>357.28</v>
      </c>
      <c r="K6615" s="19" t="n">
        <v>41.45</v>
      </c>
      <c r="L6615" s="15" t="n">
        <f aca="false">YEAR(B6615)</f>
        <v>2024</v>
      </c>
      <c r="M6615" s="20" t="n">
        <f aca="false">IF(J6615&gt;0,K6615/J6615,0)</f>
        <v>0.116015450067174</v>
      </c>
    </row>
    <row r="6616" customFormat="false" ht="15" hidden="false" customHeight="false" outlineLevel="0" collapsed="false">
      <c r="A6616" s="15" t="s">
        <v>6673</v>
      </c>
      <c r="B6616" s="16" t="n">
        <v>45280</v>
      </c>
      <c r="C6616" s="15" t="s">
        <v>71</v>
      </c>
      <c r="D6616" s="15" t="s">
        <v>42</v>
      </c>
      <c r="E6616" s="15" t="s">
        <v>38</v>
      </c>
      <c r="F6616" s="15" t="s">
        <v>17</v>
      </c>
      <c r="G6616" s="15" t="s">
        <v>26</v>
      </c>
      <c r="H6616" s="15" t="n">
        <v>6</v>
      </c>
      <c r="I6616" s="17" t="n">
        <v>0</v>
      </c>
      <c r="J6616" s="18" t="n">
        <v>407.96</v>
      </c>
      <c r="K6616" s="19" t="n">
        <v>54.4</v>
      </c>
      <c r="L6616" s="15" t="n">
        <f aca="false">YEAR(B6616)</f>
        <v>2023</v>
      </c>
      <c r="M6616" s="20" t="n">
        <f aca="false">IF(J6616&gt;0,K6616/J6616,0)</f>
        <v>0.133346406510442</v>
      </c>
    </row>
    <row r="6617" customFormat="false" ht="15" hidden="false" customHeight="false" outlineLevel="0" collapsed="false">
      <c r="A6617" s="15" t="s">
        <v>6674</v>
      </c>
      <c r="B6617" s="16" t="n">
        <v>45724</v>
      </c>
      <c r="C6617" s="15" t="s">
        <v>71</v>
      </c>
      <c r="D6617" s="15" t="s">
        <v>44</v>
      </c>
      <c r="E6617" s="15" t="s">
        <v>37</v>
      </c>
      <c r="F6617" s="15" t="s">
        <v>17</v>
      </c>
      <c r="G6617" s="15" t="s">
        <v>28</v>
      </c>
      <c r="H6617" s="15" t="n">
        <v>4</v>
      </c>
      <c r="I6617" s="17" t="n">
        <v>0.2</v>
      </c>
      <c r="J6617" s="18" t="n">
        <v>72.79</v>
      </c>
      <c r="K6617" s="19" t="n">
        <v>10.81</v>
      </c>
      <c r="L6617" s="15" t="n">
        <f aca="false">YEAR(B6617)</f>
        <v>2025</v>
      </c>
      <c r="M6617" s="20" t="n">
        <f aca="false">IF(J6617&gt;0,K6617/J6617,0)</f>
        <v>0.148509410633329</v>
      </c>
    </row>
    <row r="6618" customFormat="false" ht="15" hidden="false" customHeight="false" outlineLevel="0" collapsed="false">
      <c r="A6618" s="15" t="s">
        <v>6675</v>
      </c>
      <c r="B6618" s="16" t="n">
        <v>45337</v>
      </c>
      <c r="C6618" s="15" t="s">
        <v>71</v>
      </c>
      <c r="D6618" s="15" t="s">
        <v>42</v>
      </c>
      <c r="E6618" s="15" t="s">
        <v>38</v>
      </c>
      <c r="F6618" s="15" t="s">
        <v>16</v>
      </c>
      <c r="G6618" s="15" t="s">
        <v>23</v>
      </c>
      <c r="H6618" s="15" t="n">
        <v>4</v>
      </c>
      <c r="I6618" s="17" t="n">
        <v>0</v>
      </c>
      <c r="J6618" s="18" t="n">
        <v>1169.59</v>
      </c>
      <c r="K6618" s="19" t="n">
        <v>28.93</v>
      </c>
      <c r="L6618" s="15" t="n">
        <f aca="false">YEAR(B6618)</f>
        <v>2024</v>
      </c>
      <c r="M6618" s="20" t="n">
        <f aca="false">IF(J6618&gt;0,K6618/J6618,0)</f>
        <v>0.02473516360434</v>
      </c>
    </row>
    <row r="6619" customFormat="false" ht="15" hidden="false" customHeight="false" outlineLevel="0" collapsed="false">
      <c r="A6619" s="15" t="s">
        <v>6676</v>
      </c>
      <c r="B6619" s="16" t="n">
        <v>45983</v>
      </c>
      <c r="C6619" s="15" t="s">
        <v>71</v>
      </c>
      <c r="D6619" s="15" t="s">
        <v>42</v>
      </c>
      <c r="E6619" s="15" t="s">
        <v>38</v>
      </c>
      <c r="F6619" s="15" t="s">
        <v>18</v>
      </c>
      <c r="G6619" s="15" t="s">
        <v>30</v>
      </c>
      <c r="H6619" s="15" t="n">
        <v>5</v>
      </c>
      <c r="I6619" s="17" t="n">
        <v>0.05</v>
      </c>
      <c r="J6619" s="18" t="n">
        <v>188.06</v>
      </c>
      <c r="K6619" s="19" t="n">
        <v>55.67</v>
      </c>
      <c r="L6619" s="15" t="n">
        <f aca="false">YEAR(B6619)</f>
        <v>2025</v>
      </c>
      <c r="M6619" s="20" t="n">
        <f aca="false">IF(J6619&gt;0,K6619/J6619,0)</f>
        <v>0.296022545995959</v>
      </c>
    </row>
    <row r="6620" customFormat="false" ht="15" hidden="false" customHeight="false" outlineLevel="0" collapsed="false">
      <c r="A6620" s="15" t="s">
        <v>6677</v>
      </c>
      <c r="B6620" s="16" t="n">
        <v>44879</v>
      </c>
      <c r="C6620" s="15" t="s">
        <v>56</v>
      </c>
      <c r="D6620" s="15" t="s">
        <v>42</v>
      </c>
      <c r="E6620" s="15" t="s">
        <v>38</v>
      </c>
      <c r="F6620" s="15" t="s">
        <v>17</v>
      </c>
      <c r="G6620" s="15" t="s">
        <v>26</v>
      </c>
      <c r="H6620" s="15" t="n">
        <v>6</v>
      </c>
      <c r="I6620" s="17" t="n">
        <v>0</v>
      </c>
      <c r="J6620" s="18" t="n">
        <v>556.41</v>
      </c>
      <c r="K6620" s="19" t="n">
        <v>91.19</v>
      </c>
      <c r="L6620" s="15" t="n">
        <f aca="false">YEAR(B6620)</f>
        <v>2022</v>
      </c>
      <c r="M6620" s="20" t="n">
        <f aca="false">IF(J6620&gt;0,K6620/J6620,0)</f>
        <v>0.163889937276469</v>
      </c>
    </row>
    <row r="6621" customFormat="false" ht="15" hidden="false" customHeight="false" outlineLevel="0" collapsed="false">
      <c r="A6621" s="15" t="s">
        <v>6678</v>
      </c>
      <c r="B6621" s="16" t="n">
        <v>45046</v>
      </c>
      <c r="C6621" s="15" t="s">
        <v>56</v>
      </c>
      <c r="D6621" s="15" t="s">
        <v>42</v>
      </c>
      <c r="E6621" s="15" t="s">
        <v>36</v>
      </c>
      <c r="F6621" s="15" t="s">
        <v>17</v>
      </c>
      <c r="G6621" s="15" t="s">
        <v>28</v>
      </c>
      <c r="H6621" s="15" t="n">
        <v>4</v>
      </c>
      <c r="I6621" s="17" t="n">
        <v>0.2</v>
      </c>
      <c r="J6621" s="18" t="n">
        <v>84.51</v>
      </c>
      <c r="K6621" s="19" t="n">
        <v>9.79</v>
      </c>
      <c r="L6621" s="15" t="n">
        <f aca="false">YEAR(B6621)</f>
        <v>2023</v>
      </c>
      <c r="M6621" s="20" t="n">
        <f aca="false">IF(J6621&gt;0,K6621/J6621,0)</f>
        <v>0.115844278783576</v>
      </c>
    </row>
    <row r="6622" customFormat="false" ht="15" hidden="false" customHeight="false" outlineLevel="0" collapsed="false">
      <c r="A6622" s="15" t="s">
        <v>6679</v>
      </c>
      <c r="B6622" s="16" t="n">
        <v>45278</v>
      </c>
      <c r="C6622" s="15" t="s">
        <v>56</v>
      </c>
      <c r="D6622" s="15" t="s">
        <v>43</v>
      </c>
      <c r="E6622" s="15" t="s">
        <v>39</v>
      </c>
      <c r="F6622" s="15" t="s">
        <v>16</v>
      </c>
      <c r="G6622" s="15" t="s">
        <v>23</v>
      </c>
      <c r="H6622" s="15" t="n">
        <v>3</v>
      </c>
      <c r="I6622" s="17" t="n">
        <v>0.3</v>
      </c>
      <c r="J6622" s="18" t="n">
        <v>826.11</v>
      </c>
      <c r="K6622" s="19" t="n">
        <v>-194.46</v>
      </c>
      <c r="L6622" s="15" t="n">
        <f aca="false">YEAR(B6622)</f>
        <v>2023</v>
      </c>
      <c r="M6622" s="20" t="n">
        <f aca="false">IF(J6622&gt;0,K6622/J6622,0)</f>
        <v>-0.235392381159894</v>
      </c>
    </row>
    <row r="6623" customFormat="false" ht="15" hidden="false" customHeight="false" outlineLevel="0" collapsed="false">
      <c r="A6623" s="15" t="s">
        <v>6680</v>
      </c>
      <c r="B6623" s="16" t="n">
        <v>44839</v>
      </c>
      <c r="C6623" s="15" t="s">
        <v>56</v>
      </c>
      <c r="D6623" s="15" t="s">
        <v>42</v>
      </c>
      <c r="E6623" s="15" t="s">
        <v>37</v>
      </c>
      <c r="F6623" s="15" t="s">
        <v>16</v>
      </c>
      <c r="G6623" s="15" t="s">
        <v>22</v>
      </c>
      <c r="H6623" s="15" t="n">
        <v>3</v>
      </c>
      <c r="I6623" s="17" t="n">
        <v>0</v>
      </c>
      <c r="J6623" s="18" t="n">
        <v>1699.22</v>
      </c>
      <c r="K6623" s="19" t="n">
        <v>-88.52</v>
      </c>
      <c r="L6623" s="15" t="n">
        <f aca="false">YEAR(B6623)</f>
        <v>2022</v>
      </c>
      <c r="M6623" s="20" t="n">
        <f aca="false">IF(J6623&gt;0,K6623/J6623,0)</f>
        <v>-0.0520944904132484</v>
      </c>
    </row>
    <row r="6624" customFormat="false" ht="15" hidden="false" customHeight="false" outlineLevel="0" collapsed="false">
      <c r="A6624" s="15" t="s">
        <v>6681</v>
      </c>
      <c r="B6624" s="16" t="n">
        <v>45091</v>
      </c>
      <c r="C6624" s="15" t="s">
        <v>56</v>
      </c>
      <c r="D6624" s="15" t="s">
        <v>43</v>
      </c>
      <c r="E6624" s="15" t="s">
        <v>37</v>
      </c>
      <c r="F6624" s="15" t="s">
        <v>16</v>
      </c>
      <c r="G6624" s="15" t="s">
        <v>27</v>
      </c>
      <c r="H6624" s="15" t="n">
        <v>1</v>
      </c>
      <c r="I6624" s="17" t="n">
        <v>0</v>
      </c>
      <c r="J6624" s="18" t="n">
        <v>72.65</v>
      </c>
      <c r="K6624" s="19" t="n">
        <v>21.41</v>
      </c>
      <c r="L6624" s="15" t="n">
        <f aca="false">YEAR(B6624)</f>
        <v>2023</v>
      </c>
      <c r="M6624" s="20" t="n">
        <f aca="false">IF(J6624&gt;0,K6624/J6624,0)</f>
        <v>0.294700619408121</v>
      </c>
    </row>
    <row r="6625" customFormat="false" ht="15" hidden="false" customHeight="false" outlineLevel="0" collapsed="false">
      <c r="A6625" s="15" t="s">
        <v>6682</v>
      </c>
      <c r="B6625" s="16" t="n">
        <v>45122</v>
      </c>
      <c r="C6625" s="15" t="s">
        <v>56</v>
      </c>
      <c r="D6625" s="15" t="s">
        <v>42</v>
      </c>
      <c r="E6625" s="15" t="s">
        <v>38</v>
      </c>
      <c r="F6625" s="15" t="s">
        <v>18</v>
      </c>
      <c r="G6625" s="15" t="s">
        <v>24</v>
      </c>
      <c r="H6625" s="15" t="n">
        <v>2</v>
      </c>
      <c r="I6625" s="17" t="n">
        <v>0</v>
      </c>
      <c r="J6625" s="18" t="n">
        <v>1293.26</v>
      </c>
      <c r="K6625" s="19" t="n">
        <v>82.03</v>
      </c>
      <c r="L6625" s="15" t="n">
        <f aca="false">YEAR(B6625)</f>
        <v>2023</v>
      </c>
      <c r="M6625" s="20" t="n">
        <f aca="false">IF(J6625&gt;0,K6625/J6625,0)</f>
        <v>0.0634288542133832</v>
      </c>
    </row>
    <row r="6626" customFormat="false" ht="15" hidden="false" customHeight="false" outlineLevel="0" collapsed="false">
      <c r="A6626" s="15" t="s">
        <v>6683</v>
      </c>
      <c r="B6626" s="16" t="n">
        <v>45729</v>
      </c>
      <c r="C6626" s="15" t="s">
        <v>68</v>
      </c>
      <c r="D6626" s="15" t="s">
        <v>42</v>
      </c>
      <c r="E6626" s="15" t="s">
        <v>39</v>
      </c>
      <c r="F6626" s="15" t="s">
        <v>16</v>
      </c>
      <c r="G6626" s="15" t="s">
        <v>25</v>
      </c>
      <c r="H6626" s="15" t="n">
        <v>3</v>
      </c>
      <c r="I6626" s="17" t="n">
        <v>0</v>
      </c>
      <c r="J6626" s="18" t="n">
        <v>930.02</v>
      </c>
      <c r="K6626" s="19" t="n">
        <v>121.89</v>
      </c>
      <c r="L6626" s="15" t="n">
        <f aca="false">YEAR(B6626)</f>
        <v>2025</v>
      </c>
      <c r="M6626" s="20" t="n">
        <f aca="false">IF(J6626&gt;0,K6626/J6626,0)</f>
        <v>0.131061697597901</v>
      </c>
    </row>
    <row r="6627" customFormat="false" ht="15" hidden="false" customHeight="false" outlineLevel="0" collapsed="false">
      <c r="A6627" s="15" t="s">
        <v>6684</v>
      </c>
      <c r="B6627" s="16" t="n">
        <v>45113</v>
      </c>
      <c r="C6627" s="15" t="s">
        <v>56</v>
      </c>
      <c r="D6627" s="15" t="s">
        <v>42</v>
      </c>
      <c r="E6627" s="15" t="s">
        <v>36</v>
      </c>
      <c r="F6627" s="15" t="s">
        <v>18</v>
      </c>
      <c r="G6627" s="15" t="s">
        <v>24</v>
      </c>
      <c r="H6627" s="15" t="n">
        <v>3</v>
      </c>
      <c r="I6627" s="17" t="n">
        <v>0.4</v>
      </c>
      <c r="J6627" s="18" t="n">
        <v>1382.76</v>
      </c>
      <c r="K6627" s="19" t="n">
        <v>-497.27</v>
      </c>
      <c r="L6627" s="15" t="n">
        <f aca="false">YEAR(B6627)</f>
        <v>2023</v>
      </c>
      <c r="M6627" s="20" t="n">
        <f aca="false">IF(J6627&gt;0,K6627/J6627,0)</f>
        <v>-0.359621337036073</v>
      </c>
    </row>
    <row r="6628" customFormat="false" ht="15" hidden="false" customHeight="false" outlineLevel="0" collapsed="false">
      <c r="A6628" s="15" t="s">
        <v>6685</v>
      </c>
      <c r="B6628" s="16" t="n">
        <v>46011</v>
      </c>
      <c r="C6628" s="15" t="s">
        <v>56</v>
      </c>
      <c r="D6628" s="15" t="s">
        <v>42</v>
      </c>
      <c r="E6628" s="15" t="s">
        <v>36</v>
      </c>
      <c r="F6628" s="15" t="s">
        <v>18</v>
      </c>
      <c r="G6628" s="15" t="s">
        <v>30</v>
      </c>
      <c r="H6628" s="15" t="n">
        <v>5</v>
      </c>
      <c r="I6628" s="17" t="n">
        <v>0.15</v>
      </c>
      <c r="J6628" s="18" t="n">
        <v>122.91</v>
      </c>
      <c r="K6628" s="19" t="n">
        <v>23.02</v>
      </c>
      <c r="L6628" s="15" t="n">
        <f aca="false">YEAR(B6628)</f>
        <v>2025</v>
      </c>
      <c r="M6628" s="20" t="n">
        <f aca="false">IF(J6628&gt;0,K6628/J6628,0)</f>
        <v>0.18729151411602</v>
      </c>
    </row>
    <row r="6629" customFormat="false" ht="15" hidden="false" customHeight="false" outlineLevel="0" collapsed="false">
      <c r="A6629" s="15" t="s">
        <v>6686</v>
      </c>
      <c r="B6629" s="16" t="n">
        <v>45905</v>
      </c>
      <c r="C6629" s="15" t="s">
        <v>71</v>
      </c>
      <c r="D6629" s="15" t="s">
        <v>42</v>
      </c>
      <c r="E6629" s="15" t="s">
        <v>36</v>
      </c>
      <c r="F6629" s="15" t="s">
        <v>18</v>
      </c>
      <c r="G6629" s="15" t="s">
        <v>30</v>
      </c>
      <c r="H6629" s="15" t="n">
        <v>4</v>
      </c>
      <c r="I6629" s="17" t="n">
        <v>0</v>
      </c>
      <c r="J6629" s="18" t="n">
        <v>161.64</v>
      </c>
      <c r="K6629" s="19" t="n">
        <v>56.25</v>
      </c>
      <c r="L6629" s="15" t="n">
        <f aca="false">YEAR(B6629)</f>
        <v>2025</v>
      </c>
      <c r="M6629" s="20" t="n">
        <f aca="false">IF(J6629&gt;0,K6629/J6629,0)</f>
        <v>0.347995545657016</v>
      </c>
    </row>
    <row r="6630" customFormat="false" ht="15" hidden="false" customHeight="false" outlineLevel="0" collapsed="false">
      <c r="A6630" s="15" t="s">
        <v>6687</v>
      </c>
      <c r="B6630" s="16" t="n">
        <v>45324</v>
      </c>
      <c r="C6630" s="15" t="s">
        <v>71</v>
      </c>
      <c r="D6630" s="15" t="s">
        <v>42</v>
      </c>
      <c r="E6630" s="15" t="s">
        <v>38</v>
      </c>
      <c r="F6630" s="15" t="s">
        <v>17</v>
      </c>
      <c r="G6630" s="15" t="s">
        <v>29</v>
      </c>
      <c r="H6630" s="15" t="n">
        <v>3</v>
      </c>
      <c r="I6630" s="17" t="n">
        <v>0.05</v>
      </c>
      <c r="J6630" s="18" t="n">
        <v>46.74</v>
      </c>
      <c r="K6630" s="19" t="n">
        <v>15.46</v>
      </c>
      <c r="L6630" s="15" t="n">
        <f aca="false">YEAR(B6630)</f>
        <v>2024</v>
      </c>
      <c r="M6630" s="20" t="n">
        <f aca="false">IF(J6630&gt;0,K6630/J6630,0)</f>
        <v>0.33076593923834</v>
      </c>
    </row>
    <row r="6631" customFormat="false" ht="15" hidden="false" customHeight="false" outlineLevel="0" collapsed="false">
      <c r="A6631" s="15" t="s">
        <v>6688</v>
      </c>
      <c r="B6631" s="16" t="n">
        <v>45823</v>
      </c>
      <c r="C6631" s="15" t="s">
        <v>56</v>
      </c>
      <c r="D6631" s="15" t="s">
        <v>43</v>
      </c>
      <c r="E6631" s="15" t="s">
        <v>38</v>
      </c>
      <c r="F6631" s="15" t="s">
        <v>16</v>
      </c>
      <c r="G6631" s="15" t="s">
        <v>27</v>
      </c>
      <c r="H6631" s="15" t="n">
        <v>6</v>
      </c>
      <c r="I6631" s="17" t="n">
        <v>0</v>
      </c>
      <c r="J6631" s="18" t="n">
        <v>359.53</v>
      </c>
      <c r="K6631" s="19" t="n">
        <v>98.36</v>
      </c>
      <c r="L6631" s="15" t="n">
        <f aca="false">YEAR(B6631)</f>
        <v>2025</v>
      </c>
      <c r="M6631" s="20" t="n">
        <f aca="false">IF(J6631&gt;0,K6631/J6631,0)</f>
        <v>0.27357939532167</v>
      </c>
    </row>
    <row r="6632" customFormat="false" ht="15" hidden="false" customHeight="false" outlineLevel="0" collapsed="false">
      <c r="A6632" s="15" t="s">
        <v>6689</v>
      </c>
      <c r="B6632" s="16" t="n">
        <v>45163</v>
      </c>
      <c r="C6632" s="15" t="s">
        <v>56</v>
      </c>
      <c r="D6632" s="15" t="s">
        <v>44</v>
      </c>
      <c r="E6632" s="15" t="s">
        <v>37</v>
      </c>
      <c r="F6632" s="15" t="s">
        <v>17</v>
      </c>
      <c r="G6632" s="15" t="s">
        <v>29</v>
      </c>
      <c r="H6632" s="15" t="n">
        <v>4</v>
      </c>
      <c r="I6632" s="17" t="n">
        <v>0.1</v>
      </c>
      <c r="J6632" s="18" t="n">
        <v>69.15</v>
      </c>
      <c r="K6632" s="19" t="n">
        <v>21.33</v>
      </c>
      <c r="L6632" s="15" t="n">
        <f aca="false">YEAR(B6632)</f>
        <v>2023</v>
      </c>
      <c r="M6632" s="20" t="n">
        <f aca="false">IF(J6632&gt;0,K6632/J6632,0)</f>
        <v>0.308459869848156</v>
      </c>
    </row>
    <row r="6633" customFormat="false" ht="15" hidden="false" customHeight="false" outlineLevel="0" collapsed="false">
      <c r="A6633" s="15" t="s">
        <v>6690</v>
      </c>
      <c r="B6633" s="16" t="n">
        <v>44578</v>
      </c>
      <c r="C6633" s="15" t="s">
        <v>56</v>
      </c>
      <c r="D6633" s="15" t="s">
        <v>43</v>
      </c>
      <c r="E6633" s="15" t="s">
        <v>39</v>
      </c>
      <c r="F6633" s="15" t="s">
        <v>16</v>
      </c>
      <c r="G6633" s="15" t="s">
        <v>23</v>
      </c>
      <c r="H6633" s="15" t="n">
        <v>5</v>
      </c>
      <c r="I6633" s="17" t="n">
        <v>0</v>
      </c>
      <c r="J6633" s="18" t="n">
        <v>1569.72</v>
      </c>
      <c r="K6633" s="19" t="n">
        <v>-47.09</v>
      </c>
      <c r="L6633" s="15" t="n">
        <f aca="false">YEAR(B6633)</f>
        <v>2022</v>
      </c>
      <c r="M6633" s="20" t="n">
        <f aca="false">IF(J6633&gt;0,K6633/J6633,0)</f>
        <v>-0.0299989807099355</v>
      </c>
    </row>
    <row r="6634" customFormat="false" ht="15" hidden="false" customHeight="false" outlineLevel="0" collapsed="false">
      <c r="A6634" s="15" t="s">
        <v>6691</v>
      </c>
      <c r="B6634" s="16" t="n">
        <v>46022</v>
      </c>
      <c r="C6634" s="15" t="s">
        <v>56</v>
      </c>
      <c r="D6634" s="15" t="s">
        <v>42</v>
      </c>
      <c r="E6634" s="15" t="s">
        <v>38</v>
      </c>
      <c r="F6634" s="15" t="s">
        <v>18</v>
      </c>
      <c r="G6634" s="15" t="s">
        <v>30</v>
      </c>
      <c r="H6634" s="15" t="n">
        <v>4</v>
      </c>
      <c r="I6634" s="17" t="n">
        <v>0.1</v>
      </c>
      <c r="J6634" s="18" t="n">
        <v>148.68</v>
      </c>
      <c r="K6634" s="19" t="n">
        <v>31.79</v>
      </c>
      <c r="L6634" s="15" t="n">
        <f aca="false">YEAR(B6634)</f>
        <v>2025</v>
      </c>
      <c r="M6634" s="20" t="n">
        <f aca="false">IF(J6634&gt;0,K6634/J6634,0)</f>
        <v>0.213814904492871</v>
      </c>
    </row>
    <row r="6635" customFormat="false" ht="15" hidden="false" customHeight="false" outlineLevel="0" collapsed="false">
      <c r="A6635" s="15" t="s">
        <v>6692</v>
      </c>
      <c r="B6635" s="16" t="n">
        <v>44912</v>
      </c>
      <c r="C6635" s="15" t="s">
        <v>68</v>
      </c>
      <c r="D6635" s="15" t="s">
        <v>42</v>
      </c>
      <c r="E6635" s="15" t="s">
        <v>37</v>
      </c>
      <c r="F6635" s="15" t="s">
        <v>17</v>
      </c>
      <c r="G6635" s="15" t="s">
        <v>28</v>
      </c>
      <c r="H6635" s="15" t="n">
        <v>1</v>
      </c>
      <c r="I6635" s="17" t="n">
        <v>0.4</v>
      </c>
      <c r="J6635" s="18" t="n">
        <v>13.98</v>
      </c>
      <c r="K6635" s="19" t="n">
        <v>-0.63</v>
      </c>
      <c r="L6635" s="15" t="n">
        <f aca="false">YEAR(B6635)</f>
        <v>2022</v>
      </c>
      <c r="M6635" s="20" t="n">
        <f aca="false">IF(J6635&gt;0,K6635/J6635,0)</f>
        <v>-0.0450643776824034</v>
      </c>
    </row>
    <row r="6636" customFormat="false" ht="15" hidden="false" customHeight="false" outlineLevel="0" collapsed="false">
      <c r="A6636" s="15" t="s">
        <v>6693</v>
      </c>
      <c r="B6636" s="16" t="n">
        <v>45123</v>
      </c>
      <c r="C6636" s="15" t="s">
        <v>56</v>
      </c>
      <c r="D6636" s="15" t="s">
        <v>43</v>
      </c>
      <c r="E6636" s="15" t="s">
        <v>36</v>
      </c>
      <c r="F6636" s="15" t="s">
        <v>17</v>
      </c>
      <c r="G6636" s="15" t="s">
        <v>29</v>
      </c>
      <c r="H6636" s="15" t="n">
        <v>3</v>
      </c>
      <c r="I6636" s="17" t="n">
        <v>0.05</v>
      </c>
      <c r="J6636" s="18" t="n">
        <v>48.39</v>
      </c>
      <c r="K6636" s="19" t="n">
        <v>16.96</v>
      </c>
      <c r="L6636" s="15" t="n">
        <f aca="false">YEAR(B6636)</f>
        <v>2023</v>
      </c>
      <c r="M6636" s="20" t="n">
        <f aca="false">IF(J6636&gt;0,K6636/J6636,0)</f>
        <v>0.350485637528415</v>
      </c>
    </row>
    <row r="6637" customFormat="false" ht="15" hidden="false" customHeight="false" outlineLevel="0" collapsed="false">
      <c r="A6637" s="15" t="s">
        <v>6694</v>
      </c>
      <c r="B6637" s="16" t="n">
        <v>45648</v>
      </c>
      <c r="C6637" s="15" t="s">
        <v>68</v>
      </c>
      <c r="D6637" s="15" t="s">
        <v>42</v>
      </c>
      <c r="E6637" s="15" t="s">
        <v>39</v>
      </c>
      <c r="F6637" s="15" t="s">
        <v>17</v>
      </c>
      <c r="G6637" s="15" t="s">
        <v>29</v>
      </c>
      <c r="H6637" s="15" t="n">
        <v>2</v>
      </c>
      <c r="I6637" s="17" t="n">
        <v>0.15</v>
      </c>
      <c r="J6637" s="18" t="n">
        <v>30.75</v>
      </c>
      <c r="K6637" s="19" t="n">
        <v>7.22</v>
      </c>
      <c r="L6637" s="15" t="n">
        <f aca="false">YEAR(B6637)</f>
        <v>2024</v>
      </c>
      <c r="M6637" s="20" t="n">
        <f aca="false">IF(J6637&gt;0,K6637/J6637,0)</f>
        <v>0.23479674796748</v>
      </c>
    </row>
    <row r="6638" customFormat="false" ht="15" hidden="false" customHeight="false" outlineLevel="0" collapsed="false">
      <c r="A6638" s="15" t="s">
        <v>6695</v>
      </c>
      <c r="B6638" s="16" t="n">
        <v>45849</v>
      </c>
      <c r="C6638" s="15" t="s">
        <v>68</v>
      </c>
      <c r="D6638" s="15" t="s">
        <v>44</v>
      </c>
      <c r="E6638" s="15" t="s">
        <v>36</v>
      </c>
      <c r="F6638" s="15" t="s">
        <v>17</v>
      </c>
      <c r="G6638" s="15" t="s">
        <v>26</v>
      </c>
      <c r="H6638" s="15" t="n">
        <v>3</v>
      </c>
      <c r="I6638" s="17" t="n">
        <v>0</v>
      </c>
      <c r="J6638" s="18" t="n">
        <v>282.43</v>
      </c>
      <c r="K6638" s="19" t="n">
        <v>47.71</v>
      </c>
      <c r="L6638" s="15" t="n">
        <f aca="false">YEAR(B6638)</f>
        <v>2025</v>
      </c>
      <c r="M6638" s="20" t="n">
        <f aca="false">IF(J6638&gt;0,K6638/J6638,0)</f>
        <v>0.168926813723755</v>
      </c>
    </row>
    <row r="6639" customFormat="false" ht="15" hidden="false" customHeight="false" outlineLevel="0" collapsed="false">
      <c r="A6639" s="15" t="s">
        <v>6696</v>
      </c>
      <c r="B6639" s="16" t="n">
        <v>45733</v>
      </c>
      <c r="C6639" s="15" t="s">
        <v>68</v>
      </c>
      <c r="D6639" s="15" t="s">
        <v>43</v>
      </c>
      <c r="E6639" s="15" t="s">
        <v>36</v>
      </c>
      <c r="F6639" s="15" t="s">
        <v>17</v>
      </c>
      <c r="G6639" s="15" t="s">
        <v>26</v>
      </c>
      <c r="H6639" s="15" t="n">
        <v>2</v>
      </c>
      <c r="I6639" s="17" t="n">
        <v>0.2</v>
      </c>
      <c r="J6639" s="18" t="n">
        <v>139.82</v>
      </c>
      <c r="K6639" s="19" t="n">
        <v>-7.41</v>
      </c>
      <c r="L6639" s="15" t="n">
        <f aca="false">YEAR(B6639)</f>
        <v>2025</v>
      </c>
      <c r="M6639" s="20" t="n">
        <f aca="false">IF(J6639&gt;0,K6639/J6639,0)</f>
        <v>-0.052996710055786</v>
      </c>
    </row>
    <row r="6640" customFormat="false" ht="15" hidden="false" customHeight="false" outlineLevel="0" collapsed="false">
      <c r="A6640" s="15" t="s">
        <v>6697</v>
      </c>
      <c r="B6640" s="16" t="n">
        <v>45060</v>
      </c>
      <c r="C6640" s="15" t="s">
        <v>56</v>
      </c>
      <c r="D6640" s="15" t="s">
        <v>42</v>
      </c>
      <c r="E6640" s="15" t="s">
        <v>36</v>
      </c>
      <c r="F6640" s="15" t="s">
        <v>18</v>
      </c>
      <c r="G6640" s="15" t="s">
        <v>32</v>
      </c>
      <c r="H6640" s="15" t="n">
        <v>4</v>
      </c>
      <c r="I6640" s="17" t="n">
        <v>0.2</v>
      </c>
      <c r="J6640" s="18" t="n">
        <v>1481</v>
      </c>
      <c r="K6640" s="19" t="n">
        <v>4.76</v>
      </c>
      <c r="L6640" s="15" t="n">
        <f aca="false">YEAR(B6640)</f>
        <v>2023</v>
      </c>
      <c r="M6640" s="20" t="n">
        <f aca="false">IF(J6640&gt;0,K6640/J6640,0)</f>
        <v>0.00321404456448346</v>
      </c>
    </row>
    <row r="6641" customFormat="false" ht="15" hidden="false" customHeight="false" outlineLevel="0" collapsed="false">
      <c r="A6641" s="15" t="s">
        <v>6698</v>
      </c>
      <c r="B6641" s="16" t="n">
        <v>45074</v>
      </c>
      <c r="C6641" s="15" t="s">
        <v>56</v>
      </c>
      <c r="D6641" s="15" t="s">
        <v>42</v>
      </c>
      <c r="E6641" s="15" t="s">
        <v>38</v>
      </c>
      <c r="F6641" s="15" t="s">
        <v>18</v>
      </c>
      <c r="G6641" s="15" t="s">
        <v>30</v>
      </c>
      <c r="H6641" s="15" t="n">
        <v>2</v>
      </c>
      <c r="I6641" s="17" t="n">
        <v>0.2</v>
      </c>
      <c r="J6641" s="18" t="n">
        <v>65.73</v>
      </c>
      <c r="K6641" s="19" t="n">
        <v>4.21</v>
      </c>
      <c r="L6641" s="15" t="n">
        <f aca="false">YEAR(B6641)</f>
        <v>2023</v>
      </c>
      <c r="M6641" s="20" t="n">
        <f aca="false">IF(J6641&gt;0,K6641/J6641,0)</f>
        <v>0.064049901110604</v>
      </c>
    </row>
    <row r="6642" customFormat="false" ht="15" hidden="false" customHeight="false" outlineLevel="0" collapsed="false">
      <c r="A6642" s="15" t="s">
        <v>6699</v>
      </c>
      <c r="B6642" s="16" t="n">
        <v>45261</v>
      </c>
      <c r="C6642" s="15" t="s">
        <v>68</v>
      </c>
      <c r="D6642" s="15" t="s">
        <v>42</v>
      </c>
      <c r="E6642" s="15" t="s">
        <v>37</v>
      </c>
      <c r="F6642" s="15" t="s">
        <v>17</v>
      </c>
      <c r="G6642" s="15" t="s">
        <v>28</v>
      </c>
      <c r="H6642" s="15" t="n">
        <v>3</v>
      </c>
      <c r="I6642" s="17" t="n">
        <v>0</v>
      </c>
      <c r="J6642" s="18" t="n">
        <v>91.21</v>
      </c>
      <c r="K6642" s="19" t="n">
        <v>25.34</v>
      </c>
      <c r="L6642" s="15" t="n">
        <f aca="false">YEAR(B6642)</f>
        <v>2023</v>
      </c>
      <c r="M6642" s="20" t="n">
        <f aca="false">IF(J6642&gt;0,K6642/J6642,0)</f>
        <v>0.277820414428243</v>
      </c>
    </row>
    <row r="6643" customFormat="false" ht="15" hidden="false" customHeight="false" outlineLevel="0" collapsed="false">
      <c r="A6643" s="15" t="s">
        <v>6700</v>
      </c>
      <c r="B6643" s="16" t="n">
        <v>45864</v>
      </c>
      <c r="C6643" s="15" t="s">
        <v>71</v>
      </c>
      <c r="D6643" s="15" t="s">
        <v>43</v>
      </c>
      <c r="E6643" s="15" t="s">
        <v>37</v>
      </c>
      <c r="F6643" s="15" t="s">
        <v>16</v>
      </c>
      <c r="G6643" s="15" t="s">
        <v>27</v>
      </c>
      <c r="H6643" s="15" t="n">
        <v>3</v>
      </c>
      <c r="I6643" s="17" t="n">
        <v>0.3</v>
      </c>
      <c r="J6643" s="18" t="n">
        <v>146.48</v>
      </c>
      <c r="K6643" s="19" t="n">
        <v>-14.83</v>
      </c>
      <c r="L6643" s="15" t="n">
        <f aca="false">YEAR(B6643)</f>
        <v>2025</v>
      </c>
      <c r="M6643" s="20" t="n">
        <f aca="false">IF(J6643&gt;0,K6643/J6643,0)</f>
        <v>-0.101242490442381</v>
      </c>
    </row>
    <row r="6644" customFormat="false" ht="15" hidden="false" customHeight="false" outlineLevel="0" collapsed="false">
      <c r="A6644" s="15" t="s">
        <v>6701</v>
      </c>
      <c r="B6644" s="16" t="n">
        <v>44733</v>
      </c>
      <c r="C6644" s="15" t="s">
        <v>56</v>
      </c>
      <c r="D6644" s="15" t="s">
        <v>42</v>
      </c>
      <c r="E6644" s="15" t="s">
        <v>39</v>
      </c>
      <c r="F6644" s="15" t="s">
        <v>17</v>
      </c>
      <c r="G6644" s="15" t="s">
        <v>31</v>
      </c>
      <c r="H6644" s="15" t="n">
        <v>2</v>
      </c>
      <c r="I6644" s="17" t="n">
        <v>0.3</v>
      </c>
      <c r="J6644" s="18" t="n">
        <v>167.73</v>
      </c>
      <c r="K6644" s="19" t="n">
        <v>-12.69</v>
      </c>
      <c r="L6644" s="15" t="n">
        <f aca="false">YEAR(B6644)</f>
        <v>2022</v>
      </c>
      <c r="M6644" s="20" t="n">
        <f aca="false">IF(J6644&gt;0,K6644/J6644,0)</f>
        <v>-0.075657306385262</v>
      </c>
    </row>
    <row r="6645" customFormat="false" ht="15" hidden="false" customHeight="false" outlineLevel="0" collapsed="false">
      <c r="A6645" s="15" t="s">
        <v>6702</v>
      </c>
      <c r="B6645" s="16" t="n">
        <v>45161</v>
      </c>
      <c r="C6645" s="15" t="s">
        <v>68</v>
      </c>
      <c r="D6645" s="15" t="s">
        <v>42</v>
      </c>
      <c r="E6645" s="15" t="s">
        <v>37</v>
      </c>
      <c r="F6645" s="15" t="s">
        <v>17</v>
      </c>
      <c r="G6645" s="15" t="s">
        <v>28</v>
      </c>
      <c r="H6645" s="15" t="n">
        <v>7</v>
      </c>
      <c r="I6645" s="17" t="n">
        <v>0</v>
      </c>
      <c r="J6645" s="18" t="n">
        <v>165.52</v>
      </c>
      <c r="K6645" s="19" t="n">
        <v>52.94</v>
      </c>
      <c r="L6645" s="15" t="n">
        <f aca="false">YEAR(B6645)</f>
        <v>2023</v>
      </c>
      <c r="M6645" s="20" t="n">
        <f aca="false">IF(J6645&gt;0,K6645/J6645,0)</f>
        <v>0.319840502658289</v>
      </c>
    </row>
    <row r="6646" customFormat="false" ht="15" hidden="false" customHeight="false" outlineLevel="0" collapsed="false">
      <c r="A6646" s="15" t="s">
        <v>6703</v>
      </c>
      <c r="B6646" s="16" t="n">
        <v>45952</v>
      </c>
      <c r="C6646" s="15" t="s">
        <v>56</v>
      </c>
      <c r="D6646" s="15" t="s">
        <v>43</v>
      </c>
      <c r="E6646" s="15" t="s">
        <v>37</v>
      </c>
      <c r="F6646" s="15" t="s">
        <v>16</v>
      </c>
      <c r="G6646" s="15" t="s">
        <v>25</v>
      </c>
      <c r="H6646" s="15" t="n">
        <v>6</v>
      </c>
      <c r="I6646" s="17" t="n">
        <v>0.05</v>
      </c>
      <c r="J6646" s="18" t="n">
        <v>1852.45</v>
      </c>
      <c r="K6646" s="19" t="n">
        <v>-80.01</v>
      </c>
      <c r="L6646" s="15" t="n">
        <f aca="false">YEAR(B6646)</f>
        <v>2025</v>
      </c>
      <c r="M6646" s="20" t="n">
        <f aca="false">IF(J6646&gt;0,K6646/J6646,0)</f>
        <v>-0.0431914491619207</v>
      </c>
    </row>
    <row r="6647" customFormat="false" ht="15" hidden="false" customHeight="false" outlineLevel="0" collapsed="false">
      <c r="A6647" s="15" t="s">
        <v>6704</v>
      </c>
      <c r="B6647" s="16" t="n">
        <v>45506</v>
      </c>
      <c r="C6647" s="15" t="s">
        <v>56</v>
      </c>
      <c r="D6647" s="15" t="s">
        <v>42</v>
      </c>
      <c r="E6647" s="15" t="s">
        <v>38</v>
      </c>
      <c r="F6647" s="15" t="s">
        <v>17</v>
      </c>
      <c r="G6647" s="15" t="s">
        <v>26</v>
      </c>
      <c r="H6647" s="15" t="n">
        <v>4</v>
      </c>
      <c r="I6647" s="17" t="n">
        <v>0</v>
      </c>
      <c r="J6647" s="18" t="n">
        <v>302.67</v>
      </c>
      <c r="K6647" s="19" t="n">
        <v>20.63</v>
      </c>
      <c r="L6647" s="15" t="n">
        <f aca="false">YEAR(B6647)</f>
        <v>2024</v>
      </c>
      <c r="M6647" s="20" t="n">
        <f aca="false">IF(J6647&gt;0,K6647/J6647,0)</f>
        <v>0.0681600422902831</v>
      </c>
    </row>
    <row r="6648" customFormat="false" ht="15" hidden="false" customHeight="false" outlineLevel="0" collapsed="false">
      <c r="A6648" s="15" t="s">
        <v>6705</v>
      </c>
      <c r="B6648" s="16" t="n">
        <v>45850</v>
      </c>
      <c r="C6648" s="15" t="s">
        <v>71</v>
      </c>
      <c r="D6648" s="15" t="s">
        <v>42</v>
      </c>
      <c r="E6648" s="15" t="s">
        <v>36</v>
      </c>
      <c r="F6648" s="15" t="s">
        <v>17</v>
      </c>
      <c r="G6648" s="15" t="s">
        <v>28</v>
      </c>
      <c r="H6648" s="15" t="n">
        <v>2</v>
      </c>
      <c r="I6648" s="17" t="n">
        <v>0</v>
      </c>
      <c r="J6648" s="18" t="n">
        <v>47.09</v>
      </c>
      <c r="K6648" s="19" t="n">
        <v>14.29</v>
      </c>
      <c r="L6648" s="15" t="n">
        <f aca="false">YEAR(B6648)</f>
        <v>2025</v>
      </c>
      <c r="M6648" s="20" t="n">
        <f aca="false">IF(J6648&gt;0,K6648/J6648,0)</f>
        <v>0.30346145678488</v>
      </c>
    </row>
    <row r="6649" customFormat="false" ht="15" hidden="false" customHeight="false" outlineLevel="0" collapsed="false">
      <c r="A6649" s="15" t="s">
        <v>6706</v>
      </c>
      <c r="B6649" s="16" t="n">
        <v>45547</v>
      </c>
      <c r="C6649" s="15" t="s">
        <v>56</v>
      </c>
      <c r="D6649" s="15" t="s">
        <v>44</v>
      </c>
      <c r="E6649" s="15" t="s">
        <v>38</v>
      </c>
      <c r="F6649" s="15" t="s">
        <v>18</v>
      </c>
      <c r="G6649" s="15" t="s">
        <v>30</v>
      </c>
      <c r="H6649" s="15" t="n">
        <v>3</v>
      </c>
      <c r="I6649" s="17" t="n">
        <v>0.1</v>
      </c>
      <c r="J6649" s="18" t="n">
        <v>119.56</v>
      </c>
      <c r="K6649" s="19" t="n">
        <v>25.73</v>
      </c>
      <c r="L6649" s="15" t="n">
        <f aca="false">YEAR(B6649)</f>
        <v>2024</v>
      </c>
      <c r="M6649" s="20" t="n">
        <f aca="false">IF(J6649&gt;0,K6649/J6649,0)</f>
        <v>0.215205754432921</v>
      </c>
    </row>
    <row r="6650" customFormat="false" ht="15" hidden="false" customHeight="false" outlineLevel="0" collapsed="false">
      <c r="A6650" s="15" t="s">
        <v>6707</v>
      </c>
      <c r="B6650" s="16" t="n">
        <v>44580</v>
      </c>
      <c r="C6650" s="15" t="s">
        <v>68</v>
      </c>
      <c r="D6650" s="15" t="s">
        <v>43</v>
      </c>
      <c r="E6650" s="15" t="s">
        <v>37</v>
      </c>
      <c r="F6650" s="15" t="s">
        <v>17</v>
      </c>
      <c r="G6650" s="15" t="s">
        <v>29</v>
      </c>
      <c r="H6650" s="15" t="n">
        <v>3</v>
      </c>
      <c r="I6650" s="17" t="n">
        <v>0</v>
      </c>
      <c r="J6650" s="18" t="n">
        <v>57.55</v>
      </c>
      <c r="K6650" s="19" t="n">
        <v>22.01</v>
      </c>
      <c r="L6650" s="15" t="n">
        <f aca="false">YEAR(B6650)</f>
        <v>2022</v>
      </c>
      <c r="M6650" s="20" t="n">
        <f aca="false">IF(J6650&gt;0,K6650/J6650,0)</f>
        <v>0.382450043440487</v>
      </c>
    </row>
    <row r="6651" customFormat="false" ht="15" hidden="false" customHeight="false" outlineLevel="0" collapsed="false">
      <c r="A6651" s="15" t="s">
        <v>6708</v>
      </c>
      <c r="B6651" s="16" t="n">
        <v>45617</v>
      </c>
      <c r="C6651" s="15" t="s">
        <v>56</v>
      </c>
      <c r="D6651" s="15" t="s">
        <v>42</v>
      </c>
      <c r="E6651" s="15" t="s">
        <v>39</v>
      </c>
      <c r="F6651" s="15" t="s">
        <v>18</v>
      </c>
      <c r="G6651" s="15" t="s">
        <v>32</v>
      </c>
      <c r="H6651" s="15" t="n">
        <v>4</v>
      </c>
      <c r="I6651" s="17" t="n">
        <v>0.4</v>
      </c>
      <c r="J6651" s="18" t="n">
        <v>904.85</v>
      </c>
      <c r="K6651" s="19" t="n">
        <v>-155.9</v>
      </c>
      <c r="L6651" s="15" t="n">
        <f aca="false">YEAR(B6651)</f>
        <v>2024</v>
      </c>
      <c r="M6651" s="20" t="n">
        <f aca="false">IF(J6651&gt;0,K6651/J6651,0)</f>
        <v>-0.172293750345361</v>
      </c>
    </row>
    <row r="6652" customFormat="false" ht="15" hidden="false" customHeight="false" outlineLevel="0" collapsed="false">
      <c r="A6652" s="15" t="s">
        <v>6709</v>
      </c>
      <c r="B6652" s="16" t="n">
        <v>45385</v>
      </c>
      <c r="C6652" s="15" t="s">
        <v>56</v>
      </c>
      <c r="D6652" s="15" t="s">
        <v>42</v>
      </c>
      <c r="E6652" s="15" t="s">
        <v>39</v>
      </c>
      <c r="F6652" s="15" t="s">
        <v>17</v>
      </c>
      <c r="G6652" s="15" t="s">
        <v>26</v>
      </c>
      <c r="H6652" s="15" t="n">
        <v>3</v>
      </c>
      <c r="I6652" s="17" t="n">
        <v>0</v>
      </c>
      <c r="J6652" s="18" t="n">
        <v>269.67</v>
      </c>
      <c r="K6652" s="19" t="n">
        <v>39.98</v>
      </c>
      <c r="L6652" s="15" t="n">
        <f aca="false">YEAR(B6652)</f>
        <v>2024</v>
      </c>
      <c r="M6652" s="20" t="n">
        <f aca="false">IF(J6652&gt;0,K6652/J6652,0)</f>
        <v>0.148255274965699</v>
      </c>
    </row>
    <row r="6653" customFormat="false" ht="15" hidden="false" customHeight="false" outlineLevel="0" collapsed="false">
      <c r="A6653" s="15" t="s">
        <v>6710</v>
      </c>
      <c r="B6653" s="16" t="n">
        <v>45603</v>
      </c>
      <c r="C6653" s="15" t="s">
        <v>71</v>
      </c>
      <c r="D6653" s="15" t="s">
        <v>44</v>
      </c>
      <c r="E6653" s="15" t="s">
        <v>39</v>
      </c>
      <c r="F6653" s="15" t="s">
        <v>18</v>
      </c>
      <c r="G6653" s="15" t="s">
        <v>24</v>
      </c>
      <c r="H6653" s="15" t="n">
        <v>4</v>
      </c>
      <c r="I6653" s="17" t="n">
        <v>0</v>
      </c>
      <c r="J6653" s="18" t="n">
        <v>2739.69</v>
      </c>
      <c r="K6653" s="19" t="n">
        <v>258.75</v>
      </c>
      <c r="L6653" s="15" t="n">
        <f aca="false">YEAR(B6653)</f>
        <v>2024</v>
      </c>
      <c r="M6653" s="20" t="n">
        <f aca="false">IF(J6653&gt;0,K6653/J6653,0)</f>
        <v>0.0944449919516442</v>
      </c>
    </row>
    <row r="6654" customFormat="false" ht="15" hidden="false" customHeight="false" outlineLevel="0" collapsed="false">
      <c r="A6654" s="15" t="s">
        <v>6711</v>
      </c>
      <c r="B6654" s="16" t="n">
        <v>45449</v>
      </c>
      <c r="C6654" s="15" t="s">
        <v>71</v>
      </c>
      <c r="D6654" s="15" t="s">
        <v>42</v>
      </c>
      <c r="E6654" s="15" t="s">
        <v>37</v>
      </c>
      <c r="F6654" s="15" t="s">
        <v>17</v>
      </c>
      <c r="G6654" s="15" t="s">
        <v>28</v>
      </c>
      <c r="H6654" s="15" t="n">
        <v>4</v>
      </c>
      <c r="I6654" s="17" t="n">
        <v>0</v>
      </c>
      <c r="J6654" s="18" t="n">
        <v>79.94</v>
      </c>
      <c r="K6654" s="19" t="n">
        <v>27.27</v>
      </c>
      <c r="L6654" s="15" t="n">
        <f aca="false">YEAR(B6654)</f>
        <v>2024</v>
      </c>
      <c r="M6654" s="20" t="n">
        <f aca="false">IF(J6654&gt;0,K6654/J6654,0)</f>
        <v>0.341130848136102</v>
      </c>
    </row>
    <row r="6655" customFormat="false" ht="15" hidden="false" customHeight="false" outlineLevel="0" collapsed="false">
      <c r="A6655" s="15" t="s">
        <v>6712</v>
      </c>
      <c r="B6655" s="16" t="n">
        <v>45319</v>
      </c>
      <c r="C6655" s="15" t="s">
        <v>68</v>
      </c>
      <c r="D6655" s="15" t="s">
        <v>42</v>
      </c>
      <c r="E6655" s="15" t="s">
        <v>37</v>
      </c>
      <c r="F6655" s="15" t="s">
        <v>17</v>
      </c>
      <c r="G6655" s="15" t="s">
        <v>29</v>
      </c>
      <c r="H6655" s="15" t="n">
        <v>1</v>
      </c>
      <c r="I6655" s="17" t="n">
        <v>0.15</v>
      </c>
      <c r="J6655" s="18" t="n">
        <v>15.9</v>
      </c>
      <c r="K6655" s="19" t="n">
        <v>4.26</v>
      </c>
      <c r="L6655" s="15" t="n">
        <f aca="false">YEAR(B6655)</f>
        <v>2024</v>
      </c>
      <c r="M6655" s="20" t="n">
        <f aca="false">IF(J6655&gt;0,K6655/J6655,0)</f>
        <v>0.267924528301887</v>
      </c>
    </row>
    <row r="6656" customFormat="false" ht="15" hidden="false" customHeight="false" outlineLevel="0" collapsed="false">
      <c r="A6656" s="15" t="s">
        <v>6713</v>
      </c>
      <c r="B6656" s="16" t="n">
        <v>45492</v>
      </c>
      <c r="C6656" s="15" t="s">
        <v>68</v>
      </c>
      <c r="D6656" s="15" t="s">
        <v>42</v>
      </c>
      <c r="E6656" s="15" t="s">
        <v>36</v>
      </c>
      <c r="F6656" s="15" t="s">
        <v>16</v>
      </c>
      <c r="G6656" s="15" t="s">
        <v>25</v>
      </c>
      <c r="H6656" s="15" t="n">
        <v>1</v>
      </c>
      <c r="I6656" s="17" t="n">
        <v>0.1</v>
      </c>
      <c r="J6656" s="18" t="n">
        <v>260.92</v>
      </c>
      <c r="K6656" s="19" t="n">
        <v>17</v>
      </c>
      <c r="L6656" s="15" t="n">
        <f aca="false">YEAR(B6656)</f>
        <v>2024</v>
      </c>
      <c r="M6656" s="20" t="n">
        <f aca="false">IF(J6656&gt;0,K6656/J6656,0)</f>
        <v>0.0651540702130921</v>
      </c>
    </row>
    <row r="6657" customFormat="false" ht="15" hidden="false" customHeight="false" outlineLevel="0" collapsed="false">
      <c r="A6657" s="15" t="s">
        <v>6714</v>
      </c>
      <c r="B6657" s="16" t="n">
        <v>44832</v>
      </c>
      <c r="C6657" s="15" t="s">
        <v>68</v>
      </c>
      <c r="D6657" s="15" t="s">
        <v>43</v>
      </c>
      <c r="E6657" s="15" t="s">
        <v>38</v>
      </c>
      <c r="F6657" s="15" t="s">
        <v>17</v>
      </c>
      <c r="G6657" s="15" t="s">
        <v>31</v>
      </c>
      <c r="H6657" s="15" t="n">
        <v>3</v>
      </c>
      <c r="I6657" s="17" t="n">
        <v>0.2</v>
      </c>
      <c r="J6657" s="18" t="n">
        <v>383.62</v>
      </c>
      <c r="K6657" s="19" t="n">
        <v>29.49</v>
      </c>
      <c r="L6657" s="15" t="n">
        <f aca="false">YEAR(B6657)</f>
        <v>2022</v>
      </c>
      <c r="M6657" s="20" t="n">
        <f aca="false">IF(J6657&gt;0,K6657/J6657,0)</f>
        <v>0.0768729471873208</v>
      </c>
    </row>
    <row r="6658" customFormat="false" ht="15" hidden="false" customHeight="false" outlineLevel="0" collapsed="false">
      <c r="A6658" s="15" t="s">
        <v>6715</v>
      </c>
      <c r="B6658" s="16" t="n">
        <v>45668</v>
      </c>
      <c r="C6658" s="15" t="s">
        <v>56</v>
      </c>
      <c r="D6658" s="15" t="s">
        <v>42</v>
      </c>
      <c r="E6658" s="15" t="s">
        <v>39</v>
      </c>
      <c r="F6658" s="15" t="s">
        <v>17</v>
      </c>
      <c r="G6658" s="15" t="s">
        <v>29</v>
      </c>
      <c r="H6658" s="15" t="n">
        <v>3</v>
      </c>
      <c r="I6658" s="17" t="n">
        <v>0.05</v>
      </c>
      <c r="J6658" s="18" t="n">
        <v>52.43</v>
      </c>
      <c r="K6658" s="19" t="n">
        <v>15.53</v>
      </c>
      <c r="L6658" s="15" t="n">
        <f aca="false">YEAR(B6658)</f>
        <v>2025</v>
      </c>
      <c r="M6658" s="20" t="n">
        <f aca="false">IF(J6658&gt;0,K6658/J6658,0)</f>
        <v>0.296204463093649</v>
      </c>
    </row>
    <row r="6659" customFormat="false" ht="15" hidden="false" customHeight="false" outlineLevel="0" collapsed="false">
      <c r="A6659" s="15" t="s">
        <v>6716</v>
      </c>
      <c r="B6659" s="16" t="n">
        <v>45081</v>
      </c>
      <c r="C6659" s="15" t="s">
        <v>56</v>
      </c>
      <c r="D6659" s="15" t="s">
        <v>42</v>
      </c>
      <c r="E6659" s="15" t="s">
        <v>38</v>
      </c>
      <c r="F6659" s="15" t="s">
        <v>18</v>
      </c>
      <c r="G6659" s="15" t="s">
        <v>30</v>
      </c>
      <c r="H6659" s="15" t="n">
        <v>3</v>
      </c>
      <c r="I6659" s="17" t="n">
        <v>0</v>
      </c>
      <c r="J6659" s="18" t="n">
        <v>105.21</v>
      </c>
      <c r="K6659" s="19" t="n">
        <v>35.83</v>
      </c>
      <c r="L6659" s="15" t="n">
        <f aca="false">YEAR(B6659)</f>
        <v>2023</v>
      </c>
      <c r="M6659" s="20" t="n">
        <f aca="false">IF(J6659&gt;0,K6659/J6659,0)</f>
        <v>0.340556981275544</v>
      </c>
    </row>
    <row r="6660" customFormat="false" ht="15" hidden="false" customHeight="false" outlineLevel="0" collapsed="false">
      <c r="A6660" s="15" t="s">
        <v>6717</v>
      </c>
      <c r="B6660" s="16" t="n">
        <v>44822</v>
      </c>
      <c r="C6660" s="15" t="s">
        <v>68</v>
      </c>
      <c r="D6660" s="15" t="s">
        <v>43</v>
      </c>
      <c r="E6660" s="15" t="s">
        <v>38</v>
      </c>
      <c r="F6660" s="15" t="s">
        <v>16</v>
      </c>
      <c r="G6660" s="15" t="s">
        <v>22</v>
      </c>
      <c r="H6660" s="15" t="n">
        <v>2</v>
      </c>
      <c r="I6660" s="17" t="n">
        <v>0.2</v>
      </c>
      <c r="J6660" s="18" t="n">
        <v>818.13</v>
      </c>
      <c r="K6660" s="19" t="n">
        <v>-198.28</v>
      </c>
      <c r="L6660" s="15" t="n">
        <f aca="false">YEAR(B6660)</f>
        <v>2022</v>
      </c>
      <c r="M6660" s="20" t="n">
        <f aca="false">IF(J6660&gt;0,K6660/J6660,0)</f>
        <v>-0.242357571535086</v>
      </c>
    </row>
    <row r="6661" customFormat="false" ht="15" hidden="false" customHeight="false" outlineLevel="0" collapsed="false">
      <c r="A6661" s="15" t="s">
        <v>6718</v>
      </c>
      <c r="B6661" s="16" t="n">
        <v>44840</v>
      </c>
      <c r="C6661" s="15" t="s">
        <v>56</v>
      </c>
      <c r="D6661" s="15" t="s">
        <v>42</v>
      </c>
      <c r="E6661" s="15" t="s">
        <v>38</v>
      </c>
      <c r="F6661" s="15" t="s">
        <v>18</v>
      </c>
      <c r="G6661" s="15" t="s">
        <v>32</v>
      </c>
      <c r="H6661" s="15" t="n">
        <v>3</v>
      </c>
      <c r="I6661" s="17" t="n">
        <v>0</v>
      </c>
      <c r="J6661" s="18" t="n">
        <v>1051.61</v>
      </c>
      <c r="K6661" s="19" t="n">
        <v>129.3</v>
      </c>
      <c r="L6661" s="15" t="n">
        <f aca="false">YEAR(B6661)</f>
        <v>2022</v>
      </c>
      <c r="M6661" s="20" t="n">
        <f aca="false">IF(J6661&gt;0,K6661/J6661,0)</f>
        <v>0.122954327174523</v>
      </c>
    </row>
    <row r="6662" customFormat="false" ht="15" hidden="false" customHeight="false" outlineLevel="0" collapsed="false">
      <c r="A6662" s="15" t="s">
        <v>6719</v>
      </c>
      <c r="B6662" s="16" t="n">
        <v>45726</v>
      </c>
      <c r="C6662" s="15" t="s">
        <v>68</v>
      </c>
      <c r="D6662" s="15" t="s">
        <v>43</v>
      </c>
      <c r="E6662" s="15" t="s">
        <v>37</v>
      </c>
      <c r="F6662" s="15" t="s">
        <v>17</v>
      </c>
      <c r="G6662" s="15" t="s">
        <v>29</v>
      </c>
      <c r="H6662" s="15" t="n">
        <v>4</v>
      </c>
      <c r="I6662" s="17" t="n">
        <v>0.15</v>
      </c>
      <c r="J6662" s="18" t="n">
        <v>74.39</v>
      </c>
      <c r="K6662" s="19" t="n">
        <v>13.3</v>
      </c>
      <c r="L6662" s="15" t="n">
        <f aca="false">YEAR(B6662)</f>
        <v>2025</v>
      </c>
      <c r="M6662" s="20" t="n">
        <f aca="false">IF(J6662&gt;0,K6662/J6662,0)</f>
        <v>0.178787471434333</v>
      </c>
    </row>
    <row r="6663" customFormat="false" ht="15" hidden="false" customHeight="false" outlineLevel="0" collapsed="false">
      <c r="A6663" s="15" t="s">
        <v>6720</v>
      </c>
      <c r="B6663" s="16" t="n">
        <v>45246</v>
      </c>
      <c r="C6663" s="15" t="s">
        <v>58</v>
      </c>
      <c r="D6663" s="15" t="s">
        <v>44</v>
      </c>
      <c r="E6663" s="15" t="s">
        <v>38</v>
      </c>
      <c r="F6663" s="15" t="s">
        <v>17</v>
      </c>
      <c r="G6663" s="15" t="s">
        <v>26</v>
      </c>
      <c r="H6663" s="15" t="n">
        <v>4</v>
      </c>
      <c r="I6663" s="17" t="n">
        <v>0</v>
      </c>
      <c r="J6663" s="18" t="n">
        <v>255.31</v>
      </c>
      <c r="K6663" s="19" t="n">
        <v>38.71</v>
      </c>
      <c r="L6663" s="15" t="n">
        <f aca="false">YEAR(B6663)</f>
        <v>2023</v>
      </c>
      <c r="M6663" s="20" t="n">
        <f aca="false">IF(J6663&gt;0,K6663/J6663,0)</f>
        <v>0.151619599702323</v>
      </c>
    </row>
    <row r="6664" customFormat="false" ht="15" hidden="false" customHeight="false" outlineLevel="0" collapsed="false">
      <c r="A6664" s="15" t="s">
        <v>6721</v>
      </c>
      <c r="B6664" s="16" t="n">
        <v>45931</v>
      </c>
      <c r="C6664" s="15" t="s">
        <v>56</v>
      </c>
      <c r="D6664" s="15" t="s">
        <v>42</v>
      </c>
      <c r="E6664" s="15" t="s">
        <v>37</v>
      </c>
      <c r="F6664" s="15" t="s">
        <v>18</v>
      </c>
      <c r="G6664" s="15" t="s">
        <v>32</v>
      </c>
      <c r="H6664" s="15" t="n">
        <v>5</v>
      </c>
      <c r="I6664" s="17" t="n">
        <v>0</v>
      </c>
      <c r="J6664" s="18" t="n">
        <v>2109.93</v>
      </c>
      <c r="K6664" s="19" t="n">
        <v>337.3</v>
      </c>
      <c r="L6664" s="15" t="n">
        <f aca="false">YEAR(B6664)</f>
        <v>2025</v>
      </c>
      <c r="M6664" s="20" t="n">
        <f aca="false">IF(J6664&gt;0,K6664/J6664,0)</f>
        <v>0.159863123421156</v>
      </c>
    </row>
    <row r="6665" customFormat="false" ht="15" hidden="false" customHeight="false" outlineLevel="0" collapsed="false">
      <c r="A6665" s="15" t="s">
        <v>6722</v>
      </c>
      <c r="B6665" s="16" t="n">
        <v>45830</v>
      </c>
      <c r="C6665" s="15" t="s">
        <v>56</v>
      </c>
      <c r="D6665" s="15" t="s">
        <v>44</v>
      </c>
      <c r="E6665" s="15" t="s">
        <v>38</v>
      </c>
      <c r="F6665" s="15" t="s">
        <v>17</v>
      </c>
      <c r="G6665" s="15" t="s">
        <v>28</v>
      </c>
      <c r="H6665" s="15" t="n">
        <v>1</v>
      </c>
      <c r="I6665" s="17" t="n">
        <v>0.05</v>
      </c>
      <c r="J6665" s="18" t="n">
        <v>18.55</v>
      </c>
      <c r="K6665" s="19" t="n">
        <v>4.62</v>
      </c>
      <c r="L6665" s="15" t="n">
        <f aca="false">YEAR(B6665)</f>
        <v>2025</v>
      </c>
      <c r="M6665" s="20" t="n">
        <f aca="false">IF(J6665&gt;0,K6665/J6665,0)</f>
        <v>0.249056603773585</v>
      </c>
    </row>
    <row r="6666" customFormat="false" ht="15" hidden="false" customHeight="false" outlineLevel="0" collapsed="false">
      <c r="A6666" s="15" t="s">
        <v>6723</v>
      </c>
      <c r="B6666" s="16" t="n">
        <v>45211</v>
      </c>
      <c r="C6666" s="15" t="s">
        <v>56</v>
      </c>
      <c r="D6666" s="15" t="s">
        <v>42</v>
      </c>
      <c r="E6666" s="15" t="s">
        <v>37</v>
      </c>
      <c r="F6666" s="15" t="s">
        <v>17</v>
      </c>
      <c r="G6666" s="15" t="s">
        <v>28</v>
      </c>
      <c r="H6666" s="15" t="n">
        <v>2</v>
      </c>
      <c r="I6666" s="17" t="n">
        <v>0</v>
      </c>
      <c r="J6666" s="18" t="n">
        <v>48.85</v>
      </c>
      <c r="K6666" s="19" t="n">
        <v>17.27</v>
      </c>
      <c r="L6666" s="15" t="n">
        <f aca="false">YEAR(B6666)</f>
        <v>2023</v>
      </c>
      <c r="M6666" s="20" t="n">
        <f aca="false">IF(J6666&gt;0,K6666/J6666,0)</f>
        <v>0.35353121801433</v>
      </c>
    </row>
    <row r="6667" customFormat="false" ht="15" hidden="false" customHeight="false" outlineLevel="0" collapsed="false">
      <c r="A6667" s="15" t="s">
        <v>6724</v>
      </c>
      <c r="B6667" s="16" t="n">
        <v>45491</v>
      </c>
      <c r="C6667" s="15" t="s">
        <v>56</v>
      </c>
      <c r="D6667" s="15" t="s">
        <v>42</v>
      </c>
      <c r="E6667" s="15" t="s">
        <v>39</v>
      </c>
      <c r="F6667" s="15" t="s">
        <v>18</v>
      </c>
      <c r="G6667" s="15" t="s">
        <v>32</v>
      </c>
      <c r="H6667" s="15" t="n">
        <v>2</v>
      </c>
      <c r="I6667" s="17" t="n">
        <v>0.1</v>
      </c>
      <c r="J6667" s="18" t="n">
        <v>767.09</v>
      </c>
      <c r="K6667" s="19" t="n">
        <v>79.48</v>
      </c>
      <c r="L6667" s="15" t="n">
        <f aca="false">YEAR(B6667)</f>
        <v>2024</v>
      </c>
      <c r="M6667" s="20" t="n">
        <f aca="false">IF(J6667&gt;0,K6667/J6667,0)</f>
        <v>0.103612353178897</v>
      </c>
    </row>
    <row r="6668" customFormat="false" ht="15" hidden="false" customHeight="false" outlineLevel="0" collapsed="false">
      <c r="A6668" s="15" t="s">
        <v>6725</v>
      </c>
      <c r="B6668" s="16" t="n">
        <v>45699</v>
      </c>
      <c r="C6668" s="15" t="s">
        <v>56</v>
      </c>
      <c r="D6668" s="15" t="s">
        <v>43</v>
      </c>
      <c r="E6668" s="15" t="s">
        <v>37</v>
      </c>
      <c r="F6668" s="15" t="s">
        <v>17</v>
      </c>
      <c r="G6668" s="15" t="s">
        <v>29</v>
      </c>
      <c r="H6668" s="15" t="n">
        <v>4</v>
      </c>
      <c r="I6668" s="17" t="n">
        <v>0</v>
      </c>
      <c r="J6668" s="18" t="n">
        <v>68.27</v>
      </c>
      <c r="K6668" s="19" t="n">
        <v>26.24</v>
      </c>
      <c r="L6668" s="15" t="n">
        <f aca="false">YEAR(B6668)</f>
        <v>2025</v>
      </c>
      <c r="M6668" s="20" t="n">
        <f aca="false">IF(J6668&gt;0,K6668/J6668,0)</f>
        <v>0.38435623260583</v>
      </c>
    </row>
    <row r="6669" customFormat="false" ht="15" hidden="false" customHeight="false" outlineLevel="0" collapsed="false">
      <c r="A6669" s="15" t="s">
        <v>6726</v>
      </c>
      <c r="B6669" s="16" t="n">
        <v>45294</v>
      </c>
      <c r="C6669" s="15" t="s">
        <v>71</v>
      </c>
      <c r="D6669" s="15" t="s">
        <v>44</v>
      </c>
      <c r="E6669" s="15" t="s">
        <v>37</v>
      </c>
      <c r="F6669" s="15" t="s">
        <v>17</v>
      </c>
      <c r="G6669" s="15" t="s">
        <v>29</v>
      </c>
      <c r="H6669" s="15" t="n">
        <v>2</v>
      </c>
      <c r="I6669" s="17" t="n">
        <v>0.2</v>
      </c>
      <c r="J6669" s="18" t="n">
        <v>31.17</v>
      </c>
      <c r="K6669" s="19" t="n">
        <v>6.71</v>
      </c>
      <c r="L6669" s="15" t="n">
        <f aca="false">YEAR(B6669)</f>
        <v>2024</v>
      </c>
      <c r="M6669" s="20" t="n">
        <f aca="false">IF(J6669&gt;0,K6669/J6669,0)</f>
        <v>0.215271094000642</v>
      </c>
    </row>
    <row r="6670" customFormat="false" ht="15" hidden="false" customHeight="false" outlineLevel="0" collapsed="false">
      <c r="A6670" s="15" t="s">
        <v>6727</v>
      </c>
      <c r="B6670" s="16" t="n">
        <v>44891</v>
      </c>
      <c r="C6670" s="15" t="s">
        <v>71</v>
      </c>
      <c r="D6670" s="15" t="s">
        <v>43</v>
      </c>
      <c r="E6670" s="15" t="s">
        <v>36</v>
      </c>
      <c r="F6670" s="15" t="s">
        <v>16</v>
      </c>
      <c r="G6670" s="15" t="s">
        <v>27</v>
      </c>
      <c r="H6670" s="15" t="n">
        <v>1</v>
      </c>
      <c r="I6670" s="17" t="n">
        <v>0</v>
      </c>
      <c r="J6670" s="18" t="n">
        <v>57.92</v>
      </c>
      <c r="K6670" s="19" t="n">
        <v>8.42</v>
      </c>
      <c r="L6670" s="15" t="n">
        <f aca="false">YEAR(B6670)</f>
        <v>2022</v>
      </c>
      <c r="M6670" s="20" t="n">
        <f aca="false">IF(J6670&gt;0,K6670/J6670,0)</f>
        <v>0.145372928176796</v>
      </c>
    </row>
    <row r="6671" customFormat="false" ht="15" hidden="false" customHeight="false" outlineLevel="0" collapsed="false">
      <c r="A6671" s="15" t="s">
        <v>6728</v>
      </c>
      <c r="B6671" s="16" t="n">
        <v>45282</v>
      </c>
      <c r="C6671" s="15" t="s">
        <v>68</v>
      </c>
      <c r="D6671" s="15" t="s">
        <v>42</v>
      </c>
      <c r="E6671" s="15" t="s">
        <v>39</v>
      </c>
      <c r="F6671" s="15" t="s">
        <v>17</v>
      </c>
      <c r="G6671" s="15" t="s">
        <v>29</v>
      </c>
      <c r="H6671" s="15" t="n">
        <v>7</v>
      </c>
      <c r="I6671" s="17" t="n">
        <v>0</v>
      </c>
      <c r="J6671" s="18" t="n">
        <v>148.38</v>
      </c>
      <c r="K6671" s="19" t="n">
        <v>54.52</v>
      </c>
      <c r="L6671" s="15" t="n">
        <f aca="false">YEAR(B6671)</f>
        <v>2023</v>
      </c>
      <c r="M6671" s="20" t="n">
        <f aca="false">IF(J6671&gt;0,K6671/J6671,0)</f>
        <v>0.3674349642809</v>
      </c>
    </row>
    <row r="6672" customFormat="false" ht="15" hidden="false" customHeight="false" outlineLevel="0" collapsed="false">
      <c r="A6672" s="15" t="s">
        <v>6729</v>
      </c>
      <c r="B6672" s="16" t="n">
        <v>45263</v>
      </c>
      <c r="C6672" s="15" t="s">
        <v>71</v>
      </c>
      <c r="D6672" s="15" t="s">
        <v>42</v>
      </c>
      <c r="E6672" s="15" t="s">
        <v>37</v>
      </c>
      <c r="F6672" s="15" t="s">
        <v>17</v>
      </c>
      <c r="G6672" s="15" t="s">
        <v>29</v>
      </c>
      <c r="H6672" s="15" t="n">
        <v>2</v>
      </c>
      <c r="I6672" s="17" t="n">
        <v>0.4</v>
      </c>
      <c r="J6672" s="18" t="n">
        <v>25.41</v>
      </c>
      <c r="K6672" s="19" t="n">
        <v>1.01</v>
      </c>
      <c r="L6672" s="15" t="n">
        <f aca="false">YEAR(B6672)</f>
        <v>2023</v>
      </c>
      <c r="M6672" s="20" t="n">
        <f aca="false">IF(J6672&gt;0,K6672/J6672,0)</f>
        <v>0.0397481306572216</v>
      </c>
    </row>
    <row r="6673" customFormat="false" ht="15" hidden="false" customHeight="false" outlineLevel="0" collapsed="false">
      <c r="A6673" s="15" t="s">
        <v>6730</v>
      </c>
      <c r="B6673" s="16" t="n">
        <v>45366</v>
      </c>
      <c r="C6673" s="15" t="s">
        <v>58</v>
      </c>
      <c r="D6673" s="15" t="s">
        <v>42</v>
      </c>
      <c r="E6673" s="15" t="s">
        <v>36</v>
      </c>
      <c r="F6673" s="15" t="s">
        <v>16</v>
      </c>
      <c r="G6673" s="15" t="s">
        <v>27</v>
      </c>
      <c r="H6673" s="15" t="n">
        <v>3</v>
      </c>
      <c r="I6673" s="17" t="n">
        <v>0</v>
      </c>
      <c r="J6673" s="18" t="n">
        <v>181.64</v>
      </c>
      <c r="K6673" s="19" t="n">
        <v>34.68</v>
      </c>
      <c r="L6673" s="15" t="n">
        <f aca="false">YEAR(B6673)</f>
        <v>2024</v>
      </c>
      <c r="M6673" s="20" t="n">
        <f aca="false">IF(J6673&gt;0,K6673/J6673,0)</f>
        <v>0.190927108566395</v>
      </c>
    </row>
    <row r="6674" customFormat="false" ht="15" hidden="false" customHeight="false" outlineLevel="0" collapsed="false">
      <c r="A6674" s="15" t="s">
        <v>6731</v>
      </c>
      <c r="B6674" s="16" t="n">
        <v>45608</v>
      </c>
      <c r="C6674" s="15" t="s">
        <v>56</v>
      </c>
      <c r="D6674" s="15" t="s">
        <v>43</v>
      </c>
      <c r="E6674" s="15" t="s">
        <v>37</v>
      </c>
      <c r="F6674" s="15" t="s">
        <v>16</v>
      </c>
      <c r="G6674" s="15" t="s">
        <v>27</v>
      </c>
      <c r="H6674" s="15" t="n">
        <v>3</v>
      </c>
      <c r="I6674" s="17" t="n">
        <v>0.3</v>
      </c>
      <c r="J6674" s="18" t="n">
        <v>124.49</v>
      </c>
      <c r="K6674" s="19" t="n">
        <v>-8.37</v>
      </c>
      <c r="L6674" s="15" t="n">
        <f aca="false">YEAR(B6674)</f>
        <v>2024</v>
      </c>
      <c r="M6674" s="20" t="n">
        <f aca="false">IF(J6674&gt;0,K6674/J6674,0)</f>
        <v>-0.067234316009318</v>
      </c>
    </row>
    <row r="6675" customFormat="false" ht="15" hidden="false" customHeight="false" outlineLevel="0" collapsed="false">
      <c r="A6675" s="15" t="s">
        <v>6732</v>
      </c>
      <c r="B6675" s="16" t="n">
        <v>44860</v>
      </c>
      <c r="C6675" s="15" t="s">
        <v>56</v>
      </c>
      <c r="D6675" s="15" t="s">
        <v>43</v>
      </c>
      <c r="E6675" s="15" t="s">
        <v>38</v>
      </c>
      <c r="F6675" s="15" t="s">
        <v>17</v>
      </c>
      <c r="G6675" s="15" t="s">
        <v>31</v>
      </c>
      <c r="H6675" s="15" t="n">
        <v>3</v>
      </c>
      <c r="I6675" s="17" t="n">
        <v>0</v>
      </c>
      <c r="J6675" s="18" t="n">
        <v>365.62</v>
      </c>
      <c r="K6675" s="19" t="n">
        <v>80.76</v>
      </c>
      <c r="L6675" s="15" t="n">
        <f aca="false">YEAR(B6675)</f>
        <v>2022</v>
      </c>
      <c r="M6675" s="20" t="n">
        <f aca="false">IF(J6675&gt;0,K6675/J6675,0)</f>
        <v>0.220885071932608</v>
      </c>
    </row>
    <row r="6676" customFormat="false" ht="15" hidden="false" customHeight="false" outlineLevel="0" collapsed="false">
      <c r="A6676" s="15" t="s">
        <v>6733</v>
      </c>
      <c r="B6676" s="16" t="n">
        <v>45845</v>
      </c>
      <c r="C6676" s="15" t="s">
        <v>56</v>
      </c>
      <c r="D6676" s="15" t="s">
        <v>42</v>
      </c>
      <c r="E6676" s="15" t="s">
        <v>39</v>
      </c>
      <c r="F6676" s="15" t="s">
        <v>18</v>
      </c>
      <c r="G6676" s="15" t="s">
        <v>30</v>
      </c>
      <c r="H6676" s="15" t="n">
        <v>3</v>
      </c>
      <c r="I6676" s="17" t="n">
        <v>0.2</v>
      </c>
      <c r="J6676" s="18" t="n">
        <v>146.77</v>
      </c>
      <c r="K6676" s="19" t="n">
        <v>21.8</v>
      </c>
      <c r="L6676" s="15" t="n">
        <f aca="false">YEAR(B6676)</f>
        <v>2025</v>
      </c>
      <c r="M6676" s="20" t="n">
        <f aca="false">IF(J6676&gt;0,K6676/J6676,0)</f>
        <v>0.148531716290795</v>
      </c>
    </row>
    <row r="6677" customFormat="false" ht="15" hidden="false" customHeight="false" outlineLevel="0" collapsed="false">
      <c r="A6677" s="15" t="s">
        <v>6734</v>
      </c>
      <c r="B6677" s="16" t="n">
        <v>44674</v>
      </c>
      <c r="C6677" s="15" t="s">
        <v>71</v>
      </c>
      <c r="D6677" s="15" t="s">
        <v>43</v>
      </c>
      <c r="E6677" s="15" t="s">
        <v>38</v>
      </c>
      <c r="F6677" s="15" t="s">
        <v>17</v>
      </c>
      <c r="G6677" s="15" t="s">
        <v>28</v>
      </c>
      <c r="H6677" s="15" t="n">
        <v>3</v>
      </c>
      <c r="I6677" s="17" t="n">
        <v>0.1</v>
      </c>
      <c r="J6677" s="18" t="n">
        <v>66.08</v>
      </c>
      <c r="K6677" s="19" t="n">
        <v>15.9</v>
      </c>
      <c r="L6677" s="15" t="n">
        <f aca="false">YEAR(B6677)</f>
        <v>2022</v>
      </c>
      <c r="M6677" s="20" t="n">
        <f aca="false">IF(J6677&gt;0,K6677/J6677,0)</f>
        <v>0.240617433414044</v>
      </c>
    </row>
    <row r="6678" customFormat="false" ht="15" hidden="false" customHeight="false" outlineLevel="0" collapsed="false">
      <c r="A6678" s="15" t="s">
        <v>6735</v>
      </c>
      <c r="B6678" s="16" t="n">
        <v>45710</v>
      </c>
      <c r="C6678" s="15" t="s">
        <v>56</v>
      </c>
      <c r="D6678" s="15" t="s">
        <v>42</v>
      </c>
      <c r="E6678" s="15" t="s">
        <v>39</v>
      </c>
      <c r="F6678" s="15" t="s">
        <v>17</v>
      </c>
      <c r="G6678" s="15" t="s">
        <v>26</v>
      </c>
      <c r="H6678" s="15" t="n">
        <v>6</v>
      </c>
      <c r="I6678" s="17" t="n">
        <v>0</v>
      </c>
      <c r="J6678" s="18" t="n">
        <v>490.64</v>
      </c>
      <c r="K6678" s="19" t="n">
        <v>77.75</v>
      </c>
      <c r="L6678" s="15" t="n">
        <f aca="false">YEAR(B6678)</f>
        <v>2025</v>
      </c>
      <c r="M6678" s="20" t="n">
        <f aca="false">IF(J6678&gt;0,K6678/J6678,0)</f>
        <v>0.158466492744171</v>
      </c>
    </row>
    <row r="6679" customFormat="false" ht="15" hidden="false" customHeight="false" outlineLevel="0" collapsed="false">
      <c r="A6679" s="15" t="s">
        <v>6736</v>
      </c>
      <c r="B6679" s="16" t="n">
        <v>44817</v>
      </c>
      <c r="C6679" s="15" t="s">
        <v>68</v>
      </c>
      <c r="D6679" s="15" t="s">
        <v>43</v>
      </c>
      <c r="E6679" s="15" t="s">
        <v>39</v>
      </c>
      <c r="F6679" s="15" t="s">
        <v>17</v>
      </c>
      <c r="G6679" s="15" t="s">
        <v>31</v>
      </c>
      <c r="H6679" s="15" t="n">
        <v>3</v>
      </c>
      <c r="I6679" s="17" t="n">
        <v>0</v>
      </c>
      <c r="J6679" s="18" t="n">
        <v>512.78</v>
      </c>
      <c r="K6679" s="19" t="n">
        <v>81.42</v>
      </c>
      <c r="L6679" s="15" t="n">
        <f aca="false">YEAR(B6679)</f>
        <v>2022</v>
      </c>
      <c r="M6679" s="20" t="n">
        <f aca="false">IF(J6679&gt;0,K6679/J6679,0)</f>
        <v>0.158781543741956</v>
      </c>
    </row>
    <row r="6680" customFormat="false" ht="15" hidden="false" customHeight="false" outlineLevel="0" collapsed="false">
      <c r="A6680" s="15" t="s">
        <v>6737</v>
      </c>
      <c r="B6680" s="16" t="n">
        <v>45087</v>
      </c>
      <c r="C6680" s="15" t="s">
        <v>68</v>
      </c>
      <c r="D6680" s="15" t="s">
        <v>42</v>
      </c>
      <c r="E6680" s="15" t="s">
        <v>39</v>
      </c>
      <c r="F6680" s="15" t="s">
        <v>17</v>
      </c>
      <c r="G6680" s="15" t="s">
        <v>29</v>
      </c>
      <c r="H6680" s="15" t="n">
        <v>3</v>
      </c>
      <c r="I6680" s="17" t="n">
        <v>0</v>
      </c>
      <c r="J6680" s="18" t="n">
        <v>48.98</v>
      </c>
      <c r="K6680" s="19" t="n">
        <v>15.14</v>
      </c>
      <c r="L6680" s="15" t="n">
        <f aca="false">YEAR(B6680)</f>
        <v>2023</v>
      </c>
      <c r="M6680" s="20" t="n">
        <f aca="false">IF(J6680&gt;0,K6680/J6680,0)</f>
        <v>0.309105757452021</v>
      </c>
    </row>
    <row r="6681" customFormat="false" ht="15" hidden="false" customHeight="false" outlineLevel="0" collapsed="false">
      <c r="A6681" s="15" t="s">
        <v>6738</v>
      </c>
      <c r="B6681" s="16" t="n">
        <v>45765</v>
      </c>
      <c r="C6681" s="15" t="s">
        <v>56</v>
      </c>
      <c r="D6681" s="15" t="s">
        <v>44</v>
      </c>
      <c r="E6681" s="15" t="s">
        <v>37</v>
      </c>
      <c r="F6681" s="15" t="s">
        <v>18</v>
      </c>
      <c r="G6681" s="15" t="s">
        <v>30</v>
      </c>
      <c r="H6681" s="15" t="n">
        <v>7</v>
      </c>
      <c r="I6681" s="17" t="n">
        <v>0.05</v>
      </c>
      <c r="J6681" s="18" t="n">
        <v>329.87</v>
      </c>
      <c r="K6681" s="19" t="n">
        <v>98.2</v>
      </c>
      <c r="L6681" s="15" t="n">
        <f aca="false">YEAR(B6681)</f>
        <v>2025</v>
      </c>
      <c r="M6681" s="20" t="n">
        <f aca="false">IF(J6681&gt;0,K6681/J6681,0)</f>
        <v>0.297693030587807</v>
      </c>
    </row>
    <row r="6682" customFormat="false" ht="15" hidden="false" customHeight="false" outlineLevel="0" collapsed="false">
      <c r="A6682" s="15" t="s">
        <v>6739</v>
      </c>
      <c r="B6682" s="16" t="n">
        <v>44719</v>
      </c>
      <c r="C6682" s="15" t="s">
        <v>71</v>
      </c>
      <c r="D6682" s="15" t="s">
        <v>43</v>
      </c>
      <c r="E6682" s="15" t="s">
        <v>39</v>
      </c>
      <c r="F6682" s="15" t="s">
        <v>16</v>
      </c>
      <c r="G6682" s="15" t="s">
        <v>27</v>
      </c>
      <c r="H6682" s="15" t="n">
        <v>3</v>
      </c>
      <c r="I6682" s="17" t="n">
        <v>0.05</v>
      </c>
      <c r="J6682" s="18" t="n">
        <v>231.07</v>
      </c>
      <c r="K6682" s="19" t="n">
        <v>43.89</v>
      </c>
      <c r="L6682" s="15" t="n">
        <f aca="false">YEAR(B6682)</f>
        <v>2022</v>
      </c>
      <c r="M6682" s="20" t="n">
        <f aca="false">IF(J6682&gt;0,K6682/J6682,0)</f>
        <v>0.189942441684338</v>
      </c>
    </row>
    <row r="6683" customFormat="false" ht="15" hidden="false" customHeight="false" outlineLevel="0" collapsed="false">
      <c r="A6683" s="15" t="s">
        <v>6740</v>
      </c>
      <c r="B6683" s="16" t="n">
        <v>44887</v>
      </c>
      <c r="C6683" s="15" t="s">
        <v>68</v>
      </c>
      <c r="D6683" s="15" t="s">
        <v>44</v>
      </c>
      <c r="E6683" s="15" t="s">
        <v>37</v>
      </c>
      <c r="F6683" s="15" t="s">
        <v>17</v>
      </c>
      <c r="G6683" s="15" t="s">
        <v>28</v>
      </c>
      <c r="H6683" s="15" t="n">
        <v>2</v>
      </c>
      <c r="I6683" s="17" t="n">
        <v>0</v>
      </c>
      <c r="J6683" s="18" t="n">
        <v>57.57</v>
      </c>
      <c r="K6683" s="19" t="n">
        <v>16.75</v>
      </c>
      <c r="L6683" s="15" t="n">
        <f aca="false">YEAR(B6683)</f>
        <v>2022</v>
      </c>
      <c r="M6683" s="20" t="n">
        <f aca="false">IF(J6683&gt;0,K6683/J6683,0)</f>
        <v>0.290950147646344</v>
      </c>
    </row>
    <row r="6684" customFormat="false" ht="15" hidden="false" customHeight="false" outlineLevel="0" collapsed="false">
      <c r="A6684" s="15" t="s">
        <v>6741</v>
      </c>
      <c r="B6684" s="16" t="n">
        <v>45909</v>
      </c>
      <c r="C6684" s="15" t="s">
        <v>56</v>
      </c>
      <c r="D6684" s="15" t="s">
        <v>42</v>
      </c>
      <c r="E6684" s="15" t="s">
        <v>39</v>
      </c>
      <c r="F6684" s="15" t="s">
        <v>17</v>
      </c>
      <c r="G6684" s="15" t="s">
        <v>26</v>
      </c>
      <c r="H6684" s="15" t="n">
        <v>1</v>
      </c>
      <c r="I6684" s="17" t="n">
        <v>0</v>
      </c>
      <c r="J6684" s="18" t="n">
        <v>83.17</v>
      </c>
      <c r="K6684" s="19" t="n">
        <v>14.24</v>
      </c>
      <c r="L6684" s="15" t="n">
        <f aca="false">YEAR(B6684)</f>
        <v>2025</v>
      </c>
      <c r="M6684" s="20" t="n">
        <f aca="false">IF(J6684&gt;0,K6684/J6684,0)</f>
        <v>0.171215582541782</v>
      </c>
    </row>
    <row r="6685" customFormat="false" ht="15" hidden="false" customHeight="false" outlineLevel="0" collapsed="false">
      <c r="A6685" s="15" t="s">
        <v>6742</v>
      </c>
      <c r="B6685" s="16" t="n">
        <v>45850</v>
      </c>
      <c r="C6685" s="15" t="s">
        <v>71</v>
      </c>
      <c r="D6685" s="15" t="s">
        <v>42</v>
      </c>
      <c r="E6685" s="15" t="s">
        <v>39</v>
      </c>
      <c r="F6685" s="15" t="s">
        <v>17</v>
      </c>
      <c r="G6685" s="15" t="s">
        <v>31</v>
      </c>
      <c r="H6685" s="15" t="n">
        <v>3</v>
      </c>
      <c r="I6685" s="17" t="n">
        <v>0</v>
      </c>
      <c r="J6685" s="18" t="n">
        <v>429.09</v>
      </c>
      <c r="K6685" s="19" t="n">
        <v>105.19</v>
      </c>
      <c r="L6685" s="15" t="n">
        <f aca="false">YEAR(B6685)</f>
        <v>2025</v>
      </c>
      <c r="M6685" s="20" t="n">
        <f aca="false">IF(J6685&gt;0,K6685/J6685,0)</f>
        <v>0.245146705819292</v>
      </c>
    </row>
    <row r="6686" customFormat="false" ht="15" hidden="false" customHeight="false" outlineLevel="0" collapsed="false">
      <c r="A6686" s="15" t="s">
        <v>6743</v>
      </c>
      <c r="B6686" s="16" t="n">
        <v>45130</v>
      </c>
      <c r="C6686" s="15" t="s">
        <v>56</v>
      </c>
      <c r="D6686" s="15" t="s">
        <v>42</v>
      </c>
      <c r="E6686" s="15" t="s">
        <v>36</v>
      </c>
      <c r="F6686" s="15" t="s">
        <v>16</v>
      </c>
      <c r="G6686" s="15" t="s">
        <v>23</v>
      </c>
      <c r="H6686" s="15" t="n">
        <v>2</v>
      </c>
      <c r="I6686" s="17" t="n">
        <v>0</v>
      </c>
      <c r="J6686" s="18" t="n">
        <v>581.51</v>
      </c>
      <c r="K6686" s="19" t="n">
        <v>10.04</v>
      </c>
      <c r="L6686" s="15" t="n">
        <f aca="false">YEAR(B6686)</f>
        <v>2023</v>
      </c>
      <c r="M6686" s="20" t="n">
        <f aca="false">IF(J6686&gt;0,K6686/J6686,0)</f>
        <v>0.0172653952640539</v>
      </c>
    </row>
    <row r="6687" customFormat="false" ht="15" hidden="false" customHeight="false" outlineLevel="0" collapsed="false">
      <c r="A6687" s="15" t="s">
        <v>6744</v>
      </c>
      <c r="B6687" s="16" t="n">
        <v>45235</v>
      </c>
      <c r="C6687" s="15" t="s">
        <v>56</v>
      </c>
      <c r="D6687" s="15" t="s">
        <v>42</v>
      </c>
      <c r="E6687" s="15" t="s">
        <v>36</v>
      </c>
      <c r="F6687" s="15" t="s">
        <v>17</v>
      </c>
      <c r="G6687" s="15" t="s">
        <v>26</v>
      </c>
      <c r="H6687" s="15" t="n">
        <v>1</v>
      </c>
      <c r="I6687" s="17" t="n">
        <v>0</v>
      </c>
      <c r="J6687" s="18" t="n">
        <v>72.65</v>
      </c>
      <c r="K6687" s="19" t="n">
        <v>11.73</v>
      </c>
      <c r="L6687" s="15" t="n">
        <f aca="false">YEAR(B6687)</f>
        <v>2023</v>
      </c>
      <c r="M6687" s="20" t="n">
        <f aca="false">IF(J6687&gt;0,K6687/J6687,0)</f>
        <v>0.161459050240881</v>
      </c>
    </row>
    <row r="6688" customFormat="false" ht="15" hidden="false" customHeight="false" outlineLevel="0" collapsed="false">
      <c r="A6688" s="15" t="s">
        <v>6745</v>
      </c>
      <c r="B6688" s="16" t="n">
        <v>45788</v>
      </c>
      <c r="C6688" s="15" t="s">
        <v>58</v>
      </c>
      <c r="D6688" s="15" t="s">
        <v>42</v>
      </c>
      <c r="E6688" s="15" t="s">
        <v>39</v>
      </c>
      <c r="F6688" s="15" t="s">
        <v>18</v>
      </c>
      <c r="G6688" s="15" t="s">
        <v>32</v>
      </c>
      <c r="H6688" s="15" t="n">
        <v>5</v>
      </c>
      <c r="I6688" s="17" t="n">
        <v>0.2</v>
      </c>
      <c r="J6688" s="18" t="n">
        <v>2140.53</v>
      </c>
      <c r="K6688" s="19" t="n">
        <v>170.36</v>
      </c>
      <c r="L6688" s="15" t="n">
        <f aca="false">YEAR(B6688)</f>
        <v>2025</v>
      </c>
      <c r="M6688" s="20" t="n">
        <f aca="false">IF(J6688&gt;0,K6688/J6688,0)</f>
        <v>0.0795877656468258</v>
      </c>
    </row>
    <row r="6689" customFormat="false" ht="15" hidden="false" customHeight="false" outlineLevel="0" collapsed="false">
      <c r="A6689" s="15" t="s">
        <v>6746</v>
      </c>
      <c r="B6689" s="16" t="n">
        <v>44715</v>
      </c>
      <c r="C6689" s="15" t="s">
        <v>58</v>
      </c>
      <c r="D6689" s="15" t="s">
        <v>42</v>
      </c>
      <c r="E6689" s="15" t="s">
        <v>39</v>
      </c>
      <c r="F6689" s="15" t="s">
        <v>17</v>
      </c>
      <c r="G6689" s="15" t="s">
        <v>29</v>
      </c>
      <c r="H6689" s="15" t="n">
        <v>4</v>
      </c>
      <c r="I6689" s="17" t="n">
        <v>0.05</v>
      </c>
      <c r="J6689" s="18" t="n">
        <v>74.74</v>
      </c>
      <c r="K6689" s="19" t="n">
        <v>27.08</v>
      </c>
      <c r="L6689" s="15" t="n">
        <f aca="false">YEAR(B6689)</f>
        <v>2022</v>
      </c>
      <c r="M6689" s="20" t="n">
        <f aca="false">IF(J6689&gt;0,K6689/J6689,0)</f>
        <v>0.362322718758362</v>
      </c>
    </row>
    <row r="6690" customFormat="false" ht="15" hidden="false" customHeight="false" outlineLevel="0" collapsed="false">
      <c r="A6690" s="15" t="s">
        <v>6747</v>
      </c>
      <c r="B6690" s="16" t="n">
        <v>45439</v>
      </c>
      <c r="C6690" s="15" t="s">
        <v>68</v>
      </c>
      <c r="D6690" s="15" t="s">
        <v>42</v>
      </c>
      <c r="E6690" s="15" t="s">
        <v>37</v>
      </c>
      <c r="F6690" s="15" t="s">
        <v>16</v>
      </c>
      <c r="G6690" s="15" t="s">
        <v>22</v>
      </c>
      <c r="H6690" s="15" t="n">
        <v>4</v>
      </c>
      <c r="I6690" s="17" t="n">
        <v>0.3</v>
      </c>
      <c r="J6690" s="18" t="n">
        <v>1284.96</v>
      </c>
      <c r="K6690" s="19" t="n">
        <v>-354.36</v>
      </c>
      <c r="L6690" s="15" t="n">
        <f aca="false">YEAR(B6690)</f>
        <v>2024</v>
      </c>
      <c r="M6690" s="20" t="n">
        <f aca="false">IF(J6690&gt;0,K6690/J6690,0)</f>
        <v>-0.275775121404557</v>
      </c>
    </row>
    <row r="6691" customFormat="false" ht="15" hidden="false" customHeight="false" outlineLevel="0" collapsed="false">
      <c r="A6691" s="15" t="s">
        <v>6748</v>
      </c>
      <c r="B6691" s="16" t="n">
        <v>44842</v>
      </c>
      <c r="C6691" s="15" t="s">
        <v>56</v>
      </c>
      <c r="D6691" s="15" t="s">
        <v>42</v>
      </c>
      <c r="E6691" s="15" t="s">
        <v>39</v>
      </c>
      <c r="F6691" s="15" t="s">
        <v>17</v>
      </c>
      <c r="G6691" s="15" t="s">
        <v>31</v>
      </c>
      <c r="H6691" s="15" t="n">
        <v>4</v>
      </c>
      <c r="I6691" s="17" t="n">
        <v>0.1</v>
      </c>
      <c r="J6691" s="18" t="n">
        <v>489.95</v>
      </c>
      <c r="K6691" s="19" t="n">
        <v>65.6</v>
      </c>
      <c r="L6691" s="15" t="n">
        <f aca="false">YEAR(B6691)</f>
        <v>2022</v>
      </c>
      <c r="M6691" s="20" t="n">
        <f aca="false">IF(J6691&gt;0,K6691/J6691,0)</f>
        <v>0.133891213389121</v>
      </c>
    </row>
    <row r="6692" customFormat="false" ht="15" hidden="false" customHeight="false" outlineLevel="0" collapsed="false">
      <c r="A6692" s="15" t="s">
        <v>6749</v>
      </c>
      <c r="B6692" s="16" t="n">
        <v>45731</v>
      </c>
      <c r="C6692" s="15" t="s">
        <v>56</v>
      </c>
      <c r="D6692" s="15" t="s">
        <v>42</v>
      </c>
      <c r="E6692" s="15" t="s">
        <v>39</v>
      </c>
      <c r="F6692" s="15" t="s">
        <v>17</v>
      </c>
      <c r="G6692" s="15" t="s">
        <v>26</v>
      </c>
      <c r="H6692" s="15" t="n">
        <v>4</v>
      </c>
      <c r="I6692" s="17" t="n">
        <v>0.2</v>
      </c>
      <c r="J6692" s="18" t="n">
        <v>287</v>
      </c>
      <c r="K6692" s="19" t="n">
        <v>-24.52</v>
      </c>
      <c r="L6692" s="15" t="n">
        <f aca="false">YEAR(B6692)</f>
        <v>2025</v>
      </c>
      <c r="M6692" s="20" t="n">
        <f aca="false">IF(J6692&gt;0,K6692/J6692,0)</f>
        <v>-0.0854355400696864</v>
      </c>
    </row>
    <row r="6693" customFormat="false" ht="15" hidden="false" customHeight="false" outlineLevel="0" collapsed="false">
      <c r="A6693" s="15" t="s">
        <v>6750</v>
      </c>
      <c r="B6693" s="16" t="n">
        <v>44683</v>
      </c>
      <c r="C6693" s="15" t="s">
        <v>56</v>
      </c>
      <c r="D6693" s="15" t="s">
        <v>42</v>
      </c>
      <c r="E6693" s="15" t="s">
        <v>37</v>
      </c>
      <c r="F6693" s="15" t="s">
        <v>17</v>
      </c>
      <c r="G6693" s="15" t="s">
        <v>31</v>
      </c>
      <c r="H6693" s="15" t="n">
        <v>4</v>
      </c>
      <c r="I6693" s="17" t="n">
        <v>0</v>
      </c>
      <c r="J6693" s="18" t="n">
        <v>463.98</v>
      </c>
      <c r="K6693" s="19" t="n">
        <v>92.86</v>
      </c>
      <c r="L6693" s="15" t="n">
        <f aca="false">YEAR(B6693)</f>
        <v>2022</v>
      </c>
      <c r="M6693" s="20" t="n">
        <f aca="false">IF(J6693&gt;0,K6693/J6693,0)</f>
        <v>0.200137936980042</v>
      </c>
    </row>
    <row r="6694" customFormat="false" ht="15" hidden="false" customHeight="false" outlineLevel="0" collapsed="false">
      <c r="A6694" s="15" t="s">
        <v>6751</v>
      </c>
      <c r="B6694" s="16" t="n">
        <v>44892</v>
      </c>
      <c r="C6694" s="15" t="s">
        <v>56</v>
      </c>
      <c r="D6694" s="15" t="s">
        <v>43</v>
      </c>
      <c r="E6694" s="15" t="s">
        <v>39</v>
      </c>
      <c r="F6694" s="15" t="s">
        <v>16</v>
      </c>
      <c r="G6694" s="15" t="s">
        <v>27</v>
      </c>
      <c r="H6694" s="15" t="n">
        <v>3</v>
      </c>
      <c r="I6694" s="17" t="n">
        <v>0</v>
      </c>
      <c r="J6694" s="18" t="n">
        <v>219.67</v>
      </c>
      <c r="K6694" s="19" t="n">
        <v>38.91</v>
      </c>
      <c r="L6694" s="15" t="n">
        <f aca="false">YEAR(B6694)</f>
        <v>2022</v>
      </c>
      <c r="M6694" s="20" t="n">
        <f aca="false">IF(J6694&gt;0,K6694/J6694,0)</f>
        <v>0.177129330359175</v>
      </c>
    </row>
    <row r="6695" customFormat="false" ht="15" hidden="false" customHeight="false" outlineLevel="0" collapsed="false">
      <c r="A6695" s="15" t="s">
        <v>6752</v>
      </c>
      <c r="B6695" s="16" t="n">
        <v>45422</v>
      </c>
      <c r="C6695" s="15" t="s">
        <v>56</v>
      </c>
      <c r="D6695" s="15" t="s">
        <v>42</v>
      </c>
      <c r="E6695" s="15" t="s">
        <v>37</v>
      </c>
      <c r="F6695" s="15" t="s">
        <v>17</v>
      </c>
      <c r="G6695" s="15" t="s">
        <v>28</v>
      </c>
      <c r="H6695" s="15" t="n">
        <v>5</v>
      </c>
      <c r="I6695" s="17" t="n">
        <v>0</v>
      </c>
      <c r="J6695" s="18" t="n">
        <v>129.14</v>
      </c>
      <c r="K6695" s="19" t="n">
        <v>49.23</v>
      </c>
      <c r="L6695" s="15" t="n">
        <f aca="false">YEAR(B6695)</f>
        <v>2024</v>
      </c>
      <c r="M6695" s="20" t="n">
        <f aca="false">IF(J6695&gt;0,K6695/J6695,0)</f>
        <v>0.381214186154561</v>
      </c>
    </row>
    <row r="6696" customFormat="false" ht="15" hidden="false" customHeight="false" outlineLevel="0" collapsed="false">
      <c r="A6696" s="15" t="s">
        <v>6753</v>
      </c>
      <c r="B6696" s="16" t="n">
        <v>45659</v>
      </c>
      <c r="C6696" s="15" t="s">
        <v>56</v>
      </c>
      <c r="D6696" s="15" t="s">
        <v>43</v>
      </c>
      <c r="E6696" s="15" t="s">
        <v>39</v>
      </c>
      <c r="F6696" s="15" t="s">
        <v>17</v>
      </c>
      <c r="G6696" s="15" t="s">
        <v>28</v>
      </c>
      <c r="H6696" s="15" t="n">
        <v>6</v>
      </c>
      <c r="I6696" s="17" t="n">
        <v>0.15</v>
      </c>
      <c r="J6696" s="18" t="n">
        <v>153.87</v>
      </c>
      <c r="K6696" s="19" t="n">
        <v>22.22</v>
      </c>
      <c r="L6696" s="15" t="n">
        <f aca="false">YEAR(B6696)</f>
        <v>2025</v>
      </c>
      <c r="M6696" s="20" t="n">
        <f aca="false">IF(J6696&gt;0,K6696/J6696,0)</f>
        <v>0.144407616819393</v>
      </c>
    </row>
    <row r="6697" customFormat="false" ht="15" hidden="false" customHeight="false" outlineLevel="0" collapsed="false">
      <c r="A6697" s="15" t="s">
        <v>6754</v>
      </c>
      <c r="B6697" s="16" t="n">
        <v>44875</v>
      </c>
      <c r="C6697" s="15" t="s">
        <v>56</v>
      </c>
      <c r="D6697" s="15" t="s">
        <v>42</v>
      </c>
      <c r="E6697" s="15" t="s">
        <v>37</v>
      </c>
      <c r="F6697" s="15" t="s">
        <v>18</v>
      </c>
      <c r="G6697" s="15" t="s">
        <v>32</v>
      </c>
      <c r="H6697" s="15" t="n">
        <v>4</v>
      </c>
      <c r="I6697" s="17" t="n">
        <v>0.05</v>
      </c>
      <c r="J6697" s="18" t="n">
        <v>1690.31</v>
      </c>
      <c r="K6697" s="19" t="n">
        <v>199.84</v>
      </c>
      <c r="L6697" s="15" t="n">
        <f aca="false">YEAR(B6697)</f>
        <v>2022</v>
      </c>
      <c r="M6697" s="20" t="n">
        <f aca="false">IF(J6697&gt;0,K6697/J6697,0)</f>
        <v>0.118226834131017</v>
      </c>
    </row>
    <row r="6698" customFormat="false" ht="15" hidden="false" customHeight="false" outlineLevel="0" collapsed="false">
      <c r="A6698" s="15" t="s">
        <v>6755</v>
      </c>
      <c r="B6698" s="16" t="n">
        <v>45160</v>
      </c>
      <c r="C6698" s="15" t="s">
        <v>56</v>
      </c>
      <c r="D6698" s="15" t="s">
        <v>43</v>
      </c>
      <c r="E6698" s="15" t="s">
        <v>37</v>
      </c>
      <c r="F6698" s="15" t="s">
        <v>18</v>
      </c>
      <c r="G6698" s="15" t="s">
        <v>32</v>
      </c>
      <c r="H6698" s="15" t="n">
        <v>3</v>
      </c>
      <c r="I6698" s="17" t="n">
        <v>0.2</v>
      </c>
      <c r="J6698" s="18" t="n">
        <v>1006.78</v>
      </c>
      <c r="K6698" s="19" t="n">
        <v>-17.61</v>
      </c>
      <c r="L6698" s="15" t="n">
        <f aca="false">YEAR(B6698)</f>
        <v>2023</v>
      </c>
      <c r="M6698" s="20" t="n">
        <f aca="false">IF(J6698&gt;0,K6698/J6698,0)</f>
        <v>-0.0174914082520511</v>
      </c>
    </row>
    <row r="6699" customFormat="false" ht="15" hidden="false" customHeight="false" outlineLevel="0" collapsed="false">
      <c r="A6699" s="15" t="s">
        <v>6756</v>
      </c>
      <c r="B6699" s="16" t="n">
        <v>45478</v>
      </c>
      <c r="C6699" s="15" t="s">
        <v>58</v>
      </c>
      <c r="D6699" s="15" t="s">
        <v>43</v>
      </c>
      <c r="E6699" s="15" t="s">
        <v>39</v>
      </c>
      <c r="F6699" s="15" t="s">
        <v>17</v>
      </c>
      <c r="G6699" s="15" t="s">
        <v>26</v>
      </c>
      <c r="H6699" s="15" t="n">
        <v>4</v>
      </c>
      <c r="I6699" s="17" t="n">
        <v>0.2</v>
      </c>
      <c r="J6699" s="18" t="n">
        <v>253.35</v>
      </c>
      <c r="K6699" s="19" t="n">
        <v>-17.06</v>
      </c>
      <c r="L6699" s="15" t="n">
        <f aca="false">YEAR(B6699)</f>
        <v>2024</v>
      </c>
      <c r="M6699" s="20" t="n">
        <f aca="false">IF(J6699&gt;0,K6699/J6699,0)</f>
        <v>-0.0673376751529505</v>
      </c>
    </row>
    <row r="6700" customFormat="false" ht="15" hidden="false" customHeight="false" outlineLevel="0" collapsed="false">
      <c r="A6700" s="15" t="s">
        <v>6757</v>
      </c>
      <c r="B6700" s="16" t="n">
        <v>45859</v>
      </c>
      <c r="C6700" s="15" t="s">
        <v>71</v>
      </c>
      <c r="D6700" s="15" t="s">
        <v>42</v>
      </c>
      <c r="E6700" s="15" t="s">
        <v>36</v>
      </c>
      <c r="F6700" s="15" t="s">
        <v>18</v>
      </c>
      <c r="G6700" s="15" t="s">
        <v>30</v>
      </c>
      <c r="H6700" s="15" t="n">
        <v>3</v>
      </c>
      <c r="I6700" s="17" t="n">
        <v>0.05</v>
      </c>
      <c r="J6700" s="18" t="n">
        <v>138.16</v>
      </c>
      <c r="K6700" s="19" t="n">
        <v>35.54</v>
      </c>
      <c r="L6700" s="15" t="n">
        <f aca="false">YEAR(B6700)</f>
        <v>2025</v>
      </c>
      <c r="M6700" s="20" t="n">
        <f aca="false">IF(J6700&gt;0,K6700/J6700,0)</f>
        <v>0.257237984944991</v>
      </c>
    </row>
    <row r="6701" customFormat="false" ht="15" hidden="false" customHeight="false" outlineLevel="0" collapsed="false">
      <c r="A6701" s="15" t="s">
        <v>6758</v>
      </c>
      <c r="B6701" s="16" t="n">
        <v>45198</v>
      </c>
      <c r="C6701" s="15" t="s">
        <v>56</v>
      </c>
      <c r="D6701" s="15" t="s">
        <v>43</v>
      </c>
      <c r="E6701" s="15" t="s">
        <v>39</v>
      </c>
      <c r="F6701" s="15" t="s">
        <v>18</v>
      </c>
      <c r="G6701" s="15" t="s">
        <v>30</v>
      </c>
      <c r="H6701" s="15" t="n">
        <v>3</v>
      </c>
      <c r="I6701" s="17" t="n">
        <v>0.1</v>
      </c>
      <c r="J6701" s="18" t="n">
        <v>118.18</v>
      </c>
      <c r="K6701" s="19" t="n">
        <v>15.93</v>
      </c>
      <c r="L6701" s="15" t="n">
        <f aca="false">YEAR(B6701)</f>
        <v>2023</v>
      </c>
      <c r="M6701" s="20" t="n">
        <f aca="false">IF(J6701&gt;0,K6701/J6701,0)</f>
        <v>0.134794381452022</v>
      </c>
    </row>
    <row r="6702" customFormat="false" ht="15" hidden="false" customHeight="false" outlineLevel="0" collapsed="false">
      <c r="A6702" s="15" t="s">
        <v>6759</v>
      </c>
      <c r="B6702" s="16" t="n">
        <v>45256</v>
      </c>
      <c r="C6702" s="15" t="s">
        <v>71</v>
      </c>
      <c r="D6702" s="15" t="s">
        <v>43</v>
      </c>
      <c r="E6702" s="15" t="s">
        <v>38</v>
      </c>
      <c r="F6702" s="15" t="s">
        <v>18</v>
      </c>
      <c r="G6702" s="15" t="s">
        <v>30</v>
      </c>
      <c r="H6702" s="15" t="n">
        <v>4</v>
      </c>
      <c r="I6702" s="17" t="n">
        <v>0.15</v>
      </c>
      <c r="J6702" s="18" t="n">
        <v>164.96</v>
      </c>
      <c r="K6702" s="19" t="n">
        <v>33.52</v>
      </c>
      <c r="L6702" s="15" t="n">
        <f aca="false">YEAR(B6702)</f>
        <v>2023</v>
      </c>
      <c r="M6702" s="20" t="n">
        <f aca="false">IF(J6702&gt;0,K6702/J6702,0)</f>
        <v>0.203200775945684</v>
      </c>
    </row>
    <row r="6703" customFormat="false" ht="15" hidden="false" customHeight="false" outlineLevel="0" collapsed="false">
      <c r="A6703" s="15" t="s">
        <v>6760</v>
      </c>
      <c r="B6703" s="16" t="n">
        <v>45715</v>
      </c>
      <c r="C6703" s="15" t="s">
        <v>56</v>
      </c>
      <c r="D6703" s="15" t="s">
        <v>42</v>
      </c>
      <c r="E6703" s="15" t="s">
        <v>39</v>
      </c>
      <c r="F6703" s="15" t="s">
        <v>18</v>
      </c>
      <c r="G6703" s="15" t="s">
        <v>30</v>
      </c>
      <c r="H6703" s="15" t="n">
        <v>3</v>
      </c>
      <c r="I6703" s="17" t="n">
        <v>0.1</v>
      </c>
      <c r="J6703" s="18" t="n">
        <v>105.8</v>
      </c>
      <c r="K6703" s="19" t="n">
        <v>19.44</v>
      </c>
      <c r="L6703" s="15" t="n">
        <f aca="false">YEAR(B6703)</f>
        <v>2025</v>
      </c>
      <c r="M6703" s="20" t="n">
        <f aca="false">IF(J6703&gt;0,K6703/J6703,0)</f>
        <v>0.183742911153119</v>
      </c>
    </row>
    <row r="6704" customFormat="false" ht="15" hidden="false" customHeight="false" outlineLevel="0" collapsed="false">
      <c r="A6704" s="15" t="s">
        <v>6761</v>
      </c>
      <c r="B6704" s="16" t="n">
        <v>45323</v>
      </c>
      <c r="C6704" s="15" t="s">
        <v>56</v>
      </c>
      <c r="D6704" s="15" t="s">
        <v>42</v>
      </c>
      <c r="E6704" s="15" t="s">
        <v>39</v>
      </c>
      <c r="F6704" s="15" t="s">
        <v>18</v>
      </c>
      <c r="G6704" s="15" t="s">
        <v>32</v>
      </c>
      <c r="H6704" s="15" t="n">
        <v>3</v>
      </c>
      <c r="I6704" s="17" t="n">
        <v>0</v>
      </c>
      <c r="J6704" s="18" t="n">
        <v>1222.9</v>
      </c>
      <c r="K6704" s="19" t="n">
        <v>197.35</v>
      </c>
      <c r="L6704" s="15" t="n">
        <f aca="false">YEAR(B6704)</f>
        <v>2024</v>
      </c>
      <c r="M6704" s="20" t="n">
        <f aca="false">IF(J6704&gt;0,K6704/J6704,0)</f>
        <v>0.161378689999182</v>
      </c>
    </row>
    <row r="6705" customFormat="false" ht="15" hidden="false" customHeight="false" outlineLevel="0" collapsed="false">
      <c r="A6705" s="15" t="s">
        <v>6762</v>
      </c>
      <c r="B6705" s="16" t="n">
        <v>46004</v>
      </c>
      <c r="C6705" s="15" t="s">
        <v>56</v>
      </c>
      <c r="D6705" s="15" t="s">
        <v>42</v>
      </c>
      <c r="E6705" s="15" t="s">
        <v>36</v>
      </c>
      <c r="F6705" s="15" t="s">
        <v>17</v>
      </c>
      <c r="G6705" s="15" t="s">
        <v>29</v>
      </c>
      <c r="H6705" s="15" t="n">
        <v>6</v>
      </c>
      <c r="I6705" s="17" t="n">
        <v>0</v>
      </c>
      <c r="J6705" s="18" t="n">
        <v>132</v>
      </c>
      <c r="K6705" s="19" t="n">
        <v>43.93</v>
      </c>
      <c r="L6705" s="15" t="n">
        <f aca="false">YEAR(B6705)</f>
        <v>2025</v>
      </c>
      <c r="M6705" s="20" t="n">
        <f aca="false">IF(J6705&gt;0,K6705/J6705,0)</f>
        <v>0.33280303030303</v>
      </c>
    </row>
    <row r="6706" customFormat="false" ht="15" hidden="false" customHeight="false" outlineLevel="0" collapsed="false">
      <c r="A6706" s="15" t="s">
        <v>6763</v>
      </c>
      <c r="B6706" s="16" t="n">
        <v>45895</v>
      </c>
      <c r="C6706" s="15" t="s">
        <v>56</v>
      </c>
      <c r="D6706" s="15" t="s">
        <v>42</v>
      </c>
      <c r="E6706" s="15" t="s">
        <v>39</v>
      </c>
      <c r="F6706" s="15" t="s">
        <v>17</v>
      </c>
      <c r="G6706" s="15" t="s">
        <v>29</v>
      </c>
      <c r="H6706" s="15" t="n">
        <v>4</v>
      </c>
      <c r="I6706" s="17" t="n">
        <v>0</v>
      </c>
      <c r="J6706" s="18" t="n">
        <v>82.25</v>
      </c>
      <c r="K6706" s="19" t="n">
        <v>32.16</v>
      </c>
      <c r="L6706" s="15" t="n">
        <f aca="false">YEAR(B6706)</f>
        <v>2025</v>
      </c>
      <c r="M6706" s="20" t="n">
        <f aca="false">IF(J6706&gt;0,K6706/J6706,0)</f>
        <v>0.391003039513678</v>
      </c>
    </row>
    <row r="6707" customFormat="false" ht="15" hidden="false" customHeight="false" outlineLevel="0" collapsed="false">
      <c r="A6707" s="15" t="s">
        <v>6764</v>
      </c>
      <c r="B6707" s="16" t="n">
        <v>45471</v>
      </c>
      <c r="C6707" s="15" t="s">
        <v>71</v>
      </c>
      <c r="D6707" s="15" t="s">
        <v>44</v>
      </c>
      <c r="E6707" s="15" t="s">
        <v>37</v>
      </c>
      <c r="F6707" s="15" t="s">
        <v>17</v>
      </c>
      <c r="G6707" s="15" t="s">
        <v>31</v>
      </c>
      <c r="H6707" s="15" t="n">
        <v>1</v>
      </c>
      <c r="I6707" s="17" t="n">
        <v>0</v>
      </c>
      <c r="J6707" s="18" t="n">
        <v>116.24</v>
      </c>
      <c r="K6707" s="19" t="n">
        <v>23.61</v>
      </c>
      <c r="L6707" s="15" t="n">
        <f aca="false">YEAR(B6707)</f>
        <v>2024</v>
      </c>
      <c r="M6707" s="20" t="n">
        <f aca="false">IF(J6707&gt;0,K6707/J6707,0)</f>
        <v>0.203114246386786</v>
      </c>
    </row>
    <row r="6708" customFormat="false" ht="15" hidden="false" customHeight="false" outlineLevel="0" collapsed="false">
      <c r="A6708" s="15" t="s">
        <v>6765</v>
      </c>
      <c r="B6708" s="16" t="n">
        <v>45190</v>
      </c>
      <c r="C6708" s="15" t="s">
        <v>71</v>
      </c>
      <c r="D6708" s="15" t="s">
        <v>43</v>
      </c>
      <c r="E6708" s="15" t="s">
        <v>39</v>
      </c>
      <c r="F6708" s="15" t="s">
        <v>18</v>
      </c>
      <c r="G6708" s="15" t="s">
        <v>24</v>
      </c>
      <c r="H6708" s="15" t="n">
        <v>4</v>
      </c>
      <c r="I6708" s="17" t="n">
        <v>0.4</v>
      </c>
      <c r="J6708" s="18" t="n">
        <v>1809.01</v>
      </c>
      <c r="K6708" s="19" t="n">
        <v>-665.91</v>
      </c>
      <c r="L6708" s="15" t="n">
        <f aca="false">YEAR(B6708)</f>
        <v>2023</v>
      </c>
      <c r="M6708" s="20" t="n">
        <f aca="false">IF(J6708&gt;0,K6708/J6708,0)</f>
        <v>-0.368107417869442</v>
      </c>
    </row>
    <row r="6709" customFormat="false" ht="15" hidden="false" customHeight="false" outlineLevel="0" collapsed="false">
      <c r="A6709" s="15" t="s">
        <v>6766</v>
      </c>
      <c r="B6709" s="16" t="n">
        <v>44813</v>
      </c>
      <c r="C6709" s="15" t="s">
        <v>56</v>
      </c>
      <c r="D6709" s="15" t="s">
        <v>42</v>
      </c>
      <c r="E6709" s="15" t="s">
        <v>38</v>
      </c>
      <c r="F6709" s="15" t="s">
        <v>16</v>
      </c>
      <c r="G6709" s="15" t="s">
        <v>22</v>
      </c>
      <c r="H6709" s="15" t="n">
        <v>2</v>
      </c>
      <c r="I6709" s="17" t="n">
        <v>0.15</v>
      </c>
      <c r="J6709" s="18" t="n">
        <v>633.63</v>
      </c>
      <c r="K6709" s="19" t="n">
        <v>-106.42</v>
      </c>
      <c r="L6709" s="15" t="n">
        <f aca="false">YEAR(B6709)</f>
        <v>2022</v>
      </c>
      <c r="M6709" s="20" t="n">
        <f aca="false">IF(J6709&gt;0,K6709/J6709,0)</f>
        <v>-0.167952906270221</v>
      </c>
    </row>
    <row r="6710" customFormat="false" ht="15" hidden="false" customHeight="false" outlineLevel="0" collapsed="false">
      <c r="A6710" s="15" t="s">
        <v>6767</v>
      </c>
      <c r="B6710" s="16" t="n">
        <v>45447</v>
      </c>
      <c r="C6710" s="15" t="s">
        <v>56</v>
      </c>
      <c r="D6710" s="15" t="s">
        <v>42</v>
      </c>
      <c r="E6710" s="15" t="s">
        <v>37</v>
      </c>
      <c r="F6710" s="15" t="s">
        <v>17</v>
      </c>
      <c r="G6710" s="15" t="s">
        <v>31</v>
      </c>
      <c r="H6710" s="15" t="n">
        <v>7</v>
      </c>
      <c r="I6710" s="17" t="n">
        <v>0.1</v>
      </c>
      <c r="J6710" s="18" t="n">
        <v>835.11</v>
      </c>
      <c r="K6710" s="19" t="n">
        <v>136.95</v>
      </c>
      <c r="L6710" s="15" t="n">
        <f aca="false">YEAR(B6710)</f>
        <v>2024</v>
      </c>
      <c r="M6710" s="20" t="n">
        <f aca="false">IF(J6710&gt;0,K6710/J6710,0)</f>
        <v>0.163990372525775</v>
      </c>
    </row>
    <row r="6711" customFormat="false" ht="15" hidden="false" customHeight="false" outlineLevel="0" collapsed="false">
      <c r="A6711" s="15" t="s">
        <v>6768</v>
      </c>
      <c r="B6711" s="16" t="n">
        <v>45805</v>
      </c>
      <c r="C6711" s="15" t="s">
        <v>56</v>
      </c>
      <c r="D6711" s="15" t="s">
        <v>43</v>
      </c>
      <c r="E6711" s="15" t="s">
        <v>36</v>
      </c>
      <c r="F6711" s="15" t="s">
        <v>17</v>
      </c>
      <c r="G6711" s="15" t="s">
        <v>31</v>
      </c>
      <c r="H6711" s="15" t="n">
        <v>2</v>
      </c>
      <c r="I6711" s="17" t="n">
        <v>0</v>
      </c>
      <c r="J6711" s="18" t="n">
        <v>283.34</v>
      </c>
      <c r="K6711" s="19" t="n">
        <v>55.5</v>
      </c>
      <c r="L6711" s="15" t="n">
        <f aca="false">YEAR(B6711)</f>
        <v>2025</v>
      </c>
      <c r="M6711" s="20" t="n">
        <f aca="false">IF(J6711&gt;0,K6711/J6711,0)</f>
        <v>0.195877744053081</v>
      </c>
    </row>
    <row r="6712" customFormat="false" ht="15" hidden="false" customHeight="false" outlineLevel="0" collapsed="false">
      <c r="A6712" s="15" t="s">
        <v>6769</v>
      </c>
      <c r="B6712" s="16" t="n">
        <v>45086</v>
      </c>
      <c r="C6712" s="15" t="s">
        <v>56</v>
      </c>
      <c r="D6712" s="15" t="s">
        <v>42</v>
      </c>
      <c r="E6712" s="15" t="s">
        <v>37</v>
      </c>
      <c r="F6712" s="15" t="s">
        <v>17</v>
      </c>
      <c r="G6712" s="15" t="s">
        <v>28</v>
      </c>
      <c r="H6712" s="15" t="n">
        <v>4</v>
      </c>
      <c r="I6712" s="17" t="n">
        <v>0.4</v>
      </c>
      <c r="J6712" s="18" t="n">
        <v>68.84</v>
      </c>
      <c r="K6712" s="19" t="n">
        <v>-4.87</v>
      </c>
      <c r="L6712" s="15" t="n">
        <f aca="false">YEAR(B6712)</f>
        <v>2023</v>
      </c>
      <c r="M6712" s="20" t="n">
        <f aca="false">IF(J6712&gt;0,K6712/J6712,0)</f>
        <v>-0.0707437536316095</v>
      </c>
    </row>
    <row r="6713" customFormat="false" ht="15" hidden="false" customHeight="false" outlineLevel="0" collapsed="false">
      <c r="A6713" s="15" t="s">
        <v>6770</v>
      </c>
      <c r="B6713" s="16" t="n">
        <v>44902</v>
      </c>
      <c r="C6713" s="15" t="s">
        <v>56</v>
      </c>
      <c r="D6713" s="15" t="s">
        <v>44</v>
      </c>
      <c r="E6713" s="15" t="s">
        <v>37</v>
      </c>
      <c r="F6713" s="15" t="s">
        <v>18</v>
      </c>
      <c r="G6713" s="15" t="s">
        <v>30</v>
      </c>
      <c r="H6713" s="15" t="n">
        <v>1</v>
      </c>
      <c r="I6713" s="17" t="n">
        <v>0.2</v>
      </c>
      <c r="J6713" s="18" t="n">
        <v>32.25</v>
      </c>
      <c r="K6713" s="19" t="n">
        <v>3.01</v>
      </c>
      <c r="L6713" s="15" t="n">
        <f aca="false">YEAR(B6713)</f>
        <v>2022</v>
      </c>
      <c r="M6713" s="20" t="n">
        <f aca="false">IF(J6713&gt;0,K6713/J6713,0)</f>
        <v>0.0933333333333333</v>
      </c>
    </row>
    <row r="6714" customFormat="false" ht="15" hidden="false" customHeight="false" outlineLevel="0" collapsed="false">
      <c r="A6714" s="15" t="s">
        <v>6771</v>
      </c>
      <c r="B6714" s="16" t="n">
        <v>45588</v>
      </c>
      <c r="C6714" s="15" t="s">
        <v>68</v>
      </c>
      <c r="D6714" s="15" t="s">
        <v>42</v>
      </c>
      <c r="E6714" s="15" t="s">
        <v>38</v>
      </c>
      <c r="F6714" s="15" t="s">
        <v>16</v>
      </c>
      <c r="G6714" s="15" t="s">
        <v>23</v>
      </c>
      <c r="H6714" s="15" t="n">
        <v>6</v>
      </c>
      <c r="I6714" s="17" t="n">
        <v>0</v>
      </c>
      <c r="J6714" s="18" t="n">
        <v>1745.9</v>
      </c>
      <c r="K6714" s="19" t="n">
        <v>167.62</v>
      </c>
      <c r="L6714" s="15" t="n">
        <f aca="false">YEAR(B6714)</f>
        <v>2024</v>
      </c>
      <c r="M6714" s="20" t="n">
        <f aca="false">IF(J6714&gt;0,K6714/J6714,0)</f>
        <v>0.0960077896786758</v>
      </c>
    </row>
    <row r="6715" customFormat="false" ht="15" hidden="false" customHeight="false" outlineLevel="0" collapsed="false">
      <c r="A6715" s="15" t="s">
        <v>6772</v>
      </c>
      <c r="B6715" s="16" t="n">
        <v>45049</v>
      </c>
      <c r="C6715" s="15" t="s">
        <v>56</v>
      </c>
      <c r="D6715" s="15" t="s">
        <v>42</v>
      </c>
      <c r="E6715" s="15" t="s">
        <v>36</v>
      </c>
      <c r="F6715" s="15" t="s">
        <v>17</v>
      </c>
      <c r="G6715" s="15" t="s">
        <v>29</v>
      </c>
      <c r="H6715" s="15" t="n">
        <v>2</v>
      </c>
      <c r="I6715" s="17" t="n">
        <v>0.1</v>
      </c>
      <c r="J6715" s="18" t="n">
        <v>47.99</v>
      </c>
      <c r="K6715" s="19" t="n">
        <v>16.12</v>
      </c>
      <c r="L6715" s="15" t="n">
        <f aca="false">YEAR(B6715)</f>
        <v>2023</v>
      </c>
      <c r="M6715" s="20" t="n">
        <f aca="false">IF(J6715&gt;0,K6715/J6715,0)</f>
        <v>0.335903313190248</v>
      </c>
    </row>
    <row r="6716" customFormat="false" ht="15" hidden="false" customHeight="false" outlineLevel="0" collapsed="false">
      <c r="A6716" s="15" t="s">
        <v>6773</v>
      </c>
      <c r="B6716" s="16" t="n">
        <v>45488</v>
      </c>
      <c r="C6716" s="15" t="s">
        <v>71</v>
      </c>
      <c r="D6716" s="15" t="s">
        <v>44</v>
      </c>
      <c r="E6716" s="15" t="s">
        <v>39</v>
      </c>
      <c r="F6716" s="15" t="s">
        <v>17</v>
      </c>
      <c r="G6716" s="15" t="s">
        <v>28</v>
      </c>
      <c r="H6716" s="15" t="n">
        <v>5</v>
      </c>
      <c r="I6716" s="17" t="n">
        <v>0</v>
      </c>
      <c r="J6716" s="18" t="n">
        <v>121.2</v>
      </c>
      <c r="K6716" s="19" t="n">
        <v>29</v>
      </c>
      <c r="L6716" s="15" t="n">
        <f aca="false">YEAR(B6716)</f>
        <v>2024</v>
      </c>
      <c r="M6716" s="20" t="n">
        <f aca="false">IF(J6716&gt;0,K6716/J6716,0)</f>
        <v>0.239273927392739</v>
      </c>
    </row>
    <row r="6717" customFormat="false" ht="15" hidden="false" customHeight="false" outlineLevel="0" collapsed="false">
      <c r="A6717" s="15" t="s">
        <v>6774</v>
      </c>
      <c r="B6717" s="16" t="n">
        <v>45946</v>
      </c>
      <c r="C6717" s="15" t="s">
        <v>56</v>
      </c>
      <c r="D6717" s="15" t="s">
        <v>42</v>
      </c>
      <c r="E6717" s="15" t="s">
        <v>37</v>
      </c>
      <c r="F6717" s="15" t="s">
        <v>17</v>
      </c>
      <c r="G6717" s="15" t="s">
        <v>29</v>
      </c>
      <c r="H6717" s="15" t="n">
        <v>4</v>
      </c>
      <c r="I6717" s="17" t="n">
        <v>0.4</v>
      </c>
      <c r="J6717" s="18" t="n">
        <v>44.08</v>
      </c>
      <c r="K6717" s="19" t="n">
        <v>-0.21</v>
      </c>
      <c r="L6717" s="15" t="n">
        <f aca="false">YEAR(B6717)</f>
        <v>2025</v>
      </c>
      <c r="M6717" s="20" t="n">
        <f aca="false">IF(J6717&gt;0,K6717/J6717,0)</f>
        <v>-0.00476406533575318</v>
      </c>
    </row>
    <row r="6718" customFormat="false" ht="15" hidden="false" customHeight="false" outlineLevel="0" collapsed="false">
      <c r="A6718" s="15" t="s">
        <v>6775</v>
      </c>
      <c r="B6718" s="16" t="n">
        <v>45607</v>
      </c>
      <c r="C6718" s="15" t="s">
        <v>58</v>
      </c>
      <c r="D6718" s="15" t="s">
        <v>43</v>
      </c>
      <c r="E6718" s="15" t="s">
        <v>39</v>
      </c>
      <c r="F6718" s="15" t="s">
        <v>18</v>
      </c>
      <c r="G6718" s="15" t="s">
        <v>30</v>
      </c>
      <c r="H6718" s="15" t="n">
        <v>3</v>
      </c>
      <c r="I6718" s="17" t="n">
        <v>0.4</v>
      </c>
      <c r="J6718" s="18" t="n">
        <v>107.05</v>
      </c>
      <c r="K6718" s="19" t="n">
        <v>-4.73</v>
      </c>
      <c r="L6718" s="15" t="n">
        <f aca="false">YEAR(B6718)</f>
        <v>2024</v>
      </c>
      <c r="M6718" s="20" t="n">
        <f aca="false">IF(J6718&gt;0,K6718/J6718,0)</f>
        <v>-0.0441849602989257</v>
      </c>
    </row>
    <row r="6719" customFormat="false" ht="15" hidden="false" customHeight="false" outlineLevel="0" collapsed="false">
      <c r="A6719" s="15" t="s">
        <v>6776</v>
      </c>
      <c r="B6719" s="16" t="n">
        <v>45844</v>
      </c>
      <c r="C6719" s="15" t="s">
        <v>56</v>
      </c>
      <c r="D6719" s="15" t="s">
        <v>44</v>
      </c>
      <c r="E6719" s="15" t="s">
        <v>38</v>
      </c>
      <c r="F6719" s="15" t="s">
        <v>16</v>
      </c>
      <c r="G6719" s="15" t="s">
        <v>25</v>
      </c>
      <c r="H6719" s="15" t="n">
        <v>2</v>
      </c>
      <c r="I6719" s="17" t="n">
        <v>0.1</v>
      </c>
      <c r="J6719" s="18" t="n">
        <v>577.87</v>
      </c>
      <c r="K6719" s="19" t="n">
        <v>31.97</v>
      </c>
      <c r="L6719" s="15" t="n">
        <f aca="false">YEAR(B6719)</f>
        <v>2025</v>
      </c>
      <c r="M6719" s="20" t="n">
        <f aca="false">IF(J6719&gt;0,K6719/J6719,0)</f>
        <v>0.0553238617682178</v>
      </c>
    </row>
    <row r="6720" customFormat="false" ht="15" hidden="false" customHeight="false" outlineLevel="0" collapsed="false">
      <c r="A6720" s="15" t="s">
        <v>6777</v>
      </c>
      <c r="B6720" s="16" t="n">
        <v>45171</v>
      </c>
      <c r="C6720" s="15" t="s">
        <v>56</v>
      </c>
      <c r="D6720" s="15" t="s">
        <v>42</v>
      </c>
      <c r="E6720" s="15" t="s">
        <v>37</v>
      </c>
      <c r="F6720" s="15" t="s">
        <v>18</v>
      </c>
      <c r="G6720" s="15" t="s">
        <v>30</v>
      </c>
      <c r="H6720" s="15" t="n">
        <v>4</v>
      </c>
      <c r="I6720" s="17" t="n">
        <v>0</v>
      </c>
      <c r="J6720" s="18" t="n">
        <v>144.78</v>
      </c>
      <c r="K6720" s="19" t="n">
        <v>40.69</v>
      </c>
      <c r="L6720" s="15" t="n">
        <f aca="false">YEAR(B6720)</f>
        <v>2023</v>
      </c>
      <c r="M6720" s="20" t="n">
        <f aca="false">IF(J6720&gt;0,K6720/J6720,0)</f>
        <v>0.281047105953861</v>
      </c>
    </row>
    <row r="6721" customFormat="false" ht="15" hidden="false" customHeight="false" outlineLevel="0" collapsed="false">
      <c r="A6721" s="15" t="s">
        <v>6778</v>
      </c>
      <c r="B6721" s="16" t="n">
        <v>45290</v>
      </c>
      <c r="C6721" s="15" t="s">
        <v>56</v>
      </c>
      <c r="D6721" s="15" t="s">
        <v>42</v>
      </c>
      <c r="E6721" s="15" t="s">
        <v>39</v>
      </c>
      <c r="F6721" s="15" t="s">
        <v>17</v>
      </c>
      <c r="G6721" s="15" t="s">
        <v>29</v>
      </c>
      <c r="H6721" s="15" t="n">
        <v>9</v>
      </c>
      <c r="I6721" s="17" t="n">
        <v>0</v>
      </c>
      <c r="J6721" s="18" t="n">
        <v>177.3</v>
      </c>
      <c r="K6721" s="19" t="n">
        <v>65.45</v>
      </c>
      <c r="L6721" s="15" t="n">
        <f aca="false">YEAR(B6721)</f>
        <v>2023</v>
      </c>
      <c r="M6721" s="20" t="n">
        <f aca="false">IF(J6721&gt;0,K6721/J6721,0)</f>
        <v>0.369148336153412</v>
      </c>
    </row>
    <row r="6722" customFormat="false" ht="15" hidden="false" customHeight="false" outlineLevel="0" collapsed="false">
      <c r="A6722" s="15" t="s">
        <v>6779</v>
      </c>
      <c r="B6722" s="16" t="n">
        <v>44840</v>
      </c>
      <c r="C6722" s="15" t="s">
        <v>56</v>
      </c>
      <c r="D6722" s="15" t="s">
        <v>43</v>
      </c>
      <c r="E6722" s="15" t="s">
        <v>36</v>
      </c>
      <c r="F6722" s="15" t="s">
        <v>16</v>
      </c>
      <c r="G6722" s="15" t="s">
        <v>22</v>
      </c>
      <c r="H6722" s="15" t="n">
        <v>2</v>
      </c>
      <c r="I6722" s="17" t="n">
        <v>0.2</v>
      </c>
      <c r="J6722" s="18" t="n">
        <v>827.76</v>
      </c>
      <c r="K6722" s="19" t="n">
        <v>-210.93</v>
      </c>
      <c r="L6722" s="15" t="n">
        <f aca="false">YEAR(B6722)</f>
        <v>2022</v>
      </c>
      <c r="M6722" s="20" t="n">
        <f aca="false">IF(J6722&gt;0,K6722/J6722,0)</f>
        <v>-0.254820237750073</v>
      </c>
    </row>
    <row r="6723" customFormat="false" ht="15" hidden="false" customHeight="false" outlineLevel="0" collapsed="false">
      <c r="A6723" s="15" t="s">
        <v>6780</v>
      </c>
      <c r="B6723" s="16" t="n">
        <v>44851</v>
      </c>
      <c r="C6723" s="15" t="s">
        <v>71</v>
      </c>
      <c r="D6723" s="15" t="s">
        <v>43</v>
      </c>
      <c r="E6723" s="15" t="s">
        <v>36</v>
      </c>
      <c r="F6723" s="15" t="s">
        <v>16</v>
      </c>
      <c r="G6723" s="15" t="s">
        <v>25</v>
      </c>
      <c r="H6723" s="15" t="n">
        <v>3</v>
      </c>
      <c r="I6723" s="17" t="n">
        <v>0</v>
      </c>
      <c r="J6723" s="18" t="n">
        <v>840.51</v>
      </c>
      <c r="K6723" s="19" t="n">
        <v>66.6</v>
      </c>
      <c r="L6723" s="15" t="n">
        <f aca="false">YEAR(B6723)</f>
        <v>2022</v>
      </c>
      <c r="M6723" s="20" t="n">
        <f aca="false">IF(J6723&gt;0,K6723/J6723,0)</f>
        <v>0.0792376057393725</v>
      </c>
    </row>
    <row r="6724" customFormat="false" ht="15" hidden="false" customHeight="false" outlineLevel="0" collapsed="false">
      <c r="A6724" s="15" t="s">
        <v>6781</v>
      </c>
      <c r="B6724" s="16" t="n">
        <v>45647</v>
      </c>
      <c r="C6724" s="15" t="s">
        <v>56</v>
      </c>
      <c r="D6724" s="15" t="s">
        <v>44</v>
      </c>
      <c r="E6724" s="15" t="s">
        <v>39</v>
      </c>
      <c r="F6724" s="15" t="s">
        <v>18</v>
      </c>
      <c r="G6724" s="15" t="s">
        <v>33</v>
      </c>
      <c r="H6724" s="15" t="n">
        <v>3</v>
      </c>
      <c r="I6724" s="17" t="n">
        <v>0.15</v>
      </c>
      <c r="J6724" s="18" t="n">
        <v>2617.05</v>
      </c>
      <c r="K6724" s="19" t="n">
        <v>349.08</v>
      </c>
      <c r="L6724" s="15" t="n">
        <f aca="false">YEAR(B6724)</f>
        <v>2024</v>
      </c>
      <c r="M6724" s="20" t="n">
        <f aca="false">IF(J6724&gt;0,K6724/J6724,0)</f>
        <v>0.133386828681149</v>
      </c>
    </row>
    <row r="6725" customFormat="false" ht="15" hidden="false" customHeight="false" outlineLevel="0" collapsed="false">
      <c r="A6725" s="15" t="s">
        <v>6782</v>
      </c>
      <c r="B6725" s="16" t="n">
        <v>45774</v>
      </c>
      <c r="C6725" s="15" t="s">
        <v>56</v>
      </c>
      <c r="D6725" s="15" t="s">
        <v>42</v>
      </c>
      <c r="E6725" s="15" t="s">
        <v>39</v>
      </c>
      <c r="F6725" s="15" t="s">
        <v>17</v>
      </c>
      <c r="G6725" s="15" t="s">
        <v>31</v>
      </c>
      <c r="H6725" s="15" t="n">
        <v>8</v>
      </c>
      <c r="I6725" s="17" t="n">
        <v>0.3</v>
      </c>
      <c r="J6725" s="18" t="n">
        <v>899.59</v>
      </c>
      <c r="K6725" s="19" t="n">
        <v>-80.89</v>
      </c>
      <c r="L6725" s="15" t="n">
        <f aca="false">YEAR(B6725)</f>
        <v>2025</v>
      </c>
      <c r="M6725" s="20" t="n">
        <f aca="false">IF(J6725&gt;0,K6725/J6725,0)</f>
        <v>-0.0899187407596794</v>
      </c>
    </row>
    <row r="6726" customFormat="false" ht="15" hidden="false" customHeight="false" outlineLevel="0" collapsed="false">
      <c r="A6726" s="15" t="s">
        <v>6783</v>
      </c>
      <c r="B6726" s="16" t="n">
        <v>45721</v>
      </c>
      <c r="C6726" s="15" t="s">
        <v>71</v>
      </c>
      <c r="D6726" s="15" t="s">
        <v>42</v>
      </c>
      <c r="E6726" s="15" t="s">
        <v>39</v>
      </c>
      <c r="F6726" s="15" t="s">
        <v>16</v>
      </c>
      <c r="G6726" s="15" t="s">
        <v>22</v>
      </c>
      <c r="H6726" s="15" t="n">
        <v>7</v>
      </c>
      <c r="I6726" s="17" t="n">
        <v>0.05</v>
      </c>
      <c r="J6726" s="18" t="n">
        <v>3622.87</v>
      </c>
      <c r="K6726" s="19" t="n">
        <v>-378.46</v>
      </c>
      <c r="L6726" s="15" t="n">
        <f aca="false">YEAR(B6726)</f>
        <v>2025</v>
      </c>
      <c r="M6726" s="20" t="n">
        <f aca="false">IF(J6726&gt;0,K6726/J6726,0)</f>
        <v>-0.10446414030865</v>
      </c>
    </row>
    <row r="6727" customFormat="false" ht="15" hidden="false" customHeight="false" outlineLevel="0" collapsed="false">
      <c r="A6727" s="15" t="s">
        <v>6784</v>
      </c>
      <c r="B6727" s="16" t="n">
        <v>45548</v>
      </c>
      <c r="C6727" s="15" t="s">
        <v>56</v>
      </c>
      <c r="D6727" s="15" t="s">
        <v>43</v>
      </c>
      <c r="E6727" s="15" t="s">
        <v>38</v>
      </c>
      <c r="F6727" s="15" t="s">
        <v>17</v>
      </c>
      <c r="G6727" s="15" t="s">
        <v>29</v>
      </c>
      <c r="H6727" s="15" t="n">
        <v>8</v>
      </c>
      <c r="I6727" s="17" t="n">
        <v>0.1</v>
      </c>
      <c r="J6727" s="18" t="n">
        <v>107.26</v>
      </c>
      <c r="K6727" s="19" t="n">
        <v>24.65</v>
      </c>
      <c r="L6727" s="15" t="n">
        <f aca="false">YEAR(B6727)</f>
        <v>2024</v>
      </c>
      <c r="M6727" s="20" t="n">
        <f aca="false">IF(J6727&gt;0,K6727/J6727,0)</f>
        <v>0.229815401827335</v>
      </c>
    </row>
    <row r="6728" customFormat="false" ht="15" hidden="false" customHeight="false" outlineLevel="0" collapsed="false">
      <c r="A6728" s="15" t="s">
        <v>6785</v>
      </c>
      <c r="B6728" s="16" t="n">
        <v>45890</v>
      </c>
      <c r="C6728" s="15" t="s">
        <v>56</v>
      </c>
      <c r="D6728" s="15" t="s">
        <v>42</v>
      </c>
      <c r="E6728" s="15" t="s">
        <v>39</v>
      </c>
      <c r="F6728" s="15" t="s">
        <v>17</v>
      </c>
      <c r="G6728" s="15" t="s">
        <v>29</v>
      </c>
      <c r="H6728" s="15" t="n">
        <v>4</v>
      </c>
      <c r="I6728" s="17" t="n">
        <v>0.15</v>
      </c>
      <c r="J6728" s="18" t="n">
        <v>51.57</v>
      </c>
      <c r="K6728" s="19" t="n">
        <v>15.32</v>
      </c>
      <c r="L6728" s="15" t="n">
        <f aca="false">YEAR(B6728)</f>
        <v>2025</v>
      </c>
      <c r="M6728" s="20" t="n">
        <f aca="false">IF(J6728&gt;0,K6728/J6728,0)</f>
        <v>0.297071941050999</v>
      </c>
    </row>
    <row r="6729" customFormat="false" ht="15" hidden="false" customHeight="false" outlineLevel="0" collapsed="false">
      <c r="A6729" s="15" t="s">
        <v>6786</v>
      </c>
      <c r="B6729" s="16" t="n">
        <v>45549</v>
      </c>
      <c r="C6729" s="15" t="s">
        <v>71</v>
      </c>
      <c r="D6729" s="15" t="s">
        <v>43</v>
      </c>
      <c r="E6729" s="15" t="s">
        <v>39</v>
      </c>
      <c r="F6729" s="15" t="s">
        <v>17</v>
      </c>
      <c r="G6729" s="15" t="s">
        <v>29</v>
      </c>
      <c r="H6729" s="15" t="n">
        <v>3</v>
      </c>
      <c r="I6729" s="17" t="n">
        <v>0.15</v>
      </c>
      <c r="J6729" s="18" t="n">
        <v>56.54</v>
      </c>
      <c r="K6729" s="19" t="n">
        <v>18.26</v>
      </c>
      <c r="L6729" s="15" t="n">
        <f aca="false">YEAR(B6729)</f>
        <v>2024</v>
      </c>
      <c r="M6729" s="20" t="n">
        <f aca="false">IF(J6729&gt;0,K6729/J6729,0)</f>
        <v>0.32295719844358</v>
      </c>
    </row>
    <row r="6730" customFormat="false" ht="15" hidden="false" customHeight="false" outlineLevel="0" collapsed="false">
      <c r="A6730" s="15" t="s">
        <v>6787</v>
      </c>
      <c r="B6730" s="16" t="n">
        <v>45524</v>
      </c>
      <c r="C6730" s="15" t="s">
        <v>68</v>
      </c>
      <c r="D6730" s="15" t="s">
        <v>42</v>
      </c>
      <c r="E6730" s="15" t="s">
        <v>36</v>
      </c>
      <c r="F6730" s="15" t="s">
        <v>16</v>
      </c>
      <c r="G6730" s="15" t="s">
        <v>27</v>
      </c>
      <c r="H6730" s="15" t="n">
        <v>2</v>
      </c>
      <c r="I6730" s="17" t="n">
        <v>0</v>
      </c>
      <c r="J6730" s="18" t="n">
        <v>111.75</v>
      </c>
      <c r="K6730" s="19" t="n">
        <v>22.41</v>
      </c>
      <c r="L6730" s="15" t="n">
        <f aca="false">YEAR(B6730)</f>
        <v>2024</v>
      </c>
      <c r="M6730" s="20" t="n">
        <f aca="false">IF(J6730&gt;0,K6730/J6730,0)</f>
        <v>0.200536912751678</v>
      </c>
    </row>
    <row r="6731" customFormat="false" ht="15" hidden="false" customHeight="false" outlineLevel="0" collapsed="false">
      <c r="A6731" s="15" t="s">
        <v>6788</v>
      </c>
      <c r="B6731" s="16" t="n">
        <v>44869</v>
      </c>
      <c r="C6731" s="15" t="s">
        <v>56</v>
      </c>
      <c r="D6731" s="15" t="s">
        <v>44</v>
      </c>
      <c r="E6731" s="15" t="s">
        <v>36</v>
      </c>
      <c r="F6731" s="15" t="s">
        <v>17</v>
      </c>
      <c r="G6731" s="15" t="s">
        <v>29</v>
      </c>
      <c r="H6731" s="15" t="n">
        <v>5</v>
      </c>
      <c r="I6731" s="17" t="n">
        <v>0.1</v>
      </c>
      <c r="J6731" s="18" t="n">
        <v>81.31</v>
      </c>
      <c r="K6731" s="19" t="n">
        <v>26.35</v>
      </c>
      <c r="L6731" s="15" t="n">
        <f aca="false">YEAR(B6731)</f>
        <v>2022</v>
      </c>
      <c r="M6731" s="20" t="n">
        <f aca="false">IF(J6731&gt;0,K6731/J6731,0)</f>
        <v>0.324068380273029</v>
      </c>
    </row>
    <row r="6732" customFormat="false" ht="15" hidden="false" customHeight="false" outlineLevel="0" collapsed="false">
      <c r="A6732" s="15" t="s">
        <v>6789</v>
      </c>
      <c r="B6732" s="16" t="n">
        <v>44927</v>
      </c>
      <c r="C6732" s="15" t="s">
        <v>56</v>
      </c>
      <c r="D6732" s="15" t="s">
        <v>44</v>
      </c>
      <c r="E6732" s="15" t="s">
        <v>37</v>
      </c>
      <c r="F6732" s="15" t="s">
        <v>17</v>
      </c>
      <c r="G6732" s="15" t="s">
        <v>26</v>
      </c>
      <c r="H6732" s="15" t="n">
        <v>3</v>
      </c>
      <c r="I6732" s="17" t="n">
        <v>0.05</v>
      </c>
      <c r="J6732" s="18" t="n">
        <v>252.98</v>
      </c>
      <c r="K6732" s="19" t="n">
        <v>22.25</v>
      </c>
      <c r="L6732" s="15" t="n">
        <f aca="false">YEAR(B6732)</f>
        <v>2023</v>
      </c>
      <c r="M6732" s="20" t="n">
        <f aca="false">IF(J6732&gt;0,K6732/J6732,0)</f>
        <v>0.0879516167285952</v>
      </c>
    </row>
    <row r="6733" customFormat="false" ht="15" hidden="false" customHeight="false" outlineLevel="0" collapsed="false">
      <c r="A6733" s="15" t="s">
        <v>6790</v>
      </c>
      <c r="B6733" s="16" t="n">
        <v>44921</v>
      </c>
      <c r="C6733" s="15" t="s">
        <v>71</v>
      </c>
      <c r="D6733" s="15" t="s">
        <v>42</v>
      </c>
      <c r="E6733" s="15" t="s">
        <v>36</v>
      </c>
      <c r="F6733" s="15" t="s">
        <v>17</v>
      </c>
      <c r="G6733" s="15" t="s">
        <v>31</v>
      </c>
      <c r="H6733" s="15" t="n">
        <v>6</v>
      </c>
      <c r="I6733" s="17" t="n">
        <v>0.3</v>
      </c>
      <c r="J6733" s="18" t="n">
        <v>448.94</v>
      </c>
      <c r="K6733" s="19" t="n">
        <v>-28.11</v>
      </c>
      <c r="L6733" s="15" t="n">
        <f aca="false">YEAR(B6733)</f>
        <v>2022</v>
      </c>
      <c r="M6733" s="20" t="n">
        <f aca="false">IF(J6733&gt;0,K6733/J6733,0)</f>
        <v>-0.0626141577939146</v>
      </c>
    </row>
    <row r="6734" customFormat="false" ht="15" hidden="false" customHeight="false" outlineLevel="0" collapsed="false">
      <c r="A6734" s="15" t="s">
        <v>6791</v>
      </c>
      <c r="B6734" s="16" t="n">
        <v>45288</v>
      </c>
      <c r="C6734" s="15" t="s">
        <v>71</v>
      </c>
      <c r="D6734" s="15" t="s">
        <v>43</v>
      </c>
      <c r="E6734" s="15" t="s">
        <v>37</v>
      </c>
      <c r="F6734" s="15" t="s">
        <v>16</v>
      </c>
      <c r="G6734" s="15" t="s">
        <v>27</v>
      </c>
      <c r="H6734" s="15" t="n">
        <v>2</v>
      </c>
      <c r="I6734" s="17" t="n">
        <v>0.1</v>
      </c>
      <c r="J6734" s="18" t="n">
        <v>115.01</v>
      </c>
      <c r="K6734" s="19" t="n">
        <v>21.1</v>
      </c>
      <c r="L6734" s="15" t="n">
        <f aca="false">YEAR(B6734)</f>
        <v>2023</v>
      </c>
      <c r="M6734" s="20" t="n">
        <f aca="false">IF(J6734&gt;0,K6734/J6734,0)</f>
        <v>0.183462307625424</v>
      </c>
    </row>
    <row r="6735" customFormat="false" ht="15" hidden="false" customHeight="false" outlineLevel="0" collapsed="false">
      <c r="A6735" s="15" t="s">
        <v>6792</v>
      </c>
      <c r="B6735" s="16" t="n">
        <v>44876</v>
      </c>
      <c r="C6735" s="15" t="s">
        <v>56</v>
      </c>
      <c r="D6735" s="15" t="s">
        <v>42</v>
      </c>
      <c r="E6735" s="15" t="s">
        <v>38</v>
      </c>
      <c r="F6735" s="15" t="s">
        <v>18</v>
      </c>
      <c r="G6735" s="15" t="s">
        <v>32</v>
      </c>
      <c r="H6735" s="15" t="n">
        <v>4</v>
      </c>
      <c r="I6735" s="17" t="n">
        <v>0.05</v>
      </c>
      <c r="J6735" s="18" t="n">
        <v>1329</v>
      </c>
      <c r="K6735" s="19" t="n">
        <v>232.25</v>
      </c>
      <c r="L6735" s="15" t="n">
        <f aca="false">YEAR(B6735)</f>
        <v>2022</v>
      </c>
      <c r="M6735" s="20" t="n">
        <f aca="false">IF(J6735&gt;0,K6735/J6735,0)</f>
        <v>0.174755455229496</v>
      </c>
    </row>
    <row r="6736" customFormat="false" ht="15" hidden="false" customHeight="false" outlineLevel="0" collapsed="false">
      <c r="A6736" s="15" t="s">
        <v>6793</v>
      </c>
      <c r="B6736" s="16" t="n">
        <v>45793</v>
      </c>
      <c r="C6736" s="15" t="s">
        <v>56</v>
      </c>
      <c r="D6736" s="15" t="s">
        <v>42</v>
      </c>
      <c r="E6736" s="15" t="s">
        <v>37</v>
      </c>
      <c r="F6736" s="15" t="s">
        <v>18</v>
      </c>
      <c r="G6736" s="15" t="s">
        <v>30</v>
      </c>
      <c r="H6736" s="15" t="n">
        <v>1</v>
      </c>
      <c r="I6736" s="17" t="n">
        <v>0.05</v>
      </c>
      <c r="J6736" s="18" t="n">
        <v>53.13</v>
      </c>
      <c r="K6736" s="19" t="n">
        <v>18.67</v>
      </c>
      <c r="L6736" s="15" t="n">
        <f aca="false">YEAR(B6736)</f>
        <v>2025</v>
      </c>
      <c r="M6736" s="20" t="n">
        <f aca="false">IF(J6736&gt;0,K6736/J6736,0)</f>
        <v>0.351402220967438</v>
      </c>
    </row>
    <row r="6737" customFormat="false" ht="15" hidden="false" customHeight="false" outlineLevel="0" collapsed="false">
      <c r="A6737" s="15" t="s">
        <v>6794</v>
      </c>
      <c r="B6737" s="16" t="n">
        <v>44571</v>
      </c>
      <c r="C6737" s="15" t="s">
        <v>71</v>
      </c>
      <c r="D6737" s="15" t="s">
        <v>42</v>
      </c>
      <c r="E6737" s="15" t="s">
        <v>39</v>
      </c>
      <c r="F6737" s="15" t="s">
        <v>16</v>
      </c>
      <c r="G6737" s="15" t="s">
        <v>25</v>
      </c>
      <c r="H6737" s="15" t="n">
        <v>2</v>
      </c>
      <c r="I6737" s="17" t="n">
        <v>0</v>
      </c>
      <c r="J6737" s="18" t="n">
        <v>787.71</v>
      </c>
      <c r="K6737" s="19" t="n">
        <v>92.6</v>
      </c>
      <c r="L6737" s="15" t="n">
        <f aca="false">YEAR(B6737)</f>
        <v>2022</v>
      </c>
      <c r="M6737" s="20" t="n">
        <f aca="false">IF(J6737&gt;0,K6737/J6737,0)</f>
        <v>0.117555953333079</v>
      </c>
    </row>
    <row r="6738" customFormat="false" ht="15" hidden="false" customHeight="false" outlineLevel="0" collapsed="false">
      <c r="A6738" s="15" t="s">
        <v>6795</v>
      </c>
      <c r="B6738" s="16" t="n">
        <v>45845</v>
      </c>
      <c r="C6738" s="15" t="s">
        <v>56</v>
      </c>
      <c r="D6738" s="15" t="s">
        <v>42</v>
      </c>
      <c r="E6738" s="15" t="s">
        <v>39</v>
      </c>
      <c r="F6738" s="15" t="s">
        <v>17</v>
      </c>
      <c r="G6738" s="15" t="s">
        <v>29</v>
      </c>
      <c r="H6738" s="15" t="n">
        <v>4</v>
      </c>
      <c r="I6738" s="17" t="n">
        <v>0.1</v>
      </c>
      <c r="J6738" s="18" t="n">
        <v>62.3</v>
      </c>
      <c r="K6738" s="19" t="n">
        <v>17.8</v>
      </c>
      <c r="L6738" s="15" t="n">
        <f aca="false">YEAR(B6738)</f>
        <v>2025</v>
      </c>
      <c r="M6738" s="20" t="n">
        <f aca="false">IF(J6738&gt;0,K6738/J6738,0)</f>
        <v>0.285714285714286</v>
      </c>
    </row>
    <row r="6739" customFormat="false" ht="15" hidden="false" customHeight="false" outlineLevel="0" collapsed="false">
      <c r="A6739" s="15" t="s">
        <v>6796</v>
      </c>
      <c r="B6739" s="16" t="n">
        <v>45669</v>
      </c>
      <c r="C6739" s="15" t="s">
        <v>56</v>
      </c>
      <c r="D6739" s="15" t="s">
        <v>44</v>
      </c>
      <c r="E6739" s="15" t="s">
        <v>39</v>
      </c>
      <c r="F6739" s="15" t="s">
        <v>17</v>
      </c>
      <c r="G6739" s="15" t="s">
        <v>31</v>
      </c>
      <c r="H6739" s="15" t="n">
        <v>1</v>
      </c>
      <c r="I6739" s="17" t="n">
        <v>0.3</v>
      </c>
      <c r="J6739" s="18" t="n">
        <v>96.56</v>
      </c>
      <c r="K6739" s="19" t="n">
        <v>-7.03</v>
      </c>
      <c r="L6739" s="15" t="n">
        <f aca="false">YEAR(B6739)</f>
        <v>2025</v>
      </c>
      <c r="M6739" s="20" t="n">
        <f aca="false">IF(J6739&gt;0,K6739/J6739,0)</f>
        <v>-0.072804473902237</v>
      </c>
    </row>
    <row r="6740" customFormat="false" ht="15" hidden="false" customHeight="false" outlineLevel="0" collapsed="false">
      <c r="A6740" s="15" t="s">
        <v>6797</v>
      </c>
      <c r="B6740" s="16" t="n">
        <v>44674</v>
      </c>
      <c r="C6740" s="15" t="s">
        <v>56</v>
      </c>
      <c r="D6740" s="15" t="s">
        <v>42</v>
      </c>
      <c r="E6740" s="15" t="s">
        <v>38</v>
      </c>
      <c r="F6740" s="15" t="s">
        <v>17</v>
      </c>
      <c r="G6740" s="15" t="s">
        <v>29</v>
      </c>
      <c r="H6740" s="15" t="n">
        <v>6</v>
      </c>
      <c r="I6740" s="17" t="n">
        <v>0</v>
      </c>
      <c r="J6740" s="18" t="n">
        <v>113.48</v>
      </c>
      <c r="K6740" s="19" t="n">
        <v>39.68</v>
      </c>
      <c r="L6740" s="15" t="n">
        <f aca="false">YEAR(B6740)</f>
        <v>2022</v>
      </c>
      <c r="M6740" s="20" t="n">
        <f aca="false">IF(J6740&gt;0,K6740/J6740,0)</f>
        <v>0.349665139231583</v>
      </c>
    </row>
    <row r="6741" customFormat="false" ht="15" hidden="false" customHeight="false" outlineLevel="0" collapsed="false">
      <c r="A6741" s="15" t="s">
        <v>6798</v>
      </c>
      <c r="B6741" s="16" t="n">
        <v>45037</v>
      </c>
      <c r="C6741" s="15" t="s">
        <v>56</v>
      </c>
      <c r="D6741" s="15" t="s">
        <v>44</v>
      </c>
      <c r="E6741" s="15" t="s">
        <v>36</v>
      </c>
      <c r="F6741" s="15" t="s">
        <v>18</v>
      </c>
      <c r="G6741" s="15" t="s">
        <v>30</v>
      </c>
      <c r="H6741" s="15" t="n">
        <v>5</v>
      </c>
      <c r="I6741" s="17" t="n">
        <v>0.3</v>
      </c>
      <c r="J6741" s="18" t="n">
        <v>171.84</v>
      </c>
      <c r="K6741" s="19" t="n">
        <v>-2.58</v>
      </c>
      <c r="L6741" s="15" t="n">
        <f aca="false">YEAR(B6741)</f>
        <v>2023</v>
      </c>
      <c r="M6741" s="20" t="n">
        <f aca="false">IF(J6741&gt;0,K6741/J6741,0)</f>
        <v>-0.0150139664804469</v>
      </c>
    </row>
    <row r="6742" customFormat="false" ht="15" hidden="false" customHeight="false" outlineLevel="0" collapsed="false">
      <c r="A6742" s="15" t="s">
        <v>6799</v>
      </c>
      <c r="B6742" s="16" t="n">
        <v>45252</v>
      </c>
      <c r="C6742" s="15" t="s">
        <v>56</v>
      </c>
      <c r="D6742" s="15" t="s">
        <v>43</v>
      </c>
      <c r="E6742" s="15" t="s">
        <v>39</v>
      </c>
      <c r="F6742" s="15" t="s">
        <v>16</v>
      </c>
      <c r="G6742" s="15" t="s">
        <v>25</v>
      </c>
      <c r="H6742" s="15" t="n">
        <v>4</v>
      </c>
      <c r="I6742" s="17" t="n">
        <v>0.2</v>
      </c>
      <c r="J6742" s="18" t="n">
        <v>927.97</v>
      </c>
      <c r="K6742" s="19" t="n">
        <v>-122.44</v>
      </c>
      <c r="L6742" s="15" t="n">
        <f aca="false">YEAR(B6742)</f>
        <v>2023</v>
      </c>
      <c r="M6742" s="20" t="n">
        <f aca="false">IF(J6742&gt;0,K6742/J6742,0)</f>
        <v>-0.131943920600881</v>
      </c>
    </row>
    <row r="6743" customFormat="false" ht="15" hidden="false" customHeight="false" outlineLevel="0" collapsed="false">
      <c r="A6743" s="15" t="s">
        <v>6800</v>
      </c>
      <c r="B6743" s="16" t="n">
        <v>45648</v>
      </c>
      <c r="C6743" s="15" t="s">
        <v>68</v>
      </c>
      <c r="D6743" s="15" t="s">
        <v>43</v>
      </c>
      <c r="E6743" s="15" t="s">
        <v>37</v>
      </c>
      <c r="F6743" s="15" t="s">
        <v>17</v>
      </c>
      <c r="G6743" s="15" t="s">
        <v>26</v>
      </c>
      <c r="H6743" s="15" t="n">
        <v>4</v>
      </c>
      <c r="I6743" s="17" t="n">
        <v>0.1</v>
      </c>
      <c r="J6743" s="18" t="n">
        <v>347.58</v>
      </c>
      <c r="K6743" s="19" t="n">
        <v>-10.76</v>
      </c>
      <c r="L6743" s="15" t="n">
        <f aca="false">YEAR(B6743)</f>
        <v>2024</v>
      </c>
      <c r="M6743" s="20" t="n">
        <f aca="false">IF(J6743&gt;0,K6743/J6743,0)</f>
        <v>-0.0309569020081708</v>
      </c>
    </row>
    <row r="6744" customFormat="false" ht="15" hidden="false" customHeight="false" outlineLevel="0" collapsed="false">
      <c r="A6744" s="15" t="s">
        <v>6801</v>
      </c>
      <c r="B6744" s="16" t="n">
        <v>45880</v>
      </c>
      <c r="C6744" s="15" t="s">
        <v>56</v>
      </c>
      <c r="D6744" s="15" t="s">
        <v>42</v>
      </c>
      <c r="E6744" s="15" t="s">
        <v>39</v>
      </c>
      <c r="F6744" s="15" t="s">
        <v>16</v>
      </c>
      <c r="G6744" s="15" t="s">
        <v>25</v>
      </c>
      <c r="H6744" s="15" t="n">
        <v>4</v>
      </c>
      <c r="I6744" s="17" t="n">
        <v>0.15</v>
      </c>
      <c r="J6744" s="18" t="n">
        <v>985.73</v>
      </c>
      <c r="K6744" s="19" t="n">
        <v>-30.78</v>
      </c>
      <c r="L6744" s="15" t="n">
        <f aca="false">YEAR(B6744)</f>
        <v>2025</v>
      </c>
      <c r="M6744" s="20" t="n">
        <f aca="false">IF(J6744&gt;0,K6744/J6744,0)</f>
        <v>-0.0312255891572743</v>
      </c>
    </row>
    <row r="6745" customFormat="false" ht="15" hidden="false" customHeight="false" outlineLevel="0" collapsed="false">
      <c r="A6745" s="15" t="s">
        <v>6802</v>
      </c>
      <c r="B6745" s="16" t="n">
        <v>45182</v>
      </c>
      <c r="C6745" s="15" t="s">
        <v>71</v>
      </c>
      <c r="D6745" s="15" t="s">
        <v>42</v>
      </c>
      <c r="E6745" s="15" t="s">
        <v>36</v>
      </c>
      <c r="F6745" s="15" t="s">
        <v>16</v>
      </c>
      <c r="G6745" s="15" t="s">
        <v>27</v>
      </c>
      <c r="H6745" s="15" t="n">
        <v>4</v>
      </c>
      <c r="I6745" s="17" t="n">
        <v>0</v>
      </c>
      <c r="J6745" s="18" t="n">
        <v>224.54</v>
      </c>
      <c r="K6745" s="19" t="n">
        <v>48.56</v>
      </c>
      <c r="L6745" s="15" t="n">
        <f aca="false">YEAR(B6745)</f>
        <v>2023</v>
      </c>
      <c r="M6745" s="20" t="n">
        <f aca="false">IF(J6745&gt;0,K6745/J6745,0)</f>
        <v>0.21626436269707</v>
      </c>
    </row>
    <row r="6746" customFormat="false" ht="15" hidden="false" customHeight="false" outlineLevel="0" collapsed="false">
      <c r="A6746" s="15" t="s">
        <v>6803</v>
      </c>
      <c r="B6746" s="16" t="n">
        <v>44848</v>
      </c>
      <c r="C6746" s="15" t="s">
        <v>56</v>
      </c>
      <c r="D6746" s="15" t="s">
        <v>43</v>
      </c>
      <c r="E6746" s="15" t="s">
        <v>36</v>
      </c>
      <c r="F6746" s="15" t="s">
        <v>17</v>
      </c>
      <c r="G6746" s="15" t="s">
        <v>26</v>
      </c>
      <c r="H6746" s="15" t="n">
        <v>3</v>
      </c>
      <c r="I6746" s="17" t="n">
        <v>0</v>
      </c>
      <c r="J6746" s="18" t="n">
        <v>187.34</v>
      </c>
      <c r="K6746" s="19" t="n">
        <v>22.66</v>
      </c>
      <c r="L6746" s="15" t="n">
        <f aca="false">YEAR(B6746)</f>
        <v>2022</v>
      </c>
      <c r="M6746" s="20" t="n">
        <f aca="false">IF(J6746&gt;0,K6746/J6746,0)</f>
        <v>0.120956549588983</v>
      </c>
    </row>
    <row r="6747" customFormat="false" ht="15" hidden="false" customHeight="false" outlineLevel="0" collapsed="false">
      <c r="A6747" s="15" t="s">
        <v>6804</v>
      </c>
      <c r="B6747" s="16" t="n">
        <v>45818</v>
      </c>
      <c r="C6747" s="15" t="s">
        <v>68</v>
      </c>
      <c r="D6747" s="15" t="s">
        <v>44</v>
      </c>
      <c r="E6747" s="15" t="s">
        <v>37</v>
      </c>
      <c r="F6747" s="15" t="s">
        <v>17</v>
      </c>
      <c r="G6747" s="15" t="s">
        <v>28</v>
      </c>
      <c r="H6747" s="15" t="n">
        <v>6</v>
      </c>
      <c r="I6747" s="17" t="n">
        <v>0</v>
      </c>
      <c r="J6747" s="18" t="n">
        <v>168.32</v>
      </c>
      <c r="K6747" s="19" t="n">
        <v>44.49</v>
      </c>
      <c r="L6747" s="15" t="n">
        <f aca="false">YEAR(B6747)</f>
        <v>2025</v>
      </c>
      <c r="M6747" s="20" t="n">
        <f aca="false">IF(J6747&gt;0,K6747/J6747,0)</f>
        <v>0.264317965779468</v>
      </c>
    </row>
    <row r="6748" customFormat="false" ht="15" hidden="false" customHeight="false" outlineLevel="0" collapsed="false">
      <c r="A6748" s="15" t="s">
        <v>6805</v>
      </c>
      <c r="B6748" s="16" t="n">
        <v>45384</v>
      </c>
      <c r="C6748" s="15" t="s">
        <v>56</v>
      </c>
      <c r="D6748" s="15" t="s">
        <v>42</v>
      </c>
      <c r="E6748" s="15" t="s">
        <v>39</v>
      </c>
      <c r="F6748" s="15" t="s">
        <v>16</v>
      </c>
      <c r="G6748" s="15" t="s">
        <v>25</v>
      </c>
      <c r="H6748" s="15" t="n">
        <v>3</v>
      </c>
      <c r="I6748" s="17" t="n">
        <v>0.05</v>
      </c>
      <c r="J6748" s="18" t="n">
        <v>904.13</v>
      </c>
      <c r="K6748" s="19" t="n">
        <v>50.97</v>
      </c>
      <c r="L6748" s="15" t="n">
        <f aca="false">YEAR(B6748)</f>
        <v>2024</v>
      </c>
      <c r="M6748" s="20" t="n">
        <f aca="false">IF(J6748&gt;0,K6748/J6748,0)</f>
        <v>0.0563746363907845</v>
      </c>
    </row>
    <row r="6749" customFormat="false" ht="15" hidden="false" customHeight="false" outlineLevel="0" collapsed="false">
      <c r="A6749" s="15" t="s">
        <v>6806</v>
      </c>
      <c r="B6749" s="16" t="n">
        <v>45223</v>
      </c>
      <c r="C6749" s="15" t="s">
        <v>68</v>
      </c>
      <c r="D6749" s="15" t="s">
        <v>43</v>
      </c>
      <c r="E6749" s="15" t="s">
        <v>36</v>
      </c>
      <c r="F6749" s="15" t="s">
        <v>17</v>
      </c>
      <c r="G6749" s="15" t="s">
        <v>26</v>
      </c>
      <c r="H6749" s="15" t="n">
        <v>3</v>
      </c>
      <c r="I6749" s="17" t="n">
        <v>0.1</v>
      </c>
      <c r="J6749" s="18" t="n">
        <v>279.9</v>
      </c>
      <c r="K6749" s="19" t="n">
        <v>11.14</v>
      </c>
      <c r="L6749" s="15" t="n">
        <f aca="false">YEAR(B6749)</f>
        <v>2023</v>
      </c>
      <c r="M6749" s="20" t="n">
        <f aca="false">IF(J6749&gt;0,K6749/J6749,0)</f>
        <v>0.0397999285459093</v>
      </c>
    </row>
    <row r="6750" customFormat="false" ht="15" hidden="false" customHeight="false" outlineLevel="0" collapsed="false">
      <c r="A6750" s="15" t="s">
        <v>6807</v>
      </c>
      <c r="B6750" s="16" t="n">
        <v>44996</v>
      </c>
      <c r="C6750" s="15" t="s">
        <v>58</v>
      </c>
      <c r="D6750" s="15" t="s">
        <v>44</v>
      </c>
      <c r="E6750" s="15" t="s">
        <v>39</v>
      </c>
      <c r="F6750" s="15" t="s">
        <v>17</v>
      </c>
      <c r="G6750" s="15" t="s">
        <v>26</v>
      </c>
      <c r="H6750" s="15" t="n">
        <v>4</v>
      </c>
      <c r="I6750" s="17" t="n">
        <v>0</v>
      </c>
      <c r="J6750" s="18" t="n">
        <v>446.22</v>
      </c>
      <c r="K6750" s="19" t="n">
        <v>48.86</v>
      </c>
      <c r="L6750" s="15" t="n">
        <f aca="false">YEAR(B6750)</f>
        <v>2023</v>
      </c>
      <c r="M6750" s="20" t="n">
        <f aca="false">IF(J6750&gt;0,K6750/J6750,0)</f>
        <v>0.109497557258751</v>
      </c>
    </row>
    <row r="6751" customFormat="false" ht="15" hidden="false" customHeight="false" outlineLevel="0" collapsed="false">
      <c r="A6751" s="15" t="s">
        <v>6808</v>
      </c>
      <c r="B6751" s="16" t="n">
        <v>45087</v>
      </c>
      <c r="C6751" s="15" t="s">
        <v>71</v>
      </c>
      <c r="D6751" s="15" t="s">
        <v>42</v>
      </c>
      <c r="E6751" s="15" t="s">
        <v>39</v>
      </c>
      <c r="F6751" s="15" t="s">
        <v>17</v>
      </c>
      <c r="G6751" s="15" t="s">
        <v>29</v>
      </c>
      <c r="H6751" s="15" t="n">
        <v>3</v>
      </c>
      <c r="I6751" s="17" t="n">
        <v>0.1</v>
      </c>
      <c r="J6751" s="18" t="n">
        <v>58.7</v>
      </c>
      <c r="K6751" s="19" t="n">
        <v>16.53</v>
      </c>
      <c r="L6751" s="15" t="n">
        <f aca="false">YEAR(B6751)</f>
        <v>2023</v>
      </c>
      <c r="M6751" s="20" t="n">
        <f aca="false">IF(J6751&gt;0,K6751/J6751,0)</f>
        <v>0.28160136286201</v>
      </c>
    </row>
    <row r="6752" customFormat="false" ht="15" hidden="false" customHeight="false" outlineLevel="0" collapsed="false">
      <c r="A6752" s="15" t="s">
        <v>6809</v>
      </c>
      <c r="B6752" s="16" t="n">
        <v>45295</v>
      </c>
      <c r="C6752" s="15" t="s">
        <v>56</v>
      </c>
      <c r="D6752" s="15" t="s">
        <v>42</v>
      </c>
      <c r="E6752" s="15" t="s">
        <v>39</v>
      </c>
      <c r="F6752" s="15" t="s">
        <v>17</v>
      </c>
      <c r="G6752" s="15" t="s">
        <v>29</v>
      </c>
      <c r="H6752" s="15" t="n">
        <v>1</v>
      </c>
      <c r="I6752" s="17" t="n">
        <v>0.2</v>
      </c>
      <c r="J6752" s="18" t="n">
        <v>21.84</v>
      </c>
      <c r="K6752" s="19" t="n">
        <v>3.79</v>
      </c>
      <c r="L6752" s="15" t="n">
        <f aca="false">YEAR(B6752)</f>
        <v>2024</v>
      </c>
      <c r="M6752" s="20" t="n">
        <f aca="false">IF(J6752&gt;0,K6752/J6752,0)</f>
        <v>0.173534798534799</v>
      </c>
    </row>
    <row r="6753" customFormat="false" ht="15" hidden="false" customHeight="false" outlineLevel="0" collapsed="false">
      <c r="A6753" s="15" t="s">
        <v>6810</v>
      </c>
      <c r="B6753" s="16" t="n">
        <v>45313</v>
      </c>
      <c r="C6753" s="15" t="s">
        <v>56</v>
      </c>
      <c r="D6753" s="15" t="s">
        <v>44</v>
      </c>
      <c r="E6753" s="15" t="s">
        <v>38</v>
      </c>
      <c r="F6753" s="15" t="s">
        <v>18</v>
      </c>
      <c r="G6753" s="15" t="s">
        <v>30</v>
      </c>
      <c r="H6753" s="15" t="n">
        <v>4</v>
      </c>
      <c r="I6753" s="17" t="n">
        <v>0</v>
      </c>
      <c r="J6753" s="18" t="n">
        <v>174.07</v>
      </c>
      <c r="K6753" s="19" t="n">
        <v>49.2</v>
      </c>
      <c r="L6753" s="15" t="n">
        <f aca="false">YEAR(B6753)</f>
        <v>2024</v>
      </c>
      <c r="M6753" s="20" t="n">
        <f aca="false">IF(J6753&gt;0,K6753/J6753,0)</f>
        <v>0.282644912966048</v>
      </c>
    </row>
    <row r="6754" customFormat="false" ht="15" hidden="false" customHeight="false" outlineLevel="0" collapsed="false">
      <c r="A6754" s="15" t="s">
        <v>6811</v>
      </c>
      <c r="B6754" s="16" t="n">
        <v>44905</v>
      </c>
      <c r="C6754" s="15" t="s">
        <v>68</v>
      </c>
      <c r="D6754" s="15" t="s">
        <v>42</v>
      </c>
      <c r="E6754" s="15" t="s">
        <v>38</v>
      </c>
      <c r="F6754" s="15" t="s">
        <v>17</v>
      </c>
      <c r="G6754" s="15" t="s">
        <v>26</v>
      </c>
      <c r="H6754" s="15" t="n">
        <v>5</v>
      </c>
      <c r="I6754" s="17" t="n">
        <v>0.05</v>
      </c>
      <c r="J6754" s="18" t="n">
        <v>422.59</v>
      </c>
      <c r="K6754" s="19" t="n">
        <v>29.73</v>
      </c>
      <c r="L6754" s="15" t="n">
        <f aca="false">YEAR(B6754)</f>
        <v>2022</v>
      </c>
      <c r="M6754" s="20" t="n">
        <f aca="false">IF(J6754&gt;0,K6754/J6754,0)</f>
        <v>0.0703518777065241</v>
      </c>
    </row>
    <row r="6755" customFormat="false" ht="15" hidden="false" customHeight="false" outlineLevel="0" collapsed="false">
      <c r="A6755" s="15" t="s">
        <v>6812</v>
      </c>
      <c r="B6755" s="16" t="n">
        <v>46005</v>
      </c>
      <c r="C6755" s="15" t="s">
        <v>71</v>
      </c>
      <c r="D6755" s="15" t="s">
        <v>42</v>
      </c>
      <c r="E6755" s="15" t="s">
        <v>37</v>
      </c>
      <c r="F6755" s="15" t="s">
        <v>17</v>
      </c>
      <c r="G6755" s="15" t="s">
        <v>29</v>
      </c>
      <c r="H6755" s="15" t="n">
        <v>4</v>
      </c>
      <c r="I6755" s="17" t="n">
        <v>0</v>
      </c>
      <c r="J6755" s="18" t="n">
        <v>66.79</v>
      </c>
      <c r="K6755" s="19" t="n">
        <v>26.25</v>
      </c>
      <c r="L6755" s="15" t="n">
        <f aca="false">YEAR(B6755)</f>
        <v>2025</v>
      </c>
      <c r="M6755" s="20" t="n">
        <f aca="false">IF(J6755&gt;0,K6755/J6755,0)</f>
        <v>0.393022907620901</v>
      </c>
    </row>
    <row r="6756" customFormat="false" ht="15" hidden="false" customHeight="false" outlineLevel="0" collapsed="false">
      <c r="A6756" s="15" t="s">
        <v>6813</v>
      </c>
      <c r="B6756" s="16" t="n">
        <v>45797</v>
      </c>
      <c r="C6756" s="15" t="s">
        <v>71</v>
      </c>
      <c r="D6756" s="15" t="s">
        <v>42</v>
      </c>
      <c r="E6756" s="15" t="s">
        <v>36</v>
      </c>
      <c r="F6756" s="15" t="s">
        <v>17</v>
      </c>
      <c r="G6756" s="15" t="s">
        <v>28</v>
      </c>
      <c r="H6756" s="15" t="n">
        <v>3</v>
      </c>
      <c r="I6756" s="17" t="n">
        <v>0</v>
      </c>
      <c r="J6756" s="18" t="n">
        <v>67.25</v>
      </c>
      <c r="K6756" s="19" t="n">
        <v>19.21</v>
      </c>
      <c r="L6756" s="15" t="n">
        <f aca="false">YEAR(B6756)</f>
        <v>2025</v>
      </c>
      <c r="M6756" s="20" t="n">
        <f aca="false">IF(J6756&gt;0,K6756/J6756,0)</f>
        <v>0.285650557620818</v>
      </c>
    </row>
    <row r="6757" customFormat="false" ht="15" hidden="false" customHeight="false" outlineLevel="0" collapsed="false">
      <c r="A6757" s="15" t="s">
        <v>6814</v>
      </c>
      <c r="B6757" s="16" t="n">
        <v>45591</v>
      </c>
      <c r="C6757" s="15" t="s">
        <v>56</v>
      </c>
      <c r="D6757" s="15" t="s">
        <v>43</v>
      </c>
      <c r="E6757" s="15" t="s">
        <v>39</v>
      </c>
      <c r="F6757" s="15" t="s">
        <v>17</v>
      </c>
      <c r="G6757" s="15" t="s">
        <v>28</v>
      </c>
      <c r="H6757" s="15" t="n">
        <v>5</v>
      </c>
      <c r="I6757" s="17" t="n">
        <v>0.2</v>
      </c>
      <c r="J6757" s="18" t="n">
        <v>128.84</v>
      </c>
      <c r="K6757" s="19" t="n">
        <v>18.9</v>
      </c>
      <c r="L6757" s="15" t="n">
        <f aca="false">YEAR(B6757)</f>
        <v>2024</v>
      </c>
      <c r="M6757" s="20" t="n">
        <f aca="false">IF(J6757&gt;0,K6757/J6757,0)</f>
        <v>0.146693573424402</v>
      </c>
    </row>
    <row r="6758" customFormat="false" ht="15" hidden="false" customHeight="false" outlineLevel="0" collapsed="false">
      <c r="A6758" s="15" t="s">
        <v>6815</v>
      </c>
      <c r="B6758" s="16" t="n">
        <v>45743</v>
      </c>
      <c r="C6758" s="15" t="s">
        <v>68</v>
      </c>
      <c r="D6758" s="15" t="s">
        <v>43</v>
      </c>
      <c r="E6758" s="15" t="s">
        <v>38</v>
      </c>
      <c r="F6758" s="15" t="s">
        <v>17</v>
      </c>
      <c r="G6758" s="15" t="s">
        <v>31</v>
      </c>
      <c r="H6758" s="15" t="n">
        <v>2</v>
      </c>
      <c r="I6758" s="17" t="n">
        <v>0</v>
      </c>
      <c r="J6758" s="18" t="n">
        <v>219.04</v>
      </c>
      <c r="K6758" s="19" t="n">
        <v>40.32</v>
      </c>
      <c r="L6758" s="15" t="n">
        <f aca="false">YEAR(B6758)</f>
        <v>2025</v>
      </c>
      <c r="M6758" s="20" t="n">
        <f aca="false">IF(J6758&gt;0,K6758/J6758,0)</f>
        <v>0.184075967859752</v>
      </c>
    </row>
    <row r="6759" customFormat="false" ht="15" hidden="false" customHeight="false" outlineLevel="0" collapsed="false">
      <c r="A6759" s="15" t="s">
        <v>6816</v>
      </c>
      <c r="B6759" s="16" t="n">
        <v>45521</v>
      </c>
      <c r="C6759" s="15" t="s">
        <v>56</v>
      </c>
      <c r="D6759" s="15" t="s">
        <v>42</v>
      </c>
      <c r="E6759" s="15" t="s">
        <v>39</v>
      </c>
      <c r="F6759" s="15" t="s">
        <v>17</v>
      </c>
      <c r="G6759" s="15" t="s">
        <v>29</v>
      </c>
      <c r="H6759" s="15" t="n">
        <v>3</v>
      </c>
      <c r="I6759" s="17" t="n">
        <v>0</v>
      </c>
      <c r="J6759" s="18" t="n">
        <v>70.11</v>
      </c>
      <c r="K6759" s="19" t="n">
        <v>26.8</v>
      </c>
      <c r="L6759" s="15" t="n">
        <f aca="false">YEAR(B6759)</f>
        <v>2024</v>
      </c>
      <c r="M6759" s="20" t="n">
        <f aca="false">IF(J6759&gt;0,K6759/J6759,0)</f>
        <v>0.382256454143489</v>
      </c>
    </row>
    <row r="6760" customFormat="false" ht="15" hidden="false" customHeight="false" outlineLevel="0" collapsed="false">
      <c r="A6760" s="15" t="s">
        <v>6817</v>
      </c>
      <c r="B6760" s="16" t="n">
        <v>44907</v>
      </c>
      <c r="C6760" s="15" t="s">
        <v>56</v>
      </c>
      <c r="D6760" s="15" t="s">
        <v>42</v>
      </c>
      <c r="E6760" s="15" t="s">
        <v>36</v>
      </c>
      <c r="F6760" s="15" t="s">
        <v>18</v>
      </c>
      <c r="G6760" s="15" t="s">
        <v>32</v>
      </c>
      <c r="H6760" s="15" t="n">
        <v>2</v>
      </c>
      <c r="I6760" s="17" t="n">
        <v>0.2</v>
      </c>
      <c r="J6760" s="18" t="n">
        <v>453.81</v>
      </c>
      <c r="K6760" s="19" t="n">
        <v>-20.33</v>
      </c>
      <c r="L6760" s="15" t="n">
        <f aca="false">YEAR(B6760)</f>
        <v>2022</v>
      </c>
      <c r="M6760" s="20" t="n">
        <f aca="false">IF(J6760&gt;0,K6760/J6760,0)</f>
        <v>-0.0447984839470263</v>
      </c>
    </row>
    <row r="6761" customFormat="false" ht="15" hidden="false" customHeight="false" outlineLevel="0" collapsed="false">
      <c r="A6761" s="15" t="s">
        <v>6818</v>
      </c>
      <c r="B6761" s="16" t="n">
        <v>45929</v>
      </c>
      <c r="C6761" s="15" t="s">
        <v>56</v>
      </c>
      <c r="D6761" s="15" t="s">
        <v>42</v>
      </c>
      <c r="E6761" s="15" t="s">
        <v>36</v>
      </c>
      <c r="F6761" s="15" t="s">
        <v>16</v>
      </c>
      <c r="G6761" s="15" t="s">
        <v>25</v>
      </c>
      <c r="H6761" s="15" t="n">
        <v>2</v>
      </c>
      <c r="I6761" s="17" t="n">
        <v>0.1</v>
      </c>
      <c r="J6761" s="18" t="n">
        <v>459.91</v>
      </c>
      <c r="K6761" s="19" t="n">
        <v>40.06</v>
      </c>
      <c r="L6761" s="15" t="n">
        <f aca="false">YEAR(B6761)</f>
        <v>2025</v>
      </c>
      <c r="M6761" s="20" t="n">
        <f aca="false">IF(J6761&gt;0,K6761/J6761,0)</f>
        <v>0.0871039986084234</v>
      </c>
    </row>
    <row r="6762" customFormat="false" ht="15" hidden="false" customHeight="false" outlineLevel="0" collapsed="false">
      <c r="A6762" s="15" t="s">
        <v>6819</v>
      </c>
      <c r="B6762" s="16" t="n">
        <v>45898</v>
      </c>
      <c r="C6762" s="15" t="s">
        <v>56</v>
      </c>
      <c r="D6762" s="15" t="s">
        <v>44</v>
      </c>
      <c r="E6762" s="15" t="s">
        <v>38</v>
      </c>
      <c r="F6762" s="15" t="s">
        <v>17</v>
      </c>
      <c r="G6762" s="15" t="s">
        <v>28</v>
      </c>
      <c r="H6762" s="15" t="n">
        <v>2</v>
      </c>
      <c r="I6762" s="17" t="n">
        <v>0</v>
      </c>
      <c r="J6762" s="18" t="n">
        <v>38.48</v>
      </c>
      <c r="K6762" s="19" t="n">
        <v>11.76</v>
      </c>
      <c r="L6762" s="15" t="n">
        <f aca="false">YEAR(B6762)</f>
        <v>2025</v>
      </c>
      <c r="M6762" s="20" t="n">
        <f aca="false">IF(J6762&gt;0,K6762/J6762,0)</f>
        <v>0.305613305613306</v>
      </c>
    </row>
    <row r="6763" customFormat="false" ht="15" hidden="false" customHeight="false" outlineLevel="0" collapsed="false">
      <c r="A6763" s="15" t="s">
        <v>6820</v>
      </c>
      <c r="B6763" s="16" t="n">
        <v>45250</v>
      </c>
      <c r="C6763" s="15" t="s">
        <v>56</v>
      </c>
      <c r="D6763" s="15" t="s">
        <v>42</v>
      </c>
      <c r="E6763" s="15" t="s">
        <v>39</v>
      </c>
      <c r="F6763" s="15" t="s">
        <v>17</v>
      </c>
      <c r="G6763" s="15" t="s">
        <v>29</v>
      </c>
      <c r="H6763" s="15" t="n">
        <v>2</v>
      </c>
      <c r="I6763" s="17" t="n">
        <v>0</v>
      </c>
      <c r="J6763" s="18" t="n">
        <v>38.55</v>
      </c>
      <c r="K6763" s="19" t="n">
        <v>14.71</v>
      </c>
      <c r="L6763" s="15" t="n">
        <f aca="false">YEAR(B6763)</f>
        <v>2023</v>
      </c>
      <c r="M6763" s="20" t="n">
        <f aca="false">IF(J6763&gt;0,K6763/J6763,0)</f>
        <v>0.381582360570687</v>
      </c>
    </row>
    <row r="6764" customFormat="false" ht="15" hidden="false" customHeight="false" outlineLevel="0" collapsed="false">
      <c r="A6764" s="15" t="s">
        <v>6821</v>
      </c>
      <c r="B6764" s="16" t="n">
        <v>44658</v>
      </c>
      <c r="C6764" s="15" t="s">
        <v>71</v>
      </c>
      <c r="D6764" s="15" t="s">
        <v>43</v>
      </c>
      <c r="E6764" s="15" t="s">
        <v>38</v>
      </c>
      <c r="F6764" s="15" t="s">
        <v>17</v>
      </c>
      <c r="G6764" s="15" t="s">
        <v>29</v>
      </c>
      <c r="H6764" s="15" t="n">
        <v>1</v>
      </c>
      <c r="I6764" s="17" t="n">
        <v>0.1</v>
      </c>
      <c r="J6764" s="18" t="n">
        <v>18.57</v>
      </c>
      <c r="K6764" s="19" t="n">
        <v>6.55</v>
      </c>
      <c r="L6764" s="15" t="n">
        <f aca="false">YEAR(B6764)</f>
        <v>2022</v>
      </c>
      <c r="M6764" s="20" t="n">
        <f aca="false">IF(J6764&gt;0,K6764/J6764,0)</f>
        <v>0.35271943995692</v>
      </c>
    </row>
    <row r="6765" customFormat="false" ht="15" hidden="false" customHeight="false" outlineLevel="0" collapsed="false">
      <c r="A6765" s="15" t="s">
        <v>6822</v>
      </c>
      <c r="B6765" s="16" t="n">
        <v>45856</v>
      </c>
      <c r="C6765" s="15" t="s">
        <v>56</v>
      </c>
      <c r="D6765" s="15" t="s">
        <v>43</v>
      </c>
      <c r="E6765" s="15" t="s">
        <v>37</v>
      </c>
      <c r="F6765" s="15" t="s">
        <v>16</v>
      </c>
      <c r="G6765" s="15" t="s">
        <v>25</v>
      </c>
      <c r="H6765" s="15" t="n">
        <v>4</v>
      </c>
      <c r="I6765" s="17" t="n">
        <v>0</v>
      </c>
      <c r="J6765" s="18" t="n">
        <v>1388.34</v>
      </c>
      <c r="K6765" s="19" t="n">
        <v>152.5</v>
      </c>
      <c r="L6765" s="15" t="n">
        <f aca="false">YEAR(B6765)</f>
        <v>2025</v>
      </c>
      <c r="M6765" s="20" t="n">
        <f aca="false">IF(J6765&gt;0,K6765/J6765,0)</f>
        <v>0.109843410115678</v>
      </c>
    </row>
    <row r="6766" customFormat="false" ht="15" hidden="false" customHeight="false" outlineLevel="0" collapsed="false">
      <c r="A6766" s="15" t="s">
        <v>6823</v>
      </c>
      <c r="B6766" s="16" t="n">
        <v>45616</v>
      </c>
      <c r="C6766" s="15" t="s">
        <v>56</v>
      </c>
      <c r="D6766" s="15" t="s">
        <v>42</v>
      </c>
      <c r="E6766" s="15" t="s">
        <v>38</v>
      </c>
      <c r="F6766" s="15" t="s">
        <v>17</v>
      </c>
      <c r="G6766" s="15" t="s">
        <v>26</v>
      </c>
      <c r="H6766" s="15" t="n">
        <v>3</v>
      </c>
      <c r="I6766" s="17" t="n">
        <v>0</v>
      </c>
      <c r="J6766" s="18" t="n">
        <v>256.58</v>
      </c>
      <c r="K6766" s="19" t="n">
        <v>33.8</v>
      </c>
      <c r="L6766" s="15" t="n">
        <f aca="false">YEAR(B6766)</f>
        <v>2024</v>
      </c>
      <c r="M6766" s="20" t="n">
        <f aca="false">IF(J6766&gt;0,K6766/J6766,0)</f>
        <v>0.131732792891106</v>
      </c>
    </row>
    <row r="6767" customFormat="false" ht="15" hidden="false" customHeight="false" outlineLevel="0" collapsed="false">
      <c r="A6767" s="15" t="s">
        <v>6824</v>
      </c>
      <c r="B6767" s="16" t="n">
        <v>45545</v>
      </c>
      <c r="C6767" s="15" t="s">
        <v>71</v>
      </c>
      <c r="D6767" s="15" t="s">
        <v>43</v>
      </c>
      <c r="E6767" s="15" t="s">
        <v>36</v>
      </c>
      <c r="F6767" s="15" t="s">
        <v>17</v>
      </c>
      <c r="G6767" s="15" t="s">
        <v>28</v>
      </c>
      <c r="H6767" s="15" t="n">
        <v>3</v>
      </c>
      <c r="I6767" s="17" t="n">
        <v>0.05</v>
      </c>
      <c r="J6767" s="18" t="n">
        <v>85.78</v>
      </c>
      <c r="K6767" s="19" t="n">
        <v>22.57</v>
      </c>
      <c r="L6767" s="15" t="n">
        <f aca="false">YEAR(B6767)</f>
        <v>2024</v>
      </c>
      <c r="M6767" s="20" t="n">
        <f aca="false">IF(J6767&gt;0,K6767/J6767,0)</f>
        <v>0.263114945208673</v>
      </c>
    </row>
    <row r="6768" customFormat="false" ht="15" hidden="false" customHeight="false" outlineLevel="0" collapsed="false">
      <c r="A6768" s="15" t="s">
        <v>6825</v>
      </c>
      <c r="B6768" s="16" t="n">
        <v>45608</v>
      </c>
      <c r="C6768" s="15" t="s">
        <v>71</v>
      </c>
      <c r="D6768" s="15" t="s">
        <v>44</v>
      </c>
      <c r="E6768" s="15" t="s">
        <v>36</v>
      </c>
      <c r="F6768" s="15" t="s">
        <v>17</v>
      </c>
      <c r="G6768" s="15" t="s">
        <v>29</v>
      </c>
      <c r="H6768" s="15" t="n">
        <v>4</v>
      </c>
      <c r="I6768" s="17" t="n">
        <v>0.05</v>
      </c>
      <c r="J6768" s="18" t="n">
        <v>68.08</v>
      </c>
      <c r="K6768" s="19" t="n">
        <v>22.68</v>
      </c>
      <c r="L6768" s="15" t="n">
        <f aca="false">YEAR(B6768)</f>
        <v>2024</v>
      </c>
      <c r="M6768" s="20" t="n">
        <f aca="false">IF(J6768&gt;0,K6768/J6768,0)</f>
        <v>0.333137485311398</v>
      </c>
    </row>
    <row r="6769" customFormat="false" ht="15" hidden="false" customHeight="false" outlineLevel="0" collapsed="false">
      <c r="A6769" s="15" t="s">
        <v>6826</v>
      </c>
      <c r="B6769" s="16" t="n">
        <v>45456</v>
      </c>
      <c r="C6769" s="15" t="s">
        <v>56</v>
      </c>
      <c r="D6769" s="15" t="s">
        <v>43</v>
      </c>
      <c r="E6769" s="15" t="s">
        <v>37</v>
      </c>
      <c r="F6769" s="15" t="s">
        <v>17</v>
      </c>
      <c r="G6769" s="15" t="s">
        <v>28</v>
      </c>
      <c r="H6769" s="15" t="n">
        <v>4</v>
      </c>
      <c r="I6769" s="17" t="n">
        <v>0</v>
      </c>
      <c r="J6769" s="18" t="n">
        <v>110.45</v>
      </c>
      <c r="K6769" s="19" t="n">
        <v>28.4</v>
      </c>
      <c r="L6769" s="15" t="n">
        <f aca="false">YEAR(B6769)</f>
        <v>2024</v>
      </c>
      <c r="M6769" s="20" t="n">
        <f aca="false">IF(J6769&gt;0,K6769/J6769,0)</f>
        <v>0.2571299230421</v>
      </c>
    </row>
    <row r="6770" customFormat="false" ht="15" hidden="false" customHeight="false" outlineLevel="0" collapsed="false">
      <c r="A6770" s="15" t="s">
        <v>6827</v>
      </c>
      <c r="B6770" s="16" t="n">
        <v>45406</v>
      </c>
      <c r="C6770" s="15" t="s">
        <v>56</v>
      </c>
      <c r="D6770" s="15" t="s">
        <v>44</v>
      </c>
      <c r="E6770" s="15" t="s">
        <v>39</v>
      </c>
      <c r="F6770" s="15" t="s">
        <v>17</v>
      </c>
      <c r="G6770" s="15" t="s">
        <v>29</v>
      </c>
      <c r="H6770" s="15" t="n">
        <v>5</v>
      </c>
      <c r="I6770" s="17" t="n">
        <v>0.5</v>
      </c>
      <c r="J6770" s="18" t="n">
        <v>45.28</v>
      </c>
      <c r="K6770" s="19" t="n">
        <v>-4.07</v>
      </c>
      <c r="L6770" s="15" t="n">
        <f aca="false">YEAR(B6770)</f>
        <v>2024</v>
      </c>
      <c r="M6770" s="20" t="n">
        <f aca="false">IF(J6770&gt;0,K6770/J6770,0)</f>
        <v>-0.0898851590106007</v>
      </c>
    </row>
    <row r="6771" customFormat="false" ht="15" hidden="false" customHeight="false" outlineLevel="0" collapsed="false">
      <c r="A6771" s="15" t="s">
        <v>6828</v>
      </c>
      <c r="B6771" s="16" t="n">
        <v>44603</v>
      </c>
      <c r="C6771" s="15" t="s">
        <v>56</v>
      </c>
      <c r="D6771" s="15" t="s">
        <v>43</v>
      </c>
      <c r="E6771" s="15" t="s">
        <v>36</v>
      </c>
      <c r="F6771" s="15" t="s">
        <v>16</v>
      </c>
      <c r="G6771" s="15" t="s">
        <v>27</v>
      </c>
      <c r="H6771" s="15" t="n">
        <v>5</v>
      </c>
      <c r="I6771" s="17" t="n">
        <v>0.05</v>
      </c>
      <c r="J6771" s="18" t="n">
        <v>286.13</v>
      </c>
      <c r="K6771" s="19" t="n">
        <v>45.96</v>
      </c>
      <c r="L6771" s="15" t="n">
        <f aca="false">YEAR(B6771)</f>
        <v>2022</v>
      </c>
      <c r="M6771" s="20" t="n">
        <f aca="false">IF(J6771&gt;0,K6771/J6771,0)</f>
        <v>0.160626288749869</v>
      </c>
    </row>
    <row r="6772" customFormat="false" ht="15" hidden="false" customHeight="false" outlineLevel="0" collapsed="false">
      <c r="A6772" s="15" t="s">
        <v>6829</v>
      </c>
      <c r="B6772" s="16" t="n">
        <v>45456</v>
      </c>
      <c r="C6772" s="15" t="s">
        <v>71</v>
      </c>
      <c r="D6772" s="15" t="s">
        <v>44</v>
      </c>
      <c r="E6772" s="15" t="s">
        <v>39</v>
      </c>
      <c r="F6772" s="15" t="s">
        <v>17</v>
      </c>
      <c r="G6772" s="15" t="s">
        <v>28</v>
      </c>
      <c r="H6772" s="15" t="n">
        <v>5</v>
      </c>
      <c r="I6772" s="17" t="n">
        <v>0</v>
      </c>
      <c r="J6772" s="18" t="n">
        <v>131.77</v>
      </c>
      <c r="K6772" s="19" t="n">
        <v>35.5</v>
      </c>
      <c r="L6772" s="15" t="n">
        <f aca="false">YEAR(B6772)</f>
        <v>2024</v>
      </c>
      <c r="M6772" s="20" t="n">
        <f aca="false">IF(J6772&gt;0,K6772/J6772,0)</f>
        <v>0.269408818395689</v>
      </c>
    </row>
    <row r="6773" customFormat="false" ht="15" hidden="false" customHeight="false" outlineLevel="0" collapsed="false">
      <c r="A6773" s="15" t="s">
        <v>6830</v>
      </c>
      <c r="B6773" s="16" t="n">
        <v>45379</v>
      </c>
      <c r="C6773" s="15" t="s">
        <v>56</v>
      </c>
      <c r="D6773" s="15" t="s">
        <v>42</v>
      </c>
      <c r="E6773" s="15" t="s">
        <v>39</v>
      </c>
      <c r="F6773" s="15" t="s">
        <v>17</v>
      </c>
      <c r="G6773" s="15" t="s">
        <v>28</v>
      </c>
      <c r="H6773" s="15" t="n">
        <v>3</v>
      </c>
      <c r="I6773" s="17" t="n">
        <v>0</v>
      </c>
      <c r="J6773" s="18" t="n">
        <v>74.84</v>
      </c>
      <c r="K6773" s="19" t="n">
        <v>24.78</v>
      </c>
      <c r="L6773" s="15" t="n">
        <f aca="false">YEAR(B6773)</f>
        <v>2024</v>
      </c>
      <c r="M6773" s="20" t="n">
        <f aca="false">IF(J6773&gt;0,K6773/J6773,0)</f>
        <v>0.331106360235168</v>
      </c>
    </row>
    <row r="6774" customFormat="false" ht="15" hidden="false" customHeight="false" outlineLevel="0" collapsed="false">
      <c r="A6774" s="15" t="s">
        <v>6831</v>
      </c>
      <c r="B6774" s="16" t="n">
        <v>45995</v>
      </c>
      <c r="C6774" s="15" t="s">
        <v>58</v>
      </c>
      <c r="D6774" s="15" t="s">
        <v>42</v>
      </c>
      <c r="E6774" s="15" t="s">
        <v>37</v>
      </c>
      <c r="F6774" s="15" t="s">
        <v>18</v>
      </c>
      <c r="G6774" s="15" t="s">
        <v>24</v>
      </c>
      <c r="H6774" s="15" t="n">
        <v>1</v>
      </c>
      <c r="I6774" s="17" t="n">
        <v>0</v>
      </c>
      <c r="J6774" s="18" t="n">
        <v>685.76</v>
      </c>
      <c r="K6774" s="19" t="n">
        <v>106.74</v>
      </c>
      <c r="L6774" s="15" t="n">
        <f aca="false">YEAR(B6774)</f>
        <v>2025</v>
      </c>
      <c r="M6774" s="20" t="n">
        <f aca="false">IF(J6774&gt;0,K6774/J6774,0)</f>
        <v>0.155652123191787</v>
      </c>
    </row>
    <row r="6775" customFormat="false" ht="15" hidden="false" customHeight="false" outlineLevel="0" collapsed="false">
      <c r="A6775" s="15" t="s">
        <v>6832</v>
      </c>
      <c r="B6775" s="16" t="n">
        <v>45927</v>
      </c>
      <c r="C6775" s="15" t="s">
        <v>56</v>
      </c>
      <c r="D6775" s="15" t="s">
        <v>42</v>
      </c>
      <c r="E6775" s="15" t="s">
        <v>38</v>
      </c>
      <c r="F6775" s="15" t="s">
        <v>18</v>
      </c>
      <c r="G6775" s="15" t="s">
        <v>32</v>
      </c>
      <c r="H6775" s="15" t="n">
        <v>2</v>
      </c>
      <c r="I6775" s="17" t="n">
        <v>0.05</v>
      </c>
      <c r="J6775" s="18" t="n">
        <v>683.91</v>
      </c>
      <c r="K6775" s="19" t="n">
        <v>90.03</v>
      </c>
      <c r="L6775" s="15" t="n">
        <f aca="false">YEAR(B6775)</f>
        <v>2025</v>
      </c>
      <c r="M6775" s="20" t="n">
        <f aca="false">IF(J6775&gt;0,K6775/J6775,0)</f>
        <v>0.131640128087029</v>
      </c>
    </row>
    <row r="6776" customFormat="false" ht="15" hidden="false" customHeight="false" outlineLevel="0" collapsed="false">
      <c r="A6776" s="15" t="s">
        <v>6833</v>
      </c>
      <c r="B6776" s="16" t="n">
        <v>44735</v>
      </c>
      <c r="C6776" s="15" t="s">
        <v>71</v>
      </c>
      <c r="D6776" s="15" t="s">
        <v>42</v>
      </c>
      <c r="E6776" s="15" t="s">
        <v>37</v>
      </c>
      <c r="F6776" s="15" t="s">
        <v>18</v>
      </c>
      <c r="G6776" s="15" t="s">
        <v>32</v>
      </c>
      <c r="H6776" s="15" t="n">
        <v>4</v>
      </c>
      <c r="I6776" s="17" t="n">
        <v>0.2</v>
      </c>
      <c r="J6776" s="18" t="n">
        <v>1365.37</v>
      </c>
      <c r="K6776" s="19" t="n">
        <v>2.53</v>
      </c>
      <c r="L6776" s="15" t="n">
        <f aca="false">YEAR(B6776)</f>
        <v>2022</v>
      </c>
      <c r="M6776" s="20" t="n">
        <f aca="false">IF(J6776&gt;0,K6776/J6776,0)</f>
        <v>0.00185297758116847</v>
      </c>
    </row>
    <row r="6777" customFormat="false" ht="15" hidden="false" customHeight="false" outlineLevel="0" collapsed="false">
      <c r="A6777" s="15" t="s">
        <v>6834</v>
      </c>
      <c r="B6777" s="16" t="n">
        <v>45608</v>
      </c>
      <c r="C6777" s="15" t="s">
        <v>56</v>
      </c>
      <c r="D6777" s="15" t="s">
        <v>43</v>
      </c>
      <c r="E6777" s="15" t="s">
        <v>37</v>
      </c>
      <c r="F6777" s="15" t="s">
        <v>18</v>
      </c>
      <c r="G6777" s="15" t="s">
        <v>24</v>
      </c>
      <c r="H6777" s="15" t="n">
        <v>3</v>
      </c>
      <c r="I6777" s="17" t="n">
        <v>0.1</v>
      </c>
      <c r="J6777" s="18" t="n">
        <v>1691.51</v>
      </c>
      <c r="K6777" s="19" t="n">
        <v>37.89</v>
      </c>
      <c r="L6777" s="15" t="n">
        <f aca="false">YEAR(B6777)</f>
        <v>2024</v>
      </c>
      <c r="M6777" s="20" t="n">
        <f aca="false">IF(J6777&gt;0,K6777/J6777,0)</f>
        <v>0.0224001040490449</v>
      </c>
    </row>
    <row r="6778" customFormat="false" ht="15" hidden="false" customHeight="false" outlineLevel="0" collapsed="false">
      <c r="A6778" s="15" t="s">
        <v>6835</v>
      </c>
      <c r="B6778" s="16" t="n">
        <v>45689</v>
      </c>
      <c r="C6778" s="15" t="s">
        <v>56</v>
      </c>
      <c r="D6778" s="15" t="s">
        <v>42</v>
      </c>
      <c r="E6778" s="15" t="s">
        <v>37</v>
      </c>
      <c r="F6778" s="15" t="s">
        <v>18</v>
      </c>
      <c r="G6778" s="15" t="s">
        <v>24</v>
      </c>
      <c r="H6778" s="15" t="n">
        <v>3</v>
      </c>
      <c r="I6778" s="17" t="n">
        <v>0</v>
      </c>
      <c r="J6778" s="18" t="n">
        <v>1728.82</v>
      </c>
      <c r="K6778" s="19" t="n">
        <v>21.77</v>
      </c>
      <c r="L6778" s="15" t="n">
        <f aca="false">YEAR(B6778)</f>
        <v>2025</v>
      </c>
      <c r="M6778" s="20" t="n">
        <f aca="false">IF(J6778&gt;0,K6778/J6778,0)</f>
        <v>0.0125924040675143</v>
      </c>
    </row>
    <row r="6779" customFormat="false" ht="15" hidden="false" customHeight="false" outlineLevel="0" collapsed="false">
      <c r="A6779" s="15" t="s">
        <v>6836</v>
      </c>
      <c r="B6779" s="16" t="n">
        <v>45516</v>
      </c>
      <c r="C6779" s="15" t="s">
        <v>68</v>
      </c>
      <c r="D6779" s="15" t="s">
        <v>42</v>
      </c>
      <c r="E6779" s="15" t="s">
        <v>36</v>
      </c>
      <c r="F6779" s="15" t="s">
        <v>18</v>
      </c>
      <c r="G6779" s="15" t="s">
        <v>24</v>
      </c>
      <c r="H6779" s="15" t="n">
        <v>3</v>
      </c>
      <c r="I6779" s="17" t="n">
        <v>0</v>
      </c>
      <c r="J6779" s="18" t="n">
        <v>2147.05</v>
      </c>
      <c r="K6779" s="19" t="n">
        <v>183.87</v>
      </c>
      <c r="L6779" s="15" t="n">
        <f aca="false">YEAR(B6779)</f>
        <v>2024</v>
      </c>
      <c r="M6779" s="20" t="n">
        <f aca="false">IF(J6779&gt;0,K6779/J6779,0)</f>
        <v>0.0856384341305512</v>
      </c>
    </row>
    <row r="6780" customFormat="false" ht="15" hidden="false" customHeight="false" outlineLevel="0" collapsed="false">
      <c r="A6780" s="15" t="s">
        <v>6837</v>
      </c>
      <c r="B6780" s="16" t="n">
        <v>45184</v>
      </c>
      <c r="C6780" s="15" t="s">
        <v>56</v>
      </c>
      <c r="D6780" s="15" t="s">
        <v>43</v>
      </c>
      <c r="E6780" s="15" t="s">
        <v>37</v>
      </c>
      <c r="F6780" s="15" t="s">
        <v>18</v>
      </c>
      <c r="G6780" s="15" t="s">
        <v>30</v>
      </c>
      <c r="H6780" s="15" t="n">
        <v>3</v>
      </c>
      <c r="I6780" s="17" t="n">
        <v>0.2</v>
      </c>
      <c r="J6780" s="18" t="n">
        <v>123.83</v>
      </c>
      <c r="K6780" s="19" t="n">
        <v>18.91</v>
      </c>
      <c r="L6780" s="15" t="n">
        <f aca="false">YEAR(B6780)</f>
        <v>2023</v>
      </c>
      <c r="M6780" s="20" t="n">
        <f aca="false">IF(J6780&gt;0,K6780/J6780,0)</f>
        <v>0.152709359605911</v>
      </c>
    </row>
    <row r="6781" customFormat="false" ht="15" hidden="false" customHeight="false" outlineLevel="0" collapsed="false">
      <c r="A6781" s="15" t="s">
        <v>6838</v>
      </c>
      <c r="B6781" s="16" t="n">
        <v>45970</v>
      </c>
      <c r="C6781" s="15" t="s">
        <v>56</v>
      </c>
      <c r="D6781" s="15" t="s">
        <v>43</v>
      </c>
      <c r="E6781" s="15" t="s">
        <v>36</v>
      </c>
      <c r="F6781" s="15" t="s">
        <v>18</v>
      </c>
      <c r="G6781" s="15" t="s">
        <v>30</v>
      </c>
      <c r="H6781" s="15" t="n">
        <v>4</v>
      </c>
      <c r="I6781" s="17" t="n">
        <v>0</v>
      </c>
      <c r="J6781" s="18" t="n">
        <v>168.05</v>
      </c>
      <c r="K6781" s="19" t="n">
        <v>45.15</v>
      </c>
      <c r="L6781" s="15" t="n">
        <f aca="false">YEAR(B6781)</f>
        <v>2025</v>
      </c>
      <c r="M6781" s="20" t="n">
        <f aca="false">IF(J6781&gt;0,K6781/J6781,0)</f>
        <v>0.268670038678965</v>
      </c>
    </row>
    <row r="6782" customFormat="false" ht="15" hidden="false" customHeight="false" outlineLevel="0" collapsed="false">
      <c r="A6782" s="15" t="s">
        <v>6839</v>
      </c>
      <c r="B6782" s="16" t="n">
        <v>45382</v>
      </c>
      <c r="C6782" s="15" t="s">
        <v>56</v>
      </c>
      <c r="D6782" s="15" t="s">
        <v>43</v>
      </c>
      <c r="E6782" s="15" t="s">
        <v>38</v>
      </c>
      <c r="F6782" s="15" t="s">
        <v>16</v>
      </c>
      <c r="G6782" s="15" t="s">
        <v>27</v>
      </c>
      <c r="H6782" s="15" t="n">
        <v>6</v>
      </c>
      <c r="I6782" s="17" t="n">
        <v>0</v>
      </c>
      <c r="J6782" s="18" t="n">
        <v>332.14</v>
      </c>
      <c r="K6782" s="19" t="n">
        <v>56.45</v>
      </c>
      <c r="L6782" s="15" t="n">
        <f aca="false">YEAR(B6782)</f>
        <v>2024</v>
      </c>
      <c r="M6782" s="20" t="n">
        <f aca="false">IF(J6782&gt;0,K6782/J6782,0)</f>
        <v>0.169958451255495</v>
      </c>
    </row>
    <row r="6783" customFormat="false" ht="15" hidden="false" customHeight="false" outlineLevel="0" collapsed="false">
      <c r="A6783" s="15" t="s">
        <v>6840</v>
      </c>
      <c r="B6783" s="16" t="n">
        <v>45755</v>
      </c>
      <c r="C6783" s="15" t="s">
        <v>56</v>
      </c>
      <c r="D6783" s="15" t="s">
        <v>43</v>
      </c>
      <c r="E6783" s="15" t="s">
        <v>36</v>
      </c>
      <c r="F6783" s="15" t="s">
        <v>17</v>
      </c>
      <c r="G6783" s="15" t="s">
        <v>26</v>
      </c>
      <c r="H6783" s="15" t="n">
        <v>3</v>
      </c>
      <c r="I6783" s="17" t="n">
        <v>0</v>
      </c>
      <c r="J6783" s="18" t="n">
        <v>227.57</v>
      </c>
      <c r="K6783" s="19" t="n">
        <v>34.14</v>
      </c>
      <c r="L6783" s="15" t="n">
        <f aca="false">YEAR(B6783)</f>
        <v>2025</v>
      </c>
      <c r="M6783" s="20" t="n">
        <f aca="false">IF(J6783&gt;0,K6783/J6783,0)</f>
        <v>0.150019774135431</v>
      </c>
    </row>
    <row r="6784" customFormat="false" ht="15" hidden="false" customHeight="false" outlineLevel="0" collapsed="false">
      <c r="A6784" s="15" t="s">
        <v>6841</v>
      </c>
      <c r="B6784" s="16" t="n">
        <v>45729</v>
      </c>
      <c r="C6784" s="15" t="s">
        <v>56</v>
      </c>
      <c r="D6784" s="15" t="s">
        <v>42</v>
      </c>
      <c r="E6784" s="15" t="s">
        <v>39</v>
      </c>
      <c r="F6784" s="15" t="s">
        <v>16</v>
      </c>
      <c r="G6784" s="15" t="s">
        <v>27</v>
      </c>
      <c r="H6784" s="15" t="n">
        <v>2</v>
      </c>
      <c r="I6784" s="17" t="n">
        <v>0</v>
      </c>
      <c r="J6784" s="18" t="n">
        <v>133.79</v>
      </c>
      <c r="K6784" s="19" t="n">
        <v>24.77</v>
      </c>
      <c r="L6784" s="15" t="n">
        <f aca="false">YEAR(B6784)</f>
        <v>2025</v>
      </c>
      <c r="M6784" s="20" t="n">
        <f aca="false">IF(J6784&gt;0,K6784/J6784,0)</f>
        <v>0.185140892443381</v>
      </c>
    </row>
    <row r="6785" customFormat="false" ht="15" hidden="false" customHeight="false" outlineLevel="0" collapsed="false">
      <c r="A6785" s="15" t="s">
        <v>6842</v>
      </c>
      <c r="B6785" s="16" t="n">
        <v>44665</v>
      </c>
      <c r="C6785" s="15" t="s">
        <v>71</v>
      </c>
      <c r="D6785" s="15" t="s">
        <v>42</v>
      </c>
      <c r="E6785" s="15" t="s">
        <v>37</v>
      </c>
      <c r="F6785" s="15" t="s">
        <v>17</v>
      </c>
      <c r="G6785" s="15" t="s">
        <v>28</v>
      </c>
      <c r="H6785" s="15" t="n">
        <v>4</v>
      </c>
      <c r="I6785" s="17" t="n">
        <v>0.05</v>
      </c>
      <c r="J6785" s="18" t="n">
        <v>81.5</v>
      </c>
      <c r="K6785" s="19" t="n">
        <v>18.73</v>
      </c>
      <c r="L6785" s="15" t="n">
        <f aca="false">YEAR(B6785)</f>
        <v>2022</v>
      </c>
      <c r="M6785" s="20" t="n">
        <f aca="false">IF(J6785&gt;0,K6785/J6785,0)</f>
        <v>0.229815950920245</v>
      </c>
    </row>
    <row r="6786" customFormat="false" ht="15" hidden="false" customHeight="false" outlineLevel="0" collapsed="false">
      <c r="A6786" s="15" t="s">
        <v>6843</v>
      </c>
      <c r="B6786" s="16" t="n">
        <v>44567</v>
      </c>
      <c r="C6786" s="15" t="s">
        <v>56</v>
      </c>
      <c r="D6786" s="15" t="s">
        <v>42</v>
      </c>
      <c r="E6786" s="15" t="s">
        <v>38</v>
      </c>
      <c r="F6786" s="15" t="s">
        <v>16</v>
      </c>
      <c r="G6786" s="15" t="s">
        <v>22</v>
      </c>
      <c r="H6786" s="15" t="n">
        <v>3</v>
      </c>
      <c r="I6786" s="17" t="n">
        <v>0.5</v>
      </c>
      <c r="J6786" s="18" t="n">
        <v>669.41</v>
      </c>
      <c r="K6786" s="19" t="n">
        <v>-345.35</v>
      </c>
      <c r="L6786" s="15" t="n">
        <f aca="false">YEAR(B6786)</f>
        <v>2022</v>
      </c>
      <c r="M6786" s="20" t="n">
        <f aca="false">IF(J6786&gt;0,K6786/J6786,0)</f>
        <v>-0.515902063010711</v>
      </c>
    </row>
    <row r="6787" customFormat="false" ht="15" hidden="false" customHeight="false" outlineLevel="0" collapsed="false">
      <c r="A6787" s="15" t="s">
        <v>6844</v>
      </c>
      <c r="B6787" s="16" t="n">
        <v>44800</v>
      </c>
      <c r="C6787" s="15" t="s">
        <v>56</v>
      </c>
      <c r="D6787" s="15" t="s">
        <v>44</v>
      </c>
      <c r="E6787" s="15" t="s">
        <v>37</v>
      </c>
      <c r="F6787" s="15" t="s">
        <v>16</v>
      </c>
      <c r="G6787" s="15" t="s">
        <v>22</v>
      </c>
      <c r="H6787" s="15" t="n">
        <v>3</v>
      </c>
      <c r="I6787" s="17" t="n">
        <v>0.3</v>
      </c>
      <c r="J6787" s="18" t="n">
        <v>944.49</v>
      </c>
      <c r="K6787" s="19" t="n">
        <v>-212.37</v>
      </c>
      <c r="L6787" s="15" t="n">
        <f aca="false">YEAR(B6787)</f>
        <v>2022</v>
      </c>
      <c r="M6787" s="20" t="n">
        <f aca="false">IF(J6787&gt;0,K6787/J6787,0)</f>
        <v>-0.224851507162596</v>
      </c>
    </row>
    <row r="6788" customFormat="false" ht="15" hidden="false" customHeight="false" outlineLevel="0" collapsed="false">
      <c r="A6788" s="15" t="s">
        <v>6845</v>
      </c>
      <c r="B6788" s="16" t="n">
        <v>45760</v>
      </c>
      <c r="C6788" s="15" t="s">
        <v>68</v>
      </c>
      <c r="D6788" s="15" t="s">
        <v>43</v>
      </c>
      <c r="E6788" s="15" t="s">
        <v>36</v>
      </c>
      <c r="F6788" s="15" t="s">
        <v>18</v>
      </c>
      <c r="G6788" s="15" t="s">
        <v>24</v>
      </c>
      <c r="H6788" s="15" t="n">
        <v>3</v>
      </c>
      <c r="I6788" s="17" t="n">
        <v>0</v>
      </c>
      <c r="J6788" s="18" t="n">
        <v>1795.46</v>
      </c>
      <c r="K6788" s="19" t="n">
        <v>159.86</v>
      </c>
      <c r="L6788" s="15" t="n">
        <f aca="false">YEAR(B6788)</f>
        <v>2025</v>
      </c>
      <c r="M6788" s="20" t="n">
        <f aca="false">IF(J6788&gt;0,K6788/J6788,0)</f>
        <v>0.0890356788789503</v>
      </c>
    </row>
    <row r="6789" customFormat="false" ht="15" hidden="false" customHeight="false" outlineLevel="0" collapsed="false">
      <c r="A6789" s="15" t="s">
        <v>6846</v>
      </c>
      <c r="B6789" s="16" t="n">
        <v>45475</v>
      </c>
      <c r="C6789" s="15" t="s">
        <v>68</v>
      </c>
      <c r="D6789" s="15" t="s">
        <v>42</v>
      </c>
      <c r="E6789" s="15" t="s">
        <v>39</v>
      </c>
      <c r="F6789" s="15" t="s">
        <v>18</v>
      </c>
      <c r="G6789" s="15" t="s">
        <v>32</v>
      </c>
      <c r="H6789" s="15" t="n">
        <v>4</v>
      </c>
      <c r="I6789" s="17" t="n">
        <v>0.1</v>
      </c>
      <c r="J6789" s="18" t="n">
        <v>1611.92</v>
      </c>
      <c r="K6789" s="19" t="n">
        <v>162.07</v>
      </c>
      <c r="L6789" s="15" t="n">
        <f aca="false">YEAR(B6789)</f>
        <v>2024</v>
      </c>
      <c r="M6789" s="20" t="n">
        <f aca="false">IF(J6789&gt;0,K6789/J6789,0)</f>
        <v>0.10054469204427</v>
      </c>
    </row>
    <row r="6790" customFormat="false" ht="15" hidden="false" customHeight="false" outlineLevel="0" collapsed="false">
      <c r="A6790" s="15" t="s">
        <v>6847</v>
      </c>
      <c r="B6790" s="16" t="n">
        <v>45048</v>
      </c>
      <c r="C6790" s="15" t="s">
        <v>56</v>
      </c>
      <c r="D6790" s="15" t="s">
        <v>43</v>
      </c>
      <c r="E6790" s="15" t="s">
        <v>39</v>
      </c>
      <c r="F6790" s="15" t="s">
        <v>18</v>
      </c>
      <c r="G6790" s="15" t="s">
        <v>30</v>
      </c>
      <c r="H6790" s="15" t="n">
        <v>7</v>
      </c>
      <c r="I6790" s="17" t="n">
        <v>0.2</v>
      </c>
      <c r="J6790" s="18" t="n">
        <v>266.76</v>
      </c>
      <c r="K6790" s="19" t="n">
        <v>35.57</v>
      </c>
      <c r="L6790" s="15" t="n">
        <f aca="false">YEAR(B6790)</f>
        <v>2023</v>
      </c>
      <c r="M6790" s="20" t="n">
        <f aca="false">IF(J6790&gt;0,K6790/J6790,0)</f>
        <v>0.133340830709252</v>
      </c>
    </row>
    <row r="6791" customFormat="false" ht="15" hidden="false" customHeight="false" outlineLevel="0" collapsed="false">
      <c r="A6791" s="15" t="s">
        <v>6848</v>
      </c>
      <c r="B6791" s="16" t="n">
        <v>45071</v>
      </c>
      <c r="C6791" s="15" t="s">
        <v>71</v>
      </c>
      <c r="D6791" s="15" t="s">
        <v>43</v>
      </c>
      <c r="E6791" s="15" t="s">
        <v>37</v>
      </c>
      <c r="F6791" s="15" t="s">
        <v>17</v>
      </c>
      <c r="G6791" s="15" t="s">
        <v>29</v>
      </c>
      <c r="H6791" s="15" t="n">
        <v>2</v>
      </c>
      <c r="I6791" s="17" t="n">
        <v>0.15</v>
      </c>
      <c r="J6791" s="18" t="n">
        <v>38.24</v>
      </c>
      <c r="K6791" s="19" t="n">
        <v>8.94</v>
      </c>
      <c r="L6791" s="15" t="n">
        <f aca="false">YEAR(B6791)</f>
        <v>2023</v>
      </c>
      <c r="M6791" s="20" t="n">
        <f aca="false">IF(J6791&gt;0,K6791/J6791,0)</f>
        <v>0.233786610878661</v>
      </c>
    </row>
    <row r="6792" customFormat="false" ht="15" hidden="false" customHeight="false" outlineLevel="0" collapsed="false">
      <c r="A6792" s="15" t="s">
        <v>6849</v>
      </c>
      <c r="B6792" s="16" t="n">
        <v>46016</v>
      </c>
      <c r="C6792" s="15" t="s">
        <v>56</v>
      </c>
      <c r="D6792" s="15" t="s">
        <v>43</v>
      </c>
      <c r="E6792" s="15" t="s">
        <v>39</v>
      </c>
      <c r="F6792" s="15" t="s">
        <v>17</v>
      </c>
      <c r="G6792" s="15" t="s">
        <v>26</v>
      </c>
      <c r="H6792" s="15" t="n">
        <v>3</v>
      </c>
      <c r="I6792" s="17" t="n">
        <v>0.15</v>
      </c>
      <c r="J6792" s="18" t="n">
        <v>223.22</v>
      </c>
      <c r="K6792" s="19" t="n">
        <v>4.44</v>
      </c>
      <c r="L6792" s="15" t="n">
        <f aca="false">YEAR(B6792)</f>
        <v>2025</v>
      </c>
      <c r="M6792" s="20" t="n">
        <f aca="false">IF(J6792&gt;0,K6792/J6792,0)</f>
        <v>0.0198906907983156</v>
      </c>
    </row>
    <row r="6793" customFormat="false" ht="15" hidden="false" customHeight="false" outlineLevel="0" collapsed="false">
      <c r="A6793" s="15" t="s">
        <v>6850</v>
      </c>
      <c r="B6793" s="16" t="n">
        <v>45043</v>
      </c>
      <c r="C6793" s="15" t="s">
        <v>68</v>
      </c>
      <c r="D6793" s="15" t="s">
        <v>43</v>
      </c>
      <c r="E6793" s="15" t="s">
        <v>37</v>
      </c>
      <c r="F6793" s="15" t="s">
        <v>16</v>
      </c>
      <c r="G6793" s="15" t="s">
        <v>22</v>
      </c>
      <c r="H6793" s="15" t="n">
        <v>5</v>
      </c>
      <c r="I6793" s="17" t="n">
        <v>0</v>
      </c>
      <c r="J6793" s="18" t="n">
        <v>3100.03</v>
      </c>
      <c r="K6793" s="19" t="n">
        <v>-281.33</v>
      </c>
      <c r="L6793" s="15" t="n">
        <f aca="false">YEAR(B6793)</f>
        <v>2023</v>
      </c>
      <c r="M6793" s="20" t="n">
        <f aca="false">IF(J6793&gt;0,K6793/J6793,0)</f>
        <v>-0.0907507346703096</v>
      </c>
    </row>
    <row r="6794" customFormat="false" ht="15" hidden="false" customHeight="false" outlineLevel="0" collapsed="false">
      <c r="A6794" s="15" t="s">
        <v>6851</v>
      </c>
      <c r="B6794" s="16" t="n">
        <v>45905</v>
      </c>
      <c r="C6794" s="15" t="s">
        <v>56</v>
      </c>
      <c r="D6794" s="15" t="s">
        <v>42</v>
      </c>
      <c r="E6794" s="15" t="s">
        <v>38</v>
      </c>
      <c r="F6794" s="15" t="s">
        <v>17</v>
      </c>
      <c r="G6794" s="15" t="s">
        <v>28</v>
      </c>
      <c r="H6794" s="15" t="n">
        <v>8</v>
      </c>
      <c r="I6794" s="17" t="n">
        <v>0.05</v>
      </c>
      <c r="J6794" s="18" t="n">
        <v>199.72</v>
      </c>
      <c r="K6794" s="19" t="n">
        <v>37.5</v>
      </c>
      <c r="L6794" s="15" t="n">
        <f aca="false">YEAR(B6794)</f>
        <v>2025</v>
      </c>
      <c r="M6794" s="20" t="n">
        <f aca="false">IF(J6794&gt;0,K6794/J6794,0)</f>
        <v>0.187762868015221</v>
      </c>
    </row>
    <row r="6795" customFormat="false" ht="15" hidden="false" customHeight="false" outlineLevel="0" collapsed="false">
      <c r="A6795" s="15" t="s">
        <v>6852</v>
      </c>
      <c r="B6795" s="16" t="n">
        <v>44572</v>
      </c>
      <c r="C6795" s="15" t="s">
        <v>58</v>
      </c>
      <c r="D6795" s="15" t="s">
        <v>42</v>
      </c>
      <c r="E6795" s="15" t="s">
        <v>37</v>
      </c>
      <c r="F6795" s="15" t="s">
        <v>16</v>
      </c>
      <c r="G6795" s="15" t="s">
        <v>23</v>
      </c>
      <c r="H6795" s="15" t="n">
        <v>4</v>
      </c>
      <c r="I6795" s="17" t="n">
        <v>0</v>
      </c>
      <c r="J6795" s="18" t="n">
        <v>1019.44</v>
      </c>
      <c r="K6795" s="19" t="n">
        <v>-35.42</v>
      </c>
      <c r="L6795" s="15" t="n">
        <f aca="false">YEAR(B6795)</f>
        <v>2022</v>
      </c>
      <c r="M6795" s="20" t="n">
        <f aca="false">IF(J6795&gt;0,K6795/J6795,0)</f>
        <v>-0.0347445656438829</v>
      </c>
    </row>
    <row r="6796" customFormat="false" ht="15" hidden="false" customHeight="false" outlineLevel="0" collapsed="false">
      <c r="A6796" s="15" t="s">
        <v>6853</v>
      </c>
      <c r="B6796" s="16" t="n">
        <v>45125</v>
      </c>
      <c r="C6796" s="15" t="s">
        <v>58</v>
      </c>
      <c r="D6796" s="15" t="s">
        <v>42</v>
      </c>
      <c r="E6796" s="15" t="s">
        <v>37</v>
      </c>
      <c r="F6796" s="15" t="s">
        <v>18</v>
      </c>
      <c r="G6796" s="15" t="s">
        <v>30</v>
      </c>
      <c r="H6796" s="15" t="n">
        <v>6</v>
      </c>
      <c r="I6796" s="17" t="n">
        <v>0.3</v>
      </c>
      <c r="J6796" s="18" t="n">
        <v>225.68</v>
      </c>
      <c r="K6796" s="19" t="n">
        <v>-1.04</v>
      </c>
      <c r="L6796" s="15" t="n">
        <f aca="false">YEAR(B6796)</f>
        <v>2023</v>
      </c>
      <c r="M6796" s="20" t="n">
        <f aca="false">IF(J6796&gt;0,K6796/J6796,0)</f>
        <v>-0.00460829493087558</v>
      </c>
    </row>
    <row r="6797" customFormat="false" ht="15" hidden="false" customHeight="false" outlineLevel="0" collapsed="false">
      <c r="A6797" s="15" t="s">
        <v>6854</v>
      </c>
      <c r="B6797" s="16" t="n">
        <v>45603</v>
      </c>
      <c r="C6797" s="15" t="s">
        <v>56</v>
      </c>
      <c r="D6797" s="15" t="s">
        <v>42</v>
      </c>
      <c r="E6797" s="15" t="s">
        <v>38</v>
      </c>
      <c r="F6797" s="15" t="s">
        <v>17</v>
      </c>
      <c r="G6797" s="15" t="s">
        <v>28</v>
      </c>
      <c r="H6797" s="15" t="n">
        <v>6</v>
      </c>
      <c r="I6797" s="17" t="n">
        <v>0.1</v>
      </c>
      <c r="J6797" s="18" t="n">
        <v>134.63</v>
      </c>
      <c r="K6797" s="19" t="n">
        <v>19.49</v>
      </c>
      <c r="L6797" s="15" t="n">
        <f aca="false">YEAR(B6797)</f>
        <v>2024</v>
      </c>
      <c r="M6797" s="20" t="n">
        <f aca="false">IF(J6797&gt;0,K6797/J6797,0)</f>
        <v>0.144767139567704</v>
      </c>
    </row>
    <row r="6798" customFormat="false" ht="15" hidden="false" customHeight="false" outlineLevel="0" collapsed="false">
      <c r="A6798" s="15" t="s">
        <v>6855</v>
      </c>
      <c r="B6798" s="16" t="n">
        <v>45214</v>
      </c>
      <c r="C6798" s="15" t="s">
        <v>56</v>
      </c>
      <c r="D6798" s="15" t="s">
        <v>42</v>
      </c>
      <c r="E6798" s="15" t="s">
        <v>37</v>
      </c>
      <c r="F6798" s="15" t="s">
        <v>18</v>
      </c>
      <c r="G6798" s="15" t="s">
        <v>33</v>
      </c>
      <c r="H6798" s="15" t="n">
        <v>5</v>
      </c>
      <c r="I6798" s="17" t="n">
        <v>0.1</v>
      </c>
      <c r="J6798" s="18" t="n">
        <v>4277.45</v>
      </c>
      <c r="K6798" s="19" t="n">
        <v>689.06</v>
      </c>
      <c r="L6798" s="15" t="n">
        <f aca="false">YEAR(B6798)</f>
        <v>2023</v>
      </c>
      <c r="M6798" s="20" t="n">
        <f aca="false">IF(J6798&gt;0,K6798/J6798,0)</f>
        <v>0.161091304398649</v>
      </c>
    </row>
    <row r="6799" customFormat="false" ht="15" hidden="false" customHeight="false" outlineLevel="0" collapsed="false">
      <c r="A6799" s="15" t="s">
        <v>6856</v>
      </c>
      <c r="B6799" s="16" t="n">
        <v>45158</v>
      </c>
      <c r="C6799" s="15" t="s">
        <v>68</v>
      </c>
      <c r="D6799" s="15" t="s">
        <v>42</v>
      </c>
      <c r="E6799" s="15" t="s">
        <v>39</v>
      </c>
      <c r="F6799" s="15" t="s">
        <v>16</v>
      </c>
      <c r="G6799" s="15" t="s">
        <v>22</v>
      </c>
      <c r="H6799" s="15" t="n">
        <v>3</v>
      </c>
      <c r="I6799" s="17" t="n">
        <v>0</v>
      </c>
      <c r="J6799" s="18" t="n">
        <v>1409.17</v>
      </c>
      <c r="K6799" s="19" t="n">
        <v>5.81</v>
      </c>
      <c r="L6799" s="15" t="n">
        <f aca="false">YEAR(B6799)</f>
        <v>2023</v>
      </c>
      <c r="M6799" s="20" t="n">
        <f aca="false">IF(J6799&gt;0,K6799/J6799,0)</f>
        <v>0.00412299438676668</v>
      </c>
    </row>
    <row r="6800" customFormat="false" ht="15" hidden="false" customHeight="false" outlineLevel="0" collapsed="false">
      <c r="A6800" s="15" t="s">
        <v>6857</v>
      </c>
      <c r="B6800" s="16" t="n">
        <v>45214</v>
      </c>
      <c r="C6800" s="15" t="s">
        <v>68</v>
      </c>
      <c r="D6800" s="15" t="s">
        <v>43</v>
      </c>
      <c r="E6800" s="15" t="s">
        <v>36</v>
      </c>
      <c r="F6800" s="15" t="s">
        <v>17</v>
      </c>
      <c r="G6800" s="15" t="s">
        <v>31</v>
      </c>
      <c r="H6800" s="15" t="n">
        <v>1</v>
      </c>
      <c r="I6800" s="17" t="n">
        <v>0.2</v>
      </c>
      <c r="J6800" s="18" t="n">
        <v>86.2</v>
      </c>
      <c r="K6800" s="19" t="n">
        <v>0.45</v>
      </c>
      <c r="L6800" s="15" t="n">
        <f aca="false">YEAR(B6800)</f>
        <v>2023</v>
      </c>
      <c r="M6800" s="20" t="n">
        <f aca="false">IF(J6800&gt;0,K6800/J6800,0)</f>
        <v>0.00522041763341067</v>
      </c>
    </row>
    <row r="6801" customFormat="false" ht="15" hidden="false" customHeight="false" outlineLevel="0" collapsed="false">
      <c r="A6801" s="15" t="s">
        <v>6858</v>
      </c>
      <c r="B6801" s="16" t="n">
        <v>45373</v>
      </c>
      <c r="C6801" s="15" t="s">
        <v>71</v>
      </c>
      <c r="D6801" s="15" t="s">
        <v>42</v>
      </c>
      <c r="E6801" s="15" t="s">
        <v>39</v>
      </c>
      <c r="F6801" s="15" t="s">
        <v>18</v>
      </c>
      <c r="G6801" s="15" t="s">
        <v>33</v>
      </c>
      <c r="H6801" s="15" t="n">
        <v>2</v>
      </c>
      <c r="I6801" s="17" t="n">
        <v>0.2</v>
      </c>
      <c r="J6801" s="18" t="n">
        <v>1729.16</v>
      </c>
      <c r="K6801" s="19" t="n">
        <v>74.74</v>
      </c>
      <c r="L6801" s="15" t="n">
        <f aca="false">YEAR(B6801)</f>
        <v>2024</v>
      </c>
      <c r="M6801" s="20" t="n">
        <f aca="false">IF(J6801&gt;0,K6801/J6801,0)</f>
        <v>0.0432232991741655</v>
      </c>
    </row>
    <row r="6802" customFormat="false" ht="15" hidden="false" customHeight="false" outlineLevel="0" collapsed="false">
      <c r="A6802" s="15" t="s">
        <v>6859</v>
      </c>
      <c r="B6802" s="16" t="n">
        <v>45517</v>
      </c>
      <c r="C6802" s="15" t="s">
        <v>56</v>
      </c>
      <c r="D6802" s="15" t="s">
        <v>42</v>
      </c>
      <c r="E6802" s="15" t="s">
        <v>39</v>
      </c>
      <c r="F6802" s="15" t="s">
        <v>17</v>
      </c>
      <c r="G6802" s="15" t="s">
        <v>29</v>
      </c>
      <c r="H6802" s="15" t="n">
        <v>3</v>
      </c>
      <c r="I6802" s="17" t="n">
        <v>0</v>
      </c>
      <c r="J6802" s="18" t="n">
        <v>52.52</v>
      </c>
      <c r="K6802" s="19" t="n">
        <v>20.73</v>
      </c>
      <c r="L6802" s="15" t="n">
        <f aca="false">YEAR(B6802)</f>
        <v>2024</v>
      </c>
      <c r="M6802" s="20" t="n">
        <f aca="false">IF(J6802&gt;0,K6802/J6802,0)</f>
        <v>0.394706778370145</v>
      </c>
    </row>
    <row r="6803" customFormat="false" ht="15" hidden="false" customHeight="false" outlineLevel="0" collapsed="false">
      <c r="A6803" s="15" t="s">
        <v>6860</v>
      </c>
      <c r="B6803" s="16" t="n">
        <v>44564</v>
      </c>
      <c r="C6803" s="15" t="s">
        <v>56</v>
      </c>
      <c r="D6803" s="15" t="s">
        <v>42</v>
      </c>
      <c r="E6803" s="15" t="s">
        <v>38</v>
      </c>
      <c r="F6803" s="15" t="s">
        <v>17</v>
      </c>
      <c r="G6803" s="15" t="s">
        <v>29</v>
      </c>
      <c r="H6803" s="15" t="n">
        <v>3</v>
      </c>
      <c r="I6803" s="17" t="n">
        <v>0.3</v>
      </c>
      <c r="J6803" s="18" t="n">
        <v>35.99</v>
      </c>
      <c r="K6803" s="19" t="n">
        <v>2.25</v>
      </c>
      <c r="L6803" s="15" t="n">
        <f aca="false">YEAR(B6803)</f>
        <v>2022</v>
      </c>
      <c r="M6803" s="20" t="n">
        <f aca="false">IF(J6803&gt;0,K6803/J6803,0)</f>
        <v>0.0625173659349819</v>
      </c>
    </row>
    <row r="6804" customFormat="false" ht="15" hidden="false" customHeight="false" outlineLevel="0" collapsed="false">
      <c r="A6804" s="15" t="s">
        <v>6861</v>
      </c>
      <c r="B6804" s="16" t="n">
        <v>45438</v>
      </c>
      <c r="C6804" s="15" t="s">
        <v>68</v>
      </c>
      <c r="D6804" s="15" t="s">
        <v>43</v>
      </c>
      <c r="E6804" s="15" t="s">
        <v>36</v>
      </c>
      <c r="F6804" s="15" t="s">
        <v>16</v>
      </c>
      <c r="G6804" s="15" t="s">
        <v>27</v>
      </c>
      <c r="H6804" s="15" t="n">
        <v>4</v>
      </c>
      <c r="I6804" s="17" t="n">
        <v>0.1</v>
      </c>
      <c r="J6804" s="18" t="n">
        <v>205</v>
      </c>
      <c r="K6804" s="19" t="n">
        <v>28.1</v>
      </c>
      <c r="L6804" s="15" t="n">
        <f aca="false">YEAR(B6804)</f>
        <v>2024</v>
      </c>
      <c r="M6804" s="20" t="n">
        <f aca="false">IF(J6804&gt;0,K6804/J6804,0)</f>
        <v>0.137073170731707</v>
      </c>
    </row>
    <row r="6805" customFormat="false" ht="15" hidden="false" customHeight="false" outlineLevel="0" collapsed="false">
      <c r="A6805" s="15" t="s">
        <v>6862</v>
      </c>
      <c r="B6805" s="16" t="n">
        <v>44830</v>
      </c>
      <c r="C6805" s="15" t="s">
        <v>71</v>
      </c>
      <c r="D6805" s="15" t="s">
        <v>43</v>
      </c>
      <c r="E6805" s="15" t="s">
        <v>39</v>
      </c>
      <c r="F6805" s="15" t="s">
        <v>17</v>
      </c>
      <c r="G6805" s="15" t="s">
        <v>29</v>
      </c>
      <c r="H6805" s="15" t="n">
        <v>2</v>
      </c>
      <c r="I6805" s="17" t="n">
        <v>0.2</v>
      </c>
      <c r="J6805" s="18" t="n">
        <v>35.95</v>
      </c>
      <c r="K6805" s="19" t="n">
        <v>3.75</v>
      </c>
      <c r="L6805" s="15" t="n">
        <f aca="false">YEAR(B6805)</f>
        <v>2022</v>
      </c>
      <c r="M6805" s="20" t="n">
        <f aca="false">IF(J6805&gt;0,K6805/J6805,0)</f>
        <v>0.104311543810848</v>
      </c>
    </row>
    <row r="6806" customFormat="false" ht="15" hidden="false" customHeight="false" outlineLevel="0" collapsed="false">
      <c r="A6806" s="15" t="s">
        <v>6863</v>
      </c>
      <c r="B6806" s="16" t="n">
        <v>45731</v>
      </c>
      <c r="C6806" s="15" t="s">
        <v>56</v>
      </c>
      <c r="D6806" s="15" t="s">
        <v>44</v>
      </c>
      <c r="E6806" s="15" t="s">
        <v>39</v>
      </c>
      <c r="F6806" s="15" t="s">
        <v>17</v>
      </c>
      <c r="G6806" s="15" t="s">
        <v>29</v>
      </c>
      <c r="H6806" s="15" t="n">
        <v>4</v>
      </c>
      <c r="I6806" s="17" t="n">
        <v>0.05</v>
      </c>
      <c r="J6806" s="18" t="n">
        <v>75.33</v>
      </c>
      <c r="K6806" s="19" t="n">
        <v>30</v>
      </c>
      <c r="L6806" s="15" t="n">
        <f aca="false">YEAR(B6806)</f>
        <v>2025</v>
      </c>
      <c r="M6806" s="20" t="n">
        <f aca="false">IF(J6806&gt;0,K6806/J6806,0)</f>
        <v>0.398247710075667</v>
      </c>
    </row>
    <row r="6807" customFormat="false" ht="15" hidden="false" customHeight="false" outlineLevel="0" collapsed="false">
      <c r="A6807" s="15" t="s">
        <v>6864</v>
      </c>
      <c r="B6807" s="16" t="n">
        <v>44951</v>
      </c>
      <c r="C6807" s="15" t="s">
        <v>56</v>
      </c>
      <c r="D6807" s="15" t="s">
        <v>42</v>
      </c>
      <c r="E6807" s="15" t="s">
        <v>39</v>
      </c>
      <c r="F6807" s="15" t="s">
        <v>17</v>
      </c>
      <c r="G6807" s="15" t="s">
        <v>26</v>
      </c>
      <c r="H6807" s="15" t="n">
        <v>3</v>
      </c>
      <c r="I6807" s="17" t="n">
        <v>0</v>
      </c>
      <c r="J6807" s="18" t="n">
        <v>225.13</v>
      </c>
      <c r="K6807" s="19" t="n">
        <v>31.39</v>
      </c>
      <c r="L6807" s="15" t="n">
        <f aca="false">YEAR(B6807)</f>
        <v>2023</v>
      </c>
      <c r="M6807" s="20" t="n">
        <f aca="false">IF(J6807&gt;0,K6807/J6807,0)</f>
        <v>0.139430551237063</v>
      </c>
    </row>
    <row r="6808" customFormat="false" ht="15" hidden="false" customHeight="false" outlineLevel="0" collapsed="false">
      <c r="A6808" s="15" t="s">
        <v>6865</v>
      </c>
      <c r="B6808" s="16" t="n">
        <v>45064</v>
      </c>
      <c r="C6808" s="15" t="s">
        <v>58</v>
      </c>
      <c r="D6808" s="15" t="s">
        <v>43</v>
      </c>
      <c r="E6808" s="15" t="s">
        <v>39</v>
      </c>
      <c r="F6808" s="15" t="s">
        <v>17</v>
      </c>
      <c r="G6808" s="15" t="s">
        <v>28</v>
      </c>
      <c r="H6808" s="15" t="n">
        <v>1</v>
      </c>
      <c r="I6808" s="17" t="n">
        <v>0.15</v>
      </c>
      <c r="J6808" s="18" t="n">
        <v>26.05</v>
      </c>
      <c r="K6808" s="19" t="n">
        <v>4.84</v>
      </c>
      <c r="L6808" s="15" t="n">
        <f aca="false">YEAR(B6808)</f>
        <v>2023</v>
      </c>
      <c r="M6808" s="20" t="n">
        <f aca="false">IF(J6808&gt;0,K6808/J6808,0)</f>
        <v>0.185796545105566</v>
      </c>
    </row>
    <row r="6809" customFormat="false" ht="15" hidden="false" customHeight="false" outlineLevel="0" collapsed="false">
      <c r="A6809" s="15" t="s">
        <v>6866</v>
      </c>
      <c r="B6809" s="16" t="n">
        <v>45962</v>
      </c>
      <c r="C6809" s="15" t="s">
        <v>71</v>
      </c>
      <c r="D6809" s="15" t="s">
        <v>42</v>
      </c>
      <c r="E6809" s="15" t="s">
        <v>38</v>
      </c>
      <c r="F6809" s="15" t="s">
        <v>18</v>
      </c>
      <c r="G6809" s="15" t="s">
        <v>32</v>
      </c>
      <c r="H6809" s="15" t="n">
        <v>5</v>
      </c>
      <c r="I6809" s="17" t="n">
        <v>0</v>
      </c>
      <c r="J6809" s="18" t="n">
        <v>1985.89</v>
      </c>
      <c r="K6809" s="19" t="n">
        <v>347.33</v>
      </c>
      <c r="L6809" s="15" t="n">
        <f aca="false">YEAR(B6809)</f>
        <v>2025</v>
      </c>
      <c r="M6809" s="20" t="n">
        <f aca="false">IF(J6809&gt;0,K6809/J6809,0)</f>
        <v>0.174898911822911</v>
      </c>
    </row>
    <row r="6810" customFormat="false" ht="15" hidden="false" customHeight="false" outlineLevel="0" collapsed="false">
      <c r="A6810" s="15" t="s">
        <v>6867</v>
      </c>
      <c r="B6810" s="16" t="n">
        <v>45132</v>
      </c>
      <c r="C6810" s="15" t="s">
        <v>56</v>
      </c>
      <c r="D6810" s="15" t="s">
        <v>42</v>
      </c>
      <c r="E6810" s="15" t="s">
        <v>39</v>
      </c>
      <c r="F6810" s="15" t="s">
        <v>17</v>
      </c>
      <c r="G6810" s="15" t="s">
        <v>26</v>
      </c>
      <c r="H6810" s="15" t="n">
        <v>4</v>
      </c>
      <c r="I6810" s="17" t="n">
        <v>0.1</v>
      </c>
      <c r="J6810" s="18" t="n">
        <v>344.5</v>
      </c>
      <c r="K6810" s="19" t="n">
        <v>26.47</v>
      </c>
      <c r="L6810" s="15" t="n">
        <f aca="false">YEAR(B6810)</f>
        <v>2023</v>
      </c>
      <c r="M6810" s="20" t="n">
        <f aca="false">IF(J6810&gt;0,K6810/J6810,0)</f>
        <v>0.0768359941944848</v>
      </c>
    </row>
    <row r="6811" customFormat="false" ht="15" hidden="false" customHeight="false" outlineLevel="0" collapsed="false">
      <c r="A6811" s="15" t="s">
        <v>6868</v>
      </c>
      <c r="B6811" s="16" t="n">
        <v>45841</v>
      </c>
      <c r="C6811" s="15" t="s">
        <v>56</v>
      </c>
      <c r="D6811" s="15" t="s">
        <v>42</v>
      </c>
      <c r="E6811" s="15" t="s">
        <v>37</v>
      </c>
      <c r="F6811" s="15" t="s">
        <v>17</v>
      </c>
      <c r="G6811" s="15" t="s">
        <v>31</v>
      </c>
      <c r="H6811" s="15" t="n">
        <v>4</v>
      </c>
      <c r="I6811" s="17" t="n">
        <v>0</v>
      </c>
      <c r="J6811" s="18" t="n">
        <v>593.11</v>
      </c>
      <c r="K6811" s="19" t="n">
        <v>101.01</v>
      </c>
      <c r="L6811" s="15" t="n">
        <f aca="false">YEAR(B6811)</f>
        <v>2025</v>
      </c>
      <c r="M6811" s="20" t="n">
        <f aca="false">IF(J6811&gt;0,K6811/J6811,0)</f>
        <v>0.170305676855895</v>
      </c>
    </row>
    <row r="6812" customFormat="false" ht="15" hidden="false" customHeight="false" outlineLevel="0" collapsed="false">
      <c r="A6812" s="15" t="s">
        <v>6869</v>
      </c>
      <c r="B6812" s="16" t="n">
        <v>45278</v>
      </c>
      <c r="C6812" s="15" t="s">
        <v>68</v>
      </c>
      <c r="D6812" s="15" t="s">
        <v>42</v>
      </c>
      <c r="E6812" s="15" t="s">
        <v>39</v>
      </c>
      <c r="F6812" s="15" t="s">
        <v>17</v>
      </c>
      <c r="G6812" s="15" t="s">
        <v>26</v>
      </c>
      <c r="H6812" s="15" t="n">
        <v>4</v>
      </c>
      <c r="I6812" s="17" t="n">
        <v>0.05</v>
      </c>
      <c r="J6812" s="18" t="n">
        <v>399.21</v>
      </c>
      <c r="K6812" s="19" t="n">
        <v>24.51</v>
      </c>
      <c r="L6812" s="15" t="n">
        <f aca="false">YEAR(B6812)</f>
        <v>2023</v>
      </c>
      <c r="M6812" s="20" t="n">
        <f aca="false">IF(J6812&gt;0,K6812/J6812,0)</f>
        <v>0.0613962576087773</v>
      </c>
    </row>
    <row r="6813" customFormat="false" ht="15" hidden="false" customHeight="false" outlineLevel="0" collapsed="false">
      <c r="A6813" s="15" t="s">
        <v>6870</v>
      </c>
      <c r="B6813" s="16" t="n">
        <v>45640</v>
      </c>
      <c r="C6813" s="15" t="s">
        <v>56</v>
      </c>
      <c r="D6813" s="15" t="s">
        <v>43</v>
      </c>
      <c r="E6813" s="15" t="s">
        <v>39</v>
      </c>
      <c r="F6813" s="15" t="s">
        <v>18</v>
      </c>
      <c r="G6813" s="15" t="s">
        <v>30</v>
      </c>
      <c r="H6813" s="15" t="n">
        <v>4</v>
      </c>
      <c r="I6813" s="17" t="n">
        <v>0</v>
      </c>
      <c r="J6813" s="18" t="n">
        <v>179.34</v>
      </c>
      <c r="K6813" s="19" t="n">
        <v>46.7</v>
      </c>
      <c r="L6813" s="15" t="n">
        <f aca="false">YEAR(B6813)</f>
        <v>2024</v>
      </c>
      <c r="M6813" s="20" t="n">
        <f aca="false">IF(J6813&gt;0,K6813/J6813,0)</f>
        <v>0.260399241663879</v>
      </c>
    </row>
    <row r="6814" customFormat="false" ht="15" hidden="false" customHeight="false" outlineLevel="0" collapsed="false">
      <c r="A6814" s="15" t="s">
        <v>6871</v>
      </c>
      <c r="B6814" s="16" t="n">
        <v>44805</v>
      </c>
      <c r="C6814" s="15" t="s">
        <v>71</v>
      </c>
      <c r="D6814" s="15" t="s">
        <v>42</v>
      </c>
      <c r="E6814" s="15" t="s">
        <v>39</v>
      </c>
      <c r="F6814" s="15" t="s">
        <v>17</v>
      </c>
      <c r="G6814" s="15" t="s">
        <v>31</v>
      </c>
      <c r="H6814" s="15" t="n">
        <v>2</v>
      </c>
      <c r="I6814" s="17" t="n">
        <v>0</v>
      </c>
      <c r="J6814" s="18" t="n">
        <v>279.13</v>
      </c>
      <c r="K6814" s="19" t="n">
        <v>61.49</v>
      </c>
      <c r="L6814" s="15" t="n">
        <f aca="false">YEAR(B6814)</f>
        <v>2022</v>
      </c>
      <c r="M6814" s="20" t="n">
        <f aca="false">IF(J6814&gt;0,K6814/J6814,0)</f>
        <v>0.220291620391932</v>
      </c>
    </row>
    <row r="6815" customFormat="false" ht="15" hidden="false" customHeight="false" outlineLevel="0" collapsed="false">
      <c r="A6815" s="15" t="s">
        <v>6872</v>
      </c>
      <c r="B6815" s="16" t="n">
        <v>45276</v>
      </c>
      <c r="C6815" s="15" t="s">
        <v>56</v>
      </c>
      <c r="D6815" s="15" t="s">
        <v>43</v>
      </c>
      <c r="E6815" s="15" t="s">
        <v>39</v>
      </c>
      <c r="F6815" s="15" t="s">
        <v>18</v>
      </c>
      <c r="G6815" s="15" t="s">
        <v>32</v>
      </c>
      <c r="H6815" s="15" t="n">
        <v>2</v>
      </c>
      <c r="I6815" s="17" t="n">
        <v>0</v>
      </c>
      <c r="J6815" s="18" t="n">
        <v>983.91</v>
      </c>
      <c r="K6815" s="19" t="n">
        <v>215.77</v>
      </c>
      <c r="L6815" s="15" t="n">
        <f aca="false">YEAR(B6815)</f>
        <v>2023</v>
      </c>
      <c r="M6815" s="20" t="n">
        <f aca="false">IF(J6815&gt;0,K6815/J6815,0)</f>
        <v>0.219298513075383</v>
      </c>
    </row>
    <row r="6816" customFormat="false" ht="15" hidden="false" customHeight="false" outlineLevel="0" collapsed="false">
      <c r="A6816" s="15" t="s">
        <v>6873</v>
      </c>
      <c r="B6816" s="16" t="n">
        <v>45152</v>
      </c>
      <c r="C6816" s="15" t="s">
        <v>56</v>
      </c>
      <c r="D6816" s="15" t="s">
        <v>43</v>
      </c>
      <c r="E6816" s="15" t="s">
        <v>39</v>
      </c>
      <c r="F6816" s="15" t="s">
        <v>17</v>
      </c>
      <c r="G6816" s="15" t="s">
        <v>29</v>
      </c>
      <c r="H6816" s="15" t="n">
        <v>6</v>
      </c>
      <c r="I6816" s="17" t="n">
        <v>0</v>
      </c>
      <c r="J6816" s="18" t="n">
        <v>119.58</v>
      </c>
      <c r="K6816" s="19" t="n">
        <v>42.12</v>
      </c>
      <c r="L6816" s="15" t="n">
        <f aca="false">YEAR(B6816)</f>
        <v>2023</v>
      </c>
      <c r="M6816" s="20" t="n">
        <f aca="false">IF(J6816&gt;0,K6816/J6816,0)</f>
        <v>0.352232814851982</v>
      </c>
    </row>
    <row r="6817" customFormat="false" ht="15" hidden="false" customHeight="false" outlineLevel="0" collapsed="false">
      <c r="A6817" s="15" t="s">
        <v>6874</v>
      </c>
      <c r="B6817" s="16" t="n">
        <v>44792</v>
      </c>
      <c r="C6817" s="15" t="s">
        <v>56</v>
      </c>
      <c r="D6817" s="15" t="s">
        <v>44</v>
      </c>
      <c r="E6817" s="15" t="s">
        <v>39</v>
      </c>
      <c r="F6817" s="15" t="s">
        <v>16</v>
      </c>
      <c r="G6817" s="15" t="s">
        <v>27</v>
      </c>
      <c r="H6817" s="15" t="n">
        <v>9</v>
      </c>
      <c r="I6817" s="17" t="n">
        <v>0.15</v>
      </c>
      <c r="J6817" s="18" t="n">
        <v>433.45</v>
      </c>
      <c r="K6817" s="19" t="n">
        <v>13.14</v>
      </c>
      <c r="L6817" s="15" t="n">
        <f aca="false">YEAR(B6817)</f>
        <v>2022</v>
      </c>
      <c r="M6817" s="20" t="n">
        <f aca="false">IF(J6817&gt;0,K6817/J6817,0)</f>
        <v>0.0303149152151344</v>
      </c>
    </row>
    <row r="6818" customFormat="false" ht="15" hidden="false" customHeight="false" outlineLevel="0" collapsed="false">
      <c r="A6818" s="15" t="s">
        <v>6875</v>
      </c>
      <c r="B6818" s="16" t="n">
        <v>45136</v>
      </c>
      <c r="C6818" s="15" t="s">
        <v>68</v>
      </c>
      <c r="D6818" s="15" t="s">
        <v>44</v>
      </c>
      <c r="E6818" s="15" t="s">
        <v>36</v>
      </c>
      <c r="F6818" s="15" t="s">
        <v>18</v>
      </c>
      <c r="G6818" s="15" t="s">
        <v>32</v>
      </c>
      <c r="H6818" s="15" t="n">
        <v>5</v>
      </c>
      <c r="I6818" s="17" t="n">
        <v>0.1</v>
      </c>
      <c r="J6818" s="18" t="n">
        <v>1728.44</v>
      </c>
      <c r="K6818" s="19" t="n">
        <v>278.42</v>
      </c>
      <c r="L6818" s="15" t="n">
        <f aca="false">YEAR(B6818)</f>
        <v>2023</v>
      </c>
      <c r="M6818" s="20" t="n">
        <f aca="false">IF(J6818&gt;0,K6818/J6818,0)</f>
        <v>0.161081669019463</v>
      </c>
    </row>
    <row r="6819" customFormat="false" ht="15" hidden="false" customHeight="false" outlineLevel="0" collapsed="false">
      <c r="A6819" s="15" t="s">
        <v>6876</v>
      </c>
      <c r="B6819" s="16" t="n">
        <v>45156</v>
      </c>
      <c r="C6819" s="15" t="s">
        <v>56</v>
      </c>
      <c r="D6819" s="15" t="s">
        <v>43</v>
      </c>
      <c r="E6819" s="15" t="s">
        <v>39</v>
      </c>
      <c r="F6819" s="15" t="s">
        <v>18</v>
      </c>
      <c r="G6819" s="15" t="s">
        <v>32</v>
      </c>
      <c r="H6819" s="15" t="n">
        <v>4</v>
      </c>
      <c r="I6819" s="17" t="n">
        <v>0.4</v>
      </c>
      <c r="J6819" s="18" t="n">
        <v>1241.65</v>
      </c>
      <c r="K6819" s="19" t="n">
        <v>-185.31</v>
      </c>
      <c r="L6819" s="15" t="n">
        <f aca="false">YEAR(B6819)</f>
        <v>2023</v>
      </c>
      <c r="M6819" s="20" t="n">
        <f aca="false">IF(J6819&gt;0,K6819/J6819,0)</f>
        <v>-0.149244956308138</v>
      </c>
    </row>
    <row r="6820" customFormat="false" ht="15" hidden="false" customHeight="false" outlineLevel="0" collapsed="false">
      <c r="A6820" s="15" t="s">
        <v>6877</v>
      </c>
      <c r="B6820" s="16" t="n">
        <v>45209</v>
      </c>
      <c r="C6820" s="15" t="s">
        <v>56</v>
      </c>
      <c r="D6820" s="15" t="s">
        <v>43</v>
      </c>
      <c r="E6820" s="15" t="s">
        <v>38</v>
      </c>
      <c r="F6820" s="15" t="s">
        <v>17</v>
      </c>
      <c r="G6820" s="15" t="s">
        <v>29</v>
      </c>
      <c r="H6820" s="15" t="n">
        <v>4</v>
      </c>
      <c r="I6820" s="17" t="n">
        <v>0.1</v>
      </c>
      <c r="J6820" s="18" t="n">
        <v>55.43</v>
      </c>
      <c r="K6820" s="19" t="n">
        <v>14.59</v>
      </c>
      <c r="L6820" s="15" t="n">
        <f aca="false">YEAR(B6820)</f>
        <v>2023</v>
      </c>
      <c r="M6820" s="20" t="n">
        <f aca="false">IF(J6820&gt;0,K6820/J6820,0)</f>
        <v>0.263214865596248</v>
      </c>
    </row>
    <row r="6821" customFormat="false" ht="15" hidden="false" customHeight="false" outlineLevel="0" collapsed="false">
      <c r="A6821" s="15" t="s">
        <v>6878</v>
      </c>
      <c r="B6821" s="16" t="n">
        <v>45627</v>
      </c>
      <c r="C6821" s="15" t="s">
        <v>56</v>
      </c>
      <c r="D6821" s="15" t="s">
        <v>43</v>
      </c>
      <c r="E6821" s="15" t="s">
        <v>37</v>
      </c>
      <c r="F6821" s="15" t="s">
        <v>17</v>
      </c>
      <c r="G6821" s="15" t="s">
        <v>29</v>
      </c>
      <c r="H6821" s="15" t="n">
        <v>4</v>
      </c>
      <c r="I6821" s="17" t="n">
        <v>0</v>
      </c>
      <c r="J6821" s="18" t="n">
        <v>82.36</v>
      </c>
      <c r="K6821" s="19" t="n">
        <v>32.19</v>
      </c>
      <c r="L6821" s="15" t="n">
        <f aca="false">YEAR(B6821)</f>
        <v>2024</v>
      </c>
      <c r="M6821" s="20" t="n">
        <f aca="false">IF(J6821&gt;0,K6821/J6821,0)</f>
        <v>0.390845070422535</v>
      </c>
    </row>
    <row r="6822" customFormat="false" ht="15" hidden="false" customHeight="false" outlineLevel="0" collapsed="false">
      <c r="A6822" s="15" t="s">
        <v>6879</v>
      </c>
      <c r="B6822" s="16" t="n">
        <v>45643</v>
      </c>
      <c r="C6822" s="15" t="s">
        <v>58</v>
      </c>
      <c r="D6822" s="15" t="s">
        <v>43</v>
      </c>
      <c r="E6822" s="15" t="s">
        <v>36</v>
      </c>
      <c r="F6822" s="15" t="s">
        <v>17</v>
      </c>
      <c r="G6822" s="15" t="s">
        <v>31</v>
      </c>
      <c r="H6822" s="15" t="n">
        <v>1</v>
      </c>
      <c r="I6822" s="17" t="n">
        <v>0.1</v>
      </c>
      <c r="J6822" s="18" t="n">
        <v>133.04</v>
      </c>
      <c r="K6822" s="19" t="n">
        <v>22.28</v>
      </c>
      <c r="L6822" s="15" t="n">
        <f aca="false">YEAR(B6822)</f>
        <v>2024</v>
      </c>
      <c r="M6822" s="20" t="n">
        <f aca="false">IF(J6822&gt;0,K6822/J6822,0)</f>
        <v>0.167468430547204</v>
      </c>
    </row>
    <row r="6823" customFormat="false" ht="15" hidden="false" customHeight="false" outlineLevel="0" collapsed="false">
      <c r="A6823" s="15" t="s">
        <v>6880</v>
      </c>
      <c r="B6823" s="16" t="n">
        <v>45809</v>
      </c>
      <c r="C6823" s="15" t="s">
        <v>56</v>
      </c>
      <c r="D6823" s="15" t="s">
        <v>42</v>
      </c>
      <c r="E6823" s="15" t="s">
        <v>39</v>
      </c>
      <c r="F6823" s="15" t="s">
        <v>16</v>
      </c>
      <c r="G6823" s="15" t="s">
        <v>22</v>
      </c>
      <c r="H6823" s="15" t="n">
        <v>8</v>
      </c>
      <c r="I6823" s="17" t="n">
        <v>0</v>
      </c>
      <c r="J6823" s="18" t="n">
        <v>3731.89</v>
      </c>
      <c r="K6823" s="19" t="n">
        <v>-297.38</v>
      </c>
      <c r="L6823" s="15" t="n">
        <f aca="false">YEAR(B6823)</f>
        <v>2025</v>
      </c>
      <c r="M6823" s="20" t="n">
        <f aca="false">IF(J6823&gt;0,K6823/J6823,0)</f>
        <v>-0.0796861643831946</v>
      </c>
    </row>
    <row r="6824" customFormat="false" ht="15" hidden="false" customHeight="false" outlineLevel="0" collapsed="false">
      <c r="A6824" s="15" t="s">
        <v>6881</v>
      </c>
      <c r="B6824" s="16" t="n">
        <v>45668</v>
      </c>
      <c r="C6824" s="15" t="s">
        <v>56</v>
      </c>
      <c r="D6824" s="15" t="s">
        <v>42</v>
      </c>
      <c r="E6824" s="15" t="s">
        <v>39</v>
      </c>
      <c r="F6824" s="15" t="s">
        <v>18</v>
      </c>
      <c r="G6824" s="15" t="s">
        <v>33</v>
      </c>
      <c r="H6824" s="15" t="n">
        <v>2</v>
      </c>
      <c r="I6824" s="17" t="n">
        <v>0.4</v>
      </c>
      <c r="J6824" s="18" t="n">
        <v>1044.74</v>
      </c>
      <c r="K6824" s="19" t="n">
        <v>-49.29</v>
      </c>
      <c r="L6824" s="15" t="n">
        <f aca="false">YEAR(B6824)</f>
        <v>2025</v>
      </c>
      <c r="M6824" s="20" t="n">
        <f aca="false">IF(J6824&gt;0,K6824/J6824,0)</f>
        <v>-0.0471792024810001</v>
      </c>
    </row>
    <row r="6825" customFormat="false" ht="15" hidden="false" customHeight="false" outlineLevel="0" collapsed="false">
      <c r="A6825" s="15" t="s">
        <v>6882</v>
      </c>
      <c r="B6825" s="16" t="n">
        <v>45767</v>
      </c>
      <c r="C6825" s="15" t="s">
        <v>68</v>
      </c>
      <c r="D6825" s="15" t="s">
        <v>44</v>
      </c>
      <c r="E6825" s="15" t="s">
        <v>37</v>
      </c>
      <c r="F6825" s="15" t="s">
        <v>16</v>
      </c>
      <c r="G6825" s="15" t="s">
        <v>23</v>
      </c>
      <c r="H6825" s="15" t="n">
        <v>6</v>
      </c>
      <c r="I6825" s="17" t="n">
        <v>0</v>
      </c>
      <c r="J6825" s="18" t="n">
        <v>1514.09</v>
      </c>
      <c r="K6825" s="19" t="n">
        <v>-20.75</v>
      </c>
      <c r="L6825" s="15" t="n">
        <f aca="false">YEAR(B6825)</f>
        <v>2025</v>
      </c>
      <c r="M6825" s="20" t="n">
        <f aca="false">IF(J6825&gt;0,K6825/J6825,0)</f>
        <v>-0.0137046014437715</v>
      </c>
    </row>
    <row r="6826" customFormat="false" ht="15" hidden="false" customHeight="false" outlineLevel="0" collapsed="false">
      <c r="A6826" s="15" t="s">
        <v>6883</v>
      </c>
      <c r="B6826" s="16" t="n">
        <v>44741</v>
      </c>
      <c r="C6826" s="15" t="s">
        <v>56</v>
      </c>
      <c r="D6826" s="15" t="s">
        <v>43</v>
      </c>
      <c r="E6826" s="15" t="s">
        <v>39</v>
      </c>
      <c r="F6826" s="15" t="s">
        <v>17</v>
      </c>
      <c r="G6826" s="15" t="s">
        <v>28</v>
      </c>
      <c r="H6826" s="15" t="n">
        <v>6</v>
      </c>
      <c r="I6826" s="17" t="n">
        <v>0.15</v>
      </c>
      <c r="J6826" s="18" t="n">
        <v>141.24</v>
      </c>
      <c r="K6826" s="19" t="n">
        <v>25.48</v>
      </c>
      <c r="L6826" s="15" t="n">
        <f aca="false">YEAR(B6826)</f>
        <v>2022</v>
      </c>
      <c r="M6826" s="20" t="n">
        <f aca="false">IF(J6826&gt;0,K6826/J6826,0)</f>
        <v>0.180402152364769</v>
      </c>
    </row>
    <row r="6827" customFormat="false" ht="15" hidden="false" customHeight="false" outlineLevel="0" collapsed="false">
      <c r="A6827" s="15" t="s">
        <v>6884</v>
      </c>
      <c r="B6827" s="16" t="n">
        <v>45373</v>
      </c>
      <c r="C6827" s="15" t="s">
        <v>56</v>
      </c>
      <c r="D6827" s="15" t="s">
        <v>44</v>
      </c>
      <c r="E6827" s="15" t="s">
        <v>37</v>
      </c>
      <c r="F6827" s="15" t="s">
        <v>18</v>
      </c>
      <c r="G6827" s="15" t="s">
        <v>24</v>
      </c>
      <c r="H6827" s="15" t="n">
        <v>9</v>
      </c>
      <c r="I6827" s="17" t="n">
        <v>0</v>
      </c>
      <c r="J6827" s="18" t="n">
        <v>5402.34</v>
      </c>
      <c r="K6827" s="19" t="n">
        <v>329.49</v>
      </c>
      <c r="L6827" s="15" t="n">
        <f aca="false">YEAR(B6827)</f>
        <v>2024</v>
      </c>
      <c r="M6827" s="20" t="n">
        <f aca="false">IF(J6827&gt;0,K6827/J6827,0)</f>
        <v>0.0609902375637224</v>
      </c>
    </row>
    <row r="6828" customFormat="false" ht="15" hidden="false" customHeight="false" outlineLevel="0" collapsed="false">
      <c r="A6828" s="15" t="s">
        <v>6885</v>
      </c>
      <c r="B6828" s="16" t="n">
        <v>44872</v>
      </c>
      <c r="C6828" s="15" t="s">
        <v>56</v>
      </c>
      <c r="D6828" s="15" t="s">
        <v>43</v>
      </c>
      <c r="E6828" s="15" t="s">
        <v>39</v>
      </c>
      <c r="F6828" s="15" t="s">
        <v>16</v>
      </c>
      <c r="G6828" s="15" t="s">
        <v>22</v>
      </c>
      <c r="H6828" s="15" t="n">
        <v>5</v>
      </c>
      <c r="I6828" s="17" t="n">
        <v>0</v>
      </c>
      <c r="J6828" s="18" t="n">
        <v>2849.97</v>
      </c>
      <c r="K6828" s="19" t="n">
        <v>-160.64</v>
      </c>
      <c r="L6828" s="15" t="n">
        <f aca="false">YEAR(B6828)</f>
        <v>2022</v>
      </c>
      <c r="M6828" s="20" t="n">
        <f aca="false">IF(J6828&gt;0,K6828/J6828,0)</f>
        <v>-0.0563655056018134</v>
      </c>
    </row>
    <row r="6829" customFormat="false" ht="15" hidden="false" customHeight="false" outlineLevel="0" collapsed="false">
      <c r="A6829" s="15" t="s">
        <v>6886</v>
      </c>
      <c r="B6829" s="16" t="n">
        <v>46005</v>
      </c>
      <c r="C6829" s="15" t="s">
        <v>71</v>
      </c>
      <c r="D6829" s="15" t="s">
        <v>42</v>
      </c>
      <c r="E6829" s="15" t="s">
        <v>39</v>
      </c>
      <c r="F6829" s="15" t="s">
        <v>17</v>
      </c>
      <c r="G6829" s="15" t="s">
        <v>28</v>
      </c>
      <c r="H6829" s="15" t="n">
        <v>5</v>
      </c>
      <c r="I6829" s="17" t="n">
        <v>0.2</v>
      </c>
      <c r="J6829" s="18" t="n">
        <v>105.03</v>
      </c>
      <c r="K6829" s="19" t="n">
        <v>5.94</v>
      </c>
      <c r="L6829" s="15" t="n">
        <f aca="false">YEAR(B6829)</f>
        <v>2025</v>
      </c>
      <c r="M6829" s="20" t="n">
        <f aca="false">IF(J6829&gt;0,K6829/J6829,0)</f>
        <v>0.0565552699228792</v>
      </c>
    </row>
    <row r="6830" customFormat="false" ht="15" hidden="false" customHeight="false" outlineLevel="0" collapsed="false">
      <c r="A6830" s="15" t="s">
        <v>6887</v>
      </c>
      <c r="B6830" s="16" t="n">
        <v>45987</v>
      </c>
      <c r="C6830" s="15" t="s">
        <v>71</v>
      </c>
      <c r="D6830" s="15" t="s">
        <v>43</v>
      </c>
      <c r="E6830" s="15" t="s">
        <v>38</v>
      </c>
      <c r="F6830" s="15" t="s">
        <v>17</v>
      </c>
      <c r="G6830" s="15" t="s">
        <v>26</v>
      </c>
      <c r="H6830" s="15" t="n">
        <v>2</v>
      </c>
      <c r="I6830" s="17" t="n">
        <v>0.05</v>
      </c>
      <c r="J6830" s="18" t="n">
        <v>157.37</v>
      </c>
      <c r="K6830" s="19" t="n">
        <v>8.87</v>
      </c>
      <c r="L6830" s="15" t="n">
        <f aca="false">YEAR(B6830)</f>
        <v>2025</v>
      </c>
      <c r="M6830" s="20" t="n">
        <f aca="false">IF(J6830&gt;0,K6830/J6830,0)</f>
        <v>0.0563639829700705</v>
      </c>
    </row>
    <row r="6831" customFormat="false" ht="15" hidden="false" customHeight="false" outlineLevel="0" collapsed="false">
      <c r="A6831" s="15" t="s">
        <v>6888</v>
      </c>
      <c r="B6831" s="16" t="n">
        <v>45134</v>
      </c>
      <c r="C6831" s="15" t="s">
        <v>56</v>
      </c>
      <c r="D6831" s="15" t="s">
        <v>43</v>
      </c>
      <c r="E6831" s="15" t="s">
        <v>37</v>
      </c>
      <c r="F6831" s="15" t="s">
        <v>16</v>
      </c>
      <c r="G6831" s="15" t="s">
        <v>23</v>
      </c>
      <c r="H6831" s="15" t="n">
        <v>5</v>
      </c>
      <c r="I6831" s="17" t="n">
        <v>0</v>
      </c>
      <c r="J6831" s="18" t="n">
        <v>1862.32</v>
      </c>
      <c r="K6831" s="19" t="n">
        <v>110.98</v>
      </c>
      <c r="L6831" s="15" t="n">
        <f aca="false">YEAR(B6831)</f>
        <v>2023</v>
      </c>
      <c r="M6831" s="20" t="n">
        <f aca="false">IF(J6831&gt;0,K6831/J6831,0)</f>
        <v>0.0595923364405688</v>
      </c>
    </row>
    <row r="6832" customFormat="false" ht="15" hidden="false" customHeight="false" outlineLevel="0" collapsed="false">
      <c r="A6832" s="15" t="s">
        <v>6889</v>
      </c>
      <c r="B6832" s="16" t="n">
        <v>45291</v>
      </c>
      <c r="C6832" s="15" t="s">
        <v>56</v>
      </c>
      <c r="D6832" s="15" t="s">
        <v>42</v>
      </c>
      <c r="E6832" s="15" t="s">
        <v>39</v>
      </c>
      <c r="F6832" s="15" t="s">
        <v>17</v>
      </c>
      <c r="G6832" s="15" t="s">
        <v>26</v>
      </c>
      <c r="H6832" s="15" t="n">
        <v>3</v>
      </c>
      <c r="I6832" s="17" t="n">
        <v>0.3</v>
      </c>
      <c r="J6832" s="18" t="n">
        <v>151.89</v>
      </c>
      <c r="K6832" s="19" t="n">
        <v>-28.02</v>
      </c>
      <c r="L6832" s="15" t="n">
        <f aca="false">YEAR(B6832)</f>
        <v>2023</v>
      </c>
      <c r="M6832" s="20" t="n">
        <f aca="false">IF(J6832&gt;0,K6832/J6832,0)</f>
        <v>-0.184475607347423</v>
      </c>
    </row>
    <row r="6833" customFormat="false" ht="15" hidden="false" customHeight="false" outlineLevel="0" collapsed="false">
      <c r="A6833" s="15" t="s">
        <v>6890</v>
      </c>
      <c r="B6833" s="16" t="n">
        <v>44783</v>
      </c>
      <c r="C6833" s="15" t="s">
        <v>56</v>
      </c>
      <c r="D6833" s="15" t="s">
        <v>44</v>
      </c>
      <c r="E6833" s="15" t="s">
        <v>37</v>
      </c>
      <c r="F6833" s="15" t="s">
        <v>17</v>
      </c>
      <c r="G6833" s="15" t="s">
        <v>28</v>
      </c>
      <c r="H6833" s="15" t="n">
        <v>5</v>
      </c>
      <c r="I6833" s="17" t="n">
        <v>0</v>
      </c>
      <c r="J6833" s="18" t="n">
        <v>119.42</v>
      </c>
      <c r="K6833" s="19" t="n">
        <v>35.75</v>
      </c>
      <c r="L6833" s="15" t="n">
        <f aca="false">YEAR(B6833)</f>
        <v>2022</v>
      </c>
      <c r="M6833" s="20" t="n">
        <f aca="false">IF(J6833&gt;0,K6833/J6833,0)</f>
        <v>0.299363590688327</v>
      </c>
    </row>
    <row r="6834" customFormat="false" ht="15" hidden="false" customHeight="false" outlineLevel="0" collapsed="false">
      <c r="A6834" s="15" t="s">
        <v>6891</v>
      </c>
      <c r="B6834" s="16" t="n">
        <v>45941</v>
      </c>
      <c r="C6834" s="15" t="s">
        <v>56</v>
      </c>
      <c r="D6834" s="15" t="s">
        <v>44</v>
      </c>
      <c r="E6834" s="15" t="s">
        <v>37</v>
      </c>
      <c r="F6834" s="15" t="s">
        <v>16</v>
      </c>
      <c r="G6834" s="15" t="s">
        <v>22</v>
      </c>
      <c r="H6834" s="15" t="n">
        <v>2</v>
      </c>
      <c r="I6834" s="17" t="n">
        <v>0.2</v>
      </c>
      <c r="J6834" s="18" t="n">
        <v>962.03</v>
      </c>
      <c r="K6834" s="19" t="n">
        <v>-175.1</v>
      </c>
      <c r="L6834" s="15" t="n">
        <f aca="false">YEAR(B6834)</f>
        <v>2025</v>
      </c>
      <c r="M6834" s="20" t="n">
        <f aca="false">IF(J6834&gt;0,K6834/J6834,0)</f>
        <v>-0.182010955999293</v>
      </c>
    </row>
    <row r="6835" customFormat="false" ht="15" hidden="false" customHeight="false" outlineLevel="0" collapsed="false">
      <c r="A6835" s="15" t="s">
        <v>6892</v>
      </c>
      <c r="B6835" s="16" t="n">
        <v>45874</v>
      </c>
      <c r="C6835" s="15" t="s">
        <v>56</v>
      </c>
      <c r="D6835" s="15" t="s">
        <v>42</v>
      </c>
      <c r="E6835" s="15" t="s">
        <v>39</v>
      </c>
      <c r="F6835" s="15" t="s">
        <v>16</v>
      </c>
      <c r="G6835" s="15" t="s">
        <v>22</v>
      </c>
      <c r="H6835" s="15" t="n">
        <v>4</v>
      </c>
      <c r="I6835" s="17" t="n">
        <v>0.1</v>
      </c>
      <c r="J6835" s="18" t="n">
        <v>1971.33</v>
      </c>
      <c r="K6835" s="19" t="n">
        <v>-220.35</v>
      </c>
      <c r="L6835" s="15" t="n">
        <f aca="false">YEAR(B6835)</f>
        <v>2025</v>
      </c>
      <c r="M6835" s="20" t="n">
        <f aca="false">IF(J6835&gt;0,K6835/J6835,0)</f>
        <v>-0.111777327996835</v>
      </c>
    </row>
    <row r="6836" customFormat="false" ht="15" hidden="false" customHeight="false" outlineLevel="0" collapsed="false">
      <c r="A6836" s="15" t="s">
        <v>6893</v>
      </c>
      <c r="B6836" s="16" t="n">
        <v>45311</v>
      </c>
      <c r="C6836" s="15" t="s">
        <v>56</v>
      </c>
      <c r="D6836" s="15" t="s">
        <v>42</v>
      </c>
      <c r="E6836" s="15" t="s">
        <v>36</v>
      </c>
      <c r="F6836" s="15" t="s">
        <v>17</v>
      </c>
      <c r="G6836" s="15" t="s">
        <v>26</v>
      </c>
      <c r="H6836" s="15" t="n">
        <v>2</v>
      </c>
      <c r="I6836" s="17" t="n">
        <v>0</v>
      </c>
      <c r="J6836" s="18" t="n">
        <v>160.92</v>
      </c>
      <c r="K6836" s="19" t="n">
        <v>25.25</v>
      </c>
      <c r="L6836" s="15" t="n">
        <f aca="false">YEAR(B6836)</f>
        <v>2024</v>
      </c>
      <c r="M6836" s="20" t="n">
        <f aca="false">IF(J6836&gt;0,K6836/J6836,0)</f>
        <v>0.156910265970669</v>
      </c>
    </row>
    <row r="6837" customFormat="false" ht="15" hidden="false" customHeight="false" outlineLevel="0" collapsed="false">
      <c r="A6837" s="15" t="s">
        <v>6894</v>
      </c>
      <c r="B6837" s="16" t="n">
        <v>45990</v>
      </c>
      <c r="C6837" s="15" t="s">
        <v>56</v>
      </c>
      <c r="D6837" s="15" t="s">
        <v>43</v>
      </c>
      <c r="E6837" s="15" t="s">
        <v>37</v>
      </c>
      <c r="F6837" s="15" t="s">
        <v>18</v>
      </c>
      <c r="G6837" s="15" t="s">
        <v>24</v>
      </c>
      <c r="H6837" s="15" t="n">
        <v>3</v>
      </c>
      <c r="I6837" s="17" t="n">
        <v>0.2</v>
      </c>
      <c r="J6837" s="18" t="n">
        <v>1932.19</v>
      </c>
      <c r="K6837" s="19" t="n">
        <v>-126.81</v>
      </c>
      <c r="L6837" s="15" t="n">
        <f aca="false">YEAR(B6837)</f>
        <v>2025</v>
      </c>
      <c r="M6837" s="20" t="n">
        <f aca="false">IF(J6837&gt;0,K6837/J6837,0)</f>
        <v>-0.0656301916478193</v>
      </c>
    </row>
    <row r="6838" customFormat="false" ht="15" hidden="false" customHeight="false" outlineLevel="0" collapsed="false">
      <c r="A6838" s="15" t="s">
        <v>6895</v>
      </c>
      <c r="B6838" s="16" t="n">
        <v>45885</v>
      </c>
      <c r="C6838" s="15" t="s">
        <v>71</v>
      </c>
      <c r="D6838" s="15" t="s">
        <v>42</v>
      </c>
      <c r="E6838" s="15" t="s">
        <v>36</v>
      </c>
      <c r="F6838" s="15" t="s">
        <v>17</v>
      </c>
      <c r="G6838" s="15" t="s">
        <v>28</v>
      </c>
      <c r="H6838" s="15" t="n">
        <v>4</v>
      </c>
      <c r="I6838" s="17" t="n">
        <v>0</v>
      </c>
      <c r="J6838" s="18" t="n">
        <v>89.92</v>
      </c>
      <c r="K6838" s="19" t="n">
        <v>26.57</v>
      </c>
      <c r="L6838" s="15" t="n">
        <f aca="false">YEAR(B6838)</f>
        <v>2025</v>
      </c>
      <c r="M6838" s="20" t="n">
        <f aca="false">IF(J6838&gt;0,K6838/J6838,0)</f>
        <v>0.29548487544484</v>
      </c>
    </row>
    <row r="6839" customFormat="false" ht="15" hidden="false" customHeight="false" outlineLevel="0" collapsed="false">
      <c r="A6839" s="15" t="s">
        <v>6896</v>
      </c>
      <c r="B6839" s="16" t="n">
        <v>45112</v>
      </c>
      <c r="C6839" s="15" t="s">
        <v>56</v>
      </c>
      <c r="D6839" s="15" t="s">
        <v>42</v>
      </c>
      <c r="E6839" s="15" t="s">
        <v>36</v>
      </c>
      <c r="F6839" s="15" t="s">
        <v>16</v>
      </c>
      <c r="G6839" s="15" t="s">
        <v>23</v>
      </c>
      <c r="H6839" s="15" t="n">
        <v>1</v>
      </c>
      <c r="I6839" s="17" t="n">
        <v>0</v>
      </c>
      <c r="J6839" s="18" t="n">
        <v>297.58</v>
      </c>
      <c r="K6839" s="19" t="n">
        <v>-6.27</v>
      </c>
      <c r="L6839" s="15" t="n">
        <f aca="false">YEAR(B6839)</f>
        <v>2023</v>
      </c>
      <c r="M6839" s="20" t="n">
        <f aca="false">IF(J6839&gt;0,K6839/J6839,0)</f>
        <v>-0.0210699643793266</v>
      </c>
    </row>
    <row r="6840" customFormat="false" ht="15" hidden="false" customHeight="false" outlineLevel="0" collapsed="false">
      <c r="A6840" s="15" t="s">
        <v>6897</v>
      </c>
      <c r="B6840" s="16" t="n">
        <v>44897</v>
      </c>
      <c r="C6840" s="15" t="s">
        <v>56</v>
      </c>
      <c r="D6840" s="15" t="s">
        <v>43</v>
      </c>
      <c r="E6840" s="15" t="s">
        <v>39</v>
      </c>
      <c r="F6840" s="15" t="s">
        <v>17</v>
      </c>
      <c r="G6840" s="15" t="s">
        <v>28</v>
      </c>
      <c r="H6840" s="15" t="n">
        <v>1</v>
      </c>
      <c r="I6840" s="17" t="n">
        <v>0.3</v>
      </c>
      <c r="J6840" s="18" t="n">
        <v>19.62</v>
      </c>
      <c r="K6840" s="19" t="n">
        <v>-0.41</v>
      </c>
      <c r="L6840" s="15" t="n">
        <f aca="false">YEAR(B6840)</f>
        <v>2022</v>
      </c>
      <c r="M6840" s="20" t="n">
        <f aca="false">IF(J6840&gt;0,K6840/J6840,0)</f>
        <v>-0.0208970438328236</v>
      </c>
    </row>
    <row r="6841" customFormat="false" ht="15" hidden="false" customHeight="false" outlineLevel="0" collapsed="false">
      <c r="A6841" s="15" t="s">
        <v>6898</v>
      </c>
      <c r="B6841" s="16" t="n">
        <v>45890</v>
      </c>
      <c r="C6841" s="15" t="s">
        <v>56</v>
      </c>
      <c r="D6841" s="15" t="s">
        <v>42</v>
      </c>
      <c r="E6841" s="15" t="s">
        <v>38</v>
      </c>
      <c r="F6841" s="15" t="s">
        <v>17</v>
      </c>
      <c r="G6841" s="15" t="s">
        <v>29</v>
      </c>
      <c r="H6841" s="15" t="n">
        <v>5</v>
      </c>
      <c r="I6841" s="17" t="n">
        <v>0</v>
      </c>
      <c r="J6841" s="18" t="n">
        <v>76.84</v>
      </c>
      <c r="K6841" s="19" t="n">
        <v>26.24</v>
      </c>
      <c r="L6841" s="15" t="n">
        <f aca="false">YEAR(B6841)</f>
        <v>2025</v>
      </c>
      <c r="M6841" s="20" t="n">
        <f aca="false">IF(J6841&gt;0,K6841/J6841,0)</f>
        <v>0.341488807912546</v>
      </c>
    </row>
    <row r="6842" customFormat="false" ht="15" hidden="false" customHeight="false" outlineLevel="0" collapsed="false">
      <c r="A6842" s="15" t="s">
        <v>6899</v>
      </c>
      <c r="B6842" s="16" t="n">
        <v>44762</v>
      </c>
      <c r="C6842" s="15" t="s">
        <v>56</v>
      </c>
      <c r="D6842" s="15" t="s">
        <v>44</v>
      </c>
      <c r="E6842" s="15" t="s">
        <v>36</v>
      </c>
      <c r="F6842" s="15" t="s">
        <v>17</v>
      </c>
      <c r="G6842" s="15" t="s">
        <v>26</v>
      </c>
      <c r="H6842" s="15" t="n">
        <v>5</v>
      </c>
      <c r="I6842" s="17" t="n">
        <v>0.4</v>
      </c>
      <c r="J6842" s="18" t="n">
        <v>300.87</v>
      </c>
      <c r="K6842" s="19" t="n">
        <v>-81.9</v>
      </c>
      <c r="L6842" s="15" t="n">
        <f aca="false">YEAR(B6842)</f>
        <v>2022</v>
      </c>
      <c r="M6842" s="20" t="n">
        <f aca="false">IF(J6842&gt;0,K6842/J6842,0)</f>
        <v>-0.272210589291056</v>
      </c>
    </row>
    <row r="6843" customFormat="false" ht="15" hidden="false" customHeight="false" outlineLevel="0" collapsed="false">
      <c r="A6843" s="15" t="s">
        <v>6900</v>
      </c>
      <c r="B6843" s="16" t="n">
        <v>44865</v>
      </c>
      <c r="C6843" s="15" t="s">
        <v>56</v>
      </c>
      <c r="D6843" s="15" t="s">
        <v>44</v>
      </c>
      <c r="E6843" s="15" t="s">
        <v>38</v>
      </c>
      <c r="F6843" s="15" t="s">
        <v>16</v>
      </c>
      <c r="G6843" s="15" t="s">
        <v>27</v>
      </c>
      <c r="H6843" s="15" t="n">
        <v>5</v>
      </c>
      <c r="I6843" s="17" t="n">
        <v>0</v>
      </c>
      <c r="J6843" s="18" t="n">
        <v>297.07</v>
      </c>
      <c r="K6843" s="19" t="n">
        <v>65.7</v>
      </c>
      <c r="L6843" s="15" t="n">
        <f aca="false">YEAR(B6843)</f>
        <v>2022</v>
      </c>
      <c r="M6843" s="20" t="n">
        <f aca="false">IF(J6843&gt;0,K6843/J6843,0)</f>
        <v>0.221159995960548</v>
      </c>
    </row>
    <row r="6844" customFormat="false" ht="15" hidden="false" customHeight="false" outlineLevel="0" collapsed="false">
      <c r="A6844" s="15" t="s">
        <v>6901</v>
      </c>
      <c r="B6844" s="16" t="n">
        <v>45261</v>
      </c>
      <c r="C6844" s="15" t="s">
        <v>56</v>
      </c>
      <c r="D6844" s="15" t="s">
        <v>43</v>
      </c>
      <c r="E6844" s="15" t="s">
        <v>37</v>
      </c>
      <c r="F6844" s="15" t="s">
        <v>17</v>
      </c>
      <c r="G6844" s="15" t="s">
        <v>29</v>
      </c>
      <c r="H6844" s="15" t="n">
        <v>4</v>
      </c>
      <c r="I6844" s="17" t="n">
        <v>0</v>
      </c>
      <c r="J6844" s="18" t="n">
        <v>76.81</v>
      </c>
      <c r="K6844" s="19" t="n">
        <v>32.44</v>
      </c>
      <c r="L6844" s="15" t="n">
        <f aca="false">YEAR(B6844)</f>
        <v>2023</v>
      </c>
      <c r="M6844" s="20" t="n">
        <f aca="false">IF(J6844&gt;0,K6844/J6844,0)</f>
        <v>0.422340841036323</v>
      </c>
    </row>
    <row r="6845" customFormat="false" ht="15" hidden="false" customHeight="false" outlineLevel="0" collapsed="false">
      <c r="A6845" s="15" t="s">
        <v>6902</v>
      </c>
      <c r="B6845" s="16" t="n">
        <v>46015</v>
      </c>
      <c r="C6845" s="15" t="s">
        <v>56</v>
      </c>
      <c r="D6845" s="15" t="s">
        <v>42</v>
      </c>
      <c r="E6845" s="15" t="s">
        <v>37</v>
      </c>
      <c r="F6845" s="15" t="s">
        <v>17</v>
      </c>
      <c r="G6845" s="15" t="s">
        <v>29</v>
      </c>
      <c r="H6845" s="15" t="n">
        <v>7</v>
      </c>
      <c r="I6845" s="17" t="n">
        <v>0.4</v>
      </c>
      <c r="J6845" s="18" t="n">
        <v>87.03</v>
      </c>
      <c r="K6845" s="19" t="n">
        <v>-0.93</v>
      </c>
      <c r="L6845" s="15" t="n">
        <f aca="false">YEAR(B6845)</f>
        <v>2025</v>
      </c>
      <c r="M6845" s="20" t="n">
        <f aca="false">IF(J6845&gt;0,K6845/J6845,0)</f>
        <v>-0.01068597035505</v>
      </c>
    </row>
    <row r="6846" customFormat="false" ht="15" hidden="false" customHeight="false" outlineLevel="0" collapsed="false">
      <c r="A6846" s="15" t="s">
        <v>6903</v>
      </c>
      <c r="B6846" s="16" t="n">
        <v>44867</v>
      </c>
      <c r="C6846" s="15" t="s">
        <v>56</v>
      </c>
      <c r="D6846" s="15" t="s">
        <v>43</v>
      </c>
      <c r="E6846" s="15" t="s">
        <v>39</v>
      </c>
      <c r="F6846" s="15" t="s">
        <v>18</v>
      </c>
      <c r="G6846" s="15" t="s">
        <v>30</v>
      </c>
      <c r="H6846" s="15" t="n">
        <v>4</v>
      </c>
      <c r="I6846" s="17" t="n">
        <v>0</v>
      </c>
      <c r="J6846" s="18" t="n">
        <v>202.97</v>
      </c>
      <c r="K6846" s="19" t="n">
        <v>51.4</v>
      </c>
      <c r="L6846" s="15" t="n">
        <f aca="false">YEAR(B6846)</f>
        <v>2022</v>
      </c>
      <c r="M6846" s="20" t="n">
        <f aca="false">IF(J6846&gt;0,K6846/J6846,0)</f>
        <v>0.25323939498448</v>
      </c>
    </row>
    <row r="6847" customFormat="false" ht="15" hidden="false" customHeight="false" outlineLevel="0" collapsed="false">
      <c r="A6847" s="15" t="s">
        <v>6904</v>
      </c>
      <c r="B6847" s="16" t="n">
        <v>44767</v>
      </c>
      <c r="C6847" s="15" t="s">
        <v>71</v>
      </c>
      <c r="D6847" s="15" t="s">
        <v>42</v>
      </c>
      <c r="E6847" s="15" t="s">
        <v>39</v>
      </c>
      <c r="F6847" s="15" t="s">
        <v>16</v>
      </c>
      <c r="G6847" s="15" t="s">
        <v>25</v>
      </c>
      <c r="H6847" s="15" t="n">
        <v>7</v>
      </c>
      <c r="I6847" s="17" t="n">
        <v>0.05</v>
      </c>
      <c r="J6847" s="18" t="n">
        <v>2462.65</v>
      </c>
      <c r="K6847" s="19" t="n">
        <v>30.47</v>
      </c>
      <c r="L6847" s="15" t="n">
        <f aca="false">YEAR(B6847)</f>
        <v>2022</v>
      </c>
      <c r="M6847" s="20" t="n">
        <f aca="false">IF(J6847&gt;0,K6847/J6847,0)</f>
        <v>0.0123728503847481</v>
      </c>
    </row>
    <row r="6848" customFormat="false" ht="15" hidden="false" customHeight="false" outlineLevel="0" collapsed="false">
      <c r="A6848" s="15" t="s">
        <v>6905</v>
      </c>
      <c r="B6848" s="16" t="n">
        <v>44800</v>
      </c>
      <c r="C6848" s="15" t="s">
        <v>56</v>
      </c>
      <c r="D6848" s="15" t="s">
        <v>43</v>
      </c>
      <c r="E6848" s="15" t="s">
        <v>39</v>
      </c>
      <c r="F6848" s="15" t="s">
        <v>17</v>
      </c>
      <c r="G6848" s="15" t="s">
        <v>29</v>
      </c>
      <c r="H6848" s="15" t="n">
        <v>6</v>
      </c>
      <c r="I6848" s="17" t="n">
        <v>0.15</v>
      </c>
      <c r="J6848" s="18" t="n">
        <v>107.79</v>
      </c>
      <c r="K6848" s="19" t="n">
        <v>26.68</v>
      </c>
      <c r="L6848" s="15" t="n">
        <f aca="false">YEAR(B6848)</f>
        <v>2022</v>
      </c>
      <c r="M6848" s="20" t="n">
        <f aca="false">IF(J6848&gt;0,K6848/J6848,0)</f>
        <v>0.24751832266444</v>
      </c>
    </row>
    <row r="6849" customFormat="false" ht="15" hidden="false" customHeight="false" outlineLevel="0" collapsed="false">
      <c r="A6849" s="15" t="s">
        <v>6906</v>
      </c>
      <c r="B6849" s="16" t="n">
        <v>45820</v>
      </c>
      <c r="C6849" s="15" t="s">
        <v>71</v>
      </c>
      <c r="D6849" s="15" t="s">
        <v>43</v>
      </c>
      <c r="E6849" s="15" t="s">
        <v>39</v>
      </c>
      <c r="F6849" s="15" t="s">
        <v>18</v>
      </c>
      <c r="G6849" s="15" t="s">
        <v>32</v>
      </c>
      <c r="H6849" s="15" t="n">
        <v>3</v>
      </c>
      <c r="I6849" s="17" t="n">
        <v>0.15</v>
      </c>
      <c r="J6849" s="18" t="n">
        <v>1246.26</v>
      </c>
      <c r="K6849" s="19" t="n">
        <v>32.9</v>
      </c>
      <c r="L6849" s="15" t="n">
        <f aca="false">YEAR(B6849)</f>
        <v>2025</v>
      </c>
      <c r="M6849" s="20" t="n">
        <f aca="false">IF(J6849&gt;0,K6849/J6849,0)</f>
        <v>0.0263989857654101</v>
      </c>
    </row>
    <row r="6850" customFormat="false" ht="15" hidden="false" customHeight="false" outlineLevel="0" collapsed="false">
      <c r="A6850" s="15" t="s">
        <v>6907</v>
      </c>
      <c r="B6850" s="16" t="n">
        <v>45821</v>
      </c>
      <c r="C6850" s="15" t="s">
        <v>58</v>
      </c>
      <c r="D6850" s="15" t="s">
        <v>42</v>
      </c>
      <c r="E6850" s="15" t="s">
        <v>36</v>
      </c>
      <c r="F6850" s="15" t="s">
        <v>16</v>
      </c>
      <c r="G6850" s="15" t="s">
        <v>25</v>
      </c>
      <c r="H6850" s="15" t="n">
        <v>6</v>
      </c>
      <c r="I6850" s="17" t="n">
        <v>0.2</v>
      </c>
      <c r="J6850" s="18" t="n">
        <v>1116.19</v>
      </c>
      <c r="K6850" s="19" t="n">
        <v>-63.8</v>
      </c>
      <c r="L6850" s="15" t="n">
        <f aca="false">YEAR(B6850)</f>
        <v>2025</v>
      </c>
      <c r="M6850" s="20" t="n">
        <f aca="false">IF(J6850&gt;0,K6850/J6850,0)</f>
        <v>-0.057158727456795</v>
      </c>
    </row>
    <row r="6851" customFormat="false" ht="15" hidden="false" customHeight="false" outlineLevel="0" collapsed="false">
      <c r="A6851" s="15" t="s">
        <v>6908</v>
      </c>
      <c r="B6851" s="16" t="n">
        <v>45316</v>
      </c>
      <c r="C6851" s="15" t="s">
        <v>56</v>
      </c>
      <c r="D6851" s="15" t="s">
        <v>44</v>
      </c>
      <c r="E6851" s="15" t="s">
        <v>36</v>
      </c>
      <c r="F6851" s="15" t="s">
        <v>18</v>
      </c>
      <c r="G6851" s="15" t="s">
        <v>30</v>
      </c>
      <c r="H6851" s="15" t="n">
        <v>5</v>
      </c>
      <c r="I6851" s="17" t="n">
        <v>0.1</v>
      </c>
      <c r="J6851" s="18" t="n">
        <v>163.62</v>
      </c>
      <c r="K6851" s="19" t="n">
        <v>41.87</v>
      </c>
      <c r="L6851" s="15" t="n">
        <f aca="false">YEAR(B6851)</f>
        <v>2024</v>
      </c>
      <c r="M6851" s="20" t="n">
        <f aca="false">IF(J6851&gt;0,K6851/J6851,0)</f>
        <v>0.255897812003423</v>
      </c>
    </row>
    <row r="6852" customFormat="false" ht="15" hidden="false" customHeight="false" outlineLevel="0" collapsed="false">
      <c r="A6852" s="15" t="s">
        <v>6909</v>
      </c>
      <c r="B6852" s="16" t="n">
        <v>44899</v>
      </c>
      <c r="C6852" s="15" t="s">
        <v>56</v>
      </c>
      <c r="D6852" s="15" t="s">
        <v>42</v>
      </c>
      <c r="E6852" s="15" t="s">
        <v>38</v>
      </c>
      <c r="F6852" s="15" t="s">
        <v>17</v>
      </c>
      <c r="G6852" s="15" t="s">
        <v>26</v>
      </c>
      <c r="H6852" s="15" t="n">
        <v>4</v>
      </c>
      <c r="I6852" s="17" t="n">
        <v>0</v>
      </c>
      <c r="J6852" s="18" t="n">
        <v>306.39</v>
      </c>
      <c r="K6852" s="19" t="n">
        <v>45.86</v>
      </c>
      <c r="L6852" s="15" t="n">
        <f aca="false">YEAR(B6852)</f>
        <v>2022</v>
      </c>
      <c r="M6852" s="20" t="n">
        <f aca="false">IF(J6852&gt;0,K6852/J6852,0)</f>
        <v>0.149678514311825</v>
      </c>
    </row>
    <row r="6853" customFormat="false" ht="15" hidden="false" customHeight="false" outlineLevel="0" collapsed="false">
      <c r="A6853" s="15" t="s">
        <v>6910</v>
      </c>
      <c r="B6853" s="16" t="n">
        <v>44903</v>
      </c>
      <c r="C6853" s="15" t="s">
        <v>56</v>
      </c>
      <c r="D6853" s="15" t="s">
        <v>43</v>
      </c>
      <c r="E6853" s="15" t="s">
        <v>39</v>
      </c>
      <c r="F6853" s="15" t="s">
        <v>18</v>
      </c>
      <c r="G6853" s="15" t="s">
        <v>32</v>
      </c>
      <c r="H6853" s="15" t="n">
        <v>3</v>
      </c>
      <c r="I6853" s="17" t="n">
        <v>0.2</v>
      </c>
      <c r="J6853" s="18" t="n">
        <v>1380.13</v>
      </c>
      <c r="K6853" s="19" t="n">
        <v>-66.14</v>
      </c>
      <c r="L6853" s="15" t="n">
        <f aca="false">YEAR(B6853)</f>
        <v>2022</v>
      </c>
      <c r="M6853" s="20" t="n">
        <f aca="false">IF(J6853&gt;0,K6853/J6853,0)</f>
        <v>-0.0479230217443284</v>
      </c>
    </row>
    <row r="6854" customFormat="false" ht="15" hidden="false" customHeight="false" outlineLevel="0" collapsed="false">
      <c r="A6854" s="15" t="s">
        <v>6911</v>
      </c>
      <c r="B6854" s="16" t="n">
        <v>45409</v>
      </c>
      <c r="C6854" s="15" t="s">
        <v>68</v>
      </c>
      <c r="D6854" s="15" t="s">
        <v>42</v>
      </c>
      <c r="E6854" s="15" t="s">
        <v>37</v>
      </c>
      <c r="F6854" s="15" t="s">
        <v>17</v>
      </c>
      <c r="G6854" s="15" t="s">
        <v>28</v>
      </c>
      <c r="H6854" s="15" t="n">
        <v>4</v>
      </c>
      <c r="I6854" s="17" t="n">
        <v>0.2</v>
      </c>
      <c r="J6854" s="18" t="n">
        <v>85.15</v>
      </c>
      <c r="K6854" s="19" t="n">
        <v>5.47</v>
      </c>
      <c r="L6854" s="15" t="n">
        <f aca="false">YEAR(B6854)</f>
        <v>2024</v>
      </c>
      <c r="M6854" s="20" t="n">
        <f aca="false">IF(J6854&gt;0,K6854/J6854,0)</f>
        <v>0.0642395772166765</v>
      </c>
    </row>
    <row r="6855" customFormat="false" ht="15" hidden="false" customHeight="false" outlineLevel="0" collapsed="false">
      <c r="A6855" s="15" t="s">
        <v>6912</v>
      </c>
      <c r="B6855" s="16" t="n">
        <v>45181</v>
      </c>
      <c r="C6855" s="15" t="s">
        <v>56</v>
      </c>
      <c r="D6855" s="15" t="s">
        <v>42</v>
      </c>
      <c r="E6855" s="15" t="s">
        <v>38</v>
      </c>
      <c r="F6855" s="15" t="s">
        <v>17</v>
      </c>
      <c r="G6855" s="15" t="s">
        <v>28</v>
      </c>
      <c r="H6855" s="15" t="n">
        <v>4</v>
      </c>
      <c r="I6855" s="17" t="n">
        <v>0.1</v>
      </c>
      <c r="J6855" s="18" t="n">
        <v>79.96</v>
      </c>
      <c r="K6855" s="19" t="n">
        <v>15.7</v>
      </c>
      <c r="L6855" s="15" t="n">
        <f aca="false">YEAR(B6855)</f>
        <v>2023</v>
      </c>
      <c r="M6855" s="20" t="n">
        <f aca="false">IF(J6855&gt;0,K6855/J6855,0)</f>
        <v>0.196348174087044</v>
      </c>
    </row>
    <row r="6856" customFormat="false" ht="15" hidden="false" customHeight="false" outlineLevel="0" collapsed="false">
      <c r="A6856" s="15" t="s">
        <v>6913</v>
      </c>
      <c r="B6856" s="16" t="n">
        <v>45846</v>
      </c>
      <c r="C6856" s="15" t="s">
        <v>56</v>
      </c>
      <c r="D6856" s="15" t="s">
        <v>42</v>
      </c>
      <c r="E6856" s="15" t="s">
        <v>37</v>
      </c>
      <c r="F6856" s="15" t="s">
        <v>17</v>
      </c>
      <c r="G6856" s="15" t="s">
        <v>26</v>
      </c>
      <c r="H6856" s="15" t="n">
        <v>6</v>
      </c>
      <c r="I6856" s="17" t="n">
        <v>0.15</v>
      </c>
      <c r="J6856" s="18" t="n">
        <v>467.76</v>
      </c>
      <c r="K6856" s="19" t="n">
        <v>-20.52</v>
      </c>
      <c r="L6856" s="15" t="n">
        <f aca="false">YEAR(B6856)</f>
        <v>2025</v>
      </c>
      <c r="M6856" s="20" t="n">
        <f aca="false">IF(J6856&gt;0,K6856/J6856,0)</f>
        <v>-0.0438686505900462</v>
      </c>
    </row>
    <row r="6857" customFormat="false" ht="15" hidden="false" customHeight="false" outlineLevel="0" collapsed="false">
      <c r="A6857" s="15" t="s">
        <v>6914</v>
      </c>
      <c r="B6857" s="16" t="n">
        <v>44860</v>
      </c>
      <c r="C6857" s="15" t="s">
        <v>71</v>
      </c>
      <c r="D6857" s="15" t="s">
        <v>42</v>
      </c>
      <c r="E6857" s="15" t="s">
        <v>39</v>
      </c>
      <c r="F6857" s="15" t="s">
        <v>17</v>
      </c>
      <c r="G6857" s="15" t="s">
        <v>28</v>
      </c>
      <c r="H6857" s="15" t="n">
        <v>2</v>
      </c>
      <c r="I6857" s="17" t="n">
        <v>0.05</v>
      </c>
      <c r="J6857" s="18" t="n">
        <v>50.71</v>
      </c>
      <c r="K6857" s="19" t="n">
        <v>13.24</v>
      </c>
      <c r="L6857" s="15" t="n">
        <f aca="false">YEAR(B6857)</f>
        <v>2022</v>
      </c>
      <c r="M6857" s="20" t="n">
        <f aca="false">IF(J6857&gt;0,K6857/J6857,0)</f>
        <v>0.261092486689016</v>
      </c>
    </row>
    <row r="6858" customFormat="false" ht="15" hidden="false" customHeight="false" outlineLevel="0" collapsed="false">
      <c r="A6858" s="15" t="s">
        <v>6915</v>
      </c>
      <c r="B6858" s="16" t="n">
        <v>45874</v>
      </c>
      <c r="C6858" s="15" t="s">
        <v>56</v>
      </c>
      <c r="D6858" s="15" t="s">
        <v>42</v>
      </c>
      <c r="E6858" s="15" t="s">
        <v>37</v>
      </c>
      <c r="F6858" s="15" t="s">
        <v>17</v>
      </c>
      <c r="G6858" s="15" t="s">
        <v>28</v>
      </c>
      <c r="H6858" s="15" t="n">
        <v>2</v>
      </c>
      <c r="I6858" s="17" t="n">
        <v>0.1</v>
      </c>
      <c r="J6858" s="18" t="n">
        <v>54.03</v>
      </c>
      <c r="K6858" s="19" t="n">
        <v>10.15</v>
      </c>
      <c r="L6858" s="15" t="n">
        <f aca="false">YEAR(B6858)</f>
        <v>2025</v>
      </c>
      <c r="M6858" s="20" t="n">
        <f aca="false">IF(J6858&gt;0,K6858/J6858,0)</f>
        <v>0.187858597075699</v>
      </c>
    </row>
    <row r="6859" customFormat="false" ht="15" hidden="false" customHeight="false" outlineLevel="0" collapsed="false">
      <c r="A6859" s="15" t="s">
        <v>6916</v>
      </c>
      <c r="B6859" s="16" t="n">
        <v>45191</v>
      </c>
      <c r="C6859" s="15" t="s">
        <v>58</v>
      </c>
      <c r="D6859" s="15" t="s">
        <v>44</v>
      </c>
      <c r="E6859" s="15" t="s">
        <v>39</v>
      </c>
      <c r="F6859" s="15" t="s">
        <v>17</v>
      </c>
      <c r="G6859" s="15" t="s">
        <v>28</v>
      </c>
      <c r="H6859" s="15" t="n">
        <v>3</v>
      </c>
      <c r="I6859" s="17" t="n">
        <v>0.1</v>
      </c>
      <c r="J6859" s="18" t="n">
        <v>82.43</v>
      </c>
      <c r="K6859" s="19" t="n">
        <v>11.48</v>
      </c>
      <c r="L6859" s="15" t="n">
        <f aca="false">YEAR(B6859)</f>
        <v>2023</v>
      </c>
      <c r="M6859" s="20" t="n">
        <f aca="false">IF(J6859&gt;0,K6859/J6859,0)</f>
        <v>0.139269683367706</v>
      </c>
    </row>
    <row r="6860" customFormat="false" ht="15" hidden="false" customHeight="false" outlineLevel="0" collapsed="false">
      <c r="A6860" s="15" t="s">
        <v>6917</v>
      </c>
      <c r="B6860" s="16" t="n">
        <v>45799</v>
      </c>
      <c r="C6860" s="15" t="s">
        <v>68</v>
      </c>
      <c r="D6860" s="15" t="s">
        <v>42</v>
      </c>
      <c r="E6860" s="15" t="s">
        <v>39</v>
      </c>
      <c r="F6860" s="15" t="s">
        <v>17</v>
      </c>
      <c r="G6860" s="15" t="s">
        <v>28</v>
      </c>
      <c r="H6860" s="15" t="n">
        <v>5</v>
      </c>
      <c r="I6860" s="17" t="n">
        <v>0.5</v>
      </c>
      <c r="J6860" s="18" t="n">
        <v>63.24</v>
      </c>
      <c r="K6860" s="19" t="n">
        <v>-12.73</v>
      </c>
      <c r="L6860" s="15" t="n">
        <f aca="false">YEAR(B6860)</f>
        <v>2025</v>
      </c>
      <c r="M6860" s="20" t="n">
        <f aca="false">IF(J6860&gt;0,K6860/J6860,0)</f>
        <v>-0.201296647691335</v>
      </c>
    </row>
    <row r="6861" customFormat="false" ht="15" hidden="false" customHeight="false" outlineLevel="0" collapsed="false">
      <c r="A6861" s="15" t="s">
        <v>6918</v>
      </c>
      <c r="B6861" s="16" t="n">
        <v>45764</v>
      </c>
      <c r="C6861" s="15" t="s">
        <v>56</v>
      </c>
      <c r="D6861" s="15" t="s">
        <v>43</v>
      </c>
      <c r="E6861" s="15" t="s">
        <v>37</v>
      </c>
      <c r="F6861" s="15" t="s">
        <v>16</v>
      </c>
      <c r="G6861" s="15" t="s">
        <v>27</v>
      </c>
      <c r="H6861" s="15" t="n">
        <v>2</v>
      </c>
      <c r="I6861" s="17" t="n">
        <v>0.1</v>
      </c>
      <c r="J6861" s="18" t="n">
        <v>133.56</v>
      </c>
      <c r="K6861" s="19" t="n">
        <v>13.52</v>
      </c>
      <c r="L6861" s="15" t="n">
        <f aca="false">YEAR(B6861)</f>
        <v>2025</v>
      </c>
      <c r="M6861" s="20" t="n">
        <f aca="false">IF(J6861&gt;0,K6861/J6861,0)</f>
        <v>0.101227912548667</v>
      </c>
    </row>
    <row r="6862" customFormat="false" ht="15" hidden="false" customHeight="false" outlineLevel="0" collapsed="false">
      <c r="A6862" s="15" t="s">
        <v>6919</v>
      </c>
      <c r="B6862" s="16" t="n">
        <v>45857</v>
      </c>
      <c r="C6862" s="15" t="s">
        <v>68</v>
      </c>
      <c r="D6862" s="15" t="s">
        <v>43</v>
      </c>
      <c r="E6862" s="15" t="s">
        <v>36</v>
      </c>
      <c r="F6862" s="15" t="s">
        <v>16</v>
      </c>
      <c r="G6862" s="15" t="s">
        <v>22</v>
      </c>
      <c r="H6862" s="15" t="n">
        <v>3</v>
      </c>
      <c r="I6862" s="17" t="n">
        <v>0.3</v>
      </c>
      <c r="J6862" s="18" t="n">
        <v>1249.61</v>
      </c>
      <c r="K6862" s="19" t="n">
        <v>-382.76</v>
      </c>
      <c r="L6862" s="15" t="n">
        <f aca="false">YEAR(B6862)</f>
        <v>2025</v>
      </c>
      <c r="M6862" s="20" t="n">
        <f aca="false">IF(J6862&gt;0,K6862/J6862,0)</f>
        <v>-0.306303566712814</v>
      </c>
    </row>
    <row r="6863" customFormat="false" ht="15" hidden="false" customHeight="false" outlineLevel="0" collapsed="false">
      <c r="A6863" s="15" t="s">
        <v>6920</v>
      </c>
      <c r="B6863" s="16" t="n">
        <v>45442</v>
      </c>
      <c r="C6863" s="15" t="s">
        <v>68</v>
      </c>
      <c r="D6863" s="15" t="s">
        <v>43</v>
      </c>
      <c r="E6863" s="15" t="s">
        <v>39</v>
      </c>
      <c r="F6863" s="15" t="s">
        <v>18</v>
      </c>
      <c r="G6863" s="15" t="s">
        <v>32</v>
      </c>
      <c r="H6863" s="15" t="n">
        <v>3</v>
      </c>
      <c r="I6863" s="17" t="n">
        <v>0.05</v>
      </c>
      <c r="J6863" s="18" t="n">
        <v>1405.31</v>
      </c>
      <c r="K6863" s="19" t="n">
        <v>255.84</v>
      </c>
      <c r="L6863" s="15" t="n">
        <f aca="false">YEAR(B6863)</f>
        <v>2024</v>
      </c>
      <c r="M6863" s="20" t="n">
        <f aca="false">IF(J6863&gt;0,K6863/J6863,0)</f>
        <v>0.18205235855434</v>
      </c>
    </row>
    <row r="6864" customFormat="false" ht="15" hidden="false" customHeight="false" outlineLevel="0" collapsed="false">
      <c r="A6864" s="15" t="s">
        <v>6921</v>
      </c>
      <c r="B6864" s="16" t="n">
        <v>45875</v>
      </c>
      <c r="C6864" s="15" t="s">
        <v>56</v>
      </c>
      <c r="D6864" s="15" t="s">
        <v>44</v>
      </c>
      <c r="E6864" s="15" t="s">
        <v>37</v>
      </c>
      <c r="F6864" s="15" t="s">
        <v>16</v>
      </c>
      <c r="G6864" s="15" t="s">
        <v>25</v>
      </c>
      <c r="H6864" s="15" t="n">
        <v>3</v>
      </c>
      <c r="I6864" s="17" t="n">
        <v>0.05</v>
      </c>
      <c r="J6864" s="18" t="n">
        <v>791.27</v>
      </c>
      <c r="K6864" s="19" t="n">
        <v>-58</v>
      </c>
      <c r="L6864" s="15" t="n">
        <f aca="false">YEAR(B6864)</f>
        <v>2025</v>
      </c>
      <c r="M6864" s="20" t="n">
        <f aca="false">IF(J6864&gt;0,K6864/J6864,0)</f>
        <v>-0.073299884995008</v>
      </c>
    </row>
    <row r="6865" customFormat="false" ht="15" hidden="false" customHeight="false" outlineLevel="0" collapsed="false">
      <c r="A6865" s="15" t="s">
        <v>6922</v>
      </c>
      <c r="B6865" s="16" t="n">
        <v>45192</v>
      </c>
      <c r="C6865" s="15" t="s">
        <v>56</v>
      </c>
      <c r="D6865" s="15" t="s">
        <v>42</v>
      </c>
      <c r="E6865" s="15" t="s">
        <v>37</v>
      </c>
      <c r="F6865" s="15" t="s">
        <v>18</v>
      </c>
      <c r="G6865" s="15" t="s">
        <v>30</v>
      </c>
      <c r="H6865" s="15" t="n">
        <v>4</v>
      </c>
      <c r="I6865" s="17" t="n">
        <v>0.3</v>
      </c>
      <c r="J6865" s="18" t="n">
        <v>137.78</v>
      </c>
      <c r="K6865" s="19" t="n">
        <v>12.52</v>
      </c>
      <c r="L6865" s="15" t="n">
        <f aca="false">YEAR(B6865)</f>
        <v>2023</v>
      </c>
      <c r="M6865" s="20" t="n">
        <f aca="false">IF(J6865&gt;0,K6865/J6865,0)</f>
        <v>0.0908695021048048</v>
      </c>
    </row>
    <row r="6866" customFormat="false" ht="15" hidden="false" customHeight="false" outlineLevel="0" collapsed="false">
      <c r="A6866" s="15" t="s">
        <v>6923</v>
      </c>
      <c r="B6866" s="16" t="n">
        <v>45579</v>
      </c>
      <c r="C6866" s="15" t="s">
        <v>56</v>
      </c>
      <c r="D6866" s="15" t="s">
        <v>43</v>
      </c>
      <c r="E6866" s="15" t="s">
        <v>39</v>
      </c>
      <c r="F6866" s="15" t="s">
        <v>18</v>
      </c>
      <c r="G6866" s="15" t="s">
        <v>33</v>
      </c>
      <c r="H6866" s="15" t="n">
        <v>4</v>
      </c>
      <c r="I6866" s="17" t="n">
        <v>0.3</v>
      </c>
      <c r="J6866" s="18" t="n">
        <v>2982.43</v>
      </c>
      <c r="K6866" s="19" t="n">
        <v>-266.6</v>
      </c>
      <c r="L6866" s="15" t="n">
        <f aca="false">YEAR(B6866)</f>
        <v>2024</v>
      </c>
      <c r="M6866" s="20" t="n">
        <f aca="false">IF(J6866&gt;0,K6866/J6866,0)</f>
        <v>-0.089390195243476</v>
      </c>
    </row>
    <row r="6867" customFormat="false" ht="15" hidden="false" customHeight="false" outlineLevel="0" collapsed="false">
      <c r="A6867" s="15" t="s">
        <v>6924</v>
      </c>
      <c r="B6867" s="16" t="n">
        <v>45922</v>
      </c>
      <c r="C6867" s="15" t="s">
        <v>56</v>
      </c>
      <c r="D6867" s="15" t="s">
        <v>43</v>
      </c>
      <c r="E6867" s="15" t="s">
        <v>37</v>
      </c>
      <c r="F6867" s="15" t="s">
        <v>17</v>
      </c>
      <c r="G6867" s="15" t="s">
        <v>28</v>
      </c>
      <c r="H6867" s="15" t="n">
        <v>3</v>
      </c>
      <c r="I6867" s="17" t="n">
        <v>0</v>
      </c>
      <c r="J6867" s="18" t="n">
        <v>76.37</v>
      </c>
      <c r="K6867" s="19" t="n">
        <v>29.88</v>
      </c>
      <c r="L6867" s="15" t="n">
        <f aca="false">YEAR(B6867)</f>
        <v>2025</v>
      </c>
      <c r="M6867" s="20" t="n">
        <f aca="false">IF(J6867&gt;0,K6867/J6867,0)</f>
        <v>0.391253109859893</v>
      </c>
    </row>
    <row r="6868" customFormat="false" ht="15" hidden="false" customHeight="false" outlineLevel="0" collapsed="false">
      <c r="A6868" s="15" t="s">
        <v>6925</v>
      </c>
      <c r="B6868" s="16" t="n">
        <v>44733</v>
      </c>
      <c r="C6868" s="15" t="s">
        <v>71</v>
      </c>
      <c r="D6868" s="15" t="s">
        <v>42</v>
      </c>
      <c r="E6868" s="15" t="s">
        <v>39</v>
      </c>
      <c r="F6868" s="15" t="s">
        <v>16</v>
      </c>
      <c r="G6868" s="15" t="s">
        <v>25</v>
      </c>
      <c r="H6868" s="15" t="n">
        <v>5</v>
      </c>
      <c r="I6868" s="17" t="n">
        <v>0.2</v>
      </c>
      <c r="J6868" s="18" t="n">
        <v>1102.68</v>
      </c>
      <c r="K6868" s="19" t="n">
        <v>-88</v>
      </c>
      <c r="L6868" s="15" t="n">
        <f aca="false">YEAR(B6868)</f>
        <v>2022</v>
      </c>
      <c r="M6868" s="20" t="n">
        <f aca="false">IF(J6868&gt;0,K6868/J6868,0)</f>
        <v>-0.0798055646243697</v>
      </c>
    </row>
    <row r="6869" customFormat="false" ht="15" hidden="false" customHeight="false" outlineLevel="0" collapsed="false">
      <c r="A6869" s="15" t="s">
        <v>6926</v>
      </c>
      <c r="B6869" s="16" t="n">
        <v>45493</v>
      </c>
      <c r="C6869" s="15" t="s">
        <v>56</v>
      </c>
      <c r="D6869" s="15" t="s">
        <v>43</v>
      </c>
      <c r="E6869" s="15" t="s">
        <v>37</v>
      </c>
      <c r="F6869" s="15" t="s">
        <v>16</v>
      </c>
      <c r="G6869" s="15" t="s">
        <v>22</v>
      </c>
      <c r="H6869" s="15" t="n">
        <v>6</v>
      </c>
      <c r="I6869" s="17" t="n">
        <v>0.05</v>
      </c>
      <c r="J6869" s="18" t="n">
        <v>3079.62</v>
      </c>
      <c r="K6869" s="19" t="n">
        <v>-116.7</v>
      </c>
      <c r="L6869" s="15" t="n">
        <f aca="false">YEAR(B6869)</f>
        <v>2024</v>
      </c>
      <c r="M6869" s="20" t="n">
        <f aca="false">IF(J6869&gt;0,K6869/J6869,0)</f>
        <v>-0.0378942856586202</v>
      </c>
    </row>
    <row r="6870" customFormat="false" ht="15" hidden="false" customHeight="false" outlineLevel="0" collapsed="false">
      <c r="A6870" s="15" t="s">
        <v>6927</v>
      </c>
      <c r="B6870" s="16" t="n">
        <v>45899</v>
      </c>
      <c r="C6870" s="15" t="s">
        <v>58</v>
      </c>
      <c r="D6870" s="15" t="s">
        <v>42</v>
      </c>
      <c r="E6870" s="15" t="s">
        <v>39</v>
      </c>
      <c r="F6870" s="15" t="s">
        <v>18</v>
      </c>
      <c r="G6870" s="15" t="s">
        <v>32</v>
      </c>
      <c r="H6870" s="15" t="n">
        <v>3</v>
      </c>
      <c r="I6870" s="17" t="n">
        <v>0</v>
      </c>
      <c r="J6870" s="18" t="n">
        <v>1321.75</v>
      </c>
      <c r="K6870" s="19" t="n">
        <v>208.18</v>
      </c>
      <c r="L6870" s="15" t="n">
        <f aca="false">YEAR(B6870)</f>
        <v>2025</v>
      </c>
      <c r="M6870" s="20" t="n">
        <f aca="false">IF(J6870&gt;0,K6870/J6870,0)</f>
        <v>0.157503310005674</v>
      </c>
    </row>
    <row r="6871" customFormat="false" ht="15" hidden="false" customHeight="false" outlineLevel="0" collapsed="false">
      <c r="A6871" s="15" t="s">
        <v>6928</v>
      </c>
      <c r="B6871" s="16" t="n">
        <v>45201</v>
      </c>
      <c r="C6871" s="15" t="s">
        <v>56</v>
      </c>
      <c r="D6871" s="15" t="s">
        <v>42</v>
      </c>
      <c r="E6871" s="15" t="s">
        <v>37</v>
      </c>
      <c r="F6871" s="15" t="s">
        <v>17</v>
      </c>
      <c r="G6871" s="15" t="s">
        <v>29</v>
      </c>
      <c r="H6871" s="15" t="n">
        <v>3</v>
      </c>
      <c r="I6871" s="17" t="n">
        <v>0</v>
      </c>
      <c r="J6871" s="18" t="n">
        <v>58.75</v>
      </c>
      <c r="K6871" s="19" t="n">
        <v>23.31</v>
      </c>
      <c r="L6871" s="15" t="n">
        <f aca="false">YEAR(B6871)</f>
        <v>2023</v>
      </c>
      <c r="M6871" s="20" t="n">
        <f aca="false">IF(J6871&gt;0,K6871/J6871,0)</f>
        <v>0.396765957446809</v>
      </c>
    </row>
    <row r="6872" customFormat="false" ht="15" hidden="false" customHeight="false" outlineLevel="0" collapsed="false">
      <c r="A6872" s="15" t="s">
        <v>6929</v>
      </c>
      <c r="B6872" s="16" t="n">
        <v>45255</v>
      </c>
      <c r="C6872" s="15" t="s">
        <v>56</v>
      </c>
      <c r="D6872" s="15" t="s">
        <v>42</v>
      </c>
      <c r="E6872" s="15" t="s">
        <v>39</v>
      </c>
      <c r="F6872" s="15" t="s">
        <v>17</v>
      </c>
      <c r="G6872" s="15" t="s">
        <v>28</v>
      </c>
      <c r="H6872" s="15" t="n">
        <v>2</v>
      </c>
      <c r="I6872" s="17" t="n">
        <v>0.3</v>
      </c>
      <c r="J6872" s="18" t="n">
        <v>30.96</v>
      </c>
      <c r="K6872" s="19" t="n">
        <v>2.24</v>
      </c>
      <c r="L6872" s="15" t="n">
        <f aca="false">YEAR(B6872)</f>
        <v>2023</v>
      </c>
      <c r="M6872" s="20" t="n">
        <f aca="false">IF(J6872&gt;0,K6872/J6872,0)</f>
        <v>0.0723514211886305</v>
      </c>
    </row>
    <row r="6873" customFormat="false" ht="15" hidden="false" customHeight="false" outlineLevel="0" collapsed="false">
      <c r="A6873" s="15" t="s">
        <v>6930</v>
      </c>
      <c r="B6873" s="16" t="n">
        <v>45047</v>
      </c>
      <c r="C6873" s="15" t="s">
        <v>68</v>
      </c>
      <c r="D6873" s="15" t="s">
        <v>42</v>
      </c>
      <c r="E6873" s="15" t="s">
        <v>36</v>
      </c>
      <c r="F6873" s="15" t="s">
        <v>17</v>
      </c>
      <c r="G6873" s="15" t="s">
        <v>28</v>
      </c>
      <c r="H6873" s="15" t="n">
        <v>3</v>
      </c>
      <c r="I6873" s="17" t="n">
        <v>0</v>
      </c>
      <c r="J6873" s="18" t="n">
        <v>67.51</v>
      </c>
      <c r="K6873" s="19" t="n">
        <v>18.57</v>
      </c>
      <c r="L6873" s="15" t="n">
        <f aca="false">YEAR(B6873)</f>
        <v>2023</v>
      </c>
      <c r="M6873" s="20" t="n">
        <f aca="false">IF(J6873&gt;0,K6873/J6873,0)</f>
        <v>0.275070359946675</v>
      </c>
    </row>
    <row r="6874" customFormat="false" ht="15" hidden="false" customHeight="false" outlineLevel="0" collapsed="false">
      <c r="A6874" s="15" t="s">
        <v>6931</v>
      </c>
      <c r="B6874" s="16" t="n">
        <v>45990</v>
      </c>
      <c r="C6874" s="15" t="s">
        <v>58</v>
      </c>
      <c r="D6874" s="15" t="s">
        <v>42</v>
      </c>
      <c r="E6874" s="15" t="s">
        <v>38</v>
      </c>
      <c r="F6874" s="15" t="s">
        <v>18</v>
      </c>
      <c r="G6874" s="15" t="s">
        <v>32</v>
      </c>
      <c r="H6874" s="15" t="n">
        <v>4</v>
      </c>
      <c r="I6874" s="17" t="n">
        <v>0.1</v>
      </c>
      <c r="J6874" s="18" t="n">
        <v>1236.85</v>
      </c>
      <c r="K6874" s="19" t="n">
        <v>121.49</v>
      </c>
      <c r="L6874" s="15" t="n">
        <f aca="false">YEAR(B6874)</f>
        <v>2025</v>
      </c>
      <c r="M6874" s="20" t="n">
        <f aca="false">IF(J6874&gt;0,K6874/J6874,0)</f>
        <v>0.098225330476614</v>
      </c>
    </row>
    <row r="6875" customFormat="false" ht="15" hidden="false" customHeight="false" outlineLevel="0" collapsed="false">
      <c r="A6875" s="15" t="s">
        <v>6932</v>
      </c>
      <c r="B6875" s="16" t="n">
        <v>44857</v>
      </c>
      <c r="C6875" s="15" t="s">
        <v>71</v>
      </c>
      <c r="D6875" s="15" t="s">
        <v>44</v>
      </c>
      <c r="E6875" s="15" t="s">
        <v>39</v>
      </c>
      <c r="F6875" s="15" t="s">
        <v>18</v>
      </c>
      <c r="G6875" s="15" t="s">
        <v>33</v>
      </c>
      <c r="H6875" s="15" t="n">
        <v>4</v>
      </c>
      <c r="I6875" s="17" t="n">
        <v>0</v>
      </c>
      <c r="J6875" s="18" t="n">
        <v>4312.84</v>
      </c>
      <c r="K6875" s="19" t="n">
        <v>1022.57</v>
      </c>
      <c r="L6875" s="15" t="n">
        <f aca="false">YEAR(B6875)</f>
        <v>2022</v>
      </c>
      <c r="M6875" s="20" t="n">
        <f aca="false">IF(J6875&gt;0,K6875/J6875,0)</f>
        <v>0.237098988137747</v>
      </c>
    </row>
    <row r="6876" customFormat="false" ht="15" hidden="false" customHeight="false" outlineLevel="0" collapsed="false">
      <c r="A6876" s="15" t="s">
        <v>6933</v>
      </c>
      <c r="B6876" s="16" t="n">
        <v>45994</v>
      </c>
      <c r="C6876" s="15" t="s">
        <v>58</v>
      </c>
      <c r="D6876" s="15" t="s">
        <v>42</v>
      </c>
      <c r="E6876" s="15" t="s">
        <v>38</v>
      </c>
      <c r="F6876" s="15" t="s">
        <v>16</v>
      </c>
      <c r="G6876" s="15" t="s">
        <v>27</v>
      </c>
      <c r="H6876" s="15" t="n">
        <v>4</v>
      </c>
      <c r="I6876" s="17" t="n">
        <v>0</v>
      </c>
      <c r="J6876" s="18" t="n">
        <v>183.18</v>
      </c>
      <c r="K6876" s="19" t="n">
        <v>36.93</v>
      </c>
      <c r="L6876" s="15" t="n">
        <f aca="false">YEAR(B6876)</f>
        <v>2025</v>
      </c>
      <c r="M6876" s="20" t="n">
        <f aca="false">IF(J6876&gt;0,K6876/J6876,0)</f>
        <v>0.201604978709466</v>
      </c>
    </row>
    <row r="6877" customFormat="false" ht="15" hidden="false" customHeight="false" outlineLevel="0" collapsed="false">
      <c r="A6877" s="15" t="s">
        <v>6934</v>
      </c>
      <c r="B6877" s="16" t="n">
        <v>45591</v>
      </c>
      <c r="C6877" s="15" t="s">
        <v>68</v>
      </c>
      <c r="D6877" s="15" t="s">
        <v>42</v>
      </c>
      <c r="E6877" s="15" t="s">
        <v>39</v>
      </c>
      <c r="F6877" s="15" t="s">
        <v>16</v>
      </c>
      <c r="G6877" s="15" t="s">
        <v>25</v>
      </c>
      <c r="H6877" s="15" t="n">
        <v>5</v>
      </c>
      <c r="I6877" s="17" t="n">
        <v>0.1</v>
      </c>
      <c r="J6877" s="18" t="n">
        <v>1502.86</v>
      </c>
      <c r="K6877" s="19" t="n">
        <v>-24.47</v>
      </c>
      <c r="L6877" s="15" t="n">
        <f aca="false">YEAR(B6877)</f>
        <v>2024</v>
      </c>
      <c r="M6877" s="20" t="n">
        <f aca="false">IF(J6877&gt;0,K6877/J6877,0)</f>
        <v>-0.016282288436714</v>
      </c>
    </row>
    <row r="6878" customFormat="false" ht="15" hidden="false" customHeight="false" outlineLevel="0" collapsed="false">
      <c r="A6878" s="15" t="s">
        <v>6935</v>
      </c>
      <c r="B6878" s="16" t="n">
        <v>45626</v>
      </c>
      <c r="C6878" s="15" t="s">
        <v>56</v>
      </c>
      <c r="D6878" s="15" t="s">
        <v>42</v>
      </c>
      <c r="E6878" s="15" t="s">
        <v>38</v>
      </c>
      <c r="F6878" s="15" t="s">
        <v>17</v>
      </c>
      <c r="G6878" s="15" t="s">
        <v>31</v>
      </c>
      <c r="H6878" s="15" t="n">
        <v>2</v>
      </c>
      <c r="I6878" s="17" t="n">
        <v>0.1</v>
      </c>
      <c r="J6878" s="18" t="n">
        <v>245.16</v>
      </c>
      <c r="K6878" s="19" t="n">
        <v>17.35</v>
      </c>
      <c r="L6878" s="15" t="n">
        <f aca="false">YEAR(B6878)</f>
        <v>2024</v>
      </c>
      <c r="M6878" s="20" t="n">
        <f aca="false">IF(J6878&gt;0,K6878/J6878,0)</f>
        <v>0.0707701093163648</v>
      </c>
    </row>
    <row r="6879" customFormat="false" ht="15" hidden="false" customHeight="false" outlineLevel="0" collapsed="false">
      <c r="A6879" s="15" t="s">
        <v>6936</v>
      </c>
      <c r="B6879" s="16" t="n">
        <v>45540</v>
      </c>
      <c r="C6879" s="15" t="s">
        <v>56</v>
      </c>
      <c r="D6879" s="15" t="s">
        <v>43</v>
      </c>
      <c r="E6879" s="15" t="s">
        <v>36</v>
      </c>
      <c r="F6879" s="15" t="s">
        <v>16</v>
      </c>
      <c r="G6879" s="15" t="s">
        <v>22</v>
      </c>
      <c r="H6879" s="15" t="n">
        <v>3</v>
      </c>
      <c r="I6879" s="17" t="n">
        <v>0.1</v>
      </c>
      <c r="J6879" s="18" t="n">
        <v>1317.37</v>
      </c>
      <c r="K6879" s="19" t="n">
        <v>-65.72</v>
      </c>
      <c r="L6879" s="15" t="n">
        <f aca="false">YEAR(B6879)</f>
        <v>2024</v>
      </c>
      <c r="M6879" s="20" t="n">
        <f aca="false">IF(J6879&gt;0,K6879/J6879,0)</f>
        <v>-0.0498872754047838</v>
      </c>
    </row>
    <row r="6880" customFormat="false" ht="15" hidden="false" customHeight="false" outlineLevel="0" collapsed="false">
      <c r="A6880" s="15" t="s">
        <v>6937</v>
      </c>
      <c r="B6880" s="16" t="n">
        <v>45924</v>
      </c>
      <c r="C6880" s="15" t="s">
        <v>56</v>
      </c>
      <c r="D6880" s="15" t="s">
        <v>43</v>
      </c>
      <c r="E6880" s="15" t="s">
        <v>36</v>
      </c>
      <c r="F6880" s="15" t="s">
        <v>17</v>
      </c>
      <c r="G6880" s="15" t="s">
        <v>26</v>
      </c>
      <c r="H6880" s="15" t="n">
        <v>2</v>
      </c>
      <c r="I6880" s="17" t="n">
        <v>0</v>
      </c>
      <c r="J6880" s="18" t="n">
        <v>171.8</v>
      </c>
      <c r="K6880" s="19" t="n">
        <v>16.96</v>
      </c>
      <c r="L6880" s="15" t="n">
        <f aca="false">YEAR(B6880)</f>
        <v>2025</v>
      </c>
      <c r="M6880" s="20" t="n">
        <f aca="false">IF(J6880&gt;0,K6880/J6880,0)</f>
        <v>0.0987194412107101</v>
      </c>
    </row>
    <row r="6881" customFormat="false" ht="15" hidden="false" customHeight="false" outlineLevel="0" collapsed="false">
      <c r="A6881" s="15" t="s">
        <v>6938</v>
      </c>
      <c r="B6881" s="16" t="n">
        <v>45624</v>
      </c>
      <c r="C6881" s="15" t="s">
        <v>56</v>
      </c>
      <c r="D6881" s="15" t="s">
        <v>42</v>
      </c>
      <c r="E6881" s="15" t="s">
        <v>39</v>
      </c>
      <c r="F6881" s="15" t="s">
        <v>17</v>
      </c>
      <c r="G6881" s="15" t="s">
        <v>29</v>
      </c>
      <c r="H6881" s="15" t="n">
        <v>4</v>
      </c>
      <c r="I6881" s="17" t="n">
        <v>0</v>
      </c>
      <c r="J6881" s="18" t="n">
        <v>87.14</v>
      </c>
      <c r="K6881" s="19" t="n">
        <v>36.63</v>
      </c>
      <c r="L6881" s="15" t="n">
        <f aca="false">YEAR(B6881)</f>
        <v>2024</v>
      </c>
      <c r="M6881" s="20" t="n">
        <f aca="false">IF(J6881&gt;0,K6881/J6881,0)</f>
        <v>0.42035804452605</v>
      </c>
    </row>
    <row r="6882" customFormat="false" ht="15" hidden="false" customHeight="false" outlineLevel="0" collapsed="false">
      <c r="A6882" s="15" t="s">
        <v>6939</v>
      </c>
      <c r="B6882" s="16" t="n">
        <v>45462</v>
      </c>
      <c r="C6882" s="15" t="s">
        <v>68</v>
      </c>
      <c r="D6882" s="15" t="s">
        <v>42</v>
      </c>
      <c r="E6882" s="15" t="s">
        <v>37</v>
      </c>
      <c r="F6882" s="15" t="s">
        <v>16</v>
      </c>
      <c r="G6882" s="15" t="s">
        <v>23</v>
      </c>
      <c r="H6882" s="15" t="n">
        <v>2</v>
      </c>
      <c r="I6882" s="17" t="n">
        <v>0.1</v>
      </c>
      <c r="J6882" s="18" t="n">
        <v>539.27</v>
      </c>
      <c r="K6882" s="19" t="n">
        <v>-44.14</v>
      </c>
      <c r="L6882" s="15" t="n">
        <f aca="false">YEAR(B6882)</f>
        <v>2024</v>
      </c>
      <c r="M6882" s="20" t="n">
        <f aca="false">IF(J6882&gt;0,K6882/J6882,0)</f>
        <v>-0.0818513916961819</v>
      </c>
    </row>
    <row r="6883" customFormat="false" ht="15" hidden="false" customHeight="false" outlineLevel="0" collapsed="false">
      <c r="A6883" s="15" t="s">
        <v>6940</v>
      </c>
      <c r="B6883" s="16" t="n">
        <v>45383</v>
      </c>
      <c r="C6883" s="15" t="s">
        <v>58</v>
      </c>
      <c r="D6883" s="15" t="s">
        <v>43</v>
      </c>
      <c r="E6883" s="15" t="s">
        <v>39</v>
      </c>
      <c r="F6883" s="15" t="s">
        <v>17</v>
      </c>
      <c r="G6883" s="15" t="s">
        <v>29</v>
      </c>
      <c r="H6883" s="15" t="n">
        <v>2</v>
      </c>
      <c r="I6883" s="17" t="n">
        <v>0</v>
      </c>
      <c r="J6883" s="18" t="n">
        <v>33.75</v>
      </c>
      <c r="K6883" s="19" t="n">
        <v>14.06</v>
      </c>
      <c r="L6883" s="15" t="n">
        <f aca="false">YEAR(B6883)</f>
        <v>2024</v>
      </c>
      <c r="M6883" s="20" t="n">
        <f aca="false">IF(J6883&gt;0,K6883/J6883,0)</f>
        <v>0.416592592592593</v>
      </c>
    </row>
    <row r="6884" customFormat="false" ht="15" hidden="false" customHeight="false" outlineLevel="0" collapsed="false">
      <c r="A6884" s="15" t="s">
        <v>6941</v>
      </c>
      <c r="B6884" s="16" t="n">
        <v>44929</v>
      </c>
      <c r="C6884" s="15" t="s">
        <v>56</v>
      </c>
      <c r="D6884" s="15" t="s">
        <v>44</v>
      </c>
      <c r="E6884" s="15" t="s">
        <v>38</v>
      </c>
      <c r="F6884" s="15" t="s">
        <v>18</v>
      </c>
      <c r="G6884" s="15" t="s">
        <v>33</v>
      </c>
      <c r="H6884" s="15" t="n">
        <v>3</v>
      </c>
      <c r="I6884" s="17" t="n">
        <v>0.1</v>
      </c>
      <c r="J6884" s="18" t="n">
        <v>1990.55</v>
      </c>
      <c r="K6884" s="19" t="n">
        <v>413.35</v>
      </c>
      <c r="L6884" s="15" t="n">
        <f aca="false">YEAR(B6884)</f>
        <v>2023</v>
      </c>
      <c r="M6884" s="20" t="n">
        <f aca="false">IF(J6884&gt;0,K6884/J6884,0)</f>
        <v>0.207656175428902</v>
      </c>
    </row>
    <row r="6885" customFormat="false" ht="15" hidden="false" customHeight="false" outlineLevel="0" collapsed="false">
      <c r="A6885" s="15" t="s">
        <v>6942</v>
      </c>
      <c r="B6885" s="16" t="n">
        <v>44796</v>
      </c>
      <c r="C6885" s="15" t="s">
        <v>56</v>
      </c>
      <c r="D6885" s="15" t="s">
        <v>43</v>
      </c>
      <c r="E6885" s="15" t="s">
        <v>39</v>
      </c>
      <c r="F6885" s="15" t="s">
        <v>17</v>
      </c>
      <c r="G6885" s="15" t="s">
        <v>26</v>
      </c>
      <c r="H6885" s="15" t="n">
        <v>2</v>
      </c>
      <c r="I6885" s="17" t="n">
        <v>0.2</v>
      </c>
      <c r="J6885" s="18" t="n">
        <v>211.06</v>
      </c>
      <c r="K6885" s="19" t="n">
        <v>-9.09</v>
      </c>
      <c r="L6885" s="15" t="n">
        <f aca="false">YEAR(B6885)</f>
        <v>2022</v>
      </c>
      <c r="M6885" s="20" t="n">
        <f aca="false">IF(J6885&gt;0,K6885/J6885,0)</f>
        <v>-0.0430683218042263</v>
      </c>
    </row>
    <row r="6886" customFormat="false" ht="15" hidden="false" customHeight="false" outlineLevel="0" collapsed="false">
      <c r="A6886" s="15" t="s">
        <v>6943</v>
      </c>
      <c r="B6886" s="16" t="n">
        <v>45893</v>
      </c>
      <c r="C6886" s="15" t="s">
        <v>68</v>
      </c>
      <c r="D6886" s="15" t="s">
        <v>42</v>
      </c>
      <c r="E6886" s="15" t="s">
        <v>39</v>
      </c>
      <c r="F6886" s="15" t="s">
        <v>17</v>
      </c>
      <c r="G6886" s="15" t="s">
        <v>29</v>
      </c>
      <c r="H6886" s="15" t="n">
        <v>3</v>
      </c>
      <c r="I6886" s="17" t="n">
        <v>0.05</v>
      </c>
      <c r="J6886" s="18" t="n">
        <v>44.92</v>
      </c>
      <c r="K6886" s="19" t="n">
        <v>12.76</v>
      </c>
      <c r="L6886" s="15" t="n">
        <f aca="false">YEAR(B6886)</f>
        <v>2025</v>
      </c>
      <c r="M6886" s="20" t="n">
        <f aca="false">IF(J6886&gt;0,K6886/J6886,0)</f>
        <v>0.284060552092609</v>
      </c>
    </row>
    <row r="6887" customFormat="false" ht="15" hidden="false" customHeight="false" outlineLevel="0" collapsed="false">
      <c r="A6887" s="15" t="s">
        <v>6944</v>
      </c>
      <c r="B6887" s="16" t="n">
        <v>45287</v>
      </c>
      <c r="C6887" s="15" t="s">
        <v>71</v>
      </c>
      <c r="D6887" s="15" t="s">
        <v>44</v>
      </c>
      <c r="E6887" s="15" t="s">
        <v>38</v>
      </c>
      <c r="F6887" s="15" t="s">
        <v>18</v>
      </c>
      <c r="G6887" s="15" t="s">
        <v>24</v>
      </c>
      <c r="H6887" s="15" t="n">
        <v>4</v>
      </c>
      <c r="I6887" s="17" t="n">
        <v>0</v>
      </c>
      <c r="J6887" s="18" t="n">
        <v>2462.7</v>
      </c>
      <c r="K6887" s="19" t="n">
        <v>-37.91</v>
      </c>
      <c r="L6887" s="15" t="n">
        <f aca="false">YEAR(B6887)</f>
        <v>2023</v>
      </c>
      <c r="M6887" s="20" t="n">
        <f aca="false">IF(J6887&gt;0,K6887/J6887,0)</f>
        <v>-0.0153936736102652</v>
      </c>
    </row>
    <row r="6888" customFormat="false" ht="15" hidden="false" customHeight="false" outlineLevel="0" collapsed="false">
      <c r="A6888" s="15" t="s">
        <v>6945</v>
      </c>
      <c r="B6888" s="16" t="n">
        <v>45886</v>
      </c>
      <c r="C6888" s="15" t="s">
        <v>56</v>
      </c>
      <c r="D6888" s="15" t="s">
        <v>43</v>
      </c>
      <c r="E6888" s="15" t="s">
        <v>38</v>
      </c>
      <c r="F6888" s="15" t="s">
        <v>16</v>
      </c>
      <c r="G6888" s="15" t="s">
        <v>27</v>
      </c>
      <c r="H6888" s="15" t="n">
        <v>2</v>
      </c>
      <c r="I6888" s="17" t="n">
        <v>0.3</v>
      </c>
      <c r="J6888" s="18" t="n">
        <v>77.58</v>
      </c>
      <c r="K6888" s="19" t="n">
        <v>-5.37</v>
      </c>
      <c r="L6888" s="15" t="n">
        <f aca="false">YEAR(B6888)</f>
        <v>2025</v>
      </c>
      <c r="M6888" s="20" t="n">
        <f aca="false">IF(J6888&gt;0,K6888/J6888,0)</f>
        <v>-0.0692188708430008</v>
      </c>
    </row>
    <row r="6889" customFormat="false" ht="15" hidden="false" customHeight="false" outlineLevel="0" collapsed="false">
      <c r="A6889" s="15" t="s">
        <v>6946</v>
      </c>
      <c r="B6889" s="16" t="n">
        <v>45958</v>
      </c>
      <c r="C6889" s="15" t="s">
        <v>56</v>
      </c>
      <c r="D6889" s="15" t="s">
        <v>44</v>
      </c>
      <c r="E6889" s="15" t="s">
        <v>36</v>
      </c>
      <c r="F6889" s="15" t="s">
        <v>17</v>
      </c>
      <c r="G6889" s="15" t="s">
        <v>28</v>
      </c>
      <c r="H6889" s="15" t="n">
        <v>5</v>
      </c>
      <c r="I6889" s="17" t="n">
        <v>0</v>
      </c>
      <c r="J6889" s="18" t="n">
        <v>130.15</v>
      </c>
      <c r="K6889" s="19" t="n">
        <v>48.32</v>
      </c>
      <c r="L6889" s="15" t="n">
        <f aca="false">YEAR(B6889)</f>
        <v>2025</v>
      </c>
      <c r="M6889" s="20" t="n">
        <f aca="false">IF(J6889&gt;0,K6889/J6889,0)</f>
        <v>0.371263926238955</v>
      </c>
    </row>
    <row r="6890" customFormat="false" ht="15" hidden="false" customHeight="false" outlineLevel="0" collapsed="false">
      <c r="A6890" s="15" t="s">
        <v>6947</v>
      </c>
      <c r="B6890" s="16" t="n">
        <v>45956</v>
      </c>
      <c r="C6890" s="15" t="s">
        <v>58</v>
      </c>
      <c r="D6890" s="15" t="s">
        <v>42</v>
      </c>
      <c r="E6890" s="15" t="s">
        <v>37</v>
      </c>
      <c r="F6890" s="15" t="s">
        <v>17</v>
      </c>
      <c r="G6890" s="15" t="s">
        <v>28</v>
      </c>
      <c r="H6890" s="15" t="n">
        <v>3</v>
      </c>
      <c r="I6890" s="17" t="n">
        <v>0.15</v>
      </c>
      <c r="J6890" s="18" t="n">
        <v>66.96</v>
      </c>
      <c r="K6890" s="19" t="n">
        <v>9.53</v>
      </c>
      <c r="L6890" s="15" t="n">
        <f aca="false">YEAR(B6890)</f>
        <v>2025</v>
      </c>
      <c r="M6890" s="20" t="n">
        <f aca="false">IF(J6890&gt;0,K6890/J6890,0)</f>
        <v>0.142323775388292</v>
      </c>
    </row>
    <row r="6891" customFormat="false" ht="15" hidden="false" customHeight="false" outlineLevel="0" collapsed="false">
      <c r="A6891" s="15" t="s">
        <v>6948</v>
      </c>
      <c r="B6891" s="16" t="n">
        <v>45303</v>
      </c>
      <c r="C6891" s="15" t="s">
        <v>71</v>
      </c>
      <c r="D6891" s="15" t="s">
        <v>43</v>
      </c>
      <c r="E6891" s="15" t="s">
        <v>38</v>
      </c>
      <c r="F6891" s="15" t="s">
        <v>18</v>
      </c>
      <c r="G6891" s="15" t="s">
        <v>30</v>
      </c>
      <c r="H6891" s="15" t="n">
        <v>3</v>
      </c>
      <c r="I6891" s="17" t="n">
        <v>0</v>
      </c>
      <c r="J6891" s="18" t="n">
        <v>117.28</v>
      </c>
      <c r="K6891" s="19" t="n">
        <v>37.79</v>
      </c>
      <c r="L6891" s="15" t="n">
        <f aca="false">YEAR(B6891)</f>
        <v>2024</v>
      </c>
      <c r="M6891" s="20" t="n">
        <f aca="false">IF(J6891&gt;0,K6891/J6891,0)</f>
        <v>0.322220327421555</v>
      </c>
    </row>
    <row r="6892" customFormat="false" ht="15" hidden="false" customHeight="false" outlineLevel="0" collapsed="false">
      <c r="A6892" s="15" t="s">
        <v>6949</v>
      </c>
      <c r="B6892" s="16" t="n">
        <v>45644</v>
      </c>
      <c r="C6892" s="15" t="s">
        <v>56</v>
      </c>
      <c r="D6892" s="15" t="s">
        <v>42</v>
      </c>
      <c r="E6892" s="15" t="s">
        <v>38</v>
      </c>
      <c r="F6892" s="15" t="s">
        <v>18</v>
      </c>
      <c r="G6892" s="15" t="s">
        <v>30</v>
      </c>
      <c r="H6892" s="15" t="n">
        <v>1</v>
      </c>
      <c r="I6892" s="17" t="n">
        <v>0.4</v>
      </c>
      <c r="J6892" s="18" t="n">
        <v>20.96</v>
      </c>
      <c r="K6892" s="19" t="n">
        <v>-1.42</v>
      </c>
      <c r="L6892" s="15" t="n">
        <f aca="false">YEAR(B6892)</f>
        <v>2024</v>
      </c>
      <c r="M6892" s="20" t="n">
        <f aca="false">IF(J6892&gt;0,K6892/J6892,0)</f>
        <v>-0.0677480916030534</v>
      </c>
    </row>
    <row r="6893" customFormat="false" ht="15" hidden="false" customHeight="false" outlineLevel="0" collapsed="false">
      <c r="A6893" s="15" t="s">
        <v>6950</v>
      </c>
      <c r="B6893" s="16" t="n">
        <v>45233</v>
      </c>
      <c r="C6893" s="15" t="s">
        <v>56</v>
      </c>
      <c r="D6893" s="15" t="s">
        <v>42</v>
      </c>
      <c r="E6893" s="15" t="s">
        <v>36</v>
      </c>
      <c r="F6893" s="15" t="s">
        <v>17</v>
      </c>
      <c r="G6893" s="15" t="s">
        <v>29</v>
      </c>
      <c r="H6893" s="15" t="n">
        <v>3</v>
      </c>
      <c r="I6893" s="17" t="n">
        <v>0</v>
      </c>
      <c r="J6893" s="18" t="n">
        <v>57.98</v>
      </c>
      <c r="K6893" s="19" t="n">
        <v>23.68</v>
      </c>
      <c r="L6893" s="15" t="n">
        <f aca="false">YEAR(B6893)</f>
        <v>2023</v>
      </c>
      <c r="M6893" s="20" t="n">
        <f aca="false">IF(J6893&gt;0,K6893/J6893,0)</f>
        <v>0.408416695412211</v>
      </c>
    </row>
    <row r="6894" customFormat="false" ht="15" hidden="false" customHeight="false" outlineLevel="0" collapsed="false">
      <c r="A6894" s="15" t="s">
        <v>6951</v>
      </c>
      <c r="B6894" s="16" t="n">
        <v>45625</v>
      </c>
      <c r="C6894" s="15" t="s">
        <v>58</v>
      </c>
      <c r="D6894" s="15" t="s">
        <v>43</v>
      </c>
      <c r="E6894" s="15" t="s">
        <v>39</v>
      </c>
      <c r="F6894" s="15" t="s">
        <v>17</v>
      </c>
      <c r="G6894" s="15" t="s">
        <v>28</v>
      </c>
      <c r="H6894" s="15" t="n">
        <v>3</v>
      </c>
      <c r="I6894" s="17" t="n">
        <v>0</v>
      </c>
      <c r="J6894" s="18" t="n">
        <v>65.81</v>
      </c>
      <c r="K6894" s="19" t="n">
        <v>19.95</v>
      </c>
      <c r="L6894" s="15" t="n">
        <f aca="false">YEAR(B6894)</f>
        <v>2024</v>
      </c>
      <c r="M6894" s="20" t="n">
        <f aca="false">IF(J6894&gt;0,K6894/J6894,0)</f>
        <v>0.303145418629388</v>
      </c>
    </row>
    <row r="6895" customFormat="false" ht="15" hidden="false" customHeight="false" outlineLevel="0" collapsed="false">
      <c r="A6895" s="15" t="s">
        <v>6952</v>
      </c>
      <c r="B6895" s="16" t="n">
        <v>45060</v>
      </c>
      <c r="C6895" s="15" t="s">
        <v>56</v>
      </c>
      <c r="D6895" s="15" t="s">
        <v>42</v>
      </c>
      <c r="E6895" s="15" t="s">
        <v>38</v>
      </c>
      <c r="F6895" s="15" t="s">
        <v>18</v>
      </c>
      <c r="G6895" s="15" t="s">
        <v>32</v>
      </c>
      <c r="H6895" s="15" t="n">
        <v>3</v>
      </c>
      <c r="I6895" s="17" t="n">
        <v>0</v>
      </c>
      <c r="J6895" s="18" t="n">
        <v>1384.28</v>
      </c>
      <c r="K6895" s="19" t="n">
        <v>255.55</v>
      </c>
      <c r="L6895" s="15" t="n">
        <f aca="false">YEAR(B6895)</f>
        <v>2023</v>
      </c>
      <c r="M6895" s="20" t="n">
        <f aca="false">IF(J6895&gt;0,K6895/J6895,0)</f>
        <v>0.184608605195481</v>
      </c>
    </row>
    <row r="6896" customFormat="false" ht="15" hidden="false" customHeight="false" outlineLevel="0" collapsed="false">
      <c r="A6896" s="15" t="s">
        <v>6953</v>
      </c>
      <c r="B6896" s="16" t="n">
        <v>45514</v>
      </c>
      <c r="C6896" s="15" t="s">
        <v>56</v>
      </c>
      <c r="D6896" s="15" t="s">
        <v>42</v>
      </c>
      <c r="E6896" s="15" t="s">
        <v>38</v>
      </c>
      <c r="F6896" s="15" t="s">
        <v>17</v>
      </c>
      <c r="G6896" s="15" t="s">
        <v>29</v>
      </c>
      <c r="H6896" s="15" t="n">
        <v>5</v>
      </c>
      <c r="I6896" s="17" t="n">
        <v>0</v>
      </c>
      <c r="J6896" s="18" t="n">
        <v>99.1</v>
      </c>
      <c r="K6896" s="19" t="n">
        <v>38.39</v>
      </c>
      <c r="L6896" s="15" t="n">
        <f aca="false">YEAR(B6896)</f>
        <v>2024</v>
      </c>
      <c r="M6896" s="20" t="n">
        <f aca="false">IF(J6896&gt;0,K6896/J6896,0)</f>
        <v>0.387386478304743</v>
      </c>
    </row>
    <row r="6897" customFormat="false" ht="15" hidden="false" customHeight="false" outlineLevel="0" collapsed="false">
      <c r="A6897" s="15" t="s">
        <v>6954</v>
      </c>
      <c r="B6897" s="16" t="n">
        <v>45671</v>
      </c>
      <c r="C6897" s="15" t="s">
        <v>56</v>
      </c>
      <c r="D6897" s="15" t="s">
        <v>42</v>
      </c>
      <c r="E6897" s="15" t="s">
        <v>36</v>
      </c>
      <c r="F6897" s="15" t="s">
        <v>18</v>
      </c>
      <c r="G6897" s="15" t="s">
        <v>33</v>
      </c>
      <c r="H6897" s="15" t="n">
        <v>3</v>
      </c>
      <c r="I6897" s="17" t="n">
        <v>0</v>
      </c>
      <c r="J6897" s="18" t="n">
        <v>2458.41</v>
      </c>
      <c r="K6897" s="19" t="n">
        <v>642.21</v>
      </c>
      <c r="L6897" s="15" t="n">
        <f aca="false">YEAR(B6897)</f>
        <v>2025</v>
      </c>
      <c r="M6897" s="20" t="n">
        <f aca="false">IF(J6897&gt;0,K6897/J6897,0)</f>
        <v>0.261229819273433</v>
      </c>
    </row>
    <row r="6898" customFormat="false" ht="15" hidden="false" customHeight="false" outlineLevel="0" collapsed="false">
      <c r="A6898" s="15" t="s">
        <v>6955</v>
      </c>
      <c r="B6898" s="16" t="n">
        <v>45278</v>
      </c>
      <c r="C6898" s="15" t="s">
        <v>56</v>
      </c>
      <c r="D6898" s="15" t="s">
        <v>42</v>
      </c>
      <c r="E6898" s="15" t="s">
        <v>36</v>
      </c>
      <c r="F6898" s="15" t="s">
        <v>17</v>
      </c>
      <c r="G6898" s="15" t="s">
        <v>29</v>
      </c>
      <c r="H6898" s="15" t="n">
        <v>5</v>
      </c>
      <c r="I6898" s="17" t="n">
        <v>0</v>
      </c>
      <c r="J6898" s="18" t="n">
        <v>79.19</v>
      </c>
      <c r="K6898" s="19" t="n">
        <v>26.37</v>
      </c>
      <c r="L6898" s="15" t="n">
        <f aca="false">YEAR(B6898)</f>
        <v>2023</v>
      </c>
      <c r="M6898" s="20" t="n">
        <f aca="false">IF(J6898&gt;0,K6898/J6898,0)</f>
        <v>0.332996590478596</v>
      </c>
    </row>
    <row r="6899" customFormat="false" ht="15" hidden="false" customHeight="false" outlineLevel="0" collapsed="false">
      <c r="A6899" s="15" t="s">
        <v>6956</v>
      </c>
      <c r="B6899" s="16" t="n">
        <v>44834</v>
      </c>
      <c r="C6899" s="15" t="s">
        <v>68</v>
      </c>
      <c r="D6899" s="15" t="s">
        <v>44</v>
      </c>
      <c r="E6899" s="15" t="s">
        <v>36</v>
      </c>
      <c r="F6899" s="15" t="s">
        <v>17</v>
      </c>
      <c r="G6899" s="15" t="s">
        <v>29</v>
      </c>
      <c r="H6899" s="15" t="n">
        <v>6</v>
      </c>
      <c r="I6899" s="17" t="n">
        <v>0.2</v>
      </c>
      <c r="J6899" s="18" t="n">
        <v>64.61</v>
      </c>
      <c r="K6899" s="19" t="n">
        <v>20.7</v>
      </c>
      <c r="L6899" s="15" t="n">
        <f aca="false">YEAR(B6899)</f>
        <v>2022</v>
      </c>
      <c r="M6899" s="20" t="n">
        <f aca="false">IF(J6899&gt;0,K6899/J6899,0)</f>
        <v>0.320383841510602</v>
      </c>
    </row>
    <row r="6900" customFormat="false" ht="15" hidden="false" customHeight="false" outlineLevel="0" collapsed="false">
      <c r="A6900" s="15" t="s">
        <v>6957</v>
      </c>
      <c r="B6900" s="16" t="n">
        <v>45330</v>
      </c>
      <c r="C6900" s="15" t="s">
        <v>56</v>
      </c>
      <c r="D6900" s="15" t="s">
        <v>43</v>
      </c>
      <c r="E6900" s="15" t="s">
        <v>37</v>
      </c>
      <c r="F6900" s="15" t="s">
        <v>17</v>
      </c>
      <c r="G6900" s="15" t="s">
        <v>31</v>
      </c>
      <c r="H6900" s="15" t="n">
        <v>1</v>
      </c>
      <c r="I6900" s="17" t="n">
        <v>0.1</v>
      </c>
      <c r="J6900" s="18" t="n">
        <v>142.75</v>
      </c>
      <c r="K6900" s="19" t="n">
        <v>15.18</v>
      </c>
      <c r="L6900" s="15" t="n">
        <f aca="false">YEAR(B6900)</f>
        <v>2024</v>
      </c>
      <c r="M6900" s="20" t="n">
        <f aca="false">IF(J6900&gt;0,K6900/J6900,0)</f>
        <v>0.106339754816112</v>
      </c>
    </row>
    <row r="6901" customFormat="false" ht="15" hidden="false" customHeight="false" outlineLevel="0" collapsed="false">
      <c r="A6901" s="15" t="s">
        <v>6958</v>
      </c>
      <c r="B6901" s="16" t="n">
        <v>44883</v>
      </c>
      <c r="C6901" s="15" t="s">
        <v>71</v>
      </c>
      <c r="D6901" s="15" t="s">
        <v>44</v>
      </c>
      <c r="E6901" s="15" t="s">
        <v>38</v>
      </c>
      <c r="F6901" s="15" t="s">
        <v>17</v>
      </c>
      <c r="G6901" s="15" t="s">
        <v>28</v>
      </c>
      <c r="H6901" s="15" t="n">
        <v>3</v>
      </c>
      <c r="I6901" s="17" t="n">
        <v>0.05</v>
      </c>
      <c r="J6901" s="18" t="n">
        <v>81.21</v>
      </c>
      <c r="K6901" s="19" t="n">
        <v>15.19</v>
      </c>
      <c r="L6901" s="15" t="n">
        <f aca="false">YEAR(B6901)</f>
        <v>2022</v>
      </c>
      <c r="M6901" s="20" t="n">
        <f aca="false">IF(J6901&gt;0,K6901/J6901,0)</f>
        <v>0.18704593030415</v>
      </c>
    </row>
    <row r="6902" customFormat="false" ht="15" hidden="false" customHeight="false" outlineLevel="0" collapsed="false">
      <c r="A6902" s="15" t="s">
        <v>6959</v>
      </c>
      <c r="B6902" s="16" t="n">
        <v>45937</v>
      </c>
      <c r="C6902" s="15" t="s">
        <v>68</v>
      </c>
      <c r="D6902" s="15" t="s">
        <v>42</v>
      </c>
      <c r="E6902" s="15" t="s">
        <v>37</v>
      </c>
      <c r="F6902" s="15" t="s">
        <v>18</v>
      </c>
      <c r="G6902" s="15" t="s">
        <v>30</v>
      </c>
      <c r="H6902" s="15" t="n">
        <v>2</v>
      </c>
      <c r="I6902" s="17" t="n">
        <v>0</v>
      </c>
      <c r="J6902" s="18" t="n">
        <v>85.46</v>
      </c>
      <c r="K6902" s="19" t="n">
        <v>30.11</v>
      </c>
      <c r="L6902" s="15" t="n">
        <f aca="false">YEAR(B6902)</f>
        <v>2025</v>
      </c>
      <c r="M6902" s="20" t="n">
        <f aca="false">IF(J6902&gt;0,K6902/J6902,0)</f>
        <v>0.352328574771823</v>
      </c>
    </row>
    <row r="6903" customFormat="false" ht="15" hidden="false" customHeight="false" outlineLevel="0" collapsed="false">
      <c r="A6903" s="15" t="s">
        <v>6960</v>
      </c>
      <c r="B6903" s="16" t="n">
        <v>45547</v>
      </c>
      <c r="C6903" s="15" t="s">
        <v>56</v>
      </c>
      <c r="D6903" s="15" t="s">
        <v>42</v>
      </c>
      <c r="E6903" s="15" t="s">
        <v>39</v>
      </c>
      <c r="F6903" s="15" t="s">
        <v>17</v>
      </c>
      <c r="G6903" s="15" t="s">
        <v>26</v>
      </c>
      <c r="H6903" s="15" t="n">
        <v>3</v>
      </c>
      <c r="I6903" s="17" t="n">
        <v>0.1</v>
      </c>
      <c r="J6903" s="18" t="n">
        <v>295.47</v>
      </c>
      <c r="K6903" s="19" t="n">
        <v>24.09</v>
      </c>
      <c r="L6903" s="15" t="n">
        <f aca="false">YEAR(B6903)</f>
        <v>2024</v>
      </c>
      <c r="M6903" s="20" t="n">
        <f aca="false">IF(J6903&gt;0,K6903/J6903,0)</f>
        <v>0.0815311199106508</v>
      </c>
    </row>
    <row r="6904" customFormat="false" ht="15" hidden="false" customHeight="false" outlineLevel="0" collapsed="false">
      <c r="A6904" s="15" t="s">
        <v>6961</v>
      </c>
      <c r="B6904" s="16" t="n">
        <v>45736</v>
      </c>
      <c r="C6904" s="15" t="s">
        <v>71</v>
      </c>
      <c r="D6904" s="15" t="s">
        <v>44</v>
      </c>
      <c r="E6904" s="15" t="s">
        <v>38</v>
      </c>
      <c r="F6904" s="15" t="s">
        <v>16</v>
      </c>
      <c r="G6904" s="15" t="s">
        <v>22</v>
      </c>
      <c r="H6904" s="15" t="n">
        <v>2</v>
      </c>
      <c r="I6904" s="17" t="n">
        <v>0.2</v>
      </c>
      <c r="J6904" s="18" t="n">
        <v>822.96</v>
      </c>
      <c r="K6904" s="19" t="n">
        <v>-190.14</v>
      </c>
      <c r="L6904" s="15" t="n">
        <f aca="false">YEAR(B6904)</f>
        <v>2025</v>
      </c>
      <c r="M6904" s="20" t="n">
        <f aca="false">IF(J6904&gt;0,K6904/J6904,0)</f>
        <v>-0.231044036162146</v>
      </c>
    </row>
    <row r="6905" customFormat="false" ht="15" hidden="false" customHeight="false" outlineLevel="0" collapsed="false">
      <c r="A6905" s="15" t="s">
        <v>6962</v>
      </c>
      <c r="B6905" s="16" t="n">
        <v>44921</v>
      </c>
      <c r="C6905" s="15" t="s">
        <v>71</v>
      </c>
      <c r="D6905" s="15" t="s">
        <v>44</v>
      </c>
      <c r="E6905" s="15" t="s">
        <v>39</v>
      </c>
      <c r="F6905" s="15" t="s">
        <v>17</v>
      </c>
      <c r="G6905" s="15" t="s">
        <v>26</v>
      </c>
      <c r="H6905" s="15" t="n">
        <v>1</v>
      </c>
      <c r="I6905" s="17" t="n">
        <v>0.2</v>
      </c>
      <c r="J6905" s="18" t="n">
        <v>76.22</v>
      </c>
      <c r="K6905" s="19" t="n">
        <v>-6.21</v>
      </c>
      <c r="L6905" s="15" t="n">
        <f aca="false">YEAR(B6905)</f>
        <v>2022</v>
      </c>
      <c r="M6905" s="20" t="n">
        <f aca="false">IF(J6905&gt;0,K6905/J6905,0)</f>
        <v>-0.0814746785620572</v>
      </c>
    </row>
    <row r="6906" customFormat="false" ht="15" hidden="false" customHeight="false" outlineLevel="0" collapsed="false">
      <c r="A6906" s="15" t="s">
        <v>6963</v>
      </c>
      <c r="B6906" s="16" t="n">
        <v>44803</v>
      </c>
      <c r="C6906" s="15" t="s">
        <v>71</v>
      </c>
      <c r="D6906" s="15" t="s">
        <v>44</v>
      </c>
      <c r="E6906" s="15" t="s">
        <v>39</v>
      </c>
      <c r="F6906" s="15" t="s">
        <v>17</v>
      </c>
      <c r="G6906" s="15" t="s">
        <v>31</v>
      </c>
      <c r="H6906" s="15" t="n">
        <v>1</v>
      </c>
      <c r="I6906" s="17" t="n">
        <v>0</v>
      </c>
      <c r="J6906" s="18" t="n">
        <v>125.01</v>
      </c>
      <c r="K6906" s="19" t="n">
        <v>26.65</v>
      </c>
      <c r="L6906" s="15" t="n">
        <f aca="false">YEAR(B6906)</f>
        <v>2022</v>
      </c>
      <c r="M6906" s="20" t="n">
        <f aca="false">IF(J6906&gt;0,K6906/J6906,0)</f>
        <v>0.213182945364371</v>
      </c>
    </row>
    <row r="6907" customFormat="false" ht="15" hidden="false" customHeight="false" outlineLevel="0" collapsed="false">
      <c r="A6907" s="15" t="s">
        <v>6964</v>
      </c>
      <c r="B6907" s="16" t="n">
        <v>44598</v>
      </c>
      <c r="C6907" s="15" t="s">
        <v>68</v>
      </c>
      <c r="D6907" s="15" t="s">
        <v>44</v>
      </c>
      <c r="E6907" s="15" t="s">
        <v>38</v>
      </c>
      <c r="F6907" s="15" t="s">
        <v>16</v>
      </c>
      <c r="G6907" s="15" t="s">
        <v>25</v>
      </c>
      <c r="H6907" s="15" t="n">
        <v>3</v>
      </c>
      <c r="I6907" s="17" t="n">
        <v>0</v>
      </c>
      <c r="J6907" s="18" t="n">
        <v>721.44</v>
      </c>
      <c r="K6907" s="19" t="n">
        <v>68.78</v>
      </c>
      <c r="L6907" s="15" t="n">
        <f aca="false">YEAR(B6907)</f>
        <v>2022</v>
      </c>
      <c r="M6907" s="20" t="n">
        <f aca="false">IF(J6907&gt;0,K6907/J6907,0)</f>
        <v>0.0953371035706365</v>
      </c>
    </row>
    <row r="6908" customFormat="false" ht="15" hidden="false" customHeight="false" outlineLevel="0" collapsed="false">
      <c r="A6908" s="15" t="s">
        <v>6965</v>
      </c>
      <c r="B6908" s="16" t="n">
        <v>44864</v>
      </c>
      <c r="C6908" s="15" t="s">
        <v>68</v>
      </c>
      <c r="D6908" s="15" t="s">
        <v>44</v>
      </c>
      <c r="E6908" s="15" t="s">
        <v>39</v>
      </c>
      <c r="F6908" s="15" t="s">
        <v>18</v>
      </c>
      <c r="G6908" s="15" t="s">
        <v>30</v>
      </c>
      <c r="H6908" s="15" t="n">
        <v>4</v>
      </c>
      <c r="I6908" s="17" t="n">
        <v>0</v>
      </c>
      <c r="J6908" s="18" t="n">
        <v>213.22</v>
      </c>
      <c r="K6908" s="19" t="n">
        <v>74.47</v>
      </c>
      <c r="L6908" s="15" t="n">
        <f aca="false">YEAR(B6908)</f>
        <v>2022</v>
      </c>
      <c r="M6908" s="20" t="n">
        <f aca="false">IF(J6908&gt;0,K6908/J6908,0)</f>
        <v>0.349263671325392</v>
      </c>
    </row>
    <row r="6909" customFormat="false" ht="15" hidden="false" customHeight="false" outlineLevel="0" collapsed="false">
      <c r="A6909" s="15" t="s">
        <v>6966</v>
      </c>
      <c r="B6909" s="16" t="n">
        <v>45859</v>
      </c>
      <c r="C6909" s="15" t="s">
        <v>56</v>
      </c>
      <c r="D6909" s="15" t="s">
        <v>42</v>
      </c>
      <c r="E6909" s="15" t="s">
        <v>37</v>
      </c>
      <c r="F6909" s="15" t="s">
        <v>18</v>
      </c>
      <c r="G6909" s="15" t="s">
        <v>30</v>
      </c>
      <c r="H6909" s="15" t="n">
        <v>1</v>
      </c>
      <c r="I6909" s="17" t="n">
        <v>0</v>
      </c>
      <c r="J6909" s="18" t="n">
        <v>46.74</v>
      </c>
      <c r="K6909" s="19" t="n">
        <v>15.33</v>
      </c>
      <c r="L6909" s="15" t="n">
        <f aca="false">YEAR(B6909)</f>
        <v>2025</v>
      </c>
      <c r="M6909" s="20" t="n">
        <f aca="false">IF(J6909&gt;0,K6909/J6909,0)</f>
        <v>0.32798459563543</v>
      </c>
    </row>
    <row r="6910" customFormat="false" ht="15" hidden="false" customHeight="false" outlineLevel="0" collapsed="false">
      <c r="A6910" s="15" t="s">
        <v>6967</v>
      </c>
      <c r="B6910" s="16" t="n">
        <v>45389</v>
      </c>
      <c r="C6910" s="15" t="s">
        <v>56</v>
      </c>
      <c r="D6910" s="15" t="s">
        <v>42</v>
      </c>
      <c r="E6910" s="15" t="s">
        <v>39</v>
      </c>
      <c r="F6910" s="15" t="s">
        <v>17</v>
      </c>
      <c r="G6910" s="15" t="s">
        <v>29</v>
      </c>
      <c r="H6910" s="15" t="n">
        <v>3</v>
      </c>
      <c r="I6910" s="17" t="n">
        <v>0</v>
      </c>
      <c r="J6910" s="18" t="n">
        <v>58.98</v>
      </c>
      <c r="K6910" s="19" t="n">
        <v>21.87</v>
      </c>
      <c r="L6910" s="15" t="n">
        <f aca="false">YEAR(B6910)</f>
        <v>2024</v>
      </c>
      <c r="M6910" s="20" t="n">
        <f aca="false">IF(J6910&gt;0,K6910/J6910,0)</f>
        <v>0.370803662258393</v>
      </c>
    </row>
    <row r="6911" customFormat="false" ht="15" hidden="false" customHeight="false" outlineLevel="0" collapsed="false">
      <c r="A6911" s="15" t="s">
        <v>6968</v>
      </c>
      <c r="B6911" s="16" t="n">
        <v>44777</v>
      </c>
      <c r="C6911" s="15" t="s">
        <v>56</v>
      </c>
      <c r="D6911" s="15" t="s">
        <v>42</v>
      </c>
      <c r="E6911" s="15" t="s">
        <v>36</v>
      </c>
      <c r="F6911" s="15" t="s">
        <v>17</v>
      </c>
      <c r="G6911" s="15" t="s">
        <v>28</v>
      </c>
      <c r="H6911" s="15" t="n">
        <v>2</v>
      </c>
      <c r="I6911" s="17" t="n">
        <v>0</v>
      </c>
      <c r="J6911" s="18" t="n">
        <v>56.09</v>
      </c>
      <c r="K6911" s="19" t="n">
        <v>15.29</v>
      </c>
      <c r="L6911" s="15" t="n">
        <f aca="false">YEAR(B6911)</f>
        <v>2022</v>
      </c>
      <c r="M6911" s="20" t="n">
        <f aca="false">IF(J6911&gt;0,K6911/J6911,0)</f>
        <v>0.27259761098235</v>
      </c>
    </row>
    <row r="6912" customFormat="false" ht="15" hidden="false" customHeight="false" outlineLevel="0" collapsed="false">
      <c r="A6912" s="15" t="s">
        <v>6969</v>
      </c>
      <c r="B6912" s="16" t="n">
        <v>45117</v>
      </c>
      <c r="C6912" s="15" t="s">
        <v>56</v>
      </c>
      <c r="D6912" s="15" t="s">
        <v>43</v>
      </c>
      <c r="E6912" s="15" t="s">
        <v>36</v>
      </c>
      <c r="F6912" s="15" t="s">
        <v>18</v>
      </c>
      <c r="G6912" s="15" t="s">
        <v>30</v>
      </c>
      <c r="H6912" s="15" t="n">
        <v>2</v>
      </c>
      <c r="I6912" s="17" t="n">
        <v>0</v>
      </c>
      <c r="J6912" s="18" t="n">
        <v>90.04</v>
      </c>
      <c r="K6912" s="19" t="n">
        <v>22.62</v>
      </c>
      <c r="L6912" s="15" t="n">
        <f aca="false">YEAR(B6912)</f>
        <v>2023</v>
      </c>
      <c r="M6912" s="20" t="n">
        <f aca="false">IF(J6912&gt;0,K6912/J6912,0)</f>
        <v>0.251221679253665</v>
      </c>
    </row>
    <row r="6913" customFormat="false" ht="15" hidden="false" customHeight="false" outlineLevel="0" collapsed="false">
      <c r="A6913" s="15" t="s">
        <v>6970</v>
      </c>
      <c r="B6913" s="16" t="n">
        <v>44956</v>
      </c>
      <c r="C6913" s="15" t="s">
        <v>56</v>
      </c>
      <c r="D6913" s="15" t="s">
        <v>42</v>
      </c>
      <c r="E6913" s="15" t="s">
        <v>39</v>
      </c>
      <c r="F6913" s="15" t="s">
        <v>16</v>
      </c>
      <c r="G6913" s="15" t="s">
        <v>27</v>
      </c>
      <c r="H6913" s="15" t="n">
        <v>3</v>
      </c>
      <c r="I6913" s="17" t="n">
        <v>0.5</v>
      </c>
      <c r="J6913" s="18" t="n">
        <v>96</v>
      </c>
      <c r="K6913" s="19" t="n">
        <v>-26.26</v>
      </c>
      <c r="L6913" s="15" t="n">
        <f aca="false">YEAR(B6913)</f>
        <v>2023</v>
      </c>
      <c r="M6913" s="20" t="n">
        <f aca="false">IF(J6913&gt;0,K6913/J6913,0)</f>
        <v>-0.273541666666667</v>
      </c>
    </row>
    <row r="6914" customFormat="false" ht="15" hidden="false" customHeight="false" outlineLevel="0" collapsed="false">
      <c r="A6914" s="15" t="s">
        <v>6971</v>
      </c>
      <c r="B6914" s="16" t="n">
        <v>45545</v>
      </c>
      <c r="C6914" s="15" t="s">
        <v>56</v>
      </c>
      <c r="D6914" s="15" t="s">
        <v>43</v>
      </c>
      <c r="E6914" s="15" t="s">
        <v>39</v>
      </c>
      <c r="F6914" s="15" t="s">
        <v>18</v>
      </c>
      <c r="G6914" s="15" t="s">
        <v>33</v>
      </c>
      <c r="H6914" s="15" t="n">
        <v>5</v>
      </c>
      <c r="I6914" s="17" t="n">
        <v>0</v>
      </c>
      <c r="J6914" s="18" t="n">
        <v>5534.07</v>
      </c>
      <c r="K6914" s="19" t="n">
        <v>1683.41</v>
      </c>
      <c r="L6914" s="15" t="n">
        <f aca="false">YEAR(B6914)</f>
        <v>2024</v>
      </c>
      <c r="M6914" s="20" t="n">
        <f aca="false">IF(J6914&gt;0,K6914/J6914,0)</f>
        <v>0.304190225277237</v>
      </c>
    </row>
    <row r="6915" customFormat="false" ht="15" hidden="false" customHeight="false" outlineLevel="0" collapsed="false">
      <c r="A6915" s="15" t="s">
        <v>6972</v>
      </c>
      <c r="B6915" s="16" t="n">
        <v>45375</v>
      </c>
      <c r="C6915" s="15" t="s">
        <v>56</v>
      </c>
      <c r="D6915" s="15" t="s">
        <v>42</v>
      </c>
      <c r="E6915" s="15" t="s">
        <v>36</v>
      </c>
      <c r="F6915" s="15" t="s">
        <v>17</v>
      </c>
      <c r="G6915" s="15" t="s">
        <v>29</v>
      </c>
      <c r="H6915" s="15" t="n">
        <v>2</v>
      </c>
      <c r="I6915" s="17" t="n">
        <v>0.4</v>
      </c>
      <c r="J6915" s="18" t="n">
        <v>17.85</v>
      </c>
      <c r="K6915" s="19" t="n">
        <v>0.19</v>
      </c>
      <c r="L6915" s="15" t="n">
        <f aca="false">YEAR(B6915)</f>
        <v>2024</v>
      </c>
      <c r="M6915" s="20" t="n">
        <f aca="false">IF(J6915&gt;0,K6915/J6915,0)</f>
        <v>0.0106442577030812</v>
      </c>
    </row>
    <row r="6916" customFormat="false" ht="15" hidden="false" customHeight="false" outlineLevel="0" collapsed="false">
      <c r="A6916" s="15" t="s">
        <v>6973</v>
      </c>
      <c r="B6916" s="16" t="n">
        <v>45589</v>
      </c>
      <c r="C6916" s="15" t="s">
        <v>71</v>
      </c>
      <c r="D6916" s="15" t="s">
        <v>42</v>
      </c>
      <c r="E6916" s="15" t="s">
        <v>39</v>
      </c>
      <c r="F6916" s="15" t="s">
        <v>17</v>
      </c>
      <c r="G6916" s="15" t="s">
        <v>26</v>
      </c>
      <c r="H6916" s="15" t="n">
        <v>3</v>
      </c>
      <c r="I6916" s="17" t="n">
        <v>0</v>
      </c>
      <c r="J6916" s="18" t="n">
        <v>263.94</v>
      </c>
      <c r="K6916" s="19" t="n">
        <v>25.89</v>
      </c>
      <c r="L6916" s="15" t="n">
        <f aca="false">YEAR(B6916)</f>
        <v>2024</v>
      </c>
      <c r="M6916" s="20" t="n">
        <f aca="false">IF(J6916&gt;0,K6916/J6916,0)</f>
        <v>0.0980904751079791</v>
      </c>
    </row>
    <row r="6917" customFormat="false" ht="15" hidden="false" customHeight="false" outlineLevel="0" collapsed="false">
      <c r="A6917" s="15" t="s">
        <v>6974</v>
      </c>
      <c r="B6917" s="16" t="n">
        <v>45686</v>
      </c>
      <c r="C6917" s="15" t="s">
        <v>68</v>
      </c>
      <c r="D6917" s="15" t="s">
        <v>43</v>
      </c>
      <c r="E6917" s="15" t="s">
        <v>37</v>
      </c>
      <c r="F6917" s="15" t="s">
        <v>17</v>
      </c>
      <c r="G6917" s="15" t="s">
        <v>29</v>
      </c>
      <c r="H6917" s="15" t="n">
        <v>4</v>
      </c>
      <c r="I6917" s="17" t="n">
        <v>0.05</v>
      </c>
      <c r="J6917" s="18" t="n">
        <v>65.58</v>
      </c>
      <c r="K6917" s="19" t="n">
        <v>20.79</v>
      </c>
      <c r="L6917" s="15" t="n">
        <f aca="false">YEAR(B6917)</f>
        <v>2025</v>
      </c>
      <c r="M6917" s="20" t="n">
        <f aca="false">IF(J6917&gt;0,K6917/J6917,0)</f>
        <v>0.317017383348582</v>
      </c>
    </row>
    <row r="6918" customFormat="false" ht="15" hidden="false" customHeight="false" outlineLevel="0" collapsed="false">
      <c r="A6918" s="15" t="s">
        <v>6975</v>
      </c>
      <c r="B6918" s="16" t="n">
        <v>45648</v>
      </c>
      <c r="C6918" s="15" t="s">
        <v>56</v>
      </c>
      <c r="D6918" s="15" t="s">
        <v>43</v>
      </c>
      <c r="E6918" s="15" t="s">
        <v>37</v>
      </c>
      <c r="F6918" s="15" t="s">
        <v>17</v>
      </c>
      <c r="G6918" s="15" t="s">
        <v>26</v>
      </c>
      <c r="H6918" s="15" t="n">
        <v>3</v>
      </c>
      <c r="I6918" s="17" t="n">
        <v>0.1</v>
      </c>
      <c r="J6918" s="18" t="n">
        <v>278.28</v>
      </c>
      <c r="K6918" s="19" t="n">
        <v>9.91</v>
      </c>
      <c r="L6918" s="15" t="n">
        <f aca="false">YEAR(B6918)</f>
        <v>2024</v>
      </c>
      <c r="M6918" s="20" t="n">
        <f aca="false">IF(J6918&gt;0,K6918/J6918,0)</f>
        <v>0.0356116142015237</v>
      </c>
    </row>
    <row r="6919" customFormat="false" ht="15" hidden="false" customHeight="false" outlineLevel="0" collapsed="false">
      <c r="A6919" s="15" t="s">
        <v>6976</v>
      </c>
      <c r="B6919" s="16" t="n">
        <v>45284</v>
      </c>
      <c r="C6919" s="15" t="s">
        <v>71</v>
      </c>
      <c r="D6919" s="15" t="s">
        <v>43</v>
      </c>
      <c r="E6919" s="15" t="s">
        <v>38</v>
      </c>
      <c r="F6919" s="15" t="s">
        <v>18</v>
      </c>
      <c r="G6919" s="15" t="s">
        <v>33</v>
      </c>
      <c r="H6919" s="15" t="n">
        <v>6</v>
      </c>
      <c r="I6919" s="17" t="n">
        <v>0.1</v>
      </c>
      <c r="J6919" s="18" t="n">
        <v>5536.71</v>
      </c>
      <c r="K6919" s="19" t="n">
        <v>625.52</v>
      </c>
      <c r="L6919" s="15" t="n">
        <f aca="false">YEAR(B6919)</f>
        <v>2023</v>
      </c>
      <c r="M6919" s="20" t="n">
        <f aca="false">IF(J6919&gt;0,K6919/J6919,0)</f>
        <v>0.112976840036773</v>
      </c>
    </row>
    <row r="6920" customFormat="false" ht="15" hidden="false" customHeight="false" outlineLevel="0" collapsed="false">
      <c r="A6920" s="15" t="s">
        <v>6977</v>
      </c>
      <c r="B6920" s="16" t="n">
        <v>45541</v>
      </c>
      <c r="C6920" s="15" t="s">
        <v>56</v>
      </c>
      <c r="D6920" s="15" t="s">
        <v>43</v>
      </c>
      <c r="E6920" s="15" t="s">
        <v>37</v>
      </c>
      <c r="F6920" s="15" t="s">
        <v>17</v>
      </c>
      <c r="G6920" s="15" t="s">
        <v>29</v>
      </c>
      <c r="H6920" s="15" t="n">
        <v>3</v>
      </c>
      <c r="I6920" s="17" t="n">
        <v>0</v>
      </c>
      <c r="J6920" s="18" t="n">
        <v>58.81</v>
      </c>
      <c r="K6920" s="19" t="n">
        <v>20.82</v>
      </c>
      <c r="L6920" s="15" t="n">
        <f aca="false">YEAR(B6920)</f>
        <v>2024</v>
      </c>
      <c r="M6920" s="20" t="n">
        <f aca="false">IF(J6920&gt;0,K6920/J6920,0)</f>
        <v>0.354021424927733</v>
      </c>
    </row>
    <row r="6921" customFormat="false" ht="15" hidden="false" customHeight="false" outlineLevel="0" collapsed="false">
      <c r="A6921" s="15" t="s">
        <v>6978</v>
      </c>
      <c r="B6921" s="16" t="n">
        <v>45956</v>
      </c>
      <c r="C6921" s="15" t="s">
        <v>58</v>
      </c>
      <c r="D6921" s="15" t="s">
        <v>42</v>
      </c>
      <c r="E6921" s="15" t="s">
        <v>37</v>
      </c>
      <c r="F6921" s="15" t="s">
        <v>18</v>
      </c>
      <c r="G6921" s="15" t="s">
        <v>33</v>
      </c>
      <c r="H6921" s="15" t="n">
        <v>3</v>
      </c>
      <c r="I6921" s="17" t="n">
        <v>0.15</v>
      </c>
      <c r="J6921" s="18" t="n">
        <v>2743.59</v>
      </c>
      <c r="K6921" s="19" t="n">
        <v>342.18</v>
      </c>
      <c r="L6921" s="15" t="n">
        <f aca="false">YEAR(B6921)</f>
        <v>2025</v>
      </c>
      <c r="M6921" s="20" t="n">
        <f aca="false">IF(J6921&gt;0,K6921/J6921,0)</f>
        <v>0.124719801428056</v>
      </c>
    </row>
    <row r="6922" customFormat="false" ht="15" hidden="false" customHeight="false" outlineLevel="0" collapsed="false">
      <c r="A6922" s="15" t="s">
        <v>6979</v>
      </c>
      <c r="B6922" s="16" t="n">
        <v>45194</v>
      </c>
      <c r="C6922" s="15" t="s">
        <v>71</v>
      </c>
      <c r="D6922" s="15" t="s">
        <v>43</v>
      </c>
      <c r="E6922" s="15" t="s">
        <v>36</v>
      </c>
      <c r="F6922" s="15" t="s">
        <v>16</v>
      </c>
      <c r="G6922" s="15" t="s">
        <v>27</v>
      </c>
      <c r="H6922" s="15" t="n">
        <v>5</v>
      </c>
      <c r="I6922" s="17" t="n">
        <v>0.1</v>
      </c>
      <c r="J6922" s="18" t="n">
        <v>248.75</v>
      </c>
      <c r="K6922" s="19" t="n">
        <v>36.95</v>
      </c>
      <c r="L6922" s="15" t="n">
        <f aca="false">YEAR(B6922)</f>
        <v>2023</v>
      </c>
      <c r="M6922" s="20" t="n">
        <f aca="false">IF(J6922&gt;0,K6922/J6922,0)</f>
        <v>0.148542713567839</v>
      </c>
    </row>
    <row r="6923" customFormat="false" ht="15" hidden="false" customHeight="false" outlineLevel="0" collapsed="false">
      <c r="A6923" s="15" t="s">
        <v>6980</v>
      </c>
      <c r="B6923" s="16" t="n">
        <v>45693</v>
      </c>
      <c r="C6923" s="15" t="s">
        <v>56</v>
      </c>
      <c r="D6923" s="15" t="s">
        <v>44</v>
      </c>
      <c r="E6923" s="15" t="s">
        <v>36</v>
      </c>
      <c r="F6923" s="15" t="s">
        <v>16</v>
      </c>
      <c r="G6923" s="15" t="s">
        <v>25</v>
      </c>
      <c r="H6923" s="15" t="n">
        <v>7</v>
      </c>
      <c r="I6923" s="17" t="n">
        <v>0</v>
      </c>
      <c r="J6923" s="18" t="n">
        <v>1919.12</v>
      </c>
      <c r="K6923" s="19" t="n">
        <v>193.11</v>
      </c>
      <c r="L6923" s="15" t="n">
        <f aca="false">YEAR(B6923)</f>
        <v>2025</v>
      </c>
      <c r="M6923" s="20" t="n">
        <f aca="false">IF(J6923&gt;0,K6923/J6923,0)</f>
        <v>0.100624244445371</v>
      </c>
    </row>
    <row r="6924" customFormat="false" ht="15" hidden="false" customHeight="false" outlineLevel="0" collapsed="false">
      <c r="A6924" s="15" t="s">
        <v>6981</v>
      </c>
      <c r="B6924" s="16" t="n">
        <v>45707</v>
      </c>
      <c r="C6924" s="15" t="s">
        <v>56</v>
      </c>
      <c r="D6924" s="15" t="s">
        <v>42</v>
      </c>
      <c r="E6924" s="15" t="s">
        <v>38</v>
      </c>
      <c r="F6924" s="15" t="s">
        <v>16</v>
      </c>
      <c r="G6924" s="15" t="s">
        <v>27</v>
      </c>
      <c r="H6924" s="15" t="n">
        <v>8</v>
      </c>
      <c r="I6924" s="17" t="n">
        <v>0</v>
      </c>
      <c r="J6924" s="18" t="n">
        <v>311.38</v>
      </c>
      <c r="K6924" s="19" t="n">
        <v>65.15</v>
      </c>
      <c r="L6924" s="15" t="n">
        <f aca="false">YEAR(B6924)</f>
        <v>2025</v>
      </c>
      <c r="M6924" s="20" t="n">
        <f aca="false">IF(J6924&gt;0,K6924/J6924,0)</f>
        <v>0.209229879889524</v>
      </c>
    </row>
    <row r="6925" customFormat="false" ht="15" hidden="false" customHeight="false" outlineLevel="0" collapsed="false">
      <c r="A6925" s="15" t="s">
        <v>6982</v>
      </c>
      <c r="B6925" s="16" t="n">
        <v>45949</v>
      </c>
      <c r="C6925" s="15" t="s">
        <v>68</v>
      </c>
      <c r="D6925" s="15" t="s">
        <v>43</v>
      </c>
      <c r="E6925" s="15" t="s">
        <v>36</v>
      </c>
      <c r="F6925" s="15" t="s">
        <v>18</v>
      </c>
      <c r="G6925" s="15" t="s">
        <v>32</v>
      </c>
      <c r="H6925" s="15" t="n">
        <v>7</v>
      </c>
      <c r="I6925" s="17" t="n">
        <v>0.4</v>
      </c>
      <c r="J6925" s="18" t="n">
        <v>1547.88</v>
      </c>
      <c r="K6925" s="19" t="n">
        <v>-367.98</v>
      </c>
      <c r="L6925" s="15" t="n">
        <f aca="false">YEAR(B6925)</f>
        <v>2025</v>
      </c>
      <c r="M6925" s="20" t="n">
        <f aca="false">IF(J6925&gt;0,K6925/J6925,0)</f>
        <v>-0.237731607101326</v>
      </c>
    </row>
    <row r="6926" customFormat="false" ht="15" hidden="false" customHeight="false" outlineLevel="0" collapsed="false">
      <c r="A6926" s="15" t="s">
        <v>6983</v>
      </c>
      <c r="B6926" s="16" t="n">
        <v>44835</v>
      </c>
      <c r="C6926" s="15" t="s">
        <v>71</v>
      </c>
      <c r="D6926" s="15" t="s">
        <v>44</v>
      </c>
      <c r="E6926" s="15" t="s">
        <v>39</v>
      </c>
      <c r="F6926" s="15" t="s">
        <v>16</v>
      </c>
      <c r="G6926" s="15" t="s">
        <v>25</v>
      </c>
      <c r="H6926" s="15" t="n">
        <v>6</v>
      </c>
      <c r="I6926" s="17" t="n">
        <v>0</v>
      </c>
      <c r="J6926" s="18" t="n">
        <v>2116.54</v>
      </c>
      <c r="K6926" s="19" t="n">
        <v>276.59</v>
      </c>
      <c r="L6926" s="15" t="n">
        <f aca="false">YEAR(B6926)</f>
        <v>2022</v>
      </c>
      <c r="M6926" s="20" t="n">
        <f aca="false">IF(J6926&gt;0,K6926/J6926,0)</f>
        <v>0.130680261180984</v>
      </c>
    </row>
    <row r="6927" customFormat="false" ht="15" hidden="false" customHeight="false" outlineLevel="0" collapsed="false">
      <c r="A6927" s="15" t="s">
        <v>6984</v>
      </c>
      <c r="B6927" s="16" t="n">
        <v>45278</v>
      </c>
      <c r="C6927" s="15" t="s">
        <v>56</v>
      </c>
      <c r="D6927" s="15" t="s">
        <v>42</v>
      </c>
      <c r="E6927" s="15" t="s">
        <v>39</v>
      </c>
      <c r="F6927" s="15" t="s">
        <v>18</v>
      </c>
      <c r="G6927" s="15" t="s">
        <v>30</v>
      </c>
      <c r="H6927" s="15" t="n">
        <v>4</v>
      </c>
      <c r="I6927" s="17" t="n">
        <v>0.1</v>
      </c>
      <c r="J6927" s="18" t="n">
        <v>166.41</v>
      </c>
      <c r="K6927" s="19" t="n">
        <v>43.93</v>
      </c>
      <c r="L6927" s="15" t="n">
        <f aca="false">YEAR(B6927)</f>
        <v>2023</v>
      </c>
      <c r="M6927" s="20" t="n">
        <f aca="false">IF(J6927&gt;0,K6927/J6927,0)</f>
        <v>0.263986539270477</v>
      </c>
    </row>
    <row r="6928" customFormat="false" ht="15" hidden="false" customHeight="false" outlineLevel="0" collapsed="false">
      <c r="A6928" s="15" t="s">
        <v>6985</v>
      </c>
      <c r="B6928" s="16" t="n">
        <v>45978</v>
      </c>
      <c r="C6928" s="15" t="s">
        <v>56</v>
      </c>
      <c r="D6928" s="15" t="s">
        <v>43</v>
      </c>
      <c r="E6928" s="15" t="s">
        <v>37</v>
      </c>
      <c r="F6928" s="15" t="s">
        <v>17</v>
      </c>
      <c r="G6928" s="15" t="s">
        <v>28</v>
      </c>
      <c r="H6928" s="15" t="n">
        <v>3</v>
      </c>
      <c r="I6928" s="17" t="n">
        <v>0.05</v>
      </c>
      <c r="J6928" s="18" t="n">
        <v>68.52</v>
      </c>
      <c r="K6928" s="19" t="n">
        <v>13.91</v>
      </c>
      <c r="L6928" s="15" t="n">
        <f aca="false">YEAR(B6928)</f>
        <v>2025</v>
      </c>
      <c r="M6928" s="20" t="n">
        <f aca="false">IF(J6928&gt;0,K6928/J6928,0)</f>
        <v>0.203006421482779</v>
      </c>
    </row>
    <row r="6929" customFormat="false" ht="15" hidden="false" customHeight="false" outlineLevel="0" collapsed="false">
      <c r="A6929" s="15" t="s">
        <v>6986</v>
      </c>
      <c r="B6929" s="16" t="n">
        <v>45307</v>
      </c>
      <c r="C6929" s="15" t="s">
        <v>56</v>
      </c>
      <c r="D6929" s="15" t="s">
        <v>42</v>
      </c>
      <c r="E6929" s="15" t="s">
        <v>37</v>
      </c>
      <c r="F6929" s="15" t="s">
        <v>18</v>
      </c>
      <c r="G6929" s="15" t="s">
        <v>32</v>
      </c>
      <c r="H6929" s="15" t="n">
        <v>4</v>
      </c>
      <c r="I6929" s="17" t="n">
        <v>0</v>
      </c>
      <c r="J6929" s="18" t="n">
        <v>1697.95</v>
      </c>
      <c r="K6929" s="19" t="n">
        <v>339</v>
      </c>
      <c r="L6929" s="15" t="n">
        <f aca="false">YEAR(B6929)</f>
        <v>2024</v>
      </c>
      <c r="M6929" s="20" t="n">
        <f aca="false">IF(J6929&gt;0,K6929/J6929,0)</f>
        <v>0.199652522159074</v>
      </c>
    </row>
    <row r="6930" customFormat="false" ht="15" hidden="false" customHeight="false" outlineLevel="0" collapsed="false">
      <c r="A6930" s="15" t="s">
        <v>6987</v>
      </c>
      <c r="B6930" s="16" t="n">
        <v>45954</v>
      </c>
      <c r="C6930" s="15" t="s">
        <v>68</v>
      </c>
      <c r="D6930" s="15" t="s">
        <v>42</v>
      </c>
      <c r="E6930" s="15" t="s">
        <v>39</v>
      </c>
      <c r="F6930" s="15" t="s">
        <v>17</v>
      </c>
      <c r="G6930" s="15" t="s">
        <v>26</v>
      </c>
      <c r="H6930" s="15" t="n">
        <v>4</v>
      </c>
      <c r="I6930" s="17" t="n">
        <v>0</v>
      </c>
      <c r="J6930" s="18" t="n">
        <v>469.23</v>
      </c>
      <c r="K6930" s="19" t="n">
        <v>75.95</v>
      </c>
      <c r="L6930" s="15" t="n">
        <f aca="false">YEAR(B6930)</f>
        <v>2025</v>
      </c>
      <c r="M6930" s="20" t="n">
        <f aca="false">IF(J6930&gt;0,K6930/J6930,0)</f>
        <v>0.161860921083477</v>
      </c>
    </row>
    <row r="6931" customFormat="false" ht="15" hidden="false" customHeight="false" outlineLevel="0" collapsed="false">
      <c r="A6931" s="15" t="s">
        <v>6988</v>
      </c>
      <c r="B6931" s="16" t="n">
        <v>45841</v>
      </c>
      <c r="C6931" s="15" t="s">
        <v>56</v>
      </c>
      <c r="D6931" s="15" t="s">
        <v>42</v>
      </c>
      <c r="E6931" s="15" t="s">
        <v>38</v>
      </c>
      <c r="F6931" s="15" t="s">
        <v>17</v>
      </c>
      <c r="G6931" s="15" t="s">
        <v>29</v>
      </c>
      <c r="H6931" s="15" t="n">
        <v>4</v>
      </c>
      <c r="I6931" s="17" t="n">
        <v>0.2</v>
      </c>
      <c r="J6931" s="18" t="n">
        <v>44.8</v>
      </c>
      <c r="K6931" s="19" t="n">
        <v>6.28</v>
      </c>
      <c r="L6931" s="15" t="n">
        <f aca="false">YEAR(B6931)</f>
        <v>2025</v>
      </c>
      <c r="M6931" s="20" t="n">
        <f aca="false">IF(J6931&gt;0,K6931/J6931,0)</f>
        <v>0.140178571428571</v>
      </c>
    </row>
    <row r="6932" customFormat="false" ht="15" hidden="false" customHeight="false" outlineLevel="0" collapsed="false">
      <c r="A6932" s="15" t="s">
        <v>6989</v>
      </c>
      <c r="B6932" s="16" t="n">
        <v>44840</v>
      </c>
      <c r="C6932" s="15" t="s">
        <v>56</v>
      </c>
      <c r="D6932" s="15" t="s">
        <v>43</v>
      </c>
      <c r="E6932" s="15" t="s">
        <v>36</v>
      </c>
      <c r="F6932" s="15" t="s">
        <v>16</v>
      </c>
      <c r="G6932" s="15" t="s">
        <v>27</v>
      </c>
      <c r="H6932" s="15" t="n">
        <v>5</v>
      </c>
      <c r="I6932" s="17" t="n">
        <v>0.3</v>
      </c>
      <c r="J6932" s="18" t="n">
        <v>254.62</v>
      </c>
      <c r="K6932" s="19" t="n">
        <v>-2.04</v>
      </c>
      <c r="L6932" s="15" t="n">
        <f aca="false">YEAR(B6932)</f>
        <v>2022</v>
      </c>
      <c r="M6932" s="20" t="n">
        <f aca="false">IF(J6932&gt;0,K6932/J6932,0)</f>
        <v>-0.00801193936061582</v>
      </c>
    </row>
    <row r="6933" customFormat="false" ht="15" hidden="false" customHeight="false" outlineLevel="0" collapsed="false">
      <c r="A6933" s="15" t="s">
        <v>6990</v>
      </c>
      <c r="B6933" s="16" t="n">
        <v>45024</v>
      </c>
      <c r="C6933" s="15" t="s">
        <v>68</v>
      </c>
      <c r="D6933" s="15" t="s">
        <v>42</v>
      </c>
      <c r="E6933" s="15" t="s">
        <v>37</v>
      </c>
      <c r="F6933" s="15" t="s">
        <v>18</v>
      </c>
      <c r="G6933" s="15" t="s">
        <v>24</v>
      </c>
      <c r="H6933" s="15" t="n">
        <v>3</v>
      </c>
      <c r="I6933" s="17" t="n">
        <v>0</v>
      </c>
      <c r="J6933" s="18" t="n">
        <v>2023.91</v>
      </c>
      <c r="K6933" s="19" t="n">
        <v>5.04</v>
      </c>
      <c r="L6933" s="15" t="n">
        <f aca="false">YEAR(B6933)</f>
        <v>2023</v>
      </c>
      <c r="M6933" s="20" t="n">
        <f aca="false">IF(J6933&gt;0,K6933/J6933,0)</f>
        <v>0.0024902293086155</v>
      </c>
    </row>
    <row r="6934" customFormat="false" ht="15" hidden="false" customHeight="false" outlineLevel="0" collapsed="false">
      <c r="A6934" s="15" t="s">
        <v>6991</v>
      </c>
      <c r="B6934" s="16" t="n">
        <v>45106</v>
      </c>
      <c r="C6934" s="15" t="s">
        <v>56</v>
      </c>
      <c r="D6934" s="15" t="s">
        <v>43</v>
      </c>
      <c r="E6934" s="15" t="s">
        <v>37</v>
      </c>
      <c r="F6934" s="15" t="s">
        <v>17</v>
      </c>
      <c r="G6934" s="15" t="s">
        <v>28</v>
      </c>
      <c r="H6934" s="15" t="n">
        <v>4</v>
      </c>
      <c r="I6934" s="17" t="n">
        <v>0</v>
      </c>
      <c r="J6934" s="18" t="n">
        <v>96.87</v>
      </c>
      <c r="K6934" s="19" t="n">
        <v>36.82</v>
      </c>
      <c r="L6934" s="15" t="n">
        <f aca="false">YEAR(B6934)</f>
        <v>2023</v>
      </c>
      <c r="M6934" s="20" t="n">
        <f aca="false">IF(J6934&gt;0,K6934/J6934,0)</f>
        <v>0.38009703726644</v>
      </c>
    </row>
    <row r="6935" customFormat="false" ht="15" hidden="false" customHeight="false" outlineLevel="0" collapsed="false">
      <c r="A6935" s="15" t="s">
        <v>6992</v>
      </c>
      <c r="B6935" s="16" t="n">
        <v>44637</v>
      </c>
      <c r="C6935" s="15" t="s">
        <v>68</v>
      </c>
      <c r="D6935" s="15" t="s">
        <v>42</v>
      </c>
      <c r="E6935" s="15" t="s">
        <v>39</v>
      </c>
      <c r="F6935" s="15" t="s">
        <v>18</v>
      </c>
      <c r="G6935" s="15" t="s">
        <v>32</v>
      </c>
      <c r="H6935" s="15" t="n">
        <v>3</v>
      </c>
      <c r="I6935" s="17" t="n">
        <v>0</v>
      </c>
      <c r="J6935" s="18" t="n">
        <v>1190.02</v>
      </c>
      <c r="K6935" s="19" t="n">
        <v>302</v>
      </c>
      <c r="L6935" s="15" t="n">
        <f aca="false">YEAR(B6935)</f>
        <v>2022</v>
      </c>
      <c r="M6935" s="20" t="n">
        <f aca="false">IF(J6935&gt;0,K6935/J6935,0)</f>
        <v>0.25377724744122</v>
      </c>
    </row>
    <row r="6936" customFormat="false" ht="15" hidden="false" customHeight="false" outlineLevel="0" collapsed="false">
      <c r="A6936" s="15" t="s">
        <v>6993</v>
      </c>
      <c r="B6936" s="16" t="n">
        <v>45409</v>
      </c>
      <c r="C6936" s="15" t="s">
        <v>71</v>
      </c>
      <c r="D6936" s="15" t="s">
        <v>42</v>
      </c>
      <c r="E6936" s="15" t="s">
        <v>37</v>
      </c>
      <c r="F6936" s="15" t="s">
        <v>17</v>
      </c>
      <c r="G6936" s="15" t="s">
        <v>31</v>
      </c>
      <c r="H6936" s="15" t="n">
        <v>3</v>
      </c>
      <c r="I6936" s="17" t="n">
        <v>0.1</v>
      </c>
      <c r="J6936" s="18" t="n">
        <v>444.74</v>
      </c>
      <c r="K6936" s="19" t="n">
        <v>50.81</v>
      </c>
      <c r="L6936" s="15" t="n">
        <f aca="false">YEAR(B6936)</f>
        <v>2024</v>
      </c>
      <c r="M6936" s="20" t="n">
        <f aca="false">IF(J6936&gt;0,K6936/J6936,0)</f>
        <v>0.11424652606017</v>
      </c>
    </row>
    <row r="6937" customFormat="false" ht="15" hidden="false" customHeight="false" outlineLevel="0" collapsed="false">
      <c r="A6937" s="15" t="s">
        <v>6994</v>
      </c>
      <c r="B6937" s="16" t="n">
        <v>44806</v>
      </c>
      <c r="C6937" s="15" t="s">
        <v>56</v>
      </c>
      <c r="D6937" s="15" t="s">
        <v>42</v>
      </c>
      <c r="E6937" s="15" t="s">
        <v>36</v>
      </c>
      <c r="F6937" s="15" t="s">
        <v>17</v>
      </c>
      <c r="G6937" s="15" t="s">
        <v>31</v>
      </c>
      <c r="H6937" s="15" t="n">
        <v>4</v>
      </c>
      <c r="I6937" s="17" t="n">
        <v>0.2</v>
      </c>
      <c r="J6937" s="18" t="n">
        <v>420.4</v>
      </c>
      <c r="K6937" s="19" t="n">
        <v>-31.87</v>
      </c>
      <c r="L6937" s="15" t="n">
        <f aca="false">YEAR(B6937)</f>
        <v>2022</v>
      </c>
      <c r="M6937" s="20" t="n">
        <f aca="false">IF(J6937&gt;0,K6937/J6937,0)</f>
        <v>-0.0758087535680305</v>
      </c>
    </row>
    <row r="6938" customFormat="false" ht="15" hidden="false" customHeight="false" outlineLevel="0" collapsed="false">
      <c r="A6938" s="15" t="s">
        <v>6995</v>
      </c>
      <c r="B6938" s="16" t="n">
        <v>44839</v>
      </c>
      <c r="C6938" s="15" t="s">
        <v>68</v>
      </c>
      <c r="D6938" s="15" t="s">
        <v>42</v>
      </c>
      <c r="E6938" s="15" t="s">
        <v>39</v>
      </c>
      <c r="F6938" s="15" t="s">
        <v>16</v>
      </c>
      <c r="G6938" s="15" t="s">
        <v>23</v>
      </c>
      <c r="H6938" s="15" t="n">
        <v>4</v>
      </c>
      <c r="I6938" s="17" t="n">
        <v>0.3</v>
      </c>
      <c r="J6938" s="18" t="n">
        <v>775.66</v>
      </c>
      <c r="K6938" s="19" t="n">
        <v>-153.3</v>
      </c>
      <c r="L6938" s="15" t="n">
        <f aca="false">YEAR(B6938)</f>
        <v>2022</v>
      </c>
      <c r="M6938" s="20" t="n">
        <f aca="false">IF(J6938&gt;0,K6938/J6938,0)</f>
        <v>-0.19763814042235</v>
      </c>
    </row>
    <row r="6939" customFormat="false" ht="15" hidden="false" customHeight="false" outlineLevel="0" collapsed="false">
      <c r="A6939" s="15" t="s">
        <v>6996</v>
      </c>
      <c r="B6939" s="16" t="n">
        <v>45740</v>
      </c>
      <c r="C6939" s="15" t="s">
        <v>71</v>
      </c>
      <c r="D6939" s="15" t="s">
        <v>42</v>
      </c>
      <c r="E6939" s="15" t="s">
        <v>39</v>
      </c>
      <c r="F6939" s="15" t="s">
        <v>18</v>
      </c>
      <c r="G6939" s="15" t="s">
        <v>32</v>
      </c>
      <c r="H6939" s="15" t="n">
        <v>6</v>
      </c>
      <c r="I6939" s="17" t="n">
        <v>0</v>
      </c>
      <c r="J6939" s="18" t="n">
        <v>2507.21</v>
      </c>
      <c r="K6939" s="19" t="n">
        <v>192.22</v>
      </c>
      <c r="L6939" s="15" t="n">
        <f aca="false">YEAR(B6939)</f>
        <v>2025</v>
      </c>
      <c r="M6939" s="20" t="n">
        <f aca="false">IF(J6939&gt;0,K6939/J6939,0)</f>
        <v>0.0766668926815065</v>
      </c>
    </row>
    <row r="6940" customFormat="false" ht="15" hidden="false" customHeight="false" outlineLevel="0" collapsed="false">
      <c r="A6940" s="15" t="s">
        <v>6997</v>
      </c>
      <c r="B6940" s="16" t="n">
        <v>44801</v>
      </c>
      <c r="C6940" s="15" t="s">
        <v>71</v>
      </c>
      <c r="D6940" s="15" t="s">
        <v>43</v>
      </c>
      <c r="E6940" s="15" t="s">
        <v>39</v>
      </c>
      <c r="F6940" s="15" t="s">
        <v>18</v>
      </c>
      <c r="G6940" s="15" t="s">
        <v>30</v>
      </c>
      <c r="H6940" s="15" t="n">
        <v>2</v>
      </c>
      <c r="I6940" s="17" t="n">
        <v>0.05</v>
      </c>
      <c r="J6940" s="18" t="n">
        <v>103.69</v>
      </c>
      <c r="K6940" s="19" t="n">
        <v>26.65</v>
      </c>
      <c r="L6940" s="15" t="n">
        <f aca="false">YEAR(B6940)</f>
        <v>2022</v>
      </c>
      <c r="M6940" s="20" t="n">
        <f aca="false">IF(J6940&gt;0,K6940/J6940,0)</f>
        <v>0.257016105699682</v>
      </c>
    </row>
    <row r="6941" customFormat="false" ht="15" hidden="false" customHeight="false" outlineLevel="0" collapsed="false">
      <c r="A6941" s="15" t="s">
        <v>6998</v>
      </c>
      <c r="B6941" s="16" t="n">
        <v>45919</v>
      </c>
      <c r="C6941" s="15" t="s">
        <v>68</v>
      </c>
      <c r="D6941" s="15" t="s">
        <v>42</v>
      </c>
      <c r="E6941" s="15" t="s">
        <v>37</v>
      </c>
      <c r="F6941" s="15" t="s">
        <v>18</v>
      </c>
      <c r="G6941" s="15" t="s">
        <v>32</v>
      </c>
      <c r="H6941" s="15" t="n">
        <v>3</v>
      </c>
      <c r="I6941" s="17" t="n">
        <v>0</v>
      </c>
      <c r="J6941" s="18" t="n">
        <v>1151.92</v>
      </c>
      <c r="K6941" s="19" t="n">
        <v>221.32</v>
      </c>
      <c r="L6941" s="15" t="n">
        <f aca="false">YEAR(B6941)</f>
        <v>2025</v>
      </c>
      <c r="M6941" s="20" t="n">
        <f aca="false">IF(J6941&gt;0,K6941/J6941,0)</f>
        <v>0.192131398013751</v>
      </c>
    </row>
    <row r="6942" customFormat="false" ht="15" hidden="false" customHeight="false" outlineLevel="0" collapsed="false">
      <c r="A6942" s="15" t="s">
        <v>6999</v>
      </c>
      <c r="B6942" s="16" t="n">
        <v>45504</v>
      </c>
      <c r="C6942" s="15" t="s">
        <v>56</v>
      </c>
      <c r="D6942" s="15" t="s">
        <v>42</v>
      </c>
      <c r="E6942" s="15" t="s">
        <v>38</v>
      </c>
      <c r="F6942" s="15" t="s">
        <v>17</v>
      </c>
      <c r="G6942" s="15" t="s">
        <v>28</v>
      </c>
      <c r="H6942" s="15" t="n">
        <v>4</v>
      </c>
      <c r="I6942" s="17" t="n">
        <v>0.3</v>
      </c>
      <c r="J6942" s="18" t="n">
        <v>56.52</v>
      </c>
      <c r="K6942" s="19" t="n">
        <v>3.6</v>
      </c>
      <c r="L6942" s="15" t="n">
        <f aca="false">YEAR(B6942)</f>
        <v>2024</v>
      </c>
      <c r="M6942" s="20" t="n">
        <f aca="false">IF(J6942&gt;0,K6942/J6942,0)</f>
        <v>0.0636942675159236</v>
      </c>
    </row>
    <row r="6943" customFormat="false" ht="15" hidden="false" customHeight="false" outlineLevel="0" collapsed="false">
      <c r="A6943" s="15" t="s">
        <v>7000</v>
      </c>
      <c r="B6943" s="16" t="n">
        <v>45273</v>
      </c>
      <c r="C6943" s="15" t="s">
        <v>56</v>
      </c>
      <c r="D6943" s="15" t="s">
        <v>42</v>
      </c>
      <c r="E6943" s="15" t="s">
        <v>36</v>
      </c>
      <c r="F6943" s="15" t="s">
        <v>17</v>
      </c>
      <c r="G6943" s="15" t="s">
        <v>29</v>
      </c>
      <c r="H6943" s="15" t="n">
        <v>3</v>
      </c>
      <c r="I6943" s="17" t="n">
        <v>0</v>
      </c>
      <c r="J6943" s="18" t="n">
        <v>48.62</v>
      </c>
      <c r="K6943" s="19" t="n">
        <v>18.09</v>
      </c>
      <c r="L6943" s="15" t="n">
        <f aca="false">YEAR(B6943)</f>
        <v>2023</v>
      </c>
      <c r="M6943" s="20" t="n">
        <f aca="false">IF(J6943&gt;0,K6943/J6943,0)</f>
        <v>0.372069107363225</v>
      </c>
    </row>
    <row r="6944" customFormat="false" ht="15" hidden="false" customHeight="false" outlineLevel="0" collapsed="false">
      <c r="A6944" s="15" t="s">
        <v>7001</v>
      </c>
      <c r="B6944" s="16" t="n">
        <v>45068</v>
      </c>
      <c r="C6944" s="15" t="s">
        <v>71</v>
      </c>
      <c r="D6944" s="15" t="s">
        <v>42</v>
      </c>
      <c r="E6944" s="15" t="s">
        <v>37</v>
      </c>
      <c r="F6944" s="15" t="s">
        <v>18</v>
      </c>
      <c r="G6944" s="15" t="s">
        <v>32</v>
      </c>
      <c r="H6944" s="15" t="n">
        <v>3</v>
      </c>
      <c r="I6944" s="17" t="n">
        <v>0</v>
      </c>
      <c r="J6944" s="18" t="n">
        <v>1125.2</v>
      </c>
      <c r="K6944" s="19" t="n">
        <v>256.72</v>
      </c>
      <c r="L6944" s="15" t="n">
        <f aca="false">YEAR(B6944)</f>
        <v>2023</v>
      </c>
      <c r="M6944" s="20" t="n">
        <f aca="false">IF(J6944&gt;0,K6944/J6944,0)</f>
        <v>0.228154994667615</v>
      </c>
    </row>
    <row r="6945" customFormat="false" ht="15" hidden="false" customHeight="false" outlineLevel="0" collapsed="false">
      <c r="A6945" s="15" t="s">
        <v>7002</v>
      </c>
      <c r="B6945" s="16" t="n">
        <v>45355</v>
      </c>
      <c r="C6945" s="15" t="s">
        <v>71</v>
      </c>
      <c r="D6945" s="15" t="s">
        <v>42</v>
      </c>
      <c r="E6945" s="15" t="s">
        <v>37</v>
      </c>
      <c r="F6945" s="15" t="s">
        <v>18</v>
      </c>
      <c r="G6945" s="15" t="s">
        <v>33</v>
      </c>
      <c r="H6945" s="15" t="n">
        <v>2</v>
      </c>
      <c r="I6945" s="17" t="n">
        <v>0.1</v>
      </c>
      <c r="J6945" s="18" t="n">
        <v>1900.18</v>
      </c>
      <c r="K6945" s="19" t="n">
        <v>411.53</v>
      </c>
      <c r="L6945" s="15" t="n">
        <f aca="false">YEAR(B6945)</f>
        <v>2024</v>
      </c>
      <c r="M6945" s="20" t="n">
        <f aca="false">IF(J6945&gt;0,K6945/J6945,0)</f>
        <v>0.216574219284489</v>
      </c>
    </row>
    <row r="6946" customFormat="false" ht="15" hidden="false" customHeight="false" outlineLevel="0" collapsed="false">
      <c r="A6946" s="15" t="s">
        <v>7003</v>
      </c>
      <c r="B6946" s="16" t="n">
        <v>44810</v>
      </c>
      <c r="C6946" s="15" t="s">
        <v>56</v>
      </c>
      <c r="D6946" s="15" t="s">
        <v>43</v>
      </c>
      <c r="E6946" s="15" t="s">
        <v>37</v>
      </c>
      <c r="F6946" s="15" t="s">
        <v>17</v>
      </c>
      <c r="G6946" s="15" t="s">
        <v>29</v>
      </c>
      <c r="H6946" s="15" t="n">
        <v>3</v>
      </c>
      <c r="I6946" s="17" t="n">
        <v>0.2</v>
      </c>
      <c r="J6946" s="18" t="n">
        <v>50.25</v>
      </c>
      <c r="K6946" s="19" t="n">
        <v>9.85</v>
      </c>
      <c r="L6946" s="15" t="n">
        <f aca="false">YEAR(B6946)</f>
        <v>2022</v>
      </c>
      <c r="M6946" s="20" t="n">
        <f aca="false">IF(J6946&gt;0,K6946/J6946,0)</f>
        <v>0.196019900497512</v>
      </c>
    </row>
    <row r="6947" customFormat="false" ht="15" hidden="false" customHeight="false" outlineLevel="0" collapsed="false">
      <c r="A6947" s="15" t="s">
        <v>7004</v>
      </c>
      <c r="B6947" s="16" t="n">
        <v>45645</v>
      </c>
      <c r="C6947" s="15" t="s">
        <v>71</v>
      </c>
      <c r="D6947" s="15" t="s">
        <v>42</v>
      </c>
      <c r="E6947" s="15" t="s">
        <v>36</v>
      </c>
      <c r="F6947" s="15" t="s">
        <v>17</v>
      </c>
      <c r="G6947" s="15" t="s">
        <v>28</v>
      </c>
      <c r="H6947" s="15" t="n">
        <v>5</v>
      </c>
      <c r="I6947" s="17" t="n">
        <v>0.4</v>
      </c>
      <c r="J6947" s="18" t="n">
        <v>80.35</v>
      </c>
      <c r="K6947" s="19" t="n">
        <v>3.4</v>
      </c>
      <c r="L6947" s="15" t="n">
        <f aca="false">YEAR(B6947)</f>
        <v>2024</v>
      </c>
      <c r="M6947" s="20" t="n">
        <f aca="false">IF(J6947&gt;0,K6947/J6947,0)</f>
        <v>0.0423148724331052</v>
      </c>
    </row>
    <row r="6948" customFormat="false" ht="15" hidden="false" customHeight="false" outlineLevel="0" collapsed="false">
      <c r="A6948" s="15" t="s">
        <v>7005</v>
      </c>
      <c r="B6948" s="16" t="n">
        <v>45819</v>
      </c>
      <c r="C6948" s="15" t="s">
        <v>56</v>
      </c>
      <c r="D6948" s="15" t="s">
        <v>42</v>
      </c>
      <c r="E6948" s="15" t="s">
        <v>39</v>
      </c>
      <c r="F6948" s="15" t="s">
        <v>17</v>
      </c>
      <c r="G6948" s="15" t="s">
        <v>29</v>
      </c>
      <c r="H6948" s="15" t="n">
        <v>3</v>
      </c>
      <c r="I6948" s="17" t="n">
        <v>0.1</v>
      </c>
      <c r="J6948" s="18" t="n">
        <v>51.21</v>
      </c>
      <c r="K6948" s="19" t="n">
        <v>15.56</v>
      </c>
      <c r="L6948" s="15" t="n">
        <f aca="false">YEAR(B6948)</f>
        <v>2025</v>
      </c>
      <c r="M6948" s="20" t="n">
        <f aca="false">IF(J6948&gt;0,K6948/J6948,0)</f>
        <v>0.303846904901386</v>
      </c>
    </row>
    <row r="6949" customFormat="false" ht="15" hidden="false" customHeight="false" outlineLevel="0" collapsed="false">
      <c r="A6949" s="15" t="s">
        <v>7006</v>
      </c>
      <c r="B6949" s="16" t="n">
        <v>44638</v>
      </c>
      <c r="C6949" s="15" t="s">
        <v>71</v>
      </c>
      <c r="D6949" s="15" t="s">
        <v>43</v>
      </c>
      <c r="E6949" s="15" t="s">
        <v>37</v>
      </c>
      <c r="F6949" s="15" t="s">
        <v>17</v>
      </c>
      <c r="G6949" s="15" t="s">
        <v>31</v>
      </c>
      <c r="H6949" s="15" t="n">
        <v>6</v>
      </c>
      <c r="I6949" s="17" t="n">
        <v>0</v>
      </c>
      <c r="J6949" s="18" t="n">
        <v>818.02</v>
      </c>
      <c r="K6949" s="19" t="n">
        <v>213.48</v>
      </c>
      <c r="L6949" s="15" t="n">
        <f aca="false">YEAR(B6949)</f>
        <v>2022</v>
      </c>
      <c r="M6949" s="20" t="n">
        <f aca="false">IF(J6949&gt;0,K6949/J6949,0)</f>
        <v>0.260971614385956</v>
      </c>
    </row>
    <row r="6950" customFormat="false" ht="15" hidden="false" customHeight="false" outlineLevel="0" collapsed="false">
      <c r="A6950" s="15" t="s">
        <v>7007</v>
      </c>
      <c r="B6950" s="16" t="n">
        <v>44808</v>
      </c>
      <c r="C6950" s="15" t="s">
        <v>56</v>
      </c>
      <c r="D6950" s="15" t="s">
        <v>42</v>
      </c>
      <c r="E6950" s="15" t="s">
        <v>37</v>
      </c>
      <c r="F6950" s="15" t="s">
        <v>17</v>
      </c>
      <c r="G6950" s="15" t="s">
        <v>29</v>
      </c>
      <c r="H6950" s="15" t="n">
        <v>3</v>
      </c>
      <c r="I6950" s="17" t="n">
        <v>0</v>
      </c>
      <c r="J6950" s="18" t="n">
        <v>40.85</v>
      </c>
      <c r="K6950" s="19" t="n">
        <v>15.04</v>
      </c>
      <c r="L6950" s="15" t="n">
        <f aca="false">YEAR(B6950)</f>
        <v>2022</v>
      </c>
      <c r="M6950" s="20" t="n">
        <f aca="false">IF(J6950&gt;0,K6950/J6950,0)</f>
        <v>0.368176254589963</v>
      </c>
    </row>
    <row r="6951" customFormat="false" ht="15" hidden="false" customHeight="false" outlineLevel="0" collapsed="false">
      <c r="A6951" s="15" t="s">
        <v>7008</v>
      </c>
      <c r="B6951" s="16" t="n">
        <v>44855</v>
      </c>
      <c r="C6951" s="15" t="s">
        <v>71</v>
      </c>
      <c r="D6951" s="15" t="s">
        <v>43</v>
      </c>
      <c r="E6951" s="15" t="s">
        <v>37</v>
      </c>
      <c r="F6951" s="15" t="s">
        <v>16</v>
      </c>
      <c r="G6951" s="15" t="s">
        <v>23</v>
      </c>
      <c r="H6951" s="15" t="n">
        <v>2</v>
      </c>
      <c r="I6951" s="17" t="n">
        <v>0.3</v>
      </c>
      <c r="J6951" s="18" t="n">
        <v>409.24</v>
      </c>
      <c r="K6951" s="19" t="n">
        <v>-106.76</v>
      </c>
      <c r="L6951" s="15" t="n">
        <f aca="false">YEAR(B6951)</f>
        <v>2022</v>
      </c>
      <c r="M6951" s="20" t="n">
        <f aca="false">IF(J6951&gt;0,K6951/J6951,0)</f>
        <v>-0.260873814876356</v>
      </c>
    </row>
    <row r="6952" customFormat="false" ht="15" hidden="false" customHeight="false" outlineLevel="0" collapsed="false">
      <c r="A6952" s="15" t="s">
        <v>7009</v>
      </c>
      <c r="B6952" s="16" t="n">
        <v>45710</v>
      </c>
      <c r="C6952" s="15" t="s">
        <v>56</v>
      </c>
      <c r="D6952" s="15" t="s">
        <v>42</v>
      </c>
      <c r="E6952" s="15" t="s">
        <v>38</v>
      </c>
      <c r="F6952" s="15" t="s">
        <v>18</v>
      </c>
      <c r="G6952" s="15" t="s">
        <v>32</v>
      </c>
      <c r="H6952" s="15" t="n">
        <v>2</v>
      </c>
      <c r="I6952" s="17" t="n">
        <v>0</v>
      </c>
      <c r="J6952" s="18" t="n">
        <v>638.61</v>
      </c>
      <c r="K6952" s="19" t="n">
        <v>104.4</v>
      </c>
      <c r="L6952" s="15" t="n">
        <f aca="false">YEAR(B6952)</f>
        <v>2025</v>
      </c>
      <c r="M6952" s="20" t="n">
        <f aca="false">IF(J6952&gt;0,K6952/J6952,0)</f>
        <v>0.163480058251515</v>
      </c>
    </row>
    <row r="6953" customFormat="false" ht="15" hidden="false" customHeight="false" outlineLevel="0" collapsed="false">
      <c r="A6953" s="15" t="s">
        <v>7010</v>
      </c>
      <c r="B6953" s="16" t="n">
        <v>44793</v>
      </c>
      <c r="C6953" s="15" t="s">
        <v>71</v>
      </c>
      <c r="D6953" s="15" t="s">
        <v>42</v>
      </c>
      <c r="E6953" s="15" t="s">
        <v>37</v>
      </c>
      <c r="F6953" s="15" t="s">
        <v>18</v>
      </c>
      <c r="G6953" s="15" t="s">
        <v>30</v>
      </c>
      <c r="H6953" s="15" t="n">
        <v>5</v>
      </c>
      <c r="I6953" s="17" t="n">
        <v>0</v>
      </c>
      <c r="J6953" s="18" t="n">
        <v>236.13</v>
      </c>
      <c r="K6953" s="19" t="n">
        <v>64.99</v>
      </c>
      <c r="L6953" s="15" t="n">
        <f aca="false">YEAR(B6953)</f>
        <v>2022</v>
      </c>
      <c r="M6953" s="20" t="n">
        <f aca="false">IF(J6953&gt;0,K6953/J6953,0)</f>
        <v>0.275229746326176</v>
      </c>
    </row>
    <row r="6954" customFormat="false" ht="15" hidden="false" customHeight="false" outlineLevel="0" collapsed="false">
      <c r="A6954" s="15" t="s">
        <v>7011</v>
      </c>
      <c r="B6954" s="16" t="n">
        <v>45042</v>
      </c>
      <c r="C6954" s="15" t="s">
        <v>71</v>
      </c>
      <c r="D6954" s="15" t="s">
        <v>44</v>
      </c>
      <c r="E6954" s="15" t="s">
        <v>36</v>
      </c>
      <c r="F6954" s="15" t="s">
        <v>18</v>
      </c>
      <c r="G6954" s="15" t="s">
        <v>33</v>
      </c>
      <c r="H6954" s="15" t="n">
        <v>3</v>
      </c>
      <c r="I6954" s="17" t="n">
        <v>0.05</v>
      </c>
      <c r="J6954" s="18" t="n">
        <v>2615.75</v>
      </c>
      <c r="K6954" s="19" t="n">
        <v>639.04</v>
      </c>
      <c r="L6954" s="15" t="n">
        <f aca="false">YEAR(B6954)</f>
        <v>2023</v>
      </c>
      <c r="M6954" s="20" t="n">
        <f aca="false">IF(J6954&gt;0,K6954/J6954,0)</f>
        <v>0.244304692726751</v>
      </c>
    </row>
    <row r="6955" customFormat="false" ht="15" hidden="false" customHeight="false" outlineLevel="0" collapsed="false">
      <c r="A6955" s="15" t="s">
        <v>7012</v>
      </c>
      <c r="B6955" s="16" t="n">
        <v>45900</v>
      </c>
      <c r="C6955" s="15" t="s">
        <v>56</v>
      </c>
      <c r="D6955" s="15" t="s">
        <v>43</v>
      </c>
      <c r="E6955" s="15" t="s">
        <v>37</v>
      </c>
      <c r="F6955" s="15" t="s">
        <v>18</v>
      </c>
      <c r="G6955" s="15" t="s">
        <v>32</v>
      </c>
      <c r="H6955" s="15" t="n">
        <v>2</v>
      </c>
      <c r="I6955" s="17" t="n">
        <v>0.1</v>
      </c>
      <c r="J6955" s="18" t="n">
        <v>625.4</v>
      </c>
      <c r="K6955" s="19" t="n">
        <v>67.64</v>
      </c>
      <c r="L6955" s="15" t="n">
        <f aca="false">YEAR(B6955)</f>
        <v>2025</v>
      </c>
      <c r="M6955" s="20" t="n">
        <f aca="false">IF(J6955&gt;0,K6955/J6955,0)</f>
        <v>0.108154780940198</v>
      </c>
    </row>
    <row r="6956" customFormat="false" ht="15" hidden="false" customHeight="false" outlineLevel="0" collapsed="false">
      <c r="A6956" s="15" t="s">
        <v>7013</v>
      </c>
      <c r="B6956" s="16" t="n">
        <v>44949</v>
      </c>
      <c r="C6956" s="15" t="s">
        <v>56</v>
      </c>
      <c r="D6956" s="15" t="s">
        <v>43</v>
      </c>
      <c r="E6956" s="15" t="s">
        <v>37</v>
      </c>
      <c r="F6956" s="15" t="s">
        <v>17</v>
      </c>
      <c r="G6956" s="15" t="s">
        <v>26</v>
      </c>
      <c r="H6956" s="15" t="n">
        <v>3</v>
      </c>
      <c r="I6956" s="17" t="n">
        <v>0</v>
      </c>
      <c r="J6956" s="18" t="n">
        <v>267.56</v>
      </c>
      <c r="K6956" s="19" t="n">
        <v>29.69</v>
      </c>
      <c r="L6956" s="15" t="n">
        <f aca="false">YEAR(B6956)</f>
        <v>2023</v>
      </c>
      <c r="M6956" s="20" t="n">
        <f aca="false">IF(J6956&gt;0,K6956/J6956,0)</f>
        <v>0.110965764688294</v>
      </c>
    </row>
    <row r="6957" customFormat="false" ht="15" hidden="false" customHeight="false" outlineLevel="0" collapsed="false">
      <c r="A6957" s="15" t="s">
        <v>7014</v>
      </c>
      <c r="B6957" s="16" t="n">
        <v>45785</v>
      </c>
      <c r="C6957" s="15" t="s">
        <v>56</v>
      </c>
      <c r="D6957" s="15" t="s">
        <v>42</v>
      </c>
      <c r="E6957" s="15" t="s">
        <v>37</v>
      </c>
      <c r="F6957" s="15" t="s">
        <v>17</v>
      </c>
      <c r="G6957" s="15" t="s">
        <v>26</v>
      </c>
      <c r="H6957" s="15" t="n">
        <v>3</v>
      </c>
      <c r="I6957" s="17" t="n">
        <v>0.2</v>
      </c>
      <c r="J6957" s="18" t="n">
        <v>202.76</v>
      </c>
      <c r="K6957" s="19" t="n">
        <v>-8.25</v>
      </c>
      <c r="L6957" s="15" t="n">
        <f aca="false">YEAR(B6957)</f>
        <v>2025</v>
      </c>
      <c r="M6957" s="20" t="n">
        <f aca="false">IF(J6957&gt;0,K6957/J6957,0)</f>
        <v>-0.0406884987176958</v>
      </c>
    </row>
    <row r="6958" customFormat="false" ht="15" hidden="false" customHeight="false" outlineLevel="0" collapsed="false">
      <c r="A6958" s="15" t="s">
        <v>7015</v>
      </c>
      <c r="B6958" s="16" t="n">
        <v>44846</v>
      </c>
      <c r="C6958" s="15" t="s">
        <v>56</v>
      </c>
      <c r="D6958" s="15" t="s">
        <v>43</v>
      </c>
      <c r="E6958" s="15" t="s">
        <v>39</v>
      </c>
      <c r="F6958" s="15" t="s">
        <v>18</v>
      </c>
      <c r="G6958" s="15" t="s">
        <v>30</v>
      </c>
      <c r="H6958" s="15" t="n">
        <v>4</v>
      </c>
      <c r="I6958" s="17" t="n">
        <v>0.5</v>
      </c>
      <c r="J6958" s="18" t="n">
        <v>123.69</v>
      </c>
      <c r="K6958" s="19" t="n">
        <v>-27.51</v>
      </c>
      <c r="L6958" s="15" t="n">
        <f aca="false">YEAR(B6958)</f>
        <v>2022</v>
      </c>
      <c r="M6958" s="20" t="n">
        <f aca="false">IF(J6958&gt;0,K6958/J6958,0)</f>
        <v>-0.222410865874363</v>
      </c>
    </row>
    <row r="6959" customFormat="false" ht="15" hidden="false" customHeight="false" outlineLevel="0" collapsed="false">
      <c r="A6959" s="15" t="s">
        <v>7016</v>
      </c>
      <c r="B6959" s="16" t="n">
        <v>44713</v>
      </c>
      <c r="C6959" s="15" t="s">
        <v>58</v>
      </c>
      <c r="D6959" s="15" t="s">
        <v>42</v>
      </c>
      <c r="E6959" s="15" t="s">
        <v>36</v>
      </c>
      <c r="F6959" s="15" t="s">
        <v>17</v>
      </c>
      <c r="G6959" s="15" t="s">
        <v>29</v>
      </c>
      <c r="H6959" s="15" t="n">
        <v>3</v>
      </c>
      <c r="I6959" s="17" t="n">
        <v>0.1</v>
      </c>
      <c r="J6959" s="18" t="n">
        <v>50.34</v>
      </c>
      <c r="K6959" s="19" t="n">
        <v>15.35</v>
      </c>
      <c r="L6959" s="15" t="n">
        <f aca="false">YEAR(B6959)</f>
        <v>2022</v>
      </c>
      <c r="M6959" s="20" t="n">
        <f aca="false">IF(J6959&gt;0,K6959/J6959,0)</f>
        <v>0.304926499801351</v>
      </c>
    </row>
    <row r="6960" customFormat="false" ht="15" hidden="false" customHeight="false" outlineLevel="0" collapsed="false">
      <c r="A6960" s="15" t="s">
        <v>7017</v>
      </c>
      <c r="B6960" s="16" t="n">
        <v>45796</v>
      </c>
      <c r="C6960" s="15" t="s">
        <v>71</v>
      </c>
      <c r="D6960" s="15" t="s">
        <v>43</v>
      </c>
      <c r="E6960" s="15" t="s">
        <v>36</v>
      </c>
      <c r="F6960" s="15" t="s">
        <v>18</v>
      </c>
      <c r="G6960" s="15" t="s">
        <v>30</v>
      </c>
      <c r="H6960" s="15" t="n">
        <v>4</v>
      </c>
      <c r="I6960" s="17" t="n">
        <v>0.05</v>
      </c>
      <c r="J6960" s="18" t="n">
        <v>175.55</v>
      </c>
      <c r="K6960" s="19" t="n">
        <v>58.89</v>
      </c>
      <c r="L6960" s="15" t="n">
        <f aca="false">YEAR(B6960)</f>
        <v>2025</v>
      </c>
      <c r="M6960" s="20" t="n">
        <f aca="false">IF(J6960&gt;0,K6960/J6960,0)</f>
        <v>0.335459982910852</v>
      </c>
    </row>
    <row r="6961" customFormat="false" ht="15" hidden="false" customHeight="false" outlineLevel="0" collapsed="false">
      <c r="A6961" s="15" t="s">
        <v>7018</v>
      </c>
      <c r="B6961" s="16" t="n">
        <v>44913</v>
      </c>
      <c r="C6961" s="15" t="s">
        <v>56</v>
      </c>
      <c r="D6961" s="15" t="s">
        <v>42</v>
      </c>
      <c r="E6961" s="15" t="s">
        <v>39</v>
      </c>
      <c r="F6961" s="15" t="s">
        <v>18</v>
      </c>
      <c r="G6961" s="15" t="s">
        <v>32</v>
      </c>
      <c r="H6961" s="15" t="n">
        <v>5</v>
      </c>
      <c r="I6961" s="17" t="n">
        <v>0.1</v>
      </c>
      <c r="J6961" s="18" t="n">
        <v>2051.36</v>
      </c>
      <c r="K6961" s="19" t="n">
        <v>153.86</v>
      </c>
      <c r="L6961" s="15" t="n">
        <f aca="false">YEAR(B6961)</f>
        <v>2022</v>
      </c>
      <c r="M6961" s="20" t="n">
        <f aca="false">IF(J6961&gt;0,K6961/J6961,0)</f>
        <v>0.0750038998518056</v>
      </c>
    </row>
    <row r="6962" customFormat="false" ht="15" hidden="false" customHeight="false" outlineLevel="0" collapsed="false">
      <c r="A6962" s="15" t="s">
        <v>7019</v>
      </c>
      <c r="B6962" s="16" t="n">
        <v>44867</v>
      </c>
      <c r="C6962" s="15" t="s">
        <v>71</v>
      </c>
      <c r="D6962" s="15" t="s">
        <v>44</v>
      </c>
      <c r="E6962" s="15" t="s">
        <v>39</v>
      </c>
      <c r="F6962" s="15" t="s">
        <v>17</v>
      </c>
      <c r="G6962" s="15" t="s">
        <v>29</v>
      </c>
      <c r="H6962" s="15" t="n">
        <v>6</v>
      </c>
      <c r="I6962" s="17" t="n">
        <v>0.05</v>
      </c>
      <c r="J6962" s="18" t="n">
        <v>105.81</v>
      </c>
      <c r="K6962" s="19" t="n">
        <v>30.96</v>
      </c>
      <c r="L6962" s="15" t="n">
        <f aca="false">YEAR(B6962)</f>
        <v>2022</v>
      </c>
      <c r="M6962" s="20" t="n">
        <f aca="false">IF(J6962&gt;0,K6962/J6962,0)</f>
        <v>0.292599943294585</v>
      </c>
    </row>
    <row r="6963" customFormat="false" ht="15" hidden="false" customHeight="false" outlineLevel="0" collapsed="false">
      <c r="A6963" s="15" t="s">
        <v>7020</v>
      </c>
      <c r="B6963" s="16" t="n">
        <v>45917</v>
      </c>
      <c r="C6963" s="15" t="s">
        <v>58</v>
      </c>
      <c r="D6963" s="15" t="s">
        <v>44</v>
      </c>
      <c r="E6963" s="15" t="s">
        <v>38</v>
      </c>
      <c r="F6963" s="15" t="s">
        <v>18</v>
      </c>
      <c r="G6963" s="15" t="s">
        <v>30</v>
      </c>
      <c r="H6963" s="15" t="n">
        <v>3</v>
      </c>
      <c r="I6963" s="17" t="n">
        <v>0.2</v>
      </c>
      <c r="J6963" s="18" t="n">
        <v>97.05</v>
      </c>
      <c r="K6963" s="19" t="n">
        <v>14.92</v>
      </c>
      <c r="L6963" s="15" t="n">
        <f aca="false">YEAR(B6963)</f>
        <v>2025</v>
      </c>
      <c r="M6963" s="20" t="n">
        <f aca="false">IF(J6963&gt;0,K6963/J6963,0)</f>
        <v>0.153735188047398</v>
      </c>
    </row>
    <row r="6964" customFormat="false" ht="15" hidden="false" customHeight="false" outlineLevel="0" collapsed="false">
      <c r="A6964" s="15" t="s">
        <v>7021</v>
      </c>
      <c r="B6964" s="16" t="n">
        <v>45610</v>
      </c>
      <c r="C6964" s="15" t="s">
        <v>68</v>
      </c>
      <c r="D6964" s="15" t="s">
        <v>42</v>
      </c>
      <c r="E6964" s="15" t="s">
        <v>39</v>
      </c>
      <c r="F6964" s="15" t="s">
        <v>18</v>
      </c>
      <c r="G6964" s="15" t="s">
        <v>30</v>
      </c>
      <c r="H6964" s="15" t="n">
        <v>3</v>
      </c>
      <c r="I6964" s="17" t="n">
        <v>0.1</v>
      </c>
      <c r="J6964" s="18" t="n">
        <v>110.01</v>
      </c>
      <c r="K6964" s="19" t="n">
        <v>19.41</v>
      </c>
      <c r="L6964" s="15" t="n">
        <f aca="false">YEAR(B6964)</f>
        <v>2024</v>
      </c>
      <c r="M6964" s="20" t="n">
        <f aca="false">IF(J6964&gt;0,K6964/J6964,0)</f>
        <v>0.176438505590401</v>
      </c>
    </row>
    <row r="6965" customFormat="false" ht="15" hidden="false" customHeight="false" outlineLevel="0" collapsed="false">
      <c r="A6965" s="15" t="s">
        <v>7022</v>
      </c>
      <c r="B6965" s="16" t="n">
        <v>44891</v>
      </c>
      <c r="C6965" s="15" t="s">
        <v>56</v>
      </c>
      <c r="D6965" s="15" t="s">
        <v>42</v>
      </c>
      <c r="E6965" s="15" t="s">
        <v>39</v>
      </c>
      <c r="F6965" s="15" t="s">
        <v>18</v>
      </c>
      <c r="G6965" s="15" t="s">
        <v>30</v>
      </c>
      <c r="H6965" s="15" t="n">
        <v>5</v>
      </c>
      <c r="I6965" s="17" t="n">
        <v>0</v>
      </c>
      <c r="J6965" s="18" t="n">
        <v>263.7</v>
      </c>
      <c r="K6965" s="19" t="n">
        <v>66.35</v>
      </c>
      <c r="L6965" s="15" t="n">
        <f aca="false">YEAR(B6965)</f>
        <v>2022</v>
      </c>
      <c r="M6965" s="20" t="n">
        <f aca="false">IF(J6965&gt;0,K6965/J6965,0)</f>
        <v>0.251611679939325</v>
      </c>
    </row>
    <row r="6966" customFormat="false" ht="15" hidden="false" customHeight="false" outlineLevel="0" collapsed="false">
      <c r="A6966" s="15" t="s">
        <v>7023</v>
      </c>
      <c r="B6966" s="16" t="n">
        <v>44901</v>
      </c>
      <c r="C6966" s="15" t="s">
        <v>56</v>
      </c>
      <c r="D6966" s="15" t="s">
        <v>42</v>
      </c>
      <c r="E6966" s="15" t="s">
        <v>36</v>
      </c>
      <c r="F6966" s="15" t="s">
        <v>16</v>
      </c>
      <c r="G6966" s="15" t="s">
        <v>25</v>
      </c>
      <c r="H6966" s="15" t="n">
        <v>2</v>
      </c>
      <c r="I6966" s="17" t="n">
        <v>0</v>
      </c>
      <c r="J6966" s="18" t="n">
        <v>620.38</v>
      </c>
      <c r="K6966" s="19" t="n">
        <v>73.14</v>
      </c>
      <c r="L6966" s="15" t="n">
        <f aca="false">YEAR(B6966)</f>
        <v>2022</v>
      </c>
      <c r="M6966" s="20" t="n">
        <f aca="false">IF(J6966&gt;0,K6966/J6966,0)</f>
        <v>0.117895483413392</v>
      </c>
    </row>
    <row r="6967" customFormat="false" ht="15" hidden="false" customHeight="false" outlineLevel="0" collapsed="false">
      <c r="A6967" s="15" t="s">
        <v>7024</v>
      </c>
      <c r="B6967" s="16" t="n">
        <v>45243</v>
      </c>
      <c r="C6967" s="15" t="s">
        <v>71</v>
      </c>
      <c r="D6967" s="15" t="s">
        <v>43</v>
      </c>
      <c r="E6967" s="15" t="s">
        <v>36</v>
      </c>
      <c r="F6967" s="15" t="s">
        <v>17</v>
      </c>
      <c r="G6967" s="15" t="s">
        <v>31</v>
      </c>
      <c r="H6967" s="15" t="n">
        <v>4</v>
      </c>
      <c r="I6967" s="17" t="n">
        <v>0.15</v>
      </c>
      <c r="J6967" s="18" t="n">
        <v>376.26</v>
      </c>
      <c r="K6967" s="19" t="n">
        <v>24.97</v>
      </c>
      <c r="L6967" s="15" t="n">
        <f aca="false">YEAR(B6967)</f>
        <v>2023</v>
      </c>
      <c r="M6967" s="20" t="n">
        <f aca="false">IF(J6967&gt;0,K6967/J6967,0)</f>
        <v>0.0663636846861213</v>
      </c>
    </row>
    <row r="6968" customFormat="false" ht="15" hidden="false" customHeight="false" outlineLevel="0" collapsed="false">
      <c r="A6968" s="15" t="s">
        <v>7025</v>
      </c>
      <c r="B6968" s="16" t="n">
        <v>45036</v>
      </c>
      <c r="C6968" s="15" t="s">
        <v>68</v>
      </c>
      <c r="D6968" s="15" t="s">
        <v>43</v>
      </c>
      <c r="E6968" s="15" t="s">
        <v>37</v>
      </c>
      <c r="F6968" s="15" t="s">
        <v>18</v>
      </c>
      <c r="G6968" s="15" t="s">
        <v>32</v>
      </c>
      <c r="H6968" s="15" t="n">
        <v>2</v>
      </c>
      <c r="I6968" s="17" t="n">
        <v>0</v>
      </c>
      <c r="J6968" s="18" t="n">
        <v>943.61</v>
      </c>
      <c r="K6968" s="19" t="n">
        <v>152.95</v>
      </c>
      <c r="L6968" s="15" t="n">
        <f aca="false">YEAR(B6968)</f>
        <v>2023</v>
      </c>
      <c r="M6968" s="20" t="n">
        <f aca="false">IF(J6968&gt;0,K6968/J6968,0)</f>
        <v>0.16209027034474</v>
      </c>
    </row>
    <row r="6969" customFormat="false" ht="15" hidden="false" customHeight="false" outlineLevel="0" collapsed="false">
      <c r="A6969" s="15" t="s">
        <v>7026</v>
      </c>
      <c r="B6969" s="16" t="n">
        <v>45011</v>
      </c>
      <c r="C6969" s="15" t="s">
        <v>56</v>
      </c>
      <c r="D6969" s="15" t="s">
        <v>42</v>
      </c>
      <c r="E6969" s="15" t="s">
        <v>39</v>
      </c>
      <c r="F6969" s="15" t="s">
        <v>16</v>
      </c>
      <c r="G6969" s="15" t="s">
        <v>22</v>
      </c>
      <c r="H6969" s="15" t="n">
        <v>3</v>
      </c>
      <c r="I6969" s="17" t="n">
        <v>0.05</v>
      </c>
      <c r="J6969" s="18" t="n">
        <v>1543.37</v>
      </c>
      <c r="K6969" s="19" t="n">
        <v>-146.99</v>
      </c>
      <c r="L6969" s="15" t="n">
        <f aca="false">YEAR(B6969)</f>
        <v>2023</v>
      </c>
      <c r="M6969" s="20" t="n">
        <f aca="false">IF(J6969&gt;0,K6969/J6969,0)</f>
        <v>-0.0952396379351679</v>
      </c>
    </row>
    <row r="6970" customFormat="false" ht="15" hidden="false" customHeight="false" outlineLevel="0" collapsed="false">
      <c r="A6970" s="15" t="s">
        <v>7027</v>
      </c>
      <c r="B6970" s="16" t="n">
        <v>45629</v>
      </c>
      <c r="C6970" s="15" t="s">
        <v>71</v>
      </c>
      <c r="D6970" s="15" t="s">
        <v>42</v>
      </c>
      <c r="E6970" s="15" t="s">
        <v>39</v>
      </c>
      <c r="F6970" s="15" t="s">
        <v>18</v>
      </c>
      <c r="G6970" s="15" t="s">
        <v>32</v>
      </c>
      <c r="H6970" s="15" t="n">
        <v>5</v>
      </c>
      <c r="I6970" s="17" t="n">
        <v>0</v>
      </c>
      <c r="J6970" s="18" t="n">
        <v>2837.92</v>
      </c>
      <c r="K6970" s="19" t="n">
        <v>382.37</v>
      </c>
      <c r="L6970" s="15" t="n">
        <f aca="false">YEAR(B6970)</f>
        <v>2024</v>
      </c>
      <c r="M6970" s="20" t="n">
        <f aca="false">IF(J6970&gt;0,K6970/J6970,0)</f>
        <v>0.134736003833794</v>
      </c>
    </row>
    <row r="6971" customFormat="false" ht="15" hidden="false" customHeight="false" outlineLevel="0" collapsed="false">
      <c r="A6971" s="15" t="s">
        <v>7028</v>
      </c>
      <c r="B6971" s="16" t="n">
        <v>45952</v>
      </c>
      <c r="C6971" s="15" t="s">
        <v>56</v>
      </c>
      <c r="D6971" s="15" t="s">
        <v>42</v>
      </c>
      <c r="E6971" s="15" t="s">
        <v>39</v>
      </c>
      <c r="F6971" s="15" t="s">
        <v>17</v>
      </c>
      <c r="G6971" s="15" t="s">
        <v>26</v>
      </c>
      <c r="H6971" s="15" t="n">
        <v>4</v>
      </c>
      <c r="I6971" s="17" t="n">
        <v>0.3</v>
      </c>
      <c r="J6971" s="18" t="n">
        <v>221.41</v>
      </c>
      <c r="K6971" s="19" t="n">
        <v>-35.35</v>
      </c>
      <c r="L6971" s="15" t="n">
        <f aca="false">YEAR(B6971)</f>
        <v>2025</v>
      </c>
      <c r="M6971" s="20" t="n">
        <f aca="false">IF(J6971&gt;0,K6971/J6971,0)</f>
        <v>-0.159658552007588</v>
      </c>
    </row>
    <row r="6972" customFormat="false" ht="15" hidden="false" customHeight="false" outlineLevel="0" collapsed="false">
      <c r="A6972" s="15" t="s">
        <v>7029</v>
      </c>
      <c r="B6972" s="16" t="n">
        <v>45621</v>
      </c>
      <c r="C6972" s="15" t="s">
        <v>58</v>
      </c>
      <c r="D6972" s="15" t="s">
        <v>42</v>
      </c>
      <c r="E6972" s="15" t="s">
        <v>37</v>
      </c>
      <c r="F6972" s="15" t="s">
        <v>17</v>
      </c>
      <c r="G6972" s="15" t="s">
        <v>28</v>
      </c>
      <c r="H6972" s="15" t="n">
        <v>2</v>
      </c>
      <c r="I6972" s="17" t="n">
        <v>0.1</v>
      </c>
      <c r="J6972" s="18" t="n">
        <v>44.49</v>
      </c>
      <c r="K6972" s="19" t="n">
        <v>11.63</v>
      </c>
      <c r="L6972" s="15" t="n">
        <f aca="false">YEAR(B6972)</f>
        <v>2024</v>
      </c>
      <c r="M6972" s="20" t="n">
        <f aca="false">IF(J6972&gt;0,K6972/J6972,0)</f>
        <v>0.26140705776579</v>
      </c>
    </row>
    <row r="6973" customFormat="false" ht="15" hidden="false" customHeight="false" outlineLevel="0" collapsed="false">
      <c r="A6973" s="15" t="s">
        <v>7030</v>
      </c>
      <c r="B6973" s="16" t="n">
        <v>45182</v>
      </c>
      <c r="C6973" s="15" t="s">
        <v>71</v>
      </c>
      <c r="D6973" s="15" t="s">
        <v>42</v>
      </c>
      <c r="E6973" s="15" t="s">
        <v>39</v>
      </c>
      <c r="F6973" s="15" t="s">
        <v>16</v>
      </c>
      <c r="G6973" s="15" t="s">
        <v>22</v>
      </c>
      <c r="H6973" s="15" t="n">
        <v>7</v>
      </c>
      <c r="I6973" s="17" t="n">
        <v>0</v>
      </c>
      <c r="J6973" s="18" t="n">
        <v>3756.94</v>
      </c>
      <c r="K6973" s="19" t="n">
        <v>-65.98</v>
      </c>
      <c r="L6973" s="15" t="n">
        <f aca="false">YEAR(B6973)</f>
        <v>2023</v>
      </c>
      <c r="M6973" s="20" t="n">
        <f aca="false">IF(J6973&gt;0,K6973/J6973,0)</f>
        <v>-0.0175621649533929</v>
      </c>
    </row>
    <row r="6974" customFormat="false" ht="15" hidden="false" customHeight="false" outlineLevel="0" collapsed="false">
      <c r="A6974" s="15" t="s">
        <v>7031</v>
      </c>
      <c r="B6974" s="16" t="n">
        <v>45184</v>
      </c>
      <c r="C6974" s="15" t="s">
        <v>71</v>
      </c>
      <c r="D6974" s="15" t="s">
        <v>44</v>
      </c>
      <c r="E6974" s="15" t="s">
        <v>37</v>
      </c>
      <c r="F6974" s="15" t="s">
        <v>18</v>
      </c>
      <c r="G6974" s="15" t="s">
        <v>30</v>
      </c>
      <c r="H6974" s="15" t="n">
        <v>2</v>
      </c>
      <c r="I6974" s="17" t="n">
        <v>0.2</v>
      </c>
      <c r="J6974" s="18" t="n">
        <v>84.48</v>
      </c>
      <c r="K6974" s="19" t="n">
        <v>10.93</v>
      </c>
      <c r="L6974" s="15" t="n">
        <f aca="false">YEAR(B6974)</f>
        <v>2023</v>
      </c>
      <c r="M6974" s="20" t="n">
        <f aca="false">IF(J6974&gt;0,K6974/J6974,0)</f>
        <v>0.129379734848485</v>
      </c>
    </row>
    <row r="6975" customFormat="false" ht="15" hidden="false" customHeight="false" outlineLevel="0" collapsed="false">
      <c r="A6975" s="15" t="s">
        <v>7032</v>
      </c>
      <c r="B6975" s="16" t="n">
        <v>44853</v>
      </c>
      <c r="C6975" s="15" t="s">
        <v>71</v>
      </c>
      <c r="D6975" s="15" t="s">
        <v>43</v>
      </c>
      <c r="E6975" s="15" t="s">
        <v>39</v>
      </c>
      <c r="F6975" s="15" t="s">
        <v>18</v>
      </c>
      <c r="G6975" s="15" t="s">
        <v>30</v>
      </c>
      <c r="H6975" s="15" t="n">
        <v>4</v>
      </c>
      <c r="I6975" s="17" t="n">
        <v>0.3</v>
      </c>
      <c r="J6975" s="18" t="n">
        <v>154.49</v>
      </c>
      <c r="K6975" s="19" t="n">
        <v>5.82</v>
      </c>
      <c r="L6975" s="15" t="n">
        <f aca="false">YEAR(B6975)</f>
        <v>2022</v>
      </c>
      <c r="M6975" s="20" t="n">
        <f aca="false">IF(J6975&gt;0,K6975/J6975,0)</f>
        <v>0.037672341251861</v>
      </c>
    </row>
    <row r="6976" customFormat="false" ht="15" hidden="false" customHeight="false" outlineLevel="0" collapsed="false">
      <c r="A6976" s="15" t="s">
        <v>7033</v>
      </c>
      <c r="B6976" s="16" t="n">
        <v>45627</v>
      </c>
      <c r="C6976" s="15" t="s">
        <v>56</v>
      </c>
      <c r="D6976" s="15" t="s">
        <v>42</v>
      </c>
      <c r="E6976" s="15" t="s">
        <v>38</v>
      </c>
      <c r="F6976" s="15" t="s">
        <v>18</v>
      </c>
      <c r="G6976" s="15" t="s">
        <v>33</v>
      </c>
      <c r="H6976" s="15" t="n">
        <v>5</v>
      </c>
      <c r="I6976" s="17" t="n">
        <v>0.1</v>
      </c>
      <c r="J6976" s="18" t="n">
        <v>3079.44</v>
      </c>
      <c r="K6976" s="19" t="n">
        <v>656.36</v>
      </c>
      <c r="L6976" s="15" t="n">
        <f aca="false">YEAR(B6976)</f>
        <v>2024</v>
      </c>
      <c r="M6976" s="20" t="n">
        <f aca="false">IF(J6976&gt;0,K6976/J6976,0)</f>
        <v>0.213142649312862</v>
      </c>
    </row>
    <row r="6977" customFormat="false" ht="15" hidden="false" customHeight="false" outlineLevel="0" collapsed="false">
      <c r="A6977" s="15" t="s">
        <v>7034</v>
      </c>
      <c r="B6977" s="16" t="n">
        <v>44703</v>
      </c>
      <c r="C6977" s="15" t="s">
        <v>56</v>
      </c>
      <c r="D6977" s="15" t="s">
        <v>43</v>
      </c>
      <c r="E6977" s="15" t="s">
        <v>37</v>
      </c>
      <c r="F6977" s="15" t="s">
        <v>17</v>
      </c>
      <c r="G6977" s="15" t="s">
        <v>28</v>
      </c>
      <c r="H6977" s="15" t="n">
        <v>2</v>
      </c>
      <c r="I6977" s="17" t="n">
        <v>0.05</v>
      </c>
      <c r="J6977" s="18" t="n">
        <v>40.67</v>
      </c>
      <c r="K6977" s="19" t="n">
        <v>13.68</v>
      </c>
      <c r="L6977" s="15" t="n">
        <f aca="false">YEAR(B6977)</f>
        <v>2022</v>
      </c>
      <c r="M6977" s="20" t="n">
        <f aca="false">IF(J6977&gt;0,K6977/J6977,0)</f>
        <v>0.336365871649865</v>
      </c>
    </row>
    <row r="6978" customFormat="false" ht="15" hidden="false" customHeight="false" outlineLevel="0" collapsed="false">
      <c r="A6978" s="15" t="s">
        <v>7035</v>
      </c>
      <c r="B6978" s="16" t="n">
        <v>45038</v>
      </c>
      <c r="C6978" s="15" t="s">
        <v>71</v>
      </c>
      <c r="D6978" s="15" t="s">
        <v>43</v>
      </c>
      <c r="E6978" s="15" t="s">
        <v>39</v>
      </c>
      <c r="F6978" s="15" t="s">
        <v>17</v>
      </c>
      <c r="G6978" s="15" t="s">
        <v>26</v>
      </c>
      <c r="H6978" s="15" t="n">
        <v>6</v>
      </c>
      <c r="I6978" s="17" t="n">
        <v>0</v>
      </c>
      <c r="J6978" s="18" t="n">
        <v>561.13</v>
      </c>
      <c r="K6978" s="19" t="n">
        <v>69.51</v>
      </c>
      <c r="L6978" s="15" t="n">
        <f aca="false">YEAR(B6978)</f>
        <v>2023</v>
      </c>
      <c r="M6978" s="20" t="n">
        <f aca="false">IF(J6978&gt;0,K6978/J6978,0)</f>
        <v>0.123875037870012</v>
      </c>
    </row>
    <row r="6979" customFormat="false" ht="15" hidden="false" customHeight="false" outlineLevel="0" collapsed="false">
      <c r="A6979" s="15" t="s">
        <v>7036</v>
      </c>
      <c r="B6979" s="16" t="n">
        <v>45710</v>
      </c>
      <c r="C6979" s="15" t="s">
        <v>56</v>
      </c>
      <c r="D6979" s="15" t="s">
        <v>42</v>
      </c>
      <c r="E6979" s="15" t="s">
        <v>38</v>
      </c>
      <c r="F6979" s="15" t="s">
        <v>18</v>
      </c>
      <c r="G6979" s="15" t="s">
        <v>24</v>
      </c>
      <c r="H6979" s="15" t="n">
        <v>1</v>
      </c>
      <c r="I6979" s="17" t="n">
        <v>0.4</v>
      </c>
      <c r="J6979" s="18" t="n">
        <v>346.6</v>
      </c>
      <c r="K6979" s="19" t="n">
        <v>-99.51</v>
      </c>
      <c r="L6979" s="15" t="n">
        <f aca="false">YEAR(B6979)</f>
        <v>2025</v>
      </c>
      <c r="M6979" s="20" t="n">
        <f aca="false">IF(J6979&gt;0,K6979/J6979,0)</f>
        <v>-0.287103289094057</v>
      </c>
    </row>
    <row r="6980" customFormat="false" ht="15" hidden="false" customHeight="false" outlineLevel="0" collapsed="false">
      <c r="A6980" s="15" t="s">
        <v>7037</v>
      </c>
      <c r="B6980" s="16" t="n">
        <v>45595</v>
      </c>
      <c r="C6980" s="15" t="s">
        <v>56</v>
      </c>
      <c r="D6980" s="15" t="s">
        <v>42</v>
      </c>
      <c r="E6980" s="15" t="s">
        <v>37</v>
      </c>
      <c r="F6980" s="15" t="s">
        <v>16</v>
      </c>
      <c r="G6980" s="15" t="s">
        <v>25</v>
      </c>
      <c r="H6980" s="15" t="n">
        <v>4</v>
      </c>
      <c r="I6980" s="17" t="n">
        <v>0.1</v>
      </c>
      <c r="J6980" s="18" t="n">
        <v>1153.12</v>
      </c>
      <c r="K6980" s="19" t="n">
        <v>-22.95</v>
      </c>
      <c r="L6980" s="15" t="n">
        <f aca="false">YEAR(B6980)</f>
        <v>2024</v>
      </c>
      <c r="M6980" s="20" t="n">
        <f aca="false">IF(J6980&gt;0,K6980/J6980,0)</f>
        <v>-0.019902525322603</v>
      </c>
    </row>
    <row r="6981" customFormat="false" ht="15" hidden="false" customHeight="false" outlineLevel="0" collapsed="false">
      <c r="A6981" s="15" t="s">
        <v>7038</v>
      </c>
      <c r="B6981" s="16" t="n">
        <v>45876</v>
      </c>
      <c r="C6981" s="15" t="s">
        <v>56</v>
      </c>
      <c r="D6981" s="15" t="s">
        <v>42</v>
      </c>
      <c r="E6981" s="15" t="s">
        <v>38</v>
      </c>
      <c r="F6981" s="15" t="s">
        <v>17</v>
      </c>
      <c r="G6981" s="15" t="s">
        <v>26</v>
      </c>
      <c r="H6981" s="15" t="n">
        <v>3</v>
      </c>
      <c r="I6981" s="17" t="n">
        <v>0</v>
      </c>
      <c r="J6981" s="18" t="n">
        <v>232.91</v>
      </c>
      <c r="K6981" s="19" t="n">
        <v>26.59</v>
      </c>
      <c r="L6981" s="15" t="n">
        <f aca="false">YEAR(B6981)</f>
        <v>2025</v>
      </c>
      <c r="M6981" s="20" t="n">
        <f aca="false">IF(J6981&gt;0,K6981/J6981,0)</f>
        <v>0.114164269460307</v>
      </c>
    </row>
    <row r="6982" customFormat="false" ht="15" hidden="false" customHeight="false" outlineLevel="0" collapsed="false">
      <c r="A6982" s="15" t="s">
        <v>7039</v>
      </c>
      <c r="B6982" s="16" t="n">
        <v>45834</v>
      </c>
      <c r="C6982" s="15" t="s">
        <v>56</v>
      </c>
      <c r="D6982" s="15" t="s">
        <v>43</v>
      </c>
      <c r="E6982" s="15" t="s">
        <v>36</v>
      </c>
      <c r="F6982" s="15" t="s">
        <v>17</v>
      </c>
      <c r="G6982" s="15" t="s">
        <v>29</v>
      </c>
      <c r="H6982" s="15" t="n">
        <v>3</v>
      </c>
      <c r="I6982" s="17" t="n">
        <v>0.05</v>
      </c>
      <c r="J6982" s="18" t="n">
        <v>46.79</v>
      </c>
      <c r="K6982" s="19" t="n">
        <v>14.69</v>
      </c>
      <c r="L6982" s="15" t="n">
        <f aca="false">YEAR(B6982)</f>
        <v>2025</v>
      </c>
      <c r="M6982" s="20" t="n">
        <f aca="false">IF(J6982&gt;0,K6982/J6982,0)</f>
        <v>0.313955973498611</v>
      </c>
    </row>
    <row r="6983" customFormat="false" ht="15" hidden="false" customHeight="false" outlineLevel="0" collapsed="false">
      <c r="A6983" s="15" t="s">
        <v>7040</v>
      </c>
      <c r="B6983" s="16" t="n">
        <v>44847</v>
      </c>
      <c r="C6983" s="15" t="s">
        <v>56</v>
      </c>
      <c r="D6983" s="15" t="s">
        <v>42</v>
      </c>
      <c r="E6983" s="15" t="s">
        <v>37</v>
      </c>
      <c r="F6983" s="15" t="s">
        <v>17</v>
      </c>
      <c r="G6983" s="15" t="s">
        <v>29</v>
      </c>
      <c r="H6983" s="15" t="n">
        <v>4</v>
      </c>
      <c r="I6983" s="17" t="n">
        <v>0.05</v>
      </c>
      <c r="J6983" s="18" t="n">
        <v>67.12</v>
      </c>
      <c r="K6983" s="19" t="n">
        <v>22.92</v>
      </c>
      <c r="L6983" s="15" t="n">
        <f aca="false">YEAR(B6983)</f>
        <v>2022</v>
      </c>
      <c r="M6983" s="20" t="n">
        <f aca="false">IF(J6983&gt;0,K6983/J6983,0)</f>
        <v>0.341477949940405</v>
      </c>
    </row>
    <row r="6984" customFormat="false" ht="15" hidden="false" customHeight="false" outlineLevel="0" collapsed="false">
      <c r="A6984" s="15" t="s">
        <v>7041</v>
      </c>
      <c r="B6984" s="16" t="n">
        <v>45916</v>
      </c>
      <c r="C6984" s="15" t="s">
        <v>56</v>
      </c>
      <c r="D6984" s="15" t="s">
        <v>42</v>
      </c>
      <c r="E6984" s="15" t="s">
        <v>37</v>
      </c>
      <c r="F6984" s="15" t="s">
        <v>17</v>
      </c>
      <c r="G6984" s="15" t="s">
        <v>31</v>
      </c>
      <c r="H6984" s="15" t="n">
        <v>2</v>
      </c>
      <c r="I6984" s="17" t="n">
        <v>0.1</v>
      </c>
      <c r="J6984" s="18" t="n">
        <v>204.4</v>
      </c>
      <c r="K6984" s="19" t="n">
        <v>15.67</v>
      </c>
      <c r="L6984" s="15" t="n">
        <f aca="false">YEAR(B6984)</f>
        <v>2025</v>
      </c>
      <c r="M6984" s="20" t="n">
        <f aca="false">IF(J6984&gt;0,K6984/J6984,0)</f>
        <v>0.0766634050880626</v>
      </c>
    </row>
    <row r="6985" customFormat="false" ht="15" hidden="false" customHeight="false" outlineLevel="0" collapsed="false">
      <c r="A6985" s="15" t="s">
        <v>7042</v>
      </c>
      <c r="B6985" s="16" t="n">
        <v>45472</v>
      </c>
      <c r="C6985" s="15" t="s">
        <v>71</v>
      </c>
      <c r="D6985" s="15" t="s">
        <v>42</v>
      </c>
      <c r="E6985" s="15" t="s">
        <v>39</v>
      </c>
      <c r="F6985" s="15" t="s">
        <v>16</v>
      </c>
      <c r="G6985" s="15" t="s">
        <v>27</v>
      </c>
      <c r="H6985" s="15" t="n">
        <v>1</v>
      </c>
      <c r="I6985" s="17" t="n">
        <v>0.3</v>
      </c>
      <c r="J6985" s="18" t="n">
        <v>47.95</v>
      </c>
      <c r="K6985" s="19" t="n">
        <v>-3.51</v>
      </c>
      <c r="L6985" s="15" t="n">
        <f aca="false">YEAR(B6985)</f>
        <v>2024</v>
      </c>
      <c r="M6985" s="20" t="n">
        <f aca="false">IF(J6985&gt;0,K6985/J6985,0)</f>
        <v>-0.0732012513034411</v>
      </c>
    </row>
    <row r="6986" customFormat="false" ht="15" hidden="false" customHeight="false" outlineLevel="0" collapsed="false">
      <c r="A6986" s="15" t="s">
        <v>7043</v>
      </c>
      <c r="B6986" s="16" t="n">
        <v>45935</v>
      </c>
      <c r="C6986" s="15" t="s">
        <v>56</v>
      </c>
      <c r="D6986" s="15" t="s">
        <v>43</v>
      </c>
      <c r="E6986" s="15" t="s">
        <v>37</v>
      </c>
      <c r="F6986" s="15" t="s">
        <v>18</v>
      </c>
      <c r="G6986" s="15" t="s">
        <v>24</v>
      </c>
      <c r="H6986" s="15" t="n">
        <v>4</v>
      </c>
      <c r="I6986" s="17" t="n">
        <v>0.2</v>
      </c>
      <c r="J6986" s="18" t="n">
        <v>1995.48</v>
      </c>
      <c r="K6986" s="19" t="n">
        <v>-200.92</v>
      </c>
      <c r="L6986" s="15" t="n">
        <f aca="false">YEAR(B6986)</f>
        <v>2025</v>
      </c>
      <c r="M6986" s="20" t="n">
        <f aca="false">IF(J6986&gt;0,K6986/J6986,0)</f>
        <v>-0.10068755387175</v>
      </c>
    </row>
    <row r="6987" customFormat="false" ht="15" hidden="false" customHeight="false" outlineLevel="0" collapsed="false">
      <c r="A6987" s="15" t="s">
        <v>7044</v>
      </c>
      <c r="B6987" s="16" t="n">
        <v>45606</v>
      </c>
      <c r="C6987" s="15" t="s">
        <v>71</v>
      </c>
      <c r="D6987" s="15" t="s">
        <v>42</v>
      </c>
      <c r="E6987" s="15" t="s">
        <v>38</v>
      </c>
      <c r="F6987" s="15" t="s">
        <v>18</v>
      </c>
      <c r="G6987" s="15" t="s">
        <v>30</v>
      </c>
      <c r="H6987" s="15" t="n">
        <v>4</v>
      </c>
      <c r="I6987" s="17" t="n">
        <v>0</v>
      </c>
      <c r="J6987" s="18" t="n">
        <v>173.98</v>
      </c>
      <c r="K6987" s="19" t="n">
        <v>51.89</v>
      </c>
      <c r="L6987" s="15" t="n">
        <f aca="false">YEAR(B6987)</f>
        <v>2024</v>
      </c>
      <c r="M6987" s="20" t="n">
        <f aca="false">IF(J6987&gt;0,K6987/J6987,0)</f>
        <v>0.298252672721002</v>
      </c>
    </row>
    <row r="6988" customFormat="false" ht="15" hidden="false" customHeight="false" outlineLevel="0" collapsed="false">
      <c r="A6988" s="15" t="s">
        <v>7045</v>
      </c>
      <c r="B6988" s="16" t="n">
        <v>45583</v>
      </c>
      <c r="C6988" s="15" t="s">
        <v>56</v>
      </c>
      <c r="D6988" s="15" t="s">
        <v>42</v>
      </c>
      <c r="E6988" s="15" t="s">
        <v>38</v>
      </c>
      <c r="F6988" s="15" t="s">
        <v>18</v>
      </c>
      <c r="G6988" s="15" t="s">
        <v>30</v>
      </c>
      <c r="H6988" s="15" t="n">
        <v>5</v>
      </c>
      <c r="I6988" s="17" t="n">
        <v>0.1</v>
      </c>
      <c r="J6988" s="18" t="n">
        <v>194.61</v>
      </c>
      <c r="K6988" s="19" t="n">
        <v>35.95</v>
      </c>
      <c r="L6988" s="15" t="n">
        <f aca="false">YEAR(B6988)</f>
        <v>2024</v>
      </c>
      <c r="M6988" s="20" t="n">
        <f aca="false">IF(J6988&gt;0,K6988/J6988,0)</f>
        <v>0.184728431221417</v>
      </c>
    </row>
    <row r="6989" customFormat="false" ht="15" hidden="false" customHeight="false" outlineLevel="0" collapsed="false">
      <c r="A6989" s="15" t="s">
        <v>7046</v>
      </c>
      <c r="B6989" s="16" t="n">
        <v>44962</v>
      </c>
      <c r="C6989" s="15" t="s">
        <v>71</v>
      </c>
      <c r="D6989" s="15" t="s">
        <v>42</v>
      </c>
      <c r="E6989" s="15" t="s">
        <v>39</v>
      </c>
      <c r="F6989" s="15" t="s">
        <v>18</v>
      </c>
      <c r="G6989" s="15" t="s">
        <v>30</v>
      </c>
      <c r="H6989" s="15" t="n">
        <v>8</v>
      </c>
      <c r="I6989" s="17" t="n">
        <v>0</v>
      </c>
      <c r="J6989" s="18" t="n">
        <v>409.45</v>
      </c>
      <c r="K6989" s="19" t="n">
        <v>117.87</v>
      </c>
      <c r="L6989" s="15" t="n">
        <f aca="false">YEAR(B6989)</f>
        <v>2023</v>
      </c>
      <c r="M6989" s="20" t="n">
        <f aca="false">IF(J6989&gt;0,K6989/J6989,0)</f>
        <v>0.287873977286604</v>
      </c>
    </row>
    <row r="6990" customFormat="false" ht="15" hidden="false" customHeight="false" outlineLevel="0" collapsed="false">
      <c r="A6990" s="15" t="s">
        <v>7047</v>
      </c>
      <c r="B6990" s="16" t="n">
        <v>45087</v>
      </c>
      <c r="C6990" s="15" t="s">
        <v>56</v>
      </c>
      <c r="D6990" s="15" t="s">
        <v>42</v>
      </c>
      <c r="E6990" s="15" t="s">
        <v>37</v>
      </c>
      <c r="F6990" s="15" t="s">
        <v>17</v>
      </c>
      <c r="G6990" s="15" t="s">
        <v>31</v>
      </c>
      <c r="H6990" s="15" t="n">
        <v>6</v>
      </c>
      <c r="I6990" s="17" t="n">
        <v>0</v>
      </c>
      <c r="J6990" s="18" t="n">
        <v>798.6</v>
      </c>
      <c r="K6990" s="19" t="n">
        <v>107.79</v>
      </c>
      <c r="L6990" s="15" t="n">
        <f aca="false">YEAR(B6990)</f>
        <v>2023</v>
      </c>
      <c r="M6990" s="20" t="n">
        <f aca="false">IF(J6990&gt;0,K6990/J6990,0)</f>
        <v>0.134973703981968</v>
      </c>
    </row>
    <row r="6991" customFormat="false" ht="15" hidden="false" customHeight="false" outlineLevel="0" collapsed="false">
      <c r="A6991" s="15" t="s">
        <v>7048</v>
      </c>
      <c r="B6991" s="16" t="n">
        <v>44636</v>
      </c>
      <c r="C6991" s="15" t="s">
        <v>58</v>
      </c>
      <c r="D6991" s="15" t="s">
        <v>42</v>
      </c>
      <c r="E6991" s="15" t="s">
        <v>36</v>
      </c>
      <c r="F6991" s="15" t="s">
        <v>17</v>
      </c>
      <c r="G6991" s="15" t="s">
        <v>26</v>
      </c>
      <c r="H6991" s="15" t="n">
        <v>6</v>
      </c>
      <c r="I6991" s="17" t="n">
        <v>0.15</v>
      </c>
      <c r="J6991" s="18" t="n">
        <v>379.84</v>
      </c>
      <c r="K6991" s="19" t="n">
        <v>-17.13</v>
      </c>
      <c r="L6991" s="15" t="n">
        <f aca="false">YEAR(B6991)</f>
        <v>2022</v>
      </c>
      <c r="M6991" s="20" t="n">
        <f aca="false">IF(J6991&gt;0,K6991/J6991,0)</f>
        <v>-0.0450979359730413</v>
      </c>
    </row>
    <row r="6992" customFormat="false" ht="15" hidden="false" customHeight="false" outlineLevel="0" collapsed="false">
      <c r="A6992" s="15" t="s">
        <v>7049</v>
      </c>
      <c r="B6992" s="16" t="n">
        <v>44715</v>
      </c>
      <c r="C6992" s="15" t="s">
        <v>58</v>
      </c>
      <c r="D6992" s="15" t="s">
        <v>42</v>
      </c>
      <c r="E6992" s="15" t="s">
        <v>36</v>
      </c>
      <c r="F6992" s="15" t="s">
        <v>17</v>
      </c>
      <c r="G6992" s="15" t="s">
        <v>29</v>
      </c>
      <c r="H6992" s="15" t="n">
        <v>3</v>
      </c>
      <c r="I6992" s="17" t="n">
        <v>0</v>
      </c>
      <c r="J6992" s="18" t="n">
        <v>49.62</v>
      </c>
      <c r="K6992" s="19" t="n">
        <v>18.43</v>
      </c>
      <c r="L6992" s="15" t="n">
        <f aca="false">YEAR(B6992)</f>
        <v>2022</v>
      </c>
      <c r="M6992" s="20" t="n">
        <f aca="false">IF(J6992&gt;0,K6992/J6992,0)</f>
        <v>0.371422813381701</v>
      </c>
    </row>
    <row r="6993" customFormat="false" ht="15" hidden="false" customHeight="false" outlineLevel="0" collapsed="false">
      <c r="A6993" s="15" t="s">
        <v>7050</v>
      </c>
      <c r="B6993" s="16" t="n">
        <v>45818</v>
      </c>
      <c r="C6993" s="15" t="s">
        <v>56</v>
      </c>
      <c r="D6993" s="15" t="s">
        <v>43</v>
      </c>
      <c r="E6993" s="15" t="s">
        <v>36</v>
      </c>
      <c r="F6993" s="15" t="s">
        <v>18</v>
      </c>
      <c r="G6993" s="15" t="s">
        <v>30</v>
      </c>
      <c r="H6993" s="15" t="n">
        <v>3</v>
      </c>
      <c r="I6993" s="17" t="n">
        <v>0.2</v>
      </c>
      <c r="J6993" s="18" t="n">
        <v>114.58</v>
      </c>
      <c r="K6993" s="19" t="n">
        <v>11.53</v>
      </c>
      <c r="L6993" s="15" t="n">
        <f aca="false">YEAR(B6993)</f>
        <v>2025</v>
      </c>
      <c r="M6993" s="20" t="n">
        <f aca="false">IF(J6993&gt;0,K6993/J6993,0)</f>
        <v>0.100628381916565</v>
      </c>
    </row>
    <row r="6994" customFormat="false" ht="15" hidden="false" customHeight="false" outlineLevel="0" collapsed="false">
      <c r="A6994" s="15" t="s">
        <v>7051</v>
      </c>
      <c r="B6994" s="16" t="n">
        <v>45168</v>
      </c>
      <c r="C6994" s="15" t="s">
        <v>56</v>
      </c>
      <c r="D6994" s="15" t="s">
        <v>42</v>
      </c>
      <c r="E6994" s="15" t="s">
        <v>36</v>
      </c>
      <c r="F6994" s="15" t="s">
        <v>17</v>
      </c>
      <c r="G6994" s="15" t="s">
        <v>26</v>
      </c>
      <c r="H6994" s="15" t="n">
        <v>10</v>
      </c>
      <c r="I6994" s="17" t="n">
        <v>0.1</v>
      </c>
      <c r="J6994" s="18" t="n">
        <v>767.75</v>
      </c>
      <c r="K6994" s="19" t="n">
        <v>68.99</v>
      </c>
      <c r="L6994" s="15" t="n">
        <f aca="false">YEAR(B6994)</f>
        <v>2023</v>
      </c>
      <c r="M6994" s="20" t="n">
        <f aca="false">IF(J6994&gt;0,K6994/J6994,0)</f>
        <v>0.0898599804623901</v>
      </c>
    </row>
    <row r="6995" customFormat="false" ht="15" hidden="false" customHeight="false" outlineLevel="0" collapsed="false">
      <c r="A6995" s="15" t="s">
        <v>7052</v>
      </c>
      <c r="B6995" s="16" t="n">
        <v>45230</v>
      </c>
      <c r="C6995" s="15" t="s">
        <v>56</v>
      </c>
      <c r="D6995" s="15" t="s">
        <v>43</v>
      </c>
      <c r="E6995" s="15" t="s">
        <v>36</v>
      </c>
      <c r="F6995" s="15" t="s">
        <v>16</v>
      </c>
      <c r="G6995" s="15" t="s">
        <v>25</v>
      </c>
      <c r="H6995" s="15" t="n">
        <v>3</v>
      </c>
      <c r="I6995" s="17" t="n">
        <v>0.4</v>
      </c>
      <c r="J6995" s="18" t="n">
        <v>457.18</v>
      </c>
      <c r="K6995" s="19" t="n">
        <v>-112.36</v>
      </c>
      <c r="L6995" s="15" t="n">
        <f aca="false">YEAR(B6995)</f>
        <v>2023</v>
      </c>
      <c r="M6995" s="20" t="n">
        <f aca="false">IF(J6995&gt;0,K6995/J6995,0)</f>
        <v>-0.245767531388075</v>
      </c>
    </row>
    <row r="6996" customFormat="false" ht="15" hidden="false" customHeight="false" outlineLevel="0" collapsed="false">
      <c r="A6996" s="15" t="s">
        <v>7053</v>
      </c>
      <c r="B6996" s="16" t="n">
        <v>45668</v>
      </c>
      <c r="C6996" s="15" t="s">
        <v>56</v>
      </c>
      <c r="D6996" s="15" t="s">
        <v>42</v>
      </c>
      <c r="E6996" s="15" t="s">
        <v>37</v>
      </c>
      <c r="F6996" s="15" t="s">
        <v>17</v>
      </c>
      <c r="G6996" s="15" t="s">
        <v>29</v>
      </c>
      <c r="H6996" s="15" t="n">
        <v>2</v>
      </c>
      <c r="I6996" s="17" t="n">
        <v>0</v>
      </c>
      <c r="J6996" s="18" t="n">
        <v>40.11</v>
      </c>
      <c r="K6996" s="19" t="n">
        <v>15.58</v>
      </c>
      <c r="L6996" s="15" t="n">
        <f aca="false">YEAR(B6996)</f>
        <v>2025</v>
      </c>
      <c r="M6996" s="20" t="n">
        <f aca="false">IF(J6996&gt;0,K6996/J6996,0)</f>
        <v>0.388431812515582</v>
      </c>
    </row>
    <row r="6997" customFormat="false" ht="15" hidden="false" customHeight="false" outlineLevel="0" collapsed="false">
      <c r="A6997" s="15" t="s">
        <v>7054</v>
      </c>
      <c r="B6997" s="16" t="n">
        <v>45965</v>
      </c>
      <c r="C6997" s="15" t="s">
        <v>68</v>
      </c>
      <c r="D6997" s="15" t="s">
        <v>42</v>
      </c>
      <c r="E6997" s="15" t="s">
        <v>37</v>
      </c>
      <c r="F6997" s="15" t="s">
        <v>18</v>
      </c>
      <c r="G6997" s="15" t="s">
        <v>30</v>
      </c>
      <c r="H6997" s="15" t="n">
        <v>4</v>
      </c>
      <c r="I6997" s="17" t="n">
        <v>0</v>
      </c>
      <c r="J6997" s="18" t="n">
        <v>172.61</v>
      </c>
      <c r="K6997" s="19" t="n">
        <v>45.13</v>
      </c>
      <c r="L6997" s="15" t="n">
        <f aca="false">YEAR(B6997)</f>
        <v>2025</v>
      </c>
      <c r="M6997" s="20" t="n">
        <f aca="false">IF(J6997&gt;0,K6997/J6997,0)</f>
        <v>0.261456462545623</v>
      </c>
    </row>
    <row r="6998" customFormat="false" ht="15" hidden="false" customHeight="false" outlineLevel="0" collapsed="false">
      <c r="A6998" s="15" t="s">
        <v>7055</v>
      </c>
      <c r="B6998" s="16" t="n">
        <v>45373</v>
      </c>
      <c r="C6998" s="15" t="s">
        <v>56</v>
      </c>
      <c r="D6998" s="15" t="s">
        <v>43</v>
      </c>
      <c r="E6998" s="15" t="s">
        <v>36</v>
      </c>
      <c r="F6998" s="15" t="s">
        <v>18</v>
      </c>
      <c r="G6998" s="15" t="s">
        <v>30</v>
      </c>
      <c r="H6998" s="15" t="n">
        <v>2</v>
      </c>
      <c r="I6998" s="17" t="n">
        <v>0.15</v>
      </c>
      <c r="J6998" s="18" t="n">
        <v>84.21</v>
      </c>
      <c r="K6998" s="19" t="n">
        <v>8.59</v>
      </c>
      <c r="L6998" s="15" t="n">
        <f aca="false">YEAR(B6998)</f>
        <v>2024</v>
      </c>
      <c r="M6998" s="20" t="n">
        <f aca="false">IF(J6998&gt;0,K6998/J6998,0)</f>
        <v>0.102006887543047</v>
      </c>
    </row>
    <row r="6999" customFormat="false" ht="15" hidden="false" customHeight="false" outlineLevel="0" collapsed="false">
      <c r="A6999" s="15" t="s">
        <v>7056</v>
      </c>
      <c r="B6999" s="16" t="n">
        <v>45297</v>
      </c>
      <c r="C6999" s="15" t="s">
        <v>56</v>
      </c>
      <c r="D6999" s="15" t="s">
        <v>43</v>
      </c>
      <c r="E6999" s="15" t="s">
        <v>38</v>
      </c>
      <c r="F6999" s="15" t="s">
        <v>18</v>
      </c>
      <c r="G6999" s="15" t="s">
        <v>30</v>
      </c>
      <c r="H6999" s="15" t="n">
        <v>3</v>
      </c>
      <c r="I6999" s="17" t="n">
        <v>0.1</v>
      </c>
      <c r="J6999" s="18" t="n">
        <v>127.44</v>
      </c>
      <c r="K6999" s="19" t="n">
        <v>29.09</v>
      </c>
      <c r="L6999" s="15" t="n">
        <f aca="false">YEAR(B6999)</f>
        <v>2024</v>
      </c>
      <c r="M6999" s="20" t="n">
        <f aca="false">IF(J6999&gt;0,K6999/J6999,0)</f>
        <v>0.228264281230383</v>
      </c>
    </row>
    <row r="7000" customFormat="false" ht="15" hidden="false" customHeight="false" outlineLevel="0" collapsed="false">
      <c r="A7000" s="15" t="s">
        <v>7057</v>
      </c>
      <c r="B7000" s="16" t="n">
        <v>46003</v>
      </c>
      <c r="C7000" s="15" t="s">
        <v>56</v>
      </c>
      <c r="D7000" s="15" t="s">
        <v>43</v>
      </c>
      <c r="E7000" s="15" t="s">
        <v>39</v>
      </c>
      <c r="F7000" s="15" t="s">
        <v>17</v>
      </c>
      <c r="G7000" s="15" t="s">
        <v>29</v>
      </c>
      <c r="H7000" s="15" t="n">
        <v>7</v>
      </c>
      <c r="I7000" s="17" t="n">
        <v>0</v>
      </c>
      <c r="J7000" s="18" t="n">
        <v>147.59</v>
      </c>
      <c r="K7000" s="19" t="n">
        <v>50.77</v>
      </c>
      <c r="L7000" s="15" t="n">
        <f aca="false">YEAR(B7000)</f>
        <v>2025</v>
      </c>
      <c r="M7000" s="20" t="n">
        <f aca="false">IF(J7000&gt;0,K7000/J7000,0)</f>
        <v>0.343993495494275</v>
      </c>
    </row>
    <row r="7001" customFormat="false" ht="15" hidden="false" customHeight="false" outlineLevel="0" collapsed="false">
      <c r="A7001" s="15" t="s">
        <v>7058</v>
      </c>
      <c r="B7001" s="16" t="n">
        <v>45557</v>
      </c>
      <c r="C7001" s="15" t="s">
        <v>68</v>
      </c>
      <c r="D7001" s="15" t="s">
        <v>43</v>
      </c>
      <c r="E7001" s="15" t="s">
        <v>36</v>
      </c>
      <c r="F7001" s="15" t="s">
        <v>17</v>
      </c>
      <c r="G7001" s="15" t="s">
        <v>26</v>
      </c>
      <c r="H7001" s="15" t="n">
        <v>3</v>
      </c>
      <c r="I7001" s="17" t="n">
        <v>0.1</v>
      </c>
      <c r="J7001" s="18" t="n">
        <v>186.98</v>
      </c>
      <c r="K7001" s="19" t="n">
        <v>-0.76</v>
      </c>
      <c r="L7001" s="15" t="n">
        <f aca="false">YEAR(B7001)</f>
        <v>2024</v>
      </c>
      <c r="M7001" s="20" t="n">
        <f aca="false">IF(J7001&gt;0,K7001/J7001,0)</f>
        <v>-0.00406460584019681</v>
      </c>
    </row>
    <row r="7002" customFormat="false" ht="15" hidden="false" customHeight="false" outlineLevel="0" collapsed="false">
      <c r="A7002" s="15" t="s">
        <v>7059</v>
      </c>
      <c r="B7002" s="16" t="n">
        <v>45560</v>
      </c>
      <c r="C7002" s="15" t="s">
        <v>71</v>
      </c>
      <c r="D7002" s="15" t="s">
        <v>42</v>
      </c>
      <c r="E7002" s="15" t="s">
        <v>39</v>
      </c>
      <c r="F7002" s="15" t="s">
        <v>16</v>
      </c>
      <c r="G7002" s="15" t="s">
        <v>25</v>
      </c>
      <c r="H7002" s="15" t="n">
        <v>2</v>
      </c>
      <c r="I7002" s="17" t="n">
        <v>0.1</v>
      </c>
      <c r="J7002" s="18" t="n">
        <v>551.07</v>
      </c>
      <c r="K7002" s="19" t="n">
        <v>-3.77</v>
      </c>
      <c r="L7002" s="15" t="n">
        <f aca="false">YEAR(B7002)</f>
        <v>2024</v>
      </c>
      <c r="M7002" s="20" t="n">
        <f aca="false">IF(J7002&gt;0,K7002/J7002,0)</f>
        <v>-0.0068412361405992</v>
      </c>
    </row>
    <row r="7003" customFormat="false" ht="15" hidden="false" customHeight="false" outlineLevel="0" collapsed="false">
      <c r="A7003" s="15" t="s">
        <v>7060</v>
      </c>
      <c r="B7003" s="16" t="n">
        <v>44974</v>
      </c>
      <c r="C7003" s="15" t="s">
        <v>56</v>
      </c>
      <c r="D7003" s="15" t="s">
        <v>42</v>
      </c>
      <c r="E7003" s="15" t="s">
        <v>38</v>
      </c>
      <c r="F7003" s="15" t="s">
        <v>17</v>
      </c>
      <c r="G7003" s="15" t="s">
        <v>26</v>
      </c>
      <c r="H7003" s="15" t="n">
        <v>6</v>
      </c>
      <c r="I7003" s="17" t="n">
        <v>0</v>
      </c>
      <c r="J7003" s="18" t="n">
        <v>395.81</v>
      </c>
      <c r="K7003" s="19" t="n">
        <v>46.14</v>
      </c>
      <c r="L7003" s="15" t="n">
        <f aca="false">YEAR(B7003)</f>
        <v>2023</v>
      </c>
      <c r="M7003" s="20" t="n">
        <f aca="false">IF(J7003&gt;0,K7003/J7003,0)</f>
        <v>0.116571082084839</v>
      </c>
    </row>
    <row r="7004" customFormat="false" ht="15" hidden="false" customHeight="false" outlineLevel="0" collapsed="false">
      <c r="A7004" s="15" t="s">
        <v>7061</v>
      </c>
      <c r="B7004" s="16" t="n">
        <v>45366</v>
      </c>
      <c r="C7004" s="15" t="s">
        <v>56</v>
      </c>
      <c r="D7004" s="15" t="s">
        <v>43</v>
      </c>
      <c r="E7004" s="15" t="s">
        <v>36</v>
      </c>
      <c r="F7004" s="15" t="s">
        <v>18</v>
      </c>
      <c r="G7004" s="15" t="s">
        <v>33</v>
      </c>
      <c r="H7004" s="15" t="n">
        <v>2</v>
      </c>
      <c r="I7004" s="17" t="n">
        <v>0</v>
      </c>
      <c r="J7004" s="18" t="n">
        <v>1814.22</v>
      </c>
      <c r="K7004" s="19" t="n">
        <v>596.04</v>
      </c>
      <c r="L7004" s="15" t="n">
        <f aca="false">YEAR(B7004)</f>
        <v>2024</v>
      </c>
      <c r="M7004" s="20" t="n">
        <f aca="false">IF(J7004&gt;0,K7004/J7004,0)</f>
        <v>0.328537884049344</v>
      </c>
    </row>
    <row r="7005" customFormat="false" ht="15" hidden="false" customHeight="false" outlineLevel="0" collapsed="false">
      <c r="A7005" s="15" t="s">
        <v>7062</v>
      </c>
      <c r="B7005" s="16" t="n">
        <v>45880</v>
      </c>
      <c r="C7005" s="15" t="s">
        <v>56</v>
      </c>
      <c r="D7005" s="15" t="s">
        <v>42</v>
      </c>
      <c r="E7005" s="15" t="s">
        <v>37</v>
      </c>
      <c r="F7005" s="15" t="s">
        <v>17</v>
      </c>
      <c r="G7005" s="15" t="s">
        <v>29</v>
      </c>
      <c r="H7005" s="15" t="n">
        <v>4</v>
      </c>
      <c r="I7005" s="17" t="n">
        <v>0.05</v>
      </c>
      <c r="J7005" s="18" t="n">
        <v>56.51</v>
      </c>
      <c r="K7005" s="19" t="n">
        <v>23.26</v>
      </c>
      <c r="L7005" s="15" t="n">
        <f aca="false">YEAR(B7005)</f>
        <v>2025</v>
      </c>
      <c r="M7005" s="20" t="n">
        <f aca="false">IF(J7005&gt;0,K7005/J7005,0)</f>
        <v>0.411608564855778</v>
      </c>
    </row>
    <row r="7006" customFormat="false" ht="15" hidden="false" customHeight="false" outlineLevel="0" collapsed="false">
      <c r="A7006" s="15" t="s">
        <v>7063</v>
      </c>
      <c r="B7006" s="16" t="n">
        <v>44991</v>
      </c>
      <c r="C7006" s="15" t="s">
        <v>68</v>
      </c>
      <c r="D7006" s="15" t="s">
        <v>42</v>
      </c>
      <c r="E7006" s="15" t="s">
        <v>37</v>
      </c>
      <c r="F7006" s="15" t="s">
        <v>16</v>
      </c>
      <c r="G7006" s="15" t="s">
        <v>27</v>
      </c>
      <c r="H7006" s="15" t="n">
        <v>4</v>
      </c>
      <c r="I7006" s="17" t="n">
        <v>0</v>
      </c>
      <c r="J7006" s="18" t="n">
        <v>215.84</v>
      </c>
      <c r="K7006" s="19" t="n">
        <v>46.82</v>
      </c>
      <c r="L7006" s="15" t="n">
        <f aca="false">YEAR(B7006)</f>
        <v>2023</v>
      </c>
      <c r="M7006" s="20" t="n">
        <f aca="false">IF(J7006&gt;0,K7006/J7006,0)</f>
        <v>0.216919940696812</v>
      </c>
    </row>
    <row r="7007" customFormat="false" ht="15" hidden="false" customHeight="false" outlineLevel="0" collapsed="false">
      <c r="A7007" s="15" t="s">
        <v>7064</v>
      </c>
      <c r="B7007" s="16" t="n">
        <v>44568</v>
      </c>
      <c r="C7007" s="15" t="s">
        <v>56</v>
      </c>
      <c r="D7007" s="15" t="s">
        <v>42</v>
      </c>
      <c r="E7007" s="15" t="s">
        <v>39</v>
      </c>
      <c r="F7007" s="15" t="s">
        <v>17</v>
      </c>
      <c r="G7007" s="15" t="s">
        <v>26</v>
      </c>
      <c r="H7007" s="15" t="n">
        <v>5</v>
      </c>
      <c r="I7007" s="17" t="n">
        <v>0</v>
      </c>
      <c r="J7007" s="18" t="n">
        <v>516.27</v>
      </c>
      <c r="K7007" s="19" t="n">
        <v>107.96</v>
      </c>
      <c r="L7007" s="15" t="n">
        <f aca="false">YEAR(B7007)</f>
        <v>2022</v>
      </c>
      <c r="M7007" s="20" t="n">
        <f aca="false">IF(J7007&gt;0,K7007/J7007,0)</f>
        <v>0.209115385360373</v>
      </c>
    </row>
    <row r="7008" customFormat="false" ht="15" hidden="false" customHeight="false" outlineLevel="0" collapsed="false">
      <c r="A7008" s="15" t="s">
        <v>7065</v>
      </c>
      <c r="B7008" s="16" t="n">
        <v>44973</v>
      </c>
      <c r="C7008" s="15" t="s">
        <v>68</v>
      </c>
      <c r="D7008" s="15" t="s">
        <v>44</v>
      </c>
      <c r="E7008" s="15" t="s">
        <v>38</v>
      </c>
      <c r="F7008" s="15" t="s">
        <v>17</v>
      </c>
      <c r="G7008" s="15" t="s">
        <v>31</v>
      </c>
      <c r="H7008" s="15" t="n">
        <v>5</v>
      </c>
      <c r="I7008" s="17" t="n">
        <v>0.2</v>
      </c>
      <c r="J7008" s="18" t="n">
        <v>412.97</v>
      </c>
      <c r="K7008" s="19" t="n">
        <v>4.36</v>
      </c>
      <c r="L7008" s="15" t="n">
        <f aca="false">YEAR(B7008)</f>
        <v>2023</v>
      </c>
      <c r="M7008" s="20" t="n">
        <f aca="false">IF(J7008&gt;0,K7008/J7008,0)</f>
        <v>0.0105576676271884</v>
      </c>
    </row>
    <row r="7009" customFormat="false" ht="15" hidden="false" customHeight="false" outlineLevel="0" collapsed="false">
      <c r="A7009" s="15" t="s">
        <v>7066</v>
      </c>
      <c r="B7009" s="16" t="n">
        <v>45284</v>
      </c>
      <c r="C7009" s="15" t="s">
        <v>56</v>
      </c>
      <c r="D7009" s="15" t="s">
        <v>42</v>
      </c>
      <c r="E7009" s="15" t="s">
        <v>37</v>
      </c>
      <c r="F7009" s="15" t="s">
        <v>18</v>
      </c>
      <c r="G7009" s="15" t="s">
        <v>30</v>
      </c>
      <c r="H7009" s="15" t="n">
        <v>3</v>
      </c>
      <c r="I7009" s="17" t="n">
        <v>0.2</v>
      </c>
      <c r="J7009" s="18" t="n">
        <v>103.02</v>
      </c>
      <c r="K7009" s="19" t="n">
        <v>25.16</v>
      </c>
      <c r="L7009" s="15" t="n">
        <f aca="false">YEAR(B7009)</f>
        <v>2023</v>
      </c>
      <c r="M7009" s="20" t="n">
        <f aca="false">IF(J7009&gt;0,K7009/J7009,0)</f>
        <v>0.244224422442244</v>
      </c>
    </row>
    <row r="7010" customFormat="false" ht="15" hidden="false" customHeight="false" outlineLevel="0" collapsed="false">
      <c r="A7010" s="15" t="s">
        <v>7067</v>
      </c>
      <c r="B7010" s="16" t="n">
        <v>45143</v>
      </c>
      <c r="C7010" s="15" t="s">
        <v>56</v>
      </c>
      <c r="D7010" s="15" t="s">
        <v>44</v>
      </c>
      <c r="E7010" s="15" t="s">
        <v>37</v>
      </c>
      <c r="F7010" s="15" t="s">
        <v>16</v>
      </c>
      <c r="G7010" s="15" t="s">
        <v>23</v>
      </c>
      <c r="H7010" s="15" t="n">
        <v>4</v>
      </c>
      <c r="I7010" s="17" t="n">
        <v>0.15</v>
      </c>
      <c r="J7010" s="18" t="n">
        <v>775.52</v>
      </c>
      <c r="K7010" s="19" t="n">
        <v>-44.96</v>
      </c>
      <c r="L7010" s="15" t="n">
        <f aca="false">YEAR(B7010)</f>
        <v>2023</v>
      </c>
      <c r="M7010" s="20" t="n">
        <f aca="false">IF(J7010&gt;0,K7010/J7010,0)</f>
        <v>-0.05797400453889</v>
      </c>
    </row>
    <row r="7011" customFormat="false" ht="15" hidden="false" customHeight="false" outlineLevel="0" collapsed="false">
      <c r="A7011" s="15" t="s">
        <v>7068</v>
      </c>
      <c r="B7011" s="16" t="n">
        <v>45188</v>
      </c>
      <c r="C7011" s="15" t="s">
        <v>68</v>
      </c>
      <c r="D7011" s="15" t="s">
        <v>42</v>
      </c>
      <c r="E7011" s="15" t="s">
        <v>39</v>
      </c>
      <c r="F7011" s="15" t="s">
        <v>16</v>
      </c>
      <c r="G7011" s="15" t="s">
        <v>27</v>
      </c>
      <c r="H7011" s="15" t="n">
        <v>2</v>
      </c>
      <c r="I7011" s="17" t="n">
        <v>0.4</v>
      </c>
      <c r="J7011" s="18" t="n">
        <v>82.52</v>
      </c>
      <c r="K7011" s="19" t="n">
        <v>-17.35</v>
      </c>
      <c r="L7011" s="15" t="n">
        <f aca="false">YEAR(B7011)</f>
        <v>2023</v>
      </c>
      <c r="M7011" s="20" t="n">
        <f aca="false">IF(J7011&gt;0,K7011/J7011,0)</f>
        <v>-0.210252060106641</v>
      </c>
    </row>
    <row r="7012" customFormat="false" ht="15" hidden="false" customHeight="false" outlineLevel="0" collapsed="false">
      <c r="A7012" s="15" t="s">
        <v>7069</v>
      </c>
      <c r="B7012" s="16" t="n">
        <v>45467</v>
      </c>
      <c r="C7012" s="15" t="s">
        <v>68</v>
      </c>
      <c r="D7012" s="15" t="s">
        <v>43</v>
      </c>
      <c r="E7012" s="15" t="s">
        <v>37</v>
      </c>
      <c r="F7012" s="15" t="s">
        <v>17</v>
      </c>
      <c r="G7012" s="15" t="s">
        <v>28</v>
      </c>
      <c r="H7012" s="15" t="n">
        <v>1</v>
      </c>
      <c r="I7012" s="17" t="n">
        <v>0</v>
      </c>
      <c r="J7012" s="18" t="n">
        <v>28.06</v>
      </c>
      <c r="K7012" s="19" t="n">
        <v>6.76</v>
      </c>
      <c r="L7012" s="15" t="n">
        <f aca="false">YEAR(B7012)</f>
        <v>2024</v>
      </c>
      <c r="M7012" s="20" t="n">
        <f aca="false">IF(J7012&gt;0,K7012/J7012,0)</f>
        <v>0.240912330719886</v>
      </c>
    </row>
    <row r="7013" customFormat="false" ht="15" hidden="false" customHeight="false" outlineLevel="0" collapsed="false">
      <c r="A7013" s="15" t="s">
        <v>7070</v>
      </c>
      <c r="B7013" s="16" t="n">
        <v>45272</v>
      </c>
      <c r="C7013" s="15" t="s">
        <v>56</v>
      </c>
      <c r="D7013" s="15" t="s">
        <v>44</v>
      </c>
      <c r="E7013" s="15" t="s">
        <v>37</v>
      </c>
      <c r="F7013" s="15" t="s">
        <v>18</v>
      </c>
      <c r="G7013" s="15" t="s">
        <v>33</v>
      </c>
      <c r="H7013" s="15" t="n">
        <v>4</v>
      </c>
      <c r="I7013" s="17" t="n">
        <v>0.15</v>
      </c>
      <c r="J7013" s="18" t="n">
        <v>2799.47</v>
      </c>
      <c r="K7013" s="19" t="n">
        <v>374.01</v>
      </c>
      <c r="L7013" s="15" t="n">
        <f aca="false">YEAR(B7013)</f>
        <v>2023</v>
      </c>
      <c r="M7013" s="20" t="n">
        <f aca="false">IF(J7013&gt;0,K7013/J7013,0)</f>
        <v>0.133600288626061</v>
      </c>
    </row>
    <row r="7014" customFormat="false" ht="15" hidden="false" customHeight="false" outlineLevel="0" collapsed="false">
      <c r="A7014" s="15" t="s">
        <v>7071</v>
      </c>
      <c r="B7014" s="16" t="n">
        <v>44599</v>
      </c>
      <c r="C7014" s="15" t="s">
        <v>56</v>
      </c>
      <c r="D7014" s="15" t="s">
        <v>42</v>
      </c>
      <c r="E7014" s="15" t="s">
        <v>37</v>
      </c>
      <c r="F7014" s="15" t="s">
        <v>17</v>
      </c>
      <c r="G7014" s="15" t="s">
        <v>29</v>
      </c>
      <c r="H7014" s="15" t="n">
        <v>3</v>
      </c>
      <c r="I7014" s="17" t="n">
        <v>0.05</v>
      </c>
      <c r="J7014" s="18" t="n">
        <v>57.7</v>
      </c>
      <c r="K7014" s="19" t="n">
        <v>19.14</v>
      </c>
      <c r="L7014" s="15" t="n">
        <f aca="false">YEAR(B7014)</f>
        <v>2022</v>
      </c>
      <c r="M7014" s="20" t="n">
        <f aca="false">IF(J7014&gt;0,K7014/J7014,0)</f>
        <v>0.331715771230503</v>
      </c>
    </row>
    <row r="7015" customFormat="false" ht="15" hidden="false" customHeight="false" outlineLevel="0" collapsed="false">
      <c r="A7015" s="15" t="s">
        <v>7072</v>
      </c>
      <c r="B7015" s="16" t="n">
        <v>45818</v>
      </c>
      <c r="C7015" s="15" t="s">
        <v>56</v>
      </c>
      <c r="D7015" s="15" t="s">
        <v>42</v>
      </c>
      <c r="E7015" s="15" t="s">
        <v>37</v>
      </c>
      <c r="F7015" s="15" t="s">
        <v>17</v>
      </c>
      <c r="G7015" s="15" t="s">
        <v>29</v>
      </c>
      <c r="H7015" s="15" t="n">
        <v>6</v>
      </c>
      <c r="I7015" s="17" t="n">
        <v>0.05</v>
      </c>
      <c r="J7015" s="18" t="n">
        <v>112.95</v>
      </c>
      <c r="K7015" s="19" t="n">
        <v>38.8</v>
      </c>
      <c r="L7015" s="15" t="n">
        <f aca="false">YEAR(B7015)</f>
        <v>2025</v>
      </c>
      <c r="M7015" s="20" t="n">
        <f aca="false">IF(J7015&gt;0,K7015/J7015,0)</f>
        <v>0.343514829570606</v>
      </c>
    </row>
    <row r="7016" customFormat="false" ht="15" hidden="false" customHeight="false" outlineLevel="0" collapsed="false">
      <c r="A7016" s="15" t="s">
        <v>7073</v>
      </c>
      <c r="B7016" s="16" t="n">
        <v>45627</v>
      </c>
      <c r="C7016" s="15" t="s">
        <v>56</v>
      </c>
      <c r="D7016" s="15" t="s">
        <v>42</v>
      </c>
      <c r="E7016" s="15" t="s">
        <v>36</v>
      </c>
      <c r="F7016" s="15" t="s">
        <v>16</v>
      </c>
      <c r="G7016" s="15" t="s">
        <v>27</v>
      </c>
      <c r="H7016" s="15" t="n">
        <v>3</v>
      </c>
      <c r="I7016" s="17" t="n">
        <v>0</v>
      </c>
      <c r="J7016" s="18" t="n">
        <v>168.75</v>
      </c>
      <c r="K7016" s="19" t="n">
        <v>36.43</v>
      </c>
      <c r="L7016" s="15" t="n">
        <f aca="false">YEAR(B7016)</f>
        <v>2024</v>
      </c>
      <c r="M7016" s="20" t="n">
        <f aca="false">IF(J7016&gt;0,K7016/J7016,0)</f>
        <v>0.215881481481481</v>
      </c>
    </row>
    <row r="7017" customFormat="false" ht="15" hidden="false" customHeight="false" outlineLevel="0" collapsed="false">
      <c r="A7017" s="15" t="s">
        <v>7074</v>
      </c>
      <c r="B7017" s="16" t="n">
        <v>45022</v>
      </c>
      <c r="C7017" s="15" t="s">
        <v>71</v>
      </c>
      <c r="D7017" s="15" t="s">
        <v>42</v>
      </c>
      <c r="E7017" s="15" t="s">
        <v>39</v>
      </c>
      <c r="F7017" s="15" t="s">
        <v>16</v>
      </c>
      <c r="G7017" s="15" t="s">
        <v>27</v>
      </c>
      <c r="H7017" s="15" t="n">
        <v>3</v>
      </c>
      <c r="I7017" s="17" t="n">
        <v>0</v>
      </c>
      <c r="J7017" s="18" t="n">
        <v>198.99</v>
      </c>
      <c r="K7017" s="19" t="n">
        <v>33.27</v>
      </c>
      <c r="L7017" s="15" t="n">
        <f aca="false">YEAR(B7017)</f>
        <v>2023</v>
      </c>
      <c r="M7017" s="20" t="n">
        <f aca="false">IF(J7017&gt;0,K7017/J7017,0)</f>
        <v>0.167194331373436</v>
      </c>
    </row>
    <row r="7018" customFormat="false" ht="15" hidden="false" customHeight="false" outlineLevel="0" collapsed="false">
      <c r="A7018" s="15" t="s">
        <v>7075</v>
      </c>
      <c r="B7018" s="16" t="n">
        <v>45410</v>
      </c>
      <c r="C7018" s="15" t="s">
        <v>58</v>
      </c>
      <c r="D7018" s="15" t="s">
        <v>44</v>
      </c>
      <c r="E7018" s="15" t="s">
        <v>36</v>
      </c>
      <c r="F7018" s="15" t="s">
        <v>17</v>
      </c>
      <c r="G7018" s="15" t="s">
        <v>29</v>
      </c>
      <c r="H7018" s="15" t="n">
        <v>2</v>
      </c>
      <c r="I7018" s="17" t="n">
        <v>0</v>
      </c>
      <c r="J7018" s="18" t="n">
        <v>43.4</v>
      </c>
      <c r="K7018" s="19" t="n">
        <v>18.86</v>
      </c>
      <c r="L7018" s="15" t="n">
        <f aca="false">YEAR(B7018)</f>
        <v>2024</v>
      </c>
      <c r="M7018" s="20" t="n">
        <f aca="false">IF(J7018&gt;0,K7018/J7018,0)</f>
        <v>0.434562211981567</v>
      </c>
    </row>
    <row r="7019" customFormat="false" ht="15" hidden="false" customHeight="false" outlineLevel="0" collapsed="false">
      <c r="A7019" s="15" t="s">
        <v>7076</v>
      </c>
      <c r="B7019" s="16" t="n">
        <v>44565</v>
      </c>
      <c r="C7019" s="15" t="s">
        <v>56</v>
      </c>
      <c r="D7019" s="15" t="s">
        <v>43</v>
      </c>
      <c r="E7019" s="15" t="s">
        <v>39</v>
      </c>
      <c r="F7019" s="15" t="s">
        <v>16</v>
      </c>
      <c r="G7019" s="15" t="s">
        <v>25</v>
      </c>
      <c r="H7019" s="15" t="n">
        <v>5</v>
      </c>
      <c r="I7019" s="17" t="n">
        <v>0.3</v>
      </c>
      <c r="J7019" s="18" t="n">
        <v>1132.01</v>
      </c>
      <c r="K7019" s="19" t="n">
        <v>-264.63</v>
      </c>
      <c r="L7019" s="15" t="n">
        <f aca="false">YEAR(B7019)</f>
        <v>2022</v>
      </c>
      <c r="M7019" s="20" t="n">
        <f aca="false">IF(J7019&gt;0,K7019/J7019,0)</f>
        <v>-0.233770019699473</v>
      </c>
    </row>
    <row r="7020" customFormat="false" ht="15" hidden="false" customHeight="false" outlineLevel="0" collapsed="false">
      <c r="A7020" s="15" t="s">
        <v>7077</v>
      </c>
      <c r="B7020" s="16" t="n">
        <v>45956</v>
      </c>
      <c r="C7020" s="15" t="s">
        <v>71</v>
      </c>
      <c r="D7020" s="15" t="s">
        <v>44</v>
      </c>
      <c r="E7020" s="15" t="s">
        <v>38</v>
      </c>
      <c r="F7020" s="15" t="s">
        <v>17</v>
      </c>
      <c r="G7020" s="15" t="s">
        <v>26</v>
      </c>
      <c r="H7020" s="15" t="n">
        <v>3</v>
      </c>
      <c r="I7020" s="17" t="n">
        <v>0</v>
      </c>
      <c r="J7020" s="18" t="n">
        <v>215.13</v>
      </c>
      <c r="K7020" s="19" t="n">
        <v>33.98</v>
      </c>
      <c r="L7020" s="15" t="n">
        <f aca="false">YEAR(B7020)</f>
        <v>2025</v>
      </c>
      <c r="M7020" s="20" t="n">
        <f aca="false">IF(J7020&gt;0,K7020/J7020,0)</f>
        <v>0.157951006368242</v>
      </c>
    </row>
    <row r="7021" customFormat="false" ht="15" hidden="false" customHeight="false" outlineLevel="0" collapsed="false">
      <c r="A7021" s="15" t="s">
        <v>7078</v>
      </c>
      <c r="B7021" s="16" t="n">
        <v>45390</v>
      </c>
      <c r="C7021" s="15" t="s">
        <v>71</v>
      </c>
      <c r="D7021" s="15" t="s">
        <v>42</v>
      </c>
      <c r="E7021" s="15" t="s">
        <v>36</v>
      </c>
      <c r="F7021" s="15" t="s">
        <v>16</v>
      </c>
      <c r="G7021" s="15" t="s">
        <v>27</v>
      </c>
      <c r="H7021" s="15" t="n">
        <v>2</v>
      </c>
      <c r="I7021" s="17" t="n">
        <v>0.2</v>
      </c>
      <c r="J7021" s="18" t="n">
        <v>98.1</v>
      </c>
      <c r="K7021" s="19" t="n">
        <v>8.72</v>
      </c>
      <c r="L7021" s="15" t="n">
        <f aca="false">YEAR(B7021)</f>
        <v>2024</v>
      </c>
      <c r="M7021" s="20" t="n">
        <f aca="false">IF(J7021&gt;0,K7021/J7021,0)</f>
        <v>0.0888888888888889</v>
      </c>
    </row>
    <row r="7022" customFormat="false" ht="15" hidden="false" customHeight="false" outlineLevel="0" collapsed="false">
      <c r="A7022" s="15" t="s">
        <v>7079</v>
      </c>
      <c r="B7022" s="16" t="n">
        <v>45611</v>
      </c>
      <c r="C7022" s="15" t="s">
        <v>71</v>
      </c>
      <c r="D7022" s="15" t="s">
        <v>43</v>
      </c>
      <c r="E7022" s="15" t="s">
        <v>36</v>
      </c>
      <c r="F7022" s="15" t="s">
        <v>17</v>
      </c>
      <c r="G7022" s="15" t="s">
        <v>28</v>
      </c>
      <c r="H7022" s="15" t="n">
        <v>4</v>
      </c>
      <c r="I7022" s="17" t="n">
        <v>0</v>
      </c>
      <c r="J7022" s="18" t="n">
        <v>112.7</v>
      </c>
      <c r="K7022" s="19" t="n">
        <v>26.11</v>
      </c>
      <c r="L7022" s="15" t="n">
        <f aca="false">YEAR(B7022)</f>
        <v>2024</v>
      </c>
      <c r="M7022" s="20" t="n">
        <f aca="false">IF(J7022&gt;0,K7022/J7022,0)</f>
        <v>0.23167701863354</v>
      </c>
    </row>
    <row r="7023" customFormat="false" ht="15" hidden="false" customHeight="false" outlineLevel="0" collapsed="false">
      <c r="A7023" s="15" t="s">
        <v>7080</v>
      </c>
      <c r="B7023" s="16" t="n">
        <v>44884</v>
      </c>
      <c r="C7023" s="15" t="s">
        <v>56</v>
      </c>
      <c r="D7023" s="15" t="s">
        <v>43</v>
      </c>
      <c r="E7023" s="15" t="s">
        <v>36</v>
      </c>
      <c r="F7023" s="15" t="s">
        <v>16</v>
      </c>
      <c r="G7023" s="15" t="s">
        <v>27</v>
      </c>
      <c r="H7023" s="15" t="n">
        <v>2</v>
      </c>
      <c r="I7023" s="17" t="n">
        <v>0</v>
      </c>
      <c r="J7023" s="18" t="n">
        <v>143.17</v>
      </c>
      <c r="K7023" s="19" t="n">
        <v>33.49</v>
      </c>
      <c r="L7023" s="15" t="n">
        <f aca="false">YEAR(B7023)</f>
        <v>2022</v>
      </c>
      <c r="M7023" s="20" t="n">
        <f aca="false">IF(J7023&gt;0,K7023/J7023,0)</f>
        <v>0.233917720192778</v>
      </c>
    </row>
    <row r="7024" customFormat="false" ht="15" hidden="false" customHeight="false" outlineLevel="0" collapsed="false">
      <c r="A7024" s="15" t="s">
        <v>7081</v>
      </c>
      <c r="B7024" s="16" t="n">
        <v>45039</v>
      </c>
      <c r="C7024" s="15" t="s">
        <v>71</v>
      </c>
      <c r="D7024" s="15" t="s">
        <v>42</v>
      </c>
      <c r="E7024" s="15" t="s">
        <v>38</v>
      </c>
      <c r="F7024" s="15" t="s">
        <v>17</v>
      </c>
      <c r="G7024" s="15" t="s">
        <v>31</v>
      </c>
      <c r="H7024" s="15" t="n">
        <v>3</v>
      </c>
      <c r="I7024" s="17" t="n">
        <v>0</v>
      </c>
      <c r="J7024" s="18" t="n">
        <v>318.71</v>
      </c>
      <c r="K7024" s="19" t="n">
        <v>61.87</v>
      </c>
      <c r="L7024" s="15" t="n">
        <f aca="false">YEAR(B7024)</f>
        <v>2023</v>
      </c>
      <c r="M7024" s="20" t="n">
        <f aca="false">IF(J7024&gt;0,K7024/J7024,0)</f>
        <v>0.194126321734492</v>
      </c>
    </row>
    <row r="7025" customFormat="false" ht="15" hidden="false" customHeight="false" outlineLevel="0" collapsed="false">
      <c r="A7025" s="15" t="s">
        <v>7082</v>
      </c>
      <c r="B7025" s="16" t="n">
        <v>45417</v>
      </c>
      <c r="C7025" s="15" t="s">
        <v>56</v>
      </c>
      <c r="D7025" s="15" t="s">
        <v>43</v>
      </c>
      <c r="E7025" s="15" t="s">
        <v>39</v>
      </c>
      <c r="F7025" s="15" t="s">
        <v>18</v>
      </c>
      <c r="G7025" s="15" t="s">
        <v>30</v>
      </c>
      <c r="H7025" s="15" t="n">
        <v>5</v>
      </c>
      <c r="I7025" s="17" t="n">
        <v>0.2</v>
      </c>
      <c r="J7025" s="18" t="n">
        <v>252.74</v>
      </c>
      <c r="K7025" s="19" t="n">
        <v>23.69</v>
      </c>
      <c r="L7025" s="15" t="n">
        <f aca="false">YEAR(B7025)</f>
        <v>2024</v>
      </c>
      <c r="M7025" s="20" t="n">
        <f aca="false">IF(J7025&gt;0,K7025/J7025,0)</f>
        <v>0.0937326897206616</v>
      </c>
    </row>
    <row r="7026" customFormat="false" ht="15" hidden="false" customHeight="false" outlineLevel="0" collapsed="false">
      <c r="A7026" s="15" t="s">
        <v>7083</v>
      </c>
      <c r="B7026" s="16" t="n">
        <v>45162</v>
      </c>
      <c r="C7026" s="15" t="s">
        <v>56</v>
      </c>
      <c r="D7026" s="15" t="s">
        <v>43</v>
      </c>
      <c r="E7026" s="15" t="s">
        <v>36</v>
      </c>
      <c r="F7026" s="15" t="s">
        <v>18</v>
      </c>
      <c r="G7026" s="15" t="s">
        <v>30</v>
      </c>
      <c r="H7026" s="15" t="n">
        <v>3</v>
      </c>
      <c r="I7026" s="17" t="n">
        <v>0.15</v>
      </c>
      <c r="J7026" s="18" t="n">
        <v>124.38</v>
      </c>
      <c r="K7026" s="19" t="n">
        <v>25.65</v>
      </c>
      <c r="L7026" s="15" t="n">
        <f aca="false">YEAR(B7026)</f>
        <v>2023</v>
      </c>
      <c r="M7026" s="20" t="n">
        <f aca="false">IF(J7026&gt;0,K7026/J7026,0)</f>
        <v>0.206222865412446</v>
      </c>
    </row>
    <row r="7027" customFormat="false" ht="15" hidden="false" customHeight="false" outlineLevel="0" collapsed="false">
      <c r="A7027" s="15" t="s">
        <v>7084</v>
      </c>
      <c r="B7027" s="16" t="n">
        <v>45294</v>
      </c>
      <c r="C7027" s="15" t="s">
        <v>71</v>
      </c>
      <c r="D7027" s="15" t="s">
        <v>43</v>
      </c>
      <c r="E7027" s="15" t="s">
        <v>36</v>
      </c>
      <c r="F7027" s="15" t="s">
        <v>17</v>
      </c>
      <c r="G7027" s="15" t="s">
        <v>28</v>
      </c>
      <c r="H7027" s="15" t="n">
        <v>6</v>
      </c>
      <c r="I7027" s="17" t="n">
        <v>0</v>
      </c>
      <c r="J7027" s="18" t="n">
        <v>160.93</v>
      </c>
      <c r="K7027" s="19" t="n">
        <v>52.79</v>
      </c>
      <c r="L7027" s="15" t="n">
        <f aca="false">YEAR(B7027)</f>
        <v>2024</v>
      </c>
      <c r="M7027" s="20" t="n">
        <f aca="false">IF(J7027&gt;0,K7027/J7027,0)</f>
        <v>0.328030820853787</v>
      </c>
    </row>
    <row r="7028" customFormat="false" ht="15" hidden="false" customHeight="false" outlineLevel="0" collapsed="false">
      <c r="A7028" s="15" t="s">
        <v>7085</v>
      </c>
      <c r="B7028" s="16" t="n">
        <v>45765</v>
      </c>
      <c r="C7028" s="15" t="s">
        <v>71</v>
      </c>
      <c r="D7028" s="15" t="s">
        <v>42</v>
      </c>
      <c r="E7028" s="15" t="s">
        <v>37</v>
      </c>
      <c r="F7028" s="15" t="s">
        <v>18</v>
      </c>
      <c r="G7028" s="15" t="s">
        <v>32</v>
      </c>
      <c r="H7028" s="15" t="n">
        <v>3</v>
      </c>
      <c r="I7028" s="17" t="n">
        <v>0.05</v>
      </c>
      <c r="J7028" s="18" t="n">
        <v>1397.11</v>
      </c>
      <c r="K7028" s="19" t="n">
        <v>140.17</v>
      </c>
      <c r="L7028" s="15" t="n">
        <f aca="false">YEAR(B7028)</f>
        <v>2025</v>
      </c>
      <c r="M7028" s="20" t="n">
        <f aca="false">IF(J7028&gt;0,K7028/J7028,0)</f>
        <v>0.100328535333653</v>
      </c>
    </row>
    <row r="7029" customFormat="false" ht="15" hidden="false" customHeight="false" outlineLevel="0" collapsed="false">
      <c r="A7029" s="15" t="s">
        <v>7086</v>
      </c>
      <c r="B7029" s="16" t="n">
        <v>45035</v>
      </c>
      <c r="C7029" s="15" t="s">
        <v>56</v>
      </c>
      <c r="D7029" s="15" t="s">
        <v>42</v>
      </c>
      <c r="E7029" s="15" t="s">
        <v>37</v>
      </c>
      <c r="F7029" s="15" t="s">
        <v>17</v>
      </c>
      <c r="G7029" s="15" t="s">
        <v>28</v>
      </c>
      <c r="H7029" s="15" t="n">
        <v>4</v>
      </c>
      <c r="I7029" s="17" t="n">
        <v>0</v>
      </c>
      <c r="J7029" s="18" t="n">
        <v>94.62</v>
      </c>
      <c r="K7029" s="19" t="n">
        <v>24.74</v>
      </c>
      <c r="L7029" s="15" t="n">
        <f aca="false">YEAR(B7029)</f>
        <v>2023</v>
      </c>
      <c r="M7029" s="20" t="n">
        <f aca="false">IF(J7029&gt;0,K7029/J7029,0)</f>
        <v>0.26146692031283</v>
      </c>
    </row>
    <row r="7030" customFormat="false" ht="15" hidden="false" customHeight="false" outlineLevel="0" collapsed="false">
      <c r="A7030" s="15" t="s">
        <v>7087</v>
      </c>
      <c r="B7030" s="16" t="n">
        <v>44659</v>
      </c>
      <c r="C7030" s="15" t="s">
        <v>71</v>
      </c>
      <c r="D7030" s="15" t="s">
        <v>44</v>
      </c>
      <c r="E7030" s="15" t="s">
        <v>39</v>
      </c>
      <c r="F7030" s="15" t="s">
        <v>17</v>
      </c>
      <c r="G7030" s="15" t="s">
        <v>28</v>
      </c>
      <c r="H7030" s="15" t="n">
        <v>4</v>
      </c>
      <c r="I7030" s="17" t="n">
        <v>0.1</v>
      </c>
      <c r="J7030" s="18" t="n">
        <v>115.77</v>
      </c>
      <c r="K7030" s="19" t="n">
        <v>21.77</v>
      </c>
      <c r="L7030" s="15" t="n">
        <f aca="false">YEAR(B7030)</f>
        <v>2022</v>
      </c>
      <c r="M7030" s="20" t="n">
        <f aca="false">IF(J7030&gt;0,K7030/J7030,0)</f>
        <v>0.188045262157727</v>
      </c>
    </row>
    <row r="7031" customFormat="false" ht="15" hidden="false" customHeight="false" outlineLevel="0" collapsed="false">
      <c r="A7031" s="15" t="s">
        <v>7088</v>
      </c>
      <c r="B7031" s="16" t="n">
        <v>45800</v>
      </c>
      <c r="C7031" s="15" t="s">
        <v>58</v>
      </c>
      <c r="D7031" s="15" t="s">
        <v>42</v>
      </c>
      <c r="E7031" s="15" t="s">
        <v>38</v>
      </c>
      <c r="F7031" s="15" t="s">
        <v>17</v>
      </c>
      <c r="G7031" s="15" t="s">
        <v>28</v>
      </c>
      <c r="H7031" s="15" t="n">
        <v>3</v>
      </c>
      <c r="I7031" s="17" t="n">
        <v>0.2</v>
      </c>
      <c r="J7031" s="18" t="n">
        <v>66.74</v>
      </c>
      <c r="K7031" s="19" t="n">
        <v>9.75</v>
      </c>
      <c r="L7031" s="15" t="n">
        <f aca="false">YEAR(B7031)</f>
        <v>2025</v>
      </c>
      <c r="M7031" s="20" t="n">
        <f aca="false">IF(J7031&gt;0,K7031/J7031,0)</f>
        <v>0.146089301768055</v>
      </c>
    </row>
    <row r="7032" customFormat="false" ht="15" hidden="false" customHeight="false" outlineLevel="0" collapsed="false">
      <c r="A7032" s="15" t="s">
        <v>7089</v>
      </c>
      <c r="B7032" s="16" t="n">
        <v>45677</v>
      </c>
      <c r="C7032" s="15" t="s">
        <v>68</v>
      </c>
      <c r="D7032" s="15" t="s">
        <v>42</v>
      </c>
      <c r="E7032" s="15" t="s">
        <v>36</v>
      </c>
      <c r="F7032" s="15" t="s">
        <v>17</v>
      </c>
      <c r="G7032" s="15" t="s">
        <v>26</v>
      </c>
      <c r="H7032" s="15" t="n">
        <v>4</v>
      </c>
      <c r="I7032" s="17" t="n">
        <v>0.1</v>
      </c>
      <c r="J7032" s="18" t="n">
        <v>257.52</v>
      </c>
      <c r="K7032" s="19" t="n">
        <v>-0.67</v>
      </c>
      <c r="L7032" s="15" t="n">
        <f aca="false">YEAR(B7032)</f>
        <v>2025</v>
      </c>
      <c r="M7032" s="20" t="n">
        <f aca="false">IF(J7032&gt;0,K7032/J7032,0)</f>
        <v>-0.00260173967070519</v>
      </c>
    </row>
    <row r="7033" customFormat="false" ht="15" hidden="false" customHeight="false" outlineLevel="0" collapsed="false">
      <c r="A7033" s="15" t="s">
        <v>7090</v>
      </c>
      <c r="B7033" s="16" t="n">
        <v>44692</v>
      </c>
      <c r="C7033" s="15" t="s">
        <v>56</v>
      </c>
      <c r="D7033" s="15" t="s">
        <v>43</v>
      </c>
      <c r="E7033" s="15" t="s">
        <v>37</v>
      </c>
      <c r="F7033" s="15" t="s">
        <v>17</v>
      </c>
      <c r="G7033" s="15" t="s">
        <v>28</v>
      </c>
      <c r="H7033" s="15" t="n">
        <v>2</v>
      </c>
      <c r="I7033" s="17" t="n">
        <v>0</v>
      </c>
      <c r="J7033" s="18" t="n">
        <v>46.17</v>
      </c>
      <c r="K7033" s="19" t="n">
        <v>11.6</v>
      </c>
      <c r="L7033" s="15" t="n">
        <f aca="false">YEAR(B7033)</f>
        <v>2022</v>
      </c>
      <c r="M7033" s="20" t="n">
        <f aca="false">IF(J7033&gt;0,K7033/J7033,0)</f>
        <v>0.251245397444228</v>
      </c>
    </row>
    <row r="7034" customFormat="false" ht="15" hidden="false" customHeight="false" outlineLevel="0" collapsed="false">
      <c r="A7034" s="15" t="s">
        <v>7091</v>
      </c>
      <c r="B7034" s="16" t="n">
        <v>44788</v>
      </c>
      <c r="C7034" s="15" t="s">
        <v>56</v>
      </c>
      <c r="D7034" s="15" t="s">
        <v>42</v>
      </c>
      <c r="E7034" s="15" t="s">
        <v>38</v>
      </c>
      <c r="F7034" s="15" t="s">
        <v>17</v>
      </c>
      <c r="G7034" s="15" t="s">
        <v>29</v>
      </c>
      <c r="H7034" s="15" t="n">
        <v>4</v>
      </c>
      <c r="I7034" s="17" t="n">
        <v>0.1</v>
      </c>
      <c r="J7034" s="18" t="n">
        <v>60.84</v>
      </c>
      <c r="K7034" s="19" t="n">
        <v>18.22</v>
      </c>
      <c r="L7034" s="15" t="n">
        <f aca="false">YEAR(B7034)</f>
        <v>2022</v>
      </c>
      <c r="M7034" s="20" t="n">
        <f aca="false">IF(J7034&gt;0,K7034/J7034,0)</f>
        <v>0.299474030243261</v>
      </c>
    </row>
    <row r="7035" customFormat="false" ht="15" hidden="false" customHeight="false" outlineLevel="0" collapsed="false">
      <c r="A7035" s="15" t="s">
        <v>7092</v>
      </c>
      <c r="B7035" s="16" t="n">
        <v>45214</v>
      </c>
      <c r="C7035" s="15" t="s">
        <v>56</v>
      </c>
      <c r="D7035" s="15" t="s">
        <v>43</v>
      </c>
      <c r="E7035" s="15" t="s">
        <v>38</v>
      </c>
      <c r="F7035" s="15" t="s">
        <v>18</v>
      </c>
      <c r="G7035" s="15" t="s">
        <v>24</v>
      </c>
      <c r="H7035" s="15" t="n">
        <v>3</v>
      </c>
      <c r="I7035" s="17" t="n">
        <v>0.4</v>
      </c>
      <c r="J7035" s="18" t="n">
        <v>1102.37</v>
      </c>
      <c r="K7035" s="19" t="n">
        <v>-289</v>
      </c>
      <c r="L7035" s="15" t="n">
        <f aca="false">YEAR(B7035)</f>
        <v>2023</v>
      </c>
      <c r="M7035" s="20" t="n">
        <f aca="false">IF(J7035&gt;0,K7035/J7035,0)</f>
        <v>-0.262162431851375</v>
      </c>
    </row>
    <row r="7036" customFormat="false" ht="15" hidden="false" customHeight="false" outlineLevel="0" collapsed="false">
      <c r="A7036" s="15" t="s">
        <v>7093</v>
      </c>
      <c r="B7036" s="16" t="n">
        <v>45582</v>
      </c>
      <c r="C7036" s="15" t="s">
        <v>56</v>
      </c>
      <c r="D7036" s="15" t="s">
        <v>42</v>
      </c>
      <c r="E7036" s="15" t="s">
        <v>39</v>
      </c>
      <c r="F7036" s="15" t="s">
        <v>18</v>
      </c>
      <c r="G7036" s="15" t="s">
        <v>32</v>
      </c>
      <c r="H7036" s="15" t="n">
        <v>2</v>
      </c>
      <c r="I7036" s="17" t="n">
        <v>0</v>
      </c>
      <c r="J7036" s="18" t="n">
        <v>1058.71</v>
      </c>
      <c r="K7036" s="19" t="n">
        <v>293.43</v>
      </c>
      <c r="L7036" s="15" t="n">
        <f aca="false">YEAR(B7036)</f>
        <v>2024</v>
      </c>
      <c r="M7036" s="20" t="n">
        <f aca="false">IF(J7036&gt;0,K7036/J7036,0)</f>
        <v>0.277158050835451</v>
      </c>
    </row>
    <row r="7037" customFormat="false" ht="15" hidden="false" customHeight="false" outlineLevel="0" collapsed="false">
      <c r="A7037" s="15" t="s">
        <v>7094</v>
      </c>
      <c r="B7037" s="16" t="n">
        <v>45407</v>
      </c>
      <c r="C7037" s="15" t="s">
        <v>58</v>
      </c>
      <c r="D7037" s="15" t="s">
        <v>42</v>
      </c>
      <c r="E7037" s="15" t="s">
        <v>37</v>
      </c>
      <c r="F7037" s="15" t="s">
        <v>17</v>
      </c>
      <c r="G7037" s="15" t="s">
        <v>29</v>
      </c>
      <c r="H7037" s="15" t="n">
        <v>1</v>
      </c>
      <c r="I7037" s="17" t="n">
        <v>0.2</v>
      </c>
      <c r="J7037" s="18" t="n">
        <v>11.21</v>
      </c>
      <c r="K7037" s="19" t="n">
        <v>1.84</v>
      </c>
      <c r="L7037" s="15" t="n">
        <f aca="false">YEAR(B7037)</f>
        <v>2024</v>
      </c>
      <c r="M7037" s="20" t="n">
        <f aca="false">IF(J7037&gt;0,K7037/J7037,0)</f>
        <v>0.164139161462979</v>
      </c>
    </row>
    <row r="7038" customFormat="false" ht="15" hidden="false" customHeight="false" outlineLevel="0" collapsed="false">
      <c r="A7038" s="15" t="s">
        <v>7095</v>
      </c>
      <c r="B7038" s="16" t="n">
        <v>45749</v>
      </c>
      <c r="C7038" s="15" t="s">
        <v>56</v>
      </c>
      <c r="D7038" s="15" t="s">
        <v>43</v>
      </c>
      <c r="E7038" s="15" t="s">
        <v>36</v>
      </c>
      <c r="F7038" s="15" t="s">
        <v>17</v>
      </c>
      <c r="G7038" s="15" t="s">
        <v>26</v>
      </c>
      <c r="H7038" s="15" t="n">
        <v>3</v>
      </c>
      <c r="I7038" s="17" t="n">
        <v>0</v>
      </c>
      <c r="J7038" s="18" t="n">
        <v>304.79</v>
      </c>
      <c r="K7038" s="19" t="n">
        <v>38.24</v>
      </c>
      <c r="L7038" s="15" t="n">
        <f aca="false">YEAR(B7038)</f>
        <v>2025</v>
      </c>
      <c r="M7038" s="20" t="n">
        <f aca="false">IF(J7038&gt;0,K7038/J7038,0)</f>
        <v>0.125463433839693</v>
      </c>
    </row>
    <row r="7039" customFormat="false" ht="15" hidden="false" customHeight="false" outlineLevel="0" collapsed="false">
      <c r="A7039" s="15" t="s">
        <v>7096</v>
      </c>
      <c r="B7039" s="16" t="n">
        <v>44999</v>
      </c>
      <c r="C7039" s="15" t="s">
        <v>68</v>
      </c>
      <c r="D7039" s="15" t="s">
        <v>42</v>
      </c>
      <c r="E7039" s="15" t="s">
        <v>37</v>
      </c>
      <c r="F7039" s="15" t="s">
        <v>18</v>
      </c>
      <c r="G7039" s="15" t="s">
        <v>32</v>
      </c>
      <c r="H7039" s="15" t="n">
        <v>4</v>
      </c>
      <c r="I7039" s="17" t="n">
        <v>0</v>
      </c>
      <c r="J7039" s="18" t="n">
        <v>2185.97</v>
      </c>
      <c r="K7039" s="19" t="n">
        <v>422.4</v>
      </c>
      <c r="L7039" s="15" t="n">
        <f aca="false">YEAR(B7039)</f>
        <v>2023</v>
      </c>
      <c r="M7039" s="20" t="n">
        <f aca="false">IF(J7039&gt;0,K7039/J7039,0)</f>
        <v>0.19323229504522</v>
      </c>
    </row>
    <row r="7040" customFormat="false" ht="15" hidden="false" customHeight="false" outlineLevel="0" collapsed="false">
      <c r="A7040" s="15" t="s">
        <v>7097</v>
      </c>
      <c r="B7040" s="16" t="n">
        <v>45244</v>
      </c>
      <c r="C7040" s="15" t="s">
        <v>56</v>
      </c>
      <c r="D7040" s="15" t="s">
        <v>42</v>
      </c>
      <c r="E7040" s="15" t="s">
        <v>37</v>
      </c>
      <c r="F7040" s="15" t="s">
        <v>17</v>
      </c>
      <c r="G7040" s="15" t="s">
        <v>26</v>
      </c>
      <c r="H7040" s="15" t="n">
        <v>3</v>
      </c>
      <c r="I7040" s="17" t="n">
        <v>0.2</v>
      </c>
      <c r="J7040" s="18" t="n">
        <v>200.32</v>
      </c>
      <c r="K7040" s="19" t="n">
        <v>-23.93</v>
      </c>
      <c r="L7040" s="15" t="n">
        <f aca="false">YEAR(B7040)</f>
        <v>2023</v>
      </c>
      <c r="M7040" s="20" t="n">
        <f aca="false">IF(J7040&gt;0,K7040/J7040,0)</f>
        <v>-0.119458865814696</v>
      </c>
    </row>
    <row r="7041" customFormat="false" ht="15" hidden="false" customHeight="false" outlineLevel="0" collapsed="false">
      <c r="A7041" s="15" t="s">
        <v>7098</v>
      </c>
      <c r="B7041" s="16" t="n">
        <v>45888</v>
      </c>
      <c r="C7041" s="15" t="s">
        <v>56</v>
      </c>
      <c r="D7041" s="15" t="s">
        <v>42</v>
      </c>
      <c r="E7041" s="15" t="s">
        <v>37</v>
      </c>
      <c r="F7041" s="15" t="s">
        <v>17</v>
      </c>
      <c r="G7041" s="15" t="s">
        <v>29</v>
      </c>
      <c r="H7041" s="15" t="n">
        <v>5</v>
      </c>
      <c r="I7041" s="17" t="n">
        <v>0</v>
      </c>
      <c r="J7041" s="18" t="n">
        <v>118.38</v>
      </c>
      <c r="K7041" s="19" t="n">
        <v>49.8</v>
      </c>
      <c r="L7041" s="15" t="n">
        <f aca="false">YEAR(B7041)</f>
        <v>2025</v>
      </c>
      <c r="M7041" s="20" t="n">
        <f aca="false">IF(J7041&gt;0,K7041/J7041,0)</f>
        <v>0.42067916877851</v>
      </c>
    </row>
    <row r="7042" customFormat="false" ht="15" hidden="false" customHeight="false" outlineLevel="0" collapsed="false">
      <c r="A7042" s="15" t="s">
        <v>7099</v>
      </c>
      <c r="B7042" s="16" t="n">
        <v>45983</v>
      </c>
      <c r="C7042" s="15" t="s">
        <v>56</v>
      </c>
      <c r="D7042" s="15" t="s">
        <v>42</v>
      </c>
      <c r="E7042" s="15" t="s">
        <v>37</v>
      </c>
      <c r="F7042" s="15" t="s">
        <v>17</v>
      </c>
      <c r="G7042" s="15" t="s">
        <v>26</v>
      </c>
      <c r="H7042" s="15" t="n">
        <v>3</v>
      </c>
      <c r="I7042" s="17" t="n">
        <v>0.3</v>
      </c>
      <c r="J7042" s="18" t="n">
        <v>180.3</v>
      </c>
      <c r="K7042" s="19" t="n">
        <v>-22.47</v>
      </c>
      <c r="L7042" s="15" t="n">
        <f aca="false">YEAR(B7042)</f>
        <v>2025</v>
      </c>
      <c r="M7042" s="20" t="n">
        <f aca="false">IF(J7042&gt;0,K7042/J7042,0)</f>
        <v>-0.124625623960067</v>
      </c>
    </row>
    <row r="7043" customFormat="false" ht="15" hidden="false" customHeight="false" outlineLevel="0" collapsed="false">
      <c r="A7043" s="15" t="s">
        <v>7100</v>
      </c>
      <c r="B7043" s="16" t="n">
        <v>45146</v>
      </c>
      <c r="C7043" s="15" t="s">
        <v>71</v>
      </c>
      <c r="D7043" s="15" t="s">
        <v>42</v>
      </c>
      <c r="E7043" s="15" t="s">
        <v>37</v>
      </c>
      <c r="F7043" s="15" t="s">
        <v>17</v>
      </c>
      <c r="G7043" s="15" t="s">
        <v>29</v>
      </c>
      <c r="H7043" s="15" t="n">
        <v>5</v>
      </c>
      <c r="I7043" s="17" t="n">
        <v>0.1</v>
      </c>
      <c r="J7043" s="18" t="n">
        <v>79.48</v>
      </c>
      <c r="K7043" s="19" t="n">
        <v>22.06</v>
      </c>
      <c r="L7043" s="15" t="n">
        <f aca="false">YEAR(B7043)</f>
        <v>2023</v>
      </c>
      <c r="M7043" s="20" t="n">
        <f aca="false">IF(J7043&gt;0,K7043/J7043,0)</f>
        <v>0.277554101660795</v>
      </c>
    </row>
    <row r="7044" customFormat="false" ht="15" hidden="false" customHeight="false" outlineLevel="0" collapsed="false">
      <c r="A7044" s="15" t="s">
        <v>7101</v>
      </c>
      <c r="B7044" s="16" t="n">
        <v>45634</v>
      </c>
      <c r="C7044" s="15" t="s">
        <v>56</v>
      </c>
      <c r="D7044" s="15" t="s">
        <v>42</v>
      </c>
      <c r="E7044" s="15" t="s">
        <v>37</v>
      </c>
      <c r="F7044" s="15" t="s">
        <v>17</v>
      </c>
      <c r="G7044" s="15" t="s">
        <v>28</v>
      </c>
      <c r="H7044" s="15" t="n">
        <v>3</v>
      </c>
      <c r="I7044" s="17" t="n">
        <v>0.2</v>
      </c>
      <c r="J7044" s="18" t="n">
        <v>59.22</v>
      </c>
      <c r="K7044" s="19" t="n">
        <v>5.73</v>
      </c>
      <c r="L7044" s="15" t="n">
        <f aca="false">YEAR(B7044)</f>
        <v>2024</v>
      </c>
      <c r="M7044" s="20" t="n">
        <f aca="false">IF(J7044&gt;0,K7044/J7044,0)</f>
        <v>0.096757852077001</v>
      </c>
    </row>
    <row r="7045" customFormat="false" ht="15" hidden="false" customHeight="false" outlineLevel="0" collapsed="false">
      <c r="A7045" s="15" t="s">
        <v>7102</v>
      </c>
      <c r="B7045" s="16" t="n">
        <v>45248</v>
      </c>
      <c r="C7045" s="15" t="s">
        <v>58</v>
      </c>
      <c r="D7045" s="15" t="s">
        <v>42</v>
      </c>
      <c r="E7045" s="15" t="s">
        <v>38</v>
      </c>
      <c r="F7045" s="15" t="s">
        <v>17</v>
      </c>
      <c r="G7045" s="15" t="s">
        <v>28</v>
      </c>
      <c r="H7045" s="15" t="n">
        <v>4</v>
      </c>
      <c r="I7045" s="17" t="n">
        <v>0.1</v>
      </c>
      <c r="J7045" s="18" t="n">
        <v>75.4</v>
      </c>
      <c r="K7045" s="19" t="n">
        <v>16.54</v>
      </c>
      <c r="L7045" s="15" t="n">
        <f aca="false">YEAR(B7045)</f>
        <v>2023</v>
      </c>
      <c r="M7045" s="20" t="n">
        <f aca="false">IF(J7045&gt;0,K7045/J7045,0)</f>
        <v>0.219363395225464</v>
      </c>
    </row>
    <row r="7046" customFormat="false" ht="15" hidden="false" customHeight="false" outlineLevel="0" collapsed="false">
      <c r="A7046" s="15" t="s">
        <v>7103</v>
      </c>
      <c r="B7046" s="16" t="n">
        <v>44693</v>
      </c>
      <c r="C7046" s="15" t="s">
        <v>56</v>
      </c>
      <c r="D7046" s="15" t="s">
        <v>44</v>
      </c>
      <c r="E7046" s="15" t="s">
        <v>39</v>
      </c>
      <c r="F7046" s="15" t="s">
        <v>16</v>
      </c>
      <c r="G7046" s="15" t="s">
        <v>25</v>
      </c>
      <c r="H7046" s="15" t="n">
        <v>3</v>
      </c>
      <c r="I7046" s="17" t="n">
        <v>0.3</v>
      </c>
      <c r="J7046" s="18" t="n">
        <v>546.81</v>
      </c>
      <c r="K7046" s="19" t="n">
        <v>-120.8</v>
      </c>
      <c r="L7046" s="15" t="n">
        <f aca="false">YEAR(B7046)</f>
        <v>2022</v>
      </c>
      <c r="M7046" s="20" t="n">
        <f aca="false">IF(J7046&gt;0,K7046/J7046,0)</f>
        <v>-0.220917686216419</v>
      </c>
    </row>
    <row r="7047" customFormat="false" ht="15" hidden="false" customHeight="false" outlineLevel="0" collapsed="false">
      <c r="A7047" s="15" t="s">
        <v>7104</v>
      </c>
      <c r="B7047" s="16" t="n">
        <v>45261</v>
      </c>
      <c r="C7047" s="15" t="s">
        <v>56</v>
      </c>
      <c r="D7047" s="15" t="s">
        <v>42</v>
      </c>
      <c r="E7047" s="15" t="s">
        <v>36</v>
      </c>
      <c r="F7047" s="15" t="s">
        <v>18</v>
      </c>
      <c r="G7047" s="15" t="s">
        <v>30</v>
      </c>
      <c r="H7047" s="15" t="n">
        <v>2</v>
      </c>
      <c r="I7047" s="17" t="n">
        <v>0.1</v>
      </c>
      <c r="J7047" s="18" t="n">
        <v>76.03</v>
      </c>
      <c r="K7047" s="19" t="n">
        <v>21.46</v>
      </c>
      <c r="L7047" s="15" t="n">
        <f aca="false">YEAR(B7047)</f>
        <v>2023</v>
      </c>
      <c r="M7047" s="20" t="n">
        <f aca="false">IF(J7047&gt;0,K7047/J7047,0)</f>
        <v>0.282257003814284</v>
      </c>
    </row>
    <row r="7048" customFormat="false" ht="15" hidden="false" customHeight="false" outlineLevel="0" collapsed="false">
      <c r="A7048" s="15" t="s">
        <v>7105</v>
      </c>
      <c r="B7048" s="16" t="n">
        <v>45874</v>
      </c>
      <c r="C7048" s="15" t="s">
        <v>56</v>
      </c>
      <c r="D7048" s="15" t="s">
        <v>44</v>
      </c>
      <c r="E7048" s="15" t="s">
        <v>37</v>
      </c>
      <c r="F7048" s="15" t="s">
        <v>17</v>
      </c>
      <c r="G7048" s="15" t="s">
        <v>28</v>
      </c>
      <c r="H7048" s="15" t="n">
        <v>3</v>
      </c>
      <c r="I7048" s="17" t="n">
        <v>0.05</v>
      </c>
      <c r="J7048" s="18" t="n">
        <v>91.11</v>
      </c>
      <c r="K7048" s="19" t="n">
        <v>28.58</v>
      </c>
      <c r="L7048" s="15" t="n">
        <f aca="false">YEAR(B7048)</f>
        <v>2025</v>
      </c>
      <c r="M7048" s="20" t="n">
        <f aca="false">IF(J7048&gt;0,K7048/J7048,0)</f>
        <v>0.313686752277467</v>
      </c>
    </row>
    <row r="7049" customFormat="false" ht="15" hidden="false" customHeight="false" outlineLevel="0" collapsed="false">
      <c r="A7049" s="15" t="s">
        <v>7106</v>
      </c>
      <c r="B7049" s="16" t="n">
        <v>45433</v>
      </c>
      <c r="C7049" s="15" t="s">
        <v>56</v>
      </c>
      <c r="D7049" s="15" t="s">
        <v>42</v>
      </c>
      <c r="E7049" s="15" t="s">
        <v>39</v>
      </c>
      <c r="F7049" s="15" t="s">
        <v>16</v>
      </c>
      <c r="G7049" s="15" t="s">
        <v>27</v>
      </c>
      <c r="H7049" s="15" t="n">
        <v>3</v>
      </c>
      <c r="I7049" s="17" t="n">
        <v>0.2</v>
      </c>
      <c r="J7049" s="18" t="n">
        <v>165.22</v>
      </c>
      <c r="K7049" s="19" t="n">
        <v>13.73</v>
      </c>
      <c r="L7049" s="15" t="n">
        <f aca="false">YEAR(B7049)</f>
        <v>2024</v>
      </c>
      <c r="M7049" s="20" t="n">
        <f aca="false">IF(J7049&gt;0,K7049/J7049,0)</f>
        <v>0.0831013194528508</v>
      </c>
    </row>
    <row r="7050" customFormat="false" ht="15" hidden="false" customHeight="false" outlineLevel="0" collapsed="false">
      <c r="A7050" s="15" t="s">
        <v>7107</v>
      </c>
      <c r="B7050" s="16" t="n">
        <v>44845</v>
      </c>
      <c r="C7050" s="15" t="s">
        <v>56</v>
      </c>
      <c r="D7050" s="15" t="s">
        <v>44</v>
      </c>
      <c r="E7050" s="15" t="s">
        <v>39</v>
      </c>
      <c r="F7050" s="15" t="s">
        <v>18</v>
      </c>
      <c r="G7050" s="15" t="s">
        <v>24</v>
      </c>
      <c r="H7050" s="15" t="n">
        <v>1</v>
      </c>
      <c r="I7050" s="17" t="n">
        <v>0</v>
      </c>
      <c r="J7050" s="18" t="n">
        <v>587.97</v>
      </c>
      <c r="K7050" s="19" t="n">
        <v>41.6</v>
      </c>
      <c r="L7050" s="15" t="n">
        <f aca="false">YEAR(B7050)</f>
        <v>2022</v>
      </c>
      <c r="M7050" s="20" t="n">
        <f aca="false">IF(J7050&gt;0,K7050/J7050,0)</f>
        <v>0.0707519091110091</v>
      </c>
    </row>
    <row r="7051" customFormat="false" ht="15" hidden="false" customHeight="false" outlineLevel="0" collapsed="false">
      <c r="A7051" s="15" t="s">
        <v>7108</v>
      </c>
      <c r="B7051" s="16" t="n">
        <v>45352</v>
      </c>
      <c r="C7051" s="15" t="s">
        <v>71</v>
      </c>
      <c r="D7051" s="15" t="s">
        <v>43</v>
      </c>
      <c r="E7051" s="15" t="s">
        <v>38</v>
      </c>
      <c r="F7051" s="15" t="s">
        <v>18</v>
      </c>
      <c r="G7051" s="15" t="s">
        <v>32</v>
      </c>
      <c r="H7051" s="15" t="n">
        <v>5</v>
      </c>
      <c r="I7051" s="17" t="n">
        <v>0.3</v>
      </c>
      <c r="J7051" s="18" t="n">
        <v>1732.62</v>
      </c>
      <c r="K7051" s="19" t="n">
        <v>8.31</v>
      </c>
      <c r="L7051" s="15" t="n">
        <f aca="false">YEAR(B7051)</f>
        <v>2024</v>
      </c>
      <c r="M7051" s="20" t="n">
        <f aca="false">IF(J7051&gt;0,K7051/J7051,0)</f>
        <v>0.00479620459188974</v>
      </c>
    </row>
    <row r="7052" customFormat="false" ht="15" hidden="false" customHeight="false" outlineLevel="0" collapsed="false">
      <c r="A7052" s="15" t="s">
        <v>7109</v>
      </c>
      <c r="B7052" s="16" t="n">
        <v>44867</v>
      </c>
      <c r="C7052" s="15" t="s">
        <v>56</v>
      </c>
      <c r="D7052" s="15" t="s">
        <v>43</v>
      </c>
      <c r="E7052" s="15" t="s">
        <v>37</v>
      </c>
      <c r="F7052" s="15" t="s">
        <v>17</v>
      </c>
      <c r="G7052" s="15" t="s">
        <v>29</v>
      </c>
      <c r="H7052" s="15" t="n">
        <v>5</v>
      </c>
      <c r="I7052" s="17" t="n">
        <v>0.15</v>
      </c>
      <c r="J7052" s="18" t="n">
        <v>68.48</v>
      </c>
      <c r="K7052" s="19" t="n">
        <v>10.84</v>
      </c>
      <c r="L7052" s="15" t="n">
        <f aca="false">YEAR(B7052)</f>
        <v>2022</v>
      </c>
      <c r="M7052" s="20" t="n">
        <f aca="false">IF(J7052&gt;0,K7052/J7052,0)</f>
        <v>0.158294392523364</v>
      </c>
    </row>
    <row r="7053" customFormat="false" ht="15" hidden="false" customHeight="false" outlineLevel="0" collapsed="false">
      <c r="A7053" s="15" t="s">
        <v>7110</v>
      </c>
      <c r="B7053" s="16" t="n">
        <v>45452</v>
      </c>
      <c r="C7053" s="15" t="s">
        <v>56</v>
      </c>
      <c r="D7053" s="15" t="s">
        <v>42</v>
      </c>
      <c r="E7053" s="15" t="s">
        <v>37</v>
      </c>
      <c r="F7053" s="15" t="s">
        <v>17</v>
      </c>
      <c r="G7053" s="15" t="s">
        <v>28</v>
      </c>
      <c r="H7053" s="15" t="n">
        <v>5</v>
      </c>
      <c r="I7053" s="17" t="n">
        <v>0.3</v>
      </c>
      <c r="J7053" s="18" t="n">
        <v>86.52</v>
      </c>
      <c r="K7053" s="19" t="n">
        <v>5.24</v>
      </c>
      <c r="L7053" s="15" t="n">
        <f aca="false">YEAR(B7053)</f>
        <v>2024</v>
      </c>
      <c r="M7053" s="20" t="n">
        <f aca="false">IF(J7053&gt;0,K7053/J7053,0)</f>
        <v>0.0605640314378179</v>
      </c>
    </row>
    <row r="7054" customFormat="false" ht="15" hidden="false" customHeight="false" outlineLevel="0" collapsed="false">
      <c r="A7054" s="15" t="s">
        <v>7111</v>
      </c>
      <c r="B7054" s="16" t="n">
        <v>45294</v>
      </c>
      <c r="C7054" s="15" t="s">
        <v>56</v>
      </c>
      <c r="D7054" s="15" t="s">
        <v>42</v>
      </c>
      <c r="E7054" s="15" t="s">
        <v>38</v>
      </c>
      <c r="F7054" s="15" t="s">
        <v>16</v>
      </c>
      <c r="G7054" s="15" t="s">
        <v>27</v>
      </c>
      <c r="H7054" s="15" t="n">
        <v>2</v>
      </c>
      <c r="I7054" s="17" t="n">
        <v>0.2</v>
      </c>
      <c r="J7054" s="18" t="n">
        <v>109.94</v>
      </c>
      <c r="K7054" s="19" t="n">
        <v>-1.74</v>
      </c>
      <c r="L7054" s="15" t="n">
        <f aca="false">YEAR(B7054)</f>
        <v>2024</v>
      </c>
      <c r="M7054" s="20" t="n">
        <f aca="false">IF(J7054&gt;0,K7054/J7054,0)</f>
        <v>-0.0158268146261597</v>
      </c>
    </row>
    <row r="7055" customFormat="false" ht="15" hidden="false" customHeight="false" outlineLevel="0" collapsed="false">
      <c r="A7055" s="15" t="s">
        <v>7112</v>
      </c>
      <c r="B7055" s="16" t="n">
        <v>45372</v>
      </c>
      <c r="C7055" s="15" t="s">
        <v>56</v>
      </c>
      <c r="D7055" s="15" t="s">
        <v>43</v>
      </c>
      <c r="E7055" s="15" t="s">
        <v>39</v>
      </c>
      <c r="F7055" s="15" t="s">
        <v>17</v>
      </c>
      <c r="G7055" s="15" t="s">
        <v>29</v>
      </c>
      <c r="H7055" s="15" t="n">
        <v>6</v>
      </c>
      <c r="I7055" s="17" t="n">
        <v>0</v>
      </c>
      <c r="J7055" s="18" t="n">
        <v>125.76</v>
      </c>
      <c r="K7055" s="19" t="n">
        <v>51.84</v>
      </c>
      <c r="L7055" s="15" t="n">
        <f aca="false">YEAR(B7055)</f>
        <v>2024</v>
      </c>
      <c r="M7055" s="20" t="n">
        <f aca="false">IF(J7055&gt;0,K7055/J7055,0)</f>
        <v>0.412213740458015</v>
      </c>
    </row>
    <row r="7056" customFormat="false" ht="15" hidden="false" customHeight="false" outlineLevel="0" collapsed="false">
      <c r="A7056" s="15" t="s">
        <v>7113</v>
      </c>
      <c r="B7056" s="16" t="n">
        <v>44921</v>
      </c>
      <c r="C7056" s="15" t="s">
        <v>56</v>
      </c>
      <c r="D7056" s="15" t="s">
        <v>42</v>
      </c>
      <c r="E7056" s="15" t="s">
        <v>39</v>
      </c>
      <c r="F7056" s="15" t="s">
        <v>16</v>
      </c>
      <c r="G7056" s="15" t="s">
        <v>22</v>
      </c>
      <c r="H7056" s="15" t="n">
        <v>4</v>
      </c>
      <c r="I7056" s="17" t="n">
        <v>0.15</v>
      </c>
      <c r="J7056" s="18" t="n">
        <v>1555.7</v>
      </c>
      <c r="K7056" s="19" t="n">
        <v>-216.88</v>
      </c>
      <c r="L7056" s="15" t="n">
        <f aca="false">YEAR(B7056)</f>
        <v>2022</v>
      </c>
      <c r="M7056" s="20" t="n">
        <f aca="false">IF(J7056&gt;0,K7056/J7056,0)</f>
        <v>-0.139409911936749</v>
      </c>
    </row>
    <row r="7057" customFormat="false" ht="15" hidden="false" customHeight="false" outlineLevel="0" collapsed="false">
      <c r="A7057" s="15" t="s">
        <v>7114</v>
      </c>
      <c r="B7057" s="16" t="n">
        <v>45150</v>
      </c>
      <c r="C7057" s="15" t="s">
        <v>71</v>
      </c>
      <c r="D7057" s="15" t="s">
        <v>42</v>
      </c>
      <c r="E7057" s="15" t="s">
        <v>36</v>
      </c>
      <c r="F7057" s="15" t="s">
        <v>17</v>
      </c>
      <c r="G7057" s="15" t="s">
        <v>26</v>
      </c>
      <c r="H7057" s="15" t="n">
        <v>3</v>
      </c>
      <c r="I7057" s="17" t="n">
        <v>0</v>
      </c>
      <c r="J7057" s="18" t="n">
        <v>273.14</v>
      </c>
      <c r="K7057" s="19" t="n">
        <v>44.11</v>
      </c>
      <c r="L7057" s="15" t="n">
        <f aca="false">YEAR(B7057)</f>
        <v>2023</v>
      </c>
      <c r="M7057" s="20" t="n">
        <f aca="false">IF(J7057&gt;0,K7057/J7057,0)</f>
        <v>0.161492275023797</v>
      </c>
    </row>
    <row r="7058" customFormat="false" ht="15" hidden="false" customHeight="false" outlineLevel="0" collapsed="false">
      <c r="A7058" s="15" t="s">
        <v>7115</v>
      </c>
      <c r="B7058" s="16" t="n">
        <v>44873</v>
      </c>
      <c r="C7058" s="15" t="s">
        <v>56</v>
      </c>
      <c r="D7058" s="15" t="s">
        <v>42</v>
      </c>
      <c r="E7058" s="15" t="s">
        <v>39</v>
      </c>
      <c r="F7058" s="15" t="s">
        <v>16</v>
      </c>
      <c r="G7058" s="15" t="s">
        <v>27</v>
      </c>
      <c r="H7058" s="15" t="n">
        <v>3</v>
      </c>
      <c r="I7058" s="17" t="n">
        <v>0.05</v>
      </c>
      <c r="J7058" s="18" t="n">
        <v>198.84</v>
      </c>
      <c r="K7058" s="19" t="n">
        <v>26.52</v>
      </c>
      <c r="L7058" s="15" t="n">
        <f aca="false">YEAR(B7058)</f>
        <v>2022</v>
      </c>
      <c r="M7058" s="20" t="n">
        <f aca="false">IF(J7058&gt;0,K7058/J7058,0)</f>
        <v>0.133373566686783</v>
      </c>
    </row>
    <row r="7059" customFormat="false" ht="15" hidden="false" customHeight="false" outlineLevel="0" collapsed="false">
      <c r="A7059" s="15" t="s">
        <v>7116</v>
      </c>
      <c r="B7059" s="16" t="n">
        <v>45828</v>
      </c>
      <c r="C7059" s="15" t="s">
        <v>56</v>
      </c>
      <c r="D7059" s="15" t="s">
        <v>42</v>
      </c>
      <c r="E7059" s="15" t="s">
        <v>36</v>
      </c>
      <c r="F7059" s="15" t="s">
        <v>17</v>
      </c>
      <c r="G7059" s="15" t="s">
        <v>28</v>
      </c>
      <c r="H7059" s="15" t="n">
        <v>4</v>
      </c>
      <c r="I7059" s="17" t="n">
        <v>0.3</v>
      </c>
      <c r="J7059" s="18" t="n">
        <v>60.61</v>
      </c>
      <c r="K7059" s="19" t="n">
        <v>1.12</v>
      </c>
      <c r="L7059" s="15" t="n">
        <f aca="false">YEAR(B7059)</f>
        <v>2025</v>
      </c>
      <c r="M7059" s="20" t="n">
        <f aca="false">IF(J7059&gt;0,K7059/J7059,0)</f>
        <v>0.0184787988780729</v>
      </c>
    </row>
    <row r="7060" customFormat="false" ht="15" hidden="false" customHeight="false" outlineLevel="0" collapsed="false">
      <c r="A7060" s="15" t="s">
        <v>7117</v>
      </c>
      <c r="B7060" s="16" t="n">
        <v>45085</v>
      </c>
      <c r="C7060" s="15" t="s">
        <v>56</v>
      </c>
      <c r="D7060" s="15" t="s">
        <v>42</v>
      </c>
      <c r="E7060" s="15" t="s">
        <v>39</v>
      </c>
      <c r="F7060" s="15" t="s">
        <v>16</v>
      </c>
      <c r="G7060" s="15" t="s">
        <v>22</v>
      </c>
      <c r="H7060" s="15" t="n">
        <v>4</v>
      </c>
      <c r="I7060" s="17" t="n">
        <v>0</v>
      </c>
      <c r="J7060" s="18" t="n">
        <v>1711.28</v>
      </c>
      <c r="K7060" s="19" t="n">
        <v>-74.78</v>
      </c>
      <c r="L7060" s="15" t="n">
        <f aca="false">YEAR(B7060)</f>
        <v>2023</v>
      </c>
      <c r="M7060" s="20" t="n">
        <f aca="false">IF(J7060&gt;0,K7060/J7060,0)</f>
        <v>-0.0436982843251835</v>
      </c>
    </row>
    <row r="7061" customFormat="false" ht="15" hidden="false" customHeight="false" outlineLevel="0" collapsed="false">
      <c r="A7061" s="15" t="s">
        <v>7118</v>
      </c>
      <c r="B7061" s="16" t="n">
        <v>45271</v>
      </c>
      <c r="C7061" s="15" t="s">
        <v>71</v>
      </c>
      <c r="D7061" s="15" t="s">
        <v>43</v>
      </c>
      <c r="E7061" s="15" t="s">
        <v>39</v>
      </c>
      <c r="F7061" s="15" t="s">
        <v>17</v>
      </c>
      <c r="G7061" s="15" t="s">
        <v>29</v>
      </c>
      <c r="H7061" s="15" t="n">
        <v>2</v>
      </c>
      <c r="I7061" s="17" t="n">
        <v>0</v>
      </c>
      <c r="J7061" s="18" t="n">
        <v>39.64</v>
      </c>
      <c r="K7061" s="19" t="n">
        <v>14.25</v>
      </c>
      <c r="L7061" s="15" t="n">
        <f aca="false">YEAR(B7061)</f>
        <v>2023</v>
      </c>
      <c r="M7061" s="20" t="n">
        <f aca="false">IF(J7061&gt;0,K7061/J7061,0)</f>
        <v>0.359485368314834</v>
      </c>
    </row>
    <row r="7062" customFormat="false" ht="15" hidden="false" customHeight="false" outlineLevel="0" collapsed="false">
      <c r="A7062" s="15" t="s">
        <v>7119</v>
      </c>
      <c r="B7062" s="16" t="n">
        <v>45569</v>
      </c>
      <c r="C7062" s="15" t="s">
        <v>56</v>
      </c>
      <c r="D7062" s="15" t="s">
        <v>43</v>
      </c>
      <c r="E7062" s="15" t="s">
        <v>36</v>
      </c>
      <c r="F7062" s="15" t="s">
        <v>18</v>
      </c>
      <c r="G7062" s="15" t="s">
        <v>32</v>
      </c>
      <c r="H7062" s="15" t="n">
        <v>4</v>
      </c>
      <c r="I7062" s="17" t="n">
        <v>0.2</v>
      </c>
      <c r="J7062" s="18" t="n">
        <v>1314.42</v>
      </c>
      <c r="K7062" s="19" t="n">
        <v>12.53</v>
      </c>
      <c r="L7062" s="15" t="n">
        <f aca="false">YEAR(B7062)</f>
        <v>2024</v>
      </c>
      <c r="M7062" s="20" t="n">
        <f aca="false">IF(J7062&gt;0,K7062/J7062,0)</f>
        <v>0.00953272165670029</v>
      </c>
    </row>
    <row r="7063" customFormat="false" ht="15" hidden="false" customHeight="false" outlineLevel="0" collapsed="false">
      <c r="A7063" s="15" t="s">
        <v>7120</v>
      </c>
      <c r="B7063" s="16" t="n">
        <v>45830</v>
      </c>
      <c r="C7063" s="15" t="s">
        <v>71</v>
      </c>
      <c r="D7063" s="15" t="s">
        <v>43</v>
      </c>
      <c r="E7063" s="15" t="s">
        <v>36</v>
      </c>
      <c r="F7063" s="15" t="s">
        <v>17</v>
      </c>
      <c r="G7063" s="15" t="s">
        <v>29</v>
      </c>
      <c r="H7063" s="15" t="n">
        <v>3</v>
      </c>
      <c r="I7063" s="17" t="n">
        <v>0</v>
      </c>
      <c r="J7063" s="18" t="n">
        <v>52.28</v>
      </c>
      <c r="K7063" s="19" t="n">
        <v>20.05</v>
      </c>
      <c r="L7063" s="15" t="n">
        <f aca="false">YEAR(B7063)</f>
        <v>2025</v>
      </c>
      <c r="M7063" s="20" t="n">
        <f aca="false">IF(J7063&gt;0,K7063/J7063,0)</f>
        <v>0.383511859219587</v>
      </c>
    </row>
    <row r="7064" customFormat="false" ht="15" hidden="false" customHeight="false" outlineLevel="0" collapsed="false">
      <c r="A7064" s="15" t="s">
        <v>7121</v>
      </c>
      <c r="B7064" s="16" t="n">
        <v>44846</v>
      </c>
      <c r="C7064" s="15" t="s">
        <v>68</v>
      </c>
      <c r="D7064" s="15" t="s">
        <v>43</v>
      </c>
      <c r="E7064" s="15" t="s">
        <v>39</v>
      </c>
      <c r="F7064" s="15" t="s">
        <v>16</v>
      </c>
      <c r="G7064" s="15" t="s">
        <v>23</v>
      </c>
      <c r="H7064" s="15" t="n">
        <v>4</v>
      </c>
      <c r="I7064" s="17" t="n">
        <v>0</v>
      </c>
      <c r="J7064" s="18" t="n">
        <v>1219.93</v>
      </c>
      <c r="K7064" s="19" t="n">
        <v>-7.55</v>
      </c>
      <c r="L7064" s="15" t="n">
        <f aca="false">YEAR(B7064)</f>
        <v>2022</v>
      </c>
      <c r="M7064" s="20" t="n">
        <f aca="false">IF(J7064&gt;0,K7064/J7064,0)</f>
        <v>-0.00618887968981827</v>
      </c>
    </row>
    <row r="7065" customFormat="false" ht="15" hidden="false" customHeight="false" outlineLevel="0" collapsed="false">
      <c r="A7065" s="15" t="s">
        <v>7122</v>
      </c>
      <c r="B7065" s="16" t="n">
        <v>45924</v>
      </c>
      <c r="C7065" s="15" t="s">
        <v>56</v>
      </c>
      <c r="D7065" s="15" t="s">
        <v>42</v>
      </c>
      <c r="E7065" s="15" t="s">
        <v>36</v>
      </c>
      <c r="F7065" s="15" t="s">
        <v>17</v>
      </c>
      <c r="G7065" s="15" t="s">
        <v>26</v>
      </c>
      <c r="H7065" s="15" t="n">
        <v>5</v>
      </c>
      <c r="I7065" s="17" t="n">
        <v>0</v>
      </c>
      <c r="J7065" s="18" t="n">
        <v>483.5</v>
      </c>
      <c r="K7065" s="19" t="n">
        <v>83.71</v>
      </c>
      <c r="L7065" s="15" t="n">
        <f aca="false">YEAR(B7065)</f>
        <v>2025</v>
      </c>
      <c r="M7065" s="20" t="n">
        <f aca="false">IF(J7065&gt;0,K7065/J7065,0)</f>
        <v>0.173133402275078</v>
      </c>
    </row>
    <row r="7066" customFormat="false" ht="15" hidden="false" customHeight="false" outlineLevel="0" collapsed="false">
      <c r="A7066" s="15" t="s">
        <v>7123</v>
      </c>
      <c r="B7066" s="16" t="n">
        <v>45429</v>
      </c>
      <c r="C7066" s="15" t="s">
        <v>56</v>
      </c>
      <c r="D7066" s="15" t="s">
        <v>42</v>
      </c>
      <c r="E7066" s="15" t="s">
        <v>36</v>
      </c>
      <c r="F7066" s="15" t="s">
        <v>17</v>
      </c>
      <c r="G7066" s="15" t="s">
        <v>28</v>
      </c>
      <c r="H7066" s="15" t="n">
        <v>2</v>
      </c>
      <c r="I7066" s="17" t="n">
        <v>0.2</v>
      </c>
      <c r="J7066" s="18" t="n">
        <v>34.95</v>
      </c>
      <c r="K7066" s="19" t="n">
        <v>4.23</v>
      </c>
      <c r="L7066" s="15" t="n">
        <f aca="false">YEAR(B7066)</f>
        <v>2024</v>
      </c>
      <c r="M7066" s="20" t="n">
        <f aca="false">IF(J7066&gt;0,K7066/J7066,0)</f>
        <v>0.121030042918455</v>
      </c>
    </row>
    <row r="7067" customFormat="false" ht="15" hidden="false" customHeight="false" outlineLevel="0" collapsed="false">
      <c r="A7067" s="15" t="s">
        <v>7124</v>
      </c>
      <c r="B7067" s="16" t="n">
        <v>45781</v>
      </c>
      <c r="C7067" s="15" t="s">
        <v>56</v>
      </c>
      <c r="D7067" s="15" t="s">
        <v>43</v>
      </c>
      <c r="E7067" s="15" t="s">
        <v>37</v>
      </c>
      <c r="F7067" s="15" t="s">
        <v>16</v>
      </c>
      <c r="G7067" s="15" t="s">
        <v>25</v>
      </c>
      <c r="H7067" s="15" t="n">
        <v>5</v>
      </c>
      <c r="I7067" s="17" t="n">
        <v>0.05</v>
      </c>
      <c r="J7067" s="18" t="n">
        <v>1296.31</v>
      </c>
      <c r="K7067" s="19" t="n">
        <v>119.79</v>
      </c>
      <c r="L7067" s="15" t="n">
        <f aca="false">YEAR(B7067)</f>
        <v>2025</v>
      </c>
      <c r="M7067" s="20" t="n">
        <f aca="false">IF(J7067&gt;0,K7067/J7067,0)</f>
        <v>0.0924084516820822</v>
      </c>
    </row>
    <row r="7068" customFormat="false" ht="15" hidden="false" customHeight="false" outlineLevel="0" collapsed="false">
      <c r="A7068" s="15" t="s">
        <v>7125</v>
      </c>
      <c r="B7068" s="16" t="n">
        <v>44910</v>
      </c>
      <c r="C7068" s="15" t="s">
        <v>56</v>
      </c>
      <c r="D7068" s="15" t="s">
        <v>43</v>
      </c>
      <c r="E7068" s="15" t="s">
        <v>36</v>
      </c>
      <c r="F7068" s="15" t="s">
        <v>17</v>
      </c>
      <c r="G7068" s="15" t="s">
        <v>28</v>
      </c>
      <c r="H7068" s="15" t="n">
        <v>1</v>
      </c>
      <c r="I7068" s="17" t="n">
        <v>0</v>
      </c>
      <c r="J7068" s="18" t="n">
        <v>24.84</v>
      </c>
      <c r="K7068" s="19" t="n">
        <v>7.4</v>
      </c>
      <c r="L7068" s="15" t="n">
        <f aca="false">YEAR(B7068)</f>
        <v>2022</v>
      </c>
      <c r="M7068" s="20" t="n">
        <f aca="false">IF(J7068&gt;0,K7068/J7068,0)</f>
        <v>0.297906602254428</v>
      </c>
    </row>
    <row r="7069" customFormat="false" ht="15" hidden="false" customHeight="false" outlineLevel="0" collapsed="false">
      <c r="A7069" s="15" t="s">
        <v>7126</v>
      </c>
      <c r="B7069" s="16" t="n">
        <v>46006</v>
      </c>
      <c r="C7069" s="15" t="s">
        <v>68</v>
      </c>
      <c r="D7069" s="15" t="s">
        <v>42</v>
      </c>
      <c r="E7069" s="15" t="s">
        <v>37</v>
      </c>
      <c r="F7069" s="15" t="s">
        <v>16</v>
      </c>
      <c r="G7069" s="15" t="s">
        <v>23</v>
      </c>
      <c r="H7069" s="15" t="n">
        <v>6</v>
      </c>
      <c r="I7069" s="17" t="n">
        <v>0</v>
      </c>
      <c r="J7069" s="18" t="n">
        <v>2457.4</v>
      </c>
      <c r="K7069" s="19" t="n">
        <v>16.24</v>
      </c>
      <c r="L7069" s="15" t="n">
        <f aca="false">YEAR(B7069)</f>
        <v>2025</v>
      </c>
      <c r="M7069" s="20" t="n">
        <f aca="false">IF(J7069&gt;0,K7069/J7069,0)</f>
        <v>0.00660861072678441</v>
      </c>
    </row>
    <row r="7070" customFormat="false" ht="15" hidden="false" customHeight="false" outlineLevel="0" collapsed="false">
      <c r="A7070" s="15" t="s">
        <v>7127</v>
      </c>
      <c r="B7070" s="16" t="n">
        <v>44790</v>
      </c>
      <c r="C7070" s="15" t="s">
        <v>71</v>
      </c>
      <c r="D7070" s="15" t="s">
        <v>43</v>
      </c>
      <c r="E7070" s="15" t="s">
        <v>36</v>
      </c>
      <c r="F7070" s="15" t="s">
        <v>17</v>
      </c>
      <c r="G7070" s="15" t="s">
        <v>28</v>
      </c>
      <c r="H7070" s="15" t="n">
        <v>4</v>
      </c>
      <c r="I7070" s="17" t="n">
        <v>0.3</v>
      </c>
      <c r="J7070" s="18" t="n">
        <v>71.24</v>
      </c>
      <c r="K7070" s="19" t="n">
        <v>-0.13</v>
      </c>
      <c r="L7070" s="15" t="n">
        <f aca="false">YEAR(B7070)</f>
        <v>2022</v>
      </c>
      <c r="M7070" s="20" t="n">
        <f aca="false">IF(J7070&gt;0,K7070/J7070,0)</f>
        <v>-0.00182481751824818</v>
      </c>
    </row>
    <row r="7071" customFormat="false" ht="15" hidden="false" customHeight="false" outlineLevel="0" collapsed="false">
      <c r="A7071" s="15" t="s">
        <v>7128</v>
      </c>
      <c r="B7071" s="16" t="n">
        <v>45715</v>
      </c>
      <c r="C7071" s="15" t="s">
        <v>56</v>
      </c>
      <c r="D7071" s="15" t="s">
        <v>42</v>
      </c>
      <c r="E7071" s="15" t="s">
        <v>39</v>
      </c>
      <c r="F7071" s="15" t="s">
        <v>18</v>
      </c>
      <c r="G7071" s="15" t="s">
        <v>30</v>
      </c>
      <c r="H7071" s="15" t="n">
        <v>4</v>
      </c>
      <c r="I7071" s="17" t="n">
        <v>0.5</v>
      </c>
      <c r="J7071" s="18" t="n">
        <v>108.49</v>
      </c>
      <c r="K7071" s="19" t="n">
        <v>-21.17</v>
      </c>
      <c r="L7071" s="15" t="n">
        <f aca="false">YEAR(B7071)</f>
        <v>2025</v>
      </c>
      <c r="M7071" s="20" t="n">
        <f aca="false">IF(J7071&gt;0,K7071/J7071,0)</f>
        <v>-0.195133191999263</v>
      </c>
    </row>
    <row r="7072" customFormat="false" ht="15" hidden="false" customHeight="false" outlineLevel="0" collapsed="false">
      <c r="A7072" s="15" t="s">
        <v>7129</v>
      </c>
      <c r="B7072" s="16" t="n">
        <v>45817</v>
      </c>
      <c r="C7072" s="15" t="s">
        <v>68</v>
      </c>
      <c r="D7072" s="15" t="s">
        <v>42</v>
      </c>
      <c r="E7072" s="15" t="s">
        <v>36</v>
      </c>
      <c r="F7072" s="15" t="s">
        <v>17</v>
      </c>
      <c r="G7072" s="15" t="s">
        <v>29</v>
      </c>
      <c r="H7072" s="15" t="n">
        <v>1</v>
      </c>
      <c r="I7072" s="17" t="n">
        <v>0</v>
      </c>
      <c r="J7072" s="18" t="n">
        <v>17.45</v>
      </c>
      <c r="K7072" s="19" t="n">
        <v>6.57</v>
      </c>
      <c r="L7072" s="15" t="n">
        <f aca="false">YEAR(B7072)</f>
        <v>2025</v>
      </c>
      <c r="M7072" s="20" t="n">
        <f aca="false">IF(J7072&gt;0,K7072/J7072,0)</f>
        <v>0.376504297994269</v>
      </c>
    </row>
    <row r="7073" customFormat="false" ht="15" hidden="false" customHeight="false" outlineLevel="0" collapsed="false">
      <c r="A7073" s="15" t="s">
        <v>7130</v>
      </c>
      <c r="B7073" s="16" t="n">
        <v>45972</v>
      </c>
      <c r="C7073" s="15" t="s">
        <v>56</v>
      </c>
      <c r="D7073" s="15" t="s">
        <v>42</v>
      </c>
      <c r="E7073" s="15" t="s">
        <v>36</v>
      </c>
      <c r="F7073" s="15" t="s">
        <v>17</v>
      </c>
      <c r="G7073" s="15" t="s">
        <v>29</v>
      </c>
      <c r="H7073" s="15" t="n">
        <v>6</v>
      </c>
      <c r="I7073" s="17" t="n">
        <v>0</v>
      </c>
      <c r="J7073" s="18" t="n">
        <v>107.55</v>
      </c>
      <c r="K7073" s="19" t="n">
        <v>44.83</v>
      </c>
      <c r="L7073" s="15" t="n">
        <f aca="false">YEAR(B7073)</f>
        <v>2025</v>
      </c>
      <c r="M7073" s="20" t="n">
        <f aca="false">IF(J7073&gt;0,K7073/J7073,0)</f>
        <v>0.416829381682938</v>
      </c>
    </row>
    <row r="7074" customFormat="false" ht="15" hidden="false" customHeight="false" outlineLevel="0" collapsed="false">
      <c r="A7074" s="15" t="s">
        <v>7131</v>
      </c>
      <c r="B7074" s="16" t="n">
        <v>45972</v>
      </c>
      <c r="C7074" s="15" t="s">
        <v>68</v>
      </c>
      <c r="D7074" s="15" t="s">
        <v>42</v>
      </c>
      <c r="E7074" s="15" t="s">
        <v>37</v>
      </c>
      <c r="F7074" s="15" t="s">
        <v>17</v>
      </c>
      <c r="G7074" s="15" t="s">
        <v>29</v>
      </c>
      <c r="H7074" s="15" t="n">
        <v>3</v>
      </c>
      <c r="I7074" s="17" t="n">
        <v>0</v>
      </c>
      <c r="J7074" s="18" t="n">
        <v>56.07</v>
      </c>
      <c r="K7074" s="19" t="n">
        <v>22.5</v>
      </c>
      <c r="L7074" s="15" t="n">
        <f aca="false">YEAR(B7074)</f>
        <v>2025</v>
      </c>
      <c r="M7074" s="20" t="n">
        <f aca="false">IF(J7074&gt;0,K7074/J7074,0)</f>
        <v>0.401284109149278</v>
      </c>
    </row>
    <row r="7075" customFormat="false" ht="15" hidden="false" customHeight="false" outlineLevel="0" collapsed="false">
      <c r="A7075" s="15" t="s">
        <v>7132</v>
      </c>
      <c r="B7075" s="16" t="n">
        <v>45988</v>
      </c>
      <c r="C7075" s="15" t="s">
        <v>56</v>
      </c>
      <c r="D7075" s="15" t="s">
        <v>42</v>
      </c>
      <c r="E7075" s="15" t="s">
        <v>39</v>
      </c>
      <c r="F7075" s="15" t="s">
        <v>17</v>
      </c>
      <c r="G7075" s="15" t="s">
        <v>28</v>
      </c>
      <c r="H7075" s="15" t="n">
        <v>3</v>
      </c>
      <c r="I7075" s="17" t="n">
        <v>0</v>
      </c>
      <c r="J7075" s="18" t="n">
        <v>71.45</v>
      </c>
      <c r="K7075" s="19" t="n">
        <v>17.91</v>
      </c>
      <c r="L7075" s="15" t="n">
        <f aca="false">YEAR(B7075)</f>
        <v>2025</v>
      </c>
      <c r="M7075" s="20" t="n">
        <f aca="false">IF(J7075&gt;0,K7075/J7075,0)</f>
        <v>0.250664800559832</v>
      </c>
    </row>
    <row r="7076" customFormat="false" ht="15" hidden="false" customHeight="false" outlineLevel="0" collapsed="false">
      <c r="A7076" s="15" t="s">
        <v>7133</v>
      </c>
      <c r="B7076" s="16" t="n">
        <v>45869</v>
      </c>
      <c r="C7076" s="15" t="s">
        <v>71</v>
      </c>
      <c r="D7076" s="15" t="s">
        <v>43</v>
      </c>
      <c r="E7076" s="15" t="s">
        <v>37</v>
      </c>
      <c r="F7076" s="15" t="s">
        <v>17</v>
      </c>
      <c r="G7076" s="15" t="s">
        <v>28</v>
      </c>
      <c r="H7076" s="15" t="n">
        <v>5</v>
      </c>
      <c r="I7076" s="17" t="n">
        <v>0</v>
      </c>
      <c r="J7076" s="18" t="n">
        <v>143.96</v>
      </c>
      <c r="K7076" s="19" t="n">
        <v>35.27</v>
      </c>
      <c r="L7076" s="15" t="n">
        <f aca="false">YEAR(B7076)</f>
        <v>2025</v>
      </c>
      <c r="M7076" s="20" t="n">
        <f aca="false">IF(J7076&gt;0,K7076/J7076,0)</f>
        <v>0.244998610725201</v>
      </c>
    </row>
    <row r="7077" customFormat="false" ht="15" hidden="false" customHeight="false" outlineLevel="0" collapsed="false">
      <c r="A7077" s="15" t="s">
        <v>7134</v>
      </c>
      <c r="B7077" s="16" t="n">
        <v>44665</v>
      </c>
      <c r="C7077" s="15" t="s">
        <v>56</v>
      </c>
      <c r="D7077" s="15" t="s">
        <v>43</v>
      </c>
      <c r="E7077" s="15" t="s">
        <v>39</v>
      </c>
      <c r="F7077" s="15" t="s">
        <v>17</v>
      </c>
      <c r="G7077" s="15" t="s">
        <v>28</v>
      </c>
      <c r="H7077" s="15" t="n">
        <v>8</v>
      </c>
      <c r="I7077" s="17" t="n">
        <v>0.2</v>
      </c>
      <c r="J7077" s="18" t="n">
        <v>170.91</v>
      </c>
      <c r="K7077" s="19" t="n">
        <v>18.74</v>
      </c>
      <c r="L7077" s="15" t="n">
        <f aca="false">YEAR(B7077)</f>
        <v>2022</v>
      </c>
      <c r="M7077" s="20" t="n">
        <f aca="false">IF(J7077&gt;0,K7077/J7077,0)</f>
        <v>0.109648352934293</v>
      </c>
    </row>
    <row r="7078" customFormat="false" ht="15" hidden="false" customHeight="false" outlineLevel="0" collapsed="false">
      <c r="A7078" s="15" t="s">
        <v>7135</v>
      </c>
      <c r="B7078" s="16" t="n">
        <v>44980</v>
      </c>
      <c r="C7078" s="15" t="s">
        <v>71</v>
      </c>
      <c r="D7078" s="15" t="s">
        <v>43</v>
      </c>
      <c r="E7078" s="15" t="s">
        <v>38</v>
      </c>
      <c r="F7078" s="15" t="s">
        <v>18</v>
      </c>
      <c r="G7078" s="15" t="s">
        <v>30</v>
      </c>
      <c r="H7078" s="15" t="n">
        <v>2</v>
      </c>
      <c r="I7078" s="17" t="n">
        <v>0.1</v>
      </c>
      <c r="J7078" s="18" t="n">
        <v>89.37</v>
      </c>
      <c r="K7078" s="19" t="n">
        <v>14.47</v>
      </c>
      <c r="L7078" s="15" t="n">
        <f aca="false">YEAR(B7078)</f>
        <v>2023</v>
      </c>
      <c r="M7078" s="20" t="n">
        <f aca="false">IF(J7078&gt;0,K7078/J7078,0)</f>
        <v>0.16191115586886</v>
      </c>
    </row>
    <row r="7079" customFormat="false" ht="15" hidden="false" customHeight="false" outlineLevel="0" collapsed="false">
      <c r="A7079" s="15" t="s">
        <v>7136</v>
      </c>
      <c r="B7079" s="16" t="n">
        <v>46005</v>
      </c>
      <c r="C7079" s="15" t="s">
        <v>71</v>
      </c>
      <c r="D7079" s="15" t="s">
        <v>44</v>
      </c>
      <c r="E7079" s="15" t="s">
        <v>39</v>
      </c>
      <c r="F7079" s="15" t="s">
        <v>17</v>
      </c>
      <c r="G7079" s="15" t="s">
        <v>31</v>
      </c>
      <c r="H7079" s="15" t="n">
        <v>5</v>
      </c>
      <c r="I7079" s="17" t="n">
        <v>0</v>
      </c>
      <c r="J7079" s="18" t="n">
        <v>685.58</v>
      </c>
      <c r="K7079" s="19" t="n">
        <v>106.01</v>
      </c>
      <c r="L7079" s="15" t="n">
        <f aca="false">YEAR(B7079)</f>
        <v>2025</v>
      </c>
      <c r="M7079" s="20" t="n">
        <f aca="false">IF(J7079&gt;0,K7079/J7079,0)</f>
        <v>0.154628198022113</v>
      </c>
    </row>
    <row r="7080" customFormat="false" ht="15" hidden="false" customHeight="false" outlineLevel="0" collapsed="false">
      <c r="A7080" s="15" t="s">
        <v>7137</v>
      </c>
      <c r="B7080" s="16" t="n">
        <v>44958</v>
      </c>
      <c r="C7080" s="15" t="s">
        <v>56</v>
      </c>
      <c r="D7080" s="15" t="s">
        <v>42</v>
      </c>
      <c r="E7080" s="15" t="s">
        <v>37</v>
      </c>
      <c r="F7080" s="15" t="s">
        <v>18</v>
      </c>
      <c r="G7080" s="15" t="s">
        <v>33</v>
      </c>
      <c r="H7080" s="15" t="n">
        <v>2</v>
      </c>
      <c r="I7080" s="17" t="n">
        <v>0.05</v>
      </c>
      <c r="J7080" s="18" t="n">
        <v>1387</v>
      </c>
      <c r="K7080" s="19" t="n">
        <v>251.76</v>
      </c>
      <c r="L7080" s="15" t="n">
        <f aca="false">YEAR(B7080)</f>
        <v>2023</v>
      </c>
      <c r="M7080" s="20" t="n">
        <f aca="false">IF(J7080&gt;0,K7080/J7080,0)</f>
        <v>0.181514059120404</v>
      </c>
    </row>
    <row r="7081" customFormat="false" ht="15" hidden="false" customHeight="false" outlineLevel="0" collapsed="false">
      <c r="A7081" s="15" t="s">
        <v>7138</v>
      </c>
      <c r="B7081" s="16" t="n">
        <v>44609</v>
      </c>
      <c r="C7081" s="15" t="s">
        <v>56</v>
      </c>
      <c r="D7081" s="15" t="s">
        <v>44</v>
      </c>
      <c r="E7081" s="15" t="s">
        <v>38</v>
      </c>
      <c r="F7081" s="15" t="s">
        <v>18</v>
      </c>
      <c r="G7081" s="15" t="s">
        <v>24</v>
      </c>
      <c r="H7081" s="15" t="n">
        <v>2</v>
      </c>
      <c r="I7081" s="17" t="n">
        <v>0</v>
      </c>
      <c r="J7081" s="18" t="n">
        <v>1045.58</v>
      </c>
      <c r="K7081" s="19" t="n">
        <v>115.42</v>
      </c>
      <c r="L7081" s="15" t="n">
        <f aca="false">YEAR(B7081)</f>
        <v>2022</v>
      </c>
      <c r="M7081" s="20" t="n">
        <f aca="false">IF(J7081&gt;0,K7081/J7081,0)</f>
        <v>0.110388492511333</v>
      </c>
    </row>
    <row r="7082" customFormat="false" ht="15" hidden="false" customHeight="false" outlineLevel="0" collapsed="false">
      <c r="A7082" s="15" t="s">
        <v>7139</v>
      </c>
      <c r="B7082" s="16" t="n">
        <v>45600</v>
      </c>
      <c r="C7082" s="15" t="s">
        <v>56</v>
      </c>
      <c r="D7082" s="15" t="s">
        <v>42</v>
      </c>
      <c r="E7082" s="15" t="s">
        <v>39</v>
      </c>
      <c r="F7082" s="15" t="s">
        <v>18</v>
      </c>
      <c r="G7082" s="15" t="s">
        <v>32</v>
      </c>
      <c r="H7082" s="15" t="n">
        <v>1</v>
      </c>
      <c r="I7082" s="17" t="n">
        <v>0.1</v>
      </c>
      <c r="J7082" s="18" t="n">
        <v>382.9</v>
      </c>
      <c r="K7082" s="19" t="n">
        <v>63.5</v>
      </c>
      <c r="L7082" s="15" t="n">
        <f aca="false">YEAR(B7082)</f>
        <v>2024</v>
      </c>
      <c r="M7082" s="20" t="n">
        <f aca="false">IF(J7082&gt;0,K7082/J7082,0)</f>
        <v>0.165839644815879</v>
      </c>
    </row>
    <row r="7083" customFormat="false" ht="15" hidden="false" customHeight="false" outlineLevel="0" collapsed="false">
      <c r="A7083" s="15" t="s">
        <v>7140</v>
      </c>
      <c r="B7083" s="16" t="n">
        <v>45768</v>
      </c>
      <c r="C7083" s="15" t="s">
        <v>56</v>
      </c>
      <c r="D7083" s="15" t="s">
        <v>43</v>
      </c>
      <c r="E7083" s="15" t="s">
        <v>37</v>
      </c>
      <c r="F7083" s="15" t="s">
        <v>17</v>
      </c>
      <c r="G7083" s="15" t="s">
        <v>31</v>
      </c>
      <c r="H7083" s="15" t="n">
        <v>4</v>
      </c>
      <c r="I7083" s="17" t="n">
        <v>0.15</v>
      </c>
      <c r="J7083" s="18" t="n">
        <v>467</v>
      </c>
      <c r="K7083" s="19" t="n">
        <v>44.77</v>
      </c>
      <c r="L7083" s="15" t="n">
        <f aca="false">YEAR(B7083)</f>
        <v>2025</v>
      </c>
      <c r="M7083" s="20" t="n">
        <f aca="false">IF(J7083&gt;0,K7083/J7083,0)</f>
        <v>0.0958672376873662</v>
      </c>
    </row>
    <row r="7084" customFormat="false" ht="15" hidden="false" customHeight="false" outlineLevel="0" collapsed="false">
      <c r="A7084" s="15" t="s">
        <v>7141</v>
      </c>
      <c r="B7084" s="16" t="n">
        <v>45280</v>
      </c>
      <c r="C7084" s="15" t="s">
        <v>68</v>
      </c>
      <c r="D7084" s="15" t="s">
        <v>44</v>
      </c>
      <c r="E7084" s="15" t="s">
        <v>37</v>
      </c>
      <c r="F7084" s="15" t="s">
        <v>17</v>
      </c>
      <c r="G7084" s="15" t="s">
        <v>26</v>
      </c>
      <c r="H7084" s="15" t="n">
        <v>2</v>
      </c>
      <c r="I7084" s="17" t="n">
        <v>0.1</v>
      </c>
      <c r="J7084" s="18" t="n">
        <v>134.5</v>
      </c>
      <c r="K7084" s="19" t="n">
        <v>4.48</v>
      </c>
      <c r="L7084" s="15" t="n">
        <f aca="false">YEAR(B7084)</f>
        <v>2023</v>
      </c>
      <c r="M7084" s="20" t="n">
        <f aca="false">IF(J7084&gt;0,K7084/J7084,0)</f>
        <v>0.0333085501858736</v>
      </c>
    </row>
    <row r="7085" customFormat="false" ht="15" hidden="false" customHeight="false" outlineLevel="0" collapsed="false">
      <c r="A7085" s="15" t="s">
        <v>7142</v>
      </c>
      <c r="B7085" s="16" t="n">
        <v>45545</v>
      </c>
      <c r="C7085" s="15" t="s">
        <v>56</v>
      </c>
      <c r="D7085" s="15" t="s">
        <v>43</v>
      </c>
      <c r="E7085" s="15" t="s">
        <v>39</v>
      </c>
      <c r="F7085" s="15" t="s">
        <v>17</v>
      </c>
      <c r="G7085" s="15" t="s">
        <v>26</v>
      </c>
      <c r="H7085" s="15" t="n">
        <v>7</v>
      </c>
      <c r="I7085" s="17" t="n">
        <v>0</v>
      </c>
      <c r="J7085" s="18" t="n">
        <v>695.03</v>
      </c>
      <c r="K7085" s="19" t="n">
        <v>83.93</v>
      </c>
      <c r="L7085" s="15" t="n">
        <f aca="false">YEAR(B7085)</f>
        <v>2024</v>
      </c>
      <c r="M7085" s="20" t="n">
        <f aca="false">IF(J7085&gt;0,K7085/J7085,0)</f>
        <v>0.120757377379394</v>
      </c>
    </row>
    <row r="7086" customFormat="false" ht="15" hidden="false" customHeight="false" outlineLevel="0" collapsed="false">
      <c r="A7086" s="15" t="s">
        <v>7143</v>
      </c>
      <c r="B7086" s="16" t="n">
        <v>44779</v>
      </c>
      <c r="C7086" s="15" t="s">
        <v>68</v>
      </c>
      <c r="D7086" s="15" t="s">
        <v>43</v>
      </c>
      <c r="E7086" s="15" t="s">
        <v>39</v>
      </c>
      <c r="F7086" s="15" t="s">
        <v>17</v>
      </c>
      <c r="G7086" s="15" t="s">
        <v>29</v>
      </c>
      <c r="H7086" s="15" t="n">
        <v>3</v>
      </c>
      <c r="I7086" s="17" t="n">
        <v>0</v>
      </c>
      <c r="J7086" s="18" t="n">
        <v>58.92</v>
      </c>
      <c r="K7086" s="19" t="n">
        <v>20.72</v>
      </c>
      <c r="L7086" s="15" t="n">
        <f aca="false">YEAR(B7086)</f>
        <v>2022</v>
      </c>
      <c r="M7086" s="20" t="n">
        <f aca="false">IF(J7086&gt;0,K7086/J7086,0)</f>
        <v>0.351663272233537</v>
      </c>
    </row>
    <row r="7087" customFormat="false" ht="15" hidden="false" customHeight="false" outlineLevel="0" collapsed="false">
      <c r="A7087" s="15" t="s">
        <v>7144</v>
      </c>
      <c r="B7087" s="16" t="n">
        <v>44655</v>
      </c>
      <c r="C7087" s="15" t="s">
        <v>71</v>
      </c>
      <c r="D7087" s="15" t="s">
        <v>42</v>
      </c>
      <c r="E7087" s="15" t="s">
        <v>37</v>
      </c>
      <c r="F7087" s="15" t="s">
        <v>16</v>
      </c>
      <c r="G7087" s="15" t="s">
        <v>23</v>
      </c>
      <c r="H7087" s="15" t="n">
        <v>1</v>
      </c>
      <c r="I7087" s="17" t="n">
        <v>0</v>
      </c>
      <c r="J7087" s="18" t="n">
        <v>311.91</v>
      </c>
      <c r="K7087" s="19" t="n">
        <v>-13.46</v>
      </c>
      <c r="L7087" s="15" t="n">
        <f aca="false">YEAR(B7087)</f>
        <v>2022</v>
      </c>
      <c r="M7087" s="20" t="n">
        <f aca="false">IF(J7087&gt;0,K7087/J7087,0)</f>
        <v>-0.043153473758456</v>
      </c>
    </row>
    <row r="7088" customFormat="false" ht="15" hidden="false" customHeight="false" outlineLevel="0" collapsed="false">
      <c r="A7088" s="15" t="s">
        <v>7145</v>
      </c>
      <c r="B7088" s="16" t="n">
        <v>45530</v>
      </c>
      <c r="C7088" s="15" t="s">
        <v>56</v>
      </c>
      <c r="D7088" s="15" t="s">
        <v>42</v>
      </c>
      <c r="E7088" s="15" t="s">
        <v>38</v>
      </c>
      <c r="F7088" s="15" t="s">
        <v>16</v>
      </c>
      <c r="G7088" s="15" t="s">
        <v>22</v>
      </c>
      <c r="H7088" s="15" t="n">
        <v>3</v>
      </c>
      <c r="I7088" s="17" t="n">
        <v>0.05</v>
      </c>
      <c r="J7088" s="18" t="n">
        <v>1245.64</v>
      </c>
      <c r="K7088" s="19" t="n">
        <v>-78.1</v>
      </c>
      <c r="L7088" s="15" t="n">
        <f aca="false">YEAR(B7088)</f>
        <v>2024</v>
      </c>
      <c r="M7088" s="20" t="n">
        <f aca="false">IF(J7088&gt;0,K7088/J7088,0)</f>
        <v>-0.0626986930413282</v>
      </c>
    </row>
    <row r="7089" customFormat="false" ht="15" hidden="false" customHeight="false" outlineLevel="0" collapsed="false">
      <c r="A7089" s="15" t="s">
        <v>7146</v>
      </c>
      <c r="B7089" s="16" t="n">
        <v>45624</v>
      </c>
      <c r="C7089" s="15" t="s">
        <v>56</v>
      </c>
      <c r="D7089" s="15" t="s">
        <v>43</v>
      </c>
      <c r="E7089" s="15" t="s">
        <v>37</v>
      </c>
      <c r="F7089" s="15" t="s">
        <v>17</v>
      </c>
      <c r="G7089" s="15" t="s">
        <v>29</v>
      </c>
      <c r="H7089" s="15" t="n">
        <v>6</v>
      </c>
      <c r="I7089" s="17" t="n">
        <v>0.1</v>
      </c>
      <c r="J7089" s="18" t="n">
        <v>97.87</v>
      </c>
      <c r="K7089" s="19" t="n">
        <v>27.33</v>
      </c>
      <c r="L7089" s="15" t="n">
        <f aca="false">YEAR(B7089)</f>
        <v>2024</v>
      </c>
      <c r="M7089" s="20" t="n">
        <f aca="false">IF(J7089&gt;0,K7089/J7089,0)</f>
        <v>0.279247982016961</v>
      </c>
    </row>
    <row r="7090" customFormat="false" ht="15" hidden="false" customHeight="false" outlineLevel="0" collapsed="false">
      <c r="A7090" s="15" t="s">
        <v>7147</v>
      </c>
      <c r="B7090" s="16" t="n">
        <v>45642</v>
      </c>
      <c r="C7090" s="15" t="s">
        <v>71</v>
      </c>
      <c r="D7090" s="15" t="s">
        <v>42</v>
      </c>
      <c r="E7090" s="15" t="s">
        <v>37</v>
      </c>
      <c r="F7090" s="15" t="s">
        <v>17</v>
      </c>
      <c r="G7090" s="15" t="s">
        <v>29</v>
      </c>
      <c r="H7090" s="15" t="n">
        <v>2</v>
      </c>
      <c r="I7090" s="17" t="n">
        <v>0.2</v>
      </c>
      <c r="J7090" s="18" t="n">
        <v>29.37</v>
      </c>
      <c r="K7090" s="19" t="n">
        <v>4.3</v>
      </c>
      <c r="L7090" s="15" t="n">
        <f aca="false">YEAR(B7090)</f>
        <v>2024</v>
      </c>
      <c r="M7090" s="20" t="n">
        <f aca="false">IF(J7090&gt;0,K7090/J7090,0)</f>
        <v>0.146407899216888</v>
      </c>
    </row>
    <row r="7091" customFormat="false" ht="15" hidden="false" customHeight="false" outlineLevel="0" collapsed="false">
      <c r="A7091" s="15" t="s">
        <v>7148</v>
      </c>
      <c r="B7091" s="16" t="n">
        <v>45401</v>
      </c>
      <c r="C7091" s="15" t="s">
        <v>56</v>
      </c>
      <c r="D7091" s="15" t="s">
        <v>43</v>
      </c>
      <c r="E7091" s="15" t="s">
        <v>39</v>
      </c>
      <c r="F7091" s="15" t="s">
        <v>18</v>
      </c>
      <c r="G7091" s="15" t="s">
        <v>30</v>
      </c>
      <c r="H7091" s="15" t="n">
        <v>3</v>
      </c>
      <c r="I7091" s="17" t="n">
        <v>0.1</v>
      </c>
      <c r="J7091" s="18" t="n">
        <v>143.59</v>
      </c>
      <c r="K7091" s="19" t="n">
        <v>34.1</v>
      </c>
      <c r="L7091" s="15" t="n">
        <f aca="false">YEAR(B7091)</f>
        <v>2024</v>
      </c>
      <c r="M7091" s="20" t="n">
        <f aca="false">IF(J7091&gt;0,K7091/J7091,0)</f>
        <v>0.237481718782645</v>
      </c>
    </row>
    <row r="7092" customFormat="false" ht="15" hidden="false" customHeight="false" outlineLevel="0" collapsed="false">
      <c r="A7092" s="15" t="s">
        <v>7149</v>
      </c>
      <c r="B7092" s="16" t="n">
        <v>45319</v>
      </c>
      <c r="C7092" s="15" t="s">
        <v>56</v>
      </c>
      <c r="D7092" s="15" t="s">
        <v>42</v>
      </c>
      <c r="E7092" s="15" t="s">
        <v>38</v>
      </c>
      <c r="F7092" s="15" t="s">
        <v>17</v>
      </c>
      <c r="G7092" s="15" t="s">
        <v>29</v>
      </c>
      <c r="H7092" s="15" t="n">
        <v>3</v>
      </c>
      <c r="I7092" s="17" t="n">
        <v>0.15</v>
      </c>
      <c r="J7092" s="18" t="n">
        <v>38.1</v>
      </c>
      <c r="K7092" s="19" t="n">
        <v>8.26</v>
      </c>
      <c r="L7092" s="15" t="n">
        <f aca="false">YEAR(B7092)</f>
        <v>2024</v>
      </c>
      <c r="M7092" s="20" t="n">
        <f aca="false">IF(J7092&gt;0,K7092/J7092,0)</f>
        <v>0.216797900262467</v>
      </c>
    </row>
    <row r="7093" customFormat="false" ht="15" hidden="false" customHeight="false" outlineLevel="0" collapsed="false">
      <c r="A7093" s="15" t="s">
        <v>7150</v>
      </c>
      <c r="B7093" s="16" t="n">
        <v>44746</v>
      </c>
      <c r="C7093" s="15" t="s">
        <v>56</v>
      </c>
      <c r="D7093" s="15" t="s">
        <v>42</v>
      </c>
      <c r="E7093" s="15" t="s">
        <v>39</v>
      </c>
      <c r="F7093" s="15" t="s">
        <v>17</v>
      </c>
      <c r="G7093" s="15" t="s">
        <v>28</v>
      </c>
      <c r="H7093" s="15" t="n">
        <v>3</v>
      </c>
      <c r="I7093" s="17" t="n">
        <v>0.15</v>
      </c>
      <c r="J7093" s="18" t="n">
        <v>99.9</v>
      </c>
      <c r="K7093" s="19" t="n">
        <v>11.3</v>
      </c>
      <c r="L7093" s="15" t="n">
        <f aca="false">YEAR(B7093)</f>
        <v>2022</v>
      </c>
      <c r="M7093" s="20" t="n">
        <f aca="false">IF(J7093&gt;0,K7093/J7093,0)</f>
        <v>0.113113113113113</v>
      </c>
    </row>
    <row r="7094" customFormat="false" ht="15" hidden="false" customHeight="false" outlineLevel="0" collapsed="false">
      <c r="A7094" s="15" t="s">
        <v>7151</v>
      </c>
      <c r="B7094" s="16" t="n">
        <v>45599</v>
      </c>
      <c r="C7094" s="15" t="s">
        <v>71</v>
      </c>
      <c r="D7094" s="15" t="s">
        <v>43</v>
      </c>
      <c r="E7094" s="15" t="s">
        <v>39</v>
      </c>
      <c r="F7094" s="15" t="s">
        <v>18</v>
      </c>
      <c r="G7094" s="15" t="s">
        <v>24</v>
      </c>
      <c r="H7094" s="15" t="n">
        <v>3</v>
      </c>
      <c r="I7094" s="17" t="n">
        <v>0</v>
      </c>
      <c r="J7094" s="18" t="n">
        <v>2111.57</v>
      </c>
      <c r="K7094" s="19" t="n">
        <v>176.01</v>
      </c>
      <c r="L7094" s="15" t="n">
        <f aca="false">YEAR(B7094)</f>
        <v>2024</v>
      </c>
      <c r="M7094" s="20" t="n">
        <f aca="false">IF(J7094&gt;0,K7094/J7094,0)</f>
        <v>0.0833550391414919</v>
      </c>
    </row>
    <row r="7095" customFormat="false" ht="15" hidden="false" customHeight="false" outlineLevel="0" collapsed="false">
      <c r="A7095" s="15" t="s">
        <v>7152</v>
      </c>
      <c r="B7095" s="16" t="n">
        <v>45149</v>
      </c>
      <c r="C7095" s="15" t="s">
        <v>58</v>
      </c>
      <c r="D7095" s="15" t="s">
        <v>43</v>
      </c>
      <c r="E7095" s="15" t="s">
        <v>37</v>
      </c>
      <c r="F7095" s="15" t="s">
        <v>18</v>
      </c>
      <c r="G7095" s="15" t="s">
        <v>24</v>
      </c>
      <c r="H7095" s="15" t="n">
        <v>3</v>
      </c>
      <c r="I7095" s="17" t="n">
        <v>0</v>
      </c>
      <c r="J7095" s="18" t="n">
        <v>2210.04</v>
      </c>
      <c r="K7095" s="19" t="n">
        <v>223.74</v>
      </c>
      <c r="L7095" s="15" t="n">
        <f aca="false">YEAR(B7095)</f>
        <v>2023</v>
      </c>
      <c r="M7095" s="20" t="n">
        <f aca="false">IF(J7095&gt;0,K7095/J7095,0)</f>
        <v>0.101237986642776</v>
      </c>
    </row>
    <row r="7096" customFormat="false" ht="15" hidden="false" customHeight="false" outlineLevel="0" collapsed="false">
      <c r="A7096" s="15" t="s">
        <v>7153</v>
      </c>
      <c r="B7096" s="16" t="n">
        <v>44815</v>
      </c>
      <c r="C7096" s="15" t="s">
        <v>58</v>
      </c>
      <c r="D7096" s="15" t="s">
        <v>43</v>
      </c>
      <c r="E7096" s="15" t="s">
        <v>36</v>
      </c>
      <c r="F7096" s="15" t="s">
        <v>18</v>
      </c>
      <c r="G7096" s="15" t="s">
        <v>30</v>
      </c>
      <c r="H7096" s="15" t="n">
        <v>5</v>
      </c>
      <c r="I7096" s="17" t="n">
        <v>0.1</v>
      </c>
      <c r="J7096" s="18" t="n">
        <v>173.43</v>
      </c>
      <c r="K7096" s="19" t="n">
        <v>42.55</v>
      </c>
      <c r="L7096" s="15" t="n">
        <f aca="false">YEAR(B7096)</f>
        <v>2022</v>
      </c>
      <c r="M7096" s="20" t="n">
        <f aca="false">IF(J7096&gt;0,K7096/J7096,0)</f>
        <v>0.24534394280113</v>
      </c>
    </row>
    <row r="7097" customFormat="false" ht="15" hidden="false" customHeight="false" outlineLevel="0" collapsed="false">
      <c r="A7097" s="15" t="s">
        <v>7154</v>
      </c>
      <c r="B7097" s="16" t="n">
        <v>45141</v>
      </c>
      <c r="C7097" s="15" t="s">
        <v>56</v>
      </c>
      <c r="D7097" s="15" t="s">
        <v>42</v>
      </c>
      <c r="E7097" s="15" t="s">
        <v>37</v>
      </c>
      <c r="F7097" s="15" t="s">
        <v>17</v>
      </c>
      <c r="G7097" s="15" t="s">
        <v>29</v>
      </c>
      <c r="H7097" s="15" t="n">
        <v>2</v>
      </c>
      <c r="I7097" s="17" t="n">
        <v>0.05</v>
      </c>
      <c r="J7097" s="18" t="n">
        <v>36.3</v>
      </c>
      <c r="K7097" s="19" t="n">
        <v>12.26</v>
      </c>
      <c r="L7097" s="15" t="n">
        <f aca="false">YEAR(B7097)</f>
        <v>2023</v>
      </c>
      <c r="M7097" s="20" t="n">
        <f aca="false">IF(J7097&gt;0,K7097/J7097,0)</f>
        <v>0.337741046831956</v>
      </c>
    </row>
    <row r="7098" customFormat="false" ht="15" hidden="false" customHeight="false" outlineLevel="0" collapsed="false">
      <c r="A7098" s="15" t="s">
        <v>7155</v>
      </c>
      <c r="B7098" s="16" t="n">
        <v>44646</v>
      </c>
      <c r="C7098" s="15" t="s">
        <v>68</v>
      </c>
      <c r="D7098" s="15" t="s">
        <v>42</v>
      </c>
      <c r="E7098" s="15" t="s">
        <v>37</v>
      </c>
      <c r="F7098" s="15" t="s">
        <v>17</v>
      </c>
      <c r="G7098" s="15" t="s">
        <v>28</v>
      </c>
      <c r="H7098" s="15" t="n">
        <v>4</v>
      </c>
      <c r="I7098" s="17" t="n">
        <v>0.2</v>
      </c>
      <c r="J7098" s="18" t="n">
        <v>90.42</v>
      </c>
      <c r="K7098" s="19" t="n">
        <v>9.71</v>
      </c>
      <c r="L7098" s="15" t="n">
        <f aca="false">YEAR(B7098)</f>
        <v>2022</v>
      </c>
      <c r="M7098" s="20" t="n">
        <f aca="false">IF(J7098&gt;0,K7098/J7098,0)</f>
        <v>0.107387746073877</v>
      </c>
    </row>
    <row r="7099" customFormat="false" ht="15" hidden="false" customHeight="false" outlineLevel="0" collapsed="false">
      <c r="A7099" s="15" t="s">
        <v>7156</v>
      </c>
      <c r="B7099" s="16" t="n">
        <v>45417</v>
      </c>
      <c r="C7099" s="15" t="s">
        <v>68</v>
      </c>
      <c r="D7099" s="15" t="s">
        <v>43</v>
      </c>
      <c r="E7099" s="15" t="s">
        <v>37</v>
      </c>
      <c r="F7099" s="15" t="s">
        <v>18</v>
      </c>
      <c r="G7099" s="15" t="s">
        <v>24</v>
      </c>
      <c r="H7099" s="15" t="n">
        <v>6</v>
      </c>
      <c r="I7099" s="17" t="n">
        <v>0</v>
      </c>
      <c r="J7099" s="18" t="n">
        <v>4529.11</v>
      </c>
      <c r="K7099" s="19" t="n">
        <v>415.69</v>
      </c>
      <c r="L7099" s="15" t="n">
        <f aca="false">YEAR(B7099)</f>
        <v>2024</v>
      </c>
      <c r="M7099" s="20" t="n">
        <f aca="false">IF(J7099&gt;0,K7099/J7099,0)</f>
        <v>0.0917818291010817</v>
      </c>
    </row>
    <row r="7100" customFormat="false" ht="15" hidden="false" customHeight="false" outlineLevel="0" collapsed="false">
      <c r="A7100" s="15" t="s">
        <v>7157</v>
      </c>
      <c r="B7100" s="16" t="n">
        <v>44721</v>
      </c>
      <c r="C7100" s="15" t="s">
        <v>68</v>
      </c>
      <c r="D7100" s="15" t="s">
        <v>42</v>
      </c>
      <c r="E7100" s="15" t="s">
        <v>39</v>
      </c>
      <c r="F7100" s="15" t="s">
        <v>17</v>
      </c>
      <c r="G7100" s="15" t="s">
        <v>29</v>
      </c>
      <c r="H7100" s="15" t="n">
        <v>2</v>
      </c>
      <c r="I7100" s="17" t="n">
        <v>0.05</v>
      </c>
      <c r="J7100" s="18" t="n">
        <v>34.9</v>
      </c>
      <c r="K7100" s="19" t="n">
        <v>10.13</v>
      </c>
      <c r="L7100" s="15" t="n">
        <f aca="false">YEAR(B7100)</f>
        <v>2022</v>
      </c>
      <c r="M7100" s="20" t="n">
        <f aca="false">IF(J7100&gt;0,K7100/J7100,0)</f>
        <v>0.290257879656161</v>
      </c>
    </row>
    <row r="7101" customFormat="false" ht="15" hidden="false" customHeight="false" outlineLevel="0" collapsed="false">
      <c r="A7101" s="15" t="s">
        <v>7158</v>
      </c>
      <c r="B7101" s="16" t="n">
        <v>45777</v>
      </c>
      <c r="C7101" s="15" t="s">
        <v>56</v>
      </c>
      <c r="D7101" s="15" t="s">
        <v>42</v>
      </c>
      <c r="E7101" s="15" t="s">
        <v>36</v>
      </c>
      <c r="F7101" s="15" t="s">
        <v>17</v>
      </c>
      <c r="G7101" s="15" t="s">
        <v>29</v>
      </c>
      <c r="H7101" s="15" t="n">
        <v>1</v>
      </c>
      <c r="I7101" s="17" t="n">
        <v>0</v>
      </c>
      <c r="J7101" s="18" t="n">
        <v>17.63</v>
      </c>
      <c r="K7101" s="19" t="n">
        <v>5.92</v>
      </c>
      <c r="L7101" s="15" t="n">
        <f aca="false">YEAR(B7101)</f>
        <v>2025</v>
      </c>
      <c r="M7101" s="20" t="n">
        <f aca="false">IF(J7101&gt;0,K7101/J7101,0)</f>
        <v>0.335791264889393</v>
      </c>
    </row>
    <row r="7102" customFormat="false" ht="15" hidden="false" customHeight="false" outlineLevel="0" collapsed="false">
      <c r="A7102" s="15" t="s">
        <v>7159</v>
      </c>
      <c r="B7102" s="16" t="n">
        <v>44961</v>
      </c>
      <c r="C7102" s="15" t="s">
        <v>68</v>
      </c>
      <c r="D7102" s="15" t="s">
        <v>44</v>
      </c>
      <c r="E7102" s="15" t="s">
        <v>37</v>
      </c>
      <c r="F7102" s="15" t="s">
        <v>17</v>
      </c>
      <c r="G7102" s="15" t="s">
        <v>26</v>
      </c>
      <c r="H7102" s="15" t="n">
        <v>3</v>
      </c>
      <c r="I7102" s="17" t="n">
        <v>0.2</v>
      </c>
      <c r="J7102" s="18" t="n">
        <v>213.94</v>
      </c>
      <c r="K7102" s="19" t="n">
        <v>-23.55</v>
      </c>
      <c r="L7102" s="15" t="n">
        <f aca="false">YEAR(B7102)</f>
        <v>2023</v>
      </c>
      <c r="M7102" s="20" t="n">
        <f aca="false">IF(J7102&gt;0,K7102/J7102,0)</f>
        <v>-0.110077591848182</v>
      </c>
    </row>
    <row r="7103" customFormat="false" ht="15" hidden="false" customHeight="false" outlineLevel="0" collapsed="false">
      <c r="A7103" s="15" t="s">
        <v>7160</v>
      </c>
      <c r="B7103" s="16" t="n">
        <v>45254</v>
      </c>
      <c r="C7103" s="15" t="s">
        <v>56</v>
      </c>
      <c r="D7103" s="15" t="s">
        <v>43</v>
      </c>
      <c r="E7103" s="15" t="s">
        <v>39</v>
      </c>
      <c r="F7103" s="15" t="s">
        <v>16</v>
      </c>
      <c r="G7103" s="15" t="s">
        <v>27</v>
      </c>
      <c r="H7103" s="15" t="n">
        <v>4</v>
      </c>
      <c r="I7103" s="17" t="n">
        <v>0</v>
      </c>
      <c r="J7103" s="18" t="n">
        <v>237.23</v>
      </c>
      <c r="K7103" s="19" t="n">
        <v>47.14</v>
      </c>
      <c r="L7103" s="15" t="n">
        <f aca="false">YEAR(B7103)</f>
        <v>2023</v>
      </c>
      <c r="M7103" s="20" t="n">
        <f aca="false">IF(J7103&gt;0,K7103/J7103,0)</f>
        <v>0.198710112549003</v>
      </c>
    </row>
    <row r="7104" customFormat="false" ht="15" hidden="false" customHeight="false" outlineLevel="0" collapsed="false">
      <c r="A7104" s="15" t="s">
        <v>7161</v>
      </c>
      <c r="B7104" s="16" t="n">
        <v>44645</v>
      </c>
      <c r="C7104" s="15" t="s">
        <v>68</v>
      </c>
      <c r="D7104" s="15" t="s">
        <v>43</v>
      </c>
      <c r="E7104" s="15" t="s">
        <v>36</v>
      </c>
      <c r="F7104" s="15" t="s">
        <v>17</v>
      </c>
      <c r="G7104" s="15" t="s">
        <v>26</v>
      </c>
      <c r="H7104" s="15" t="n">
        <v>1</v>
      </c>
      <c r="I7104" s="17" t="n">
        <v>0.2</v>
      </c>
      <c r="J7104" s="18" t="n">
        <v>80.98</v>
      </c>
      <c r="K7104" s="19" t="n">
        <v>-2.32</v>
      </c>
      <c r="L7104" s="15" t="n">
        <f aca="false">YEAR(B7104)</f>
        <v>2022</v>
      </c>
      <c r="M7104" s="20" t="n">
        <f aca="false">IF(J7104&gt;0,K7104/J7104,0)</f>
        <v>-0.0286490491479378</v>
      </c>
    </row>
    <row r="7105" customFormat="false" ht="15" hidden="false" customHeight="false" outlineLevel="0" collapsed="false">
      <c r="A7105" s="15" t="s">
        <v>7162</v>
      </c>
      <c r="B7105" s="16" t="n">
        <v>45034</v>
      </c>
      <c r="C7105" s="15" t="s">
        <v>71</v>
      </c>
      <c r="D7105" s="15" t="s">
        <v>43</v>
      </c>
      <c r="E7105" s="15" t="s">
        <v>36</v>
      </c>
      <c r="F7105" s="15" t="s">
        <v>18</v>
      </c>
      <c r="G7105" s="15" t="s">
        <v>32</v>
      </c>
      <c r="H7105" s="15" t="n">
        <v>5</v>
      </c>
      <c r="I7105" s="17" t="n">
        <v>0.2</v>
      </c>
      <c r="J7105" s="18" t="n">
        <v>1530.71</v>
      </c>
      <c r="K7105" s="19" t="n">
        <v>-87.39</v>
      </c>
      <c r="L7105" s="15" t="n">
        <f aca="false">YEAR(B7105)</f>
        <v>2023</v>
      </c>
      <c r="M7105" s="20" t="n">
        <f aca="false">IF(J7105&gt;0,K7105/J7105,0)</f>
        <v>-0.057091153778312</v>
      </c>
    </row>
    <row r="7106" customFormat="false" ht="15" hidden="false" customHeight="false" outlineLevel="0" collapsed="false">
      <c r="A7106" s="15" t="s">
        <v>7163</v>
      </c>
      <c r="B7106" s="16" t="n">
        <v>45443</v>
      </c>
      <c r="C7106" s="15" t="s">
        <v>56</v>
      </c>
      <c r="D7106" s="15" t="s">
        <v>43</v>
      </c>
      <c r="E7106" s="15" t="s">
        <v>37</v>
      </c>
      <c r="F7106" s="15" t="s">
        <v>16</v>
      </c>
      <c r="G7106" s="15" t="s">
        <v>27</v>
      </c>
      <c r="H7106" s="15" t="n">
        <v>3</v>
      </c>
      <c r="I7106" s="17" t="n">
        <v>0</v>
      </c>
      <c r="J7106" s="18" t="n">
        <v>183.68</v>
      </c>
      <c r="K7106" s="19" t="n">
        <v>40.16</v>
      </c>
      <c r="L7106" s="15" t="n">
        <f aca="false">YEAR(B7106)</f>
        <v>2024</v>
      </c>
      <c r="M7106" s="20" t="n">
        <f aca="false">IF(J7106&gt;0,K7106/J7106,0)</f>
        <v>0.218641114982578</v>
      </c>
    </row>
    <row r="7107" customFormat="false" ht="15" hidden="false" customHeight="false" outlineLevel="0" collapsed="false">
      <c r="A7107" s="15" t="s">
        <v>7164</v>
      </c>
      <c r="B7107" s="16" t="n">
        <v>45037</v>
      </c>
      <c r="C7107" s="15" t="s">
        <v>56</v>
      </c>
      <c r="D7107" s="15" t="s">
        <v>44</v>
      </c>
      <c r="E7107" s="15" t="s">
        <v>39</v>
      </c>
      <c r="F7107" s="15" t="s">
        <v>17</v>
      </c>
      <c r="G7107" s="15" t="s">
        <v>28</v>
      </c>
      <c r="H7107" s="15" t="n">
        <v>3</v>
      </c>
      <c r="I7107" s="17" t="n">
        <v>0</v>
      </c>
      <c r="J7107" s="18" t="n">
        <v>88.58</v>
      </c>
      <c r="K7107" s="19" t="n">
        <v>24.9</v>
      </c>
      <c r="L7107" s="15" t="n">
        <f aca="false">YEAR(B7107)</f>
        <v>2023</v>
      </c>
      <c r="M7107" s="20" t="n">
        <f aca="false">IF(J7107&gt;0,K7107/J7107,0)</f>
        <v>0.281101828855272</v>
      </c>
    </row>
    <row r="7108" customFormat="false" ht="15" hidden="false" customHeight="false" outlineLevel="0" collapsed="false">
      <c r="A7108" s="15" t="s">
        <v>7165</v>
      </c>
      <c r="B7108" s="16" t="n">
        <v>45260</v>
      </c>
      <c r="C7108" s="15" t="s">
        <v>56</v>
      </c>
      <c r="D7108" s="15" t="s">
        <v>42</v>
      </c>
      <c r="E7108" s="15" t="s">
        <v>37</v>
      </c>
      <c r="F7108" s="15" t="s">
        <v>17</v>
      </c>
      <c r="G7108" s="15" t="s">
        <v>29</v>
      </c>
      <c r="H7108" s="15" t="n">
        <v>3</v>
      </c>
      <c r="I7108" s="17" t="n">
        <v>0</v>
      </c>
      <c r="J7108" s="18" t="n">
        <v>64.41</v>
      </c>
      <c r="K7108" s="19" t="n">
        <v>24.96</v>
      </c>
      <c r="L7108" s="15" t="n">
        <f aca="false">YEAR(B7108)</f>
        <v>2023</v>
      </c>
      <c r="M7108" s="20" t="n">
        <f aca="false">IF(J7108&gt;0,K7108/J7108,0)</f>
        <v>0.387517466231952</v>
      </c>
    </row>
    <row r="7109" customFormat="false" ht="15" hidden="false" customHeight="false" outlineLevel="0" collapsed="false">
      <c r="A7109" s="15" t="s">
        <v>7166</v>
      </c>
      <c r="B7109" s="16" t="n">
        <v>45271</v>
      </c>
      <c r="C7109" s="15" t="s">
        <v>56</v>
      </c>
      <c r="D7109" s="15" t="s">
        <v>42</v>
      </c>
      <c r="E7109" s="15" t="s">
        <v>39</v>
      </c>
      <c r="F7109" s="15" t="s">
        <v>17</v>
      </c>
      <c r="G7109" s="15" t="s">
        <v>29</v>
      </c>
      <c r="H7109" s="15" t="n">
        <v>4</v>
      </c>
      <c r="I7109" s="17" t="n">
        <v>0</v>
      </c>
      <c r="J7109" s="18" t="n">
        <v>82.02</v>
      </c>
      <c r="K7109" s="19" t="n">
        <v>29.4</v>
      </c>
      <c r="L7109" s="15" t="n">
        <f aca="false">YEAR(B7109)</f>
        <v>2023</v>
      </c>
      <c r="M7109" s="20" t="n">
        <f aca="false">IF(J7109&gt;0,K7109/J7109,0)</f>
        <v>0.35844915874177</v>
      </c>
    </row>
    <row r="7110" customFormat="false" ht="15" hidden="false" customHeight="false" outlineLevel="0" collapsed="false">
      <c r="A7110" s="15" t="s">
        <v>7167</v>
      </c>
      <c r="B7110" s="16" t="n">
        <v>44945</v>
      </c>
      <c r="C7110" s="15" t="s">
        <v>56</v>
      </c>
      <c r="D7110" s="15" t="s">
        <v>43</v>
      </c>
      <c r="E7110" s="15" t="s">
        <v>37</v>
      </c>
      <c r="F7110" s="15" t="s">
        <v>17</v>
      </c>
      <c r="G7110" s="15" t="s">
        <v>26</v>
      </c>
      <c r="H7110" s="15" t="n">
        <v>4</v>
      </c>
      <c r="I7110" s="17" t="n">
        <v>0</v>
      </c>
      <c r="J7110" s="18" t="n">
        <v>417.88</v>
      </c>
      <c r="K7110" s="19" t="n">
        <v>28.21</v>
      </c>
      <c r="L7110" s="15" t="n">
        <f aca="false">YEAR(B7110)</f>
        <v>2023</v>
      </c>
      <c r="M7110" s="20" t="n">
        <f aca="false">IF(J7110&gt;0,K7110/J7110,0)</f>
        <v>0.0675074183976261</v>
      </c>
    </row>
    <row r="7111" customFormat="false" ht="15" hidden="false" customHeight="false" outlineLevel="0" collapsed="false">
      <c r="A7111" s="15" t="s">
        <v>7168</v>
      </c>
      <c r="B7111" s="16" t="n">
        <v>45224</v>
      </c>
      <c r="C7111" s="15" t="s">
        <v>56</v>
      </c>
      <c r="D7111" s="15" t="s">
        <v>42</v>
      </c>
      <c r="E7111" s="15" t="s">
        <v>36</v>
      </c>
      <c r="F7111" s="15" t="s">
        <v>17</v>
      </c>
      <c r="G7111" s="15" t="s">
        <v>26</v>
      </c>
      <c r="H7111" s="15" t="n">
        <v>2</v>
      </c>
      <c r="I7111" s="17" t="n">
        <v>0</v>
      </c>
      <c r="J7111" s="18" t="n">
        <v>190.87</v>
      </c>
      <c r="K7111" s="19" t="n">
        <v>29.14</v>
      </c>
      <c r="L7111" s="15" t="n">
        <f aca="false">YEAR(B7111)</f>
        <v>2023</v>
      </c>
      <c r="M7111" s="20" t="n">
        <f aca="false">IF(J7111&gt;0,K7111/J7111,0)</f>
        <v>0.15266935610625</v>
      </c>
    </row>
    <row r="7112" customFormat="false" ht="15" hidden="false" customHeight="false" outlineLevel="0" collapsed="false">
      <c r="A7112" s="15" t="s">
        <v>7169</v>
      </c>
      <c r="B7112" s="16" t="n">
        <v>44745</v>
      </c>
      <c r="C7112" s="15" t="s">
        <v>56</v>
      </c>
      <c r="D7112" s="15" t="s">
        <v>44</v>
      </c>
      <c r="E7112" s="15" t="s">
        <v>37</v>
      </c>
      <c r="F7112" s="15" t="s">
        <v>18</v>
      </c>
      <c r="G7112" s="15" t="s">
        <v>30</v>
      </c>
      <c r="H7112" s="15" t="n">
        <v>4</v>
      </c>
      <c r="I7112" s="17" t="n">
        <v>0</v>
      </c>
      <c r="J7112" s="18" t="n">
        <v>210.29</v>
      </c>
      <c r="K7112" s="19" t="n">
        <v>67.73</v>
      </c>
      <c r="L7112" s="15" t="n">
        <f aca="false">YEAR(B7112)</f>
        <v>2022</v>
      </c>
      <c r="M7112" s="20" t="n">
        <f aca="false">IF(J7112&gt;0,K7112/J7112,0)</f>
        <v>0.322079033715346</v>
      </c>
    </row>
    <row r="7113" customFormat="false" ht="15" hidden="false" customHeight="false" outlineLevel="0" collapsed="false">
      <c r="A7113" s="15" t="s">
        <v>7170</v>
      </c>
      <c r="B7113" s="16" t="n">
        <v>45251</v>
      </c>
      <c r="C7113" s="15" t="s">
        <v>56</v>
      </c>
      <c r="D7113" s="15" t="s">
        <v>42</v>
      </c>
      <c r="E7113" s="15" t="s">
        <v>38</v>
      </c>
      <c r="F7113" s="15" t="s">
        <v>17</v>
      </c>
      <c r="G7113" s="15" t="s">
        <v>28</v>
      </c>
      <c r="H7113" s="15" t="n">
        <v>4</v>
      </c>
      <c r="I7113" s="17" t="n">
        <v>0</v>
      </c>
      <c r="J7113" s="18" t="n">
        <v>105.89</v>
      </c>
      <c r="K7113" s="19" t="n">
        <v>35.73</v>
      </c>
      <c r="L7113" s="15" t="n">
        <f aca="false">YEAR(B7113)</f>
        <v>2023</v>
      </c>
      <c r="M7113" s="20" t="n">
        <f aca="false">IF(J7113&gt;0,K7113/J7113,0)</f>
        <v>0.33742563037114</v>
      </c>
    </row>
    <row r="7114" customFormat="false" ht="15" hidden="false" customHeight="false" outlineLevel="0" collapsed="false">
      <c r="A7114" s="15" t="s">
        <v>7171</v>
      </c>
      <c r="B7114" s="16" t="n">
        <v>45797</v>
      </c>
      <c r="C7114" s="15" t="s">
        <v>71</v>
      </c>
      <c r="D7114" s="15" t="s">
        <v>42</v>
      </c>
      <c r="E7114" s="15" t="s">
        <v>36</v>
      </c>
      <c r="F7114" s="15" t="s">
        <v>16</v>
      </c>
      <c r="G7114" s="15" t="s">
        <v>25</v>
      </c>
      <c r="H7114" s="15" t="n">
        <v>5</v>
      </c>
      <c r="I7114" s="17" t="n">
        <v>0.1</v>
      </c>
      <c r="J7114" s="18" t="n">
        <v>1200.12</v>
      </c>
      <c r="K7114" s="19" t="n">
        <v>57.99</v>
      </c>
      <c r="L7114" s="15" t="n">
        <f aca="false">YEAR(B7114)</f>
        <v>2025</v>
      </c>
      <c r="M7114" s="20" t="n">
        <f aca="false">IF(J7114&gt;0,K7114/J7114,0)</f>
        <v>0.0483201679832017</v>
      </c>
    </row>
    <row r="7115" customFormat="false" ht="15" hidden="false" customHeight="false" outlineLevel="0" collapsed="false">
      <c r="A7115" s="15" t="s">
        <v>7172</v>
      </c>
      <c r="B7115" s="16" t="n">
        <v>44845</v>
      </c>
      <c r="C7115" s="15" t="s">
        <v>56</v>
      </c>
      <c r="D7115" s="15" t="s">
        <v>42</v>
      </c>
      <c r="E7115" s="15" t="s">
        <v>38</v>
      </c>
      <c r="F7115" s="15" t="s">
        <v>17</v>
      </c>
      <c r="G7115" s="15" t="s">
        <v>28</v>
      </c>
      <c r="H7115" s="15" t="n">
        <v>2</v>
      </c>
      <c r="I7115" s="17" t="n">
        <v>0</v>
      </c>
      <c r="J7115" s="18" t="n">
        <v>43.17</v>
      </c>
      <c r="K7115" s="19" t="n">
        <v>13.62</v>
      </c>
      <c r="L7115" s="15" t="n">
        <f aca="false">YEAR(B7115)</f>
        <v>2022</v>
      </c>
      <c r="M7115" s="20" t="n">
        <f aca="false">IF(J7115&gt;0,K7115/J7115,0)</f>
        <v>0.315496872828353</v>
      </c>
    </row>
    <row r="7116" customFormat="false" ht="15" hidden="false" customHeight="false" outlineLevel="0" collapsed="false">
      <c r="A7116" s="15" t="s">
        <v>7173</v>
      </c>
      <c r="B7116" s="16" t="n">
        <v>45803</v>
      </c>
      <c r="C7116" s="15" t="s">
        <v>71</v>
      </c>
      <c r="D7116" s="15" t="s">
        <v>43</v>
      </c>
      <c r="E7116" s="15" t="s">
        <v>37</v>
      </c>
      <c r="F7116" s="15" t="s">
        <v>18</v>
      </c>
      <c r="G7116" s="15" t="s">
        <v>30</v>
      </c>
      <c r="H7116" s="15" t="n">
        <v>4</v>
      </c>
      <c r="I7116" s="17" t="n">
        <v>0.2</v>
      </c>
      <c r="J7116" s="18" t="n">
        <v>182.31</v>
      </c>
      <c r="K7116" s="19" t="n">
        <v>28.45</v>
      </c>
      <c r="L7116" s="15" t="n">
        <f aca="false">YEAR(B7116)</f>
        <v>2025</v>
      </c>
      <c r="M7116" s="20" t="n">
        <f aca="false">IF(J7116&gt;0,K7116/J7116,0)</f>
        <v>0.156052876967802</v>
      </c>
    </row>
    <row r="7117" customFormat="false" ht="15" hidden="false" customHeight="false" outlineLevel="0" collapsed="false">
      <c r="A7117" s="15" t="s">
        <v>7174</v>
      </c>
      <c r="B7117" s="16" t="n">
        <v>45843</v>
      </c>
      <c r="C7117" s="15" t="s">
        <v>58</v>
      </c>
      <c r="D7117" s="15" t="s">
        <v>42</v>
      </c>
      <c r="E7117" s="15" t="s">
        <v>38</v>
      </c>
      <c r="F7117" s="15" t="s">
        <v>18</v>
      </c>
      <c r="G7117" s="15" t="s">
        <v>33</v>
      </c>
      <c r="H7117" s="15" t="n">
        <v>2</v>
      </c>
      <c r="I7117" s="17" t="n">
        <v>0.2</v>
      </c>
      <c r="J7117" s="18" t="n">
        <v>1289.34</v>
      </c>
      <c r="K7117" s="19" t="n">
        <v>106.9</v>
      </c>
      <c r="L7117" s="15" t="n">
        <f aca="false">YEAR(B7117)</f>
        <v>2025</v>
      </c>
      <c r="M7117" s="20" t="n">
        <f aca="false">IF(J7117&gt;0,K7117/J7117,0)</f>
        <v>0.0829106364496564</v>
      </c>
    </row>
    <row r="7118" customFormat="false" ht="15" hidden="false" customHeight="false" outlineLevel="0" collapsed="false">
      <c r="A7118" s="15" t="s">
        <v>7175</v>
      </c>
      <c r="B7118" s="16" t="n">
        <v>45146</v>
      </c>
      <c r="C7118" s="15" t="s">
        <v>56</v>
      </c>
      <c r="D7118" s="15" t="s">
        <v>42</v>
      </c>
      <c r="E7118" s="15" t="s">
        <v>39</v>
      </c>
      <c r="F7118" s="15" t="s">
        <v>17</v>
      </c>
      <c r="G7118" s="15" t="s">
        <v>29</v>
      </c>
      <c r="H7118" s="15" t="n">
        <v>5</v>
      </c>
      <c r="I7118" s="17" t="n">
        <v>0</v>
      </c>
      <c r="J7118" s="18" t="n">
        <v>100.99</v>
      </c>
      <c r="K7118" s="19" t="n">
        <v>36.09</v>
      </c>
      <c r="L7118" s="15" t="n">
        <f aca="false">YEAR(B7118)</f>
        <v>2023</v>
      </c>
      <c r="M7118" s="20" t="n">
        <f aca="false">IF(J7118&gt;0,K7118/J7118,0)</f>
        <v>0.357362115060897</v>
      </c>
    </row>
    <row r="7119" customFormat="false" ht="15" hidden="false" customHeight="false" outlineLevel="0" collapsed="false">
      <c r="A7119" s="15" t="s">
        <v>7176</v>
      </c>
      <c r="B7119" s="16" t="n">
        <v>45245</v>
      </c>
      <c r="C7119" s="15" t="s">
        <v>56</v>
      </c>
      <c r="D7119" s="15" t="s">
        <v>42</v>
      </c>
      <c r="E7119" s="15" t="s">
        <v>37</v>
      </c>
      <c r="F7119" s="15" t="s">
        <v>17</v>
      </c>
      <c r="G7119" s="15" t="s">
        <v>29</v>
      </c>
      <c r="H7119" s="15" t="n">
        <v>3</v>
      </c>
      <c r="I7119" s="17" t="n">
        <v>0.3</v>
      </c>
      <c r="J7119" s="18" t="n">
        <v>35.97</v>
      </c>
      <c r="K7119" s="19" t="n">
        <v>5.23</v>
      </c>
      <c r="L7119" s="15" t="n">
        <f aca="false">YEAR(B7119)</f>
        <v>2023</v>
      </c>
      <c r="M7119" s="20" t="n">
        <f aca="false">IF(J7119&gt;0,K7119/J7119,0)</f>
        <v>0.145398943564081</v>
      </c>
    </row>
    <row r="7120" customFormat="false" ht="15" hidden="false" customHeight="false" outlineLevel="0" collapsed="false">
      <c r="A7120" s="15" t="s">
        <v>7177</v>
      </c>
      <c r="B7120" s="16" t="n">
        <v>44996</v>
      </c>
      <c r="C7120" s="15" t="s">
        <v>56</v>
      </c>
      <c r="D7120" s="15" t="s">
        <v>43</v>
      </c>
      <c r="E7120" s="15" t="s">
        <v>36</v>
      </c>
      <c r="F7120" s="15" t="s">
        <v>17</v>
      </c>
      <c r="G7120" s="15" t="s">
        <v>29</v>
      </c>
      <c r="H7120" s="15" t="n">
        <v>1</v>
      </c>
      <c r="I7120" s="17" t="n">
        <v>0.05</v>
      </c>
      <c r="J7120" s="18" t="n">
        <v>18.88</v>
      </c>
      <c r="K7120" s="19" t="n">
        <v>6.5</v>
      </c>
      <c r="L7120" s="15" t="n">
        <f aca="false">YEAR(B7120)</f>
        <v>2023</v>
      </c>
      <c r="M7120" s="20" t="n">
        <f aca="false">IF(J7120&gt;0,K7120/J7120,0)</f>
        <v>0.344279661016949</v>
      </c>
    </row>
    <row r="7121" customFormat="false" ht="15" hidden="false" customHeight="false" outlineLevel="0" collapsed="false">
      <c r="A7121" s="15" t="s">
        <v>7178</v>
      </c>
      <c r="B7121" s="16" t="n">
        <v>45786</v>
      </c>
      <c r="C7121" s="15" t="s">
        <v>71</v>
      </c>
      <c r="D7121" s="15" t="s">
        <v>42</v>
      </c>
      <c r="E7121" s="15" t="s">
        <v>36</v>
      </c>
      <c r="F7121" s="15" t="s">
        <v>17</v>
      </c>
      <c r="G7121" s="15" t="s">
        <v>31</v>
      </c>
      <c r="H7121" s="15" t="n">
        <v>1</v>
      </c>
      <c r="I7121" s="17" t="n">
        <v>0</v>
      </c>
      <c r="J7121" s="18" t="n">
        <v>116.73</v>
      </c>
      <c r="K7121" s="19" t="n">
        <v>23.46</v>
      </c>
      <c r="L7121" s="15" t="n">
        <f aca="false">YEAR(B7121)</f>
        <v>2025</v>
      </c>
      <c r="M7121" s="20" t="n">
        <f aca="false">IF(J7121&gt;0,K7121/J7121,0)</f>
        <v>0.200976612695965</v>
      </c>
    </row>
    <row r="7122" customFormat="false" ht="15" hidden="false" customHeight="false" outlineLevel="0" collapsed="false">
      <c r="A7122" s="15" t="s">
        <v>7179</v>
      </c>
      <c r="B7122" s="16" t="n">
        <v>45485</v>
      </c>
      <c r="C7122" s="15" t="s">
        <v>56</v>
      </c>
      <c r="D7122" s="15" t="s">
        <v>43</v>
      </c>
      <c r="E7122" s="15" t="s">
        <v>37</v>
      </c>
      <c r="F7122" s="15" t="s">
        <v>17</v>
      </c>
      <c r="G7122" s="15" t="s">
        <v>31</v>
      </c>
      <c r="H7122" s="15" t="n">
        <v>4</v>
      </c>
      <c r="I7122" s="17" t="n">
        <v>0.15</v>
      </c>
      <c r="J7122" s="18" t="n">
        <v>484.45</v>
      </c>
      <c r="K7122" s="19" t="n">
        <v>-20.38</v>
      </c>
      <c r="L7122" s="15" t="n">
        <f aca="false">YEAR(B7122)</f>
        <v>2024</v>
      </c>
      <c r="M7122" s="20" t="n">
        <f aca="false">IF(J7122&gt;0,K7122/J7122,0)</f>
        <v>-0.0420683249045309</v>
      </c>
    </row>
    <row r="7123" customFormat="false" ht="15" hidden="false" customHeight="false" outlineLevel="0" collapsed="false">
      <c r="A7123" s="15" t="s">
        <v>7180</v>
      </c>
      <c r="B7123" s="16" t="n">
        <v>45315</v>
      </c>
      <c r="C7123" s="15" t="s">
        <v>71</v>
      </c>
      <c r="D7123" s="15" t="s">
        <v>42</v>
      </c>
      <c r="E7123" s="15" t="s">
        <v>36</v>
      </c>
      <c r="F7123" s="15" t="s">
        <v>18</v>
      </c>
      <c r="G7123" s="15" t="s">
        <v>30</v>
      </c>
      <c r="H7123" s="15" t="n">
        <v>3</v>
      </c>
      <c r="I7123" s="17" t="n">
        <v>0</v>
      </c>
      <c r="J7123" s="18" t="n">
        <v>135.85</v>
      </c>
      <c r="K7123" s="19" t="n">
        <v>45.58</v>
      </c>
      <c r="L7123" s="15" t="n">
        <f aca="false">YEAR(B7123)</f>
        <v>2024</v>
      </c>
      <c r="M7123" s="20" t="n">
        <f aca="false">IF(J7123&gt;0,K7123/J7123,0)</f>
        <v>0.335517114464483</v>
      </c>
    </row>
    <row r="7124" customFormat="false" ht="15" hidden="false" customHeight="false" outlineLevel="0" collapsed="false">
      <c r="A7124" s="15" t="s">
        <v>7181</v>
      </c>
      <c r="B7124" s="16" t="n">
        <v>45473</v>
      </c>
      <c r="C7124" s="15" t="s">
        <v>56</v>
      </c>
      <c r="D7124" s="15" t="s">
        <v>42</v>
      </c>
      <c r="E7124" s="15" t="s">
        <v>37</v>
      </c>
      <c r="F7124" s="15" t="s">
        <v>17</v>
      </c>
      <c r="G7124" s="15" t="s">
        <v>26</v>
      </c>
      <c r="H7124" s="15" t="n">
        <v>3</v>
      </c>
      <c r="I7124" s="17" t="n">
        <v>0.2</v>
      </c>
      <c r="J7124" s="18" t="n">
        <v>229.44</v>
      </c>
      <c r="K7124" s="19" t="n">
        <v>0.18</v>
      </c>
      <c r="L7124" s="15" t="n">
        <f aca="false">YEAR(B7124)</f>
        <v>2024</v>
      </c>
      <c r="M7124" s="20" t="n">
        <f aca="false">IF(J7124&gt;0,K7124/J7124,0)</f>
        <v>0.000784518828451883</v>
      </c>
    </row>
    <row r="7125" customFormat="false" ht="15" hidden="false" customHeight="false" outlineLevel="0" collapsed="false">
      <c r="A7125" s="15" t="s">
        <v>7182</v>
      </c>
      <c r="B7125" s="16" t="n">
        <v>45460</v>
      </c>
      <c r="C7125" s="15" t="s">
        <v>68</v>
      </c>
      <c r="D7125" s="15" t="s">
        <v>43</v>
      </c>
      <c r="E7125" s="15" t="s">
        <v>37</v>
      </c>
      <c r="F7125" s="15" t="s">
        <v>18</v>
      </c>
      <c r="G7125" s="15" t="s">
        <v>32</v>
      </c>
      <c r="H7125" s="15" t="n">
        <v>3</v>
      </c>
      <c r="I7125" s="17" t="n">
        <v>0</v>
      </c>
      <c r="J7125" s="18" t="n">
        <v>1395.67</v>
      </c>
      <c r="K7125" s="19" t="n">
        <v>297</v>
      </c>
      <c r="L7125" s="15" t="n">
        <f aca="false">YEAR(B7125)</f>
        <v>2024</v>
      </c>
      <c r="M7125" s="20" t="n">
        <f aca="false">IF(J7125&gt;0,K7125/J7125,0)</f>
        <v>0.212801020298495</v>
      </c>
    </row>
    <row r="7126" customFormat="false" ht="15" hidden="false" customHeight="false" outlineLevel="0" collapsed="false">
      <c r="A7126" s="15" t="s">
        <v>7183</v>
      </c>
      <c r="B7126" s="16" t="n">
        <v>44690</v>
      </c>
      <c r="C7126" s="15" t="s">
        <v>56</v>
      </c>
      <c r="D7126" s="15" t="s">
        <v>42</v>
      </c>
      <c r="E7126" s="15" t="s">
        <v>37</v>
      </c>
      <c r="F7126" s="15" t="s">
        <v>18</v>
      </c>
      <c r="G7126" s="15" t="s">
        <v>30</v>
      </c>
      <c r="H7126" s="15" t="n">
        <v>6</v>
      </c>
      <c r="I7126" s="17" t="n">
        <v>0.15</v>
      </c>
      <c r="J7126" s="18" t="n">
        <v>219.97</v>
      </c>
      <c r="K7126" s="19" t="n">
        <v>51.32</v>
      </c>
      <c r="L7126" s="15" t="n">
        <f aca="false">YEAR(B7126)</f>
        <v>2022</v>
      </c>
      <c r="M7126" s="20" t="n">
        <f aca="false">IF(J7126&gt;0,K7126/J7126,0)</f>
        <v>0.23330454152839</v>
      </c>
    </row>
    <row r="7127" customFormat="false" ht="15" hidden="false" customHeight="false" outlineLevel="0" collapsed="false">
      <c r="A7127" s="15" t="s">
        <v>7184</v>
      </c>
      <c r="B7127" s="16" t="n">
        <v>44778</v>
      </c>
      <c r="C7127" s="15" t="s">
        <v>71</v>
      </c>
      <c r="D7127" s="15" t="s">
        <v>43</v>
      </c>
      <c r="E7127" s="15" t="s">
        <v>38</v>
      </c>
      <c r="F7127" s="15" t="s">
        <v>17</v>
      </c>
      <c r="G7127" s="15" t="s">
        <v>28</v>
      </c>
      <c r="H7127" s="15" t="n">
        <v>3</v>
      </c>
      <c r="I7127" s="17" t="n">
        <v>0.05</v>
      </c>
      <c r="J7127" s="18" t="n">
        <v>53.84</v>
      </c>
      <c r="K7127" s="19" t="n">
        <v>15.63</v>
      </c>
      <c r="L7127" s="15" t="n">
        <f aca="false">YEAR(B7127)</f>
        <v>2022</v>
      </c>
      <c r="M7127" s="20" t="n">
        <f aca="false">IF(J7127&gt;0,K7127/J7127,0)</f>
        <v>0.290304606240713</v>
      </c>
    </row>
    <row r="7128" customFormat="false" ht="15" hidden="false" customHeight="false" outlineLevel="0" collapsed="false">
      <c r="A7128" s="15" t="s">
        <v>7185</v>
      </c>
      <c r="B7128" s="16" t="n">
        <v>44666</v>
      </c>
      <c r="C7128" s="15" t="s">
        <v>71</v>
      </c>
      <c r="D7128" s="15" t="s">
        <v>44</v>
      </c>
      <c r="E7128" s="15" t="s">
        <v>36</v>
      </c>
      <c r="F7128" s="15" t="s">
        <v>17</v>
      </c>
      <c r="G7128" s="15" t="s">
        <v>29</v>
      </c>
      <c r="H7128" s="15" t="n">
        <v>4</v>
      </c>
      <c r="I7128" s="17" t="n">
        <v>0.15</v>
      </c>
      <c r="J7128" s="18" t="n">
        <v>66.17</v>
      </c>
      <c r="K7128" s="19" t="n">
        <v>15.97</v>
      </c>
      <c r="L7128" s="15" t="n">
        <f aca="false">YEAR(B7128)</f>
        <v>2022</v>
      </c>
      <c r="M7128" s="20" t="n">
        <f aca="false">IF(J7128&gt;0,K7128/J7128,0)</f>
        <v>0.241348042919752</v>
      </c>
    </row>
    <row r="7129" customFormat="false" ht="15" hidden="false" customHeight="false" outlineLevel="0" collapsed="false">
      <c r="A7129" s="15" t="s">
        <v>7186</v>
      </c>
      <c r="B7129" s="16" t="n">
        <v>45825</v>
      </c>
      <c r="C7129" s="15" t="s">
        <v>56</v>
      </c>
      <c r="D7129" s="15" t="s">
        <v>42</v>
      </c>
      <c r="E7129" s="15" t="s">
        <v>39</v>
      </c>
      <c r="F7129" s="15" t="s">
        <v>16</v>
      </c>
      <c r="G7129" s="15" t="s">
        <v>23</v>
      </c>
      <c r="H7129" s="15" t="n">
        <v>4</v>
      </c>
      <c r="I7129" s="17" t="n">
        <v>0</v>
      </c>
      <c r="J7129" s="18" t="n">
        <v>1372.12</v>
      </c>
      <c r="K7129" s="19" t="n">
        <v>-30.39</v>
      </c>
      <c r="L7129" s="15" t="n">
        <f aca="false">YEAR(B7129)</f>
        <v>2025</v>
      </c>
      <c r="M7129" s="20" t="n">
        <f aca="false">IF(J7129&gt;0,K7129/J7129,0)</f>
        <v>-0.0221482086114917</v>
      </c>
    </row>
    <row r="7130" customFormat="false" ht="15" hidden="false" customHeight="false" outlineLevel="0" collapsed="false">
      <c r="A7130" s="15" t="s">
        <v>7187</v>
      </c>
      <c r="B7130" s="16" t="n">
        <v>45229</v>
      </c>
      <c r="C7130" s="15" t="s">
        <v>56</v>
      </c>
      <c r="D7130" s="15" t="s">
        <v>44</v>
      </c>
      <c r="E7130" s="15" t="s">
        <v>36</v>
      </c>
      <c r="F7130" s="15" t="s">
        <v>16</v>
      </c>
      <c r="G7130" s="15" t="s">
        <v>23</v>
      </c>
      <c r="H7130" s="15" t="n">
        <v>2</v>
      </c>
      <c r="I7130" s="17" t="n">
        <v>0.05</v>
      </c>
      <c r="J7130" s="18" t="n">
        <v>560.97</v>
      </c>
      <c r="K7130" s="19" t="n">
        <v>-50.14</v>
      </c>
      <c r="L7130" s="15" t="n">
        <f aca="false">YEAR(B7130)</f>
        <v>2023</v>
      </c>
      <c r="M7130" s="20" t="n">
        <f aca="false">IF(J7130&gt;0,K7130/J7130,0)</f>
        <v>-0.0893808938089381</v>
      </c>
    </row>
    <row r="7131" customFormat="false" ht="15" hidden="false" customHeight="false" outlineLevel="0" collapsed="false">
      <c r="A7131" s="15" t="s">
        <v>7188</v>
      </c>
      <c r="B7131" s="16" t="n">
        <v>44779</v>
      </c>
      <c r="C7131" s="15" t="s">
        <v>68</v>
      </c>
      <c r="D7131" s="15" t="s">
        <v>42</v>
      </c>
      <c r="E7131" s="15" t="s">
        <v>37</v>
      </c>
      <c r="F7131" s="15" t="s">
        <v>17</v>
      </c>
      <c r="G7131" s="15" t="s">
        <v>31</v>
      </c>
      <c r="H7131" s="15" t="n">
        <v>7</v>
      </c>
      <c r="I7131" s="17" t="n">
        <v>0</v>
      </c>
      <c r="J7131" s="18" t="n">
        <v>698.12</v>
      </c>
      <c r="K7131" s="19" t="n">
        <v>112.53</v>
      </c>
      <c r="L7131" s="15" t="n">
        <f aca="false">YEAR(B7131)</f>
        <v>2022</v>
      </c>
      <c r="M7131" s="20" t="n">
        <f aca="false">IF(J7131&gt;0,K7131/J7131,0)</f>
        <v>0.161190053285968</v>
      </c>
    </row>
    <row r="7132" customFormat="false" ht="15" hidden="false" customHeight="false" outlineLevel="0" collapsed="false">
      <c r="A7132" s="15" t="s">
        <v>7189</v>
      </c>
      <c r="B7132" s="16" t="n">
        <v>44622</v>
      </c>
      <c r="C7132" s="15" t="s">
        <v>56</v>
      </c>
      <c r="D7132" s="15" t="s">
        <v>42</v>
      </c>
      <c r="E7132" s="15" t="s">
        <v>38</v>
      </c>
      <c r="F7132" s="15" t="s">
        <v>16</v>
      </c>
      <c r="G7132" s="15" t="s">
        <v>27</v>
      </c>
      <c r="H7132" s="15" t="n">
        <v>1</v>
      </c>
      <c r="I7132" s="17" t="n">
        <v>0</v>
      </c>
      <c r="J7132" s="18" t="n">
        <v>59.84</v>
      </c>
      <c r="K7132" s="19" t="n">
        <v>13</v>
      </c>
      <c r="L7132" s="15" t="n">
        <f aca="false">YEAR(B7132)</f>
        <v>2022</v>
      </c>
      <c r="M7132" s="20" t="n">
        <f aca="false">IF(J7132&gt;0,K7132/J7132,0)</f>
        <v>0.217245989304813</v>
      </c>
    </row>
    <row r="7133" customFormat="false" ht="15" hidden="false" customHeight="false" outlineLevel="0" collapsed="false">
      <c r="A7133" s="15" t="s">
        <v>7190</v>
      </c>
      <c r="B7133" s="16" t="n">
        <v>45916</v>
      </c>
      <c r="C7133" s="15" t="s">
        <v>56</v>
      </c>
      <c r="D7133" s="15" t="s">
        <v>43</v>
      </c>
      <c r="E7133" s="15" t="s">
        <v>37</v>
      </c>
      <c r="F7133" s="15" t="s">
        <v>18</v>
      </c>
      <c r="G7133" s="15" t="s">
        <v>30</v>
      </c>
      <c r="H7133" s="15" t="n">
        <v>2</v>
      </c>
      <c r="I7133" s="17" t="n">
        <v>0.15</v>
      </c>
      <c r="J7133" s="18" t="n">
        <v>82.17</v>
      </c>
      <c r="K7133" s="19" t="n">
        <v>13.98</v>
      </c>
      <c r="L7133" s="15" t="n">
        <f aca="false">YEAR(B7133)</f>
        <v>2025</v>
      </c>
      <c r="M7133" s="20" t="n">
        <f aca="false">IF(J7133&gt;0,K7133/J7133,0)</f>
        <v>0.170135085797736</v>
      </c>
    </row>
    <row r="7134" customFormat="false" ht="15" hidden="false" customHeight="false" outlineLevel="0" collapsed="false">
      <c r="A7134" s="15" t="s">
        <v>7191</v>
      </c>
      <c r="B7134" s="16" t="n">
        <v>44678</v>
      </c>
      <c r="C7134" s="15" t="s">
        <v>56</v>
      </c>
      <c r="D7134" s="15" t="s">
        <v>43</v>
      </c>
      <c r="E7134" s="15" t="s">
        <v>38</v>
      </c>
      <c r="F7134" s="15" t="s">
        <v>17</v>
      </c>
      <c r="G7134" s="15" t="s">
        <v>28</v>
      </c>
      <c r="H7134" s="15" t="n">
        <v>3</v>
      </c>
      <c r="I7134" s="17" t="n">
        <v>0</v>
      </c>
      <c r="J7134" s="18" t="n">
        <v>78.69</v>
      </c>
      <c r="K7134" s="19" t="n">
        <v>24.85</v>
      </c>
      <c r="L7134" s="15" t="n">
        <f aca="false">YEAR(B7134)</f>
        <v>2022</v>
      </c>
      <c r="M7134" s="20" t="n">
        <f aca="false">IF(J7134&gt;0,K7134/J7134,0)</f>
        <v>0.315796162155293</v>
      </c>
    </row>
    <row r="7135" customFormat="false" ht="15" hidden="false" customHeight="false" outlineLevel="0" collapsed="false">
      <c r="A7135" s="15" t="s">
        <v>7192</v>
      </c>
      <c r="B7135" s="16" t="n">
        <v>44977</v>
      </c>
      <c r="C7135" s="15" t="s">
        <v>68</v>
      </c>
      <c r="D7135" s="15" t="s">
        <v>44</v>
      </c>
      <c r="E7135" s="15" t="s">
        <v>38</v>
      </c>
      <c r="F7135" s="15" t="s">
        <v>16</v>
      </c>
      <c r="G7135" s="15" t="s">
        <v>22</v>
      </c>
      <c r="H7135" s="15" t="n">
        <v>2</v>
      </c>
      <c r="I7135" s="17" t="n">
        <v>0</v>
      </c>
      <c r="J7135" s="18" t="n">
        <v>899.6</v>
      </c>
      <c r="K7135" s="19" t="n">
        <v>-80.68</v>
      </c>
      <c r="L7135" s="15" t="n">
        <f aca="false">YEAR(B7135)</f>
        <v>2023</v>
      </c>
      <c r="M7135" s="20" t="n">
        <f aca="false">IF(J7135&gt;0,K7135/J7135,0)</f>
        <v>-0.0896843041351712</v>
      </c>
    </row>
    <row r="7136" customFormat="false" ht="15" hidden="false" customHeight="false" outlineLevel="0" collapsed="false">
      <c r="A7136" s="15" t="s">
        <v>7193</v>
      </c>
      <c r="B7136" s="16" t="n">
        <v>45051</v>
      </c>
      <c r="C7136" s="15" t="s">
        <v>56</v>
      </c>
      <c r="D7136" s="15" t="s">
        <v>42</v>
      </c>
      <c r="E7136" s="15" t="s">
        <v>39</v>
      </c>
      <c r="F7136" s="15" t="s">
        <v>18</v>
      </c>
      <c r="G7136" s="15" t="s">
        <v>30</v>
      </c>
      <c r="H7136" s="15" t="n">
        <v>8</v>
      </c>
      <c r="I7136" s="17" t="n">
        <v>0.15</v>
      </c>
      <c r="J7136" s="18" t="n">
        <v>315.29</v>
      </c>
      <c r="K7136" s="19" t="n">
        <v>28.57</v>
      </c>
      <c r="L7136" s="15" t="n">
        <f aca="false">YEAR(B7136)</f>
        <v>2023</v>
      </c>
      <c r="M7136" s="20" t="n">
        <f aca="false">IF(J7136&gt;0,K7136/J7136,0)</f>
        <v>0.0906149893748612</v>
      </c>
    </row>
    <row r="7137" customFormat="false" ht="15" hidden="false" customHeight="false" outlineLevel="0" collapsed="false">
      <c r="A7137" s="15" t="s">
        <v>7194</v>
      </c>
      <c r="B7137" s="16" t="n">
        <v>44631</v>
      </c>
      <c r="C7137" s="15" t="s">
        <v>58</v>
      </c>
      <c r="D7137" s="15" t="s">
        <v>43</v>
      </c>
      <c r="E7137" s="15" t="s">
        <v>39</v>
      </c>
      <c r="F7137" s="15" t="s">
        <v>16</v>
      </c>
      <c r="G7137" s="15" t="s">
        <v>25</v>
      </c>
      <c r="H7137" s="15" t="n">
        <v>3</v>
      </c>
      <c r="I7137" s="17" t="n">
        <v>0</v>
      </c>
      <c r="J7137" s="18" t="n">
        <v>824.2</v>
      </c>
      <c r="K7137" s="19" t="n">
        <v>76.29</v>
      </c>
      <c r="L7137" s="15" t="n">
        <f aca="false">YEAR(B7137)</f>
        <v>2022</v>
      </c>
      <c r="M7137" s="20" t="n">
        <f aca="false">IF(J7137&gt;0,K7137/J7137,0)</f>
        <v>0.0925624848337782</v>
      </c>
    </row>
    <row r="7138" customFormat="false" ht="15" hidden="false" customHeight="false" outlineLevel="0" collapsed="false">
      <c r="A7138" s="15" t="s">
        <v>7195</v>
      </c>
      <c r="B7138" s="16" t="n">
        <v>45543</v>
      </c>
      <c r="C7138" s="15" t="s">
        <v>68</v>
      </c>
      <c r="D7138" s="15" t="s">
        <v>44</v>
      </c>
      <c r="E7138" s="15" t="s">
        <v>37</v>
      </c>
      <c r="F7138" s="15" t="s">
        <v>17</v>
      </c>
      <c r="G7138" s="15" t="s">
        <v>29</v>
      </c>
      <c r="H7138" s="15" t="n">
        <v>3</v>
      </c>
      <c r="I7138" s="17" t="n">
        <v>0.05</v>
      </c>
      <c r="J7138" s="18" t="n">
        <v>68.96</v>
      </c>
      <c r="K7138" s="19" t="n">
        <v>19.48</v>
      </c>
      <c r="L7138" s="15" t="n">
        <f aca="false">YEAR(B7138)</f>
        <v>2024</v>
      </c>
      <c r="M7138" s="20" t="n">
        <f aca="false">IF(J7138&gt;0,K7138/J7138,0)</f>
        <v>0.282482598607889</v>
      </c>
    </row>
    <row r="7139" customFormat="false" ht="15" hidden="false" customHeight="false" outlineLevel="0" collapsed="false">
      <c r="A7139" s="15" t="s">
        <v>7196</v>
      </c>
      <c r="B7139" s="16" t="n">
        <v>44819</v>
      </c>
      <c r="C7139" s="15" t="s">
        <v>56</v>
      </c>
      <c r="D7139" s="15" t="s">
        <v>42</v>
      </c>
      <c r="E7139" s="15" t="s">
        <v>37</v>
      </c>
      <c r="F7139" s="15" t="s">
        <v>17</v>
      </c>
      <c r="G7139" s="15" t="s">
        <v>31</v>
      </c>
      <c r="H7139" s="15" t="n">
        <v>3</v>
      </c>
      <c r="I7139" s="17" t="n">
        <v>0</v>
      </c>
      <c r="J7139" s="18" t="n">
        <v>410</v>
      </c>
      <c r="K7139" s="19" t="n">
        <v>57.65</v>
      </c>
      <c r="L7139" s="15" t="n">
        <f aca="false">YEAR(B7139)</f>
        <v>2022</v>
      </c>
      <c r="M7139" s="20" t="n">
        <f aca="false">IF(J7139&gt;0,K7139/J7139,0)</f>
        <v>0.140609756097561</v>
      </c>
    </row>
    <row r="7140" customFormat="false" ht="15" hidden="false" customHeight="false" outlineLevel="0" collapsed="false">
      <c r="A7140" s="15" t="s">
        <v>7197</v>
      </c>
      <c r="B7140" s="16" t="n">
        <v>45964</v>
      </c>
      <c r="C7140" s="15" t="s">
        <v>56</v>
      </c>
      <c r="D7140" s="15" t="s">
        <v>43</v>
      </c>
      <c r="E7140" s="15" t="s">
        <v>36</v>
      </c>
      <c r="F7140" s="15" t="s">
        <v>17</v>
      </c>
      <c r="G7140" s="15" t="s">
        <v>31</v>
      </c>
      <c r="H7140" s="15" t="n">
        <v>2</v>
      </c>
      <c r="I7140" s="17" t="n">
        <v>0.2</v>
      </c>
      <c r="J7140" s="18" t="n">
        <v>174.54</v>
      </c>
      <c r="K7140" s="19" t="n">
        <v>-0.53</v>
      </c>
      <c r="L7140" s="15" t="n">
        <f aca="false">YEAR(B7140)</f>
        <v>2025</v>
      </c>
      <c r="M7140" s="20" t="n">
        <f aca="false">IF(J7140&gt;0,K7140/J7140,0)</f>
        <v>-0.00303655322562163</v>
      </c>
    </row>
    <row r="7141" customFormat="false" ht="15" hidden="false" customHeight="false" outlineLevel="0" collapsed="false">
      <c r="A7141" s="15" t="s">
        <v>7198</v>
      </c>
      <c r="B7141" s="16" t="n">
        <v>45613</v>
      </c>
      <c r="C7141" s="15" t="s">
        <v>56</v>
      </c>
      <c r="D7141" s="15" t="s">
        <v>42</v>
      </c>
      <c r="E7141" s="15" t="s">
        <v>38</v>
      </c>
      <c r="F7141" s="15" t="s">
        <v>17</v>
      </c>
      <c r="G7141" s="15" t="s">
        <v>28</v>
      </c>
      <c r="H7141" s="15" t="n">
        <v>2</v>
      </c>
      <c r="I7141" s="17" t="n">
        <v>0.1</v>
      </c>
      <c r="J7141" s="18" t="n">
        <v>39.85</v>
      </c>
      <c r="K7141" s="19" t="n">
        <v>6.59</v>
      </c>
      <c r="L7141" s="15" t="n">
        <f aca="false">YEAR(B7141)</f>
        <v>2024</v>
      </c>
      <c r="M7141" s="20" t="n">
        <f aca="false">IF(J7141&gt;0,K7141/J7141,0)</f>
        <v>0.165370138017566</v>
      </c>
    </row>
    <row r="7142" customFormat="false" ht="15" hidden="false" customHeight="false" outlineLevel="0" collapsed="false">
      <c r="A7142" s="15" t="s">
        <v>7199</v>
      </c>
      <c r="B7142" s="16" t="n">
        <v>44910</v>
      </c>
      <c r="C7142" s="15" t="s">
        <v>56</v>
      </c>
      <c r="D7142" s="15" t="s">
        <v>42</v>
      </c>
      <c r="E7142" s="15" t="s">
        <v>39</v>
      </c>
      <c r="F7142" s="15" t="s">
        <v>18</v>
      </c>
      <c r="G7142" s="15" t="s">
        <v>30</v>
      </c>
      <c r="H7142" s="15" t="n">
        <v>4</v>
      </c>
      <c r="I7142" s="17" t="n">
        <v>0</v>
      </c>
      <c r="J7142" s="18" t="n">
        <v>182.83</v>
      </c>
      <c r="K7142" s="19" t="n">
        <v>51.11</v>
      </c>
      <c r="L7142" s="15" t="n">
        <f aca="false">YEAR(B7142)</f>
        <v>2022</v>
      </c>
      <c r="M7142" s="20" t="n">
        <f aca="false">IF(J7142&gt;0,K7142/J7142,0)</f>
        <v>0.279549308100421</v>
      </c>
    </row>
    <row r="7143" customFormat="false" ht="15" hidden="false" customHeight="false" outlineLevel="0" collapsed="false">
      <c r="A7143" s="15" t="s">
        <v>7200</v>
      </c>
      <c r="B7143" s="16" t="n">
        <v>45282</v>
      </c>
      <c r="C7143" s="15" t="s">
        <v>56</v>
      </c>
      <c r="D7143" s="15" t="s">
        <v>42</v>
      </c>
      <c r="E7143" s="15" t="s">
        <v>36</v>
      </c>
      <c r="F7143" s="15" t="s">
        <v>16</v>
      </c>
      <c r="G7143" s="15" t="s">
        <v>25</v>
      </c>
      <c r="H7143" s="15" t="n">
        <v>3</v>
      </c>
      <c r="I7143" s="17" t="n">
        <v>0.05</v>
      </c>
      <c r="J7143" s="18" t="n">
        <v>709.88</v>
      </c>
      <c r="K7143" s="19" t="n">
        <v>69.62</v>
      </c>
      <c r="L7143" s="15" t="n">
        <f aca="false">YEAR(B7143)</f>
        <v>2023</v>
      </c>
      <c r="M7143" s="20" t="n">
        <f aca="false">IF(J7143&gt;0,K7143/J7143,0)</f>
        <v>0.0980729137318984</v>
      </c>
    </row>
    <row r="7144" customFormat="false" ht="15" hidden="false" customHeight="false" outlineLevel="0" collapsed="false">
      <c r="A7144" s="15" t="s">
        <v>7201</v>
      </c>
      <c r="B7144" s="16" t="n">
        <v>45906</v>
      </c>
      <c r="C7144" s="15" t="s">
        <v>56</v>
      </c>
      <c r="D7144" s="15" t="s">
        <v>42</v>
      </c>
      <c r="E7144" s="15" t="s">
        <v>36</v>
      </c>
      <c r="F7144" s="15" t="s">
        <v>17</v>
      </c>
      <c r="G7144" s="15" t="s">
        <v>31</v>
      </c>
      <c r="H7144" s="15" t="n">
        <v>3</v>
      </c>
      <c r="I7144" s="17" t="n">
        <v>0</v>
      </c>
      <c r="J7144" s="18" t="n">
        <v>402.79</v>
      </c>
      <c r="K7144" s="19" t="n">
        <v>88.07</v>
      </c>
      <c r="L7144" s="15" t="n">
        <f aca="false">YEAR(B7144)</f>
        <v>2025</v>
      </c>
      <c r="M7144" s="20" t="n">
        <f aca="false">IF(J7144&gt;0,K7144/J7144,0)</f>
        <v>0.21864991683011</v>
      </c>
    </row>
    <row r="7145" customFormat="false" ht="15" hidden="false" customHeight="false" outlineLevel="0" collapsed="false">
      <c r="A7145" s="15" t="s">
        <v>7202</v>
      </c>
      <c r="B7145" s="16" t="n">
        <v>44736</v>
      </c>
      <c r="C7145" s="15" t="s">
        <v>56</v>
      </c>
      <c r="D7145" s="15" t="s">
        <v>43</v>
      </c>
      <c r="E7145" s="15" t="s">
        <v>38</v>
      </c>
      <c r="F7145" s="15" t="s">
        <v>17</v>
      </c>
      <c r="G7145" s="15" t="s">
        <v>28</v>
      </c>
      <c r="H7145" s="15" t="n">
        <v>2</v>
      </c>
      <c r="I7145" s="17" t="n">
        <v>0.1</v>
      </c>
      <c r="J7145" s="18" t="n">
        <v>39.94</v>
      </c>
      <c r="K7145" s="19" t="n">
        <v>8.43</v>
      </c>
      <c r="L7145" s="15" t="n">
        <f aca="false">YEAR(B7145)</f>
        <v>2022</v>
      </c>
      <c r="M7145" s="20" t="n">
        <f aca="false">IF(J7145&gt;0,K7145/J7145,0)</f>
        <v>0.21106659989985</v>
      </c>
    </row>
    <row r="7146" customFormat="false" ht="15" hidden="false" customHeight="false" outlineLevel="0" collapsed="false">
      <c r="A7146" s="15" t="s">
        <v>7203</v>
      </c>
      <c r="B7146" s="16" t="n">
        <v>44697</v>
      </c>
      <c r="C7146" s="15" t="s">
        <v>56</v>
      </c>
      <c r="D7146" s="15" t="s">
        <v>42</v>
      </c>
      <c r="E7146" s="15" t="s">
        <v>39</v>
      </c>
      <c r="F7146" s="15" t="s">
        <v>17</v>
      </c>
      <c r="G7146" s="15" t="s">
        <v>29</v>
      </c>
      <c r="H7146" s="15" t="n">
        <v>4</v>
      </c>
      <c r="I7146" s="17" t="n">
        <v>0</v>
      </c>
      <c r="J7146" s="18" t="n">
        <v>96.43</v>
      </c>
      <c r="K7146" s="19" t="n">
        <v>24.69</v>
      </c>
      <c r="L7146" s="15" t="n">
        <f aca="false">YEAR(B7146)</f>
        <v>2022</v>
      </c>
      <c r="M7146" s="20" t="n">
        <f aca="false">IF(J7146&gt;0,K7146/J7146,0)</f>
        <v>0.256040651249611</v>
      </c>
    </row>
    <row r="7147" customFormat="false" ht="15" hidden="false" customHeight="false" outlineLevel="0" collapsed="false">
      <c r="A7147" s="15" t="s">
        <v>7204</v>
      </c>
      <c r="B7147" s="16" t="n">
        <v>44872</v>
      </c>
      <c r="C7147" s="15" t="s">
        <v>56</v>
      </c>
      <c r="D7147" s="15" t="s">
        <v>42</v>
      </c>
      <c r="E7147" s="15" t="s">
        <v>39</v>
      </c>
      <c r="F7147" s="15" t="s">
        <v>16</v>
      </c>
      <c r="G7147" s="15" t="s">
        <v>27</v>
      </c>
      <c r="H7147" s="15" t="n">
        <v>4</v>
      </c>
      <c r="I7147" s="17" t="n">
        <v>0.05</v>
      </c>
      <c r="J7147" s="18" t="n">
        <v>250.65</v>
      </c>
      <c r="K7147" s="19" t="n">
        <v>56.42</v>
      </c>
      <c r="L7147" s="15" t="n">
        <f aca="false">YEAR(B7147)</f>
        <v>2022</v>
      </c>
      <c r="M7147" s="20" t="n">
        <f aca="false">IF(J7147&gt;0,K7147/J7147,0)</f>
        <v>0.225094753640535</v>
      </c>
    </row>
    <row r="7148" customFormat="false" ht="15" hidden="false" customHeight="false" outlineLevel="0" collapsed="false">
      <c r="A7148" s="15" t="s">
        <v>7205</v>
      </c>
      <c r="B7148" s="16" t="n">
        <v>45020</v>
      </c>
      <c r="C7148" s="15" t="s">
        <v>71</v>
      </c>
      <c r="D7148" s="15" t="s">
        <v>44</v>
      </c>
      <c r="E7148" s="15" t="s">
        <v>36</v>
      </c>
      <c r="F7148" s="15" t="s">
        <v>16</v>
      </c>
      <c r="G7148" s="15" t="s">
        <v>22</v>
      </c>
      <c r="H7148" s="15" t="n">
        <v>4</v>
      </c>
      <c r="I7148" s="17" t="n">
        <v>0</v>
      </c>
      <c r="J7148" s="18" t="n">
        <v>1793.84</v>
      </c>
      <c r="K7148" s="19" t="n">
        <v>-166.03</v>
      </c>
      <c r="L7148" s="15" t="n">
        <f aca="false">YEAR(B7148)</f>
        <v>2023</v>
      </c>
      <c r="M7148" s="20" t="n">
        <f aca="false">IF(J7148&gt;0,K7148/J7148,0)</f>
        <v>-0.0925556348392276</v>
      </c>
    </row>
    <row r="7149" customFormat="false" ht="15" hidden="false" customHeight="false" outlineLevel="0" collapsed="false">
      <c r="A7149" s="15" t="s">
        <v>7206</v>
      </c>
      <c r="B7149" s="16" t="n">
        <v>45177</v>
      </c>
      <c r="C7149" s="15" t="s">
        <v>56</v>
      </c>
      <c r="D7149" s="15" t="s">
        <v>44</v>
      </c>
      <c r="E7149" s="15" t="s">
        <v>36</v>
      </c>
      <c r="F7149" s="15" t="s">
        <v>16</v>
      </c>
      <c r="G7149" s="15" t="s">
        <v>27</v>
      </c>
      <c r="H7149" s="15" t="n">
        <v>6</v>
      </c>
      <c r="I7149" s="17" t="n">
        <v>0.05</v>
      </c>
      <c r="J7149" s="18" t="n">
        <v>352.14</v>
      </c>
      <c r="K7149" s="19" t="n">
        <v>83.85</v>
      </c>
      <c r="L7149" s="15" t="n">
        <f aca="false">YEAR(B7149)</f>
        <v>2023</v>
      </c>
      <c r="M7149" s="20" t="n">
        <f aca="false">IF(J7149&gt;0,K7149/J7149,0)</f>
        <v>0.238115522235475</v>
      </c>
    </row>
    <row r="7150" customFormat="false" ht="15" hidden="false" customHeight="false" outlineLevel="0" collapsed="false">
      <c r="A7150" s="15" t="s">
        <v>7207</v>
      </c>
      <c r="B7150" s="16" t="n">
        <v>45753</v>
      </c>
      <c r="C7150" s="15" t="s">
        <v>56</v>
      </c>
      <c r="D7150" s="15" t="s">
        <v>43</v>
      </c>
      <c r="E7150" s="15" t="s">
        <v>39</v>
      </c>
      <c r="F7150" s="15" t="s">
        <v>18</v>
      </c>
      <c r="G7150" s="15" t="s">
        <v>33</v>
      </c>
      <c r="H7150" s="15" t="n">
        <v>1</v>
      </c>
      <c r="I7150" s="17" t="n">
        <v>0.2</v>
      </c>
      <c r="J7150" s="18" t="n">
        <v>877.57</v>
      </c>
      <c r="K7150" s="19" t="n">
        <v>86.24</v>
      </c>
      <c r="L7150" s="15" t="n">
        <f aca="false">YEAR(B7150)</f>
        <v>2025</v>
      </c>
      <c r="M7150" s="20" t="n">
        <f aca="false">IF(J7150&gt;0,K7150/J7150,0)</f>
        <v>0.0982713629681963</v>
      </c>
    </row>
    <row r="7151" customFormat="false" ht="15" hidden="false" customHeight="false" outlineLevel="0" collapsed="false">
      <c r="A7151" s="15" t="s">
        <v>7208</v>
      </c>
      <c r="B7151" s="16" t="n">
        <v>44977</v>
      </c>
      <c r="C7151" s="15" t="s">
        <v>56</v>
      </c>
      <c r="D7151" s="15" t="s">
        <v>44</v>
      </c>
      <c r="E7151" s="15" t="s">
        <v>38</v>
      </c>
      <c r="F7151" s="15" t="s">
        <v>18</v>
      </c>
      <c r="G7151" s="15" t="s">
        <v>33</v>
      </c>
      <c r="H7151" s="15" t="n">
        <v>1</v>
      </c>
      <c r="I7151" s="17" t="n">
        <v>0.15</v>
      </c>
      <c r="J7151" s="18" t="n">
        <v>684.36</v>
      </c>
      <c r="K7151" s="19" t="n">
        <v>107.35</v>
      </c>
      <c r="L7151" s="15" t="n">
        <f aca="false">YEAR(B7151)</f>
        <v>2023</v>
      </c>
      <c r="M7151" s="20" t="n">
        <f aca="false">IF(J7151&gt;0,K7151/J7151,0)</f>
        <v>0.156861885557309</v>
      </c>
    </row>
    <row r="7152" customFormat="false" ht="15" hidden="false" customHeight="false" outlineLevel="0" collapsed="false">
      <c r="A7152" s="15" t="s">
        <v>7209</v>
      </c>
      <c r="B7152" s="16" t="n">
        <v>44945</v>
      </c>
      <c r="C7152" s="15" t="s">
        <v>56</v>
      </c>
      <c r="D7152" s="15" t="s">
        <v>42</v>
      </c>
      <c r="E7152" s="15" t="s">
        <v>36</v>
      </c>
      <c r="F7152" s="15" t="s">
        <v>18</v>
      </c>
      <c r="G7152" s="15" t="s">
        <v>30</v>
      </c>
      <c r="H7152" s="15" t="n">
        <v>5</v>
      </c>
      <c r="I7152" s="17" t="n">
        <v>0</v>
      </c>
      <c r="J7152" s="18" t="n">
        <v>200.91</v>
      </c>
      <c r="K7152" s="19" t="n">
        <v>66.93</v>
      </c>
      <c r="L7152" s="15" t="n">
        <f aca="false">YEAR(B7152)</f>
        <v>2023</v>
      </c>
      <c r="M7152" s="20" t="n">
        <f aca="false">IF(J7152&gt;0,K7152/J7152,0)</f>
        <v>0.333134239211587</v>
      </c>
    </row>
    <row r="7153" customFormat="false" ht="15" hidden="false" customHeight="false" outlineLevel="0" collapsed="false">
      <c r="A7153" s="15" t="s">
        <v>7210</v>
      </c>
      <c r="B7153" s="16" t="n">
        <v>44715</v>
      </c>
      <c r="C7153" s="15" t="s">
        <v>56</v>
      </c>
      <c r="D7153" s="15" t="s">
        <v>42</v>
      </c>
      <c r="E7153" s="15" t="s">
        <v>38</v>
      </c>
      <c r="F7153" s="15" t="s">
        <v>17</v>
      </c>
      <c r="G7153" s="15" t="s">
        <v>29</v>
      </c>
      <c r="H7153" s="15" t="n">
        <v>1</v>
      </c>
      <c r="I7153" s="17" t="n">
        <v>0.2</v>
      </c>
      <c r="J7153" s="18" t="n">
        <v>15.37</v>
      </c>
      <c r="K7153" s="19" t="n">
        <v>4.1</v>
      </c>
      <c r="L7153" s="15" t="n">
        <f aca="false">YEAR(B7153)</f>
        <v>2022</v>
      </c>
      <c r="M7153" s="20" t="n">
        <f aca="false">IF(J7153&gt;0,K7153/J7153,0)</f>
        <v>0.266753415744958</v>
      </c>
    </row>
    <row r="7154" customFormat="false" ht="15" hidden="false" customHeight="false" outlineLevel="0" collapsed="false">
      <c r="A7154" s="15" t="s">
        <v>7211</v>
      </c>
      <c r="B7154" s="16" t="n">
        <v>45624</v>
      </c>
      <c r="C7154" s="15" t="s">
        <v>68</v>
      </c>
      <c r="D7154" s="15" t="s">
        <v>44</v>
      </c>
      <c r="E7154" s="15" t="s">
        <v>37</v>
      </c>
      <c r="F7154" s="15" t="s">
        <v>16</v>
      </c>
      <c r="G7154" s="15" t="s">
        <v>22</v>
      </c>
      <c r="H7154" s="15" t="n">
        <v>2</v>
      </c>
      <c r="I7154" s="17" t="n">
        <v>0</v>
      </c>
      <c r="J7154" s="18" t="n">
        <v>1051.16</v>
      </c>
      <c r="K7154" s="19" t="n">
        <v>6.58</v>
      </c>
      <c r="L7154" s="15" t="n">
        <f aca="false">YEAR(B7154)</f>
        <v>2024</v>
      </c>
      <c r="M7154" s="20" t="n">
        <f aca="false">IF(J7154&gt;0,K7154/J7154,0)</f>
        <v>0.00625975113208265</v>
      </c>
    </row>
    <row r="7155" customFormat="false" ht="15" hidden="false" customHeight="false" outlineLevel="0" collapsed="false">
      <c r="A7155" s="15" t="s">
        <v>7212</v>
      </c>
      <c r="B7155" s="16" t="n">
        <v>44647</v>
      </c>
      <c r="C7155" s="15" t="s">
        <v>68</v>
      </c>
      <c r="D7155" s="15" t="s">
        <v>42</v>
      </c>
      <c r="E7155" s="15" t="s">
        <v>39</v>
      </c>
      <c r="F7155" s="15" t="s">
        <v>17</v>
      </c>
      <c r="G7155" s="15" t="s">
        <v>26</v>
      </c>
      <c r="H7155" s="15" t="n">
        <v>4</v>
      </c>
      <c r="I7155" s="17" t="n">
        <v>0.2</v>
      </c>
      <c r="J7155" s="18" t="n">
        <v>259.68</v>
      </c>
      <c r="K7155" s="19" t="n">
        <v>-10.14</v>
      </c>
      <c r="L7155" s="15" t="n">
        <f aca="false">YEAR(B7155)</f>
        <v>2022</v>
      </c>
      <c r="M7155" s="20" t="n">
        <f aca="false">IF(J7155&gt;0,K7155/J7155,0)</f>
        <v>-0.0390480591497227</v>
      </c>
    </row>
    <row r="7156" customFormat="false" ht="15" hidden="false" customHeight="false" outlineLevel="0" collapsed="false">
      <c r="A7156" s="15" t="s">
        <v>7213</v>
      </c>
      <c r="B7156" s="16" t="n">
        <v>45961</v>
      </c>
      <c r="C7156" s="15" t="s">
        <v>56</v>
      </c>
      <c r="D7156" s="15" t="s">
        <v>42</v>
      </c>
      <c r="E7156" s="15" t="s">
        <v>39</v>
      </c>
      <c r="F7156" s="15" t="s">
        <v>17</v>
      </c>
      <c r="G7156" s="15" t="s">
        <v>29</v>
      </c>
      <c r="H7156" s="15" t="n">
        <v>4</v>
      </c>
      <c r="I7156" s="17" t="n">
        <v>0</v>
      </c>
      <c r="J7156" s="18" t="n">
        <v>74.62</v>
      </c>
      <c r="K7156" s="19" t="n">
        <v>24.92</v>
      </c>
      <c r="L7156" s="15" t="n">
        <f aca="false">YEAR(B7156)</f>
        <v>2025</v>
      </c>
      <c r="M7156" s="20" t="n">
        <f aca="false">IF(J7156&gt;0,K7156/J7156,0)</f>
        <v>0.333958724202627</v>
      </c>
    </row>
    <row r="7157" customFormat="false" ht="15" hidden="false" customHeight="false" outlineLevel="0" collapsed="false">
      <c r="A7157" s="15" t="s">
        <v>7214</v>
      </c>
      <c r="B7157" s="16" t="n">
        <v>45999</v>
      </c>
      <c r="C7157" s="15" t="s">
        <v>71</v>
      </c>
      <c r="D7157" s="15" t="s">
        <v>43</v>
      </c>
      <c r="E7157" s="15" t="s">
        <v>36</v>
      </c>
      <c r="F7157" s="15" t="s">
        <v>17</v>
      </c>
      <c r="G7157" s="15" t="s">
        <v>28</v>
      </c>
      <c r="H7157" s="15" t="n">
        <v>3</v>
      </c>
      <c r="I7157" s="17" t="n">
        <v>0.4</v>
      </c>
      <c r="J7157" s="18" t="n">
        <v>41.16</v>
      </c>
      <c r="K7157" s="19" t="n">
        <v>-5.37</v>
      </c>
      <c r="L7157" s="15" t="n">
        <f aca="false">YEAR(B7157)</f>
        <v>2025</v>
      </c>
      <c r="M7157" s="20" t="n">
        <f aca="false">IF(J7157&gt;0,K7157/J7157,0)</f>
        <v>-0.130466472303207</v>
      </c>
    </row>
    <row r="7158" customFormat="false" ht="15" hidden="false" customHeight="false" outlineLevel="0" collapsed="false">
      <c r="A7158" s="15" t="s">
        <v>7215</v>
      </c>
      <c r="B7158" s="16" t="n">
        <v>45542</v>
      </c>
      <c r="C7158" s="15" t="s">
        <v>56</v>
      </c>
      <c r="D7158" s="15" t="s">
        <v>42</v>
      </c>
      <c r="E7158" s="15" t="s">
        <v>38</v>
      </c>
      <c r="F7158" s="15" t="s">
        <v>18</v>
      </c>
      <c r="G7158" s="15" t="s">
        <v>33</v>
      </c>
      <c r="H7158" s="15" t="n">
        <v>4</v>
      </c>
      <c r="I7158" s="17" t="n">
        <v>0.1</v>
      </c>
      <c r="J7158" s="18" t="n">
        <v>3120.8</v>
      </c>
      <c r="K7158" s="19" t="n">
        <v>503.94</v>
      </c>
      <c r="L7158" s="15" t="n">
        <f aca="false">YEAR(B7158)</f>
        <v>2024</v>
      </c>
      <c r="M7158" s="20" t="n">
        <f aca="false">IF(J7158&gt;0,K7158/J7158,0)</f>
        <v>0.161477826198411</v>
      </c>
    </row>
    <row r="7159" customFormat="false" ht="15" hidden="false" customHeight="false" outlineLevel="0" collapsed="false">
      <c r="A7159" s="15" t="s">
        <v>7216</v>
      </c>
      <c r="B7159" s="16" t="n">
        <v>44670</v>
      </c>
      <c r="C7159" s="15" t="s">
        <v>56</v>
      </c>
      <c r="D7159" s="15" t="s">
        <v>42</v>
      </c>
      <c r="E7159" s="15" t="s">
        <v>38</v>
      </c>
      <c r="F7159" s="15" t="s">
        <v>16</v>
      </c>
      <c r="G7159" s="15" t="s">
        <v>27</v>
      </c>
      <c r="H7159" s="15" t="n">
        <v>4</v>
      </c>
      <c r="I7159" s="17" t="n">
        <v>0</v>
      </c>
      <c r="J7159" s="18" t="n">
        <v>238.48</v>
      </c>
      <c r="K7159" s="19" t="n">
        <v>47.37</v>
      </c>
      <c r="L7159" s="15" t="n">
        <f aca="false">YEAR(B7159)</f>
        <v>2022</v>
      </c>
      <c r="M7159" s="20" t="n">
        <f aca="false">IF(J7159&gt;0,K7159/J7159,0)</f>
        <v>0.198633009057363</v>
      </c>
    </row>
    <row r="7160" customFormat="false" ht="15" hidden="false" customHeight="false" outlineLevel="0" collapsed="false">
      <c r="A7160" s="15" t="s">
        <v>7217</v>
      </c>
      <c r="B7160" s="16" t="n">
        <v>45987</v>
      </c>
      <c r="C7160" s="15" t="s">
        <v>71</v>
      </c>
      <c r="D7160" s="15" t="s">
        <v>42</v>
      </c>
      <c r="E7160" s="15" t="s">
        <v>38</v>
      </c>
      <c r="F7160" s="15" t="s">
        <v>18</v>
      </c>
      <c r="G7160" s="15" t="s">
        <v>30</v>
      </c>
      <c r="H7160" s="15" t="n">
        <v>3</v>
      </c>
      <c r="I7160" s="17" t="n">
        <v>0.5</v>
      </c>
      <c r="J7160" s="18" t="n">
        <v>68.07</v>
      </c>
      <c r="K7160" s="19" t="n">
        <v>-12.93</v>
      </c>
      <c r="L7160" s="15" t="n">
        <f aca="false">YEAR(B7160)</f>
        <v>2025</v>
      </c>
      <c r="M7160" s="20" t="n">
        <f aca="false">IF(J7160&gt;0,K7160/J7160,0)</f>
        <v>-0.18995152049361</v>
      </c>
    </row>
    <row r="7161" customFormat="false" ht="15" hidden="false" customHeight="false" outlineLevel="0" collapsed="false">
      <c r="A7161" s="15" t="s">
        <v>7218</v>
      </c>
      <c r="B7161" s="16" t="n">
        <v>44592</v>
      </c>
      <c r="C7161" s="15" t="s">
        <v>56</v>
      </c>
      <c r="D7161" s="15" t="s">
        <v>42</v>
      </c>
      <c r="E7161" s="15" t="s">
        <v>36</v>
      </c>
      <c r="F7161" s="15" t="s">
        <v>17</v>
      </c>
      <c r="G7161" s="15" t="s">
        <v>29</v>
      </c>
      <c r="H7161" s="15" t="n">
        <v>4</v>
      </c>
      <c r="I7161" s="17" t="n">
        <v>0</v>
      </c>
      <c r="J7161" s="18" t="n">
        <v>77.19</v>
      </c>
      <c r="K7161" s="19" t="n">
        <v>29.37</v>
      </c>
      <c r="L7161" s="15" t="n">
        <f aca="false">YEAR(B7161)</f>
        <v>2022</v>
      </c>
      <c r="M7161" s="20" t="n">
        <f aca="false">IF(J7161&gt;0,K7161/J7161,0)</f>
        <v>0.380489700738438</v>
      </c>
    </row>
    <row r="7162" customFormat="false" ht="15" hidden="false" customHeight="false" outlineLevel="0" collapsed="false">
      <c r="A7162" s="15" t="s">
        <v>7219</v>
      </c>
      <c r="B7162" s="16" t="n">
        <v>45160</v>
      </c>
      <c r="C7162" s="15" t="s">
        <v>56</v>
      </c>
      <c r="D7162" s="15" t="s">
        <v>43</v>
      </c>
      <c r="E7162" s="15" t="s">
        <v>37</v>
      </c>
      <c r="F7162" s="15" t="s">
        <v>17</v>
      </c>
      <c r="G7162" s="15" t="s">
        <v>26</v>
      </c>
      <c r="H7162" s="15" t="n">
        <v>2</v>
      </c>
      <c r="I7162" s="17" t="n">
        <v>0</v>
      </c>
      <c r="J7162" s="18" t="n">
        <v>192.5</v>
      </c>
      <c r="K7162" s="19" t="n">
        <v>26.26</v>
      </c>
      <c r="L7162" s="15" t="n">
        <f aca="false">YEAR(B7162)</f>
        <v>2023</v>
      </c>
      <c r="M7162" s="20" t="n">
        <f aca="false">IF(J7162&gt;0,K7162/J7162,0)</f>
        <v>0.136415584415584</v>
      </c>
    </row>
    <row r="7163" customFormat="false" ht="15" hidden="false" customHeight="false" outlineLevel="0" collapsed="false">
      <c r="A7163" s="15" t="s">
        <v>7220</v>
      </c>
      <c r="B7163" s="16" t="n">
        <v>45343</v>
      </c>
      <c r="C7163" s="15" t="s">
        <v>71</v>
      </c>
      <c r="D7163" s="15" t="s">
        <v>43</v>
      </c>
      <c r="E7163" s="15" t="s">
        <v>37</v>
      </c>
      <c r="F7163" s="15" t="s">
        <v>18</v>
      </c>
      <c r="G7163" s="15" t="s">
        <v>24</v>
      </c>
      <c r="H7163" s="15" t="n">
        <v>2</v>
      </c>
      <c r="I7163" s="17" t="n">
        <v>0</v>
      </c>
      <c r="J7163" s="18" t="n">
        <v>1603.57</v>
      </c>
      <c r="K7163" s="19" t="n">
        <v>-40.66</v>
      </c>
      <c r="L7163" s="15" t="n">
        <f aca="false">YEAR(B7163)</f>
        <v>2024</v>
      </c>
      <c r="M7163" s="20" t="n">
        <f aca="false">IF(J7163&gt;0,K7163/J7163,0)</f>
        <v>-0.0253559245932513</v>
      </c>
    </row>
    <row r="7164" customFormat="false" ht="15" hidden="false" customHeight="false" outlineLevel="0" collapsed="false">
      <c r="A7164" s="15" t="s">
        <v>7221</v>
      </c>
      <c r="B7164" s="16" t="n">
        <v>45003</v>
      </c>
      <c r="C7164" s="15" t="s">
        <v>56</v>
      </c>
      <c r="D7164" s="15" t="s">
        <v>44</v>
      </c>
      <c r="E7164" s="15" t="s">
        <v>37</v>
      </c>
      <c r="F7164" s="15" t="s">
        <v>17</v>
      </c>
      <c r="G7164" s="15" t="s">
        <v>29</v>
      </c>
      <c r="H7164" s="15" t="n">
        <v>4</v>
      </c>
      <c r="I7164" s="17" t="n">
        <v>0</v>
      </c>
      <c r="J7164" s="18" t="n">
        <v>68.61</v>
      </c>
      <c r="K7164" s="19" t="n">
        <v>23.87</v>
      </c>
      <c r="L7164" s="15" t="n">
        <f aca="false">YEAR(B7164)</f>
        <v>2023</v>
      </c>
      <c r="M7164" s="20" t="n">
        <f aca="false">IF(J7164&gt;0,K7164/J7164,0)</f>
        <v>0.34790846815333</v>
      </c>
    </row>
    <row r="7165" customFormat="false" ht="15" hidden="false" customHeight="false" outlineLevel="0" collapsed="false">
      <c r="A7165" s="15" t="s">
        <v>7222</v>
      </c>
      <c r="B7165" s="16" t="n">
        <v>44910</v>
      </c>
      <c r="C7165" s="15" t="s">
        <v>68</v>
      </c>
      <c r="D7165" s="15" t="s">
        <v>43</v>
      </c>
      <c r="E7165" s="15" t="s">
        <v>38</v>
      </c>
      <c r="F7165" s="15" t="s">
        <v>17</v>
      </c>
      <c r="G7165" s="15" t="s">
        <v>29</v>
      </c>
      <c r="H7165" s="15" t="n">
        <v>4</v>
      </c>
      <c r="I7165" s="17" t="n">
        <v>0</v>
      </c>
      <c r="J7165" s="18" t="n">
        <v>67.13</v>
      </c>
      <c r="K7165" s="19" t="n">
        <v>20.12</v>
      </c>
      <c r="L7165" s="15" t="n">
        <f aca="false">YEAR(B7165)</f>
        <v>2022</v>
      </c>
      <c r="M7165" s="20" t="n">
        <f aca="false">IF(J7165&gt;0,K7165/J7165,0)</f>
        <v>0.299716967078802</v>
      </c>
    </row>
    <row r="7166" customFormat="false" ht="15" hidden="false" customHeight="false" outlineLevel="0" collapsed="false">
      <c r="A7166" s="15" t="s">
        <v>7223</v>
      </c>
      <c r="B7166" s="16" t="n">
        <v>44585</v>
      </c>
      <c r="C7166" s="15" t="s">
        <v>56</v>
      </c>
      <c r="D7166" s="15" t="s">
        <v>43</v>
      </c>
      <c r="E7166" s="15" t="s">
        <v>37</v>
      </c>
      <c r="F7166" s="15" t="s">
        <v>16</v>
      </c>
      <c r="G7166" s="15" t="s">
        <v>27</v>
      </c>
      <c r="H7166" s="15" t="n">
        <v>4</v>
      </c>
      <c r="I7166" s="17" t="n">
        <v>0.1</v>
      </c>
      <c r="J7166" s="18" t="n">
        <v>226.28</v>
      </c>
      <c r="K7166" s="19" t="n">
        <v>39.39</v>
      </c>
      <c r="L7166" s="15" t="n">
        <f aca="false">YEAR(B7166)</f>
        <v>2022</v>
      </c>
      <c r="M7166" s="20" t="n">
        <f aca="false">IF(J7166&gt;0,K7166/J7166,0)</f>
        <v>0.174076365564787</v>
      </c>
    </row>
    <row r="7167" customFormat="false" ht="15" hidden="false" customHeight="false" outlineLevel="0" collapsed="false">
      <c r="A7167" s="15" t="s">
        <v>7224</v>
      </c>
      <c r="B7167" s="16" t="n">
        <v>45769</v>
      </c>
      <c r="C7167" s="15" t="s">
        <v>56</v>
      </c>
      <c r="D7167" s="15" t="s">
        <v>42</v>
      </c>
      <c r="E7167" s="15" t="s">
        <v>39</v>
      </c>
      <c r="F7167" s="15" t="s">
        <v>17</v>
      </c>
      <c r="G7167" s="15" t="s">
        <v>28</v>
      </c>
      <c r="H7167" s="15" t="n">
        <v>6</v>
      </c>
      <c r="I7167" s="17" t="n">
        <v>0.2</v>
      </c>
      <c r="J7167" s="18" t="n">
        <v>128.82</v>
      </c>
      <c r="K7167" s="19" t="n">
        <v>12.95</v>
      </c>
      <c r="L7167" s="15" t="n">
        <f aca="false">YEAR(B7167)</f>
        <v>2025</v>
      </c>
      <c r="M7167" s="20" t="n">
        <f aca="false">IF(J7167&gt;0,K7167/J7167,0)</f>
        <v>0.100527868343425</v>
      </c>
    </row>
    <row r="7168" customFormat="false" ht="15" hidden="false" customHeight="false" outlineLevel="0" collapsed="false">
      <c r="A7168" s="15" t="s">
        <v>7225</v>
      </c>
      <c r="B7168" s="16" t="n">
        <v>45015</v>
      </c>
      <c r="C7168" s="15" t="s">
        <v>56</v>
      </c>
      <c r="D7168" s="15" t="s">
        <v>44</v>
      </c>
      <c r="E7168" s="15" t="s">
        <v>39</v>
      </c>
      <c r="F7168" s="15" t="s">
        <v>18</v>
      </c>
      <c r="G7168" s="15" t="s">
        <v>30</v>
      </c>
      <c r="H7168" s="15" t="n">
        <v>8</v>
      </c>
      <c r="I7168" s="17" t="n">
        <v>0.1</v>
      </c>
      <c r="J7168" s="18" t="n">
        <v>332.81</v>
      </c>
      <c r="K7168" s="19" t="n">
        <v>80.84</v>
      </c>
      <c r="L7168" s="15" t="n">
        <f aca="false">YEAR(B7168)</f>
        <v>2023</v>
      </c>
      <c r="M7168" s="20" t="n">
        <f aca="false">IF(J7168&gt;0,K7168/J7168,0)</f>
        <v>0.24290135512755</v>
      </c>
    </row>
    <row r="7169" customFormat="false" ht="15" hidden="false" customHeight="false" outlineLevel="0" collapsed="false">
      <c r="A7169" s="15" t="s">
        <v>7226</v>
      </c>
      <c r="B7169" s="16" t="n">
        <v>45181</v>
      </c>
      <c r="C7169" s="15" t="s">
        <v>56</v>
      </c>
      <c r="D7169" s="15" t="s">
        <v>42</v>
      </c>
      <c r="E7169" s="15" t="s">
        <v>39</v>
      </c>
      <c r="F7169" s="15" t="s">
        <v>17</v>
      </c>
      <c r="G7169" s="15" t="s">
        <v>31</v>
      </c>
      <c r="H7169" s="15" t="n">
        <v>3</v>
      </c>
      <c r="I7169" s="17" t="n">
        <v>0</v>
      </c>
      <c r="J7169" s="18" t="n">
        <v>310.45</v>
      </c>
      <c r="K7169" s="19" t="n">
        <v>73.98</v>
      </c>
      <c r="L7169" s="15" t="n">
        <f aca="false">YEAR(B7169)</f>
        <v>2023</v>
      </c>
      <c r="M7169" s="20" t="n">
        <f aca="false">IF(J7169&gt;0,K7169/J7169,0)</f>
        <v>0.238299243034305</v>
      </c>
    </row>
    <row r="7170" customFormat="false" ht="15" hidden="false" customHeight="false" outlineLevel="0" collapsed="false">
      <c r="A7170" s="15" t="s">
        <v>7227</v>
      </c>
      <c r="B7170" s="16" t="n">
        <v>45826</v>
      </c>
      <c r="C7170" s="15" t="s">
        <v>56</v>
      </c>
      <c r="D7170" s="15" t="s">
        <v>42</v>
      </c>
      <c r="E7170" s="15" t="s">
        <v>39</v>
      </c>
      <c r="F7170" s="15" t="s">
        <v>18</v>
      </c>
      <c r="G7170" s="15" t="s">
        <v>30</v>
      </c>
      <c r="H7170" s="15" t="n">
        <v>5</v>
      </c>
      <c r="I7170" s="17" t="n">
        <v>0.3</v>
      </c>
      <c r="J7170" s="18" t="n">
        <v>142.67</v>
      </c>
      <c r="K7170" s="19" t="n">
        <v>11.59</v>
      </c>
      <c r="L7170" s="15" t="n">
        <f aca="false">YEAR(B7170)</f>
        <v>2025</v>
      </c>
      <c r="M7170" s="20" t="n">
        <f aca="false">IF(J7170&gt;0,K7170/J7170,0)</f>
        <v>0.0812364197098199</v>
      </c>
    </row>
    <row r="7171" customFormat="false" ht="15" hidden="false" customHeight="false" outlineLevel="0" collapsed="false">
      <c r="A7171" s="15" t="s">
        <v>7228</v>
      </c>
      <c r="B7171" s="16" t="n">
        <v>45645</v>
      </c>
      <c r="C7171" s="15" t="s">
        <v>58</v>
      </c>
      <c r="D7171" s="15" t="s">
        <v>42</v>
      </c>
      <c r="E7171" s="15" t="s">
        <v>39</v>
      </c>
      <c r="F7171" s="15" t="s">
        <v>18</v>
      </c>
      <c r="G7171" s="15" t="s">
        <v>30</v>
      </c>
      <c r="H7171" s="15" t="n">
        <v>4</v>
      </c>
      <c r="I7171" s="17" t="n">
        <v>0.05</v>
      </c>
      <c r="J7171" s="18" t="n">
        <v>229.31</v>
      </c>
      <c r="K7171" s="19" t="n">
        <v>62.29</v>
      </c>
      <c r="L7171" s="15" t="n">
        <f aca="false">YEAR(B7171)</f>
        <v>2024</v>
      </c>
      <c r="M7171" s="20" t="n">
        <f aca="false">IF(J7171&gt;0,K7171/J7171,0)</f>
        <v>0.271641009986481</v>
      </c>
    </row>
    <row r="7172" customFormat="false" ht="15" hidden="false" customHeight="false" outlineLevel="0" collapsed="false">
      <c r="A7172" s="15" t="s">
        <v>7229</v>
      </c>
      <c r="B7172" s="16" t="n">
        <v>45726</v>
      </c>
      <c r="C7172" s="15" t="s">
        <v>56</v>
      </c>
      <c r="D7172" s="15" t="s">
        <v>42</v>
      </c>
      <c r="E7172" s="15" t="s">
        <v>39</v>
      </c>
      <c r="F7172" s="15" t="s">
        <v>18</v>
      </c>
      <c r="G7172" s="15" t="s">
        <v>30</v>
      </c>
      <c r="H7172" s="15" t="n">
        <v>6</v>
      </c>
      <c r="I7172" s="17" t="n">
        <v>0.3</v>
      </c>
      <c r="J7172" s="18" t="n">
        <v>179.94</v>
      </c>
      <c r="K7172" s="19" t="n">
        <v>6.29</v>
      </c>
      <c r="L7172" s="15" t="n">
        <f aca="false">YEAR(B7172)</f>
        <v>2025</v>
      </c>
      <c r="M7172" s="20" t="n">
        <f aca="false">IF(J7172&gt;0,K7172/J7172,0)</f>
        <v>0.0349560964766033</v>
      </c>
    </row>
    <row r="7173" customFormat="false" ht="15" hidden="false" customHeight="false" outlineLevel="0" collapsed="false">
      <c r="A7173" s="15" t="s">
        <v>7230</v>
      </c>
      <c r="B7173" s="16" t="n">
        <v>44951</v>
      </c>
      <c r="C7173" s="15" t="s">
        <v>68</v>
      </c>
      <c r="D7173" s="15" t="s">
        <v>43</v>
      </c>
      <c r="E7173" s="15" t="s">
        <v>38</v>
      </c>
      <c r="F7173" s="15" t="s">
        <v>18</v>
      </c>
      <c r="G7173" s="15" t="s">
        <v>33</v>
      </c>
      <c r="H7173" s="15" t="n">
        <v>4</v>
      </c>
      <c r="I7173" s="17" t="n">
        <v>0.2</v>
      </c>
      <c r="J7173" s="18" t="n">
        <v>2872.59</v>
      </c>
      <c r="K7173" s="19" t="n">
        <v>262.45</v>
      </c>
      <c r="L7173" s="15" t="n">
        <f aca="false">YEAR(B7173)</f>
        <v>2023</v>
      </c>
      <c r="M7173" s="20" t="n">
        <f aca="false">IF(J7173&gt;0,K7173/J7173,0)</f>
        <v>0.0913635430047448</v>
      </c>
    </row>
    <row r="7174" customFormat="false" ht="15" hidden="false" customHeight="false" outlineLevel="0" collapsed="false">
      <c r="A7174" s="15" t="s">
        <v>7231</v>
      </c>
      <c r="B7174" s="16" t="n">
        <v>45302</v>
      </c>
      <c r="C7174" s="15" t="s">
        <v>56</v>
      </c>
      <c r="D7174" s="15" t="s">
        <v>44</v>
      </c>
      <c r="E7174" s="15" t="s">
        <v>38</v>
      </c>
      <c r="F7174" s="15" t="s">
        <v>17</v>
      </c>
      <c r="G7174" s="15" t="s">
        <v>31</v>
      </c>
      <c r="H7174" s="15" t="n">
        <v>5</v>
      </c>
      <c r="I7174" s="17" t="n">
        <v>0</v>
      </c>
      <c r="J7174" s="18" t="n">
        <v>695.97</v>
      </c>
      <c r="K7174" s="19" t="n">
        <v>159.22</v>
      </c>
      <c r="L7174" s="15" t="n">
        <f aca="false">YEAR(B7174)</f>
        <v>2024</v>
      </c>
      <c r="M7174" s="20" t="n">
        <f aca="false">IF(J7174&gt;0,K7174/J7174,0)</f>
        <v>0.228774228774229</v>
      </c>
    </row>
    <row r="7175" customFormat="false" ht="15" hidden="false" customHeight="false" outlineLevel="0" collapsed="false">
      <c r="A7175" s="15" t="s">
        <v>7232</v>
      </c>
      <c r="B7175" s="16" t="n">
        <v>46014</v>
      </c>
      <c r="C7175" s="15" t="s">
        <v>71</v>
      </c>
      <c r="D7175" s="15" t="s">
        <v>43</v>
      </c>
      <c r="E7175" s="15" t="s">
        <v>39</v>
      </c>
      <c r="F7175" s="15" t="s">
        <v>17</v>
      </c>
      <c r="G7175" s="15" t="s">
        <v>29</v>
      </c>
      <c r="H7175" s="15" t="n">
        <v>4</v>
      </c>
      <c r="I7175" s="17" t="n">
        <v>0</v>
      </c>
      <c r="J7175" s="18" t="n">
        <v>72.86</v>
      </c>
      <c r="K7175" s="19" t="n">
        <v>25.82</v>
      </c>
      <c r="L7175" s="15" t="n">
        <f aca="false">YEAR(B7175)</f>
        <v>2025</v>
      </c>
      <c r="M7175" s="20" t="n">
        <f aca="false">IF(J7175&gt;0,K7175/J7175,0)</f>
        <v>0.354378259676091</v>
      </c>
    </row>
    <row r="7176" customFormat="false" ht="15" hidden="false" customHeight="false" outlineLevel="0" collapsed="false">
      <c r="A7176" s="15" t="s">
        <v>7233</v>
      </c>
      <c r="B7176" s="16" t="n">
        <v>45128</v>
      </c>
      <c r="C7176" s="15" t="s">
        <v>71</v>
      </c>
      <c r="D7176" s="15" t="s">
        <v>42</v>
      </c>
      <c r="E7176" s="15" t="s">
        <v>39</v>
      </c>
      <c r="F7176" s="15" t="s">
        <v>18</v>
      </c>
      <c r="G7176" s="15" t="s">
        <v>30</v>
      </c>
      <c r="H7176" s="15" t="n">
        <v>3</v>
      </c>
      <c r="I7176" s="17" t="n">
        <v>0</v>
      </c>
      <c r="J7176" s="18" t="n">
        <v>147.67</v>
      </c>
      <c r="K7176" s="19" t="n">
        <v>41.63</v>
      </c>
      <c r="L7176" s="15" t="n">
        <f aca="false">YEAR(B7176)</f>
        <v>2023</v>
      </c>
      <c r="M7176" s="20" t="n">
        <f aca="false">IF(J7176&gt;0,K7176/J7176,0)</f>
        <v>0.281912372181215</v>
      </c>
    </row>
    <row r="7177" customFormat="false" ht="15" hidden="false" customHeight="false" outlineLevel="0" collapsed="false">
      <c r="A7177" s="15" t="s">
        <v>7234</v>
      </c>
      <c r="B7177" s="16" t="n">
        <v>45657</v>
      </c>
      <c r="C7177" s="15" t="s">
        <v>68</v>
      </c>
      <c r="D7177" s="15" t="s">
        <v>42</v>
      </c>
      <c r="E7177" s="15" t="s">
        <v>38</v>
      </c>
      <c r="F7177" s="15" t="s">
        <v>16</v>
      </c>
      <c r="G7177" s="15" t="s">
        <v>25</v>
      </c>
      <c r="H7177" s="15" t="n">
        <v>5</v>
      </c>
      <c r="I7177" s="17" t="n">
        <v>0</v>
      </c>
      <c r="J7177" s="18" t="n">
        <v>1290.12</v>
      </c>
      <c r="K7177" s="19" t="n">
        <v>111.87</v>
      </c>
      <c r="L7177" s="15" t="n">
        <f aca="false">YEAR(B7177)</f>
        <v>2024</v>
      </c>
      <c r="M7177" s="20" t="n">
        <f aca="false">IF(J7177&gt;0,K7177/J7177,0)</f>
        <v>0.0867128639196354</v>
      </c>
    </row>
    <row r="7178" customFormat="false" ht="15" hidden="false" customHeight="false" outlineLevel="0" collapsed="false">
      <c r="A7178" s="15" t="s">
        <v>7235</v>
      </c>
      <c r="B7178" s="16" t="n">
        <v>44563</v>
      </c>
      <c r="C7178" s="15" t="s">
        <v>56</v>
      </c>
      <c r="D7178" s="15" t="s">
        <v>42</v>
      </c>
      <c r="E7178" s="15" t="s">
        <v>36</v>
      </c>
      <c r="F7178" s="15" t="s">
        <v>16</v>
      </c>
      <c r="G7178" s="15" t="s">
        <v>25</v>
      </c>
      <c r="H7178" s="15" t="n">
        <v>1</v>
      </c>
      <c r="I7178" s="17" t="n">
        <v>0.2</v>
      </c>
      <c r="J7178" s="18" t="n">
        <v>136.82</v>
      </c>
      <c r="K7178" s="19" t="n">
        <v>-6.35</v>
      </c>
      <c r="L7178" s="15" t="n">
        <f aca="false">YEAR(B7178)</f>
        <v>2022</v>
      </c>
      <c r="M7178" s="20" t="n">
        <f aca="false">IF(J7178&gt;0,K7178/J7178,0)</f>
        <v>-0.0464113433708522</v>
      </c>
    </row>
    <row r="7179" customFormat="false" ht="15" hidden="false" customHeight="false" outlineLevel="0" collapsed="false">
      <c r="A7179" s="15" t="s">
        <v>7236</v>
      </c>
      <c r="B7179" s="16" t="n">
        <v>45632</v>
      </c>
      <c r="C7179" s="15" t="s">
        <v>56</v>
      </c>
      <c r="D7179" s="15" t="s">
        <v>42</v>
      </c>
      <c r="E7179" s="15" t="s">
        <v>38</v>
      </c>
      <c r="F7179" s="15" t="s">
        <v>16</v>
      </c>
      <c r="G7179" s="15" t="s">
        <v>27</v>
      </c>
      <c r="H7179" s="15" t="n">
        <v>6</v>
      </c>
      <c r="I7179" s="17" t="n">
        <v>0.2</v>
      </c>
      <c r="J7179" s="18" t="n">
        <v>270.74</v>
      </c>
      <c r="K7179" s="19" t="n">
        <v>14.31</v>
      </c>
      <c r="L7179" s="15" t="n">
        <f aca="false">YEAR(B7179)</f>
        <v>2024</v>
      </c>
      <c r="M7179" s="20" t="n">
        <f aca="false">IF(J7179&gt;0,K7179/J7179,0)</f>
        <v>0.0528551377705548</v>
      </c>
    </row>
    <row r="7180" customFormat="false" ht="15" hidden="false" customHeight="false" outlineLevel="0" collapsed="false">
      <c r="A7180" s="15" t="s">
        <v>7237</v>
      </c>
      <c r="B7180" s="16" t="n">
        <v>45363</v>
      </c>
      <c r="C7180" s="15" t="s">
        <v>71</v>
      </c>
      <c r="D7180" s="15" t="s">
        <v>42</v>
      </c>
      <c r="E7180" s="15" t="s">
        <v>37</v>
      </c>
      <c r="F7180" s="15" t="s">
        <v>17</v>
      </c>
      <c r="G7180" s="15" t="s">
        <v>26</v>
      </c>
      <c r="H7180" s="15" t="n">
        <v>3</v>
      </c>
      <c r="I7180" s="17" t="n">
        <v>0</v>
      </c>
      <c r="J7180" s="18" t="n">
        <v>348.97</v>
      </c>
      <c r="K7180" s="19" t="n">
        <v>75.02</v>
      </c>
      <c r="L7180" s="15" t="n">
        <f aca="false">YEAR(B7180)</f>
        <v>2024</v>
      </c>
      <c r="M7180" s="20" t="n">
        <f aca="false">IF(J7180&gt;0,K7180/J7180,0)</f>
        <v>0.21497549932659</v>
      </c>
    </row>
    <row r="7181" customFormat="false" ht="15" hidden="false" customHeight="false" outlineLevel="0" collapsed="false">
      <c r="A7181" s="15" t="s">
        <v>7238</v>
      </c>
      <c r="B7181" s="16" t="n">
        <v>45621</v>
      </c>
      <c r="C7181" s="15" t="s">
        <v>71</v>
      </c>
      <c r="D7181" s="15" t="s">
        <v>43</v>
      </c>
      <c r="E7181" s="15" t="s">
        <v>39</v>
      </c>
      <c r="F7181" s="15" t="s">
        <v>16</v>
      </c>
      <c r="G7181" s="15" t="s">
        <v>22</v>
      </c>
      <c r="H7181" s="15" t="n">
        <v>4</v>
      </c>
      <c r="I7181" s="17" t="n">
        <v>0.5</v>
      </c>
      <c r="J7181" s="18" t="n">
        <v>1183.15</v>
      </c>
      <c r="K7181" s="19" t="n">
        <v>-604.36</v>
      </c>
      <c r="L7181" s="15" t="n">
        <f aca="false">YEAR(B7181)</f>
        <v>2024</v>
      </c>
      <c r="M7181" s="20" t="n">
        <f aca="false">IF(J7181&gt;0,K7181/J7181,0)</f>
        <v>-0.510805899505557</v>
      </c>
    </row>
    <row r="7182" customFormat="false" ht="15" hidden="false" customHeight="false" outlineLevel="0" collapsed="false">
      <c r="A7182" s="15" t="s">
        <v>7239</v>
      </c>
      <c r="B7182" s="16" t="n">
        <v>44786</v>
      </c>
      <c r="C7182" s="15" t="s">
        <v>56</v>
      </c>
      <c r="D7182" s="15" t="s">
        <v>42</v>
      </c>
      <c r="E7182" s="15" t="s">
        <v>36</v>
      </c>
      <c r="F7182" s="15" t="s">
        <v>16</v>
      </c>
      <c r="G7182" s="15" t="s">
        <v>25</v>
      </c>
      <c r="H7182" s="15" t="n">
        <v>3</v>
      </c>
      <c r="I7182" s="17" t="n">
        <v>0.2</v>
      </c>
      <c r="J7182" s="18" t="n">
        <v>601.64</v>
      </c>
      <c r="K7182" s="19" t="n">
        <v>-54.39</v>
      </c>
      <c r="L7182" s="15" t="n">
        <f aca="false">YEAR(B7182)</f>
        <v>2022</v>
      </c>
      <c r="M7182" s="20" t="n">
        <f aca="false">IF(J7182&gt;0,K7182/J7182,0)</f>
        <v>-0.0904028987434346</v>
      </c>
    </row>
    <row r="7183" customFormat="false" ht="15" hidden="false" customHeight="false" outlineLevel="0" collapsed="false">
      <c r="A7183" s="15" t="s">
        <v>7240</v>
      </c>
      <c r="B7183" s="16" t="n">
        <v>44735</v>
      </c>
      <c r="C7183" s="15" t="s">
        <v>68</v>
      </c>
      <c r="D7183" s="15" t="s">
        <v>44</v>
      </c>
      <c r="E7183" s="15" t="s">
        <v>37</v>
      </c>
      <c r="F7183" s="15" t="s">
        <v>17</v>
      </c>
      <c r="G7183" s="15" t="s">
        <v>29</v>
      </c>
      <c r="H7183" s="15" t="n">
        <v>3</v>
      </c>
      <c r="I7183" s="17" t="n">
        <v>0</v>
      </c>
      <c r="J7183" s="18" t="n">
        <v>55.7</v>
      </c>
      <c r="K7183" s="19" t="n">
        <v>22.47</v>
      </c>
      <c r="L7183" s="15" t="n">
        <f aca="false">YEAR(B7183)</f>
        <v>2022</v>
      </c>
      <c r="M7183" s="20" t="n">
        <f aca="false">IF(J7183&gt;0,K7183/J7183,0)</f>
        <v>0.403411131059246</v>
      </c>
    </row>
    <row r="7184" customFormat="false" ht="15" hidden="false" customHeight="false" outlineLevel="0" collapsed="false">
      <c r="A7184" s="15" t="s">
        <v>7241</v>
      </c>
      <c r="B7184" s="16" t="n">
        <v>45103</v>
      </c>
      <c r="C7184" s="15" t="s">
        <v>58</v>
      </c>
      <c r="D7184" s="15" t="s">
        <v>43</v>
      </c>
      <c r="E7184" s="15" t="s">
        <v>39</v>
      </c>
      <c r="F7184" s="15" t="s">
        <v>18</v>
      </c>
      <c r="G7184" s="15" t="s">
        <v>30</v>
      </c>
      <c r="H7184" s="15" t="n">
        <v>2</v>
      </c>
      <c r="I7184" s="17" t="n">
        <v>0</v>
      </c>
      <c r="J7184" s="18" t="n">
        <v>87.49</v>
      </c>
      <c r="K7184" s="19" t="n">
        <v>26.45</v>
      </c>
      <c r="L7184" s="15" t="n">
        <f aca="false">YEAR(B7184)</f>
        <v>2023</v>
      </c>
      <c r="M7184" s="20" t="n">
        <f aca="false">IF(J7184&gt;0,K7184/J7184,0)</f>
        <v>0.302320265173163</v>
      </c>
    </row>
    <row r="7185" customFormat="false" ht="15" hidden="false" customHeight="false" outlineLevel="0" collapsed="false">
      <c r="A7185" s="15" t="s">
        <v>7242</v>
      </c>
      <c r="B7185" s="16" t="n">
        <v>45508</v>
      </c>
      <c r="C7185" s="15" t="s">
        <v>56</v>
      </c>
      <c r="D7185" s="15" t="s">
        <v>42</v>
      </c>
      <c r="E7185" s="15" t="s">
        <v>37</v>
      </c>
      <c r="F7185" s="15" t="s">
        <v>18</v>
      </c>
      <c r="G7185" s="15" t="s">
        <v>30</v>
      </c>
      <c r="H7185" s="15" t="n">
        <v>4</v>
      </c>
      <c r="I7185" s="17" t="n">
        <v>0</v>
      </c>
      <c r="J7185" s="18" t="n">
        <v>212.2</v>
      </c>
      <c r="K7185" s="19" t="n">
        <v>75.83</v>
      </c>
      <c r="L7185" s="15" t="n">
        <f aca="false">YEAR(B7185)</f>
        <v>2024</v>
      </c>
      <c r="M7185" s="20" t="n">
        <f aca="false">IF(J7185&gt;0,K7185/J7185,0)</f>
        <v>0.357351555136664</v>
      </c>
    </row>
    <row r="7186" customFormat="false" ht="15" hidden="false" customHeight="false" outlineLevel="0" collapsed="false">
      <c r="A7186" s="15" t="s">
        <v>7243</v>
      </c>
      <c r="B7186" s="16" t="n">
        <v>45853</v>
      </c>
      <c r="C7186" s="15" t="s">
        <v>68</v>
      </c>
      <c r="D7186" s="15" t="s">
        <v>42</v>
      </c>
      <c r="E7186" s="15" t="s">
        <v>39</v>
      </c>
      <c r="F7186" s="15" t="s">
        <v>17</v>
      </c>
      <c r="G7186" s="15" t="s">
        <v>26</v>
      </c>
      <c r="H7186" s="15" t="n">
        <v>4</v>
      </c>
      <c r="I7186" s="17" t="n">
        <v>0.15</v>
      </c>
      <c r="J7186" s="18" t="n">
        <v>287</v>
      </c>
      <c r="K7186" s="19" t="n">
        <v>-23.99</v>
      </c>
      <c r="L7186" s="15" t="n">
        <f aca="false">YEAR(B7186)</f>
        <v>2025</v>
      </c>
      <c r="M7186" s="20" t="n">
        <f aca="false">IF(J7186&gt;0,K7186/J7186,0)</f>
        <v>-0.083588850174216</v>
      </c>
    </row>
    <row r="7187" customFormat="false" ht="15" hidden="false" customHeight="false" outlineLevel="0" collapsed="false">
      <c r="A7187" s="15" t="s">
        <v>7244</v>
      </c>
      <c r="B7187" s="16" t="n">
        <v>44706</v>
      </c>
      <c r="C7187" s="15" t="s">
        <v>56</v>
      </c>
      <c r="D7187" s="15" t="s">
        <v>43</v>
      </c>
      <c r="E7187" s="15" t="s">
        <v>39</v>
      </c>
      <c r="F7187" s="15" t="s">
        <v>18</v>
      </c>
      <c r="G7187" s="15" t="s">
        <v>30</v>
      </c>
      <c r="H7187" s="15" t="n">
        <v>2</v>
      </c>
      <c r="I7187" s="17" t="n">
        <v>0</v>
      </c>
      <c r="J7187" s="18" t="n">
        <v>102.62</v>
      </c>
      <c r="K7187" s="19" t="n">
        <v>31.67</v>
      </c>
      <c r="L7187" s="15" t="n">
        <f aca="false">YEAR(B7187)</f>
        <v>2022</v>
      </c>
      <c r="M7187" s="20" t="n">
        <f aca="false">IF(J7187&gt;0,K7187/J7187,0)</f>
        <v>0.308614305203664</v>
      </c>
    </row>
    <row r="7188" customFormat="false" ht="15" hidden="false" customHeight="false" outlineLevel="0" collapsed="false">
      <c r="A7188" s="15" t="s">
        <v>7245</v>
      </c>
      <c r="B7188" s="16" t="n">
        <v>46011</v>
      </c>
      <c r="C7188" s="15" t="s">
        <v>71</v>
      </c>
      <c r="D7188" s="15" t="s">
        <v>42</v>
      </c>
      <c r="E7188" s="15" t="s">
        <v>37</v>
      </c>
      <c r="F7188" s="15" t="s">
        <v>16</v>
      </c>
      <c r="G7188" s="15" t="s">
        <v>22</v>
      </c>
      <c r="H7188" s="15" t="n">
        <v>3</v>
      </c>
      <c r="I7188" s="17" t="n">
        <v>0.1</v>
      </c>
      <c r="J7188" s="18" t="n">
        <v>1433.35</v>
      </c>
      <c r="K7188" s="19" t="n">
        <v>-111.04</v>
      </c>
      <c r="L7188" s="15" t="n">
        <f aca="false">YEAR(B7188)</f>
        <v>2025</v>
      </c>
      <c r="M7188" s="20" t="n">
        <f aca="false">IF(J7188&gt;0,K7188/J7188,0)</f>
        <v>-0.0774688666410856</v>
      </c>
    </row>
    <row r="7189" customFormat="false" ht="15" hidden="false" customHeight="false" outlineLevel="0" collapsed="false">
      <c r="A7189" s="15" t="s">
        <v>7246</v>
      </c>
      <c r="B7189" s="16" t="n">
        <v>45831</v>
      </c>
      <c r="C7189" s="15" t="s">
        <v>56</v>
      </c>
      <c r="D7189" s="15" t="s">
        <v>42</v>
      </c>
      <c r="E7189" s="15" t="s">
        <v>37</v>
      </c>
      <c r="F7189" s="15" t="s">
        <v>17</v>
      </c>
      <c r="G7189" s="15" t="s">
        <v>28</v>
      </c>
      <c r="H7189" s="15" t="n">
        <v>2</v>
      </c>
      <c r="I7189" s="17" t="n">
        <v>0</v>
      </c>
      <c r="J7189" s="18" t="n">
        <v>42.08</v>
      </c>
      <c r="K7189" s="19" t="n">
        <v>13.07</v>
      </c>
      <c r="L7189" s="15" t="n">
        <f aca="false">YEAR(B7189)</f>
        <v>2025</v>
      </c>
      <c r="M7189" s="20" t="n">
        <f aca="false">IF(J7189&gt;0,K7189/J7189,0)</f>
        <v>0.310598859315589</v>
      </c>
    </row>
    <row r="7190" customFormat="false" ht="15" hidden="false" customHeight="false" outlineLevel="0" collapsed="false">
      <c r="A7190" s="15" t="s">
        <v>7247</v>
      </c>
      <c r="B7190" s="16" t="n">
        <v>45143</v>
      </c>
      <c r="C7190" s="15" t="s">
        <v>56</v>
      </c>
      <c r="D7190" s="15" t="s">
        <v>43</v>
      </c>
      <c r="E7190" s="15" t="s">
        <v>39</v>
      </c>
      <c r="F7190" s="15" t="s">
        <v>17</v>
      </c>
      <c r="G7190" s="15" t="s">
        <v>26</v>
      </c>
      <c r="H7190" s="15" t="n">
        <v>4</v>
      </c>
      <c r="I7190" s="17" t="n">
        <v>0</v>
      </c>
      <c r="J7190" s="18" t="n">
        <v>370.07</v>
      </c>
      <c r="K7190" s="19" t="n">
        <v>60.42</v>
      </c>
      <c r="L7190" s="15" t="n">
        <f aca="false">YEAR(B7190)</f>
        <v>2023</v>
      </c>
      <c r="M7190" s="20" t="n">
        <f aca="false">IF(J7190&gt;0,K7190/J7190,0)</f>
        <v>0.163266409057746</v>
      </c>
    </row>
    <row r="7191" customFormat="false" ht="15" hidden="false" customHeight="false" outlineLevel="0" collapsed="false">
      <c r="A7191" s="15" t="s">
        <v>7248</v>
      </c>
      <c r="B7191" s="16" t="n">
        <v>45979</v>
      </c>
      <c r="C7191" s="15" t="s">
        <v>56</v>
      </c>
      <c r="D7191" s="15" t="s">
        <v>44</v>
      </c>
      <c r="E7191" s="15" t="s">
        <v>39</v>
      </c>
      <c r="F7191" s="15" t="s">
        <v>18</v>
      </c>
      <c r="G7191" s="15" t="s">
        <v>30</v>
      </c>
      <c r="H7191" s="15" t="n">
        <v>5</v>
      </c>
      <c r="I7191" s="17" t="n">
        <v>0.2</v>
      </c>
      <c r="J7191" s="18" t="n">
        <v>169.78</v>
      </c>
      <c r="K7191" s="19" t="n">
        <v>22.68</v>
      </c>
      <c r="L7191" s="15" t="n">
        <f aca="false">YEAR(B7191)</f>
        <v>2025</v>
      </c>
      <c r="M7191" s="20" t="n">
        <f aca="false">IF(J7191&gt;0,K7191/J7191,0)</f>
        <v>0.133584638944516</v>
      </c>
    </row>
    <row r="7192" customFormat="false" ht="15" hidden="false" customHeight="false" outlineLevel="0" collapsed="false">
      <c r="A7192" s="15" t="s">
        <v>7249</v>
      </c>
      <c r="B7192" s="16" t="n">
        <v>45054</v>
      </c>
      <c r="C7192" s="15" t="s">
        <v>56</v>
      </c>
      <c r="D7192" s="15" t="s">
        <v>43</v>
      </c>
      <c r="E7192" s="15" t="s">
        <v>38</v>
      </c>
      <c r="F7192" s="15" t="s">
        <v>17</v>
      </c>
      <c r="G7192" s="15" t="s">
        <v>29</v>
      </c>
      <c r="H7192" s="15" t="n">
        <v>5</v>
      </c>
      <c r="I7192" s="17" t="n">
        <v>0.2</v>
      </c>
      <c r="J7192" s="18" t="n">
        <v>66.07</v>
      </c>
      <c r="K7192" s="19" t="n">
        <v>11.28</v>
      </c>
      <c r="L7192" s="15" t="n">
        <f aca="false">YEAR(B7192)</f>
        <v>2023</v>
      </c>
      <c r="M7192" s="20" t="n">
        <f aca="false">IF(J7192&gt;0,K7192/J7192,0)</f>
        <v>0.170728015740881</v>
      </c>
    </row>
    <row r="7193" customFormat="false" ht="15" hidden="false" customHeight="false" outlineLevel="0" collapsed="false">
      <c r="A7193" s="15" t="s">
        <v>7250</v>
      </c>
      <c r="B7193" s="16" t="n">
        <v>44891</v>
      </c>
      <c r="C7193" s="15" t="s">
        <v>68</v>
      </c>
      <c r="D7193" s="15" t="s">
        <v>43</v>
      </c>
      <c r="E7193" s="15" t="s">
        <v>36</v>
      </c>
      <c r="F7193" s="15" t="s">
        <v>17</v>
      </c>
      <c r="G7193" s="15" t="s">
        <v>29</v>
      </c>
      <c r="H7193" s="15" t="n">
        <v>3</v>
      </c>
      <c r="I7193" s="17" t="n">
        <v>0</v>
      </c>
      <c r="J7193" s="18" t="n">
        <v>52.85</v>
      </c>
      <c r="K7193" s="19" t="n">
        <v>19.38</v>
      </c>
      <c r="L7193" s="15" t="n">
        <f aca="false">YEAR(B7193)</f>
        <v>2022</v>
      </c>
      <c r="M7193" s="20" t="n">
        <f aca="false">IF(J7193&gt;0,K7193/J7193,0)</f>
        <v>0.366698202459792</v>
      </c>
    </row>
    <row r="7194" customFormat="false" ht="15" hidden="false" customHeight="false" outlineLevel="0" collapsed="false">
      <c r="A7194" s="15" t="s">
        <v>7251</v>
      </c>
      <c r="B7194" s="16" t="n">
        <v>45906</v>
      </c>
      <c r="C7194" s="15" t="s">
        <v>56</v>
      </c>
      <c r="D7194" s="15" t="s">
        <v>43</v>
      </c>
      <c r="E7194" s="15" t="s">
        <v>39</v>
      </c>
      <c r="F7194" s="15" t="s">
        <v>18</v>
      </c>
      <c r="G7194" s="15" t="s">
        <v>30</v>
      </c>
      <c r="H7194" s="15" t="n">
        <v>5</v>
      </c>
      <c r="I7194" s="17" t="n">
        <v>0</v>
      </c>
      <c r="J7194" s="18" t="n">
        <v>317.46</v>
      </c>
      <c r="K7194" s="19" t="n">
        <v>112.84</v>
      </c>
      <c r="L7194" s="15" t="n">
        <f aca="false">YEAR(B7194)</f>
        <v>2025</v>
      </c>
      <c r="M7194" s="20" t="n">
        <f aca="false">IF(J7194&gt;0,K7194/J7194,0)</f>
        <v>0.355446355446356</v>
      </c>
    </row>
    <row r="7195" customFormat="false" ht="15" hidden="false" customHeight="false" outlineLevel="0" collapsed="false">
      <c r="A7195" s="15" t="s">
        <v>7252</v>
      </c>
      <c r="B7195" s="16" t="n">
        <v>45266</v>
      </c>
      <c r="C7195" s="15" t="s">
        <v>56</v>
      </c>
      <c r="D7195" s="15" t="s">
        <v>42</v>
      </c>
      <c r="E7195" s="15" t="s">
        <v>39</v>
      </c>
      <c r="F7195" s="15" t="s">
        <v>16</v>
      </c>
      <c r="G7195" s="15" t="s">
        <v>27</v>
      </c>
      <c r="H7195" s="15" t="n">
        <v>4</v>
      </c>
      <c r="I7195" s="17" t="n">
        <v>0.05</v>
      </c>
      <c r="J7195" s="18" t="n">
        <v>253.08</v>
      </c>
      <c r="K7195" s="19" t="n">
        <v>42.38</v>
      </c>
      <c r="L7195" s="15" t="n">
        <f aca="false">YEAR(B7195)</f>
        <v>2023</v>
      </c>
      <c r="M7195" s="20" t="n">
        <f aca="false">IF(J7195&gt;0,K7195/J7195,0)</f>
        <v>0.167456930614825</v>
      </c>
    </row>
    <row r="7196" customFormat="false" ht="15" hidden="false" customHeight="false" outlineLevel="0" collapsed="false">
      <c r="A7196" s="15" t="s">
        <v>7253</v>
      </c>
      <c r="B7196" s="16" t="n">
        <v>44623</v>
      </c>
      <c r="C7196" s="15" t="s">
        <v>56</v>
      </c>
      <c r="D7196" s="15" t="s">
        <v>43</v>
      </c>
      <c r="E7196" s="15" t="s">
        <v>39</v>
      </c>
      <c r="F7196" s="15" t="s">
        <v>18</v>
      </c>
      <c r="G7196" s="15" t="s">
        <v>30</v>
      </c>
      <c r="H7196" s="15" t="n">
        <v>3</v>
      </c>
      <c r="I7196" s="17" t="n">
        <v>0</v>
      </c>
      <c r="J7196" s="18" t="n">
        <v>187.92</v>
      </c>
      <c r="K7196" s="19" t="n">
        <v>57.47</v>
      </c>
      <c r="L7196" s="15" t="n">
        <f aca="false">YEAR(B7196)</f>
        <v>2022</v>
      </c>
      <c r="M7196" s="20" t="n">
        <f aca="false">IF(J7196&gt;0,K7196/J7196,0)</f>
        <v>0.305821626223925</v>
      </c>
    </row>
    <row r="7197" customFormat="false" ht="15" hidden="false" customHeight="false" outlineLevel="0" collapsed="false">
      <c r="A7197" s="15" t="s">
        <v>7254</v>
      </c>
      <c r="B7197" s="16" t="n">
        <v>44752</v>
      </c>
      <c r="C7197" s="15" t="s">
        <v>71</v>
      </c>
      <c r="D7197" s="15" t="s">
        <v>42</v>
      </c>
      <c r="E7197" s="15" t="s">
        <v>39</v>
      </c>
      <c r="F7197" s="15" t="s">
        <v>17</v>
      </c>
      <c r="G7197" s="15" t="s">
        <v>29</v>
      </c>
      <c r="H7197" s="15" t="n">
        <v>4</v>
      </c>
      <c r="I7197" s="17" t="n">
        <v>0</v>
      </c>
      <c r="J7197" s="18" t="n">
        <v>70.53</v>
      </c>
      <c r="K7197" s="19" t="n">
        <v>28.25</v>
      </c>
      <c r="L7197" s="15" t="n">
        <f aca="false">YEAR(B7197)</f>
        <v>2022</v>
      </c>
      <c r="M7197" s="20" t="n">
        <f aca="false">IF(J7197&gt;0,K7197/J7197,0)</f>
        <v>0.400538777825039</v>
      </c>
    </row>
    <row r="7198" customFormat="false" ht="15" hidden="false" customHeight="false" outlineLevel="0" collapsed="false">
      <c r="A7198" s="15" t="s">
        <v>7255</v>
      </c>
      <c r="B7198" s="16" t="n">
        <v>45552</v>
      </c>
      <c r="C7198" s="15" t="s">
        <v>56</v>
      </c>
      <c r="D7198" s="15" t="s">
        <v>44</v>
      </c>
      <c r="E7198" s="15" t="s">
        <v>36</v>
      </c>
      <c r="F7198" s="15" t="s">
        <v>17</v>
      </c>
      <c r="G7198" s="15" t="s">
        <v>31</v>
      </c>
      <c r="H7198" s="15" t="n">
        <v>4</v>
      </c>
      <c r="I7198" s="17" t="n">
        <v>0.3</v>
      </c>
      <c r="J7198" s="18" t="n">
        <v>369.49</v>
      </c>
      <c r="K7198" s="19" t="n">
        <v>-26.78</v>
      </c>
      <c r="L7198" s="15" t="n">
        <f aca="false">YEAR(B7198)</f>
        <v>2024</v>
      </c>
      <c r="M7198" s="20" t="n">
        <f aca="false">IF(J7198&gt;0,K7198/J7198,0)</f>
        <v>-0.0724782808736366</v>
      </c>
    </row>
    <row r="7199" customFormat="false" ht="15" hidden="false" customHeight="false" outlineLevel="0" collapsed="false">
      <c r="A7199" s="15" t="s">
        <v>7256</v>
      </c>
      <c r="B7199" s="16" t="n">
        <v>45234</v>
      </c>
      <c r="C7199" s="15" t="s">
        <v>56</v>
      </c>
      <c r="D7199" s="15" t="s">
        <v>42</v>
      </c>
      <c r="E7199" s="15" t="s">
        <v>36</v>
      </c>
      <c r="F7199" s="15" t="s">
        <v>16</v>
      </c>
      <c r="G7199" s="15" t="s">
        <v>27</v>
      </c>
      <c r="H7199" s="15" t="n">
        <v>3</v>
      </c>
      <c r="I7199" s="17" t="n">
        <v>0</v>
      </c>
      <c r="J7199" s="18" t="n">
        <v>153.35</v>
      </c>
      <c r="K7199" s="19" t="n">
        <v>33.5</v>
      </c>
      <c r="L7199" s="15" t="n">
        <f aca="false">YEAR(B7199)</f>
        <v>2023</v>
      </c>
      <c r="M7199" s="20" t="n">
        <f aca="false">IF(J7199&gt;0,K7199/J7199,0)</f>
        <v>0.218454515813499</v>
      </c>
    </row>
    <row r="7200" customFormat="false" ht="15" hidden="false" customHeight="false" outlineLevel="0" collapsed="false">
      <c r="A7200" s="15" t="s">
        <v>7257</v>
      </c>
      <c r="B7200" s="16" t="n">
        <v>45878</v>
      </c>
      <c r="C7200" s="15" t="s">
        <v>56</v>
      </c>
      <c r="D7200" s="15" t="s">
        <v>43</v>
      </c>
      <c r="E7200" s="15" t="s">
        <v>39</v>
      </c>
      <c r="F7200" s="15" t="s">
        <v>17</v>
      </c>
      <c r="G7200" s="15" t="s">
        <v>29</v>
      </c>
      <c r="H7200" s="15" t="n">
        <v>5</v>
      </c>
      <c r="I7200" s="17" t="n">
        <v>0</v>
      </c>
      <c r="J7200" s="18" t="n">
        <v>91.77</v>
      </c>
      <c r="K7200" s="19" t="n">
        <v>34</v>
      </c>
      <c r="L7200" s="15" t="n">
        <f aca="false">YEAR(B7200)</f>
        <v>2025</v>
      </c>
      <c r="M7200" s="20" t="n">
        <f aca="false">IF(J7200&gt;0,K7200/J7200,0)</f>
        <v>0.37049144600632</v>
      </c>
    </row>
    <row r="7201" customFormat="false" ht="15" hidden="false" customHeight="false" outlineLevel="0" collapsed="false">
      <c r="A7201" s="15" t="s">
        <v>7258</v>
      </c>
      <c r="B7201" s="16" t="n">
        <v>44974</v>
      </c>
      <c r="C7201" s="15" t="s">
        <v>58</v>
      </c>
      <c r="D7201" s="15" t="s">
        <v>42</v>
      </c>
      <c r="E7201" s="15" t="s">
        <v>39</v>
      </c>
      <c r="F7201" s="15" t="s">
        <v>16</v>
      </c>
      <c r="G7201" s="15" t="s">
        <v>25</v>
      </c>
      <c r="H7201" s="15" t="n">
        <v>1</v>
      </c>
      <c r="I7201" s="17" t="n">
        <v>0.15</v>
      </c>
      <c r="J7201" s="18" t="n">
        <v>245.52</v>
      </c>
      <c r="K7201" s="19" t="n">
        <v>-7.32</v>
      </c>
      <c r="L7201" s="15" t="n">
        <f aca="false">YEAR(B7201)</f>
        <v>2023</v>
      </c>
      <c r="M7201" s="20" t="n">
        <f aca="false">IF(J7201&gt;0,K7201/J7201,0)</f>
        <v>-0.0298142717497556</v>
      </c>
    </row>
    <row r="7202" customFormat="false" ht="15" hidden="false" customHeight="false" outlineLevel="0" collapsed="false">
      <c r="A7202" s="15" t="s">
        <v>7259</v>
      </c>
      <c r="B7202" s="16" t="n">
        <v>46004</v>
      </c>
      <c r="C7202" s="15" t="s">
        <v>56</v>
      </c>
      <c r="D7202" s="15" t="s">
        <v>44</v>
      </c>
      <c r="E7202" s="15" t="s">
        <v>39</v>
      </c>
      <c r="F7202" s="15" t="s">
        <v>16</v>
      </c>
      <c r="G7202" s="15" t="s">
        <v>27</v>
      </c>
      <c r="H7202" s="15" t="n">
        <v>3</v>
      </c>
      <c r="I7202" s="17" t="n">
        <v>0</v>
      </c>
      <c r="J7202" s="18" t="n">
        <v>209.63</v>
      </c>
      <c r="K7202" s="19" t="n">
        <v>51.19</v>
      </c>
      <c r="L7202" s="15" t="n">
        <f aca="false">YEAR(B7202)</f>
        <v>2025</v>
      </c>
      <c r="M7202" s="20" t="n">
        <f aca="false">IF(J7202&gt;0,K7202/J7202,0)</f>
        <v>0.24419214807041</v>
      </c>
    </row>
    <row r="7203" customFormat="false" ht="15" hidden="false" customHeight="false" outlineLevel="0" collapsed="false">
      <c r="A7203" s="15" t="s">
        <v>7260</v>
      </c>
      <c r="B7203" s="16" t="n">
        <v>45983</v>
      </c>
      <c r="C7203" s="15" t="s">
        <v>71</v>
      </c>
      <c r="D7203" s="15" t="s">
        <v>42</v>
      </c>
      <c r="E7203" s="15" t="s">
        <v>39</v>
      </c>
      <c r="F7203" s="15" t="s">
        <v>17</v>
      </c>
      <c r="G7203" s="15" t="s">
        <v>28</v>
      </c>
      <c r="H7203" s="15" t="n">
        <v>2</v>
      </c>
      <c r="I7203" s="17" t="n">
        <v>0.05</v>
      </c>
      <c r="J7203" s="18" t="n">
        <v>52.53</v>
      </c>
      <c r="K7203" s="19" t="n">
        <v>13.62</v>
      </c>
      <c r="L7203" s="15" t="n">
        <f aca="false">YEAR(B7203)</f>
        <v>2025</v>
      </c>
      <c r="M7203" s="20" t="n">
        <f aca="false">IF(J7203&gt;0,K7203/J7203,0)</f>
        <v>0.259280411193604</v>
      </c>
    </row>
    <row r="7204" customFormat="false" ht="15" hidden="false" customHeight="false" outlineLevel="0" collapsed="false">
      <c r="A7204" s="15" t="s">
        <v>7261</v>
      </c>
      <c r="B7204" s="16" t="n">
        <v>45541</v>
      </c>
      <c r="C7204" s="15" t="s">
        <v>68</v>
      </c>
      <c r="D7204" s="15" t="s">
        <v>42</v>
      </c>
      <c r="E7204" s="15" t="s">
        <v>39</v>
      </c>
      <c r="F7204" s="15" t="s">
        <v>17</v>
      </c>
      <c r="G7204" s="15" t="s">
        <v>31</v>
      </c>
      <c r="H7204" s="15" t="n">
        <v>3</v>
      </c>
      <c r="I7204" s="17" t="n">
        <v>0</v>
      </c>
      <c r="J7204" s="18" t="n">
        <v>361.65</v>
      </c>
      <c r="K7204" s="19" t="n">
        <v>81.09</v>
      </c>
      <c r="L7204" s="15" t="n">
        <f aca="false">YEAR(B7204)</f>
        <v>2024</v>
      </c>
      <c r="M7204" s="20" t="n">
        <f aca="false">IF(J7204&gt;0,K7204/J7204,0)</f>
        <v>0.224222314392368</v>
      </c>
    </row>
    <row r="7205" customFormat="false" ht="15" hidden="false" customHeight="false" outlineLevel="0" collapsed="false">
      <c r="A7205" s="15" t="s">
        <v>7262</v>
      </c>
      <c r="B7205" s="16" t="n">
        <v>45633</v>
      </c>
      <c r="C7205" s="15" t="s">
        <v>56</v>
      </c>
      <c r="D7205" s="15" t="s">
        <v>42</v>
      </c>
      <c r="E7205" s="15" t="s">
        <v>39</v>
      </c>
      <c r="F7205" s="15" t="s">
        <v>17</v>
      </c>
      <c r="G7205" s="15" t="s">
        <v>28</v>
      </c>
      <c r="H7205" s="15" t="n">
        <v>1</v>
      </c>
      <c r="I7205" s="17" t="n">
        <v>0.05</v>
      </c>
      <c r="J7205" s="18" t="n">
        <v>28.12</v>
      </c>
      <c r="K7205" s="19" t="n">
        <v>4.81</v>
      </c>
      <c r="L7205" s="15" t="n">
        <f aca="false">YEAR(B7205)</f>
        <v>2024</v>
      </c>
      <c r="M7205" s="20" t="n">
        <f aca="false">IF(J7205&gt;0,K7205/J7205,0)</f>
        <v>0.171052631578947</v>
      </c>
    </row>
    <row r="7206" customFormat="false" ht="15" hidden="false" customHeight="false" outlineLevel="0" collapsed="false">
      <c r="A7206" s="15" t="s">
        <v>7263</v>
      </c>
      <c r="B7206" s="16" t="n">
        <v>44890</v>
      </c>
      <c r="C7206" s="15" t="s">
        <v>68</v>
      </c>
      <c r="D7206" s="15" t="s">
        <v>44</v>
      </c>
      <c r="E7206" s="15" t="s">
        <v>39</v>
      </c>
      <c r="F7206" s="15" t="s">
        <v>17</v>
      </c>
      <c r="G7206" s="15" t="s">
        <v>26</v>
      </c>
      <c r="H7206" s="15" t="n">
        <v>2</v>
      </c>
      <c r="I7206" s="17" t="n">
        <v>0.2</v>
      </c>
      <c r="J7206" s="18" t="n">
        <v>130.9</v>
      </c>
      <c r="K7206" s="19" t="n">
        <v>-2.7</v>
      </c>
      <c r="L7206" s="15" t="n">
        <f aca="false">YEAR(B7206)</f>
        <v>2022</v>
      </c>
      <c r="M7206" s="20" t="n">
        <f aca="false">IF(J7206&gt;0,K7206/J7206,0)</f>
        <v>-0.0206264323911383</v>
      </c>
    </row>
    <row r="7207" customFormat="false" ht="15" hidden="false" customHeight="false" outlineLevel="0" collapsed="false">
      <c r="A7207" s="15" t="s">
        <v>7264</v>
      </c>
      <c r="B7207" s="16" t="n">
        <v>44611</v>
      </c>
      <c r="C7207" s="15" t="s">
        <v>56</v>
      </c>
      <c r="D7207" s="15" t="s">
        <v>42</v>
      </c>
      <c r="E7207" s="15" t="s">
        <v>39</v>
      </c>
      <c r="F7207" s="15" t="s">
        <v>16</v>
      </c>
      <c r="G7207" s="15" t="s">
        <v>27</v>
      </c>
      <c r="H7207" s="15" t="n">
        <v>3</v>
      </c>
      <c r="I7207" s="17" t="n">
        <v>0</v>
      </c>
      <c r="J7207" s="18" t="n">
        <v>162</v>
      </c>
      <c r="K7207" s="19" t="n">
        <v>29.19</v>
      </c>
      <c r="L7207" s="15" t="n">
        <f aca="false">YEAR(B7207)</f>
        <v>2022</v>
      </c>
      <c r="M7207" s="20" t="n">
        <f aca="false">IF(J7207&gt;0,K7207/J7207,0)</f>
        <v>0.180185185185185</v>
      </c>
    </row>
    <row r="7208" customFormat="false" ht="15" hidden="false" customHeight="false" outlineLevel="0" collapsed="false">
      <c r="A7208" s="15" t="s">
        <v>7265</v>
      </c>
      <c r="B7208" s="16" t="n">
        <v>45428</v>
      </c>
      <c r="C7208" s="15" t="s">
        <v>56</v>
      </c>
      <c r="D7208" s="15" t="s">
        <v>42</v>
      </c>
      <c r="E7208" s="15" t="s">
        <v>39</v>
      </c>
      <c r="F7208" s="15" t="s">
        <v>18</v>
      </c>
      <c r="G7208" s="15" t="s">
        <v>30</v>
      </c>
      <c r="H7208" s="15" t="n">
        <v>4</v>
      </c>
      <c r="I7208" s="17" t="n">
        <v>0.1</v>
      </c>
      <c r="J7208" s="18" t="n">
        <v>222.84</v>
      </c>
      <c r="K7208" s="19" t="n">
        <v>55.28</v>
      </c>
      <c r="L7208" s="15" t="n">
        <f aca="false">YEAR(B7208)</f>
        <v>2024</v>
      </c>
      <c r="M7208" s="20" t="n">
        <f aca="false">IF(J7208&gt;0,K7208/J7208,0)</f>
        <v>0.248070364387004</v>
      </c>
    </row>
    <row r="7209" customFormat="false" ht="15" hidden="false" customHeight="false" outlineLevel="0" collapsed="false">
      <c r="A7209" s="15" t="s">
        <v>7266</v>
      </c>
      <c r="B7209" s="16" t="n">
        <v>45243</v>
      </c>
      <c r="C7209" s="15" t="s">
        <v>68</v>
      </c>
      <c r="D7209" s="15" t="s">
        <v>44</v>
      </c>
      <c r="E7209" s="15" t="s">
        <v>36</v>
      </c>
      <c r="F7209" s="15" t="s">
        <v>16</v>
      </c>
      <c r="G7209" s="15" t="s">
        <v>27</v>
      </c>
      <c r="H7209" s="15" t="n">
        <v>5</v>
      </c>
      <c r="I7209" s="17" t="n">
        <v>0.2</v>
      </c>
      <c r="J7209" s="18" t="n">
        <v>239.07</v>
      </c>
      <c r="K7209" s="19" t="n">
        <v>3.04</v>
      </c>
      <c r="L7209" s="15" t="n">
        <f aca="false">YEAR(B7209)</f>
        <v>2023</v>
      </c>
      <c r="M7209" s="20" t="n">
        <f aca="false">IF(J7209&gt;0,K7209/J7209,0)</f>
        <v>0.0127159409378006</v>
      </c>
    </row>
    <row r="7210" customFormat="false" ht="15" hidden="false" customHeight="false" outlineLevel="0" collapsed="false">
      <c r="A7210" s="15" t="s">
        <v>7267</v>
      </c>
      <c r="B7210" s="16" t="n">
        <v>45867</v>
      </c>
      <c r="C7210" s="15" t="s">
        <v>56</v>
      </c>
      <c r="D7210" s="15" t="s">
        <v>42</v>
      </c>
      <c r="E7210" s="15" t="s">
        <v>36</v>
      </c>
      <c r="F7210" s="15" t="s">
        <v>17</v>
      </c>
      <c r="G7210" s="15" t="s">
        <v>29</v>
      </c>
      <c r="H7210" s="15" t="n">
        <v>2</v>
      </c>
      <c r="I7210" s="17" t="n">
        <v>0.2</v>
      </c>
      <c r="J7210" s="18" t="n">
        <v>26.92</v>
      </c>
      <c r="K7210" s="19" t="n">
        <v>4.08</v>
      </c>
      <c r="L7210" s="15" t="n">
        <f aca="false">YEAR(B7210)</f>
        <v>2025</v>
      </c>
      <c r="M7210" s="20" t="n">
        <f aca="false">IF(J7210&gt;0,K7210/J7210,0)</f>
        <v>0.151560178306092</v>
      </c>
    </row>
    <row r="7211" customFormat="false" ht="15" hidden="false" customHeight="false" outlineLevel="0" collapsed="false">
      <c r="A7211" s="15" t="s">
        <v>7268</v>
      </c>
      <c r="B7211" s="16" t="n">
        <v>46005</v>
      </c>
      <c r="C7211" s="15" t="s">
        <v>58</v>
      </c>
      <c r="D7211" s="15" t="s">
        <v>42</v>
      </c>
      <c r="E7211" s="15" t="s">
        <v>37</v>
      </c>
      <c r="F7211" s="15" t="s">
        <v>17</v>
      </c>
      <c r="G7211" s="15" t="s">
        <v>26</v>
      </c>
      <c r="H7211" s="15" t="n">
        <v>5</v>
      </c>
      <c r="I7211" s="17" t="n">
        <v>0</v>
      </c>
      <c r="J7211" s="18" t="n">
        <v>497.89</v>
      </c>
      <c r="K7211" s="19" t="n">
        <v>41.52</v>
      </c>
      <c r="L7211" s="15" t="n">
        <f aca="false">YEAR(B7211)</f>
        <v>2025</v>
      </c>
      <c r="M7211" s="20" t="n">
        <f aca="false">IF(J7211&gt;0,K7211/J7211,0)</f>
        <v>0.0833919138765591</v>
      </c>
    </row>
    <row r="7212" customFormat="false" ht="15" hidden="false" customHeight="false" outlineLevel="0" collapsed="false">
      <c r="A7212" s="15" t="s">
        <v>7269</v>
      </c>
      <c r="B7212" s="16" t="n">
        <v>45544</v>
      </c>
      <c r="C7212" s="15" t="s">
        <v>68</v>
      </c>
      <c r="D7212" s="15" t="s">
        <v>43</v>
      </c>
      <c r="E7212" s="15" t="s">
        <v>37</v>
      </c>
      <c r="F7212" s="15" t="s">
        <v>17</v>
      </c>
      <c r="G7212" s="15" t="s">
        <v>29</v>
      </c>
      <c r="H7212" s="15" t="n">
        <v>5</v>
      </c>
      <c r="I7212" s="17" t="n">
        <v>0.1</v>
      </c>
      <c r="J7212" s="18" t="n">
        <v>87.11</v>
      </c>
      <c r="K7212" s="19" t="n">
        <v>34.04</v>
      </c>
      <c r="L7212" s="15" t="n">
        <f aca="false">YEAR(B7212)</f>
        <v>2024</v>
      </c>
      <c r="M7212" s="20" t="n">
        <f aca="false">IF(J7212&gt;0,K7212/J7212,0)</f>
        <v>0.390770290437378</v>
      </c>
    </row>
    <row r="7213" customFormat="false" ht="15" hidden="false" customHeight="false" outlineLevel="0" collapsed="false">
      <c r="A7213" s="15" t="s">
        <v>7270</v>
      </c>
      <c r="B7213" s="16" t="n">
        <v>44967</v>
      </c>
      <c r="C7213" s="15" t="s">
        <v>56</v>
      </c>
      <c r="D7213" s="15" t="s">
        <v>43</v>
      </c>
      <c r="E7213" s="15" t="s">
        <v>37</v>
      </c>
      <c r="F7213" s="15" t="s">
        <v>16</v>
      </c>
      <c r="G7213" s="15" t="s">
        <v>25</v>
      </c>
      <c r="H7213" s="15" t="n">
        <v>5</v>
      </c>
      <c r="I7213" s="17" t="n">
        <v>0</v>
      </c>
      <c r="J7213" s="18" t="n">
        <v>1484.55</v>
      </c>
      <c r="K7213" s="19" t="n">
        <v>157.55</v>
      </c>
      <c r="L7213" s="15" t="n">
        <f aca="false">YEAR(B7213)</f>
        <v>2023</v>
      </c>
      <c r="M7213" s="20" t="n">
        <f aca="false">IF(J7213&gt;0,K7213/J7213,0)</f>
        <v>0.106126435620222</v>
      </c>
    </row>
    <row r="7214" customFormat="false" ht="15" hidden="false" customHeight="false" outlineLevel="0" collapsed="false">
      <c r="A7214" s="15" t="s">
        <v>7271</v>
      </c>
      <c r="B7214" s="16" t="n">
        <v>44637</v>
      </c>
      <c r="C7214" s="15" t="s">
        <v>56</v>
      </c>
      <c r="D7214" s="15" t="s">
        <v>42</v>
      </c>
      <c r="E7214" s="15" t="s">
        <v>37</v>
      </c>
      <c r="F7214" s="15" t="s">
        <v>17</v>
      </c>
      <c r="G7214" s="15" t="s">
        <v>29</v>
      </c>
      <c r="H7214" s="15" t="n">
        <v>3</v>
      </c>
      <c r="I7214" s="17" t="n">
        <v>0</v>
      </c>
      <c r="J7214" s="18" t="n">
        <v>50.08</v>
      </c>
      <c r="K7214" s="19" t="n">
        <v>17.14</v>
      </c>
      <c r="L7214" s="15" t="n">
        <f aca="false">YEAR(B7214)</f>
        <v>2022</v>
      </c>
      <c r="M7214" s="20" t="n">
        <f aca="false">IF(J7214&gt;0,K7214/J7214,0)</f>
        <v>0.342252396166134</v>
      </c>
    </row>
    <row r="7215" customFormat="false" ht="15" hidden="false" customHeight="false" outlineLevel="0" collapsed="false">
      <c r="A7215" s="15" t="s">
        <v>7272</v>
      </c>
      <c r="B7215" s="16" t="n">
        <v>45277</v>
      </c>
      <c r="C7215" s="15" t="s">
        <v>56</v>
      </c>
      <c r="D7215" s="15" t="s">
        <v>42</v>
      </c>
      <c r="E7215" s="15" t="s">
        <v>36</v>
      </c>
      <c r="F7215" s="15" t="s">
        <v>17</v>
      </c>
      <c r="G7215" s="15" t="s">
        <v>28</v>
      </c>
      <c r="H7215" s="15" t="n">
        <v>2</v>
      </c>
      <c r="I7215" s="17" t="n">
        <v>0.2</v>
      </c>
      <c r="J7215" s="18" t="n">
        <v>35.02</v>
      </c>
      <c r="K7215" s="19" t="n">
        <v>2.95</v>
      </c>
      <c r="L7215" s="15" t="n">
        <f aca="false">YEAR(B7215)</f>
        <v>2023</v>
      </c>
      <c r="M7215" s="20" t="n">
        <f aca="false">IF(J7215&gt;0,K7215/J7215,0)</f>
        <v>0.0842375785265563</v>
      </c>
    </row>
    <row r="7216" customFormat="false" ht="15" hidden="false" customHeight="false" outlineLevel="0" collapsed="false">
      <c r="A7216" s="15" t="s">
        <v>7273</v>
      </c>
      <c r="B7216" s="16" t="n">
        <v>45326</v>
      </c>
      <c r="C7216" s="15" t="s">
        <v>71</v>
      </c>
      <c r="D7216" s="15" t="s">
        <v>42</v>
      </c>
      <c r="E7216" s="15" t="s">
        <v>38</v>
      </c>
      <c r="F7216" s="15" t="s">
        <v>16</v>
      </c>
      <c r="G7216" s="15" t="s">
        <v>22</v>
      </c>
      <c r="H7216" s="15" t="n">
        <v>7</v>
      </c>
      <c r="I7216" s="17" t="n">
        <v>0</v>
      </c>
      <c r="J7216" s="18" t="n">
        <v>3263.49</v>
      </c>
      <c r="K7216" s="19" t="n">
        <v>-306.38</v>
      </c>
      <c r="L7216" s="15" t="n">
        <f aca="false">YEAR(B7216)</f>
        <v>2024</v>
      </c>
      <c r="M7216" s="20" t="n">
        <f aca="false">IF(J7216&gt;0,K7216/J7216,0)</f>
        <v>-0.0938810904890164</v>
      </c>
    </row>
    <row r="7217" customFormat="false" ht="15" hidden="false" customHeight="false" outlineLevel="0" collapsed="false">
      <c r="A7217" s="15" t="s">
        <v>7274</v>
      </c>
      <c r="B7217" s="16" t="n">
        <v>45900</v>
      </c>
      <c r="C7217" s="15" t="s">
        <v>56</v>
      </c>
      <c r="D7217" s="15" t="s">
        <v>43</v>
      </c>
      <c r="E7217" s="15" t="s">
        <v>39</v>
      </c>
      <c r="F7217" s="15" t="s">
        <v>17</v>
      </c>
      <c r="G7217" s="15" t="s">
        <v>28</v>
      </c>
      <c r="H7217" s="15" t="n">
        <v>2</v>
      </c>
      <c r="I7217" s="17" t="n">
        <v>0.1</v>
      </c>
      <c r="J7217" s="18" t="n">
        <v>49.11</v>
      </c>
      <c r="K7217" s="19" t="n">
        <v>10.24</v>
      </c>
      <c r="L7217" s="15" t="n">
        <f aca="false">YEAR(B7217)</f>
        <v>2025</v>
      </c>
      <c r="M7217" s="20" t="n">
        <f aca="false">IF(J7217&gt;0,K7217/J7217,0)</f>
        <v>0.208511504785176</v>
      </c>
    </row>
    <row r="7218" customFormat="false" ht="15" hidden="false" customHeight="false" outlineLevel="0" collapsed="false">
      <c r="A7218" s="15" t="s">
        <v>7275</v>
      </c>
      <c r="B7218" s="16" t="n">
        <v>45269</v>
      </c>
      <c r="C7218" s="15" t="s">
        <v>56</v>
      </c>
      <c r="D7218" s="15" t="s">
        <v>44</v>
      </c>
      <c r="E7218" s="15" t="s">
        <v>38</v>
      </c>
      <c r="F7218" s="15" t="s">
        <v>17</v>
      </c>
      <c r="G7218" s="15" t="s">
        <v>29</v>
      </c>
      <c r="H7218" s="15" t="n">
        <v>4</v>
      </c>
      <c r="I7218" s="17" t="n">
        <v>0.2</v>
      </c>
      <c r="J7218" s="18" t="n">
        <v>54.67</v>
      </c>
      <c r="K7218" s="19" t="n">
        <v>7.31</v>
      </c>
      <c r="L7218" s="15" t="n">
        <f aca="false">YEAR(B7218)</f>
        <v>2023</v>
      </c>
      <c r="M7218" s="20" t="n">
        <f aca="false">IF(J7218&gt;0,K7218/J7218,0)</f>
        <v>0.133711359063472</v>
      </c>
    </row>
    <row r="7219" customFormat="false" ht="15" hidden="false" customHeight="false" outlineLevel="0" collapsed="false">
      <c r="A7219" s="15" t="s">
        <v>7276</v>
      </c>
      <c r="B7219" s="16" t="n">
        <v>45505</v>
      </c>
      <c r="C7219" s="15" t="s">
        <v>58</v>
      </c>
      <c r="D7219" s="15" t="s">
        <v>42</v>
      </c>
      <c r="E7219" s="15" t="s">
        <v>38</v>
      </c>
      <c r="F7219" s="15" t="s">
        <v>16</v>
      </c>
      <c r="G7219" s="15" t="s">
        <v>22</v>
      </c>
      <c r="H7219" s="15" t="n">
        <v>4</v>
      </c>
      <c r="I7219" s="17" t="n">
        <v>0</v>
      </c>
      <c r="J7219" s="18" t="n">
        <v>1752.71</v>
      </c>
      <c r="K7219" s="19" t="n">
        <v>-107.59</v>
      </c>
      <c r="L7219" s="15" t="n">
        <f aca="false">YEAR(B7219)</f>
        <v>2024</v>
      </c>
      <c r="M7219" s="20" t="n">
        <f aca="false">IF(J7219&gt;0,K7219/J7219,0)</f>
        <v>-0.0613849410341699</v>
      </c>
    </row>
    <row r="7220" customFormat="false" ht="15" hidden="false" customHeight="false" outlineLevel="0" collapsed="false">
      <c r="A7220" s="15" t="s">
        <v>7277</v>
      </c>
      <c r="B7220" s="16" t="n">
        <v>44663</v>
      </c>
      <c r="C7220" s="15" t="s">
        <v>56</v>
      </c>
      <c r="D7220" s="15" t="s">
        <v>42</v>
      </c>
      <c r="E7220" s="15" t="s">
        <v>37</v>
      </c>
      <c r="F7220" s="15" t="s">
        <v>17</v>
      </c>
      <c r="G7220" s="15" t="s">
        <v>29</v>
      </c>
      <c r="H7220" s="15" t="n">
        <v>4</v>
      </c>
      <c r="I7220" s="17" t="n">
        <v>0</v>
      </c>
      <c r="J7220" s="18" t="n">
        <v>68.29</v>
      </c>
      <c r="K7220" s="19" t="n">
        <v>30.69</v>
      </c>
      <c r="L7220" s="15" t="n">
        <f aca="false">YEAR(B7220)</f>
        <v>2022</v>
      </c>
      <c r="M7220" s="20" t="n">
        <f aca="false">IF(J7220&gt;0,K7220/J7220,0)</f>
        <v>0.449406940986967</v>
      </c>
    </row>
    <row r="7221" customFormat="false" ht="15" hidden="false" customHeight="false" outlineLevel="0" collapsed="false">
      <c r="A7221" s="15" t="s">
        <v>7278</v>
      </c>
      <c r="B7221" s="16" t="n">
        <v>44704</v>
      </c>
      <c r="C7221" s="15" t="s">
        <v>56</v>
      </c>
      <c r="D7221" s="15" t="s">
        <v>42</v>
      </c>
      <c r="E7221" s="15" t="s">
        <v>38</v>
      </c>
      <c r="F7221" s="15" t="s">
        <v>17</v>
      </c>
      <c r="G7221" s="15" t="s">
        <v>26</v>
      </c>
      <c r="H7221" s="15" t="n">
        <v>2</v>
      </c>
      <c r="I7221" s="17" t="n">
        <v>0.05</v>
      </c>
      <c r="J7221" s="18" t="n">
        <v>140.21</v>
      </c>
      <c r="K7221" s="19" t="n">
        <v>11.79</v>
      </c>
      <c r="L7221" s="15" t="n">
        <f aca="false">YEAR(B7221)</f>
        <v>2022</v>
      </c>
      <c r="M7221" s="20" t="n">
        <f aca="false">IF(J7221&gt;0,K7221/J7221,0)</f>
        <v>0.0840881534840596</v>
      </c>
    </row>
    <row r="7222" customFormat="false" ht="15" hidden="false" customHeight="false" outlineLevel="0" collapsed="false">
      <c r="A7222" s="15" t="s">
        <v>7279</v>
      </c>
      <c r="B7222" s="16" t="n">
        <v>46020</v>
      </c>
      <c r="C7222" s="15" t="s">
        <v>58</v>
      </c>
      <c r="D7222" s="15" t="s">
        <v>43</v>
      </c>
      <c r="E7222" s="15" t="s">
        <v>36</v>
      </c>
      <c r="F7222" s="15" t="s">
        <v>17</v>
      </c>
      <c r="G7222" s="15" t="s">
        <v>26</v>
      </c>
      <c r="H7222" s="15" t="n">
        <v>6</v>
      </c>
      <c r="I7222" s="17" t="n">
        <v>0.3</v>
      </c>
      <c r="J7222" s="18" t="n">
        <v>405.07</v>
      </c>
      <c r="K7222" s="19" t="n">
        <v>-33.12</v>
      </c>
      <c r="L7222" s="15" t="n">
        <f aca="false">YEAR(B7222)</f>
        <v>2025</v>
      </c>
      <c r="M7222" s="20" t="n">
        <f aca="false">IF(J7222&gt;0,K7222/J7222,0)</f>
        <v>-0.0817636457896166</v>
      </c>
    </row>
    <row r="7223" customFormat="false" ht="15" hidden="false" customHeight="false" outlineLevel="0" collapsed="false">
      <c r="A7223" s="15" t="s">
        <v>7280</v>
      </c>
      <c r="B7223" s="16" t="n">
        <v>44596</v>
      </c>
      <c r="C7223" s="15" t="s">
        <v>71</v>
      </c>
      <c r="D7223" s="15" t="s">
        <v>42</v>
      </c>
      <c r="E7223" s="15" t="s">
        <v>39</v>
      </c>
      <c r="F7223" s="15" t="s">
        <v>18</v>
      </c>
      <c r="G7223" s="15" t="s">
        <v>30</v>
      </c>
      <c r="H7223" s="15" t="n">
        <v>5</v>
      </c>
      <c r="I7223" s="17" t="n">
        <v>0.2</v>
      </c>
      <c r="J7223" s="18" t="n">
        <v>196.52</v>
      </c>
      <c r="K7223" s="19" t="n">
        <v>17.19</v>
      </c>
      <c r="L7223" s="15" t="n">
        <f aca="false">YEAR(B7223)</f>
        <v>2022</v>
      </c>
      <c r="M7223" s="20" t="n">
        <f aca="false">IF(J7223&gt;0,K7223/J7223,0)</f>
        <v>0.087472013026664</v>
      </c>
    </row>
    <row r="7224" customFormat="false" ht="15" hidden="false" customHeight="false" outlineLevel="0" collapsed="false">
      <c r="A7224" s="15" t="s">
        <v>7281</v>
      </c>
      <c r="B7224" s="16" t="n">
        <v>45708</v>
      </c>
      <c r="C7224" s="15" t="s">
        <v>68</v>
      </c>
      <c r="D7224" s="15" t="s">
        <v>42</v>
      </c>
      <c r="E7224" s="15" t="s">
        <v>37</v>
      </c>
      <c r="F7224" s="15" t="s">
        <v>17</v>
      </c>
      <c r="G7224" s="15" t="s">
        <v>26</v>
      </c>
      <c r="H7224" s="15" t="n">
        <v>2</v>
      </c>
      <c r="I7224" s="17" t="n">
        <v>0.2</v>
      </c>
      <c r="J7224" s="18" t="n">
        <v>163.96</v>
      </c>
      <c r="K7224" s="19" t="n">
        <v>-5.25</v>
      </c>
      <c r="L7224" s="15" t="n">
        <f aca="false">YEAR(B7224)</f>
        <v>2025</v>
      </c>
      <c r="M7224" s="20" t="n">
        <f aca="false">IF(J7224&gt;0,K7224/J7224,0)</f>
        <v>-0.0320200048792388</v>
      </c>
    </row>
    <row r="7225" customFormat="false" ht="15" hidden="false" customHeight="false" outlineLevel="0" collapsed="false">
      <c r="A7225" s="15" t="s">
        <v>7282</v>
      </c>
      <c r="B7225" s="16" t="n">
        <v>45927</v>
      </c>
      <c r="C7225" s="15" t="s">
        <v>56</v>
      </c>
      <c r="D7225" s="15" t="s">
        <v>43</v>
      </c>
      <c r="E7225" s="15" t="s">
        <v>36</v>
      </c>
      <c r="F7225" s="15" t="s">
        <v>17</v>
      </c>
      <c r="G7225" s="15" t="s">
        <v>29</v>
      </c>
      <c r="H7225" s="15" t="n">
        <v>4</v>
      </c>
      <c r="I7225" s="17" t="n">
        <v>0.05</v>
      </c>
      <c r="J7225" s="18" t="n">
        <v>75.1</v>
      </c>
      <c r="K7225" s="19" t="n">
        <v>24.18</v>
      </c>
      <c r="L7225" s="15" t="n">
        <f aca="false">YEAR(B7225)</f>
        <v>2025</v>
      </c>
      <c r="M7225" s="20" t="n">
        <f aca="false">IF(J7225&gt;0,K7225/J7225,0)</f>
        <v>0.321970705725699</v>
      </c>
    </row>
    <row r="7226" customFormat="false" ht="15" hidden="false" customHeight="false" outlineLevel="0" collapsed="false">
      <c r="A7226" s="15" t="s">
        <v>7283</v>
      </c>
      <c r="B7226" s="16" t="n">
        <v>45745</v>
      </c>
      <c r="C7226" s="15" t="s">
        <v>56</v>
      </c>
      <c r="D7226" s="15" t="s">
        <v>42</v>
      </c>
      <c r="E7226" s="15" t="s">
        <v>39</v>
      </c>
      <c r="F7226" s="15" t="s">
        <v>17</v>
      </c>
      <c r="G7226" s="15" t="s">
        <v>26</v>
      </c>
      <c r="H7226" s="15" t="n">
        <v>3</v>
      </c>
      <c r="I7226" s="17" t="n">
        <v>0.1</v>
      </c>
      <c r="J7226" s="18" t="n">
        <v>202.3</v>
      </c>
      <c r="K7226" s="19" t="n">
        <v>0.34</v>
      </c>
      <c r="L7226" s="15" t="n">
        <f aca="false">YEAR(B7226)</f>
        <v>2025</v>
      </c>
      <c r="M7226" s="20" t="n">
        <f aca="false">IF(J7226&gt;0,K7226/J7226,0)</f>
        <v>0.00168067226890756</v>
      </c>
    </row>
    <row r="7227" customFormat="false" ht="15" hidden="false" customHeight="false" outlineLevel="0" collapsed="false">
      <c r="A7227" s="15" t="s">
        <v>7284</v>
      </c>
      <c r="B7227" s="16" t="n">
        <v>46022</v>
      </c>
      <c r="C7227" s="15" t="s">
        <v>56</v>
      </c>
      <c r="D7227" s="15" t="s">
        <v>42</v>
      </c>
      <c r="E7227" s="15" t="s">
        <v>38</v>
      </c>
      <c r="F7227" s="15" t="s">
        <v>16</v>
      </c>
      <c r="G7227" s="15" t="s">
        <v>22</v>
      </c>
      <c r="H7227" s="15" t="n">
        <v>3</v>
      </c>
      <c r="I7227" s="17" t="n">
        <v>0</v>
      </c>
      <c r="J7227" s="18" t="n">
        <v>1299.37</v>
      </c>
      <c r="K7227" s="19" t="n">
        <v>-37.7</v>
      </c>
      <c r="L7227" s="15" t="n">
        <f aca="false">YEAR(B7227)</f>
        <v>2025</v>
      </c>
      <c r="M7227" s="20" t="n">
        <f aca="false">IF(J7227&gt;0,K7227/J7227,0)</f>
        <v>-0.0290140606601661</v>
      </c>
    </row>
    <row r="7228" customFormat="false" ht="15" hidden="false" customHeight="false" outlineLevel="0" collapsed="false">
      <c r="A7228" s="15" t="s">
        <v>7285</v>
      </c>
      <c r="B7228" s="16" t="n">
        <v>46021</v>
      </c>
      <c r="C7228" s="15" t="s">
        <v>56</v>
      </c>
      <c r="D7228" s="15" t="s">
        <v>44</v>
      </c>
      <c r="E7228" s="15" t="s">
        <v>39</v>
      </c>
      <c r="F7228" s="15" t="s">
        <v>17</v>
      </c>
      <c r="G7228" s="15" t="s">
        <v>31</v>
      </c>
      <c r="H7228" s="15" t="n">
        <v>5</v>
      </c>
      <c r="I7228" s="17" t="n">
        <v>0.3</v>
      </c>
      <c r="J7228" s="18" t="n">
        <v>438.57</v>
      </c>
      <c r="K7228" s="19" t="n">
        <v>-45.89</v>
      </c>
      <c r="L7228" s="15" t="n">
        <f aca="false">YEAR(B7228)</f>
        <v>2025</v>
      </c>
      <c r="M7228" s="20" t="n">
        <f aca="false">IF(J7228&gt;0,K7228/J7228,0)</f>
        <v>-0.104635519985407</v>
      </c>
    </row>
    <row r="7229" customFormat="false" ht="15" hidden="false" customHeight="false" outlineLevel="0" collapsed="false">
      <c r="A7229" s="15" t="s">
        <v>7286</v>
      </c>
      <c r="B7229" s="16" t="n">
        <v>46013</v>
      </c>
      <c r="C7229" s="15" t="s">
        <v>58</v>
      </c>
      <c r="D7229" s="15" t="s">
        <v>42</v>
      </c>
      <c r="E7229" s="15" t="s">
        <v>36</v>
      </c>
      <c r="F7229" s="15" t="s">
        <v>17</v>
      </c>
      <c r="G7229" s="15" t="s">
        <v>31</v>
      </c>
      <c r="H7229" s="15" t="n">
        <v>4</v>
      </c>
      <c r="I7229" s="17" t="n">
        <v>0.1</v>
      </c>
      <c r="J7229" s="18" t="n">
        <v>474.46</v>
      </c>
      <c r="K7229" s="19" t="n">
        <v>32.94</v>
      </c>
      <c r="L7229" s="15" t="n">
        <f aca="false">YEAR(B7229)</f>
        <v>2025</v>
      </c>
      <c r="M7229" s="20" t="n">
        <f aca="false">IF(J7229&gt;0,K7229/J7229,0)</f>
        <v>0.0694262951565991</v>
      </c>
    </row>
    <row r="7230" customFormat="false" ht="15" hidden="false" customHeight="false" outlineLevel="0" collapsed="false">
      <c r="A7230" s="15" t="s">
        <v>7287</v>
      </c>
      <c r="B7230" s="16" t="n">
        <v>44691</v>
      </c>
      <c r="C7230" s="15" t="s">
        <v>58</v>
      </c>
      <c r="D7230" s="15" t="s">
        <v>42</v>
      </c>
      <c r="E7230" s="15" t="s">
        <v>37</v>
      </c>
      <c r="F7230" s="15" t="s">
        <v>17</v>
      </c>
      <c r="G7230" s="15" t="s">
        <v>26</v>
      </c>
      <c r="H7230" s="15" t="n">
        <v>3</v>
      </c>
      <c r="I7230" s="17" t="n">
        <v>0</v>
      </c>
      <c r="J7230" s="18" t="n">
        <v>260.51</v>
      </c>
      <c r="K7230" s="19" t="n">
        <v>49</v>
      </c>
      <c r="L7230" s="15" t="n">
        <f aca="false">YEAR(B7230)</f>
        <v>2022</v>
      </c>
      <c r="M7230" s="20" t="n">
        <f aca="false">IF(J7230&gt;0,K7230/J7230,0)</f>
        <v>0.188092587616598</v>
      </c>
    </row>
    <row r="7231" customFormat="false" ht="15" hidden="false" customHeight="false" outlineLevel="0" collapsed="false">
      <c r="A7231" s="15" t="s">
        <v>7288</v>
      </c>
      <c r="B7231" s="16" t="n">
        <v>44916</v>
      </c>
      <c r="C7231" s="15" t="s">
        <v>68</v>
      </c>
      <c r="D7231" s="15" t="s">
        <v>44</v>
      </c>
      <c r="E7231" s="15" t="s">
        <v>38</v>
      </c>
      <c r="F7231" s="15" t="s">
        <v>17</v>
      </c>
      <c r="G7231" s="15" t="s">
        <v>26</v>
      </c>
      <c r="H7231" s="15" t="n">
        <v>1</v>
      </c>
      <c r="I7231" s="17" t="n">
        <v>0.2</v>
      </c>
      <c r="J7231" s="18" t="n">
        <v>70.27</v>
      </c>
      <c r="K7231" s="19" t="n">
        <v>-2.06</v>
      </c>
      <c r="L7231" s="15" t="n">
        <f aca="false">YEAR(B7231)</f>
        <v>2022</v>
      </c>
      <c r="M7231" s="20" t="n">
        <f aca="false">IF(J7231&gt;0,K7231/J7231,0)</f>
        <v>-0.0293154973672976</v>
      </c>
    </row>
    <row r="7232" customFormat="false" ht="15" hidden="false" customHeight="false" outlineLevel="0" collapsed="false">
      <c r="A7232" s="15" t="s">
        <v>7289</v>
      </c>
      <c r="B7232" s="16" t="n">
        <v>44933</v>
      </c>
      <c r="C7232" s="15" t="s">
        <v>56</v>
      </c>
      <c r="D7232" s="15" t="s">
        <v>43</v>
      </c>
      <c r="E7232" s="15" t="s">
        <v>36</v>
      </c>
      <c r="F7232" s="15" t="s">
        <v>17</v>
      </c>
      <c r="G7232" s="15" t="s">
        <v>28</v>
      </c>
      <c r="H7232" s="15" t="n">
        <v>3</v>
      </c>
      <c r="I7232" s="17" t="n">
        <v>0.3</v>
      </c>
      <c r="J7232" s="18" t="n">
        <v>45.5</v>
      </c>
      <c r="K7232" s="19" t="n">
        <v>1.26</v>
      </c>
      <c r="L7232" s="15" t="n">
        <f aca="false">YEAR(B7232)</f>
        <v>2023</v>
      </c>
      <c r="M7232" s="20" t="n">
        <f aca="false">IF(J7232&gt;0,K7232/J7232,0)</f>
        <v>0.0276923076923077</v>
      </c>
    </row>
    <row r="7233" customFormat="false" ht="15" hidden="false" customHeight="false" outlineLevel="0" collapsed="false">
      <c r="A7233" s="15" t="s">
        <v>7290</v>
      </c>
      <c r="B7233" s="16" t="n">
        <v>45534</v>
      </c>
      <c r="C7233" s="15" t="s">
        <v>71</v>
      </c>
      <c r="D7233" s="15" t="s">
        <v>44</v>
      </c>
      <c r="E7233" s="15" t="s">
        <v>39</v>
      </c>
      <c r="F7233" s="15" t="s">
        <v>17</v>
      </c>
      <c r="G7233" s="15" t="s">
        <v>29</v>
      </c>
      <c r="H7233" s="15" t="n">
        <v>3</v>
      </c>
      <c r="I7233" s="17" t="n">
        <v>0.05</v>
      </c>
      <c r="J7233" s="18" t="n">
        <v>53.25</v>
      </c>
      <c r="K7233" s="19" t="n">
        <v>20.43</v>
      </c>
      <c r="L7233" s="15" t="n">
        <f aca="false">YEAR(B7233)</f>
        <v>2024</v>
      </c>
      <c r="M7233" s="20" t="n">
        <f aca="false">IF(J7233&gt;0,K7233/J7233,0)</f>
        <v>0.383661971830986</v>
      </c>
    </row>
    <row r="7234" customFormat="false" ht="15" hidden="false" customHeight="false" outlineLevel="0" collapsed="false">
      <c r="A7234" s="15" t="s">
        <v>7291</v>
      </c>
      <c r="B7234" s="16" t="n">
        <v>45288</v>
      </c>
      <c r="C7234" s="15" t="s">
        <v>56</v>
      </c>
      <c r="D7234" s="15" t="s">
        <v>43</v>
      </c>
      <c r="E7234" s="15" t="s">
        <v>39</v>
      </c>
      <c r="F7234" s="15" t="s">
        <v>17</v>
      </c>
      <c r="G7234" s="15" t="s">
        <v>29</v>
      </c>
      <c r="H7234" s="15" t="n">
        <v>2</v>
      </c>
      <c r="I7234" s="17" t="n">
        <v>0.4</v>
      </c>
      <c r="J7234" s="18" t="n">
        <v>25.91</v>
      </c>
      <c r="K7234" s="19" t="n">
        <v>1.19</v>
      </c>
      <c r="L7234" s="15" t="n">
        <f aca="false">YEAR(B7234)</f>
        <v>2023</v>
      </c>
      <c r="M7234" s="20" t="n">
        <f aca="false">IF(J7234&gt;0,K7234/J7234,0)</f>
        <v>0.0459282130451563</v>
      </c>
    </row>
    <row r="7235" customFormat="false" ht="15" hidden="false" customHeight="false" outlineLevel="0" collapsed="false">
      <c r="A7235" s="15" t="s">
        <v>7292</v>
      </c>
      <c r="B7235" s="16" t="n">
        <v>45210</v>
      </c>
      <c r="C7235" s="15" t="s">
        <v>56</v>
      </c>
      <c r="D7235" s="15" t="s">
        <v>43</v>
      </c>
      <c r="E7235" s="15" t="s">
        <v>38</v>
      </c>
      <c r="F7235" s="15" t="s">
        <v>17</v>
      </c>
      <c r="G7235" s="15" t="s">
        <v>26</v>
      </c>
      <c r="H7235" s="15" t="n">
        <v>5</v>
      </c>
      <c r="I7235" s="17" t="n">
        <v>0.2</v>
      </c>
      <c r="J7235" s="18" t="n">
        <v>364.88</v>
      </c>
      <c r="K7235" s="19" t="n">
        <v>-2.04</v>
      </c>
      <c r="L7235" s="15" t="n">
        <f aca="false">YEAR(B7235)</f>
        <v>2023</v>
      </c>
      <c r="M7235" s="20" t="n">
        <f aca="false">IF(J7235&gt;0,K7235/J7235,0)</f>
        <v>-0.0055908791931594</v>
      </c>
    </row>
    <row r="7236" customFormat="false" ht="15" hidden="false" customHeight="false" outlineLevel="0" collapsed="false">
      <c r="A7236" s="15" t="s">
        <v>7293</v>
      </c>
      <c r="B7236" s="16" t="n">
        <v>45698</v>
      </c>
      <c r="C7236" s="15" t="s">
        <v>68</v>
      </c>
      <c r="D7236" s="15" t="s">
        <v>43</v>
      </c>
      <c r="E7236" s="15" t="s">
        <v>37</v>
      </c>
      <c r="F7236" s="15" t="s">
        <v>17</v>
      </c>
      <c r="G7236" s="15" t="s">
        <v>29</v>
      </c>
      <c r="H7236" s="15" t="n">
        <v>3</v>
      </c>
      <c r="I7236" s="17" t="n">
        <v>0</v>
      </c>
      <c r="J7236" s="18" t="n">
        <v>73.95</v>
      </c>
      <c r="K7236" s="19" t="n">
        <v>27.56</v>
      </c>
      <c r="L7236" s="15" t="n">
        <f aca="false">YEAR(B7236)</f>
        <v>2025</v>
      </c>
      <c r="M7236" s="20" t="n">
        <f aca="false">IF(J7236&gt;0,K7236/J7236,0)</f>
        <v>0.372684246112238</v>
      </c>
    </row>
    <row r="7237" customFormat="false" ht="15" hidden="false" customHeight="false" outlineLevel="0" collapsed="false">
      <c r="A7237" s="15" t="s">
        <v>7294</v>
      </c>
      <c r="B7237" s="16" t="n">
        <v>45017</v>
      </c>
      <c r="C7237" s="15" t="s">
        <v>56</v>
      </c>
      <c r="D7237" s="15" t="s">
        <v>44</v>
      </c>
      <c r="E7237" s="15" t="s">
        <v>39</v>
      </c>
      <c r="F7237" s="15" t="s">
        <v>18</v>
      </c>
      <c r="G7237" s="15" t="s">
        <v>33</v>
      </c>
      <c r="H7237" s="15" t="n">
        <v>4</v>
      </c>
      <c r="I7237" s="17" t="n">
        <v>0.2</v>
      </c>
      <c r="J7237" s="18" t="n">
        <v>2509.16</v>
      </c>
      <c r="K7237" s="19" t="n">
        <v>333.71</v>
      </c>
      <c r="L7237" s="15" t="n">
        <f aca="false">YEAR(B7237)</f>
        <v>2023</v>
      </c>
      <c r="M7237" s="20" t="n">
        <f aca="false">IF(J7237&gt;0,K7237/J7237,0)</f>
        <v>0.132996700090867</v>
      </c>
    </row>
    <row r="7238" customFormat="false" ht="15" hidden="false" customHeight="false" outlineLevel="0" collapsed="false">
      <c r="A7238" s="15" t="s">
        <v>7295</v>
      </c>
      <c r="B7238" s="16" t="n">
        <v>45747</v>
      </c>
      <c r="C7238" s="15" t="s">
        <v>56</v>
      </c>
      <c r="D7238" s="15" t="s">
        <v>42</v>
      </c>
      <c r="E7238" s="15" t="s">
        <v>37</v>
      </c>
      <c r="F7238" s="15" t="s">
        <v>17</v>
      </c>
      <c r="G7238" s="15" t="s">
        <v>31</v>
      </c>
      <c r="H7238" s="15" t="n">
        <v>2</v>
      </c>
      <c r="I7238" s="17" t="n">
        <v>0.1</v>
      </c>
      <c r="J7238" s="18" t="n">
        <v>241.8</v>
      </c>
      <c r="K7238" s="19" t="n">
        <v>28.69</v>
      </c>
      <c r="L7238" s="15" t="n">
        <f aca="false">YEAR(B7238)</f>
        <v>2025</v>
      </c>
      <c r="M7238" s="20" t="n">
        <f aca="false">IF(J7238&gt;0,K7238/J7238,0)</f>
        <v>0.118651778329198</v>
      </c>
    </row>
    <row r="7239" customFormat="false" ht="15" hidden="false" customHeight="false" outlineLevel="0" collapsed="false">
      <c r="A7239" s="15" t="s">
        <v>7296</v>
      </c>
      <c r="B7239" s="16" t="n">
        <v>45190</v>
      </c>
      <c r="C7239" s="15" t="s">
        <v>56</v>
      </c>
      <c r="D7239" s="15" t="s">
        <v>43</v>
      </c>
      <c r="E7239" s="15" t="s">
        <v>36</v>
      </c>
      <c r="F7239" s="15" t="s">
        <v>18</v>
      </c>
      <c r="G7239" s="15" t="s">
        <v>32</v>
      </c>
      <c r="H7239" s="15" t="n">
        <v>5</v>
      </c>
      <c r="I7239" s="17" t="n">
        <v>0.05</v>
      </c>
      <c r="J7239" s="18" t="n">
        <v>1909.9</v>
      </c>
      <c r="K7239" s="19" t="n">
        <v>185.35</v>
      </c>
      <c r="L7239" s="15" t="n">
        <f aca="false">YEAR(B7239)</f>
        <v>2023</v>
      </c>
      <c r="M7239" s="20" t="n">
        <f aca="false">IF(J7239&gt;0,K7239/J7239,0)</f>
        <v>0.0970469658097283</v>
      </c>
    </row>
    <row r="7240" customFormat="false" ht="15" hidden="false" customHeight="false" outlineLevel="0" collapsed="false">
      <c r="A7240" s="15" t="s">
        <v>7297</v>
      </c>
      <c r="B7240" s="16" t="n">
        <v>44692</v>
      </c>
      <c r="C7240" s="15" t="s">
        <v>58</v>
      </c>
      <c r="D7240" s="15" t="s">
        <v>43</v>
      </c>
      <c r="E7240" s="15" t="s">
        <v>39</v>
      </c>
      <c r="F7240" s="15" t="s">
        <v>17</v>
      </c>
      <c r="G7240" s="15" t="s">
        <v>28</v>
      </c>
      <c r="H7240" s="15" t="n">
        <v>9</v>
      </c>
      <c r="I7240" s="17" t="n">
        <v>0</v>
      </c>
      <c r="J7240" s="18" t="n">
        <v>248.47</v>
      </c>
      <c r="K7240" s="19" t="n">
        <v>80.01</v>
      </c>
      <c r="L7240" s="15" t="n">
        <f aca="false">YEAR(B7240)</f>
        <v>2022</v>
      </c>
      <c r="M7240" s="20" t="n">
        <f aca="false">IF(J7240&gt;0,K7240/J7240,0)</f>
        <v>0.322010705517769</v>
      </c>
    </row>
    <row r="7241" customFormat="false" ht="15" hidden="false" customHeight="false" outlineLevel="0" collapsed="false">
      <c r="A7241" s="15" t="s">
        <v>7298</v>
      </c>
      <c r="B7241" s="16" t="n">
        <v>45827</v>
      </c>
      <c r="C7241" s="15" t="s">
        <v>56</v>
      </c>
      <c r="D7241" s="15" t="s">
        <v>42</v>
      </c>
      <c r="E7241" s="15" t="s">
        <v>36</v>
      </c>
      <c r="F7241" s="15" t="s">
        <v>17</v>
      </c>
      <c r="G7241" s="15" t="s">
        <v>26</v>
      </c>
      <c r="H7241" s="15" t="n">
        <v>1</v>
      </c>
      <c r="I7241" s="17" t="n">
        <v>0</v>
      </c>
      <c r="J7241" s="18" t="n">
        <v>65.39</v>
      </c>
      <c r="K7241" s="19" t="n">
        <v>6.87</v>
      </c>
      <c r="L7241" s="15" t="n">
        <f aca="false">YEAR(B7241)</f>
        <v>2025</v>
      </c>
      <c r="M7241" s="20" t="n">
        <f aca="false">IF(J7241&gt;0,K7241/J7241,0)</f>
        <v>0.105061936075853</v>
      </c>
    </row>
    <row r="7242" customFormat="false" ht="15" hidden="false" customHeight="false" outlineLevel="0" collapsed="false">
      <c r="A7242" s="15" t="s">
        <v>7299</v>
      </c>
      <c r="B7242" s="16" t="n">
        <v>45144</v>
      </c>
      <c r="C7242" s="15" t="s">
        <v>56</v>
      </c>
      <c r="D7242" s="15" t="s">
        <v>43</v>
      </c>
      <c r="E7242" s="15" t="s">
        <v>37</v>
      </c>
      <c r="F7242" s="15" t="s">
        <v>18</v>
      </c>
      <c r="G7242" s="15" t="s">
        <v>30</v>
      </c>
      <c r="H7242" s="15" t="n">
        <v>3</v>
      </c>
      <c r="I7242" s="17" t="n">
        <v>0</v>
      </c>
      <c r="J7242" s="18" t="n">
        <v>139.38</v>
      </c>
      <c r="K7242" s="19" t="n">
        <v>40.75</v>
      </c>
      <c r="L7242" s="15" t="n">
        <f aca="false">YEAR(B7242)</f>
        <v>2023</v>
      </c>
      <c r="M7242" s="20" t="n">
        <f aca="false">IF(J7242&gt;0,K7242/J7242,0)</f>
        <v>0.292366193141053</v>
      </c>
    </row>
    <row r="7243" customFormat="false" ht="15" hidden="false" customHeight="false" outlineLevel="0" collapsed="false">
      <c r="A7243" s="15" t="s">
        <v>7300</v>
      </c>
      <c r="B7243" s="16" t="n">
        <v>45390</v>
      </c>
      <c r="C7243" s="15" t="s">
        <v>56</v>
      </c>
      <c r="D7243" s="15" t="s">
        <v>44</v>
      </c>
      <c r="E7243" s="15" t="s">
        <v>39</v>
      </c>
      <c r="F7243" s="15" t="s">
        <v>18</v>
      </c>
      <c r="G7243" s="15" t="s">
        <v>30</v>
      </c>
      <c r="H7243" s="15" t="n">
        <v>3</v>
      </c>
      <c r="I7243" s="17" t="n">
        <v>0.2</v>
      </c>
      <c r="J7243" s="18" t="n">
        <v>124.7</v>
      </c>
      <c r="K7243" s="19" t="n">
        <v>15.76</v>
      </c>
      <c r="L7243" s="15" t="n">
        <f aca="false">YEAR(B7243)</f>
        <v>2024</v>
      </c>
      <c r="M7243" s="20" t="n">
        <f aca="false">IF(J7243&gt;0,K7243/J7243,0)</f>
        <v>0.126383319967923</v>
      </c>
    </row>
    <row r="7244" customFormat="false" ht="15" hidden="false" customHeight="false" outlineLevel="0" collapsed="false">
      <c r="A7244" s="15" t="s">
        <v>7301</v>
      </c>
      <c r="B7244" s="16" t="n">
        <v>45281</v>
      </c>
      <c r="C7244" s="15" t="s">
        <v>71</v>
      </c>
      <c r="D7244" s="15" t="s">
        <v>42</v>
      </c>
      <c r="E7244" s="15" t="s">
        <v>36</v>
      </c>
      <c r="F7244" s="15" t="s">
        <v>16</v>
      </c>
      <c r="G7244" s="15" t="s">
        <v>23</v>
      </c>
      <c r="H7244" s="15" t="n">
        <v>5</v>
      </c>
      <c r="I7244" s="17" t="n">
        <v>0.15</v>
      </c>
      <c r="J7244" s="18" t="n">
        <v>1185.73</v>
      </c>
      <c r="K7244" s="19" t="n">
        <v>-126.4</v>
      </c>
      <c r="L7244" s="15" t="n">
        <f aca="false">YEAR(B7244)</f>
        <v>2023</v>
      </c>
      <c r="M7244" s="20" t="n">
        <f aca="false">IF(J7244&gt;0,K7244/J7244,0)</f>
        <v>-0.106600996854259</v>
      </c>
    </row>
    <row r="7245" customFormat="false" ht="15" hidden="false" customHeight="false" outlineLevel="0" collapsed="false">
      <c r="A7245" s="15" t="s">
        <v>7302</v>
      </c>
      <c r="B7245" s="16" t="n">
        <v>45572</v>
      </c>
      <c r="C7245" s="15" t="s">
        <v>68</v>
      </c>
      <c r="D7245" s="15" t="s">
        <v>42</v>
      </c>
      <c r="E7245" s="15" t="s">
        <v>39</v>
      </c>
      <c r="F7245" s="15" t="s">
        <v>18</v>
      </c>
      <c r="G7245" s="15" t="s">
        <v>30</v>
      </c>
      <c r="H7245" s="15" t="n">
        <v>4</v>
      </c>
      <c r="I7245" s="17" t="n">
        <v>0</v>
      </c>
      <c r="J7245" s="18" t="n">
        <v>178.51</v>
      </c>
      <c r="K7245" s="19" t="n">
        <v>49.97</v>
      </c>
      <c r="L7245" s="15" t="n">
        <f aca="false">YEAR(B7245)</f>
        <v>2024</v>
      </c>
      <c r="M7245" s="20" t="n">
        <f aca="false">IF(J7245&gt;0,K7245/J7245,0)</f>
        <v>0.279928295333595</v>
      </c>
    </row>
    <row r="7246" customFormat="false" ht="15" hidden="false" customHeight="false" outlineLevel="0" collapsed="false">
      <c r="A7246" s="15" t="s">
        <v>7303</v>
      </c>
      <c r="B7246" s="16" t="n">
        <v>44730</v>
      </c>
      <c r="C7246" s="15" t="s">
        <v>56</v>
      </c>
      <c r="D7246" s="15" t="s">
        <v>42</v>
      </c>
      <c r="E7246" s="15" t="s">
        <v>36</v>
      </c>
      <c r="F7246" s="15" t="s">
        <v>17</v>
      </c>
      <c r="G7246" s="15" t="s">
        <v>29</v>
      </c>
      <c r="H7246" s="15" t="n">
        <v>3</v>
      </c>
      <c r="I7246" s="17" t="n">
        <v>0.2</v>
      </c>
      <c r="J7246" s="18" t="n">
        <v>41.58</v>
      </c>
      <c r="K7246" s="19" t="n">
        <v>7.36</v>
      </c>
      <c r="L7246" s="15" t="n">
        <f aca="false">YEAR(B7246)</f>
        <v>2022</v>
      </c>
      <c r="M7246" s="20" t="n">
        <f aca="false">IF(J7246&gt;0,K7246/J7246,0)</f>
        <v>0.177008177008177</v>
      </c>
    </row>
    <row r="7247" customFormat="false" ht="15" hidden="false" customHeight="false" outlineLevel="0" collapsed="false">
      <c r="A7247" s="15" t="s">
        <v>7304</v>
      </c>
      <c r="B7247" s="16" t="n">
        <v>45622</v>
      </c>
      <c r="C7247" s="15" t="s">
        <v>56</v>
      </c>
      <c r="D7247" s="15" t="s">
        <v>44</v>
      </c>
      <c r="E7247" s="15" t="s">
        <v>38</v>
      </c>
      <c r="F7247" s="15" t="s">
        <v>18</v>
      </c>
      <c r="G7247" s="15" t="s">
        <v>30</v>
      </c>
      <c r="H7247" s="15" t="n">
        <v>7</v>
      </c>
      <c r="I7247" s="17" t="n">
        <v>0</v>
      </c>
      <c r="J7247" s="18" t="n">
        <v>285.26</v>
      </c>
      <c r="K7247" s="19" t="n">
        <v>79.25</v>
      </c>
      <c r="L7247" s="15" t="n">
        <f aca="false">YEAR(B7247)</f>
        <v>2024</v>
      </c>
      <c r="M7247" s="20" t="n">
        <f aca="false">IF(J7247&gt;0,K7247/J7247,0)</f>
        <v>0.277816728598472</v>
      </c>
    </row>
    <row r="7248" customFormat="false" ht="15" hidden="false" customHeight="false" outlineLevel="0" collapsed="false">
      <c r="A7248" s="15" t="s">
        <v>7305</v>
      </c>
      <c r="B7248" s="16" t="n">
        <v>44791</v>
      </c>
      <c r="C7248" s="15" t="s">
        <v>56</v>
      </c>
      <c r="D7248" s="15" t="s">
        <v>42</v>
      </c>
      <c r="E7248" s="15" t="s">
        <v>37</v>
      </c>
      <c r="F7248" s="15" t="s">
        <v>16</v>
      </c>
      <c r="G7248" s="15" t="s">
        <v>22</v>
      </c>
      <c r="H7248" s="15" t="n">
        <v>2</v>
      </c>
      <c r="I7248" s="17" t="n">
        <v>0.2</v>
      </c>
      <c r="J7248" s="18" t="n">
        <v>775.81</v>
      </c>
      <c r="K7248" s="19" t="n">
        <v>-199.82</v>
      </c>
      <c r="L7248" s="15" t="n">
        <f aca="false">YEAR(B7248)</f>
        <v>2022</v>
      </c>
      <c r="M7248" s="20" t="n">
        <f aca="false">IF(J7248&gt;0,K7248/J7248,0)</f>
        <v>-0.257563063121125</v>
      </c>
    </row>
    <row r="7249" customFormat="false" ht="15" hidden="false" customHeight="false" outlineLevel="0" collapsed="false">
      <c r="A7249" s="15" t="s">
        <v>7306</v>
      </c>
      <c r="B7249" s="16" t="n">
        <v>45384</v>
      </c>
      <c r="C7249" s="15" t="s">
        <v>68</v>
      </c>
      <c r="D7249" s="15" t="s">
        <v>42</v>
      </c>
      <c r="E7249" s="15" t="s">
        <v>37</v>
      </c>
      <c r="F7249" s="15" t="s">
        <v>16</v>
      </c>
      <c r="G7249" s="15" t="s">
        <v>27</v>
      </c>
      <c r="H7249" s="15" t="n">
        <v>5</v>
      </c>
      <c r="I7249" s="17" t="n">
        <v>0.4</v>
      </c>
      <c r="J7249" s="18" t="n">
        <v>176.87</v>
      </c>
      <c r="K7249" s="19" t="n">
        <v>-33.59</v>
      </c>
      <c r="L7249" s="15" t="n">
        <f aca="false">YEAR(B7249)</f>
        <v>2024</v>
      </c>
      <c r="M7249" s="20" t="n">
        <f aca="false">IF(J7249&gt;0,K7249/J7249,0)</f>
        <v>-0.189913495787867</v>
      </c>
    </row>
    <row r="7250" customFormat="false" ht="15" hidden="false" customHeight="false" outlineLevel="0" collapsed="false">
      <c r="A7250" s="15" t="s">
        <v>7307</v>
      </c>
      <c r="B7250" s="16" t="n">
        <v>45977</v>
      </c>
      <c r="C7250" s="15" t="s">
        <v>71</v>
      </c>
      <c r="D7250" s="15" t="s">
        <v>43</v>
      </c>
      <c r="E7250" s="15" t="s">
        <v>36</v>
      </c>
      <c r="F7250" s="15" t="s">
        <v>17</v>
      </c>
      <c r="G7250" s="15" t="s">
        <v>28</v>
      </c>
      <c r="H7250" s="15" t="n">
        <v>1</v>
      </c>
      <c r="I7250" s="17" t="n">
        <v>0</v>
      </c>
      <c r="J7250" s="18" t="n">
        <v>27.91</v>
      </c>
      <c r="K7250" s="19" t="n">
        <v>8.16</v>
      </c>
      <c r="L7250" s="15" t="n">
        <f aca="false">YEAR(B7250)</f>
        <v>2025</v>
      </c>
      <c r="M7250" s="20" t="n">
        <f aca="false">IF(J7250&gt;0,K7250/J7250,0)</f>
        <v>0.292368326764601</v>
      </c>
    </row>
    <row r="7251" customFormat="false" ht="15" hidden="false" customHeight="false" outlineLevel="0" collapsed="false">
      <c r="A7251" s="15" t="s">
        <v>7308</v>
      </c>
      <c r="B7251" s="16" t="n">
        <v>45653</v>
      </c>
      <c r="C7251" s="15" t="s">
        <v>56</v>
      </c>
      <c r="D7251" s="15" t="s">
        <v>42</v>
      </c>
      <c r="E7251" s="15" t="s">
        <v>38</v>
      </c>
      <c r="F7251" s="15" t="s">
        <v>17</v>
      </c>
      <c r="G7251" s="15" t="s">
        <v>28</v>
      </c>
      <c r="H7251" s="15" t="n">
        <v>2</v>
      </c>
      <c r="I7251" s="17" t="n">
        <v>0</v>
      </c>
      <c r="J7251" s="18" t="n">
        <v>50.2</v>
      </c>
      <c r="K7251" s="19" t="n">
        <v>15.73</v>
      </c>
      <c r="L7251" s="15" t="n">
        <f aca="false">YEAR(B7251)</f>
        <v>2024</v>
      </c>
      <c r="M7251" s="20" t="n">
        <f aca="false">IF(J7251&gt;0,K7251/J7251,0)</f>
        <v>0.313346613545817</v>
      </c>
    </row>
    <row r="7252" customFormat="false" ht="15" hidden="false" customHeight="false" outlineLevel="0" collapsed="false">
      <c r="A7252" s="15" t="s">
        <v>7309</v>
      </c>
      <c r="B7252" s="16" t="n">
        <v>45630</v>
      </c>
      <c r="C7252" s="15" t="s">
        <v>68</v>
      </c>
      <c r="D7252" s="15" t="s">
        <v>44</v>
      </c>
      <c r="E7252" s="15" t="s">
        <v>39</v>
      </c>
      <c r="F7252" s="15" t="s">
        <v>18</v>
      </c>
      <c r="G7252" s="15" t="s">
        <v>32</v>
      </c>
      <c r="H7252" s="15" t="n">
        <v>3</v>
      </c>
      <c r="I7252" s="17" t="n">
        <v>0.15</v>
      </c>
      <c r="J7252" s="18" t="n">
        <v>1168.87</v>
      </c>
      <c r="K7252" s="19" t="n">
        <v>34.38</v>
      </c>
      <c r="L7252" s="15" t="n">
        <f aca="false">YEAR(B7252)</f>
        <v>2024</v>
      </c>
      <c r="M7252" s="20" t="n">
        <f aca="false">IF(J7252&gt;0,K7252/J7252,0)</f>
        <v>0.0294130228340192</v>
      </c>
    </row>
    <row r="7253" customFormat="false" ht="15" hidden="false" customHeight="false" outlineLevel="0" collapsed="false">
      <c r="A7253" s="15" t="s">
        <v>7310</v>
      </c>
      <c r="B7253" s="16" t="n">
        <v>45250</v>
      </c>
      <c r="C7253" s="15" t="s">
        <v>56</v>
      </c>
      <c r="D7253" s="15" t="s">
        <v>42</v>
      </c>
      <c r="E7253" s="15" t="s">
        <v>36</v>
      </c>
      <c r="F7253" s="15" t="s">
        <v>16</v>
      </c>
      <c r="G7253" s="15" t="s">
        <v>27</v>
      </c>
      <c r="H7253" s="15" t="n">
        <v>1</v>
      </c>
      <c r="I7253" s="17" t="n">
        <v>0.2</v>
      </c>
      <c r="J7253" s="18" t="n">
        <v>40.92</v>
      </c>
      <c r="K7253" s="19" t="n">
        <v>2.34</v>
      </c>
      <c r="L7253" s="15" t="n">
        <f aca="false">YEAR(B7253)</f>
        <v>2023</v>
      </c>
      <c r="M7253" s="20" t="n">
        <f aca="false">IF(J7253&gt;0,K7253/J7253,0)</f>
        <v>0.0571847507331378</v>
      </c>
    </row>
    <row r="7254" customFormat="false" ht="15" hidden="false" customHeight="false" outlineLevel="0" collapsed="false">
      <c r="A7254" s="15" t="s">
        <v>7311</v>
      </c>
      <c r="B7254" s="16" t="n">
        <v>45596</v>
      </c>
      <c r="C7254" s="15" t="s">
        <v>71</v>
      </c>
      <c r="D7254" s="15" t="s">
        <v>42</v>
      </c>
      <c r="E7254" s="15" t="s">
        <v>37</v>
      </c>
      <c r="F7254" s="15" t="s">
        <v>17</v>
      </c>
      <c r="G7254" s="15" t="s">
        <v>29</v>
      </c>
      <c r="H7254" s="15" t="n">
        <v>2</v>
      </c>
      <c r="I7254" s="17" t="n">
        <v>0</v>
      </c>
      <c r="J7254" s="18" t="n">
        <v>34.27</v>
      </c>
      <c r="K7254" s="19" t="n">
        <v>12.04</v>
      </c>
      <c r="L7254" s="15" t="n">
        <f aca="false">YEAR(B7254)</f>
        <v>2024</v>
      </c>
      <c r="M7254" s="20" t="n">
        <f aca="false">IF(J7254&gt;0,K7254/J7254,0)</f>
        <v>0.351327691858769</v>
      </c>
    </row>
    <row r="7255" customFormat="false" ht="15" hidden="false" customHeight="false" outlineLevel="0" collapsed="false">
      <c r="A7255" s="15" t="s">
        <v>7312</v>
      </c>
      <c r="B7255" s="16" t="n">
        <v>44809</v>
      </c>
      <c r="C7255" s="15" t="s">
        <v>56</v>
      </c>
      <c r="D7255" s="15" t="s">
        <v>42</v>
      </c>
      <c r="E7255" s="15" t="s">
        <v>37</v>
      </c>
      <c r="F7255" s="15" t="s">
        <v>18</v>
      </c>
      <c r="G7255" s="15" t="s">
        <v>32</v>
      </c>
      <c r="H7255" s="15" t="n">
        <v>3</v>
      </c>
      <c r="I7255" s="17" t="n">
        <v>0.05</v>
      </c>
      <c r="J7255" s="18" t="n">
        <v>1102.82</v>
      </c>
      <c r="K7255" s="19" t="n">
        <v>205.68</v>
      </c>
      <c r="L7255" s="15" t="n">
        <f aca="false">YEAR(B7255)</f>
        <v>2022</v>
      </c>
      <c r="M7255" s="20" t="n">
        <f aca="false">IF(J7255&gt;0,K7255/J7255,0)</f>
        <v>0.186503690538801</v>
      </c>
    </row>
    <row r="7256" customFormat="false" ht="15" hidden="false" customHeight="false" outlineLevel="0" collapsed="false">
      <c r="A7256" s="15" t="s">
        <v>7313</v>
      </c>
      <c r="B7256" s="16" t="n">
        <v>44706</v>
      </c>
      <c r="C7256" s="15" t="s">
        <v>68</v>
      </c>
      <c r="D7256" s="15" t="s">
        <v>43</v>
      </c>
      <c r="E7256" s="15" t="s">
        <v>37</v>
      </c>
      <c r="F7256" s="15" t="s">
        <v>17</v>
      </c>
      <c r="G7256" s="15" t="s">
        <v>29</v>
      </c>
      <c r="H7256" s="15" t="n">
        <v>4</v>
      </c>
      <c r="I7256" s="17" t="n">
        <v>0</v>
      </c>
      <c r="J7256" s="18" t="n">
        <v>88.46</v>
      </c>
      <c r="K7256" s="19" t="n">
        <v>34.72</v>
      </c>
      <c r="L7256" s="15" t="n">
        <f aca="false">YEAR(B7256)</f>
        <v>2022</v>
      </c>
      <c r="M7256" s="20" t="n">
        <f aca="false">IF(J7256&gt;0,K7256/J7256,0)</f>
        <v>0.392493782500565</v>
      </c>
    </row>
    <row r="7257" customFormat="false" ht="15" hidden="false" customHeight="false" outlineLevel="0" collapsed="false">
      <c r="A7257" s="15" t="s">
        <v>7314</v>
      </c>
      <c r="B7257" s="16" t="n">
        <v>44691</v>
      </c>
      <c r="C7257" s="15" t="s">
        <v>71</v>
      </c>
      <c r="D7257" s="15" t="s">
        <v>44</v>
      </c>
      <c r="E7257" s="15" t="s">
        <v>39</v>
      </c>
      <c r="F7257" s="15" t="s">
        <v>18</v>
      </c>
      <c r="G7257" s="15" t="s">
        <v>30</v>
      </c>
      <c r="H7257" s="15" t="n">
        <v>3</v>
      </c>
      <c r="I7257" s="17" t="n">
        <v>0</v>
      </c>
      <c r="J7257" s="18" t="n">
        <v>148.26</v>
      </c>
      <c r="K7257" s="19" t="n">
        <v>38.73</v>
      </c>
      <c r="L7257" s="15" t="n">
        <f aca="false">YEAR(B7257)</f>
        <v>2022</v>
      </c>
      <c r="M7257" s="20" t="n">
        <f aca="false">IF(J7257&gt;0,K7257/J7257,0)</f>
        <v>0.261230271145285</v>
      </c>
    </row>
    <row r="7258" customFormat="false" ht="15" hidden="false" customHeight="false" outlineLevel="0" collapsed="false">
      <c r="A7258" s="15" t="s">
        <v>7315</v>
      </c>
      <c r="B7258" s="16" t="n">
        <v>45216</v>
      </c>
      <c r="C7258" s="15" t="s">
        <v>71</v>
      </c>
      <c r="D7258" s="15" t="s">
        <v>42</v>
      </c>
      <c r="E7258" s="15" t="s">
        <v>36</v>
      </c>
      <c r="F7258" s="15" t="s">
        <v>17</v>
      </c>
      <c r="G7258" s="15" t="s">
        <v>29</v>
      </c>
      <c r="H7258" s="15" t="n">
        <v>4</v>
      </c>
      <c r="I7258" s="17" t="n">
        <v>0.1</v>
      </c>
      <c r="J7258" s="18" t="n">
        <v>57.21</v>
      </c>
      <c r="K7258" s="19" t="n">
        <v>13.08</v>
      </c>
      <c r="L7258" s="15" t="n">
        <f aca="false">YEAR(B7258)</f>
        <v>2023</v>
      </c>
      <c r="M7258" s="20" t="n">
        <f aca="false">IF(J7258&gt;0,K7258/J7258,0)</f>
        <v>0.228631358154169</v>
      </c>
    </row>
    <row r="7259" customFormat="false" ht="15" hidden="false" customHeight="false" outlineLevel="0" collapsed="false">
      <c r="A7259" s="15" t="s">
        <v>7316</v>
      </c>
      <c r="B7259" s="16" t="n">
        <v>45255</v>
      </c>
      <c r="C7259" s="15" t="s">
        <v>56</v>
      </c>
      <c r="D7259" s="15" t="s">
        <v>44</v>
      </c>
      <c r="E7259" s="15" t="s">
        <v>36</v>
      </c>
      <c r="F7259" s="15" t="s">
        <v>18</v>
      </c>
      <c r="G7259" s="15" t="s">
        <v>30</v>
      </c>
      <c r="H7259" s="15" t="n">
        <v>4</v>
      </c>
      <c r="I7259" s="17" t="n">
        <v>0.4</v>
      </c>
      <c r="J7259" s="18" t="n">
        <v>92.04</v>
      </c>
      <c r="K7259" s="19" t="n">
        <v>-3.43</v>
      </c>
      <c r="L7259" s="15" t="n">
        <f aca="false">YEAR(B7259)</f>
        <v>2023</v>
      </c>
      <c r="M7259" s="20" t="n">
        <f aca="false">IF(J7259&gt;0,K7259/J7259,0)</f>
        <v>-0.0372664059104737</v>
      </c>
    </row>
    <row r="7260" customFormat="false" ht="15" hidden="false" customHeight="false" outlineLevel="0" collapsed="false">
      <c r="A7260" s="15" t="s">
        <v>7317</v>
      </c>
      <c r="B7260" s="16" t="n">
        <v>45592</v>
      </c>
      <c r="C7260" s="15" t="s">
        <v>71</v>
      </c>
      <c r="D7260" s="15" t="s">
        <v>43</v>
      </c>
      <c r="E7260" s="15" t="s">
        <v>39</v>
      </c>
      <c r="F7260" s="15" t="s">
        <v>17</v>
      </c>
      <c r="G7260" s="15" t="s">
        <v>29</v>
      </c>
      <c r="H7260" s="15" t="n">
        <v>2</v>
      </c>
      <c r="I7260" s="17" t="n">
        <v>0</v>
      </c>
      <c r="J7260" s="18" t="n">
        <v>45.81</v>
      </c>
      <c r="K7260" s="19" t="n">
        <v>17.56</v>
      </c>
      <c r="L7260" s="15" t="n">
        <f aca="false">YEAR(B7260)</f>
        <v>2024</v>
      </c>
      <c r="M7260" s="20" t="n">
        <f aca="false">IF(J7260&gt;0,K7260/J7260,0)</f>
        <v>0.383322418685876</v>
      </c>
    </row>
    <row r="7261" customFormat="false" ht="15" hidden="false" customHeight="false" outlineLevel="0" collapsed="false">
      <c r="A7261" s="15" t="s">
        <v>7318</v>
      </c>
      <c r="B7261" s="16" t="n">
        <v>45939</v>
      </c>
      <c r="C7261" s="15" t="s">
        <v>71</v>
      </c>
      <c r="D7261" s="15" t="s">
        <v>42</v>
      </c>
      <c r="E7261" s="15" t="s">
        <v>39</v>
      </c>
      <c r="F7261" s="15" t="s">
        <v>17</v>
      </c>
      <c r="G7261" s="15" t="s">
        <v>26</v>
      </c>
      <c r="H7261" s="15" t="n">
        <v>2</v>
      </c>
      <c r="I7261" s="17" t="n">
        <v>0</v>
      </c>
      <c r="J7261" s="18" t="n">
        <v>175.24</v>
      </c>
      <c r="K7261" s="19" t="n">
        <v>26.04</v>
      </c>
      <c r="L7261" s="15" t="n">
        <f aca="false">YEAR(B7261)</f>
        <v>2025</v>
      </c>
      <c r="M7261" s="20" t="n">
        <f aca="false">IF(J7261&gt;0,K7261/J7261,0)</f>
        <v>0.148596210910751</v>
      </c>
    </row>
    <row r="7262" customFormat="false" ht="15" hidden="false" customHeight="false" outlineLevel="0" collapsed="false">
      <c r="A7262" s="15" t="s">
        <v>7319</v>
      </c>
      <c r="B7262" s="16" t="n">
        <v>45694</v>
      </c>
      <c r="C7262" s="15" t="s">
        <v>71</v>
      </c>
      <c r="D7262" s="15" t="s">
        <v>43</v>
      </c>
      <c r="E7262" s="15" t="s">
        <v>37</v>
      </c>
      <c r="F7262" s="15" t="s">
        <v>17</v>
      </c>
      <c r="G7262" s="15" t="s">
        <v>29</v>
      </c>
      <c r="H7262" s="15" t="n">
        <v>4</v>
      </c>
      <c r="I7262" s="17" t="n">
        <v>0</v>
      </c>
      <c r="J7262" s="18" t="n">
        <v>81.86</v>
      </c>
      <c r="K7262" s="19" t="n">
        <v>31.16</v>
      </c>
      <c r="L7262" s="15" t="n">
        <f aca="false">YEAR(B7262)</f>
        <v>2025</v>
      </c>
      <c r="M7262" s="20" t="n">
        <f aca="false">IF(J7262&gt;0,K7262/J7262,0)</f>
        <v>0.380649890056194</v>
      </c>
    </row>
    <row r="7263" customFormat="false" ht="15" hidden="false" customHeight="false" outlineLevel="0" collapsed="false">
      <c r="A7263" s="15" t="s">
        <v>7320</v>
      </c>
      <c r="B7263" s="16" t="n">
        <v>45504</v>
      </c>
      <c r="C7263" s="15" t="s">
        <v>56</v>
      </c>
      <c r="D7263" s="15" t="s">
        <v>44</v>
      </c>
      <c r="E7263" s="15" t="s">
        <v>38</v>
      </c>
      <c r="F7263" s="15" t="s">
        <v>18</v>
      </c>
      <c r="G7263" s="15" t="s">
        <v>30</v>
      </c>
      <c r="H7263" s="15" t="n">
        <v>4</v>
      </c>
      <c r="I7263" s="17" t="n">
        <v>0</v>
      </c>
      <c r="J7263" s="18" t="n">
        <v>163.75</v>
      </c>
      <c r="K7263" s="19" t="n">
        <v>51.33</v>
      </c>
      <c r="L7263" s="15" t="n">
        <f aca="false">YEAR(B7263)</f>
        <v>2024</v>
      </c>
      <c r="M7263" s="20" t="n">
        <f aca="false">IF(J7263&gt;0,K7263/J7263,0)</f>
        <v>0.313465648854962</v>
      </c>
    </row>
    <row r="7264" customFormat="false" ht="15" hidden="false" customHeight="false" outlineLevel="0" collapsed="false">
      <c r="A7264" s="15" t="s">
        <v>7321</v>
      </c>
      <c r="B7264" s="16" t="n">
        <v>44895</v>
      </c>
      <c r="C7264" s="15" t="s">
        <v>71</v>
      </c>
      <c r="D7264" s="15" t="s">
        <v>43</v>
      </c>
      <c r="E7264" s="15" t="s">
        <v>38</v>
      </c>
      <c r="F7264" s="15" t="s">
        <v>17</v>
      </c>
      <c r="G7264" s="15" t="s">
        <v>31</v>
      </c>
      <c r="H7264" s="15" t="n">
        <v>3</v>
      </c>
      <c r="I7264" s="17" t="n">
        <v>0</v>
      </c>
      <c r="J7264" s="18" t="n">
        <v>382.1</v>
      </c>
      <c r="K7264" s="19" t="n">
        <v>61.67</v>
      </c>
      <c r="L7264" s="15" t="n">
        <f aca="false">YEAR(B7264)</f>
        <v>2022</v>
      </c>
      <c r="M7264" s="20" t="n">
        <f aca="false">IF(J7264&gt;0,K7264/J7264,0)</f>
        <v>0.161397539911018</v>
      </c>
    </row>
    <row r="7265" customFormat="false" ht="15" hidden="false" customHeight="false" outlineLevel="0" collapsed="false">
      <c r="A7265" s="15" t="s">
        <v>7322</v>
      </c>
      <c r="B7265" s="16" t="n">
        <v>45247</v>
      </c>
      <c r="C7265" s="15" t="s">
        <v>56</v>
      </c>
      <c r="D7265" s="15" t="s">
        <v>42</v>
      </c>
      <c r="E7265" s="15" t="s">
        <v>39</v>
      </c>
      <c r="F7265" s="15" t="s">
        <v>17</v>
      </c>
      <c r="G7265" s="15" t="s">
        <v>29</v>
      </c>
      <c r="H7265" s="15" t="n">
        <v>2</v>
      </c>
      <c r="I7265" s="17" t="n">
        <v>0.15</v>
      </c>
      <c r="J7265" s="18" t="n">
        <v>29.79</v>
      </c>
      <c r="K7265" s="19" t="n">
        <v>6.5</v>
      </c>
      <c r="L7265" s="15" t="n">
        <f aca="false">YEAR(B7265)</f>
        <v>2023</v>
      </c>
      <c r="M7265" s="20" t="n">
        <f aca="false">IF(J7265&gt;0,K7265/J7265,0)</f>
        <v>0.218194024840551</v>
      </c>
    </row>
    <row r="7266" customFormat="false" ht="15" hidden="false" customHeight="false" outlineLevel="0" collapsed="false">
      <c r="A7266" s="15" t="s">
        <v>7323</v>
      </c>
      <c r="B7266" s="16" t="n">
        <v>46006</v>
      </c>
      <c r="C7266" s="15" t="s">
        <v>56</v>
      </c>
      <c r="D7266" s="15" t="s">
        <v>43</v>
      </c>
      <c r="E7266" s="15" t="s">
        <v>37</v>
      </c>
      <c r="F7266" s="15" t="s">
        <v>16</v>
      </c>
      <c r="G7266" s="15" t="s">
        <v>27</v>
      </c>
      <c r="H7266" s="15" t="n">
        <v>3</v>
      </c>
      <c r="I7266" s="17" t="n">
        <v>0.05</v>
      </c>
      <c r="J7266" s="18" t="n">
        <v>200.27</v>
      </c>
      <c r="K7266" s="19" t="n">
        <v>44.22</v>
      </c>
      <c r="L7266" s="15" t="n">
        <f aca="false">YEAR(B7266)</f>
        <v>2025</v>
      </c>
      <c r="M7266" s="20" t="n">
        <f aca="false">IF(J7266&gt;0,K7266/J7266,0)</f>
        <v>0.220801917411494</v>
      </c>
    </row>
    <row r="7267" customFormat="false" ht="15" hidden="false" customHeight="false" outlineLevel="0" collapsed="false">
      <c r="A7267" s="15" t="s">
        <v>7324</v>
      </c>
      <c r="B7267" s="16" t="n">
        <v>45706</v>
      </c>
      <c r="C7267" s="15" t="s">
        <v>56</v>
      </c>
      <c r="D7267" s="15" t="s">
        <v>43</v>
      </c>
      <c r="E7267" s="15" t="s">
        <v>39</v>
      </c>
      <c r="F7267" s="15" t="s">
        <v>17</v>
      </c>
      <c r="G7267" s="15" t="s">
        <v>31</v>
      </c>
      <c r="H7267" s="15" t="n">
        <v>5</v>
      </c>
      <c r="I7267" s="17" t="n">
        <v>0</v>
      </c>
      <c r="J7267" s="18" t="n">
        <v>691.71</v>
      </c>
      <c r="K7267" s="19" t="n">
        <v>133.04</v>
      </c>
      <c r="L7267" s="15" t="n">
        <f aca="false">YEAR(B7267)</f>
        <v>2025</v>
      </c>
      <c r="M7267" s="20" t="n">
        <f aca="false">IF(J7267&gt;0,K7267/J7267,0)</f>
        <v>0.192334938052074</v>
      </c>
    </row>
    <row r="7268" customFormat="false" ht="15" hidden="false" customHeight="false" outlineLevel="0" collapsed="false">
      <c r="A7268" s="15" t="s">
        <v>7325</v>
      </c>
      <c r="B7268" s="16" t="n">
        <v>44922</v>
      </c>
      <c r="C7268" s="15" t="s">
        <v>56</v>
      </c>
      <c r="D7268" s="15" t="s">
        <v>42</v>
      </c>
      <c r="E7268" s="15" t="s">
        <v>37</v>
      </c>
      <c r="F7268" s="15" t="s">
        <v>17</v>
      </c>
      <c r="G7268" s="15" t="s">
        <v>31</v>
      </c>
      <c r="H7268" s="15" t="n">
        <v>3</v>
      </c>
      <c r="I7268" s="17" t="n">
        <v>0.05</v>
      </c>
      <c r="J7268" s="18" t="n">
        <v>386.95</v>
      </c>
      <c r="K7268" s="19" t="n">
        <v>44.27</v>
      </c>
      <c r="L7268" s="15" t="n">
        <f aca="false">YEAR(B7268)</f>
        <v>2022</v>
      </c>
      <c r="M7268" s="20" t="n">
        <f aca="false">IF(J7268&gt;0,K7268/J7268,0)</f>
        <v>0.114407546194599</v>
      </c>
    </row>
    <row r="7269" customFormat="false" ht="15" hidden="false" customHeight="false" outlineLevel="0" collapsed="false">
      <c r="A7269" s="15" t="s">
        <v>7326</v>
      </c>
      <c r="B7269" s="16" t="n">
        <v>44755</v>
      </c>
      <c r="C7269" s="15" t="s">
        <v>71</v>
      </c>
      <c r="D7269" s="15" t="s">
        <v>42</v>
      </c>
      <c r="E7269" s="15" t="s">
        <v>38</v>
      </c>
      <c r="F7269" s="15" t="s">
        <v>18</v>
      </c>
      <c r="G7269" s="15" t="s">
        <v>30</v>
      </c>
      <c r="H7269" s="15" t="n">
        <v>3</v>
      </c>
      <c r="I7269" s="17" t="n">
        <v>0</v>
      </c>
      <c r="J7269" s="18" t="n">
        <v>127.38</v>
      </c>
      <c r="K7269" s="19" t="n">
        <v>35.22</v>
      </c>
      <c r="L7269" s="15" t="n">
        <f aca="false">YEAR(B7269)</f>
        <v>2022</v>
      </c>
      <c r="M7269" s="20" t="n">
        <f aca="false">IF(J7269&gt;0,K7269/J7269,0)</f>
        <v>0.276495525200188</v>
      </c>
    </row>
    <row r="7270" customFormat="false" ht="15" hidden="false" customHeight="false" outlineLevel="0" collapsed="false">
      <c r="A7270" s="15" t="s">
        <v>7327</v>
      </c>
      <c r="B7270" s="16" t="n">
        <v>44755</v>
      </c>
      <c r="C7270" s="15" t="s">
        <v>68</v>
      </c>
      <c r="D7270" s="15" t="s">
        <v>42</v>
      </c>
      <c r="E7270" s="15" t="s">
        <v>36</v>
      </c>
      <c r="F7270" s="15" t="s">
        <v>18</v>
      </c>
      <c r="G7270" s="15" t="s">
        <v>32</v>
      </c>
      <c r="H7270" s="15" t="n">
        <v>6</v>
      </c>
      <c r="I7270" s="17" t="n">
        <v>0.2</v>
      </c>
      <c r="J7270" s="18" t="n">
        <v>1614.21</v>
      </c>
      <c r="K7270" s="19" t="n">
        <v>-90.67</v>
      </c>
      <c r="L7270" s="15" t="n">
        <f aca="false">YEAR(B7270)</f>
        <v>2022</v>
      </c>
      <c r="M7270" s="20" t="n">
        <f aca="false">IF(J7270&gt;0,K7270/J7270,0)</f>
        <v>-0.0561698911541869</v>
      </c>
    </row>
    <row r="7271" customFormat="false" ht="15" hidden="false" customHeight="false" outlineLevel="0" collapsed="false">
      <c r="A7271" s="15" t="s">
        <v>7328</v>
      </c>
      <c r="B7271" s="16" t="n">
        <v>45928</v>
      </c>
      <c r="C7271" s="15" t="s">
        <v>68</v>
      </c>
      <c r="D7271" s="15" t="s">
        <v>43</v>
      </c>
      <c r="E7271" s="15" t="s">
        <v>36</v>
      </c>
      <c r="F7271" s="15" t="s">
        <v>17</v>
      </c>
      <c r="G7271" s="15" t="s">
        <v>31</v>
      </c>
      <c r="H7271" s="15" t="n">
        <v>4</v>
      </c>
      <c r="I7271" s="17" t="n">
        <v>0.05</v>
      </c>
      <c r="J7271" s="18" t="n">
        <v>447.29</v>
      </c>
      <c r="K7271" s="19" t="n">
        <v>70.14</v>
      </c>
      <c r="L7271" s="15" t="n">
        <f aca="false">YEAR(B7271)</f>
        <v>2025</v>
      </c>
      <c r="M7271" s="20" t="n">
        <f aca="false">IF(J7271&gt;0,K7271/J7271,0)</f>
        <v>0.156811017460708</v>
      </c>
    </row>
    <row r="7272" customFormat="false" ht="15" hidden="false" customHeight="false" outlineLevel="0" collapsed="false">
      <c r="A7272" s="15" t="s">
        <v>7329</v>
      </c>
      <c r="B7272" s="16" t="n">
        <v>44928</v>
      </c>
      <c r="C7272" s="15" t="s">
        <v>68</v>
      </c>
      <c r="D7272" s="15" t="s">
        <v>42</v>
      </c>
      <c r="E7272" s="15" t="s">
        <v>39</v>
      </c>
      <c r="F7272" s="15" t="s">
        <v>16</v>
      </c>
      <c r="G7272" s="15" t="s">
        <v>25</v>
      </c>
      <c r="H7272" s="15" t="n">
        <v>3</v>
      </c>
      <c r="I7272" s="17" t="n">
        <v>0</v>
      </c>
      <c r="J7272" s="18" t="n">
        <v>758.95</v>
      </c>
      <c r="K7272" s="19" t="n">
        <v>53.15</v>
      </c>
      <c r="L7272" s="15" t="n">
        <f aca="false">YEAR(B7272)</f>
        <v>2023</v>
      </c>
      <c r="M7272" s="20" t="n">
        <f aca="false">IF(J7272&gt;0,K7272/J7272,0)</f>
        <v>0.0700309638316095</v>
      </c>
    </row>
    <row r="7273" customFormat="false" ht="15" hidden="false" customHeight="false" outlineLevel="0" collapsed="false">
      <c r="A7273" s="15" t="s">
        <v>7330</v>
      </c>
      <c r="B7273" s="16" t="n">
        <v>44959</v>
      </c>
      <c r="C7273" s="15" t="s">
        <v>56</v>
      </c>
      <c r="D7273" s="15" t="s">
        <v>42</v>
      </c>
      <c r="E7273" s="15" t="s">
        <v>39</v>
      </c>
      <c r="F7273" s="15" t="s">
        <v>16</v>
      </c>
      <c r="G7273" s="15" t="s">
        <v>22</v>
      </c>
      <c r="H7273" s="15" t="n">
        <v>3</v>
      </c>
      <c r="I7273" s="17" t="n">
        <v>0.4</v>
      </c>
      <c r="J7273" s="18" t="n">
        <v>936.05</v>
      </c>
      <c r="K7273" s="19" t="n">
        <v>-349.5</v>
      </c>
      <c r="L7273" s="15" t="n">
        <f aca="false">YEAR(B7273)</f>
        <v>2023</v>
      </c>
      <c r="M7273" s="20" t="n">
        <f aca="false">IF(J7273&gt;0,K7273/J7273,0)</f>
        <v>-0.373377490518669</v>
      </c>
    </row>
    <row r="7274" customFormat="false" ht="15" hidden="false" customHeight="false" outlineLevel="0" collapsed="false">
      <c r="A7274" s="15" t="s">
        <v>7331</v>
      </c>
      <c r="B7274" s="16" t="n">
        <v>45192</v>
      </c>
      <c r="C7274" s="15" t="s">
        <v>56</v>
      </c>
      <c r="D7274" s="15" t="s">
        <v>43</v>
      </c>
      <c r="E7274" s="15" t="s">
        <v>37</v>
      </c>
      <c r="F7274" s="15" t="s">
        <v>18</v>
      </c>
      <c r="G7274" s="15" t="s">
        <v>30</v>
      </c>
      <c r="H7274" s="15" t="n">
        <v>5</v>
      </c>
      <c r="I7274" s="17" t="n">
        <v>0.4</v>
      </c>
      <c r="J7274" s="18" t="n">
        <v>161.28</v>
      </c>
      <c r="K7274" s="19" t="n">
        <v>-8.53</v>
      </c>
      <c r="L7274" s="15" t="n">
        <f aca="false">YEAR(B7274)</f>
        <v>2023</v>
      </c>
      <c r="M7274" s="20" t="n">
        <f aca="false">IF(J7274&gt;0,K7274/J7274,0)</f>
        <v>-0.0528893849206349</v>
      </c>
    </row>
    <row r="7275" customFormat="false" ht="15" hidden="false" customHeight="false" outlineLevel="0" collapsed="false">
      <c r="A7275" s="15" t="s">
        <v>7332</v>
      </c>
      <c r="B7275" s="16" t="n">
        <v>45245</v>
      </c>
      <c r="C7275" s="15" t="s">
        <v>56</v>
      </c>
      <c r="D7275" s="15" t="s">
        <v>43</v>
      </c>
      <c r="E7275" s="15" t="s">
        <v>37</v>
      </c>
      <c r="F7275" s="15" t="s">
        <v>17</v>
      </c>
      <c r="G7275" s="15" t="s">
        <v>29</v>
      </c>
      <c r="H7275" s="15" t="n">
        <v>3</v>
      </c>
      <c r="I7275" s="17" t="n">
        <v>0.2</v>
      </c>
      <c r="J7275" s="18" t="n">
        <v>53.65</v>
      </c>
      <c r="K7275" s="19" t="n">
        <v>10.57</v>
      </c>
      <c r="L7275" s="15" t="n">
        <f aca="false">YEAR(B7275)</f>
        <v>2023</v>
      </c>
      <c r="M7275" s="20" t="n">
        <f aca="false">IF(J7275&gt;0,K7275/J7275,0)</f>
        <v>0.197017707362535</v>
      </c>
    </row>
    <row r="7276" customFormat="false" ht="15" hidden="false" customHeight="false" outlineLevel="0" collapsed="false">
      <c r="A7276" s="15" t="s">
        <v>7333</v>
      </c>
      <c r="B7276" s="16" t="n">
        <v>44786</v>
      </c>
      <c r="C7276" s="15" t="s">
        <v>68</v>
      </c>
      <c r="D7276" s="15" t="s">
        <v>42</v>
      </c>
      <c r="E7276" s="15" t="s">
        <v>36</v>
      </c>
      <c r="F7276" s="15" t="s">
        <v>18</v>
      </c>
      <c r="G7276" s="15" t="s">
        <v>33</v>
      </c>
      <c r="H7276" s="15" t="n">
        <v>4</v>
      </c>
      <c r="I7276" s="17" t="n">
        <v>0.1</v>
      </c>
      <c r="J7276" s="18" t="n">
        <v>3056.09</v>
      </c>
      <c r="K7276" s="19" t="n">
        <v>797.21</v>
      </c>
      <c r="L7276" s="15" t="n">
        <f aca="false">YEAR(B7276)</f>
        <v>2022</v>
      </c>
      <c r="M7276" s="20" t="n">
        <f aca="false">IF(J7276&gt;0,K7276/J7276,0)</f>
        <v>0.26085946421735</v>
      </c>
    </row>
    <row r="7277" customFormat="false" ht="15" hidden="false" customHeight="false" outlineLevel="0" collapsed="false">
      <c r="A7277" s="15" t="s">
        <v>7334</v>
      </c>
      <c r="B7277" s="16" t="n">
        <v>45288</v>
      </c>
      <c r="C7277" s="15" t="s">
        <v>56</v>
      </c>
      <c r="D7277" s="15" t="s">
        <v>43</v>
      </c>
      <c r="E7277" s="15" t="s">
        <v>39</v>
      </c>
      <c r="F7277" s="15" t="s">
        <v>17</v>
      </c>
      <c r="G7277" s="15" t="s">
        <v>29</v>
      </c>
      <c r="H7277" s="15" t="n">
        <v>5</v>
      </c>
      <c r="I7277" s="17" t="n">
        <v>0</v>
      </c>
      <c r="J7277" s="18" t="n">
        <v>99.54</v>
      </c>
      <c r="K7277" s="19" t="n">
        <v>42.87</v>
      </c>
      <c r="L7277" s="15" t="n">
        <f aca="false">YEAR(B7277)</f>
        <v>2023</v>
      </c>
      <c r="M7277" s="20" t="n">
        <f aca="false">IF(J7277&gt;0,K7277/J7277,0)</f>
        <v>0.430681133212779</v>
      </c>
    </row>
    <row r="7278" customFormat="false" ht="15" hidden="false" customHeight="false" outlineLevel="0" collapsed="false">
      <c r="A7278" s="15" t="s">
        <v>7335</v>
      </c>
      <c r="B7278" s="16" t="n">
        <v>45822</v>
      </c>
      <c r="C7278" s="15" t="s">
        <v>56</v>
      </c>
      <c r="D7278" s="15" t="s">
        <v>42</v>
      </c>
      <c r="E7278" s="15" t="s">
        <v>38</v>
      </c>
      <c r="F7278" s="15" t="s">
        <v>16</v>
      </c>
      <c r="G7278" s="15" t="s">
        <v>27</v>
      </c>
      <c r="H7278" s="15" t="n">
        <v>2</v>
      </c>
      <c r="I7278" s="17" t="n">
        <v>0</v>
      </c>
      <c r="J7278" s="18" t="n">
        <v>96.18</v>
      </c>
      <c r="K7278" s="19" t="n">
        <v>23.57</v>
      </c>
      <c r="L7278" s="15" t="n">
        <f aca="false">YEAR(B7278)</f>
        <v>2025</v>
      </c>
      <c r="M7278" s="20" t="n">
        <f aca="false">IF(J7278&gt;0,K7278/J7278,0)</f>
        <v>0.245061343314618</v>
      </c>
    </row>
    <row r="7279" customFormat="false" ht="15" hidden="false" customHeight="false" outlineLevel="0" collapsed="false">
      <c r="A7279" s="15" t="s">
        <v>7336</v>
      </c>
      <c r="B7279" s="16" t="n">
        <v>45568</v>
      </c>
      <c r="C7279" s="15" t="s">
        <v>56</v>
      </c>
      <c r="D7279" s="15" t="s">
        <v>44</v>
      </c>
      <c r="E7279" s="15" t="s">
        <v>39</v>
      </c>
      <c r="F7279" s="15" t="s">
        <v>17</v>
      </c>
      <c r="G7279" s="15" t="s">
        <v>29</v>
      </c>
      <c r="H7279" s="15" t="n">
        <v>5</v>
      </c>
      <c r="I7279" s="17" t="n">
        <v>0</v>
      </c>
      <c r="J7279" s="18" t="n">
        <v>132.16</v>
      </c>
      <c r="K7279" s="19" t="n">
        <v>51.03</v>
      </c>
      <c r="L7279" s="15" t="n">
        <f aca="false">YEAR(B7279)</f>
        <v>2024</v>
      </c>
      <c r="M7279" s="20" t="n">
        <f aca="false">IF(J7279&gt;0,K7279/J7279,0)</f>
        <v>0.386122881355932</v>
      </c>
    </row>
    <row r="7280" customFormat="false" ht="15" hidden="false" customHeight="false" outlineLevel="0" collapsed="false">
      <c r="A7280" s="15" t="s">
        <v>7337</v>
      </c>
      <c r="B7280" s="16" t="n">
        <v>45551</v>
      </c>
      <c r="C7280" s="15" t="s">
        <v>71</v>
      </c>
      <c r="D7280" s="15" t="s">
        <v>44</v>
      </c>
      <c r="E7280" s="15" t="s">
        <v>36</v>
      </c>
      <c r="F7280" s="15" t="s">
        <v>17</v>
      </c>
      <c r="G7280" s="15" t="s">
        <v>29</v>
      </c>
      <c r="H7280" s="15" t="n">
        <v>5</v>
      </c>
      <c r="I7280" s="17" t="n">
        <v>0.2</v>
      </c>
      <c r="J7280" s="18" t="n">
        <v>55.81</v>
      </c>
      <c r="K7280" s="19" t="n">
        <v>10.32</v>
      </c>
      <c r="L7280" s="15" t="n">
        <f aca="false">YEAR(B7280)</f>
        <v>2024</v>
      </c>
      <c r="M7280" s="20" t="n">
        <f aca="false">IF(J7280&gt;0,K7280/J7280,0)</f>
        <v>0.184913098011109</v>
      </c>
    </row>
    <row r="7281" customFormat="false" ht="15" hidden="false" customHeight="false" outlineLevel="0" collapsed="false">
      <c r="A7281" s="15" t="s">
        <v>7338</v>
      </c>
      <c r="B7281" s="16" t="n">
        <v>45623</v>
      </c>
      <c r="C7281" s="15" t="s">
        <v>58</v>
      </c>
      <c r="D7281" s="15" t="s">
        <v>43</v>
      </c>
      <c r="E7281" s="15" t="s">
        <v>39</v>
      </c>
      <c r="F7281" s="15" t="s">
        <v>18</v>
      </c>
      <c r="G7281" s="15" t="s">
        <v>30</v>
      </c>
      <c r="H7281" s="15" t="n">
        <v>7</v>
      </c>
      <c r="I7281" s="17" t="n">
        <v>0.2</v>
      </c>
      <c r="J7281" s="18" t="n">
        <v>314.72</v>
      </c>
      <c r="K7281" s="19" t="n">
        <v>37.06</v>
      </c>
      <c r="L7281" s="15" t="n">
        <f aca="false">YEAR(B7281)</f>
        <v>2024</v>
      </c>
      <c r="M7281" s="20" t="n">
        <f aca="false">IF(J7281&gt;0,K7281/J7281,0)</f>
        <v>0.117755465175394</v>
      </c>
    </row>
    <row r="7282" customFormat="false" ht="15" hidden="false" customHeight="false" outlineLevel="0" collapsed="false">
      <c r="A7282" s="15" t="s">
        <v>7339</v>
      </c>
      <c r="B7282" s="16" t="n">
        <v>44905</v>
      </c>
      <c r="C7282" s="15" t="s">
        <v>71</v>
      </c>
      <c r="D7282" s="15" t="s">
        <v>42</v>
      </c>
      <c r="E7282" s="15" t="s">
        <v>37</v>
      </c>
      <c r="F7282" s="15" t="s">
        <v>17</v>
      </c>
      <c r="G7282" s="15" t="s">
        <v>26</v>
      </c>
      <c r="H7282" s="15" t="n">
        <v>3</v>
      </c>
      <c r="I7282" s="17" t="n">
        <v>0</v>
      </c>
      <c r="J7282" s="18" t="n">
        <v>254.81</v>
      </c>
      <c r="K7282" s="19" t="n">
        <v>29.68</v>
      </c>
      <c r="L7282" s="15" t="n">
        <f aca="false">YEAR(B7282)</f>
        <v>2022</v>
      </c>
      <c r="M7282" s="20" t="n">
        <f aca="false">IF(J7282&gt;0,K7282/J7282,0)</f>
        <v>0.116478945096346</v>
      </c>
    </row>
    <row r="7283" customFormat="false" ht="15" hidden="false" customHeight="false" outlineLevel="0" collapsed="false">
      <c r="A7283" s="15" t="s">
        <v>7340</v>
      </c>
      <c r="B7283" s="16" t="n">
        <v>45330</v>
      </c>
      <c r="C7283" s="15" t="s">
        <v>68</v>
      </c>
      <c r="D7283" s="15" t="s">
        <v>42</v>
      </c>
      <c r="E7283" s="15" t="s">
        <v>37</v>
      </c>
      <c r="F7283" s="15" t="s">
        <v>17</v>
      </c>
      <c r="G7283" s="15" t="s">
        <v>31</v>
      </c>
      <c r="H7283" s="15" t="n">
        <v>5</v>
      </c>
      <c r="I7283" s="17" t="n">
        <v>0.4</v>
      </c>
      <c r="J7283" s="18" t="n">
        <v>344.05</v>
      </c>
      <c r="K7283" s="19" t="n">
        <v>-61.68</v>
      </c>
      <c r="L7283" s="15" t="n">
        <f aca="false">YEAR(B7283)</f>
        <v>2024</v>
      </c>
      <c r="M7283" s="20" t="n">
        <f aca="false">IF(J7283&gt;0,K7283/J7283,0)</f>
        <v>-0.179276267984305</v>
      </c>
    </row>
    <row r="7284" customFormat="false" ht="15" hidden="false" customHeight="false" outlineLevel="0" collapsed="false">
      <c r="A7284" s="15" t="s">
        <v>7341</v>
      </c>
      <c r="B7284" s="16" t="n">
        <v>45297</v>
      </c>
      <c r="C7284" s="15" t="s">
        <v>58</v>
      </c>
      <c r="D7284" s="15" t="s">
        <v>44</v>
      </c>
      <c r="E7284" s="15" t="s">
        <v>37</v>
      </c>
      <c r="F7284" s="15" t="s">
        <v>16</v>
      </c>
      <c r="G7284" s="15" t="s">
        <v>23</v>
      </c>
      <c r="H7284" s="15" t="n">
        <v>4</v>
      </c>
      <c r="I7284" s="17" t="n">
        <v>0.1</v>
      </c>
      <c r="J7284" s="18" t="n">
        <v>1173.57</v>
      </c>
      <c r="K7284" s="19" t="n">
        <v>-93.65</v>
      </c>
      <c r="L7284" s="15" t="n">
        <f aca="false">YEAR(B7284)</f>
        <v>2024</v>
      </c>
      <c r="M7284" s="20" t="n">
        <f aca="false">IF(J7284&gt;0,K7284/J7284,0)</f>
        <v>-0.0797992450386428</v>
      </c>
    </row>
    <row r="7285" customFormat="false" ht="15" hidden="false" customHeight="false" outlineLevel="0" collapsed="false">
      <c r="A7285" s="15" t="s">
        <v>7342</v>
      </c>
      <c r="B7285" s="16" t="n">
        <v>45973</v>
      </c>
      <c r="C7285" s="15" t="s">
        <v>56</v>
      </c>
      <c r="D7285" s="15" t="s">
        <v>43</v>
      </c>
      <c r="E7285" s="15" t="s">
        <v>39</v>
      </c>
      <c r="F7285" s="15" t="s">
        <v>17</v>
      </c>
      <c r="G7285" s="15" t="s">
        <v>31</v>
      </c>
      <c r="H7285" s="15" t="n">
        <v>2</v>
      </c>
      <c r="I7285" s="17" t="n">
        <v>0.15</v>
      </c>
      <c r="J7285" s="18" t="n">
        <v>225.41</v>
      </c>
      <c r="K7285" s="19" t="n">
        <v>30.79</v>
      </c>
      <c r="L7285" s="15" t="n">
        <f aca="false">YEAR(B7285)</f>
        <v>2025</v>
      </c>
      <c r="M7285" s="20" t="n">
        <f aca="false">IF(J7285&gt;0,K7285/J7285,0)</f>
        <v>0.136595537021428</v>
      </c>
    </row>
    <row r="7286" customFormat="false" ht="15" hidden="false" customHeight="false" outlineLevel="0" collapsed="false">
      <c r="A7286" s="15" t="s">
        <v>7343</v>
      </c>
      <c r="B7286" s="16" t="n">
        <v>45670</v>
      </c>
      <c r="C7286" s="15" t="s">
        <v>56</v>
      </c>
      <c r="D7286" s="15" t="s">
        <v>43</v>
      </c>
      <c r="E7286" s="15" t="s">
        <v>38</v>
      </c>
      <c r="F7286" s="15" t="s">
        <v>17</v>
      </c>
      <c r="G7286" s="15" t="s">
        <v>28</v>
      </c>
      <c r="H7286" s="15" t="n">
        <v>5</v>
      </c>
      <c r="I7286" s="17" t="n">
        <v>0</v>
      </c>
      <c r="J7286" s="18" t="n">
        <v>131.36</v>
      </c>
      <c r="K7286" s="19" t="n">
        <v>36.26</v>
      </c>
      <c r="L7286" s="15" t="n">
        <f aca="false">YEAR(B7286)</f>
        <v>2025</v>
      </c>
      <c r="M7286" s="20" t="n">
        <f aca="false">IF(J7286&gt;0,K7286/J7286,0)</f>
        <v>0.276035322777101</v>
      </c>
    </row>
    <row r="7287" customFormat="false" ht="15" hidden="false" customHeight="false" outlineLevel="0" collapsed="false">
      <c r="A7287" s="15" t="s">
        <v>7344</v>
      </c>
      <c r="B7287" s="16" t="n">
        <v>45316</v>
      </c>
      <c r="C7287" s="15" t="s">
        <v>56</v>
      </c>
      <c r="D7287" s="15" t="s">
        <v>43</v>
      </c>
      <c r="E7287" s="15" t="s">
        <v>37</v>
      </c>
      <c r="F7287" s="15" t="s">
        <v>17</v>
      </c>
      <c r="G7287" s="15" t="s">
        <v>28</v>
      </c>
      <c r="H7287" s="15" t="n">
        <v>3</v>
      </c>
      <c r="I7287" s="17" t="n">
        <v>0.1</v>
      </c>
      <c r="J7287" s="18" t="n">
        <v>72.83</v>
      </c>
      <c r="K7287" s="19" t="n">
        <v>10.67</v>
      </c>
      <c r="L7287" s="15" t="n">
        <f aca="false">YEAR(B7287)</f>
        <v>2024</v>
      </c>
      <c r="M7287" s="20" t="n">
        <f aca="false">IF(J7287&gt;0,K7287/J7287,0)</f>
        <v>0.146505560895235</v>
      </c>
    </row>
    <row r="7288" customFormat="false" ht="15" hidden="false" customHeight="false" outlineLevel="0" collapsed="false">
      <c r="A7288" s="15" t="s">
        <v>7345</v>
      </c>
      <c r="B7288" s="16" t="n">
        <v>44797</v>
      </c>
      <c r="C7288" s="15" t="s">
        <v>68</v>
      </c>
      <c r="D7288" s="15" t="s">
        <v>43</v>
      </c>
      <c r="E7288" s="15" t="s">
        <v>37</v>
      </c>
      <c r="F7288" s="15" t="s">
        <v>16</v>
      </c>
      <c r="G7288" s="15" t="s">
        <v>22</v>
      </c>
      <c r="H7288" s="15" t="n">
        <v>2</v>
      </c>
      <c r="I7288" s="17" t="n">
        <v>0.1</v>
      </c>
      <c r="J7288" s="18" t="n">
        <v>1011.42</v>
      </c>
      <c r="K7288" s="19" t="n">
        <v>-199.42</v>
      </c>
      <c r="L7288" s="15" t="n">
        <f aca="false">YEAR(B7288)</f>
        <v>2022</v>
      </c>
      <c r="M7288" s="20" t="n">
        <f aca="false">IF(J7288&gt;0,K7288/J7288,0)</f>
        <v>-0.197168337584782</v>
      </c>
    </row>
    <row r="7289" customFormat="false" ht="15" hidden="false" customHeight="false" outlineLevel="0" collapsed="false">
      <c r="A7289" s="15" t="s">
        <v>7346</v>
      </c>
      <c r="B7289" s="16" t="n">
        <v>45862</v>
      </c>
      <c r="C7289" s="15" t="s">
        <v>56</v>
      </c>
      <c r="D7289" s="15" t="s">
        <v>43</v>
      </c>
      <c r="E7289" s="15" t="s">
        <v>36</v>
      </c>
      <c r="F7289" s="15" t="s">
        <v>17</v>
      </c>
      <c r="G7289" s="15" t="s">
        <v>28</v>
      </c>
      <c r="H7289" s="15" t="n">
        <v>3</v>
      </c>
      <c r="I7289" s="17" t="n">
        <v>0</v>
      </c>
      <c r="J7289" s="18" t="n">
        <v>84.35</v>
      </c>
      <c r="K7289" s="19" t="n">
        <v>32.44</v>
      </c>
      <c r="L7289" s="15" t="n">
        <f aca="false">YEAR(B7289)</f>
        <v>2025</v>
      </c>
      <c r="M7289" s="20" t="n">
        <f aca="false">IF(J7289&gt;0,K7289/J7289,0)</f>
        <v>0.384588026081802</v>
      </c>
    </row>
    <row r="7290" customFormat="false" ht="15" hidden="false" customHeight="false" outlineLevel="0" collapsed="false">
      <c r="A7290" s="15" t="s">
        <v>7347</v>
      </c>
      <c r="B7290" s="16" t="n">
        <v>45952</v>
      </c>
      <c r="C7290" s="15" t="s">
        <v>68</v>
      </c>
      <c r="D7290" s="15" t="s">
        <v>42</v>
      </c>
      <c r="E7290" s="15" t="s">
        <v>39</v>
      </c>
      <c r="F7290" s="15" t="s">
        <v>17</v>
      </c>
      <c r="G7290" s="15" t="s">
        <v>28</v>
      </c>
      <c r="H7290" s="15" t="n">
        <v>4</v>
      </c>
      <c r="I7290" s="17" t="n">
        <v>0</v>
      </c>
      <c r="J7290" s="18" t="n">
        <v>98.88</v>
      </c>
      <c r="K7290" s="19" t="n">
        <v>37.88</v>
      </c>
      <c r="L7290" s="15" t="n">
        <f aca="false">YEAR(B7290)</f>
        <v>2025</v>
      </c>
      <c r="M7290" s="20" t="n">
        <f aca="false">IF(J7290&gt;0,K7290/J7290,0)</f>
        <v>0.383090614886731</v>
      </c>
    </row>
    <row r="7291" customFormat="false" ht="15" hidden="false" customHeight="false" outlineLevel="0" collapsed="false">
      <c r="A7291" s="15" t="s">
        <v>7348</v>
      </c>
      <c r="B7291" s="16" t="n">
        <v>45227</v>
      </c>
      <c r="C7291" s="15" t="s">
        <v>71</v>
      </c>
      <c r="D7291" s="15" t="s">
        <v>42</v>
      </c>
      <c r="E7291" s="15" t="s">
        <v>37</v>
      </c>
      <c r="F7291" s="15" t="s">
        <v>17</v>
      </c>
      <c r="G7291" s="15" t="s">
        <v>29</v>
      </c>
      <c r="H7291" s="15" t="n">
        <v>6</v>
      </c>
      <c r="I7291" s="17" t="n">
        <v>0.1</v>
      </c>
      <c r="J7291" s="18" t="n">
        <v>100.55</v>
      </c>
      <c r="K7291" s="19" t="n">
        <v>25.64</v>
      </c>
      <c r="L7291" s="15" t="n">
        <f aca="false">YEAR(B7291)</f>
        <v>2023</v>
      </c>
      <c r="M7291" s="20" t="n">
        <f aca="false">IF(J7291&gt;0,K7291/J7291,0)</f>
        <v>0.254997513674789</v>
      </c>
    </row>
    <row r="7292" customFormat="false" ht="15" hidden="false" customHeight="false" outlineLevel="0" collapsed="false">
      <c r="A7292" s="15" t="s">
        <v>7349</v>
      </c>
      <c r="B7292" s="16" t="n">
        <v>45137</v>
      </c>
      <c r="C7292" s="15" t="s">
        <v>71</v>
      </c>
      <c r="D7292" s="15" t="s">
        <v>42</v>
      </c>
      <c r="E7292" s="15" t="s">
        <v>37</v>
      </c>
      <c r="F7292" s="15" t="s">
        <v>16</v>
      </c>
      <c r="G7292" s="15" t="s">
        <v>23</v>
      </c>
      <c r="H7292" s="15" t="n">
        <v>4</v>
      </c>
      <c r="I7292" s="17" t="n">
        <v>0</v>
      </c>
      <c r="J7292" s="18" t="n">
        <v>1291.91</v>
      </c>
      <c r="K7292" s="19" t="n">
        <v>-53.04</v>
      </c>
      <c r="L7292" s="15" t="n">
        <f aca="false">YEAR(B7292)</f>
        <v>2023</v>
      </c>
      <c r="M7292" s="20" t="n">
        <f aca="false">IF(J7292&gt;0,K7292/J7292,0)</f>
        <v>-0.0410554914816048</v>
      </c>
    </row>
    <row r="7293" customFormat="false" ht="15" hidden="false" customHeight="false" outlineLevel="0" collapsed="false">
      <c r="A7293" s="15" t="s">
        <v>7350</v>
      </c>
      <c r="B7293" s="16" t="n">
        <v>45268</v>
      </c>
      <c r="C7293" s="15" t="s">
        <v>56</v>
      </c>
      <c r="D7293" s="15" t="s">
        <v>43</v>
      </c>
      <c r="E7293" s="15" t="s">
        <v>36</v>
      </c>
      <c r="F7293" s="15" t="s">
        <v>17</v>
      </c>
      <c r="G7293" s="15" t="s">
        <v>28</v>
      </c>
      <c r="H7293" s="15" t="n">
        <v>5</v>
      </c>
      <c r="I7293" s="17" t="n">
        <v>0.1</v>
      </c>
      <c r="J7293" s="18" t="n">
        <v>109.44</v>
      </c>
      <c r="K7293" s="19" t="n">
        <v>21.3</v>
      </c>
      <c r="L7293" s="15" t="n">
        <f aca="false">YEAR(B7293)</f>
        <v>2023</v>
      </c>
      <c r="M7293" s="20" t="n">
        <f aca="false">IF(J7293&gt;0,K7293/J7293,0)</f>
        <v>0.194627192982456</v>
      </c>
    </row>
    <row r="7294" customFormat="false" ht="15" hidden="false" customHeight="false" outlineLevel="0" collapsed="false">
      <c r="A7294" s="15" t="s">
        <v>7351</v>
      </c>
      <c r="B7294" s="16" t="n">
        <v>45573</v>
      </c>
      <c r="C7294" s="15" t="s">
        <v>56</v>
      </c>
      <c r="D7294" s="15" t="s">
        <v>43</v>
      </c>
      <c r="E7294" s="15" t="s">
        <v>37</v>
      </c>
      <c r="F7294" s="15" t="s">
        <v>16</v>
      </c>
      <c r="G7294" s="15" t="s">
        <v>23</v>
      </c>
      <c r="H7294" s="15" t="n">
        <v>6</v>
      </c>
      <c r="I7294" s="17" t="n">
        <v>0.05</v>
      </c>
      <c r="J7294" s="18" t="n">
        <v>2192.74</v>
      </c>
      <c r="K7294" s="19" t="n">
        <v>-52.67</v>
      </c>
      <c r="L7294" s="15" t="n">
        <f aca="false">YEAR(B7294)</f>
        <v>2024</v>
      </c>
      <c r="M7294" s="20" t="n">
        <f aca="false">IF(J7294&gt;0,K7294/J7294,0)</f>
        <v>-0.0240201756706221</v>
      </c>
    </row>
    <row r="7295" customFormat="false" ht="15" hidden="false" customHeight="false" outlineLevel="0" collapsed="false">
      <c r="A7295" s="15" t="s">
        <v>7352</v>
      </c>
      <c r="B7295" s="16" t="n">
        <v>45945</v>
      </c>
      <c r="C7295" s="15" t="s">
        <v>56</v>
      </c>
      <c r="D7295" s="15" t="s">
        <v>42</v>
      </c>
      <c r="E7295" s="15" t="s">
        <v>36</v>
      </c>
      <c r="F7295" s="15" t="s">
        <v>17</v>
      </c>
      <c r="G7295" s="15" t="s">
        <v>29</v>
      </c>
      <c r="H7295" s="15" t="n">
        <v>3</v>
      </c>
      <c r="I7295" s="17" t="n">
        <v>0.1</v>
      </c>
      <c r="J7295" s="18" t="n">
        <v>39.19</v>
      </c>
      <c r="K7295" s="19" t="n">
        <v>12.16</v>
      </c>
      <c r="L7295" s="15" t="n">
        <f aca="false">YEAR(B7295)</f>
        <v>2025</v>
      </c>
      <c r="M7295" s="20" t="n">
        <f aca="false">IF(J7295&gt;0,K7295/J7295,0)</f>
        <v>0.310283235519265</v>
      </c>
    </row>
    <row r="7296" customFormat="false" ht="15" hidden="false" customHeight="false" outlineLevel="0" collapsed="false">
      <c r="A7296" s="15" t="s">
        <v>7353</v>
      </c>
      <c r="B7296" s="16" t="n">
        <v>45171</v>
      </c>
      <c r="C7296" s="15" t="s">
        <v>68</v>
      </c>
      <c r="D7296" s="15" t="s">
        <v>42</v>
      </c>
      <c r="E7296" s="15" t="s">
        <v>36</v>
      </c>
      <c r="F7296" s="15" t="s">
        <v>16</v>
      </c>
      <c r="G7296" s="15" t="s">
        <v>27</v>
      </c>
      <c r="H7296" s="15" t="n">
        <v>2</v>
      </c>
      <c r="I7296" s="17" t="n">
        <v>0.05</v>
      </c>
      <c r="J7296" s="18" t="n">
        <v>107.88</v>
      </c>
      <c r="K7296" s="19" t="n">
        <v>23.47</v>
      </c>
      <c r="L7296" s="15" t="n">
        <f aca="false">YEAR(B7296)</f>
        <v>2023</v>
      </c>
      <c r="M7296" s="20" t="n">
        <f aca="false">IF(J7296&gt;0,K7296/J7296,0)</f>
        <v>0.217556544308491</v>
      </c>
    </row>
    <row r="7297" customFormat="false" ht="15" hidden="false" customHeight="false" outlineLevel="0" collapsed="false">
      <c r="A7297" s="15" t="s">
        <v>7354</v>
      </c>
      <c r="B7297" s="16" t="n">
        <v>45178</v>
      </c>
      <c r="C7297" s="15" t="s">
        <v>56</v>
      </c>
      <c r="D7297" s="15" t="s">
        <v>43</v>
      </c>
      <c r="E7297" s="15" t="s">
        <v>39</v>
      </c>
      <c r="F7297" s="15" t="s">
        <v>18</v>
      </c>
      <c r="G7297" s="15" t="s">
        <v>30</v>
      </c>
      <c r="H7297" s="15" t="n">
        <v>3</v>
      </c>
      <c r="I7297" s="17" t="n">
        <v>0</v>
      </c>
      <c r="J7297" s="18" t="n">
        <v>165.13</v>
      </c>
      <c r="K7297" s="19" t="n">
        <v>61.83</v>
      </c>
      <c r="L7297" s="15" t="n">
        <f aca="false">YEAR(B7297)</f>
        <v>2023</v>
      </c>
      <c r="M7297" s="20" t="n">
        <f aca="false">IF(J7297&gt;0,K7297/J7297,0)</f>
        <v>0.374432265487798</v>
      </c>
    </row>
    <row r="7298" customFormat="false" ht="15" hidden="false" customHeight="false" outlineLevel="0" collapsed="false">
      <c r="A7298" s="15" t="s">
        <v>7355</v>
      </c>
      <c r="B7298" s="16" t="n">
        <v>45485</v>
      </c>
      <c r="C7298" s="15" t="s">
        <v>56</v>
      </c>
      <c r="D7298" s="15" t="s">
        <v>43</v>
      </c>
      <c r="E7298" s="15" t="s">
        <v>36</v>
      </c>
      <c r="F7298" s="15" t="s">
        <v>17</v>
      </c>
      <c r="G7298" s="15" t="s">
        <v>29</v>
      </c>
      <c r="H7298" s="15" t="n">
        <v>1</v>
      </c>
      <c r="I7298" s="17" t="n">
        <v>0</v>
      </c>
      <c r="J7298" s="18" t="n">
        <v>19.05</v>
      </c>
      <c r="K7298" s="19" t="n">
        <v>7.45</v>
      </c>
      <c r="L7298" s="15" t="n">
        <f aca="false">YEAR(B7298)</f>
        <v>2024</v>
      </c>
      <c r="M7298" s="20" t="n">
        <f aca="false">IF(J7298&gt;0,K7298/J7298,0)</f>
        <v>0.391076115485564</v>
      </c>
    </row>
    <row r="7299" customFormat="false" ht="15" hidden="false" customHeight="false" outlineLevel="0" collapsed="false">
      <c r="A7299" s="15" t="s">
        <v>7356</v>
      </c>
      <c r="B7299" s="16" t="n">
        <v>45596</v>
      </c>
      <c r="C7299" s="15" t="s">
        <v>56</v>
      </c>
      <c r="D7299" s="15" t="s">
        <v>44</v>
      </c>
      <c r="E7299" s="15" t="s">
        <v>36</v>
      </c>
      <c r="F7299" s="15" t="s">
        <v>17</v>
      </c>
      <c r="G7299" s="15" t="s">
        <v>28</v>
      </c>
      <c r="H7299" s="15" t="n">
        <v>3</v>
      </c>
      <c r="I7299" s="17" t="n">
        <v>0.1</v>
      </c>
      <c r="J7299" s="18" t="n">
        <v>72.66</v>
      </c>
      <c r="K7299" s="19" t="n">
        <v>15.14</v>
      </c>
      <c r="L7299" s="15" t="n">
        <f aca="false">YEAR(B7299)</f>
        <v>2024</v>
      </c>
      <c r="M7299" s="20" t="n">
        <f aca="false">IF(J7299&gt;0,K7299/J7299,0)</f>
        <v>0.208367740159648</v>
      </c>
    </row>
    <row r="7300" customFormat="false" ht="15" hidden="false" customHeight="false" outlineLevel="0" collapsed="false">
      <c r="A7300" s="15" t="s">
        <v>7357</v>
      </c>
      <c r="B7300" s="16" t="n">
        <v>45186</v>
      </c>
      <c r="C7300" s="15" t="s">
        <v>71</v>
      </c>
      <c r="D7300" s="15" t="s">
        <v>42</v>
      </c>
      <c r="E7300" s="15" t="s">
        <v>39</v>
      </c>
      <c r="F7300" s="15" t="s">
        <v>17</v>
      </c>
      <c r="G7300" s="15" t="s">
        <v>29</v>
      </c>
      <c r="H7300" s="15" t="n">
        <v>3</v>
      </c>
      <c r="I7300" s="17" t="n">
        <v>0.2</v>
      </c>
      <c r="J7300" s="18" t="n">
        <v>43.14</v>
      </c>
      <c r="K7300" s="19" t="n">
        <v>10.27</v>
      </c>
      <c r="L7300" s="15" t="n">
        <f aca="false">YEAR(B7300)</f>
        <v>2023</v>
      </c>
      <c r="M7300" s="20" t="n">
        <f aca="false">IF(J7300&gt;0,K7300/J7300,0)</f>
        <v>0.238062123319425</v>
      </c>
    </row>
    <row r="7301" customFormat="false" ht="15" hidden="false" customHeight="false" outlineLevel="0" collapsed="false">
      <c r="A7301" s="15" t="s">
        <v>7358</v>
      </c>
      <c r="B7301" s="16" t="n">
        <v>45909</v>
      </c>
      <c r="C7301" s="15" t="s">
        <v>68</v>
      </c>
      <c r="D7301" s="15" t="s">
        <v>43</v>
      </c>
      <c r="E7301" s="15" t="s">
        <v>37</v>
      </c>
      <c r="F7301" s="15" t="s">
        <v>18</v>
      </c>
      <c r="G7301" s="15" t="s">
        <v>30</v>
      </c>
      <c r="H7301" s="15" t="n">
        <v>5</v>
      </c>
      <c r="I7301" s="17" t="n">
        <v>0.2</v>
      </c>
      <c r="J7301" s="18" t="n">
        <v>213.52</v>
      </c>
      <c r="K7301" s="19" t="n">
        <v>29.36</v>
      </c>
      <c r="L7301" s="15" t="n">
        <f aca="false">YEAR(B7301)</f>
        <v>2025</v>
      </c>
      <c r="M7301" s="20" t="n">
        <f aca="false">IF(J7301&gt;0,K7301/J7301,0)</f>
        <v>0.137504683402023</v>
      </c>
    </row>
    <row r="7302" customFormat="false" ht="15" hidden="false" customHeight="false" outlineLevel="0" collapsed="false">
      <c r="A7302" s="15" t="s">
        <v>7359</v>
      </c>
      <c r="B7302" s="16" t="n">
        <v>45994</v>
      </c>
      <c r="C7302" s="15" t="s">
        <v>71</v>
      </c>
      <c r="D7302" s="15" t="s">
        <v>42</v>
      </c>
      <c r="E7302" s="15" t="s">
        <v>37</v>
      </c>
      <c r="F7302" s="15" t="s">
        <v>17</v>
      </c>
      <c r="G7302" s="15" t="s">
        <v>29</v>
      </c>
      <c r="H7302" s="15" t="n">
        <v>2</v>
      </c>
      <c r="I7302" s="17" t="n">
        <v>0.05</v>
      </c>
      <c r="J7302" s="18" t="n">
        <v>38.33</v>
      </c>
      <c r="K7302" s="19" t="n">
        <v>10.82</v>
      </c>
      <c r="L7302" s="15" t="n">
        <f aca="false">YEAR(B7302)</f>
        <v>2025</v>
      </c>
      <c r="M7302" s="20" t="n">
        <f aca="false">IF(J7302&gt;0,K7302/J7302,0)</f>
        <v>0.282285416123141</v>
      </c>
    </row>
    <row r="7303" customFormat="false" ht="15" hidden="false" customHeight="false" outlineLevel="0" collapsed="false">
      <c r="A7303" s="15" t="s">
        <v>7360</v>
      </c>
      <c r="B7303" s="16" t="n">
        <v>44817</v>
      </c>
      <c r="C7303" s="15" t="s">
        <v>56</v>
      </c>
      <c r="D7303" s="15" t="s">
        <v>43</v>
      </c>
      <c r="E7303" s="15" t="s">
        <v>39</v>
      </c>
      <c r="F7303" s="15" t="s">
        <v>18</v>
      </c>
      <c r="G7303" s="15" t="s">
        <v>30</v>
      </c>
      <c r="H7303" s="15" t="n">
        <v>5</v>
      </c>
      <c r="I7303" s="17" t="n">
        <v>0.2</v>
      </c>
      <c r="J7303" s="18" t="n">
        <v>224.93</v>
      </c>
      <c r="K7303" s="19" t="n">
        <v>17.36</v>
      </c>
      <c r="L7303" s="15" t="n">
        <f aca="false">YEAR(B7303)</f>
        <v>2022</v>
      </c>
      <c r="M7303" s="20" t="n">
        <f aca="false">IF(J7303&gt;0,K7303/J7303,0)</f>
        <v>0.0771795669763927</v>
      </c>
    </row>
    <row r="7304" customFormat="false" ht="15" hidden="false" customHeight="false" outlineLevel="0" collapsed="false">
      <c r="A7304" s="15" t="s">
        <v>7361</v>
      </c>
      <c r="B7304" s="16" t="n">
        <v>45938</v>
      </c>
      <c r="C7304" s="15" t="s">
        <v>56</v>
      </c>
      <c r="D7304" s="15" t="s">
        <v>43</v>
      </c>
      <c r="E7304" s="15" t="s">
        <v>39</v>
      </c>
      <c r="F7304" s="15" t="s">
        <v>16</v>
      </c>
      <c r="G7304" s="15" t="s">
        <v>25</v>
      </c>
      <c r="H7304" s="15" t="n">
        <v>4</v>
      </c>
      <c r="I7304" s="17" t="n">
        <v>0</v>
      </c>
      <c r="J7304" s="18" t="n">
        <v>1064.54</v>
      </c>
      <c r="K7304" s="19" t="n">
        <v>118.06</v>
      </c>
      <c r="L7304" s="15" t="n">
        <f aca="false">YEAR(B7304)</f>
        <v>2025</v>
      </c>
      <c r="M7304" s="20" t="n">
        <f aca="false">IF(J7304&gt;0,K7304/J7304,0)</f>
        <v>0.110902361583407</v>
      </c>
    </row>
    <row r="7305" customFormat="false" ht="15" hidden="false" customHeight="false" outlineLevel="0" collapsed="false">
      <c r="A7305" s="15" t="s">
        <v>7362</v>
      </c>
      <c r="B7305" s="16" t="n">
        <v>45128</v>
      </c>
      <c r="C7305" s="15" t="s">
        <v>58</v>
      </c>
      <c r="D7305" s="15" t="s">
        <v>42</v>
      </c>
      <c r="E7305" s="15" t="s">
        <v>37</v>
      </c>
      <c r="F7305" s="15" t="s">
        <v>16</v>
      </c>
      <c r="G7305" s="15" t="s">
        <v>27</v>
      </c>
      <c r="H7305" s="15" t="n">
        <v>3</v>
      </c>
      <c r="I7305" s="17" t="n">
        <v>0.1</v>
      </c>
      <c r="J7305" s="18" t="n">
        <v>157.67</v>
      </c>
      <c r="K7305" s="19" t="n">
        <v>19.34</v>
      </c>
      <c r="L7305" s="15" t="n">
        <f aca="false">YEAR(B7305)</f>
        <v>2023</v>
      </c>
      <c r="M7305" s="20" t="n">
        <f aca="false">IF(J7305&gt;0,K7305/J7305,0)</f>
        <v>0.122661254518932</v>
      </c>
    </row>
    <row r="7306" customFormat="false" ht="15" hidden="false" customHeight="false" outlineLevel="0" collapsed="false">
      <c r="A7306" s="15" t="s">
        <v>7363</v>
      </c>
      <c r="B7306" s="16" t="n">
        <v>44776</v>
      </c>
      <c r="C7306" s="15" t="s">
        <v>68</v>
      </c>
      <c r="D7306" s="15" t="s">
        <v>43</v>
      </c>
      <c r="E7306" s="15" t="s">
        <v>37</v>
      </c>
      <c r="F7306" s="15" t="s">
        <v>17</v>
      </c>
      <c r="G7306" s="15" t="s">
        <v>29</v>
      </c>
      <c r="H7306" s="15" t="n">
        <v>3</v>
      </c>
      <c r="I7306" s="17" t="n">
        <v>0</v>
      </c>
      <c r="J7306" s="18" t="n">
        <v>71.22</v>
      </c>
      <c r="K7306" s="19" t="n">
        <v>24</v>
      </c>
      <c r="L7306" s="15" t="n">
        <f aca="false">YEAR(B7306)</f>
        <v>2022</v>
      </c>
      <c r="M7306" s="20" t="n">
        <f aca="false">IF(J7306&gt;0,K7306/J7306,0)</f>
        <v>0.33698399326032</v>
      </c>
    </row>
    <row r="7307" customFormat="false" ht="15" hidden="false" customHeight="false" outlineLevel="0" collapsed="false">
      <c r="A7307" s="15" t="s">
        <v>7364</v>
      </c>
      <c r="B7307" s="16" t="n">
        <v>45210</v>
      </c>
      <c r="C7307" s="15" t="s">
        <v>68</v>
      </c>
      <c r="D7307" s="15" t="s">
        <v>42</v>
      </c>
      <c r="E7307" s="15" t="s">
        <v>38</v>
      </c>
      <c r="F7307" s="15" t="s">
        <v>18</v>
      </c>
      <c r="G7307" s="15" t="s">
        <v>30</v>
      </c>
      <c r="H7307" s="15" t="n">
        <v>1</v>
      </c>
      <c r="I7307" s="17" t="n">
        <v>0.1</v>
      </c>
      <c r="J7307" s="18" t="n">
        <v>36.53</v>
      </c>
      <c r="K7307" s="19" t="n">
        <v>6.67</v>
      </c>
      <c r="L7307" s="15" t="n">
        <f aca="false">YEAR(B7307)</f>
        <v>2023</v>
      </c>
      <c r="M7307" s="20" t="n">
        <f aca="false">IF(J7307&gt;0,K7307/J7307,0)</f>
        <v>0.182589652340542</v>
      </c>
    </row>
    <row r="7308" customFormat="false" ht="15" hidden="false" customHeight="false" outlineLevel="0" collapsed="false">
      <c r="A7308" s="15" t="s">
        <v>7365</v>
      </c>
      <c r="B7308" s="16" t="n">
        <v>45868</v>
      </c>
      <c r="C7308" s="15" t="s">
        <v>56</v>
      </c>
      <c r="D7308" s="15" t="s">
        <v>42</v>
      </c>
      <c r="E7308" s="15" t="s">
        <v>36</v>
      </c>
      <c r="F7308" s="15" t="s">
        <v>16</v>
      </c>
      <c r="G7308" s="15" t="s">
        <v>25</v>
      </c>
      <c r="H7308" s="15" t="n">
        <v>4</v>
      </c>
      <c r="I7308" s="17" t="n">
        <v>0.05</v>
      </c>
      <c r="J7308" s="18" t="n">
        <v>1111.78</v>
      </c>
      <c r="K7308" s="19" t="n">
        <v>30.7</v>
      </c>
      <c r="L7308" s="15" t="n">
        <f aca="false">YEAR(B7308)</f>
        <v>2025</v>
      </c>
      <c r="M7308" s="20" t="n">
        <f aca="false">IF(J7308&gt;0,K7308/J7308,0)</f>
        <v>0.0276133767471982</v>
      </c>
    </row>
    <row r="7309" customFormat="false" ht="15" hidden="false" customHeight="false" outlineLevel="0" collapsed="false">
      <c r="A7309" s="15" t="s">
        <v>7366</v>
      </c>
      <c r="B7309" s="16" t="n">
        <v>45688</v>
      </c>
      <c r="C7309" s="15" t="s">
        <v>68</v>
      </c>
      <c r="D7309" s="15" t="s">
        <v>42</v>
      </c>
      <c r="E7309" s="15" t="s">
        <v>39</v>
      </c>
      <c r="F7309" s="15" t="s">
        <v>16</v>
      </c>
      <c r="G7309" s="15" t="s">
        <v>23</v>
      </c>
      <c r="H7309" s="15" t="n">
        <v>3</v>
      </c>
      <c r="I7309" s="17" t="n">
        <v>0</v>
      </c>
      <c r="J7309" s="18" t="n">
        <v>981.35</v>
      </c>
      <c r="K7309" s="19" t="n">
        <v>-36.75</v>
      </c>
      <c r="L7309" s="15" t="n">
        <f aca="false">YEAR(B7309)</f>
        <v>2025</v>
      </c>
      <c r="M7309" s="20" t="n">
        <f aca="false">IF(J7309&gt;0,K7309/J7309,0)</f>
        <v>-0.0374484129005961</v>
      </c>
    </row>
    <row r="7310" customFormat="false" ht="15" hidden="false" customHeight="false" outlineLevel="0" collapsed="false">
      <c r="A7310" s="15" t="s">
        <v>7367</v>
      </c>
      <c r="B7310" s="16" t="n">
        <v>45968</v>
      </c>
      <c r="C7310" s="15" t="s">
        <v>56</v>
      </c>
      <c r="D7310" s="15" t="s">
        <v>43</v>
      </c>
      <c r="E7310" s="15" t="s">
        <v>38</v>
      </c>
      <c r="F7310" s="15" t="s">
        <v>16</v>
      </c>
      <c r="G7310" s="15" t="s">
        <v>23</v>
      </c>
      <c r="H7310" s="15" t="n">
        <v>3</v>
      </c>
      <c r="I7310" s="17" t="n">
        <v>0</v>
      </c>
      <c r="J7310" s="18" t="n">
        <v>901.8</v>
      </c>
      <c r="K7310" s="19" t="n">
        <v>-45.81</v>
      </c>
      <c r="L7310" s="15" t="n">
        <f aca="false">YEAR(B7310)</f>
        <v>2025</v>
      </c>
      <c r="M7310" s="20" t="n">
        <f aca="false">IF(J7310&gt;0,K7310/J7310,0)</f>
        <v>-0.0507984031936128</v>
      </c>
    </row>
    <row r="7311" customFormat="false" ht="15" hidden="false" customHeight="false" outlineLevel="0" collapsed="false">
      <c r="A7311" s="15" t="s">
        <v>7368</v>
      </c>
      <c r="B7311" s="16" t="n">
        <v>45626</v>
      </c>
      <c r="C7311" s="15" t="s">
        <v>58</v>
      </c>
      <c r="D7311" s="15" t="s">
        <v>42</v>
      </c>
      <c r="E7311" s="15" t="s">
        <v>38</v>
      </c>
      <c r="F7311" s="15" t="s">
        <v>17</v>
      </c>
      <c r="G7311" s="15" t="s">
        <v>29</v>
      </c>
      <c r="H7311" s="15" t="n">
        <v>1</v>
      </c>
      <c r="I7311" s="17" t="n">
        <v>0.2</v>
      </c>
      <c r="J7311" s="18" t="n">
        <v>12.98</v>
      </c>
      <c r="K7311" s="19" t="n">
        <v>3.03</v>
      </c>
      <c r="L7311" s="15" t="n">
        <f aca="false">YEAR(B7311)</f>
        <v>2024</v>
      </c>
      <c r="M7311" s="20" t="n">
        <f aca="false">IF(J7311&gt;0,K7311/J7311,0)</f>
        <v>0.233436055469954</v>
      </c>
    </row>
    <row r="7312" customFormat="false" ht="15" hidden="false" customHeight="false" outlineLevel="0" collapsed="false">
      <c r="A7312" s="15" t="s">
        <v>7369</v>
      </c>
      <c r="B7312" s="16" t="n">
        <v>44690</v>
      </c>
      <c r="C7312" s="15" t="s">
        <v>71</v>
      </c>
      <c r="D7312" s="15" t="s">
        <v>42</v>
      </c>
      <c r="E7312" s="15" t="s">
        <v>36</v>
      </c>
      <c r="F7312" s="15" t="s">
        <v>17</v>
      </c>
      <c r="G7312" s="15" t="s">
        <v>31</v>
      </c>
      <c r="H7312" s="15" t="n">
        <v>5</v>
      </c>
      <c r="I7312" s="17" t="n">
        <v>0.1</v>
      </c>
      <c r="J7312" s="18" t="n">
        <v>577.17</v>
      </c>
      <c r="K7312" s="19" t="n">
        <v>73.41</v>
      </c>
      <c r="L7312" s="15" t="n">
        <f aca="false">YEAR(B7312)</f>
        <v>2022</v>
      </c>
      <c r="M7312" s="20" t="n">
        <f aca="false">IF(J7312&gt;0,K7312/J7312,0)</f>
        <v>0.127189562867093</v>
      </c>
    </row>
    <row r="7313" customFormat="false" ht="15" hidden="false" customHeight="false" outlineLevel="0" collapsed="false">
      <c r="A7313" s="15" t="s">
        <v>7370</v>
      </c>
      <c r="B7313" s="16" t="n">
        <v>45212</v>
      </c>
      <c r="C7313" s="15" t="s">
        <v>56</v>
      </c>
      <c r="D7313" s="15" t="s">
        <v>42</v>
      </c>
      <c r="E7313" s="15" t="s">
        <v>38</v>
      </c>
      <c r="F7313" s="15" t="s">
        <v>17</v>
      </c>
      <c r="G7313" s="15" t="s">
        <v>31</v>
      </c>
      <c r="H7313" s="15" t="n">
        <v>5</v>
      </c>
      <c r="I7313" s="17" t="n">
        <v>0</v>
      </c>
      <c r="J7313" s="18" t="n">
        <v>421.53</v>
      </c>
      <c r="K7313" s="19" t="n">
        <v>58.92</v>
      </c>
      <c r="L7313" s="15" t="n">
        <f aca="false">YEAR(B7313)</f>
        <v>2023</v>
      </c>
      <c r="M7313" s="20" t="n">
        <f aca="false">IF(J7313&gt;0,K7313/J7313,0)</f>
        <v>0.139776528360971</v>
      </c>
    </row>
    <row r="7314" customFormat="false" ht="15" hidden="false" customHeight="false" outlineLevel="0" collapsed="false">
      <c r="A7314" s="15" t="s">
        <v>7371</v>
      </c>
      <c r="B7314" s="16" t="n">
        <v>45448</v>
      </c>
      <c r="C7314" s="15" t="s">
        <v>56</v>
      </c>
      <c r="D7314" s="15" t="s">
        <v>43</v>
      </c>
      <c r="E7314" s="15" t="s">
        <v>37</v>
      </c>
      <c r="F7314" s="15" t="s">
        <v>17</v>
      </c>
      <c r="G7314" s="15" t="s">
        <v>26</v>
      </c>
      <c r="H7314" s="15" t="n">
        <v>3</v>
      </c>
      <c r="I7314" s="17" t="n">
        <v>0.05</v>
      </c>
      <c r="J7314" s="18" t="n">
        <v>206.75</v>
      </c>
      <c r="K7314" s="19" t="n">
        <v>23.06</v>
      </c>
      <c r="L7314" s="15" t="n">
        <f aca="false">YEAR(B7314)</f>
        <v>2024</v>
      </c>
      <c r="M7314" s="20" t="n">
        <f aca="false">IF(J7314&gt;0,K7314/J7314,0)</f>
        <v>0.111535671100363</v>
      </c>
    </row>
    <row r="7315" customFormat="false" ht="15" hidden="false" customHeight="false" outlineLevel="0" collapsed="false">
      <c r="A7315" s="15" t="s">
        <v>7372</v>
      </c>
      <c r="B7315" s="16" t="n">
        <v>44874</v>
      </c>
      <c r="C7315" s="15" t="s">
        <v>56</v>
      </c>
      <c r="D7315" s="15" t="s">
        <v>42</v>
      </c>
      <c r="E7315" s="15" t="s">
        <v>39</v>
      </c>
      <c r="F7315" s="15" t="s">
        <v>18</v>
      </c>
      <c r="G7315" s="15" t="s">
        <v>33</v>
      </c>
      <c r="H7315" s="15" t="n">
        <v>6</v>
      </c>
      <c r="I7315" s="17" t="n">
        <v>0.05</v>
      </c>
      <c r="J7315" s="18" t="n">
        <v>7343.18</v>
      </c>
      <c r="K7315" s="19" t="n">
        <v>1411.23</v>
      </c>
      <c r="L7315" s="15" t="n">
        <f aca="false">YEAR(B7315)</f>
        <v>2022</v>
      </c>
      <c r="M7315" s="20" t="n">
        <f aca="false">IF(J7315&gt;0,K7315/J7315,0)</f>
        <v>0.192182405987597</v>
      </c>
    </row>
    <row r="7316" customFormat="false" ht="15" hidden="false" customHeight="false" outlineLevel="0" collapsed="false">
      <c r="A7316" s="15" t="s">
        <v>7373</v>
      </c>
      <c r="B7316" s="16" t="n">
        <v>45242</v>
      </c>
      <c r="C7316" s="15" t="s">
        <v>68</v>
      </c>
      <c r="D7316" s="15" t="s">
        <v>42</v>
      </c>
      <c r="E7316" s="15" t="s">
        <v>39</v>
      </c>
      <c r="F7316" s="15" t="s">
        <v>17</v>
      </c>
      <c r="G7316" s="15" t="s">
        <v>28</v>
      </c>
      <c r="H7316" s="15" t="n">
        <v>5</v>
      </c>
      <c r="I7316" s="17" t="n">
        <v>0.2</v>
      </c>
      <c r="J7316" s="18" t="n">
        <v>122.61</v>
      </c>
      <c r="K7316" s="19" t="n">
        <v>15</v>
      </c>
      <c r="L7316" s="15" t="n">
        <f aca="false">YEAR(B7316)</f>
        <v>2023</v>
      </c>
      <c r="M7316" s="20" t="n">
        <f aca="false">IF(J7316&gt;0,K7316/J7316,0)</f>
        <v>0.122339124051872</v>
      </c>
    </row>
    <row r="7317" customFormat="false" ht="15" hidden="false" customHeight="false" outlineLevel="0" collapsed="false">
      <c r="A7317" s="15" t="s">
        <v>7374</v>
      </c>
      <c r="B7317" s="16" t="n">
        <v>45246</v>
      </c>
      <c r="C7317" s="15" t="s">
        <v>56</v>
      </c>
      <c r="D7317" s="15" t="s">
        <v>42</v>
      </c>
      <c r="E7317" s="15" t="s">
        <v>37</v>
      </c>
      <c r="F7317" s="15" t="s">
        <v>17</v>
      </c>
      <c r="G7317" s="15" t="s">
        <v>26</v>
      </c>
      <c r="H7317" s="15" t="n">
        <v>1</v>
      </c>
      <c r="I7317" s="17" t="n">
        <v>0</v>
      </c>
      <c r="J7317" s="18" t="n">
        <v>77.6</v>
      </c>
      <c r="K7317" s="19" t="n">
        <v>12.06</v>
      </c>
      <c r="L7317" s="15" t="n">
        <f aca="false">YEAR(B7317)</f>
        <v>2023</v>
      </c>
      <c r="M7317" s="20" t="n">
        <f aca="false">IF(J7317&gt;0,K7317/J7317,0)</f>
        <v>0.155412371134021</v>
      </c>
    </row>
    <row r="7318" customFormat="false" ht="15" hidden="false" customHeight="false" outlineLevel="0" collapsed="false">
      <c r="A7318" s="15" t="s">
        <v>7375</v>
      </c>
      <c r="B7318" s="16" t="n">
        <v>45908</v>
      </c>
      <c r="C7318" s="15" t="s">
        <v>68</v>
      </c>
      <c r="D7318" s="15" t="s">
        <v>42</v>
      </c>
      <c r="E7318" s="15" t="s">
        <v>38</v>
      </c>
      <c r="F7318" s="15" t="s">
        <v>17</v>
      </c>
      <c r="G7318" s="15" t="s">
        <v>29</v>
      </c>
      <c r="H7318" s="15" t="n">
        <v>1</v>
      </c>
      <c r="I7318" s="17" t="n">
        <v>0</v>
      </c>
      <c r="J7318" s="18" t="n">
        <v>13.51</v>
      </c>
      <c r="K7318" s="19" t="n">
        <v>5.75</v>
      </c>
      <c r="L7318" s="15" t="n">
        <f aca="false">YEAR(B7318)</f>
        <v>2025</v>
      </c>
      <c r="M7318" s="20" t="n">
        <f aca="false">IF(J7318&gt;0,K7318/J7318,0)</f>
        <v>0.425610658771281</v>
      </c>
    </row>
    <row r="7319" customFormat="false" ht="15" hidden="false" customHeight="false" outlineLevel="0" collapsed="false">
      <c r="A7319" s="15" t="s">
        <v>7376</v>
      </c>
      <c r="B7319" s="16" t="n">
        <v>45420</v>
      </c>
      <c r="C7319" s="15" t="s">
        <v>56</v>
      </c>
      <c r="D7319" s="15" t="s">
        <v>42</v>
      </c>
      <c r="E7319" s="15" t="s">
        <v>38</v>
      </c>
      <c r="F7319" s="15" t="s">
        <v>16</v>
      </c>
      <c r="G7319" s="15" t="s">
        <v>22</v>
      </c>
      <c r="H7319" s="15" t="n">
        <v>3</v>
      </c>
      <c r="I7319" s="17" t="n">
        <v>0.1</v>
      </c>
      <c r="J7319" s="18" t="n">
        <v>1263.54</v>
      </c>
      <c r="K7319" s="19" t="n">
        <v>-194.1</v>
      </c>
      <c r="L7319" s="15" t="n">
        <f aca="false">YEAR(B7319)</f>
        <v>2024</v>
      </c>
      <c r="M7319" s="20" t="n">
        <f aca="false">IF(J7319&gt;0,K7319/J7319,0)</f>
        <v>-0.153616031150577</v>
      </c>
    </row>
    <row r="7320" customFormat="false" ht="15" hidden="false" customHeight="false" outlineLevel="0" collapsed="false">
      <c r="A7320" s="15" t="s">
        <v>7377</v>
      </c>
      <c r="B7320" s="16" t="n">
        <v>45065</v>
      </c>
      <c r="C7320" s="15" t="s">
        <v>68</v>
      </c>
      <c r="D7320" s="15" t="s">
        <v>42</v>
      </c>
      <c r="E7320" s="15" t="s">
        <v>39</v>
      </c>
      <c r="F7320" s="15" t="s">
        <v>17</v>
      </c>
      <c r="G7320" s="15" t="s">
        <v>28</v>
      </c>
      <c r="H7320" s="15" t="n">
        <v>5</v>
      </c>
      <c r="I7320" s="17" t="n">
        <v>0</v>
      </c>
      <c r="J7320" s="18" t="n">
        <v>129.25</v>
      </c>
      <c r="K7320" s="19" t="n">
        <v>43.54</v>
      </c>
      <c r="L7320" s="15" t="n">
        <f aca="false">YEAR(B7320)</f>
        <v>2023</v>
      </c>
      <c r="M7320" s="20" t="n">
        <f aca="false">IF(J7320&gt;0,K7320/J7320,0)</f>
        <v>0.336866537717602</v>
      </c>
    </row>
    <row r="7321" customFormat="false" ht="15" hidden="false" customHeight="false" outlineLevel="0" collapsed="false">
      <c r="A7321" s="15" t="s">
        <v>7378</v>
      </c>
      <c r="B7321" s="16" t="n">
        <v>45153</v>
      </c>
      <c r="C7321" s="15" t="s">
        <v>71</v>
      </c>
      <c r="D7321" s="15" t="s">
        <v>44</v>
      </c>
      <c r="E7321" s="15" t="s">
        <v>37</v>
      </c>
      <c r="F7321" s="15" t="s">
        <v>18</v>
      </c>
      <c r="G7321" s="15" t="s">
        <v>30</v>
      </c>
      <c r="H7321" s="15" t="n">
        <v>4</v>
      </c>
      <c r="I7321" s="17" t="n">
        <v>0.2</v>
      </c>
      <c r="J7321" s="18" t="n">
        <v>189.28</v>
      </c>
      <c r="K7321" s="19" t="n">
        <v>13.73</v>
      </c>
      <c r="L7321" s="15" t="n">
        <f aca="false">YEAR(B7321)</f>
        <v>2023</v>
      </c>
      <c r="M7321" s="20" t="n">
        <f aca="false">IF(J7321&gt;0,K7321/J7321,0)</f>
        <v>0.0725380388841927</v>
      </c>
    </row>
    <row r="7322" customFormat="false" ht="15" hidden="false" customHeight="false" outlineLevel="0" collapsed="false">
      <c r="A7322" s="15" t="s">
        <v>7379</v>
      </c>
      <c r="B7322" s="16" t="n">
        <v>45293</v>
      </c>
      <c r="C7322" s="15" t="s">
        <v>71</v>
      </c>
      <c r="D7322" s="15" t="s">
        <v>43</v>
      </c>
      <c r="E7322" s="15" t="s">
        <v>37</v>
      </c>
      <c r="F7322" s="15" t="s">
        <v>17</v>
      </c>
      <c r="G7322" s="15" t="s">
        <v>28</v>
      </c>
      <c r="H7322" s="15" t="n">
        <v>3</v>
      </c>
      <c r="I7322" s="17" t="n">
        <v>0</v>
      </c>
      <c r="J7322" s="18" t="n">
        <v>80.04</v>
      </c>
      <c r="K7322" s="19" t="n">
        <v>22.82</v>
      </c>
      <c r="L7322" s="15" t="n">
        <f aca="false">YEAR(B7322)</f>
        <v>2024</v>
      </c>
      <c r="M7322" s="20" t="n">
        <f aca="false">IF(J7322&gt;0,K7322/J7322,0)</f>
        <v>0.285107446276862</v>
      </c>
    </row>
    <row r="7323" customFormat="false" ht="15" hidden="false" customHeight="false" outlineLevel="0" collapsed="false">
      <c r="A7323" s="15" t="s">
        <v>7380</v>
      </c>
      <c r="B7323" s="16" t="n">
        <v>45640</v>
      </c>
      <c r="C7323" s="15" t="s">
        <v>71</v>
      </c>
      <c r="D7323" s="15" t="s">
        <v>42</v>
      </c>
      <c r="E7323" s="15" t="s">
        <v>36</v>
      </c>
      <c r="F7323" s="15" t="s">
        <v>17</v>
      </c>
      <c r="G7323" s="15" t="s">
        <v>29</v>
      </c>
      <c r="H7323" s="15" t="n">
        <v>4</v>
      </c>
      <c r="I7323" s="17" t="n">
        <v>0.1</v>
      </c>
      <c r="J7323" s="18" t="n">
        <v>54.08</v>
      </c>
      <c r="K7323" s="19" t="n">
        <v>18.12</v>
      </c>
      <c r="L7323" s="15" t="n">
        <f aca="false">YEAR(B7323)</f>
        <v>2024</v>
      </c>
      <c r="M7323" s="20" t="n">
        <f aca="false">IF(J7323&gt;0,K7323/J7323,0)</f>
        <v>0.335059171597633</v>
      </c>
    </row>
    <row r="7324" customFormat="false" ht="15" hidden="false" customHeight="false" outlineLevel="0" collapsed="false">
      <c r="A7324" s="15" t="s">
        <v>7381</v>
      </c>
      <c r="B7324" s="16" t="n">
        <v>46002</v>
      </c>
      <c r="C7324" s="15" t="s">
        <v>56</v>
      </c>
      <c r="D7324" s="15" t="s">
        <v>43</v>
      </c>
      <c r="E7324" s="15" t="s">
        <v>37</v>
      </c>
      <c r="F7324" s="15" t="s">
        <v>16</v>
      </c>
      <c r="G7324" s="15" t="s">
        <v>25</v>
      </c>
      <c r="H7324" s="15" t="n">
        <v>2</v>
      </c>
      <c r="I7324" s="17" t="n">
        <v>0.2</v>
      </c>
      <c r="J7324" s="18" t="n">
        <v>467.31</v>
      </c>
      <c r="K7324" s="19" t="n">
        <v>-22.18</v>
      </c>
      <c r="L7324" s="15" t="n">
        <f aca="false">YEAR(B7324)</f>
        <v>2025</v>
      </c>
      <c r="M7324" s="20" t="n">
        <f aca="false">IF(J7324&gt;0,K7324/J7324,0)</f>
        <v>-0.0474631400997197</v>
      </c>
    </row>
    <row r="7325" customFormat="false" ht="15" hidden="false" customHeight="false" outlineLevel="0" collapsed="false">
      <c r="A7325" s="15" t="s">
        <v>7382</v>
      </c>
      <c r="B7325" s="16" t="n">
        <v>46018</v>
      </c>
      <c r="C7325" s="15" t="s">
        <v>56</v>
      </c>
      <c r="D7325" s="15" t="s">
        <v>42</v>
      </c>
      <c r="E7325" s="15" t="s">
        <v>38</v>
      </c>
      <c r="F7325" s="15" t="s">
        <v>17</v>
      </c>
      <c r="G7325" s="15" t="s">
        <v>31</v>
      </c>
      <c r="H7325" s="15" t="n">
        <v>6</v>
      </c>
      <c r="I7325" s="17" t="n">
        <v>0.05</v>
      </c>
      <c r="J7325" s="18" t="n">
        <v>689.77</v>
      </c>
      <c r="K7325" s="19" t="n">
        <v>74.86</v>
      </c>
      <c r="L7325" s="15" t="n">
        <f aca="false">YEAR(B7325)</f>
        <v>2025</v>
      </c>
      <c r="M7325" s="20" t="n">
        <f aca="false">IF(J7325&gt;0,K7325/J7325,0)</f>
        <v>0.108528929933166</v>
      </c>
    </row>
    <row r="7326" customFormat="false" ht="15" hidden="false" customHeight="false" outlineLevel="0" collapsed="false">
      <c r="A7326" s="15" t="s">
        <v>7383</v>
      </c>
      <c r="B7326" s="16" t="n">
        <v>44780</v>
      </c>
      <c r="C7326" s="15" t="s">
        <v>71</v>
      </c>
      <c r="D7326" s="15" t="s">
        <v>44</v>
      </c>
      <c r="E7326" s="15" t="s">
        <v>39</v>
      </c>
      <c r="F7326" s="15" t="s">
        <v>17</v>
      </c>
      <c r="G7326" s="15" t="s">
        <v>28</v>
      </c>
      <c r="H7326" s="15" t="n">
        <v>3</v>
      </c>
      <c r="I7326" s="17" t="n">
        <v>0</v>
      </c>
      <c r="J7326" s="18" t="n">
        <v>72.01</v>
      </c>
      <c r="K7326" s="19" t="n">
        <v>20.28</v>
      </c>
      <c r="L7326" s="15" t="n">
        <f aca="false">YEAR(B7326)</f>
        <v>2022</v>
      </c>
      <c r="M7326" s="20" t="n">
        <f aca="false">IF(J7326&gt;0,K7326/J7326,0)</f>
        <v>0.281627551728927</v>
      </c>
    </row>
    <row r="7327" customFormat="false" ht="15" hidden="false" customHeight="false" outlineLevel="0" collapsed="false">
      <c r="A7327" s="15" t="s">
        <v>7384</v>
      </c>
      <c r="B7327" s="16" t="n">
        <v>44569</v>
      </c>
      <c r="C7327" s="15" t="s">
        <v>56</v>
      </c>
      <c r="D7327" s="15" t="s">
        <v>43</v>
      </c>
      <c r="E7327" s="15" t="s">
        <v>37</v>
      </c>
      <c r="F7327" s="15" t="s">
        <v>18</v>
      </c>
      <c r="G7327" s="15" t="s">
        <v>32</v>
      </c>
      <c r="H7327" s="15" t="n">
        <v>1</v>
      </c>
      <c r="I7327" s="17" t="n">
        <v>0</v>
      </c>
      <c r="J7327" s="18" t="n">
        <v>402.87</v>
      </c>
      <c r="K7327" s="19" t="n">
        <v>68.66</v>
      </c>
      <c r="L7327" s="15" t="n">
        <f aca="false">YEAR(B7327)</f>
        <v>2022</v>
      </c>
      <c r="M7327" s="20" t="n">
        <f aca="false">IF(J7327&gt;0,K7327/J7327,0)</f>
        <v>0.170427184947998</v>
      </c>
    </row>
    <row r="7328" customFormat="false" ht="15" hidden="false" customHeight="false" outlineLevel="0" collapsed="false">
      <c r="A7328" s="15" t="s">
        <v>7385</v>
      </c>
      <c r="B7328" s="16" t="n">
        <v>45981</v>
      </c>
      <c r="C7328" s="15" t="s">
        <v>56</v>
      </c>
      <c r="D7328" s="15" t="s">
        <v>42</v>
      </c>
      <c r="E7328" s="15" t="s">
        <v>37</v>
      </c>
      <c r="F7328" s="15" t="s">
        <v>17</v>
      </c>
      <c r="G7328" s="15" t="s">
        <v>26</v>
      </c>
      <c r="H7328" s="15" t="n">
        <v>3</v>
      </c>
      <c r="I7328" s="17" t="n">
        <v>0.2</v>
      </c>
      <c r="J7328" s="18" t="n">
        <v>180.05</v>
      </c>
      <c r="K7328" s="19" t="n">
        <v>-14.44</v>
      </c>
      <c r="L7328" s="15" t="n">
        <f aca="false">YEAR(B7328)</f>
        <v>2025</v>
      </c>
      <c r="M7328" s="20" t="n">
        <f aca="false">IF(J7328&gt;0,K7328/J7328,0)</f>
        <v>-0.0801999444598723</v>
      </c>
    </row>
    <row r="7329" customFormat="false" ht="15" hidden="false" customHeight="false" outlineLevel="0" collapsed="false">
      <c r="A7329" s="15" t="s">
        <v>7386</v>
      </c>
      <c r="B7329" s="16" t="n">
        <v>45065</v>
      </c>
      <c r="C7329" s="15" t="s">
        <v>56</v>
      </c>
      <c r="D7329" s="15" t="s">
        <v>42</v>
      </c>
      <c r="E7329" s="15" t="s">
        <v>37</v>
      </c>
      <c r="F7329" s="15" t="s">
        <v>18</v>
      </c>
      <c r="G7329" s="15" t="s">
        <v>32</v>
      </c>
      <c r="H7329" s="15" t="n">
        <v>4</v>
      </c>
      <c r="I7329" s="17" t="n">
        <v>0.1</v>
      </c>
      <c r="J7329" s="18" t="n">
        <v>1280.32</v>
      </c>
      <c r="K7329" s="19" t="n">
        <v>58.28</v>
      </c>
      <c r="L7329" s="15" t="n">
        <f aca="false">YEAR(B7329)</f>
        <v>2023</v>
      </c>
      <c r="M7329" s="20" t="n">
        <f aca="false">IF(J7329&gt;0,K7329/J7329,0)</f>
        <v>0.0455198700324919</v>
      </c>
    </row>
    <row r="7330" customFormat="false" ht="15" hidden="false" customHeight="false" outlineLevel="0" collapsed="false">
      <c r="A7330" s="15" t="s">
        <v>7387</v>
      </c>
      <c r="B7330" s="16" t="n">
        <v>45050</v>
      </c>
      <c r="C7330" s="15" t="s">
        <v>68</v>
      </c>
      <c r="D7330" s="15" t="s">
        <v>44</v>
      </c>
      <c r="E7330" s="15" t="s">
        <v>36</v>
      </c>
      <c r="F7330" s="15" t="s">
        <v>18</v>
      </c>
      <c r="G7330" s="15" t="s">
        <v>30</v>
      </c>
      <c r="H7330" s="15" t="n">
        <v>6</v>
      </c>
      <c r="I7330" s="17" t="n">
        <v>0</v>
      </c>
      <c r="J7330" s="18" t="n">
        <v>225.6</v>
      </c>
      <c r="K7330" s="19" t="n">
        <v>55.57</v>
      </c>
      <c r="L7330" s="15" t="n">
        <f aca="false">YEAR(B7330)</f>
        <v>2023</v>
      </c>
      <c r="M7330" s="20" t="n">
        <f aca="false">IF(J7330&gt;0,K7330/J7330,0)</f>
        <v>0.246320921985816</v>
      </c>
    </row>
    <row r="7331" customFormat="false" ht="15" hidden="false" customHeight="false" outlineLevel="0" collapsed="false">
      <c r="A7331" s="15" t="s">
        <v>7388</v>
      </c>
      <c r="B7331" s="16" t="n">
        <v>45482</v>
      </c>
      <c r="C7331" s="15" t="s">
        <v>71</v>
      </c>
      <c r="D7331" s="15" t="s">
        <v>44</v>
      </c>
      <c r="E7331" s="15" t="s">
        <v>38</v>
      </c>
      <c r="F7331" s="15" t="s">
        <v>17</v>
      </c>
      <c r="G7331" s="15" t="s">
        <v>26</v>
      </c>
      <c r="H7331" s="15" t="n">
        <v>5</v>
      </c>
      <c r="I7331" s="17" t="n">
        <v>0</v>
      </c>
      <c r="J7331" s="18" t="n">
        <v>410.79</v>
      </c>
      <c r="K7331" s="19" t="n">
        <v>29.06</v>
      </c>
      <c r="L7331" s="15" t="n">
        <f aca="false">YEAR(B7331)</f>
        <v>2024</v>
      </c>
      <c r="M7331" s="20" t="n">
        <f aca="false">IF(J7331&gt;0,K7331/J7331,0)</f>
        <v>0.0707417415224324</v>
      </c>
    </row>
    <row r="7332" customFormat="false" ht="15" hidden="false" customHeight="false" outlineLevel="0" collapsed="false">
      <c r="A7332" s="15" t="s">
        <v>7389</v>
      </c>
      <c r="B7332" s="16" t="n">
        <v>45532</v>
      </c>
      <c r="C7332" s="15" t="s">
        <v>56</v>
      </c>
      <c r="D7332" s="15" t="s">
        <v>42</v>
      </c>
      <c r="E7332" s="15" t="s">
        <v>39</v>
      </c>
      <c r="F7332" s="15" t="s">
        <v>18</v>
      </c>
      <c r="G7332" s="15" t="s">
        <v>32</v>
      </c>
      <c r="H7332" s="15" t="n">
        <v>4</v>
      </c>
      <c r="I7332" s="17" t="n">
        <v>0</v>
      </c>
      <c r="J7332" s="18" t="n">
        <v>1888.18</v>
      </c>
      <c r="K7332" s="19" t="n">
        <v>303.55</v>
      </c>
      <c r="L7332" s="15" t="n">
        <f aca="false">YEAR(B7332)</f>
        <v>2024</v>
      </c>
      <c r="M7332" s="20" t="n">
        <f aca="false">IF(J7332&gt;0,K7332/J7332,0)</f>
        <v>0.160763274687795</v>
      </c>
    </row>
    <row r="7333" customFormat="false" ht="15" hidden="false" customHeight="false" outlineLevel="0" collapsed="false">
      <c r="A7333" s="15" t="s">
        <v>7390</v>
      </c>
      <c r="B7333" s="16" t="n">
        <v>44748</v>
      </c>
      <c r="C7333" s="15" t="s">
        <v>56</v>
      </c>
      <c r="D7333" s="15" t="s">
        <v>44</v>
      </c>
      <c r="E7333" s="15" t="s">
        <v>36</v>
      </c>
      <c r="F7333" s="15" t="s">
        <v>17</v>
      </c>
      <c r="G7333" s="15" t="s">
        <v>29</v>
      </c>
      <c r="H7333" s="15" t="n">
        <v>7</v>
      </c>
      <c r="I7333" s="17" t="n">
        <v>0</v>
      </c>
      <c r="J7333" s="18" t="n">
        <v>115.79</v>
      </c>
      <c r="K7333" s="19" t="n">
        <v>42.91</v>
      </c>
      <c r="L7333" s="15" t="n">
        <f aca="false">YEAR(B7333)</f>
        <v>2022</v>
      </c>
      <c r="M7333" s="20" t="n">
        <f aca="false">IF(J7333&gt;0,K7333/J7333,0)</f>
        <v>0.370584679160549</v>
      </c>
    </row>
    <row r="7334" customFormat="false" ht="15" hidden="false" customHeight="false" outlineLevel="0" collapsed="false">
      <c r="A7334" s="15" t="s">
        <v>7391</v>
      </c>
      <c r="B7334" s="16" t="n">
        <v>45265</v>
      </c>
      <c r="C7334" s="15" t="s">
        <v>68</v>
      </c>
      <c r="D7334" s="15" t="s">
        <v>44</v>
      </c>
      <c r="E7334" s="15" t="s">
        <v>36</v>
      </c>
      <c r="F7334" s="15" t="s">
        <v>16</v>
      </c>
      <c r="G7334" s="15" t="s">
        <v>23</v>
      </c>
      <c r="H7334" s="15" t="n">
        <v>5</v>
      </c>
      <c r="I7334" s="17" t="n">
        <v>0</v>
      </c>
      <c r="J7334" s="18" t="n">
        <v>1726.68</v>
      </c>
      <c r="K7334" s="19" t="n">
        <v>154.66</v>
      </c>
      <c r="L7334" s="15" t="n">
        <f aca="false">YEAR(B7334)</f>
        <v>2023</v>
      </c>
      <c r="M7334" s="20" t="n">
        <f aca="false">IF(J7334&gt;0,K7334/J7334,0)</f>
        <v>0.0895707369055065</v>
      </c>
    </row>
    <row r="7335" customFormat="false" ht="15" hidden="false" customHeight="false" outlineLevel="0" collapsed="false">
      <c r="A7335" s="15" t="s">
        <v>7392</v>
      </c>
      <c r="B7335" s="16" t="n">
        <v>45446</v>
      </c>
      <c r="C7335" s="15" t="s">
        <v>56</v>
      </c>
      <c r="D7335" s="15" t="s">
        <v>43</v>
      </c>
      <c r="E7335" s="15" t="s">
        <v>36</v>
      </c>
      <c r="F7335" s="15" t="s">
        <v>17</v>
      </c>
      <c r="G7335" s="15" t="s">
        <v>29</v>
      </c>
      <c r="H7335" s="15" t="n">
        <v>5</v>
      </c>
      <c r="I7335" s="17" t="n">
        <v>0</v>
      </c>
      <c r="J7335" s="18" t="n">
        <v>81.48</v>
      </c>
      <c r="K7335" s="19" t="n">
        <v>32.16</v>
      </c>
      <c r="L7335" s="15" t="n">
        <f aca="false">YEAR(B7335)</f>
        <v>2024</v>
      </c>
      <c r="M7335" s="20" t="n">
        <f aca="false">IF(J7335&gt;0,K7335/J7335,0)</f>
        <v>0.394698085419735</v>
      </c>
    </row>
    <row r="7336" customFormat="false" ht="15" hidden="false" customHeight="false" outlineLevel="0" collapsed="false">
      <c r="A7336" s="15" t="s">
        <v>7393</v>
      </c>
      <c r="B7336" s="16" t="n">
        <v>44639</v>
      </c>
      <c r="C7336" s="15" t="s">
        <v>56</v>
      </c>
      <c r="D7336" s="15" t="s">
        <v>42</v>
      </c>
      <c r="E7336" s="15" t="s">
        <v>36</v>
      </c>
      <c r="F7336" s="15" t="s">
        <v>17</v>
      </c>
      <c r="G7336" s="15" t="s">
        <v>28</v>
      </c>
      <c r="H7336" s="15" t="n">
        <v>1</v>
      </c>
      <c r="I7336" s="17" t="n">
        <v>0.3</v>
      </c>
      <c r="J7336" s="18" t="n">
        <v>20.5</v>
      </c>
      <c r="K7336" s="19" t="n">
        <v>0.8</v>
      </c>
      <c r="L7336" s="15" t="n">
        <f aca="false">YEAR(B7336)</f>
        <v>2022</v>
      </c>
      <c r="M7336" s="20" t="n">
        <f aca="false">IF(J7336&gt;0,K7336/J7336,0)</f>
        <v>0.0390243902439024</v>
      </c>
    </row>
    <row r="7337" customFormat="false" ht="15" hidden="false" customHeight="false" outlineLevel="0" collapsed="false">
      <c r="A7337" s="15" t="s">
        <v>7394</v>
      </c>
      <c r="B7337" s="16" t="n">
        <v>44728</v>
      </c>
      <c r="C7337" s="15" t="s">
        <v>56</v>
      </c>
      <c r="D7337" s="15" t="s">
        <v>43</v>
      </c>
      <c r="E7337" s="15" t="s">
        <v>39</v>
      </c>
      <c r="F7337" s="15" t="s">
        <v>17</v>
      </c>
      <c r="G7337" s="15" t="s">
        <v>26</v>
      </c>
      <c r="H7337" s="15" t="n">
        <v>3</v>
      </c>
      <c r="I7337" s="17" t="n">
        <v>0.15</v>
      </c>
      <c r="J7337" s="18" t="n">
        <v>253.33</v>
      </c>
      <c r="K7337" s="19" t="n">
        <v>18.18</v>
      </c>
      <c r="L7337" s="15" t="n">
        <f aca="false">YEAR(B7337)</f>
        <v>2022</v>
      </c>
      <c r="M7337" s="20" t="n">
        <f aca="false">IF(J7337&gt;0,K7337/J7337,0)</f>
        <v>0.0717641021592389</v>
      </c>
    </row>
    <row r="7338" customFormat="false" ht="15" hidden="false" customHeight="false" outlineLevel="0" collapsed="false">
      <c r="A7338" s="15" t="s">
        <v>7395</v>
      </c>
      <c r="B7338" s="16" t="n">
        <v>45444</v>
      </c>
      <c r="C7338" s="15" t="s">
        <v>56</v>
      </c>
      <c r="D7338" s="15" t="s">
        <v>43</v>
      </c>
      <c r="E7338" s="15" t="s">
        <v>37</v>
      </c>
      <c r="F7338" s="15" t="s">
        <v>17</v>
      </c>
      <c r="G7338" s="15" t="s">
        <v>28</v>
      </c>
      <c r="H7338" s="15" t="n">
        <v>3</v>
      </c>
      <c r="I7338" s="17" t="n">
        <v>0.2</v>
      </c>
      <c r="J7338" s="18" t="n">
        <v>59.6</v>
      </c>
      <c r="K7338" s="19" t="n">
        <v>8.9</v>
      </c>
      <c r="L7338" s="15" t="n">
        <f aca="false">YEAR(B7338)</f>
        <v>2024</v>
      </c>
      <c r="M7338" s="20" t="n">
        <f aca="false">IF(J7338&gt;0,K7338/J7338,0)</f>
        <v>0.149328859060403</v>
      </c>
    </row>
    <row r="7339" customFormat="false" ht="15" hidden="false" customHeight="false" outlineLevel="0" collapsed="false">
      <c r="A7339" s="15" t="s">
        <v>7396</v>
      </c>
      <c r="B7339" s="16" t="n">
        <v>45036</v>
      </c>
      <c r="C7339" s="15" t="s">
        <v>68</v>
      </c>
      <c r="D7339" s="15" t="s">
        <v>44</v>
      </c>
      <c r="E7339" s="15" t="s">
        <v>39</v>
      </c>
      <c r="F7339" s="15" t="s">
        <v>18</v>
      </c>
      <c r="G7339" s="15" t="s">
        <v>30</v>
      </c>
      <c r="H7339" s="15" t="n">
        <v>4</v>
      </c>
      <c r="I7339" s="17" t="n">
        <v>0.1</v>
      </c>
      <c r="J7339" s="18" t="n">
        <v>187.12</v>
      </c>
      <c r="K7339" s="19" t="n">
        <v>42.02</v>
      </c>
      <c r="L7339" s="15" t="n">
        <f aca="false">YEAR(B7339)</f>
        <v>2023</v>
      </c>
      <c r="M7339" s="20" t="n">
        <f aca="false">IF(J7339&gt;0,K7339/J7339,0)</f>
        <v>0.224561778537837</v>
      </c>
    </row>
    <row r="7340" customFormat="false" ht="15" hidden="false" customHeight="false" outlineLevel="0" collapsed="false">
      <c r="A7340" s="15" t="s">
        <v>7397</v>
      </c>
      <c r="B7340" s="16" t="n">
        <v>45655</v>
      </c>
      <c r="C7340" s="15" t="s">
        <v>56</v>
      </c>
      <c r="D7340" s="15" t="s">
        <v>43</v>
      </c>
      <c r="E7340" s="15" t="s">
        <v>37</v>
      </c>
      <c r="F7340" s="15" t="s">
        <v>17</v>
      </c>
      <c r="G7340" s="15" t="s">
        <v>29</v>
      </c>
      <c r="H7340" s="15" t="n">
        <v>2</v>
      </c>
      <c r="I7340" s="17" t="n">
        <v>0</v>
      </c>
      <c r="J7340" s="18" t="n">
        <v>43.24</v>
      </c>
      <c r="K7340" s="19" t="n">
        <v>14.05</v>
      </c>
      <c r="L7340" s="15" t="n">
        <f aca="false">YEAR(B7340)</f>
        <v>2024</v>
      </c>
      <c r="M7340" s="20" t="n">
        <f aca="false">IF(J7340&gt;0,K7340/J7340,0)</f>
        <v>0.324930619796485</v>
      </c>
    </row>
    <row r="7341" customFormat="false" ht="15" hidden="false" customHeight="false" outlineLevel="0" collapsed="false">
      <c r="A7341" s="15" t="s">
        <v>7398</v>
      </c>
      <c r="B7341" s="16" t="n">
        <v>45906</v>
      </c>
      <c r="C7341" s="15" t="s">
        <v>68</v>
      </c>
      <c r="D7341" s="15" t="s">
        <v>43</v>
      </c>
      <c r="E7341" s="15" t="s">
        <v>39</v>
      </c>
      <c r="F7341" s="15" t="s">
        <v>17</v>
      </c>
      <c r="G7341" s="15" t="s">
        <v>26</v>
      </c>
      <c r="H7341" s="15" t="n">
        <v>3</v>
      </c>
      <c r="I7341" s="17" t="n">
        <v>0</v>
      </c>
      <c r="J7341" s="18" t="n">
        <v>327.72</v>
      </c>
      <c r="K7341" s="19" t="n">
        <v>62.28</v>
      </c>
      <c r="L7341" s="15" t="n">
        <f aca="false">YEAR(B7341)</f>
        <v>2025</v>
      </c>
      <c r="M7341" s="20" t="n">
        <f aca="false">IF(J7341&gt;0,K7341/J7341,0)</f>
        <v>0.190040278286342</v>
      </c>
    </row>
    <row r="7342" customFormat="false" ht="15" hidden="false" customHeight="false" outlineLevel="0" collapsed="false">
      <c r="A7342" s="15" t="s">
        <v>7399</v>
      </c>
      <c r="B7342" s="16" t="n">
        <v>45406</v>
      </c>
      <c r="C7342" s="15" t="s">
        <v>56</v>
      </c>
      <c r="D7342" s="15" t="s">
        <v>44</v>
      </c>
      <c r="E7342" s="15" t="s">
        <v>37</v>
      </c>
      <c r="F7342" s="15" t="s">
        <v>17</v>
      </c>
      <c r="G7342" s="15" t="s">
        <v>26</v>
      </c>
      <c r="H7342" s="15" t="n">
        <v>3</v>
      </c>
      <c r="I7342" s="17" t="n">
        <v>0.2</v>
      </c>
      <c r="J7342" s="18" t="n">
        <v>181.31</v>
      </c>
      <c r="K7342" s="19" t="n">
        <v>-0.74</v>
      </c>
      <c r="L7342" s="15" t="n">
        <f aca="false">YEAR(B7342)</f>
        <v>2024</v>
      </c>
      <c r="M7342" s="20" t="n">
        <f aca="false">IF(J7342&gt;0,K7342/J7342,0)</f>
        <v>-0.00408140753405769</v>
      </c>
    </row>
    <row r="7343" customFormat="false" ht="15" hidden="false" customHeight="false" outlineLevel="0" collapsed="false">
      <c r="A7343" s="15" t="s">
        <v>7400</v>
      </c>
      <c r="B7343" s="16" t="n">
        <v>44567</v>
      </c>
      <c r="C7343" s="15" t="s">
        <v>71</v>
      </c>
      <c r="D7343" s="15" t="s">
        <v>44</v>
      </c>
      <c r="E7343" s="15" t="s">
        <v>38</v>
      </c>
      <c r="F7343" s="15" t="s">
        <v>17</v>
      </c>
      <c r="G7343" s="15" t="s">
        <v>31</v>
      </c>
      <c r="H7343" s="15" t="n">
        <v>1</v>
      </c>
      <c r="I7343" s="17" t="n">
        <v>0.4</v>
      </c>
      <c r="J7343" s="18" t="n">
        <v>74.03</v>
      </c>
      <c r="K7343" s="19" t="n">
        <v>-7.34</v>
      </c>
      <c r="L7343" s="15" t="n">
        <f aca="false">YEAR(B7343)</f>
        <v>2022</v>
      </c>
      <c r="M7343" s="20" t="n">
        <f aca="false">IF(J7343&gt;0,K7343/J7343,0)</f>
        <v>-0.0991489936512225</v>
      </c>
    </row>
    <row r="7344" customFormat="false" ht="15" hidden="false" customHeight="false" outlineLevel="0" collapsed="false">
      <c r="A7344" s="15" t="s">
        <v>7401</v>
      </c>
      <c r="B7344" s="16" t="n">
        <v>45109</v>
      </c>
      <c r="C7344" s="15" t="s">
        <v>68</v>
      </c>
      <c r="D7344" s="15" t="s">
        <v>43</v>
      </c>
      <c r="E7344" s="15" t="s">
        <v>39</v>
      </c>
      <c r="F7344" s="15" t="s">
        <v>17</v>
      </c>
      <c r="G7344" s="15" t="s">
        <v>29</v>
      </c>
      <c r="H7344" s="15" t="n">
        <v>5</v>
      </c>
      <c r="I7344" s="17" t="n">
        <v>0</v>
      </c>
      <c r="J7344" s="18" t="n">
        <v>82.75</v>
      </c>
      <c r="K7344" s="19" t="n">
        <v>36.4</v>
      </c>
      <c r="L7344" s="15" t="n">
        <f aca="false">YEAR(B7344)</f>
        <v>2023</v>
      </c>
      <c r="M7344" s="20" t="n">
        <f aca="false">IF(J7344&gt;0,K7344/J7344,0)</f>
        <v>0.43987915407855</v>
      </c>
    </row>
    <row r="7345" customFormat="false" ht="15" hidden="false" customHeight="false" outlineLevel="0" collapsed="false">
      <c r="A7345" s="15" t="s">
        <v>7402</v>
      </c>
      <c r="B7345" s="16" t="n">
        <v>44776</v>
      </c>
      <c r="C7345" s="15" t="s">
        <v>58</v>
      </c>
      <c r="D7345" s="15" t="s">
        <v>43</v>
      </c>
      <c r="E7345" s="15" t="s">
        <v>36</v>
      </c>
      <c r="F7345" s="15" t="s">
        <v>17</v>
      </c>
      <c r="G7345" s="15" t="s">
        <v>26</v>
      </c>
      <c r="H7345" s="15" t="n">
        <v>7</v>
      </c>
      <c r="I7345" s="17" t="n">
        <v>0.2</v>
      </c>
      <c r="J7345" s="18" t="n">
        <v>682.69</v>
      </c>
      <c r="K7345" s="19" t="n">
        <v>-42.5</v>
      </c>
      <c r="L7345" s="15" t="n">
        <f aca="false">YEAR(B7345)</f>
        <v>2022</v>
      </c>
      <c r="M7345" s="20" t="n">
        <f aca="false">IF(J7345&gt;0,K7345/J7345,0)</f>
        <v>-0.0622537315619095</v>
      </c>
    </row>
    <row r="7346" customFormat="false" ht="15" hidden="false" customHeight="false" outlineLevel="0" collapsed="false">
      <c r="A7346" s="15" t="s">
        <v>7403</v>
      </c>
      <c r="B7346" s="16" t="n">
        <v>45966</v>
      </c>
      <c r="C7346" s="15" t="s">
        <v>56</v>
      </c>
      <c r="D7346" s="15" t="s">
        <v>44</v>
      </c>
      <c r="E7346" s="15" t="s">
        <v>39</v>
      </c>
      <c r="F7346" s="15" t="s">
        <v>17</v>
      </c>
      <c r="G7346" s="15" t="s">
        <v>28</v>
      </c>
      <c r="H7346" s="15" t="n">
        <v>1</v>
      </c>
      <c r="I7346" s="17" t="n">
        <v>0.3</v>
      </c>
      <c r="J7346" s="18" t="n">
        <v>19.46</v>
      </c>
      <c r="K7346" s="19" t="n">
        <v>0.45</v>
      </c>
      <c r="L7346" s="15" t="n">
        <f aca="false">YEAR(B7346)</f>
        <v>2025</v>
      </c>
      <c r="M7346" s="20" t="n">
        <f aca="false">IF(J7346&gt;0,K7346/J7346,0)</f>
        <v>0.0231243576567318</v>
      </c>
    </row>
    <row r="7347" customFormat="false" ht="15" hidden="false" customHeight="false" outlineLevel="0" collapsed="false">
      <c r="A7347" s="15" t="s">
        <v>7404</v>
      </c>
      <c r="B7347" s="16" t="n">
        <v>44783</v>
      </c>
      <c r="C7347" s="15" t="s">
        <v>56</v>
      </c>
      <c r="D7347" s="15" t="s">
        <v>42</v>
      </c>
      <c r="E7347" s="15" t="s">
        <v>36</v>
      </c>
      <c r="F7347" s="15" t="s">
        <v>16</v>
      </c>
      <c r="G7347" s="15" t="s">
        <v>27</v>
      </c>
      <c r="H7347" s="15" t="n">
        <v>1</v>
      </c>
      <c r="I7347" s="17" t="n">
        <v>0.2</v>
      </c>
      <c r="J7347" s="18" t="n">
        <v>42.58</v>
      </c>
      <c r="K7347" s="19" t="n">
        <v>2.82</v>
      </c>
      <c r="L7347" s="15" t="n">
        <f aca="false">YEAR(B7347)</f>
        <v>2022</v>
      </c>
      <c r="M7347" s="20" t="n">
        <f aca="false">IF(J7347&gt;0,K7347/J7347,0)</f>
        <v>0.0662282761860028</v>
      </c>
    </row>
    <row r="7348" customFormat="false" ht="15" hidden="false" customHeight="false" outlineLevel="0" collapsed="false">
      <c r="A7348" s="15" t="s">
        <v>7405</v>
      </c>
      <c r="B7348" s="16" t="n">
        <v>45878</v>
      </c>
      <c r="C7348" s="15" t="s">
        <v>56</v>
      </c>
      <c r="D7348" s="15" t="s">
        <v>42</v>
      </c>
      <c r="E7348" s="15" t="s">
        <v>38</v>
      </c>
      <c r="F7348" s="15" t="s">
        <v>18</v>
      </c>
      <c r="G7348" s="15" t="s">
        <v>30</v>
      </c>
      <c r="H7348" s="15" t="n">
        <v>4</v>
      </c>
      <c r="I7348" s="17" t="n">
        <v>0</v>
      </c>
      <c r="J7348" s="18" t="n">
        <v>165.49</v>
      </c>
      <c r="K7348" s="19" t="n">
        <v>54.98</v>
      </c>
      <c r="L7348" s="15" t="n">
        <f aca="false">YEAR(B7348)</f>
        <v>2025</v>
      </c>
      <c r="M7348" s="20" t="n">
        <f aca="false">IF(J7348&gt;0,K7348/J7348,0)</f>
        <v>0.332225512115536</v>
      </c>
    </row>
    <row r="7349" customFormat="false" ht="15" hidden="false" customHeight="false" outlineLevel="0" collapsed="false">
      <c r="A7349" s="15" t="s">
        <v>7406</v>
      </c>
      <c r="B7349" s="16" t="n">
        <v>44807</v>
      </c>
      <c r="C7349" s="15" t="s">
        <v>56</v>
      </c>
      <c r="D7349" s="15" t="s">
        <v>42</v>
      </c>
      <c r="E7349" s="15" t="s">
        <v>37</v>
      </c>
      <c r="F7349" s="15" t="s">
        <v>18</v>
      </c>
      <c r="G7349" s="15" t="s">
        <v>32</v>
      </c>
      <c r="H7349" s="15" t="n">
        <v>2</v>
      </c>
      <c r="I7349" s="17" t="n">
        <v>0.1</v>
      </c>
      <c r="J7349" s="18" t="n">
        <v>786.79</v>
      </c>
      <c r="K7349" s="19" t="n">
        <v>30.89</v>
      </c>
      <c r="L7349" s="15" t="n">
        <f aca="false">YEAR(B7349)</f>
        <v>2022</v>
      </c>
      <c r="M7349" s="20" t="n">
        <f aca="false">IF(J7349&gt;0,K7349/J7349,0)</f>
        <v>0.03926079385859</v>
      </c>
    </row>
    <row r="7350" customFormat="false" ht="15" hidden="false" customHeight="false" outlineLevel="0" collapsed="false">
      <c r="A7350" s="15" t="s">
        <v>7407</v>
      </c>
      <c r="B7350" s="16" t="n">
        <v>45652</v>
      </c>
      <c r="C7350" s="15" t="s">
        <v>56</v>
      </c>
      <c r="D7350" s="15" t="s">
        <v>42</v>
      </c>
      <c r="E7350" s="15" t="s">
        <v>36</v>
      </c>
      <c r="F7350" s="15" t="s">
        <v>18</v>
      </c>
      <c r="G7350" s="15" t="s">
        <v>32</v>
      </c>
      <c r="H7350" s="15" t="n">
        <v>6</v>
      </c>
      <c r="I7350" s="17" t="n">
        <v>0.05</v>
      </c>
      <c r="J7350" s="18" t="n">
        <v>1658.73</v>
      </c>
      <c r="K7350" s="19" t="n">
        <v>292.22</v>
      </c>
      <c r="L7350" s="15" t="n">
        <f aca="false">YEAR(B7350)</f>
        <v>2024</v>
      </c>
      <c r="M7350" s="20" t="n">
        <f aca="false">IF(J7350&gt;0,K7350/J7350,0)</f>
        <v>0.176170925949371</v>
      </c>
    </row>
    <row r="7351" customFormat="false" ht="15" hidden="false" customHeight="false" outlineLevel="0" collapsed="false">
      <c r="A7351" s="15" t="s">
        <v>7408</v>
      </c>
      <c r="B7351" s="16" t="n">
        <v>45891</v>
      </c>
      <c r="C7351" s="15" t="s">
        <v>56</v>
      </c>
      <c r="D7351" s="15" t="s">
        <v>43</v>
      </c>
      <c r="E7351" s="15" t="s">
        <v>36</v>
      </c>
      <c r="F7351" s="15" t="s">
        <v>17</v>
      </c>
      <c r="G7351" s="15" t="s">
        <v>28</v>
      </c>
      <c r="H7351" s="15" t="n">
        <v>3</v>
      </c>
      <c r="I7351" s="17" t="n">
        <v>0.1</v>
      </c>
      <c r="J7351" s="18" t="n">
        <v>64.22</v>
      </c>
      <c r="K7351" s="19" t="n">
        <v>13.6</v>
      </c>
      <c r="L7351" s="15" t="n">
        <f aca="false">YEAR(B7351)</f>
        <v>2025</v>
      </c>
      <c r="M7351" s="20" t="n">
        <f aca="false">IF(J7351&gt;0,K7351/J7351,0)</f>
        <v>0.211772033634382</v>
      </c>
    </row>
    <row r="7352" customFormat="false" ht="15" hidden="false" customHeight="false" outlineLevel="0" collapsed="false">
      <c r="A7352" s="15" t="s">
        <v>7409</v>
      </c>
      <c r="B7352" s="16" t="n">
        <v>44845</v>
      </c>
      <c r="C7352" s="15" t="s">
        <v>71</v>
      </c>
      <c r="D7352" s="15" t="s">
        <v>43</v>
      </c>
      <c r="E7352" s="15" t="s">
        <v>38</v>
      </c>
      <c r="F7352" s="15" t="s">
        <v>16</v>
      </c>
      <c r="G7352" s="15" t="s">
        <v>27</v>
      </c>
      <c r="H7352" s="15" t="n">
        <v>3</v>
      </c>
      <c r="I7352" s="17" t="n">
        <v>0.2</v>
      </c>
      <c r="J7352" s="18" t="n">
        <v>112.36</v>
      </c>
      <c r="K7352" s="19" t="n">
        <v>7.71</v>
      </c>
      <c r="L7352" s="15" t="n">
        <f aca="false">YEAR(B7352)</f>
        <v>2022</v>
      </c>
      <c r="M7352" s="20" t="n">
        <f aca="false">IF(J7352&gt;0,K7352/J7352,0)</f>
        <v>0.0686187255250979</v>
      </c>
    </row>
    <row r="7353" customFormat="false" ht="15" hidden="false" customHeight="false" outlineLevel="0" collapsed="false">
      <c r="A7353" s="15" t="s">
        <v>7410</v>
      </c>
      <c r="B7353" s="16" t="n">
        <v>45408</v>
      </c>
      <c r="C7353" s="15" t="s">
        <v>56</v>
      </c>
      <c r="D7353" s="15" t="s">
        <v>42</v>
      </c>
      <c r="E7353" s="15" t="s">
        <v>38</v>
      </c>
      <c r="F7353" s="15" t="s">
        <v>16</v>
      </c>
      <c r="G7353" s="15" t="s">
        <v>25</v>
      </c>
      <c r="H7353" s="15" t="n">
        <v>4</v>
      </c>
      <c r="I7353" s="17" t="n">
        <v>0</v>
      </c>
      <c r="J7353" s="18" t="n">
        <v>969.43</v>
      </c>
      <c r="K7353" s="19" t="n">
        <v>77.63</v>
      </c>
      <c r="L7353" s="15" t="n">
        <f aca="false">YEAR(B7353)</f>
        <v>2024</v>
      </c>
      <c r="M7353" s="20" t="n">
        <f aca="false">IF(J7353&gt;0,K7353/J7353,0)</f>
        <v>0.0800779839699617</v>
      </c>
    </row>
    <row r="7354" customFormat="false" ht="15" hidden="false" customHeight="false" outlineLevel="0" collapsed="false">
      <c r="A7354" s="15" t="s">
        <v>7411</v>
      </c>
      <c r="B7354" s="16" t="n">
        <v>45961</v>
      </c>
      <c r="C7354" s="15" t="s">
        <v>56</v>
      </c>
      <c r="D7354" s="15" t="s">
        <v>43</v>
      </c>
      <c r="E7354" s="15" t="s">
        <v>36</v>
      </c>
      <c r="F7354" s="15" t="s">
        <v>17</v>
      </c>
      <c r="G7354" s="15" t="s">
        <v>29</v>
      </c>
      <c r="H7354" s="15" t="n">
        <v>4</v>
      </c>
      <c r="I7354" s="17" t="n">
        <v>0</v>
      </c>
      <c r="J7354" s="18" t="n">
        <v>71.46</v>
      </c>
      <c r="K7354" s="19" t="n">
        <v>26.66</v>
      </c>
      <c r="L7354" s="15" t="n">
        <f aca="false">YEAR(B7354)</f>
        <v>2025</v>
      </c>
      <c r="M7354" s="20" t="n">
        <f aca="false">IF(J7354&gt;0,K7354/J7354,0)</f>
        <v>0.373075846627484</v>
      </c>
    </row>
    <row r="7355" customFormat="false" ht="15" hidden="false" customHeight="false" outlineLevel="0" collapsed="false">
      <c r="A7355" s="15" t="s">
        <v>7412</v>
      </c>
      <c r="B7355" s="16" t="n">
        <v>45777</v>
      </c>
      <c r="C7355" s="15" t="s">
        <v>56</v>
      </c>
      <c r="D7355" s="15" t="s">
        <v>42</v>
      </c>
      <c r="E7355" s="15" t="s">
        <v>39</v>
      </c>
      <c r="F7355" s="15" t="s">
        <v>16</v>
      </c>
      <c r="G7355" s="15" t="s">
        <v>27</v>
      </c>
      <c r="H7355" s="15" t="n">
        <v>2</v>
      </c>
      <c r="I7355" s="17" t="n">
        <v>0.1</v>
      </c>
      <c r="J7355" s="18" t="n">
        <v>119.2</v>
      </c>
      <c r="K7355" s="19" t="n">
        <v>20.52</v>
      </c>
      <c r="L7355" s="15" t="n">
        <f aca="false">YEAR(B7355)</f>
        <v>2025</v>
      </c>
      <c r="M7355" s="20" t="n">
        <f aca="false">IF(J7355&gt;0,K7355/J7355,0)</f>
        <v>0.172147651006711</v>
      </c>
    </row>
    <row r="7356" customFormat="false" ht="15" hidden="false" customHeight="false" outlineLevel="0" collapsed="false">
      <c r="A7356" s="15" t="s">
        <v>7413</v>
      </c>
      <c r="B7356" s="16" t="n">
        <v>45994</v>
      </c>
      <c r="C7356" s="15" t="s">
        <v>56</v>
      </c>
      <c r="D7356" s="15" t="s">
        <v>43</v>
      </c>
      <c r="E7356" s="15" t="s">
        <v>39</v>
      </c>
      <c r="F7356" s="15" t="s">
        <v>17</v>
      </c>
      <c r="G7356" s="15" t="s">
        <v>29</v>
      </c>
      <c r="H7356" s="15" t="n">
        <v>3</v>
      </c>
      <c r="I7356" s="17" t="n">
        <v>0</v>
      </c>
      <c r="J7356" s="18" t="n">
        <v>66.66</v>
      </c>
      <c r="K7356" s="19" t="n">
        <v>22.78</v>
      </c>
      <c r="L7356" s="15" t="n">
        <f aca="false">YEAR(B7356)</f>
        <v>2025</v>
      </c>
      <c r="M7356" s="20" t="n">
        <f aca="false">IF(J7356&gt;0,K7356/J7356,0)</f>
        <v>0.341734173417342</v>
      </c>
    </row>
    <row r="7357" customFormat="false" ht="15" hidden="false" customHeight="false" outlineLevel="0" collapsed="false">
      <c r="A7357" s="15" t="s">
        <v>7414</v>
      </c>
      <c r="B7357" s="16" t="n">
        <v>44638</v>
      </c>
      <c r="C7357" s="15" t="s">
        <v>56</v>
      </c>
      <c r="D7357" s="15" t="s">
        <v>42</v>
      </c>
      <c r="E7357" s="15" t="s">
        <v>36</v>
      </c>
      <c r="F7357" s="15" t="s">
        <v>18</v>
      </c>
      <c r="G7357" s="15" t="s">
        <v>32</v>
      </c>
      <c r="H7357" s="15" t="n">
        <v>1</v>
      </c>
      <c r="I7357" s="17" t="n">
        <v>0.05</v>
      </c>
      <c r="J7357" s="18" t="n">
        <v>367.85</v>
      </c>
      <c r="K7357" s="19" t="n">
        <v>54.86</v>
      </c>
      <c r="L7357" s="15" t="n">
        <f aca="false">YEAR(B7357)</f>
        <v>2022</v>
      </c>
      <c r="M7357" s="20" t="n">
        <f aca="false">IF(J7357&gt;0,K7357/J7357,0)</f>
        <v>0.149136876444203</v>
      </c>
    </row>
    <row r="7358" customFormat="false" ht="15" hidden="false" customHeight="false" outlineLevel="0" collapsed="false">
      <c r="A7358" s="15" t="s">
        <v>7415</v>
      </c>
      <c r="B7358" s="16" t="n">
        <v>45489</v>
      </c>
      <c r="C7358" s="15" t="s">
        <v>68</v>
      </c>
      <c r="D7358" s="15" t="s">
        <v>43</v>
      </c>
      <c r="E7358" s="15" t="s">
        <v>39</v>
      </c>
      <c r="F7358" s="15" t="s">
        <v>17</v>
      </c>
      <c r="G7358" s="15" t="s">
        <v>29</v>
      </c>
      <c r="H7358" s="15" t="n">
        <v>7</v>
      </c>
      <c r="I7358" s="17" t="n">
        <v>0.1</v>
      </c>
      <c r="J7358" s="18" t="n">
        <v>153.62</v>
      </c>
      <c r="K7358" s="19" t="n">
        <v>47.8</v>
      </c>
      <c r="L7358" s="15" t="n">
        <f aca="false">YEAR(B7358)</f>
        <v>2024</v>
      </c>
      <c r="M7358" s="20" t="n">
        <f aca="false">IF(J7358&gt;0,K7358/J7358,0)</f>
        <v>0.311157401380029</v>
      </c>
    </row>
    <row r="7359" customFormat="false" ht="15" hidden="false" customHeight="false" outlineLevel="0" collapsed="false">
      <c r="A7359" s="15" t="s">
        <v>7416</v>
      </c>
      <c r="B7359" s="16" t="n">
        <v>44983</v>
      </c>
      <c r="C7359" s="15" t="s">
        <v>56</v>
      </c>
      <c r="D7359" s="15" t="s">
        <v>42</v>
      </c>
      <c r="E7359" s="15" t="s">
        <v>38</v>
      </c>
      <c r="F7359" s="15" t="s">
        <v>16</v>
      </c>
      <c r="G7359" s="15" t="s">
        <v>22</v>
      </c>
      <c r="H7359" s="15" t="n">
        <v>4</v>
      </c>
      <c r="I7359" s="17" t="n">
        <v>0.2</v>
      </c>
      <c r="J7359" s="18" t="n">
        <v>1498.3</v>
      </c>
      <c r="K7359" s="19" t="n">
        <v>-298.38</v>
      </c>
      <c r="L7359" s="15" t="n">
        <f aca="false">YEAR(B7359)</f>
        <v>2023</v>
      </c>
      <c r="M7359" s="20" t="n">
        <f aca="false">IF(J7359&gt;0,K7359/J7359,0)</f>
        <v>-0.199145698458253</v>
      </c>
    </row>
    <row r="7360" customFormat="false" ht="15" hidden="false" customHeight="false" outlineLevel="0" collapsed="false">
      <c r="A7360" s="15" t="s">
        <v>7417</v>
      </c>
      <c r="B7360" s="16" t="n">
        <v>44841</v>
      </c>
      <c r="C7360" s="15" t="s">
        <v>71</v>
      </c>
      <c r="D7360" s="15" t="s">
        <v>43</v>
      </c>
      <c r="E7360" s="15" t="s">
        <v>39</v>
      </c>
      <c r="F7360" s="15" t="s">
        <v>17</v>
      </c>
      <c r="G7360" s="15" t="s">
        <v>29</v>
      </c>
      <c r="H7360" s="15" t="n">
        <v>5</v>
      </c>
      <c r="I7360" s="17" t="n">
        <v>0.15</v>
      </c>
      <c r="J7360" s="18" t="n">
        <v>71.07</v>
      </c>
      <c r="K7360" s="19" t="n">
        <v>19.58</v>
      </c>
      <c r="L7360" s="15" t="n">
        <f aca="false">YEAR(B7360)</f>
        <v>2022</v>
      </c>
      <c r="M7360" s="20" t="n">
        <f aca="false">IF(J7360&gt;0,K7360/J7360,0)</f>
        <v>0.275503025186436</v>
      </c>
    </row>
    <row r="7361" customFormat="false" ht="15" hidden="false" customHeight="false" outlineLevel="0" collapsed="false">
      <c r="A7361" s="15" t="s">
        <v>7418</v>
      </c>
      <c r="B7361" s="16" t="n">
        <v>45042</v>
      </c>
      <c r="C7361" s="15" t="s">
        <v>71</v>
      </c>
      <c r="D7361" s="15" t="s">
        <v>43</v>
      </c>
      <c r="E7361" s="15" t="s">
        <v>39</v>
      </c>
      <c r="F7361" s="15" t="s">
        <v>16</v>
      </c>
      <c r="G7361" s="15" t="s">
        <v>27</v>
      </c>
      <c r="H7361" s="15" t="n">
        <v>1</v>
      </c>
      <c r="I7361" s="17" t="n">
        <v>0.05</v>
      </c>
      <c r="J7361" s="18" t="n">
        <v>80.03</v>
      </c>
      <c r="K7361" s="19" t="n">
        <v>16.26</v>
      </c>
      <c r="L7361" s="15" t="n">
        <f aca="false">YEAR(B7361)</f>
        <v>2023</v>
      </c>
      <c r="M7361" s="20" t="n">
        <f aca="false">IF(J7361&gt;0,K7361/J7361,0)</f>
        <v>0.203173809821317</v>
      </c>
    </row>
    <row r="7362" customFormat="false" ht="15" hidden="false" customHeight="false" outlineLevel="0" collapsed="false">
      <c r="A7362" s="15" t="s">
        <v>7419</v>
      </c>
      <c r="B7362" s="16" t="n">
        <v>44702</v>
      </c>
      <c r="C7362" s="15" t="s">
        <v>56</v>
      </c>
      <c r="D7362" s="15" t="s">
        <v>42</v>
      </c>
      <c r="E7362" s="15" t="s">
        <v>36</v>
      </c>
      <c r="F7362" s="15" t="s">
        <v>17</v>
      </c>
      <c r="G7362" s="15" t="s">
        <v>29</v>
      </c>
      <c r="H7362" s="15" t="n">
        <v>2</v>
      </c>
      <c r="I7362" s="17" t="n">
        <v>0</v>
      </c>
      <c r="J7362" s="18" t="n">
        <v>32.93</v>
      </c>
      <c r="K7362" s="19" t="n">
        <v>13.33</v>
      </c>
      <c r="L7362" s="15" t="n">
        <f aca="false">YEAR(B7362)</f>
        <v>2022</v>
      </c>
      <c r="M7362" s="20" t="n">
        <f aca="false">IF(J7362&gt;0,K7362/J7362,0)</f>
        <v>0.40479805648345</v>
      </c>
    </row>
    <row r="7363" customFormat="false" ht="15" hidden="false" customHeight="false" outlineLevel="0" collapsed="false">
      <c r="A7363" s="15" t="s">
        <v>7420</v>
      </c>
      <c r="B7363" s="16" t="n">
        <v>44871</v>
      </c>
      <c r="C7363" s="15" t="s">
        <v>56</v>
      </c>
      <c r="D7363" s="15" t="s">
        <v>43</v>
      </c>
      <c r="E7363" s="15" t="s">
        <v>36</v>
      </c>
      <c r="F7363" s="15" t="s">
        <v>17</v>
      </c>
      <c r="G7363" s="15" t="s">
        <v>31</v>
      </c>
      <c r="H7363" s="15" t="n">
        <v>7</v>
      </c>
      <c r="I7363" s="17" t="n">
        <v>0.1</v>
      </c>
      <c r="J7363" s="18" t="n">
        <v>868.58</v>
      </c>
      <c r="K7363" s="19" t="n">
        <v>109.98</v>
      </c>
      <c r="L7363" s="15" t="n">
        <f aca="false">YEAR(B7363)</f>
        <v>2022</v>
      </c>
      <c r="M7363" s="20" t="n">
        <f aca="false">IF(J7363&gt;0,K7363/J7363,0)</f>
        <v>0.126620460982293</v>
      </c>
    </row>
    <row r="7364" customFormat="false" ht="15" hidden="false" customHeight="false" outlineLevel="0" collapsed="false">
      <c r="A7364" s="15" t="s">
        <v>7421</v>
      </c>
      <c r="B7364" s="16" t="n">
        <v>45281</v>
      </c>
      <c r="C7364" s="15" t="s">
        <v>56</v>
      </c>
      <c r="D7364" s="15" t="s">
        <v>44</v>
      </c>
      <c r="E7364" s="15" t="s">
        <v>36</v>
      </c>
      <c r="F7364" s="15" t="s">
        <v>17</v>
      </c>
      <c r="G7364" s="15" t="s">
        <v>29</v>
      </c>
      <c r="H7364" s="15" t="n">
        <v>2</v>
      </c>
      <c r="I7364" s="17" t="n">
        <v>0</v>
      </c>
      <c r="J7364" s="18" t="n">
        <v>37.25</v>
      </c>
      <c r="K7364" s="19" t="n">
        <v>13.59</v>
      </c>
      <c r="L7364" s="15" t="n">
        <f aca="false">YEAR(B7364)</f>
        <v>2023</v>
      </c>
      <c r="M7364" s="20" t="n">
        <f aca="false">IF(J7364&gt;0,K7364/J7364,0)</f>
        <v>0.364832214765101</v>
      </c>
    </row>
    <row r="7365" customFormat="false" ht="15" hidden="false" customHeight="false" outlineLevel="0" collapsed="false">
      <c r="A7365" s="15" t="s">
        <v>7422</v>
      </c>
      <c r="B7365" s="16" t="n">
        <v>45490</v>
      </c>
      <c r="C7365" s="15" t="s">
        <v>56</v>
      </c>
      <c r="D7365" s="15" t="s">
        <v>42</v>
      </c>
      <c r="E7365" s="15" t="s">
        <v>39</v>
      </c>
      <c r="F7365" s="15" t="s">
        <v>18</v>
      </c>
      <c r="G7365" s="15" t="s">
        <v>30</v>
      </c>
      <c r="H7365" s="15" t="n">
        <v>2</v>
      </c>
      <c r="I7365" s="17" t="n">
        <v>0</v>
      </c>
      <c r="J7365" s="18" t="n">
        <v>86.9</v>
      </c>
      <c r="K7365" s="19" t="n">
        <v>20.81</v>
      </c>
      <c r="L7365" s="15" t="n">
        <f aca="false">YEAR(B7365)</f>
        <v>2024</v>
      </c>
      <c r="M7365" s="20" t="n">
        <f aca="false">IF(J7365&gt;0,K7365/J7365,0)</f>
        <v>0.239470655926352</v>
      </c>
    </row>
    <row r="7366" customFormat="false" ht="15" hidden="false" customHeight="false" outlineLevel="0" collapsed="false">
      <c r="A7366" s="15" t="s">
        <v>7423</v>
      </c>
      <c r="B7366" s="16" t="n">
        <v>44841</v>
      </c>
      <c r="C7366" s="15" t="s">
        <v>56</v>
      </c>
      <c r="D7366" s="15" t="s">
        <v>42</v>
      </c>
      <c r="E7366" s="15" t="s">
        <v>37</v>
      </c>
      <c r="F7366" s="15" t="s">
        <v>16</v>
      </c>
      <c r="G7366" s="15" t="s">
        <v>27</v>
      </c>
      <c r="H7366" s="15" t="n">
        <v>4</v>
      </c>
      <c r="I7366" s="17" t="n">
        <v>0.2</v>
      </c>
      <c r="J7366" s="18" t="n">
        <v>224.33</v>
      </c>
      <c r="K7366" s="19" t="n">
        <v>2.37</v>
      </c>
      <c r="L7366" s="15" t="n">
        <f aca="false">YEAR(B7366)</f>
        <v>2022</v>
      </c>
      <c r="M7366" s="20" t="n">
        <f aca="false">IF(J7366&gt;0,K7366/J7366,0)</f>
        <v>0.0105647929389738</v>
      </c>
    </row>
    <row r="7367" customFormat="false" ht="15" hidden="false" customHeight="false" outlineLevel="0" collapsed="false">
      <c r="A7367" s="15" t="s">
        <v>7424</v>
      </c>
      <c r="B7367" s="16" t="n">
        <v>45978</v>
      </c>
      <c r="C7367" s="15" t="s">
        <v>56</v>
      </c>
      <c r="D7367" s="15" t="s">
        <v>42</v>
      </c>
      <c r="E7367" s="15" t="s">
        <v>39</v>
      </c>
      <c r="F7367" s="15" t="s">
        <v>17</v>
      </c>
      <c r="G7367" s="15" t="s">
        <v>29</v>
      </c>
      <c r="H7367" s="15" t="n">
        <v>6</v>
      </c>
      <c r="I7367" s="17" t="n">
        <v>0.05</v>
      </c>
      <c r="J7367" s="18" t="n">
        <v>96.92</v>
      </c>
      <c r="K7367" s="19" t="n">
        <v>27.16</v>
      </c>
      <c r="L7367" s="15" t="n">
        <f aca="false">YEAR(B7367)</f>
        <v>2025</v>
      </c>
      <c r="M7367" s="20" t="n">
        <f aca="false">IF(J7367&gt;0,K7367/J7367,0)</f>
        <v>0.280231118448205</v>
      </c>
    </row>
    <row r="7368" customFormat="false" ht="15" hidden="false" customHeight="false" outlineLevel="0" collapsed="false">
      <c r="A7368" s="15" t="s">
        <v>7425</v>
      </c>
      <c r="B7368" s="16" t="n">
        <v>45424</v>
      </c>
      <c r="C7368" s="15" t="s">
        <v>56</v>
      </c>
      <c r="D7368" s="15" t="s">
        <v>42</v>
      </c>
      <c r="E7368" s="15" t="s">
        <v>37</v>
      </c>
      <c r="F7368" s="15" t="s">
        <v>18</v>
      </c>
      <c r="G7368" s="15" t="s">
        <v>30</v>
      </c>
      <c r="H7368" s="15" t="n">
        <v>5</v>
      </c>
      <c r="I7368" s="17" t="n">
        <v>0.1</v>
      </c>
      <c r="J7368" s="18" t="n">
        <v>176.47</v>
      </c>
      <c r="K7368" s="19" t="n">
        <v>30.7</v>
      </c>
      <c r="L7368" s="15" t="n">
        <f aca="false">YEAR(B7368)</f>
        <v>2024</v>
      </c>
      <c r="M7368" s="20" t="n">
        <f aca="false">IF(J7368&gt;0,K7368/J7368,0)</f>
        <v>0.173967246557489</v>
      </c>
    </row>
    <row r="7369" customFormat="false" ht="15" hidden="false" customHeight="false" outlineLevel="0" collapsed="false">
      <c r="A7369" s="15" t="s">
        <v>7426</v>
      </c>
      <c r="B7369" s="16" t="n">
        <v>45239</v>
      </c>
      <c r="C7369" s="15" t="s">
        <v>71</v>
      </c>
      <c r="D7369" s="15" t="s">
        <v>43</v>
      </c>
      <c r="E7369" s="15" t="s">
        <v>37</v>
      </c>
      <c r="F7369" s="15" t="s">
        <v>17</v>
      </c>
      <c r="G7369" s="15" t="s">
        <v>29</v>
      </c>
      <c r="H7369" s="15" t="n">
        <v>6</v>
      </c>
      <c r="I7369" s="17" t="n">
        <v>0.05</v>
      </c>
      <c r="J7369" s="18" t="n">
        <v>127.78</v>
      </c>
      <c r="K7369" s="19" t="n">
        <v>44.25</v>
      </c>
      <c r="L7369" s="15" t="n">
        <f aca="false">YEAR(B7369)</f>
        <v>2023</v>
      </c>
      <c r="M7369" s="20" t="n">
        <f aca="false">IF(J7369&gt;0,K7369/J7369,0)</f>
        <v>0.346298325246517</v>
      </c>
    </row>
    <row r="7370" customFormat="false" ht="15" hidden="false" customHeight="false" outlineLevel="0" collapsed="false">
      <c r="A7370" s="15" t="s">
        <v>7427</v>
      </c>
      <c r="B7370" s="16" t="n">
        <v>45691</v>
      </c>
      <c r="C7370" s="15" t="s">
        <v>56</v>
      </c>
      <c r="D7370" s="15" t="s">
        <v>43</v>
      </c>
      <c r="E7370" s="15" t="s">
        <v>39</v>
      </c>
      <c r="F7370" s="15" t="s">
        <v>16</v>
      </c>
      <c r="G7370" s="15" t="s">
        <v>25</v>
      </c>
      <c r="H7370" s="15" t="n">
        <v>3</v>
      </c>
      <c r="I7370" s="17" t="n">
        <v>0</v>
      </c>
      <c r="J7370" s="18" t="n">
        <v>931.74</v>
      </c>
      <c r="K7370" s="19" t="n">
        <v>84.8</v>
      </c>
      <c r="L7370" s="15" t="n">
        <f aca="false">YEAR(B7370)</f>
        <v>2025</v>
      </c>
      <c r="M7370" s="20" t="n">
        <f aca="false">IF(J7370&gt;0,K7370/J7370,0)</f>
        <v>0.0910125142207054</v>
      </c>
    </row>
    <row r="7371" customFormat="false" ht="15" hidden="false" customHeight="false" outlineLevel="0" collapsed="false">
      <c r="A7371" s="15" t="s">
        <v>7428</v>
      </c>
      <c r="B7371" s="16" t="n">
        <v>45066</v>
      </c>
      <c r="C7371" s="15" t="s">
        <v>56</v>
      </c>
      <c r="D7371" s="15" t="s">
        <v>42</v>
      </c>
      <c r="E7371" s="15" t="s">
        <v>38</v>
      </c>
      <c r="F7371" s="15" t="s">
        <v>16</v>
      </c>
      <c r="G7371" s="15" t="s">
        <v>25</v>
      </c>
      <c r="H7371" s="15" t="n">
        <v>3</v>
      </c>
      <c r="I7371" s="17" t="n">
        <v>0</v>
      </c>
      <c r="J7371" s="18" t="n">
        <v>772.55</v>
      </c>
      <c r="K7371" s="19" t="n">
        <v>143.02</v>
      </c>
      <c r="L7371" s="15" t="n">
        <f aca="false">YEAR(B7371)</f>
        <v>2023</v>
      </c>
      <c r="M7371" s="20" t="n">
        <f aca="false">IF(J7371&gt;0,K7371/J7371,0)</f>
        <v>0.185127176234548</v>
      </c>
    </row>
    <row r="7372" customFormat="false" ht="15" hidden="false" customHeight="false" outlineLevel="0" collapsed="false">
      <c r="A7372" s="15" t="s">
        <v>7429</v>
      </c>
      <c r="B7372" s="16" t="n">
        <v>45544</v>
      </c>
      <c r="C7372" s="15" t="s">
        <v>71</v>
      </c>
      <c r="D7372" s="15" t="s">
        <v>42</v>
      </c>
      <c r="E7372" s="15" t="s">
        <v>37</v>
      </c>
      <c r="F7372" s="15" t="s">
        <v>16</v>
      </c>
      <c r="G7372" s="15" t="s">
        <v>22</v>
      </c>
      <c r="H7372" s="15" t="n">
        <v>5</v>
      </c>
      <c r="I7372" s="17" t="n">
        <v>0</v>
      </c>
      <c r="J7372" s="18" t="n">
        <v>2514.91</v>
      </c>
      <c r="K7372" s="19" t="n">
        <v>-88.97</v>
      </c>
      <c r="L7372" s="15" t="n">
        <f aca="false">YEAR(B7372)</f>
        <v>2024</v>
      </c>
      <c r="M7372" s="20" t="n">
        <f aca="false">IF(J7372&gt;0,K7372/J7372,0)</f>
        <v>-0.0353770115033938</v>
      </c>
    </row>
    <row r="7373" customFormat="false" ht="15" hidden="false" customHeight="false" outlineLevel="0" collapsed="false">
      <c r="A7373" s="15" t="s">
        <v>7430</v>
      </c>
      <c r="B7373" s="16" t="n">
        <v>44801</v>
      </c>
      <c r="C7373" s="15" t="s">
        <v>56</v>
      </c>
      <c r="D7373" s="15" t="s">
        <v>42</v>
      </c>
      <c r="E7373" s="15" t="s">
        <v>37</v>
      </c>
      <c r="F7373" s="15" t="s">
        <v>17</v>
      </c>
      <c r="G7373" s="15" t="s">
        <v>31</v>
      </c>
      <c r="H7373" s="15" t="n">
        <v>4</v>
      </c>
      <c r="I7373" s="17" t="n">
        <v>0.1</v>
      </c>
      <c r="J7373" s="18" t="n">
        <v>429.24</v>
      </c>
      <c r="K7373" s="19" t="n">
        <v>48.09</v>
      </c>
      <c r="L7373" s="15" t="n">
        <f aca="false">YEAR(B7373)</f>
        <v>2022</v>
      </c>
      <c r="M7373" s="20" t="n">
        <f aca="false">IF(J7373&gt;0,K7373/J7373,0)</f>
        <v>0.112035225048924</v>
      </c>
    </row>
    <row r="7374" customFormat="false" ht="15" hidden="false" customHeight="false" outlineLevel="0" collapsed="false">
      <c r="A7374" s="15" t="s">
        <v>7431</v>
      </c>
      <c r="B7374" s="16" t="n">
        <v>45439</v>
      </c>
      <c r="C7374" s="15" t="s">
        <v>56</v>
      </c>
      <c r="D7374" s="15" t="s">
        <v>42</v>
      </c>
      <c r="E7374" s="15" t="s">
        <v>39</v>
      </c>
      <c r="F7374" s="15" t="s">
        <v>17</v>
      </c>
      <c r="G7374" s="15" t="s">
        <v>31</v>
      </c>
      <c r="H7374" s="15" t="n">
        <v>2</v>
      </c>
      <c r="I7374" s="17" t="n">
        <v>0.1</v>
      </c>
      <c r="J7374" s="18" t="n">
        <v>222.44</v>
      </c>
      <c r="K7374" s="19" t="n">
        <v>33.4</v>
      </c>
      <c r="L7374" s="15" t="n">
        <f aca="false">YEAR(B7374)</f>
        <v>2024</v>
      </c>
      <c r="M7374" s="20" t="n">
        <f aca="false">IF(J7374&gt;0,K7374/J7374,0)</f>
        <v>0.150152850206797</v>
      </c>
    </row>
    <row r="7375" customFormat="false" ht="15" hidden="false" customHeight="false" outlineLevel="0" collapsed="false">
      <c r="A7375" s="15" t="s">
        <v>7432</v>
      </c>
      <c r="B7375" s="16" t="n">
        <v>45682</v>
      </c>
      <c r="C7375" s="15" t="s">
        <v>56</v>
      </c>
      <c r="D7375" s="15" t="s">
        <v>43</v>
      </c>
      <c r="E7375" s="15" t="s">
        <v>38</v>
      </c>
      <c r="F7375" s="15" t="s">
        <v>18</v>
      </c>
      <c r="G7375" s="15" t="s">
        <v>30</v>
      </c>
      <c r="H7375" s="15" t="n">
        <v>4</v>
      </c>
      <c r="I7375" s="17" t="n">
        <v>0</v>
      </c>
      <c r="J7375" s="18" t="n">
        <v>164.92</v>
      </c>
      <c r="K7375" s="19" t="n">
        <v>47.18</v>
      </c>
      <c r="L7375" s="15" t="n">
        <f aca="false">YEAR(B7375)</f>
        <v>2025</v>
      </c>
      <c r="M7375" s="20" t="n">
        <f aca="false">IF(J7375&gt;0,K7375/J7375,0)</f>
        <v>0.286078098471986</v>
      </c>
    </row>
    <row r="7376" customFormat="false" ht="15" hidden="false" customHeight="false" outlineLevel="0" collapsed="false">
      <c r="A7376" s="15" t="s">
        <v>7433</v>
      </c>
      <c r="B7376" s="16" t="n">
        <v>45767</v>
      </c>
      <c r="C7376" s="15" t="s">
        <v>56</v>
      </c>
      <c r="D7376" s="15" t="s">
        <v>42</v>
      </c>
      <c r="E7376" s="15" t="s">
        <v>36</v>
      </c>
      <c r="F7376" s="15" t="s">
        <v>16</v>
      </c>
      <c r="G7376" s="15" t="s">
        <v>27</v>
      </c>
      <c r="H7376" s="15" t="n">
        <v>2</v>
      </c>
      <c r="I7376" s="17" t="n">
        <v>0.1</v>
      </c>
      <c r="J7376" s="18" t="n">
        <v>94.49</v>
      </c>
      <c r="K7376" s="19" t="n">
        <v>11.09</v>
      </c>
      <c r="L7376" s="15" t="n">
        <f aca="false">YEAR(B7376)</f>
        <v>2025</v>
      </c>
      <c r="M7376" s="20" t="n">
        <f aca="false">IF(J7376&gt;0,K7376/J7376,0)</f>
        <v>0.117366917134088</v>
      </c>
    </row>
    <row r="7377" customFormat="false" ht="15" hidden="false" customHeight="false" outlineLevel="0" collapsed="false">
      <c r="A7377" s="15" t="s">
        <v>7434</v>
      </c>
      <c r="B7377" s="16" t="n">
        <v>45402</v>
      </c>
      <c r="C7377" s="15" t="s">
        <v>56</v>
      </c>
      <c r="D7377" s="15" t="s">
        <v>44</v>
      </c>
      <c r="E7377" s="15" t="s">
        <v>39</v>
      </c>
      <c r="F7377" s="15" t="s">
        <v>16</v>
      </c>
      <c r="G7377" s="15" t="s">
        <v>25</v>
      </c>
      <c r="H7377" s="15" t="n">
        <v>1</v>
      </c>
      <c r="I7377" s="17" t="n">
        <v>0.1</v>
      </c>
      <c r="J7377" s="18" t="n">
        <v>234.59</v>
      </c>
      <c r="K7377" s="19" t="n">
        <v>11.17</v>
      </c>
      <c r="L7377" s="15" t="n">
        <f aca="false">YEAR(B7377)</f>
        <v>2024</v>
      </c>
      <c r="M7377" s="20" t="n">
        <f aca="false">IF(J7377&gt;0,K7377/J7377,0)</f>
        <v>0.0476149878511446</v>
      </c>
    </row>
    <row r="7378" customFormat="false" ht="15" hidden="false" customHeight="false" outlineLevel="0" collapsed="false">
      <c r="A7378" s="15" t="s">
        <v>7435</v>
      </c>
      <c r="B7378" s="16" t="n">
        <v>45835</v>
      </c>
      <c r="C7378" s="15" t="s">
        <v>71</v>
      </c>
      <c r="D7378" s="15" t="s">
        <v>42</v>
      </c>
      <c r="E7378" s="15" t="s">
        <v>37</v>
      </c>
      <c r="F7378" s="15" t="s">
        <v>18</v>
      </c>
      <c r="G7378" s="15" t="s">
        <v>30</v>
      </c>
      <c r="H7378" s="15" t="n">
        <v>6</v>
      </c>
      <c r="I7378" s="17" t="n">
        <v>0.1</v>
      </c>
      <c r="J7378" s="18" t="n">
        <v>232.42</v>
      </c>
      <c r="K7378" s="19" t="n">
        <v>41.87</v>
      </c>
      <c r="L7378" s="15" t="n">
        <f aca="false">YEAR(B7378)</f>
        <v>2025</v>
      </c>
      <c r="M7378" s="20" t="n">
        <f aca="false">IF(J7378&gt;0,K7378/J7378,0)</f>
        <v>0.180148007916703</v>
      </c>
    </row>
    <row r="7379" customFormat="false" ht="15" hidden="false" customHeight="false" outlineLevel="0" collapsed="false">
      <c r="A7379" s="15" t="s">
        <v>7436</v>
      </c>
      <c r="B7379" s="16" t="n">
        <v>45878</v>
      </c>
      <c r="C7379" s="15" t="s">
        <v>68</v>
      </c>
      <c r="D7379" s="15" t="s">
        <v>42</v>
      </c>
      <c r="E7379" s="15" t="s">
        <v>38</v>
      </c>
      <c r="F7379" s="15" t="s">
        <v>17</v>
      </c>
      <c r="G7379" s="15" t="s">
        <v>31</v>
      </c>
      <c r="H7379" s="15" t="n">
        <v>1</v>
      </c>
      <c r="I7379" s="17" t="n">
        <v>0.3</v>
      </c>
      <c r="J7379" s="18" t="n">
        <v>60.89</v>
      </c>
      <c r="K7379" s="19" t="n">
        <v>-1.05</v>
      </c>
      <c r="L7379" s="15" t="n">
        <f aca="false">YEAR(B7379)</f>
        <v>2025</v>
      </c>
      <c r="M7379" s="20" t="n">
        <f aca="false">IF(J7379&gt;0,K7379/J7379,0)</f>
        <v>-0.0172442108720644</v>
      </c>
    </row>
    <row r="7380" customFormat="false" ht="15" hidden="false" customHeight="false" outlineLevel="0" collapsed="false">
      <c r="A7380" s="15" t="s">
        <v>7437</v>
      </c>
      <c r="B7380" s="16" t="n">
        <v>45988</v>
      </c>
      <c r="C7380" s="15" t="s">
        <v>56</v>
      </c>
      <c r="D7380" s="15" t="s">
        <v>43</v>
      </c>
      <c r="E7380" s="15" t="s">
        <v>39</v>
      </c>
      <c r="F7380" s="15" t="s">
        <v>17</v>
      </c>
      <c r="G7380" s="15" t="s">
        <v>29</v>
      </c>
      <c r="H7380" s="15" t="n">
        <v>3</v>
      </c>
      <c r="I7380" s="17" t="n">
        <v>0.15</v>
      </c>
      <c r="J7380" s="18" t="n">
        <v>49.68</v>
      </c>
      <c r="K7380" s="19" t="n">
        <v>14.92</v>
      </c>
      <c r="L7380" s="15" t="n">
        <f aca="false">YEAR(B7380)</f>
        <v>2025</v>
      </c>
      <c r="M7380" s="20" t="n">
        <f aca="false">IF(J7380&gt;0,K7380/J7380,0)</f>
        <v>0.300322061191626</v>
      </c>
    </row>
    <row r="7381" customFormat="false" ht="15" hidden="false" customHeight="false" outlineLevel="0" collapsed="false">
      <c r="A7381" s="15" t="s">
        <v>7438</v>
      </c>
      <c r="B7381" s="16" t="n">
        <v>45386</v>
      </c>
      <c r="C7381" s="15" t="s">
        <v>56</v>
      </c>
      <c r="D7381" s="15" t="s">
        <v>44</v>
      </c>
      <c r="E7381" s="15" t="s">
        <v>38</v>
      </c>
      <c r="F7381" s="15" t="s">
        <v>17</v>
      </c>
      <c r="G7381" s="15" t="s">
        <v>28</v>
      </c>
      <c r="H7381" s="15" t="n">
        <v>5</v>
      </c>
      <c r="I7381" s="17" t="n">
        <v>0.1</v>
      </c>
      <c r="J7381" s="18" t="n">
        <v>104.45</v>
      </c>
      <c r="K7381" s="19" t="n">
        <v>22.39</v>
      </c>
      <c r="L7381" s="15" t="n">
        <f aca="false">YEAR(B7381)</f>
        <v>2024</v>
      </c>
      <c r="M7381" s="20" t="n">
        <f aca="false">IF(J7381&gt;0,K7381/J7381,0)</f>
        <v>0.214360938247966</v>
      </c>
    </row>
    <row r="7382" customFormat="false" ht="15" hidden="false" customHeight="false" outlineLevel="0" collapsed="false">
      <c r="A7382" s="15" t="s">
        <v>7439</v>
      </c>
      <c r="B7382" s="16" t="n">
        <v>44978</v>
      </c>
      <c r="C7382" s="15" t="s">
        <v>71</v>
      </c>
      <c r="D7382" s="15" t="s">
        <v>42</v>
      </c>
      <c r="E7382" s="15" t="s">
        <v>37</v>
      </c>
      <c r="F7382" s="15" t="s">
        <v>18</v>
      </c>
      <c r="G7382" s="15" t="s">
        <v>24</v>
      </c>
      <c r="H7382" s="15" t="n">
        <v>4</v>
      </c>
      <c r="I7382" s="17" t="n">
        <v>0</v>
      </c>
      <c r="J7382" s="18" t="n">
        <v>2785.97</v>
      </c>
      <c r="K7382" s="19" t="n">
        <v>101.44</v>
      </c>
      <c r="L7382" s="15" t="n">
        <f aca="false">YEAR(B7382)</f>
        <v>2023</v>
      </c>
      <c r="M7382" s="20" t="n">
        <f aca="false">IF(J7382&gt;0,K7382/J7382,0)</f>
        <v>0.0364110166297555</v>
      </c>
    </row>
    <row r="7383" customFormat="false" ht="15" hidden="false" customHeight="false" outlineLevel="0" collapsed="false">
      <c r="A7383" s="15" t="s">
        <v>7440</v>
      </c>
      <c r="B7383" s="16" t="n">
        <v>45533</v>
      </c>
      <c r="C7383" s="15" t="s">
        <v>68</v>
      </c>
      <c r="D7383" s="15" t="s">
        <v>44</v>
      </c>
      <c r="E7383" s="15" t="s">
        <v>39</v>
      </c>
      <c r="F7383" s="15" t="s">
        <v>17</v>
      </c>
      <c r="G7383" s="15" t="s">
        <v>28</v>
      </c>
      <c r="H7383" s="15" t="n">
        <v>4</v>
      </c>
      <c r="I7383" s="17" t="n">
        <v>0</v>
      </c>
      <c r="J7383" s="18" t="n">
        <v>130.86</v>
      </c>
      <c r="K7383" s="19" t="n">
        <v>40.26</v>
      </c>
      <c r="L7383" s="15" t="n">
        <f aca="false">YEAR(B7383)</f>
        <v>2024</v>
      </c>
      <c r="M7383" s="20" t="n">
        <f aca="false">IF(J7383&gt;0,K7383/J7383,0)</f>
        <v>0.307657038055938</v>
      </c>
    </row>
    <row r="7384" customFormat="false" ht="15" hidden="false" customHeight="false" outlineLevel="0" collapsed="false">
      <c r="A7384" s="15" t="s">
        <v>7441</v>
      </c>
      <c r="B7384" s="16" t="n">
        <v>45887</v>
      </c>
      <c r="C7384" s="15" t="s">
        <v>56</v>
      </c>
      <c r="D7384" s="15" t="s">
        <v>44</v>
      </c>
      <c r="E7384" s="15" t="s">
        <v>38</v>
      </c>
      <c r="F7384" s="15" t="s">
        <v>16</v>
      </c>
      <c r="G7384" s="15" t="s">
        <v>27</v>
      </c>
      <c r="H7384" s="15" t="n">
        <v>3</v>
      </c>
      <c r="I7384" s="17" t="n">
        <v>0.3</v>
      </c>
      <c r="J7384" s="18" t="n">
        <v>107.54</v>
      </c>
      <c r="K7384" s="19" t="n">
        <v>-4.23</v>
      </c>
      <c r="L7384" s="15" t="n">
        <f aca="false">YEAR(B7384)</f>
        <v>2025</v>
      </c>
      <c r="M7384" s="20" t="n">
        <f aca="false">IF(J7384&gt;0,K7384/J7384,0)</f>
        <v>-0.0393342012274503</v>
      </c>
    </row>
    <row r="7385" customFormat="false" ht="15" hidden="false" customHeight="false" outlineLevel="0" collapsed="false">
      <c r="A7385" s="15" t="s">
        <v>7442</v>
      </c>
      <c r="B7385" s="16" t="n">
        <v>44907</v>
      </c>
      <c r="C7385" s="15" t="s">
        <v>56</v>
      </c>
      <c r="D7385" s="15" t="s">
        <v>43</v>
      </c>
      <c r="E7385" s="15" t="s">
        <v>36</v>
      </c>
      <c r="F7385" s="15" t="s">
        <v>17</v>
      </c>
      <c r="G7385" s="15" t="s">
        <v>26</v>
      </c>
      <c r="H7385" s="15" t="n">
        <v>2</v>
      </c>
      <c r="I7385" s="17" t="n">
        <v>0</v>
      </c>
      <c r="J7385" s="18" t="n">
        <v>142.96</v>
      </c>
      <c r="K7385" s="19" t="n">
        <v>21.25</v>
      </c>
      <c r="L7385" s="15" t="n">
        <f aca="false">YEAR(B7385)</f>
        <v>2022</v>
      </c>
      <c r="M7385" s="20" t="n">
        <f aca="false">IF(J7385&gt;0,K7385/J7385,0)</f>
        <v>0.148642977056519</v>
      </c>
    </row>
    <row r="7386" customFormat="false" ht="15" hidden="false" customHeight="false" outlineLevel="0" collapsed="false">
      <c r="A7386" s="15" t="s">
        <v>7443</v>
      </c>
      <c r="B7386" s="16" t="n">
        <v>45174</v>
      </c>
      <c r="C7386" s="15" t="s">
        <v>56</v>
      </c>
      <c r="D7386" s="15" t="s">
        <v>42</v>
      </c>
      <c r="E7386" s="15" t="s">
        <v>39</v>
      </c>
      <c r="F7386" s="15" t="s">
        <v>17</v>
      </c>
      <c r="G7386" s="15" t="s">
        <v>29</v>
      </c>
      <c r="H7386" s="15" t="n">
        <v>5</v>
      </c>
      <c r="I7386" s="17" t="n">
        <v>0.1</v>
      </c>
      <c r="J7386" s="18" t="n">
        <v>65.49</v>
      </c>
      <c r="K7386" s="19" t="n">
        <v>16.88</v>
      </c>
      <c r="L7386" s="15" t="n">
        <f aca="false">YEAR(B7386)</f>
        <v>2023</v>
      </c>
      <c r="M7386" s="20" t="n">
        <f aca="false">IF(J7386&gt;0,K7386/J7386,0)</f>
        <v>0.257749274698427</v>
      </c>
    </row>
    <row r="7387" customFormat="false" ht="15" hidden="false" customHeight="false" outlineLevel="0" collapsed="false">
      <c r="A7387" s="15" t="s">
        <v>7444</v>
      </c>
      <c r="B7387" s="16" t="n">
        <v>45983</v>
      </c>
      <c r="C7387" s="15" t="s">
        <v>56</v>
      </c>
      <c r="D7387" s="15" t="s">
        <v>42</v>
      </c>
      <c r="E7387" s="15" t="s">
        <v>37</v>
      </c>
      <c r="F7387" s="15" t="s">
        <v>16</v>
      </c>
      <c r="G7387" s="15" t="s">
        <v>23</v>
      </c>
      <c r="H7387" s="15" t="n">
        <v>4</v>
      </c>
      <c r="I7387" s="17" t="n">
        <v>0</v>
      </c>
      <c r="J7387" s="18" t="n">
        <v>1418.88</v>
      </c>
      <c r="K7387" s="19" t="n">
        <v>125.51</v>
      </c>
      <c r="L7387" s="15" t="n">
        <f aca="false">YEAR(B7387)</f>
        <v>2025</v>
      </c>
      <c r="M7387" s="20" t="n">
        <f aca="false">IF(J7387&gt;0,K7387/J7387,0)</f>
        <v>0.0884570929183581</v>
      </c>
    </row>
    <row r="7388" customFormat="false" ht="15" hidden="false" customHeight="false" outlineLevel="0" collapsed="false">
      <c r="A7388" s="15" t="s">
        <v>7445</v>
      </c>
      <c r="B7388" s="16" t="n">
        <v>45532</v>
      </c>
      <c r="C7388" s="15" t="s">
        <v>68</v>
      </c>
      <c r="D7388" s="15" t="s">
        <v>44</v>
      </c>
      <c r="E7388" s="15" t="s">
        <v>36</v>
      </c>
      <c r="F7388" s="15" t="s">
        <v>16</v>
      </c>
      <c r="G7388" s="15" t="s">
        <v>27</v>
      </c>
      <c r="H7388" s="15" t="n">
        <v>6</v>
      </c>
      <c r="I7388" s="17" t="n">
        <v>0</v>
      </c>
      <c r="J7388" s="18" t="n">
        <v>324.54</v>
      </c>
      <c r="K7388" s="19" t="n">
        <v>89.66</v>
      </c>
      <c r="L7388" s="15" t="n">
        <f aca="false">YEAR(B7388)</f>
        <v>2024</v>
      </c>
      <c r="M7388" s="20" t="n">
        <f aca="false">IF(J7388&gt;0,K7388/J7388,0)</f>
        <v>0.276267948480927</v>
      </c>
    </row>
    <row r="7389" customFormat="false" ht="15" hidden="false" customHeight="false" outlineLevel="0" collapsed="false">
      <c r="A7389" s="15" t="s">
        <v>7446</v>
      </c>
      <c r="B7389" s="16" t="n">
        <v>44959</v>
      </c>
      <c r="C7389" s="15" t="s">
        <v>71</v>
      </c>
      <c r="D7389" s="15" t="s">
        <v>42</v>
      </c>
      <c r="E7389" s="15" t="s">
        <v>37</v>
      </c>
      <c r="F7389" s="15" t="s">
        <v>18</v>
      </c>
      <c r="G7389" s="15" t="s">
        <v>24</v>
      </c>
      <c r="H7389" s="15" t="n">
        <v>2</v>
      </c>
      <c r="I7389" s="17" t="n">
        <v>0.05</v>
      </c>
      <c r="J7389" s="18" t="n">
        <v>1727.28</v>
      </c>
      <c r="K7389" s="19" t="n">
        <v>-40.99</v>
      </c>
      <c r="L7389" s="15" t="n">
        <f aca="false">YEAR(B7389)</f>
        <v>2023</v>
      </c>
      <c r="M7389" s="20" t="n">
        <f aca="false">IF(J7389&gt;0,K7389/J7389,0)</f>
        <v>-0.0237309527117781</v>
      </c>
    </row>
    <row r="7390" customFormat="false" ht="15" hidden="false" customHeight="false" outlineLevel="0" collapsed="false">
      <c r="A7390" s="15" t="s">
        <v>7447</v>
      </c>
      <c r="B7390" s="16" t="n">
        <v>44642</v>
      </c>
      <c r="C7390" s="15" t="s">
        <v>56</v>
      </c>
      <c r="D7390" s="15" t="s">
        <v>43</v>
      </c>
      <c r="E7390" s="15" t="s">
        <v>38</v>
      </c>
      <c r="F7390" s="15" t="s">
        <v>18</v>
      </c>
      <c r="G7390" s="15" t="s">
        <v>30</v>
      </c>
      <c r="H7390" s="15" t="n">
        <v>5</v>
      </c>
      <c r="I7390" s="17" t="n">
        <v>0</v>
      </c>
      <c r="J7390" s="18" t="n">
        <v>212.08</v>
      </c>
      <c r="K7390" s="19" t="n">
        <v>62.85</v>
      </c>
      <c r="L7390" s="15" t="n">
        <f aca="false">YEAR(B7390)</f>
        <v>2022</v>
      </c>
      <c r="M7390" s="20" t="n">
        <f aca="false">IF(J7390&gt;0,K7390/J7390,0)</f>
        <v>0.296350433798567</v>
      </c>
    </row>
    <row r="7391" customFormat="false" ht="15" hidden="false" customHeight="false" outlineLevel="0" collapsed="false">
      <c r="A7391" s="15" t="s">
        <v>7448</v>
      </c>
      <c r="B7391" s="16" t="n">
        <v>44887</v>
      </c>
      <c r="C7391" s="15" t="s">
        <v>68</v>
      </c>
      <c r="D7391" s="15" t="s">
        <v>43</v>
      </c>
      <c r="E7391" s="15" t="s">
        <v>37</v>
      </c>
      <c r="F7391" s="15" t="s">
        <v>16</v>
      </c>
      <c r="G7391" s="15" t="s">
        <v>27</v>
      </c>
      <c r="H7391" s="15" t="n">
        <v>3</v>
      </c>
      <c r="I7391" s="17" t="n">
        <v>0.15</v>
      </c>
      <c r="J7391" s="18" t="n">
        <v>174.6</v>
      </c>
      <c r="K7391" s="19" t="n">
        <v>18.41</v>
      </c>
      <c r="L7391" s="15" t="n">
        <f aca="false">YEAR(B7391)</f>
        <v>2022</v>
      </c>
      <c r="M7391" s="20" t="n">
        <f aca="false">IF(J7391&gt;0,K7391/J7391,0)</f>
        <v>0.105441008018328</v>
      </c>
    </row>
    <row r="7392" customFormat="false" ht="15" hidden="false" customHeight="false" outlineLevel="0" collapsed="false">
      <c r="A7392" s="15" t="s">
        <v>7449</v>
      </c>
      <c r="B7392" s="16" t="n">
        <v>44967</v>
      </c>
      <c r="C7392" s="15" t="s">
        <v>56</v>
      </c>
      <c r="D7392" s="15" t="s">
        <v>43</v>
      </c>
      <c r="E7392" s="15" t="s">
        <v>37</v>
      </c>
      <c r="F7392" s="15" t="s">
        <v>17</v>
      </c>
      <c r="G7392" s="15" t="s">
        <v>29</v>
      </c>
      <c r="H7392" s="15" t="n">
        <v>4</v>
      </c>
      <c r="I7392" s="17" t="n">
        <v>0.15</v>
      </c>
      <c r="J7392" s="18" t="n">
        <v>77.87</v>
      </c>
      <c r="K7392" s="19" t="n">
        <v>19.25</v>
      </c>
      <c r="L7392" s="15" t="n">
        <f aca="false">YEAR(B7392)</f>
        <v>2023</v>
      </c>
      <c r="M7392" s="20" t="n">
        <f aca="false">IF(J7392&gt;0,K7392/J7392,0)</f>
        <v>0.247206883266983</v>
      </c>
    </row>
    <row r="7393" customFormat="false" ht="15" hidden="false" customHeight="false" outlineLevel="0" collapsed="false">
      <c r="A7393" s="15" t="s">
        <v>7450</v>
      </c>
      <c r="B7393" s="16" t="n">
        <v>44705</v>
      </c>
      <c r="C7393" s="15" t="s">
        <v>56</v>
      </c>
      <c r="D7393" s="15" t="s">
        <v>43</v>
      </c>
      <c r="E7393" s="15" t="s">
        <v>39</v>
      </c>
      <c r="F7393" s="15" t="s">
        <v>17</v>
      </c>
      <c r="G7393" s="15" t="s">
        <v>29</v>
      </c>
      <c r="H7393" s="15" t="n">
        <v>5</v>
      </c>
      <c r="I7393" s="17" t="n">
        <v>0.1</v>
      </c>
      <c r="J7393" s="18" t="n">
        <v>97.54</v>
      </c>
      <c r="K7393" s="19" t="n">
        <v>26.36</v>
      </c>
      <c r="L7393" s="15" t="n">
        <f aca="false">YEAR(B7393)</f>
        <v>2022</v>
      </c>
      <c r="M7393" s="20" t="n">
        <f aca="false">IF(J7393&gt;0,K7393/J7393,0)</f>
        <v>0.270248103342219</v>
      </c>
    </row>
    <row r="7394" customFormat="false" ht="15" hidden="false" customHeight="false" outlineLevel="0" collapsed="false">
      <c r="A7394" s="15" t="s">
        <v>7451</v>
      </c>
      <c r="B7394" s="16" t="n">
        <v>45208</v>
      </c>
      <c r="C7394" s="15" t="s">
        <v>58</v>
      </c>
      <c r="D7394" s="15" t="s">
        <v>43</v>
      </c>
      <c r="E7394" s="15" t="s">
        <v>37</v>
      </c>
      <c r="F7394" s="15" t="s">
        <v>17</v>
      </c>
      <c r="G7394" s="15" t="s">
        <v>28</v>
      </c>
      <c r="H7394" s="15" t="n">
        <v>3</v>
      </c>
      <c r="I7394" s="17" t="n">
        <v>0</v>
      </c>
      <c r="J7394" s="18" t="n">
        <v>87.6</v>
      </c>
      <c r="K7394" s="19" t="n">
        <v>31.21</v>
      </c>
      <c r="L7394" s="15" t="n">
        <f aca="false">YEAR(B7394)</f>
        <v>2023</v>
      </c>
      <c r="M7394" s="20" t="n">
        <f aca="false">IF(J7394&gt;0,K7394/J7394,0)</f>
        <v>0.356278538812785</v>
      </c>
    </row>
    <row r="7395" customFormat="false" ht="15" hidden="false" customHeight="false" outlineLevel="0" collapsed="false">
      <c r="A7395" s="15" t="s">
        <v>7452</v>
      </c>
      <c r="B7395" s="16" t="n">
        <v>45047</v>
      </c>
      <c r="C7395" s="15" t="s">
        <v>56</v>
      </c>
      <c r="D7395" s="15" t="s">
        <v>44</v>
      </c>
      <c r="E7395" s="15" t="s">
        <v>39</v>
      </c>
      <c r="F7395" s="15" t="s">
        <v>18</v>
      </c>
      <c r="G7395" s="15" t="s">
        <v>30</v>
      </c>
      <c r="H7395" s="15" t="n">
        <v>1</v>
      </c>
      <c r="I7395" s="17" t="n">
        <v>0.1</v>
      </c>
      <c r="J7395" s="18" t="n">
        <v>37.48</v>
      </c>
      <c r="K7395" s="19" t="n">
        <v>6.16</v>
      </c>
      <c r="L7395" s="15" t="n">
        <f aca="false">YEAR(B7395)</f>
        <v>2023</v>
      </c>
      <c r="M7395" s="20" t="n">
        <f aca="false">IF(J7395&gt;0,K7395/J7395,0)</f>
        <v>0.164354322305229</v>
      </c>
    </row>
    <row r="7396" customFormat="false" ht="15" hidden="false" customHeight="false" outlineLevel="0" collapsed="false">
      <c r="A7396" s="15" t="s">
        <v>7453</v>
      </c>
      <c r="B7396" s="16" t="n">
        <v>44995</v>
      </c>
      <c r="C7396" s="15" t="s">
        <v>68</v>
      </c>
      <c r="D7396" s="15" t="s">
        <v>42</v>
      </c>
      <c r="E7396" s="15" t="s">
        <v>39</v>
      </c>
      <c r="F7396" s="15" t="s">
        <v>17</v>
      </c>
      <c r="G7396" s="15" t="s">
        <v>29</v>
      </c>
      <c r="H7396" s="15" t="n">
        <v>4</v>
      </c>
      <c r="I7396" s="17" t="n">
        <v>0.1</v>
      </c>
      <c r="J7396" s="18" t="n">
        <v>66.77</v>
      </c>
      <c r="K7396" s="19" t="n">
        <v>22.75</v>
      </c>
      <c r="L7396" s="15" t="n">
        <f aca="false">YEAR(B7396)</f>
        <v>2023</v>
      </c>
      <c r="M7396" s="20" t="n">
        <f aca="false">IF(J7396&gt;0,K7396/J7396,0)</f>
        <v>0.340721881084319</v>
      </c>
    </row>
    <row r="7397" customFormat="false" ht="15" hidden="false" customHeight="false" outlineLevel="0" collapsed="false">
      <c r="A7397" s="15" t="s">
        <v>7454</v>
      </c>
      <c r="B7397" s="16" t="n">
        <v>45292</v>
      </c>
      <c r="C7397" s="15" t="s">
        <v>56</v>
      </c>
      <c r="D7397" s="15" t="s">
        <v>43</v>
      </c>
      <c r="E7397" s="15" t="s">
        <v>37</v>
      </c>
      <c r="F7397" s="15" t="s">
        <v>17</v>
      </c>
      <c r="G7397" s="15" t="s">
        <v>26</v>
      </c>
      <c r="H7397" s="15" t="n">
        <v>8</v>
      </c>
      <c r="I7397" s="17" t="n">
        <v>0</v>
      </c>
      <c r="J7397" s="18" t="n">
        <v>728.55</v>
      </c>
      <c r="K7397" s="19" t="n">
        <v>120.42</v>
      </c>
      <c r="L7397" s="15" t="n">
        <f aca="false">YEAR(B7397)</f>
        <v>2024</v>
      </c>
      <c r="M7397" s="20" t="n">
        <f aca="false">IF(J7397&gt;0,K7397/J7397,0)</f>
        <v>0.165287214329833</v>
      </c>
    </row>
    <row r="7398" customFormat="false" ht="15" hidden="false" customHeight="false" outlineLevel="0" collapsed="false">
      <c r="A7398" s="15" t="s">
        <v>7455</v>
      </c>
      <c r="B7398" s="16" t="n">
        <v>44891</v>
      </c>
      <c r="C7398" s="15" t="s">
        <v>56</v>
      </c>
      <c r="D7398" s="15" t="s">
        <v>42</v>
      </c>
      <c r="E7398" s="15" t="s">
        <v>38</v>
      </c>
      <c r="F7398" s="15" t="s">
        <v>17</v>
      </c>
      <c r="G7398" s="15" t="s">
        <v>26</v>
      </c>
      <c r="H7398" s="15" t="n">
        <v>5</v>
      </c>
      <c r="I7398" s="17" t="n">
        <v>0.2</v>
      </c>
      <c r="J7398" s="18" t="n">
        <v>344.9</v>
      </c>
      <c r="K7398" s="19" t="n">
        <v>-13.77</v>
      </c>
      <c r="L7398" s="15" t="n">
        <f aca="false">YEAR(B7398)</f>
        <v>2022</v>
      </c>
      <c r="M7398" s="20" t="n">
        <f aca="false">IF(J7398&gt;0,K7398/J7398,0)</f>
        <v>-0.0399246158306756</v>
      </c>
    </row>
    <row r="7399" customFormat="false" ht="15" hidden="false" customHeight="false" outlineLevel="0" collapsed="false">
      <c r="A7399" s="15" t="s">
        <v>7456</v>
      </c>
      <c r="B7399" s="16" t="n">
        <v>45264</v>
      </c>
      <c r="C7399" s="15" t="s">
        <v>56</v>
      </c>
      <c r="D7399" s="15" t="s">
        <v>42</v>
      </c>
      <c r="E7399" s="15" t="s">
        <v>36</v>
      </c>
      <c r="F7399" s="15" t="s">
        <v>18</v>
      </c>
      <c r="G7399" s="15" t="s">
        <v>30</v>
      </c>
      <c r="H7399" s="15" t="n">
        <v>5</v>
      </c>
      <c r="I7399" s="17" t="n">
        <v>0</v>
      </c>
      <c r="J7399" s="18" t="n">
        <v>213.71</v>
      </c>
      <c r="K7399" s="19" t="n">
        <v>60.84</v>
      </c>
      <c r="L7399" s="15" t="n">
        <f aca="false">YEAR(B7399)</f>
        <v>2023</v>
      </c>
      <c r="M7399" s="20" t="n">
        <f aca="false">IF(J7399&gt;0,K7399/J7399,0)</f>
        <v>0.284684853305882</v>
      </c>
    </row>
    <row r="7400" customFormat="false" ht="15" hidden="false" customHeight="false" outlineLevel="0" collapsed="false">
      <c r="A7400" s="15" t="s">
        <v>7457</v>
      </c>
      <c r="B7400" s="16" t="n">
        <v>45236</v>
      </c>
      <c r="C7400" s="15" t="s">
        <v>68</v>
      </c>
      <c r="D7400" s="15" t="s">
        <v>43</v>
      </c>
      <c r="E7400" s="15" t="s">
        <v>36</v>
      </c>
      <c r="F7400" s="15" t="s">
        <v>17</v>
      </c>
      <c r="G7400" s="15" t="s">
        <v>26</v>
      </c>
      <c r="H7400" s="15" t="n">
        <v>5</v>
      </c>
      <c r="I7400" s="17" t="n">
        <v>0</v>
      </c>
      <c r="J7400" s="18" t="n">
        <v>456.28</v>
      </c>
      <c r="K7400" s="19" t="n">
        <v>62.5</v>
      </c>
      <c r="L7400" s="15" t="n">
        <f aca="false">YEAR(B7400)</f>
        <v>2023</v>
      </c>
      <c r="M7400" s="20" t="n">
        <f aca="false">IF(J7400&gt;0,K7400/J7400,0)</f>
        <v>0.13697729464364</v>
      </c>
    </row>
    <row r="7401" customFormat="false" ht="15" hidden="false" customHeight="false" outlineLevel="0" collapsed="false">
      <c r="A7401" s="15" t="s">
        <v>7458</v>
      </c>
      <c r="B7401" s="16" t="n">
        <v>45956</v>
      </c>
      <c r="C7401" s="15" t="s">
        <v>56</v>
      </c>
      <c r="D7401" s="15" t="s">
        <v>42</v>
      </c>
      <c r="E7401" s="15" t="s">
        <v>38</v>
      </c>
      <c r="F7401" s="15" t="s">
        <v>16</v>
      </c>
      <c r="G7401" s="15" t="s">
        <v>23</v>
      </c>
      <c r="H7401" s="15" t="n">
        <v>4</v>
      </c>
      <c r="I7401" s="17" t="n">
        <v>0</v>
      </c>
      <c r="J7401" s="18" t="n">
        <v>1095.61</v>
      </c>
      <c r="K7401" s="19" t="n">
        <v>-22.49</v>
      </c>
      <c r="L7401" s="15" t="n">
        <f aca="false">YEAR(B7401)</f>
        <v>2025</v>
      </c>
      <c r="M7401" s="20" t="n">
        <f aca="false">IF(J7401&gt;0,K7401/J7401,0)</f>
        <v>-0.0205273774427032</v>
      </c>
    </row>
    <row r="7402" customFormat="false" ht="15" hidden="false" customHeight="false" outlineLevel="0" collapsed="false">
      <c r="A7402" s="15" t="s">
        <v>7459</v>
      </c>
      <c r="B7402" s="16" t="n">
        <v>45103</v>
      </c>
      <c r="C7402" s="15" t="s">
        <v>68</v>
      </c>
      <c r="D7402" s="15" t="s">
        <v>43</v>
      </c>
      <c r="E7402" s="15" t="s">
        <v>39</v>
      </c>
      <c r="F7402" s="15" t="s">
        <v>17</v>
      </c>
      <c r="G7402" s="15" t="s">
        <v>31</v>
      </c>
      <c r="H7402" s="15" t="n">
        <v>4</v>
      </c>
      <c r="I7402" s="17" t="n">
        <v>0.15</v>
      </c>
      <c r="J7402" s="18" t="n">
        <v>424.61</v>
      </c>
      <c r="K7402" s="19" t="n">
        <v>12.94</v>
      </c>
      <c r="L7402" s="15" t="n">
        <f aca="false">YEAR(B7402)</f>
        <v>2023</v>
      </c>
      <c r="M7402" s="20" t="n">
        <f aca="false">IF(J7402&gt;0,K7402/J7402,0)</f>
        <v>0.0304750241397989</v>
      </c>
    </row>
    <row r="7403" customFormat="false" ht="15" hidden="false" customHeight="false" outlineLevel="0" collapsed="false">
      <c r="A7403" s="15" t="s">
        <v>7460</v>
      </c>
      <c r="B7403" s="16" t="n">
        <v>45399</v>
      </c>
      <c r="C7403" s="15" t="s">
        <v>56</v>
      </c>
      <c r="D7403" s="15" t="s">
        <v>42</v>
      </c>
      <c r="E7403" s="15" t="s">
        <v>38</v>
      </c>
      <c r="F7403" s="15" t="s">
        <v>17</v>
      </c>
      <c r="G7403" s="15" t="s">
        <v>26</v>
      </c>
      <c r="H7403" s="15" t="n">
        <v>4</v>
      </c>
      <c r="I7403" s="17" t="n">
        <v>0.05</v>
      </c>
      <c r="J7403" s="18" t="n">
        <v>246.89</v>
      </c>
      <c r="K7403" s="19" t="n">
        <v>28.3</v>
      </c>
      <c r="L7403" s="15" t="n">
        <f aca="false">YEAR(B7403)</f>
        <v>2024</v>
      </c>
      <c r="M7403" s="20" t="n">
        <f aca="false">IF(J7403&gt;0,K7403/J7403,0)</f>
        <v>0.114625946777917</v>
      </c>
    </row>
    <row r="7404" customFormat="false" ht="15" hidden="false" customHeight="false" outlineLevel="0" collapsed="false">
      <c r="A7404" s="15" t="s">
        <v>7461</v>
      </c>
      <c r="B7404" s="16" t="n">
        <v>45717</v>
      </c>
      <c r="C7404" s="15" t="s">
        <v>56</v>
      </c>
      <c r="D7404" s="15" t="s">
        <v>44</v>
      </c>
      <c r="E7404" s="15" t="s">
        <v>39</v>
      </c>
      <c r="F7404" s="15" t="s">
        <v>17</v>
      </c>
      <c r="G7404" s="15" t="s">
        <v>29</v>
      </c>
      <c r="H7404" s="15" t="n">
        <v>3</v>
      </c>
      <c r="I7404" s="17" t="n">
        <v>0.2</v>
      </c>
      <c r="J7404" s="18" t="n">
        <v>42.15</v>
      </c>
      <c r="K7404" s="19" t="n">
        <v>6.61</v>
      </c>
      <c r="L7404" s="15" t="n">
        <f aca="false">YEAR(B7404)</f>
        <v>2025</v>
      </c>
      <c r="M7404" s="20" t="n">
        <f aca="false">IF(J7404&gt;0,K7404/J7404,0)</f>
        <v>0.156820877817319</v>
      </c>
    </row>
    <row r="7405" customFormat="false" ht="15" hidden="false" customHeight="false" outlineLevel="0" collapsed="false">
      <c r="A7405" s="15" t="s">
        <v>7462</v>
      </c>
      <c r="B7405" s="16" t="n">
        <v>45500</v>
      </c>
      <c r="C7405" s="15" t="s">
        <v>68</v>
      </c>
      <c r="D7405" s="15" t="s">
        <v>43</v>
      </c>
      <c r="E7405" s="15" t="s">
        <v>39</v>
      </c>
      <c r="F7405" s="15" t="s">
        <v>16</v>
      </c>
      <c r="G7405" s="15" t="s">
        <v>25</v>
      </c>
      <c r="H7405" s="15" t="n">
        <v>2</v>
      </c>
      <c r="I7405" s="17" t="n">
        <v>0</v>
      </c>
      <c r="J7405" s="18" t="n">
        <v>589.03</v>
      </c>
      <c r="K7405" s="19" t="n">
        <v>50.37</v>
      </c>
      <c r="L7405" s="15" t="n">
        <f aca="false">YEAR(B7405)</f>
        <v>2024</v>
      </c>
      <c r="M7405" s="20" t="n">
        <f aca="false">IF(J7405&gt;0,K7405/J7405,0)</f>
        <v>0.0855134713002733</v>
      </c>
    </row>
    <row r="7406" customFormat="false" ht="15" hidden="false" customHeight="false" outlineLevel="0" collapsed="false">
      <c r="A7406" s="15" t="s">
        <v>7463</v>
      </c>
      <c r="B7406" s="16" t="n">
        <v>45120</v>
      </c>
      <c r="C7406" s="15" t="s">
        <v>56</v>
      </c>
      <c r="D7406" s="15" t="s">
        <v>42</v>
      </c>
      <c r="E7406" s="15" t="s">
        <v>39</v>
      </c>
      <c r="F7406" s="15" t="s">
        <v>18</v>
      </c>
      <c r="G7406" s="15" t="s">
        <v>33</v>
      </c>
      <c r="H7406" s="15" t="n">
        <v>7</v>
      </c>
      <c r="I7406" s="17" t="n">
        <v>0.1</v>
      </c>
      <c r="J7406" s="18" t="n">
        <v>5601.34</v>
      </c>
      <c r="K7406" s="19" t="n">
        <v>906.36</v>
      </c>
      <c r="L7406" s="15" t="n">
        <f aca="false">YEAR(B7406)</f>
        <v>2023</v>
      </c>
      <c r="M7406" s="20" t="n">
        <f aca="false">IF(J7406&gt;0,K7406/J7406,0)</f>
        <v>0.161811280872077</v>
      </c>
    </row>
    <row r="7407" customFormat="false" ht="15" hidden="false" customHeight="false" outlineLevel="0" collapsed="false">
      <c r="A7407" s="15" t="s">
        <v>7464</v>
      </c>
      <c r="B7407" s="16" t="n">
        <v>45986</v>
      </c>
      <c r="C7407" s="15" t="s">
        <v>56</v>
      </c>
      <c r="D7407" s="15" t="s">
        <v>42</v>
      </c>
      <c r="E7407" s="15" t="s">
        <v>38</v>
      </c>
      <c r="F7407" s="15" t="s">
        <v>16</v>
      </c>
      <c r="G7407" s="15" t="s">
        <v>25</v>
      </c>
      <c r="H7407" s="15" t="n">
        <v>5</v>
      </c>
      <c r="I7407" s="17" t="n">
        <v>0.1</v>
      </c>
      <c r="J7407" s="18" t="n">
        <v>1353.44</v>
      </c>
      <c r="K7407" s="19" t="n">
        <v>63.72</v>
      </c>
      <c r="L7407" s="15" t="n">
        <f aca="false">YEAR(B7407)</f>
        <v>2025</v>
      </c>
      <c r="M7407" s="20" t="n">
        <f aca="false">IF(J7407&gt;0,K7407/J7407,0)</f>
        <v>0.0470800331008393</v>
      </c>
    </row>
    <row r="7408" customFormat="false" ht="15" hidden="false" customHeight="false" outlineLevel="0" collapsed="false">
      <c r="A7408" s="15" t="s">
        <v>7465</v>
      </c>
      <c r="B7408" s="16" t="n">
        <v>44698</v>
      </c>
      <c r="C7408" s="15" t="s">
        <v>56</v>
      </c>
      <c r="D7408" s="15" t="s">
        <v>42</v>
      </c>
      <c r="E7408" s="15" t="s">
        <v>36</v>
      </c>
      <c r="F7408" s="15" t="s">
        <v>16</v>
      </c>
      <c r="G7408" s="15" t="s">
        <v>23</v>
      </c>
      <c r="H7408" s="15" t="n">
        <v>4</v>
      </c>
      <c r="I7408" s="17" t="n">
        <v>0</v>
      </c>
      <c r="J7408" s="18" t="n">
        <v>1050.03</v>
      </c>
      <c r="K7408" s="19" t="n">
        <v>78.3</v>
      </c>
      <c r="L7408" s="15" t="n">
        <f aca="false">YEAR(B7408)</f>
        <v>2022</v>
      </c>
      <c r="M7408" s="20" t="n">
        <f aca="false">IF(J7408&gt;0,K7408/J7408,0)</f>
        <v>0.0745692980200566</v>
      </c>
    </row>
    <row r="7409" customFormat="false" ht="15" hidden="false" customHeight="false" outlineLevel="0" collapsed="false">
      <c r="A7409" s="15" t="s">
        <v>7466</v>
      </c>
      <c r="B7409" s="16" t="n">
        <v>45646</v>
      </c>
      <c r="C7409" s="15" t="s">
        <v>56</v>
      </c>
      <c r="D7409" s="15" t="s">
        <v>42</v>
      </c>
      <c r="E7409" s="15" t="s">
        <v>38</v>
      </c>
      <c r="F7409" s="15" t="s">
        <v>18</v>
      </c>
      <c r="G7409" s="15" t="s">
        <v>30</v>
      </c>
      <c r="H7409" s="15" t="n">
        <v>4</v>
      </c>
      <c r="I7409" s="17" t="n">
        <v>0.3</v>
      </c>
      <c r="J7409" s="18" t="n">
        <v>96.02</v>
      </c>
      <c r="K7409" s="19" t="n">
        <v>-0.54</v>
      </c>
      <c r="L7409" s="15" t="n">
        <f aca="false">YEAR(B7409)</f>
        <v>2024</v>
      </c>
      <c r="M7409" s="20" t="n">
        <f aca="false">IF(J7409&gt;0,K7409/J7409,0)</f>
        <v>-0.00562382836908977</v>
      </c>
    </row>
    <row r="7410" customFormat="false" ht="15" hidden="false" customHeight="false" outlineLevel="0" collapsed="false">
      <c r="A7410" s="15" t="s">
        <v>7467</v>
      </c>
      <c r="B7410" s="16" t="n">
        <v>45905</v>
      </c>
      <c r="C7410" s="15" t="s">
        <v>56</v>
      </c>
      <c r="D7410" s="15" t="s">
        <v>42</v>
      </c>
      <c r="E7410" s="15" t="s">
        <v>37</v>
      </c>
      <c r="F7410" s="15" t="s">
        <v>16</v>
      </c>
      <c r="G7410" s="15" t="s">
        <v>23</v>
      </c>
      <c r="H7410" s="15" t="n">
        <v>7</v>
      </c>
      <c r="I7410" s="17" t="n">
        <v>0.15</v>
      </c>
      <c r="J7410" s="18" t="n">
        <v>1475.98</v>
      </c>
      <c r="K7410" s="19" t="n">
        <v>-192.96</v>
      </c>
      <c r="L7410" s="15" t="n">
        <f aca="false">YEAR(B7410)</f>
        <v>2025</v>
      </c>
      <c r="M7410" s="20" t="n">
        <f aca="false">IF(J7410&gt;0,K7410/J7410,0)</f>
        <v>-0.130733478773425</v>
      </c>
    </row>
    <row r="7411" customFormat="false" ht="15" hidden="false" customHeight="false" outlineLevel="0" collapsed="false">
      <c r="A7411" s="15" t="s">
        <v>7468</v>
      </c>
      <c r="B7411" s="16" t="n">
        <v>45444</v>
      </c>
      <c r="C7411" s="15" t="s">
        <v>56</v>
      </c>
      <c r="D7411" s="15" t="s">
        <v>44</v>
      </c>
      <c r="E7411" s="15" t="s">
        <v>39</v>
      </c>
      <c r="F7411" s="15" t="s">
        <v>17</v>
      </c>
      <c r="G7411" s="15" t="s">
        <v>29</v>
      </c>
      <c r="H7411" s="15" t="n">
        <v>2</v>
      </c>
      <c r="I7411" s="17" t="n">
        <v>0.2</v>
      </c>
      <c r="J7411" s="18" t="n">
        <v>32.44</v>
      </c>
      <c r="K7411" s="19" t="n">
        <v>5.54</v>
      </c>
      <c r="L7411" s="15" t="n">
        <f aca="false">YEAR(B7411)</f>
        <v>2024</v>
      </c>
      <c r="M7411" s="20" t="n">
        <f aca="false">IF(J7411&gt;0,K7411/J7411,0)</f>
        <v>0.170776818742293</v>
      </c>
    </row>
    <row r="7412" customFormat="false" ht="15" hidden="false" customHeight="false" outlineLevel="0" collapsed="false">
      <c r="A7412" s="15" t="s">
        <v>7469</v>
      </c>
      <c r="B7412" s="16" t="n">
        <v>45059</v>
      </c>
      <c r="C7412" s="15" t="s">
        <v>71</v>
      </c>
      <c r="D7412" s="15" t="s">
        <v>42</v>
      </c>
      <c r="E7412" s="15" t="s">
        <v>39</v>
      </c>
      <c r="F7412" s="15" t="s">
        <v>17</v>
      </c>
      <c r="G7412" s="15" t="s">
        <v>29</v>
      </c>
      <c r="H7412" s="15" t="n">
        <v>4</v>
      </c>
      <c r="I7412" s="17" t="n">
        <v>0.3</v>
      </c>
      <c r="J7412" s="18" t="n">
        <v>45.04</v>
      </c>
      <c r="K7412" s="19" t="n">
        <v>9.65</v>
      </c>
      <c r="L7412" s="15" t="n">
        <f aca="false">YEAR(B7412)</f>
        <v>2023</v>
      </c>
      <c r="M7412" s="20" t="n">
        <f aca="false">IF(J7412&gt;0,K7412/J7412,0)</f>
        <v>0.214253996447602</v>
      </c>
    </row>
    <row r="7413" customFormat="false" ht="15" hidden="false" customHeight="false" outlineLevel="0" collapsed="false">
      <c r="A7413" s="15" t="s">
        <v>7470</v>
      </c>
      <c r="B7413" s="16" t="n">
        <v>45264</v>
      </c>
      <c r="C7413" s="15" t="s">
        <v>56</v>
      </c>
      <c r="D7413" s="15" t="s">
        <v>42</v>
      </c>
      <c r="E7413" s="15" t="s">
        <v>39</v>
      </c>
      <c r="F7413" s="15" t="s">
        <v>16</v>
      </c>
      <c r="G7413" s="15" t="s">
        <v>23</v>
      </c>
      <c r="H7413" s="15" t="n">
        <v>3</v>
      </c>
      <c r="I7413" s="17" t="n">
        <v>0</v>
      </c>
      <c r="J7413" s="18" t="n">
        <v>908.59</v>
      </c>
      <c r="K7413" s="19" t="n">
        <v>66.66</v>
      </c>
      <c r="L7413" s="15" t="n">
        <f aca="false">YEAR(B7413)</f>
        <v>2023</v>
      </c>
      <c r="M7413" s="20" t="n">
        <f aca="false">IF(J7413&gt;0,K7413/J7413,0)</f>
        <v>0.07336642490012</v>
      </c>
    </row>
    <row r="7414" customFormat="false" ht="15" hidden="false" customHeight="false" outlineLevel="0" collapsed="false">
      <c r="A7414" s="15" t="s">
        <v>7471</v>
      </c>
      <c r="B7414" s="16" t="n">
        <v>45355</v>
      </c>
      <c r="C7414" s="15" t="s">
        <v>71</v>
      </c>
      <c r="D7414" s="15" t="s">
        <v>42</v>
      </c>
      <c r="E7414" s="15" t="s">
        <v>36</v>
      </c>
      <c r="F7414" s="15" t="s">
        <v>17</v>
      </c>
      <c r="G7414" s="15" t="s">
        <v>26</v>
      </c>
      <c r="H7414" s="15" t="n">
        <v>4</v>
      </c>
      <c r="I7414" s="17" t="n">
        <v>0.4</v>
      </c>
      <c r="J7414" s="18" t="n">
        <v>193.69</v>
      </c>
      <c r="K7414" s="19" t="n">
        <v>-54.64</v>
      </c>
      <c r="L7414" s="15" t="n">
        <f aca="false">YEAR(B7414)</f>
        <v>2024</v>
      </c>
      <c r="M7414" s="20" t="n">
        <f aca="false">IF(J7414&gt;0,K7414/J7414,0)</f>
        <v>-0.282100263307347</v>
      </c>
    </row>
    <row r="7415" customFormat="false" ht="15" hidden="false" customHeight="false" outlineLevel="0" collapsed="false">
      <c r="A7415" s="15" t="s">
        <v>7472</v>
      </c>
      <c r="B7415" s="16" t="n">
        <v>45929</v>
      </c>
      <c r="C7415" s="15" t="s">
        <v>71</v>
      </c>
      <c r="D7415" s="15" t="s">
        <v>42</v>
      </c>
      <c r="E7415" s="15" t="s">
        <v>39</v>
      </c>
      <c r="F7415" s="15" t="s">
        <v>17</v>
      </c>
      <c r="G7415" s="15" t="s">
        <v>29</v>
      </c>
      <c r="H7415" s="15" t="n">
        <v>5</v>
      </c>
      <c r="I7415" s="17" t="n">
        <v>0.05</v>
      </c>
      <c r="J7415" s="18" t="n">
        <v>92.93</v>
      </c>
      <c r="K7415" s="19" t="n">
        <v>29.07</v>
      </c>
      <c r="L7415" s="15" t="n">
        <f aca="false">YEAR(B7415)</f>
        <v>2025</v>
      </c>
      <c r="M7415" s="20" t="n">
        <f aca="false">IF(J7415&gt;0,K7415/J7415,0)</f>
        <v>0.312816098138384</v>
      </c>
    </row>
    <row r="7416" customFormat="false" ht="15" hidden="false" customHeight="false" outlineLevel="0" collapsed="false">
      <c r="A7416" s="15" t="s">
        <v>7473</v>
      </c>
      <c r="B7416" s="16" t="n">
        <v>45524</v>
      </c>
      <c r="C7416" s="15" t="s">
        <v>56</v>
      </c>
      <c r="D7416" s="15" t="s">
        <v>44</v>
      </c>
      <c r="E7416" s="15" t="s">
        <v>39</v>
      </c>
      <c r="F7416" s="15" t="s">
        <v>16</v>
      </c>
      <c r="G7416" s="15" t="s">
        <v>23</v>
      </c>
      <c r="H7416" s="15" t="n">
        <v>4</v>
      </c>
      <c r="I7416" s="17" t="n">
        <v>0.15</v>
      </c>
      <c r="J7416" s="18" t="n">
        <v>1213.74</v>
      </c>
      <c r="K7416" s="19" t="n">
        <v>-110.34</v>
      </c>
      <c r="L7416" s="15" t="n">
        <f aca="false">YEAR(B7416)</f>
        <v>2024</v>
      </c>
      <c r="M7416" s="20" t="n">
        <f aca="false">IF(J7416&gt;0,K7416/J7416,0)</f>
        <v>-0.0909090909090909</v>
      </c>
    </row>
    <row r="7417" customFormat="false" ht="15" hidden="false" customHeight="false" outlineLevel="0" collapsed="false">
      <c r="A7417" s="15" t="s">
        <v>7474</v>
      </c>
      <c r="B7417" s="16" t="n">
        <v>44910</v>
      </c>
      <c r="C7417" s="15" t="s">
        <v>56</v>
      </c>
      <c r="D7417" s="15" t="s">
        <v>42</v>
      </c>
      <c r="E7417" s="15" t="s">
        <v>38</v>
      </c>
      <c r="F7417" s="15" t="s">
        <v>17</v>
      </c>
      <c r="G7417" s="15" t="s">
        <v>28</v>
      </c>
      <c r="H7417" s="15" t="n">
        <v>8</v>
      </c>
      <c r="I7417" s="17" t="n">
        <v>0</v>
      </c>
      <c r="J7417" s="18" t="n">
        <v>195.92</v>
      </c>
      <c r="K7417" s="19" t="n">
        <v>75.66</v>
      </c>
      <c r="L7417" s="15" t="n">
        <f aca="false">YEAR(B7417)</f>
        <v>2022</v>
      </c>
      <c r="M7417" s="20" t="n">
        <f aca="false">IF(J7417&gt;0,K7417/J7417,0)</f>
        <v>0.386178031849735</v>
      </c>
    </row>
    <row r="7418" customFormat="false" ht="15" hidden="false" customHeight="false" outlineLevel="0" collapsed="false">
      <c r="A7418" s="15" t="s">
        <v>7475</v>
      </c>
      <c r="B7418" s="16" t="n">
        <v>45081</v>
      </c>
      <c r="C7418" s="15" t="s">
        <v>68</v>
      </c>
      <c r="D7418" s="15" t="s">
        <v>42</v>
      </c>
      <c r="E7418" s="15" t="s">
        <v>37</v>
      </c>
      <c r="F7418" s="15" t="s">
        <v>18</v>
      </c>
      <c r="G7418" s="15" t="s">
        <v>33</v>
      </c>
      <c r="H7418" s="15" t="n">
        <v>2</v>
      </c>
      <c r="I7418" s="17" t="n">
        <v>0</v>
      </c>
      <c r="J7418" s="18" t="n">
        <v>1778.01</v>
      </c>
      <c r="K7418" s="19" t="n">
        <v>424.47</v>
      </c>
      <c r="L7418" s="15" t="n">
        <f aca="false">YEAR(B7418)</f>
        <v>2023</v>
      </c>
      <c r="M7418" s="20" t="n">
        <f aca="false">IF(J7418&gt;0,K7418/J7418,0)</f>
        <v>0.238733190476994</v>
      </c>
    </row>
    <row r="7419" customFormat="false" ht="15" hidden="false" customHeight="false" outlineLevel="0" collapsed="false">
      <c r="A7419" s="15" t="s">
        <v>7476</v>
      </c>
      <c r="B7419" s="16" t="n">
        <v>45931</v>
      </c>
      <c r="C7419" s="15" t="s">
        <v>56</v>
      </c>
      <c r="D7419" s="15" t="s">
        <v>44</v>
      </c>
      <c r="E7419" s="15" t="s">
        <v>39</v>
      </c>
      <c r="F7419" s="15" t="s">
        <v>17</v>
      </c>
      <c r="G7419" s="15" t="s">
        <v>28</v>
      </c>
      <c r="H7419" s="15" t="n">
        <v>3</v>
      </c>
      <c r="I7419" s="17" t="n">
        <v>0</v>
      </c>
      <c r="J7419" s="18" t="n">
        <v>70.95</v>
      </c>
      <c r="K7419" s="19" t="n">
        <v>22.31</v>
      </c>
      <c r="L7419" s="15" t="n">
        <f aca="false">YEAR(B7419)</f>
        <v>2025</v>
      </c>
      <c r="M7419" s="20" t="n">
        <f aca="false">IF(J7419&gt;0,K7419/J7419,0)</f>
        <v>0.314446793516561</v>
      </c>
    </row>
    <row r="7420" customFormat="false" ht="15" hidden="false" customHeight="false" outlineLevel="0" collapsed="false">
      <c r="A7420" s="15" t="s">
        <v>7477</v>
      </c>
      <c r="B7420" s="16" t="n">
        <v>45754</v>
      </c>
      <c r="C7420" s="15" t="s">
        <v>71</v>
      </c>
      <c r="D7420" s="15" t="s">
        <v>42</v>
      </c>
      <c r="E7420" s="15" t="s">
        <v>38</v>
      </c>
      <c r="F7420" s="15" t="s">
        <v>17</v>
      </c>
      <c r="G7420" s="15" t="s">
        <v>29</v>
      </c>
      <c r="H7420" s="15" t="n">
        <v>2</v>
      </c>
      <c r="I7420" s="17" t="n">
        <v>0.3</v>
      </c>
      <c r="J7420" s="18" t="n">
        <v>20.72</v>
      </c>
      <c r="K7420" s="19" t="n">
        <v>1.05</v>
      </c>
      <c r="L7420" s="15" t="n">
        <f aca="false">YEAR(B7420)</f>
        <v>2025</v>
      </c>
      <c r="M7420" s="20" t="n">
        <f aca="false">IF(J7420&gt;0,K7420/J7420,0)</f>
        <v>0.0506756756756757</v>
      </c>
    </row>
    <row r="7421" customFormat="false" ht="15" hidden="false" customHeight="false" outlineLevel="0" collapsed="false">
      <c r="A7421" s="15" t="s">
        <v>7478</v>
      </c>
      <c r="B7421" s="16" t="n">
        <v>44909</v>
      </c>
      <c r="C7421" s="15" t="s">
        <v>58</v>
      </c>
      <c r="D7421" s="15" t="s">
        <v>42</v>
      </c>
      <c r="E7421" s="15" t="s">
        <v>37</v>
      </c>
      <c r="F7421" s="15" t="s">
        <v>18</v>
      </c>
      <c r="G7421" s="15" t="s">
        <v>30</v>
      </c>
      <c r="H7421" s="15" t="n">
        <v>4</v>
      </c>
      <c r="I7421" s="17" t="n">
        <v>0</v>
      </c>
      <c r="J7421" s="18" t="n">
        <v>216.12</v>
      </c>
      <c r="K7421" s="19" t="n">
        <v>58.52</v>
      </c>
      <c r="L7421" s="15" t="n">
        <f aca="false">YEAR(B7421)</f>
        <v>2022</v>
      </c>
      <c r="M7421" s="20" t="n">
        <f aca="false">IF(J7421&gt;0,K7421/J7421,0)</f>
        <v>0.270775495095317</v>
      </c>
    </row>
    <row r="7422" customFormat="false" ht="15" hidden="false" customHeight="false" outlineLevel="0" collapsed="false">
      <c r="A7422" s="15" t="s">
        <v>7479</v>
      </c>
      <c r="B7422" s="16" t="n">
        <v>45760</v>
      </c>
      <c r="C7422" s="15" t="s">
        <v>71</v>
      </c>
      <c r="D7422" s="15" t="s">
        <v>43</v>
      </c>
      <c r="E7422" s="15" t="s">
        <v>39</v>
      </c>
      <c r="F7422" s="15" t="s">
        <v>18</v>
      </c>
      <c r="G7422" s="15" t="s">
        <v>30</v>
      </c>
      <c r="H7422" s="15" t="n">
        <v>4</v>
      </c>
      <c r="I7422" s="17" t="n">
        <v>0.1</v>
      </c>
      <c r="J7422" s="18" t="n">
        <v>192.69</v>
      </c>
      <c r="K7422" s="19" t="n">
        <v>47.58</v>
      </c>
      <c r="L7422" s="15" t="n">
        <f aca="false">YEAR(B7422)</f>
        <v>2025</v>
      </c>
      <c r="M7422" s="20" t="n">
        <f aca="false">IF(J7422&gt;0,K7422/J7422,0)</f>
        <v>0.246925112875603</v>
      </c>
    </row>
    <row r="7423" customFormat="false" ht="15" hidden="false" customHeight="false" outlineLevel="0" collapsed="false">
      <c r="A7423" s="15" t="s">
        <v>7480</v>
      </c>
      <c r="B7423" s="16" t="n">
        <v>45723</v>
      </c>
      <c r="C7423" s="15" t="s">
        <v>68</v>
      </c>
      <c r="D7423" s="15" t="s">
        <v>43</v>
      </c>
      <c r="E7423" s="15" t="s">
        <v>36</v>
      </c>
      <c r="F7423" s="15" t="s">
        <v>17</v>
      </c>
      <c r="G7423" s="15" t="s">
        <v>28</v>
      </c>
      <c r="H7423" s="15" t="n">
        <v>1</v>
      </c>
      <c r="I7423" s="17" t="n">
        <v>0.05</v>
      </c>
      <c r="J7423" s="18" t="n">
        <v>22.65</v>
      </c>
      <c r="K7423" s="19" t="n">
        <v>5.21</v>
      </c>
      <c r="L7423" s="15" t="n">
        <f aca="false">YEAR(B7423)</f>
        <v>2025</v>
      </c>
      <c r="M7423" s="20" t="n">
        <f aca="false">IF(J7423&gt;0,K7423/J7423,0)</f>
        <v>0.230022075055188</v>
      </c>
    </row>
    <row r="7424" customFormat="false" ht="15" hidden="false" customHeight="false" outlineLevel="0" collapsed="false">
      <c r="A7424" s="15" t="s">
        <v>7481</v>
      </c>
      <c r="B7424" s="16" t="n">
        <v>45680</v>
      </c>
      <c r="C7424" s="15" t="s">
        <v>56</v>
      </c>
      <c r="D7424" s="15" t="s">
        <v>42</v>
      </c>
      <c r="E7424" s="15" t="s">
        <v>39</v>
      </c>
      <c r="F7424" s="15" t="s">
        <v>17</v>
      </c>
      <c r="G7424" s="15" t="s">
        <v>29</v>
      </c>
      <c r="H7424" s="15" t="n">
        <v>4</v>
      </c>
      <c r="I7424" s="17" t="n">
        <v>0.2</v>
      </c>
      <c r="J7424" s="18" t="n">
        <v>64.85</v>
      </c>
      <c r="K7424" s="19" t="n">
        <v>13.35</v>
      </c>
      <c r="L7424" s="15" t="n">
        <f aca="false">YEAR(B7424)</f>
        <v>2025</v>
      </c>
      <c r="M7424" s="20" t="n">
        <f aca="false">IF(J7424&gt;0,K7424/J7424,0)</f>
        <v>0.20585967617579</v>
      </c>
    </row>
    <row r="7425" customFormat="false" ht="15" hidden="false" customHeight="false" outlineLevel="0" collapsed="false">
      <c r="A7425" s="15" t="s">
        <v>7482</v>
      </c>
      <c r="B7425" s="16" t="n">
        <v>44997</v>
      </c>
      <c r="C7425" s="15" t="s">
        <v>56</v>
      </c>
      <c r="D7425" s="15" t="s">
        <v>42</v>
      </c>
      <c r="E7425" s="15" t="s">
        <v>37</v>
      </c>
      <c r="F7425" s="15" t="s">
        <v>18</v>
      </c>
      <c r="G7425" s="15" t="s">
        <v>30</v>
      </c>
      <c r="H7425" s="15" t="n">
        <v>2</v>
      </c>
      <c r="I7425" s="17" t="n">
        <v>0</v>
      </c>
      <c r="J7425" s="18" t="n">
        <v>81.14</v>
      </c>
      <c r="K7425" s="19" t="n">
        <v>21.78</v>
      </c>
      <c r="L7425" s="15" t="n">
        <f aca="false">YEAR(B7425)</f>
        <v>2023</v>
      </c>
      <c r="M7425" s="20" t="n">
        <f aca="false">IF(J7425&gt;0,K7425/J7425,0)</f>
        <v>0.268424944540301</v>
      </c>
    </row>
    <row r="7426" customFormat="false" ht="15" hidden="false" customHeight="false" outlineLevel="0" collapsed="false">
      <c r="A7426" s="15" t="s">
        <v>7483</v>
      </c>
      <c r="B7426" s="16" t="n">
        <v>45192</v>
      </c>
      <c r="C7426" s="15" t="s">
        <v>58</v>
      </c>
      <c r="D7426" s="15" t="s">
        <v>42</v>
      </c>
      <c r="E7426" s="15" t="s">
        <v>38</v>
      </c>
      <c r="F7426" s="15" t="s">
        <v>17</v>
      </c>
      <c r="G7426" s="15" t="s">
        <v>29</v>
      </c>
      <c r="H7426" s="15" t="n">
        <v>4</v>
      </c>
      <c r="I7426" s="17" t="n">
        <v>0.3</v>
      </c>
      <c r="J7426" s="18" t="n">
        <v>42.2</v>
      </c>
      <c r="K7426" s="19" t="n">
        <v>5.32</v>
      </c>
      <c r="L7426" s="15" t="n">
        <f aca="false">YEAR(B7426)</f>
        <v>2023</v>
      </c>
      <c r="M7426" s="20" t="n">
        <f aca="false">IF(J7426&gt;0,K7426/J7426,0)</f>
        <v>0.1260663507109</v>
      </c>
    </row>
    <row r="7427" customFormat="false" ht="15" hidden="false" customHeight="false" outlineLevel="0" collapsed="false">
      <c r="A7427" s="15" t="s">
        <v>7484</v>
      </c>
      <c r="B7427" s="16" t="n">
        <v>45042</v>
      </c>
      <c r="C7427" s="15" t="s">
        <v>56</v>
      </c>
      <c r="D7427" s="15" t="s">
        <v>42</v>
      </c>
      <c r="E7427" s="15" t="s">
        <v>38</v>
      </c>
      <c r="F7427" s="15" t="s">
        <v>17</v>
      </c>
      <c r="G7427" s="15" t="s">
        <v>28</v>
      </c>
      <c r="H7427" s="15" t="n">
        <v>4</v>
      </c>
      <c r="I7427" s="17" t="n">
        <v>0</v>
      </c>
      <c r="J7427" s="18" t="n">
        <v>78.64</v>
      </c>
      <c r="K7427" s="19" t="n">
        <v>28.05</v>
      </c>
      <c r="L7427" s="15" t="n">
        <f aca="false">YEAR(B7427)</f>
        <v>2023</v>
      </c>
      <c r="M7427" s="20" t="n">
        <f aca="false">IF(J7427&gt;0,K7427/J7427,0)</f>
        <v>0.356688708036623</v>
      </c>
    </row>
    <row r="7428" customFormat="false" ht="15" hidden="false" customHeight="false" outlineLevel="0" collapsed="false">
      <c r="A7428" s="15" t="s">
        <v>7485</v>
      </c>
      <c r="B7428" s="16" t="n">
        <v>45815</v>
      </c>
      <c r="C7428" s="15" t="s">
        <v>68</v>
      </c>
      <c r="D7428" s="15" t="s">
        <v>42</v>
      </c>
      <c r="E7428" s="15" t="s">
        <v>36</v>
      </c>
      <c r="F7428" s="15" t="s">
        <v>18</v>
      </c>
      <c r="G7428" s="15" t="s">
        <v>30</v>
      </c>
      <c r="H7428" s="15" t="n">
        <v>3</v>
      </c>
      <c r="I7428" s="17" t="n">
        <v>0</v>
      </c>
      <c r="J7428" s="18" t="n">
        <v>112.44</v>
      </c>
      <c r="K7428" s="19" t="n">
        <v>29.55</v>
      </c>
      <c r="L7428" s="15" t="n">
        <f aca="false">YEAR(B7428)</f>
        <v>2025</v>
      </c>
      <c r="M7428" s="20" t="n">
        <f aca="false">IF(J7428&gt;0,K7428/J7428,0)</f>
        <v>0.262806830309498</v>
      </c>
    </row>
    <row r="7429" customFormat="false" ht="15" hidden="false" customHeight="false" outlineLevel="0" collapsed="false">
      <c r="A7429" s="15" t="s">
        <v>7486</v>
      </c>
      <c r="B7429" s="16" t="n">
        <v>45359</v>
      </c>
      <c r="C7429" s="15" t="s">
        <v>56</v>
      </c>
      <c r="D7429" s="15" t="s">
        <v>43</v>
      </c>
      <c r="E7429" s="15" t="s">
        <v>38</v>
      </c>
      <c r="F7429" s="15" t="s">
        <v>17</v>
      </c>
      <c r="G7429" s="15" t="s">
        <v>29</v>
      </c>
      <c r="H7429" s="15" t="n">
        <v>4</v>
      </c>
      <c r="I7429" s="17" t="n">
        <v>0.2</v>
      </c>
      <c r="J7429" s="18" t="n">
        <v>50.67</v>
      </c>
      <c r="K7429" s="19" t="n">
        <v>10.41</v>
      </c>
      <c r="L7429" s="15" t="n">
        <f aca="false">YEAR(B7429)</f>
        <v>2024</v>
      </c>
      <c r="M7429" s="20" t="n">
        <f aca="false">IF(J7429&gt;0,K7429/J7429,0)</f>
        <v>0.205447010065127</v>
      </c>
    </row>
    <row r="7430" customFormat="false" ht="15" hidden="false" customHeight="false" outlineLevel="0" collapsed="false">
      <c r="A7430" s="15" t="s">
        <v>7487</v>
      </c>
      <c r="B7430" s="16" t="n">
        <v>44848</v>
      </c>
      <c r="C7430" s="15" t="s">
        <v>68</v>
      </c>
      <c r="D7430" s="15" t="s">
        <v>42</v>
      </c>
      <c r="E7430" s="15" t="s">
        <v>38</v>
      </c>
      <c r="F7430" s="15" t="s">
        <v>18</v>
      </c>
      <c r="G7430" s="15" t="s">
        <v>30</v>
      </c>
      <c r="H7430" s="15" t="n">
        <v>6</v>
      </c>
      <c r="I7430" s="17" t="n">
        <v>0</v>
      </c>
      <c r="J7430" s="18" t="n">
        <v>252.95</v>
      </c>
      <c r="K7430" s="19" t="n">
        <v>65.21</v>
      </c>
      <c r="L7430" s="15" t="n">
        <f aca="false">YEAR(B7430)</f>
        <v>2022</v>
      </c>
      <c r="M7430" s="20" t="n">
        <f aca="false">IF(J7430&gt;0,K7430/J7430,0)</f>
        <v>0.257797983791263</v>
      </c>
    </row>
    <row r="7431" customFormat="false" ht="15" hidden="false" customHeight="false" outlineLevel="0" collapsed="false">
      <c r="A7431" s="15" t="s">
        <v>7488</v>
      </c>
      <c r="B7431" s="16" t="n">
        <v>44854</v>
      </c>
      <c r="C7431" s="15" t="s">
        <v>68</v>
      </c>
      <c r="D7431" s="15" t="s">
        <v>42</v>
      </c>
      <c r="E7431" s="15" t="s">
        <v>36</v>
      </c>
      <c r="F7431" s="15" t="s">
        <v>17</v>
      </c>
      <c r="G7431" s="15" t="s">
        <v>28</v>
      </c>
      <c r="H7431" s="15" t="n">
        <v>7</v>
      </c>
      <c r="I7431" s="17" t="n">
        <v>0</v>
      </c>
      <c r="J7431" s="18" t="n">
        <v>156.88</v>
      </c>
      <c r="K7431" s="19" t="n">
        <v>56.63</v>
      </c>
      <c r="L7431" s="15" t="n">
        <f aca="false">YEAR(B7431)</f>
        <v>2022</v>
      </c>
      <c r="M7431" s="20" t="n">
        <f aca="false">IF(J7431&gt;0,K7431/J7431,0)</f>
        <v>0.360976542580316</v>
      </c>
    </row>
    <row r="7432" customFormat="false" ht="15" hidden="false" customHeight="false" outlineLevel="0" collapsed="false">
      <c r="A7432" s="15" t="s">
        <v>7489</v>
      </c>
      <c r="B7432" s="16" t="n">
        <v>45891</v>
      </c>
      <c r="C7432" s="15" t="s">
        <v>56</v>
      </c>
      <c r="D7432" s="15" t="s">
        <v>42</v>
      </c>
      <c r="E7432" s="15" t="s">
        <v>36</v>
      </c>
      <c r="F7432" s="15" t="s">
        <v>17</v>
      </c>
      <c r="G7432" s="15" t="s">
        <v>29</v>
      </c>
      <c r="H7432" s="15" t="n">
        <v>5</v>
      </c>
      <c r="I7432" s="17" t="n">
        <v>0.2</v>
      </c>
      <c r="J7432" s="18" t="n">
        <v>62.21</v>
      </c>
      <c r="K7432" s="19" t="n">
        <v>7.31</v>
      </c>
      <c r="L7432" s="15" t="n">
        <f aca="false">YEAR(B7432)</f>
        <v>2025</v>
      </c>
      <c r="M7432" s="20" t="n">
        <f aca="false">IF(J7432&gt;0,K7432/J7432,0)</f>
        <v>0.117505224240476</v>
      </c>
    </row>
    <row r="7433" customFormat="false" ht="15" hidden="false" customHeight="false" outlineLevel="0" collapsed="false">
      <c r="A7433" s="15" t="s">
        <v>7490</v>
      </c>
      <c r="B7433" s="16" t="n">
        <v>44963</v>
      </c>
      <c r="C7433" s="15" t="s">
        <v>56</v>
      </c>
      <c r="D7433" s="15" t="s">
        <v>42</v>
      </c>
      <c r="E7433" s="15" t="s">
        <v>37</v>
      </c>
      <c r="F7433" s="15" t="s">
        <v>16</v>
      </c>
      <c r="G7433" s="15" t="s">
        <v>23</v>
      </c>
      <c r="H7433" s="15" t="n">
        <v>4</v>
      </c>
      <c r="I7433" s="17" t="n">
        <v>0.3</v>
      </c>
      <c r="J7433" s="18" t="n">
        <v>956.33</v>
      </c>
      <c r="K7433" s="19" t="n">
        <v>-273.61</v>
      </c>
      <c r="L7433" s="15" t="n">
        <f aca="false">YEAR(B7433)</f>
        <v>2023</v>
      </c>
      <c r="M7433" s="20" t="n">
        <f aca="false">IF(J7433&gt;0,K7433/J7433,0)</f>
        <v>-0.28610416906298</v>
      </c>
    </row>
    <row r="7434" customFormat="false" ht="15" hidden="false" customHeight="false" outlineLevel="0" collapsed="false">
      <c r="A7434" s="15" t="s">
        <v>7491</v>
      </c>
      <c r="B7434" s="16" t="n">
        <v>45285</v>
      </c>
      <c r="C7434" s="15" t="s">
        <v>56</v>
      </c>
      <c r="D7434" s="15" t="s">
        <v>42</v>
      </c>
      <c r="E7434" s="15" t="s">
        <v>37</v>
      </c>
      <c r="F7434" s="15" t="s">
        <v>17</v>
      </c>
      <c r="G7434" s="15" t="s">
        <v>28</v>
      </c>
      <c r="H7434" s="15" t="n">
        <v>5</v>
      </c>
      <c r="I7434" s="17" t="n">
        <v>0.05</v>
      </c>
      <c r="J7434" s="18" t="n">
        <v>127.13</v>
      </c>
      <c r="K7434" s="19" t="n">
        <v>37.97</v>
      </c>
      <c r="L7434" s="15" t="n">
        <f aca="false">YEAR(B7434)</f>
        <v>2023</v>
      </c>
      <c r="M7434" s="20" t="n">
        <f aca="false">IF(J7434&gt;0,K7434/J7434,0)</f>
        <v>0.298670652088413</v>
      </c>
    </row>
    <row r="7435" customFormat="false" ht="15" hidden="false" customHeight="false" outlineLevel="0" collapsed="false">
      <c r="A7435" s="15" t="s">
        <v>7492</v>
      </c>
      <c r="B7435" s="16" t="n">
        <v>45636</v>
      </c>
      <c r="C7435" s="15" t="s">
        <v>56</v>
      </c>
      <c r="D7435" s="15" t="s">
        <v>43</v>
      </c>
      <c r="E7435" s="15" t="s">
        <v>38</v>
      </c>
      <c r="F7435" s="15" t="s">
        <v>17</v>
      </c>
      <c r="G7435" s="15" t="s">
        <v>28</v>
      </c>
      <c r="H7435" s="15" t="n">
        <v>3</v>
      </c>
      <c r="I7435" s="17" t="n">
        <v>0.3</v>
      </c>
      <c r="J7435" s="18" t="n">
        <v>51.44</v>
      </c>
      <c r="K7435" s="19" t="n">
        <v>-0.38</v>
      </c>
      <c r="L7435" s="15" t="n">
        <f aca="false">YEAR(B7435)</f>
        <v>2024</v>
      </c>
      <c r="M7435" s="20" t="n">
        <f aca="false">IF(J7435&gt;0,K7435/J7435,0)</f>
        <v>-0.00738724727838258</v>
      </c>
    </row>
    <row r="7436" customFormat="false" ht="15" hidden="false" customHeight="false" outlineLevel="0" collapsed="false">
      <c r="A7436" s="15" t="s">
        <v>7493</v>
      </c>
      <c r="B7436" s="16" t="n">
        <v>45614</v>
      </c>
      <c r="C7436" s="15" t="s">
        <v>56</v>
      </c>
      <c r="D7436" s="15" t="s">
        <v>42</v>
      </c>
      <c r="E7436" s="15" t="s">
        <v>37</v>
      </c>
      <c r="F7436" s="15" t="s">
        <v>17</v>
      </c>
      <c r="G7436" s="15" t="s">
        <v>26</v>
      </c>
      <c r="H7436" s="15" t="n">
        <v>1</v>
      </c>
      <c r="I7436" s="17" t="n">
        <v>0.1</v>
      </c>
      <c r="J7436" s="18" t="n">
        <v>77.34</v>
      </c>
      <c r="K7436" s="19" t="n">
        <v>1.89</v>
      </c>
      <c r="L7436" s="15" t="n">
        <f aca="false">YEAR(B7436)</f>
        <v>2024</v>
      </c>
      <c r="M7436" s="20" t="n">
        <f aca="false">IF(J7436&gt;0,K7436/J7436,0)</f>
        <v>0.0244375484871994</v>
      </c>
    </row>
    <row r="7437" customFormat="false" ht="15" hidden="false" customHeight="false" outlineLevel="0" collapsed="false">
      <c r="A7437" s="15" t="s">
        <v>7494</v>
      </c>
      <c r="B7437" s="16" t="n">
        <v>45839</v>
      </c>
      <c r="C7437" s="15" t="s">
        <v>68</v>
      </c>
      <c r="D7437" s="15" t="s">
        <v>43</v>
      </c>
      <c r="E7437" s="15" t="s">
        <v>39</v>
      </c>
      <c r="F7437" s="15" t="s">
        <v>17</v>
      </c>
      <c r="G7437" s="15" t="s">
        <v>28</v>
      </c>
      <c r="H7437" s="15" t="n">
        <v>2</v>
      </c>
      <c r="I7437" s="17" t="n">
        <v>0</v>
      </c>
      <c r="J7437" s="18" t="n">
        <v>58.16</v>
      </c>
      <c r="K7437" s="19" t="n">
        <v>17.96</v>
      </c>
      <c r="L7437" s="15" t="n">
        <f aca="false">YEAR(B7437)</f>
        <v>2025</v>
      </c>
      <c r="M7437" s="20" t="n">
        <f aca="false">IF(J7437&gt;0,K7437/J7437,0)</f>
        <v>0.308803301237964</v>
      </c>
    </row>
    <row r="7438" customFormat="false" ht="15" hidden="false" customHeight="false" outlineLevel="0" collapsed="false">
      <c r="A7438" s="15" t="s">
        <v>7495</v>
      </c>
      <c r="B7438" s="16" t="n">
        <v>44893</v>
      </c>
      <c r="C7438" s="15" t="s">
        <v>56</v>
      </c>
      <c r="D7438" s="15" t="s">
        <v>43</v>
      </c>
      <c r="E7438" s="15" t="s">
        <v>38</v>
      </c>
      <c r="F7438" s="15" t="s">
        <v>17</v>
      </c>
      <c r="G7438" s="15" t="s">
        <v>26</v>
      </c>
      <c r="H7438" s="15" t="n">
        <v>5</v>
      </c>
      <c r="I7438" s="17" t="n">
        <v>0</v>
      </c>
      <c r="J7438" s="18" t="n">
        <v>422.78</v>
      </c>
      <c r="K7438" s="19" t="n">
        <v>47.05</v>
      </c>
      <c r="L7438" s="15" t="n">
        <f aca="false">YEAR(B7438)</f>
        <v>2022</v>
      </c>
      <c r="M7438" s="20" t="n">
        <f aca="false">IF(J7438&gt;0,K7438/J7438,0)</f>
        <v>0.111287194285444</v>
      </c>
    </row>
    <row r="7439" customFormat="false" ht="15" hidden="false" customHeight="false" outlineLevel="0" collapsed="false">
      <c r="A7439" s="15" t="s">
        <v>7496</v>
      </c>
      <c r="B7439" s="16" t="n">
        <v>45999</v>
      </c>
      <c r="C7439" s="15" t="s">
        <v>68</v>
      </c>
      <c r="D7439" s="15" t="s">
        <v>42</v>
      </c>
      <c r="E7439" s="15" t="s">
        <v>36</v>
      </c>
      <c r="F7439" s="15" t="s">
        <v>16</v>
      </c>
      <c r="G7439" s="15" t="s">
        <v>23</v>
      </c>
      <c r="H7439" s="15" t="n">
        <v>5</v>
      </c>
      <c r="I7439" s="17" t="n">
        <v>0</v>
      </c>
      <c r="J7439" s="18" t="n">
        <v>1548.72</v>
      </c>
      <c r="K7439" s="19" t="n">
        <v>-92.9</v>
      </c>
      <c r="L7439" s="15" t="n">
        <f aca="false">YEAR(B7439)</f>
        <v>2025</v>
      </c>
      <c r="M7439" s="20" t="n">
        <f aca="false">IF(J7439&gt;0,K7439/J7439,0)</f>
        <v>-0.0599850198873909</v>
      </c>
    </row>
    <row r="7440" customFormat="false" ht="15" hidden="false" customHeight="false" outlineLevel="0" collapsed="false">
      <c r="A7440" s="15" t="s">
        <v>7497</v>
      </c>
      <c r="B7440" s="16" t="n">
        <v>45973</v>
      </c>
      <c r="C7440" s="15" t="s">
        <v>56</v>
      </c>
      <c r="D7440" s="15" t="s">
        <v>44</v>
      </c>
      <c r="E7440" s="15" t="s">
        <v>36</v>
      </c>
      <c r="F7440" s="15" t="s">
        <v>16</v>
      </c>
      <c r="G7440" s="15" t="s">
        <v>25</v>
      </c>
      <c r="H7440" s="15" t="n">
        <v>4</v>
      </c>
      <c r="I7440" s="17" t="n">
        <v>0.5</v>
      </c>
      <c r="J7440" s="18" t="n">
        <v>579.03</v>
      </c>
      <c r="K7440" s="19" t="n">
        <v>-179.09</v>
      </c>
      <c r="L7440" s="15" t="n">
        <f aca="false">YEAR(B7440)</f>
        <v>2025</v>
      </c>
      <c r="M7440" s="20" t="n">
        <f aca="false">IF(J7440&gt;0,K7440/J7440,0)</f>
        <v>-0.309293128162617</v>
      </c>
    </row>
    <row r="7441" customFormat="false" ht="15" hidden="false" customHeight="false" outlineLevel="0" collapsed="false">
      <c r="A7441" s="15" t="s">
        <v>7498</v>
      </c>
      <c r="B7441" s="16" t="n">
        <v>45001</v>
      </c>
      <c r="C7441" s="15" t="s">
        <v>56</v>
      </c>
      <c r="D7441" s="15" t="s">
        <v>43</v>
      </c>
      <c r="E7441" s="15" t="s">
        <v>37</v>
      </c>
      <c r="F7441" s="15" t="s">
        <v>16</v>
      </c>
      <c r="G7441" s="15" t="s">
        <v>25</v>
      </c>
      <c r="H7441" s="15" t="n">
        <v>5</v>
      </c>
      <c r="I7441" s="17" t="n">
        <v>0</v>
      </c>
      <c r="J7441" s="18" t="n">
        <v>1909.16</v>
      </c>
      <c r="K7441" s="19" t="n">
        <v>229.59</v>
      </c>
      <c r="L7441" s="15" t="n">
        <f aca="false">YEAR(B7441)</f>
        <v>2023</v>
      </c>
      <c r="M7441" s="20" t="n">
        <f aca="false">IF(J7441&gt;0,K7441/J7441,0)</f>
        <v>0.120257076410568</v>
      </c>
    </row>
    <row r="7442" customFormat="false" ht="15" hidden="false" customHeight="false" outlineLevel="0" collapsed="false">
      <c r="A7442" s="15" t="s">
        <v>7499</v>
      </c>
      <c r="B7442" s="16" t="n">
        <v>45045</v>
      </c>
      <c r="C7442" s="15" t="s">
        <v>71</v>
      </c>
      <c r="D7442" s="15" t="s">
        <v>44</v>
      </c>
      <c r="E7442" s="15" t="s">
        <v>39</v>
      </c>
      <c r="F7442" s="15" t="s">
        <v>17</v>
      </c>
      <c r="G7442" s="15" t="s">
        <v>26</v>
      </c>
      <c r="H7442" s="15" t="n">
        <v>4</v>
      </c>
      <c r="I7442" s="17" t="n">
        <v>0.2</v>
      </c>
      <c r="J7442" s="18" t="n">
        <v>336.69</v>
      </c>
      <c r="K7442" s="19" t="n">
        <v>-31.2</v>
      </c>
      <c r="L7442" s="15" t="n">
        <f aca="false">YEAR(B7442)</f>
        <v>2023</v>
      </c>
      <c r="M7442" s="20" t="n">
        <f aca="false">IF(J7442&gt;0,K7442/J7442,0)</f>
        <v>-0.0926668448721376</v>
      </c>
    </row>
    <row r="7443" customFormat="false" ht="15" hidden="false" customHeight="false" outlineLevel="0" collapsed="false">
      <c r="A7443" s="15" t="s">
        <v>7500</v>
      </c>
      <c r="B7443" s="16" t="n">
        <v>44647</v>
      </c>
      <c r="C7443" s="15" t="s">
        <v>56</v>
      </c>
      <c r="D7443" s="15" t="s">
        <v>44</v>
      </c>
      <c r="E7443" s="15" t="s">
        <v>38</v>
      </c>
      <c r="F7443" s="15" t="s">
        <v>16</v>
      </c>
      <c r="G7443" s="15" t="s">
        <v>22</v>
      </c>
      <c r="H7443" s="15" t="n">
        <v>6</v>
      </c>
      <c r="I7443" s="17" t="n">
        <v>0.2</v>
      </c>
      <c r="J7443" s="18" t="n">
        <v>2376.91</v>
      </c>
      <c r="K7443" s="19" t="n">
        <v>-477.48</v>
      </c>
      <c r="L7443" s="15" t="n">
        <f aca="false">YEAR(B7443)</f>
        <v>2022</v>
      </c>
      <c r="M7443" s="20" t="n">
        <f aca="false">IF(J7443&gt;0,K7443/J7443,0)</f>
        <v>-0.200882658577733</v>
      </c>
    </row>
    <row r="7444" customFormat="false" ht="15" hidden="false" customHeight="false" outlineLevel="0" collapsed="false">
      <c r="A7444" s="15" t="s">
        <v>7501</v>
      </c>
      <c r="B7444" s="16" t="n">
        <v>45657</v>
      </c>
      <c r="C7444" s="15" t="s">
        <v>56</v>
      </c>
      <c r="D7444" s="15" t="s">
        <v>44</v>
      </c>
      <c r="E7444" s="15" t="s">
        <v>36</v>
      </c>
      <c r="F7444" s="15" t="s">
        <v>17</v>
      </c>
      <c r="G7444" s="15" t="s">
        <v>28</v>
      </c>
      <c r="H7444" s="15" t="n">
        <v>7</v>
      </c>
      <c r="I7444" s="17" t="n">
        <v>0.05</v>
      </c>
      <c r="J7444" s="18" t="n">
        <v>138.11</v>
      </c>
      <c r="K7444" s="19" t="n">
        <v>38.57</v>
      </c>
      <c r="L7444" s="15" t="n">
        <f aca="false">YEAR(B7444)</f>
        <v>2024</v>
      </c>
      <c r="M7444" s="20" t="n">
        <f aca="false">IF(J7444&gt;0,K7444/J7444,0)</f>
        <v>0.279270146984288</v>
      </c>
    </row>
    <row r="7445" customFormat="false" ht="15" hidden="false" customHeight="false" outlineLevel="0" collapsed="false">
      <c r="A7445" s="15" t="s">
        <v>7502</v>
      </c>
      <c r="B7445" s="16" t="n">
        <v>45978</v>
      </c>
      <c r="C7445" s="15" t="s">
        <v>56</v>
      </c>
      <c r="D7445" s="15" t="s">
        <v>42</v>
      </c>
      <c r="E7445" s="15" t="s">
        <v>36</v>
      </c>
      <c r="F7445" s="15" t="s">
        <v>18</v>
      </c>
      <c r="G7445" s="15" t="s">
        <v>30</v>
      </c>
      <c r="H7445" s="15" t="n">
        <v>2</v>
      </c>
      <c r="I7445" s="17" t="n">
        <v>0.3</v>
      </c>
      <c r="J7445" s="18" t="n">
        <v>58.11</v>
      </c>
      <c r="K7445" s="19" t="n">
        <v>1.78</v>
      </c>
      <c r="L7445" s="15" t="n">
        <f aca="false">YEAR(B7445)</f>
        <v>2025</v>
      </c>
      <c r="M7445" s="20" t="n">
        <f aca="false">IF(J7445&gt;0,K7445/J7445,0)</f>
        <v>0.0306315608329031</v>
      </c>
    </row>
    <row r="7446" customFormat="false" ht="15" hidden="false" customHeight="false" outlineLevel="0" collapsed="false">
      <c r="A7446" s="15" t="s">
        <v>7503</v>
      </c>
      <c r="B7446" s="16" t="n">
        <v>45172</v>
      </c>
      <c r="C7446" s="15" t="s">
        <v>68</v>
      </c>
      <c r="D7446" s="15" t="s">
        <v>44</v>
      </c>
      <c r="E7446" s="15" t="s">
        <v>37</v>
      </c>
      <c r="F7446" s="15" t="s">
        <v>16</v>
      </c>
      <c r="G7446" s="15" t="s">
        <v>27</v>
      </c>
      <c r="H7446" s="15" t="n">
        <v>5</v>
      </c>
      <c r="I7446" s="17" t="n">
        <v>0.1</v>
      </c>
      <c r="J7446" s="18" t="n">
        <v>297.78</v>
      </c>
      <c r="K7446" s="19" t="n">
        <v>60.28</v>
      </c>
      <c r="L7446" s="15" t="n">
        <f aca="false">YEAR(B7446)</f>
        <v>2023</v>
      </c>
      <c r="M7446" s="20" t="n">
        <f aca="false">IF(J7446&gt;0,K7446/J7446,0)</f>
        <v>0.202431325139365</v>
      </c>
    </row>
    <row r="7447" customFormat="false" ht="15" hidden="false" customHeight="false" outlineLevel="0" collapsed="false">
      <c r="A7447" s="15" t="s">
        <v>7504</v>
      </c>
      <c r="B7447" s="16" t="n">
        <v>45513</v>
      </c>
      <c r="C7447" s="15" t="s">
        <v>71</v>
      </c>
      <c r="D7447" s="15" t="s">
        <v>42</v>
      </c>
      <c r="E7447" s="15" t="s">
        <v>37</v>
      </c>
      <c r="F7447" s="15" t="s">
        <v>18</v>
      </c>
      <c r="G7447" s="15" t="s">
        <v>33</v>
      </c>
      <c r="H7447" s="15" t="n">
        <v>3</v>
      </c>
      <c r="I7447" s="17" t="n">
        <v>0.15</v>
      </c>
      <c r="J7447" s="18" t="n">
        <v>2122.71</v>
      </c>
      <c r="K7447" s="19" t="n">
        <v>247.89</v>
      </c>
      <c r="L7447" s="15" t="n">
        <f aca="false">YEAR(B7447)</f>
        <v>2024</v>
      </c>
      <c r="M7447" s="20" t="n">
        <f aca="false">IF(J7447&gt;0,K7447/J7447,0)</f>
        <v>0.116779965233122</v>
      </c>
    </row>
    <row r="7448" customFormat="false" ht="15" hidden="false" customHeight="false" outlineLevel="0" collapsed="false">
      <c r="A7448" s="15" t="s">
        <v>7505</v>
      </c>
      <c r="B7448" s="16" t="n">
        <v>45901</v>
      </c>
      <c r="C7448" s="15" t="s">
        <v>56</v>
      </c>
      <c r="D7448" s="15" t="s">
        <v>43</v>
      </c>
      <c r="E7448" s="15" t="s">
        <v>38</v>
      </c>
      <c r="F7448" s="15" t="s">
        <v>17</v>
      </c>
      <c r="G7448" s="15" t="s">
        <v>29</v>
      </c>
      <c r="H7448" s="15" t="n">
        <v>4</v>
      </c>
      <c r="I7448" s="17" t="n">
        <v>0</v>
      </c>
      <c r="J7448" s="18" t="n">
        <v>65.91</v>
      </c>
      <c r="K7448" s="19" t="n">
        <v>24.75</v>
      </c>
      <c r="L7448" s="15" t="n">
        <f aca="false">YEAR(B7448)</f>
        <v>2025</v>
      </c>
      <c r="M7448" s="20" t="n">
        <f aca="false">IF(J7448&gt;0,K7448/J7448,0)</f>
        <v>0.375512061902594</v>
      </c>
    </row>
    <row r="7449" customFormat="false" ht="15" hidden="false" customHeight="false" outlineLevel="0" collapsed="false">
      <c r="A7449" s="15" t="s">
        <v>7506</v>
      </c>
      <c r="B7449" s="16" t="n">
        <v>45485</v>
      </c>
      <c r="C7449" s="15" t="s">
        <v>58</v>
      </c>
      <c r="D7449" s="15" t="s">
        <v>42</v>
      </c>
      <c r="E7449" s="15" t="s">
        <v>39</v>
      </c>
      <c r="F7449" s="15" t="s">
        <v>17</v>
      </c>
      <c r="G7449" s="15" t="s">
        <v>29</v>
      </c>
      <c r="H7449" s="15" t="n">
        <v>6</v>
      </c>
      <c r="I7449" s="17" t="n">
        <v>0</v>
      </c>
      <c r="J7449" s="18" t="n">
        <v>105.62</v>
      </c>
      <c r="K7449" s="19" t="n">
        <v>40.96</v>
      </c>
      <c r="L7449" s="15" t="n">
        <f aca="false">YEAR(B7449)</f>
        <v>2024</v>
      </c>
      <c r="M7449" s="20" t="n">
        <f aca="false">IF(J7449&gt;0,K7449/J7449,0)</f>
        <v>0.387805339897747</v>
      </c>
    </row>
    <row r="7450" customFormat="false" ht="15" hidden="false" customHeight="false" outlineLevel="0" collapsed="false">
      <c r="A7450" s="15" t="s">
        <v>7507</v>
      </c>
      <c r="B7450" s="16" t="n">
        <v>45300</v>
      </c>
      <c r="C7450" s="15" t="s">
        <v>56</v>
      </c>
      <c r="D7450" s="15" t="s">
        <v>42</v>
      </c>
      <c r="E7450" s="15" t="s">
        <v>37</v>
      </c>
      <c r="F7450" s="15" t="s">
        <v>17</v>
      </c>
      <c r="G7450" s="15" t="s">
        <v>31</v>
      </c>
      <c r="H7450" s="15" t="n">
        <v>1</v>
      </c>
      <c r="I7450" s="17" t="n">
        <v>0.1</v>
      </c>
      <c r="J7450" s="18" t="n">
        <v>117.06</v>
      </c>
      <c r="K7450" s="19" t="n">
        <v>9.2</v>
      </c>
      <c r="L7450" s="15" t="n">
        <f aca="false">YEAR(B7450)</f>
        <v>2024</v>
      </c>
      <c r="M7450" s="20" t="n">
        <f aca="false">IF(J7450&gt;0,K7450/J7450,0)</f>
        <v>0.0785921749530155</v>
      </c>
    </row>
    <row r="7451" customFormat="false" ht="15" hidden="false" customHeight="false" outlineLevel="0" collapsed="false">
      <c r="A7451" s="15" t="s">
        <v>7508</v>
      </c>
      <c r="B7451" s="16" t="n">
        <v>44755</v>
      </c>
      <c r="C7451" s="15" t="s">
        <v>58</v>
      </c>
      <c r="D7451" s="15" t="s">
        <v>44</v>
      </c>
      <c r="E7451" s="15" t="s">
        <v>38</v>
      </c>
      <c r="F7451" s="15" t="s">
        <v>17</v>
      </c>
      <c r="G7451" s="15" t="s">
        <v>28</v>
      </c>
      <c r="H7451" s="15" t="n">
        <v>5</v>
      </c>
      <c r="I7451" s="17" t="n">
        <v>0</v>
      </c>
      <c r="J7451" s="18" t="n">
        <v>117.67</v>
      </c>
      <c r="K7451" s="19" t="n">
        <v>39.93</v>
      </c>
      <c r="L7451" s="15" t="n">
        <f aca="false">YEAR(B7451)</f>
        <v>2022</v>
      </c>
      <c r="M7451" s="20" t="n">
        <f aca="false">IF(J7451&gt;0,K7451/J7451,0)</f>
        <v>0.339338828928359</v>
      </c>
    </row>
    <row r="7452" customFormat="false" ht="15" hidden="false" customHeight="false" outlineLevel="0" collapsed="false">
      <c r="A7452" s="15" t="s">
        <v>7509</v>
      </c>
      <c r="B7452" s="16" t="n">
        <v>45157</v>
      </c>
      <c r="C7452" s="15" t="s">
        <v>68</v>
      </c>
      <c r="D7452" s="15" t="s">
        <v>43</v>
      </c>
      <c r="E7452" s="15" t="s">
        <v>36</v>
      </c>
      <c r="F7452" s="15" t="s">
        <v>16</v>
      </c>
      <c r="G7452" s="15" t="s">
        <v>25</v>
      </c>
      <c r="H7452" s="15" t="n">
        <v>2</v>
      </c>
      <c r="I7452" s="17" t="n">
        <v>0.1</v>
      </c>
      <c r="J7452" s="18" t="n">
        <v>505.16</v>
      </c>
      <c r="K7452" s="19" t="n">
        <v>-17.06</v>
      </c>
      <c r="L7452" s="15" t="n">
        <f aca="false">YEAR(B7452)</f>
        <v>2023</v>
      </c>
      <c r="M7452" s="20" t="n">
        <f aca="false">IF(J7452&gt;0,K7452/J7452,0)</f>
        <v>-0.0337714783434951</v>
      </c>
    </row>
    <row r="7453" customFormat="false" ht="15" hidden="false" customHeight="false" outlineLevel="0" collapsed="false">
      <c r="A7453" s="15" t="s">
        <v>7510</v>
      </c>
      <c r="B7453" s="16" t="n">
        <v>44910</v>
      </c>
      <c r="C7453" s="15" t="s">
        <v>56</v>
      </c>
      <c r="D7453" s="15" t="s">
        <v>42</v>
      </c>
      <c r="E7453" s="15" t="s">
        <v>39</v>
      </c>
      <c r="F7453" s="15" t="s">
        <v>16</v>
      </c>
      <c r="G7453" s="15" t="s">
        <v>27</v>
      </c>
      <c r="H7453" s="15" t="n">
        <v>5</v>
      </c>
      <c r="I7453" s="17" t="n">
        <v>0</v>
      </c>
      <c r="J7453" s="18" t="n">
        <v>307.77</v>
      </c>
      <c r="K7453" s="19" t="n">
        <v>85.19</v>
      </c>
      <c r="L7453" s="15" t="n">
        <f aca="false">YEAR(B7453)</f>
        <v>2022</v>
      </c>
      <c r="M7453" s="20" t="n">
        <f aca="false">IF(J7453&gt;0,K7453/J7453,0)</f>
        <v>0.276797608603828</v>
      </c>
    </row>
    <row r="7454" customFormat="false" ht="15" hidden="false" customHeight="false" outlineLevel="0" collapsed="false">
      <c r="A7454" s="15" t="s">
        <v>7511</v>
      </c>
      <c r="B7454" s="16" t="n">
        <v>45217</v>
      </c>
      <c r="C7454" s="15" t="s">
        <v>71</v>
      </c>
      <c r="D7454" s="15" t="s">
        <v>42</v>
      </c>
      <c r="E7454" s="15" t="s">
        <v>36</v>
      </c>
      <c r="F7454" s="15" t="s">
        <v>17</v>
      </c>
      <c r="G7454" s="15" t="s">
        <v>28</v>
      </c>
      <c r="H7454" s="15" t="n">
        <v>2</v>
      </c>
      <c r="I7454" s="17" t="n">
        <v>0.05</v>
      </c>
      <c r="J7454" s="18" t="n">
        <v>41.74</v>
      </c>
      <c r="K7454" s="19" t="n">
        <v>8.41</v>
      </c>
      <c r="L7454" s="15" t="n">
        <f aca="false">YEAR(B7454)</f>
        <v>2023</v>
      </c>
      <c r="M7454" s="20" t="n">
        <f aca="false">IF(J7454&gt;0,K7454/J7454,0)</f>
        <v>0.201485385721131</v>
      </c>
    </row>
    <row r="7455" customFormat="false" ht="15" hidden="false" customHeight="false" outlineLevel="0" collapsed="false">
      <c r="A7455" s="15" t="s">
        <v>7512</v>
      </c>
      <c r="B7455" s="16" t="n">
        <v>44571</v>
      </c>
      <c r="C7455" s="15" t="s">
        <v>56</v>
      </c>
      <c r="D7455" s="15" t="s">
        <v>43</v>
      </c>
      <c r="E7455" s="15" t="s">
        <v>37</v>
      </c>
      <c r="F7455" s="15" t="s">
        <v>17</v>
      </c>
      <c r="G7455" s="15" t="s">
        <v>26</v>
      </c>
      <c r="H7455" s="15" t="n">
        <v>3</v>
      </c>
      <c r="I7455" s="17" t="n">
        <v>0.1</v>
      </c>
      <c r="J7455" s="18" t="n">
        <v>258.25</v>
      </c>
      <c r="K7455" s="19" t="n">
        <v>-9.88</v>
      </c>
      <c r="L7455" s="15" t="n">
        <f aca="false">YEAR(B7455)</f>
        <v>2022</v>
      </c>
      <c r="M7455" s="20" t="n">
        <f aca="false">IF(J7455&gt;0,K7455/J7455,0)</f>
        <v>-0.0382575024201355</v>
      </c>
    </row>
    <row r="7456" customFormat="false" ht="15" hidden="false" customHeight="false" outlineLevel="0" collapsed="false">
      <c r="A7456" s="15" t="s">
        <v>7513</v>
      </c>
      <c r="B7456" s="16" t="n">
        <v>45403</v>
      </c>
      <c r="C7456" s="15" t="s">
        <v>71</v>
      </c>
      <c r="D7456" s="15" t="s">
        <v>42</v>
      </c>
      <c r="E7456" s="15" t="s">
        <v>37</v>
      </c>
      <c r="F7456" s="15" t="s">
        <v>16</v>
      </c>
      <c r="G7456" s="15" t="s">
        <v>25</v>
      </c>
      <c r="H7456" s="15" t="n">
        <v>4</v>
      </c>
      <c r="I7456" s="17" t="n">
        <v>0</v>
      </c>
      <c r="J7456" s="18" t="n">
        <v>1133.7</v>
      </c>
      <c r="K7456" s="19" t="n">
        <v>101.53</v>
      </c>
      <c r="L7456" s="15" t="n">
        <f aca="false">YEAR(B7456)</f>
        <v>2024</v>
      </c>
      <c r="M7456" s="20" t="n">
        <f aca="false">IF(J7456&gt;0,K7456/J7456,0)</f>
        <v>0.0895563200141131</v>
      </c>
    </row>
    <row r="7457" customFormat="false" ht="15" hidden="false" customHeight="false" outlineLevel="0" collapsed="false">
      <c r="A7457" s="15" t="s">
        <v>7514</v>
      </c>
      <c r="B7457" s="16" t="n">
        <v>44782</v>
      </c>
      <c r="C7457" s="15" t="s">
        <v>56</v>
      </c>
      <c r="D7457" s="15" t="s">
        <v>43</v>
      </c>
      <c r="E7457" s="15" t="s">
        <v>36</v>
      </c>
      <c r="F7457" s="15" t="s">
        <v>16</v>
      </c>
      <c r="G7457" s="15" t="s">
        <v>25</v>
      </c>
      <c r="H7457" s="15" t="n">
        <v>2</v>
      </c>
      <c r="I7457" s="17" t="n">
        <v>0.2</v>
      </c>
      <c r="J7457" s="18" t="n">
        <v>518.76</v>
      </c>
      <c r="K7457" s="19" t="n">
        <v>-76.9</v>
      </c>
      <c r="L7457" s="15" t="n">
        <f aca="false">YEAR(B7457)</f>
        <v>2022</v>
      </c>
      <c r="M7457" s="20" t="n">
        <f aca="false">IF(J7457&gt;0,K7457/J7457,0)</f>
        <v>-0.148238106253373</v>
      </c>
    </row>
    <row r="7458" customFormat="false" ht="15" hidden="false" customHeight="false" outlineLevel="0" collapsed="false">
      <c r="A7458" s="15" t="s">
        <v>7515</v>
      </c>
      <c r="B7458" s="16" t="n">
        <v>45583</v>
      </c>
      <c r="C7458" s="15" t="s">
        <v>71</v>
      </c>
      <c r="D7458" s="15" t="s">
        <v>42</v>
      </c>
      <c r="E7458" s="15" t="s">
        <v>38</v>
      </c>
      <c r="F7458" s="15" t="s">
        <v>18</v>
      </c>
      <c r="G7458" s="15" t="s">
        <v>24</v>
      </c>
      <c r="H7458" s="15" t="n">
        <v>3</v>
      </c>
      <c r="I7458" s="17" t="n">
        <v>0</v>
      </c>
      <c r="J7458" s="18" t="n">
        <v>1668.56</v>
      </c>
      <c r="K7458" s="19" t="n">
        <v>134.18</v>
      </c>
      <c r="L7458" s="15" t="n">
        <f aca="false">YEAR(B7458)</f>
        <v>2024</v>
      </c>
      <c r="M7458" s="20" t="n">
        <f aca="false">IF(J7458&gt;0,K7458/J7458,0)</f>
        <v>0.0804166466893609</v>
      </c>
    </row>
    <row r="7459" customFormat="false" ht="15" hidden="false" customHeight="false" outlineLevel="0" collapsed="false">
      <c r="A7459" s="15" t="s">
        <v>7516</v>
      </c>
      <c r="B7459" s="16" t="n">
        <v>45524</v>
      </c>
      <c r="C7459" s="15" t="s">
        <v>56</v>
      </c>
      <c r="D7459" s="15" t="s">
        <v>42</v>
      </c>
      <c r="E7459" s="15" t="s">
        <v>36</v>
      </c>
      <c r="F7459" s="15" t="s">
        <v>17</v>
      </c>
      <c r="G7459" s="15" t="s">
        <v>26</v>
      </c>
      <c r="H7459" s="15" t="n">
        <v>3</v>
      </c>
      <c r="I7459" s="17" t="n">
        <v>0.2</v>
      </c>
      <c r="J7459" s="18" t="n">
        <v>186.69</v>
      </c>
      <c r="K7459" s="19" t="n">
        <v>-19.28</v>
      </c>
      <c r="L7459" s="15" t="n">
        <f aca="false">YEAR(B7459)</f>
        <v>2024</v>
      </c>
      <c r="M7459" s="20" t="n">
        <f aca="false">IF(J7459&gt;0,K7459/J7459,0)</f>
        <v>-0.103272805185066</v>
      </c>
    </row>
    <row r="7460" customFormat="false" ht="15" hidden="false" customHeight="false" outlineLevel="0" collapsed="false">
      <c r="A7460" s="15" t="s">
        <v>7517</v>
      </c>
      <c r="B7460" s="16" t="n">
        <v>45290</v>
      </c>
      <c r="C7460" s="15" t="s">
        <v>56</v>
      </c>
      <c r="D7460" s="15" t="s">
        <v>44</v>
      </c>
      <c r="E7460" s="15" t="s">
        <v>37</v>
      </c>
      <c r="F7460" s="15" t="s">
        <v>17</v>
      </c>
      <c r="G7460" s="15" t="s">
        <v>26</v>
      </c>
      <c r="H7460" s="15" t="n">
        <v>4</v>
      </c>
      <c r="I7460" s="17" t="n">
        <v>0.1</v>
      </c>
      <c r="J7460" s="18" t="n">
        <v>343.92</v>
      </c>
      <c r="K7460" s="19" t="n">
        <v>-2.19</v>
      </c>
      <c r="L7460" s="15" t="n">
        <f aca="false">YEAR(B7460)</f>
        <v>2023</v>
      </c>
      <c r="M7460" s="20" t="n">
        <f aca="false">IF(J7460&gt;0,K7460/J7460,0)</f>
        <v>-0.00636775994417306</v>
      </c>
    </row>
    <row r="7461" customFormat="false" ht="15" hidden="false" customHeight="false" outlineLevel="0" collapsed="false">
      <c r="A7461" s="15" t="s">
        <v>7518</v>
      </c>
      <c r="B7461" s="16" t="n">
        <v>45536</v>
      </c>
      <c r="C7461" s="15" t="s">
        <v>68</v>
      </c>
      <c r="D7461" s="15" t="s">
        <v>42</v>
      </c>
      <c r="E7461" s="15" t="s">
        <v>39</v>
      </c>
      <c r="F7461" s="15" t="s">
        <v>17</v>
      </c>
      <c r="G7461" s="15" t="s">
        <v>29</v>
      </c>
      <c r="H7461" s="15" t="n">
        <v>3</v>
      </c>
      <c r="I7461" s="17" t="n">
        <v>0</v>
      </c>
      <c r="J7461" s="18" t="n">
        <v>59.03</v>
      </c>
      <c r="K7461" s="19" t="n">
        <v>22.7</v>
      </c>
      <c r="L7461" s="15" t="n">
        <f aca="false">YEAR(B7461)</f>
        <v>2024</v>
      </c>
      <c r="M7461" s="20" t="n">
        <f aca="false">IF(J7461&gt;0,K7461/J7461,0)</f>
        <v>0.384550228697273</v>
      </c>
    </row>
    <row r="7462" customFormat="false" ht="15" hidden="false" customHeight="false" outlineLevel="0" collapsed="false">
      <c r="A7462" s="15" t="s">
        <v>7519</v>
      </c>
      <c r="B7462" s="16" t="n">
        <v>45676</v>
      </c>
      <c r="C7462" s="15" t="s">
        <v>56</v>
      </c>
      <c r="D7462" s="15" t="s">
        <v>43</v>
      </c>
      <c r="E7462" s="15" t="s">
        <v>38</v>
      </c>
      <c r="F7462" s="15" t="s">
        <v>16</v>
      </c>
      <c r="G7462" s="15" t="s">
        <v>27</v>
      </c>
      <c r="H7462" s="15" t="n">
        <v>2</v>
      </c>
      <c r="I7462" s="17" t="n">
        <v>0.15</v>
      </c>
      <c r="J7462" s="18" t="n">
        <v>69.06</v>
      </c>
      <c r="K7462" s="19" t="n">
        <v>6.3</v>
      </c>
      <c r="L7462" s="15" t="n">
        <f aca="false">YEAR(B7462)</f>
        <v>2025</v>
      </c>
      <c r="M7462" s="20" t="n">
        <f aca="false">IF(J7462&gt;0,K7462/J7462,0)</f>
        <v>0.0912250217202433</v>
      </c>
    </row>
    <row r="7463" customFormat="false" ht="15" hidden="false" customHeight="false" outlineLevel="0" collapsed="false">
      <c r="A7463" s="15" t="s">
        <v>7520</v>
      </c>
      <c r="B7463" s="16" t="n">
        <v>45319</v>
      </c>
      <c r="C7463" s="15" t="s">
        <v>68</v>
      </c>
      <c r="D7463" s="15" t="s">
        <v>43</v>
      </c>
      <c r="E7463" s="15" t="s">
        <v>39</v>
      </c>
      <c r="F7463" s="15" t="s">
        <v>17</v>
      </c>
      <c r="G7463" s="15" t="s">
        <v>28</v>
      </c>
      <c r="H7463" s="15" t="n">
        <v>2</v>
      </c>
      <c r="I7463" s="17" t="n">
        <v>0</v>
      </c>
      <c r="J7463" s="18" t="n">
        <v>62.38</v>
      </c>
      <c r="K7463" s="19" t="n">
        <v>18.47</v>
      </c>
      <c r="L7463" s="15" t="n">
        <f aca="false">YEAR(B7463)</f>
        <v>2024</v>
      </c>
      <c r="M7463" s="20" t="n">
        <f aca="false">IF(J7463&gt;0,K7463/J7463,0)</f>
        <v>0.296088489900609</v>
      </c>
    </row>
    <row r="7464" customFormat="false" ht="15" hidden="false" customHeight="false" outlineLevel="0" collapsed="false">
      <c r="A7464" s="15" t="s">
        <v>7521</v>
      </c>
      <c r="B7464" s="16" t="n">
        <v>44794</v>
      </c>
      <c r="C7464" s="15" t="s">
        <v>71</v>
      </c>
      <c r="D7464" s="15" t="s">
        <v>43</v>
      </c>
      <c r="E7464" s="15" t="s">
        <v>36</v>
      </c>
      <c r="F7464" s="15" t="s">
        <v>17</v>
      </c>
      <c r="G7464" s="15" t="s">
        <v>29</v>
      </c>
      <c r="H7464" s="15" t="n">
        <v>3</v>
      </c>
      <c r="I7464" s="17" t="n">
        <v>0.2</v>
      </c>
      <c r="J7464" s="18" t="n">
        <v>43.03</v>
      </c>
      <c r="K7464" s="19" t="n">
        <v>8.23</v>
      </c>
      <c r="L7464" s="15" t="n">
        <f aca="false">YEAR(B7464)</f>
        <v>2022</v>
      </c>
      <c r="M7464" s="20" t="n">
        <f aca="false">IF(J7464&gt;0,K7464/J7464,0)</f>
        <v>0.191261910295143</v>
      </c>
    </row>
    <row r="7465" customFormat="false" ht="15" hidden="false" customHeight="false" outlineLevel="0" collapsed="false">
      <c r="A7465" s="15" t="s">
        <v>7522</v>
      </c>
      <c r="B7465" s="16" t="n">
        <v>45811</v>
      </c>
      <c r="C7465" s="15" t="s">
        <v>71</v>
      </c>
      <c r="D7465" s="15" t="s">
        <v>42</v>
      </c>
      <c r="E7465" s="15" t="s">
        <v>38</v>
      </c>
      <c r="F7465" s="15" t="s">
        <v>16</v>
      </c>
      <c r="G7465" s="15" t="s">
        <v>25</v>
      </c>
      <c r="H7465" s="15" t="n">
        <v>6</v>
      </c>
      <c r="I7465" s="17" t="n">
        <v>0.05</v>
      </c>
      <c r="J7465" s="18" t="n">
        <v>1257.82</v>
      </c>
      <c r="K7465" s="19" t="n">
        <v>49.61</v>
      </c>
      <c r="L7465" s="15" t="n">
        <f aca="false">YEAR(B7465)</f>
        <v>2025</v>
      </c>
      <c r="M7465" s="20" t="n">
        <f aca="false">IF(J7465&gt;0,K7465/J7465,0)</f>
        <v>0.0394412555055572</v>
      </c>
    </row>
    <row r="7466" customFormat="false" ht="15" hidden="false" customHeight="false" outlineLevel="0" collapsed="false">
      <c r="A7466" s="15" t="s">
        <v>7523</v>
      </c>
      <c r="B7466" s="16" t="n">
        <v>44795</v>
      </c>
      <c r="C7466" s="15" t="s">
        <v>56</v>
      </c>
      <c r="D7466" s="15" t="s">
        <v>44</v>
      </c>
      <c r="E7466" s="15" t="s">
        <v>39</v>
      </c>
      <c r="F7466" s="15" t="s">
        <v>17</v>
      </c>
      <c r="G7466" s="15" t="s">
        <v>28</v>
      </c>
      <c r="H7466" s="15" t="n">
        <v>3</v>
      </c>
      <c r="I7466" s="17" t="n">
        <v>0.5</v>
      </c>
      <c r="J7466" s="18" t="n">
        <v>35.07</v>
      </c>
      <c r="K7466" s="19" t="n">
        <v>-5.37</v>
      </c>
      <c r="L7466" s="15" t="n">
        <f aca="false">YEAR(B7466)</f>
        <v>2022</v>
      </c>
      <c r="M7466" s="20" t="n">
        <f aca="false">IF(J7466&gt;0,K7466/J7466,0)</f>
        <v>-0.153122326775021</v>
      </c>
    </row>
    <row r="7467" customFormat="false" ht="15" hidden="false" customHeight="false" outlineLevel="0" collapsed="false">
      <c r="A7467" s="15" t="s">
        <v>7524</v>
      </c>
      <c r="B7467" s="16" t="n">
        <v>45901</v>
      </c>
      <c r="C7467" s="15" t="s">
        <v>56</v>
      </c>
      <c r="D7467" s="15" t="s">
        <v>42</v>
      </c>
      <c r="E7467" s="15" t="s">
        <v>39</v>
      </c>
      <c r="F7467" s="15" t="s">
        <v>17</v>
      </c>
      <c r="G7467" s="15" t="s">
        <v>31</v>
      </c>
      <c r="H7467" s="15" t="n">
        <v>5</v>
      </c>
      <c r="I7467" s="17" t="n">
        <v>0.2</v>
      </c>
      <c r="J7467" s="18" t="n">
        <v>516.45</v>
      </c>
      <c r="K7467" s="19" t="n">
        <v>38.54</v>
      </c>
      <c r="L7467" s="15" t="n">
        <f aca="false">YEAR(B7467)</f>
        <v>2025</v>
      </c>
      <c r="M7467" s="20" t="n">
        <f aca="false">IF(J7467&gt;0,K7467/J7467,0)</f>
        <v>0.0746248426759609</v>
      </c>
    </row>
    <row r="7468" customFormat="false" ht="15" hidden="false" customHeight="false" outlineLevel="0" collapsed="false">
      <c r="A7468" s="15" t="s">
        <v>7525</v>
      </c>
      <c r="B7468" s="16" t="n">
        <v>45920</v>
      </c>
      <c r="C7468" s="15" t="s">
        <v>71</v>
      </c>
      <c r="D7468" s="15" t="s">
        <v>42</v>
      </c>
      <c r="E7468" s="15" t="s">
        <v>37</v>
      </c>
      <c r="F7468" s="15" t="s">
        <v>18</v>
      </c>
      <c r="G7468" s="15" t="s">
        <v>30</v>
      </c>
      <c r="H7468" s="15" t="n">
        <v>2</v>
      </c>
      <c r="I7468" s="17" t="n">
        <v>0.3</v>
      </c>
      <c r="J7468" s="18" t="n">
        <v>66.32</v>
      </c>
      <c r="K7468" s="19" t="n">
        <v>0.72</v>
      </c>
      <c r="L7468" s="15" t="n">
        <f aca="false">YEAR(B7468)</f>
        <v>2025</v>
      </c>
      <c r="M7468" s="20" t="n">
        <f aca="false">IF(J7468&gt;0,K7468/J7468,0)</f>
        <v>0.0108564535585042</v>
      </c>
    </row>
    <row r="7469" customFormat="false" ht="15" hidden="false" customHeight="false" outlineLevel="0" collapsed="false">
      <c r="A7469" s="15" t="s">
        <v>7526</v>
      </c>
      <c r="B7469" s="16" t="n">
        <v>44870</v>
      </c>
      <c r="C7469" s="15" t="s">
        <v>71</v>
      </c>
      <c r="D7469" s="15" t="s">
        <v>43</v>
      </c>
      <c r="E7469" s="15" t="s">
        <v>37</v>
      </c>
      <c r="F7469" s="15" t="s">
        <v>18</v>
      </c>
      <c r="G7469" s="15" t="s">
        <v>32</v>
      </c>
      <c r="H7469" s="15" t="n">
        <v>4</v>
      </c>
      <c r="I7469" s="17" t="n">
        <v>0.5</v>
      </c>
      <c r="J7469" s="18" t="n">
        <v>866.83</v>
      </c>
      <c r="K7469" s="19" t="n">
        <v>-254.82</v>
      </c>
      <c r="L7469" s="15" t="n">
        <f aca="false">YEAR(B7469)</f>
        <v>2022</v>
      </c>
      <c r="M7469" s="20" t="n">
        <f aca="false">IF(J7469&gt;0,K7469/J7469,0)</f>
        <v>-0.293967675322728</v>
      </c>
    </row>
    <row r="7470" customFormat="false" ht="15" hidden="false" customHeight="false" outlineLevel="0" collapsed="false">
      <c r="A7470" s="15" t="s">
        <v>7527</v>
      </c>
      <c r="B7470" s="16" t="n">
        <v>45935</v>
      </c>
      <c r="C7470" s="15" t="s">
        <v>68</v>
      </c>
      <c r="D7470" s="15" t="s">
        <v>42</v>
      </c>
      <c r="E7470" s="15" t="s">
        <v>36</v>
      </c>
      <c r="F7470" s="15" t="s">
        <v>17</v>
      </c>
      <c r="G7470" s="15" t="s">
        <v>29</v>
      </c>
      <c r="H7470" s="15" t="n">
        <v>5</v>
      </c>
      <c r="I7470" s="17" t="n">
        <v>0</v>
      </c>
      <c r="J7470" s="18" t="n">
        <v>78.86</v>
      </c>
      <c r="K7470" s="19" t="n">
        <v>25.85</v>
      </c>
      <c r="L7470" s="15" t="n">
        <f aca="false">YEAR(B7470)</f>
        <v>2025</v>
      </c>
      <c r="M7470" s="20" t="n">
        <f aca="false">IF(J7470&gt;0,K7470/J7470,0)</f>
        <v>0.327796094344408</v>
      </c>
    </row>
    <row r="7471" customFormat="false" ht="15" hidden="false" customHeight="false" outlineLevel="0" collapsed="false">
      <c r="A7471" s="15" t="s">
        <v>7528</v>
      </c>
      <c r="B7471" s="16" t="n">
        <v>44889</v>
      </c>
      <c r="C7471" s="15" t="s">
        <v>56</v>
      </c>
      <c r="D7471" s="15" t="s">
        <v>42</v>
      </c>
      <c r="E7471" s="15" t="s">
        <v>39</v>
      </c>
      <c r="F7471" s="15" t="s">
        <v>16</v>
      </c>
      <c r="G7471" s="15" t="s">
        <v>22</v>
      </c>
      <c r="H7471" s="15" t="n">
        <v>3</v>
      </c>
      <c r="I7471" s="17" t="n">
        <v>0.1</v>
      </c>
      <c r="J7471" s="18" t="n">
        <v>1933.71</v>
      </c>
      <c r="K7471" s="19" t="n">
        <v>-223.04</v>
      </c>
      <c r="L7471" s="15" t="n">
        <f aca="false">YEAR(B7471)</f>
        <v>2022</v>
      </c>
      <c r="M7471" s="20" t="n">
        <f aca="false">IF(J7471&gt;0,K7471/J7471,0)</f>
        <v>-0.115343045234291</v>
      </c>
    </row>
    <row r="7472" customFormat="false" ht="15" hidden="false" customHeight="false" outlineLevel="0" collapsed="false">
      <c r="A7472" s="15" t="s">
        <v>7529</v>
      </c>
      <c r="B7472" s="16" t="n">
        <v>45320</v>
      </c>
      <c r="C7472" s="15" t="s">
        <v>56</v>
      </c>
      <c r="D7472" s="15" t="s">
        <v>42</v>
      </c>
      <c r="E7472" s="15" t="s">
        <v>39</v>
      </c>
      <c r="F7472" s="15" t="s">
        <v>17</v>
      </c>
      <c r="G7472" s="15" t="s">
        <v>31</v>
      </c>
      <c r="H7472" s="15" t="n">
        <v>3</v>
      </c>
      <c r="I7472" s="17" t="n">
        <v>0.15</v>
      </c>
      <c r="J7472" s="18" t="n">
        <v>329.84</v>
      </c>
      <c r="K7472" s="19" t="n">
        <v>23.73</v>
      </c>
      <c r="L7472" s="15" t="n">
        <f aca="false">YEAR(B7472)</f>
        <v>2024</v>
      </c>
      <c r="M7472" s="20" t="n">
        <f aca="false">IF(J7472&gt;0,K7472/J7472,0)</f>
        <v>0.0719439728353141</v>
      </c>
    </row>
    <row r="7473" customFormat="false" ht="15" hidden="false" customHeight="false" outlineLevel="0" collapsed="false">
      <c r="A7473" s="15" t="s">
        <v>7530</v>
      </c>
      <c r="B7473" s="16" t="n">
        <v>45562</v>
      </c>
      <c r="C7473" s="15" t="s">
        <v>56</v>
      </c>
      <c r="D7473" s="15" t="s">
        <v>44</v>
      </c>
      <c r="E7473" s="15" t="s">
        <v>37</v>
      </c>
      <c r="F7473" s="15" t="s">
        <v>17</v>
      </c>
      <c r="G7473" s="15" t="s">
        <v>28</v>
      </c>
      <c r="H7473" s="15" t="n">
        <v>4</v>
      </c>
      <c r="I7473" s="17" t="n">
        <v>0.05</v>
      </c>
      <c r="J7473" s="18" t="n">
        <v>96.62</v>
      </c>
      <c r="K7473" s="19" t="n">
        <v>27.63</v>
      </c>
      <c r="L7473" s="15" t="n">
        <f aca="false">YEAR(B7473)</f>
        <v>2024</v>
      </c>
      <c r="M7473" s="20" t="n">
        <f aca="false">IF(J7473&gt;0,K7473/J7473,0)</f>
        <v>0.285965638584144</v>
      </c>
    </row>
    <row r="7474" customFormat="false" ht="15" hidden="false" customHeight="false" outlineLevel="0" collapsed="false">
      <c r="A7474" s="15" t="s">
        <v>7531</v>
      </c>
      <c r="B7474" s="16" t="n">
        <v>45900</v>
      </c>
      <c r="C7474" s="15" t="s">
        <v>56</v>
      </c>
      <c r="D7474" s="15" t="s">
        <v>43</v>
      </c>
      <c r="E7474" s="15" t="s">
        <v>39</v>
      </c>
      <c r="F7474" s="15" t="s">
        <v>18</v>
      </c>
      <c r="G7474" s="15" t="s">
        <v>32</v>
      </c>
      <c r="H7474" s="15" t="n">
        <v>5</v>
      </c>
      <c r="I7474" s="17" t="n">
        <v>0.1</v>
      </c>
      <c r="J7474" s="18" t="n">
        <v>2261.27</v>
      </c>
      <c r="K7474" s="19" t="n">
        <v>151.94</v>
      </c>
      <c r="L7474" s="15" t="n">
        <f aca="false">YEAR(B7474)</f>
        <v>2025</v>
      </c>
      <c r="M7474" s="20" t="n">
        <f aca="false">IF(J7474&gt;0,K7474/J7474,0)</f>
        <v>0.0671923299738643</v>
      </c>
    </row>
    <row r="7475" customFormat="false" ht="15" hidden="false" customHeight="false" outlineLevel="0" collapsed="false">
      <c r="A7475" s="15" t="s">
        <v>7532</v>
      </c>
      <c r="B7475" s="16" t="n">
        <v>45349</v>
      </c>
      <c r="C7475" s="15" t="s">
        <v>56</v>
      </c>
      <c r="D7475" s="15" t="s">
        <v>43</v>
      </c>
      <c r="E7475" s="15" t="s">
        <v>38</v>
      </c>
      <c r="F7475" s="15" t="s">
        <v>17</v>
      </c>
      <c r="G7475" s="15" t="s">
        <v>28</v>
      </c>
      <c r="H7475" s="15" t="n">
        <v>4</v>
      </c>
      <c r="I7475" s="17" t="n">
        <v>0.4</v>
      </c>
      <c r="J7475" s="18" t="n">
        <v>55.37</v>
      </c>
      <c r="K7475" s="19" t="n">
        <v>-2.64</v>
      </c>
      <c r="L7475" s="15" t="n">
        <f aca="false">YEAR(B7475)</f>
        <v>2024</v>
      </c>
      <c r="M7475" s="20" t="n">
        <f aca="false">IF(J7475&gt;0,K7475/J7475,0)</f>
        <v>-0.0476792486906267</v>
      </c>
    </row>
    <row r="7476" customFormat="false" ht="15" hidden="false" customHeight="false" outlineLevel="0" collapsed="false">
      <c r="A7476" s="15" t="s">
        <v>7533</v>
      </c>
      <c r="B7476" s="16" t="n">
        <v>44862</v>
      </c>
      <c r="C7476" s="15" t="s">
        <v>56</v>
      </c>
      <c r="D7476" s="15" t="s">
        <v>42</v>
      </c>
      <c r="E7476" s="15" t="s">
        <v>39</v>
      </c>
      <c r="F7476" s="15" t="s">
        <v>17</v>
      </c>
      <c r="G7476" s="15" t="s">
        <v>29</v>
      </c>
      <c r="H7476" s="15" t="n">
        <v>2</v>
      </c>
      <c r="I7476" s="17" t="n">
        <v>0</v>
      </c>
      <c r="J7476" s="18" t="n">
        <v>45.3</v>
      </c>
      <c r="K7476" s="19" t="n">
        <v>17.38</v>
      </c>
      <c r="L7476" s="15" t="n">
        <f aca="false">YEAR(B7476)</f>
        <v>2022</v>
      </c>
      <c r="M7476" s="20" t="n">
        <f aca="false">IF(J7476&gt;0,K7476/J7476,0)</f>
        <v>0.383664459161148</v>
      </c>
    </row>
    <row r="7477" customFormat="false" ht="15" hidden="false" customHeight="false" outlineLevel="0" collapsed="false">
      <c r="A7477" s="15" t="s">
        <v>7534</v>
      </c>
      <c r="B7477" s="16" t="n">
        <v>45964</v>
      </c>
      <c r="C7477" s="15" t="s">
        <v>56</v>
      </c>
      <c r="D7477" s="15" t="s">
        <v>42</v>
      </c>
      <c r="E7477" s="15" t="s">
        <v>39</v>
      </c>
      <c r="F7477" s="15" t="s">
        <v>17</v>
      </c>
      <c r="G7477" s="15" t="s">
        <v>31</v>
      </c>
      <c r="H7477" s="15" t="n">
        <v>2</v>
      </c>
      <c r="I7477" s="17" t="n">
        <v>0.1</v>
      </c>
      <c r="J7477" s="18" t="n">
        <v>262.78</v>
      </c>
      <c r="K7477" s="19" t="n">
        <v>34.89</v>
      </c>
      <c r="L7477" s="15" t="n">
        <f aca="false">YEAR(B7477)</f>
        <v>2025</v>
      </c>
      <c r="M7477" s="20" t="n">
        <f aca="false">IF(J7477&gt;0,K7477/J7477,0)</f>
        <v>0.132772661541974</v>
      </c>
    </row>
    <row r="7478" customFormat="false" ht="15" hidden="false" customHeight="false" outlineLevel="0" collapsed="false">
      <c r="A7478" s="15" t="s">
        <v>7535</v>
      </c>
      <c r="B7478" s="16" t="n">
        <v>45479</v>
      </c>
      <c r="C7478" s="15" t="s">
        <v>71</v>
      </c>
      <c r="D7478" s="15" t="s">
        <v>42</v>
      </c>
      <c r="E7478" s="15" t="s">
        <v>39</v>
      </c>
      <c r="F7478" s="15" t="s">
        <v>16</v>
      </c>
      <c r="G7478" s="15" t="s">
        <v>23</v>
      </c>
      <c r="H7478" s="15" t="n">
        <v>1</v>
      </c>
      <c r="I7478" s="17" t="n">
        <v>0.2</v>
      </c>
      <c r="J7478" s="18" t="n">
        <v>308.63</v>
      </c>
      <c r="K7478" s="19" t="n">
        <v>-40.32</v>
      </c>
      <c r="L7478" s="15" t="n">
        <f aca="false">YEAR(B7478)</f>
        <v>2024</v>
      </c>
      <c r="M7478" s="20" t="n">
        <f aca="false">IF(J7478&gt;0,K7478/J7478,0)</f>
        <v>-0.130641868904514</v>
      </c>
    </row>
    <row r="7479" customFormat="false" ht="15" hidden="false" customHeight="false" outlineLevel="0" collapsed="false">
      <c r="A7479" s="15" t="s">
        <v>7536</v>
      </c>
      <c r="B7479" s="16" t="n">
        <v>46004</v>
      </c>
      <c r="C7479" s="15" t="s">
        <v>71</v>
      </c>
      <c r="D7479" s="15" t="s">
        <v>44</v>
      </c>
      <c r="E7479" s="15" t="s">
        <v>39</v>
      </c>
      <c r="F7479" s="15" t="s">
        <v>16</v>
      </c>
      <c r="G7479" s="15" t="s">
        <v>23</v>
      </c>
      <c r="H7479" s="15" t="n">
        <v>2</v>
      </c>
      <c r="I7479" s="17" t="n">
        <v>0</v>
      </c>
      <c r="J7479" s="18" t="n">
        <v>612.97</v>
      </c>
      <c r="K7479" s="19" t="n">
        <v>-3.98</v>
      </c>
      <c r="L7479" s="15" t="n">
        <f aca="false">YEAR(B7479)</f>
        <v>2025</v>
      </c>
      <c r="M7479" s="20" t="n">
        <f aca="false">IF(J7479&gt;0,K7479/J7479,0)</f>
        <v>-0.0064929768177888</v>
      </c>
    </row>
    <row r="7480" customFormat="false" ht="15" hidden="false" customHeight="false" outlineLevel="0" collapsed="false">
      <c r="A7480" s="15" t="s">
        <v>7537</v>
      </c>
      <c r="B7480" s="16" t="n">
        <v>44797</v>
      </c>
      <c r="C7480" s="15" t="s">
        <v>68</v>
      </c>
      <c r="D7480" s="15" t="s">
        <v>43</v>
      </c>
      <c r="E7480" s="15" t="s">
        <v>37</v>
      </c>
      <c r="F7480" s="15" t="s">
        <v>17</v>
      </c>
      <c r="G7480" s="15" t="s">
        <v>26</v>
      </c>
      <c r="H7480" s="15" t="n">
        <v>3</v>
      </c>
      <c r="I7480" s="17" t="n">
        <v>0</v>
      </c>
      <c r="J7480" s="18" t="n">
        <v>290.31</v>
      </c>
      <c r="K7480" s="19" t="n">
        <v>34.2</v>
      </c>
      <c r="L7480" s="15" t="n">
        <f aca="false">YEAR(B7480)</f>
        <v>2022</v>
      </c>
      <c r="M7480" s="20" t="n">
        <f aca="false">IF(J7480&gt;0,K7480/J7480,0)</f>
        <v>0.117805104887878</v>
      </c>
    </row>
    <row r="7481" customFormat="false" ht="15" hidden="false" customHeight="false" outlineLevel="0" collapsed="false">
      <c r="A7481" s="15" t="s">
        <v>7538</v>
      </c>
      <c r="B7481" s="16" t="n">
        <v>45096</v>
      </c>
      <c r="C7481" s="15" t="s">
        <v>71</v>
      </c>
      <c r="D7481" s="15" t="s">
        <v>42</v>
      </c>
      <c r="E7481" s="15" t="s">
        <v>37</v>
      </c>
      <c r="F7481" s="15" t="s">
        <v>17</v>
      </c>
      <c r="G7481" s="15" t="s">
        <v>26</v>
      </c>
      <c r="H7481" s="15" t="n">
        <v>5</v>
      </c>
      <c r="I7481" s="17" t="n">
        <v>0.3</v>
      </c>
      <c r="J7481" s="18" t="n">
        <v>302.61</v>
      </c>
      <c r="K7481" s="19" t="n">
        <v>-37.58</v>
      </c>
      <c r="L7481" s="15" t="n">
        <f aca="false">YEAR(B7481)</f>
        <v>2023</v>
      </c>
      <c r="M7481" s="20" t="n">
        <f aca="false">IF(J7481&gt;0,K7481/J7481,0)</f>
        <v>-0.124186246323651</v>
      </c>
    </row>
    <row r="7482" customFormat="false" ht="15" hidden="false" customHeight="false" outlineLevel="0" collapsed="false">
      <c r="A7482" s="15" t="s">
        <v>7539</v>
      </c>
      <c r="B7482" s="16" t="n">
        <v>45840</v>
      </c>
      <c r="C7482" s="15" t="s">
        <v>71</v>
      </c>
      <c r="D7482" s="15" t="s">
        <v>42</v>
      </c>
      <c r="E7482" s="15" t="s">
        <v>36</v>
      </c>
      <c r="F7482" s="15" t="s">
        <v>17</v>
      </c>
      <c r="G7482" s="15" t="s">
        <v>28</v>
      </c>
      <c r="H7482" s="15" t="n">
        <v>7</v>
      </c>
      <c r="I7482" s="17" t="n">
        <v>0</v>
      </c>
      <c r="J7482" s="18" t="n">
        <v>176.51</v>
      </c>
      <c r="K7482" s="19" t="n">
        <v>57.44</v>
      </c>
      <c r="L7482" s="15" t="n">
        <f aca="false">YEAR(B7482)</f>
        <v>2025</v>
      </c>
      <c r="M7482" s="20" t="n">
        <f aca="false">IF(J7482&gt;0,K7482/J7482,0)</f>
        <v>0.325420656053481</v>
      </c>
    </row>
    <row r="7483" customFormat="false" ht="15" hidden="false" customHeight="false" outlineLevel="0" collapsed="false">
      <c r="A7483" s="15" t="s">
        <v>7540</v>
      </c>
      <c r="B7483" s="16" t="n">
        <v>45482</v>
      </c>
      <c r="C7483" s="15" t="s">
        <v>71</v>
      </c>
      <c r="D7483" s="15" t="s">
        <v>42</v>
      </c>
      <c r="E7483" s="15" t="s">
        <v>37</v>
      </c>
      <c r="F7483" s="15" t="s">
        <v>17</v>
      </c>
      <c r="G7483" s="15" t="s">
        <v>31</v>
      </c>
      <c r="H7483" s="15" t="n">
        <v>2</v>
      </c>
      <c r="I7483" s="17" t="n">
        <v>0.1</v>
      </c>
      <c r="J7483" s="18" t="n">
        <v>229.36</v>
      </c>
      <c r="K7483" s="19" t="n">
        <v>18.97</v>
      </c>
      <c r="L7483" s="15" t="n">
        <f aca="false">YEAR(B7483)</f>
        <v>2024</v>
      </c>
      <c r="M7483" s="20" t="n">
        <f aca="false">IF(J7483&gt;0,K7483/J7483,0)</f>
        <v>0.0827084059993024</v>
      </c>
    </row>
    <row r="7484" customFormat="false" ht="15" hidden="false" customHeight="false" outlineLevel="0" collapsed="false">
      <c r="A7484" s="15" t="s">
        <v>7541</v>
      </c>
      <c r="B7484" s="16" t="n">
        <v>44899</v>
      </c>
      <c r="C7484" s="15" t="s">
        <v>68</v>
      </c>
      <c r="D7484" s="15" t="s">
        <v>43</v>
      </c>
      <c r="E7484" s="15" t="s">
        <v>39</v>
      </c>
      <c r="F7484" s="15" t="s">
        <v>17</v>
      </c>
      <c r="G7484" s="15" t="s">
        <v>29</v>
      </c>
      <c r="H7484" s="15" t="n">
        <v>3</v>
      </c>
      <c r="I7484" s="17" t="n">
        <v>0.05</v>
      </c>
      <c r="J7484" s="18" t="n">
        <v>61.43</v>
      </c>
      <c r="K7484" s="19" t="n">
        <v>24.12</v>
      </c>
      <c r="L7484" s="15" t="n">
        <f aca="false">YEAR(B7484)</f>
        <v>2022</v>
      </c>
      <c r="M7484" s="20" t="n">
        <f aca="false">IF(J7484&gt;0,K7484/J7484,0)</f>
        <v>0.392642031580661</v>
      </c>
    </row>
    <row r="7485" customFormat="false" ht="15" hidden="false" customHeight="false" outlineLevel="0" collapsed="false">
      <c r="A7485" s="15" t="s">
        <v>7542</v>
      </c>
      <c r="B7485" s="16" t="n">
        <v>44849</v>
      </c>
      <c r="C7485" s="15" t="s">
        <v>56</v>
      </c>
      <c r="D7485" s="15" t="s">
        <v>42</v>
      </c>
      <c r="E7485" s="15" t="s">
        <v>39</v>
      </c>
      <c r="F7485" s="15" t="s">
        <v>16</v>
      </c>
      <c r="G7485" s="15" t="s">
        <v>22</v>
      </c>
      <c r="H7485" s="15" t="n">
        <v>7</v>
      </c>
      <c r="I7485" s="17" t="n">
        <v>0.4</v>
      </c>
      <c r="J7485" s="18" t="n">
        <v>2056.89</v>
      </c>
      <c r="K7485" s="19" t="n">
        <v>-792.6</v>
      </c>
      <c r="L7485" s="15" t="n">
        <f aca="false">YEAR(B7485)</f>
        <v>2022</v>
      </c>
      <c r="M7485" s="20" t="n">
        <f aca="false">IF(J7485&gt;0,K7485/J7485,0)</f>
        <v>-0.385339031255925</v>
      </c>
    </row>
    <row r="7486" customFormat="false" ht="15" hidden="false" customHeight="false" outlineLevel="0" collapsed="false">
      <c r="A7486" s="15" t="s">
        <v>7543</v>
      </c>
      <c r="B7486" s="16" t="n">
        <v>45256</v>
      </c>
      <c r="C7486" s="15" t="s">
        <v>56</v>
      </c>
      <c r="D7486" s="15" t="s">
        <v>42</v>
      </c>
      <c r="E7486" s="15" t="s">
        <v>38</v>
      </c>
      <c r="F7486" s="15" t="s">
        <v>16</v>
      </c>
      <c r="G7486" s="15" t="s">
        <v>22</v>
      </c>
      <c r="H7486" s="15" t="n">
        <v>3</v>
      </c>
      <c r="I7486" s="17" t="n">
        <v>0</v>
      </c>
      <c r="J7486" s="18" t="n">
        <v>1223.51</v>
      </c>
      <c r="K7486" s="19" t="n">
        <v>-42.48</v>
      </c>
      <c r="L7486" s="15" t="n">
        <f aca="false">YEAR(B7486)</f>
        <v>2023</v>
      </c>
      <c r="M7486" s="20" t="n">
        <f aca="false">IF(J7486&gt;0,K7486/J7486,0)</f>
        <v>-0.0347197816119198</v>
      </c>
    </row>
    <row r="7487" customFormat="false" ht="15" hidden="false" customHeight="false" outlineLevel="0" collapsed="false">
      <c r="A7487" s="15" t="s">
        <v>7544</v>
      </c>
      <c r="B7487" s="16" t="n">
        <v>44866</v>
      </c>
      <c r="C7487" s="15" t="s">
        <v>68</v>
      </c>
      <c r="D7487" s="15" t="s">
        <v>43</v>
      </c>
      <c r="E7487" s="15" t="s">
        <v>39</v>
      </c>
      <c r="F7487" s="15" t="s">
        <v>17</v>
      </c>
      <c r="G7487" s="15" t="s">
        <v>29</v>
      </c>
      <c r="H7487" s="15" t="n">
        <v>2</v>
      </c>
      <c r="I7487" s="17" t="n">
        <v>0.4</v>
      </c>
      <c r="J7487" s="18" t="n">
        <v>29.39</v>
      </c>
      <c r="K7487" s="19" t="n">
        <v>-0.04</v>
      </c>
      <c r="L7487" s="15" t="n">
        <f aca="false">YEAR(B7487)</f>
        <v>2022</v>
      </c>
      <c r="M7487" s="20" t="n">
        <f aca="false">IF(J7487&gt;0,K7487/J7487,0)</f>
        <v>-0.00136100714528751</v>
      </c>
    </row>
    <row r="7488" customFormat="false" ht="15" hidden="false" customHeight="false" outlineLevel="0" collapsed="false">
      <c r="A7488" s="15" t="s">
        <v>7545</v>
      </c>
      <c r="B7488" s="16" t="n">
        <v>44948</v>
      </c>
      <c r="C7488" s="15" t="s">
        <v>56</v>
      </c>
      <c r="D7488" s="15" t="s">
        <v>43</v>
      </c>
      <c r="E7488" s="15" t="s">
        <v>39</v>
      </c>
      <c r="F7488" s="15" t="s">
        <v>17</v>
      </c>
      <c r="G7488" s="15" t="s">
        <v>28</v>
      </c>
      <c r="H7488" s="15" t="n">
        <v>5</v>
      </c>
      <c r="I7488" s="17" t="n">
        <v>0.3</v>
      </c>
      <c r="J7488" s="18" t="n">
        <v>98.21</v>
      </c>
      <c r="K7488" s="19" t="n">
        <v>-6.48</v>
      </c>
      <c r="L7488" s="15" t="n">
        <f aca="false">YEAR(B7488)</f>
        <v>2023</v>
      </c>
      <c r="M7488" s="20" t="n">
        <f aca="false">IF(J7488&gt;0,K7488/J7488,0)</f>
        <v>-0.0659810609917524</v>
      </c>
    </row>
    <row r="7489" customFormat="false" ht="15" hidden="false" customHeight="false" outlineLevel="0" collapsed="false">
      <c r="A7489" s="15" t="s">
        <v>7546</v>
      </c>
      <c r="B7489" s="16" t="n">
        <v>45422</v>
      </c>
      <c r="C7489" s="15" t="s">
        <v>68</v>
      </c>
      <c r="D7489" s="15" t="s">
        <v>43</v>
      </c>
      <c r="E7489" s="15" t="s">
        <v>39</v>
      </c>
      <c r="F7489" s="15" t="s">
        <v>17</v>
      </c>
      <c r="G7489" s="15" t="s">
        <v>31</v>
      </c>
      <c r="H7489" s="15" t="n">
        <v>4</v>
      </c>
      <c r="I7489" s="17" t="n">
        <v>0</v>
      </c>
      <c r="J7489" s="18" t="n">
        <v>657.35</v>
      </c>
      <c r="K7489" s="19" t="n">
        <v>170.58</v>
      </c>
      <c r="L7489" s="15" t="n">
        <f aca="false">YEAR(B7489)</f>
        <v>2024</v>
      </c>
      <c r="M7489" s="20" t="n">
        <f aca="false">IF(J7489&gt;0,K7489/J7489,0)</f>
        <v>0.259496463071423</v>
      </c>
    </row>
    <row r="7490" customFormat="false" ht="15" hidden="false" customHeight="false" outlineLevel="0" collapsed="false">
      <c r="A7490" s="15" t="s">
        <v>7547</v>
      </c>
      <c r="B7490" s="16" t="n">
        <v>45041</v>
      </c>
      <c r="C7490" s="15" t="s">
        <v>68</v>
      </c>
      <c r="D7490" s="15" t="s">
        <v>42</v>
      </c>
      <c r="E7490" s="15" t="s">
        <v>38</v>
      </c>
      <c r="F7490" s="15" t="s">
        <v>17</v>
      </c>
      <c r="G7490" s="15" t="s">
        <v>26</v>
      </c>
      <c r="H7490" s="15" t="n">
        <v>5</v>
      </c>
      <c r="I7490" s="17" t="n">
        <v>0.2</v>
      </c>
      <c r="J7490" s="18" t="n">
        <v>279.61</v>
      </c>
      <c r="K7490" s="19" t="n">
        <v>-7.48</v>
      </c>
      <c r="L7490" s="15" t="n">
        <f aca="false">YEAR(B7490)</f>
        <v>2023</v>
      </c>
      <c r="M7490" s="20" t="n">
        <f aca="false">IF(J7490&gt;0,K7490/J7490,0)</f>
        <v>-0.0267515467973248</v>
      </c>
    </row>
    <row r="7491" customFormat="false" ht="15" hidden="false" customHeight="false" outlineLevel="0" collapsed="false">
      <c r="A7491" s="15" t="s">
        <v>7548</v>
      </c>
      <c r="B7491" s="16" t="n">
        <v>45179</v>
      </c>
      <c r="C7491" s="15" t="s">
        <v>68</v>
      </c>
      <c r="D7491" s="15" t="s">
        <v>42</v>
      </c>
      <c r="E7491" s="15" t="s">
        <v>39</v>
      </c>
      <c r="F7491" s="15" t="s">
        <v>18</v>
      </c>
      <c r="G7491" s="15" t="s">
        <v>32</v>
      </c>
      <c r="H7491" s="15" t="n">
        <v>1</v>
      </c>
      <c r="I7491" s="17" t="n">
        <v>0</v>
      </c>
      <c r="J7491" s="18" t="n">
        <v>581.91</v>
      </c>
      <c r="K7491" s="19" t="n">
        <v>91.82</v>
      </c>
      <c r="L7491" s="15" t="n">
        <f aca="false">YEAR(B7491)</f>
        <v>2023</v>
      </c>
      <c r="M7491" s="20" t="n">
        <f aca="false">IF(J7491&gt;0,K7491/J7491,0)</f>
        <v>0.157790723651424</v>
      </c>
    </row>
    <row r="7492" customFormat="false" ht="15" hidden="false" customHeight="false" outlineLevel="0" collapsed="false">
      <c r="A7492" s="15" t="s">
        <v>7549</v>
      </c>
      <c r="B7492" s="16" t="n">
        <v>44971</v>
      </c>
      <c r="C7492" s="15" t="s">
        <v>58</v>
      </c>
      <c r="D7492" s="15" t="s">
        <v>42</v>
      </c>
      <c r="E7492" s="15" t="s">
        <v>39</v>
      </c>
      <c r="F7492" s="15" t="s">
        <v>16</v>
      </c>
      <c r="G7492" s="15" t="s">
        <v>23</v>
      </c>
      <c r="H7492" s="15" t="n">
        <v>6</v>
      </c>
      <c r="I7492" s="17" t="n">
        <v>0</v>
      </c>
      <c r="J7492" s="18" t="n">
        <v>1756.78</v>
      </c>
      <c r="K7492" s="19" t="n">
        <v>190.36</v>
      </c>
      <c r="L7492" s="15" t="n">
        <f aca="false">YEAR(B7492)</f>
        <v>2023</v>
      </c>
      <c r="M7492" s="20" t="n">
        <f aca="false">IF(J7492&gt;0,K7492/J7492,0)</f>
        <v>0.108357335579868</v>
      </c>
    </row>
    <row r="7493" customFormat="false" ht="15" hidden="false" customHeight="false" outlineLevel="0" collapsed="false">
      <c r="A7493" s="15" t="s">
        <v>7550</v>
      </c>
      <c r="B7493" s="16" t="n">
        <v>44777</v>
      </c>
      <c r="C7493" s="15" t="s">
        <v>56</v>
      </c>
      <c r="D7493" s="15" t="s">
        <v>42</v>
      </c>
      <c r="E7493" s="15" t="s">
        <v>36</v>
      </c>
      <c r="F7493" s="15" t="s">
        <v>18</v>
      </c>
      <c r="G7493" s="15" t="s">
        <v>32</v>
      </c>
      <c r="H7493" s="15" t="n">
        <v>8</v>
      </c>
      <c r="I7493" s="17" t="n">
        <v>0.1</v>
      </c>
      <c r="J7493" s="18" t="n">
        <v>2796.68</v>
      </c>
      <c r="K7493" s="19" t="n">
        <v>153.4</v>
      </c>
      <c r="L7493" s="15" t="n">
        <f aca="false">YEAR(B7493)</f>
        <v>2022</v>
      </c>
      <c r="M7493" s="20" t="n">
        <f aca="false">IF(J7493&gt;0,K7493/J7493,0)</f>
        <v>0.0548507516054751</v>
      </c>
    </row>
    <row r="7494" customFormat="false" ht="15" hidden="false" customHeight="false" outlineLevel="0" collapsed="false">
      <c r="A7494" s="15" t="s">
        <v>7551</v>
      </c>
      <c r="B7494" s="16" t="n">
        <v>45810</v>
      </c>
      <c r="C7494" s="15" t="s">
        <v>56</v>
      </c>
      <c r="D7494" s="15" t="s">
        <v>42</v>
      </c>
      <c r="E7494" s="15" t="s">
        <v>36</v>
      </c>
      <c r="F7494" s="15" t="s">
        <v>17</v>
      </c>
      <c r="G7494" s="15" t="s">
        <v>28</v>
      </c>
      <c r="H7494" s="15" t="n">
        <v>8</v>
      </c>
      <c r="I7494" s="17" t="n">
        <v>0</v>
      </c>
      <c r="J7494" s="18" t="n">
        <v>191.18</v>
      </c>
      <c r="K7494" s="19" t="n">
        <v>63.34</v>
      </c>
      <c r="L7494" s="15" t="n">
        <f aca="false">YEAR(B7494)</f>
        <v>2025</v>
      </c>
      <c r="M7494" s="20" t="n">
        <f aca="false">IF(J7494&gt;0,K7494/J7494,0)</f>
        <v>0.331310806569725</v>
      </c>
    </row>
    <row r="7495" customFormat="false" ht="15" hidden="false" customHeight="false" outlineLevel="0" collapsed="false">
      <c r="A7495" s="15" t="s">
        <v>7552</v>
      </c>
      <c r="B7495" s="16" t="n">
        <v>45455</v>
      </c>
      <c r="C7495" s="15" t="s">
        <v>56</v>
      </c>
      <c r="D7495" s="15" t="s">
        <v>44</v>
      </c>
      <c r="E7495" s="15" t="s">
        <v>39</v>
      </c>
      <c r="F7495" s="15" t="s">
        <v>18</v>
      </c>
      <c r="G7495" s="15" t="s">
        <v>30</v>
      </c>
      <c r="H7495" s="15" t="n">
        <v>4</v>
      </c>
      <c r="I7495" s="17" t="n">
        <v>0.15</v>
      </c>
      <c r="J7495" s="18" t="n">
        <v>171.58</v>
      </c>
      <c r="K7495" s="19" t="n">
        <v>24.07</v>
      </c>
      <c r="L7495" s="15" t="n">
        <f aca="false">YEAR(B7495)</f>
        <v>2024</v>
      </c>
      <c r="M7495" s="20" t="n">
        <f aca="false">IF(J7495&gt;0,K7495/J7495,0)</f>
        <v>0.140284415433034</v>
      </c>
    </row>
    <row r="7496" customFormat="false" ht="15" hidden="false" customHeight="false" outlineLevel="0" collapsed="false">
      <c r="A7496" s="15" t="s">
        <v>7553</v>
      </c>
      <c r="B7496" s="16" t="n">
        <v>45308</v>
      </c>
      <c r="C7496" s="15" t="s">
        <v>56</v>
      </c>
      <c r="D7496" s="15" t="s">
        <v>42</v>
      </c>
      <c r="E7496" s="15" t="s">
        <v>39</v>
      </c>
      <c r="F7496" s="15" t="s">
        <v>17</v>
      </c>
      <c r="G7496" s="15" t="s">
        <v>29</v>
      </c>
      <c r="H7496" s="15" t="n">
        <v>4</v>
      </c>
      <c r="I7496" s="17" t="n">
        <v>0</v>
      </c>
      <c r="J7496" s="18" t="n">
        <v>64.01</v>
      </c>
      <c r="K7496" s="19" t="n">
        <v>22.87</v>
      </c>
      <c r="L7496" s="15" t="n">
        <f aca="false">YEAR(B7496)</f>
        <v>2024</v>
      </c>
      <c r="M7496" s="20" t="n">
        <f aca="false">IF(J7496&gt;0,K7496/J7496,0)</f>
        <v>0.357287923761912</v>
      </c>
    </row>
    <row r="7497" customFormat="false" ht="15" hidden="false" customHeight="false" outlineLevel="0" collapsed="false">
      <c r="A7497" s="15" t="s">
        <v>7554</v>
      </c>
      <c r="B7497" s="16" t="n">
        <v>45347</v>
      </c>
      <c r="C7497" s="15" t="s">
        <v>71</v>
      </c>
      <c r="D7497" s="15" t="s">
        <v>42</v>
      </c>
      <c r="E7497" s="15" t="s">
        <v>38</v>
      </c>
      <c r="F7497" s="15" t="s">
        <v>18</v>
      </c>
      <c r="G7497" s="15" t="s">
        <v>32</v>
      </c>
      <c r="H7497" s="15" t="n">
        <v>7</v>
      </c>
      <c r="I7497" s="17" t="n">
        <v>0</v>
      </c>
      <c r="J7497" s="18" t="n">
        <v>2726.39</v>
      </c>
      <c r="K7497" s="19" t="n">
        <v>586.23</v>
      </c>
      <c r="L7497" s="15" t="n">
        <f aca="false">YEAR(B7497)</f>
        <v>2024</v>
      </c>
      <c r="M7497" s="20" t="n">
        <f aca="false">IF(J7497&gt;0,K7497/J7497,0)</f>
        <v>0.215020594999248</v>
      </c>
    </row>
    <row r="7498" customFormat="false" ht="15" hidden="false" customHeight="false" outlineLevel="0" collapsed="false">
      <c r="A7498" s="15" t="s">
        <v>7555</v>
      </c>
      <c r="B7498" s="16" t="n">
        <v>44563</v>
      </c>
      <c r="C7498" s="15" t="s">
        <v>56</v>
      </c>
      <c r="D7498" s="15" t="s">
        <v>42</v>
      </c>
      <c r="E7498" s="15" t="s">
        <v>38</v>
      </c>
      <c r="F7498" s="15" t="s">
        <v>17</v>
      </c>
      <c r="G7498" s="15" t="s">
        <v>28</v>
      </c>
      <c r="H7498" s="15" t="n">
        <v>3</v>
      </c>
      <c r="I7498" s="17" t="n">
        <v>0</v>
      </c>
      <c r="J7498" s="18" t="n">
        <v>72.98</v>
      </c>
      <c r="K7498" s="19" t="n">
        <v>20.02</v>
      </c>
      <c r="L7498" s="15" t="n">
        <f aca="false">YEAR(B7498)</f>
        <v>2022</v>
      </c>
      <c r="M7498" s="20" t="n">
        <f aca="false">IF(J7498&gt;0,K7498/J7498,0)</f>
        <v>0.274321731981365</v>
      </c>
    </row>
    <row r="7499" customFormat="false" ht="15" hidden="false" customHeight="false" outlineLevel="0" collapsed="false">
      <c r="A7499" s="15" t="s">
        <v>7556</v>
      </c>
      <c r="B7499" s="16" t="n">
        <v>45936</v>
      </c>
      <c r="C7499" s="15" t="s">
        <v>68</v>
      </c>
      <c r="D7499" s="15" t="s">
        <v>43</v>
      </c>
      <c r="E7499" s="15" t="s">
        <v>37</v>
      </c>
      <c r="F7499" s="15" t="s">
        <v>17</v>
      </c>
      <c r="G7499" s="15" t="s">
        <v>29</v>
      </c>
      <c r="H7499" s="15" t="n">
        <v>4</v>
      </c>
      <c r="I7499" s="17" t="n">
        <v>0</v>
      </c>
      <c r="J7499" s="18" t="n">
        <v>70.98</v>
      </c>
      <c r="K7499" s="19" t="n">
        <v>25.86</v>
      </c>
      <c r="L7499" s="15" t="n">
        <f aca="false">YEAR(B7499)</f>
        <v>2025</v>
      </c>
      <c r="M7499" s="20" t="n">
        <f aca="false">IF(J7499&gt;0,K7499/J7499,0)</f>
        <v>0.364327979712595</v>
      </c>
    </row>
    <row r="7500" customFormat="false" ht="15" hidden="false" customHeight="false" outlineLevel="0" collapsed="false">
      <c r="A7500" s="15" t="s">
        <v>7557</v>
      </c>
      <c r="B7500" s="16" t="n">
        <v>45972</v>
      </c>
      <c r="C7500" s="15" t="s">
        <v>56</v>
      </c>
      <c r="D7500" s="15" t="s">
        <v>42</v>
      </c>
      <c r="E7500" s="15" t="s">
        <v>38</v>
      </c>
      <c r="F7500" s="15" t="s">
        <v>17</v>
      </c>
      <c r="G7500" s="15" t="s">
        <v>28</v>
      </c>
      <c r="H7500" s="15" t="n">
        <v>2</v>
      </c>
      <c r="I7500" s="17" t="n">
        <v>0</v>
      </c>
      <c r="J7500" s="18" t="n">
        <v>39.48</v>
      </c>
      <c r="K7500" s="19" t="n">
        <v>10.53</v>
      </c>
      <c r="L7500" s="15" t="n">
        <f aca="false">YEAR(B7500)</f>
        <v>2025</v>
      </c>
      <c r="M7500" s="20" t="n">
        <f aca="false">IF(J7500&gt;0,K7500/J7500,0)</f>
        <v>0.266717325227964</v>
      </c>
    </row>
    <row r="7501" customFormat="false" ht="15" hidden="false" customHeight="false" outlineLevel="0" collapsed="false">
      <c r="A7501" s="15" t="s">
        <v>7558</v>
      </c>
      <c r="B7501" s="16" t="n">
        <v>44990</v>
      </c>
      <c r="C7501" s="15" t="s">
        <v>56</v>
      </c>
      <c r="D7501" s="15" t="s">
        <v>42</v>
      </c>
      <c r="E7501" s="15" t="s">
        <v>39</v>
      </c>
      <c r="F7501" s="15" t="s">
        <v>16</v>
      </c>
      <c r="G7501" s="15" t="s">
        <v>23</v>
      </c>
      <c r="H7501" s="15" t="n">
        <v>4</v>
      </c>
      <c r="I7501" s="17" t="n">
        <v>0.3</v>
      </c>
      <c r="J7501" s="18" t="n">
        <v>882.56</v>
      </c>
      <c r="K7501" s="19" t="n">
        <v>-204.55</v>
      </c>
      <c r="L7501" s="15" t="n">
        <f aca="false">YEAR(B7501)</f>
        <v>2023</v>
      </c>
      <c r="M7501" s="20" t="n">
        <f aca="false">IF(J7501&gt;0,K7501/J7501,0)</f>
        <v>-0.2317689448876</v>
      </c>
    </row>
    <row r="7502" customFormat="false" ht="15" hidden="false" customHeight="false" outlineLevel="0" collapsed="false">
      <c r="A7502" s="15" t="s">
        <v>7559</v>
      </c>
      <c r="B7502" s="16" t="n">
        <v>44767</v>
      </c>
      <c r="C7502" s="15" t="s">
        <v>56</v>
      </c>
      <c r="D7502" s="15" t="s">
        <v>44</v>
      </c>
      <c r="E7502" s="15" t="s">
        <v>39</v>
      </c>
      <c r="F7502" s="15" t="s">
        <v>18</v>
      </c>
      <c r="G7502" s="15" t="s">
        <v>32</v>
      </c>
      <c r="H7502" s="15" t="n">
        <v>2</v>
      </c>
      <c r="I7502" s="17" t="n">
        <v>0</v>
      </c>
      <c r="J7502" s="18" t="n">
        <v>979.86</v>
      </c>
      <c r="K7502" s="19" t="n">
        <v>137.78</v>
      </c>
      <c r="L7502" s="15" t="n">
        <f aca="false">YEAR(B7502)</f>
        <v>2022</v>
      </c>
      <c r="M7502" s="20" t="n">
        <f aca="false">IF(J7502&gt;0,K7502/J7502,0)</f>
        <v>0.14061192415243</v>
      </c>
    </row>
    <row r="7503" customFormat="false" ht="15" hidden="false" customHeight="false" outlineLevel="0" collapsed="false">
      <c r="A7503" s="15" t="s">
        <v>7560</v>
      </c>
      <c r="B7503" s="16" t="n">
        <v>45106</v>
      </c>
      <c r="C7503" s="15" t="s">
        <v>71</v>
      </c>
      <c r="D7503" s="15" t="s">
        <v>42</v>
      </c>
      <c r="E7503" s="15" t="s">
        <v>37</v>
      </c>
      <c r="F7503" s="15" t="s">
        <v>17</v>
      </c>
      <c r="G7503" s="15" t="s">
        <v>26</v>
      </c>
      <c r="H7503" s="15" t="n">
        <v>4</v>
      </c>
      <c r="I7503" s="17" t="n">
        <v>0</v>
      </c>
      <c r="J7503" s="18" t="n">
        <v>339.18</v>
      </c>
      <c r="K7503" s="19" t="n">
        <v>44</v>
      </c>
      <c r="L7503" s="15" t="n">
        <f aca="false">YEAR(B7503)</f>
        <v>2023</v>
      </c>
      <c r="M7503" s="20" t="n">
        <f aca="false">IF(J7503&gt;0,K7503/J7503,0)</f>
        <v>0.129724629989976</v>
      </c>
    </row>
    <row r="7504" customFormat="false" ht="15" hidden="false" customHeight="false" outlineLevel="0" collapsed="false">
      <c r="A7504" s="15" t="s">
        <v>7561</v>
      </c>
      <c r="B7504" s="16" t="n">
        <v>45059</v>
      </c>
      <c r="C7504" s="15" t="s">
        <v>56</v>
      </c>
      <c r="D7504" s="15" t="s">
        <v>43</v>
      </c>
      <c r="E7504" s="15" t="s">
        <v>36</v>
      </c>
      <c r="F7504" s="15" t="s">
        <v>16</v>
      </c>
      <c r="G7504" s="15" t="s">
        <v>27</v>
      </c>
      <c r="H7504" s="15" t="n">
        <v>2</v>
      </c>
      <c r="I7504" s="17" t="n">
        <v>0.4</v>
      </c>
      <c r="J7504" s="18" t="n">
        <v>68.18</v>
      </c>
      <c r="K7504" s="19" t="n">
        <v>-9.2</v>
      </c>
      <c r="L7504" s="15" t="n">
        <f aca="false">YEAR(B7504)</f>
        <v>2023</v>
      </c>
      <c r="M7504" s="20" t="n">
        <f aca="false">IF(J7504&gt;0,K7504/J7504,0)</f>
        <v>-0.134936931651511</v>
      </c>
    </row>
    <row r="7505" customFormat="false" ht="15" hidden="false" customHeight="false" outlineLevel="0" collapsed="false">
      <c r="A7505" s="15" t="s">
        <v>7562</v>
      </c>
      <c r="B7505" s="16" t="n">
        <v>44943</v>
      </c>
      <c r="C7505" s="15" t="s">
        <v>56</v>
      </c>
      <c r="D7505" s="15" t="s">
        <v>42</v>
      </c>
      <c r="E7505" s="15" t="s">
        <v>39</v>
      </c>
      <c r="F7505" s="15" t="s">
        <v>17</v>
      </c>
      <c r="G7505" s="15" t="s">
        <v>31</v>
      </c>
      <c r="H7505" s="15" t="n">
        <v>3</v>
      </c>
      <c r="I7505" s="17" t="n">
        <v>0.3</v>
      </c>
      <c r="J7505" s="18" t="n">
        <v>272.22</v>
      </c>
      <c r="K7505" s="19" t="n">
        <v>-30.77</v>
      </c>
      <c r="L7505" s="15" t="n">
        <f aca="false">YEAR(B7505)</f>
        <v>2023</v>
      </c>
      <c r="M7505" s="20" t="n">
        <f aca="false">IF(J7505&gt;0,K7505/J7505,0)</f>
        <v>-0.113033575784292</v>
      </c>
    </row>
    <row r="7506" customFormat="false" ht="15" hidden="false" customHeight="false" outlineLevel="0" collapsed="false">
      <c r="A7506" s="15" t="s">
        <v>7563</v>
      </c>
      <c r="B7506" s="16" t="n">
        <v>44893</v>
      </c>
      <c r="C7506" s="15" t="s">
        <v>58</v>
      </c>
      <c r="D7506" s="15" t="s">
        <v>42</v>
      </c>
      <c r="E7506" s="15" t="s">
        <v>37</v>
      </c>
      <c r="F7506" s="15" t="s">
        <v>18</v>
      </c>
      <c r="G7506" s="15" t="s">
        <v>24</v>
      </c>
      <c r="H7506" s="15" t="n">
        <v>3</v>
      </c>
      <c r="I7506" s="17" t="n">
        <v>0</v>
      </c>
      <c r="J7506" s="18" t="n">
        <v>2208.2</v>
      </c>
      <c r="K7506" s="19" t="n">
        <v>-16.38</v>
      </c>
      <c r="L7506" s="15" t="n">
        <f aca="false">YEAR(B7506)</f>
        <v>2022</v>
      </c>
      <c r="M7506" s="20" t="n">
        <f aca="false">IF(J7506&gt;0,K7506/J7506,0)</f>
        <v>-0.00741780635811974</v>
      </c>
    </row>
    <row r="7507" customFormat="false" ht="15" hidden="false" customHeight="false" outlineLevel="0" collapsed="false">
      <c r="A7507" s="15" t="s">
        <v>7564</v>
      </c>
      <c r="B7507" s="16" t="n">
        <v>45604</v>
      </c>
      <c r="C7507" s="15" t="s">
        <v>71</v>
      </c>
      <c r="D7507" s="15" t="s">
        <v>44</v>
      </c>
      <c r="E7507" s="15" t="s">
        <v>38</v>
      </c>
      <c r="F7507" s="15" t="s">
        <v>17</v>
      </c>
      <c r="G7507" s="15" t="s">
        <v>26</v>
      </c>
      <c r="H7507" s="15" t="n">
        <v>4</v>
      </c>
      <c r="I7507" s="17" t="n">
        <v>0.2</v>
      </c>
      <c r="J7507" s="18" t="n">
        <v>231.45</v>
      </c>
      <c r="K7507" s="19" t="n">
        <v>-4.29</v>
      </c>
      <c r="L7507" s="15" t="n">
        <f aca="false">YEAR(B7507)</f>
        <v>2024</v>
      </c>
      <c r="M7507" s="20" t="n">
        <f aca="false">IF(J7507&gt;0,K7507/J7507,0)</f>
        <v>-0.0185353208036293</v>
      </c>
    </row>
    <row r="7508" customFormat="false" ht="15" hidden="false" customHeight="false" outlineLevel="0" collapsed="false">
      <c r="A7508" s="15" t="s">
        <v>7565</v>
      </c>
      <c r="B7508" s="16" t="n">
        <v>44942</v>
      </c>
      <c r="C7508" s="15" t="s">
        <v>71</v>
      </c>
      <c r="D7508" s="15" t="s">
        <v>42</v>
      </c>
      <c r="E7508" s="15" t="s">
        <v>36</v>
      </c>
      <c r="F7508" s="15" t="s">
        <v>17</v>
      </c>
      <c r="G7508" s="15" t="s">
        <v>29</v>
      </c>
      <c r="H7508" s="15" t="n">
        <v>2</v>
      </c>
      <c r="I7508" s="17" t="n">
        <v>0</v>
      </c>
      <c r="J7508" s="18" t="n">
        <v>30.82</v>
      </c>
      <c r="K7508" s="19" t="n">
        <v>9.66</v>
      </c>
      <c r="L7508" s="15" t="n">
        <f aca="false">YEAR(B7508)</f>
        <v>2023</v>
      </c>
      <c r="M7508" s="20" t="n">
        <f aca="false">IF(J7508&gt;0,K7508/J7508,0)</f>
        <v>0.313432835820896</v>
      </c>
    </row>
    <row r="7509" customFormat="false" ht="15" hidden="false" customHeight="false" outlineLevel="0" collapsed="false">
      <c r="A7509" s="15" t="s">
        <v>7566</v>
      </c>
      <c r="B7509" s="16" t="n">
        <v>45498</v>
      </c>
      <c r="C7509" s="15" t="s">
        <v>68</v>
      </c>
      <c r="D7509" s="15" t="s">
        <v>42</v>
      </c>
      <c r="E7509" s="15" t="s">
        <v>39</v>
      </c>
      <c r="F7509" s="15" t="s">
        <v>17</v>
      </c>
      <c r="G7509" s="15" t="s">
        <v>29</v>
      </c>
      <c r="H7509" s="15" t="n">
        <v>2</v>
      </c>
      <c r="I7509" s="17" t="n">
        <v>0.05</v>
      </c>
      <c r="J7509" s="18" t="n">
        <v>39.07</v>
      </c>
      <c r="K7509" s="19" t="n">
        <v>13.07</v>
      </c>
      <c r="L7509" s="15" t="n">
        <f aca="false">YEAR(B7509)</f>
        <v>2024</v>
      </c>
      <c r="M7509" s="20" t="n">
        <f aca="false">IF(J7509&gt;0,K7509/J7509,0)</f>
        <v>0.334527770668032</v>
      </c>
    </row>
    <row r="7510" customFormat="false" ht="15" hidden="false" customHeight="false" outlineLevel="0" collapsed="false">
      <c r="A7510" s="15" t="s">
        <v>7567</v>
      </c>
      <c r="B7510" s="16" t="n">
        <v>46001</v>
      </c>
      <c r="C7510" s="15" t="s">
        <v>56</v>
      </c>
      <c r="D7510" s="15" t="s">
        <v>42</v>
      </c>
      <c r="E7510" s="15" t="s">
        <v>36</v>
      </c>
      <c r="F7510" s="15" t="s">
        <v>16</v>
      </c>
      <c r="G7510" s="15" t="s">
        <v>27</v>
      </c>
      <c r="H7510" s="15" t="n">
        <v>3</v>
      </c>
      <c r="I7510" s="17" t="n">
        <v>0.3</v>
      </c>
      <c r="J7510" s="18" t="n">
        <v>147.58</v>
      </c>
      <c r="K7510" s="19" t="n">
        <v>-6.19</v>
      </c>
      <c r="L7510" s="15" t="n">
        <f aca="false">YEAR(B7510)</f>
        <v>2025</v>
      </c>
      <c r="M7510" s="20" t="n">
        <f aca="false">IF(J7510&gt;0,K7510/J7510,0)</f>
        <v>-0.0419433527578263</v>
      </c>
    </row>
    <row r="7511" customFormat="false" ht="15" hidden="false" customHeight="false" outlineLevel="0" collapsed="false">
      <c r="A7511" s="15" t="s">
        <v>7568</v>
      </c>
      <c r="B7511" s="16" t="n">
        <v>45570</v>
      </c>
      <c r="C7511" s="15" t="s">
        <v>56</v>
      </c>
      <c r="D7511" s="15" t="s">
        <v>42</v>
      </c>
      <c r="E7511" s="15" t="s">
        <v>39</v>
      </c>
      <c r="F7511" s="15" t="s">
        <v>17</v>
      </c>
      <c r="G7511" s="15" t="s">
        <v>29</v>
      </c>
      <c r="H7511" s="15" t="n">
        <v>1</v>
      </c>
      <c r="I7511" s="17" t="n">
        <v>0</v>
      </c>
      <c r="J7511" s="18" t="n">
        <v>16.35</v>
      </c>
      <c r="K7511" s="19" t="n">
        <v>5.83</v>
      </c>
      <c r="L7511" s="15" t="n">
        <f aca="false">YEAR(B7511)</f>
        <v>2024</v>
      </c>
      <c r="M7511" s="20" t="n">
        <f aca="false">IF(J7511&gt;0,K7511/J7511,0)</f>
        <v>0.356574923547401</v>
      </c>
    </row>
    <row r="7512" customFormat="false" ht="15" hidden="false" customHeight="false" outlineLevel="0" collapsed="false">
      <c r="A7512" s="15" t="s">
        <v>7569</v>
      </c>
      <c r="B7512" s="16" t="n">
        <v>45106</v>
      </c>
      <c r="C7512" s="15" t="s">
        <v>56</v>
      </c>
      <c r="D7512" s="15" t="s">
        <v>44</v>
      </c>
      <c r="E7512" s="15" t="s">
        <v>36</v>
      </c>
      <c r="F7512" s="15" t="s">
        <v>17</v>
      </c>
      <c r="G7512" s="15" t="s">
        <v>26</v>
      </c>
      <c r="H7512" s="15" t="n">
        <v>1</v>
      </c>
      <c r="I7512" s="17" t="n">
        <v>0.1</v>
      </c>
      <c r="J7512" s="18" t="n">
        <v>76.92</v>
      </c>
      <c r="K7512" s="19" t="n">
        <v>2.98</v>
      </c>
      <c r="L7512" s="15" t="n">
        <f aca="false">YEAR(B7512)</f>
        <v>2023</v>
      </c>
      <c r="M7512" s="20" t="n">
        <f aca="false">IF(J7512&gt;0,K7512/J7512,0)</f>
        <v>0.0387415496619865</v>
      </c>
    </row>
    <row r="7513" customFormat="false" ht="15" hidden="false" customHeight="false" outlineLevel="0" collapsed="false">
      <c r="A7513" s="15" t="s">
        <v>7570</v>
      </c>
      <c r="B7513" s="16" t="n">
        <v>44739</v>
      </c>
      <c r="C7513" s="15" t="s">
        <v>71</v>
      </c>
      <c r="D7513" s="15" t="s">
        <v>44</v>
      </c>
      <c r="E7513" s="15" t="s">
        <v>36</v>
      </c>
      <c r="F7513" s="15" t="s">
        <v>16</v>
      </c>
      <c r="G7513" s="15" t="s">
        <v>25</v>
      </c>
      <c r="H7513" s="15" t="n">
        <v>2</v>
      </c>
      <c r="I7513" s="17" t="n">
        <v>0.2</v>
      </c>
      <c r="J7513" s="18" t="n">
        <v>465.28</v>
      </c>
      <c r="K7513" s="19" t="n">
        <v>9.12</v>
      </c>
      <c r="L7513" s="15" t="n">
        <f aca="false">YEAR(B7513)</f>
        <v>2022</v>
      </c>
      <c r="M7513" s="20" t="n">
        <f aca="false">IF(J7513&gt;0,K7513/J7513,0)</f>
        <v>0.0196011004126547</v>
      </c>
    </row>
    <row r="7514" customFormat="false" ht="15" hidden="false" customHeight="false" outlineLevel="0" collapsed="false">
      <c r="A7514" s="15" t="s">
        <v>7571</v>
      </c>
      <c r="B7514" s="16" t="n">
        <v>45800</v>
      </c>
      <c r="C7514" s="15" t="s">
        <v>71</v>
      </c>
      <c r="D7514" s="15" t="s">
        <v>42</v>
      </c>
      <c r="E7514" s="15" t="s">
        <v>39</v>
      </c>
      <c r="F7514" s="15" t="s">
        <v>17</v>
      </c>
      <c r="G7514" s="15" t="s">
        <v>29</v>
      </c>
      <c r="H7514" s="15" t="n">
        <v>4</v>
      </c>
      <c r="I7514" s="17" t="n">
        <v>0.15</v>
      </c>
      <c r="J7514" s="18" t="n">
        <v>71.67</v>
      </c>
      <c r="K7514" s="19" t="n">
        <v>9.5</v>
      </c>
      <c r="L7514" s="15" t="n">
        <f aca="false">YEAR(B7514)</f>
        <v>2025</v>
      </c>
      <c r="M7514" s="20" t="n">
        <f aca="false">IF(J7514&gt;0,K7514/J7514,0)</f>
        <v>0.132551974326775</v>
      </c>
    </row>
    <row r="7515" customFormat="false" ht="15" hidden="false" customHeight="false" outlineLevel="0" collapsed="false">
      <c r="A7515" s="15" t="s">
        <v>7572</v>
      </c>
      <c r="B7515" s="16" t="n">
        <v>44575</v>
      </c>
      <c r="C7515" s="15" t="s">
        <v>71</v>
      </c>
      <c r="D7515" s="15" t="s">
        <v>43</v>
      </c>
      <c r="E7515" s="15" t="s">
        <v>39</v>
      </c>
      <c r="F7515" s="15" t="s">
        <v>17</v>
      </c>
      <c r="G7515" s="15" t="s">
        <v>29</v>
      </c>
      <c r="H7515" s="15" t="n">
        <v>6</v>
      </c>
      <c r="I7515" s="17" t="n">
        <v>0.2</v>
      </c>
      <c r="J7515" s="18" t="n">
        <v>86.99</v>
      </c>
      <c r="K7515" s="19" t="n">
        <v>19.86</v>
      </c>
      <c r="L7515" s="15" t="n">
        <f aca="false">YEAR(B7515)</f>
        <v>2022</v>
      </c>
      <c r="M7515" s="20" t="n">
        <f aca="false">IF(J7515&gt;0,K7515/J7515,0)</f>
        <v>0.228302103690079</v>
      </c>
    </row>
    <row r="7516" customFormat="false" ht="15" hidden="false" customHeight="false" outlineLevel="0" collapsed="false">
      <c r="A7516" s="15" t="s">
        <v>7573</v>
      </c>
      <c r="B7516" s="16" t="n">
        <v>44921</v>
      </c>
      <c r="C7516" s="15" t="s">
        <v>68</v>
      </c>
      <c r="D7516" s="15" t="s">
        <v>42</v>
      </c>
      <c r="E7516" s="15" t="s">
        <v>36</v>
      </c>
      <c r="F7516" s="15" t="s">
        <v>18</v>
      </c>
      <c r="G7516" s="15" t="s">
        <v>30</v>
      </c>
      <c r="H7516" s="15" t="n">
        <v>5</v>
      </c>
      <c r="I7516" s="17" t="n">
        <v>0.5</v>
      </c>
      <c r="J7516" s="18" t="n">
        <v>83.99</v>
      </c>
      <c r="K7516" s="19" t="n">
        <v>-11.99</v>
      </c>
      <c r="L7516" s="15" t="n">
        <f aca="false">YEAR(B7516)</f>
        <v>2022</v>
      </c>
      <c r="M7516" s="20" t="n">
        <f aca="false">IF(J7516&gt;0,K7516/J7516,0)</f>
        <v>-0.142755089891654</v>
      </c>
    </row>
    <row r="7517" customFormat="false" ht="15" hidden="false" customHeight="false" outlineLevel="0" collapsed="false">
      <c r="A7517" s="15" t="s">
        <v>7574</v>
      </c>
      <c r="B7517" s="16" t="n">
        <v>45275</v>
      </c>
      <c r="C7517" s="15" t="s">
        <v>56</v>
      </c>
      <c r="D7517" s="15" t="s">
        <v>42</v>
      </c>
      <c r="E7517" s="15" t="s">
        <v>36</v>
      </c>
      <c r="F7517" s="15" t="s">
        <v>17</v>
      </c>
      <c r="G7517" s="15" t="s">
        <v>28</v>
      </c>
      <c r="H7517" s="15" t="n">
        <v>2</v>
      </c>
      <c r="I7517" s="17" t="n">
        <v>0.2</v>
      </c>
      <c r="J7517" s="18" t="n">
        <v>32.95</v>
      </c>
      <c r="K7517" s="19" t="n">
        <v>3</v>
      </c>
      <c r="L7517" s="15" t="n">
        <f aca="false">YEAR(B7517)</f>
        <v>2023</v>
      </c>
      <c r="M7517" s="20" t="n">
        <f aca="false">IF(J7517&gt;0,K7517/J7517,0)</f>
        <v>0.0910470409711684</v>
      </c>
    </row>
    <row r="7518" customFormat="false" ht="15" hidden="false" customHeight="false" outlineLevel="0" collapsed="false">
      <c r="A7518" s="15" t="s">
        <v>7575</v>
      </c>
      <c r="B7518" s="16" t="n">
        <v>45615</v>
      </c>
      <c r="C7518" s="15" t="s">
        <v>68</v>
      </c>
      <c r="D7518" s="15" t="s">
        <v>42</v>
      </c>
      <c r="E7518" s="15" t="s">
        <v>38</v>
      </c>
      <c r="F7518" s="15" t="s">
        <v>17</v>
      </c>
      <c r="G7518" s="15" t="s">
        <v>31</v>
      </c>
      <c r="H7518" s="15" t="n">
        <v>3</v>
      </c>
      <c r="I7518" s="17" t="n">
        <v>0.05</v>
      </c>
      <c r="J7518" s="18" t="n">
        <v>259.74</v>
      </c>
      <c r="K7518" s="19" t="n">
        <v>30.26</v>
      </c>
      <c r="L7518" s="15" t="n">
        <f aca="false">YEAR(B7518)</f>
        <v>2024</v>
      </c>
      <c r="M7518" s="20" t="n">
        <f aca="false">IF(J7518&gt;0,K7518/J7518,0)</f>
        <v>0.116501116501117</v>
      </c>
    </row>
    <row r="7519" customFormat="false" ht="15" hidden="false" customHeight="false" outlineLevel="0" collapsed="false">
      <c r="A7519" s="15" t="s">
        <v>7576</v>
      </c>
      <c r="B7519" s="16" t="n">
        <v>45662</v>
      </c>
      <c r="C7519" s="15" t="s">
        <v>56</v>
      </c>
      <c r="D7519" s="15" t="s">
        <v>42</v>
      </c>
      <c r="E7519" s="15" t="s">
        <v>39</v>
      </c>
      <c r="F7519" s="15" t="s">
        <v>18</v>
      </c>
      <c r="G7519" s="15" t="s">
        <v>30</v>
      </c>
      <c r="H7519" s="15" t="n">
        <v>4</v>
      </c>
      <c r="I7519" s="17" t="n">
        <v>0.2</v>
      </c>
      <c r="J7519" s="18" t="n">
        <v>142.52</v>
      </c>
      <c r="K7519" s="19" t="n">
        <v>7.78</v>
      </c>
      <c r="L7519" s="15" t="n">
        <f aca="false">YEAR(B7519)</f>
        <v>2025</v>
      </c>
      <c r="M7519" s="20" t="n">
        <f aca="false">IF(J7519&gt;0,K7519/J7519,0)</f>
        <v>0.0545888296379456</v>
      </c>
    </row>
    <row r="7520" customFormat="false" ht="15" hidden="false" customHeight="false" outlineLevel="0" collapsed="false">
      <c r="A7520" s="15" t="s">
        <v>7577</v>
      </c>
      <c r="B7520" s="16" t="n">
        <v>45072</v>
      </c>
      <c r="C7520" s="15" t="s">
        <v>71</v>
      </c>
      <c r="D7520" s="15" t="s">
        <v>43</v>
      </c>
      <c r="E7520" s="15" t="s">
        <v>37</v>
      </c>
      <c r="F7520" s="15" t="s">
        <v>18</v>
      </c>
      <c r="G7520" s="15" t="s">
        <v>30</v>
      </c>
      <c r="H7520" s="15" t="n">
        <v>4</v>
      </c>
      <c r="I7520" s="17" t="n">
        <v>0.05</v>
      </c>
      <c r="J7520" s="18" t="n">
        <v>203.8</v>
      </c>
      <c r="K7520" s="19" t="n">
        <v>55.23</v>
      </c>
      <c r="L7520" s="15" t="n">
        <f aca="false">YEAR(B7520)</f>
        <v>2023</v>
      </c>
      <c r="M7520" s="20" t="n">
        <f aca="false">IF(J7520&gt;0,K7520/J7520,0)</f>
        <v>0.271000981354269</v>
      </c>
    </row>
    <row r="7521" customFormat="false" ht="15" hidden="false" customHeight="false" outlineLevel="0" collapsed="false">
      <c r="A7521" s="15" t="s">
        <v>7578</v>
      </c>
      <c r="B7521" s="16" t="n">
        <v>45118</v>
      </c>
      <c r="C7521" s="15" t="s">
        <v>71</v>
      </c>
      <c r="D7521" s="15" t="s">
        <v>42</v>
      </c>
      <c r="E7521" s="15" t="s">
        <v>39</v>
      </c>
      <c r="F7521" s="15" t="s">
        <v>17</v>
      </c>
      <c r="G7521" s="15" t="s">
        <v>29</v>
      </c>
      <c r="H7521" s="15" t="n">
        <v>4</v>
      </c>
      <c r="I7521" s="17" t="n">
        <v>0</v>
      </c>
      <c r="J7521" s="18" t="n">
        <v>67.02</v>
      </c>
      <c r="K7521" s="19" t="n">
        <v>24.62</v>
      </c>
      <c r="L7521" s="15" t="n">
        <f aca="false">YEAR(B7521)</f>
        <v>2023</v>
      </c>
      <c r="M7521" s="20" t="n">
        <f aca="false">IF(J7521&gt;0,K7521/J7521,0)</f>
        <v>0.367353028946583</v>
      </c>
    </row>
    <row r="7522" customFormat="false" ht="15" hidden="false" customHeight="false" outlineLevel="0" collapsed="false">
      <c r="A7522" s="15" t="s">
        <v>7579</v>
      </c>
      <c r="B7522" s="16" t="n">
        <v>44787</v>
      </c>
      <c r="C7522" s="15" t="s">
        <v>56</v>
      </c>
      <c r="D7522" s="15" t="s">
        <v>42</v>
      </c>
      <c r="E7522" s="15" t="s">
        <v>39</v>
      </c>
      <c r="F7522" s="15" t="s">
        <v>16</v>
      </c>
      <c r="G7522" s="15" t="s">
        <v>25</v>
      </c>
      <c r="H7522" s="15" t="n">
        <v>4</v>
      </c>
      <c r="I7522" s="17" t="n">
        <v>0</v>
      </c>
      <c r="J7522" s="18" t="n">
        <v>1193.44</v>
      </c>
      <c r="K7522" s="19" t="n">
        <v>145.47</v>
      </c>
      <c r="L7522" s="15" t="n">
        <f aca="false">YEAR(B7522)</f>
        <v>2022</v>
      </c>
      <c r="M7522" s="20" t="n">
        <f aca="false">IF(J7522&gt;0,K7522/J7522,0)</f>
        <v>0.121891339321625</v>
      </c>
    </row>
    <row r="7523" customFormat="false" ht="15" hidden="false" customHeight="false" outlineLevel="0" collapsed="false">
      <c r="A7523" s="15" t="s">
        <v>7580</v>
      </c>
      <c r="B7523" s="16" t="n">
        <v>45930</v>
      </c>
      <c r="C7523" s="15" t="s">
        <v>56</v>
      </c>
      <c r="D7523" s="15" t="s">
        <v>42</v>
      </c>
      <c r="E7523" s="15" t="s">
        <v>39</v>
      </c>
      <c r="F7523" s="15" t="s">
        <v>17</v>
      </c>
      <c r="G7523" s="15" t="s">
        <v>26</v>
      </c>
      <c r="H7523" s="15" t="n">
        <v>4</v>
      </c>
      <c r="I7523" s="17" t="n">
        <v>0.15</v>
      </c>
      <c r="J7523" s="18" t="n">
        <v>329.26</v>
      </c>
      <c r="K7523" s="19" t="n">
        <v>-7.52</v>
      </c>
      <c r="L7523" s="15" t="n">
        <f aca="false">YEAR(B7523)</f>
        <v>2025</v>
      </c>
      <c r="M7523" s="20" t="n">
        <f aca="false">IF(J7523&gt;0,K7523/J7523,0)</f>
        <v>-0.0228390937253235</v>
      </c>
    </row>
    <row r="7524" customFormat="false" ht="15" hidden="false" customHeight="false" outlineLevel="0" collapsed="false">
      <c r="A7524" s="15" t="s">
        <v>7581</v>
      </c>
      <c r="B7524" s="16" t="n">
        <v>44762</v>
      </c>
      <c r="C7524" s="15" t="s">
        <v>56</v>
      </c>
      <c r="D7524" s="15" t="s">
        <v>44</v>
      </c>
      <c r="E7524" s="15" t="s">
        <v>39</v>
      </c>
      <c r="F7524" s="15" t="s">
        <v>16</v>
      </c>
      <c r="G7524" s="15" t="s">
        <v>27</v>
      </c>
      <c r="H7524" s="15" t="n">
        <v>1</v>
      </c>
      <c r="I7524" s="17" t="n">
        <v>0.5</v>
      </c>
      <c r="J7524" s="18" t="n">
        <v>40.26</v>
      </c>
      <c r="K7524" s="19" t="n">
        <v>-7.21</v>
      </c>
      <c r="L7524" s="15" t="n">
        <f aca="false">YEAR(B7524)</f>
        <v>2022</v>
      </c>
      <c r="M7524" s="20" t="n">
        <f aca="false">IF(J7524&gt;0,K7524/J7524,0)</f>
        <v>-0.179085941381023</v>
      </c>
    </row>
    <row r="7525" customFormat="false" ht="15" hidden="false" customHeight="false" outlineLevel="0" collapsed="false">
      <c r="A7525" s="15" t="s">
        <v>7582</v>
      </c>
      <c r="B7525" s="16" t="n">
        <v>45360</v>
      </c>
      <c r="C7525" s="15" t="s">
        <v>71</v>
      </c>
      <c r="D7525" s="15" t="s">
        <v>43</v>
      </c>
      <c r="E7525" s="15" t="s">
        <v>39</v>
      </c>
      <c r="F7525" s="15" t="s">
        <v>18</v>
      </c>
      <c r="G7525" s="15" t="s">
        <v>32</v>
      </c>
      <c r="H7525" s="15" t="n">
        <v>2</v>
      </c>
      <c r="I7525" s="17" t="n">
        <v>0.2</v>
      </c>
      <c r="J7525" s="18" t="n">
        <v>724.2</v>
      </c>
      <c r="K7525" s="19" t="n">
        <v>68.37</v>
      </c>
      <c r="L7525" s="15" t="n">
        <f aca="false">YEAR(B7525)</f>
        <v>2024</v>
      </c>
      <c r="M7525" s="20" t="n">
        <f aca="false">IF(J7525&gt;0,K7525/J7525,0)</f>
        <v>0.0944076222038111</v>
      </c>
    </row>
    <row r="7526" customFormat="false" ht="15" hidden="false" customHeight="false" outlineLevel="0" collapsed="false">
      <c r="A7526" s="15" t="s">
        <v>7583</v>
      </c>
      <c r="B7526" s="16" t="n">
        <v>45808</v>
      </c>
      <c r="C7526" s="15" t="s">
        <v>68</v>
      </c>
      <c r="D7526" s="15" t="s">
        <v>42</v>
      </c>
      <c r="E7526" s="15" t="s">
        <v>39</v>
      </c>
      <c r="F7526" s="15" t="s">
        <v>16</v>
      </c>
      <c r="G7526" s="15" t="s">
        <v>25</v>
      </c>
      <c r="H7526" s="15" t="n">
        <v>3</v>
      </c>
      <c r="I7526" s="17" t="n">
        <v>0.2</v>
      </c>
      <c r="J7526" s="18" t="n">
        <v>997.84</v>
      </c>
      <c r="K7526" s="19" t="n">
        <v>-141.4</v>
      </c>
      <c r="L7526" s="15" t="n">
        <f aca="false">YEAR(B7526)</f>
        <v>2025</v>
      </c>
      <c r="M7526" s="20" t="n">
        <f aca="false">IF(J7526&gt;0,K7526/J7526,0)</f>
        <v>-0.141706085143911</v>
      </c>
    </row>
    <row r="7527" customFormat="false" ht="15" hidden="false" customHeight="false" outlineLevel="0" collapsed="false">
      <c r="A7527" s="15" t="s">
        <v>7584</v>
      </c>
      <c r="B7527" s="16" t="n">
        <v>45219</v>
      </c>
      <c r="C7527" s="15" t="s">
        <v>58</v>
      </c>
      <c r="D7527" s="15" t="s">
        <v>43</v>
      </c>
      <c r="E7527" s="15" t="s">
        <v>37</v>
      </c>
      <c r="F7527" s="15" t="s">
        <v>17</v>
      </c>
      <c r="G7527" s="15" t="s">
        <v>29</v>
      </c>
      <c r="H7527" s="15" t="n">
        <v>3</v>
      </c>
      <c r="I7527" s="17" t="n">
        <v>0.5</v>
      </c>
      <c r="J7527" s="18" t="n">
        <v>31.73</v>
      </c>
      <c r="K7527" s="19" t="n">
        <v>-3.09</v>
      </c>
      <c r="L7527" s="15" t="n">
        <f aca="false">YEAR(B7527)</f>
        <v>2023</v>
      </c>
      <c r="M7527" s="20" t="n">
        <f aca="false">IF(J7527&gt;0,K7527/J7527,0)</f>
        <v>-0.0973841790104003</v>
      </c>
    </row>
    <row r="7528" customFormat="false" ht="15" hidden="false" customHeight="false" outlineLevel="0" collapsed="false">
      <c r="A7528" s="15" t="s">
        <v>7585</v>
      </c>
      <c r="B7528" s="16" t="n">
        <v>44867</v>
      </c>
      <c r="C7528" s="15" t="s">
        <v>71</v>
      </c>
      <c r="D7528" s="15" t="s">
        <v>42</v>
      </c>
      <c r="E7528" s="15" t="s">
        <v>39</v>
      </c>
      <c r="F7528" s="15" t="s">
        <v>18</v>
      </c>
      <c r="G7528" s="15" t="s">
        <v>33</v>
      </c>
      <c r="H7528" s="15" t="n">
        <v>6</v>
      </c>
      <c r="I7528" s="17" t="n">
        <v>0</v>
      </c>
      <c r="J7528" s="18" t="n">
        <v>5909.96</v>
      </c>
      <c r="K7528" s="19" t="n">
        <v>1580.51</v>
      </c>
      <c r="L7528" s="15" t="n">
        <f aca="false">YEAR(B7528)</f>
        <v>2022</v>
      </c>
      <c r="M7528" s="20" t="n">
        <f aca="false">IF(J7528&gt;0,K7528/J7528,0)</f>
        <v>0.267431590061523</v>
      </c>
    </row>
    <row r="7529" customFormat="false" ht="15" hidden="false" customHeight="false" outlineLevel="0" collapsed="false">
      <c r="A7529" s="15" t="s">
        <v>7586</v>
      </c>
      <c r="B7529" s="16" t="n">
        <v>45242</v>
      </c>
      <c r="C7529" s="15" t="s">
        <v>56</v>
      </c>
      <c r="D7529" s="15" t="s">
        <v>42</v>
      </c>
      <c r="E7529" s="15" t="s">
        <v>36</v>
      </c>
      <c r="F7529" s="15" t="s">
        <v>16</v>
      </c>
      <c r="G7529" s="15" t="s">
        <v>23</v>
      </c>
      <c r="H7529" s="15" t="n">
        <v>3</v>
      </c>
      <c r="I7529" s="17" t="n">
        <v>0.1</v>
      </c>
      <c r="J7529" s="18" t="n">
        <v>730.99</v>
      </c>
      <c r="K7529" s="19" t="n">
        <v>-24.56</v>
      </c>
      <c r="L7529" s="15" t="n">
        <f aca="false">YEAR(B7529)</f>
        <v>2023</v>
      </c>
      <c r="M7529" s="20" t="n">
        <f aca="false">IF(J7529&gt;0,K7529/J7529,0)</f>
        <v>-0.0335982708381784</v>
      </c>
    </row>
    <row r="7530" customFormat="false" ht="15" hidden="false" customHeight="false" outlineLevel="0" collapsed="false">
      <c r="A7530" s="15" t="s">
        <v>7587</v>
      </c>
      <c r="B7530" s="16" t="n">
        <v>45829</v>
      </c>
      <c r="C7530" s="15" t="s">
        <v>56</v>
      </c>
      <c r="D7530" s="15" t="s">
        <v>42</v>
      </c>
      <c r="E7530" s="15" t="s">
        <v>37</v>
      </c>
      <c r="F7530" s="15" t="s">
        <v>18</v>
      </c>
      <c r="G7530" s="15" t="s">
        <v>30</v>
      </c>
      <c r="H7530" s="15" t="n">
        <v>2</v>
      </c>
      <c r="I7530" s="17" t="n">
        <v>0.1</v>
      </c>
      <c r="J7530" s="18" t="n">
        <v>90.74</v>
      </c>
      <c r="K7530" s="19" t="n">
        <v>14.87</v>
      </c>
      <c r="L7530" s="15" t="n">
        <f aca="false">YEAR(B7530)</f>
        <v>2025</v>
      </c>
      <c r="M7530" s="20" t="n">
        <f aca="false">IF(J7530&gt;0,K7530/J7530,0)</f>
        <v>0.163874807141283</v>
      </c>
    </row>
    <row r="7531" customFormat="false" ht="15" hidden="false" customHeight="false" outlineLevel="0" collapsed="false">
      <c r="A7531" s="15" t="s">
        <v>7588</v>
      </c>
      <c r="B7531" s="16" t="n">
        <v>44776</v>
      </c>
      <c r="C7531" s="15" t="s">
        <v>68</v>
      </c>
      <c r="D7531" s="15" t="s">
        <v>43</v>
      </c>
      <c r="E7531" s="15" t="s">
        <v>37</v>
      </c>
      <c r="F7531" s="15" t="s">
        <v>18</v>
      </c>
      <c r="G7531" s="15" t="s">
        <v>24</v>
      </c>
      <c r="H7531" s="15" t="n">
        <v>5</v>
      </c>
      <c r="I7531" s="17" t="n">
        <v>0.3</v>
      </c>
      <c r="J7531" s="18" t="n">
        <v>2463.46</v>
      </c>
      <c r="K7531" s="19" t="n">
        <v>-580.66</v>
      </c>
      <c r="L7531" s="15" t="n">
        <f aca="false">YEAR(B7531)</f>
        <v>2022</v>
      </c>
      <c r="M7531" s="20" t="n">
        <f aca="false">IF(J7531&gt;0,K7531/J7531,0)</f>
        <v>-0.235709124564637</v>
      </c>
    </row>
    <row r="7532" customFormat="false" ht="15" hidden="false" customHeight="false" outlineLevel="0" collapsed="false">
      <c r="A7532" s="15" t="s">
        <v>7589</v>
      </c>
      <c r="B7532" s="16" t="n">
        <v>45543</v>
      </c>
      <c r="C7532" s="15" t="s">
        <v>68</v>
      </c>
      <c r="D7532" s="15" t="s">
        <v>44</v>
      </c>
      <c r="E7532" s="15" t="s">
        <v>39</v>
      </c>
      <c r="F7532" s="15" t="s">
        <v>17</v>
      </c>
      <c r="G7532" s="15" t="s">
        <v>29</v>
      </c>
      <c r="H7532" s="15" t="n">
        <v>3</v>
      </c>
      <c r="I7532" s="17" t="n">
        <v>0.2</v>
      </c>
      <c r="J7532" s="18" t="n">
        <v>48.45</v>
      </c>
      <c r="K7532" s="19" t="n">
        <v>8.31</v>
      </c>
      <c r="L7532" s="15" t="n">
        <f aca="false">YEAR(B7532)</f>
        <v>2024</v>
      </c>
      <c r="M7532" s="20" t="n">
        <f aca="false">IF(J7532&gt;0,K7532/J7532,0)</f>
        <v>0.171517027863777</v>
      </c>
    </row>
    <row r="7533" customFormat="false" ht="15" hidden="false" customHeight="false" outlineLevel="0" collapsed="false">
      <c r="A7533" s="15" t="s">
        <v>7590</v>
      </c>
      <c r="B7533" s="16" t="n">
        <v>45578</v>
      </c>
      <c r="C7533" s="15" t="s">
        <v>56</v>
      </c>
      <c r="D7533" s="15" t="s">
        <v>43</v>
      </c>
      <c r="E7533" s="15" t="s">
        <v>39</v>
      </c>
      <c r="F7533" s="15" t="s">
        <v>18</v>
      </c>
      <c r="G7533" s="15" t="s">
        <v>32</v>
      </c>
      <c r="H7533" s="15" t="n">
        <v>3</v>
      </c>
      <c r="I7533" s="17" t="n">
        <v>0</v>
      </c>
      <c r="J7533" s="18" t="n">
        <v>1261.87</v>
      </c>
      <c r="K7533" s="19" t="n">
        <v>251.93</v>
      </c>
      <c r="L7533" s="15" t="n">
        <f aca="false">YEAR(B7533)</f>
        <v>2024</v>
      </c>
      <c r="M7533" s="20" t="n">
        <f aca="false">IF(J7533&gt;0,K7533/J7533,0)</f>
        <v>0.199648141250684</v>
      </c>
    </row>
    <row r="7534" customFormat="false" ht="15" hidden="false" customHeight="false" outlineLevel="0" collapsed="false">
      <c r="A7534" s="15" t="s">
        <v>7591</v>
      </c>
      <c r="B7534" s="16" t="n">
        <v>45577</v>
      </c>
      <c r="C7534" s="15" t="s">
        <v>71</v>
      </c>
      <c r="D7534" s="15" t="s">
        <v>42</v>
      </c>
      <c r="E7534" s="15" t="s">
        <v>37</v>
      </c>
      <c r="F7534" s="15" t="s">
        <v>17</v>
      </c>
      <c r="G7534" s="15" t="s">
        <v>26</v>
      </c>
      <c r="H7534" s="15" t="n">
        <v>6</v>
      </c>
      <c r="I7534" s="17" t="n">
        <v>0.1</v>
      </c>
      <c r="J7534" s="18" t="n">
        <v>581.22</v>
      </c>
      <c r="K7534" s="19" t="n">
        <v>40.89</v>
      </c>
      <c r="L7534" s="15" t="n">
        <f aca="false">YEAR(B7534)</f>
        <v>2024</v>
      </c>
      <c r="M7534" s="20" t="n">
        <f aca="false">IF(J7534&gt;0,K7534/J7534,0)</f>
        <v>0.0703520181686797</v>
      </c>
    </row>
    <row r="7535" customFormat="false" ht="15" hidden="false" customHeight="false" outlineLevel="0" collapsed="false">
      <c r="A7535" s="15" t="s">
        <v>7592</v>
      </c>
      <c r="B7535" s="16" t="n">
        <v>45454</v>
      </c>
      <c r="C7535" s="15" t="s">
        <v>68</v>
      </c>
      <c r="D7535" s="15" t="s">
        <v>43</v>
      </c>
      <c r="E7535" s="15" t="s">
        <v>36</v>
      </c>
      <c r="F7535" s="15" t="s">
        <v>17</v>
      </c>
      <c r="G7535" s="15" t="s">
        <v>26</v>
      </c>
      <c r="H7535" s="15" t="n">
        <v>6</v>
      </c>
      <c r="I7535" s="17" t="n">
        <v>0.5</v>
      </c>
      <c r="J7535" s="18" t="n">
        <v>303.33</v>
      </c>
      <c r="K7535" s="19" t="n">
        <v>-131.76</v>
      </c>
      <c r="L7535" s="15" t="n">
        <f aca="false">YEAR(B7535)</f>
        <v>2024</v>
      </c>
      <c r="M7535" s="20" t="n">
        <f aca="false">IF(J7535&gt;0,K7535/J7535,0)</f>
        <v>-0.434378399762635</v>
      </c>
    </row>
    <row r="7536" customFormat="false" ht="15" hidden="false" customHeight="false" outlineLevel="0" collapsed="false">
      <c r="A7536" s="15" t="s">
        <v>7593</v>
      </c>
      <c r="B7536" s="16" t="n">
        <v>45722</v>
      </c>
      <c r="C7536" s="15" t="s">
        <v>68</v>
      </c>
      <c r="D7536" s="15" t="s">
        <v>42</v>
      </c>
      <c r="E7536" s="15" t="s">
        <v>37</v>
      </c>
      <c r="F7536" s="15" t="s">
        <v>17</v>
      </c>
      <c r="G7536" s="15" t="s">
        <v>31</v>
      </c>
      <c r="H7536" s="15" t="n">
        <v>6</v>
      </c>
      <c r="I7536" s="17" t="n">
        <v>0.4</v>
      </c>
      <c r="J7536" s="18" t="n">
        <v>420.94</v>
      </c>
      <c r="K7536" s="19" t="n">
        <v>-65.65</v>
      </c>
      <c r="L7536" s="15" t="n">
        <f aca="false">YEAR(B7536)</f>
        <v>2025</v>
      </c>
      <c r="M7536" s="20" t="n">
        <f aca="false">IF(J7536&gt;0,K7536/J7536,0)</f>
        <v>-0.155960469425571</v>
      </c>
    </row>
    <row r="7537" customFormat="false" ht="15" hidden="false" customHeight="false" outlineLevel="0" collapsed="false">
      <c r="A7537" s="15" t="s">
        <v>7594</v>
      </c>
      <c r="B7537" s="16" t="n">
        <v>45893</v>
      </c>
      <c r="C7537" s="15" t="s">
        <v>56</v>
      </c>
      <c r="D7537" s="15" t="s">
        <v>44</v>
      </c>
      <c r="E7537" s="15" t="s">
        <v>39</v>
      </c>
      <c r="F7537" s="15" t="s">
        <v>16</v>
      </c>
      <c r="G7537" s="15" t="s">
        <v>25</v>
      </c>
      <c r="H7537" s="15" t="n">
        <v>2</v>
      </c>
      <c r="I7537" s="17" t="n">
        <v>0.1</v>
      </c>
      <c r="J7537" s="18" t="n">
        <v>615.8</v>
      </c>
      <c r="K7537" s="19" t="n">
        <v>3.01</v>
      </c>
      <c r="L7537" s="15" t="n">
        <f aca="false">YEAR(B7537)</f>
        <v>2025</v>
      </c>
      <c r="M7537" s="20" t="n">
        <f aca="false">IF(J7537&gt;0,K7537/J7537,0)</f>
        <v>0.00488795063332251</v>
      </c>
    </row>
    <row r="7538" customFormat="false" ht="15" hidden="false" customHeight="false" outlineLevel="0" collapsed="false">
      <c r="A7538" s="15" t="s">
        <v>7595</v>
      </c>
      <c r="B7538" s="16" t="n">
        <v>45657</v>
      </c>
      <c r="C7538" s="15" t="s">
        <v>56</v>
      </c>
      <c r="D7538" s="15" t="s">
        <v>42</v>
      </c>
      <c r="E7538" s="15" t="s">
        <v>36</v>
      </c>
      <c r="F7538" s="15" t="s">
        <v>16</v>
      </c>
      <c r="G7538" s="15" t="s">
        <v>25</v>
      </c>
      <c r="H7538" s="15" t="n">
        <v>4</v>
      </c>
      <c r="I7538" s="17" t="n">
        <v>0.2</v>
      </c>
      <c r="J7538" s="18" t="n">
        <v>962.43</v>
      </c>
      <c r="K7538" s="19" t="n">
        <v>-61.84</v>
      </c>
      <c r="L7538" s="15" t="n">
        <f aca="false">YEAR(B7538)</f>
        <v>2024</v>
      </c>
      <c r="M7538" s="20" t="n">
        <f aca="false">IF(J7538&gt;0,K7538/J7538,0)</f>
        <v>-0.0642540236692539</v>
      </c>
    </row>
    <row r="7539" customFormat="false" ht="15" hidden="false" customHeight="false" outlineLevel="0" collapsed="false">
      <c r="A7539" s="15" t="s">
        <v>7596</v>
      </c>
      <c r="B7539" s="16" t="n">
        <v>44930</v>
      </c>
      <c r="C7539" s="15" t="s">
        <v>56</v>
      </c>
      <c r="D7539" s="15" t="s">
        <v>42</v>
      </c>
      <c r="E7539" s="15" t="s">
        <v>38</v>
      </c>
      <c r="F7539" s="15" t="s">
        <v>17</v>
      </c>
      <c r="G7539" s="15" t="s">
        <v>29</v>
      </c>
      <c r="H7539" s="15" t="n">
        <v>3</v>
      </c>
      <c r="I7539" s="17" t="n">
        <v>0.1</v>
      </c>
      <c r="J7539" s="18" t="n">
        <v>46.47</v>
      </c>
      <c r="K7539" s="19" t="n">
        <v>10.19</v>
      </c>
      <c r="L7539" s="15" t="n">
        <f aca="false">YEAR(B7539)</f>
        <v>2023</v>
      </c>
      <c r="M7539" s="20" t="n">
        <f aca="false">IF(J7539&gt;0,K7539/J7539,0)</f>
        <v>0.219281256724769</v>
      </c>
    </row>
    <row r="7540" customFormat="false" ht="15" hidden="false" customHeight="false" outlineLevel="0" collapsed="false">
      <c r="A7540" s="15" t="s">
        <v>7597</v>
      </c>
      <c r="B7540" s="16" t="n">
        <v>45505</v>
      </c>
      <c r="C7540" s="15" t="s">
        <v>56</v>
      </c>
      <c r="D7540" s="15" t="s">
        <v>42</v>
      </c>
      <c r="E7540" s="15" t="s">
        <v>39</v>
      </c>
      <c r="F7540" s="15" t="s">
        <v>17</v>
      </c>
      <c r="G7540" s="15" t="s">
        <v>26</v>
      </c>
      <c r="H7540" s="15" t="n">
        <v>5</v>
      </c>
      <c r="I7540" s="17" t="n">
        <v>0</v>
      </c>
      <c r="J7540" s="18" t="n">
        <v>508.14</v>
      </c>
      <c r="K7540" s="19" t="n">
        <v>18.84</v>
      </c>
      <c r="L7540" s="15" t="n">
        <f aca="false">YEAR(B7540)</f>
        <v>2024</v>
      </c>
      <c r="M7540" s="20" t="n">
        <f aca="false">IF(J7540&gt;0,K7540/J7540,0)</f>
        <v>0.0370763962687448</v>
      </c>
    </row>
    <row r="7541" customFormat="false" ht="15" hidden="false" customHeight="false" outlineLevel="0" collapsed="false">
      <c r="A7541" s="15" t="s">
        <v>7598</v>
      </c>
      <c r="B7541" s="16" t="n">
        <v>44564</v>
      </c>
      <c r="C7541" s="15" t="s">
        <v>71</v>
      </c>
      <c r="D7541" s="15" t="s">
        <v>43</v>
      </c>
      <c r="E7541" s="15" t="s">
        <v>36</v>
      </c>
      <c r="F7541" s="15" t="s">
        <v>16</v>
      </c>
      <c r="G7541" s="15" t="s">
        <v>27</v>
      </c>
      <c r="H7541" s="15" t="n">
        <v>3</v>
      </c>
      <c r="I7541" s="17" t="n">
        <v>0.2</v>
      </c>
      <c r="J7541" s="18" t="n">
        <v>119.23</v>
      </c>
      <c r="K7541" s="19" t="n">
        <v>11.64</v>
      </c>
      <c r="L7541" s="15" t="n">
        <f aca="false">YEAR(B7541)</f>
        <v>2022</v>
      </c>
      <c r="M7541" s="20" t="n">
        <f aca="false">IF(J7541&gt;0,K7541/J7541,0)</f>
        <v>0.097626436299589</v>
      </c>
    </row>
    <row r="7542" customFormat="false" ht="15" hidden="false" customHeight="false" outlineLevel="0" collapsed="false">
      <c r="A7542" s="15" t="s">
        <v>7599</v>
      </c>
      <c r="B7542" s="16" t="n">
        <v>45222</v>
      </c>
      <c r="C7542" s="15" t="s">
        <v>56</v>
      </c>
      <c r="D7542" s="15" t="s">
        <v>42</v>
      </c>
      <c r="E7542" s="15" t="s">
        <v>37</v>
      </c>
      <c r="F7542" s="15" t="s">
        <v>17</v>
      </c>
      <c r="G7542" s="15" t="s">
        <v>31</v>
      </c>
      <c r="H7542" s="15" t="n">
        <v>1</v>
      </c>
      <c r="I7542" s="17" t="n">
        <v>0.2</v>
      </c>
      <c r="J7542" s="18" t="n">
        <v>110.42</v>
      </c>
      <c r="K7542" s="19" t="n">
        <v>2.58</v>
      </c>
      <c r="L7542" s="15" t="n">
        <f aca="false">YEAR(B7542)</f>
        <v>2023</v>
      </c>
      <c r="M7542" s="20" t="n">
        <f aca="false">IF(J7542&gt;0,K7542/J7542,0)</f>
        <v>0.0233653323673248</v>
      </c>
    </row>
    <row r="7543" customFormat="false" ht="15" hidden="false" customHeight="false" outlineLevel="0" collapsed="false">
      <c r="A7543" s="15" t="s">
        <v>7600</v>
      </c>
      <c r="B7543" s="16" t="n">
        <v>45542</v>
      </c>
      <c r="C7543" s="15" t="s">
        <v>68</v>
      </c>
      <c r="D7543" s="15" t="s">
        <v>42</v>
      </c>
      <c r="E7543" s="15" t="s">
        <v>39</v>
      </c>
      <c r="F7543" s="15" t="s">
        <v>17</v>
      </c>
      <c r="G7543" s="15" t="s">
        <v>28</v>
      </c>
      <c r="H7543" s="15" t="n">
        <v>4</v>
      </c>
      <c r="I7543" s="17" t="n">
        <v>0.15</v>
      </c>
      <c r="J7543" s="18" t="n">
        <v>90.96</v>
      </c>
      <c r="K7543" s="19" t="n">
        <v>27.48</v>
      </c>
      <c r="L7543" s="15" t="n">
        <f aca="false">YEAR(B7543)</f>
        <v>2024</v>
      </c>
      <c r="M7543" s="20" t="n">
        <f aca="false">IF(J7543&gt;0,K7543/J7543,0)</f>
        <v>0.302110817941953</v>
      </c>
    </row>
    <row r="7544" customFormat="false" ht="15" hidden="false" customHeight="false" outlineLevel="0" collapsed="false">
      <c r="A7544" s="15" t="s">
        <v>7601</v>
      </c>
      <c r="B7544" s="16" t="n">
        <v>45840</v>
      </c>
      <c r="C7544" s="15" t="s">
        <v>56</v>
      </c>
      <c r="D7544" s="15" t="s">
        <v>42</v>
      </c>
      <c r="E7544" s="15" t="s">
        <v>36</v>
      </c>
      <c r="F7544" s="15" t="s">
        <v>17</v>
      </c>
      <c r="G7544" s="15" t="s">
        <v>28</v>
      </c>
      <c r="H7544" s="15" t="n">
        <v>8</v>
      </c>
      <c r="I7544" s="17" t="n">
        <v>0</v>
      </c>
      <c r="J7544" s="18" t="n">
        <v>202.26</v>
      </c>
      <c r="K7544" s="19" t="n">
        <v>56.12</v>
      </c>
      <c r="L7544" s="15" t="n">
        <f aca="false">YEAR(B7544)</f>
        <v>2025</v>
      </c>
      <c r="M7544" s="20" t="n">
        <f aca="false">IF(J7544&gt;0,K7544/J7544,0)</f>
        <v>0.27746464946109</v>
      </c>
    </row>
    <row r="7545" customFormat="false" ht="15" hidden="false" customHeight="false" outlineLevel="0" collapsed="false">
      <c r="A7545" s="15" t="s">
        <v>7602</v>
      </c>
      <c r="B7545" s="16" t="n">
        <v>44875</v>
      </c>
      <c r="C7545" s="15" t="s">
        <v>68</v>
      </c>
      <c r="D7545" s="15" t="s">
        <v>43</v>
      </c>
      <c r="E7545" s="15" t="s">
        <v>39</v>
      </c>
      <c r="F7545" s="15" t="s">
        <v>17</v>
      </c>
      <c r="G7545" s="15" t="s">
        <v>29</v>
      </c>
      <c r="H7545" s="15" t="n">
        <v>3</v>
      </c>
      <c r="I7545" s="17" t="n">
        <v>0</v>
      </c>
      <c r="J7545" s="18" t="n">
        <v>61.12</v>
      </c>
      <c r="K7545" s="19" t="n">
        <v>25.17</v>
      </c>
      <c r="L7545" s="15" t="n">
        <f aca="false">YEAR(B7545)</f>
        <v>2022</v>
      </c>
      <c r="M7545" s="20" t="n">
        <f aca="false">IF(J7545&gt;0,K7545/J7545,0)</f>
        <v>0.411812827225131</v>
      </c>
    </row>
    <row r="7546" customFormat="false" ht="15" hidden="false" customHeight="false" outlineLevel="0" collapsed="false">
      <c r="A7546" s="15" t="s">
        <v>7603</v>
      </c>
      <c r="B7546" s="16" t="n">
        <v>44758</v>
      </c>
      <c r="C7546" s="15" t="s">
        <v>56</v>
      </c>
      <c r="D7546" s="15" t="s">
        <v>43</v>
      </c>
      <c r="E7546" s="15" t="s">
        <v>36</v>
      </c>
      <c r="F7546" s="15" t="s">
        <v>17</v>
      </c>
      <c r="G7546" s="15" t="s">
        <v>29</v>
      </c>
      <c r="H7546" s="15" t="n">
        <v>3</v>
      </c>
      <c r="I7546" s="17" t="n">
        <v>0</v>
      </c>
      <c r="J7546" s="18" t="n">
        <v>48.72</v>
      </c>
      <c r="K7546" s="19" t="n">
        <v>16.54</v>
      </c>
      <c r="L7546" s="15" t="n">
        <f aca="false">YEAR(B7546)</f>
        <v>2022</v>
      </c>
      <c r="M7546" s="20" t="n">
        <f aca="false">IF(J7546&gt;0,K7546/J7546,0)</f>
        <v>0.339490968801314</v>
      </c>
    </row>
    <row r="7547" customFormat="false" ht="15" hidden="false" customHeight="false" outlineLevel="0" collapsed="false">
      <c r="A7547" s="15" t="s">
        <v>7604</v>
      </c>
      <c r="B7547" s="16" t="n">
        <v>45919</v>
      </c>
      <c r="C7547" s="15" t="s">
        <v>56</v>
      </c>
      <c r="D7547" s="15" t="s">
        <v>42</v>
      </c>
      <c r="E7547" s="15" t="s">
        <v>36</v>
      </c>
      <c r="F7547" s="15" t="s">
        <v>17</v>
      </c>
      <c r="G7547" s="15" t="s">
        <v>29</v>
      </c>
      <c r="H7547" s="15" t="n">
        <v>6</v>
      </c>
      <c r="I7547" s="17" t="n">
        <v>0</v>
      </c>
      <c r="J7547" s="18" t="n">
        <v>88.99</v>
      </c>
      <c r="K7547" s="19" t="n">
        <v>37.19</v>
      </c>
      <c r="L7547" s="15" t="n">
        <f aca="false">YEAR(B7547)</f>
        <v>2025</v>
      </c>
      <c r="M7547" s="20" t="n">
        <f aca="false">IF(J7547&gt;0,K7547/J7547,0)</f>
        <v>0.41791212495786</v>
      </c>
    </row>
    <row r="7548" customFormat="false" ht="15" hidden="false" customHeight="false" outlineLevel="0" collapsed="false">
      <c r="A7548" s="15" t="s">
        <v>7605</v>
      </c>
      <c r="B7548" s="16" t="n">
        <v>45850</v>
      </c>
      <c r="C7548" s="15" t="s">
        <v>56</v>
      </c>
      <c r="D7548" s="15" t="s">
        <v>44</v>
      </c>
      <c r="E7548" s="15" t="s">
        <v>36</v>
      </c>
      <c r="F7548" s="15" t="s">
        <v>17</v>
      </c>
      <c r="G7548" s="15" t="s">
        <v>28</v>
      </c>
      <c r="H7548" s="15" t="n">
        <v>3</v>
      </c>
      <c r="I7548" s="17" t="n">
        <v>0</v>
      </c>
      <c r="J7548" s="18" t="n">
        <v>86.99</v>
      </c>
      <c r="K7548" s="19" t="n">
        <v>24.67</v>
      </c>
      <c r="L7548" s="15" t="n">
        <f aca="false">YEAR(B7548)</f>
        <v>2025</v>
      </c>
      <c r="M7548" s="20" t="n">
        <f aca="false">IF(J7548&gt;0,K7548/J7548,0)</f>
        <v>0.28359581561099</v>
      </c>
    </row>
    <row r="7549" customFormat="false" ht="15" hidden="false" customHeight="false" outlineLevel="0" collapsed="false">
      <c r="A7549" s="15" t="s">
        <v>7606</v>
      </c>
      <c r="B7549" s="16" t="n">
        <v>45881</v>
      </c>
      <c r="C7549" s="15" t="s">
        <v>56</v>
      </c>
      <c r="D7549" s="15" t="s">
        <v>43</v>
      </c>
      <c r="E7549" s="15" t="s">
        <v>36</v>
      </c>
      <c r="F7549" s="15" t="s">
        <v>17</v>
      </c>
      <c r="G7549" s="15" t="s">
        <v>26</v>
      </c>
      <c r="H7549" s="15" t="n">
        <v>5</v>
      </c>
      <c r="I7549" s="17" t="n">
        <v>0.3</v>
      </c>
      <c r="J7549" s="18" t="n">
        <v>304.37</v>
      </c>
      <c r="K7549" s="19" t="n">
        <v>-38.25</v>
      </c>
      <c r="L7549" s="15" t="n">
        <f aca="false">YEAR(B7549)</f>
        <v>2025</v>
      </c>
      <c r="M7549" s="20" t="n">
        <f aca="false">IF(J7549&gt;0,K7549/J7549,0)</f>
        <v>-0.125669415514013</v>
      </c>
    </row>
    <row r="7550" customFormat="false" ht="15" hidden="false" customHeight="false" outlineLevel="0" collapsed="false">
      <c r="A7550" s="15" t="s">
        <v>7607</v>
      </c>
      <c r="B7550" s="16" t="n">
        <v>45308</v>
      </c>
      <c r="C7550" s="15" t="s">
        <v>56</v>
      </c>
      <c r="D7550" s="15" t="s">
        <v>42</v>
      </c>
      <c r="E7550" s="15" t="s">
        <v>39</v>
      </c>
      <c r="F7550" s="15" t="s">
        <v>18</v>
      </c>
      <c r="G7550" s="15" t="s">
        <v>32</v>
      </c>
      <c r="H7550" s="15" t="n">
        <v>4</v>
      </c>
      <c r="I7550" s="17" t="n">
        <v>0.2</v>
      </c>
      <c r="J7550" s="18" t="n">
        <v>1243.57</v>
      </c>
      <c r="K7550" s="19" t="n">
        <v>-40.32</v>
      </c>
      <c r="L7550" s="15" t="n">
        <f aca="false">YEAR(B7550)</f>
        <v>2024</v>
      </c>
      <c r="M7550" s="20" t="n">
        <f aca="false">IF(J7550&gt;0,K7550/J7550,0)</f>
        <v>-0.0324227827946959</v>
      </c>
    </row>
    <row r="7551" customFormat="false" ht="15" hidden="false" customHeight="false" outlineLevel="0" collapsed="false">
      <c r="A7551" s="15" t="s">
        <v>7608</v>
      </c>
      <c r="B7551" s="16" t="n">
        <v>44989</v>
      </c>
      <c r="C7551" s="15" t="s">
        <v>71</v>
      </c>
      <c r="D7551" s="15" t="s">
        <v>42</v>
      </c>
      <c r="E7551" s="15" t="s">
        <v>36</v>
      </c>
      <c r="F7551" s="15" t="s">
        <v>16</v>
      </c>
      <c r="G7551" s="15" t="s">
        <v>27</v>
      </c>
      <c r="H7551" s="15" t="n">
        <v>1</v>
      </c>
      <c r="I7551" s="17" t="n">
        <v>0</v>
      </c>
      <c r="J7551" s="18" t="n">
        <v>53.02</v>
      </c>
      <c r="K7551" s="19" t="n">
        <v>15.15</v>
      </c>
      <c r="L7551" s="15" t="n">
        <f aca="false">YEAR(B7551)</f>
        <v>2023</v>
      </c>
      <c r="M7551" s="20" t="n">
        <f aca="false">IF(J7551&gt;0,K7551/J7551,0)</f>
        <v>0.285741229724632</v>
      </c>
    </row>
    <row r="7552" customFormat="false" ht="15" hidden="false" customHeight="false" outlineLevel="0" collapsed="false">
      <c r="A7552" s="15" t="s">
        <v>7609</v>
      </c>
      <c r="B7552" s="16" t="n">
        <v>45947</v>
      </c>
      <c r="C7552" s="15" t="s">
        <v>56</v>
      </c>
      <c r="D7552" s="15" t="s">
        <v>42</v>
      </c>
      <c r="E7552" s="15" t="s">
        <v>38</v>
      </c>
      <c r="F7552" s="15" t="s">
        <v>18</v>
      </c>
      <c r="G7552" s="15" t="s">
        <v>32</v>
      </c>
      <c r="H7552" s="15" t="n">
        <v>1</v>
      </c>
      <c r="I7552" s="17" t="n">
        <v>0</v>
      </c>
      <c r="J7552" s="18" t="n">
        <v>370.6</v>
      </c>
      <c r="K7552" s="19" t="n">
        <v>70.56</v>
      </c>
      <c r="L7552" s="15" t="n">
        <f aca="false">YEAR(B7552)</f>
        <v>2025</v>
      </c>
      <c r="M7552" s="20" t="n">
        <f aca="false">IF(J7552&gt;0,K7552/J7552,0)</f>
        <v>0.190393955747437</v>
      </c>
    </row>
    <row r="7553" customFormat="false" ht="15" hidden="false" customHeight="false" outlineLevel="0" collapsed="false">
      <c r="A7553" s="15" t="s">
        <v>7610</v>
      </c>
      <c r="B7553" s="16" t="n">
        <v>44973</v>
      </c>
      <c r="C7553" s="15" t="s">
        <v>56</v>
      </c>
      <c r="D7553" s="15" t="s">
        <v>43</v>
      </c>
      <c r="E7553" s="15" t="s">
        <v>39</v>
      </c>
      <c r="F7553" s="15" t="s">
        <v>16</v>
      </c>
      <c r="G7553" s="15" t="s">
        <v>22</v>
      </c>
      <c r="H7553" s="15" t="n">
        <v>3</v>
      </c>
      <c r="I7553" s="17" t="n">
        <v>0</v>
      </c>
      <c r="J7553" s="18" t="n">
        <v>1761</v>
      </c>
      <c r="K7553" s="19" t="n">
        <v>-122.37</v>
      </c>
      <c r="L7553" s="15" t="n">
        <f aca="false">YEAR(B7553)</f>
        <v>2023</v>
      </c>
      <c r="M7553" s="20" t="n">
        <f aca="false">IF(J7553&gt;0,K7553/J7553,0)</f>
        <v>-0.069488926746167</v>
      </c>
    </row>
    <row r="7554" customFormat="false" ht="15" hidden="false" customHeight="false" outlineLevel="0" collapsed="false">
      <c r="A7554" s="15" t="s">
        <v>7611</v>
      </c>
      <c r="B7554" s="16" t="n">
        <v>45014</v>
      </c>
      <c r="C7554" s="15" t="s">
        <v>56</v>
      </c>
      <c r="D7554" s="15" t="s">
        <v>42</v>
      </c>
      <c r="E7554" s="15" t="s">
        <v>39</v>
      </c>
      <c r="F7554" s="15" t="s">
        <v>17</v>
      </c>
      <c r="G7554" s="15" t="s">
        <v>29</v>
      </c>
      <c r="H7554" s="15" t="n">
        <v>4</v>
      </c>
      <c r="I7554" s="17" t="n">
        <v>0</v>
      </c>
      <c r="J7554" s="18" t="n">
        <v>64.98</v>
      </c>
      <c r="K7554" s="19" t="n">
        <v>29.27</v>
      </c>
      <c r="L7554" s="15" t="n">
        <f aca="false">YEAR(B7554)</f>
        <v>2023</v>
      </c>
      <c r="M7554" s="20" t="n">
        <f aca="false">IF(J7554&gt;0,K7554/J7554,0)</f>
        <v>0.450446291166513</v>
      </c>
    </row>
    <row r="7555" customFormat="false" ht="15" hidden="false" customHeight="false" outlineLevel="0" collapsed="false">
      <c r="A7555" s="15" t="s">
        <v>7612</v>
      </c>
      <c r="B7555" s="16" t="n">
        <v>45814</v>
      </c>
      <c r="C7555" s="15" t="s">
        <v>56</v>
      </c>
      <c r="D7555" s="15" t="s">
        <v>42</v>
      </c>
      <c r="E7555" s="15" t="s">
        <v>36</v>
      </c>
      <c r="F7555" s="15" t="s">
        <v>17</v>
      </c>
      <c r="G7555" s="15" t="s">
        <v>28</v>
      </c>
      <c r="H7555" s="15" t="n">
        <v>3</v>
      </c>
      <c r="I7555" s="17" t="n">
        <v>0</v>
      </c>
      <c r="J7555" s="18" t="n">
        <v>84.64</v>
      </c>
      <c r="K7555" s="19" t="n">
        <v>29.47</v>
      </c>
      <c r="L7555" s="15" t="n">
        <f aca="false">YEAR(B7555)</f>
        <v>2025</v>
      </c>
      <c r="M7555" s="20" t="n">
        <f aca="false">IF(J7555&gt;0,K7555/J7555,0)</f>
        <v>0.348180529300567</v>
      </c>
    </row>
    <row r="7556" customFormat="false" ht="15" hidden="false" customHeight="false" outlineLevel="0" collapsed="false">
      <c r="A7556" s="15" t="s">
        <v>7613</v>
      </c>
      <c r="B7556" s="16" t="n">
        <v>44792</v>
      </c>
      <c r="C7556" s="15" t="s">
        <v>68</v>
      </c>
      <c r="D7556" s="15" t="s">
        <v>42</v>
      </c>
      <c r="E7556" s="15" t="s">
        <v>39</v>
      </c>
      <c r="F7556" s="15" t="s">
        <v>17</v>
      </c>
      <c r="G7556" s="15" t="s">
        <v>31</v>
      </c>
      <c r="H7556" s="15" t="n">
        <v>4</v>
      </c>
      <c r="I7556" s="17" t="n">
        <v>0.2</v>
      </c>
      <c r="J7556" s="18" t="n">
        <v>479.89</v>
      </c>
      <c r="K7556" s="19" t="n">
        <v>14.78</v>
      </c>
      <c r="L7556" s="15" t="n">
        <f aca="false">YEAR(B7556)</f>
        <v>2022</v>
      </c>
      <c r="M7556" s="20" t="n">
        <f aca="false">IF(J7556&gt;0,K7556/J7556,0)</f>
        <v>0.0307987247077455</v>
      </c>
    </row>
    <row r="7557" customFormat="false" ht="15" hidden="false" customHeight="false" outlineLevel="0" collapsed="false">
      <c r="A7557" s="15" t="s">
        <v>7614</v>
      </c>
      <c r="B7557" s="16" t="n">
        <v>45844</v>
      </c>
      <c r="C7557" s="15" t="s">
        <v>56</v>
      </c>
      <c r="D7557" s="15" t="s">
        <v>43</v>
      </c>
      <c r="E7557" s="15" t="s">
        <v>37</v>
      </c>
      <c r="F7557" s="15" t="s">
        <v>18</v>
      </c>
      <c r="G7557" s="15" t="s">
        <v>30</v>
      </c>
      <c r="H7557" s="15" t="n">
        <v>2</v>
      </c>
      <c r="I7557" s="17" t="n">
        <v>0</v>
      </c>
      <c r="J7557" s="18" t="n">
        <v>76.55</v>
      </c>
      <c r="K7557" s="19" t="n">
        <v>19.44</v>
      </c>
      <c r="L7557" s="15" t="n">
        <f aca="false">YEAR(B7557)</f>
        <v>2025</v>
      </c>
      <c r="M7557" s="20" t="n">
        <f aca="false">IF(J7557&gt;0,K7557/J7557,0)</f>
        <v>0.253951665578054</v>
      </c>
    </row>
    <row r="7558" customFormat="false" ht="15" hidden="false" customHeight="false" outlineLevel="0" collapsed="false">
      <c r="A7558" s="15" t="s">
        <v>7615</v>
      </c>
      <c r="B7558" s="16" t="n">
        <v>45877</v>
      </c>
      <c r="C7558" s="15" t="s">
        <v>56</v>
      </c>
      <c r="D7558" s="15" t="s">
        <v>42</v>
      </c>
      <c r="E7558" s="15" t="s">
        <v>39</v>
      </c>
      <c r="F7558" s="15" t="s">
        <v>17</v>
      </c>
      <c r="G7558" s="15" t="s">
        <v>29</v>
      </c>
      <c r="H7558" s="15" t="n">
        <v>7</v>
      </c>
      <c r="I7558" s="17" t="n">
        <v>0.3</v>
      </c>
      <c r="J7558" s="18" t="n">
        <v>86.04</v>
      </c>
      <c r="K7558" s="19" t="n">
        <v>12.35</v>
      </c>
      <c r="L7558" s="15" t="n">
        <f aca="false">YEAR(B7558)</f>
        <v>2025</v>
      </c>
      <c r="M7558" s="20" t="n">
        <f aca="false">IF(J7558&gt;0,K7558/J7558,0)</f>
        <v>0.143537889353789</v>
      </c>
    </row>
    <row r="7559" customFormat="false" ht="15" hidden="false" customHeight="false" outlineLevel="0" collapsed="false">
      <c r="A7559" s="15" t="s">
        <v>7616</v>
      </c>
      <c r="B7559" s="16" t="n">
        <v>45394</v>
      </c>
      <c r="C7559" s="15" t="s">
        <v>56</v>
      </c>
      <c r="D7559" s="15" t="s">
        <v>43</v>
      </c>
      <c r="E7559" s="15" t="s">
        <v>38</v>
      </c>
      <c r="F7559" s="15" t="s">
        <v>17</v>
      </c>
      <c r="G7559" s="15" t="s">
        <v>28</v>
      </c>
      <c r="H7559" s="15" t="n">
        <v>5</v>
      </c>
      <c r="I7559" s="17" t="n">
        <v>0.15</v>
      </c>
      <c r="J7559" s="18" t="n">
        <v>100.69</v>
      </c>
      <c r="K7559" s="19" t="n">
        <v>14.97</v>
      </c>
      <c r="L7559" s="15" t="n">
        <f aca="false">YEAR(B7559)</f>
        <v>2024</v>
      </c>
      <c r="M7559" s="20" t="n">
        <f aca="false">IF(J7559&gt;0,K7559/J7559,0)</f>
        <v>0.148674148376204</v>
      </c>
    </row>
    <row r="7560" customFormat="false" ht="15" hidden="false" customHeight="false" outlineLevel="0" collapsed="false">
      <c r="A7560" s="15" t="s">
        <v>7617</v>
      </c>
      <c r="B7560" s="16" t="n">
        <v>45086</v>
      </c>
      <c r="C7560" s="15" t="s">
        <v>56</v>
      </c>
      <c r="D7560" s="15" t="s">
        <v>43</v>
      </c>
      <c r="E7560" s="15" t="s">
        <v>37</v>
      </c>
      <c r="F7560" s="15" t="s">
        <v>18</v>
      </c>
      <c r="G7560" s="15" t="s">
        <v>24</v>
      </c>
      <c r="H7560" s="15" t="n">
        <v>7</v>
      </c>
      <c r="I7560" s="17" t="n">
        <v>0</v>
      </c>
      <c r="J7560" s="18" t="n">
        <v>6730.73</v>
      </c>
      <c r="K7560" s="19" t="n">
        <v>-86.29</v>
      </c>
      <c r="L7560" s="15" t="n">
        <f aca="false">YEAR(B7560)</f>
        <v>2023</v>
      </c>
      <c r="M7560" s="20" t="n">
        <f aca="false">IF(J7560&gt;0,K7560/J7560,0)</f>
        <v>-0.0128203032954821</v>
      </c>
    </row>
    <row r="7561" customFormat="false" ht="15" hidden="false" customHeight="false" outlineLevel="0" collapsed="false">
      <c r="A7561" s="15" t="s">
        <v>7618</v>
      </c>
      <c r="B7561" s="16" t="n">
        <v>45626</v>
      </c>
      <c r="C7561" s="15" t="s">
        <v>56</v>
      </c>
      <c r="D7561" s="15" t="s">
        <v>42</v>
      </c>
      <c r="E7561" s="15" t="s">
        <v>39</v>
      </c>
      <c r="F7561" s="15" t="s">
        <v>17</v>
      </c>
      <c r="G7561" s="15" t="s">
        <v>28</v>
      </c>
      <c r="H7561" s="15" t="n">
        <v>5</v>
      </c>
      <c r="I7561" s="17" t="n">
        <v>0.1</v>
      </c>
      <c r="J7561" s="18" t="n">
        <v>122.76</v>
      </c>
      <c r="K7561" s="19" t="n">
        <v>25.97</v>
      </c>
      <c r="L7561" s="15" t="n">
        <f aca="false">YEAR(B7561)</f>
        <v>2024</v>
      </c>
      <c r="M7561" s="20" t="n">
        <f aca="false">IF(J7561&gt;0,K7561/J7561,0)</f>
        <v>0.211550993809058</v>
      </c>
    </row>
    <row r="7562" customFormat="false" ht="15" hidden="false" customHeight="false" outlineLevel="0" collapsed="false">
      <c r="A7562" s="15" t="s">
        <v>7619</v>
      </c>
      <c r="B7562" s="16" t="n">
        <v>45781</v>
      </c>
      <c r="C7562" s="15" t="s">
        <v>68</v>
      </c>
      <c r="D7562" s="15" t="s">
        <v>43</v>
      </c>
      <c r="E7562" s="15" t="s">
        <v>37</v>
      </c>
      <c r="F7562" s="15" t="s">
        <v>18</v>
      </c>
      <c r="G7562" s="15" t="s">
        <v>30</v>
      </c>
      <c r="H7562" s="15" t="n">
        <v>4</v>
      </c>
      <c r="I7562" s="17" t="n">
        <v>0</v>
      </c>
      <c r="J7562" s="18" t="n">
        <v>185.91</v>
      </c>
      <c r="K7562" s="19" t="n">
        <v>73.81</v>
      </c>
      <c r="L7562" s="15" t="n">
        <f aca="false">YEAR(B7562)</f>
        <v>2025</v>
      </c>
      <c r="M7562" s="20" t="n">
        <f aca="false">IF(J7562&gt;0,K7562/J7562,0)</f>
        <v>0.397020063471572</v>
      </c>
    </row>
    <row r="7563" customFormat="false" ht="15" hidden="false" customHeight="false" outlineLevel="0" collapsed="false">
      <c r="A7563" s="15" t="s">
        <v>7620</v>
      </c>
      <c r="B7563" s="16" t="n">
        <v>44733</v>
      </c>
      <c r="C7563" s="15" t="s">
        <v>56</v>
      </c>
      <c r="D7563" s="15" t="s">
        <v>42</v>
      </c>
      <c r="E7563" s="15" t="s">
        <v>39</v>
      </c>
      <c r="F7563" s="15" t="s">
        <v>16</v>
      </c>
      <c r="G7563" s="15" t="s">
        <v>22</v>
      </c>
      <c r="H7563" s="15" t="n">
        <v>3</v>
      </c>
      <c r="I7563" s="17" t="n">
        <v>0</v>
      </c>
      <c r="J7563" s="18" t="n">
        <v>1416.09</v>
      </c>
      <c r="K7563" s="19" t="n">
        <v>-24.93</v>
      </c>
      <c r="L7563" s="15" t="n">
        <f aca="false">YEAR(B7563)</f>
        <v>2022</v>
      </c>
      <c r="M7563" s="20" t="n">
        <f aca="false">IF(J7563&gt;0,K7563/J7563,0)</f>
        <v>-0.0176048132533949</v>
      </c>
    </row>
    <row r="7564" customFormat="false" ht="15" hidden="false" customHeight="false" outlineLevel="0" collapsed="false">
      <c r="A7564" s="15" t="s">
        <v>7621</v>
      </c>
      <c r="B7564" s="16" t="n">
        <v>44671</v>
      </c>
      <c r="C7564" s="15" t="s">
        <v>68</v>
      </c>
      <c r="D7564" s="15" t="s">
        <v>43</v>
      </c>
      <c r="E7564" s="15" t="s">
        <v>37</v>
      </c>
      <c r="F7564" s="15" t="s">
        <v>18</v>
      </c>
      <c r="G7564" s="15" t="s">
        <v>33</v>
      </c>
      <c r="H7564" s="15" t="n">
        <v>5</v>
      </c>
      <c r="I7564" s="17" t="n">
        <v>0.5</v>
      </c>
      <c r="J7564" s="18" t="n">
        <v>2787.49</v>
      </c>
      <c r="K7564" s="19" t="n">
        <v>-581.31</v>
      </c>
      <c r="L7564" s="15" t="n">
        <f aca="false">YEAR(B7564)</f>
        <v>2022</v>
      </c>
      <c r="M7564" s="20" t="n">
        <f aca="false">IF(J7564&gt;0,K7564/J7564,0)</f>
        <v>-0.208542452170232</v>
      </c>
    </row>
    <row r="7565" customFormat="false" ht="15" hidden="false" customHeight="false" outlineLevel="0" collapsed="false">
      <c r="A7565" s="15" t="s">
        <v>7622</v>
      </c>
      <c r="B7565" s="16" t="n">
        <v>45371</v>
      </c>
      <c r="C7565" s="15" t="s">
        <v>56</v>
      </c>
      <c r="D7565" s="15" t="s">
        <v>42</v>
      </c>
      <c r="E7565" s="15" t="s">
        <v>39</v>
      </c>
      <c r="F7565" s="15" t="s">
        <v>17</v>
      </c>
      <c r="G7565" s="15" t="s">
        <v>28</v>
      </c>
      <c r="H7565" s="15" t="n">
        <v>1</v>
      </c>
      <c r="I7565" s="17" t="n">
        <v>0.2</v>
      </c>
      <c r="J7565" s="18" t="n">
        <v>22.97</v>
      </c>
      <c r="K7565" s="19" t="n">
        <v>2.62</v>
      </c>
      <c r="L7565" s="15" t="n">
        <f aca="false">YEAR(B7565)</f>
        <v>2024</v>
      </c>
      <c r="M7565" s="20" t="n">
        <f aca="false">IF(J7565&gt;0,K7565/J7565,0)</f>
        <v>0.114061819764911</v>
      </c>
    </row>
    <row r="7566" customFormat="false" ht="15" hidden="false" customHeight="false" outlineLevel="0" collapsed="false">
      <c r="A7566" s="15" t="s">
        <v>7623</v>
      </c>
      <c r="B7566" s="16" t="n">
        <v>45624</v>
      </c>
      <c r="C7566" s="15" t="s">
        <v>56</v>
      </c>
      <c r="D7566" s="15" t="s">
        <v>44</v>
      </c>
      <c r="E7566" s="15" t="s">
        <v>39</v>
      </c>
      <c r="F7566" s="15" t="s">
        <v>17</v>
      </c>
      <c r="G7566" s="15" t="s">
        <v>29</v>
      </c>
      <c r="H7566" s="15" t="n">
        <v>2</v>
      </c>
      <c r="I7566" s="17" t="n">
        <v>0.2</v>
      </c>
      <c r="J7566" s="18" t="n">
        <v>28.02</v>
      </c>
      <c r="K7566" s="19" t="n">
        <v>4.79</v>
      </c>
      <c r="L7566" s="15" t="n">
        <f aca="false">YEAR(B7566)</f>
        <v>2024</v>
      </c>
      <c r="M7566" s="20" t="n">
        <f aca="false">IF(J7566&gt;0,K7566/J7566,0)</f>
        <v>0.170949321912919</v>
      </c>
    </row>
    <row r="7567" customFormat="false" ht="15" hidden="false" customHeight="false" outlineLevel="0" collapsed="false">
      <c r="A7567" s="15" t="s">
        <v>7624</v>
      </c>
      <c r="B7567" s="16" t="n">
        <v>44605</v>
      </c>
      <c r="C7567" s="15" t="s">
        <v>56</v>
      </c>
      <c r="D7567" s="15" t="s">
        <v>42</v>
      </c>
      <c r="E7567" s="15" t="s">
        <v>39</v>
      </c>
      <c r="F7567" s="15" t="s">
        <v>17</v>
      </c>
      <c r="G7567" s="15" t="s">
        <v>29</v>
      </c>
      <c r="H7567" s="15" t="n">
        <v>2</v>
      </c>
      <c r="I7567" s="17" t="n">
        <v>0</v>
      </c>
      <c r="J7567" s="18" t="n">
        <v>31.02</v>
      </c>
      <c r="K7567" s="19" t="n">
        <v>10.55</v>
      </c>
      <c r="L7567" s="15" t="n">
        <f aca="false">YEAR(B7567)</f>
        <v>2022</v>
      </c>
      <c r="M7567" s="20" t="n">
        <f aca="false">IF(J7567&gt;0,K7567/J7567,0)</f>
        <v>0.340103159252095</v>
      </c>
    </row>
    <row r="7568" customFormat="false" ht="15" hidden="false" customHeight="false" outlineLevel="0" collapsed="false">
      <c r="A7568" s="15" t="s">
        <v>7625</v>
      </c>
      <c r="B7568" s="16" t="n">
        <v>45674</v>
      </c>
      <c r="C7568" s="15" t="s">
        <v>71</v>
      </c>
      <c r="D7568" s="15" t="s">
        <v>43</v>
      </c>
      <c r="E7568" s="15" t="s">
        <v>38</v>
      </c>
      <c r="F7568" s="15" t="s">
        <v>18</v>
      </c>
      <c r="G7568" s="15" t="s">
        <v>32</v>
      </c>
      <c r="H7568" s="15" t="n">
        <v>2</v>
      </c>
      <c r="I7568" s="17" t="n">
        <v>0.4</v>
      </c>
      <c r="J7568" s="18" t="n">
        <v>535.65</v>
      </c>
      <c r="K7568" s="19" t="n">
        <v>-111.06</v>
      </c>
      <c r="L7568" s="15" t="n">
        <f aca="false">YEAR(B7568)</f>
        <v>2025</v>
      </c>
      <c r="M7568" s="20" t="n">
        <f aca="false">IF(J7568&gt;0,K7568/J7568,0)</f>
        <v>-0.207336880425651</v>
      </c>
    </row>
    <row r="7569" customFormat="false" ht="15" hidden="false" customHeight="false" outlineLevel="0" collapsed="false">
      <c r="A7569" s="15" t="s">
        <v>7626</v>
      </c>
      <c r="B7569" s="16" t="n">
        <v>44971</v>
      </c>
      <c r="C7569" s="15" t="s">
        <v>56</v>
      </c>
      <c r="D7569" s="15" t="s">
        <v>42</v>
      </c>
      <c r="E7569" s="15" t="s">
        <v>39</v>
      </c>
      <c r="F7569" s="15" t="s">
        <v>17</v>
      </c>
      <c r="G7569" s="15" t="s">
        <v>28</v>
      </c>
      <c r="H7569" s="15" t="n">
        <v>3</v>
      </c>
      <c r="I7569" s="17" t="n">
        <v>0</v>
      </c>
      <c r="J7569" s="18" t="n">
        <v>91.51</v>
      </c>
      <c r="K7569" s="19" t="n">
        <v>26.26</v>
      </c>
      <c r="L7569" s="15" t="n">
        <f aca="false">YEAR(B7569)</f>
        <v>2023</v>
      </c>
      <c r="M7569" s="20" t="n">
        <f aca="false">IF(J7569&gt;0,K7569/J7569,0)</f>
        <v>0.28696317342367</v>
      </c>
    </row>
    <row r="7570" customFormat="false" ht="15" hidden="false" customHeight="false" outlineLevel="0" collapsed="false">
      <c r="A7570" s="15" t="s">
        <v>7627</v>
      </c>
      <c r="B7570" s="16" t="n">
        <v>44659</v>
      </c>
      <c r="C7570" s="15" t="s">
        <v>71</v>
      </c>
      <c r="D7570" s="15" t="s">
        <v>42</v>
      </c>
      <c r="E7570" s="15" t="s">
        <v>37</v>
      </c>
      <c r="F7570" s="15" t="s">
        <v>18</v>
      </c>
      <c r="G7570" s="15" t="s">
        <v>33</v>
      </c>
      <c r="H7570" s="15" t="n">
        <v>4</v>
      </c>
      <c r="I7570" s="17" t="n">
        <v>0</v>
      </c>
      <c r="J7570" s="18" t="n">
        <v>3324.85</v>
      </c>
      <c r="K7570" s="19" t="n">
        <v>678.76</v>
      </c>
      <c r="L7570" s="15" t="n">
        <f aca="false">YEAR(B7570)</f>
        <v>2022</v>
      </c>
      <c r="M7570" s="20" t="n">
        <f aca="false">IF(J7570&gt;0,K7570/J7570,0)</f>
        <v>0.204147555528821</v>
      </c>
    </row>
    <row r="7571" customFormat="false" ht="15" hidden="false" customHeight="false" outlineLevel="0" collapsed="false">
      <c r="A7571" s="15" t="s">
        <v>7628</v>
      </c>
      <c r="B7571" s="16" t="n">
        <v>44828</v>
      </c>
      <c r="C7571" s="15" t="s">
        <v>56</v>
      </c>
      <c r="D7571" s="15" t="s">
        <v>42</v>
      </c>
      <c r="E7571" s="15" t="s">
        <v>37</v>
      </c>
      <c r="F7571" s="15" t="s">
        <v>17</v>
      </c>
      <c r="G7571" s="15" t="s">
        <v>31</v>
      </c>
      <c r="H7571" s="15" t="n">
        <v>2</v>
      </c>
      <c r="I7571" s="17" t="n">
        <v>0.1</v>
      </c>
      <c r="J7571" s="18" t="n">
        <v>240.47</v>
      </c>
      <c r="K7571" s="19" t="n">
        <v>20.57</v>
      </c>
      <c r="L7571" s="15" t="n">
        <f aca="false">YEAR(B7571)</f>
        <v>2022</v>
      </c>
      <c r="M7571" s="20" t="n">
        <f aca="false">IF(J7571&gt;0,K7571/J7571,0)</f>
        <v>0.0855408159021916</v>
      </c>
    </row>
    <row r="7572" customFormat="false" ht="15" hidden="false" customHeight="false" outlineLevel="0" collapsed="false">
      <c r="A7572" s="15" t="s">
        <v>7629</v>
      </c>
      <c r="B7572" s="16" t="n">
        <v>45234</v>
      </c>
      <c r="C7572" s="15" t="s">
        <v>71</v>
      </c>
      <c r="D7572" s="15" t="s">
        <v>42</v>
      </c>
      <c r="E7572" s="15" t="s">
        <v>39</v>
      </c>
      <c r="F7572" s="15" t="s">
        <v>17</v>
      </c>
      <c r="G7572" s="15" t="s">
        <v>29</v>
      </c>
      <c r="H7572" s="15" t="n">
        <v>5</v>
      </c>
      <c r="I7572" s="17" t="n">
        <v>0</v>
      </c>
      <c r="J7572" s="18" t="n">
        <v>82.56</v>
      </c>
      <c r="K7572" s="19" t="n">
        <v>30.53</v>
      </c>
      <c r="L7572" s="15" t="n">
        <f aca="false">YEAR(B7572)</f>
        <v>2023</v>
      </c>
      <c r="M7572" s="20" t="n">
        <f aca="false">IF(J7572&gt;0,K7572/J7572,0)</f>
        <v>0.369791666666667</v>
      </c>
    </row>
    <row r="7573" customFormat="false" ht="15" hidden="false" customHeight="false" outlineLevel="0" collapsed="false">
      <c r="A7573" s="15" t="s">
        <v>7630</v>
      </c>
      <c r="B7573" s="16" t="n">
        <v>44975</v>
      </c>
      <c r="C7573" s="15" t="s">
        <v>56</v>
      </c>
      <c r="D7573" s="15" t="s">
        <v>42</v>
      </c>
      <c r="E7573" s="15" t="s">
        <v>39</v>
      </c>
      <c r="F7573" s="15" t="s">
        <v>18</v>
      </c>
      <c r="G7573" s="15" t="s">
        <v>30</v>
      </c>
      <c r="H7573" s="15" t="n">
        <v>1</v>
      </c>
      <c r="I7573" s="17" t="n">
        <v>0</v>
      </c>
      <c r="J7573" s="18" t="n">
        <v>43.67</v>
      </c>
      <c r="K7573" s="19" t="n">
        <v>13.77</v>
      </c>
      <c r="L7573" s="15" t="n">
        <f aca="false">YEAR(B7573)</f>
        <v>2023</v>
      </c>
      <c r="M7573" s="20" t="n">
        <f aca="false">IF(J7573&gt;0,K7573/J7573,0)</f>
        <v>0.315319441264026</v>
      </c>
    </row>
    <row r="7574" customFormat="false" ht="15" hidden="false" customHeight="false" outlineLevel="0" collapsed="false">
      <c r="A7574" s="15" t="s">
        <v>7631</v>
      </c>
      <c r="B7574" s="16" t="n">
        <v>45266</v>
      </c>
      <c r="C7574" s="15" t="s">
        <v>68</v>
      </c>
      <c r="D7574" s="15" t="s">
        <v>42</v>
      </c>
      <c r="E7574" s="15" t="s">
        <v>37</v>
      </c>
      <c r="F7574" s="15" t="s">
        <v>17</v>
      </c>
      <c r="G7574" s="15" t="s">
        <v>26</v>
      </c>
      <c r="H7574" s="15" t="n">
        <v>6</v>
      </c>
      <c r="I7574" s="17" t="n">
        <v>0.05</v>
      </c>
      <c r="J7574" s="18" t="n">
        <v>435.76</v>
      </c>
      <c r="K7574" s="19" t="n">
        <v>37.9</v>
      </c>
      <c r="L7574" s="15" t="n">
        <f aca="false">YEAR(B7574)</f>
        <v>2023</v>
      </c>
      <c r="M7574" s="20" t="n">
        <f aca="false">IF(J7574&gt;0,K7574/J7574,0)</f>
        <v>0.0869744813658895</v>
      </c>
    </row>
    <row r="7575" customFormat="false" ht="15" hidden="false" customHeight="false" outlineLevel="0" collapsed="false">
      <c r="A7575" s="15" t="s">
        <v>7632</v>
      </c>
      <c r="B7575" s="16" t="n">
        <v>45085</v>
      </c>
      <c r="C7575" s="15" t="s">
        <v>56</v>
      </c>
      <c r="D7575" s="15" t="s">
        <v>42</v>
      </c>
      <c r="E7575" s="15" t="s">
        <v>37</v>
      </c>
      <c r="F7575" s="15" t="s">
        <v>17</v>
      </c>
      <c r="G7575" s="15" t="s">
        <v>26</v>
      </c>
      <c r="H7575" s="15" t="n">
        <v>2</v>
      </c>
      <c r="I7575" s="17" t="n">
        <v>0.05</v>
      </c>
      <c r="J7575" s="18" t="n">
        <v>162.05</v>
      </c>
      <c r="K7575" s="19" t="n">
        <v>7.21</v>
      </c>
      <c r="L7575" s="15" t="n">
        <f aca="false">YEAR(B7575)</f>
        <v>2023</v>
      </c>
      <c r="M7575" s="20" t="n">
        <f aca="false">IF(J7575&gt;0,K7575/J7575,0)</f>
        <v>0.0444924406047516</v>
      </c>
    </row>
    <row r="7576" customFormat="false" ht="15" hidden="false" customHeight="false" outlineLevel="0" collapsed="false">
      <c r="A7576" s="15" t="s">
        <v>7633</v>
      </c>
      <c r="B7576" s="16" t="n">
        <v>45392</v>
      </c>
      <c r="C7576" s="15" t="s">
        <v>56</v>
      </c>
      <c r="D7576" s="15" t="s">
        <v>44</v>
      </c>
      <c r="E7576" s="15" t="s">
        <v>36</v>
      </c>
      <c r="F7576" s="15" t="s">
        <v>16</v>
      </c>
      <c r="G7576" s="15" t="s">
        <v>27</v>
      </c>
      <c r="H7576" s="15" t="n">
        <v>3</v>
      </c>
      <c r="I7576" s="17" t="n">
        <v>0.1</v>
      </c>
      <c r="J7576" s="18" t="n">
        <v>146.81</v>
      </c>
      <c r="K7576" s="19" t="n">
        <v>28.7</v>
      </c>
      <c r="L7576" s="15" t="n">
        <f aca="false">YEAR(B7576)</f>
        <v>2024</v>
      </c>
      <c r="M7576" s="20" t="n">
        <f aca="false">IF(J7576&gt;0,K7576/J7576,0)</f>
        <v>0.195490770383489</v>
      </c>
    </row>
    <row r="7577" customFormat="false" ht="15" hidden="false" customHeight="false" outlineLevel="0" collapsed="false">
      <c r="A7577" s="15" t="s">
        <v>7634</v>
      </c>
      <c r="B7577" s="16" t="n">
        <v>45383</v>
      </c>
      <c r="C7577" s="15" t="s">
        <v>58</v>
      </c>
      <c r="D7577" s="15" t="s">
        <v>43</v>
      </c>
      <c r="E7577" s="15" t="s">
        <v>39</v>
      </c>
      <c r="F7577" s="15" t="s">
        <v>17</v>
      </c>
      <c r="G7577" s="15" t="s">
        <v>28</v>
      </c>
      <c r="H7577" s="15" t="n">
        <v>3</v>
      </c>
      <c r="I7577" s="17" t="n">
        <v>0</v>
      </c>
      <c r="J7577" s="18" t="n">
        <v>132.54</v>
      </c>
      <c r="K7577" s="19" t="n">
        <v>31.21</v>
      </c>
      <c r="L7577" s="15" t="n">
        <f aca="false">YEAR(B7577)</f>
        <v>2024</v>
      </c>
      <c r="M7577" s="20" t="n">
        <f aca="false">IF(J7577&gt;0,K7577/J7577,0)</f>
        <v>0.235476082692018</v>
      </c>
    </row>
    <row r="7578" customFormat="false" ht="15" hidden="false" customHeight="false" outlineLevel="0" collapsed="false">
      <c r="A7578" s="15" t="s">
        <v>7635</v>
      </c>
      <c r="B7578" s="16" t="n">
        <v>45898</v>
      </c>
      <c r="C7578" s="15" t="s">
        <v>56</v>
      </c>
      <c r="D7578" s="15" t="s">
        <v>43</v>
      </c>
      <c r="E7578" s="15" t="s">
        <v>39</v>
      </c>
      <c r="F7578" s="15" t="s">
        <v>17</v>
      </c>
      <c r="G7578" s="15" t="s">
        <v>28</v>
      </c>
      <c r="H7578" s="15" t="n">
        <v>3</v>
      </c>
      <c r="I7578" s="17" t="n">
        <v>0.1</v>
      </c>
      <c r="J7578" s="18" t="n">
        <v>83.76</v>
      </c>
      <c r="K7578" s="19" t="n">
        <v>22.33</v>
      </c>
      <c r="L7578" s="15" t="n">
        <f aca="false">YEAR(B7578)</f>
        <v>2025</v>
      </c>
      <c r="M7578" s="20" t="n">
        <f aca="false">IF(J7578&gt;0,K7578/J7578,0)</f>
        <v>0.266595033428844</v>
      </c>
    </row>
    <row r="7579" customFormat="false" ht="15" hidden="false" customHeight="false" outlineLevel="0" collapsed="false">
      <c r="A7579" s="15" t="s">
        <v>7636</v>
      </c>
      <c r="B7579" s="16" t="n">
        <v>45867</v>
      </c>
      <c r="C7579" s="15" t="s">
        <v>56</v>
      </c>
      <c r="D7579" s="15" t="s">
        <v>42</v>
      </c>
      <c r="E7579" s="15" t="s">
        <v>39</v>
      </c>
      <c r="F7579" s="15" t="s">
        <v>16</v>
      </c>
      <c r="G7579" s="15" t="s">
        <v>27</v>
      </c>
      <c r="H7579" s="15" t="n">
        <v>4</v>
      </c>
      <c r="I7579" s="17" t="n">
        <v>0.05</v>
      </c>
      <c r="J7579" s="18" t="n">
        <v>197.37</v>
      </c>
      <c r="K7579" s="19" t="n">
        <v>42.69</v>
      </c>
      <c r="L7579" s="15" t="n">
        <f aca="false">YEAR(B7579)</f>
        <v>2025</v>
      </c>
      <c r="M7579" s="20" t="n">
        <f aca="false">IF(J7579&gt;0,K7579/J7579,0)</f>
        <v>0.216294269645843</v>
      </c>
    </row>
    <row r="7580" customFormat="false" ht="15" hidden="false" customHeight="false" outlineLevel="0" collapsed="false">
      <c r="A7580" s="15" t="s">
        <v>7637</v>
      </c>
      <c r="B7580" s="16" t="n">
        <v>45779</v>
      </c>
      <c r="C7580" s="15" t="s">
        <v>71</v>
      </c>
      <c r="D7580" s="15" t="s">
        <v>44</v>
      </c>
      <c r="E7580" s="15" t="s">
        <v>39</v>
      </c>
      <c r="F7580" s="15" t="s">
        <v>18</v>
      </c>
      <c r="G7580" s="15" t="s">
        <v>32</v>
      </c>
      <c r="H7580" s="15" t="n">
        <v>6</v>
      </c>
      <c r="I7580" s="17" t="n">
        <v>0</v>
      </c>
      <c r="J7580" s="18" t="n">
        <v>2304.34</v>
      </c>
      <c r="K7580" s="19" t="n">
        <v>445.01</v>
      </c>
      <c r="L7580" s="15" t="n">
        <f aca="false">YEAR(B7580)</f>
        <v>2025</v>
      </c>
      <c r="M7580" s="20" t="n">
        <f aca="false">IF(J7580&gt;0,K7580/J7580,0)</f>
        <v>0.193118203042954</v>
      </c>
    </row>
    <row r="7581" customFormat="false" ht="15" hidden="false" customHeight="false" outlineLevel="0" collapsed="false">
      <c r="A7581" s="15" t="s">
        <v>7638</v>
      </c>
      <c r="B7581" s="16" t="n">
        <v>45367</v>
      </c>
      <c r="C7581" s="15" t="s">
        <v>56</v>
      </c>
      <c r="D7581" s="15" t="s">
        <v>43</v>
      </c>
      <c r="E7581" s="15" t="s">
        <v>38</v>
      </c>
      <c r="F7581" s="15" t="s">
        <v>18</v>
      </c>
      <c r="G7581" s="15" t="s">
        <v>32</v>
      </c>
      <c r="H7581" s="15" t="n">
        <v>3</v>
      </c>
      <c r="I7581" s="17" t="n">
        <v>0.1</v>
      </c>
      <c r="J7581" s="18" t="n">
        <v>1013.14</v>
      </c>
      <c r="K7581" s="19" t="n">
        <v>85.86</v>
      </c>
      <c r="L7581" s="15" t="n">
        <f aca="false">YEAR(B7581)</f>
        <v>2024</v>
      </c>
      <c r="M7581" s="20" t="n">
        <f aca="false">IF(J7581&gt;0,K7581/J7581,0)</f>
        <v>0.0847464318850307</v>
      </c>
    </row>
    <row r="7582" customFormat="false" ht="15" hidden="false" customHeight="false" outlineLevel="0" collapsed="false">
      <c r="A7582" s="15" t="s">
        <v>7639</v>
      </c>
      <c r="B7582" s="16" t="n">
        <v>45049</v>
      </c>
      <c r="C7582" s="15" t="s">
        <v>56</v>
      </c>
      <c r="D7582" s="15" t="s">
        <v>44</v>
      </c>
      <c r="E7582" s="15" t="s">
        <v>36</v>
      </c>
      <c r="F7582" s="15" t="s">
        <v>18</v>
      </c>
      <c r="G7582" s="15" t="s">
        <v>30</v>
      </c>
      <c r="H7582" s="15" t="n">
        <v>1</v>
      </c>
      <c r="I7582" s="17" t="n">
        <v>0.15</v>
      </c>
      <c r="J7582" s="18" t="n">
        <v>41.75</v>
      </c>
      <c r="K7582" s="19" t="n">
        <v>10.41</v>
      </c>
      <c r="L7582" s="15" t="n">
        <f aca="false">YEAR(B7582)</f>
        <v>2023</v>
      </c>
      <c r="M7582" s="20" t="n">
        <f aca="false">IF(J7582&gt;0,K7582/J7582,0)</f>
        <v>0.249341317365269</v>
      </c>
    </row>
    <row r="7583" customFormat="false" ht="15" hidden="false" customHeight="false" outlineLevel="0" collapsed="false">
      <c r="A7583" s="15" t="s">
        <v>7640</v>
      </c>
      <c r="B7583" s="16" t="n">
        <v>44844</v>
      </c>
      <c r="C7583" s="15" t="s">
        <v>56</v>
      </c>
      <c r="D7583" s="15" t="s">
        <v>42</v>
      </c>
      <c r="E7583" s="15" t="s">
        <v>36</v>
      </c>
      <c r="F7583" s="15" t="s">
        <v>18</v>
      </c>
      <c r="G7583" s="15" t="s">
        <v>32</v>
      </c>
      <c r="H7583" s="15" t="n">
        <v>2</v>
      </c>
      <c r="I7583" s="17" t="n">
        <v>0</v>
      </c>
      <c r="J7583" s="18" t="n">
        <v>846.3</v>
      </c>
      <c r="K7583" s="19" t="n">
        <v>148.48</v>
      </c>
      <c r="L7583" s="15" t="n">
        <f aca="false">YEAR(B7583)</f>
        <v>2022</v>
      </c>
      <c r="M7583" s="20" t="n">
        <f aca="false">IF(J7583&gt;0,K7583/J7583,0)</f>
        <v>0.175446059317027</v>
      </c>
    </row>
    <row r="7584" customFormat="false" ht="15" hidden="false" customHeight="false" outlineLevel="0" collapsed="false">
      <c r="A7584" s="15" t="s">
        <v>7641</v>
      </c>
      <c r="B7584" s="16" t="n">
        <v>44918</v>
      </c>
      <c r="C7584" s="15" t="s">
        <v>56</v>
      </c>
      <c r="D7584" s="15" t="s">
        <v>44</v>
      </c>
      <c r="E7584" s="15" t="s">
        <v>39</v>
      </c>
      <c r="F7584" s="15" t="s">
        <v>16</v>
      </c>
      <c r="G7584" s="15" t="s">
        <v>22</v>
      </c>
      <c r="H7584" s="15" t="n">
        <v>4</v>
      </c>
      <c r="I7584" s="17" t="n">
        <v>0</v>
      </c>
      <c r="J7584" s="18" t="n">
        <v>2165</v>
      </c>
      <c r="K7584" s="19" t="n">
        <v>-220.18</v>
      </c>
      <c r="L7584" s="15" t="n">
        <f aca="false">YEAR(B7584)</f>
        <v>2022</v>
      </c>
      <c r="M7584" s="20" t="n">
        <f aca="false">IF(J7584&gt;0,K7584/J7584,0)</f>
        <v>-0.101699769053118</v>
      </c>
    </row>
    <row r="7585" customFormat="false" ht="15" hidden="false" customHeight="false" outlineLevel="0" collapsed="false">
      <c r="A7585" s="15" t="s">
        <v>7642</v>
      </c>
      <c r="B7585" s="16" t="n">
        <v>45236</v>
      </c>
      <c r="C7585" s="15" t="s">
        <v>56</v>
      </c>
      <c r="D7585" s="15" t="s">
        <v>42</v>
      </c>
      <c r="E7585" s="15" t="s">
        <v>37</v>
      </c>
      <c r="F7585" s="15" t="s">
        <v>18</v>
      </c>
      <c r="G7585" s="15" t="s">
        <v>33</v>
      </c>
      <c r="H7585" s="15" t="n">
        <v>5</v>
      </c>
      <c r="I7585" s="17" t="n">
        <v>0.15</v>
      </c>
      <c r="J7585" s="18" t="n">
        <v>4321.03</v>
      </c>
      <c r="K7585" s="19" t="n">
        <v>333.44</v>
      </c>
      <c r="L7585" s="15" t="n">
        <f aca="false">YEAR(B7585)</f>
        <v>2023</v>
      </c>
      <c r="M7585" s="20" t="n">
        <f aca="false">IF(J7585&gt;0,K7585/J7585,0)</f>
        <v>0.077166786622634</v>
      </c>
    </row>
    <row r="7586" customFormat="false" ht="15" hidden="false" customHeight="false" outlineLevel="0" collapsed="false">
      <c r="A7586" s="15" t="s">
        <v>7643</v>
      </c>
      <c r="B7586" s="16" t="n">
        <v>44637</v>
      </c>
      <c r="C7586" s="15" t="s">
        <v>56</v>
      </c>
      <c r="D7586" s="15" t="s">
        <v>42</v>
      </c>
      <c r="E7586" s="15" t="s">
        <v>38</v>
      </c>
      <c r="F7586" s="15" t="s">
        <v>17</v>
      </c>
      <c r="G7586" s="15" t="s">
        <v>29</v>
      </c>
      <c r="H7586" s="15" t="n">
        <v>5</v>
      </c>
      <c r="I7586" s="17" t="n">
        <v>0.4</v>
      </c>
      <c r="J7586" s="18" t="n">
        <v>53.16</v>
      </c>
      <c r="K7586" s="19" t="n">
        <v>4.98</v>
      </c>
      <c r="L7586" s="15" t="n">
        <f aca="false">YEAR(B7586)</f>
        <v>2022</v>
      </c>
      <c r="M7586" s="20" t="n">
        <f aca="false">IF(J7586&gt;0,K7586/J7586,0)</f>
        <v>0.0936794582392777</v>
      </c>
    </row>
    <row r="7587" customFormat="false" ht="15" hidden="false" customHeight="false" outlineLevel="0" collapsed="false">
      <c r="A7587" s="15" t="s">
        <v>7644</v>
      </c>
      <c r="B7587" s="16" t="n">
        <v>45443</v>
      </c>
      <c r="C7587" s="15" t="s">
        <v>58</v>
      </c>
      <c r="D7587" s="15" t="s">
        <v>42</v>
      </c>
      <c r="E7587" s="15" t="s">
        <v>39</v>
      </c>
      <c r="F7587" s="15" t="s">
        <v>16</v>
      </c>
      <c r="G7587" s="15" t="s">
        <v>25</v>
      </c>
      <c r="H7587" s="15" t="n">
        <v>7</v>
      </c>
      <c r="I7587" s="17" t="n">
        <v>0</v>
      </c>
      <c r="J7587" s="18" t="n">
        <v>1942.51</v>
      </c>
      <c r="K7587" s="19" t="n">
        <v>248.59</v>
      </c>
      <c r="L7587" s="15" t="n">
        <f aca="false">YEAR(B7587)</f>
        <v>2024</v>
      </c>
      <c r="M7587" s="20" t="n">
        <f aca="false">IF(J7587&gt;0,K7587/J7587,0)</f>
        <v>0.127973601165502</v>
      </c>
    </row>
    <row r="7588" customFormat="false" ht="15" hidden="false" customHeight="false" outlineLevel="0" collapsed="false">
      <c r="A7588" s="15" t="s">
        <v>7645</v>
      </c>
      <c r="B7588" s="16" t="n">
        <v>45450</v>
      </c>
      <c r="C7588" s="15" t="s">
        <v>71</v>
      </c>
      <c r="D7588" s="15" t="s">
        <v>43</v>
      </c>
      <c r="E7588" s="15" t="s">
        <v>36</v>
      </c>
      <c r="F7588" s="15" t="s">
        <v>17</v>
      </c>
      <c r="G7588" s="15" t="s">
        <v>28</v>
      </c>
      <c r="H7588" s="15" t="n">
        <v>4</v>
      </c>
      <c r="I7588" s="17" t="n">
        <v>0.1</v>
      </c>
      <c r="J7588" s="18" t="n">
        <v>91.13</v>
      </c>
      <c r="K7588" s="19" t="n">
        <v>17.11</v>
      </c>
      <c r="L7588" s="15" t="n">
        <f aca="false">YEAR(B7588)</f>
        <v>2024</v>
      </c>
      <c r="M7588" s="20" t="n">
        <f aca="false">IF(J7588&gt;0,K7588/J7588,0)</f>
        <v>0.187753758367168</v>
      </c>
    </row>
    <row r="7589" customFormat="false" ht="15" hidden="false" customHeight="false" outlineLevel="0" collapsed="false">
      <c r="A7589" s="15" t="s">
        <v>7646</v>
      </c>
      <c r="B7589" s="16" t="n">
        <v>44629</v>
      </c>
      <c r="C7589" s="15" t="s">
        <v>56</v>
      </c>
      <c r="D7589" s="15" t="s">
        <v>42</v>
      </c>
      <c r="E7589" s="15" t="s">
        <v>39</v>
      </c>
      <c r="F7589" s="15" t="s">
        <v>16</v>
      </c>
      <c r="G7589" s="15" t="s">
        <v>23</v>
      </c>
      <c r="H7589" s="15" t="n">
        <v>3</v>
      </c>
      <c r="I7589" s="17" t="n">
        <v>0.1</v>
      </c>
      <c r="J7589" s="18" t="n">
        <v>779.62</v>
      </c>
      <c r="K7589" s="19" t="n">
        <v>-25.98</v>
      </c>
      <c r="L7589" s="15" t="n">
        <f aca="false">YEAR(B7589)</f>
        <v>2022</v>
      </c>
      <c r="M7589" s="20" t="n">
        <f aca="false">IF(J7589&gt;0,K7589/J7589,0)</f>
        <v>-0.0333239270413791</v>
      </c>
    </row>
    <row r="7590" customFormat="false" ht="15" hidden="false" customHeight="false" outlineLevel="0" collapsed="false">
      <c r="A7590" s="15" t="s">
        <v>7647</v>
      </c>
      <c r="B7590" s="16" t="n">
        <v>46014</v>
      </c>
      <c r="C7590" s="15" t="s">
        <v>68</v>
      </c>
      <c r="D7590" s="15" t="s">
        <v>42</v>
      </c>
      <c r="E7590" s="15" t="s">
        <v>38</v>
      </c>
      <c r="F7590" s="15" t="s">
        <v>16</v>
      </c>
      <c r="G7590" s="15" t="s">
        <v>27</v>
      </c>
      <c r="H7590" s="15" t="n">
        <v>3</v>
      </c>
      <c r="I7590" s="17" t="n">
        <v>0</v>
      </c>
      <c r="J7590" s="18" t="n">
        <v>170.58</v>
      </c>
      <c r="K7590" s="19" t="n">
        <v>39.82</v>
      </c>
      <c r="L7590" s="15" t="n">
        <f aca="false">YEAR(B7590)</f>
        <v>2025</v>
      </c>
      <c r="M7590" s="20" t="n">
        <f aca="false">IF(J7590&gt;0,K7590/J7590,0)</f>
        <v>0.233438855668894</v>
      </c>
    </row>
    <row r="7591" customFormat="false" ht="15" hidden="false" customHeight="false" outlineLevel="0" collapsed="false">
      <c r="A7591" s="15" t="s">
        <v>7648</v>
      </c>
      <c r="B7591" s="16" t="n">
        <v>45407</v>
      </c>
      <c r="C7591" s="15" t="s">
        <v>58</v>
      </c>
      <c r="D7591" s="15" t="s">
        <v>43</v>
      </c>
      <c r="E7591" s="15" t="s">
        <v>39</v>
      </c>
      <c r="F7591" s="15" t="s">
        <v>17</v>
      </c>
      <c r="G7591" s="15" t="s">
        <v>31</v>
      </c>
      <c r="H7591" s="15" t="n">
        <v>6</v>
      </c>
      <c r="I7591" s="17" t="n">
        <v>0</v>
      </c>
      <c r="J7591" s="18" t="n">
        <v>803.74</v>
      </c>
      <c r="K7591" s="19" t="n">
        <v>115.38</v>
      </c>
      <c r="L7591" s="15" t="n">
        <f aca="false">YEAR(B7591)</f>
        <v>2024</v>
      </c>
      <c r="M7591" s="20" t="n">
        <f aca="false">IF(J7591&gt;0,K7591/J7591,0)</f>
        <v>0.143553885584891</v>
      </c>
    </row>
    <row r="7592" customFormat="false" ht="15" hidden="false" customHeight="false" outlineLevel="0" collapsed="false">
      <c r="A7592" s="15" t="s">
        <v>7649</v>
      </c>
      <c r="B7592" s="16" t="n">
        <v>44971</v>
      </c>
      <c r="C7592" s="15" t="s">
        <v>71</v>
      </c>
      <c r="D7592" s="15" t="s">
        <v>43</v>
      </c>
      <c r="E7592" s="15" t="s">
        <v>36</v>
      </c>
      <c r="F7592" s="15" t="s">
        <v>17</v>
      </c>
      <c r="G7592" s="15" t="s">
        <v>31</v>
      </c>
      <c r="H7592" s="15" t="n">
        <v>5</v>
      </c>
      <c r="I7592" s="17" t="n">
        <v>0</v>
      </c>
      <c r="J7592" s="18" t="n">
        <v>579.46</v>
      </c>
      <c r="K7592" s="19" t="n">
        <v>119.32</v>
      </c>
      <c r="L7592" s="15" t="n">
        <f aca="false">YEAR(B7592)</f>
        <v>2023</v>
      </c>
      <c r="M7592" s="20" t="n">
        <f aca="false">IF(J7592&gt;0,K7592/J7592,0)</f>
        <v>0.205915852690436</v>
      </c>
    </row>
    <row r="7593" customFormat="false" ht="15" hidden="false" customHeight="false" outlineLevel="0" collapsed="false">
      <c r="A7593" s="15" t="s">
        <v>7650</v>
      </c>
      <c r="B7593" s="16" t="n">
        <v>45483</v>
      </c>
      <c r="C7593" s="15" t="s">
        <v>56</v>
      </c>
      <c r="D7593" s="15" t="s">
        <v>44</v>
      </c>
      <c r="E7593" s="15" t="s">
        <v>38</v>
      </c>
      <c r="F7593" s="15" t="s">
        <v>17</v>
      </c>
      <c r="G7593" s="15" t="s">
        <v>26</v>
      </c>
      <c r="H7593" s="15" t="n">
        <v>6</v>
      </c>
      <c r="I7593" s="17" t="n">
        <v>0.2</v>
      </c>
      <c r="J7593" s="18" t="n">
        <v>397.86</v>
      </c>
      <c r="K7593" s="19" t="n">
        <v>-12.33</v>
      </c>
      <c r="L7593" s="15" t="n">
        <f aca="false">YEAR(B7593)</f>
        <v>2024</v>
      </c>
      <c r="M7593" s="20" t="n">
        <f aca="false">IF(J7593&gt;0,K7593/J7593,0)</f>
        <v>-0.0309908007841954</v>
      </c>
    </row>
    <row r="7594" customFormat="false" ht="15" hidden="false" customHeight="false" outlineLevel="0" collapsed="false">
      <c r="A7594" s="15" t="s">
        <v>7651</v>
      </c>
      <c r="B7594" s="16" t="n">
        <v>45888</v>
      </c>
      <c r="C7594" s="15" t="s">
        <v>71</v>
      </c>
      <c r="D7594" s="15" t="s">
        <v>42</v>
      </c>
      <c r="E7594" s="15" t="s">
        <v>37</v>
      </c>
      <c r="F7594" s="15" t="s">
        <v>18</v>
      </c>
      <c r="G7594" s="15" t="s">
        <v>32</v>
      </c>
      <c r="H7594" s="15" t="n">
        <v>5</v>
      </c>
      <c r="I7594" s="17" t="n">
        <v>0</v>
      </c>
      <c r="J7594" s="18" t="n">
        <v>2332.87</v>
      </c>
      <c r="K7594" s="19" t="n">
        <v>495.85</v>
      </c>
      <c r="L7594" s="15" t="n">
        <f aca="false">YEAR(B7594)</f>
        <v>2025</v>
      </c>
      <c r="M7594" s="20" t="n">
        <f aca="false">IF(J7594&gt;0,K7594/J7594,0)</f>
        <v>0.212549349085033</v>
      </c>
    </row>
    <row r="7595" customFormat="false" ht="15" hidden="false" customHeight="false" outlineLevel="0" collapsed="false">
      <c r="A7595" s="15" t="s">
        <v>7652</v>
      </c>
      <c r="B7595" s="16" t="n">
        <v>44760</v>
      </c>
      <c r="C7595" s="15" t="s">
        <v>56</v>
      </c>
      <c r="D7595" s="15" t="s">
        <v>42</v>
      </c>
      <c r="E7595" s="15" t="s">
        <v>39</v>
      </c>
      <c r="F7595" s="15" t="s">
        <v>18</v>
      </c>
      <c r="G7595" s="15" t="s">
        <v>32</v>
      </c>
      <c r="H7595" s="15" t="n">
        <v>5</v>
      </c>
      <c r="I7595" s="17" t="n">
        <v>0.2</v>
      </c>
      <c r="J7595" s="18" t="n">
        <v>1782.94</v>
      </c>
      <c r="K7595" s="19" t="n">
        <v>80.84</v>
      </c>
      <c r="L7595" s="15" t="n">
        <f aca="false">YEAR(B7595)</f>
        <v>2022</v>
      </c>
      <c r="M7595" s="20" t="n">
        <f aca="false">IF(J7595&gt;0,K7595/J7595,0)</f>
        <v>0.0453408415314032</v>
      </c>
    </row>
    <row r="7596" customFormat="false" ht="15" hidden="false" customHeight="false" outlineLevel="0" collapsed="false">
      <c r="A7596" s="15" t="s">
        <v>7653</v>
      </c>
      <c r="B7596" s="16" t="n">
        <v>45998</v>
      </c>
      <c r="C7596" s="15" t="s">
        <v>56</v>
      </c>
      <c r="D7596" s="15" t="s">
        <v>42</v>
      </c>
      <c r="E7596" s="15" t="s">
        <v>36</v>
      </c>
      <c r="F7596" s="15" t="s">
        <v>18</v>
      </c>
      <c r="G7596" s="15" t="s">
        <v>30</v>
      </c>
      <c r="H7596" s="15" t="n">
        <v>4</v>
      </c>
      <c r="I7596" s="17" t="n">
        <v>0</v>
      </c>
      <c r="J7596" s="18" t="n">
        <v>154.1</v>
      </c>
      <c r="K7596" s="19" t="n">
        <v>39.14</v>
      </c>
      <c r="L7596" s="15" t="n">
        <f aca="false">YEAR(B7596)</f>
        <v>2025</v>
      </c>
      <c r="M7596" s="20" t="n">
        <f aca="false">IF(J7596&gt;0,K7596/J7596,0)</f>
        <v>0.253990914990266</v>
      </c>
    </row>
    <row r="7597" customFormat="false" ht="15" hidden="false" customHeight="false" outlineLevel="0" collapsed="false">
      <c r="A7597" s="15" t="s">
        <v>7654</v>
      </c>
      <c r="B7597" s="16" t="n">
        <v>45616</v>
      </c>
      <c r="C7597" s="15" t="s">
        <v>56</v>
      </c>
      <c r="D7597" s="15" t="s">
        <v>44</v>
      </c>
      <c r="E7597" s="15" t="s">
        <v>38</v>
      </c>
      <c r="F7597" s="15" t="s">
        <v>18</v>
      </c>
      <c r="G7597" s="15" t="s">
        <v>30</v>
      </c>
      <c r="H7597" s="15" t="n">
        <v>3</v>
      </c>
      <c r="I7597" s="17" t="n">
        <v>0.4</v>
      </c>
      <c r="J7597" s="18" t="n">
        <v>66</v>
      </c>
      <c r="K7597" s="19" t="n">
        <v>-7.52</v>
      </c>
      <c r="L7597" s="15" t="n">
        <f aca="false">YEAR(B7597)</f>
        <v>2024</v>
      </c>
      <c r="M7597" s="20" t="n">
        <f aca="false">IF(J7597&gt;0,K7597/J7597,0)</f>
        <v>-0.113939393939394</v>
      </c>
    </row>
    <row r="7598" customFormat="false" ht="15" hidden="false" customHeight="false" outlineLevel="0" collapsed="false">
      <c r="A7598" s="15" t="s">
        <v>7655</v>
      </c>
      <c r="B7598" s="16" t="n">
        <v>45271</v>
      </c>
      <c r="C7598" s="15" t="s">
        <v>56</v>
      </c>
      <c r="D7598" s="15" t="s">
        <v>43</v>
      </c>
      <c r="E7598" s="15" t="s">
        <v>36</v>
      </c>
      <c r="F7598" s="15" t="s">
        <v>17</v>
      </c>
      <c r="G7598" s="15" t="s">
        <v>29</v>
      </c>
      <c r="H7598" s="15" t="n">
        <v>2</v>
      </c>
      <c r="I7598" s="17" t="n">
        <v>0.4</v>
      </c>
      <c r="J7598" s="18" t="n">
        <v>23.03</v>
      </c>
      <c r="K7598" s="19" t="n">
        <v>1.29</v>
      </c>
      <c r="L7598" s="15" t="n">
        <f aca="false">YEAR(B7598)</f>
        <v>2023</v>
      </c>
      <c r="M7598" s="20" t="n">
        <f aca="false">IF(J7598&gt;0,K7598/J7598,0)</f>
        <v>0.05601389491967</v>
      </c>
    </row>
    <row r="7599" customFormat="false" ht="15" hidden="false" customHeight="false" outlineLevel="0" collapsed="false">
      <c r="A7599" s="15" t="s">
        <v>7656</v>
      </c>
      <c r="B7599" s="16" t="n">
        <v>45584</v>
      </c>
      <c r="C7599" s="15" t="s">
        <v>71</v>
      </c>
      <c r="D7599" s="15" t="s">
        <v>42</v>
      </c>
      <c r="E7599" s="15" t="s">
        <v>39</v>
      </c>
      <c r="F7599" s="15" t="s">
        <v>18</v>
      </c>
      <c r="G7599" s="15" t="s">
        <v>30</v>
      </c>
      <c r="H7599" s="15" t="n">
        <v>3</v>
      </c>
      <c r="I7599" s="17" t="n">
        <v>0</v>
      </c>
      <c r="J7599" s="18" t="n">
        <v>138.77</v>
      </c>
      <c r="K7599" s="19" t="n">
        <v>40.25</v>
      </c>
      <c r="L7599" s="15" t="n">
        <f aca="false">YEAR(B7599)</f>
        <v>2024</v>
      </c>
      <c r="M7599" s="20" t="n">
        <f aca="false">IF(J7599&gt;0,K7599/J7599,0)</f>
        <v>0.290048281328817</v>
      </c>
    </row>
    <row r="7600" customFormat="false" ht="15" hidden="false" customHeight="false" outlineLevel="0" collapsed="false">
      <c r="A7600" s="15" t="s">
        <v>7657</v>
      </c>
      <c r="B7600" s="16" t="n">
        <v>45855</v>
      </c>
      <c r="C7600" s="15" t="s">
        <v>56</v>
      </c>
      <c r="D7600" s="15" t="s">
        <v>43</v>
      </c>
      <c r="E7600" s="15" t="s">
        <v>39</v>
      </c>
      <c r="F7600" s="15" t="s">
        <v>17</v>
      </c>
      <c r="G7600" s="15" t="s">
        <v>26</v>
      </c>
      <c r="H7600" s="15" t="n">
        <v>7</v>
      </c>
      <c r="I7600" s="17" t="n">
        <v>0.05</v>
      </c>
      <c r="J7600" s="18" t="n">
        <v>670.87</v>
      </c>
      <c r="K7600" s="19" t="n">
        <v>52.45</v>
      </c>
      <c r="L7600" s="15" t="n">
        <f aca="false">YEAR(B7600)</f>
        <v>2025</v>
      </c>
      <c r="M7600" s="20" t="n">
        <f aca="false">IF(J7600&gt;0,K7600/J7600,0)</f>
        <v>0.0781820620984692</v>
      </c>
    </row>
    <row r="7601" customFormat="false" ht="15" hidden="false" customHeight="false" outlineLevel="0" collapsed="false">
      <c r="A7601" s="15" t="s">
        <v>7658</v>
      </c>
      <c r="B7601" s="16" t="n">
        <v>45914</v>
      </c>
      <c r="C7601" s="15" t="s">
        <v>71</v>
      </c>
      <c r="D7601" s="15" t="s">
        <v>42</v>
      </c>
      <c r="E7601" s="15" t="s">
        <v>37</v>
      </c>
      <c r="F7601" s="15" t="s">
        <v>17</v>
      </c>
      <c r="G7601" s="15" t="s">
        <v>29</v>
      </c>
      <c r="H7601" s="15" t="n">
        <v>2</v>
      </c>
      <c r="I7601" s="17" t="n">
        <v>0</v>
      </c>
      <c r="J7601" s="18" t="n">
        <v>39.07</v>
      </c>
      <c r="K7601" s="19" t="n">
        <v>14.87</v>
      </c>
      <c r="L7601" s="15" t="n">
        <f aca="false">YEAR(B7601)</f>
        <v>2025</v>
      </c>
      <c r="M7601" s="20" t="n">
        <f aca="false">IF(J7601&gt;0,K7601/J7601,0)</f>
        <v>0.380598925006399</v>
      </c>
    </row>
    <row r="7602" customFormat="false" ht="15" hidden="false" customHeight="false" outlineLevel="0" collapsed="false">
      <c r="A7602" s="15" t="s">
        <v>7659</v>
      </c>
      <c r="B7602" s="16" t="n">
        <v>44921</v>
      </c>
      <c r="C7602" s="15" t="s">
        <v>56</v>
      </c>
      <c r="D7602" s="15" t="s">
        <v>42</v>
      </c>
      <c r="E7602" s="15" t="s">
        <v>39</v>
      </c>
      <c r="F7602" s="15" t="s">
        <v>17</v>
      </c>
      <c r="G7602" s="15" t="s">
        <v>28</v>
      </c>
      <c r="H7602" s="15" t="n">
        <v>4</v>
      </c>
      <c r="I7602" s="17" t="n">
        <v>0.3</v>
      </c>
      <c r="J7602" s="18" t="n">
        <v>89.28</v>
      </c>
      <c r="K7602" s="19" t="n">
        <v>-4.71</v>
      </c>
      <c r="L7602" s="15" t="n">
        <f aca="false">YEAR(B7602)</f>
        <v>2022</v>
      </c>
      <c r="M7602" s="20" t="n">
        <f aca="false">IF(J7602&gt;0,K7602/J7602,0)</f>
        <v>-0.052755376344086</v>
      </c>
    </row>
    <row r="7603" customFormat="false" ht="15" hidden="false" customHeight="false" outlineLevel="0" collapsed="false">
      <c r="A7603" s="15" t="s">
        <v>7660</v>
      </c>
      <c r="B7603" s="16" t="n">
        <v>45964</v>
      </c>
      <c r="C7603" s="15" t="s">
        <v>71</v>
      </c>
      <c r="D7603" s="15" t="s">
        <v>43</v>
      </c>
      <c r="E7603" s="15" t="s">
        <v>36</v>
      </c>
      <c r="F7603" s="15" t="s">
        <v>17</v>
      </c>
      <c r="G7603" s="15" t="s">
        <v>26</v>
      </c>
      <c r="H7603" s="15" t="n">
        <v>4</v>
      </c>
      <c r="I7603" s="17" t="n">
        <v>0.1</v>
      </c>
      <c r="J7603" s="18" t="n">
        <v>283.01</v>
      </c>
      <c r="K7603" s="19" t="n">
        <v>23.5</v>
      </c>
      <c r="L7603" s="15" t="n">
        <f aca="false">YEAR(B7603)</f>
        <v>2025</v>
      </c>
      <c r="M7603" s="20" t="n">
        <f aca="false">IF(J7603&gt;0,K7603/J7603,0)</f>
        <v>0.0830359351259673</v>
      </c>
    </row>
    <row r="7604" customFormat="false" ht="15" hidden="false" customHeight="false" outlineLevel="0" collapsed="false">
      <c r="A7604" s="15" t="s">
        <v>7661</v>
      </c>
      <c r="B7604" s="16" t="n">
        <v>45364</v>
      </c>
      <c r="C7604" s="15" t="s">
        <v>71</v>
      </c>
      <c r="D7604" s="15" t="s">
        <v>43</v>
      </c>
      <c r="E7604" s="15" t="s">
        <v>36</v>
      </c>
      <c r="F7604" s="15" t="s">
        <v>17</v>
      </c>
      <c r="G7604" s="15" t="s">
        <v>26</v>
      </c>
      <c r="H7604" s="15" t="n">
        <v>3</v>
      </c>
      <c r="I7604" s="17" t="n">
        <v>0.2</v>
      </c>
      <c r="J7604" s="18" t="n">
        <v>216.98</v>
      </c>
      <c r="K7604" s="19" t="n">
        <v>-4.97</v>
      </c>
      <c r="L7604" s="15" t="n">
        <f aca="false">YEAR(B7604)</f>
        <v>2024</v>
      </c>
      <c r="M7604" s="20" t="n">
        <f aca="false">IF(J7604&gt;0,K7604/J7604,0)</f>
        <v>-0.0229053368974099</v>
      </c>
    </row>
    <row r="7605" customFormat="false" ht="15" hidden="false" customHeight="false" outlineLevel="0" collapsed="false">
      <c r="A7605" s="15" t="s">
        <v>7662</v>
      </c>
      <c r="B7605" s="16" t="n">
        <v>45059</v>
      </c>
      <c r="C7605" s="15" t="s">
        <v>68</v>
      </c>
      <c r="D7605" s="15" t="s">
        <v>42</v>
      </c>
      <c r="E7605" s="15" t="s">
        <v>37</v>
      </c>
      <c r="F7605" s="15" t="s">
        <v>16</v>
      </c>
      <c r="G7605" s="15" t="s">
        <v>27</v>
      </c>
      <c r="H7605" s="15" t="n">
        <v>2</v>
      </c>
      <c r="I7605" s="17" t="n">
        <v>0</v>
      </c>
      <c r="J7605" s="18" t="n">
        <v>132.08</v>
      </c>
      <c r="K7605" s="19" t="n">
        <v>27.17</v>
      </c>
      <c r="L7605" s="15" t="n">
        <f aca="false">YEAR(B7605)</f>
        <v>2023</v>
      </c>
      <c r="M7605" s="20" t="n">
        <f aca="false">IF(J7605&gt;0,K7605/J7605,0)</f>
        <v>0.205708661417323</v>
      </c>
    </row>
    <row r="7606" customFormat="false" ht="15" hidden="false" customHeight="false" outlineLevel="0" collapsed="false">
      <c r="A7606" s="15" t="s">
        <v>7663</v>
      </c>
      <c r="B7606" s="16" t="n">
        <v>44696</v>
      </c>
      <c r="C7606" s="15" t="s">
        <v>56</v>
      </c>
      <c r="D7606" s="15" t="s">
        <v>44</v>
      </c>
      <c r="E7606" s="15" t="s">
        <v>36</v>
      </c>
      <c r="F7606" s="15" t="s">
        <v>16</v>
      </c>
      <c r="G7606" s="15" t="s">
        <v>25</v>
      </c>
      <c r="H7606" s="15" t="n">
        <v>2</v>
      </c>
      <c r="I7606" s="17" t="n">
        <v>0.2</v>
      </c>
      <c r="J7606" s="18" t="n">
        <v>458.35</v>
      </c>
      <c r="K7606" s="19" t="n">
        <v>-31.96</v>
      </c>
      <c r="L7606" s="15" t="n">
        <f aca="false">YEAR(B7606)</f>
        <v>2022</v>
      </c>
      <c r="M7606" s="20" t="n">
        <f aca="false">IF(J7606&gt;0,K7606/J7606,0)</f>
        <v>-0.0697283735136904</v>
      </c>
    </row>
    <row r="7607" customFormat="false" ht="15" hidden="false" customHeight="false" outlineLevel="0" collapsed="false">
      <c r="A7607" s="15" t="s">
        <v>7664</v>
      </c>
      <c r="B7607" s="16" t="n">
        <v>45192</v>
      </c>
      <c r="C7607" s="15" t="s">
        <v>56</v>
      </c>
      <c r="D7607" s="15" t="s">
        <v>42</v>
      </c>
      <c r="E7607" s="15" t="s">
        <v>37</v>
      </c>
      <c r="F7607" s="15" t="s">
        <v>18</v>
      </c>
      <c r="G7607" s="15" t="s">
        <v>24</v>
      </c>
      <c r="H7607" s="15" t="n">
        <v>6</v>
      </c>
      <c r="I7607" s="17" t="n">
        <v>0.15</v>
      </c>
      <c r="J7607" s="18" t="n">
        <v>3101.44</v>
      </c>
      <c r="K7607" s="19" t="n">
        <v>-168.56</v>
      </c>
      <c r="L7607" s="15" t="n">
        <f aca="false">YEAR(B7607)</f>
        <v>2023</v>
      </c>
      <c r="M7607" s="20" t="n">
        <f aca="false">IF(J7607&gt;0,K7607/J7607,0)</f>
        <v>-0.0543489475856376</v>
      </c>
    </row>
    <row r="7608" customFormat="false" ht="15" hidden="false" customHeight="false" outlineLevel="0" collapsed="false">
      <c r="A7608" s="15" t="s">
        <v>7665</v>
      </c>
      <c r="B7608" s="16" t="n">
        <v>44743</v>
      </c>
      <c r="C7608" s="15" t="s">
        <v>68</v>
      </c>
      <c r="D7608" s="15" t="s">
        <v>44</v>
      </c>
      <c r="E7608" s="15" t="s">
        <v>37</v>
      </c>
      <c r="F7608" s="15" t="s">
        <v>17</v>
      </c>
      <c r="G7608" s="15" t="s">
        <v>29</v>
      </c>
      <c r="H7608" s="15" t="n">
        <v>5</v>
      </c>
      <c r="I7608" s="17" t="n">
        <v>0</v>
      </c>
      <c r="J7608" s="18" t="n">
        <v>94</v>
      </c>
      <c r="K7608" s="19" t="n">
        <v>34.17</v>
      </c>
      <c r="L7608" s="15" t="n">
        <f aca="false">YEAR(B7608)</f>
        <v>2022</v>
      </c>
      <c r="M7608" s="20" t="n">
        <f aca="false">IF(J7608&gt;0,K7608/J7608,0)</f>
        <v>0.363510638297872</v>
      </c>
    </row>
    <row r="7609" customFormat="false" ht="15" hidden="false" customHeight="false" outlineLevel="0" collapsed="false">
      <c r="A7609" s="15" t="s">
        <v>7666</v>
      </c>
      <c r="B7609" s="16" t="n">
        <v>44646</v>
      </c>
      <c r="C7609" s="15" t="s">
        <v>71</v>
      </c>
      <c r="D7609" s="15" t="s">
        <v>43</v>
      </c>
      <c r="E7609" s="15" t="s">
        <v>39</v>
      </c>
      <c r="F7609" s="15" t="s">
        <v>18</v>
      </c>
      <c r="G7609" s="15" t="s">
        <v>24</v>
      </c>
      <c r="H7609" s="15" t="n">
        <v>4</v>
      </c>
      <c r="I7609" s="17" t="n">
        <v>0</v>
      </c>
      <c r="J7609" s="18" t="n">
        <v>2971.08</v>
      </c>
      <c r="K7609" s="19" t="n">
        <v>119.64</v>
      </c>
      <c r="L7609" s="15" t="n">
        <f aca="false">YEAR(B7609)</f>
        <v>2022</v>
      </c>
      <c r="M7609" s="20" t="n">
        <f aca="false">IF(J7609&gt;0,K7609/J7609,0)</f>
        <v>0.0402681853063532</v>
      </c>
    </row>
    <row r="7610" customFormat="false" ht="15" hidden="false" customHeight="false" outlineLevel="0" collapsed="false">
      <c r="A7610" s="15" t="s">
        <v>7667</v>
      </c>
      <c r="B7610" s="16" t="n">
        <v>45237</v>
      </c>
      <c r="C7610" s="15" t="s">
        <v>56</v>
      </c>
      <c r="D7610" s="15" t="s">
        <v>43</v>
      </c>
      <c r="E7610" s="15" t="s">
        <v>38</v>
      </c>
      <c r="F7610" s="15" t="s">
        <v>17</v>
      </c>
      <c r="G7610" s="15" t="s">
        <v>28</v>
      </c>
      <c r="H7610" s="15" t="n">
        <v>7</v>
      </c>
      <c r="I7610" s="17" t="n">
        <v>0.4</v>
      </c>
      <c r="J7610" s="18" t="n">
        <v>90.12</v>
      </c>
      <c r="K7610" s="19" t="n">
        <v>-2.4</v>
      </c>
      <c r="L7610" s="15" t="n">
        <f aca="false">YEAR(B7610)</f>
        <v>2023</v>
      </c>
      <c r="M7610" s="20" t="n">
        <f aca="false">IF(J7610&gt;0,K7610/J7610,0)</f>
        <v>-0.0266311584553928</v>
      </c>
    </row>
    <row r="7611" customFormat="false" ht="15" hidden="false" customHeight="false" outlineLevel="0" collapsed="false">
      <c r="A7611" s="15" t="s">
        <v>7668</v>
      </c>
      <c r="B7611" s="16" t="n">
        <v>45773</v>
      </c>
      <c r="C7611" s="15" t="s">
        <v>71</v>
      </c>
      <c r="D7611" s="15" t="s">
        <v>42</v>
      </c>
      <c r="E7611" s="15" t="s">
        <v>38</v>
      </c>
      <c r="F7611" s="15" t="s">
        <v>16</v>
      </c>
      <c r="G7611" s="15" t="s">
        <v>22</v>
      </c>
      <c r="H7611" s="15" t="n">
        <v>3</v>
      </c>
      <c r="I7611" s="17" t="n">
        <v>0</v>
      </c>
      <c r="J7611" s="18" t="n">
        <v>1516.55</v>
      </c>
      <c r="K7611" s="19" t="n">
        <v>3.93</v>
      </c>
      <c r="L7611" s="15" t="n">
        <f aca="false">YEAR(B7611)</f>
        <v>2025</v>
      </c>
      <c r="M7611" s="20" t="n">
        <f aca="false">IF(J7611&gt;0,K7611/J7611,0)</f>
        <v>0.00259140813029574</v>
      </c>
    </row>
    <row r="7612" customFormat="false" ht="15" hidden="false" customHeight="false" outlineLevel="0" collapsed="false">
      <c r="A7612" s="15" t="s">
        <v>7669</v>
      </c>
      <c r="B7612" s="16" t="n">
        <v>44823</v>
      </c>
      <c r="C7612" s="15" t="s">
        <v>56</v>
      </c>
      <c r="D7612" s="15" t="s">
        <v>42</v>
      </c>
      <c r="E7612" s="15" t="s">
        <v>38</v>
      </c>
      <c r="F7612" s="15" t="s">
        <v>18</v>
      </c>
      <c r="G7612" s="15" t="s">
        <v>30</v>
      </c>
      <c r="H7612" s="15" t="n">
        <v>2</v>
      </c>
      <c r="I7612" s="17" t="n">
        <v>0</v>
      </c>
      <c r="J7612" s="18" t="n">
        <v>78.66</v>
      </c>
      <c r="K7612" s="19" t="n">
        <v>22.99</v>
      </c>
      <c r="L7612" s="15" t="n">
        <f aca="false">YEAR(B7612)</f>
        <v>2022</v>
      </c>
      <c r="M7612" s="20" t="n">
        <f aca="false">IF(J7612&gt;0,K7612/J7612,0)</f>
        <v>0.292270531400966</v>
      </c>
    </row>
    <row r="7613" customFormat="false" ht="15" hidden="false" customHeight="false" outlineLevel="0" collapsed="false">
      <c r="A7613" s="15" t="s">
        <v>7670</v>
      </c>
      <c r="B7613" s="16" t="n">
        <v>45557</v>
      </c>
      <c r="C7613" s="15" t="s">
        <v>58</v>
      </c>
      <c r="D7613" s="15" t="s">
        <v>44</v>
      </c>
      <c r="E7613" s="15" t="s">
        <v>36</v>
      </c>
      <c r="F7613" s="15" t="s">
        <v>17</v>
      </c>
      <c r="G7613" s="15" t="s">
        <v>28</v>
      </c>
      <c r="H7613" s="15" t="n">
        <v>6</v>
      </c>
      <c r="I7613" s="17" t="n">
        <v>0.1</v>
      </c>
      <c r="J7613" s="18" t="n">
        <v>132.5</v>
      </c>
      <c r="K7613" s="19" t="n">
        <v>18.11</v>
      </c>
      <c r="L7613" s="15" t="n">
        <f aca="false">YEAR(B7613)</f>
        <v>2024</v>
      </c>
      <c r="M7613" s="20" t="n">
        <f aca="false">IF(J7613&gt;0,K7613/J7613,0)</f>
        <v>0.136679245283019</v>
      </c>
    </row>
    <row r="7614" customFormat="false" ht="15" hidden="false" customHeight="false" outlineLevel="0" collapsed="false">
      <c r="A7614" s="15" t="s">
        <v>7671</v>
      </c>
      <c r="B7614" s="16" t="n">
        <v>44685</v>
      </c>
      <c r="C7614" s="15" t="s">
        <v>56</v>
      </c>
      <c r="D7614" s="15" t="s">
        <v>42</v>
      </c>
      <c r="E7614" s="15" t="s">
        <v>39</v>
      </c>
      <c r="F7614" s="15" t="s">
        <v>17</v>
      </c>
      <c r="G7614" s="15" t="s">
        <v>26</v>
      </c>
      <c r="H7614" s="15" t="n">
        <v>2</v>
      </c>
      <c r="I7614" s="17" t="n">
        <v>0.1</v>
      </c>
      <c r="J7614" s="18" t="n">
        <v>149.94</v>
      </c>
      <c r="K7614" s="19" t="n">
        <v>3.79</v>
      </c>
      <c r="L7614" s="15" t="n">
        <f aca="false">YEAR(B7614)</f>
        <v>2022</v>
      </c>
      <c r="M7614" s="20" t="n">
        <f aca="false">IF(J7614&gt;0,K7614/J7614,0)</f>
        <v>0.0252767773776177</v>
      </c>
    </row>
    <row r="7615" customFormat="false" ht="15" hidden="false" customHeight="false" outlineLevel="0" collapsed="false">
      <c r="A7615" s="15" t="s">
        <v>7672</v>
      </c>
      <c r="B7615" s="16" t="n">
        <v>45315</v>
      </c>
      <c r="C7615" s="15" t="s">
        <v>71</v>
      </c>
      <c r="D7615" s="15" t="s">
        <v>42</v>
      </c>
      <c r="E7615" s="15" t="s">
        <v>36</v>
      </c>
      <c r="F7615" s="15" t="s">
        <v>18</v>
      </c>
      <c r="G7615" s="15" t="s">
        <v>30</v>
      </c>
      <c r="H7615" s="15" t="n">
        <v>5</v>
      </c>
      <c r="I7615" s="17" t="n">
        <v>0</v>
      </c>
      <c r="J7615" s="18" t="n">
        <v>203.2</v>
      </c>
      <c r="K7615" s="19" t="n">
        <v>60.89</v>
      </c>
      <c r="L7615" s="15" t="n">
        <f aca="false">YEAR(B7615)</f>
        <v>2024</v>
      </c>
      <c r="M7615" s="20" t="n">
        <f aca="false">IF(J7615&gt;0,K7615/J7615,0)</f>
        <v>0.299655511811024</v>
      </c>
    </row>
    <row r="7616" customFormat="false" ht="15" hidden="false" customHeight="false" outlineLevel="0" collapsed="false">
      <c r="A7616" s="15" t="s">
        <v>7673</v>
      </c>
      <c r="B7616" s="16" t="n">
        <v>45818</v>
      </c>
      <c r="C7616" s="15" t="s">
        <v>56</v>
      </c>
      <c r="D7616" s="15" t="s">
        <v>43</v>
      </c>
      <c r="E7616" s="15" t="s">
        <v>39</v>
      </c>
      <c r="F7616" s="15" t="s">
        <v>18</v>
      </c>
      <c r="G7616" s="15" t="s">
        <v>30</v>
      </c>
      <c r="H7616" s="15" t="n">
        <v>1</v>
      </c>
      <c r="I7616" s="17" t="n">
        <v>0.2</v>
      </c>
      <c r="J7616" s="18" t="n">
        <v>39.32</v>
      </c>
      <c r="K7616" s="19" t="n">
        <v>4.3</v>
      </c>
      <c r="L7616" s="15" t="n">
        <f aca="false">YEAR(B7616)</f>
        <v>2025</v>
      </c>
      <c r="M7616" s="20" t="n">
        <f aca="false">IF(J7616&gt;0,K7616/J7616,0)</f>
        <v>0.109359104781282</v>
      </c>
    </row>
    <row r="7617" customFormat="false" ht="15" hidden="false" customHeight="false" outlineLevel="0" collapsed="false">
      <c r="A7617" s="15" t="s">
        <v>7674</v>
      </c>
      <c r="B7617" s="16" t="n">
        <v>45112</v>
      </c>
      <c r="C7617" s="15" t="s">
        <v>56</v>
      </c>
      <c r="D7617" s="15" t="s">
        <v>42</v>
      </c>
      <c r="E7617" s="15" t="s">
        <v>36</v>
      </c>
      <c r="F7617" s="15" t="s">
        <v>18</v>
      </c>
      <c r="G7617" s="15" t="s">
        <v>24</v>
      </c>
      <c r="H7617" s="15" t="n">
        <v>4</v>
      </c>
      <c r="I7617" s="17" t="n">
        <v>0.5</v>
      </c>
      <c r="J7617" s="18" t="n">
        <v>1070.31</v>
      </c>
      <c r="K7617" s="19" t="n">
        <v>-460.39</v>
      </c>
      <c r="L7617" s="15" t="n">
        <f aca="false">YEAR(B7617)</f>
        <v>2023</v>
      </c>
      <c r="M7617" s="20" t="n">
        <f aca="false">IF(J7617&gt;0,K7617/J7617,0)</f>
        <v>-0.430146406181387</v>
      </c>
    </row>
    <row r="7618" customFormat="false" ht="15" hidden="false" customHeight="false" outlineLevel="0" collapsed="false">
      <c r="A7618" s="15" t="s">
        <v>7675</v>
      </c>
      <c r="B7618" s="16" t="n">
        <v>45852</v>
      </c>
      <c r="C7618" s="15" t="s">
        <v>56</v>
      </c>
      <c r="D7618" s="15" t="s">
        <v>42</v>
      </c>
      <c r="E7618" s="15" t="s">
        <v>37</v>
      </c>
      <c r="F7618" s="15" t="s">
        <v>17</v>
      </c>
      <c r="G7618" s="15" t="s">
        <v>31</v>
      </c>
      <c r="H7618" s="15" t="n">
        <v>5</v>
      </c>
      <c r="I7618" s="17" t="n">
        <v>0</v>
      </c>
      <c r="J7618" s="18" t="n">
        <v>731.34</v>
      </c>
      <c r="K7618" s="19" t="n">
        <v>172.71</v>
      </c>
      <c r="L7618" s="15" t="n">
        <f aca="false">YEAR(B7618)</f>
        <v>2025</v>
      </c>
      <c r="M7618" s="20" t="n">
        <f aca="false">IF(J7618&gt;0,K7618/J7618,0)</f>
        <v>0.236155550086143</v>
      </c>
    </row>
    <row r="7619" customFormat="false" ht="15" hidden="false" customHeight="false" outlineLevel="0" collapsed="false">
      <c r="A7619" s="15" t="s">
        <v>7676</v>
      </c>
      <c r="B7619" s="16" t="n">
        <v>44784</v>
      </c>
      <c r="C7619" s="15" t="s">
        <v>56</v>
      </c>
      <c r="D7619" s="15" t="s">
        <v>42</v>
      </c>
      <c r="E7619" s="15" t="s">
        <v>38</v>
      </c>
      <c r="F7619" s="15" t="s">
        <v>18</v>
      </c>
      <c r="G7619" s="15" t="s">
        <v>33</v>
      </c>
      <c r="H7619" s="15" t="n">
        <v>4</v>
      </c>
      <c r="I7619" s="17" t="n">
        <v>0</v>
      </c>
      <c r="J7619" s="18" t="n">
        <v>3488</v>
      </c>
      <c r="K7619" s="19" t="n">
        <v>722.96</v>
      </c>
      <c r="L7619" s="15" t="n">
        <f aca="false">YEAR(B7619)</f>
        <v>2022</v>
      </c>
      <c r="M7619" s="20" t="n">
        <f aca="false">IF(J7619&gt;0,K7619/J7619,0)</f>
        <v>0.207270642201835</v>
      </c>
    </row>
    <row r="7620" customFormat="false" ht="15" hidden="false" customHeight="false" outlineLevel="0" collapsed="false">
      <c r="A7620" s="15" t="s">
        <v>7677</v>
      </c>
      <c r="B7620" s="16" t="n">
        <v>46010</v>
      </c>
      <c r="C7620" s="15" t="s">
        <v>71</v>
      </c>
      <c r="D7620" s="15" t="s">
        <v>42</v>
      </c>
      <c r="E7620" s="15" t="s">
        <v>38</v>
      </c>
      <c r="F7620" s="15" t="s">
        <v>17</v>
      </c>
      <c r="G7620" s="15" t="s">
        <v>26</v>
      </c>
      <c r="H7620" s="15" t="n">
        <v>3</v>
      </c>
      <c r="I7620" s="17" t="n">
        <v>0</v>
      </c>
      <c r="J7620" s="18" t="n">
        <v>205.75</v>
      </c>
      <c r="K7620" s="19" t="n">
        <v>18.2</v>
      </c>
      <c r="L7620" s="15" t="n">
        <f aca="false">YEAR(B7620)</f>
        <v>2025</v>
      </c>
      <c r="M7620" s="20" t="n">
        <f aca="false">IF(J7620&gt;0,K7620/J7620,0)</f>
        <v>0.088456865127582</v>
      </c>
    </row>
    <row r="7621" customFormat="false" ht="15" hidden="false" customHeight="false" outlineLevel="0" collapsed="false">
      <c r="A7621" s="15" t="s">
        <v>7678</v>
      </c>
      <c r="B7621" s="16" t="n">
        <v>45943</v>
      </c>
      <c r="C7621" s="15" t="s">
        <v>71</v>
      </c>
      <c r="D7621" s="15" t="s">
        <v>42</v>
      </c>
      <c r="E7621" s="15" t="s">
        <v>37</v>
      </c>
      <c r="F7621" s="15" t="s">
        <v>18</v>
      </c>
      <c r="G7621" s="15" t="s">
        <v>32</v>
      </c>
      <c r="H7621" s="15" t="n">
        <v>5</v>
      </c>
      <c r="I7621" s="17" t="n">
        <v>0</v>
      </c>
      <c r="J7621" s="18" t="n">
        <v>2192.49</v>
      </c>
      <c r="K7621" s="19" t="n">
        <v>394.24</v>
      </c>
      <c r="L7621" s="15" t="n">
        <f aca="false">YEAR(B7621)</f>
        <v>2025</v>
      </c>
      <c r="M7621" s="20" t="n">
        <f aca="false">IF(J7621&gt;0,K7621/J7621,0)</f>
        <v>0.179813818991193</v>
      </c>
    </row>
    <row r="7622" customFormat="false" ht="15" hidden="false" customHeight="false" outlineLevel="0" collapsed="false">
      <c r="A7622" s="15" t="s">
        <v>7679</v>
      </c>
      <c r="B7622" s="16" t="n">
        <v>45244</v>
      </c>
      <c r="C7622" s="15" t="s">
        <v>71</v>
      </c>
      <c r="D7622" s="15" t="s">
        <v>42</v>
      </c>
      <c r="E7622" s="15" t="s">
        <v>39</v>
      </c>
      <c r="F7622" s="15" t="s">
        <v>17</v>
      </c>
      <c r="G7622" s="15" t="s">
        <v>28</v>
      </c>
      <c r="H7622" s="15" t="n">
        <v>3</v>
      </c>
      <c r="I7622" s="17" t="n">
        <v>0.4</v>
      </c>
      <c r="J7622" s="18" t="n">
        <v>50.11</v>
      </c>
      <c r="K7622" s="19" t="n">
        <v>-4.9</v>
      </c>
      <c r="L7622" s="15" t="n">
        <f aca="false">YEAR(B7622)</f>
        <v>2023</v>
      </c>
      <c r="M7622" s="20" t="n">
        <f aca="false">IF(J7622&gt;0,K7622/J7622,0)</f>
        <v>-0.0977848732787867</v>
      </c>
    </row>
    <row r="7623" customFormat="false" ht="15" hidden="false" customHeight="false" outlineLevel="0" collapsed="false">
      <c r="A7623" s="15" t="s">
        <v>7680</v>
      </c>
      <c r="B7623" s="16" t="n">
        <v>45708</v>
      </c>
      <c r="C7623" s="15" t="s">
        <v>68</v>
      </c>
      <c r="D7623" s="15" t="s">
        <v>42</v>
      </c>
      <c r="E7623" s="15" t="s">
        <v>39</v>
      </c>
      <c r="F7623" s="15" t="s">
        <v>18</v>
      </c>
      <c r="G7623" s="15" t="s">
        <v>32</v>
      </c>
      <c r="H7623" s="15" t="n">
        <v>3</v>
      </c>
      <c r="I7623" s="17" t="n">
        <v>0.05</v>
      </c>
      <c r="J7623" s="18" t="n">
        <v>1703.44</v>
      </c>
      <c r="K7623" s="19" t="n">
        <v>243.07</v>
      </c>
      <c r="L7623" s="15" t="n">
        <f aca="false">YEAR(B7623)</f>
        <v>2025</v>
      </c>
      <c r="M7623" s="20" t="n">
        <f aca="false">IF(J7623&gt;0,K7623/J7623,0)</f>
        <v>0.142693608228056</v>
      </c>
    </row>
    <row r="7624" customFormat="false" ht="15" hidden="false" customHeight="false" outlineLevel="0" collapsed="false">
      <c r="A7624" s="15" t="s">
        <v>7681</v>
      </c>
      <c r="B7624" s="16" t="n">
        <v>45288</v>
      </c>
      <c r="C7624" s="15" t="s">
        <v>56</v>
      </c>
      <c r="D7624" s="15" t="s">
        <v>43</v>
      </c>
      <c r="E7624" s="15" t="s">
        <v>36</v>
      </c>
      <c r="F7624" s="15" t="s">
        <v>17</v>
      </c>
      <c r="G7624" s="15" t="s">
        <v>26</v>
      </c>
      <c r="H7624" s="15" t="n">
        <v>4</v>
      </c>
      <c r="I7624" s="17" t="n">
        <v>0</v>
      </c>
      <c r="J7624" s="18" t="n">
        <v>399.12</v>
      </c>
      <c r="K7624" s="19" t="n">
        <v>45.44</v>
      </c>
      <c r="L7624" s="15" t="n">
        <f aca="false">YEAR(B7624)</f>
        <v>2023</v>
      </c>
      <c r="M7624" s="20" t="n">
        <f aca="false">IF(J7624&gt;0,K7624/J7624,0)</f>
        <v>0.11385047103628</v>
      </c>
    </row>
    <row r="7625" customFormat="false" ht="15" hidden="false" customHeight="false" outlineLevel="0" collapsed="false">
      <c r="A7625" s="15" t="s">
        <v>7682</v>
      </c>
      <c r="B7625" s="16" t="n">
        <v>44571</v>
      </c>
      <c r="C7625" s="15" t="s">
        <v>56</v>
      </c>
      <c r="D7625" s="15" t="s">
        <v>42</v>
      </c>
      <c r="E7625" s="15" t="s">
        <v>38</v>
      </c>
      <c r="F7625" s="15" t="s">
        <v>16</v>
      </c>
      <c r="G7625" s="15" t="s">
        <v>23</v>
      </c>
      <c r="H7625" s="15" t="n">
        <v>5</v>
      </c>
      <c r="I7625" s="17" t="n">
        <v>0.2</v>
      </c>
      <c r="J7625" s="18" t="n">
        <v>1379.94</v>
      </c>
      <c r="K7625" s="19" t="n">
        <v>-206.1</v>
      </c>
      <c r="L7625" s="15" t="n">
        <f aca="false">YEAR(B7625)</f>
        <v>2022</v>
      </c>
      <c r="M7625" s="20" t="n">
        <f aca="false">IF(J7625&gt;0,K7625/J7625,0)</f>
        <v>-0.149354319753033</v>
      </c>
    </row>
    <row r="7626" customFormat="false" ht="15" hidden="false" customHeight="false" outlineLevel="0" collapsed="false">
      <c r="A7626" s="15" t="s">
        <v>7683</v>
      </c>
      <c r="B7626" s="16" t="n">
        <v>45387</v>
      </c>
      <c r="C7626" s="15" t="s">
        <v>71</v>
      </c>
      <c r="D7626" s="15" t="s">
        <v>43</v>
      </c>
      <c r="E7626" s="15" t="s">
        <v>38</v>
      </c>
      <c r="F7626" s="15" t="s">
        <v>17</v>
      </c>
      <c r="G7626" s="15" t="s">
        <v>28</v>
      </c>
      <c r="H7626" s="15" t="n">
        <v>5</v>
      </c>
      <c r="I7626" s="17" t="n">
        <v>0.4</v>
      </c>
      <c r="J7626" s="18" t="n">
        <v>81.34</v>
      </c>
      <c r="K7626" s="19" t="n">
        <v>-1.13</v>
      </c>
      <c r="L7626" s="15" t="n">
        <f aca="false">YEAR(B7626)</f>
        <v>2024</v>
      </c>
      <c r="M7626" s="20" t="n">
        <f aca="false">IF(J7626&gt;0,K7626/J7626,0)</f>
        <v>-0.0138923039095156</v>
      </c>
    </row>
    <row r="7627" customFormat="false" ht="15" hidden="false" customHeight="false" outlineLevel="0" collapsed="false">
      <c r="A7627" s="15" t="s">
        <v>7684</v>
      </c>
      <c r="B7627" s="16" t="n">
        <v>45787</v>
      </c>
      <c r="C7627" s="15" t="s">
        <v>56</v>
      </c>
      <c r="D7627" s="15" t="s">
        <v>43</v>
      </c>
      <c r="E7627" s="15" t="s">
        <v>39</v>
      </c>
      <c r="F7627" s="15" t="s">
        <v>17</v>
      </c>
      <c r="G7627" s="15" t="s">
        <v>26</v>
      </c>
      <c r="H7627" s="15" t="n">
        <v>6</v>
      </c>
      <c r="I7627" s="17" t="n">
        <v>0</v>
      </c>
      <c r="J7627" s="18" t="n">
        <v>697.77</v>
      </c>
      <c r="K7627" s="19" t="n">
        <v>96.51</v>
      </c>
      <c r="L7627" s="15" t="n">
        <f aca="false">YEAR(B7627)</f>
        <v>2025</v>
      </c>
      <c r="M7627" s="20" t="n">
        <f aca="false">IF(J7627&gt;0,K7627/J7627,0)</f>
        <v>0.138312051248979</v>
      </c>
    </row>
    <row r="7628" customFormat="false" ht="15" hidden="false" customHeight="false" outlineLevel="0" collapsed="false">
      <c r="A7628" s="15" t="s">
        <v>7685</v>
      </c>
      <c r="B7628" s="16" t="n">
        <v>45352</v>
      </c>
      <c r="C7628" s="15" t="s">
        <v>56</v>
      </c>
      <c r="D7628" s="15" t="s">
        <v>43</v>
      </c>
      <c r="E7628" s="15" t="s">
        <v>39</v>
      </c>
      <c r="F7628" s="15" t="s">
        <v>16</v>
      </c>
      <c r="G7628" s="15" t="s">
        <v>22</v>
      </c>
      <c r="H7628" s="15" t="n">
        <v>4</v>
      </c>
      <c r="I7628" s="17" t="n">
        <v>0.05</v>
      </c>
      <c r="J7628" s="18" t="n">
        <v>1891.5</v>
      </c>
      <c r="K7628" s="19" t="n">
        <v>-174.62</v>
      </c>
      <c r="L7628" s="15" t="n">
        <f aca="false">YEAR(B7628)</f>
        <v>2024</v>
      </c>
      <c r="M7628" s="20" t="n">
        <f aca="false">IF(J7628&gt;0,K7628/J7628,0)</f>
        <v>-0.0923182659265134</v>
      </c>
    </row>
    <row r="7629" customFormat="false" ht="15" hidden="false" customHeight="false" outlineLevel="0" collapsed="false">
      <c r="A7629" s="15" t="s">
        <v>7686</v>
      </c>
      <c r="B7629" s="16" t="n">
        <v>45787</v>
      </c>
      <c r="C7629" s="15" t="s">
        <v>71</v>
      </c>
      <c r="D7629" s="15" t="s">
        <v>43</v>
      </c>
      <c r="E7629" s="15" t="s">
        <v>36</v>
      </c>
      <c r="F7629" s="15" t="s">
        <v>16</v>
      </c>
      <c r="G7629" s="15" t="s">
        <v>27</v>
      </c>
      <c r="H7629" s="15" t="n">
        <v>4</v>
      </c>
      <c r="I7629" s="17" t="n">
        <v>0</v>
      </c>
      <c r="J7629" s="18" t="n">
        <v>203.84</v>
      </c>
      <c r="K7629" s="19" t="n">
        <v>36.42</v>
      </c>
      <c r="L7629" s="15" t="n">
        <f aca="false">YEAR(B7629)</f>
        <v>2025</v>
      </c>
      <c r="M7629" s="20" t="n">
        <f aca="false">IF(J7629&gt;0,K7629/J7629,0)</f>
        <v>0.178669544740973</v>
      </c>
    </row>
    <row r="7630" customFormat="false" ht="15" hidden="false" customHeight="false" outlineLevel="0" collapsed="false">
      <c r="A7630" s="15" t="s">
        <v>7687</v>
      </c>
      <c r="B7630" s="16" t="n">
        <v>45151</v>
      </c>
      <c r="C7630" s="15" t="s">
        <v>58</v>
      </c>
      <c r="D7630" s="15" t="s">
        <v>43</v>
      </c>
      <c r="E7630" s="15" t="s">
        <v>37</v>
      </c>
      <c r="F7630" s="15" t="s">
        <v>18</v>
      </c>
      <c r="G7630" s="15" t="s">
        <v>33</v>
      </c>
      <c r="H7630" s="15" t="n">
        <v>3</v>
      </c>
      <c r="I7630" s="17" t="n">
        <v>0</v>
      </c>
      <c r="J7630" s="18" t="n">
        <v>2294.67</v>
      </c>
      <c r="K7630" s="19" t="n">
        <v>621.04</v>
      </c>
      <c r="L7630" s="15" t="n">
        <f aca="false">YEAR(B7630)</f>
        <v>2023</v>
      </c>
      <c r="M7630" s="20" t="n">
        <f aca="false">IF(J7630&gt;0,K7630/J7630,0)</f>
        <v>0.270644580702236</v>
      </c>
    </row>
    <row r="7631" customFormat="false" ht="15" hidden="false" customHeight="false" outlineLevel="0" collapsed="false">
      <c r="A7631" s="15" t="s">
        <v>7688</v>
      </c>
      <c r="B7631" s="16" t="n">
        <v>45524</v>
      </c>
      <c r="C7631" s="15" t="s">
        <v>71</v>
      </c>
      <c r="D7631" s="15" t="s">
        <v>42</v>
      </c>
      <c r="E7631" s="15" t="s">
        <v>37</v>
      </c>
      <c r="F7631" s="15" t="s">
        <v>17</v>
      </c>
      <c r="G7631" s="15" t="s">
        <v>26</v>
      </c>
      <c r="H7631" s="15" t="n">
        <v>2</v>
      </c>
      <c r="I7631" s="17" t="n">
        <v>0</v>
      </c>
      <c r="J7631" s="18" t="n">
        <v>162.86</v>
      </c>
      <c r="K7631" s="19" t="n">
        <v>13.84</v>
      </c>
      <c r="L7631" s="15" t="n">
        <f aca="false">YEAR(B7631)</f>
        <v>2024</v>
      </c>
      <c r="M7631" s="20" t="n">
        <f aca="false">IF(J7631&gt;0,K7631/J7631,0)</f>
        <v>0.0849809652462237</v>
      </c>
    </row>
    <row r="7632" customFormat="false" ht="15" hidden="false" customHeight="false" outlineLevel="0" collapsed="false">
      <c r="A7632" s="15" t="s">
        <v>7689</v>
      </c>
      <c r="B7632" s="16" t="n">
        <v>45759</v>
      </c>
      <c r="C7632" s="15" t="s">
        <v>56</v>
      </c>
      <c r="D7632" s="15" t="s">
        <v>42</v>
      </c>
      <c r="E7632" s="15" t="s">
        <v>38</v>
      </c>
      <c r="F7632" s="15" t="s">
        <v>16</v>
      </c>
      <c r="G7632" s="15" t="s">
        <v>25</v>
      </c>
      <c r="H7632" s="15" t="n">
        <v>5</v>
      </c>
      <c r="I7632" s="17" t="n">
        <v>0</v>
      </c>
      <c r="J7632" s="18" t="n">
        <v>1149.62</v>
      </c>
      <c r="K7632" s="19" t="n">
        <v>91.76</v>
      </c>
      <c r="L7632" s="15" t="n">
        <f aca="false">YEAR(B7632)</f>
        <v>2025</v>
      </c>
      <c r="M7632" s="20" t="n">
        <f aca="false">IF(J7632&gt;0,K7632/J7632,0)</f>
        <v>0.0798176788851969</v>
      </c>
    </row>
    <row r="7633" customFormat="false" ht="15" hidden="false" customHeight="false" outlineLevel="0" collapsed="false">
      <c r="A7633" s="15" t="s">
        <v>7690</v>
      </c>
      <c r="B7633" s="16" t="n">
        <v>44599</v>
      </c>
      <c r="C7633" s="15" t="s">
        <v>56</v>
      </c>
      <c r="D7633" s="15" t="s">
        <v>44</v>
      </c>
      <c r="E7633" s="15" t="s">
        <v>37</v>
      </c>
      <c r="F7633" s="15" t="s">
        <v>18</v>
      </c>
      <c r="G7633" s="15" t="s">
        <v>30</v>
      </c>
      <c r="H7633" s="15" t="n">
        <v>3</v>
      </c>
      <c r="I7633" s="17" t="n">
        <v>0.1</v>
      </c>
      <c r="J7633" s="18" t="n">
        <v>126.43</v>
      </c>
      <c r="K7633" s="19" t="n">
        <v>22.95</v>
      </c>
      <c r="L7633" s="15" t="n">
        <f aca="false">YEAR(B7633)</f>
        <v>2022</v>
      </c>
      <c r="M7633" s="20" t="n">
        <f aca="false">IF(J7633&gt;0,K7633/J7633,0)</f>
        <v>0.181523372617259</v>
      </c>
    </row>
    <row r="7634" customFormat="false" ht="15" hidden="false" customHeight="false" outlineLevel="0" collapsed="false">
      <c r="A7634" s="15" t="s">
        <v>7691</v>
      </c>
      <c r="B7634" s="16" t="n">
        <v>45510</v>
      </c>
      <c r="C7634" s="15" t="s">
        <v>56</v>
      </c>
      <c r="D7634" s="15" t="s">
        <v>42</v>
      </c>
      <c r="E7634" s="15" t="s">
        <v>38</v>
      </c>
      <c r="F7634" s="15" t="s">
        <v>17</v>
      </c>
      <c r="G7634" s="15" t="s">
        <v>29</v>
      </c>
      <c r="H7634" s="15" t="n">
        <v>3</v>
      </c>
      <c r="I7634" s="17" t="n">
        <v>0.1</v>
      </c>
      <c r="J7634" s="18" t="n">
        <v>33.32</v>
      </c>
      <c r="K7634" s="19" t="n">
        <v>8.88</v>
      </c>
      <c r="L7634" s="15" t="n">
        <f aca="false">YEAR(B7634)</f>
        <v>2024</v>
      </c>
      <c r="M7634" s="20" t="n">
        <f aca="false">IF(J7634&gt;0,K7634/J7634,0)</f>
        <v>0.266506602641056</v>
      </c>
    </row>
    <row r="7635" customFormat="false" ht="15" hidden="false" customHeight="false" outlineLevel="0" collapsed="false">
      <c r="A7635" s="15" t="s">
        <v>7692</v>
      </c>
      <c r="B7635" s="16" t="n">
        <v>46020</v>
      </c>
      <c r="C7635" s="15" t="s">
        <v>56</v>
      </c>
      <c r="D7635" s="15" t="s">
        <v>43</v>
      </c>
      <c r="E7635" s="15" t="s">
        <v>38</v>
      </c>
      <c r="F7635" s="15" t="s">
        <v>16</v>
      </c>
      <c r="G7635" s="15" t="s">
        <v>25</v>
      </c>
      <c r="H7635" s="15" t="n">
        <v>3</v>
      </c>
      <c r="I7635" s="17" t="n">
        <v>0</v>
      </c>
      <c r="J7635" s="18" t="n">
        <v>902.65</v>
      </c>
      <c r="K7635" s="19" t="n">
        <v>81.6</v>
      </c>
      <c r="L7635" s="15" t="n">
        <f aca="false">YEAR(B7635)</f>
        <v>2025</v>
      </c>
      <c r="M7635" s="20" t="n">
        <f aca="false">IF(J7635&gt;0,K7635/J7635,0)</f>
        <v>0.0904004874536088</v>
      </c>
    </row>
    <row r="7636" customFormat="false" ht="15" hidden="false" customHeight="false" outlineLevel="0" collapsed="false">
      <c r="A7636" s="15" t="s">
        <v>7693</v>
      </c>
      <c r="B7636" s="16" t="n">
        <v>45093</v>
      </c>
      <c r="C7636" s="15" t="s">
        <v>58</v>
      </c>
      <c r="D7636" s="15" t="s">
        <v>43</v>
      </c>
      <c r="E7636" s="15" t="s">
        <v>38</v>
      </c>
      <c r="F7636" s="15" t="s">
        <v>17</v>
      </c>
      <c r="G7636" s="15" t="s">
        <v>26</v>
      </c>
      <c r="H7636" s="15" t="n">
        <v>3</v>
      </c>
      <c r="I7636" s="17" t="n">
        <v>0.05</v>
      </c>
      <c r="J7636" s="18" t="n">
        <v>247.92</v>
      </c>
      <c r="K7636" s="19" t="n">
        <v>4.13</v>
      </c>
      <c r="L7636" s="15" t="n">
        <f aca="false">YEAR(B7636)</f>
        <v>2023</v>
      </c>
      <c r="M7636" s="20" t="n">
        <f aca="false">IF(J7636&gt;0,K7636/J7636,0)</f>
        <v>0.0166585995482414</v>
      </c>
    </row>
    <row r="7637" customFormat="false" ht="15" hidden="false" customHeight="false" outlineLevel="0" collapsed="false">
      <c r="A7637" s="15" t="s">
        <v>7694</v>
      </c>
      <c r="B7637" s="16" t="n">
        <v>45789</v>
      </c>
      <c r="C7637" s="15" t="s">
        <v>71</v>
      </c>
      <c r="D7637" s="15" t="s">
        <v>42</v>
      </c>
      <c r="E7637" s="15" t="s">
        <v>36</v>
      </c>
      <c r="F7637" s="15" t="s">
        <v>18</v>
      </c>
      <c r="G7637" s="15" t="s">
        <v>30</v>
      </c>
      <c r="H7637" s="15" t="n">
        <v>2</v>
      </c>
      <c r="I7637" s="17" t="n">
        <v>0</v>
      </c>
      <c r="J7637" s="18" t="n">
        <v>81.39</v>
      </c>
      <c r="K7637" s="19" t="n">
        <v>27.72</v>
      </c>
      <c r="L7637" s="15" t="n">
        <f aca="false">YEAR(B7637)</f>
        <v>2025</v>
      </c>
      <c r="M7637" s="20" t="n">
        <f aca="false">IF(J7637&gt;0,K7637/J7637,0)</f>
        <v>0.340582381127903</v>
      </c>
    </row>
    <row r="7638" customFormat="false" ht="15" hidden="false" customHeight="false" outlineLevel="0" collapsed="false">
      <c r="A7638" s="15" t="s">
        <v>7695</v>
      </c>
      <c r="B7638" s="16" t="n">
        <v>45190</v>
      </c>
      <c r="C7638" s="15" t="s">
        <v>71</v>
      </c>
      <c r="D7638" s="15" t="s">
        <v>43</v>
      </c>
      <c r="E7638" s="15" t="s">
        <v>38</v>
      </c>
      <c r="F7638" s="15" t="s">
        <v>17</v>
      </c>
      <c r="G7638" s="15" t="s">
        <v>29</v>
      </c>
      <c r="H7638" s="15" t="n">
        <v>5</v>
      </c>
      <c r="I7638" s="17" t="n">
        <v>0.1</v>
      </c>
      <c r="J7638" s="18" t="n">
        <v>85.43</v>
      </c>
      <c r="K7638" s="19" t="n">
        <v>30.48</v>
      </c>
      <c r="L7638" s="15" t="n">
        <f aca="false">YEAR(B7638)</f>
        <v>2023</v>
      </c>
      <c r="M7638" s="20" t="n">
        <f aca="false">IF(J7638&gt;0,K7638/J7638,0)</f>
        <v>0.356783331382418</v>
      </c>
    </row>
    <row r="7639" customFormat="false" ht="15" hidden="false" customHeight="false" outlineLevel="0" collapsed="false">
      <c r="A7639" s="15" t="s">
        <v>7696</v>
      </c>
      <c r="B7639" s="16" t="n">
        <v>44831</v>
      </c>
      <c r="C7639" s="15" t="s">
        <v>56</v>
      </c>
      <c r="D7639" s="15" t="s">
        <v>42</v>
      </c>
      <c r="E7639" s="15" t="s">
        <v>39</v>
      </c>
      <c r="F7639" s="15" t="s">
        <v>18</v>
      </c>
      <c r="G7639" s="15" t="s">
        <v>33</v>
      </c>
      <c r="H7639" s="15" t="n">
        <v>4</v>
      </c>
      <c r="I7639" s="17" t="n">
        <v>0</v>
      </c>
      <c r="J7639" s="18" t="n">
        <v>4816.16</v>
      </c>
      <c r="K7639" s="19" t="n">
        <v>1212.45</v>
      </c>
      <c r="L7639" s="15" t="n">
        <f aca="false">YEAR(B7639)</f>
        <v>2022</v>
      </c>
      <c r="M7639" s="20" t="n">
        <f aca="false">IF(J7639&gt;0,K7639/J7639,0)</f>
        <v>0.251746204445035</v>
      </c>
    </row>
    <row r="7640" customFormat="false" ht="15" hidden="false" customHeight="false" outlineLevel="0" collapsed="false">
      <c r="A7640" s="15" t="s">
        <v>7697</v>
      </c>
      <c r="B7640" s="16" t="n">
        <v>45539</v>
      </c>
      <c r="C7640" s="15" t="s">
        <v>56</v>
      </c>
      <c r="D7640" s="15" t="s">
        <v>44</v>
      </c>
      <c r="E7640" s="15" t="s">
        <v>36</v>
      </c>
      <c r="F7640" s="15" t="s">
        <v>16</v>
      </c>
      <c r="G7640" s="15" t="s">
        <v>27</v>
      </c>
      <c r="H7640" s="15" t="n">
        <v>4</v>
      </c>
      <c r="I7640" s="17" t="n">
        <v>0.5</v>
      </c>
      <c r="J7640" s="18" t="n">
        <v>92.08</v>
      </c>
      <c r="K7640" s="19" t="n">
        <v>-24.1</v>
      </c>
      <c r="L7640" s="15" t="n">
        <f aca="false">YEAR(B7640)</f>
        <v>2024</v>
      </c>
      <c r="M7640" s="20" t="n">
        <f aca="false">IF(J7640&gt;0,K7640/J7640,0)</f>
        <v>-0.261728931364031</v>
      </c>
    </row>
    <row r="7641" customFormat="false" ht="15" hidden="false" customHeight="false" outlineLevel="0" collapsed="false">
      <c r="A7641" s="15" t="s">
        <v>7698</v>
      </c>
      <c r="B7641" s="16" t="n">
        <v>44711</v>
      </c>
      <c r="C7641" s="15" t="s">
        <v>58</v>
      </c>
      <c r="D7641" s="15" t="s">
        <v>44</v>
      </c>
      <c r="E7641" s="15" t="s">
        <v>37</v>
      </c>
      <c r="F7641" s="15" t="s">
        <v>18</v>
      </c>
      <c r="G7641" s="15" t="s">
        <v>32</v>
      </c>
      <c r="H7641" s="15" t="n">
        <v>4</v>
      </c>
      <c r="I7641" s="17" t="n">
        <v>0.1</v>
      </c>
      <c r="J7641" s="18" t="n">
        <v>1790.99</v>
      </c>
      <c r="K7641" s="19" t="n">
        <v>121.79</v>
      </c>
      <c r="L7641" s="15" t="n">
        <f aca="false">YEAR(B7641)</f>
        <v>2022</v>
      </c>
      <c r="M7641" s="20" t="n">
        <f aca="false">IF(J7641&gt;0,K7641/J7641,0)</f>
        <v>0.0680014963790976</v>
      </c>
    </row>
    <row r="7642" customFormat="false" ht="15" hidden="false" customHeight="false" outlineLevel="0" collapsed="false">
      <c r="A7642" s="15" t="s">
        <v>7699</v>
      </c>
      <c r="B7642" s="16" t="n">
        <v>46019</v>
      </c>
      <c r="C7642" s="15" t="s">
        <v>56</v>
      </c>
      <c r="D7642" s="15" t="s">
        <v>44</v>
      </c>
      <c r="E7642" s="15" t="s">
        <v>36</v>
      </c>
      <c r="F7642" s="15" t="s">
        <v>18</v>
      </c>
      <c r="G7642" s="15" t="s">
        <v>24</v>
      </c>
      <c r="H7642" s="15" t="n">
        <v>5</v>
      </c>
      <c r="I7642" s="17" t="n">
        <v>0.1</v>
      </c>
      <c r="J7642" s="18" t="n">
        <v>2471.07</v>
      </c>
      <c r="K7642" s="19" t="n">
        <v>-62.82</v>
      </c>
      <c r="L7642" s="15" t="n">
        <f aca="false">YEAR(B7642)</f>
        <v>2025</v>
      </c>
      <c r="M7642" s="20" t="n">
        <f aca="false">IF(J7642&gt;0,K7642/J7642,0)</f>
        <v>-0.0254221855309643</v>
      </c>
    </row>
    <row r="7643" customFormat="false" ht="15" hidden="false" customHeight="false" outlineLevel="0" collapsed="false">
      <c r="A7643" s="15" t="s">
        <v>7700</v>
      </c>
      <c r="B7643" s="16" t="n">
        <v>44876</v>
      </c>
      <c r="C7643" s="15" t="s">
        <v>56</v>
      </c>
      <c r="D7643" s="15" t="s">
        <v>42</v>
      </c>
      <c r="E7643" s="15" t="s">
        <v>39</v>
      </c>
      <c r="F7643" s="15" t="s">
        <v>16</v>
      </c>
      <c r="G7643" s="15" t="s">
        <v>27</v>
      </c>
      <c r="H7643" s="15" t="n">
        <v>2</v>
      </c>
      <c r="I7643" s="17" t="n">
        <v>0.2</v>
      </c>
      <c r="J7643" s="18" t="n">
        <v>93.54</v>
      </c>
      <c r="K7643" s="19" t="n">
        <v>2.72</v>
      </c>
      <c r="L7643" s="15" t="n">
        <f aca="false">YEAR(B7643)</f>
        <v>2022</v>
      </c>
      <c r="M7643" s="20" t="n">
        <f aca="false">IF(J7643&gt;0,K7643/J7643,0)</f>
        <v>0.0290784691041266</v>
      </c>
    </row>
    <row r="7644" customFormat="false" ht="15" hidden="false" customHeight="false" outlineLevel="0" collapsed="false">
      <c r="A7644" s="15" t="s">
        <v>7701</v>
      </c>
      <c r="B7644" s="16" t="n">
        <v>45394</v>
      </c>
      <c r="C7644" s="15" t="s">
        <v>56</v>
      </c>
      <c r="D7644" s="15" t="s">
        <v>43</v>
      </c>
      <c r="E7644" s="15" t="s">
        <v>36</v>
      </c>
      <c r="F7644" s="15" t="s">
        <v>16</v>
      </c>
      <c r="G7644" s="15" t="s">
        <v>27</v>
      </c>
      <c r="H7644" s="15" t="n">
        <v>8</v>
      </c>
      <c r="I7644" s="17" t="n">
        <v>0.4</v>
      </c>
      <c r="J7644" s="18" t="n">
        <v>256.08</v>
      </c>
      <c r="K7644" s="19" t="n">
        <v>-30.22</v>
      </c>
      <c r="L7644" s="15" t="n">
        <f aca="false">YEAR(B7644)</f>
        <v>2024</v>
      </c>
      <c r="M7644" s="20" t="n">
        <f aca="false">IF(J7644&gt;0,K7644/J7644,0)</f>
        <v>-0.118009996875976</v>
      </c>
    </row>
    <row r="7645" customFormat="false" ht="15" hidden="false" customHeight="false" outlineLevel="0" collapsed="false">
      <c r="A7645" s="15" t="s">
        <v>7702</v>
      </c>
      <c r="B7645" s="16" t="n">
        <v>45160</v>
      </c>
      <c r="C7645" s="15" t="s">
        <v>56</v>
      </c>
      <c r="D7645" s="15" t="s">
        <v>42</v>
      </c>
      <c r="E7645" s="15" t="s">
        <v>38</v>
      </c>
      <c r="F7645" s="15" t="s">
        <v>17</v>
      </c>
      <c r="G7645" s="15" t="s">
        <v>31</v>
      </c>
      <c r="H7645" s="15" t="n">
        <v>3</v>
      </c>
      <c r="I7645" s="17" t="n">
        <v>0</v>
      </c>
      <c r="J7645" s="18" t="n">
        <v>363.9</v>
      </c>
      <c r="K7645" s="19" t="n">
        <v>73.32</v>
      </c>
      <c r="L7645" s="15" t="n">
        <f aca="false">YEAR(B7645)</f>
        <v>2023</v>
      </c>
      <c r="M7645" s="20" t="n">
        <f aca="false">IF(J7645&gt;0,K7645/J7645,0)</f>
        <v>0.201483924154988</v>
      </c>
    </row>
    <row r="7646" customFormat="false" ht="15" hidden="false" customHeight="false" outlineLevel="0" collapsed="false">
      <c r="A7646" s="15" t="s">
        <v>7703</v>
      </c>
      <c r="B7646" s="16" t="n">
        <v>44786</v>
      </c>
      <c r="C7646" s="15" t="s">
        <v>58</v>
      </c>
      <c r="D7646" s="15" t="s">
        <v>43</v>
      </c>
      <c r="E7646" s="15" t="s">
        <v>36</v>
      </c>
      <c r="F7646" s="15" t="s">
        <v>17</v>
      </c>
      <c r="G7646" s="15" t="s">
        <v>26</v>
      </c>
      <c r="H7646" s="15" t="n">
        <v>3</v>
      </c>
      <c r="I7646" s="17" t="n">
        <v>0.05</v>
      </c>
      <c r="J7646" s="18" t="n">
        <v>197.21</v>
      </c>
      <c r="K7646" s="19" t="n">
        <v>18.61</v>
      </c>
      <c r="L7646" s="15" t="n">
        <f aca="false">YEAR(B7646)</f>
        <v>2022</v>
      </c>
      <c r="M7646" s="20" t="n">
        <f aca="false">IF(J7646&gt;0,K7646/J7646,0)</f>
        <v>0.0943664114395822</v>
      </c>
    </row>
    <row r="7647" customFormat="false" ht="15" hidden="false" customHeight="false" outlineLevel="0" collapsed="false">
      <c r="A7647" s="15" t="s">
        <v>7704</v>
      </c>
      <c r="B7647" s="16" t="n">
        <v>45049</v>
      </c>
      <c r="C7647" s="15" t="s">
        <v>56</v>
      </c>
      <c r="D7647" s="15" t="s">
        <v>43</v>
      </c>
      <c r="E7647" s="15" t="s">
        <v>38</v>
      </c>
      <c r="F7647" s="15" t="s">
        <v>17</v>
      </c>
      <c r="G7647" s="15" t="s">
        <v>31</v>
      </c>
      <c r="H7647" s="15" t="n">
        <v>3</v>
      </c>
      <c r="I7647" s="17" t="n">
        <v>0</v>
      </c>
      <c r="J7647" s="18" t="n">
        <v>329.18</v>
      </c>
      <c r="K7647" s="19" t="n">
        <v>71.9</v>
      </c>
      <c r="L7647" s="15" t="n">
        <f aca="false">YEAR(B7647)</f>
        <v>2023</v>
      </c>
      <c r="M7647" s="20" t="n">
        <f aca="false">IF(J7647&gt;0,K7647/J7647,0)</f>
        <v>0.218421532292363</v>
      </c>
    </row>
    <row r="7648" customFormat="false" ht="15" hidden="false" customHeight="false" outlineLevel="0" collapsed="false">
      <c r="A7648" s="15" t="s">
        <v>7705</v>
      </c>
      <c r="B7648" s="16" t="n">
        <v>45490</v>
      </c>
      <c r="C7648" s="15" t="s">
        <v>71</v>
      </c>
      <c r="D7648" s="15" t="s">
        <v>42</v>
      </c>
      <c r="E7648" s="15" t="s">
        <v>37</v>
      </c>
      <c r="F7648" s="15" t="s">
        <v>16</v>
      </c>
      <c r="G7648" s="15" t="s">
        <v>22</v>
      </c>
      <c r="H7648" s="15" t="n">
        <v>2</v>
      </c>
      <c r="I7648" s="17" t="n">
        <v>0</v>
      </c>
      <c r="J7648" s="18" t="n">
        <v>1085.31</v>
      </c>
      <c r="K7648" s="19" t="n">
        <v>-32.17</v>
      </c>
      <c r="L7648" s="15" t="n">
        <f aca="false">YEAR(B7648)</f>
        <v>2024</v>
      </c>
      <c r="M7648" s="20" t="n">
        <f aca="false">IF(J7648&gt;0,K7648/J7648,0)</f>
        <v>-0.0296413006422128</v>
      </c>
    </row>
    <row r="7649" customFormat="false" ht="15" hidden="false" customHeight="false" outlineLevel="0" collapsed="false">
      <c r="A7649" s="15" t="s">
        <v>7706</v>
      </c>
      <c r="B7649" s="16" t="n">
        <v>45201</v>
      </c>
      <c r="C7649" s="15" t="s">
        <v>56</v>
      </c>
      <c r="D7649" s="15" t="s">
        <v>44</v>
      </c>
      <c r="E7649" s="15" t="s">
        <v>36</v>
      </c>
      <c r="F7649" s="15" t="s">
        <v>17</v>
      </c>
      <c r="G7649" s="15" t="s">
        <v>29</v>
      </c>
      <c r="H7649" s="15" t="n">
        <v>2</v>
      </c>
      <c r="I7649" s="17" t="n">
        <v>0.4</v>
      </c>
      <c r="J7649" s="18" t="n">
        <v>22.11</v>
      </c>
      <c r="K7649" s="19" t="n">
        <v>-1.02</v>
      </c>
      <c r="L7649" s="15" t="n">
        <f aca="false">YEAR(B7649)</f>
        <v>2023</v>
      </c>
      <c r="M7649" s="20" t="n">
        <f aca="false">IF(J7649&gt;0,K7649/J7649,0)</f>
        <v>-0.0461329715061058</v>
      </c>
    </row>
    <row r="7650" customFormat="false" ht="15" hidden="false" customHeight="false" outlineLevel="0" collapsed="false">
      <c r="A7650" s="15" t="s">
        <v>7707</v>
      </c>
      <c r="B7650" s="16" t="n">
        <v>45727</v>
      </c>
      <c r="C7650" s="15" t="s">
        <v>56</v>
      </c>
      <c r="D7650" s="15" t="s">
        <v>43</v>
      </c>
      <c r="E7650" s="15" t="s">
        <v>39</v>
      </c>
      <c r="F7650" s="15" t="s">
        <v>17</v>
      </c>
      <c r="G7650" s="15" t="s">
        <v>31</v>
      </c>
      <c r="H7650" s="15" t="n">
        <v>3</v>
      </c>
      <c r="I7650" s="17" t="n">
        <v>0.05</v>
      </c>
      <c r="J7650" s="18" t="n">
        <v>508.98</v>
      </c>
      <c r="K7650" s="19" t="n">
        <v>97.46</v>
      </c>
      <c r="L7650" s="15" t="n">
        <f aca="false">YEAR(B7650)</f>
        <v>2025</v>
      </c>
      <c r="M7650" s="20" t="n">
        <f aca="false">IF(J7650&gt;0,K7650/J7650,0)</f>
        <v>0.191481001218123</v>
      </c>
    </row>
    <row r="7651" customFormat="false" ht="15" hidden="false" customHeight="false" outlineLevel="0" collapsed="false">
      <c r="A7651" s="15" t="s">
        <v>7708</v>
      </c>
      <c r="B7651" s="16" t="n">
        <v>45913</v>
      </c>
      <c r="C7651" s="15" t="s">
        <v>56</v>
      </c>
      <c r="D7651" s="15" t="s">
        <v>42</v>
      </c>
      <c r="E7651" s="15" t="s">
        <v>39</v>
      </c>
      <c r="F7651" s="15" t="s">
        <v>18</v>
      </c>
      <c r="G7651" s="15" t="s">
        <v>30</v>
      </c>
      <c r="H7651" s="15" t="n">
        <v>5</v>
      </c>
      <c r="I7651" s="17" t="n">
        <v>0.1</v>
      </c>
      <c r="J7651" s="18" t="n">
        <v>252.01</v>
      </c>
      <c r="K7651" s="19" t="n">
        <v>40.86</v>
      </c>
      <c r="L7651" s="15" t="n">
        <f aca="false">YEAR(B7651)</f>
        <v>2025</v>
      </c>
      <c r="M7651" s="20" t="n">
        <f aca="false">IF(J7651&gt;0,K7651/J7651,0)</f>
        <v>0.162136423157811</v>
      </c>
    </row>
    <row r="7652" customFormat="false" ht="15" hidden="false" customHeight="false" outlineLevel="0" collapsed="false">
      <c r="A7652" s="15" t="s">
        <v>7709</v>
      </c>
      <c r="B7652" s="16" t="n">
        <v>45447</v>
      </c>
      <c r="C7652" s="15" t="s">
        <v>56</v>
      </c>
      <c r="D7652" s="15" t="s">
        <v>42</v>
      </c>
      <c r="E7652" s="15" t="s">
        <v>37</v>
      </c>
      <c r="F7652" s="15" t="s">
        <v>16</v>
      </c>
      <c r="G7652" s="15" t="s">
        <v>22</v>
      </c>
      <c r="H7652" s="15" t="n">
        <v>4</v>
      </c>
      <c r="I7652" s="17" t="n">
        <v>0</v>
      </c>
      <c r="J7652" s="18" t="n">
        <v>2074.43</v>
      </c>
      <c r="K7652" s="19" t="n">
        <v>-145.29</v>
      </c>
      <c r="L7652" s="15" t="n">
        <f aca="false">YEAR(B7652)</f>
        <v>2024</v>
      </c>
      <c r="M7652" s="20" t="n">
        <f aca="false">IF(J7652&gt;0,K7652/J7652,0)</f>
        <v>-0.0700385166045613</v>
      </c>
    </row>
    <row r="7653" customFormat="false" ht="15" hidden="false" customHeight="false" outlineLevel="0" collapsed="false">
      <c r="A7653" s="15" t="s">
        <v>7710</v>
      </c>
      <c r="B7653" s="16" t="n">
        <v>44762</v>
      </c>
      <c r="C7653" s="15" t="s">
        <v>71</v>
      </c>
      <c r="D7653" s="15" t="s">
        <v>42</v>
      </c>
      <c r="E7653" s="15" t="s">
        <v>37</v>
      </c>
      <c r="F7653" s="15" t="s">
        <v>17</v>
      </c>
      <c r="G7653" s="15" t="s">
        <v>26</v>
      </c>
      <c r="H7653" s="15" t="n">
        <v>6</v>
      </c>
      <c r="I7653" s="17" t="n">
        <v>0.3</v>
      </c>
      <c r="J7653" s="18" t="n">
        <v>375.56</v>
      </c>
      <c r="K7653" s="19" t="n">
        <v>-74.74</v>
      </c>
      <c r="L7653" s="15" t="n">
        <f aca="false">YEAR(B7653)</f>
        <v>2022</v>
      </c>
      <c r="M7653" s="20" t="n">
        <f aca="false">IF(J7653&gt;0,K7653/J7653,0)</f>
        <v>-0.199009479177761</v>
      </c>
    </row>
    <row r="7654" customFormat="false" ht="15" hidden="false" customHeight="false" outlineLevel="0" collapsed="false">
      <c r="A7654" s="15" t="s">
        <v>7711</v>
      </c>
      <c r="B7654" s="16" t="n">
        <v>44883</v>
      </c>
      <c r="C7654" s="15" t="s">
        <v>71</v>
      </c>
      <c r="D7654" s="15" t="s">
        <v>42</v>
      </c>
      <c r="E7654" s="15" t="s">
        <v>38</v>
      </c>
      <c r="F7654" s="15" t="s">
        <v>17</v>
      </c>
      <c r="G7654" s="15" t="s">
        <v>29</v>
      </c>
      <c r="H7654" s="15" t="n">
        <v>5</v>
      </c>
      <c r="I7654" s="17" t="n">
        <v>0</v>
      </c>
      <c r="J7654" s="18" t="n">
        <v>68.97</v>
      </c>
      <c r="K7654" s="19" t="n">
        <v>28.61</v>
      </c>
      <c r="L7654" s="15" t="n">
        <f aca="false">YEAR(B7654)</f>
        <v>2022</v>
      </c>
      <c r="M7654" s="20" t="n">
        <f aca="false">IF(J7654&gt;0,K7654/J7654,0)</f>
        <v>0.414818036827606</v>
      </c>
    </row>
    <row r="7655" customFormat="false" ht="15" hidden="false" customHeight="false" outlineLevel="0" collapsed="false">
      <c r="A7655" s="15" t="s">
        <v>7712</v>
      </c>
      <c r="B7655" s="16" t="n">
        <v>45739</v>
      </c>
      <c r="C7655" s="15" t="s">
        <v>56</v>
      </c>
      <c r="D7655" s="15" t="s">
        <v>42</v>
      </c>
      <c r="E7655" s="15" t="s">
        <v>39</v>
      </c>
      <c r="F7655" s="15" t="s">
        <v>16</v>
      </c>
      <c r="G7655" s="15" t="s">
        <v>22</v>
      </c>
      <c r="H7655" s="15" t="n">
        <v>3</v>
      </c>
      <c r="I7655" s="17" t="n">
        <v>0.5</v>
      </c>
      <c r="J7655" s="18" t="n">
        <v>949.6</v>
      </c>
      <c r="K7655" s="19" t="n">
        <v>-419.69</v>
      </c>
      <c r="L7655" s="15" t="n">
        <f aca="false">YEAR(B7655)</f>
        <v>2025</v>
      </c>
      <c r="M7655" s="20" t="n">
        <f aca="false">IF(J7655&gt;0,K7655/J7655,0)</f>
        <v>-0.441965037910699</v>
      </c>
    </row>
    <row r="7656" customFormat="false" ht="15" hidden="false" customHeight="false" outlineLevel="0" collapsed="false">
      <c r="A7656" s="15" t="s">
        <v>7713</v>
      </c>
      <c r="B7656" s="16" t="n">
        <v>45143</v>
      </c>
      <c r="C7656" s="15" t="s">
        <v>56</v>
      </c>
      <c r="D7656" s="15" t="s">
        <v>43</v>
      </c>
      <c r="E7656" s="15" t="s">
        <v>36</v>
      </c>
      <c r="F7656" s="15" t="s">
        <v>17</v>
      </c>
      <c r="G7656" s="15" t="s">
        <v>29</v>
      </c>
      <c r="H7656" s="15" t="n">
        <v>4</v>
      </c>
      <c r="I7656" s="17" t="n">
        <v>0.15</v>
      </c>
      <c r="J7656" s="18" t="n">
        <v>55.32</v>
      </c>
      <c r="K7656" s="19" t="n">
        <v>10.23</v>
      </c>
      <c r="L7656" s="15" t="n">
        <f aca="false">YEAR(B7656)</f>
        <v>2023</v>
      </c>
      <c r="M7656" s="20" t="n">
        <f aca="false">IF(J7656&gt;0,K7656/J7656,0)</f>
        <v>0.184924078091106</v>
      </c>
    </row>
    <row r="7657" customFormat="false" ht="15" hidden="false" customHeight="false" outlineLevel="0" collapsed="false">
      <c r="A7657" s="15" t="s">
        <v>7714</v>
      </c>
      <c r="B7657" s="16" t="n">
        <v>45342</v>
      </c>
      <c r="C7657" s="15" t="s">
        <v>68</v>
      </c>
      <c r="D7657" s="15" t="s">
        <v>43</v>
      </c>
      <c r="E7657" s="15" t="s">
        <v>38</v>
      </c>
      <c r="F7657" s="15" t="s">
        <v>17</v>
      </c>
      <c r="G7657" s="15" t="s">
        <v>29</v>
      </c>
      <c r="H7657" s="15" t="n">
        <v>4</v>
      </c>
      <c r="I7657" s="17" t="n">
        <v>0</v>
      </c>
      <c r="J7657" s="18" t="n">
        <v>72.45</v>
      </c>
      <c r="K7657" s="19" t="n">
        <v>27.39</v>
      </c>
      <c r="L7657" s="15" t="n">
        <f aca="false">YEAR(B7657)</f>
        <v>2024</v>
      </c>
      <c r="M7657" s="20" t="n">
        <f aca="false">IF(J7657&gt;0,K7657/J7657,0)</f>
        <v>0.378053830227743</v>
      </c>
    </row>
    <row r="7658" customFormat="false" ht="15" hidden="false" customHeight="false" outlineLevel="0" collapsed="false">
      <c r="A7658" s="15" t="s">
        <v>7715</v>
      </c>
      <c r="B7658" s="16" t="n">
        <v>45871</v>
      </c>
      <c r="C7658" s="15" t="s">
        <v>58</v>
      </c>
      <c r="D7658" s="15" t="s">
        <v>42</v>
      </c>
      <c r="E7658" s="15" t="s">
        <v>38</v>
      </c>
      <c r="F7658" s="15" t="s">
        <v>17</v>
      </c>
      <c r="G7658" s="15" t="s">
        <v>31</v>
      </c>
      <c r="H7658" s="15" t="n">
        <v>3</v>
      </c>
      <c r="I7658" s="17" t="n">
        <v>0.1</v>
      </c>
      <c r="J7658" s="18" t="n">
        <v>252.45</v>
      </c>
      <c r="K7658" s="19" t="n">
        <v>23.04</v>
      </c>
      <c r="L7658" s="15" t="n">
        <f aca="false">YEAR(B7658)</f>
        <v>2025</v>
      </c>
      <c r="M7658" s="20" t="n">
        <f aca="false">IF(J7658&gt;0,K7658/J7658,0)</f>
        <v>0.0912655971479501</v>
      </c>
    </row>
    <row r="7659" customFormat="false" ht="15" hidden="false" customHeight="false" outlineLevel="0" collapsed="false">
      <c r="A7659" s="15" t="s">
        <v>7716</v>
      </c>
      <c r="B7659" s="16" t="n">
        <v>44714</v>
      </c>
      <c r="C7659" s="15" t="s">
        <v>68</v>
      </c>
      <c r="D7659" s="15" t="s">
        <v>43</v>
      </c>
      <c r="E7659" s="15" t="s">
        <v>39</v>
      </c>
      <c r="F7659" s="15" t="s">
        <v>17</v>
      </c>
      <c r="G7659" s="15" t="s">
        <v>31</v>
      </c>
      <c r="H7659" s="15" t="n">
        <v>9</v>
      </c>
      <c r="I7659" s="17" t="n">
        <v>0</v>
      </c>
      <c r="J7659" s="18" t="n">
        <v>1351.18</v>
      </c>
      <c r="K7659" s="19" t="n">
        <v>309.31</v>
      </c>
      <c r="L7659" s="15" t="n">
        <f aca="false">YEAR(B7659)</f>
        <v>2022</v>
      </c>
      <c r="M7659" s="20" t="n">
        <f aca="false">IF(J7659&gt;0,K7659/J7659,0)</f>
        <v>0.228918426856525</v>
      </c>
    </row>
    <row r="7660" customFormat="false" ht="15" hidden="false" customHeight="false" outlineLevel="0" collapsed="false">
      <c r="A7660" s="15" t="s">
        <v>7717</v>
      </c>
      <c r="B7660" s="16" t="n">
        <v>45382</v>
      </c>
      <c r="C7660" s="15" t="s">
        <v>56</v>
      </c>
      <c r="D7660" s="15" t="s">
        <v>42</v>
      </c>
      <c r="E7660" s="15" t="s">
        <v>37</v>
      </c>
      <c r="F7660" s="15" t="s">
        <v>17</v>
      </c>
      <c r="G7660" s="15" t="s">
        <v>31</v>
      </c>
      <c r="H7660" s="15" t="n">
        <v>3</v>
      </c>
      <c r="I7660" s="17" t="n">
        <v>0.1</v>
      </c>
      <c r="J7660" s="18" t="n">
        <v>407.49</v>
      </c>
      <c r="K7660" s="19" t="n">
        <v>46.54</v>
      </c>
      <c r="L7660" s="15" t="n">
        <f aca="false">YEAR(B7660)</f>
        <v>2024</v>
      </c>
      <c r="M7660" s="20" t="n">
        <f aca="false">IF(J7660&gt;0,K7660/J7660,0)</f>
        <v>0.114211391690594</v>
      </c>
    </row>
    <row r="7661" customFormat="false" ht="15" hidden="false" customHeight="false" outlineLevel="0" collapsed="false">
      <c r="A7661" s="15" t="s">
        <v>7718</v>
      </c>
      <c r="B7661" s="16" t="n">
        <v>45276</v>
      </c>
      <c r="C7661" s="15" t="s">
        <v>56</v>
      </c>
      <c r="D7661" s="15" t="s">
        <v>42</v>
      </c>
      <c r="E7661" s="15" t="s">
        <v>37</v>
      </c>
      <c r="F7661" s="15" t="s">
        <v>16</v>
      </c>
      <c r="G7661" s="15" t="s">
        <v>25</v>
      </c>
      <c r="H7661" s="15" t="n">
        <v>5</v>
      </c>
      <c r="I7661" s="17" t="n">
        <v>0.5</v>
      </c>
      <c r="J7661" s="18" t="n">
        <v>534.5</v>
      </c>
      <c r="K7661" s="19" t="n">
        <v>-211.96</v>
      </c>
      <c r="L7661" s="15" t="n">
        <f aca="false">YEAR(B7661)</f>
        <v>2023</v>
      </c>
      <c r="M7661" s="20" t="n">
        <f aca="false">IF(J7661&gt;0,K7661/J7661,0)</f>
        <v>-0.396557530402245</v>
      </c>
    </row>
    <row r="7662" customFormat="false" ht="15" hidden="false" customHeight="false" outlineLevel="0" collapsed="false">
      <c r="A7662" s="15" t="s">
        <v>7719</v>
      </c>
      <c r="B7662" s="16" t="n">
        <v>44662</v>
      </c>
      <c r="C7662" s="15" t="s">
        <v>56</v>
      </c>
      <c r="D7662" s="15" t="s">
        <v>43</v>
      </c>
      <c r="E7662" s="15" t="s">
        <v>39</v>
      </c>
      <c r="F7662" s="15" t="s">
        <v>17</v>
      </c>
      <c r="G7662" s="15" t="s">
        <v>29</v>
      </c>
      <c r="H7662" s="15" t="n">
        <v>3</v>
      </c>
      <c r="I7662" s="17" t="n">
        <v>0.05</v>
      </c>
      <c r="J7662" s="18" t="n">
        <v>58.25</v>
      </c>
      <c r="K7662" s="19" t="n">
        <v>19.11</v>
      </c>
      <c r="L7662" s="15" t="n">
        <f aca="false">YEAR(B7662)</f>
        <v>2022</v>
      </c>
      <c r="M7662" s="20" t="n">
        <f aca="false">IF(J7662&gt;0,K7662/J7662,0)</f>
        <v>0.328068669527897</v>
      </c>
    </row>
    <row r="7663" customFormat="false" ht="15" hidden="false" customHeight="false" outlineLevel="0" collapsed="false">
      <c r="A7663" s="15" t="s">
        <v>7720</v>
      </c>
      <c r="B7663" s="16" t="n">
        <v>45364</v>
      </c>
      <c r="C7663" s="15" t="s">
        <v>56</v>
      </c>
      <c r="D7663" s="15" t="s">
        <v>42</v>
      </c>
      <c r="E7663" s="15" t="s">
        <v>38</v>
      </c>
      <c r="F7663" s="15" t="s">
        <v>17</v>
      </c>
      <c r="G7663" s="15" t="s">
        <v>26</v>
      </c>
      <c r="H7663" s="15" t="n">
        <v>5</v>
      </c>
      <c r="I7663" s="17" t="n">
        <v>0.2</v>
      </c>
      <c r="J7663" s="18" t="n">
        <v>250.39</v>
      </c>
      <c r="K7663" s="19" t="n">
        <v>-23.33</v>
      </c>
      <c r="L7663" s="15" t="n">
        <f aca="false">YEAR(B7663)</f>
        <v>2024</v>
      </c>
      <c r="M7663" s="20" t="n">
        <f aca="false">IF(J7663&gt;0,K7663/J7663,0)</f>
        <v>-0.0931746475498223</v>
      </c>
    </row>
    <row r="7664" customFormat="false" ht="15" hidden="false" customHeight="false" outlineLevel="0" collapsed="false">
      <c r="A7664" s="15" t="s">
        <v>7721</v>
      </c>
      <c r="B7664" s="16" t="n">
        <v>46015</v>
      </c>
      <c r="C7664" s="15" t="s">
        <v>56</v>
      </c>
      <c r="D7664" s="15" t="s">
        <v>42</v>
      </c>
      <c r="E7664" s="15" t="s">
        <v>38</v>
      </c>
      <c r="F7664" s="15" t="s">
        <v>17</v>
      </c>
      <c r="G7664" s="15" t="s">
        <v>28</v>
      </c>
      <c r="H7664" s="15" t="n">
        <v>4</v>
      </c>
      <c r="I7664" s="17" t="n">
        <v>0</v>
      </c>
      <c r="J7664" s="18" t="n">
        <v>94.41</v>
      </c>
      <c r="K7664" s="19" t="n">
        <v>25.39</v>
      </c>
      <c r="L7664" s="15" t="n">
        <f aca="false">YEAR(B7664)</f>
        <v>2025</v>
      </c>
      <c r="M7664" s="20" t="n">
        <f aca="false">IF(J7664&gt;0,K7664/J7664,0)</f>
        <v>0.268933375701727</v>
      </c>
    </row>
    <row r="7665" customFormat="false" ht="15" hidden="false" customHeight="false" outlineLevel="0" collapsed="false">
      <c r="A7665" s="15" t="s">
        <v>7722</v>
      </c>
      <c r="B7665" s="16" t="n">
        <v>45786</v>
      </c>
      <c r="C7665" s="15" t="s">
        <v>56</v>
      </c>
      <c r="D7665" s="15" t="s">
        <v>43</v>
      </c>
      <c r="E7665" s="15" t="s">
        <v>38</v>
      </c>
      <c r="F7665" s="15" t="s">
        <v>17</v>
      </c>
      <c r="G7665" s="15" t="s">
        <v>28</v>
      </c>
      <c r="H7665" s="15" t="n">
        <v>6</v>
      </c>
      <c r="I7665" s="17" t="n">
        <v>0</v>
      </c>
      <c r="J7665" s="18" t="n">
        <v>157.81</v>
      </c>
      <c r="K7665" s="19" t="n">
        <v>33.32</v>
      </c>
      <c r="L7665" s="15" t="n">
        <f aca="false">YEAR(B7665)</f>
        <v>2025</v>
      </c>
      <c r="M7665" s="20" t="n">
        <f aca="false">IF(J7665&gt;0,K7665/J7665,0)</f>
        <v>0.211139978455104</v>
      </c>
    </row>
    <row r="7666" customFormat="false" ht="15" hidden="false" customHeight="false" outlineLevel="0" collapsed="false">
      <c r="A7666" s="15" t="s">
        <v>7723</v>
      </c>
      <c r="B7666" s="16" t="n">
        <v>45608</v>
      </c>
      <c r="C7666" s="15" t="s">
        <v>58</v>
      </c>
      <c r="D7666" s="15" t="s">
        <v>44</v>
      </c>
      <c r="E7666" s="15" t="s">
        <v>37</v>
      </c>
      <c r="F7666" s="15" t="s">
        <v>16</v>
      </c>
      <c r="G7666" s="15" t="s">
        <v>27</v>
      </c>
      <c r="H7666" s="15" t="n">
        <v>2</v>
      </c>
      <c r="I7666" s="17" t="n">
        <v>0</v>
      </c>
      <c r="J7666" s="18" t="n">
        <v>123.35</v>
      </c>
      <c r="K7666" s="19" t="n">
        <v>35.09</v>
      </c>
      <c r="L7666" s="15" t="n">
        <f aca="false">YEAR(B7666)</f>
        <v>2024</v>
      </c>
      <c r="M7666" s="20" t="n">
        <f aca="false">IF(J7666&gt;0,K7666/J7666,0)</f>
        <v>0.28447507093636</v>
      </c>
    </row>
    <row r="7667" customFormat="false" ht="15" hidden="false" customHeight="false" outlineLevel="0" collapsed="false">
      <c r="A7667" s="15" t="s">
        <v>7724</v>
      </c>
      <c r="B7667" s="16" t="n">
        <v>45291</v>
      </c>
      <c r="C7667" s="15" t="s">
        <v>68</v>
      </c>
      <c r="D7667" s="15" t="s">
        <v>42</v>
      </c>
      <c r="E7667" s="15" t="s">
        <v>39</v>
      </c>
      <c r="F7667" s="15" t="s">
        <v>17</v>
      </c>
      <c r="G7667" s="15" t="s">
        <v>28</v>
      </c>
      <c r="H7667" s="15" t="n">
        <v>2</v>
      </c>
      <c r="I7667" s="17" t="n">
        <v>0</v>
      </c>
      <c r="J7667" s="18" t="n">
        <v>49.98</v>
      </c>
      <c r="K7667" s="19" t="n">
        <v>17.35</v>
      </c>
      <c r="L7667" s="15" t="n">
        <f aca="false">YEAR(B7667)</f>
        <v>2023</v>
      </c>
      <c r="M7667" s="20" t="n">
        <f aca="false">IF(J7667&gt;0,K7667/J7667,0)</f>
        <v>0.347138855542217</v>
      </c>
    </row>
    <row r="7668" customFormat="false" ht="15" hidden="false" customHeight="false" outlineLevel="0" collapsed="false">
      <c r="A7668" s="15" t="s">
        <v>7725</v>
      </c>
      <c r="B7668" s="16" t="n">
        <v>44664</v>
      </c>
      <c r="C7668" s="15" t="s">
        <v>56</v>
      </c>
      <c r="D7668" s="15" t="s">
        <v>42</v>
      </c>
      <c r="E7668" s="15" t="s">
        <v>36</v>
      </c>
      <c r="F7668" s="15" t="s">
        <v>17</v>
      </c>
      <c r="G7668" s="15" t="s">
        <v>29</v>
      </c>
      <c r="H7668" s="15" t="n">
        <v>2</v>
      </c>
      <c r="I7668" s="17" t="n">
        <v>0.1</v>
      </c>
      <c r="J7668" s="18" t="n">
        <v>28.82</v>
      </c>
      <c r="K7668" s="19" t="n">
        <v>9.03</v>
      </c>
      <c r="L7668" s="15" t="n">
        <f aca="false">YEAR(B7668)</f>
        <v>2022</v>
      </c>
      <c r="M7668" s="20" t="n">
        <f aca="false">IF(J7668&gt;0,K7668/J7668,0)</f>
        <v>0.313324080499653</v>
      </c>
    </row>
    <row r="7669" customFormat="false" ht="15" hidden="false" customHeight="false" outlineLevel="0" collapsed="false">
      <c r="A7669" s="15" t="s">
        <v>7726</v>
      </c>
      <c r="B7669" s="16" t="n">
        <v>45445</v>
      </c>
      <c r="C7669" s="15" t="s">
        <v>56</v>
      </c>
      <c r="D7669" s="15" t="s">
        <v>44</v>
      </c>
      <c r="E7669" s="15" t="s">
        <v>38</v>
      </c>
      <c r="F7669" s="15" t="s">
        <v>18</v>
      </c>
      <c r="G7669" s="15" t="s">
        <v>32</v>
      </c>
      <c r="H7669" s="15" t="n">
        <v>4</v>
      </c>
      <c r="I7669" s="17" t="n">
        <v>0.15</v>
      </c>
      <c r="J7669" s="18" t="n">
        <v>1077.9</v>
      </c>
      <c r="K7669" s="19" t="n">
        <v>137.74</v>
      </c>
      <c r="L7669" s="15" t="n">
        <f aca="false">YEAR(B7669)</f>
        <v>2024</v>
      </c>
      <c r="M7669" s="20" t="n">
        <f aca="false">IF(J7669&gt;0,K7669/J7669,0)</f>
        <v>0.12778550885982</v>
      </c>
    </row>
    <row r="7670" customFormat="false" ht="15" hidden="false" customHeight="false" outlineLevel="0" collapsed="false">
      <c r="A7670" s="15" t="s">
        <v>7727</v>
      </c>
      <c r="B7670" s="16" t="n">
        <v>45497</v>
      </c>
      <c r="C7670" s="15" t="s">
        <v>58</v>
      </c>
      <c r="D7670" s="15" t="s">
        <v>43</v>
      </c>
      <c r="E7670" s="15" t="s">
        <v>37</v>
      </c>
      <c r="F7670" s="15" t="s">
        <v>17</v>
      </c>
      <c r="G7670" s="15" t="s">
        <v>28</v>
      </c>
      <c r="H7670" s="15" t="n">
        <v>2</v>
      </c>
      <c r="I7670" s="17" t="n">
        <v>0</v>
      </c>
      <c r="J7670" s="18" t="n">
        <v>54.93</v>
      </c>
      <c r="K7670" s="19" t="n">
        <v>15.75</v>
      </c>
      <c r="L7670" s="15" t="n">
        <f aca="false">YEAR(B7670)</f>
        <v>2024</v>
      </c>
      <c r="M7670" s="20" t="n">
        <f aca="false">IF(J7670&gt;0,K7670/J7670,0)</f>
        <v>0.286728563626434</v>
      </c>
    </row>
    <row r="7671" customFormat="false" ht="15" hidden="false" customHeight="false" outlineLevel="0" collapsed="false">
      <c r="A7671" s="15" t="s">
        <v>7728</v>
      </c>
      <c r="B7671" s="16" t="n">
        <v>45945</v>
      </c>
      <c r="C7671" s="15" t="s">
        <v>56</v>
      </c>
      <c r="D7671" s="15" t="s">
        <v>44</v>
      </c>
      <c r="E7671" s="15" t="s">
        <v>37</v>
      </c>
      <c r="F7671" s="15" t="s">
        <v>18</v>
      </c>
      <c r="G7671" s="15" t="s">
        <v>30</v>
      </c>
      <c r="H7671" s="15" t="n">
        <v>3</v>
      </c>
      <c r="I7671" s="17" t="n">
        <v>0.1</v>
      </c>
      <c r="J7671" s="18" t="n">
        <v>114.67</v>
      </c>
      <c r="K7671" s="19" t="n">
        <v>28.39</v>
      </c>
      <c r="L7671" s="15" t="n">
        <f aca="false">YEAR(B7671)</f>
        <v>2025</v>
      </c>
      <c r="M7671" s="20" t="n">
        <f aca="false">IF(J7671&gt;0,K7671/J7671,0)</f>
        <v>0.247580012208947</v>
      </c>
    </row>
    <row r="7672" customFormat="false" ht="15" hidden="false" customHeight="false" outlineLevel="0" collapsed="false">
      <c r="A7672" s="15" t="s">
        <v>7729</v>
      </c>
      <c r="B7672" s="16" t="n">
        <v>45212</v>
      </c>
      <c r="C7672" s="15" t="s">
        <v>58</v>
      </c>
      <c r="D7672" s="15" t="s">
        <v>43</v>
      </c>
      <c r="E7672" s="15" t="s">
        <v>39</v>
      </c>
      <c r="F7672" s="15" t="s">
        <v>17</v>
      </c>
      <c r="G7672" s="15" t="s">
        <v>31</v>
      </c>
      <c r="H7672" s="15" t="n">
        <v>2</v>
      </c>
      <c r="I7672" s="17" t="n">
        <v>0</v>
      </c>
      <c r="J7672" s="18" t="n">
        <v>297.79</v>
      </c>
      <c r="K7672" s="19" t="n">
        <v>57.06</v>
      </c>
      <c r="L7672" s="15" t="n">
        <f aca="false">YEAR(B7672)</f>
        <v>2023</v>
      </c>
      <c r="M7672" s="20" t="n">
        <f aca="false">IF(J7672&gt;0,K7672/J7672,0)</f>
        <v>0.191611538332382</v>
      </c>
    </row>
    <row r="7673" customFormat="false" ht="15" hidden="false" customHeight="false" outlineLevel="0" collapsed="false">
      <c r="A7673" s="15" t="s">
        <v>7730</v>
      </c>
      <c r="B7673" s="16" t="n">
        <v>44573</v>
      </c>
      <c r="C7673" s="15" t="s">
        <v>56</v>
      </c>
      <c r="D7673" s="15" t="s">
        <v>42</v>
      </c>
      <c r="E7673" s="15" t="s">
        <v>39</v>
      </c>
      <c r="F7673" s="15" t="s">
        <v>16</v>
      </c>
      <c r="G7673" s="15" t="s">
        <v>25</v>
      </c>
      <c r="H7673" s="15" t="n">
        <v>2</v>
      </c>
      <c r="I7673" s="17" t="n">
        <v>0.3</v>
      </c>
      <c r="J7673" s="18" t="n">
        <v>401.65</v>
      </c>
      <c r="K7673" s="19" t="n">
        <v>-36.6</v>
      </c>
      <c r="L7673" s="15" t="n">
        <f aca="false">YEAR(B7673)</f>
        <v>2022</v>
      </c>
      <c r="M7673" s="20" t="n">
        <f aca="false">IF(J7673&gt;0,K7673/J7673,0)</f>
        <v>-0.0911241130337359</v>
      </c>
    </row>
    <row r="7674" customFormat="false" ht="15" hidden="false" customHeight="false" outlineLevel="0" collapsed="false">
      <c r="A7674" s="15" t="s">
        <v>7731</v>
      </c>
      <c r="B7674" s="16" t="n">
        <v>45573</v>
      </c>
      <c r="C7674" s="15" t="s">
        <v>56</v>
      </c>
      <c r="D7674" s="15" t="s">
        <v>42</v>
      </c>
      <c r="E7674" s="15" t="s">
        <v>37</v>
      </c>
      <c r="F7674" s="15" t="s">
        <v>16</v>
      </c>
      <c r="G7674" s="15" t="s">
        <v>22</v>
      </c>
      <c r="H7674" s="15" t="n">
        <v>2</v>
      </c>
      <c r="I7674" s="17" t="n">
        <v>0</v>
      </c>
      <c r="J7674" s="18" t="n">
        <v>1327.44</v>
      </c>
      <c r="K7674" s="19" t="n">
        <v>-84.93</v>
      </c>
      <c r="L7674" s="15" t="n">
        <f aca="false">YEAR(B7674)</f>
        <v>2024</v>
      </c>
      <c r="M7674" s="20" t="n">
        <f aca="false">IF(J7674&gt;0,K7674/J7674,0)</f>
        <v>-0.0639802928945941</v>
      </c>
    </row>
    <row r="7675" customFormat="false" ht="15" hidden="false" customHeight="false" outlineLevel="0" collapsed="false">
      <c r="A7675" s="15" t="s">
        <v>7732</v>
      </c>
      <c r="B7675" s="16" t="n">
        <v>44684</v>
      </c>
      <c r="C7675" s="15" t="s">
        <v>71</v>
      </c>
      <c r="D7675" s="15" t="s">
        <v>42</v>
      </c>
      <c r="E7675" s="15" t="s">
        <v>37</v>
      </c>
      <c r="F7675" s="15" t="s">
        <v>17</v>
      </c>
      <c r="G7675" s="15" t="s">
        <v>31</v>
      </c>
      <c r="H7675" s="15" t="n">
        <v>6</v>
      </c>
      <c r="I7675" s="17" t="n">
        <v>0.15</v>
      </c>
      <c r="J7675" s="18" t="n">
        <v>617.3</v>
      </c>
      <c r="K7675" s="19" t="n">
        <v>30.82</v>
      </c>
      <c r="L7675" s="15" t="n">
        <f aca="false">YEAR(B7675)</f>
        <v>2022</v>
      </c>
      <c r="M7675" s="20" t="n">
        <f aca="false">IF(J7675&gt;0,K7675/J7675,0)</f>
        <v>0.0499271018953507</v>
      </c>
    </row>
    <row r="7676" customFormat="false" ht="15" hidden="false" customHeight="false" outlineLevel="0" collapsed="false">
      <c r="A7676" s="15" t="s">
        <v>7733</v>
      </c>
      <c r="B7676" s="16" t="n">
        <v>45292</v>
      </c>
      <c r="C7676" s="15" t="s">
        <v>58</v>
      </c>
      <c r="D7676" s="15" t="s">
        <v>42</v>
      </c>
      <c r="E7676" s="15" t="s">
        <v>39</v>
      </c>
      <c r="F7676" s="15" t="s">
        <v>18</v>
      </c>
      <c r="G7676" s="15" t="s">
        <v>33</v>
      </c>
      <c r="H7676" s="15" t="n">
        <v>7</v>
      </c>
      <c r="I7676" s="17" t="n">
        <v>0.1</v>
      </c>
      <c r="J7676" s="18" t="n">
        <v>7238.61</v>
      </c>
      <c r="K7676" s="19" t="n">
        <v>953.07</v>
      </c>
      <c r="L7676" s="15" t="n">
        <f aca="false">YEAR(B7676)</f>
        <v>2024</v>
      </c>
      <c r="M7676" s="20" t="n">
        <f aca="false">IF(J7676&gt;0,K7676/J7676,0)</f>
        <v>0.131664780945513</v>
      </c>
    </row>
    <row r="7677" customFormat="false" ht="15" hidden="false" customHeight="false" outlineLevel="0" collapsed="false">
      <c r="A7677" s="15" t="s">
        <v>7734</v>
      </c>
      <c r="B7677" s="16" t="n">
        <v>45251</v>
      </c>
      <c r="C7677" s="15" t="s">
        <v>56</v>
      </c>
      <c r="D7677" s="15" t="s">
        <v>44</v>
      </c>
      <c r="E7677" s="15" t="s">
        <v>37</v>
      </c>
      <c r="F7677" s="15" t="s">
        <v>16</v>
      </c>
      <c r="G7677" s="15" t="s">
        <v>22</v>
      </c>
      <c r="H7677" s="15" t="n">
        <v>6</v>
      </c>
      <c r="I7677" s="17" t="n">
        <v>0.05</v>
      </c>
      <c r="J7677" s="18" t="n">
        <v>2964.39</v>
      </c>
      <c r="K7677" s="19" t="n">
        <v>-410.94</v>
      </c>
      <c r="L7677" s="15" t="n">
        <f aca="false">YEAR(B7677)</f>
        <v>2023</v>
      </c>
      <c r="M7677" s="20" t="n">
        <f aca="false">IF(J7677&gt;0,K7677/J7677,0)</f>
        <v>-0.138625484501027</v>
      </c>
    </row>
    <row r="7678" customFormat="false" ht="15" hidden="false" customHeight="false" outlineLevel="0" collapsed="false">
      <c r="A7678" s="15" t="s">
        <v>7735</v>
      </c>
      <c r="B7678" s="16" t="n">
        <v>45263</v>
      </c>
      <c r="C7678" s="15" t="s">
        <v>71</v>
      </c>
      <c r="D7678" s="15" t="s">
        <v>42</v>
      </c>
      <c r="E7678" s="15" t="s">
        <v>38</v>
      </c>
      <c r="F7678" s="15" t="s">
        <v>17</v>
      </c>
      <c r="G7678" s="15" t="s">
        <v>26</v>
      </c>
      <c r="H7678" s="15" t="n">
        <v>8</v>
      </c>
      <c r="I7678" s="17" t="n">
        <v>0.15</v>
      </c>
      <c r="J7678" s="18" t="n">
        <v>577.38</v>
      </c>
      <c r="K7678" s="19" t="n">
        <v>18.43</v>
      </c>
      <c r="L7678" s="15" t="n">
        <f aca="false">YEAR(B7678)</f>
        <v>2023</v>
      </c>
      <c r="M7678" s="20" t="n">
        <f aca="false">IF(J7678&gt;0,K7678/J7678,0)</f>
        <v>0.0319200526516332</v>
      </c>
    </row>
    <row r="7679" customFormat="false" ht="15" hidden="false" customHeight="false" outlineLevel="0" collapsed="false">
      <c r="A7679" s="15" t="s">
        <v>7736</v>
      </c>
      <c r="B7679" s="16" t="n">
        <v>45987</v>
      </c>
      <c r="C7679" s="15" t="s">
        <v>56</v>
      </c>
      <c r="D7679" s="15" t="s">
        <v>44</v>
      </c>
      <c r="E7679" s="15" t="s">
        <v>38</v>
      </c>
      <c r="F7679" s="15" t="s">
        <v>17</v>
      </c>
      <c r="G7679" s="15" t="s">
        <v>26</v>
      </c>
      <c r="H7679" s="15" t="n">
        <v>4</v>
      </c>
      <c r="I7679" s="17" t="n">
        <v>0.1</v>
      </c>
      <c r="J7679" s="18" t="n">
        <v>294.66</v>
      </c>
      <c r="K7679" s="19" t="n">
        <v>18.42</v>
      </c>
      <c r="L7679" s="15" t="n">
        <f aca="false">YEAR(B7679)</f>
        <v>2025</v>
      </c>
      <c r="M7679" s="20" t="n">
        <f aca="false">IF(J7679&gt;0,K7679/J7679,0)</f>
        <v>0.0625127265322745</v>
      </c>
    </row>
    <row r="7680" customFormat="false" ht="15" hidden="false" customHeight="false" outlineLevel="0" collapsed="false">
      <c r="A7680" s="15" t="s">
        <v>7737</v>
      </c>
      <c r="B7680" s="16" t="n">
        <v>45509</v>
      </c>
      <c r="C7680" s="15" t="s">
        <v>56</v>
      </c>
      <c r="D7680" s="15" t="s">
        <v>42</v>
      </c>
      <c r="E7680" s="15" t="s">
        <v>38</v>
      </c>
      <c r="F7680" s="15" t="s">
        <v>18</v>
      </c>
      <c r="G7680" s="15" t="s">
        <v>32</v>
      </c>
      <c r="H7680" s="15" t="n">
        <v>5</v>
      </c>
      <c r="I7680" s="17" t="n">
        <v>0</v>
      </c>
      <c r="J7680" s="18" t="n">
        <v>1799.08</v>
      </c>
      <c r="K7680" s="19" t="n">
        <v>269.26</v>
      </c>
      <c r="L7680" s="15" t="n">
        <f aca="false">YEAR(B7680)</f>
        <v>2024</v>
      </c>
      <c r="M7680" s="20" t="n">
        <f aca="false">IF(J7680&gt;0,K7680/J7680,0)</f>
        <v>0.149665384529871</v>
      </c>
    </row>
    <row r="7681" customFormat="false" ht="15" hidden="false" customHeight="false" outlineLevel="0" collapsed="false">
      <c r="A7681" s="15" t="s">
        <v>7738</v>
      </c>
      <c r="B7681" s="16" t="n">
        <v>45701</v>
      </c>
      <c r="C7681" s="15" t="s">
        <v>56</v>
      </c>
      <c r="D7681" s="15" t="s">
        <v>42</v>
      </c>
      <c r="E7681" s="15" t="s">
        <v>39</v>
      </c>
      <c r="F7681" s="15" t="s">
        <v>17</v>
      </c>
      <c r="G7681" s="15" t="s">
        <v>28</v>
      </c>
      <c r="H7681" s="15" t="n">
        <v>5</v>
      </c>
      <c r="I7681" s="17" t="n">
        <v>0.1</v>
      </c>
      <c r="J7681" s="18" t="n">
        <v>96.96</v>
      </c>
      <c r="K7681" s="19" t="n">
        <v>25.63</v>
      </c>
      <c r="L7681" s="15" t="n">
        <f aca="false">YEAR(B7681)</f>
        <v>2025</v>
      </c>
      <c r="M7681" s="20" t="n">
        <f aca="false">IF(J7681&gt;0,K7681/J7681,0)</f>
        <v>0.264335808580858</v>
      </c>
    </row>
    <row r="7682" customFormat="false" ht="15" hidden="false" customHeight="false" outlineLevel="0" collapsed="false">
      <c r="A7682" s="15" t="s">
        <v>7739</v>
      </c>
      <c r="B7682" s="16" t="n">
        <v>45873</v>
      </c>
      <c r="C7682" s="15" t="s">
        <v>56</v>
      </c>
      <c r="D7682" s="15" t="s">
        <v>43</v>
      </c>
      <c r="E7682" s="15" t="s">
        <v>39</v>
      </c>
      <c r="F7682" s="15" t="s">
        <v>16</v>
      </c>
      <c r="G7682" s="15" t="s">
        <v>23</v>
      </c>
      <c r="H7682" s="15" t="n">
        <v>3</v>
      </c>
      <c r="I7682" s="17" t="n">
        <v>0</v>
      </c>
      <c r="J7682" s="18" t="n">
        <v>1082.94</v>
      </c>
      <c r="K7682" s="19" t="n">
        <v>70.17</v>
      </c>
      <c r="L7682" s="15" t="n">
        <f aca="false">YEAR(B7682)</f>
        <v>2025</v>
      </c>
      <c r="M7682" s="20" t="n">
        <f aca="false">IF(J7682&gt;0,K7682/J7682,0)</f>
        <v>0.0647958335641864</v>
      </c>
    </row>
    <row r="7683" customFormat="false" ht="15" hidden="false" customHeight="false" outlineLevel="0" collapsed="false">
      <c r="A7683" s="15" t="s">
        <v>7740</v>
      </c>
      <c r="B7683" s="16" t="n">
        <v>45529</v>
      </c>
      <c r="C7683" s="15" t="s">
        <v>56</v>
      </c>
      <c r="D7683" s="15" t="s">
        <v>42</v>
      </c>
      <c r="E7683" s="15" t="s">
        <v>39</v>
      </c>
      <c r="F7683" s="15" t="s">
        <v>17</v>
      </c>
      <c r="G7683" s="15" t="s">
        <v>28</v>
      </c>
      <c r="H7683" s="15" t="n">
        <v>7</v>
      </c>
      <c r="I7683" s="17" t="n">
        <v>0</v>
      </c>
      <c r="J7683" s="18" t="n">
        <v>183.94</v>
      </c>
      <c r="K7683" s="19" t="n">
        <v>55.59</v>
      </c>
      <c r="L7683" s="15" t="n">
        <f aca="false">YEAR(B7683)</f>
        <v>2024</v>
      </c>
      <c r="M7683" s="20" t="n">
        <f aca="false">IF(J7683&gt;0,K7683/J7683,0)</f>
        <v>0.302218114602588</v>
      </c>
    </row>
    <row r="7684" customFormat="false" ht="15" hidden="false" customHeight="false" outlineLevel="0" collapsed="false">
      <c r="A7684" s="15" t="s">
        <v>7741</v>
      </c>
      <c r="B7684" s="16" t="n">
        <v>44734</v>
      </c>
      <c r="C7684" s="15" t="s">
        <v>58</v>
      </c>
      <c r="D7684" s="15" t="s">
        <v>43</v>
      </c>
      <c r="E7684" s="15" t="s">
        <v>36</v>
      </c>
      <c r="F7684" s="15" t="s">
        <v>17</v>
      </c>
      <c r="G7684" s="15" t="s">
        <v>28</v>
      </c>
      <c r="H7684" s="15" t="n">
        <v>3</v>
      </c>
      <c r="I7684" s="17" t="n">
        <v>0.2</v>
      </c>
      <c r="J7684" s="18" t="n">
        <v>65.13</v>
      </c>
      <c r="K7684" s="19" t="n">
        <v>3.21</v>
      </c>
      <c r="L7684" s="15" t="n">
        <f aca="false">YEAR(B7684)</f>
        <v>2022</v>
      </c>
      <c r="M7684" s="20" t="n">
        <f aca="false">IF(J7684&gt;0,K7684/J7684,0)</f>
        <v>0.0492860432980194</v>
      </c>
    </row>
    <row r="7685" customFormat="false" ht="15" hidden="false" customHeight="false" outlineLevel="0" collapsed="false">
      <c r="A7685" s="15" t="s">
        <v>7742</v>
      </c>
      <c r="B7685" s="16" t="n">
        <v>45786</v>
      </c>
      <c r="C7685" s="15" t="s">
        <v>56</v>
      </c>
      <c r="D7685" s="15" t="s">
        <v>42</v>
      </c>
      <c r="E7685" s="15" t="s">
        <v>39</v>
      </c>
      <c r="F7685" s="15" t="s">
        <v>17</v>
      </c>
      <c r="G7685" s="15" t="s">
        <v>26</v>
      </c>
      <c r="H7685" s="15" t="n">
        <v>1</v>
      </c>
      <c r="I7685" s="17" t="n">
        <v>0</v>
      </c>
      <c r="J7685" s="18" t="n">
        <v>95.02</v>
      </c>
      <c r="K7685" s="19" t="n">
        <v>5.36</v>
      </c>
      <c r="L7685" s="15" t="n">
        <f aca="false">YEAR(B7685)</f>
        <v>2025</v>
      </c>
      <c r="M7685" s="20" t="n">
        <f aca="false">IF(J7685&gt;0,K7685/J7685,0)</f>
        <v>0.0564091770153652</v>
      </c>
    </row>
    <row r="7686" customFormat="false" ht="15" hidden="false" customHeight="false" outlineLevel="0" collapsed="false">
      <c r="A7686" s="15" t="s">
        <v>7743</v>
      </c>
      <c r="B7686" s="16" t="n">
        <v>45049</v>
      </c>
      <c r="C7686" s="15" t="s">
        <v>56</v>
      </c>
      <c r="D7686" s="15" t="s">
        <v>42</v>
      </c>
      <c r="E7686" s="15" t="s">
        <v>37</v>
      </c>
      <c r="F7686" s="15" t="s">
        <v>18</v>
      </c>
      <c r="G7686" s="15" t="s">
        <v>30</v>
      </c>
      <c r="H7686" s="15" t="n">
        <v>7</v>
      </c>
      <c r="I7686" s="17" t="n">
        <v>0</v>
      </c>
      <c r="J7686" s="18" t="n">
        <v>320.13</v>
      </c>
      <c r="K7686" s="19" t="n">
        <v>106.31</v>
      </c>
      <c r="L7686" s="15" t="n">
        <f aca="false">YEAR(B7686)</f>
        <v>2023</v>
      </c>
      <c r="M7686" s="20" t="n">
        <f aca="false">IF(J7686&gt;0,K7686/J7686,0)</f>
        <v>0.332083840939618</v>
      </c>
    </row>
    <row r="7687" customFormat="false" ht="15" hidden="false" customHeight="false" outlineLevel="0" collapsed="false">
      <c r="A7687" s="15" t="s">
        <v>7744</v>
      </c>
      <c r="B7687" s="16" t="n">
        <v>45565</v>
      </c>
      <c r="C7687" s="15" t="s">
        <v>58</v>
      </c>
      <c r="D7687" s="15" t="s">
        <v>44</v>
      </c>
      <c r="E7687" s="15" t="s">
        <v>37</v>
      </c>
      <c r="F7687" s="15" t="s">
        <v>17</v>
      </c>
      <c r="G7687" s="15" t="s">
        <v>26</v>
      </c>
      <c r="H7687" s="15" t="n">
        <v>2</v>
      </c>
      <c r="I7687" s="17" t="n">
        <v>0</v>
      </c>
      <c r="J7687" s="18" t="n">
        <v>220.58</v>
      </c>
      <c r="K7687" s="19" t="n">
        <v>23.44</v>
      </c>
      <c r="L7687" s="15" t="n">
        <f aca="false">YEAR(B7687)</f>
        <v>2024</v>
      </c>
      <c r="M7687" s="20" t="n">
        <f aca="false">IF(J7687&gt;0,K7687/J7687,0)</f>
        <v>0.106265300571221</v>
      </c>
    </row>
    <row r="7688" customFormat="false" ht="15" hidden="false" customHeight="false" outlineLevel="0" collapsed="false">
      <c r="A7688" s="15" t="s">
        <v>7745</v>
      </c>
      <c r="B7688" s="16" t="n">
        <v>44915</v>
      </c>
      <c r="C7688" s="15" t="s">
        <v>68</v>
      </c>
      <c r="D7688" s="15" t="s">
        <v>42</v>
      </c>
      <c r="E7688" s="15" t="s">
        <v>39</v>
      </c>
      <c r="F7688" s="15" t="s">
        <v>16</v>
      </c>
      <c r="G7688" s="15" t="s">
        <v>22</v>
      </c>
      <c r="H7688" s="15" t="n">
        <v>2</v>
      </c>
      <c r="I7688" s="17" t="n">
        <v>0</v>
      </c>
      <c r="J7688" s="18" t="n">
        <v>1444.38</v>
      </c>
      <c r="K7688" s="19" t="n">
        <v>-42.24</v>
      </c>
      <c r="L7688" s="15" t="n">
        <f aca="false">YEAR(B7688)</f>
        <v>2022</v>
      </c>
      <c r="M7688" s="20" t="n">
        <f aca="false">IF(J7688&gt;0,K7688/J7688,0)</f>
        <v>-0.0292443816724131</v>
      </c>
    </row>
    <row r="7689" customFormat="false" ht="15" hidden="false" customHeight="false" outlineLevel="0" collapsed="false">
      <c r="A7689" s="15" t="s">
        <v>7746</v>
      </c>
      <c r="B7689" s="16" t="n">
        <v>46022</v>
      </c>
      <c r="C7689" s="15" t="s">
        <v>68</v>
      </c>
      <c r="D7689" s="15" t="s">
        <v>42</v>
      </c>
      <c r="E7689" s="15" t="s">
        <v>36</v>
      </c>
      <c r="F7689" s="15" t="s">
        <v>17</v>
      </c>
      <c r="G7689" s="15" t="s">
        <v>29</v>
      </c>
      <c r="H7689" s="15" t="n">
        <v>3</v>
      </c>
      <c r="I7689" s="17" t="n">
        <v>0.2</v>
      </c>
      <c r="J7689" s="18" t="n">
        <v>39.93</v>
      </c>
      <c r="K7689" s="19" t="n">
        <v>10.49</v>
      </c>
      <c r="L7689" s="15" t="n">
        <f aca="false">YEAR(B7689)</f>
        <v>2025</v>
      </c>
      <c r="M7689" s="20" t="n">
        <f aca="false">IF(J7689&gt;0,K7689/J7689,0)</f>
        <v>0.262709742048585</v>
      </c>
    </row>
    <row r="7690" customFormat="false" ht="15" hidden="false" customHeight="false" outlineLevel="0" collapsed="false">
      <c r="A7690" s="15" t="s">
        <v>7747</v>
      </c>
      <c r="B7690" s="16" t="n">
        <v>45923</v>
      </c>
      <c r="C7690" s="15" t="s">
        <v>56</v>
      </c>
      <c r="D7690" s="15" t="s">
        <v>44</v>
      </c>
      <c r="E7690" s="15" t="s">
        <v>39</v>
      </c>
      <c r="F7690" s="15" t="s">
        <v>16</v>
      </c>
      <c r="G7690" s="15" t="s">
        <v>25</v>
      </c>
      <c r="H7690" s="15" t="n">
        <v>5</v>
      </c>
      <c r="I7690" s="17" t="n">
        <v>0.2</v>
      </c>
      <c r="J7690" s="18" t="n">
        <v>1189.72</v>
      </c>
      <c r="K7690" s="19" t="n">
        <v>-104.67</v>
      </c>
      <c r="L7690" s="15" t="n">
        <f aca="false">YEAR(B7690)</f>
        <v>2025</v>
      </c>
      <c r="M7690" s="20" t="n">
        <f aca="false">IF(J7690&gt;0,K7690/J7690,0)</f>
        <v>-0.087978684060115</v>
      </c>
    </row>
    <row r="7691" customFormat="false" ht="15" hidden="false" customHeight="false" outlineLevel="0" collapsed="false">
      <c r="A7691" s="15" t="s">
        <v>7748</v>
      </c>
      <c r="B7691" s="16" t="n">
        <v>45307</v>
      </c>
      <c r="C7691" s="15" t="s">
        <v>71</v>
      </c>
      <c r="D7691" s="15" t="s">
        <v>43</v>
      </c>
      <c r="E7691" s="15" t="s">
        <v>37</v>
      </c>
      <c r="F7691" s="15" t="s">
        <v>17</v>
      </c>
      <c r="G7691" s="15" t="s">
        <v>28</v>
      </c>
      <c r="H7691" s="15" t="n">
        <v>1</v>
      </c>
      <c r="I7691" s="17" t="n">
        <v>0.1</v>
      </c>
      <c r="J7691" s="18" t="n">
        <v>23.86</v>
      </c>
      <c r="K7691" s="19" t="n">
        <v>4.19</v>
      </c>
      <c r="L7691" s="15" t="n">
        <f aca="false">YEAR(B7691)</f>
        <v>2024</v>
      </c>
      <c r="M7691" s="20" t="n">
        <f aca="false">IF(J7691&gt;0,K7691/J7691,0)</f>
        <v>0.175607711651299</v>
      </c>
    </row>
    <row r="7692" customFormat="false" ht="15" hidden="false" customHeight="false" outlineLevel="0" collapsed="false">
      <c r="A7692" s="15" t="s">
        <v>7749</v>
      </c>
      <c r="B7692" s="16" t="n">
        <v>46002</v>
      </c>
      <c r="C7692" s="15" t="s">
        <v>68</v>
      </c>
      <c r="D7692" s="15" t="s">
        <v>43</v>
      </c>
      <c r="E7692" s="15" t="s">
        <v>39</v>
      </c>
      <c r="F7692" s="15" t="s">
        <v>16</v>
      </c>
      <c r="G7692" s="15" t="s">
        <v>27</v>
      </c>
      <c r="H7692" s="15" t="n">
        <v>3</v>
      </c>
      <c r="I7692" s="17" t="n">
        <v>0</v>
      </c>
      <c r="J7692" s="18" t="n">
        <v>168.85</v>
      </c>
      <c r="K7692" s="19" t="n">
        <v>40.21</v>
      </c>
      <c r="L7692" s="15" t="n">
        <f aca="false">YEAR(B7692)</f>
        <v>2025</v>
      </c>
      <c r="M7692" s="20" t="n">
        <f aca="false">IF(J7692&gt;0,K7692/J7692,0)</f>
        <v>0.238140361267397</v>
      </c>
    </row>
    <row r="7693" customFormat="false" ht="15" hidden="false" customHeight="false" outlineLevel="0" collapsed="false">
      <c r="A7693" s="15" t="s">
        <v>7750</v>
      </c>
      <c r="B7693" s="16" t="n">
        <v>44652</v>
      </c>
      <c r="C7693" s="15" t="s">
        <v>56</v>
      </c>
      <c r="D7693" s="15" t="s">
        <v>42</v>
      </c>
      <c r="E7693" s="15" t="s">
        <v>36</v>
      </c>
      <c r="F7693" s="15" t="s">
        <v>17</v>
      </c>
      <c r="G7693" s="15" t="s">
        <v>28</v>
      </c>
      <c r="H7693" s="15" t="n">
        <v>4</v>
      </c>
      <c r="I7693" s="17" t="n">
        <v>0</v>
      </c>
      <c r="J7693" s="18" t="n">
        <v>87.15</v>
      </c>
      <c r="K7693" s="19" t="n">
        <v>27.67</v>
      </c>
      <c r="L7693" s="15" t="n">
        <f aca="false">YEAR(B7693)</f>
        <v>2022</v>
      </c>
      <c r="M7693" s="20" t="n">
        <f aca="false">IF(J7693&gt;0,K7693/J7693,0)</f>
        <v>0.317498565691337</v>
      </c>
    </row>
    <row r="7694" customFormat="false" ht="15" hidden="false" customHeight="false" outlineLevel="0" collapsed="false">
      <c r="A7694" s="15" t="s">
        <v>7751</v>
      </c>
      <c r="B7694" s="16" t="n">
        <v>44624</v>
      </c>
      <c r="C7694" s="15" t="s">
        <v>56</v>
      </c>
      <c r="D7694" s="15" t="s">
        <v>42</v>
      </c>
      <c r="E7694" s="15" t="s">
        <v>38</v>
      </c>
      <c r="F7694" s="15" t="s">
        <v>17</v>
      </c>
      <c r="G7694" s="15" t="s">
        <v>29</v>
      </c>
      <c r="H7694" s="15" t="n">
        <v>1</v>
      </c>
      <c r="I7694" s="17" t="n">
        <v>0</v>
      </c>
      <c r="J7694" s="18" t="n">
        <v>16.79</v>
      </c>
      <c r="K7694" s="19" t="n">
        <v>5.94</v>
      </c>
      <c r="L7694" s="15" t="n">
        <f aca="false">YEAR(B7694)</f>
        <v>2022</v>
      </c>
      <c r="M7694" s="20" t="n">
        <f aca="false">IF(J7694&gt;0,K7694/J7694,0)</f>
        <v>0.353782013103038</v>
      </c>
    </row>
    <row r="7695" customFormat="false" ht="15" hidden="false" customHeight="false" outlineLevel="0" collapsed="false">
      <c r="A7695" s="15" t="s">
        <v>7752</v>
      </c>
      <c r="B7695" s="16" t="n">
        <v>45254</v>
      </c>
      <c r="C7695" s="15" t="s">
        <v>56</v>
      </c>
      <c r="D7695" s="15" t="s">
        <v>43</v>
      </c>
      <c r="E7695" s="15" t="s">
        <v>36</v>
      </c>
      <c r="F7695" s="15" t="s">
        <v>17</v>
      </c>
      <c r="G7695" s="15" t="s">
        <v>29</v>
      </c>
      <c r="H7695" s="15" t="n">
        <v>4</v>
      </c>
      <c r="I7695" s="17" t="n">
        <v>0.1</v>
      </c>
      <c r="J7695" s="18" t="n">
        <v>54.86</v>
      </c>
      <c r="K7695" s="19" t="n">
        <v>18.17</v>
      </c>
      <c r="L7695" s="15" t="n">
        <f aca="false">YEAR(B7695)</f>
        <v>2023</v>
      </c>
      <c r="M7695" s="20" t="n">
        <f aca="false">IF(J7695&gt;0,K7695/J7695,0)</f>
        <v>0.331206707983959</v>
      </c>
    </row>
    <row r="7696" customFormat="false" ht="15" hidden="false" customHeight="false" outlineLevel="0" collapsed="false">
      <c r="A7696" s="15" t="s">
        <v>7753</v>
      </c>
      <c r="B7696" s="16" t="n">
        <v>44859</v>
      </c>
      <c r="C7696" s="15" t="s">
        <v>58</v>
      </c>
      <c r="D7696" s="15" t="s">
        <v>43</v>
      </c>
      <c r="E7696" s="15" t="s">
        <v>37</v>
      </c>
      <c r="F7696" s="15" t="s">
        <v>17</v>
      </c>
      <c r="G7696" s="15" t="s">
        <v>31</v>
      </c>
      <c r="H7696" s="15" t="n">
        <v>4</v>
      </c>
      <c r="I7696" s="17" t="n">
        <v>0.2</v>
      </c>
      <c r="J7696" s="18" t="n">
        <v>449.74</v>
      </c>
      <c r="K7696" s="19" t="n">
        <v>29.43</v>
      </c>
      <c r="L7696" s="15" t="n">
        <f aca="false">YEAR(B7696)</f>
        <v>2022</v>
      </c>
      <c r="M7696" s="20" t="n">
        <f aca="false">IF(J7696&gt;0,K7696/J7696,0)</f>
        <v>0.0654378085115845</v>
      </c>
    </row>
    <row r="7697" customFormat="false" ht="15" hidden="false" customHeight="false" outlineLevel="0" collapsed="false">
      <c r="A7697" s="15" t="s">
        <v>7754</v>
      </c>
      <c r="B7697" s="16" t="n">
        <v>45987</v>
      </c>
      <c r="C7697" s="15" t="s">
        <v>56</v>
      </c>
      <c r="D7697" s="15" t="s">
        <v>43</v>
      </c>
      <c r="E7697" s="15" t="s">
        <v>39</v>
      </c>
      <c r="F7697" s="15" t="s">
        <v>16</v>
      </c>
      <c r="G7697" s="15" t="s">
        <v>27</v>
      </c>
      <c r="H7697" s="15" t="n">
        <v>2</v>
      </c>
      <c r="I7697" s="17" t="n">
        <v>0.1</v>
      </c>
      <c r="J7697" s="18" t="n">
        <v>146.22</v>
      </c>
      <c r="K7697" s="19" t="n">
        <v>24.86</v>
      </c>
      <c r="L7697" s="15" t="n">
        <f aca="false">YEAR(B7697)</f>
        <v>2025</v>
      </c>
      <c r="M7697" s="20" t="n">
        <f aca="false">IF(J7697&gt;0,K7697/J7697,0)</f>
        <v>0.17001778142525</v>
      </c>
    </row>
    <row r="7698" customFormat="false" ht="15" hidden="false" customHeight="false" outlineLevel="0" collapsed="false">
      <c r="A7698" s="15" t="s">
        <v>7755</v>
      </c>
      <c r="B7698" s="16" t="n">
        <v>45566</v>
      </c>
      <c r="C7698" s="15" t="s">
        <v>56</v>
      </c>
      <c r="D7698" s="15" t="s">
        <v>42</v>
      </c>
      <c r="E7698" s="15" t="s">
        <v>39</v>
      </c>
      <c r="F7698" s="15" t="s">
        <v>16</v>
      </c>
      <c r="G7698" s="15" t="s">
        <v>23</v>
      </c>
      <c r="H7698" s="15" t="n">
        <v>1</v>
      </c>
      <c r="I7698" s="17" t="n">
        <v>0</v>
      </c>
      <c r="J7698" s="18" t="n">
        <v>285.27</v>
      </c>
      <c r="K7698" s="19" t="n">
        <v>0.62</v>
      </c>
      <c r="L7698" s="15" t="n">
        <f aca="false">YEAR(B7698)</f>
        <v>2024</v>
      </c>
      <c r="M7698" s="20" t="n">
        <f aca="false">IF(J7698&gt;0,K7698/J7698,0)</f>
        <v>0.00217337960528622</v>
      </c>
    </row>
    <row r="7699" customFormat="false" ht="15" hidden="false" customHeight="false" outlineLevel="0" collapsed="false">
      <c r="A7699" s="15" t="s">
        <v>7756</v>
      </c>
      <c r="B7699" s="16" t="n">
        <v>45281</v>
      </c>
      <c r="C7699" s="15" t="s">
        <v>68</v>
      </c>
      <c r="D7699" s="15" t="s">
        <v>43</v>
      </c>
      <c r="E7699" s="15" t="s">
        <v>38</v>
      </c>
      <c r="F7699" s="15" t="s">
        <v>17</v>
      </c>
      <c r="G7699" s="15" t="s">
        <v>29</v>
      </c>
      <c r="H7699" s="15" t="n">
        <v>4</v>
      </c>
      <c r="I7699" s="17" t="n">
        <v>0</v>
      </c>
      <c r="J7699" s="18" t="n">
        <v>84.01</v>
      </c>
      <c r="K7699" s="19" t="n">
        <v>26.67</v>
      </c>
      <c r="L7699" s="15" t="n">
        <f aca="false">YEAR(B7699)</f>
        <v>2023</v>
      </c>
      <c r="M7699" s="20" t="n">
        <f aca="false">IF(J7699&gt;0,K7699/J7699,0)</f>
        <v>0.317462206880133</v>
      </c>
    </row>
    <row r="7700" customFormat="false" ht="15" hidden="false" customHeight="false" outlineLevel="0" collapsed="false">
      <c r="A7700" s="15" t="s">
        <v>7757</v>
      </c>
      <c r="B7700" s="16" t="n">
        <v>45251</v>
      </c>
      <c r="C7700" s="15" t="s">
        <v>71</v>
      </c>
      <c r="D7700" s="15" t="s">
        <v>44</v>
      </c>
      <c r="E7700" s="15" t="s">
        <v>36</v>
      </c>
      <c r="F7700" s="15" t="s">
        <v>17</v>
      </c>
      <c r="G7700" s="15" t="s">
        <v>28</v>
      </c>
      <c r="H7700" s="15" t="n">
        <v>3</v>
      </c>
      <c r="I7700" s="17" t="n">
        <v>0.05</v>
      </c>
      <c r="J7700" s="18" t="n">
        <v>66.41</v>
      </c>
      <c r="K7700" s="19" t="n">
        <v>15.83</v>
      </c>
      <c r="L7700" s="15" t="n">
        <f aca="false">YEAR(B7700)</f>
        <v>2023</v>
      </c>
      <c r="M7700" s="20" t="n">
        <f aca="false">IF(J7700&gt;0,K7700/J7700,0)</f>
        <v>0.238367715705466</v>
      </c>
    </row>
    <row r="7701" customFormat="false" ht="15" hidden="false" customHeight="false" outlineLevel="0" collapsed="false">
      <c r="A7701" s="15" t="s">
        <v>7758</v>
      </c>
      <c r="B7701" s="16" t="n">
        <v>44649</v>
      </c>
      <c r="C7701" s="15" t="s">
        <v>56</v>
      </c>
      <c r="D7701" s="15" t="s">
        <v>43</v>
      </c>
      <c r="E7701" s="15" t="s">
        <v>37</v>
      </c>
      <c r="F7701" s="15" t="s">
        <v>17</v>
      </c>
      <c r="G7701" s="15" t="s">
        <v>28</v>
      </c>
      <c r="H7701" s="15" t="n">
        <v>4</v>
      </c>
      <c r="I7701" s="17" t="n">
        <v>0.2</v>
      </c>
      <c r="J7701" s="18" t="n">
        <v>94.14</v>
      </c>
      <c r="K7701" s="19" t="n">
        <v>8.08</v>
      </c>
      <c r="L7701" s="15" t="n">
        <f aca="false">YEAR(B7701)</f>
        <v>2022</v>
      </c>
      <c r="M7701" s="20" t="n">
        <f aca="false">IF(J7701&gt;0,K7701/J7701,0)</f>
        <v>0.0858296154663268</v>
      </c>
    </row>
    <row r="7702" customFormat="false" ht="15" hidden="false" customHeight="false" outlineLevel="0" collapsed="false">
      <c r="A7702" s="15" t="s">
        <v>7759</v>
      </c>
      <c r="B7702" s="16" t="n">
        <v>45881</v>
      </c>
      <c r="C7702" s="15" t="s">
        <v>58</v>
      </c>
      <c r="D7702" s="15" t="s">
        <v>42</v>
      </c>
      <c r="E7702" s="15" t="s">
        <v>36</v>
      </c>
      <c r="F7702" s="15" t="s">
        <v>17</v>
      </c>
      <c r="G7702" s="15" t="s">
        <v>31</v>
      </c>
      <c r="H7702" s="15" t="n">
        <v>1</v>
      </c>
      <c r="I7702" s="17" t="n">
        <v>0.1</v>
      </c>
      <c r="J7702" s="18" t="n">
        <v>99.52</v>
      </c>
      <c r="K7702" s="19" t="n">
        <v>6.78</v>
      </c>
      <c r="L7702" s="15" t="n">
        <f aca="false">YEAR(B7702)</f>
        <v>2025</v>
      </c>
      <c r="M7702" s="20" t="n">
        <f aca="false">IF(J7702&gt;0,K7702/J7702,0)</f>
        <v>0.0681270096463023</v>
      </c>
    </row>
    <row r="7703" customFormat="false" ht="15" hidden="false" customHeight="false" outlineLevel="0" collapsed="false">
      <c r="A7703" s="15" t="s">
        <v>7760</v>
      </c>
      <c r="B7703" s="16" t="n">
        <v>45154</v>
      </c>
      <c r="C7703" s="15" t="s">
        <v>71</v>
      </c>
      <c r="D7703" s="15" t="s">
        <v>42</v>
      </c>
      <c r="E7703" s="15" t="s">
        <v>36</v>
      </c>
      <c r="F7703" s="15" t="s">
        <v>18</v>
      </c>
      <c r="G7703" s="15" t="s">
        <v>30</v>
      </c>
      <c r="H7703" s="15" t="n">
        <v>7</v>
      </c>
      <c r="I7703" s="17" t="n">
        <v>0.4</v>
      </c>
      <c r="J7703" s="18" t="n">
        <v>160.39</v>
      </c>
      <c r="K7703" s="19" t="n">
        <v>-6.1</v>
      </c>
      <c r="L7703" s="15" t="n">
        <f aca="false">YEAR(B7703)</f>
        <v>2023</v>
      </c>
      <c r="M7703" s="20" t="n">
        <f aca="false">IF(J7703&gt;0,K7703/J7703,0)</f>
        <v>-0.0380322962778228</v>
      </c>
    </row>
    <row r="7704" customFormat="false" ht="15" hidden="false" customHeight="false" outlineLevel="0" collapsed="false">
      <c r="A7704" s="15" t="s">
        <v>7761</v>
      </c>
      <c r="B7704" s="16" t="n">
        <v>45761</v>
      </c>
      <c r="C7704" s="15" t="s">
        <v>68</v>
      </c>
      <c r="D7704" s="15" t="s">
        <v>42</v>
      </c>
      <c r="E7704" s="15" t="s">
        <v>39</v>
      </c>
      <c r="F7704" s="15" t="s">
        <v>17</v>
      </c>
      <c r="G7704" s="15" t="s">
        <v>29</v>
      </c>
      <c r="H7704" s="15" t="n">
        <v>1</v>
      </c>
      <c r="I7704" s="17" t="n">
        <v>0.15</v>
      </c>
      <c r="J7704" s="18" t="n">
        <v>17.37</v>
      </c>
      <c r="K7704" s="19" t="n">
        <v>4.39</v>
      </c>
      <c r="L7704" s="15" t="n">
        <f aca="false">YEAR(B7704)</f>
        <v>2025</v>
      </c>
      <c r="M7704" s="20" t="n">
        <f aca="false">IF(J7704&gt;0,K7704/J7704,0)</f>
        <v>0.252734599884859</v>
      </c>
    </row>
    <row r="7705" customFormat="false" ht="15" hidden="false" customHeight="false" outlineLevel="0" collapsed="false">
      <c r="A7705" s="15" t="s">
        <v>7762</v>
      </c>
      <c r="B7705" s="16" t="n">
        <v>45311</v>
      </c>
      <c r="C7705" s="15" t="s">
        <v>56</v>
      </c>
      <c r="D7705" s="15" t="s">
        <v>43</v>
      </c>
      <c r="E7705" s="15" t="s">
        <v>36</v>
      </c>
      <c r="F7705" s="15" t="s">
        <v>16</v>
      </c>
      <c r="G7705" s="15" t="s">
        <v>23</v>
      </c>
      <c r="H7705" s="15" t="n">
        <v>6</v>
      </c>
      <c r="I7705" s="17" t="n">
        <v>0.1</v>
      </c>
      <c r="J7705" s="18" t="n">
        <v>1408.19</v>
      </c>
      <c r="K7705" s="19" t="n">
        <v>-126.23</v>
      </c>
      <c r="L7705" s="15" t="n">
        <f aca="false">YEAR(B7705)</f>
        <v>2024</v>
      </c>
      <c r="M7705" s="20" t="n">
        <f aca="false">IF(J7705&gt;0,K7705/J7705,0)</f>
        <v>-0.0896398923440729</v>
      </c>
    </row>
    <row r="7706" customFormat="false" ht="15" hidden="false" customHeight="false" outlineLevel="0" collapsed="false">
      <c r="A7706" s="15" t="s">
        <v>7763</v>
      </c>
      <c r="B7706" s="16" t="n">
        <v>45173</v>
      </c>
      <c r="C7706" s="15" t="s">
        <v>68</v>
      </c>
      <c r="D7706" s="15" t="s">
        <v>42</v>
      </c>
      <c r="E7706" s="15" t="s">
        <v>39</v>
      </c>
      <c r="F7706" s="15" t="s">
        <v>16</v>
      </c>
      <c r="G7706" s="15" t="s">
        <v>22</v>
      </c>
      <c r="H7706" s="15" t="n">
        <v>2</v>
      </c>
      <c r="I7706" s="17" t="n">
        <v>0</v>
      </c>
      <c r="J7706" s="18" t="n">
        <v>1142.19</v>
      </c>
      <c r="K7706" s="19" t="n">
        <v>-71.06</v>
      </c>
      <c r="L7706" s="15" t="n">
        <f aca="false">YEAR(B7706)</f>
        <v>2023</v>
      </c>
      <c r="M7706" s="20" t="n">
        <f aca="false">IF(J7706&gt;0,K7706/J7706,0)</f>
        <v>-0.0622138173158581</v>
      </c>
    </row>
    <row r="7707" customFormat="false" ht="15" hidden="false" customHeight="false" outlineLevel="0" collapsed="false">
      <c r="A7707" s="15" t="s">
        <v>7764</v>
      </c>
      <c r="B7707" s="16" t="n">
        <v>46012</v>
      </c>
      <c r="C7707" s="15" t="s">
        <v>71</v>
      </c>
      <c r="D7707" s="15" t="s">
        <v>43</v>
      </c>
      <c r="E7707" s="15" t="s">
        <v>39</v>
      </c>
      <c r="F7707" s="15" t="s">
        <v>16</v>
      </c>
      <c r="G7707" s="15" t="s">
        <v>27</v>
      </c>
      <c r="H7707" s="15" t="n">
        <v>5</v>
      </c>
      <c r="I7707" s="17" t="n">
        <v>0.4</v>
      </c>
      <c r="J7707" s="18" t="n">
        <v>238.71</v>
      </c>
      <c r="K7707" s="19" t="n">
        <v>-36.86</v>
      </c>
      <c r="L7707" s="15" t="n">
        <f aca="false">YEAR(B7707)</f>
        <v>2025</v>
      </c>
      <c r="M7707" s="20" t="n">
        <f aca="false">IF(J7707&gt;0,K7707/J7707,0)</f>
        <v>-0.154413304846885</v>
      </c>
    </row>
    <row r="7708" customFormat="false" ht="15" hidden="false" customHeight="false" outlineLevel="0" collapsed="false">
      <c r="A7708" s="15" t="s">
        <v>7765</v>
      </c>
      <c r="B7708" s="16" t="n">
        <v>45031</v>
      </c>
      <c r="C7708" s="15" t="s">
        <v>56</v>
      </c>
      <c r="D7708" s="15" t="s">
        <v>42</v>
      </c>
      <c r="E7708" s="15" t="s">
        <v>36</v>
      </c>
      <c r="F7708" s="15" t="s">
        <v>17</v>
      </c>
      <c r="G7708" s="15" t="s">
        <v>28</v>
      </c>
      <c r="H7708" s="15" t="n">
        <v>2</v>
      </c>
      <c r="I7708" s="17" t="n">
        <v>0.3</v>
      </c>
      <c r="J7708" s="18" t="n">
        <v>33.28</v>
      </c>
      <c r="K7708" s="19" t="n">
        <v>1.32</v>
      </c>
      <c r="L7708" s="15" t="n">
        <f aca="false">YEAR(B7708)</f>
        <v>2023</v>
      </c>
      <c r="M7708" s="20" t="n">
        <f aca="false">IF(J7708&gt;0,K7708/J7708,0)</f>
        <v>0.0396634615384615</v>
      </c>
    </row>
    <row r="7709" customFormat="false" ht="15" hidden="false" customHeight="false" outlineLevel="0" collapsed="false">
      <c r="A7709" s="15" t="s">
        <v>7766</v>
      </c>
      <c r="B7709" s="16" t="n">
        <v>45714</v>
      </c>
      <c r="C7709" s="15" t="s">
        <v>56</v>
      </c>
      <c r="D7709" s="15" t="s">
        <v>43</v>
      </c>
      <c r="E7709" s="15" t="s">
        <v>37</v>
      </c>
      <c r="F7709" s="15" t="s">
        <v>17</v>
      </c>
      <c r="G7709" s="15" t="s">
        <v>31</v>
      </c>
      <c r="H7709" s="15" t="n">
        <v>6</v>
      </c>
      <c r="I7709" s="17" t="n">
        <v>0</v>
      </c>
      <c r="J7709" s="18" t="n">
        <v>810.43</v>
      </c>
      <c r="K7709" s="19" t="n">
        <v>196.85</v>
      </c>
      <c r="L7709" s="15" t="n">
        <f aca="false">YEAR(B7709)</f>
        <v>2025</v>
      </c>
      <c r="M7709" s="20" t="n">
        <f aca="false">IF(J7709&gt;0,K7709/J7709,0)</f>
        <v>0.242895746702368</v>
      </c>
    </row>
    <row r="7710" customFormat="false" ht="15" hidden="false" customHeight="false" outlineLevel="0" collapsed="false">
      <c r="A7710" s="15" t="s">
        <v>7767</v>
      </c>
      <c r="B7710" s="16" t="n">
        <v>45768</v>
      </c>
      <c r="C7710" s="15" t="s">
        <v>56</v>
      </c>
      <c r="D7710" s="15" t="s">
        <v>42</v>
      </c>
      <c r="E7710" s="15" t="s">
        <v>36</v>
      </c>
      <c r="F7710" s="15" t="s">
        <v>17</v>
      </c>
      <c r="G7710" s="15" t="s">
        <v>29</v>
      </c>
      <c r="H7710" s="15" t="n">
        <v>1</v>
      </c>
      <c r="I7710" s="17" t="n">
        <v>0</v>
      </c>
      <c r="J7710" s="18" t="n">
        <v>14.37</v>
      </c>
      <c r="K7710" s="19" t="n">
        <v>6.75</v>
      </c>
      <c r="L7710" s="15" t="n">
        <f aca="false">YEAR(B7710)</f>
        <v>2025</v>
      </c>
      <c r="M7710" s="20" t="n">
        <f aca="false">IF(J7710&gt;0,K7710/J7710,0)</f>
        <v>0.46972860125261</v>
      </c>
    </row>
    <row r="7711" customFormat="false" ht="15" hidden="false" customHeight="false" outlineLevel="0" collapsed="false">
      <c r="A7711" s="15" t="s">
        <v>7768</v>
      </c>
      <c r="B7711" s="16" t="n">
        <v>45335</v>
      </c>
      <c r="C7711" s="15" t="s">
        <v>56</v>
      </c>
      <c r="D7711" s="15" t="s">
        <v>42</v>
      </c>
      <c r="E7711" s="15" t="s">
        <v>39</v>
      </c>
      <c r="F7711" s="15" t="s">
        <v>17</v>
      </c>
      <c r="G7711" s="15" t="s">
        <v>26</v>
      </c>
      <c r="H7711" s="15" t="n">
        <v>2</v>
      </c>
      <c r="I7711" s="17" t="n">
        <v>0.2</v>
      </c>
      <c r="J7711" s="18" t="n">
        <v>177.27</v>
      </c>
      <c r="K7711" s="19" t="n">
        <v>0.52</v>
      </c>
      <c r="L7711" s="15" t="n">
        <f aca="false">YEAR(B7711)</f>
        <v>2024</v>
      </c>
      <c r="M7711" s="20" t="n">
        <f aca="false">IF(J7711&gt;0,K7711/J7711,0)</f>
        <v>0.00293337846223275</v>
      </c>
    </row>
    <row r="7712" customFormat="false" ht="15" hidden="false" customHeight="false" outlineLevel="0" collapsed="false">
      <c r="A7712" s="15" t="s">
        <v>7769</v>
      </c>
      <c r="B7712" s="16" t="n">
        <v>45241</v>
      </c>
      <c r="C7712" s="15" t="s">
        <v>56</v>
      </c>
      <c r="D7712" s="15" t="s">
        <v>42</v>
      </c>
      <c r="E7712" s="15" t="s">
        <v>37</v>
      </c>
      <c r="F7712" s="15" t="s">
        <v>16</v>
      </c>
      <c r="G7712" s="15" t="s">
        <v>27</v>
      </c>
      <c r="H7712" s="15" t="n">
        <v>1</v>
      </c>
      <c r="I7712" s="17" t="n">
        <v>0.2</v>
      </c>
      <c r="J7712" s="18" t="n">
        <v>41.23</v>
      </c>
      <c r="K7712" s="19" t="n">
        <v>-0.88</v>
      </c>
      <c r="L7712" s="15" t="n">
        <f aca="false">YEAR(B7712)</f>
        <v>2023</v>
      </c>
      <c r="M7712" s="20" t="n">
        <f aca="false">IF(J7712&gt;0,K7712/J7712,0)</f>
        <v>-0.0213436817851079</v>
      </c>
    </row>
    <row r="7713" customFormat="false" ht="15" hidden="false" customHeight="false" outlineLevel="0" collapsed="false">
      <c r="A7713" s="15" t="s">
        <v>7770</v>
      </c>
      <c r="B7713" s="16" t="n">
        <v>44875</v>
      </c>
      <c r="C7713" s="15" t="s">
        <v>56</v>
      </c>
      <c r="D7713" s="15" t="s">
        <v>44</v>
      </c>
      <c r="E7713" s="15" t="s">
        <v>36</v>
      </c>
      <c r="F7713" s="15" t="s">
        <v>16</v>
      </c>
      <c r="G7713" s="15" t="s">
        <v>27</v>
      </c>
      <c r="H7713" s="15" t="n">
        <v>4</v>
      </c>
      <c r="I7713" s="17" t="n">
        <v>0</v>
      </c>
      <c r="J7713" s="18" t="n">
        <v>182.72</v>
      </c>
      <c r="K7713" s="19" t="n">
        <v>30.45</v>
      </c>
      <c r="L7713" s="15" t="n">
        <f aca="false">YEAR(B7713)</f>
        <v>2022</v>
      </c>
      <c r="M7713" s="20" t="n">
        <f aca="false">IF(J7713&gt;0,K7713/J7713,0)</f>
        <v>0.166648423817863</v>
      </c>
    </row>
    <row r="7714" customFormat="false" ht="15" hidden="false" customHeight="false" outlineLevel="0" collapsed="false">
      <c r="A7714" s="15" t="s">
        <v>7771</v>
      </c>
      <c r="B7714" s="16" t="n">
        <v>44613</v>
      </c>
      <c r="C7714" s="15" t="s">
        <v>71</v>
      </c>
      <c r="D7714" s="15" t="s">
        <v>42</v>
      </c>
      <c r="E7714" s="15" t="s">
        <v>36</v>
      </c>
      <c r="F7714" s="15" t="s">
        <v>17</v>
      </c>
      <c r="G7714" s="15" t="s">
        <v>29</v>
      </c>
      <c r="H7714" s="15" t="n">
        <v>5</v>
      </c>
      <c r="I7714" s="17" t="n">
        <v>0</v>
      </c>
      <c r="J7714" s="18" t="n">
        <v>86.45</v>
      </c>
      <c r="K7714" s="19" t="n">
        <v>28.46</v>
      </c>
      <c r="L7714" s="15" t="n">
        <f aca="false">YEAR(B7714)</f>
        <v>2022</v>
      </c>
      <c r="M7714" s="20" t="n">
        <f aca="false">IF(J7714&gt;0,K7714/J7714,0)</f>
        <v>0.329207634470792</v>
      </c>
    </row>
    <row r="7715" customFormat="false" ht="15" hidden="false" customHeight="false" outlineLevel="0" collapsed="false">
      <c r="A7715" s="15" t="s">
        <v>7772</v>
      </c>
      <c r="B7715" s="16" t="n">
        <v>45335</v>
      </c>
      <c r="C7715" s="15" t="s">
        <v>56</v>
      </c>
      <c r="D7715" s="15" t="s">
        <v>43</v>
      </c>
      <c r="E7715" s="15" t="s">
        <v>37</v>
      </c>
      <c r="F7715" s="15" t="s">
        <v>16</v>
      </c>
      <c r="G7715" s="15" t="s">
        <v>25</v>
      </c>
      <c r="H7715" s="15" t="n">
        <v>6</v>
      </c>
      <c r="I7715" s="17" t="n">
        <v>0.2</v>
      </c>
      <c r="J7715" s="18" t="n">
        <v>1853.9</v>
      </c>
      <c r="K7715" s="19" t="n">
        <v>-61.8</v>
      </c>
      <c r="L7715" s="15" t="n">
        <f aca="false">YEAR(B7715)</f>
        <v>2024</v>
      </c>
      <c r="M7715" s="20" t="n">
        <f aca="false">IF(J7715&gt;0,K7715/J7715,0)</f>
        <v>-0.0333351313447327</v>
      </c>
    </row>
    <row r="7716" customFormat="false" ht="15" hidden="false" customHeight="false" outlineLevel="0" collapsed="false">
      <c r="A7716" s="15" t="s">
        <v>7773</v>
      </c>
      <c r="B7716" s="16" t="n">
        <v>45969</v>
      </c>
      <c r="C7716" s="15" t="s">
        <v>56</v>
      </c>
      <c r="D7716" s="15" t="s">
        <v>42</v>
      </c>
      <c r="E7716" s="15" t="s">
        <v>39</v>
      </c>
      <c r="F7716" s="15" t="s">
        <v>17</v>
      </c>
      <c r="G7716" s="15" t="s">
        <v>29</v>
      </c>
      <c r="H7716" s="15" t="n">
        <v>5</v>
      </c>
      <c r="I7716" s="17" t="n">
        <v>0</v>
      </c>
      <c r="J7716" s="18" t="n">
        <v>85.01</v>
      </c>
      <c r="K7716" s="19" t="n">
        <v>32.07</v>
      </c>
      <c r="L7716" s="15" t="n">
        <f aca="false">YEAR(B7716)</f>
        <v>2025</v>
      </c>
      <c r="M7716" s="20" t="n">
        <f aca="false">IF(J7716&gt;0,K7716/J7716,0)</f>
        <v>0.377249735325256</v>
      </c>
    </row>
    <row r="7717" customFormat="false" ht="15" hidden="false" customHeight="false" outlineLevel="0" collapsed="false">
      <c r="A7717" s="15" t="s">
        <v>7774</v>
      </c>
      <c r="B7717" s="16" t="n">
        <v>45243</v>
      </c>
      <c r="C7717" s="15" t="s">
        <v>56</v>
      </c>
      <c r="D7717" s="15" t="s">
        <v>42</v>
      </c>
      <c r="E7717" s="15" t="s">
        <v>38</v>
      </c>
      <c r="F7717" s="15" t="s">
        <v>17</v>
      </c>
      <c r="G7717" s="15" t="s">
        <v>28</v>
      </c>
      <c r="H7717" s="15" t="n">
        <v>4</v>
      </c>
      <c r="I7717" s="17" t="n">
        <v>0</v>
      </c>
      <c r="J7717" s="18" t="n">
        <v>94.4</v>
      </c>
      <c r="K7717" s="19" t="n">
        <v>30.85</v>
      </c>
      <c r="L7717" s="15" t="n">
        <f aca="false">YEAR(B7717)</f>
        <v>2023</v>
      </c>
      <c r="M7717" s="20" t="n">
        <f aca="false">IF(J7717&gt;0,K7717/J7717,0)</f>
        <v>0.326800847457627</v>
      </c>
    </row>
    <row r="7718" customFormat="false" ht="15" hidden="false" customHeight="false" outlineLevel="0" collapsed="false">
      <c r="A7718" s="15" t="s">
        <v>7775</v>
      </c>
      <c r="B7718" s="16" t="n">
        <v>45340</v>
      </c>
      <c r="C7718" s="15" t="s">
        <v>56</v>
      </c>
      <c r="D7718" s="15" t="s">
        <v>42</v>
      </c>
      <c r="E7718" s="15" t="s">
        <v>39</v>
      </c>
      <c r="F7718" s="15" t="s">
        <v>17</v>
      </c>
      <c r="G7718" s="15" t="s">
        <v>29</v>
      </c>
      <c r="H7718" s="15" t="n">
        <v>5</v>
      </c>
      <c r="I7718" s="17" t="n">
        <v>0</v>
      </c>
      <c r="J7718" s="18" t="n">
        <v>112.7</v>
      </c>
      <c r="K7718" s="19" t="n">
        <v>39.07</v>
      </c>
      <c r="L7718" s="15" t="n">
        <f aca="false">YEAR(B7718)</f>
        <v>2024</v>
      </c>
      <c r="M7718" s="20" t="n">
        <f aca="false">IF(J7718&gt;0,K7718/J7718,0)</f>
        <v>0.346672582076309</v>
      </c>
    </row>
    <row r="7719" customFormat="false" ht="15" hidden="false" customHeight="false" outlineLevel="0" collapsed="false">
      <c r="A7719" s="15" t="s">
        <v>7776</v>
      </c>
      <c r="B7719" s="16" t="n">
        <v>45501</v>
      </c>
      <c r="C7719" s="15" t="s">
        <v>71</v>
      </c>
      <c r="D7719" s="15" t="s">
        <v>44</v>
      </c>
      <c r="E7719" s="15" t="s">
        <v>39</v>
      </c>
      <c r="F7719" s="15" t="s">
        <v>17</v>
      </c>
      <c r="G7719" s="15" t="s">
        <v>29</v>
      </c>
      <c r="H7719" s="15" t="n">
        <v>4</v>
      </c>
      <c r="I7719" s="17" t="n">
        <v>0</v>
      </c>
      <c r="J7719" s="18" t="n">
        <v>70.59</v>
      </c>
      <c r="K7719" s="19" t="n">
        <v>30.07</v>
      </c>
      <c r="L7719" s="15" t="n">
        <f aca="false">YEAR(B7719)</f>
        <v>2024</v>
      </c>
      <c r="M7719" s="20" t="n">
        <f aca="false">IF(J7719&gt;0,K7719/J7719,0)</f>
        <v>0.425981017141238</v>
      </c>
    </row>
    <row r="7720" customFormat="false" ht="15" hidden="false" customHeight="false" outlineLevel="0" collapsed="false">
      <c r="A7720" s="15" t="s">
        <v>7777</v>
      </c>
      <c r="B7720" s="16" t="n">
        <v>45919</v>
      </c>
      <c r="C7720" s="15" t="s">
        <v>68</v>
      </c>
      <c r="D7720" s="15" t="s">
        <v>42</v>
      </c>
      <c r="E7720" s="15" t="s">
        <v>39</v>
      </c>
      <c r="F7720" s="15" t="s">
        <v>18</v>
      </c>
      <c r="G7720" s="15" t="s">
        <v>33</v>
      </c>
      <c r="H7720" s="15" t="n">
        <v>2</v>
      </c>
      <c r="I7720" s="17" t="n">
        <v>0.3</v>
      </c>
      <c r="J7720" s="18" t="n">
        <v>1074.37</v>
      </c>
      <c r="K7720" s="19" t="n">
        <v>-72.01</v>
      </c>
      <c r="L7720" s="15" t="n">
        <f aca="false">YEAR(B7720)</f>
        <v>2025</v>
      </c>
      <c r="M7720" s="20" t="n">
        <f aca="false">IF(J7720&gt;0,K7720/J7720,0)</f>
        <v>-0.0670253264703966</v>
      </c>
    </row>
    <row r="7721" customFormat="false" ht="15" hidden="false" customHeight="false" outlineLevel="0" collapsed="false">
      <c r="A7721" s="15" t="s">
        <v>7778</v>
      </c>
      <c r="B7721" s="16" t="n">
        <v>45636</v>
      </c>
      <c r="C7721" s="15" t="s">
        <v>56</v>
      </c>
      <c r="D7721" s="15" t="s">
        <v>42</v>
      </c>
      <c r="E7721" s="15" t="s">
        <v>39</v>
      </c>
      <c r="F7721" s="15" t="s">
        <v>17</v>
      </c>
      <c r="G7721" s="15" t="s">
        <v>28</v>
      </c>
      <c r="H7721" s="15" t="n">
        <v>5</v>
      </c>
      <c r="I7721" s="17" t="n">
        <v>0.15</v>
      </c>
      <c r="J7721" s="18" t="n">
        <v>140.87</v>
      </c>
      <c r="K7721" s="19" t="n">
        <v>9.26</v>
      </c>
      <c r="L7721" s="15" t="n">
        <f aca="false">YEAR(B7721)</f>
        <v>2024</v>
      </c>
      <c r="M7721" s="20" t="n">
        <f aca="false">IF(J7721&gt;0,K7721/J7721,0)</f>
        <v>0.0657343650173919</v>
      </c>
    </row>
    <row r="7722" customFormat="false" ht="15" hidden="false" customHeight="false" outlineLevel="0" collapsed="false">
      <c r="A7722" s="15" t="s">
        <v>7779</v>
      </c>
      <c r="B7722" s="16" t="n">
        <v>45930</v>
      </c>
      <c r="C7722" s="15" t="s">
        <v>56</v>
      </c>
      <c r="D7722" s="15" t="s">
        <v>42</v>
      </c>
      <c r="E7722" s="15" t="s">
        <v>36</v>
      </c>
      <c r="F7722" s="15" t="s">
        <v>17</v>
      </c>
      <c r="G7722" s="15" t="s">
        <v>31</v>
      </c>
      <c r="H7722" s="15" t="n">
        <v>2</v>
      </c>
      <c r="I7722" s="17" t="n">
        <v>0.4</v>
      </c>
      <c r="J7722" s="18" t="n">
        <v>130.74</v>
      </c>
      <c r="K7722" s="19" t="n">
        <v>-35.14</v>
      </c>
      <c r="L7722" s="15" t="n">
        <f aca="false">YEAR(B7722)</f>
        <v>2025</v>
      </c>
      <c r="M7722" s="20" t="n">
        <f aca="false">IF(J7722&gt;0,K7722/J7722,0)</f>
        <v>-0.268777726785987</v>
      </c>
    </row>
    <row r="7723" customFormat="false" ht="15" hidden="false" customHeight="false" outlineLevel="0" collapsed="false">
      <c r="A7723" s="15" t="s">
        <v>7780</v>
      </c>
      <c r="B7723" s="16" t="n">
        <v>44788</v>
      </c>
      <c r="C7723" s="15" t="s">
        <v>71</v>
      </c>
      <c r="D7723" s="15" t="s">
        <v>42</v>
      </c>
      <c r="E7723" s="15" t="s">
        <v>39</v>
      </c>
      <c r="F7723" s="15" t="s">
        <v>17</v>
      </c>
      <c r="G7723" s="15" t="s">
        <v>29</v>
      </c>
      <c r="H7723" s="15" t="n">
        <v>2</v>
      </c>
      <c r="I7723" s="17" t="n">
        <v>0.05</v>
      </c>
      <c r="J7723" s="18" t="n">
        <v>32.5</v>
      </c>
      <c r="K7723" s="19" t="n">
        <v>9.02</v>
      </c>
      <c r="L7723" s="15" t="n">
        <f aca="false">YEAR(B7723)</f>
        <v>2022</v>
      </c>
      <c r="M7723" s="20" t="n">
        <f aca="false">IF(J7723&gt;0,K7723/J7723,0)</f>
        <v>0.277538461538462</v>
      </c>
    </row>
    <row r="7724" customFormat="false" ht="15" hidden="false" customHeight="false" outlineLevel="0" collapsed="false">
      <c r="A7724" s="15" t="s">
        <v>7781</v>
      </c>
      <c r="B7724" s="16" t="n">
        <v>44576</v>
      </c>
      <c r="C7724" s="15" t="s">
        <v>56</v>
      </c>
      <c r="D7724" s="15" t="s">
        <v>43</v>
      </c>
      <c r="E7724" s="15" t="s">
        <v>36</v>
      </c>
      <c r="F7724" s="15" t="s">
        <v>17</v>
      </c>
      <c r="G7724" s="15" t="s">
        <v>26</v>
      </c>
      <c r="H7724" s="15" t="n">
        <v>2</v>
      </c>
      <c r="I7724" s="17" t="n">
        <v>0</v>
      </c>
      <c r="J7724" s="18" t="n">
        <v>176.32</v>
      </c>
      <c r="K7724" s="19" t="n">
        <v>24.51</v>
      </c>
      <c r="L7724" s="15" t="n">
        <f aca="false">YEAR(B7724)</f>
        <v>2022</v>
      </c>
      <c r="M7724" s="20" t="n">
        <f aca="false">IF(J7724&gt;0,K7724/J7724,0)</f>
        <v>0.139008620689655</v>
      </c>
    </row>
    <row r="7725" customFormat="false" ht="15" hidden="false" customHeight="false" outlineLevel="0" collapsed="false">
      <c r="A7725" s="15" t="s">
        <v>7782</v>
      </c>
      <c r="B7725" s="16" t="n">
        <v>44840</v>
      </c>
      <c r="C7725" s="15" t="s">
        <v>56</v>
      </c>
      <c r="D7725" s="15" t="s">
        <v>42</v>
      </c>
      <c r="E7725" s="15" t="s">
        <v>36</v>
      </c>
      <c r="F7725" s="15" t="s">
        <v>16</v>
      </c>
      <c r="G7725" s="15" t="s">
        <v>25</v>
      </c>
      <c r="H7725" s="15" t="n">
        <v>4</v>
      </c>
      <c r="I7725" s="17" t="n">
        <v>0</v>
      </c>
      <c r="J7725" s="18" t="n">
        <v>1155.12</v>
      </c>
      <c r="K7725" s="19" t="n">
        <v>130.42</v>
      </c>
      <c r="L7725" s="15" t="n">
        <f aca="false">YEAR(B7725)</f>
        <v>2022</v>
      </c>
      <c r="M7725" s="20" t="n">
        <f aca="false">IF(J7725&gt;0,K7725/J7725,0)</f>
        <v>0.112906018422328</v>
      </c>
    </row>
    <row r="7726" customFormat="false" ht="15" hidden="false" customHeight="false" outlineLevel="0" collapsed="false">
      <c r="A7726" s="15" t="s">
        <v>7783</v>
      </c>
      <c r="B7726" s="16" t="n">
        <v>45589</v>
      </c>
      <c r="C7726" s="15" t="s">
        <v>56</v>
      </c>
      <c r="D7726" s="15" t="s">
        <v>42</v>
      </c>
      <c r="E7726" s="15" t="s">
        <v>37</v>
      </c>
      <c r="F7726" s="15" t="s">
        <v>16</v>
      </c>
      <c r="G7726" s="15" t="s">
        <v>23</v>
      </c>
      <c r="H7726" s="15" t="n">
        <v>2</v>
      </c>
      <c r="I7726" s="17" t="n">
        <v>0.4</v>
      </c>
      <c r="J7726" s="18" t="n">
        <v>467.91</v>
      </c>
      <c r="K7726" s="19" t="n">
        <v>-108.73</v>
      </c>
      <c r="L7726" s="15" t="n">
        <f aca="false">YEAR(B7726)</f>
        <v>2024</v>
      </c>
      <c r="M7726" s="20" t="n">
        <f aca="false">IF(J7726&gt;0,K7726/J7726,0)</f>
        <v>-0.232373747088115</v>
      </c>
    </row>
    <row r="7727" customFormat="false" ht="15" hidden="false" customHeight="false" outlineLevel="0" collapsed="false">
      <c r="A7727" s="15" t="s">
        <v>7784</v>
      </c>
      <c r="B7727" s="16" t="n">
        <v>45497</v>
      </c>
      <c r="C7727" s="15" t="s">
        <v>56</v>
      </c>
      <c r="D7727" s="15" t="s">
        <v>43</v>
      </c>
      <c r="E7727" s="15" t="s">
        <v>36</v>
      </c>
      <c r="F7727" s="15" t="s">
        <v>17</v>
      </c>
      <c r="G7727" s="15" t="s">
        <v>28</v>
      </c>
      <c r="H7727" s="15" t="n">
        <v>3</v>
      </c>
      <c r="I7727" s="17" t="n">
        <v>0.2</v>
      </c>
      <c r="J7727" s="18" t="n">
        <v>55.52</v>
      </c>
      <c r="K7727" s="19" t="n">
        <v>7.52</v>
      </c>
      <c r="L7727" s="15" t="n">
        <f aca="false">YEAR(B7727)</f>
        <v>2024</v>
      </c>
      <c r="M7727" s="20" t="n">
        <f aca="false">IF(J7727&gt;0,K7727/J7727,0)</f>
        <v>0.135446685878963</v>
      </c>
    </row>
    <row r="7728" customFormat="false" ht="15" hidden="false" customHeight="false" outlineLevel="0" collapsed="false">
      <c r="A7728" s="15" t="s">
        <v>7785</v>
      </c>
      <c r="B7728" s="16" t="n">
        <v>45036</v>
      </c>
      <c r="C7728" s="15" t="s">
        <v>56</v>
      </c>
      <c r="D7728" s="15" t="s">
        <v>42</v>
      </c>
      <c r="E7728" s="15" t="s">
        <v>39</v>
      </c>
      <c r="F7728" s="15" t="s">
        <v>18</v>
      </c>
      <c r="G7728" s="15" t="s">
        <v>33</v>
      </c>
      <c r="H7728" s="15" t="n">
        <v>2</v>
      </c>
      <c r="I7728" s="17" t="n">
        <v>0</v>
      </c>
      <c r="J7728" s="18" t="n">
        <v>1966.96</v>
      </c>
      <c r="K7728" s="19" t="n">
        <v>622.95</v>
      </c>
      <c r="L7728" s="15" t="n">
        <f aca="false">YEAR(B7728)</f>
        <v>2023</v>
      </c>
      <c r="M7728" s="20" t="n">
        <f aca="false">IF(J7728&gt;0,K7728/J7728,0)</f>
        <v>0.316706999633953</v>
      </c>
    </row>
    <row r="7729" customFormat="false" ht="15" hidden="false" customHeight="false" outlineLevel="0" collapsed="false">
      <c r="A7729" s="15" t="s">
        <v>7786</v>
      </c>
      <c r="B7729" s="16" t="n">
        <v>45743</v>
      </c>
      <c r="C7729" s="15" t="s">
        <v>56</v>
      </c>
      <c r="D7729" s="15" t="s">
        <v>42</v>
      </c>
      <c r="E7729" s="15" t="s">
        <v>36</v>
      </c>
      <c r="F7729" s="15" t="s">
        <v>17</v>
      </c>
      <c r="G7729" s="15" t="s">
        <v>29</v>
      </c>
      <c r="H7729" s="15" t="n">
        <v>3</v>
      </c>
      <c r="I7729" s="17" t="n">
        <v>0.2</v>
      </c>
      <c r="J7729" s="18" t="n">
        <v>44.84</v>
      </c>
      <c r="K7729" s="19" t="n">
        <v>13.14</v>
      </c>
      <c r="L7729" s="15" t="n">
        <f aca="false">YEAR(B7729)</f>
        <v>2025</v>
      </c>
      <c r="M7729" s="20" t="n">
        <f aca="false">IF(J7729&gt;0,K7729/J7729,0)</f>
        <v>0.293041926851026</v>
      </c>
    </row>
    <row r="7730" customFormat="false" ht="15" hidden="false" customHeight="false" outlineLevel="0" collapsed="false">
      <c r="A7730" s="15" t="s">
        <v>7787</v>
      </c>
      <c r="B7730" s="16" t="n">
        <v>44992</v>
      </c>
      <c r="C7730" s="15" t="s">
        <v>68</v>
      </c>
      <c r="D7730" s="15" t="s">
        <v>42</v>
      </c>
      <c r="E7730" s="15" t="s">
        <v>38</v>
      </c>
      <c r="F7730" s="15" t="s">
        <v>17</v>
      </c>
      <c r="G7730" s="15" t="s">
        <v>26</v>
      </c>
      <c r="H7730" s="15" t="n">
        <v>3</v>
      </c>
      <c r="I7730" s="17" t="n">
        <v>0.15</v>
      </c>
      <c r="J7730" s="18" t="n">
        <v>216.55</v>
      </c>
      <c r="K7730" s="19" t="n">
        <v>3.35</v>
      </c>
      <c r="L7730" s="15" t="n">
        <f aca="false">YEAR(B7730)</f>
        <v>2023</v>
      </c>
      <c r="M7730" s="20" t="n">
        <f aca="false">IF(J7730&gt;0,K7730/J7730,0)</f>
        <v>0.0154698683906719</v>
      </c>
    </row>
    <row r="7731" customFormat="false" ht="15" hidden="false" customHeight="false" outlineLevel="0" collapsed="false">
      <c r="A7731" s="15" t="s">
        <v>7788</v>
      </c>
      <c r="B7731" s="16" t="n">
        <v>44884</v>
      </c>
      <c r="C7731" s="15" t="s">
        <v>56</v>
      </c>
      <c r="D7731" s="15" t="s">
        <v>42</v>
      </c>
      <c r="E7731" s="15" t="s">
        <v>36</v>
      </c>
      <c r="F7731" s="15" t="s">
        <v>17</v>
      </c>
      <c r="G7731" s="15" t="s">
        <v>26</v>
      </c>
      <c r="H7731" s="15" t="n">
        <v>1</v>
      </c>
      <c r="I7731" s="17" t="n">
        <v>0</v>
      </c>
      <c r="J7731" s="18" t="n">
        <v>85.01</v>
      </c>
      <c r="K7731" s="19" t="n">
        <v>15.2</v>
      </c>
      <c r="L7731" s="15" t="n">
        <f aca="false">YEAR(B7731)</f>
        <v>2022</v>
      </c>
      <c r="M7731" s="20" t="n">
        <f aca="false">IF(J7731&gt;0,K7731/J7731,0)</f>
        <v>0.178802493824256</v>
      </c>
    </row>
    <row r="7732" customFormat="false" ht="15" hidden="false" customHeight="false" outlineLevel="0" collapsed="false">
      <c r="A7732" s="15" t="s">
        <v>7789</v>
      </c>
      <c r="B7732" s="16" t="n">
        <v>45861</v>
      </c>
      <c r="C7732" s="15" t="s">
        <v>56</v>
      </c>
      <c r="D7732" s="15" t="s">
        <v>42</v>
      </c>
      <c r="E7732" s="15" t="s">
        <v>38</v>
      </c>
      <c r="F7732" s="15" t="s">
        <v>17</v>
      </c>
      <c r="G7732" s="15" t="s">
        <v>26</v>
      </c>
      <c r="H7732" s="15" t="n">
        <v>2</v>
      </c>
      <c r="I7732" s="17" t="n">
        <v>0</v>
      </c>
      <c r="J7732" s="18" t="n">
        <v>140.57</v>
      </c>
      <c r="K7732" s="19" t="n">
        <v>12.47</v>
      </c>
      <c r="L7732" s="15" t="n">
        <f aca="false">YEAR(B7732)</f>
        <v>2025</v>
      </c>
      <c r="M7732" s="20" t="n">
        <f aca="false">IF(J7732&gt;0,K7732/J7732,0)</f>
        <v>0.0887102511204382</v>
      </c>
    </row>
    <row r="7733" customFormat="false" ht="15" hidden="false" customHeight="false" outlineLevel="0" collapsed="false">
      <c r="A7733" s="15" t="s">
        <v>7790</v>
      </c>
      <c r="B7733" s="16" t="n">
        <v>44607</v>
      </c>
      <c r="C7733" s="15" t="s">
        <v>56</v>
      </c>
      <c r="D7733" s="15" t="s">
        <v>42</v>
      </c>
      <c r="E7733" s="15" t="s">
        <v>37</v>
      </c>
      <c r="F7733" s="15" t="s">
        <v>17</v>
      </c>
      <c r="G7733" s="15" t="s">
        <v>31</v>
      </c>
      <c r="H7733" s="15" t="n">
        <v>6</v>
      </c>
      <c r="I7733" s="17" t="n">
        <v>0.1</v>
      </c>
      <c r="J7733" s="18" t="n">
        <v>680.47</v>
      </c>
      <c r="K7733" s="19" t="n">
        <v>55.41</v>
      </c>
      <c r="L7733" s="15" t="n">
        <f aca="false">YEAR(B7733)</f>
        <v>2022</v>
      </c>
      <c r="M7733" s="20" t="n">
        <f aca="false">IF(J7733&gt;0,K7733/J7733,0)</f>
        <v>0.0814290123003218</v>
      </c>
    </row>
    <row r="7734" customFormat="false" ht="15" hidden="false" customHeight="false" outlineLevel="0" collapsed="false">
      <c r="A7734" s="15" t="s">
        <v>7791</v>
      </c>
      <c r="B7734" s="16" t="n">
        <v>45654</v>
      </c>
      <c r="C7734" s="15" t="s">
        <v>56</v>
      </c>
      <c r="D7734" s="15" t="s">
        <v>43</v>
      </c>
      <c r="E7734" s="15" t="s">
        <v>39</v>
      </c>
      <c r="F7734" s="15" t="s">
        <v>17</v>
      </c>
      <c r="G7734" s="15" t="s">
        <v>28</v>
      </c>
      <c r="H7734" s="15" t="n">
        <v>2</v>
      </c>
      <c r="I7734" s="17" t="n">
        <v>0.2</v>
      </c>
      <c r="J7734" s="18" t="n">
        <v>63.85</v>
      </c>
      <c r="K7734" s="19" t="n">
        <v>4.19</v>
      </c>
      <c r="L7734" s="15" t="n">
        <f aca="false">YEAR(B7734)</f>
        <v>2024</v>
      </c>
      <c r="M7734" s="20" t="n">
        <f aca="false">IF(J7734&gt;0,K7734/J7734,0)</f>
        <v>0.0656225528582616</v>
      </c>
    </row>
    <row r="7735" customFormat="false" ht="15" hidden="false" customHeight="false" outlineLevel="0" collapsed="false">
      <c r="A7735" s="15" t="s">
        <v>7792</v>
      </c>
      <c r="B7735" s="16" t="n">
        <v>44683</v>
      </c>
      <c r="C7735" s="15" t="s">
        <v>56</v>
      </c>
      <c r="D7735" s="15" t="s">
        <v>43</v>
      </c>
      <c r="E7735" s="15" t="s">
        <v>37</v>
      </c>
      <c r="F7735" s="15" t="s">
        <v>16</v>
      </c>
      <c r="G7735" s="15" t="s">
        <v>23</v>
      </c>
      <c r="H7735" s="15" t="n">
        <v>3</v>
      </c>
      <c r="I7735" s="17" t="n">
        <v>0.1</v>
      </c>
      <c r="J7735" s="18" t="n">
        <v>949.22</v>
      </c>
      <c r="K7735" s="19" t="n">
        <v>16.53</v>
      </c>
      <c r="L7735" s="15" t="n">
        <f aca="false">YEAR(B7735)</f>
        <v>2022</v>
      </c>
      <c r="M7735" s="20" t="n">
        <f aca="false">IF(J7735&gt;0,K7735/J7735,0)</f>
        <v>0.0174142980552454</v>
      </c>
    </row>
    <row r="7736" customFormat="false" ht="15" hidden="false" customHeight="false" outlineLevel="0" collapsed="false">
      <c r="A7736" s="15" t="s">
        <v>7793</v>
      </c>
      <c r="B7736" s="16" t="n">
        <v>45629</v>
      </c>
      <c r="C7736" s="15" t="s">
        <v>58</v>
      </c>
      <c r="D7736" s="15" t="s">
        <v>42</v>
      </c>
      <c r="E7736" s="15" t="s">
        <v>39</v>
      </c>
      <c r="F7736" s="15" t="s">
        <v>18</v>
      </c>
      <c r="G7736" s="15" t="s">
        <v>30</v>
      </c>
      <c r="H7736" s="15" t="n">
        <v>2</v>
      </c>
      <c r="I7736" s="17" t="n">
        <v>0</v>
      </c>
      <c r="J7736" s="18" t="n">
        <v>93.69</v>
      </c>
      <c r="K7736" s="19" t="n">
        <v>28.16</v>
      </c>
      <c r="L7736" s="15" t="n">
        <f aca="false">YEAR(B7736)</f>
        <v>2024</v>
      </c>
      <c r="M7736" s="20" t="n">
        <f aca="false">IF(J7736&gt;0,K7736/J7736,0)</f>
        <v>0.300565695378376</v>
      </c>
    </row>
    <row r="7737" customFormat="false" ht="15" hidden="false" customHeight="false" outlineLevel="0" collapsed="false">
      <c r="A7737" s="15" t="s">
        <v>7794</v>
      </c>
      <c r="B7737" s="16" t="n">
        <v>45387</v>
      </c>
      <c r="C7737" s="15" t="s">
        <v>56</v>
      </c>
      <c r="D7737" s="15" t="s">
        <v>42</v>
      </c>
      <c r="E7737" s="15" t="s">
        <v>36</v>
      </c>
      <c r="F7737" s="15" t="s">
        <v>18</v>
      </c>
      <c r="G7737" s="15" t="s">
        <v>32</v>
      </c>
      <c r="H7737" s="15" t="n">
        <v>7</v>
      </c>
      <c r="I7737" s="17" t="n">
        <v>0.3</v>
      </c>
      <c r="J7737" s="18" t="n">
        <v>1645.97</v>
      </c>
      <c r="K7737" s="19" t="n">
        <v>-98.21</v>
      </c>
      <c r="L7737" s="15" t="n">
        <f aca="false">YEAR(B7737)</f>
        <v>2024</v>
      </c>
      <c r="M7737" s="20" t="n">
        <f aca="false">IF(J7737&gt;0,K7737/J7737,0)</f>
        <v>-0.0596669441119826</v>
      </c>
    </row>
    <row r="7738" customFormat="false" ht="15" hidden="false" customHeight="false" outlineLevel="0" collapsed="false">
      <c r="A7738" s="15" t="s">
        <v>7795</v>
      </c>
      <c r="B7738" s="16" t="n">
        <v>45869</v>
      </c>
      <c r="C7738" s="15" t="s">
        <v>56</v>
      </c>
      <c r="D7738" s="15" t="s">
        <v>42</v>
      </c>
      <c r="E7738" s="15" t="s">
        <v>39</v>
      </c>
      <c r="F7738" s="15" t="s">
        <v>17</v>
      </c>
      <c r="G7738" s="15" t="s">
        <v>28</v>
      </c>
      <c r="H7738" s="15" t="n">
        <v>6</v>
      </c>
      <c r="I7738" s="17" t="n">
        <v>0.15</v>
      </c>
      <c r="J7738" s="18" t="n">
        <v>160.53</v>
      </c>
      <c r="K7738" s="19" t="n">
        <v>28.35</v>
      </c>
      <c r="L7738" s="15" t="n">
        <f aca="false">YEAR(B7738)</f>
        <v>2025</v>
      </c>
      <c r="M7738" s="20" t="n">
        <f aca="false">IF(J7738&gt;0,K7738/J7738,0)</f>
        <v>0.176602504204822</v>
      </c>
    </row>
    <row r="7739" customFormat="false" ht="15" hidden="false" customHeight="false" outlineLevel="0" collapsed="false">
      <c r="A7739" s="15" t="s">
        <v>7796</v>
      </c>
      <c r="B7739" s="16" t="n">
        <v>45783</v>
      </c>
      <c r="C7739" s="15" t="s">
        <v>56</v>
      </c>
      <c r="D7739" s="15" t="s">
        <v>42</v>
      </c>
      <c r="E7739" s="15" t="s">
        <v>37</v>
      </c>
      <c r="F7739" s="15" t="s">
        <v>17</v>
      </c>
      <c r="G7739" s="15" t="s">
        <v>28</v>
      </c>
      <c r="H7739" s="15" t="n">
        <v>1</v>
      </c>
      <c r="I7739" s="17" t="n">
        <v>0.2</v>
      </c>
      <c r="J7739" s="18" t="n">
        <v>21.6</v>
      </c>
      <c r="K7739" s="19" t="n">
        <v>2.94</v>
      </c>
      <c r="L7739" s="15" t="n">
        <f aca="false">YEAR(B7739)</f>
        <v>2025</v>
      </c>
      <c r="M7739" s="20" t="n">
        <f aca="false">IF(J7739&gt;0,K7739/J7739,0)</f>
        <v>0.136111111111111</v>
      </c>
    </row>
    <row r="7740" customFormat="false" ht="15" hidden="false" customHeight="false" outlineLevel="0" collapsed="false">
      <c r="A7740" s="15" t="s">
        <v>7797</v>
      </c>
      <c r="B7740" s="16" t="n">
        <v>45284</v>
      </c>
      <c r="C7740" s="15" t="s">
        <v>68</v>
      </c>
      <c r="D7740" s="15" t="s">
        <v>42</v>
      </c>
      <c r="E7740" s="15" t="s">
        <v>39</v>
      </c>
      <c r="F7740" s="15" t="s">
        <v>17</v>
      </c>
      <c r="G7740" s="15" t="s">
        <v>28</v>
      </c>
      <c r="H7740" s="15" t="n">
        <v>1</v>
      </c>
      <c r="I7740" s="17" t="n">
        <v>0.2</v>
      </c>
      <c r="J7740" s="18" t="n">
        <v>22.51</v>
      </c>
      <c r="K7740" s="19" t="n">
        <v>1.79</v>
      </c>
      <c r="L7740" s="15" t="n">
        <f aca="false">YEAR(B7740)</f>
        <v>2023</v>
      </c>
      <c r="M7740" s="20" t="n">
        <f aca="false">IF(J7740&gt;0,K7740/J7740,0)</f>
        <v>0.0795202132385606</v>
      </c>
    </row>
    <row r="7741" customFormat="false" ht="15" hidden="false" customHeight="false" outlineLevel="0" collapsed="false">
      <c r="A7741" s="15" t="s">
        <v>7798</v>
      </c>
      <c r="B7741" s="16" t="n">
        <v>45867</v>
      </c>
      <c r="C7741" s="15" t="s">
        <v>56</v>
      </c>
      <c r="D7741" s="15" t="s">
        <v>42</v>
      </c>
      <c r="E7741" s="15" t="s">
        <v>39</v>
      </c>
      <c r="F7741" s="15" t="s">
        <v>17</v>
      </c>
      <c r="G7741" s="15" t="s">
        <v>29</v>
      </c>
      <c r="H7741" s="15" t="n">
        <v>3</v>
      </c>
      <c r="I7741" s="17" t="n">
        <v>0</v>
      </c>
      <c r="J7741" s="18" t="n">
        <v>56.45</v>
      </c>
      <c r="K7741" s="19" t="n">
        <v>20.67</v>
      </c>
      <c r="L7741" s="15" t="n">
        <f aca="false">YEAR(B7741)</f>
        <v>2025</v>
      </c>
      <c r="M7741" s="20" t="n">
        <f aca="false">IF(J7741&gt;0,K7741/J7741,0)</f>
        <v>0.366164747564216</v>
      </c>
    </row>
    <row r="7742" customFormat="false" ht="15" hidden="false" customHeight="false" outlineLevel="0" collapsed="false">
      <c r="A7742" s="15" t="s">
        <v>7799</v>
      </c>
      <c r="B7742" s="16" t="n">
        <v>45829</v>
      </c>
      <c r="C7742" s="15" t="s">
        <v>56</v>
      </c>
      <c r="D7742" s="15" t="s">
        <v>43</v>
      </c>
      <c r="E7742" s="15" t="s">
        <v>38</v>
      </c>
      <c r="F7742" s="15" t="s">
        <v>17</v>
      </c>
      <c r="G7742" s="15" t="s">
        <v>29</v>
      </c>
      <c r="H7742" s="15" t="n">
        <v>2</v>
      </c>
      <c r="I7742" s="17" t="n">
        <v>0.1</v>
      </c>
      <c r="J7742" s="18" t="n">
        <v>31.54</v>
      </c>
      <c r="K7742" s="19" t="n">
        <v>7.57</v>
      </c>
      <c r="L7742" s="15" t="n">
        <f aca="false">YEAR(B7742)</f>
        <v>2025</v>
      </c>
      <c r="M7742" s="20" t="n">
        <f aca="false">IF(J7742&gt;0,K7742/J7742,0)</f>
        <v>0.24001268230818</v>
      </c>
    </row>
    <row r="7743" customFormat="false" ht="15" hidden="false" customHeight="false" outlineLevel="0" collapsed="false">
      <c r="A7743" s="15" t="s">
        <v>7800</v>
      </c>
      <c r="B7743" s="16" t="n">
        <v>44916</v>
      </c>
      <c r="C7743" s="15" t="s">
        <v>56</v>
      </c>
      <c r="D7743" s="15" t="s">
        <v>43</v>
      </c>
      <c r="E7743" s="15" t="s">
        <v>37</v>
      </c>
      <c r="F7743" s="15" t="s">
        <v>18</v>
      </c>
      <c r="G7743" s="15" t="s">
        <v>33</v>
      </c>
      <c r="H7743" s="15" t="n">
        <v>4</v>
      </c>
      <c r="I7743" s="17" t="n">
        <v>0</v>
      </c>
      <c r="J7743" s="18" t="n">
        <v>4613.18</v>
      </c>
      <c r="K7743" s="19" t="n">
        <v>1185.99</v>
      </c>
      <c r="L7743" s="15" t="n">
        <f aca="false">YEAR(B7743)</f>
        <v>2022</v>
      </c>
      <c r="M7743" s="20" t="n">
        <f aca="false">IF(J7743&gt;0,K7743/J7743,0)</f>
        <v>0.257087302034605</v>
      </c>
    </row>
    <row r="7744" customFormat="false" ht="15" hidden="false" customHeight="false" outlineLevel="0" collapsed="false">
      <c r="A7744" s="15" t="s">
        <v>7801</v>
      </c>
      <c r="B7744" s="16" t="n">
        <v>45864</v>
      </c>
      <c r="C7744" s="15" t="s">
        <v>56</v>
      </c>
      <c r="D7744" s="15" t="s">
        <v>42</v>
      </c>
      <c r="E7744" s="15" t="s">
        <v>36</v>
      </c>
      <c r="F7744" s="15" t="s">
        <v>17</v>
      </c>
      <c r="G7744" s="15" t="s">
        <v>28</v>
      </c>
      <c r="H7744" s="15" t="n">
        <v>4</v>
      </c>
      <c r="I7744" s="17" t="n">
        <v>0</v>
      </c>
      <c r="J7744" s="18" t="n">
        <v>87.7</v>
      </c>
      <c r="K7744" s="19" t="n">
        <v>21.24</v>
      </c>
      <c r="L7744" s="15" t="n">
        <f aca="false">YEAR(B7744)</f>
        <v>2025</v>
      </c>
      <c r="M7744" s="20" t="n">
        <f aca="false">IF(J7744&gt;0,K7744/J7744,0)</f>
        <v>0.242189281641961</v>
      </c>
    </row>
    <row r="7745" customFormat="false" ht="15" hidden="false" customHeight="false" outlineLevel="0" collapsed="false">
      <c r="A7745" s="15" t="s">
        <v>7802</v>
      </c>
      <c r="B7745" s="16" t="n">
        <v>45816</v>
      </c>
      <c r="C7745" s="15" t="s">
        <v>56</v>
      </c>
      <c r="D7745" s="15" t="s">
        <v>42</v>
      </c>
      <c r="E7745" s="15" t="s">
        <v>37</v>
      </c>
      <c r="F7745" s="15" t="s">
        <v>17</v>
      </c>
      <c r="G7745" s="15" t="s">
        <v>31</v>
      </c>
      <c r="H7745" s="15" t="n">
        <v>3</v>
      </c>
      <c r="I7745" s="17" t="n">
        <v>0</v>
      </c>
      <c r="J7745" s="18" t="n">
        <v>430.18</v>
      </c>
      <c r="K7745" s="19" t="n">
        <v>84.89</v>
      </c>
      <c r="L7745" s="15" t="n">
        <f aca="false">YEAR(B7745)</f>
        <v>2025</v>
      </c>
      <c r="M7745" s="20" t="n">
        <f aca="false">IF(J7745&gt;0,K7745/J7745,0)</f>
        <v>0.197335998884188</v>
      </c>
    </row>
    <row r="7746" customFormat="false" ht="15" hidden="false" customHeight="false" outlineLevel="0" collapsed="false">
      <c r="A7746" s="15" t="s">
        <v>7803</v>
      </c>
      <c r="B7746" s="16" t="n">
        <v>44745</v>
      </c>
      <c r="C7746" s="15" t="s">
        <v>56</v>
      </c>
      <c r="D7746" s="15" t="s">
        <v>43</v>
      </c>
      <c r="E7746" s="15" t="s">
        <v>37</v>
      </c>
      <c r="F7746" s="15" t="s">
        <v>17</v>
      </c>
      <c r="G7746" s="15" t="s">
        <v>31</v>
      </c>
      <c r="H7746" s="15" t="n">
        <v>3</v>
      </c>
      <c r="I7746" s="17" t="n">
        <v>0</v>
      </c>
      <c r="J7746" s="18" t="n">
        <v>404.84</v>
      </c>
      <c r="K7746" s="19" t="n">
        <v>90.34</v>
      </c>
      <c r="L7746" s="15" t="n">
        <f aca="false">YEAR(B7746)</f>
        <v>2022</v>
      </c>
      <c r="M7746" s="20" t="n">
        <f aca="false">IF(J7746&gt;0,K7746/J7746,0)</f>
        <v>0.223149886374864</v>
      </c>
    </row>
    <row r="7747" customFormat="false" ht="15" hidden="false" customHeight="false" outlineLevel="0" collapsed="false">
      <c r="A7747" s="15" t="s">
        <v>7804</v>
      </c>
      <c r="B7747" s="16" t="n">
        <v>45874</v>
      </c>
      <c r="C7747" s="15" t="s">
        <v>68</v>
      </c>
      <c r="D7747" s="15" t="s">
        <v>42</v>
      </c>
      <c r="E7747" s="15" t="s">
        <v>39</v>
      </c>
      <c r="F7747" s="15" t="s">
        <v>18</v>
      </c>
      <c r="G7747" s="15" t="s">
        <v>30</v>
      </c>
      <c r="H7747" s="15" t="n">
        <v>5</v>
      </c>
      <c r="I7747" s="17" t="n">
        <v>0</v>
      </c>
      <c r="J7747" s="18" t="n">
        <v>241.2</v>
      </c>
      <c r="K7747" s="19" t="n">
        <v>71.33</v>
      </c>
      <c r="L7747" s="15" t="n">
        <f aca="false">YEAR(B7747)</f>
        <v>2025</v>
      </c>
      <c r="M7747" s="20" t="n">
        <f aca="false">IF(J7747&gt;0,K7747/J7747,0)</f>
        <v>0.295729684908789</v>
      </c>
    </row>
    <row r="7748" customFormat="false" ht="15" hidden="false" customHeight="false" outlineLevel="0" collapsed="false">
      <c r="A7748" s="15" t="s">
        <v>7805</v>
      </c>
      <c r="B7748" s="16" t="n">
        <v>44919</v>
      </c>
      <c r="C7748" s="15" t="s">
        <v>71</v>
      </c>
      <c r="D7748" s="15" t="s">
        <v>42</v>
      </c>
      <c r="E7748" s="15" t="s">
        <v>37</v>
      </c>
      <c r="F7748" s="15" t="s">
        <v>17</v>
      </c>
      <c r="G7748" s="15" t="s">
        <v>26</v>
      </c>
      <c r="H7748" s="15" t="n">
        <v>5</v>
      </c>
      <c r="I7748" s="17" t="n">
        <v>0</v>
      </c>
      <c r="J7748" s="18" t="n">
        <v>448.79</v>
      </c>
      <c r="K7748" s="19" t="n">
        <v>36.62</v>
      </c>
      <c r="L7748" s="15" t="n">
        <f aca="false">YEAR(B7748)</f>
        <v>2022</v>
      </c>
      <c r="M7748" s="20" t="n">
        <f aca="false">IF(J7748&gt;0,K7748/J7748,0)</f>
        <v>0.0815971835379576</v>
      </c>
    </row>
    <row r="7749" customFormat="false" ht="15" hidden="false" customHeight="false" outlineLevel="0" collapsed="false">
      <c r="A7749" s="15" t="s">
        <v>7806</v>
      </c>
      <c r="B7749" s="16" t="n">
        <v>45938</v>
      </c>
      <c r="C7749" s="15" t="s">
        <v>56</v>
      </c>
      <c r="D7749" s="15" t="s">
        <v>42</v>
      </c>
      <c r="E7749" s="15" t="s">
        <v>38</v>
      </c>
      <c r="F7749" s="15" t="s">
        <v>17</v>
      </c>
      <c r="G7749" s="15" t="s">
        <v>26</v>
      </c>
      <c r="H7749" s="15" t="n">
        <v>4</v>
      </c>
      <c r="I7749" s="17" t="n">
        <v>0.4</v>
      </c>
      <c r="J7749" s="18" t="n">
        <v>153.21</v>
      </c>
      <c r="K7749" s="19" t="n">
        <v>-37.47</v>
      </c>
      <c r="L7749" s="15" t="n">
        <f aca="false">YEAR(B7749)</f>
        <v>2025</v>
      </c>
      <c r="M7749" s="20" t="n">
        <f aca="false">IF(J7749&gt;0,K7749/J7749,0)</f>
        <v>-0.24456628157431</v>
      </c>
    </row>
    <row r="7750" customFormat="false" ht="15" hidden="false" customHeight="false" outlineLevel="0" collapsed="false">
      <c r="A7750" s="15" t="s">
        <v>7807</v>
      </c>
      <c r="B7750" s="16" t="n">
        <v>45839</v>
      </c>
      <c r="C7750" s="15" t="s">
        <v>56</v>
      </c>
      <c r="D7750" s="15" t="s">
        <v>42</v>
      </c>
      <c r="E7750" s="15" t="s">
        <v>37</v>
      </c>
      <c r="F7750" s="15" t="s">
        <v>16</v>
      </c>
      <c r="G7750" s="15" t="s">
        <v>23</v>
      </c>
      <c r="H7750" s="15" t="n">
        <v>4</v>
      </c>
      <c r="I7750" s="17" t="n">
        <v>0</v>
      </c>
      <c r="J7750" s="18" t="n">
        <v>1274.62</v>
      </c>
      <c r="K7750" s="19" t="n">
        <v>-61.45</v>
      </c>
      <c r="L7750" s="15" t="n">
        <f aca="false">YEAR(B7750)</f>
        <v>2025</v>
      </c>
      <c r="M7750" s="20" t="n">
        <f aca="false">IF(J7750&gt;0,K7750/J7750,0)</f>
        <v>-0.0482104470351948</v>
      </c>
    </row>
    <row r="7751" customFormat="false" ht="15" hidden="false" customHeight="false" outlineLevel="0" collapsed="false">
      <c r="A7751" s="15" t="s">
        <v>7808</v>
      </c>
      <c r="B7751" s="16" t="n">
        <v>45639</v>
      </c>
      <c r="C7751" s="15" t="s">
        <v>71</v>
      </c>
      <c r="D7751" s="15" t="s">
        <v>43</v>
      </c>
      <c r="E7751" s="15" t="s">
        <v>39</v>
      </c>
      <c r="F7751" s="15" t="s">
        <v>17</v>
      </c>
      <c r="G7751" s="15" t="s">
        <v>29</v>
      </c>
      <c r="H7751" s="15" t="n">
        <v>6</v>
      </c>
      <c r="I7751" s="17" t="n">
        <v>0.3</v>
      </c>
      <c r="J7751" s="18" t="n">
        <v>71.54</v>
      </c>
      <c r="K7751" s="19" t="n">
        <v>8.09</v>
      </c>
      <c r="L7751" s="15" t="n">
        <f aca="false">YEAR(B7751)</f>
        <v>2024</v>
      </c>
      <c r="M7751" s="20" t="n">
        <f aca="false">IF(J7751&gt;0,K7751/J7751,0)</f>
        <v>0.113083589600224</v>
      </c>
    </row>
    <row r="7752" customFormat="false" ht="15" hidden="false" customHeight="false" outlineLevel="0" collapsed="false">
      <c r="A7752" s="15" t="s">
        <v>7809</v>
      </c>
      <c r="B7752" s="16" t="n">
        <v>45395</v>
      </c>
      <c r="C7752" s="15" t="s">
        <v>71</v>
      </c>
      <c r="D7752" s="15" t="s">
        <v>44</v>
      </c>
      <c r="E7752" s="15" t="s">
        <v>39</v>
      </c>
      <c r="F7752" s="15" t="s">
        <v>16</v>
      </c>
      <c r="G7752" s="15" t="s">
        <v>22</v>
      </c>
      <c r="H7752" s="15" t="n">
        <v>2</v>
      </c>
      <c r="I7752" s="17" t="n">
        <v>0.1</v>
      </c>
      <c r="J7752" s="18" t="n">
        <v>951.62</v>
      </c>
      <c r="K7752" s="19" t="n">
        <v>-115.69</v>
      </c>
      <c r="L7752" s="15" t="n">
        <f aca="false">YEAR(B7752)</f>
        <v>2024</v>
      </c>
      <c r="M7752" s="20" t="n">
        <f aca="false">IF(J7752&gt;0,K7752/J7752,0)</f>
        <v>-0.121571635736954</v>
      </c>
    </row>
    <row r="7753" customFormat="false" ht="15" hidden="false" customHeight="false" outlineLevel="0" collapsed="false">
      <c r="A7753" s="15" t="s">
        <v>7810</v>
      </c>
      <c r="B7753" s="16" t="n">
        <v>45452</v>
      </c>
      <c r="C7753" s="15" t="s">
        <v>68</v>
      </c>
      <c r="D7753" s="15" t="s">
        <v>43</v>
      </c>
      <c r="E7753" s="15" t="s">
        <v>37</v>
      </c>
      <c r="F7753" s="15" t="s">
        <v>16</v>
      </c>
      <c r="G7753" s="15" t="s">
        <v>23</v>
      </c>
      <c r="H7753" s="15" t="n">
        <v>6</v>
      </c>
      <c r="I7753" s="17" t="n">
        <v>0.15</v>
      </c>
      <c r="J7753" s="18" t="n">
        <v>1261.43</v>
      </c>
      <c r="K7753" s="19" t="n">
        <v>-71.48</v>
      </c>
      <c r="L7753" s="15" t="n">
        <f aca="false">YEAR(B7753)</f>
        <v>2024</v>
      </c>
      <c r="M7753" s="20" t="n">
        <f aca="false">IF(J7753&gt;0,K7753/J7753,0)</f>
        <v>-0.0566658474905464</v>
      </c>
    </row>
    <row r="7754" customFormat="false" ht="15" hidden="false" customHeight="false" outlineLevel="0" collapsed="false">
      <c r="A7754" s="15" t="s">
        <v>7811</v>
      </c>
      <c r="B7754" s="16" t="n">
        <v>45101</v>
      </c>
      <c r="C7754" s="15" t="s">
        <v>58</v>
      </c>
      <c r="D7754" s="15" t="s">
        <v>44</v>
      </c>
      <c r="E7754" s="15" t="s">
        <v>37</v>
      </c>
      <c r="F7754" s="15" t="s">
        <v>18</v>
      </c>
      <c r="G7754" s="15" t="s">
        <v>32</v>
      </c>
      <c r="H7754" s="15" t="n">
        <v>3</v>
      </c>
      <c r="I7754" s="17" t="n">
        <v>0.15</v>
      </c>
      <c r="J7754" s="18" t="n">
        <v>1127.12</v>
      </c>
      <c r="K7754" s="19" t="n">
        <v>129.22</v>
      </c>
      <c r="L7754" s="15" t="n">
        <f aca="false">YEAR(B7754)</f>
        <v>2023</v>
      </c>
      <c r="M7754" s="20" t="n">
        <f aca="false">IF(J7754&gt;0,K7754/J7754,0)</f>
        <v>0.11464617786926</v>
      </c>
    </row>
    <row r="7755" customFormat="false" ht="15" hidden="false" customHeight="false" outlineLevel="0" collapsed="false">
      <c r="A7755" s="15" t="s">
        <v>7812</v>
      </c>
      <c r="B7755" s="16" t="n">
        <v>45730</v>
      </c>
      <c r="C7755" s="15" t="s">
        <v>71</v>
      </c>
      <c r="D7755" s="15" t="s">
        <v>42</v>
      </c>
      <c r="E7755" s="15" t="s">
        <v>37</v>
      </c>
      <c r="F7755" s="15" t="s">
        <v>18</v>
      </c>
      <c r="G7755" s="15" t="s">
        <v>32</v>
      </c>
      <c r="H7755" s="15" t="n">
        <v>2</v>
      </c>
      <c r="I7755" s="17" t="n">
        <v>0.3</v>
      </c>
      <c r="J7755" s="18" t="n">
        <v>628.14</v>
      </c>
      <c r="K7755" s="19" t="n">
        <v>-102.52</v>
      </c>
      <c r="L7755" s="15" t="n">
        <f aca="false">YEAR(B7755)</f>
        <v>2025</v>
      </c>
      <c r="M7755" s="20" t="n">
        <f aca="false">IF(J7755&gt;0,K7755/J7755,0)</f>
        <v>-0.163212022797466</v>
      </c>
    </row>
    <row r="7756" customFormat="false" ht="15" hidden="false" customHeight="false" outlineLevel="0" collapsed="false">
      <c r="A7756" s="15" t="s">
        <v>7813</v>
      </c>
      <c r="B7756" s="16" t="n">
        <v>45993</v>
      </c>
      <c r="C7756" s="15" t="s">
        <v>56</v>
      </c>
      <c r="D7756" s="15" t="s">
        <v>42</v>
      </c>
      <c r="E7756" s="15" t="s">
        <v>36</v>
      </c>
      <c r="F7756" s="15" t="s">
        <v>17</v>
      </c>
      <c r="G7756" s="15" t="s">
        <v>28</v>
      </c>
      <c r="H7756" s="15" t="n">
        <v>4</v>
      </c>
      <c r="I7756" s="17" t="n">
        <v>0</v>
      </c>
      <c r="J7756" s="18" t="n">
        <v>74.15</v>
      </c>
      <c r="K7756" s="19" t="n">
        <v>23.51</v>
      </c>
      <c r="L7756" s="15" t="n">
        <f aca="false">YEAR(B7756)</f>
        <v>2025</v>
      </c>
      <c r="M7756" s="20" t="n">
        <f aca="false">IF(J7756&gt;0,K7756/J7756,0)</f>
        <v>0.317060013486177</v>
      </c>
    </row>
    <row r="7757" customFormat="false" ht="15" hidden="false" customHeight="false" outlineLevel="0" collapsed="false">
      <c r="A7757" s="15" t="s">
        <v>7814</v>
      </c>
      <c r="B7757" s="16" t="n">
        <v>45333</v>
      </c>
      <c r="C7757" s="15" t="s">
        <v>71</v>
      </c>
      <c r="D7757" s="15" t="s">
        <v>44</v>
      </c>
      <c r="E7757" s="15" t="s">
        <v>39</v>
      </c>
      <c r="F7757" s="15" t="s">
        <v>16</v>
      </c>
      <c r="G7757" s="15" t="s">
        <v>23</v>
      </c>
      <c r="H7757" s="15" t="n">
        <v>2</v>
      </c>
      <c r="I7757" s="17" t="n">
        <v>0.15</v>
      </c>
      <c r="J7757" s="18" t="n">
        <v>516.49</v>
      </c>
      <c r="K7757" s="19" t="n">
        <v>-101.97</v>
      </c>
      <c r="L7757" s="15" t="n">
        <f aca="false">YEAR(B7757)</f>
        <v>2024</v>
      </c>
      <c r="M7757" s="20" t="n">
        <f aca="false">IF(J7757&gt;0,K7757/J7757,0)</f>
        <v>-0.197428798234235</v>
      </c>
    </row>
    <row r="7758" customFormat="false" ht="15" hidden="false" customHeight="false" outlineLevel="0" collapsed="false">
      <c r="A7758" s="15" t="s">
        <v>7815</v>
      </c>
      <c r="B7758" s="16" t="n">
        <v>44858</v>
      </c>
      <c r="C7758" s="15" t="s">
        <v>56</v>
      </c>
      <c r="D7758" s="15" t="s">
        <v>44</v>
      </c>
      <c r="E7758" s="15" t="s">
        <v>37</v>
      </c>
      <c r="F7758" s="15" t="s">
        <v>18</v>
      </c>
      <c r="G7758" s="15" t="s">
        <v>32</v>
      </c>
      <c r="H7758" s="15" t="n">
        <v>6</v>
      </c>
      <c r="I7758" s="17" t="n">
        <v>0.05</v>
      </c>
      <c r="J7758" s="18" t="n">
        <v>2590.52</v>
      </c>
      <c r="K7758" s="19" t="n">
        <v>423.97</v>
      </c>
      <c r="L7758" s="15" t="n">
        <f aca="false">YEAR(B7758)</f>
        <v>2022</v>
      </c>
      <c r="M7758" s="20" t="n">
        <f aca="false">IF(J7758&gt;0,K7758/J7758,0)</f>
        <v>0.163662121890586</v>
      </c>
    </row>
    <row r="7759" customFormat="false" ht="15" hidden="false" customHeight="false" outlineLevel="0" collapsed="false">
      <c r="A7759" s="15" t="s">
        <v>7816</v>
      </c>
      <c r="B7759" s="16" t="n">
        <v>44842</v>
      </c>
      <c r="C7759" s="15" t="s">
        <v>56</v>
      </c>
      <c r="D7759" s="15" t="s">
        <v>42</v>
      </c>
      <c r="E7759" s="15" t="s">
        <v>37</v>
      </c>
      <c r="F7759" s="15" t="s">
        <v>17</v>
      </c>
      <c r="G7759" s="15" t="s">
        <v>29</v>
      </c>
      <c r="H7759" s="15" t="n">
        <v>1</v>
      </c>
      <c r="I7759" s="17" t="n">
        <v>0.1</v>
      </c>
      <c r="J7759" s="18" t="n">
        <v>15.09</v>
      </c>
      <c r="K7759" s="19" t="n">
        <v>4.31</v>
      </c>
      <c r="L7759" s="15" t="n">
        <f aca="false">YEAR(B7759)</f>
        <v>2022</v>
      </c>
      <c r="M7759" s="20" t="n">
        <f aca="false">IF(J7759&gt;0,K7759/J7759,0)</f>
        <v>0.285619615639496</v>
      </c>
    </row>
    <row r="7760" customFormat="false" ht="15" hidden="false" customHeight="false" outlineLevel="0" collapsed="false">
      <c r="A7760" s="15" t="s">
        <v>7817</v>
      </c>
      <c r="B7760" s="16" t="n">
        <v>45748</v>
      </c>
      <c r="C7760" s="15" t="s">
        <v>56</v>
      </c>
      <c r="D7760" s="15" t="s">
        <v>42</v>
      </c>
      <c r="E7760" s="15" t="s">
        <v>36</v>
      </c>
      <c r="F7760" s="15" t="s">
        <v>18</v>
      </c>
      <c r="G7760" s="15" t="s">
        <v>30</v>
      </c>
      <c r="H7760" s="15" t="n">
        <v>3</v>
      </c>
      <c r="I7760" s="17" t="n">
        <v>0</v>
      </c>
      <c r="J7760" s="18" t="n">
        <v>119.65</v>
      </c>
      <c r="K7760" s="19" t="n">
        <v>33.89</v>
      </c>
      <c r="L7760" s="15" t="n">
        <f aca="false">YEAR(B7760)</f>
        <v>2025</v>
      </c>
      <c r="M7760" s="20" t="n">
        <f aca="false">IF(J7760&gt;0,K7760/J7760,0)</f>
        <v>0.283242791475136</v>
      </c>
    </row>
    <row r="7761" customFormat="false" ht="15" hidden="false" customHeight="false" outlineLevel="0" collapsed="false">
      <c r="A7761" s="15" t="s">
        <v>7818</v>
      </c>
      <c r="B7761" s="16" t="n">
        <v>45131</v>
      </c>
      <c r="C7761" s="15" t="s">
        <v>71</v>
      </c>
      <c r="D7761" s="15" t="s">
        <v>42</v>
      </c>
      <c r="E7761" s="15" t="s">
        <v>36</v>
      </c>
      <c r="F7761" s="15" t="s">
        <v>18</v>
      </c>
      <c r="G7761" s="15" t="s">
        <v>24</v>
      </c>
      <c r="H7761" s="15" t="n">
        <v>3</v>
      </c>
      <c r="I7761" s="17" t="n">
        <v>0</v>
      </c>
      <c r="J7761" s="18" t="n">
        <v>1768.17</v>
      </c>
      <c r="K7761" s="19" t="n">
        <v>42.2</v>
      </c>
      <c r="L7761" s="15" t="n">
        <f aca="false">YEAR(B7761)</f>
        <v>2023</v>
      </c>
      <c r="M7761" s="20" t="n">
        <f aca="false">IF(J7761&gt;0,K7761/J7761,0)</f>
        <v>0.0238664834263674</v>
      </c>
    </row>
    <row r="7762" customFormat="false" ht="15" hidden="false" customHeight="false" outlineLevel="0" collapsed="false">
      <c r="A7762" s="15" t="s">
        <v>7819</v>
      </c>
      <c r="B7762" s="16" t="n">
        <v>44617</v>
      </c>
      <c r="C7762" s="15" t="s">
        <v>68</v>
      </c>
      <c r="D7762" s="15" t="s">
        <v>43</v>
      </c>
      <c r="E7762" s="15" t="s">
        <v>37</v>
      </c>
      <c r="F7762" s="15" t="s">
        <v>17</v>
      </c>
      <c r="G7762" s="15" t="s">
        <v>29</v>
      </c>
      <c r="H7762" s="15" t="n">
        <v>2</v>
      </c>
      <c r="I7762" s="17" t="n">
        <v>0.5</v>
      </c>
      <c r="J7762" s="18" t="n">
        <v>21.7</v>
      </c>
      <c r="K7762" s="19" t="n">
        <v>-1.71</v>
      </c>
      <c r="L7762" s="15" t="n">
        <f aca="false">YEAR(B7762)</f>
        <v>2022</v>
      </c>
      <c r="M7762" s="20" t="n">
        <f aca="false">IF(J7762&gt;0,K7762/J7762,0)</f>
        <v>-0.0788018433179724</v>
      </c>
    </row>
    <row r="7763" customFormat="false" ht="15" hidden="false" customHeight="false" outlineLevel="0" collapsed="false">
      <c r="A7763" s="15" t="s">
        <v>7820</v>
      </c>
      <c r="B7763" s="16" t="n">
        <v>44823</v>
      </c>
      <c r="C7763" s="15" t="s">
        <v>71</v>
      </c>
      <c r="D7763" s="15" t="s">
        <v>42</v>
      </c>
      <c r="E7763" s="15" t="s">
        <v>38</v>
      </c>
      <c r="F7763" s="15" t="s">
        <v>17</v>
      </c>
      <c r="G7763" s="15" t="s">
        <v>29</v>
      </c>
      <c r="H7763" s="15" t="n">
        <v>3</v>
      </c>
      <c r="I7763" s="17" t="n">
        <v>0</v>
      </c>
      <c r="J7763" s="18" t="n">
        <v>43.97</v>
      </c>
      <c r="K7763" s="19" t="n">
        <v>15.02</v>
      </c>
      <c r="L7763" s="15" t="n">
        <f aca="false">YEAR(B7763)</f>
        <v>2022</v>
      </c>
      <c r="M7763" s="20" t="n">
        <f aca="false">IF(J7763&gt;0,K7763/J7763,0)</f>
        <v>0.341596543097567</v>
      </c>
    </row>
    <row r="7764" customFormat="false" ht="15" hidden="false" customHeight="false" outlineLevel="0" collapsed="false">
      <c r="A7764" s="15" t="s">
        <v>7821</v>
      </c>
      <c r="B7764" s="16" t="n">
        <v>45974</v>
      </c>
      <c r="C7764" s="15" t="s">
        <v>71</v>
      </c>
      <c r="D7764" s="15" t="s">
        <v>43</v>
      </c>
      <c r="E7764" s="15" t="s">
        <v>39</v>
      </c>
      <c r="F7764" s="15" t="s">
        <v>17</v>
      </c>
      <c r="G7764" s="15" t="s">
        <v>29</v>
      </c>
      <c r="H7764" s="15" t="n">
        <v>2</v>
      </c>
      <c r="I7764" s="17" t="n">
        <v>0.5</v>
      </c>
      <c r="J7764" s="18" t="n">
        <v>20.01</v>
      </c>
      <c r="K7764" s="19" t="n">
        <v>-0.86</v>
      </c>
      <c r="L7764" s="15" t="n">
        <f aca="false">YEAR(B7764)</f>
        <v>2025</v>
      </c>
      <c r="M7764" s="20" t="n">
        <f aca="false">IF(J7764&gt;0,K7764/J7764,0)</f>
        <v>-0.0429785107446277</v>
      </c>
    </row>
    <row r="7765" customFormat="false" ht="15" hidden="false" customHeight="false" outlineLevel="0" collapsed="false">
      <c r="A7765" s="15" t="s">
        <v>7822</v>
      </c>
      <c r="B7765" s="16" t="n">
        <v>46002</v>
      </c>
      <c r="C7765" s="15" t="s">
        <v>68</v>
      </c>
      <c r="D7765" s="15" t="s">
        <v>44</v>
      </c>
      <c r="E7765" s="15" t="s">
        <v>39</v>
      </c>
      <c r="F7765" s="15" t="s">
        <v>16</v>
      </c>
      <c r="G7765" s="15" t="s">
        <v>22</v>
      </c>
      <c r="H7765" s="15" t="n">
        <v>7</v>
      </c>
      <c r="I7765" s="17" t="n">
        <v>0</v>
      </c>
      <c r="J7765" s="18" t="n">
        <v>3853.89</v>
      </c>
      <c r="K7765" s="19" t="n">
        <v>-38.73</v>
      </c>
      <c r="L7765" s="15" t="n">
        <f aca="false">YEAR(B7765)</f>
        <v>2025</v>
      </c>
      <c r="M7765" s="20" t="n">
        <f aca="false">IF(J7765&gt;0,K7765/J7765,0)</f>
        <v>-0.0100495862621922</v>
      </c>
    </row>
    <row r="7766" customFormat="false" ht="15" hidden="false" customHeight="false" outlineLevel="0" collapsed="false">
      <c r="A7766" s="15" t="s">
        <v>7823</v>
      </c>
      <c r="B7766" s="16" t="n">
        <v>44978</v>
      </c>
      <c r="C7766" s="15" t="s">
        <v>71</v>
      </c>
      <c r="D7766" s="15" t="s">
        <v>42</v>
      </c>
      <c r="E7766" s="15" t="s">
        <v>36</v>
      </c>
      <c r="F7766" s="15" t="s">
        <v>17</v>
      </c>
      <c r="G7766" s="15" t="s">
        <v>31</v>
      </c>
      <c r="H7766" s="15" t="n">
        <v>7</v>
      </c>
      <c r="I7766" s="17" t="n">
        <v>0</v>
      </c>
      <c r="J7766" s="18" t="n">
        <v>833.86</v>
      </c>
      <c r="K7766" s="19" t="n">
        <v>209.46</v>
      </c>
      <c r="L7766" s="15" t="n">
        <f aca="false">YEAR(B7766)</f>
        <v>2023</v>
      </c>
      <c r="M7766" s="20" t="n">
        <f aca="false">IF(J7766&gt;0,K7766/J7766,0)</f>
        <v>0.251193245868611</v>
      </c>
    </row>
    <row r="7767" customFormat="false" ht="15" hidden="false" customHeight="false" outlineLevel="0" collapsed="false">
      <c r="A7767" s="15" t="s">
        <v>7824</v>
      </c>
      <c r="B7767" s="16" t="n">
        <v>45944</v>
      </c>
      <c r="C7767" s="15" t="s">
        <v>56</v>
      </c>
      <c r="D7767" s="15" t="s">
        <v>44</v>
      </c>
      <c r="E7767" s="15" t="s">
        <v>37</v>
      </c>
      <c r="F7767" s="15" t="s">
        <v>16</v>
      </c>
      <c r="G7767" s="15" t="s">
        <v>22</v>
      </c>
      <c r="H7767" s="15" t="n">
        <v>5</v>
      </c>
      <c r="I7767" s="17" t="n">
        <v>0.05</v>
      </c>
      <c r="J7767" s="18" t="n">
        <v>2416.79</v>
      </c>
      <c r="K7767" s="19" t="n">
        <v>-260.75</v>
      </c>
      <c r="L7767" s="15" t="n">
        <f aca="false">YEAR(B7767)</f>
        <v>2025</v>
      </c>
      <c r="M7767" s="20" t="n">
        <f aca="false">IF(J7767&gt;0,K7767/J7767,0)</f>
        <v>-0.107891045560433</v>
      </c>
    </row>
    <row r="7768" customFormat="false" ht="15" hidden="false" customHeight="false" outlineLevel="0" collapsed="false">
      <c r="A7768" s="15" t="s">
        <v>7825</v>
      </c>
      <c r="B7768" s="16" t="n">
        <v>45276</v>
      </c>
      <c r="C7768" s="15" t="s">
        <v>56</v>
      </c>
      <c r="D7768" s="15" t="s">
        <v>43</v>
      </c>
      <c r="E7768" s="15" t="s">
        <v>38</v>
      </c>
      <c r="F7768" s="15" t="s">
        <v>17</v>
      </c>
      <c r="G7768" s="15" t="s">
        <v>29</v>
      </c>
      <c r="H7768" s="15" t="n">
        <v>2</v>
      </c>
      <c r="I7768" s="17" t="n">
        <v>0.1</v>
      </c>
      <c r="J7768" s="18" t="n">
        <v>27.15</v>
      </c>
      <c r="K7768" s="19" t="n">
        <v>9.25</v>
      </c>
      <c r="L7768" s="15" t="n">
        <f aca="false">YEAR(B7768)</f>
        <v>2023</v>
      </c>
      <c r="M7768" s="20" t="n">
        <f aca="false">IF(J7768&gt;0,K7768/J7768,0)</f>
        <v>0.340699815837937</v>
      </c>
    </row>
    <row r="7769" customFormat="false" ht="15" hidden="false" customHeight="false" outlineLevel="0" collapsed="false">
      <c r="A7769" s="15" t="s">
        <v>7826</v>
      </c>
      <c r="B7769" s="16" t="n">
        <v>44606</v>
      </c>
      <c r="C7769" s="15" t="s">
        <v>71</v>
      </c>
      <c r="D7769" s="15" t="s">
        <v>44</v>
      </c>
      <c r="E7769" s="15" t="s">
        <v>38</v>
      </c>
      <c r="F7769" s="15" t="s">
        <v>16</v>
      </c>
      <c r="G7769" s="15" t="s">
        <v>23</v>
      </c>
      <c r="H7769" s="15" t="n">
        <v>3</v>
      </c>
      <c r="I7769" s="17" t="n">
        <v>0.1</v>
      </c>
      <c r="J7769" s="18" t="n">
        <v>908.24</v>
      </c>
      <c r="K7769" s="19" t="n">
        <v>-33.25</v>
      </c>
      <c r="L7769" s="15" t="n">
        <f aca="false">YEAR(B7769)</f>
        <v>2022</v>
      </c>
      <c r="M7769" s="20" t="n">
        <f aca="false">IF(J7769&gt;0,K7769/J7769,0)</f>
        <v>-0.0366092662732317</v>
      </c>
    </row>
    <row r="7770" customFormat="false" ht="15" hidden="false" customHeight="false" outlineLevel="0" collapsed="false">
      <c r="A7770" s="15" t="s">
        <v>7827</v>
      </c>
      <c r="B7770" s="16" t="n">
        <v>45317</v>
      </c>
      <c r="C7770" s="15" t="s">
        <v>56</v>
      </c>
      <c r="D7770" s="15" t="s">
        <v>43</v>
      </c>
      <c r="E7770" s="15" t="s">
        <v>37</v>
      </c>
      <c r="F7770" s="15" t="s">
        <v>17</v>
      </c>
      <c r="G7770" s="15" t="s">
        <v>31</v>
      </c>
      <c r="H7770" s="15" t="n">
        <v>2</v>
      </c>
      <c r="I7770" s="17" t="n">
        <v>0</v>
      </c>
      <c r="J7770" s="18" t="n">
        <v>300.79</v>
      </c>
      <c r="K7770" s="19" t="n">
        <v>80.52</v>
      </c>
      <c r="L7770" s="15" t="n">
        <f aca="false">YEAR(B7770)</f>
        <v>2024</v>
      </c>
      <c r="M7770" s="20" t="n">
        <f aca="false">IF(J7770&gt;0,K7770/J7770,0)</f>
        <v>0.267695069649922</v>
      </c>
    </row>
    <row r="7771" customFormat="false" ht="15" hidden="false" customHeight="false" outlineLevel="0" collapsed="false">
      <c r="A7771" s="15" t="s">
        <v>7828</v>
      </c>
      <c r="B7771" s="16" t="n">
        <v>45457</v>
      </c>
      <c r="C7771" s="15" t="s">
        <v>56</v>
      </c>
      <c r="D7771" s="15" t="s">
        <v>44</v>
      </c>
      <c r="E7771" s="15" t="s">
        <v>37</v>
      </c>
      <c r="F7771" s="15" t="s">
        <v>18</v>
      </c>
      <c r="G7771" s="15" t="s">
        <v>30</v>
      </c>
      <c r="H7771" s="15" t="n">
        <v>3</v>
      </c>
      <c r="I7771" s="17" t="n">
        <v>0</v>
      </c>
      <c r="J7771" s="18" t="n">
        <v>133.36</v>
      </c>
      <c r="K7771" s="19" t="n">
        <v>30.26</v>
      </c>
      <c r="L7771" s="15" t="n">
        <f aca="false">YEAR(B7771)</f>
        <v>2024</v>
      </c>
      <c r="M7771" s="20" t="n">
        <f aca="false">IF(J7771&gt;0,K7771/J7771,0)</f>
        <v>0.226904619076185</v>
      </c>
    </row>
    <row r="7772" customFormat="false" ht="15" hidden="false" customHeight="false" outlineLevel="0" collapsed="false">
      <c r="A7772" s="15" t="s">
        <v>7829</v>
      </c>
      <c r="B7772" s="16" t="n">
        <v>45912</v>
      </c>
      <c r="C7772" s="15" t="s">
        <v>56</v>
      </c>
      <c r="D7772" s="15" t="s">
        <v>43</v>
      </c>
      <c r="E7772" s="15" t="s">
        <v>36</v>
      </c>
      <c r="F7772" s="15" t="s">
        <v>17</v>
      </c>
      <c r="G7772" s="15" t="s">
        <v>31</v>
      </c>
      <c r="H7772" s="15" t="n">
        <v>2</v>
      </c>
      <c r="I7772" s="17" t="n">
        <v>0.15</v>
      </c>
      <c r="J7772" s="18" t="n">
        <v>212.58</v>
      </c>
      <c r="K7772" s="19" t="n">
        <v>14.35</v>
      </c>
      <c r="L7772" s="15" t="n">
        <f aca="false">YEAR(B7772)</f>
        <v>2025</v>
      </c>
      <c r="M7772" s="20" t="n">
        <f aca="false">IF(J7772&gt;0,K7772/J7772,0)</f>
        <v>0.0675039984946843</v>
      </c>
    </row>
    <row r="7773" customFormat="false" ht="15" hidden="false" customHeight="false" outlineLevel="0" collapsed="false">
      <c r="A7773" s="15" t="s">
        <v>7830</v>
      </c>
      <c r="B7773" s="16" t="n">
        <v>45213</v>
      </c>
      <c r="C7773" s="15" t="s">
        <v>56</v>
      </c>
      <c r="D7773" s="15" t="s">
        <v>43</v>
      </c>
      <c r="E7773" s="15" t="s">
        <v>36</v>
      </c>
      <c r="F7773" s="15" t="s">
        <v>17</v>
      </c>
      <c r="G7773" s="15" t="s">
        <v>29</v>
      </c>
      <c r="H7773" s="15" t="n">
        <v>3</v>
      </c>
      <c r="I7773" s="17" t="n">
        <v>0.05</v>
      </c>
      <c r="J7773" s="18" t="n">
        <v>52.63</v>
      </c>
      <c r="K7773" s="19" t="n">
        <v>14.24</v>
      </c>
      <c r="L7773" s="15" t="n">
        <f aca="false">YEAR(B7773)</f>
        <v>2023</v>
      </c>
      <c r="M7773" s="20" t="n">
        <f aca="false">IF(J7773&gt;0,K7773/J7773,0)</f>
        <v>0.270568117043511</v>
      </c>
    </row>
    <row r="7774" customFormat="false" ht="15" hidden="false" customHeight="false" outlineLevel="0" collapsed="false">
      <c r="A7774" s="15" t="s">
        <v>7831</v>
      </c>
      <c r="B7774" s="16" t="n">
        <v>45443</v>
      </c>
      <c r="C7774" s="15" t="s">
        <v>56</v>
      </c>
      <c r="D7774" s="15" t="s">
        <v>43</v>
      </c>
      <c r="E7774" s="15" t="s">
        <v>36</v>
      </c>
      <c r="F7774" s="15" t="s">
        <v>18</v>
      </c>
      <c r="G7774" s="15" t="s">
        <v>30</v>
      </c>
      <c r="H7774" s="15" t="n">
        <v>4</v>
      </c>
      <c r="I7774" s="17" t="n">
        <v>0</v>
      </c>
      <c r="J7774" s="18" t="n">
        <v>168.85</v>
      </c>
      <c r="K7774" s="19" t="n">
        <v>53.5</v>
      </c>
      <c r="L7774" s="15" t="n">
        <f aca="false">YEAR(B7774)</f>
        <v>2024</v>
      </c>
      <c r="M7774" s="20" t="n">
        <f aca="false">IF(J7774&gt;0,K7774/J7774,0)</f>
        <v>0.316849274503998</v>
      </c>
    </row>
    <row r="7775" customFormat="false" ht="15" hidden="false" customHeight="false" outlineLevel="0" collapsed="false">
      <c r="A7775" s="15" t="s">
        <v>7832</v>
      </c>
      <c r="B7775" s="16" t="n">
        <v>45132</v>
      </c>
      <c r="C7775" s="15" t="s">
        <v>56</v>
      </c>
      <c r="D7775" s="15" t="s">
        <v>42</v>
      </c>
      <c r="E7775" s="15" t="s">
        <v>39</v>
      </c>
      <c r="F7775" s="15" t="s">
        <v>16</v>
      </c>
      <c r="G7775" s="15" t="s">
        <v>23</v>
      </c>
      <c r="H7775" s="15" t="n">
        <v>5</v>
      </c>
      <c r="I7775" s="17" t="n">
        <v>0.1</v>
      </c>
      <c r="J7775" s="18" t="n">
        <v>1476.69</v>
      </c>
      <c r="K7775" s="19" t="n">
        <v>-99.27</v>
      </c>
      <c r="L7775" s="15" t="n">
        <f aca="false">YEAR(B7775)</f>
        <v>2023</v>
      </c>
      <c r="M7775" s="20" t="n">
        <f aca="false">IF(J7775&gt;0,K7775/J7775,0)</f>
        <v>-0.0672246713934543</v>
      </c>
    </row>
    <row r="7776" customFormat="false" ht="15" hidden="false" customHeight="false" outlineLevel="0" collapsed="false">
      <c r="A7776" s="15" t="s">
        <v>7833</v>
      </c>
      <c r="B7776" s="16" t="n">
        <v>45267</v>
      </c>
      <c r="C7776" s="15" t="s">
        <v>68</v>
      </c>
      <c r="D7776" s="15" t="s">
        <v>42</v>
      </c>
      <c r="E7776" s="15" t="s">
        <v>39</v>
      </c>
      <c r="F7776" s="15" t="s">
        <v>16</v>
      </c>
      <c r="G7776" s="15" t="s">
        <v>22</v>
      </c>
      <c r="H7776" s="15" t="n">
        <v>2</v>
      </c>
      <c r="I7776" s="17" t="n">
        <v>0.2</v>
      </c>
      <c r="J7776" s="18" t="n">
        <v>1158.11</v>
      </c>
      <c r="K7776" s="19" t="n">
        <v>-221.45</v>
      </c>
      <c r="L7776" s="15" t="n">
        <f aca="false">YEAR(B7776)</f>
        <v>2023</v>
      </c>
      <c r="M7776" s="20" t="n">
        <f aca="false">IF(J7776&gt;0,K7776/J7776,0)</f>
        <v>-0.191216723799984</v>
      </c>
    </row>
    <row r="7777" customFormat="false" ht="15" hidden="false" customHeight="false" outlineLevel="0" collapsed="false">
      <c r="A7777" s="15" t="s">
        <v>7834</v>
      </c>
      <c r="B7777" s="16" t="n">
        <v>44866</v>
      </c>
      <c r="C7777" s="15" t="s">
        <v>68</v>
      </c>
      <c r="D7777" s="15" t="s">
        <v>42</v>
      </c>
      <c r="E7777" s="15" t="s">
        <v>36</v>
      </c>
      <c r="F7777" s="15" t="s">
        <v>17</v>
      </c>
      <c r="G7777" s="15" t="s">
        <v>29</v>
      </c>
      <c r="H7777" s="15" t="n">
        <v>4</v>
      </c>
      <c r="I7777" s="17" t="n">
        <v>0</v>
      </c>
      <c r="J7777" s="18" t="n">
        <v>69.52</v>
      </c>
      <c r="K7777" s="19" t="n">
        <v>26.05</v>
      </c>
      <c r="L7777" s="15" t="n">
        <f aca="false">YEAR(B7777)</f>
        <v>2022</v>
      </c>
      <c r="M7777" s="20" t="n">
        <f aca="false">IF(J7777&gt;0,K7777/J7777,0)</f>
        <v>0.374712313003452</v>
      </c>
    </row>
    <row r="7778" customFormat="false" ht="15" hidden="false" customHeight="false" outlineLevel="0" collapsed="false">
      <c r="A7778" s="15" t="s">
        <v>7835</v>
      </c>
      <c r="B7778" s="16" t="n">
        <v>45609</v>
      </c>
      <c r="C7778" s="15" t="s">
        <v>71</v>
      </c>
      <c r="D7778" s="15" t="s">
        <v>44</v>
      </c>
      <c r="E7778" s="15" t="s">
        <v>38</v>
      </c>
      <c r="F7778" s="15" t="s">
        <v>17</v>
      </c>
      <c r="G7778" s="15" t="s">
        <v>26</v>
      </c>
      <c r="H7778" s="15" t="n">
        <v>3</v>
      </c>
      <c r="I7778" s="17" t="n">
        <v>0</v>
      </c>
      <c r="J7778" s="18" t="n">
        <v>278.92</v>
      </c>
      <c r="K7778" s="19" t="n">
        <v>27.86</v>
      </c>
      <c r="L7778" s="15" t="n">
        <f aca="false">YEAR(B7778)</f>
        <v>2024</v>
      </c>
      <c r="M7778" s="20" t="n">
        <f aca="false">IF(J7778&gt;0,K7778/J7778,0)</f>
        <v>0.0998852717625125</v>
      </c>
    </row>
    <row r="7779" customFormat="false" ht="15" hidden="false" customHeight="false" outlineLevel="0" collapsed="false">
      <c r="A7779" s="15" t="s">
        <v>7836</v>
      </c>
      <c r="B7779" s="16" t="n">
        <v>45165</v>
      </c>
      <c r="C7779" s="15" t="s">
        <v>68</v>
      </c>
      <c r="D7779" s="15" t="s">
        <v>44</v>
      </c>
      <c r="E7779" s="15" t="s">
        <v>39</v>
      </c>
      <c r="F7779" s="15" t="s">
        <v>17</v>
      </c>
      <c r="G7779" s="15" t="s">
        <v>31</v>
      </c>
      <c r="H7779" s="15" t="n">
        <v>3</v>
      </c>
      <c r="I7779" s="17" t="n">
        <v>0.1</v>
      </c>
      <c r="J7779" s="18" t="n">
        <v>399.3</v>
      </c>
      <c r="K7779" s="19" t="n">
        <v>36.22</v>
      </c>
      <c r="L7779" s="15" t="n">
        <f aca="false">YEAR(B7779)</f>
        <v>2023</v>
      </c>
      <c r="M7779" s="20" t="n">
        <f aca="false">IF(J7779&gt;0,K7779/J7779,0)</f>
        <v>0.0907087402955172</v>
      </c>
    </row>
    <row r="7780" customFormat="false" ht="15" hidden="false" customHeight="false" outlineLevel="0" collapsed="false">
      <c r="A7780" s="15" t="s">
        <v>7837</v>
      </c>
      <c r="B7780" s="16" t="n">
        <v>45934</v>
      </c>
      <c r="C7780" s="15" t="s">
        <v>71</v>
      </c>
      <c r="D7780" s="15" t="s">
        <v>42</v>
      </c>
      <c r="E7780" s="15" t="s">
        <v>38</v>
      </c>
      <c r="F7780" s="15" t="s">
        <v>17</v>
      </c>
      <c r="G7780" s="15" t="s">
        <v>29</v>
      </c>
      <c r="H7780" s="15" t="n">
        <v>4</v>
      </c>
      <c r="I7780" s="17" t="n">
        <v>0.2</v>
      </c>
      <c r="J7780" s="18" t="n">
        <v>63.96</v>
      </c>
      <c r="K7780" s="19" t="n">
        <v>14.1</v>
      </c>
      <c r="L7780" s="15" t="n">
        <f aca="false">YEAR(B7780)</f>
        <v>2025</v>
      </c>
      <c r="M7780" s="20" t="n">
        <f aca="false">IF(J7780&gt;0,K7780/J7780,0)</f>
        <v>0.220450281425891</v>
      </c>
    </row>
    <row r="7781" customFormat="false" ht="15" hidden="false" customHeight="false" outlineLevel="0" collapsed="false">
      <c r="A7781" s="15" t="s">
        <v>7838</v>
      </c>
      <c r="B7781" s="16" t="n">
        <v>45578</v>
      </c>
      <c r="C7781" s="15" t="s">
        <v>58</v>
      </c>
      <c r="D7781" s="15" t="s">
        <v>43</v>
      </c>
      <c r="E7781" s="15" t="s">
        <v>37</v>
      </c>
      <c r="F7781" s="15" t="s">
        <v>17</v>
      </c>
      <c r="G7781" s="15" t="s">
        <v>29</v>
      </c>
      <c r="H7781" s="15" t="n">
        <v>3</v>
      </c>
      <c r="I7781" s="17" t="n">
        <v>0.5</v>
      </c>
      <c r="J7781" s="18" t="n">
        <v>29.39</v>
      </c>
      <c r="K7781" s="19" t="n">
        <v>-2.6</v>
      </c>
      <c r="L7781" s="15" t="n">
        <f aca="false">YEAR(B7781)</f>
        <v>2024</v>
      </c>
      <c r="M7781" s="20" t="n">
        <f aca="false">IF(J7781&gt;0,K7781/J7781,0)</f>
        <v>-0.0884654644436883</v>
      </c>
    </row>
    <row r="7782" customFormat="false" ht="15" hidden="false" customHeight="false" outlineLevel="0" collapsed="false">
      <c r="A7782" s="15" t="s">
        <v>7839</v>
      </c>
      <c r="B7782" s="16" t="n">
        <v>45249</v>
      </c>
      <c r="C7782" s="15" t="s">
        <v>71</v>
      </c>
      <c r="D7782" s="15" t="s">
        <v>43</v>
      </c>
      <c r="E7782" s="15" t="s">
        <v>39</v>
      </c>
      <c r="F7782" s="15" t="s">
        <v>17</v>
      </c>
      <c r="G7782" s="15" t="s">
        <v>29</v>
      </c>
      <c r="H7782" s="15" t="n">
        <v>3</v>
      </c>
      <c r="I7782" s="17" t="n">
        <v>0.1</v>
      </c>
      <c r="J7782" s="18" t="n">
        <v>52.34</v>
      </c>
      <c r="K7782" s="19" t="n">
        <v>11.37</v>
      </c>
      <c r="L7782" s="15" t="n">
        <f aca="false">YEAR(B7782)</f>
        <v>2023</v>
      </c>
      <c r="M7782" s="20" t="n">
        <f aca="false">IF(J7782&gt;0,K7782/J7782,0)</f>
        <v>0.217233473442874</v>
      </c>
    </row>
    <row r="7783" customFormat="false" ht="15" hidden="false" customHeight="false" outlineLevel="0" collapsed="false">
      <c r="A7783" s="15" t="s">
        <v>7840</v>
      </c>
      <c r="B7783" s="16" t="n">
        <v>45979</v>
      </c>
      <c r="C7783" s="15" t="s">
        <v>56</v>
      </c>
      <c r="D7783" s="15" t="s">
        <v>43</v>
      </c>
      <c r="E7783" s="15" t="s">
        <v>37</v>
      </c>
      <c r="F7783" s="15" t="s">
        <v>17</v>
      </c>
      <c r="G7783" s="15" t="s">
        <v>29</v>
      </c>
      <c r="H7783" s="15" t="n">
        <v>3</v>
      </c>
      <c r="I7783" s="17" t="n">
        <v>0</v>
      </c>
      <c r="J7783" s="18" t="n">
        <v>49.33</v>
      </c>
      <c r="K7783" s="19" t="n">
        <v>19.09</v>
      </c>
      <c r="L7783" s="15" t="n">
        <f aca="false">YEAR(B7783)</f>
        <v>2025</v>
      </c>
      <c r="M7783" s="20" t="n">
        <f aca="false">IF(J7783&gt;0,K7783/J7783,0)</f>
        <v>0.386985607135617</v>
      </c>
    </row>
    <row r="7784" customFormat="false" ht="15" hidden="false" customHeight="false" outlineLevel="0" collapsed="false">
      <c r="A7784" s="15" t="s">
        <v>7841</v>
      </c>
      <c r="B7784" s="16" t="n">
        <v>45444</v>
      </c>
      <c r="C7784" s="15" t="s">
        <v>71</v>
      </c>
      <c r="D7784" s="15" t="s">
        <v>42</v>
      </c>
      <c r="E7784" s="15" t="s">
        <v>36</v>
      </c>
      <c r="F7784" s="15" t="s">
        <v>16</v>
      </c>
      <c r="G7784" s="15" t="s">
        <v>27</v>
      </c>
      <c r="H7784" s="15" t="n">
        <v>2</v>
      </c>
      <c r="I7784" s="17" t="n">
        <v>0.05</v>
      </c>
      <c r="J7784" s="18" t="n">
        <v>124.5</v>
      </c>
      <c r="K7784" s="19" t="n">
        <v>23.83</v>
      </c>
      <c r="L7784" s="15" t="n">
        <f aca="false">YEAR(B7784)</f>
        <v>2024</v>
      </c>
      <c r="M7784" s="20" t="n">
        <f aca="false">IF(J7784&gt;0,K7784/J7784,0)</f>
        <v>0.19140562248996</v>
      </c>
    </row>
    <row r="7785" customFormat="false" ht="15" hidden="false" customHeight="false" outlineLevel="0" collapsed="false">
      <c r="A7785" s="15" t="s">
        <v>7842</v>
      </c>
      <c r="B7785" s="16" t="n">
        <v>45909</v>
      </c>
      <c r="C7785" s="15" t="s">
        <v>68</v>
      </c>
      <c r="D7785" s="15" t="s">
        <v>42</v>
      </c>
      <c r="E7785" s="15" t="s">
        <v>38</v>
      </c>
      <c r="F7785" s="15" t="s">
        <v>18</v>
      </c>
      <c r="G7785" s="15" t="s">
        <v>32</v>
      </c>
      <c r="H7785" s="15" t="n">
        <v>4</v>
      </c>
      <c r="I7785" s="17" t="n">
        <v>0</v>
      </c>
      <c r="J7785" s="18" t="n">
        <v>1871.99</v>
      </c>
      <c r="K7785" s="19" t="n">
        <v>220.91</v>
      </c>
      <c r="L7785" s="15" t="n">
        <f aca="false">YEAR(B7785)</f>
        <v>2025</v>
      </c>
      <c r="M7785" s="20" t="n">
        <f aca="false">IF(J7785&gt;0,K7785/J7785,0)</f>
        <v>0.118008109017676</v>
      </c>
    </row>
    <row r="7786" customFormat="false" ht="15" hidden="false" customHeight="false" outlineLevel="0" collapsed="false">
      <c r="A7786" s="15" t="s">
        <v>7843</v>
      </c>
      <c r="B7786" s="16" t="n">
        <v>45158</v>
      </c>
      <c r="C7786" s="15" t="s">
        <v>58</v>
      </c>
      <c r="D7786" s="15" t="s">
        <v>42</v>
      </c>
      <c r="E7786" s="15" t="s">
        <v>36</v>
      </c>
      <c r="F7786" s="15" t="s">
        <v>16</v>
      </c>
      <c r="G7786" s="15" t="s">
        <v>23</v>
      </c>
      <c r="H7786" s="15" t="n">
        <v>4</v>
      </c>
      <c r="I7786" s="17" t="n">
        <v>0.1</v>
      </c>
      <c r="J7786" s="18" t="n">
        <v>1002.6</v>
      </c>
      <c r="K7786" s="19" t="n">
        <v>-84.59</v>
      </c>
      <c r="L7786" s="15" t="n">
        <f aca="false">YEAR(B7786)</f>
        <v>2023</v>
      </c>
      <c r="M7786" s="20" t="n">
        <f aca="false">IF(J7786&gt;0,K7786/J7786,0)</f>
        <v>-0.0843706363455017</v>
      </c>
    </row>
    <row r="7787" customFormat="false" ht="15" hidden="false" customHeight="false" outlineLevel="0" collapsed="false">
      <c r="A7787" s="15" t="s">
        <v>7844</v>
      </c>
      <c r="B7787" s="16" t="n">
        <v>45148</v>
      </c>
      <c r="C7787" s="15" t="s">
        <v>71</v>
      </c>
      <c r="D7787" s="15" t="s">
        <v>42</v>
      </c>
      <c r="E7787" s="15" t="s">
        <v>39</v>
      </c>
      <c r="F7787" s="15" t="s">
        <v>16</v>
      </c>
      <c r="G7787" s="15" t="s">
        <v>22</v>
      </c>
      <c r="H7787" s="15" t="n">
        <v>3</v>
      </c>
      <c r="I7787" s="17" t="n">
        <v>0</v>
      </c>
      <c r="J7787" s="18" t="n">
        <v>1360.42</v>
      </c>
      <c r="K7787" s="19" t="n">
        <v>-108.92</v>
      </c>
      <c r="L7787" s="15" t="n">
        <f aca="false">YEAR(B7787)</f>
        <v>2023</v>
      </c>
      <c r="M7787" s="20" t="n">
        <f aca="false">IF(J7787&gt;0,K7787/J7787,0)</f>
        <v>-0.0800635097984446</v>
      </c>
    </row>
    <row r="7788" customFormat="false" ht="15" hidden="false" customHeight="false" outlineLevel="0" collapsed="false">
      <c r="A7788" s="15" t="s">
        <v>7845</v>
      </c>
      <c r="B7788" s="16" t="n">
        <v>46018</v>
      </c>
      <c r="C7788" s="15" t="s">
        <v>56</v>
      </c>
      <c r="D7788" s="15" t="s">
        <v>43</v>
      </c>
      <c r="E7788" s="15" t="s">
        <v>39</v>
      </c>
      <c r="F7788" s="15" t="s">
        <v>17</v>
      </c>
      <c r="G7788" s="15" t="s">
        <v>29</v>
      </c>
      <c r="H7788" s="15" t="n">
        <v>3</v>
      </c>
      <c r="I7788" s="17" t="n">
        <v>0.2</v>
      </c>
      <c r="J7788" s="18" t="n">
        <v>57.8</v>
      </c>
      <c r="K7788" s="19" t="n">
        <v>10.39</v>
      </c>
      <c r="L7788" s="15" t="n">
        <f aca="false">YEAR(B7788)</f>
        <v>2025</v>
      </c>
      <c r="M7788" s="20" t="n">
        <f aca="false">IF(J7788&gt;0,K7788/J7788,0)</f>
        <v>0.179757785467128</v>
      </c>
    </row>
    <row r="7789" customFormat="false" ht="15" hidden="false" customHeight="false" outlineLevel="0" collapsed="false">
      <c r="A7789" s="15" t="s">
        <v>7846</v>
      </c>
      <c r="B7789" s="16" t="n">
        <v>44909</v>
      </c>
      <c r="C7789" s="15" t="s">
        <v>68</v>
      </c>
      <c r="D7789" s="15" t="s">
        <v>42</v>
      </c>
      <c r="E7789" s="15" t="s">
        <v>37</v>
      </c>
      <c r="F7789" s="15" t="s">
        <v>17</v>
      </c>
      <c r="G7789" s="15" t="s">
        <v>29</v>
      </c>
      <c r="H7789" s="15" t="n">
        <v>1</v>
      </c>
      <c r="I7789" s="17" t="n">
        <v>0.1</v>
      </c>
      <c r="J7789" s="18" t="n">
        <v>14.24</v>
      </c>
      <c r="K7789" s="19" t="n">
        <v>3.41</v>
      </c>
      <c r="L7789" s="15" t="n">
        <f aca="false">YEAR(B7789)</f>
        <v>2022</v>
      </c>
      <c r="M7789" s="20" t="n">
        <f aca="false">IF(J7789&gt;0,K7789/J7789,0)</f>
        <v>0.239466292134831</v>
      </c>
    </row>
    <row r="7790" customFormat="false" ht="15" hidden="false" customHeight="false" outlineLevel="0" collapsed="false">
      <c r="A7790" s="15" t="s">
        <v>7847</v>
      </c>
      <c r="B7790" s="16" t="n">
        <v>45145</v>
      </c>
      <c r="C7790" s="15" t="s">
        <v>58</v>
      </c>
      <c r="D7790" s="15" t="s">
        <v>43</v>
      </c>
      <c r="E7790" s="15" t="s">
        <v>39</v>
      </c>
      <c r="F7790" s="15" t="s">
        <v>17</v>
      </c>
      <c r="G7790" s="15" t="s">
        <v>31</v>
      </c>
      <c r="H7790" s="15" t="n">
        <v>3</v>
      </c>
      <c r="I7790" s="17" t="n">
        <v>0</v>
      </c>
      <c r="J7790" s="18" t="n">
        <v>407.13</v>
      </c>
      <c r="K7790" s="19" t="n">
        <v>105.98</v>
      </c>
      <c r="L7790" s="15" t="n">
        <f aca="false">YEAR(B7790)</f>
        <v>2023</v>
      </c>
      <c r="M7790" s="20" t="n">
        <f aca="false">IF(J7790&gt;0,K7790/J7790,0)</f>
        <v>0.260309974700955</v>
      </c>
    </row>
    <row r="7791" customFormat="false" ht="15" hidden="false" customHeight="false" outlineLevel="0" collapsed="false">
      <c r="A7791" s="15" t="s">
        <v>7848</v>
      </c>
      <c r="B7791" s="16" t="n">
        <v>44677</v>
      </c>
      <c r="C7791" s="15" t="s">
        <v>56</v>
      </c>
      <c r="D7791" s="15" t="s">
        <v>43</v>
      </c>
      <c r="E7791" s="15" t="s">
        <v>38</v>
      </c>
      <c r="F7791" s="15" t="s">
        <v>17</v>
      </c>
      <c r="G7791" s="15" t="s">
        <v>28</v>
      </c>
      <c r="H7791" s="15" t="n">
        <v>3</v>
      </c>
      <c r="I7791" s="17" t="n">
        <v>0</v>
      </c>
      <c r="J7791" s="18" t="n">
        <v>58.9</v>
      </c>
      <c r="K7791" s="19" t="n">
        <v>15.8</v>
      </c>
      <c r="L7791" s="15" t="n">
        <f aca="false">YEAR(B7791)</f>
        <v>2022</v>
      </c>
      <c r="M7791" s="20" t="n">
        <f aca="false">IF(J7791&gt;0,K7791/J7791,0)</f>
        <v>0.268251273344652</v>
      </c>
    </row>
    <row r="7792" customFormat="false" ht="15" hidden="false" customHeight="false" outlineLevel="0" collapsed="false">
      <c r="A7792" s="15" t="s">
        <v>7849</v>
      </c>
      <c r="B7792" s="16" t="n">
        <v>45761</v>
      </c>
      <c r="C7792" s="15" t="s">
        <v>58</v>
      </c>
      <c r="D7792" s="15" t="s">
        <v>43</v>
      </c>
      <c r="E7792" s="15" t="s">
        <v>36</v>
      </c>
      <c r="F7792" s="15" t="s">
        <v>16</v>
      </c>
      <c r="G7792" s="15" t="s">
        <v>23</v>
      </c>
      <c r="H7792" s="15" t="n">
        <v>3</v>
      </c>
      <c r="I7792" s="17" t="n">
        <v>0.05</v>
      </c>
      <c r="J7792" s="18" t="n">
        <v>749.91</v>
      </c>
      <c r="K7792" s="19" t="n">
        <v>-46.32</v>
      </c>
      <c r="L7792" s="15" t="n">
        <f aca="false">YEAR(B7792)</f>
        <v>2025</v>
      </c>
      <c r="M7792" s="20" t="n">
        <f aca="false">IF(J7792&gt;0,K7792/J7792,0)</f>
        <v>-0.0617674120894507</v>
      </c>
    </row>
    <row r="7793" customFormat="false" ht="15" hidden="false" customHeight="false" outlineLevel="0" collapsed="false">
      <c r="A7793" s="15" t="s">
        <v>7850</v>
      </c>
      <c r="B7793" s="16" t="n">
        <v>45631</v>
      </c>
      <c r="C7793" s="15" t="s">
        <v>56</v>
      </c>
      <c r="D7793" s="15" t="s">
        <v>42</v>
      </c>
      <c r="E7793" s="15" t="s">
        <v>39</v>
      </c>
      <c r="F7793" s="15" t="s">
        <v>18</v>
      </c>
      <c r="G7793" s="15" t="s">
        <v>32</v>
      </c>
      <c r="H7793" s="15" t="n">
        <v>5</v>
      </c>
      <c r="I7793" s="17" t="n">
        <v>0.05</v>
      </c>
      <c r="J7793" s="18" t="n">
        <v>2164.96</v>
      </c>
      <c r="K7793" s="19" t="n">
        <v>376.98</v>
      </c>
      <c r="L7793" s="15" t="n">
        <f aca="false">YEAR(B7793)</f>
        <v>2024</v>
      </c>
      <c r="M7793" s="20" t="n">
        <f aca="false">IF(J7793&gt;0,K7793/J7793,0)</f>
        <v>0.174127928460572</v>
      </c>
    </row>
    <row r="7794" customFormat="false" ht="15" hidden="false" customHeight="false" outlineLevel="0" collapsed="false">
      <c r="A7794" s="15" t="s">
        <v>7851</v>
      </c>
      <c r="B7794" s="16" t="n">
        <v>45604</v>
      </c>
      <c r="C7794" s="15" t="s">
        <v>56</v>
      </c>
      <c r="D7794" s="15" t="s">
        <v>42</v>
      </c>
      <c r="E7794" s="15" t="s">
        <v>39</v>
      </c>
      <c r="F7794" s="15" t="s">
        <v>17</v>
      </c>
      <c r="G7794" s="15" t="s">
        <v>28</v>
      </c>
      <c r="H7794" s="15" t="n">
        <v>2</v>
      </c>
      <c r="I7794" s="17" t="n">
        <v>0.15</v>
      </c>
      <c r="J7794" s="18" t="n">
        <v>48.1</v>
      </c>
      <c r="K7794" s="19" t="n">
        <v>8.56</v>
      </c>
      <c r="L7794" s="15" t="n">
        <f aca="false">YEAR(B7794)</f>
        <v>2024</v>
      </c>
      <c r="M7794" s="20" t="n">
        <f aca="false">IF(J7794&gt;0,K7794/J7794,0)</f>
        <v>0.177962577962578</v>
      </c>
    </row>
    <row r="7795" customFormat="false" ht="15" hidden="false" customHeight="false" outlineLevel="0" collapsed="false">
      <c r="A7795" s="15" t="s">
        <v>7852</v>
      </c>
      <c r="B7795" s="16" t="n">
        <v>45664</v>
      </c>
      <c r="C7795" s="15" t="s">
        <v>71</v>
      </c>
      <c r="D7795" s="15" t="s">
        <v>42</v>
      </c>
      <c r="E7795" s="15" t="s">
        <v>37</v>
      </c>
      <c r="F7795" s="15" t="s">
        <v>17</v>
      </c>
      <c r="G7795" s="15" t="s">
        <v>29</v>
      </c>
      <c r="H7795" s="15" t="n">
        <v>3</v>
      </c>
      <c r="I7795" s="17" t="n">
        <v>0</v>
      </c>
      <c r="J7795" s="18" t="n">
        <v>52.75</v>
      </c>
      <c r="K7795" s="19" t="n">
        <v>17.65</v>
      </c>
      <c r="L7795" s="15" t="n">
        <f aca="false">YEAR(B7795)</f>
        <v>2025</v>
      </c>
      <c r="M7795" s="20" t="n">
        <f aca="false">IF(J7795&gt;0,K7795/J7795,0)</f>
        <v>0.334597156398104</v>
      </c>
    </row>
    <row r="7796" customFormat="false" ht="15" hidden="false" customHeight="false" outlineLevel="0" collapsed="false">
      <c r="A7796" s="15" t="s">
        <v>7853</v>
      </c>
      <c r="B7796" s="16" t="n">
        <v>44711</v>
      </c>
      <c r="C7796" s="15" t="s">
        <v>58</v>
      </c>
      <c r="D7796" s="15" t="s">
        <v>42</v>
      </c>
      <c r="E7796" s="15" t="s">
        <v>38</v>
      </c>
      <c r="F7796" s="15" t="s">
        <v>16</v>
      </c>
      <c r="G7796" s="15" t="s">
        <v>23</v>
      </c>
      <c r="H7796" s="15" t="n">
        <v>4</v>
      </c>
      <c r="I7796" s="17" t="n">
        <v>0.1</v>
      </c>
      <c r="J7796" s="18" t="n">
        <v>1041.38</v>
      </c>
      <c r="K7796" s="19" t="n">
        <v>-99.1</v>
      </c>
      <c r="L7796" s="15" t="n">
        <f aca="false">YEAR(B7796)</f>
        <v>2022</v>
      </c>
      <c r="M7796" s="20" t="n">
        <f aca="false">IF(J7796&gt;0,K7796/J7796,0)</f>
        <v>-0.0951621886343122</v>
      </c>
    </row>
    <row r="7797" customFormat="false" ht="15" hidden="false" customHeight="false" outlineLevel="0" collapsed="false">
      <c r="A7797" s="15" t="s">
        <v>7854</v>
      </c>
      <c r="B7797" s="16" t="n">
        <v>45349</v>
      </c>
      <c r="C7797" s="15" t="s">
        <v>68</v>
      </c>
      <c r="D7797" s="15" t="s">
        <v>42</v>
      </c>
      <c r="E7797" s="15" t="s">
        <v>36</v>
      </c>
      <c r="F7797" s="15" t="s">
        <v>16</v>
      </c>
      <c r="G7797" s="15" t="s">
        <v>22</v>
      </c>
      <c r="H7797" s="15" t="n">
        <v>7</v>
      </c>
      <c r="I7797" s="17" t="n">
        <v>0</v>
      </c>
      <c r="J7797" s="18" t="n">
        <v>3031.02</v>
      </c>
      <c r="K7797" s="19" t="n">
        <v>-366.2</v>
      </c>
      <c r="L7797" s="15" t="n">
        <f aca="false">YEAR(B7797)</f>
        <v>2024</v>
      </c>
      <c r="M7797" s="20" t="n">
        <f aca="false">IF(J7797&gt;0,K7797/J7797,0)</f>
        <v>-0.120817414599706</v>
      </c>
    </row>
    <row r="7798" customFormat="false" ht="15" hidden="false" customHeight="false" outlineLevel="0" collapsed="false">
      <c r="A7798" s="15" t="s">
        <v>7855</v>
      </c>
      <c r="B7798" s="16" t="n">
        <v>45448</v>
      </c>
      <c r="C7798" s="15" t="s">
        <v>56</v>
      </c>
      <c r="D7798" s="15" t="s">
        <v>42</v>
      </c>
      <c r="E7798" s="15" t="s">
        <v>37</v>
      </c>
      <c r="F7798" s="15" t="s">
        <v>16</v>
      </c>
      <c r="G7798" s="15" t="s">
        <v>23</v>
      </c>
      <c r="H7798" s="15" t="n">
        <v>2</v>
      </c>
      <c r="I7798" s="17" t="n">
        <v>0.3</v>
      </c>
      <c r="J7798" s="18" t="n">
        <v>460.96</v>
      </c>
      <c r="K7798" s="19" t="n">
        <v>-103.55</v>
      </c>
      <c r="L7798" s="15" t="n">
        <f aca="false">YEAR(B7798)</f>
        <v>2024</v>
      </c>
      <c r="M7798" s="20" t="n">
        <f aca="false">IF(J7798&gt;0,K7798/J7798,0)</f>
        <v>-0.224639881985422</v>
      </c>
    </row>
    <row r="7799" customFormat="false" ht="15" hidden="false" customHeight="false" outlineLevel="0" collapsed="false">
      <c r="A7799" s="15" t="s">
        <v>7856</v>
      </c>
      <c r="B7799" s="16" t="n">
        <v>44718</v>
      </c>
      <c r="C7799" s="15" t="s">
        <v>56</v>
      </c>
      <c r="D7799" s="15" t="s">
        <v>43</v>
      </c>
      <c r="E7799" s="15" t="s">
        <v>37</v>
      </c>
      <c r="F7799" s="15" t="s">
        <v>17</v>
      </c>
      <c r="G7799" s="15" t="s">
        <v>28</v>
      </c>
      <c r="H7799" s="15" t="n">
        <v>2</v>
      </c>
      <c r="I7799" s="17" t="n">
        <v>0</v>
      </c>
      <c r="J7799" s="18" t="n">
        <v>54.49</v>
      </c>
      <c r="K7799" s="19" t="n">
        <v>16.58</v>
      </c>
      <c r="L7799" s="15" t="n">
        <f aca="false">YEAR(B7799)</f>
        <v>2022</v>
      </c>
      <c r="M7799" s="20" t="n">
        <f aca="false">IF(J7799&gt;0,K7799/J7799,0)</f>
        <v>0.304276013947513</v>
      </c>
    </row>
    <row r="7800" customFormat="false" ht="15" hidden="false" customHeight="false" outlineLevel="0" collapsed="false">
      <c r="A7800" s="15" t="s">
        <v>7857</v>
      </c>
      <c r="B7800" s="16" t="n">
        <v>45837</v>
      </c>
      <c r="C7800" s="15" t="s">
        <v>56</v>
      </c>
      <c r="D7800" s="15" t="s">
        <v>42</v>
      </c>
      <c r="E7800" s="15" t="s">
        <v>39</v>
      </c>
      <c r="F7800" s="15" t="s">
        <v>18</v>
      </c>
      <c r="G7800" s="15" t="s">
        <v>30</v>
      </c>
      <c r="H7800" s="15" t="n">
        <v>3</v>
      </c>
      <c r="I7800" s="17" t="n">
        <v>0.05</v>
      </c>
      <c r="J7800" s="18" t="n">
        <v>123.56</v>
      </c>
      <c r="K7800" s="19" t="n">
        <v>28.22</v>
      </c>
      <c r="L7800" s="15" t="n">
        <f aca="false">YEAR(B7800)</f>
        <v>2025</v>
      </c>
      <c r="M7800" s="20" t="n">
        <f aca="false">IF(J7800&gt;0,K7800/J7800,0)</f>
        <v>0.228391065069602</v>
      </c>
    </row>
    <row r="7801" customFormat="false" ht="15" hidden="false" customHeight="false" outlineLevel="0" collapsed="false">
      <c r="A7801" s="15" t="s">
        <v>7858</v>
      </c>
      <c r="B7801" s="16" t="n">
        <v>44981</v>
      </c>
      <c r="C7801" s="15" t="s">
        <v>71</v>
      </c>
      <c r="D7801" s="15" t="s">
        <v>44</v>
      </c>
      <c r="E7801" s="15" t="s">
        <v>39</v>
      </c>
      <c r="F7801" s="15" t="s">
        <v>17</v>
      </c>
      <c r="G7801" s="15" t="s">
        <v>31</v>
      </c>
      <c r="H7801" s="15" t="n">
        <v>5</v>
      </c>
      <c r="I7801" s="17" t="n">
        <v>0</v>
      </c>
      <c r="J7801" s="18" t="n">
        <v>667.28</v>
      </c>
      <c r="K7801" s="19" t="n">
        <v>124.22</v>
      </c>
      <c r="L7801" s="15" t="n">
        <f aca="false">YEAR(B7801)</f>
        <v>2023</v>
      </c>
      <c r="M7801" s="20" t="n">
        <f aca="false">IF(J7801&gt;0,K7801/J7801,0)</f>
        <v>0.186158733964752</v>
      </c>
    </row>
    <row r="7802" customFormat="false" ht="15" hidden="false" customHeight="false" outlineLevel="0" collapsed="false">
      <c r="A7802" s="15" t="s">
        <v>7859</v>
      </c>
      <c r="B7802" s="16" t="n">
        <v>45304</v>
      </c>
      <c r="C7802" s="15" t="s">
        <v>56</v>
      </c>
      <c r="D7802" s="15" t="s">
        <v>43</v>
      </c>
      <c r="E7802" s="15" t="s">
        <v>37</v>
      </c>
      <c r="F7802" s="15" t="s">
        <v>18</v>
      </c>
      <c r="G7802" s="15" t="s">
        <v>30</v>
      </c>
      <c r="H7802" s="15" t="n">
        <v>2</v>
      </c>
      <c r="I7802" s="17" t="n">
        <v>0.2</v>
      </c>
      <c r="J7802" s="18" t="n">
        <v>70.58</v>
      </c>
      <c r="K7802" s="19" t="n">
        <v>9.08</v>
      </c>
      <c r="L7802" s="15" t="n">
        <f aca="false">YEAR(B7802)</f>
        <v>2024</v>
      </c>
      <c r="M7802" s="20" t="n">
        <f aca="false">IF(J7802&gt;0,K7802/J7802,0)</f>
        <v>0.128648342306602</v>
      </c>
    </row>
    <row r="7803" customFormat="false" ht="15" hidden="false" customHeight="false" outlineLevel="0" collapsed="false">
      <c r="A7803" s="15" t="s">
        <v>7860</v>
      </c>
      <c r="B7803" s="16" t="n">
        <v>45916</v>
      </c>
      <c r="C7803" s="15" t="s">
        <v>58</v>
      </c>
      <c r="D7803" s="15" t="s">
        <v>43</v>
      </c>
      <c r="E7803" s="15" t="s">
        <v>36</v>
      </c>
      <c r="F7803" s="15" t="s">
        <v>17</v>
      </c>
      <c r="G7803" s="15" t="s">
        <v>28</v>
      </c>
      <c r="H7803" s="15" t="n">
        <v>4</v>
      </c>
      <c r="I7803" s="17" t="n">
        <v>0</v>
      </c>
      <c r="J7803" s="18" t="n">
        <v>101.84</v>
      </c>
      <c r="K7803" s="19" t="n">
        <v>27.32</v>
      </c>
      <c r="L7803" s="15" t="n">
        <f aca="false">YEAR(B7803)</f>
        <v>2025</v>
      </c>
      <c r="M7803" s="20" t="n">
        <f aca="false">IF(J7803&gt;0,K7803/J7803,0)</f>
        <v>0.268263943440691</v>
      </c>
    </row>
    <row r="7804" customFormat="false" ht="15" hidden="false" customHeight="false" outlineLevel="0" collapsed="false">
      <c r="A7804" s="15" t="s">
        <v>7861</v>
      </c>
      <c r="B7804" s="16" t="n">
        <v>45886</v>
      </c>
      <c r="C7804" s="15" t="s">
        <v>58</v>
      </c>
      <c r="D7804" s="15" t="s">
        <v>43</v>
      </c>
      <c r="E7804" s="15" t="s">
        <v>37</v>
      </c>
      <c r="F7804" s="15" t="s">
        <v>17</v>
      </c>
      <c r="G7804" s="15" t="s">
        <v>28</v>
      </c>
      <c r="H7804" s="15" t="n">
        <v>3</v>
      </c>
      <c r="I7804" s="17" t="n">
        <v>0.4</v>
      </c>
      <c r="J7804" s="18" t="n">
        <v>49.79</v>
      </c>
      <c r="K7804" s="19" t="n">
        <v>-5.17</v>
      </c>
      <c r="L7804" s="15" t="n">
        <f aca="false">YEAR(B7804)</f>
        <v>2025</v>
      </c>
      <c r="M7804" s="20" t="n">
        <f aca="false">IF(J7804&gt;0,K7804/J7804,0)</f>
        <v>-0.10383611166901</v>
      </c>
    </row>
    <row r="7805" customFormat="false" ht="15" hidden="false" customHeight="false" outlineLevel="0" collapsed="false">
      <c r="A7805" s="15" t="s">
        <v>7862</v>
      </c>
      <c r="B7805" s="16" t="n">
        <v>44897</v>
      </c>
      <c r="C7805" s="15" t="s">
        <v>71</v>
      </c>
      <c r="D7805" s="15" t="s">
        <v>42</v>
      </c>
      <c r="E7805" s="15" t="s">
        <v>38</v>
      </c>
      <c r="F7805" s="15" t="s">
        <v>17</v>
      </c>
      <c r="G7805" s="15" t="s">
        <v>26</v>
      </c>
      <c r="H7805" s="15" t="n">
        <v>3</v>
      </c>
      <c r="I7805" s="17" t="n">
        <v>0</v>
      </c>
      <c r="J7805" s="18" t="n">
        <v>204.49</v>
      </c>
      <c r="K7805" s="19" t="n">
        <v>13.83</v>
      </c>
      <c r="L7805" s="15" t="n">
        <f aca="false">YEAR(B7805)</f>
        <v>2022</v>
      </c>
      <c r="M7805" s="20" t="n">
        <f aca="false">IF(J7805&gt;0,K7805/J7805,0)</f>
        <v>0.0676316690302704</v>
      </c>
    </row>
    <row r="7806" customFormat="false" ht="15" hidden="false" customHeight="false" outlineLevel="0" collapsed="false">
      <c r="A7806" s="15" t="s">
        <v>7863</v>
      </c>
      <c r="B7806" s="16" t="n">
        <v>45424</v>
      </c>
      <c r="C7806" s="15" t="s">
        <v>56</v>
      </c>
      <c r="D7806" s="15" t="s">
        <v>42</v>
      </c>
      <c r="E7806" s="15" t="s">
        <v>39</v>
      </c>
      <c r="F7806" s="15" t="s">
        <v>17</v>
      </c>
      <c r="G7806" s="15" t="s">
        <v>29</v>
      </c>
      <c r="H7806" s="15" t="n">
        <v>3</v>
      </c>
      <c r="I7806" s="17" t="n">
        <v>0.2</v>
      </c>
      <c r="J7806" s="18" t="n">
        <v>42.25</v>
      </c>
      <c r="K7806" s="19" t="n">
        <v>10.82</v>
      </c>
      <c r="L7806" s="15" t="n">
        <f aca="false">YEAR(B7806)</f>
        <v>2024</v>
      </c>
      <c r="M7806" s="20" t="n">
        <f aca="false">IF(J7806&gt;0,K7806/J7806,0)</f>
        <v>0.256094674556213</v>
      </c>
    </row>
    <row r="7807" customFormat="false" ht="15" hidden="false" customHeight="false" outlineLevel="0" collapsed="false">
      <c r="A7807" s="15" t="s">
        <v>7864</v>
      </c>
      <c r="B7807" s="16" t="n">
        <v>45549</v>
      </c>
      <c r="C7807" s="15" t="s">
        <v>56</v>
      </c>
      <c r="D7807" s="15" t="s">
        <v>42</v>
      </c>
      <c r="E7807" s="15" t="s">
        <v>39</v>
      </c>
      <c r="F7807" s="15" t="s">
        <v>16</v>
      </c>
      <c r="G7807" s="15" t="s">
        <v>25</v>
      </c>
      <c r="H7807" s="15" t="n">
        <v>4</v>
      </c>
      <c r="I7807" s="17" t="n">
        <v>0</v>
      </c>
      <c r="J7807" s="18" t="n">
        <v>1276.61</v>
      </c>
      <c r="K7807" s="19" t="n">
        <v>117.17</v>
      </c>
      <c r="L7807" s="15" t="n">
        <f aca="false">YEAR(B7807)</f>
        <v>2024</v>
      </c>
      <c r="M7807" s="20" t="n">
        <f aca="false">IF(J7807&gt;0,K7807/J7807,0)</f>
        <v>0.0917821417660836</v>
      </c>
    </row>
    <row r="7808" customFormat="false" ht="15" hidden="false" customHeight="false" outlineLevel="0" collapsed="false">
      <c r="A7808" s="15" t="s">
        <v>7865</v>
      </c>
      <c r="B7808" s="16" t="n">
        <v>45790</v>
      </c>
      <c r="C7808" s="15" t="s">
        <v>68</v>
      </c>
      <c r="D7808" s="15" t="s">
        <v>42</v>
      </c>
      <c r="E7808" s="15" t="s">
        <v>37</v>
      </c>
      <c r="F7808" s="15" t="s">
        <v>16</v>
      </c>
      <c r="G7808" s="15" t="s">
        <v>23</v>
      </c>
      <c r="H7808" s="15" t="n">
        <v>6</v>
      </c>
      <c r="I7808" s="17" t="n">
        <v>0.15</v>
      </c>
      <c r="J7808" s="18" t="n">
        <v>1262.97</v>
      </c>
      <c r="K7808" s="19" t="n">
        <v>-84.47</v>
      </c>
      <c r="L7808" s="15" t="n">
        <f aca="false">YEAR(B7808)</f>
        <v>2025</v>
      </c>
      <c r="M7808" s="20" t="n">
        <f aca="false">IF(J7808&gt;0,K7808/J7808,0)</f>
        <v>-0.0668820320355986</v>
      </c>
    </row>
    <row r="7809" customFormat="false" ht="15" hidden="false" customHeight="false" outlineLevel="0" collapsed="false">
      <c r="A7809" s="15" t="s">
        <v>7866</v>
      </c>
      <c r="B7809" s="16" t="n">
        <v>45816</v>
      </c>
      <c r="C7809" s="15" t="s">
        <v>56</v>
      </c>
      <c r="D7809" s="15" t="s">
        <v>42</v>
      </c>
      <c r="E7809" s="15" t="s">
        <v>36</v>
      </c>
      <c r="F7809" s="15" t="s">
        <v>17</v>
      </c>
      <c r="G7809" s="15" t="s">
        <v>26</v>
      </c>
      <c r="H7809" s="15" t="n">
        <v>2</v>
      </c>
      <c r="I7809" s="17" t="n">
        <v>0</v>
      </c>
      <c r="J7809" s="18" t="n">
        <v>172.98</v>
      </c>
      <c r="K7809" s="19" t="n">
        <v>14.81</v>
      </c>
      <c r="L7809" s="15" t="n">
        <f aca="false">YEAR(B7809)</f>
        <v>2025</v>
      </c>
      <c r="M7809" s="20" t="n">
        <f aca="false">IF(J7809&gt;0,K7809/J7809,0)</f>
        <v>0.0856168343161059</v>
      </c>
    </row>
    <row r="7810" customFormat="false" ht="15" hidden="false" customHeight="false" outlineLevel="0" collapsed="false">
      <c r="A7810" s="15" t="s">
        <v>7867</v>
      </c>
      <c r="B7810" s="16" t="n">
        <v>45595</v>
      </c>
      <c r="C7810" s="15" t="s">
        <v>71</v>
      </c>
      <c r="D7810" s="15" t="s">
        <v>43</v>
      </c>
      <c r="E7810" s="15" t="s">
        <v>37</v>
      </c>
      <c r="F7810" s="15" t="s">
        <v>17</v>
      </c>
      <c r="G7810" s="15" t="s">
        <v>28</v>
      </c>
      <c r="H7810" s="15" t="n">
        <v>1</v>
      </c>
      <c r="I7810" s="17" t="n">
        <v>0</v>
      </c>
      <c r="J7810" s="18" t="n">
        <v>25.91</v>
      </c>
      <c r="K7810" s="19" t="n">
        <v>7.81</v>
      </c>
      <c r="L7810" s="15" t="n">
        <f aca="false">YEAR(B7810)</f>
        <v>2024</v>
      </c>
      <c r="M7810" s="20" t="n">
        <f aca="false">IF(J7810&gt;0,K7810/J7810,0)</f>
        <v>0.301428020069471</v>
      </c>
    </row>
    <row r="7811" customFormat="false" ht="15" hidden="false" customHeight="false" outlineLevel="0" collapsed="false">
      <c r="A7811" s="15" t="s">
        <v>7868</v>
      </c>
      <c r="B7811" s="16" t="n">
        <v>45796</v>
      </c>
      <c r="C7811" s="15" t="s">
        <v>56</v>
      </c>
      <c r="D7811" s="15" t="s">
        <v>43</v>
      </c>
      <c r="E7811" s="15" t="s">
        <v>38</v>
      </c>
      <c r="F7811" s="15" t="s">
        <v>18</v>
      </c>
      <c r="G7811" s="15" t="s">
        <v>32</v>
      </c>
      <c r="H7811" s="15" t="n">
        <v>4</v>
      </c>
      <c r="I7811" s="17" t="n">
        <v>0.2</v>
      </c>
      <c r="J7811" s="18" t="n">
        <v>1442.61</v>
      </c>
      <c r="K7811" s="19" t="n">
        <v>-75.56</v>
      </c>
      <c r="L7811" s="15" t="n">
        <f aca="false">YEAR(B7811)</f>
        <v>2025</v>
      </c>
      <c r="M7811" s="20" t="n">
        <f aca="false">IF(J7811&gt;0,K7811/J7811,0)</f>
        <v>-0.0523772883870208</v>
      </c>
    </row>
    <row r="7812" customFormat="false" ht="15" hidden="false" customHeight="false" outlineLevel="0" collapsed="false">
      <c r="A7812" s="15" t="s">
        <v>7869</v>
      </c>
      <c r="B7812" s="16" t="n">
        <v>44983</v>
      </c>
      <c r="C7812" s="15" t="s">
        <v>56</v>
      </c>
      <c r="D7812" s="15" t="s">
        <v>42</v>
      </c>
      <c r="E7812" s="15" t="s">
        <v>36</v>
      </c>
      <c r="F7812" s="15" t="s">
        <v>17</v>
      </c>
      <c r="G7812" s="15" t="s">
        <v>29</v>
      </c>
      <c r="H7812" s="15" t="n">
        <v>4</v>
      </c>
      <c r="I7812" s="17" t="n">
        <v>0</v>
      </c>
      <c r="J7812" s="18" t="n">
        <v>59.61</v>
      </c>
      <c r="K7812" s="19" t="n">
        <v>26.91</v>
      </c>
      <c r="L7812" s="15" t="n">
        <f aca="false">YEAR(B7812)</f>
        <v>2023</v>
      </c>
      <c r="M7812" s="20" t="n">
        <f aca="false">IF(J7812&gt;0,K7812/J7812,0)</f>
        <v>0.451434323100151</v>
      </c>
    </row>
    <row r="7813" customFormat="false" ht="15" hidden="false" customHeight="false" outlineLevel="0" collapsed="false">
      <c r="A7813" s="15" t="s">
        <v>7870</v>
      </c>
      <c r="B7813" s="16" t="n">
        <v>45780</v>
      </c>
      <c r="C7813" s="15" t="s">
        <v>56</v>
      </c>
      <c r="D7813" s="15" t="s">
        <v>42</v>
      </c>
      <c r="E7813" s="15" t="s">
        <v>39</v>
      </c>
      <c r="F7813" s="15" t="s">
        <v>16</v>
      </c>
      <c r="G7813" s="15" t="s">
        <v>23</v>
      </c>
      <c r="H7813" s="15" t="n">
        <v>7</v>
      </c>
      <c r="I7813" s="17" t="n">
        <v>0.15</v>
      </c>
      <c r="J7813" s="18" t="n">
        <v>1913.74</v>
      </c>
      <c r="K7813" s="19" t="n">
        <v>-119.74</v>
      </c>
      <c r="L7813" s="15" t="n">
        <f aca="false">YEAR(B7813)</f>
        <v>2025</v>
      </c>
      <c r="M7813" s="20" t="n">
        <f aca="false">IF(J7813&gt;0,K7813/J7813,0)</f>
        <v>-0.0625685829841044</v>
      </c>
    </row>
    <row r="7814" customFormat="false" ht="15" hidden="false" customHeight="false" outlineLevel="0" collapsed="false">
      <c r="A7814" s="15" t="s">
        <v>7871</v>
      </c>
      <c r="B7814" s="16" t="n">
        <v>44572</v>
      </c>
      <c r="C7814" s="15" t="s">
        <v>71</v>
      </c>
      <c r="D7814" s="15" t="s">
        <v>44</v>
      </c>
      <c r="E7814" s="15" t="s">
        <v>39</v>
      </c>
      <c r="F7814" s="15" t="s">
        <v>18</v>
      </c>
      <c r="G7814" s="15" t="s">
        <v>30</v>
      </c>
      <c r="H7814" s="15" t="n">
        <v>2</v>
      </c>
      <c r="I7814" s="17" t="n">
        <v>0.2</v>
      </c>
      <c r="J7814" s="18" t="n">
        <v>81.52</v>
      </c>
      <c r="K7814" s="19" t="n">
        <v>10.1</v>
      </c>
      <c r="L7814" s="15" t="n">
        <f aca="false">YEAR(B7814)</f>
        <v>2022</v>
      </c>
      <c r="M7814" s="20" t="n">
        <f aca="false">IF(J7814&gt;0,K7814/J7814,0)</f>
        <v>0.123895976447498</v>
      </c>
    </row>
    <row r="7815" customFormat="false" ht="15" hidden="false" customHeight="false" outlineLevel="0" collapsed="false">
      <c r="A7815" s="15" t="s">
        <v>7872</v>
      </c>
      <c r="B7815" s="16" t="n">
        <v>45547</v>
      </c>
      <c r="C7815" s="15" t="s">
        <v>56</v>
      </c>
      <c r="D7815" s="15" t="s">
        <v>44</v>
      </c>
      <c r="E7815" s="15" t="s">
        <v>39</v>
      </c>
      <c r="F7815" s="15" t="s">
        <v>17</v>
      </c>
      <c r="G7815" s="15" t="s">
        <v>29</v>
      </c>
      <c r="H7815" s="15" t="n">
        <v>4</v>
      </c>
      <c r="I7815" s="17" t="n">
        <v>0</v>
      </c>
      <c r="J7815" s="18" t="n">
        <v>75.97</v>
      </c>
      <c r="K7815" s="19" t="n">
        <v>28.24</v>
      </c>
      <c r="L7815" s="15" t="n">
        <f aca="false">YEAR(B7815)</f>
        <v>2024</v>
      </c>
      <c r="M7815" s="20" t="n">
        <f aca="false">IF(J7815&gt;0,K7815/J7815,0)</f>
        <v>0.371725681189943</v>
      </c>
    </row>
    <row r="7816" customFormat="false" ht="15" hidden="false" customHeight="false" outlineLevel="0" collapsed="false">
      <c r="A7816" s="15" t="s">
        <v>7873</v>
      </c>
      <c r="B7816" s="16" t="n">
        <v>44984</v>
      </c>
      <c r="C7816" s="15" t="s">
        <v>71</v>
      </c>
      <c r="D7816" s="15" t="s">
        <v>44</v>
      </c>
      <c r="E7816" s="15" t="s">
        <v>37</v>
      </c>
      <c r="F7816" s="15" t="s">
        <v>17</v>
      </c>
      <c r="G7816" s="15" t="s">
        <v>28</v>
      </c>
      <c r="H7816" s="15" t="n">
        <v>4</v>
      </c>
      <c r="I7816" s="17" t="n">
        <v>0.15</v>
      </c>
      <c r="J7816" s="18" t="n">
        <v>77.36</v>
      </c>
      <c r="K7816" s="19" t="n">
        <v>8.97</v>
      </c>
      <c r="L7816" s="15" t="n">
        <f aca="false">YEAR(B7816)</f>
        <v>2023</v>
      </c>
      <c r="M7816" s="20" t="n">
        <f aca="false">IF(J7816&gt;0,K7816/J7816,0)</f>
        <v>0.115951396070321</v>
      </c>
    </row>
    <row r="7817" customFormat="false" ht="15" hidden="false" customHeight="false" outlineLevel="0" collapsed="false">
      <c r="A7817" s="15" t="s">
        <v>7874</v>
      </c>
      <c r="B7817" s="16" t="n">
        <v>45284</v>
      </c>
      <c r="C7817" s="15" t="s">
        <v>71</v>
      </c>
      <c r="D7817" s="15" t="s">
        <v>42</v>
      </c>
      <c r="E7817" s="15" t="s">
        <v>37</v>
      </c>
      <c r="F7817" s="15" t="s">
        <v>17</v>
      </c>
      <c r="G7817" s="15" t="s">
        <v>31</v>
      </c>
      <c r="H7817" s="15" t="n">
        <v>5</v>
      </c>
      <c r="I7817" s="17" t="n">
        <v>0.4</v>
      </c>
      <c r="J7817" s="18" t="n">
        <v>449.84</v>
      </c>
      <c r="K7817" s="19" t="n">
        <v>-85.11</v>
      </c>
      <c r="L7817" s="15" t="n">
        <f aca="false">YEAR(B7817)</f>
        <v>2023</v>
      </c>
      <c r="M7817" s="20" t="n">
        <f aca="false">IF(J7817&gt;0,K7817/J7817,0)</f>
        <v>-0.189200604659434</v>
      </c>
    </row>
    <row r="7818" customFormat="false" ht="15" hidden="false" customHeight="false" outlineLevel="0" collapsed="false">
      <c r="A7818" s="15" t="s">
        <v>7875</v>
      </c>
      <c r="B7818" s="16" t="n">
        <v>45005</v>
      </c>
      <c r="C7818" s="15" t="s">
        <v>56</v>
      </c>
      <c r="D7818" s="15" t="s">
        <v>42</v>
      </c>
      <c r="E7818" s="15" t="s">
        <v>38</v>
      </c>
      <c r="F7818" s="15" t="s">
        <v>17</v>
      </c>
      <c r="G7818" s="15" t="s">
        <v>28</v>
      </c>
      <c r="H7818" s="15" t="n">
        <v>1</v>
      </c>
      <c r="I7818" s="17" t="n">
        <v>0.05</v>
      </c>
      <c r="J7818" s="18" t="n">
        <v>20.18</v>
      </c>
      <c r="K7818" s="19" t="n">
        <v>4.1</v>
      </c>
      <c r="L7818" s="15" t="n">
        <f aca="false">YEAR(B7818)</f>
        <v>2023</v>
      </c>
      <c r="M7818" s="20" t="n">
        <f aca="false">IF(J7818&gt;0,K7818/J7818,0)</f>
        <v>0.203171456888008</v>
      </c>
    </row>
    <row r="7819" customFormat="false" ht="15" hidden="false" customHeight="false" outlineLevel="0" collapsed="false">
      <c r="A7819" s="15" t="s">
        <v>7876</v>
      </c>
      <c r="B7819" s="16" t="n">
        <v>45815</v>
      </c>
      <c r="C7819" s="15" t="s">
        <v>71</v>
      </c>
      <c r="D7819" s="15" t="s">
        <v>42</v>
      </c>
      <c r="E7819" s="15" t="s">
        <v>39</v>
      </c>
      <c r="F7819" s="15" t="s">
        <v>17</v>
      </c>
      <c r="G7819" s="15" t="s">
        <v>31</v>
      </c>
      <c r="H7819" s="15" t="n">
        <v>9</v>
      </c>
      <c r="I7819" s="17" t="n">
        <v>0</v>
      </c>
      <c r="J7819" s="18" t="n">
        <v>1136.97</v>
      </c>
      <c r="K7819" s="19" t="n">
        <v>176.13</v>
      </c>
      <c r="L7819" s="15" t="n">
        <f aca="false">YEAR(B7819)</f>
        <v>2025</v>
      </c>
      <c r="M7819" s="20" t="n">
        <f aca="false">IF(J7819&gt;0,K7819/J7819,0)</f>
        <v>0.154911739096018</v>
      </c>
    </row>
    <row r="7820" customFormat="false" ht="15" hidden="false" customHeight="false" outlineLevel="0" collapsed="false">
      <c r="A7820" s="15" t="s">
        <v>7877</v>
      </c>
      <c r="B7820" s="16" t="n">
        <v>45959</v>
      </c>
      <c r="C7820" s="15" t="s">
        <v>56</v>
      </c>
      <c r="D7820" s="15" t="s">
        <v>42</v>
      </c>
      <c r="E7820" s="15" t="s">
        <v>38</v>
      </c>
      <c r="F7820" s="15" t="s">
        <v>17</v>
      </c>
      <c r="G7820" s="15" t="s">
        <v>26</v>
      </c>
      <c r="H7820" s="15" t="n">
        <v>2</v>
      </c>
      <c r="I7820" s="17" t="n">
        <v>0</v>
      </c>
      <c r="J7820" s="18" t="n">
        <v>125.45</v>
      </c>
      <c r="K7820" s="19" t="n">
        <v>12.75</v>
      </c>
      <c r="L7820" s="15" t="n">
        <f aca="false">YEAR(B7820)</f>
        <v>2025</v>
      </c>
      <c r="M7820" s="20" t="n">
        <f aca="false">IF(J7820&gt;0,K7820/J7820,0)</f>
        <v>0.101634117178159</v>
      </c>
    </row>
    <row r="7821" customFormat="false" ht="15" hidden="false" customHeight="false" outlineLevel="0" collapsed="false">
      <c r="A7821" s="15" t="s">
        <v>7878</v>
      </c>
      <c r="B7821" s="16" t="n">
        <v>44580</v>
      </c>
      <c r="C7821" s="15" t="s">
        <v>56</v>
      </c>
      <c r="D7821" s="15" t="s">
        <v>44</v>
      </c>
      <c r="E7821" s="15" t="s">
        <v>37</v>
      </c>
      <c r="F7821" s="15" t="s">
        <v>17</v>
      </c>
      <c r="G7821" s="15" t="s">
        <v>29</v>
      </c>
      <c r="H7821" s="15" t="n">
        <v>4</v>
      </c>
      <c r="I7821" s="17" t="n">
        <v>0</v>
      </c>
      <c r="J7821" s="18" t="n">
        <v>82.43</v>
      </c>
      <c r="K7821" s="19" t="n">
        <v>25.75</v>
      </c>
      <c r="L7821" s="15" t="n">
        <f aca="false">YEAR(B7821)</f>
        <v>2022</v>
      </c>
      <c r="M7821" s="20" t="n">
        <f aca="false">IF(J7821&gt;0,K7821/J7821,0)</f>
        <v>0.312386267135752</v>
      </c>
    </row>
    <row r="7822" customFormat="false" ht="15" hidden="false" customHeight="false" outlineLevel="0" collapsed="false">
      <c r="A7822" s="15" t="s">
        <v>7879</v>
      </c>
      <c r="B7822" s="16" t="n">
        <v>45901</v>
      </c>
      <c r="C7822" s="15" t="s">
        <v>56</v>
      </c>
      <c r="D7822" s="15" t="s">
        <v>42</v>
      </c>
      <c r="E7822" s="15" t="s">
        <v>37</v>
      </c>
      <c r="F7822" s="15" t="s">
        <v>17</v>
      </c>
      <c r="G7822" s="15" t="s">
        <v>26</v>
      </c>
      <c r="H7822" s="15" t="n">
        <v>4</v>
      </c>
      <c r="I7822" s="17" t="n">
        <v>0</v>
      </c>
      <c r="J7822" s="18" t="n">
        <v>344.56</v>
      </c>
      <c r="K7822" s="19" t="n">
        <v>41.7</v>
      </c>
      <c r="L7822" s="15" t="n">
        <f aca="false">YEAR(B7822)</f>
        <v>2025</v>
      </c>
      <c r="M7822" s="20" t="n">
        <f aca="false">IF(J7822&gt;0,K7822/J7822,0)</f>
        <v>0.121023914557697</v>
      </c>
    </row>
    <row r="7823" customFormat="false" ht="15" hidden="false" customHeight="false" outlineLevel="0" collapsed="false">
      <c r="A7823" s="15" t="s">
        <v>7880</v>
      </c>
      <c r="B7823" s="16" t="n">
        <v>45270</v>
      </c>
      <c r="C7823" s="15" t="s">
        <v>68</v>
      </c>
      <c r="D7823" s="15" t="s">
        <v>43</v>
      </c>
      <c r="E7823" s="15" t="s">
        <v>39</v>
      </c>
      <c r="F7823" s="15" t="s">
        <v>17</v>
      </c>
      <c r="G7823" s="15" t="s">
        <v>28</v>
      </c>
      <c r="H7823" s="15" t="n">
        <v>2</v>
      </c>
      <c r="I7823" s="17" t="n">
        <v>0.05</v>
      </c>
      <c r="J7823" s="18" t="n">
        <v>65.03</v>
      </c>
      <c r="K7823" s="19" t="n">
        <v>14.76</v>
      </c>
      <c r="L7823" s="15" t="n">
        <f aca="false">YEAR(B7823)</f>
        <v>2023</v>
      </c>
      <c r="M7823" s="20" t="n">
        <f aca="false">IF(J7823&gt;0,K7823/J7823,0)</f>
        <v>0.226972166692296</v>
      </c>
    </row>
    <row r="7824" customFormat="false" ht="15" hidden="false" customHeight="false" outlineLevel="0" collapsed="false">
      <c r="A7824" s="15" t="s">
        <v>7881</v>
      </c>
      <c r="B7824" s="16" t="n">
        <v>45090</v>
      </c>
      <c r="C7824" s="15" t="s">
        <v>56</v>
      </c>
      <c r="D7824" s="15" t="s">
        <v>42</v>
      </c>
      <c r="E7824" s="15" t="s">
        <v>37</v>
      </c>
      <c r="F7824" s="15" t="s">
        <v>17</v>
      </c>
      <c r="G7824" s="15" t="s">
        <v>29</v>
      </c>
      <c r="H7824" s="15" t="n">
        <v>4</v>
      </c>
      <c r="I7824" s="17" t="n">
        <v>0</v>
      </c>
      <c r="J7824" s="18" t="n">
        <v>90.42</v>
      </c>
      <c r="K7824" s="19" t="n">
        <v>35.28</v>
      </c>
      <c r="L7824" s="15" t="n">
        <f aca="false">YEAR(B7824)</f>
        <v>2023</v>
      </c>
      <c r="M7824" s="20" t="n">
        <f aca="false">IF(J7824&gt;0,K7824/J7824,0)</f>
        <v>0.390179163901792</v>
      </c>
    </row>
    <row r="7825" customFormat="false" ht="15" hidden="false" customHeight="false" outlineLevel="0" collapsed="false">
      <c r="A7825" s="15" t="s">
        <v>7882</v>
      </c>
      <c r="B7825" s="16" t="n">
        <v>45183</v>
      </c>
      <c r="C7825" s="15" t="s">
        <v>56</v>
      </c>
      <c r="D7825" s="15" t="s">
        <v>42</v>
      </c>
      <c r="E7825" s="15" t="s">
        <v>37</v>
      </c>
      <c r="F7825" s="15" t="s">
        <v>16</v>
      </c>
      <c r="G7825" s="15" t="s">
        <v>22</v>
      </c>
      <c r="H7825" s="15" t="n">
        <v>5</v>
      </c>
      <c r="I7825" s="17" t="n">
        <v>0.3</v>
      </c>
      <c r="J7825" s="18" t="n">
        <v>1640.89</v>
      </c>
      <c r="K7825" s="19" t="n">
        <v>-503.99</v>
      </c>
      <c r="L7825" s="15" t="n">
        <f aca="false">YEAR(B7825)</f>
        <v>2023</v>
      </c>
      <c r="M7825" s="20" t="n">
        <f aca="false">IF(J7825&gt;0,K7825/J7825,0)</f>
        <v>-0.307144293645522</v>
      </c>
    </row>
    <row r="7826" customFormat="false" ht="15" hidden="false" customHeight="false" outlineLevel="0" collapsed="false">
      <c r="A7826" s="15" t="s">
        <v>7883</v>
      </c>
      <c r="B7826" s="16" t="n">
        <v>44981</v>
      </c>
      <c r="C7826" s="15" t="s">
        <v>56</v>
      </c>
      <c r="D7826" s="15" t="s">
        <v>42</v>
      </c>
      <c r="E7826" s="15" t="s">
        <v>39</v>
      </c>
      <c r="F7826" s="15" t="s">
        <v>18</v>
      </c>
      <c r="G7826" s="15" t="s">
        <v>30</v>
      </c>
      <c r="H7826" s="15" t="n">
        <v>2</v>
      </c>
      <c r="I7826" s="17" t="n">
        <v>0</v>
      </c>
      <c r="J7826" s="18" t="n">
        <v>109.99</v>
      </c>
      <c r="K7826" s="19" t="n">
        <v>34.19</v>
      </c>
      <c r="L7826" s="15" t="n">
        <f aca="false">YEAR(B7826)</f>
        <v>2023</v>
      </c>
      <c r="M7826" s="20" t="n">
        <f aca="false">IF(J7826&gt;0,K7826/J7826,0)</f>
        <v>0.310846440585508</v>
      </c>
    </row>
    <row r="7827" customFormat="false" ht="15" hidden="false" customHeight="false" outlineLevel="0" collapsed="false">
      <c r="A7827" s="15" t="s">
        <v>7884</v>
      </c>
      <c r="B7827" s="16" t="n">
        <v>44674</v>
      </c>
      <c r="C7827" s="15" t="s">
        <v>56</v>
      </c>
      <c r="D7827" s="15" t="s">
        <v>43</v>
      </c>
      <c r="E7827" s="15" t="s">
        <v>39</v>
      </c>
      <c r="F7827" s="15" t="s">
        <v>17</v>
      </c>
      <c r="G7827" s="15" t="s">
        <v>31</v>
      </c>
      <c r="H7827" s="15" t="n">
        <v>8</v>
      </c>
      <c r="I7827" s="17" t="n">
        <v>0.1</v>
      </c>
      <c r="J7827" s="18" t="n">
        <v>1276.65</v>
      </c>
      <c r="K7827" s="19" t="n">
        <v>215.3</v>
      </c>
      <c r="L7827" s="15" t="n">
        <f aca="false">YEAR(B7827)</f>
        <v>2022</v>
      </c>
      <c r="M7827" s="20" t="n">
        <f aca="false">IF(J7827&gt;0,K7827/J7827,0)</f>
        <v>0.168644499275447</v>
      </c>
    </row>
    <row r="7828" customFormat="false" ht="15" hidden="false" customHeight="false" outlineLevel="0" collapsed="false">
      <c r="A7828" s="15" t="s">
        <v>7885</v>
      </c>
      <c r="B7828" s="16" t="n">
        <v>45957</v>
      </c>
      <c r="C7828" s="15" t="s">
        <v>56</v>
      </c>
      <c r="D7828" s="15" t="s">
        <v>42</v>
      </c>
      <c r="E7828" s="15" t="s">
        <v>37</v>
      </c>
      <c r="F7828" s="15" t="s">
        <v>17</v>
      </c>
      <c r="G7828" s="15" t="s">
        <v>29</v>
      </c>
      <c r="H7828" s="15" t="n">
        <v>3</v>
      </c>
      <c r="I7828" s="17" t="n">
        <v>0.2</v>
      </c>
      <c r="J7828" s="18" t="n">
        <v>41.92</v>
      </c>
      <c r="K7828" s="19" t="n">
        <v>7.68</v>
      </c>
      <c r="L7828" s="15" t="n">
        <f aca="false">YEAR(B7828)</f>
        <v>2025</v>
      </c>
      <c r="M7828" s="20" t="n">
        <f aca="false">IF(J7828&gt;0,K7828/J7828,0)</f>
        <v>0.183206106870229</v>
      </c>
    </row>
    <row r="7829" customFormat="false" ht="15" hidden="false" customHeight="false" outlineLevel="0" collapsed="false">
      <c r="A7829" s="15" t="s">
        <v>7886</v>
      </c>
      <c r="B7829" s="16" t="n">
        <v>44976</v>
      </c>
      <c r="C7829" s="15" t="s">
        <v>56</v>
      </c>
      <c r="D7829" s="15" t="s">
        <v>42</v>
      </c>
      <c r="E7829" s="15" t="s">
        <v>36</v>
      </c>
      <c r="F7829" s="15" t="s">
        <v>16</v>
      </c>
      <c r="G7829" s="15" t="s">
        <v>23</v>
      </c>
      <c r="H7829" s="15" t="n">
        <v>7</v>
      </c>
      <c r="I7829" s="17" t="n">
        <v>0</v>
      </c>
      <c r="J7829" s="18" t="n">
        <v>2565.91</v>
      </c>
      <c r="K7829" s="19" t="n">
        <v>-179.9</v>
      </c>
      <c r="L7829" s="15" t="n">
        <f aca="false">YEAR(B7829)</f>
        <v>2023</v>
      </c>
      <c r="M7829" s="20" t="n">
        <f aca="false">IF(J7829&gt;0,K7829/J7829,0)</f>
        <v>-0.0701115783484222</v>
      </c>
    </row>
    <row r="7830" customFormat="false" ht="15" hidden="false" customHeight="false" outlineLevel="0" collapsed="false">
      <c r="A7830" s="15" t="s">
        <v>7887</v>
      </c>
      <c r="B7830" s="16" t="n">
        <v>45070</v>
      </c>
      <c r="C7830" s="15" t="s">
        <v>68</v>
      </c>
      <c r="D7830" s="15" t="s">
        <v>42</v>
      </c>
      <c r="E7830" s="15" t="s">
        <v>37</v>
      </c>
      <c r="F7830" s="15" t="s">
        <v>18</v>
      </c>
      <c r="G7830" s="15" t="s">
        <v>32</v>
      </c>
      <c r="H7830" s="15" t="n">
        <v>5</v>
      </c>
      <c r="I7830" s="17" t="n">
        <v>0.2</v>
      </c>
      <c r="J7830" s="18" t="n">
        <v>1732.66</v>
      </c>
      <c r="K7830" s="19" t="n">
        <v>-132.07</v>
      </c>
      <c r="L7830" s="15" t="n">
        <f aca="false">YEAR(B7830)</f>
        <v>2023</v>
      </c>
      <c r="M7830" s="20" t="n">
        <f aca="false">IF(J7830&gt;0,K7830/J7830,0)</f>
        <v>-0.0762238407996953</v>
      </c>
    </row>
    <row r="7831" customFormat="false" ht="15" hidden="false" customHeight="false" outlineLevel="0" collapsed="false">
      <c r="A7831" s="15" t="s">
        <v>7888</v>
      </c>
      <c r="B7831" s="16" t="n">
        <v>45828</v>
      </c>
      <c r="C7831" s="15" t="s">
        <v>68</v>
      </c>
      <c r="D7831" s="15" t="s">
        <v>42</v>
      </c>
      <c r="E7831" s="15" t="s">
        <v>37</v>
      </c>
      <c r="F7831" s="15" t="s">
        <v>17</v>
      </c>
      <c r="G7831" s="15" t="s">
        <v>26</v>
      </c>
      <c r="H7831" s="15" t="n">
        <v>8</v>
      </c>
      <c r="I7831" s="17" t="n">
        <v>0.1</v>
      </c>
      <c r="J7831" s="18" t="n">
        <v>701.96</v>
      </c>
      <c r="K7831" s="19" t="n">
        <v>-23.62</v>
      </c>
      <c r="L7831" s="15" t="n">
        <f aca="false">YEAR(B7831)</f>
        <v>2025</v>
      </c>
      <c r="M7831" s="20" t="n">
        <f aca="false">IF(J7831&gt;0,K7831/J7831,0)</f>
        <v>-0.0336486409482022</v>
      </c>
    </row>
    <row r="7832" customFormat="false" ht="15" hidden="false" customHeight="false" outlineLevel="0" collapsed="false">
      <c r="A7832" s="15" t="s">
        <v>7889</v>
      </c>
      <c r="B7832" s="16" t="n">
        <v>44852</v>
      </c>
      <c r="C7832" s="15" t="s">
        <v>56</v>
      </c>
      <c r="D7832" s="15" t="s">
        <v>42</v>
      </c>
      <c r="E7832" s="15" t="s">
        <v>38</v>
      </c>
      <c r="F7832" s="15" t="s">
        <v>17</v>
      </c>
      <c r="G7832" s="15" t="s">
        <v>28</v>
      </c>
      <c r="H7832" s="15" t="n">
        <v>4</v>
      </c>
      <c r="I7832" s="17" t="n">
        <v>0.1</v>
      </c>
      <c r="J7832" s="18" t="n">
        <v>84.92</v>
      </c>
      <c r="K7832" s="19" t="n">
        <v>17.19</v>
      </c>
      <c r="L7832" s="15" t="n">
        <f aca="false">YEAR(B7832)</f>
        <v>2022</v>
      </c>
      <c r="M7832" s="20" t="n">
        <f aca="false">IF(J7832&gt;0,K7832/J7832,0)</f>
        <v>0.202425812529439</v>
      </c>
    </row>
    <row r="7833" customFormat="false" ht="15" hidden="false" customHeight="false" outlineLevel="0" collapsed="false">
      <c r="A7833" s="15" t="s">
        <v>7890</v>
      </c>
      <c r="B7833" s="16" t="n">
        <v>45604</v>
      </c>
      <c r="C7833" s="15" t="s">
        <v>71</v>
      </c>
      <c r="D7833" s="15" t="s">
        <v>43</v>
      </c>
      <c r="E7833" s="15" t="s">
        <v>36</v>
      </c>
      <c r="F7833" s="15" t="s">
        <v>17</v>
      </c>
      <c r="G7833" s="15" t="s">
        <v>28</v>
      </c>
      <c r="H7833" s="15" t="n">
        <v>3</v>
      </c>
      <c r="I7833" s="17" t="n">
        <v>0.4</v>
      </c>
      <c r="J7833" s="18" t="n">
        <v>42.34</v>
      </c>
      <c r="K7833" s="19" t="n">
        <v>-2.46</v>
      </c>
      <c r="L7833" s="15" t="n">
        <f aca="false">YEAR(B7833)</f>
        <v>2024</v>
      </c>
      <c r="M7833" s="20" t="n">
        <f aca="false">IF(J7833&gt;0,K7833/J7833,0)</f>
        <v>-0.0581010864430798</v>
      </c>
    </row>
    <row r="7834" customFormat="false" ht="15" hidden="false" customHeight="false" outlineLevel="0" collapsed="false">
      <c r="A7834" s="15" t="s">
        <v>7891</v>
      </c>
      <c r="B7834" s="16" t="n">
        <v>45823</v>
      </c>
      <c r="C7834" s="15" t="s">
        <v>56</v>
      </c>
      <c r="D7834" s="15" t="s">
        <v>43</v>
      </c>
      <c r="E7834" s="15" t="s">
        <v>37</v>
      </c>
      <c r="F7834" s="15" t="s">
        <v>16</v>
      </c>
      <c r="G7834" s="15" t="s">
        <v>27</v>
      </c>
      <c r="H7834" s="15" t="n">
        <v>3</v>
      </c>
      <c r="I7834" s="17" t="n">
        <v>0</v>
      </c>
      <c r="J7834" s="18" t="n">
        <v>180.91</v>
      </c>
      <c r="K7834" s="19" t="n">
        <v>31.17</v>
      </c>
      <c r="L7834" s="15" t="n">
        <f aca="false">YEAR(B7834)</f>
        <v>2025</v>
      </c>
      <c r="M7834" s="20" t="n">
        <f aca="false">IF(J7834&gt;0,K7834/J7834,0)</f>
        <v>0.172295616604942</v>
      </c>
    </row>
    <row r="7835" customFormat="false" ht="15" hidden="false" customHeight="false" outlineLevel="0" collapsed="false">
      <c r="A7835" s="15" t="s">
        <v>7892</v>
      </c>
      <c r="B7835" s="16" t="n">
        <v>45225</v>
      </c>
      <c r="C7835" s="15" t="s">
        <v>56</v>
      </c>
      <c r="D7835" s="15" t="s">
        <v>43</v>
      </c>
      <c r="E7835" s="15" t="s">
        <v>36</v>
      </c>
      <c r="F7835" s="15" t="s">
        <v>16</v>
      </c>
      <c r="G7835" s="15" t="s">
        <v>25</v>
      </c>
      <c r="H7835" s="15" t="n">
        <v>2</v>
      </c>
      <c r="I7835" s="17" t="n">
        <v>0.05</v>
      </c>
      <c r="J7835" s="18" t="n">
        <v>694.51</v>
      </c>
      <c r="K7835" s="19" t="n">
        <v>21.01</v>
      </c>
      <c r="L7835" s="15" t="n">
        <f aca="false">YEAR(B7835)</f>
        <v>2023</v>
      </c>
      <c r="M7835" s="20" t="n">
        <f aca="false">IF(J7835&gt;0,K7835/J7835,0)</f>
        <v>0.0302515442542224</v>
      </c>
    </row>
    <row r="7836" customFormat="false" ht="15" hidden="false" customHeight="false" outlineLevel="0" collapsed="false">
      <c r="A7836" s="15" t="s">
        <v>7893</v>
      </c>
      <c r="B7836" s="16" t="n">
        <v>44852</v>
      </c>
      <c r="C7836" s="15" t="s">
        <v>56</v>
      </c>
      <c r="D7836" s="15" t="s">
        <v>43</v>
      </c>
      <c r="E7836" s="15" t="s">
        <v>38</v>
      </c>
      <c r="F7836" s="15" t="s">
        <v>17</v>
      </c>
      <c r="G7836" s="15" t="s">
        <v>26</v>
      </c>
      <c r="H7836" s="15" t="n">
        <v>6</v>
      </c>
      <c r="I7836" s="17" t="n">
        <v>0.05</v>
      </c>
      <c r="J7836" s="18" t="n">
        <v>464.51</v>
      </c>
      <c r="K7836" s="19" t="n">
        <v>51.71</v>
      </c>
      <c r="L7836" s="15" t="n">
        <f aca="false">YEAR(B7836)</f>
        <v>2022</v>
      </c>
      <c r="M7836" s="20" t="n">
        <f aca="false">IF(J7836&gt;0,K7836/J7836,0)</f>
        <v>0.111321607715657</v>
      </c>
    </row>
    <row r="7837" customFormat="false" ht="15" hidden="false" customHeight="false" outlineLevel="0" collapsed="false">
      <c r="A7837" s="15" t="s">
        <v>7894</v>
      </c>
      <c r="B7837" s="16" t="n">
        <v>44628</v>
      </c>
      <c r="C7837" s="15" t="s">
        <v>56</v>
      </c>
      <c r="D7837" s="15" t="s">
        <v>42</v>
      </c>
      <c r="E7837" s="15" t="s">
        <v>36</v>
      </c>
      <c r="F7837" s="15" t="s">
        <v>16</v>
      </c>
      <c r="G7837" s="15" t="s">
        <v>23</v>
      </c>
      <c r="H7837" s="15" t="n">
        <v>4</v>
      </c>
      <c r="I7837" s="17" t="n">
        <v>0.15</v>
      </c>
      <c r="J7837" s="18" t="n">
        <v>1013.33</v>
      </c>
      <c r="K7837" s="19" t="n">
        <v>-114.91</v>
      </c>
      <c r="L7837" s="15" t="n">
        <f aca="false">YEAR(B7837)</f>
        <v>2022</v>
      </c>
      <c r="M7837" s="20" t="n">
        <f aca="false">IF(J7837&gt;0,K7837/J7837,0)</f>
        <v>-0.11339839933684</v>
      </c>
    </row>
    <row r="7838" customFormat="false" ht="15" hidden="false" customHeight="false" outlineLevel="0" collapsed="false">
      <c r="A7838" s="15" t="s">
        <v>7895</v>
      </c>
      <c r="B7838" s="16" t="n">
        <v>45940</v>
      </c>
      <c r="C7838" s="15" t="s">
        <v>71</v>
      </c>
      <c r="D7838" s="15" t="s">
        <v>43</v>
      </c>
      <c r="E7838" s="15" t="s">
        <v>36</v>
      </c>
      <c r="F7838" s="15" t="s">
        <v>17</v>
      </c>
      <c r="G7838" s="15" t="s">
        <v>28</v>
      </c>
      <c r="H7838" s="15" t="n">
        <v>5</v>
      </c>
      <c r="I7838" s="17" t="n">
        <v>0</v>
      </c>
      <c r="J7838" s="18" t="n">
        <v>116.77</v>
      </c>
      <c r="K7838" s="19" t="n">
        <v>35.78</v>
      </c>
      <c r="L7838" s="15" t="n">
        <f aca="false">YEAR(B7838)</f>
        <v>2025</v>
      </c>
      <c r="M7838" s="20" t="n">
        <f aca="false">IF(J7838&gt;0,K7838/J7838,0)</f>
        <v>0.306414318746253</v>
      </c>
    </row>
    <row r="7839" customFormat="false" ht="15" hidden="false" customHeight="false" outlineLevel="0" collapsed="false">
      <c r="A7839" s="15" t="s">
        <v>7896</v>
      </c>
      <c r="B7839" s="16" t="n">
        <v>45080</v>
      </c>
      <c r="C7839" s="15" t="s">
        <v>71</v>
      </c>
      <c r="D7839" s="15" t="s">
        <v>43</v>
      </c>
      <c r="E7839" s="15" t="s">
        <v>37</v>
      </c>
      <c r="F7839" s="15" t="s">
        <v>18</v>
      </c>
      <c r="G7839" s="15" t="s">
        <v>30</v>
      </c>
      <c r="H7839" s="15" t="n">
        <v>1</v>
      </c>
      <c r="I7839" s="17" t="n">
        <v>0</v>
      </c>
      <c r="J7839" s="18" t="n">
        <v>61.51</v>
      </c>
      <c r="K7839" s="19" t="n">
        <v>17.22</v>
      </c>
      <c r="L7839" s="15" t="n">
        <f aca="false">YEAR(B7839)</f>
        <v>2023</v>
      </c>
      <c r="M7839" s="20" t="n">
        <f aca="false">IF(J7839&gt;0,K7839/J7839,0)</f>
        <v>0.279954478946513</v>
      </c>
    </row>
    <row r="7840" customFormat="false" ht="15" hidden="false" customHeight="false" outlineLevel="0" collapsed="false">
      <c r="A7840" s="15" t="s">
        <v>7897</v>
      </c>
      <c r="B7840" s="16" t="n">
        <v>45413</v>
      </c>
      <c r="C7840" s="15" t="s">
        <v>68</v>
      </c>
      <c r="D7840" s="15" t="s">
        <v>42</v>
      </c>
      <c r="E7840" s="15" t="s">
        <v>37</v>
      </c>
      <c r="F7840" s="15" t="s">
        <v>18</v>
      </c>
      <c r="G7840" s="15" t="s">
        <v>30</v>
      </c>
      <c r="H7840" s="15" t="n">
        <v>3</v>
      </c>
      <c r="I7840" s="17" t="n">
        <v>0</v>
      </c>
      <c r="J7840" s="18" t="n">
        <v>151.63</v>
      </c>
      <c r="K7840" s="19" t="n">
        <v>48.16</v>
      </c>
      <c r="L7840" s="15" t="n">
        <f aca="false">YEAR(B7840)</f>
        <v>2024</v>
      </c>
      <c r="M7840" s="20" t="n">
        <f aca="false">IF(J7840&gt;0,K7840/J7840,0)</f>
        <v>0.317615247642287</v>
      </c>
    </row>
    <row r="7841" customFormat="false" ht="15" hidden="false" customHeight="false" outlineLevel="0" collapsed="false">
      <c r="A7841" s="15" t="s">
        <v>7898</v>
      </c>
      <c r="B7841" s="16" t="n">
        <v>45075</v>
      </c>
      <c r="C7841" s="15" t="s">
        <v>71</v>
      </c>
      <c r="D7841" s="15" t="s">
        <v>42</v>
      </c>
      <c r="E7841" s="15" t="s">
        <v>36</v>
      </c>
      <c r="F7841" s="15" t="s">
        <v>17</v>
      </c>
      <c r="G7841" s="15" t="s">
        <v>26</v>
      </c>
      <c r="H7841" s="15" t="n">
        <v>5</v>
      </c>
      <c r="I7841" s="17" t="n">
        <v>0.05</v>
      </c>
      <c r="J7841" s="18" t="n">
        <v>456.63</v>
      </c>
      <c r="K7841" s="19" t="n">
        <v>-13.19</v>
      </c>
      <c r="L7841" s="15" t="n">
        <f aca="false">YEAR(B7841)</f>
        <v>2023</v>
      </c>
      <c r="M7841" s="20" t="n">
        <f aca="false">IF(J7841&gt;0,K7841/J7841,0)</f>
        <v>-0.0288855309550402</v>
      </c>
    </row>
    <row r="7842" customFormat="false" ht="15" hidden="false" customHeight="false" outlineLevel="0" collapsed="false">
      <c r="A7842" s="15" t="s">
        <v>7899</v>
      </c>
      <c r="B7842" s="16" t="n">
        <v>45199</v>
      </c>
      <c r="C7842" s="15" t="s">
        <v>71</v>
      </c>
      <c r="D7842" s="15" t="s">
        <v>43</v>
      </c>
      <c r="E7842" s="15" t="s">
        <v>37</v>
      </c>
      <c r="F7842" s="15" t="s">
        <v>18</v>
      </c>
      <c r="G7842" s="15" t="s">
        <v>32</v>
      </c>
      <c r="H7842" s="15" t="n">
        <v>6</v>
      </c>
      <c r="I7842" s="17" t="n">
        <v>0.05</v>
      </c>
      <c r="J7842" s="18" t="n">
        <v>2695.06</v>
      </c>
      <c r="K7842" s="19" t="n">
        <v>385.59</v>
      </c>
      <c r="L7842" s="15" t="n">
        <f aca="false">YEAR(B7842)</f>
        <v>2023</v>
      </c>
      <c r="M7842" s="20" t="n">
        <f aca="false">IF(J7842&gt;0,K7842/J7842,0)</f>
        <v>0.14307288149429</v>
      </c>
    </row>
    <row r="7843" customFormat="false" ht="15" hidden="false" customHeight="false" outlineLevel="0" collapsed="false">
      <c r="A7843" s="15" t="s">
        <v>7900</v>
      </c>
      <c r="B7843" s="16" t="n">
        <v>45183</v>
      </c>
      <c r="C7843" s="15" t="s">
        <v>56</v>
      </c>
      <c r="D7843" s="15" t="s">
        <v>42</v>
      </c>
      <c r="E7843" s="15" t="s">
        <v>36</v>
      </c>
      <c r="F7843" s="15" t="s">
        <v>18</v>
      </c>
      <c r="G7843" s="15" t="s">
        <v>32</v>
      </c>
      <c r="H7843" s="15" t="n">
        <v>4</v>
      </c>
      <c r="I7843" s="17" t="n">
        <v>0</v>
      </c>
      <c r="J7843" s="18" t="n">
        <v>1568.44</v>
      </c>
      <c r="K7843" s="19" t="n">
        <v>73.17</v>
      </c>
      <c r="L7843" s="15" t="n">
        <f aca="false">YEAR(B7843)</f>
        <v>2023</v>
      </c>
      <c r="M7843" s="20" t="n">
        <f aca="false">IF(J7843&gt;0,K7843/J7843,0)</f>
        <v>0.0466514498482569</v>
      </c>
    </row>
    <row r="7844" customFormat="false" ht="15" hidden="false" customHeight="false" outlineLevel="0" collapsed="false">
      <c r="A7844" s="15" t="s">
        <v>7901</v>
      </c>
      <c r="B7844" s="16" t="n">
        <v>45287</v>
      </c>
      <c r="C7844" s="15" t="s">
        <v>68</v>
      </c>
      <c r="D7844" s="15" t="s">
        <v>44</v>
      </c>
      <c r="E7844" s="15" t="s">
        <v>39</v>
      </c>
      <c r="F7844" s="15" t="s">
        <v>17</v>
      </c>
      <c r="G7844" s="15" t="s">
        <v>28</v>
      </c>
      <c r="H7844" s="15" t="n">
        <v>1</v>
      </c>
      <c r="I7844" s="17" t="n">
        <v>0</v>
      </c>
      <c r="J7844" s="18" t="n">
        <v>24.86</v>
      </c>
      <c r="K7844" s="19" t="n">
        <v>6.85</v>
      </c>
      <c r="L7844" s="15" t="n">
        <f aca="false">YEAR(B7844)</f>
        <v>2023</v>
      </c>
      <c r="M7844" s="20" t="n">
        <f aca="false">IF(J7844&gt;0,K7844/J7844,0)</f>
        <v>0.275543041029767</v>
      </c>
    </row>
    <row r="7845" customFormat="false" ht="15" hidden="false" customHeight="false" outlineLevel="0" collapsed="false">
      <c r="A7845" s="15" t="s">
        <v>7902</v>
      </c>
      <c r="B7845" s="16" t="n">
        <v>45112</v>
      </c>
      <c r="C7845" s="15" t="s">
        <v>68</v>
      </c>
      <c r="D7845" s="15" t="s">
        <v>42</v>
      </c>
      <c r="E7845" s="15" t="s">
        <v>39</v>
      </c>
      <c r="F7845" s="15" t="s">
        <v>18</v>
      </c>
      <c r="G7845" s="15" t="s">
        <v>32</v>
      </c>
      <c r="H7845" s="15" t="n">
        <v>2</v>
      </c>
      <c r="I7845" s="17" t="n">
        <v>0.15</v>
      </c>
      <c r="J7845" s="18" t="n">
        <v>723.81</v>
      </c>
      <c r="K7845" s="19" t="n">
        <v>76.68</v>
      </c>
      <c r="L7845" s="15" t="n">
        <f aca="false">YEAR(B7845)</f>
        <v>2023</v>
      </c>
      <c r="M7845" s="20" t="n">
        <f aca="false">IF(J7845&gt;0,K7845/J7845,0)</f>
        <v>0.105939403987234</v>
      </c>
    </row>
    <row r="7846" customFormat="false" ht="15" hidden="false" customHeight="false" outlineLevel="0" collapsed="false">
      <c r="A7846" s="15" t="s">
        <v>7903</v>
      </c>
      <c r="B7846" s="16" t="n">
        <v>45448</v>
      </c>
      <c r="C7846" s="15" t="s">
        <v>56</v>
      </c>
      <c r="D7846" s="15" t="s">
        <v>44</v>
      </c>
      <c r="E7846" s="15" t="s">
        <v>36</v>
      </c>
      <c r="F7846" s="15" t="s">
        <v>18</v>
      </c>
      <c r="G7846" s="15" t="s">
        <v>32</v>
      </c>
      <c r="H7846" s="15" t="n">
        <v>5</v>
      </c>
      <c r="I7846" s="17" t="n">
        <v>0.1</v>
      </c>
      <c r="J7846" s="18" t="n">
        <v>1553.84</v>
      </c>
      <c r="K7846" s="19" t="n">
        <v>145.83</v>
      </c>
      <c r="L7846" s="15" t="n">
        <f aca="false">YEAR(B7846)</f>
        <v>2024</v>
      </c>
      <c r="M7846" s="20" t="n">
        <f aca="false">IF(J7846&gt;0,K7846/J7846,0)</f>
        <v>0.0938513617875715</v>
      </c>
    </row>
    <row r="7847" customFormat="false" ht="15" hidden="false" customHeight="false" outlineLevel="0" collapsed="false">
      <c r="A7847" s="15" t="s">
        <v>7904</v>
      </c>
      <c r="B7847" s="16" t="n">
        <v>45340</v>
      </c>
      <c r="C7847" s="15" t="s">
        <v>56</v>
      </c>
      <c r="D7847" s="15" t="s">
        <v>42</v>
      </c>
      <c r="E7847" s="15" t="s">
        <v>39</v>
      </c>
      <c r="F7847" s="15" t="s">
        <v>18</v>
      </c>
      <c r="G7847" s="15" t="s">
        <v>33</v>
      </c>
      <c r="H7847" s="15" t="n">
        <v>5</v>
      </c>
      <c r="I7847" s="17" t="n">
        <v>0.3</v>
      </c>
      <c r="J7847" s="18" t="n">
        <v>2803.54</v>
      </c>
      <c r="K7847" s="19" t="n">
        <v>47.68</v>
      </c>
      <c r="L7847" s="15" t="n">
        <f aca="false">YEAR(B7847)</f>
        <v>2024</v>
      </c>
      <c r="M7847" s="20" t="n">
        <f aca="false">IF(J7847&gt;0,K7847/J7847,0)</f>
        <v>0.0170070696333921</v>
      </c>
    </row>
    <row r="7848" customFormat="false" ht="15" hidden="false" customHeight="false" outlineLevel="0" collapsed="false">
      <c r="A7848" s="15" t="s">
        <v>7905</v>
      </c>
      <c r="B7848" s="16" t="n">
        <v>44989</v>
      </c>
      <c r="C7848" s="15" t="s">
        <v>56</v>
      </c>
      <c r="D7848" s="15" t="s">
        <v>42</v>
      </c>
      <c r="E7848" s="15" t="s">
        <v>37</v>
      </c>
      <c r="F7848" s="15" t="s">
        <v>17</v>
      </c>
      <c r="G7848" s="15" t="s">
        <v>29</v>
      </c>
      <c r="H7848" s="15" t="n">
        <v>3</v>
      </c>
      <c r="I7848" s="17" t="n">
        <v>0</v>
      </c>
      <c r="J7848" s="18" t="n">
        <v>49.71</v>
      </c>
      <c r="K7848" s="19" t="n">
        <v>18.99</v>
      </c>
      <c r="L7848" s="15" t="n">
        <f aca="false">YEAR(B7848)</f>
        <v>2023</v>
      </c>
      <c r="M7848" s="20" t="n">
        <f aca="false">IF(J7848&gt;0,K7848/J7848,0)</f>
        <v>0.382015691007846</v>
      </c>
    </row>
    <row r="7849" customFormat="false" ht="15" hidden="false" customHeight="false" outlineLevel="0" collapsed="false">
      <c r="A7849" s="15" t="s">
        <v>7906</v>
      </c>
      <c r="B7849" s="16" t="n">
        <v>45095</v>
      </c>
      <c r="C7849" s="15" t="s">
        <v>56</v>
      </c>
      <c r="D7849" s="15" t="s">
        <v>43</v>
      </c>
      <c r="E7849" s="15" t="s">
        <v>39</v>
      </c>
      <c r="F7849" s="15" t="s">
        <v>16</v>
      </c>
      <c r="G7849" s="15" t="s">
        <v>23</v>
      </c>
      <c r="H7849" s="15" t="n">
        <v>5</v>
      </c>
      <c r="I7849" s="17" t="n">
        <v>0</v>
      </c>
      <c r="J7849" s="18" t="n">
        <v>1563.87</v>
      </c>
      <c r="K7849" s="19" t="n">
        <v>41.34</v>
      </c>
      <c r="L7849" s="15" t="n">
        <f aca="false">YEAR(B7849)</f>
        <v>2023</v>
      </c>
      <c r="M7849" s="20" t="n">
        <f aca="false">IF(J7849&gt;0,K7849/J7849,0)</f>
        <v>0.0264344222985287</v>
      </c>
    </row>
    <row r="7850" customFormat="false" ht="15" hidden="false" customHeight="false" outlineLevel="0" collapsed="false">
      <c r="A7850" s="15" t="s">
        <v>7907</v>
      </c>
      <c r="B7850" s="16" t="n">
        <v>45817</v>
      </c>
      <c r="C7850" s="15" t="s">
        <v>56</v>
      </c>
      <c r="D7850" s="15" t="s">
        <v>44</v>
      </c>
      <c r="E7850" s="15" t="s">
        <v>36</v>
      </c>
      <c r="F7850" s="15" t="s">
        <v>17</v>
      </c>
      <c r="G7850" s="15" t="s">
        <v>28</v>
      </c>
      <c r="H7850" s="15" t="n">
        <v>2</v>
      </c>
      <c r="I7850" s="17" t="n">
        <v>0.1</v>
      </c>
      <c r="J7850" s="18" t="n">
        <v>40.13</v>
      </c>
      <c r="K7850" s="19" t="n">
        <v>8.79</v>
      </c>
      <c r="L7850" s="15" t="n">
        <f aca="false">YEAR(B7850)</f>
        <v>2025</v>
      </c>
      <c r="M7850" s="20" t="n">
        <f aca="false">IF(J7850&gt;0,K7850/J7850,0)</f>
        <v>0.219038126090207</v>
      </c>
    </row>
    <row r="7851" customFormat="false" ht="15" hidden="false" customHeight="false" outlineLevel="0" collapsed="false">
      <c r="A7851" s="15" t="s">
        <v>7908</v>
      </c>
      <c r="B7851" s="16" t="n">
        <v>45111</v>
      </c>
      <c r="C7851" s="15" t="s">
        <v>56</v>
      </c>
      <c r="D7851" s="15" t="s">
        <v>42</v>
      </c>
      <c r="E7851" s="15" t="s">
        <v>38</v>
      </c>
      <c r="F7851" s="15" t="s">
        <v>17</v>
      </c>
      <c r="G7851" s="15" t="s">
        <v>28</v>
      </c>
      <c r="H7851" s="15" t="n">
        <v>3</v>
      </c>
      <c r="I7851" s="17" t="n">
        <v>0.2</v>
      </c>
      <c r="J7851" s="18" t="n">
        <v>60.82</v>
      </c>
      <c r="K7851" s="19" t="n">
        <v>9.2</v>
      </c>
      <c r="L7851" s="15" t="n">
        <f aca="false">YEAR(B7851)</f>
        <v>2023</v>
      </c>
      <c r="M7851" s="20" t="n">
        <f aca="false">IF(J7851&gt;0,K7851/J7851,0)</f>
        <v>0.151266030910885</v>
      </c>
    </row>
    <row r="7852" customFormat="false" ht="15" hidden="false" customHeight="false" outlineLevel="0" collapsed="false">
      <c r="A7852" s="15" t="s">
        <v>7909</v>
      </c>
      <c r="B7852" s="16" t="n">
        <v>45425</v>
      </c>
      <c r="C7852" s="15" t="s">
        <v>56</v>
      </c>
      <c r="D7852" s="15" t="s">
        <v>43</v>
      </c>
      <c r="E7852" s="15" t="s">
        <v>39</v>
      </c>
      <c r="F7852" s="15" t="s">
        <v>16</v>
      </c>
      <c r="G7852" s="15" t="s">
        <v>27</v>
      </c>
      <c r="H7852" s="15" t="n">
        <v>2</v>
      </c>
      <c r="I7852" s="17" t="n">
        <v>0</v>
      </c>
      <c r="J7852" s="18" t="n">
        <v>159.47</v>
      </c>
      <c r="K7852" s="19" t="n">
        <v>34.53</v>
      </c>
      <c r="L7852" s="15" t="n">
        <f aca="false">YEAR(B7852)</f>
        <v>2024</v>
      </c>
      <c r="M7852" s="20" t="n">
        <f aca="false">IF(J7852&gt;0,K7852/J7852,0)</f>
        <v>0.216529754812817</v>
      </c>
    </row>
    <row r="7853" customFormat="false" ht="15" hidden="false" customHeight="false" outlineLevel="0" collapsed="false">
      <c r="A7853" s="15" t="s">
        <v>7910</v>
      </c>
      <c r="B7853" s="16" t="n">
        <v>45539</v>
      </c>
      <c r="C7853" s="15" t="s">
        <v>58</v>
      </c>
      <c r="D7853" s="15" t="s">
        <v>42</v>
      </c>
      <c r="E7853" s="15" t="s">
        <v>37</v>
      </c>
      <c r="F7853" s="15" t="s">
        <v>17</v>
      </c>
      <c r="G7853" s="15" t="s">
        <v>29</v>
      </c>
      <c r="H7853" s="15" t="n">
        <v>4</v>
      </c>
      <c r="I7853" s="17" t="n">
        <v>0</v>
      </c>
      <c r="J7853" s="18" t="n">
        <v>75.84</v>
      </c>
      <c r="K7853" s="19" t="n">
        <v>26.13</v>
      </c>
      <c r="L7853" s="15" t="n">
        <f aca="false">YEAR(B7853)</f>
        <v>2024</v>
      </c>
      <c r="M7853" s="20" t="n">
        <f aca="false">IF(J7853&gt;0,K7853/J7853,0)</f>
        <v>0.344541139240506</v>
      </c>
    </row>
    <row r="7854" customFormat="false" ht="15" hidden="false" customHeight="false" outlineLevel="0" collapsed="false">
      <c r="A7854" s="15" t="s">
        <v>7911</v>
      </c>
      <c r="B7854" s="16" t="n">
        <v>44866</v>
      </c>
      <c r="C7854" s="15" t="s">
        <v>56</v>
      </c>
      <c r="D7854" s="15" t="s">
        <v>42</v>
      </c>
      <c r="E7854" s="15" t="s">
        <v>37</v>
      </c>
      <c r="F7854" s="15" t="s">
        <v>17</v>
      </c>
      <c r="G7854" s="15" t="s">
        <v>28</v>
      </c>
      <c r="H7854" s="15" t="n">
        <v>1</v>
      </c>
      <c r="I7854" s="17" t="n">
        <v>0.4</v>
      </c>
      <c r="J7854" s="18" t="n">
        <v>15.44</v>
      </c>
      <c r="K7854" s="19" t="n">
        <v>-0.58</v>
      </c>
      <c r="L7854" s="15" t="n">
        <f aca="false">YEAR(B7854)</f>
        <v>2022</v>
      </c>
      <c r="M7854" s="20" t="n">
        <f aca="false">IF(J7854&gt;0,K7854/J7854,0)</f>
        <v>-0.0375647668393782</v>
      </c>
    </row>
    <row r="7855" customFormat="false" ht="15" hidden="false" customHeight="false" outlineLevel="0" collapsed="false">
      <c r="A7855" s="15" t="s">
        <v>7912</v>
      </c>
      <c r="B7855" s="16" t="n">
        <v>45138</v>
      </c>
      <c r="C7855" s="15" t="s">
        <v>56</v>
      </c>
      <c r="D7855" s="15" t="s">
        <v>43</v>
      </c>
      <c r="E7855" s="15" t="s">
        <v>37</v>
      </c>
      <c r="F7855" s="15" t="s">
        <v>16</v>
      </c>
      <c r="G7855" s="15" t="s">
        <v>27</v>
      </c>
      <c r="H7855" s="15" t="n">
        <v>4</v>
      </c>
      <c r="I7855" s="17" t="n">
        <v>0.2</v>
      </c>
      <c r="J7855" s="18" t="n">
        <v>211.14</v>
      </c>
      <c r="K7855" s="19" t="n">
        <v>25.43</v>
      </c>
      <c r="L7855" s="15" t="n">
        <f aca="false">YEAR(B7855)</f>
        <v>2023</v>
      </c>
      <c r="M7855" s="20" t="n">
        <f aca="false">IF(J7855&gt;0,K7855/J7855,0)</f>
        <v>0.120441413280288</v>
      </c>
    </row>
    <row r="7856" customFormat="false" ht="15" hidden="false" customHeight="false" outlineLevel="0" collapsed="false">
      <c r="A7856" s="15" t="s">
        <v>7913</v>
      </c>
      <c r="B7856" s="16" t="n">
        <v>45243</v>
      </c>
      <c r="C7856" s="15" t="s">
        <v>56</v>
      </c>
      <c r="D7856" s="15" t="s">
        <v>42</v>
      </c>
      <c r="E7856" s="15" t="s">
        <v>36</v>
      </c>
      <c r="F7856" s="15" t="s">
        <v>17</v>
      </c>
      <c r="G7856" s="15" t="s">
        <v>31</v>
      </c>
      <c r="H7856" s="15" t="n">
        <v>2</v>
      </c>
      <c r="I7856" s="17" t="n">
        <v>0.05</v>
      </c>
      <c r="J7856" s="18" t="n">
        <v>224.42</v>
      </c>
      <c r="K7856" s="19" t="n">
        <v>34.35</v>
      </c>
      <c r="L7856" s="15" t="n">
        <f aca="false">YEAR(B7856)</f>
        <v>2023</v>
      </c>
      <c r="M7856" s="20" t="n">
        <f aca="false">IF(J7856&gt;0,K7856/J7856,0)</f>
        <v>0.153061224489796</v>
      </c>
    </row>
    <row r="7857" customFormat="false" ht="15" hidden="false" customHeight="false" outlineLevel="0" collapsed="false">
      <c r="A7857" s="15" t="s">
        <v>7914</v>
      </c>
      <c r="B7857" s="16" t="n">
        <v>45962</v>
      </c>
      <c r="C7857" s="15" t="s">
        <v>56</v>
      </c>
      <c r="D7857" s="15" t="s">
        <v>42</v>
      </c>
      <c r="E7857" s="15" t="s">
        <v>36</v>
      </c>
      <c r="F7857" s="15" t="s">
        <v>17</v>
      </c>
      <c r="G7857" s="15" t="s">
        <v>29</v>
      </c>
      <c r="H7857" s="15" t="n">
        <v>4</v>
      </c>
      <c r="I7857" s="17" t="n">
        <v>0</v>
      </c>
      <c r="J7857" s="18" t="n">
        <v>58.09</v>
      </c>
      <c r="K7857" s="19" t="n">
        <v>22.79</v>
      </c>
      <c r="L7857" s="15" t="n">
        <f aca="false">YEAR(B7857)</f>
        <v>2025</v>
      </c>
      <c r="M7857" s="20" t="n">
        <f aca="false">IF(J7857&gt;0,K7857/J7857,0)</f>
        <v>0.392322258564297</v>
      </c>
    </row>
    <row r="7858" customFormat="false" ht="15" hidden="false" customHeight="false" outlineLevel="0" collapsed="false">
      <c r="A7858" s="15" t="s">
        <v>7915</v>
      </c>
      <c r="B7858" s="16" t="n">
        <v>45997</v>
      </c>
      <c r="C7858" s="15" t="s">
        <v>56</v>
      </c>
      <c r="D7858" s="15" t="s">
        <v>44</v>
      </c>
      <c r="E7858" s="15" t="s">
        <v>36</v>
      </c>
      <c r="F7858" s="15" t="s">
        <v>18</v>
      </c>
      <c r="G7858" s="15" t="s">
        <v>30</v>
      </c>
      <c r="H7858" s="15" t="n">
        <v>3</v>
      </c>
      <c r="I7858" s="17" t="n">
        <v>0.2</v>
      </c>
      <c r="J7858" s="18" t="n">
        <v>92.93</v>
      </c>
      <c r="K7858" s="19" t="n">
        <v>13.12</v>
      </c>
      <c r="L7858" s="15" t="n">
        <f aca="false">YEAR(B7858)</f>
        <v>2025</v>
      </c>
      <c r="M7858" s="20" t="n">
        <f aca="false">IF(J7858&gt;0,K7858/J7858,0)</f>
        <v>0.141181534488325</v>
      </c>
    </row>
    <row r="7859" customFormat="false" ht="15" hidden="false" customHeight="false" outlineLevel="0" collapsed="false">
      <c r="A7859" s="15" t="s">
        <v>7916</v>
      </c>
      <c r="B7859" s="16" t="n">
        <v>45780</v>
      </c>
      <c r="C7859" s="15" t="s">
        <v>68</v>
      </c>
      <c r="D7859" s="15" t="s">
        <v>42</v>
      </c>
      <c r="E7859" s="15" t="s">
        <v>36</v>
      </c>
      <c r="F7859" s="15" t="s">
        <v>17</v>
      </c>
      <c r="G7859" s="15" t="s">
        <v>26</v>
      </c>
      <c r="H7859" s="15" t="n">
        <v>2</v>
      </c>
      <c r="I7859" s="17" t="n">
        <v>0</v>
      </c>
      <c r="J7859" s="18" t="n">
        <v>114.66</v>
      </c>
      <c r="K7859" s="19" t="n">
        <v>8.79</v>
      </c>
      <c r="L7859" s="15" t="n">
        <f aca="false">YEAR(B7859)</f>
        <v>2025</v>
      </c>
      <c r="M7859" s="20" t="n">
        <f aca="false">IF(J7859&gt;0,K7859/J7859,0)</f>
        <v>0.0766614338042909</v>
      </c>
    </row>
    <row r="7860" customFormat="false" ht="15" hidden="false" customHeight="false" outlineLevel="0" collapsed="false">
      <c r="A7860" s="15" t="s">
        <v>7917</v>
      </c>
      <c r="B7860" s="16" t="n">
        <v>46011</v>
      </c>
      <c r="C7860" s="15" t="s">
        <v>71</v>
      </c>
      <c r="D7860" s="15" t="s">
        <v>43</v>
      </c>
      <c r="E7860" s="15" t="s">
        <v>37</v>
      </c>
      <c r="F7860" s="15" t="s">
        <v>18</v>
      </c>
      <c r="G7860" s="15" t="s">
        <v>30</v>
      </c>
      <c r="H7860" s="15" t="n">
        <v>4</v>
      </c>
      <c r="I7860" s="17" t="n">
        <v>0</v>
      </c>
      <c r="J7860" s="18" t="n">
        <v>183.23</v>
      </c>
      <c r="K7860" s="19" t="n">
        <v>51.57</v>
      </c>
      <c r="L7860" s="15" t="n">
        <f aca="false">YEAR(B7860)</f>
        <v>2025</v>
      </c>
      <c r="M7860" s="20" t="n">
        <f aca="false">IF(J7860&gt;0,K7860/J7860,0)</f>
        <v>0.281449544288599</v>
      </c>
    </row>
    <row r="7861" customFormat="false" ht="15" hidden="false" customHeight="false" outlineLevel="0" collapsed="false">
      <c r="A7861" s="15" t="s">
        <v>7918</v>
      </c>
      <c r="B7861" s="16" t="n">
        <v>45827</v>
      </c>
      <c r="C7861" s="15" t="s">
        <v>71</v>
      </c>
      <c r="D7861" s="15" t="s">
        <v>43</v>
      </c>
      <c r="E7861" s="15" t="s">
        <v>37</v>
      </c>
      <c r="F7861" s="15" t="s">
        <v>17</v>
      </c>
      <c r="G7861" s="15" t="s">
        <v>31</v>
      </c>
      <c r="H7861" s="15" t="n">
        <v>4</v>
      </c>
      <c r="I7861" s="17" t="n">
        <v>0.15</v>
      </c>
      <c r="J7861" s="18" t="n">
        <v>384.16</v>
      </c>
      <c r="K7861" s="19" t="n">
        <v>25.21</v>
      </c>
      <c r="L7861" s="15" t="n">
        <f aca="false">YEAR(B7861)</f>
        <v>2025</v>
      </c>
      <c r="M7861" s="20" t="n">
        <f aca="false">IF(J7861&gt;0,K7861/J7861,0)</f>
        <v>0.0656236984589754</v>
      </c>
    </row>
    <row r="7862" customFormat="false" ht="15" hidden="false" customHeight="false" outlineLevel="0" collapsed="false">
      <c r="A7862" s="15" t="s">
        <v>7919</v>
      </c>
      <c r="B7862" s="16" t="n">
        <v>45477</v>
      </c>
      <c r="C7862" s="15" t="s">
        <v>68</v>
      </c>
      <c r="D7862" s="15" t="s">
        <v>42</v>
      </c>
      <c r="E7862" s="15" t="s">
        <v>38</v>
      </c>
      <c r="F7862" s="15" t="s">
        <v>17</v>
      </c>
      <c r="G7862" s="15" t="s">
        <v>28</v>
      </c>
      <c r="H7862" s="15" t="n">
        <v>3</v>
      </c>
      <c r="I7862" s="17" t="n">
        <v>0.3</v>
      </c>
      <c r="J7862" s="18" t="n">
        <v>39.97</v>
      </c>
      <c r="K7862" s="19" t="n">
        <v>-1.2</v>
      </c>
      <c r="L7862" s="15" t="n">
        <f aca="false">YEAR(B7862)</f>
        <v>2024</v>
      </c>
      <c r="M7862" s="20" t="n">
        <f aca="false">IF(J7862&gt;0,K7862/J7862,0)</f>
        <v>-0.0300225168876658</v>
      </c>
    </row>
    <row r="7863" customFormat="false" ht="15" hidden="false" customHeight="false" outlineLevel="0" collapsed="false">
      <c r="A7863" s="15" t="s">
        <v>7920</v>
      </c>
      <c r="B7863" s="16" t="n">
        <v>45602</v>
      </c>
      <c r="C7863" s="15" t="s">
        <v>68</v>
      </c>
      <c r="D7863" s="15" t="s">
        <v>42</v>
      </c>
      <c r="E7863" s="15" t="s">
        <v>37</v>
      </c>
      <c r="F7863" s="15" t="s">
        <v>16</v>
      </c>
      <c r="G7863" s="15" t="s">
        <v>25</v>
      </c>
      <c r="H7863" s="15" t="n">
        <v>2</v>
      </c>
      <c r="I7863" s="17" t="n">
        <v>0</v>
      </c>
      <c r="J7863" s="18" t="n">
        <v>741.53</v>
      </c>
      <c r="K7863" s="19" t="n">
        <v>46.76</v>
      </c>
      <c r="L7863" s="15" t="n">
        <f aca="false">YEAR(B7863)</f>
        <v>2024</v>
      </c>
      <c r="M7863" s="20" t="n">
        <f aca="false">IF(J7863&gt;0,K7863/J7863,0)</f>
        <v>0.0630588108370531</v>
      </c>
    </row>
    <row r="7864" customFormat="false" ht="15" hidden="false" customHeight="false" outlineLevel="0" collapsed="false">
      <c r="A7864" s="15" t="s">
        <v>7921</v>
      </c>
      <c r="B7864" s="16" t="n">
        <v>44847</v>
      </c>
      <c r="C7864" s="15" t="s">
        <v>56</v>
      </c>
      <c r="D7864" s="15" t="s">
        <v>44</v>
      </c>
      <c r="E7864" s="15" t="s">
        <v>37</v>
      </c>
      <c r="F7864" s="15" t="s">
        <v>17</v>
      </c>
      <c r="G7864" s="15" t="s">
        <v>31</v>
      </c>
      <c r="H7864" s="15" t="n">
        <v>5</v>
      </c>
      <c r="I7864" s="17" t="n">
        <v>0</v>
      </c>
      <c r="J7864" s="18" t="n">
        <v>632.8</v>
      </c>
      <c r="K7864" s="19" t="n">
        <v>152</v>
      </c>
      <c r="L7864" s="15" t="n">
        <f aca="false">YEAR(B7864)</f>
        <v>2022</v>
      </c>
      <c r="M7864" s="20" t="n">
        <f aca="false">IF(J7864&gt;0,K7864/J7864,0)</f>
        <v>0.240202275600506</v>
      </c>
    </row>
    <row r="7865" customFormat="false" ht="15" hidden="false" customHeight="false" outlineLevel="0" collapsed="false">
      <c r="A7865" s="15" t="s">
        <v>7922</v>
      </c>
      <c r="B7865" s="16" t="n">
        <v>45976</v>
      </c>
      <c r="C7865" s="15" t="s">
        <v>58</v>
      </c>
      <c r="D7865" s="15" t="s">
        <v>44</v>
      </c>
      <c r="E7865" s="15" t="s">
        <v>38</v>
      </c>
      <c r="F7865" s="15" t="s">
        <v>17</v>
      </c>
      <c r="G7865" s="15" t="s">
        <v>28</v>
      </c>
      <c r="H7865" s="15" t="n">
        <v>3</v>
      </c>
      <c r="I7865" s="17" t="n">
        <v>0</v>
      </c>
      <c r="J7865" s="18" t="n">
        <v>79.89</v>
      </c>
      <c r="K7865" s="19" t="n">
        <v>21.72</v>
      </c>
      <c r="L7865" s="15" t="n">
        <f aca="false">YEAR(B7865)</f>
        <v>2025</v>
      </c>
      <c r="M7865" s="20" t="n">
        <f aca="false">IF(J7865&gt;0,K7865/J7865,0)</f>
        <v>0.271873826511453</v>
      </c>
    </row>
    <row r="7866" customFormat="false" ht="15" hidden="false" customHeight="false" outlineLevel="0" collapsed="false">
      <c r="A7866" s="15" t="s">
        <v>7923</v>
      </c>
      <c r="B7866" s="16" t="n">
        <v>44758</v>
      </c>
      <c r="C7866" s="15" t="s">
        <v>68</v>
      </c>
      <c r="D7866" s="15" t="s">
        <v>43</v>
      </c>
      <c r="E7866" s="15" t="s">
        <v>37</v>
      </c>
      <c r="F7866" s="15" t="s">
        <v>18</v>
      </c>
      <c r="G7866" s="15" t="s">
        <v>24</v>
      </c>
      <c r="H7866" s="15" t="n">
        <v>4</v>
      </c>
      <c r="I7866" s="17" t="n">
        <v>0.1</v>
      </c>
      <c r="J7866" s="18" t="n">
        <v>3109.75</v>
      </c>
      <c r="K7866" s="19" t="n">
        <v>-149.92</v>
      </c>
      <c r="L7866" s="15" t="n">
        <f aca="false">YEAR(B7866)</f>
        <v>2022</v>
      </c>
      <c r="M7866" s="20" t="n">
        <f aca="false">IF(J7866&gt;0,K7866/J7866,0)</f>
        <v>-0.0482096631562023</v>
      </c>
    </row>
    <row r="7867" customFormat="false" ht="15" hidden="false" customHeight="false" outlineLevel="0" collapsed="false">
      <c r="A7867" s="15" t="s">
        <v>7924</v>
      </c>
      <c r="B7867" s="16" t="n">
        <v>45662</v>
      </c>
      <c r="C7867" s="15" t="s">
        <v>68</v>
      </c>
      <c r="D7867" s="15" t="s">
        <v>42</v>
      </c>
      <c r="E7867" s="15" t="s">
        <v>37</v>
      </c>
      <c r="F7867" s="15" t="s">
        <v>17</v>
      </c>
      <c r="G7867" s="15" t="s">
        <v>28</v>
      </c>
      <c r="H7867" s="15" t="n">
        <v>6</v>
      </c>
      <c r="I7867" s="17" t="n">
        <v>0.1</v>
      </c>
      <c r="J7867" s="18" t="n">
        <v>126.88</v>
      </c>
      <c r="K7867" s="19" t="n">
        <v>24.7</v>
      </c>
      <c r="L7867" s="15" t="n">
        <f aca="false">YEAR(B7867)</f>
        <v>2025</v>
      </c>
      <c r="M7867" s="20" t="n">
        <f aca="false">IF(J7867&gt;0,K7867/J7867,0)</f>
        <v>0.194672131147541</v>
      </c>
    </row>
    <row r="7868" customFormat="false" ht="15" hidden="false" customHeight="false" outlineLevel="0" collapsed="false">
      <c r="A7868" s="15" t="s">
        <v>7925</v>
      </c>
      <c r="B7868" s="16" t="n">
        <v>44888</v>
      </c>
      <c r="C7868" s="15" t="s">
        <v>56</v>
      </c>
      <c r="D7868" s="15" t="s">
        <v>42</v>
      </c>
      <c r="E7868" s="15" t="s">
        <v>39</v>
      </c>
      <c r="F7868" s="15" t="s">
        <v>17</v>
      </c>
      <c r="G7868" s="15" t="s">
        <v>26</v>
      </c>
      <c r="H7868" s="15" t="n">
        <v>2</v>
      </c>
      <c r="I7868" s="17" t="n">
        <v>0.1</v>
      </c>
      <c r="J7868" s="18" t="n">
        <v>126.67</v>
      </c>
      <c r="K7868" s="19" t="n">
        <v>9.01</v>
      </c>
      <c r="L7868" s="15" t="n">
        <f aca="false">YEAR(B7868)</f>
        <v>2022</v>
      </c>
      <c r="M7868" s="20" t="n">
        <f aca="false">IF(J7868&gt;0,K7868/J7868,0)</f>
        <v>0.0711297071129707</v>
      </c>
    </row>
    <row r="7869" customFormat="false" ht="15" hidden="false" customHeight="false" outlineLevel="0" collapsed="false">
      <c r="A7869" s="15" t="s">
        <v>7926</v>
      </c>
      <c r="B7869" s="16" t="n">
        <v>45981</v>
      </c>
      <c r="C7869" s="15" t="s">
        <v>71</v>
      </c>
      <c r="D7869" s="15" t="s">
        <v>42</v>
      </c>
      <c r="E7869" s="15" t="s">
        <v>39</v>
      </c>
      <c r="F7869" s="15" t="s">
        <v>17</v>
      </c>
      <c r="G7869" s="15" t="s">
        <v>29</v>
      </c>
      <c r="H7869" s="15" t="n">
        <v>5</v>
      </c>
      <c r="I7869" s="17" t="n">
        <v>0</v>
      </c>
      <c r="J7869" s="18" t="n">
        <v>86.35</v>
      </c>
      <c r="K7869" s="19" t="n">
        <v>37.59</v>
      </c>
      <c r="L7869" s="15" t="n">
        <f aca="false">YEAR(B7869)</f>
        <v>2025</v>
      </c>
      <c r="M7869" s="20" t="n">
        <f aca="false">IF(J7869&gt;0,K7869/J7869,0)</f>
        <v>0.435321366531558</v>
      </c>
    </row>
    <row r="7870" customFormat="false" ht="15" hidden="false" customHeight="false" outlineLevel="0" collapsed="false">
      <c r="A7870" s="15" t="s">
        <v>7927</v>
      </c>
      <c r="B7870" s="16" t="n">
        <v>45184</v>
      </c>
      <c r="C7870" s="15" t="s">
        <v>68</v>
      </c>
      <c r="D7870" s="15" t="s">
        <v>43</v>
      </c>
      <c r="E7870" s="15" t="s">
        <v>38</v>
      </c>
      <c r="F7870" s="15" t="s">
        <v>17</v>
      </c>
      <c r="G7870" s="15" t="s">
        <v>29</v>
      </c>
      <c r="H7870" s="15" t="n">
        <v>5</v>
      </c>
      <c r="I7870" s="17" t="n">
        <v>0</v>
      </c>
      <c r="J7870" s="18" t="n">
        <v>89.96</v>
      </c>
      <c r="K7870" s="19" t="n">
        <v>27.57</v>
      </c>
      <c r="L7870" s="15" t="n">
        <f aca="false">YEAR(B7870)</f>
        <v>2023</v>
      </c>
      <c r="M7870" s="20" t="n">
        <f aca="false">IF(J7870&gt;0,K7870/J7870,0)</f>
        <v>0.306469542018675</v>
      </c>
    </row>
    <row r="7871" customFormat="false" ht="15" hidden="false" customHeight="false" outlineLevel="0" collapsed="false">
      <c r="A7871" s="15" t="s">
        <v>7928</v>
      </c>
      <c r="B7871" s="16" t="n">
        <v>45406</v>
      </c>
      <c r="C7871" s="15" t="s">
        <v>68</v>
      </c>
      <c r="D7871" s="15" t="s">
        <v>42</v>
      </c>
      <c r="E7871" s="15" t="s">
        <v>37</v>
      </c>
      <c r="F7871" s="15" t="s">
        <v>16</v>
      </c>
      <c r="G7871" s="15" t="s">
        <v>27</v>
      </c>
      <c r="H7871" s="15" t="n">
        <v>3</v>
      </c>
      <c r="I7871" s="17" t="n">
        <v>0.05</v>
      </c>
      <c r="J7871" s="18" t="n">
        <v>162.91</v>
      </c>
      <c r="K7871" s="19" t="n">
        <v>22.3</v>
      </c>
      <c r="L7871" s="15" t="n">
        <f aca="false">YEAR(B7871)</f>
        <v>2024</v>
      </c>
      <c r="M7871" s="20" t="n">
        <f aca="false">IF(J7871&gt;0,K7871/J7871,0)</f>
        <v>0.136885396844884</v>
      </c>
    </row>
    <row r="7872" customFormat="false" ht="15" hidden="false" customHeight="false" outlineLevel="0" collapsed="false">
      <c r="A7872" s="15" t="s">
        <v>7929</v>
      </c>
      <c r="B7872" s="16" t="n">
        <v>45444</v>
      </c>
      <c r="C7872" s="15" t="s">
        <v>68</v>
      </c>
      <c r="D7872" s="15" t="s">
        <v>44</v>
      </c>
      <c r="E7872" s="15" t="s">
        <v>37</v>
      </c>
      <c r="F7872" s="15" t="s">
        <v>18</v>
      </c>
      <c r="G7872" s="15" t="s">
        <v>30</v>
      </c>
      <c r="H7872" s="15" t="n">
        <v>4</v>
      </c>
      <c r="I7872" s="17" t="n">
        <v>0.1</v>
      </c>
      <c r="J7872" s="18" t="n">
        <v>157.15</v>
      </c>
      <c r="K7872" s="19" t="n">
        <v>41.25</v>
      </c>
      <c r="L7872" s="15" t="n">
        <f aca="false">YEAR(B7872)</f>
        <v>2024</v>
      </c>
      <c r="M7872" s="20" t="n">
        <f aca="false">IF(J7872&gt;0,K7872/J7872,0)</f>
        <v>0.262488068724149</v>
      </c>
    </row>
    <row r="7873" customFormat="false" ht="15" hidden="false" customHeight="false" outlineLevel="0" collapsed="false">
      <c r="A7873" s="15" t="s">
        <v>7930</v>
      </c>
      <c r="B7873" s="16" t="n">
        <v>45998</v>
      </c>
      <c r="C7873" s="15" t="s">
        <v>71</v>
      </c>
      <c r="D7873" s="15" t="s">
        <v>42</v>
      </c>
      <c r="E7873" s="15" t="s">
        <v>36</v>
      </c>
      <c r="F7873" s="15" t="s">
        <v>17</v>
      </c>
      <c r="G7873" s="15" t="s">
        <v>29</v>
      </c>
      <c r="H7873" s="15" t="n">
        <v>5</v>
      </c>
      <c r="I7873" s="17" t="n">
        <v>0.3</v>
      </c>
      <c r="J7873" s="18" t="n">
        <v>60.59</v>
      </c>
      <c r="K7873" s="19" t="n">
        <v>10.65</v>
      </c>
      <c r="L7873" s="15" t="n">
        <f aca="false">YEAR(B7873)</f>
        <v>2025</v>
      </c>
      <c r="M7873" s="20" t="n">
        <f aca="false">IF(J7873&gt;0,K7873/J7873,0)</f>
        <v>0.175771579468559</v>
      </c>
    </row>
    <row r="7874" customFormat="false" ht="15" hidden="false" customHeight="false" outlineLevel="0" collapsed="false">
      <c r="A7874" s="15" t="s">
        <v>7931</v>
      </c>
      <c r="B7874" s="16" t="n">
        <v>45793</v>
      </c>
      <c r="C7874" s="15" t="s">
        <v>56</v>
      </c>
      <c r="D7874" s="15" t="s">
        <v>44</v>
      </c>
      <c r="E7874" s="15" t="s">
        <v>36</v>
      </c>
      <c r="F7874" s="15" t="s">
        <v>17</v>
      </c>
      <c r="G7874" s="15" t="s">
        <v>28</v>
      </c>
      <c r="H7874" s="15" t="n">
        <v>3</v>
      </c>
      <c r="I7874" s="17" t="n">
        <v>0</v>
      </c>
      <c r="J7874" s="18" t="n">
        <v>110.07</v>
      </c>
      <c r="K7874" s="19" t="n">
        <v>32.14</v>
      </c>
      <c r="L7874" s="15" t="n">
        <f aca="false">YEAR(B7874)</f>
        <v>2025</v>
      </c>
      <c r="M7874" s="20" t="n">
        <f aca="false">IF(J7874&gt;0,K7874/J7874,0)</f>
        <v>0.291996002543836</v>
      </c>
    </row>
    <row r="7875" customFormat="false" ht="15" hidden="false" customHeight="false" outlineLevel="0" collapsed="false">
      <c r="A7875" s="15" t="s">
        <v>7932</v>
      </c>
      <c r="B7875" s="16" t="n">
        <v>45450</v>
      </c>
      <c r="C7875" s="15" t="s">
        <v>68</v>
      </c>
      <c r="D7875" s="15" t="s">
        <v>42</v>
      </c>
      <c r="E7875" s="15" t="s">
        <v>38</v>
      </c>
      <c r="F7875" s="15" t="s">
        <v>17</v>
      </c>
      <c r="G7875" s="15" t="s">
        <v>28</v>
      </c>
      <c r="H7875" s="15" t="n">
        <v>1</v>
      </c>
      <c r="I7875" s="17" t="n">
        <v>0</v>
      </c>
      <c r="J7875" s="18" t="n">
        <v>23.39</v>
      </c>
      <c r="K7875" s="19" t="n">
        <v>6.64</v>
      </c>
      <c r="L7875" s="15" t="n">
        <f aca="false">YEAR(B7875)</f>
        <v>2024</v>
      </c>
      <c r="M7875" s="20" t="n">
        <f aca="false">IF(J7875&gt;0,K7875/J7875,0)</f>
        <v>0.283882000855066</v>
      </c>
    </row>
    <row r="7876" customFormat="false" ht="15" hidden="false" customHeight="false" outlineLevel="0" collapsed="false">
      <c r="A7876" s="15" t="s">
        <v>7933</v>
      </c>
      <c r="B7876" s="16" t="n">
        <v>45245</v>
      </c>
      <c r="C7876" s="15" t="s">
        <v>56</v>
      </c>
      <c r="D7876" s="15" t="s">
        <v>43</v>
      </c>
      <c r="E7876" s="15" t="s">
        <v>37</v>
      </c>
      <c r="F7876" s="15" t="s">
        <v>17</v>
      </c>
      <c r="G7876" s="15" t="s">
        <v>29</v>
      </c>
      <c r="H7876" s="15" t="n">
        <v>1</v>
      </c>
      <c r="I7876" s="17" t="n">
        <v>0.1</v>
      </c>
      <c r="J7876" s="18" t="n">
        <v>20.77</v>
      </c>
      <c r="K7876" s="19" t="n">
        <v>6.31</v>
      </c>
      <c r="L7876" s="15" t="n">
        <f aca="false">YEAR(B7876)</f>
        <v>2023</v>
      </c>
      <c r="M7876" s="20" t="n">
        <f aca="false">IF(J7876&gt;0,K7876/J7876,0)</f>
        <v>0.303803562831006</v>
      </c>
    </row>
    <row r="7877" customFormat="false" ht="15" hidden="false" customHeight="false" outlineLevel="0" collapsed="false">
      <c r="A7877" s="15" t="s">
        <v>7934</v>
      </c>
      <c r="B7877" s="16" t="n">
        <v>45619</v>
      </c>
      <c r="C7877" s="15" t="s">
        <v>56</v>
      </c>
      <c r="D7877" s="15" t="s">
        <v>43</v>
      </c>
      <c r="E7877" s="15" t="s">
        <v>39</v>
      </c>
      <c r="F7877" s="15" t="s">
        <v>18</v>
      </c>
      <c r="G7877" s="15" t="s">
        <v>32</v>
      </c>
      <c r="H7877" s="15" t="n">
        <v>1</v>
      </c>
      <c r="I7877" s="17" t="n">
        <v>0</v>
      </c>
      <c r="J7877" s="18" t="n">
        <v>514.02</v>
      </c>
      <c r="K7877" s="19" t="n">
        <v>55.06</v>
      </c>
      <c r="L7877" s="15" t="n">
        <f aca="false">YEAR(B7877)</f>
        <v>2024</v>
      </c>
      <c r="M7877" s="20" t="n">
        <f aca="false">IF(J7877&gt;0,K7877/J7877,0)</f>
        <v>0.107116454612661</v>
      </c>
    </row>
    <row r="7878" customFormat="false" ht="15" hidden="false" customHeight="false" outlineLevel="0" collapsed="false">
      <c r="A7878" s="15" t="s">
        <v>7935</v>
      </c>
      <c r="B7878" s="16" t="n">
        <v>45742</v>
      </c>
      <c r="C7878" s="15" t="s">
        <v>56</v>
      </c>
      <c r="D7878" s="15" t="s">
        <v>42</v>
      </c>
      <c r="E7878" s="15" t="s">
        <v>39</v>
      </c>
      <c r="F7878" s="15" t="s">
        <v>17</v>
      </c>
      <c r="G7878" s="15" t="s">
        <v>26</v>
      </c>
      <c r="H7878" s="15" t="n">
        <v>1</v>
      </c>
      <c r="I7878" s="17" t="n">
        <v>0</v>
      </c>
      <c r="J7878" s="18" t="n">
        <v>101.7</v>
      </c>
      <c r="K7878" s="19" t="n">
        <v>5.8</v>
      </c>
      <c r="L7878" s="15" t="n">
        <f aca="false">YEAR(B7878)</f>
        <v>2025</v>
      </c>
      <c r="M7878" s="20" t="n">
        <f aca="false">IF(J7878&gt;0,K7878/J7878,0)</f>
        <v>0.0570304818092429</v>
      </c>
    </row>
    <row r="7879" customFormat="false" ht="15" hidden="false" customHeight="false" outlineLevel="0" collapsed="false">
      <c r="A7879" s="15" t="s">
        <v>7936</v>
      </c>
      <c r="B7879" s="16" t="n">
        <v>45760</v>
      </c>
      <c r="C7879" s="15" t="s">
        <v>56</v>
      </c>
      <c r="D7879" s="15" t="s">
        <v>43</v>
      </c>
      <c r="E7879" s="15" t="s">
        <v>36</v>
      </c>
      <c r="F7879" s="15" t="s">
        <v>16</v>
      </c>
      <c r="G7879" s="15" t="s">
        <v>25</v>
      </c>
      <c r="H7879" s="15" t="n">
        <v>5</v>
      </c>
      <c r="I7879" s="17" t="n">
        <v>0.05</v>
      </c>
      <c r="J7879" s="18" t="n">
        <v>1257.69</v>
      </c>
      <c r="K7879" s="19" t="n">
        <v>49.73</v>
      </c>
      <c r="L7879" s="15" t="n">
        <f aca="false">YEAR(B7879)</f>
        <v>2025</v>
      </c>
      <c r="M7879" s="20" t="n">
        <f aca="false">IF(J7879&gt;0,K7879/J7879,0)</f>
        <v>0.0395407453347009</v>
      </c>
    </row>
    <row r="7880" customFormat="false" ht="15" hidden="false" customHeight="false" outlineLevel="0" collapsed="false">
      <c r="A7880" s="15" t="s">
        <v>7937</v>
      </c>
      <c r="B7880" s="16" t="n">
        <v>44944</v>
      </c>
      <c r="C7880" s="15" t="s">
        <v>56</v>
      </c>
      <c r="D7880" s="15" t="s">
        <v>42</v>
      </c>
      <c r="E7880" s="15" t="s">
        <v>39</v>
      </c>
      <c r="F7880" s="15" t="s">
        <v>17</v>
      </c>
      <c r="G7880" s="15" t="s">
        <v>28</v>
      </c>
      <c r="H7880" s="15" t="n">
        <v>1</v>
      </c>
      <c r="I7880" s="17" t="n">
        <v>0</v>
      </c>
      <c r="J7880" s="18" t="n">
        <v>27.63</v>
      </c>
      <c r="K7880" s="19" t="n">
        <v>6.18</v>
      </c>
      <c r="L7880" s="15" t="n">
        <f aca="false">YEAR(B7880)</f>
        <v>2023</v>
      </c>
      <c r="M7880" s="20" t="n">
        <f aca="false">IF(J7880&gt;0,K7880/J7880,0)</f>
        <v>0.223669923995657</v>
      </c>
    </row>
    <row r="7881" customFormat="false" ht="15" hidden="false" customHeight="false" outlineLevel="0" collapsed="false">
      <c r="A7881" s="15" t="s">
        <v>7938</v>
      </c>
      <c r="B7881" s="16" t="n">
        <v>44689</v>
      </c>
      <c r="C7881" s="15" t="s">
        <v>56</v>
      </c>
      <c r="D7881" s="15" t="s">
        <v>43</v>
      </c>
      <c r="E7881" s="15" t="s">
        <v>39</v>
      </c>
      <c r="F7881" s="15" t="s">
        <v>17</v>
      </c>
      <c r="G7881" s="15" t="s">
        <v>26</v>
      </c>
      <c r="H7881" s="15" t="n">
        <v>2</v>
      </c>
      <c r="I7881" s="17" t="n">
        <v>0.1</v>
      </c>
      <c r="J7881" s="18" t="n">
        <v>206.01</v>
      </c>
      <c r="K7881" s="19" t="n">
        <v>12.54</v>
      </c>
      <c r="L7881" s="15" t="n">
        <f aca="false">YEAR(B7881)</f>
        <v>2022</v>
      </c>
      <c r="M7881" s="20" t="n">
        <f aca="false">IF(J7881&gt;0,K7881/J7881,0)</f>
        <v>0.0608708315130333</v>
      </c>
    </row>
    <row r="7882" customFormat="false" ht="15" hidden="false" customHeight="false" outlineLevel="0" collapsed="false">
      <c r="A7882" s="15" t="s">
        <v>7939</v>
      </c>
      <c r="B7882" s="16" t="n">
        <v>45329</v>
      </c>
      <c r="C7882" s="15" t="s">
        <v>56</v>
      </c>
      <c r="D7882" s="15" t="s">
        <v>44</v>
      </c>
      <c r="E7882" s="15" t="s">
        <v>39</v>
      </c>
      <c r="F7882" s="15" t="s">
        <v>16</v>
      </c>
      <c r="G7882" s="15" t="s">
        <v>23</v>
      </c>
      <c r="H7882" s="15" t="n">
        <v>4</v>
      </c>
      <c r="I7882" s="17" t="n">
        <v>0</v>
      </c>
      <c r="J7882" s="18" t="n">
        <v>1542.31</v>
      </c>
      <c r="K7882" s="19" t="n">
        <v>82.47</v>
      </c>
      <c r="L7882" s="15" t="n">
        <f aca="false">YEAR(B7882)</f>
        <v>2024</v>
      </c>
      <c r="M7882" s="20" t="n">
        <f aca="false">IF(J7882&gt;0,K7882/J7882,0)</f>
        <v>0.0534717404412861</v>
      </c>
    </row>
    <row r="7883" customFormat="false" ht="15" hidden="false" customHeight="false" outlineLevel="0" collapsed="false">
      <c r="A7883" s="15" t="s">
        <v>7940</v>
      </c>
      <c r="B7883" s="16" t="n">
        <v>45742</v>
      </c>
      <c r="C7883" s="15" t="s">
        <v>71</v>
      </c>
      <c r="D7883" s="15" t="s">
        <v>43</v>
      </c>
      <c r="E7883" s="15" t="s">
        <v>37</v>
      </c>
      <c r="F7883" s="15" t="s">
        <v>18</v>
      </c>
      <c r="G7883" s="15" t="s">
        <v>30</v>
      </c>
      <c r="H7883" s="15" t="n">
        <v>4</v>
      </c>
      <c r="I7883" s="17" t="n">
        <v>0.05</v>
      </c>
      <c r="J7883" s="18" t="n">
        <v>152.03</v>
      </c>
      <c r="K7883" s="19" t="n">
        <v>36.3</v>
      </c>
      <c r="L7883" s="15" t="n">
        <f aca="false">YEAR(B7883)</f>
        <v>2025</v>
      </c>
      <c r="M7883" s="20" t="n">
        <f aca="false">IF(J7883&gt;0,K7883/J7883,0)</f>
        <v>0.238768664079458</v>
      </c>
    </row>
    <row r="7884" customFormat="false" ht="15" hidden="false" customHeight="false" outlineLevel="0" collapsed="false">
      <c r="A7884" s="15" t="s">
        <v>7941</v>
      </c>
      <c r="B7884" s="16" t="n">
        <v>44853</v>
      </c>
      <c r="C7884" s="15" t="s">
        <v>71</v>
      </c>
      <c r="D7884" s="15" t="s">
        <v>42</v>
      </c>
      <c r="E7884" s="15" t="s">
        <v>36</v>
      </c>
      <c r="F7884" s="15" t="s">
        <v>17</v>
      </c>
      <c r="G7884" s="15" t="s">
        <v>29</v>
      </c>
      <c r="H7884" s="15" t="n">
        <v>4</v>
      </c>
      <c r="I7884" s="17" t="n">
        <v>0.4</v>
      </c>
      <c r="J7884" s="18" t="n">
        <v>42.4</v>
      </c>
      <c r="K7884" s="19" t="n">
        <v>1.61</v>
      </c>
      <c r="L7884" s="15" t="n">
        <f aca="false">YEAR(B7884)</f>
        <v>2022</v>
      </c>
      <c r="M7884" s="20" t="n">
        <f aca="false">IF(J7884&gt;0,K7884/J7884,0)</f>
        <v>0.0379716981132076</v>
      </c>
    </row>
    <row r="7885" customFormat="false" ht="15" hidden="false" customHeight="false" outlineLevel="0" collapsed="false">
      <c r="A7885" s="15" t="s">
        <v>7942</v>
      </c>
      <c r="B7885" s="16" t="n">
        <v>45574</v>
      </c>
      <c r="C7885" s="15" t="s">
        <v>56</v>
      </c>
      <c r="D7885" s="15" t="s">
        <v>42</v>
      </c>
      <c r="E7885" s="15" t="s">
        <v>36</v>
      </c>
      <c r="F7885" s="15" t="s">
        <v>17</v>
      </c>
      <c r="G7885" s="15" t="s">
        <v>26</v>
      </c>
      <c r="H7885" s="15" t="n">
        <v>2</v>
      </c>
      <c r="I7885" s="17" t="n">
        <v>0</v>
      </c>
      <c r="J7885" s="18" t="n">
        <v>151.05</v>
      </c>
      <c r="K7885" s="19" t="n">
        <v>10.55</v>
      </c>
      <c r="L7885" s="15" t="n">
        <f aca="false">YEAR(B7885)</f>
        <v>2024</v>
      </c>
      <c r="M7885" s="20" t="n">
        <f aca="false">IF(J7885&gt;0,K7885/J7885,0)</f>
        <v>0.0698444223766965</v>
      </c>
    </row>
    <row r="7886" customFormat="false" ht="15" hidden="false" customHeight="false" outlineLevel="0" collapsed="false">
      <c r="A7886" s="15" t="s">
        <v>7943</v>
      </c>
      <c r="B7886" s="16" t="n">
        <v>44783</v>
      </c>
      <c r="C7886" s="15" t="s">
        <v>68</v>
      </c>
      <c r="D7886" s="15" t="s">
        <v>42</v>
      </c>
      <c r="E7886" s="15" t="s">
        <v>36</v>
      </c>
      <c r="F7886" s="15" t="s">
        <v>16</v>
      </c>
      <c r="G7886" s="15" t="s">
        <v>22</v>
      </c>
      <c r="H7886" s="15" t="n">
        <v>2</v>
      </c>
      <c r="I7886" s="17" t="n">
        <v>0.4</v>
      </c>
      <c r="J7886" s="18" t="n">
        <v>623.27</v>
      </c>
      <c r="K7886" s="19" t="n">
        <v>-179.18</v>
      </c>
      <c r="L7886" s="15" t="n">
        <f aca="false">YEAR(B7886)</f>
        <v>2022</v>
      </c>
      <c r="M7886" s="20" t="n">
        <f aca="false">IF(J7886&gt;0,K7886/J7886,0)</f>
        <v>-0.287483755033934</v>
      </c>
    </row>
    <row r="7887" customFormat="false" ht="15" hidden="false" customHeight="false" outlineLevel="0" collapsed="false">
      <c r="A7887" s="15" t="s">
        <v>7944</v>
      </c>
      <c r="B7887" s="16" t="n">
        <v>45227</v>
      </c>
      <c r="C7887" s="15" t="s">
        <v>68</v>
      </c>
      <c r="D7887" s="15" t="s">
        <v>43</v>
      </c>
      <c r="E7887" s="15" t="s">
        <v>36</v>
      </c>
      <c r="F7887" s="15" t="s">
        <v>17</v>
      </c>
      <c r="G7887" s="15" t="s">
        <v>29</v>
      </c>
      <c r="H7887" s="15" t="n">
        <v>2</v>
      </c>
      <c r="I7887" s="17" t="n">
        <v>0.2</v>
      </c>
      <c r="J7887" s="18" t="n">
        <v>30.96</v>
      </c>
      <c r="K7887" s="19" t="n">
        <v>5.28</v>
      </c>
      <c r="L7887" s="15" t="n">
        <f aca="false">YEAR(B7887)</f>
        <v>2023</v>
      </c>
      <c r="M7887" s="20" t="n">
        <f aca="false">IF(J7887&gt;0,K7887/J7887,0)</f>
        <v>0.170542635658915</v>
      </c>
    </row>
    <row r="7888" customFormat="false" ht="15" hidden="false" customHeight="false" outlineLevel="0" collapsed="false">
      <c r="A7888" s="15" t="s">
        <v>7945</v>
      </c>
      <c r="B7888" s="16" t="n">
        <v>45259</v>
      </c>
      <c r="C7888" s="15" t="s">
        <v>56</v>
      </c>
      <c r="D7888" s="15" t="s">
        <v>42</v>
      </c>
      <c r="E7888" s="15" t="s">
        <v>36</v>
      </c>
      <c r="F7888" s="15" t="s">
        <v>17</v>
      </c>
      <c r="G7888" s="15" t="s">
        <v>26</v>
      </c>
      <c r="H7888" s="15" t="n">
        <v>1</v>
      </c>
      <c r="I7888" s="17" t="n">
        <v>0.3</v>
      </c>
      <c r="J7888" s="18" t="n">
        <v>57.73</v>
      </c>
      <c r="K7888" s="19" t="n">
        <v>-7.56</v>
      </c>
      <c r="L7888" s="15" t="n">
        <f aca="false">YEAR(B7888)</f>
        <v>2023</v>
      </c>
      <c r="M7888" s="20" t="n">
        <f aca="false">IF(J7888&gt;0,K7888/J7888,0)</f>
        <v>-0.130954443097177</v>
      </c>
    </row>
    <row r="7889" customFormat="false" ht="15" hidden="false" customHeight="false" outlineLevel="0" collapsed="false">
      <c r="A7889" s="15" t="s">
        <v>7946</v>
      </c>
      <c r="B7889" s="16" t="n">
        <v>45343</v>
      </c>
      <c r="C7889" s="15" t="s">
        <v>56</v>
      </c>
      <c r="D7889" s="15" t="s">
        <v>42</v>
      </c>
      <c r="E7889" s="15" t="s">
        <v>39</v>
      </c>
      <c r="F7889" s="15" t="s">
        <v>17</v>
      </c>
      <c r="G7889" s="15" t="s">
        <v>31</v>
      </c>
      <c r="H7889" s="15" t="n">
        <v>5</v>
      </c>
      <c r="I7889" s="17" t="n">
        <v>0</v>
      </c>
      <c r="J7889" s="18" t="n">
        <v>588.28</v>
      </c>
      <c r="K7889" s="19" t="n">
        <v>124.55</v>
      </c>
      <c r="L7889" s="15" t="n">
        <f aca="false">YEAR(B7889)</f>
        <v>2024</v>
      </c>
      <c r="M7889" s="20" t="n">
        <f aca="false">IF(J7889&gt;0,K7889/J7889,0)</f>
        <v>0.211718909362888</v>
      </c>
    </row>
    <row r="7890" customFormat="false" ht="15" hidden="false" customHeight="false" outlineLevel="0" collapsed="false">
      <c r="A7890" s="15" t="s">
        <v>7947</v>
      </c>
      <c r="B7890" s="16" t="n">
        <v>45178</v>
      </c>
      <c r="C7890" s="15" t="s">
        <v>71</v>
      </c>
      <c r="D7890" s="15" t="s">
        <v>42</v>
      </c>
      <c r="E7890" s="15" t="s">
        <v>39</v>
      </c>
      <c r="F7890" s="15" t="s">
        <v>17</v>
      </c>
      <c r="G7890" s="15" t="s">
        <v>26</v>
      </c>
      <c r="H7890" s="15" t="n">
        <v>2</v>
      </c>
      <c r="I7890" s="17" t="n">
        <v>0.2</v>
      </c>
      <c r="J7890" s="18" t="n">
        <v>158.89</v>
      </c>
      <c r="K7890" s="19" t="n">
        <v>-10.37</v>
      </c>
      <c r="L7890" s="15" t="n">
        <f aca="false">YEAR(B7890)</f>
        <v>2023</v>
      </c>
      <c r="M7890" s="20" t="n">
        <f aca="false">IF(J7890&gt;0,K7890/J7890,0)</f>
        <v>-0.0652652778651898</v>
      </c>
    </row>
    <row r="7891" customFormat="false" ht="15" hidden="false" customHeight="false" outlineLevel="0" collapsed="false">
      <c r="A7891" s="15" t="s">
        <v>7948</v>
      </c>
      <c r="B7891" s="16" t="n">
        <v>45008</v>
      </c>
      <c r="C7891" s="15" t="s">
        <v>71</v>
      </c>
      <c r="D7891" s="15" t="s">
        <v>43</v>
      </c>
      <c r="E7891" s="15" t="s">
        <v>37</v>
      </c>
      <c r="F7891" s="15" t="s">
        <v>18</v>
      </c>
      <c r="G7891" s="15" t="s">
        <v>30</v>
      </c>
      <c r="H7891" s="15" t="n">
        <v>6</v>
      </c>
      <c r="I7891" s="17" t="n">
        <v>0</v>
      </c>
      <c r="J7891" s="18" t="n">
        <v>248.37</v>
      </c>
      <c r="K7891" s="19" t="n">
        <v>81.99</v>
      </c>
      <c r="L7891" s="15" t="n">
        <f aca="false">YEAR(B7891)</f>
        <v>2023</v>
      </c>
      <c r="M7891" s="20" t="n">
        <f aca="false">IF(J7891&gt;0,K7891/J7891,0)</f>
        <v>0.330112332407296</v>
      </c>
    </row>
    <row r="7892" customFormat="false" ht="15" hidden="false" customHeight="false" outlineLevel="0" collapsed="false">
      <c r="A7892" s="15" t="s">
        <v>7949</v>
      </c>
      <c r="B7892" s="16" t="n">
        <v>45892</v>
      </c>
      <c r="C7892" s="15" t="s">
        <v>58</v>
      </c>
      <c r="D7892" s="15" t="s">
        <v>42</v>
      </c>
      <c r="E7892" s="15" t="s">
        <v>36</v>
      </c>
      <c r="F7892" s="15" t="s">
        <v>16</v>
      </c>
      <c r="G7892" s="15" t="s">
        <v>22</v>
      </c>
      <c r="H7892" s="15" t="n">
        <v>4</v>
      </c>
      <c r="I7892" s="17" t="n">
        <v>0.1</v>
      </c>
      <c r="J7892" s="18" t="n">
        <v>2255.32</v>
      </c>
      <c r="K7892" s="19" t="n">
        <v>-265.35</v>
      </c>
      <c r="L7892" s="15" t="n">
        <f aca="false">YEAR(B7892)</f>
        <v>2025</v>
      </c>
      <c r="M7892" s="20" t="n">
        <f aca="false">IF(J7892&gt;0,K7892/J7892,0)</f>
        <v>-0.117655144281078</v>
      </c>
    </row>
    <row r="7893" customFormat="false" ht="15" hidden="false" customHeight="false" outlineLevel="0" collapsed="false">
      <c r="A7893" s="15" t="s">
        <v>7950</v>
      </c>
      <c r="B7893" s="16" t="n">
        <v>44751</v>
      </c>
      <c r="C7893" s="15" t="s">
        <v>56</v>
      </c>
      <c r="D7893" s="15" t="s">
        <v>42</v>
      </c>
      <c r="E7893" s="15" t="s">
        <v>37</v>
      </c>
      <c r="F7893" s="15" t="s">
        <v>17</v>
      </c>
      <c r="G7893" s="15" t="s">
        <v>29</v>
      </c>
      <c r="H7893" s="15" t="n">
        <v>5</v>
      </c>
      <c r="I7893" s="17" t="n">
        <v>0.05</v>
      </c>
      <c r="J7893" s="18" t="n">
        <v>96.28</v>
      </c>
      <c r="K7893" s="19" t="n">
        <v>32.73</v>
      </c>
      <c r="L7893" s="15" t="n">
        <f aca="false">YEAR(B7893)</f>
        <v>2022</v>
      </c>
      <c r="M7893" s="20" t="n">
        <f aca="false">IF(J7893&gt;0,K7893/J7893,0)</f>
        <v>0.339945990859992</v>
      </c>
    </row>
    <row r="7894" customFormat="false" ht="15" hidden="false" customHeight="false" outlineLevel="0" collapsed="false">
      <c r="A7894" s="15" t="s">
        <v>7951</v>
      </c>
      <c r="B7894" s="16" t="n">
        <v>45381</v>
      </c>
      <c r="C7894" s="15" t="s">
        <v>71</v>
      </c>
      <c r="D7894" s="15" t="s">
        <v>42</v>
      </c>
      <c r="E7894" s="15" t="s">
        <v>38</v>
      </c>
      <c r="F7894" s="15" t="s">
        <v>16</v>
      </c>
      <c r="G7894" s="15" t="s">
        <v>23</v>
      </c>
      <c r="H7894" s="15" t="n">
        <v>3</v>
      </c>
      <c r="I7894" s="17" t="n">
        <v>0</v>
      </c>
      <c r="J7894" s="18" t="n">
        <v>837.58</v>
      </c>
      <c r="K7894" s="19" t="n">
        <v>42.88</v>
      </c>
      <c r="L7894" s="15" t="n">
        <f aca="false">YEAR(B7894)</f>
        <v>2024</v>
      </c>
      <c r="M7894" s="20" t="n">
        <f aca="false">IF(J7894&gt;0,K7894/J7894,0)</f>
        <v>0.0511951097208625</v>
      </c>
    </row>
    <row r="7895" customFormat="false" ht="15" hidden="false" customHeight="false" outlineLevel="0" collapsed="false">
      <c r="A7895" s="15" t="s">
        <v>7952</v>
      </c>
      <c r="B7895" s="16" t="n">
        <v>45633</v>
      </c>
      <c r="C7895" s="15" t="s">
        <v>71</v>
      </c>
      <c r="D7895" s="15" t="s">
        <v>42</v>
      </c>
      <c r="E7895" s="15" t="s">
        <v>37</v>
      </c>
      <c r="F7895" s="15" t="s">
        <v>18</v>
      </c>
      <c r="G7895" s="15" t="s">
        <v>32</v>
      </c>
      <c r="H7895" s="15" t="n">
        <v>3</v>
      </c>
      <c r="I7895" s="17" t="n">
        <v>0</v>
      </c>
      <c r="J7895" s="18" t="n">
        <v>1076.3</v>
      </c>
      <c r="K7895" s="19" t="n">
        <v>190.08</v>
      </c>
      <c r="L7895" s="15" t="n">
        <f aca="false">YEAR(B7895)</f>
        <v>2024</v>
      </c>
      <c r="M7895" s="20" t="n">
        <f aca="false">IF(J7895&gt;0,K7895/J7895,0)</f>
        <v>0.176605035770696</v>
      </c>
    </row>
    <row r="7896" customFormat="false" ht="15" hidden="false" customHeight="false" outlineLevel="0" collapsed="false">
      <c r="A7896" s="15" t="s">
        <v>7953</v>
      </c>
      <c r="B7896" s="16" t="n">
        <v>45626</v>
      </c>
      <c r="C7896" s="15" t="s">
        <v>71</v>
      </c>
      <c r="D7896" s="15" t="s">
        <v>43</v>
      </c>
      <c r="E7896" s="15" t="s">
        <v>37</v>
      </c>
      <c r="F7896" s="15" t="s">
        <v>17</v>
      </c>
      <c r="G7896" s="15" t="s">
        <v>28</v>
      </c>
      <c r="H7896" s="15" t="n">
        <v>1</v>
      </c>
      <c r="I7896" s="17" t="n">
        <v>0</v>
      </c>
      <c r="J7896" s="18" t="n">
        <v>33.61</v>
      </c>
      <c r="K7896" s="19" t="n">
        <v>10.42</v>
      </c>
      <c r="L7896" s="15" t="n">
        <f aca="false">YEAR(B7896)</f>
        <v>2024</v>
      </c>
      <c r="M7896" s="20" t="n">
        <f aca="false">IF(J7896&gt;0,K7896/J7896,0)</f>
        <v>0.310026777744719</v>
      </c>
    </row>
    <row r="7897" customFormat="false" ht="15" hidden="false" customHeight="false" outlineLevel="0" collapsed="false">
      <c r="A7897" s="15" t="s">
        <v>7954</v>
      </c>
      <c r="B7897" s="16" t="n">
        <v>44788</v>
      </c>
      <c r="C7897" s="15" t="s">
        <v>56</v>
      </c>
      <c r="D7897" s="15" t="s">
        <v>42</v>
      </c>
      <c r="E7897" s="15" t="s">
        <v>37</v>
      </c>
      <c r="F7897" s="15" t="s">
        <v>17</v>
      </c>
      <c r="G7897" s="15" t="s">
        <v>28</v>
      </c>
      <c r="H7897" s="15" t="n">
        <v>1</v>
      </c>
      <c r="I7897" s="17" t="n">
        <v>0.2</v>
      </c>
      <c r="J7897" s="18" t="n">
        <v>18.3</v>
      </c>
      <c r="K7897" s="19" t="n">
        <v>2.74</v>
      </c>
      <c r="L7897" s="15" t="n">
        <f aca="false">YEAR(B7897)</f>
        <v>2022</v>
      </c>
      <c r="M7897" s="20" t="n">
        <f aca="false">IF(J7897&gt;0,K7897/J7897,0)</f>
        <v>0.149726775956284</v>
      </c>
    </row>
    <row r="7898" customFormat="false" ht="15" hidden="false" customHeight="false" outlineLevel="0" collapsed="false">
      <c r="A7898" s="15" t="s">
        <v>7955</v>
      </c>
      <c r="B7898" s="16" t="n">
        <v>44762</v>
      </c>
      <c r="C7898" s="15" t="s">
        <v>56</v>
      </c>
      <c r="D7898" s="15" t="s">
        <v>44</v>
      </c>
      <c r="E7898" s="15" t="s">
        <v>38</v>
      </c>
      <c r="F7898" s="15" t="s">
        <v>17</v>
      </c>
      <c r="G7898" s="15" t="s">
        <v>28</v>
      </c>
      <c r="H7898" s="15" t="n">
        <v>1</v>
      </c>
      <c r="I7898" s="17" t="n">
        <v>0.05</v>
      </c>
      <c r="J7898" s="18" t="n">
        <v>19.29</v>
      </c>
      <c r="K7898" s="19" t="n">
        <v>4.17</v>
      </c>
      <c r="L7898" s="15" t="n">
        <f aca="false">YEAR(B7898)</f>
        <v>2022</v>
      </c>
      <c r="M7898" s="20" t="n">
        <f aca="false">IF(J7898&gt;0,K7898/J7898,0)</f>
        <v>0.216174183514775</v>
      </c>
    </row>
    <row r="7899" customFormat="false" ht="15" hidden="false" customHeight="false" outlineLevel="0" collapsed="false">
      <c r="A7899" s="15" t="s">
        <v>7956</v>
      </c>
      <c r="B7899" s="16" t="n">
        <v>45747</v>
      </c>
      <c r="C7899" s="15" t="s">
        <v>56</v>
      </c>
      <c r="D7899" s="15" t="s">
        <v>42</v>
      </c>
      <c r="E7899" s="15" t="s">
        <v>38</v>
      </c>
      <c r="F7899" s="15" t="s">
        <v>17</v>
      </c>
      <c r="G7899" s="15" t="s">
        <v>29</v>
      </c>
      <c r="H7899" s="15" t="n">
        <v>5</v>
      </c>
      <c r="I7899" s="17" t="n">
        <v>0</v>
      </c>
      <c r="J7899" s="18" t="n">
        <v>89.18</v>
      </c>
      <c r="K7899" s="19" t="n">
        <v>38.39</v>
      </c>
      <c r="L7899" s="15" t="n">
        <f aca="false">YEAR(B7899)</f>
        <v>2025</v>
      </c>
      <c r="M7899" s="20" t="n">
        <f aca="false">IF(J7899&gt;0,K7899/J7899,0)</f>
        <v>0.430477685579726</v>
      </c>
    </row>
    <row r="7900" customFormat="false" ht="15" hidden="false" customHeight="false" outlineLevel="0" collapsed="false">
      <c r="A7900" s="15" t="s">
        <v>7957</v>
      </c>
      <c r="B7900" s="16" t="n">
        <v>45478</v>
      </c>
      <c r="C7900" s="15" t="s">
        <v>56</v>
      </c>
      <c r="D7900" s="15" t="s">
        <v>42</v>
      </c>
      <c r="E7900" s="15" t="s">
        <v>38</v>
      </c>
      <c r="F7900" s="15" t="s">
        <v>17</v>
      </c>
      <c r="G7900" s="15" t="s">
        <v>26</v>
      </c>
      <c r="H7900" s="15" t="n">
        <v>2</v>
      </c>
      <c r="I7900" s="17" t="n">
        <v>0.05</v>
      </c>
      <c r="J7900" s="18" t="n">
        <v>144.78</v>
      </c>
      <c r="K7900" s="19" t="n">
        <v>12.97</v>
      </c>
      <c r="L7900" s="15" t="n">
        <f aca="false">YEAR(B7900)</f>
        <v>2024</v>
      </c>
      <c r="M7900" s="20" t="n">
        <f aca="false">IF(J7900&gt;0,K7900/J7900,0)</f>
        <v>0.0895841967122531</v>
      </c>
    </row>
    <row r="7901" customFormat="false" ht="15" hidden="false" customHeight="false" outlineLevel="0" collapsed="false">
      <c r="A7901" s="15" t="s">
        <v>7958</v>
      </c>
      <c r="B7901" s="16" t="n">
        <v>45701</v>
      </c>
      <c r="C7901" s="15" t="s">
        <v>56</v>
      </c>
      <c r="D7901" s="15" t="s">
        <v>43</v>
      </c>
      <c r="E7901" s="15" t="s">
        <v>39</v>
      </c>
      <c r="F7901" s="15" t="s">
        <v>17</v>
      </c>
      <c r="G7901" s="15" t="s">
        <v>28</v>
      </c>
      <c r="H7901" s="15" t="n">
        <v>2</v>
      </c>
      <c r="I7901" s="17" t="n">
        <v>0</v>
      </c>
      <c r="J7901" s="18" t="n">
        <v>59.76</v>
      </c>
      <c r="K7901" s="19" t="n">
        <v>14.84</v>
      </c>
      <c r="L7901" s="15" t="n">
        <f aca="false">YEAR(B7901)</f>
        <v>2025</v>
      </c>
      <c r="M7901" s="20" t="n">
        <f aca="false">IF(J7901&gt;0,K7901/J7901,0)</f>
        <v>0.248326639892905</v>
      </c>
    </row>
    <row r="7902" customFormat="false" ht="15" hidden="false" customHeight="false" outlineLevel="0" collapsed="false">
      <c r="A7902" s="15" t="s">
        <v>7959</v>
      </c>
      <c r="B7902" s="16" t="n">
        <v>45352</v>
      </c>
      <c r="C7902" s="15" t="s">
        <v>71</v>
      </c>
      <c r="D7902" s="15" t="s">
        <v>43</v>
      </c>
      <c r="E7902" s="15" t="s">
        <v>38</v>
      </c>
      <c r="F7902" s="15" t="s">
        <v>17</v>
      </c>
      <c r="G7902" s="15" t="s">
        <v>31</v>
      </c>
      <c r="H7902" s="15" t="n">
        <v>5</v>
      </c>
      <c r="I7902" s="17" t="n">
        <v>0.3</v>
      </c>
      <c r="J7902" s="18" t="n">
        <v>423.44</v>
      </c>
      <c r="K7902" s="19" t="n">
        <v>-35.48</v>
      </c>
      <c r="L7902" s="15" t="n">
        <f aca="false">YEAR(B7902)</f>
        <v>2024</v>
      </c>
      <c r="M7902" s="20" t="n">
        <f aca="false">IF(J7902&gt;0,K7902/J7902,0)</f>
        <v>-0.0837899112034763</v>
      </c>
    </row>
    <row r="7903" customFormat="false" ht="15" hidden="false" customHeight="false" outlineLevel="0" collapsed="false">
      <c r="A7903" s="15" t="s">
        <v>7960</v>
      </c>
      <c r="B7903" s="16" t="n">
        <v>44611</v>
      </c>
      <c r="C7903" s="15" t="s">
        <v>58</v>
      </c>
      <c r="D7903" s="15" t="s">
        <v>42</v>
      </c>
      <c r="E7903" s="15" t="s">
        <v>39</v>
      </c>
      <c r="F7903" s="15" t="s">
        <v>17</v>
      </c>
      <c r="G7903" s="15" t="s">
        <v>28</v>
      </c>
      <c r="H7903" s="15" t="n">
        <v>3</v>
      </c>
      <c r="I7903" s="17" t="n">
        <v>0</v>
      </c>
      <c r="J7903" s="18" t="n">
        <v>70.37</v>
      </c>
      <c r="K7903" s="19" t="n">
        <v>18.13</v>
      </c>
      <c r="L7903" s="15" t="n">
        <f aca="false">YEAR(B7903)</f>
        <v>2022</v>
      </c>
      <c r="M7903" s="20" t="n">
        <f aca="false">IF(J7903&gt;0,K7903/J7903,0)</f>
        <v>0.257638198095779</v>
      </c>
    </row>
    <row r="7904" customFormat="false" ht="15" hidden="false" customHeight="false" outlineLevel="0" collapsed="false">
      <c r="A7904" s="15" t="s">
        <v>7961</v>
      </c>
      <c r="B7904" s="16" t="n">
        <v>45567</v>
      </c>
      <c r="C7904" s="15" t="s">
        <v>68</v>
      </c>
      <c r="D7904" s="15" t="s">
        <v>43</v>
      </c>
      <c r="E7904" s="15" t="s">
        <v>36</v>
      </c>
      <c r="F7904" s="15" t="s">
        <v>18</v>
      </c>
      <c r="G7904" s="15" t="s">
        <v>30</v>
      </c>
      <c r="H7904" s="15" t="n">
        <v>4</v>
      </c>
      <c r="I7904" s="17" t="n">
        <v>0</v>
      </c>
      <c r="J7904" s="18" t="n">
        <v>171.49</v>
      </c>
      <c r="K7904" s="19" t="n">
        <v>49.56</v>
      </c>
      <c r="L7904" s="15" t="n">
        <f aca="false">YEAR(B7904)</f>
        <v>2024</v>
      </c>
      <c r="M7904" s="20" t="n">
        <f aca="false">IF(J7904&gt;0,K7904/J7904,0)</f>
        <v>0.288996442941279</v>
      </c>
    </row>
    <row r="7905" customFormat="false" ht="15" hidden="false" customHeight="false" outlineLevel="0" collapsed="false">
      <c r="A7905" s="15" t="s">
        <v>7962</v>
      </c>
      <c r="B7905" s="16" t="n">
        <v>45403</v>
      </c>
      <c r="C7905" s="15" t="s">
        <v>56</v>
      </c>
      <c r="D7905" s="15" t="s">
        <v>42</v>
      </c>
      <c r="E7905" s="15" t="s">
        <v>39</v>
      </c>
      <c r="F7905" s="15" t="s">
        <v>16</v>
      </c>
      <c r="G7905" s="15" t="s">
        <v>25</v>
      </c>
      <c r="H7905" s="15" t="n">
        <v>2</v>
      </c>
      <c r="I7905" s="17" t="n">
        <v>0.2</v>
      </c>
      <c r="J7905" s="18" t="n">
        <v>489.16</v>
      </c>
      <c r="K7905" s="19" t="n">
        <v>-58.85</v>
      </c>
      <c r="L7905" s="15" t="n">
        <f aca="false">YEAR(B7905)</f>
        <v>2024</v>
      </c>
      <c r="M7905" s="20" t="n">
        <f aca="false">IF(J7905&gt;0,K7905/J7905,0)</f>
        <v>-0.120308283588192</v>
      </c>
    </row>
    <row r="7906" customFormat="false" ht="15" hidden="false" customHeight="false" outlineLevel="0" collapsed="false">
      <c r="A7906" s="15" t="s">
        <v>7963</v>
      </c>
      <c r="B7906" s="16" t="n">
        <v>45291</v>
      </c>
      <c r="C7906" s="15" t="s">
        <v>56</v>
      </c>
      <c r="D7906" s="15" t="s">
        <v>42</v>
      </c>
      <c r="E7906" s="15" t="s">
        <v>36</v>
      </c>
      <c r="F7906" s="15" t="s">
        <v>17</v>
      </c>
      <c r="G7906" s="15" t="s">
        <v>28</v>
      </c>
      <c r="H7906" s="15" t="n">
        <v>8</v>
      </c>
      <c r="I7906" s="17" t="n">
        <v>0.3</v>
      </c>
      <c r="J7906" s="18" t="n">
        <v>151.66</v>
      </c>
      <c r="K7906" s="19" t="n">
        <v>16.72</v>
      </c>
      <c r="L7906" s="15" t="n">
        <f aca="false">YEAR(B7906)</f>
        <v>2023</v>
      </c>
      <c r="M7906" s="20" t="n">
        <f aca="false">IF(J7906&gt;0,K7906/J7906,0)</f>
        <v>0.11024660424634</v>
      </c>
    </row>
    <row r="7907" customFormat="false" ht="15" hidden="false" customHeight="false" outlineLevel="0" collapsed="false">
      <c r="A7907" s="15" t="s">
        <v>7964</v>
      </c>
      <c r="B7907" s="16" t="n">
        <v>45069</v>
      </c>
      <c r="C7907" s="15" t="s">
        <v>71</v>
      </c>
      <c r="D7907" s="15" t="s">
        <v>42</v>
      </c>
      <c r="E7907" s="15" t="s">
        <v>37</v>
      </c>
      <c r="F7907" s="15" t="s">
        <v>17</v>
      </c>
      <c r="G7907" s="15" t="s">
        <v>29</v>
      </c>
      <c r="H7907" s="15" t="n">
        <v>4</v>
      </c>
      <c r="I7907" s="17" t="n">
        <v>0.2</v>
      </c>
      <c r="J7907" s="18" t="n">
        <v>58.78</v>
      </c>
      <c r="K7907" s="19" t="n">
        <v>11.6</v>
      </c>
      <c r="L7907" s="15" t="n">
        <f aca="false">YEAR(B7907)</f>
        <v>2023</v>
      </c>
      <c r="M7907" s="20" t="n">
        <f aca="false">IF(J7907&gt;0,K7907/J7907,0)</f>
        <v>0.197346036066689</v>
      </c>
    </row>
    <row r="7908" customFormat="false" ht="15" hidden="false" customHeight="false" outlineLevel="0" collapsed="false">
      <c r="A7908" s="15" t="s">
        <v>7965</v>
      </c>
      <c r="B7908" s="16" t="n">
        <v>45760</v>
      </c>
      <c r="C7908" s="15" t="s">
        <v>56</v>
      </c>
      <c r="D7908" s="15" t="s">
        <v>44</v>
      </c>
      <c r="E7908" s="15" t="s">
        <v>37</v>
      </c>
      <c r="F7908" s="15" t="s">
        <v>17</v>
      </c>
      <c r="G7908" s="15" t="s">
        <v>29</v>
      </c>
      <c r="H7908" s="15" t="n">
        <v>7</v>
      </c>
      <c r="I7908" s="17" t="n">
        <v>0</v>
      </c>
      <c r="J7908" s="18" t="n">
        <v>123.72</v>
      </c>
      <c r="K7908" s="19" t="n">
        <v>37.07</v>
      </c>
      <c r="L7908" s="15" t="n">
        <f aca="false">YEAR(B7908)</f>
        <v>2025</v>
      </c>
      <c r="M7908" s="20" t="n">
        <f aca="false">IF(J7908&gt;0,K7908/J7908,0)</f>
        <v>0.299628192693178</v>
      </c>
    </row>
    <row r="7909" customFormat="false" ht="15" hidden="false" customHeight="false" outlineLevel="0" collapsed="false">
      <c r="A7909" s="15" t="s">
        <v>7966</v>
      </c>
      <c r="B7909" s="16" t="n">
        <v>45184</v>
      </c>
      <c r="C7909" s="15" t="s">
        <v>58</v>
      </c>
      <c r="D7909" s="15" t="s">
        <v>42</v>
      </c>
      <c r="E7909" s="15" t="s">
        <v>36</v>
      </c>
      <c r="F7909" s="15" t="s">
        <v>18</v>
      </c>
      <c r="G7909" s="15" t="s">
        <v>30</v>
      </c>
      <c r="H7909" s="15" t="n">
        <v>3</v>
      </c>
      <c r="I7909" s="17" t="n">
        <v>0</v>
      </c>
      <c r="J7909" s="18" t="n">
        <v>118.54</v>
      </c>
      <c r="K7909" s="19" t="n">
        <v>34.86</v>
      </c>
      <c r="L7909" s="15" t="n">
        <f aca="false">YEAR(B7909)</f>
        <v>2023</v>
      </c>
      <c r="M7909" s="20" t="n">
        <f aca="false">IF(J7909&gt;0,K7909/J7909,0)</f>
        <v>0.294077948371858</v>
      </c>
    </row>
    <row r="7910" customFormat="false" ht="15" hidden="false" customHeight="false" outlineLevel="0" collapsed="false">
      <c r="A7910" s="15" t="s">
        <v>7967</v>
      </c>
      <c r="B7910" s="16" t="n">
        <v>44854</v>
      </c>
      <c r="C7910" s="15" t="s">
        <v>71</v>
      </c>
      <c r="D7910" s="15" t="s">
        <v>43</v>
      </c>
      <c r="E7910" s="15" t="s">
        <v>38</v>
      </c>
      <c r="F7910" s="15" t="s">
        <v>17</v>
      </c>
      <c r="G7910" s="15" t="s">
        <v>28</v>
      </c>
      <c r="H7910" s="15" t="n">
        <v>3</v>
      </c>
      <c r="I7910" s="17" t="n">
        <v>0.2</v>
      </c>
      <c r="J7910" s="18" t="n">
        <v>55.23</v>
      </c>
      <c r="K7910" s="19" t="n">
        <v>4.98</v>
      </c>
      <c r="L7910" s="15" t="n">
        <f aca="false">YEAR(B7910)</f>
        <v>2022</v>
      </c>
      <c r="M7910" s="20" t="n">
        <f aca="false">IF(J7910&gt;0,K7910/J7910,0)</f>
        <v>0.0901683867463335</v>
      </c>
    </row>
    <row r="7911" customFormat="false" ht="15" hidden="false" customHeight="false" outlineLevel="0" collapsed="false">
      <c r="A7911" s="15" t="s">
        <v>7968</v>
      </c>
      <c r="B7911" s="16" t="n">
        <v>45967</v>
      </c>
      <c r="C7911" s="15" t="s">
        <v>56</v>
      </c>
      <c r="D7911" s="15" t="s">
        <v>42</v>
      </c>
      <c r="E7911" s="15" t="s">
        <v>36</v>
      </c>
      <c r="F7911" s="15" t="s">
        <v>16</v>
      </c>
      <c r="G7911" s="15" t="s">
        <v>27</v>
      </c>
      <c r="H7911" s="15" t="n">
        <v>4</v>
      </c>
      <c r="I7911" s="17" t="n">
        <v>0</v>
      </c>
      <c r="J7911" s="18" t="n">
        <v>240.9</v>
      </c>
      <c r="K7911" s="19" t="n">
        <v>57.73</v>
      </c>
      <c r="L7911" s="15" t="n">
        <f aca="false">YEAR(B7911)</f>
        <v>2025</v>
      </c>
      <c r="M7911" s="20" t="n">
        <f aca="false">IF(J7911&gt;0,K7911/J7911,0)</f>
        <v>0.23964300539643</v>
      </c>
    </row>
    <row r="7912" customFormat="false" ht="15" hidden="false" customHeight="false" outlineLevel="0" collapsed="false">
      <c r="A7912" s="15" t="s">
        <v>7969</v>
      </c>
      <c r="B7912" s="16" t="n">
        <v>45509</v>
      </c>
      <c r="C7912" s="15" t="s">
        <v>68</v>
      </c>
      <c r="D7912" s="15" t="s">
        <v>42</v>
      </c>
      <c r="E7912" s="15" t="s">
        <v>38</v>
      </c>
      <c r="F7912" s="15" t="s">
        <v>17</v>
      </c>
      <c r="G7912" s="15" t="s">
        <v>31</v>
      </c>
      <c r="H7912" s="15" t="n">
        <v>2</v>
      </c>
      <c r="I7912" s="17" t="n">
        <v>0.15</v>
      </c>
      <c r="J7912" s="18" t="n">
        <v>206.69</v>
      </c>
      <c r="K7912" s="19" t="n">
        <v>15.54</v>
      </c>
      <c r="L7912" s="15" t="n">
        <f aca="false">YEAR(B7912)</f>
        <v>2024</v>
      </c>
      <c r="M7912" s="20" t="n">
        <f aca="false">IF(J7912&gt;0,K7912/J7912,0)</f>
        <v>0.0751850597513184</v>
      </c>
    </row>
    <row r="7913" customFormat="false" ht="15" hidden="false" customHeight="false" outlineLevel="0" collapsed="false">
      <c r="A7913" s="15" t="s">
        <v>7970</v>
      </c>
      <c r="B7913" s="16" t="n">
        <v>45984</v>
      </c>
      <c r="C7913" s="15" t="s">
        <v>56</v>
      </c>
      <c r="D7913" s="15" t="s">
        <v>42</v>
      </c>
      <c r="E7913" s="15" t="s">
        <v>36</v>
      </c>
      <c r="F7913" s="15" t="s">
        <v>17</v>
      </c>
      <c r="G7913" s="15" t="s">
        <v>28</v>
      </c>
      <c r="H7913" s="15" t="n">
        <v>3</v>
      </c>
      <c r="I7913" s="17" t="n">
        <v>0.1</v>
      </c>
      <c r="J7913" s="18" t="n">
        <v>68.42</v>
      </c>
      <c r="K7913" s="19" t="n">
        <v>14.52</v>
      </c>
      <c r="L7913" s="15" t="n">
        <f aca="false">YEAR(B7913)</f>
        <v>2025</v>
      </c>
      <c r="M7913" s="20" t="n">
        <f aca="false">IF(J7913&gt;0,K7913/J7913,0)</f>
        <v>0.212218649517685</v>
      </c>
    </row>
    <row r="7914" customFormat="false" ht="15" hidden="false" customHeight="false" outlineLevel="0" collapsed="false">
      <c r="A7914" s="15" t="s">
        <v>7971</v>
      </c>
      <c r="B7914" s="16" t="n">
        <v>45855</v>
      </c>
      <c r="C7914" s="15" t="s">
        <v>56</v>
      </c>
      <c r="D7914" s="15" t="s">
        <v>43</v>
      </c>
      <c r="E7914" s="15" t="s">
        <v>38</v>
      </c>
      <c r="F7914" s="15" t="s">
        <v>18</v>
      </c>
      <c r="G7914" s="15" t="s">
        <v>32</v>
      </c>
      <c r="H7914" s="15" t="n">
        <v>4</v>
      </c>
      <c r="I7914" s="17" t="n">
        <v>0.1</v>
      </c>
      <c r="J7914" s="18" t="n">
        <v>1426.65</v>
      </c>
      <c r="K7914" s="19" t="n">
        <v>142.64</v>
      </c>
      <c r="L7914" s="15" t="n">
        <f aca="false">YEAR(B7914)</f>
        <v>2025</v>
      </c>
      <c r="M7914" s="20" t="n">
        <f aca="false">IF(J7914&gt;0,K7914/J7914,0)</f>
        <v>0.0999824764307994</v>
      </c>
    </row>
    <row r="7915" customFormat="false" ht="15" hidden="false" customHeight="false" outlineLevel="0" collapsed="false">
      <c r="A7915" s="15" t="s">
        <v>7972</v>
      </c>
      <c r="B7915" s="16" t="n">
        <v>45538</v>
      </c>
      <c r="C7915" s="15" t="s">
        <v>68</v>
      </c>
      <c r="D7915" s="15" t="s">
        <v>42</v>
      </c>
      <c r="E7915" s="15" t="s">
        <v>39</v>
      </c>
      <c r="F7915" s="15" t="s">
        <v>18</v>
      </c>
      <c r="G7915" s="15" t="s">
        <v>30</v>
      </c>
      <c r="H7915" s="15" t="n">
        <v>4</v>
      </c>
      <c r="I7915" s="17" t="n">
        <v>0.2</v>
      </c>
      <c r="J7915" s="18" t="n">
        <v>147.76</v>
      </c>
      <c r="K7915" s="19" t="n">
        <v>12.83</v>
      </c>
      <c r="L7915" s="15" t="n">
        <f aca="false">YEAR(B7915)</f>
        <v>2024</v>
      </c>
      <c r="M7915" s="20" t="n">
        <f aca="false">IF(J7915&gt;0,K7915/J7915,0)</f>
        <v>0.0868299945858148</v>
      </c>
    </row>
    <row r="7916" customFormat="false" ht="15" hidden="false" customHeight="false" outlineLevel="0" collapsed="false">
      <c r="A7916" s="15" t="s">
        <v>7973</v>
      </c>
      <c r="B7916" s="16" t="n">
        <v>45162</v>
      </c>
      <c r="C7916" s="15" t="s">
        <v>71</v>
      </c>
      <c r="D7916" s="15" t="s">
        <v>43</v>
      </c>
      <c r="E7916" s="15" t="s">
        <v>39</v>
      </c>
      <c r="F7916" s="15" t="s">
        <v>17</v>
      </c>
      <c r="G7916" s="15" t="s">
        <v>31</v>
      </c>
      <c r="H7916" s="15" t="n">
        <v>2</v>
      </c>
      <c r="I7916" s="17" t="n">
        <v>0.2</v>
      </c>
      <c r="J7916" s="18" t="n">
        <v>252.21</v>
      </c>
      <c r="K7916" s="19" t="n">
        <v>6.65</v>
      </c>
      <c r="L7916" s="15" t="n">
        <f aca="false">YEAR(B7916)</f>
        <v>2023</v>
      </c>
      <c r="M7916" s="20" t="n">
        <f aca="false">IF(J7916&gt;0,K7916/J7916,0)</f>
        <v>0.0263669164585068</v>
      </c>
    </row>
    <row r="7917" customFormat="false" ht="15" hidden="false" customHeight="false" outlineLevel="0" collapsed="false">
      <c r="A7917" s="15" t="s">
        <v>7974</v>
      </c>
      <c r="B7917" s="16" t="n">
        <v>45255</v>
      </c>
      <c r="C7917" s="15" t="s">
        <v>56</v>
      </c>
      <c r="D7917" s="15" t="s">
        <v>43</v>
      </c>
      <c r="E7917" s="15" t="s">
        <v>38</v>
      </c>
      <c r="F7917" s="15" t="s">
        <v>18</v>
      </c>
      <c r="G7917" s="15" t="s">
        <v>30</v>
      </c>
      <c r="H7917" s="15" t="n">
        <v>2</v>
      </c>
      <c r="I7917" s="17" t="n">
        <v>0.1</v>
      </c>
      <c r="J7917" s="18" t="n">
        <v>63.51</v>
      </c>
      <c r="K7917" s="19" t="n">
        <v>12.34</v>
      </c>
      <c r="L7917" s="15" t="n">
        <f aca="false">YEAR(B7917)</f>
        <v>2023</v>
      </c>
      <c r="M7917" s="20" t="n">
        <f aca="false">IF(J7917&gt;0,K7917/J7917,0)</f>
        <v>0.194300110218863</v>
      </c>
    </row>
    <row r="7918" customFormat="false" ht="15" hidden="false" customHeight="false" outlineLevel="0" collapsed="false">
      <c r="A7918" s="15" t="s">
        <v>7975</v>
      </c>
      <c r="B7918" s="16" t="n">
        <v>45882</v>
      </c>
      <c r="C7918" s="15" t="s">
        <v>56</v>
      </c>
      <c r="D7918" s="15" t="s">
        <v>43</v>
      </c>
      <c r="E7918" s="15" t="s">
        <v>36</v>
      </c>
      <c r="F7918" s="15" t="s">
        <v>17</v>
      </c>
      <c r="G7918" s="15" t="s">
        <v>29</v>
      </c>
      <c r="H7918" s="15" t="n">
        <v>2</v>
      </c>
      <c r="I7918" s="17" t="n">
        <v>0.15</v>
      </c>
      <c r="J7918" s="18" t="n">
        <v>23.37</v>
      </c>
      <c r="K7918" s="19" t="n">
        <v>5.81</v>
      </c>
      <c r="L7918" s="15" t="n">
        <f aca="false">YEAR(B7918)</f>
        <v>2025</v>
      </c>
      <c r="M7918" s="20" t="n">
        <f aca="false">IF(J7918&gt;0,K7918/J7918,0)</f>
        <v>0.248609328198545</v>
      </c>
    </row>
    <row r="7919" customFormat="false" ht="15" hidden="false" customHeight="false" outlineLevel="0" collapsed="false">
      <c r="A7919" s="15" t="s">
        <v>7976</v>
      </c>
      <c r="B7919" s="16" t="n">
        <v>45800</v>
      </c>
      <c r="C7919" s="15" t="s">
        <v>56</v>
      </c>
      <c r="D7919" s="15" t="s">
        <v>44</v>
      </c>
      <c r="E7919" s="15" t="s">
        <v>39</v>
      </c>
      <c r="F7919" s="15" t="s">
        <v>17</v>
      </c>
      <c r="G7919" s="15" t="s">
        <v>29</v>
      </c>
      <c r="H7919" s="15" t="n">
        <v>2</v>
      </c>
      <c r="I7919" s="17" t="n">
        <v>0</v>
      </c>
      <c r="J7919" s="18" t="n">
        <v>35.06</v>
      </c>
      <c r="K7919" s="19" t="n">
        <v>11.94</v>
      </c>
      <c r="L7919" s="15" t="n">
        <f aca="false">YEAR(B7919)</f>
        <v>2025</v>
      </c>
      <c r="M7919" s="20" t="n">
        <f aca="false">IF(J7919&gt;0,K7919/J7919,0)</f>
        <v>0.340559041642898</v>
      </c>
    </row>
    <row r="7920" customFormat="false" ht="15" hidden="false" customHeight="false" outlineLevel="0" collapsed="false">
      <c r="A7920" s="15" t="s">
        <v>7977</v>
      </c>
      <c r="B7920" s="16" t="n">
        <v>45725</v>
      </c>
      <c r="C7920" s="15" t="s">
        <v>56</v>
      </c>
      <c r="D7920" s="15" t="s">
        <v>44</v>
      </c>
      <c r="E7920" s="15" t="s">
        <v>39</v>
      </c>
      <c r="F7920" s="15" t="s">
        <v>17</v>
      </c>
      <c r="G7920" s="15" t="s">
        <v>26</v>
      </c>
      <c r="H7920" s="15" t="n">
        <v>3</v>
      </c>
      <c r="I7920" s="17" t="n">
        <v>0.05</v>
      </c>
      <c r="J7920" s="18" t="n">
        <v>237.52</v>
      </c>
      <c r="K7920" s="19" t="n">
        <v>12.49</v>
      </c>
      <c r="L7920" s="15" t="n">
        <f aca="false">YEAR(B7920)</f>
        <v>2025</v>
      </c>
      <c r="M7920" s="20" t="n">
        <f aca="false">IF(J7920&gt;0,K7920/J7920,0)</f>
        <v>0.0525850454698552</v>
      </c>
    </row>
    <row r="7921" customFormat="false" ht="15" hidden="false" customHeight="false" outlineLevel="0" collapsed="false">
      <c r="A7921" s="15" t="s">
        <v>7978</v>
      </c>
      <c r="B7921" s="16" t="n">
        <v>45203</v>
      </c>
      <c r="C7921" s="15" t="s">
        <v>68</v>
      </c>
      <c r="D7921" s="15" t="s">
        <v>44</v>
      </c>
      <c r="E7921" s="15" t="s">
        <v>39</v>
      </c>
      <c r="F7921" s="15" t="s">
        <v>18</v>
      </c>
      <c r="G7921" s="15" t="s">
        <v>30</v>
      </c>
      <c r="H7921" s="15" t="n">
        <v>3</v>
      </c>
      <c r="I7921" s="17" t="n">
        <v>0</v>
      </c>
      <c r="J7921" s="18" t="n">
        <v>142.98</v>
      </c>
      <c r="K7921" s="19" t="n">
        <v>40.64</v>
      </c>
      <c r="L7921" s="15" t="n">
        <f aca="false">YEAR(B7921)</f>
        <v>2023</v>
      </c>
      <c r="M7921" s="20" t="n">
        <f aca="false">IF(J7921&gt;0,K7921/J7921,0)</f>
        <v>0.284235557420618</v>
      </c>
    </row>
    <row r="7922" customFormat="false" ht="15" hidden="false" customHeight="false" outlineLevel="0" collapsed="false">
      <c r="A7922" s="15" t="s">
        <v>7979</v>
      </c>
      <c r="B7922" s="16" t="n">
        <v>45205</v>
      </c>
      <c r="C7922" s="15" t="s">
        <v>71</v>
      </c>
      <c r="D7922" s="15" t="s">
        <v>42</v>
      </c>
      <c r="E7922" s="15" t="s">
        <v>38</v>
      </c>
      <c r="F7922" s="15" t="s">
        <v>17</v>
      </c>
      <c r="G7922" s="15" t="s">
        <v>26</v>
      </c>
      <c r="H7922" s="15" t="n">
        <v>4</v>
      </c>
      <c r="I7922" s="17" t="n">
        <v>0.3</v>
      </c>
      <c r="J7922" s="18" t="n">
        <v>179.94</v>
      </c>
      <c r="K7922" s="19" t="n">
        <v>-18.25</v>
      </c>
      <c r="L7922" s="15" t="n">
        <f aca="false">YEAR(B7922)</f>
        <v>2023</v>
      </c>
      <c r="M7922" s="20" t="n">
        <f aca="false">IF(J7922&gt;0,K7922/J7922,0)</f>
        <v>-0.101422696454374</v>
      </c>
    </row>
    <row r="7923" customFormat="false" ht="15" hidden="false" customHeight="false" outlineLevel="0" collapsed="false">
      <c r="A7923" s="15" t="s">
        <v>7980</v>
      </c>
      <c r="B7923" s="16" t="n">
        <v>45751</v>
      </c>
      <c r="C7923" s="15" t="s">
        <v>71</v>
      </c>
      <c r="D7923" s="15" t="s">
        <v>42</v>
      </c>
      <c r="E7923" s="15" t="s">
        <v>39</v>
      </c>
      <c r="F7923" s="15" t="s">
        <v>17</v>
      </c>
      <c r="G7923" s="15" t="s">
        <v>26</v>
      </c>
      <c r="H7923" s="15" t="n">
        <v>7</v>
      </c>
      <c r="I7923" s="17" t="n">
        <v>0.05</v>
      </c>
      <c r="J7923" s="18" t="n">
        <v>560.17</v>
      </c>
      <c r="K7923" s="19" t="n">
        <v>7.66</v>
      </c>
      <c r="L7923" s="15" t="n">
        <f aca="false">YEAR(B7923)</f>
        <v>2025</v>
      </c>
      <c r="M7923" s="20" t="n">
        <f aca="false">IF(J7923&gt;0,K7923/J7923,0)</f>
        <v>0.0136744202652766</v>
      </c>
    </row>
    <row r="7924" customFormat="false" ht="15" hidden="false" customHeight="false" outlineLevel="0" collapsed="false">
      <c r="A7924" s="15" t="s">
        <v>7981</v>
      </c>
      <c r="B7924" s="16" t="n">
        <v>45800</v>
      </c>
      <c r="C7924" s="15" t="s">
        <v>68</v>
      </c>
      <c r="D7924" s="15" t="s">
        <v>42</v>
      </c>
      <c r="E7924" s="15" t="s">
        <v>37</v>
      </c>
      <c r="F7924" s="15" t="s">
        <v>17</v>
      </c>
      <c r="G7924" s="15" t="s">
        <v>28</v>
      </c>
      <c r="H7924" s="15" t="n">
        <v>3</v>
      </c>
      <c r="I7924" s="17" t="n">
        <v>0</v>
      </c>
      <c r="J7924" s="18" t="n">
        <v>80.63</v>
      </c>
      <c r="K7924" s="19" t="n">
        <v>27.59</v>
      </c>
      <c r="L7924" s="15" t="n">
        <f aca="false">YEAR(B7924)</f>
        <v>2025</v>
      </c>
      <c r="M7924" s="20" t="n">
        <f aca="false">IF(J7924&gt;0,K7924/J7924,0)</f>
        <v>0.342180329902022</v>
      </c>
    </row>
    <row r="7925" customFormat="false" ht="15" hidden="false" customHeight="false" outlineLevel="0" collapsed="false">
      <c r="A7925" s="15" t="s">
        <v>7982</v>
      </c>
      <c r="B7925" s="16" t="n">
        <v>44649</v>
      </c>
      <c r="C7925" s="15" t="s">
        <v>56</v>
      </c>
      <c r="D7925" s="15" t="s">
        <v>43</v>
      </c>
      <c r="E7925" s="15" t="s">
        <v>37</v>
      </c>
      <c r="F7925" s="15" t="s">
        <v>18</v>
      </c>
      <c r="G7925" s="15" t="s">
        <v>32</v>
      </c>
      <c r="H7925" s="15" t="n">
        <v>3</v>
      </c>
      <c r="I7925" s="17" t="n">
        <v>0.1</v>
      </c>
      <c r="J7925" s="18" t="n">
        <v>1092.02</v>
      </c>
      <c r="K7925" s="19" t="n">
        <v>117</v>
      </c>
      <c r="L7925" s="15" t="n">
        <f aca="false">YEAR(B7925)</f>
        <v>2022</v>
      </c>
      <c r="M7925" s="20" t="n">
        <f aca="false">IF(J7925&gt;0,K7925/J7925,0)</f>
        <v>0.107140894855406</v>
      </c>
    </row>
    <row r="7926" customFormat="false" ht="15" hidden="false" customHeight="false" outlineLevel="0" collapsed="false">
      <c r="A7926" s="15" t="s">
        <v>7983</v>
      </c>
      <c r="B7926" s="16" t="n">
        <v>45605</v>
      </c>
      <c r="C7926" s="15" t="s">
        <v>56</v>
      </c>
      <c r="D7926" s="15" t="s">
        <v>42</v>
      </c>
      <c r="E7926" s="15" t="s">
        <v>36</v>
      </c>
      <c r="F7926" s="15" t="s">
        <v>17</v>
      </c>
      <c r="G7926" s="15" t="s">
        <v>28</v>
      </c>
      <c r="H7926" s="15" t="n">
        <v>5</v>
      </c>
      <c r="I7926" s="17" t="n">
        <v>0.15</v>
      </c>
      <c r="J7926" s="18" t="n">
        <v>127.43</v>
      </c>
      <c r="K7926" s="19" t="n">
        <v>30.69</v>
      </c>
      <c r="L7926" s="15" t="n">
        <f aca="false">YEAR(B7926)</f>
        <v>2024</v>
      </c>
      <c r="M7926" s="20" t="n">
        <f aca="false">IF(J7926&gt;0,K7926/J7926,0)</f>
        <v>0.240838107196108</v>
      </c>
    </row>
    <row r="7927" customFormat="false" ht="15" hidden="false" customHeight="false" outlineLevel="0" collapsed="false">
      <c r="A7927" s="15" t="s">
        <v>7984</v>
      </c>
      <c r="B7927" s="16" t="n">
        <v>45063</v>
      </c>
      <c r="C7927" s="15" t="s">
        <v>56</v>
      </c>
      <c r="D7927" s="15" t="s">
        <v>43</v>
      </c>
      <c r="E7927" s="15" t="s">
        <v>39</v>
      </c>
      <c r="F7927" s="15" t="s">
        <v>18</v>
      </c>
      <c r="G7927" s="15" t="s">
        <v>30</v>
      </c>
      <c r="H7927" s="15" t="n">
        <v>5</v>
      </c>
      <c r="I7927" s="17" t="n">
        <v>0.15</v>
      </c>
      <c r="J7927" s="18" t="n">
        <v>165.6</v>
      </c>
      <c r="K7927" s="19" t="n">
        <v>26.01</v>
      </c>
      <c r="L7927" s="15" t="n">
        <f aca="false">YEAR(B7927)</f>
        <v>2023</v>
      </c>
      <c r="M7927" s="20" t="n">
        <f aca="false">IF(J7927&gt;0,K7927/J7927,0)</f>
        <v>0.157065217391304</v>
      </c>
    </row>
    <row r="7928" customFormat="false" ht="15" hidden="false" customHeight="false" outlineLevel="0" collapsed="false">
      <c r="A7928" s="15" t="s">
        <v>7985</v>
      </c>
      <c r="B7928" s="16" t="n">
        <v>46000</v>
      </c>
      <c r="C7928" s="15" t="s">
        <v>71</v>
      </c>
      <c r="D7928" s="15" t="s">
        <v>42</v>
      </c>
      <c r="E7928" s="15" t="s">
        <v>36</v>
      </c>
      <c r="F7928" s="15" t="s">
        <v>17</v>
      </c>
      <c r="G7928" s="15" t="s">
        <v>29</v>
      </c>
      <c r="H7928" s="15" t="n">
        <v>2</v>
      </c>
      <c r="I7928" s="17" t="n">
        <v>0</v>
      </c>
      <c r="J7928" s="18" t="n">
        <v>33</v>
      </c>
      <c r="K7928" s="19" t="n">
        <v>13.7</v>
      </c>
      <c r="L7928" s="15" t="n">
        <f aca="false">YEAR(B7928)</f>
        <v>2025</v>
      </c>
      <c r="M7928" s="20" t="n">
        <f aca="false">IF(J7928&gt;0,K7928/J7928,0)</f>
        <v>0.415151515151515</v>
      </c>
    </row>
    <row r="7929" customFormat="false" ht="15" hidden="false" customHeight="false" outlineLevel="0" collapsed="false">
      <c r="A7929" s="15" t="s">
        <v>7986</v>
      </c>
      <c r="B7929" s="16" t="n">
        <v>45627</v>
      </c>
      <c r="C7929" s="15" t="s">
        <v>56</v>
      </c>
      <c r="D7929" s="15" t="s">
        <v>42</v>
      </c>
      <c r="E7929" s="15" t="s">
        <v>37</v>
      </c>
      <c r="F7929" s="15" t="s">
        <v>18</v>
      </c>
      <c r="G7929" s="15" t="s">
        <v>32</v>
      </c>
      <c r="H7929" s="15" t="n">
        <v>7</v>
      </c>
      <c r="I7929" s="17" t="n">
        <v>0.2</v>
      </c>
      <c r="J7929" s="18" t="n">
        <v>2089.76</v>
      </c>
      <c r="K7929" s="19" t="n">
        <v>-77.29</v>
      </c>
      <c r="L7929" s="15" t="n">
        <f aca="false">YEAR(B7929)</f>
        <v>2024</v>
      </c>
      <c r="M7929" s="20" t="n">
        <f aca="false">IF(J7929&gt;0,K7929/J7929,0)</f>
        <v>-0.0369851083377996</v>
      </c>
    </row>
    <row r="7930" customFormat="false" ht="15" hidden="false" customHeight="false" outlineLevel="0" collapsed="false">
      <c r="A7930" s="15" t="s">
        <v>7987</v>
      </c>
      <c r="B7930" s="16" t="n">
        <v>45611</v>
      </c>
      <c r="C7930" s="15" t="s">
        <v>68</v>
      </c>
      <c r="D7930" s="15" t="s">
        <v>43</v>
      </c>
      <c r="E7930" s="15" t="s">
        <v>37</v>
      </c>
      <c r="F7930" s="15" t="s">
        <v>17</v>
      </c>
      <c r="G7930" s="15" t="s">
        <v>29</v>
      </c>
      <c r="H7930" s="15" t="n">
        <v>6</v>
      </c>
      <c r="I7930" s="17" t="n">
        <v>0</v>
      </c>
      <c r="J7930" s="18" t="n">
        <v>130.7</v>
      </c>
      <c r="K7930" s="19" t="n">
        <v>54.26</v>
      </c>
      <c r="L7930" s="15" t="n">
        <f aca="false">YEAR(B7930)</f>
        <v>2024</v>
      </c>
      <c r="M7930" s="20" t="n">
        <f aca="false">IF(J7930&gt;0,K7930/J7930,0)</f>
        <v>0.415149196633512</v>
      </c>
    </row>
    <row r="7931" customFormat="false" ht="15" hidden="false" customHeight="false" outlineLevel="0" collapsed="false">
      <c r="A7931" s="15" t="s">
        <v>7988</v>
      </c>
      <c r="B7931" s="16" t="n">
        <v>45997</v>
      </c>
      <c r="C7931" s="15" t="s">
        <v>71</v>
      </c>
      <c r="D7931" s="15" t="s">
        <v>42</v>
      </c>
      <c r="E7931" s="15" t="s">
        <v>36</v>
      </c>
      <c r="F7931" s="15" t="s">
        <v>18</v>
      </c>
      <c r="G7931" s="15" t="s">
        <v>30</v>
      </c>
      <c r="H7931" s="15" t="n">
        <v>7</v>
      </c>
      <c r="I7931" s="17" t="n">
        <v>0</v>
      </c>
      <c r="J7931" s="18" t="n">
        <v>272.38</v>
      </c>
      <c r="K7931" s="19" t="n">
        <v>79.52</v>
      </c>
      <c r="L7931" s="15" t="n">
        <f aca="false">YEAR(B7931)</f>
        <v>2025</v>
      </c>
      <c r="M7931" s="20" t="n">
        <f aca="false">IF(J7931&gt;0,K7931/J7931,0)</f>
        <v>0.291945076731038</v>
      </c>
    </row>
    <row r="7932" customFormat="false" ht="15" hidden="false" customHeight="false" outlineLevel="0" collapsed="false">
      <c r="A7932" s="15" t="s">
        <v>7989</v>
      </c>
      <c r="B7932" s="16" t="n">
        <v>45377</v>
      </c>
      <c r="C7932" s="15" t="s">
        <v>71</v>
      </c>
      <c r="D7932" s="15" t="s">
        <v>43</v>
      </c>
      <c r="E7932" s="15" t="s">
        <v>39</v>
      </c>
      <c r="F7932" s="15" t="s">
        <v>18</v>
      </c>
      <c r="G7932" s="15" t="s">
        <v>30</v>
      </c>
      <c r="H7932" s="15" t="n">
        <v>5</v>
      </c>
      <c r="I7932" s="17" t="n">
        <v>0</v>
      </c>
      <c r="J7932" s="18" t="n">
        <v>358.94</v>
      </c>
      <c r="K7932" s="19" t="n">
        <v>107.8</v>
      </c>
      <c r="L7932" s="15" t="n">
        <f aca="false">YEAR(B7932)</f>
        <v>2024</v>
      </c>
      <c r="M7932" s="20" t="n">
        <f aca="false">IF(J7932&gt;0,K7932/J7932,0)</f>
        <v>0.300328745751379</v>
      </c>
    </row>
    <row r="7933" customFormat="false" ht="15" hidden="false" customHeight="false" outlineLevel="0" collapsed="false">
      <c r="A7933" s="15" t="s">
        <v>7990</v>
      </c>
      <c r="B7933" s="16" t="n">
        <v>44764</v>
      </c>
      <c r="C7933" s="15" t="s">
        <v>58</v>
      </c>
      <c r="D7933" s="15" t="s">
        <v>44</v>
      </c>
      <c r="E7933" s="15" t="s">
        <v>36</v>
      </c>
      <c r="F7933" s="15" t="s">
        <v>17</v>
      </c>
      <c r="G7933" s="15" t="s">
        <v>29</v>
      </c>
      <c r="H7933" s="15" t="n">
        <v>4</v>
      </c>
      <c r="I7933" s="17" t="n">
        <v>0</v>
      </c>
      <c r="J7933" s="18" t="n">
        <v>46.02</v>
      </c>
      <c r="K7933" s="19" t="n">
        <v>17.41</v>
      </c>
      <c r="L7933" s="15" t="n">
        <f aca="false">YEAR(B7933)</f>
        <v>2022</v>
      </c>
      <c r="M7933" s="20" t="n">
        <f aca="false">IF(J7933&gt;0,K7933/J7933,0)</f>
        <v>0.378313776618861</v>
      </c>
    </row>
    <row r="7934" customFormat="false" ht="15" hidden="false" customHeight="false" outlineLevel="0" collapsed="false">
      <c r="A7934" s="15" t="s">
        <v>7991</v>
      </c>
      <c r="B7934" s="16" t="n">
        <v>45168</v>
      </c>
      <c r="C7934" s="15" t="s">
        <v>56</v>
      </c>
      <c r="D7934" s="15" t="s">
        <v>42</v>
      </c>
      <c r="E7934" s="15" t="s">
        <v>37</v>
      </c>
      <c r="F7934" s="15" t="s">
        <v>16</v>
      </c>
      <c r="G7934" s="15" t="s">
        <v>27</v>
      </c>
      <c r="H7934" s="15" t="n">
        <v>6</v>
      </c>
      <c r="I7934" s="17" t="n">
        <v>0.2</v>
      </c>
      <c r="J7934" s="18" t="n">
        <v>273.71</v>
      </c>
      <c r="K7934" s="19" t="n">
        <v>2.49</v>
      </c>
      <c r="L7934" s="15" t="n">
        <f aca="false">YEAR(B7934)</f>
        <v>2023</v>
      </c>
      <c r="M7934" s="20" t="n">
        <f aca="false">IF(J7934&gt;0,K7934/J7934,0)</f>
        <v>0.00909721968506814</v>
      </c>
    </row>
    <row r="7935" customFormat="false" ht="15" hidden="false" customHeight="false" outlineLevel="0" collapsed="false">
      <c r="A7935" s="15" t="s">
        <v>7992</v>
      </c>
      <c r="B7935" s="16" t="n">
        <v>45845</v>
      </c>
      <c r="C7935" s="15" t="s">
        <v>56</v>
      </c>
      <c r="D7935" s="15" t="s">
        <v>44</v>
      </c>
      <c r="E7935" s="15" t="s">
        <v>38</v>
      </c>
      <c r="F7935" s="15" t="s">
        <v>17</v>
      </c>
      <c r="G7935" s="15" t="s">
        <v>28</v>
      </c>
      <c r="H7935" s="15" t="n">
        <v>1</v>
      </c>
      <c r="I7935" s="17" t="n">
        <v>0.15</v>
      </c>
      <c r="J7935" s="18" t="n">
        <v>17.85</v>
      </c>
      <c r="K7935" s="19" t="n">
        <v>3.1</v>
      </c>
      <c r="L7935" s="15" t="n">
        <f aca="false">YEAR(B7935)</f>
        <v>2025</v>
      </c>
      <c r="M7935" s="20" t="n">
        <f aca="false">IF(J7935&gt;0,K7935/J7935,0)</f>
        <v>0.173669467787115</v>
      </c>
    </row>
    <row r="7936" customFormat="false" ht="15" hidden="false" customHeight="false" outlineLevel="0" collapsed="false">
      <c r="A7936" s="15" t="s">
        <v>7993</v>
      </c>
      <c r="B7936" s="16" t="n">
        <v>45229</v>
      </c>
      <c r="C7936" s="15" t="s">
        <v>56</v>
      </c>
      <c r="D7936" s="15" t="s">
        <v>42</v>
      </c>
      <c r="E7936" s="15" t="s">
        <v>37</v>
      </c>
      <c r="F7936" s="15" t="s">
        <v>18</v>
      </c>
      <c r="G7936" s="15" t="s">
        <v>30</v>
      </c>
      <c r="H7936" s="15" t="n">
        <v>2</v>
      </c>
      <c r="I7936" s="17" t="n">
        <v>0</v>
      </c>
      <c r="J7936" s="18" t="n">
        <v>101.18</v>
      </c>
      <c r="K7936" s="19" t="n">
        <v>20.04</v>
      </c>
      <c r="L7936" s="15" t="n">
        <f aca="false">YEAR(B7936)</f>
        <v>2023</v>
      </c>
      <c r="M7936" s="20" t="n">
        <f aca="false">IF(J7936&gt;0,K7936/J7936,0)</f>
        <v>0.198062858272386</v>
      </c>
    </row>
    <row r="7937" customFormat="false" ht="15" hidden="false" customHeight="false" outlineLevel="0" collapsed="false">
      <c r="A7937" s="15" t="s">
        <v>7994</v>
      </c>
      <c r="B7937" s="16" t="n">
        <v>45524</v>
      </c>
      <c r="C7937" s="15" t="s">
        <v>68</v>
      </c>
      <c r="D7937" s="15" t="s">
        <v>42</v>
      </c>
      <c r="E7937" s="15" t="s">
        <v>39</v>
      </c>
      <c r="F7937" s="15" t="s">
        <v>16</v>
      </c>
      <c r="G7937" s="15" t="s">
        <v>23</v>
      </c>
      <c r="H7937" s="15" t="n">
        <v>4</v>
      </c>
      <c r="I7937" s="17" t="n">
        <v>0.2</v>
      </c>
      <c r="J7937" s="18" t="n">
        <v>1111.94</v>
      </c>
      <c r="K7937" s="19" t="n">
        <v>-226.84</v>
      </c>
      <c r="L7937" s="15" t="n">
        <f aca="false">YEAR(B7937)</f>
        <v>2024</v>
      </c>
      <c r="M7937" s="20" t="n">
        <f aca="false">IF(J7937&gt;0,K7937/J7937,0)</f>
        <v>-0.204003813155386</v>
      </c>
    </row>
    <row r="7938" customFormat="false" ht="15" hidden="false" customHeight="false" outlineLevel="0" collapsed="false">
      <c r="A7938" s="15" t="s">
        <v>7995</v>
      </c>
      <c r="B7938" s="16" t="n">
        <v>44923</v>
      </c>
      <c r="C7938" s="15" t="s">
        <v>68</v>
      </c>
      <c r="D7938" s="15" t="s">
        <v>44</v>
      </c>
      <c r="E7938" s="15" t="s">
        <v>38</v>
      </c>
      <c r="F7938" s="15" t="s">
        <v>16</v>
      </c>
      <c r="G7938" s="15" t="s">
        <v>27</v>
      </c>
      <c r="H7938" s="15" t="n">
        <v>3</v>
      </c>
      <c r="I7938" s="17" t="n">
        <v>0.2</v>
      </c>
      <c r="J7938" s="18" t="n">
        <v>122.75</v>
      </c>
      <c r="K7938" s="19" t="n">
        <v>2.66</v>
      </c>
      <c r="L7938" s="15" t="n">
        <f aca="false">YEAR(B7938)</f>
        <v>2022</v>
      </c>
      <c r="M7938" s="20" t="n">
        <f aca="false">IF(J7938&gt;0,K7938/J7938,0)</f>
        <v>0.0216700610997963</v>
      </c>
    </row>
    <row r="7939" customFormat="false" ht="15" hidden="false" customHeight="false" outlineLevel="0" collapsed="false">
      <c r="A7939" s="15" t="s">
        <v>7996</v>
      </c>
      <c r="B7939" s="16" t="n">
        <v>45865</v>
      </c>
      <c r="C7939" s="15" t="s">
        <v>68</v>
      </c>
      <c r="D7939" s="15" t="s">
        <v>43</v>
      </c>
      <c r="E7939" s="15" t="s">
        <v>37</v>
      </c>
      <c r="F7939" s="15" t="s">
        <v>17</v>
      </c>
      <c r="G7939" s="15" t="s">
        <v>29</v>
      </c>
      <c r="H7939" s="15" t="n">
        <v>6</v>
      </c>
      <c r="I7939" s="17" t="n">
        <v>0</v>
      </c>
      <c r="J7939" s="18" t="n">
        <v>107.36</v>
      </c>
      <c r="K7939" s="19" t="n">
        <v>42.68</v>
      </c>
      <c r="L7939" s="15" t="n">
        <f aca="false">YEAR(B7939)</f>
        <v>2025</v>
      </c>
      <c r="M7939" s="20" t="n">
        <f aca="false">IF(J7939&gt;0,K7939/J7939,0)</f>
        <v>0.397540983606557</v>
      </c>
    </row>
    <row r="7940" customFormat="false" ht="15" hidden="false" customHeight="false" outlineLevel="0" collapsed="false">
      <c r="A7940" s="15" t="s">
        <v>7997</v>
      </c>
      <c r="B7940" s="16" t="n">
        <v>44575</v>
      </c>
      <c r="C7940" s="15" t="s">
        <v>71</v>
      </c>
      <c r="D7940" s="15" t="s">
        <v>42</v>
      </c>
      <c r="E7940" s="15" t="s">
        <v>39</v>
      </c>
      <c r="F7940" s="15" t="s">
        <v>17</v>
      </c>
      <c r="G7940" s="15" t="s">
        <v>26</v>
      </c>
      <c r="H7940" s="15" t="n">
        <v>3</v>
      </c>
      <c r="I7940" s="17" t="n">
        <v>0.2</v>
      </c>
      <c r="J7940" s="18" t="n">
        <v>304.78</v>
      </c>
      <c r="K7940" s="19" t="n">
        <v>-24.75</v>
      </c>
      <c r="L7940" s="15" t="n">
        <f aca="false">YEAR(B7940)</f>
        <v>2022</v>
      </c>
      <c r="M7940" s="20" t="n">
        <f aca="false">IF(J7940&gt;0,K7940/J7940,0)</f>
        <v>-0.0812061158868692</v>
      </c>
    </row>
    <row r="7941" customFormat="false" ht="15" hidden="false" customHeight="false" outlineLevel="0" collapsed="false">
      <c r="A7941" s="15" t="s">
        <v>7998</v>
      </c>
      <c r="B7941" s="16" t="n">
        <v>45641</v>
      </c>
      <c r="C7941" s="15" t="s">
        <v>56</v>
      </c>
      <c r="D7941" s="15" t="s">
        <v>42</v>
      </c>
      <c r="E7941" s="15" t="s">
        <v>39</v>
      </c>
      <c r="F7941" s="15" t="s">
        <v>17</v>
      </c>
      <c r="G7941" s="15" t="s">
        <v>29</v>
      </c>
      <c r="H7941" s="15" t="n">
        <v>4</v>
      </c>
      <c r="I7941" s="17" t="n">
        <v>0</v>
      </c>
      <c r="J7941" s="18" t="n">
        <v>70.79</v>
      </c>
      <c r="K7941" s="19" t="n">
        <v>26.11</v>
      </c>
      <c r="L7941" s="15" t="n">
        <f aca="false">YEAR(B7941)</f>
        <v>2024</v>
      </c>
      <c r="M7941" s="20" t="n">
        <f aca="false">IF(J7941&gt;0,K7941/J7941,0)</f>
        <v>0.368837406413335</v>
      </c>
    </row>
    <row r="7942" customFormat="false" ht="15" hidden="false" customHeight="false" outlineLevel="0" collapsed="false">
      <c r="A7942" s="15" t="s">
        <v>7999</v>
      </c>
      <c r="B7942" s="16" t="n">
        <v>45307</v>
      </c>
      <c r="C7942" s="15" t="s">
        <v>71</v>
      </c>
      <c r="D7942" s="15" t="s">
        <v>42</v>
      </c>
      <c r="E7942" s="15" t="s">
        <v>36</v>
      </c>
      <c r="F7942" s="15" t="s">
        <v>16</v>
      </c>
      <c r="G7942" s="15" t="s">
        <v>23</v>
      </c>
      <c r="H7942" s="15" t="n">
        <v>3</v>
      </c>
      <c r="I7942" s="17" t="n">
        <v>0.5</v>
      </c>
      <c r="J7942" s="18" t="n">
        <v>393.86</v>
      </c>
      <c r="K7942" s="19" t="n">
        <v>-177.67</v>
      </c>
      <c r="L7942" s="15" t="n">
        <f aca="false">YEAR(B7942)</f>
        <v>2024</v>
      </c>
      <c r="M7942" s="20" t="n">
        <f aca="false">IF(J7942&gt;0,K7942/J7942,0)</f>
        <v>-0.451099375412583</v>
      </c>
    </row>
    <row r="7943" customFormat="false" ht="15" hidden="false" customHeight="false" outlineLevel="0" collapsed="false">
      <c r="A7943" s="15" t="s">
        <v>8000</v>
      </c>
      <c r="B7943" s="16" t="n">
        <v>45227</v>
      </c>
      <c r="C7943" s="15" t="s">
        <v>56</v>
      </c>
      <c r="D7943" s="15" t="s">
        <v>42</v>
      </c>
      <c r="E7943" s="15" t="s">
        <v>39</v>
      </c>
      <c r="F7943" s="15" t="s">
        <v>17</v>
      </c>
      <c r="G7943" s="15" t="s">
        <v>26</v>
      </c>
      <c r="H7943" s="15" t="n">
        <v>2</v>
      </c>
      <c r="I7943" s="17" t="n">
        <v>0.3</v>
      </c>
      <c r="J7943" s="18" t="n">
        <v>113.57</v>
      </c>
      <c r="K7943" s="19" t="n">
        <v>-25.53</v>
      </c>
      <c r="L7943" s="15" t="n">
        <f aca="false">YEAR(B7943)</f>
        <v>2023</v>
      </c>
      <c r="M7943" s="20" t="n">
        <f aca="false">IF(J7943&gt;0,K7943/J7943,0)</f>
        <v>-0.224795280443779</v>
      </c>
    </row>
    <row r="7944" customFormat="false" ht="15" hidden="false" customHeight="false" outlineLevel="0" collapsed="false">
      <c r="A7944" s="15" t="s">
        <v>8001</v>
      </c>
      <c r="B7944" s="16" t="n">
        <v>45649</v>
      </c>
      <c r="C7944" s="15" t="s">
        <v>56</v>
      </c>
      <c r="D7944" s="15" t="s">
        <v>43</v>
      </c>
      <c r="E7944" s="15" t="s">
        <v>39</v>
      </c>
      <c r="F7944" s="15" t="s">
        <v>17</v>
      </c>
      <c r="G7944" s="15" t="s">
        <v>29</v>
      </c>
      <c r="H7944" s="15" t="n">
        <v>4</v>
      </c>
      <c r="I7944" s="17" t="n">
        <v>0.2</v>
      </c>
      <c r="J7944" s="18" t="n">
        <v>74.5</v>
      </c>
      <c r="K7944" s="19" t="n">
        <v>16.31</v>
      </c>
      <c r="L7944" s="15" t="n">
        <f aca="false">YEAR(B7944)</f>
        <v>2024</v>
      </c>
      <c r="M7944" s="20" t="n">
        <f aca="false">IF(J7944&gt;0,K7944/J7944,0)</f>
        <v>0.218926174496644</v>
      </c>
    </row>
    <row r="7945" customFormat="false" ht="15" hidden="false" customHeight="false" outlineLevel="0" collapsed="false">
      <c r="A7945" s="15" t="s">
        <v>8002</v>
      </c>
      <c r="B7945" s="16" t="n">
        <v>44939</v>
      </c>
      <c r="C7945" s="15" t="s">
        <v>68</v>
      </c>
      <c r="D7945" s="15" t="s">
        <v>43</v>
      </c>
      <c r="E7945" s="15" t="s">
        <v>37</v>
      </c>
      <c r="F7945" s="15" t="s">
        <v>16</v>
      </c>
      <c r="G7945" s="15" t="s">
        <v>22</v>
      </c>
      <c r="H7945" s="15" t="n">
        <v>4</v>
      </c>
      <c r="I7945" s="17" t="n">
        <v>0</v>
      </c>
      <c r="J7945" s="18" t="n">
        <v>1887.14</v>
      </c>
      <c r="K7945" s="19" t="n">
        <v>-153.17</v>
      </c>
      <c r="L7945" s="15" t="n">
        <f aca="false">YEAR(B7945)</f>
        <v>2023</v>
      </c>
      <c r="M7945" s="20" t="n">
        <f aca="false">IF(J7945&gt;0,K7945/J7945,0)</f>
        <v>-0.0811651493794843</v>
      </c>
    </row>
    <row r="7946" customFormat="false" ht="15" hidden="false" customHeight="false" outlineLevel="0" collapsed="false">
      <c r="A7946" s="15" t="s">
        <v>8003</v>
      </c>
      <c r="B7946" s="16" t="n">
        <v>44878</v>
      </c>
      <c r="C7946" s="15" t="s">
        <v>56</v>
      </c>
      <c r="D7946" s="15" t="s">
        <v>43</v>
      </c>
      <c r="E7946" s="15" t="s">
        <v>39</v>
      </c>
      <c r="F7946" s="15" t="s">
        <v>18</v>
      </c>
      <c r="G7946" s="15" t="s">
        <v>32</v>
      </c>
      <c r="H7946" s="15" t="n">
        <v>2</v>
      </c>
      <c r="I7946" s="17" t="n">
        <v>0.2</v>
      </c>
      <c r="J7946" s="18" t="n">
        <v>536.77</v>
      </c>
      <c r="K7946" s="19" t="n">
        <v>35.11</v>
      </c>
      <c r="L7946" s="15" t="n">
        <f aca="false">YEAR(B7946)</f>
        <v>2022</v>
      </c>
      <c r="M7946" s="20" t="n">
        <f aca="false">IF(J7946&gt;0,K7946/J7946,0)</f>
        <v>0.0654097658214878</v>
      </c>
    </row>
    <row r="7947" customFormat="false" ht="15" hidden="false" customHeight="false" outlineLevel="0" collapsed="false">
      <c r="A7947" s="15" t="s">
        <v>8004</v>
      </c>
      <c r="B7947" s="16" t="n">
        <v>45455</v>
      </c>
      <c r="C7947" s="15" t="s">
        <v>68</v>
      </c>
      <c r="D7947" s="15" t="s">
        <v>42</v>
      </c>
      <c r="E7947" s="15" t="s">
        <v>36</v>
      </c>
      <c r="F7947" s="15" t="s">
        <v>17</v>
      </c>
      <c r="G7947" s="15" t="s">
        <v>26</v>
      </c>
      <c r="H7947" s="15" t="n">
        <v>4</v>
      </c>
      <c r="I7947" s="17" t="n">
        <v>0.2</v>
      </c>
      <c r="J7947" s="18" t="n">
        <v>256.32</v>
      </c>
      <c r="K7947" s="19" t="n">
        <v>-16.78</v>
      </c>
      <c r="L7947" s="15" t="n">
        <f aca="false">YEAR(B7947)</f>
        <v>2024</v>
      </c>
      <c r="M7947" s="20" t="n">
        <f aca="false">IF(J7947&gt;0,K7947/J7947,0)</f>
        <v>-0.0654650436953808</v>
      </c>
    </row>
    <row r="7948" customFormat="false" ht="15" hidden="false" customHeight="false" outlineLevel="0" collapsed="false">
      <c r="A7948" s="15" t="s">
        <v>8005</v>
      </c>
      <c r="B7948" s="16" t="n">
        <v>45459</v>
      </c>
      <c r="C7948" s="15" t="s">
        <v>56</v>
      </c>
      <c r="D7948" s="15" t="s">
        <v>42</v>
      </c>
      <c r="E7948" s="15" t="s">
        <v>37</v>
      </c>
      <c r="F7948" s="15" t="s">
        <v>17</v>
      </c>
      <c r="G7948" s="15" t="s">
        <v>29</v>
      </c>
      <c r="H7948" s="15" t="n">
        <v>3</v>
      </c>
      <c r="I7948" s="17" t="n">
        <v>0.05</v>
      </c>
      <c r="J7948" s="18" t="n">
        <v>48</v>
      </c>
      <c r="K7948" s="19" t="n">
        <v>14.05</v>
      </c>
      <c r="L7948" s="15" t="n">
        <f aca="false">YEAR(B7948)</f>
        <v>2024</v>
      </c>
      <c r="M7948" s="20" t="n">
        <f aca="false">IF(J7948&gt;0,K7948/J7948,0)</f>
        <v>0.292708333333333</v>
      </c>
    </row>
    <row r="7949" customFormat="false" ht="15" hidden="false" customHeight="false" outlineLevel="0" collapsed="false">
      <c r="A7949" s="15" t="s">
        <v>8006</v>
      </c>
      <c r="B7949" s="16" t="n">
        <v>45888</v>
      </c>
      <c r="C7949" s="15" t="s">
        <v>56</v>
      </c>
      <c r="D7949" s="15" t="s">
        <v>42</v>
      </c>
      <c r="E7949" s="15" t="s">
        <v>39</v>
      </c>
      <c r="F7949" s="15" t="s">
        <v>17</v>
      </c>
      <c r="G7949" s="15" t="s">
        <v>31</v>
      </c>
      <c r="H7949" s="15" t="n">
        <v>4</v>
      </c>
      <c r="I7949" s="17" t="n">
        <v>0.15</v>
      </c>
      <c r="J7949" s="18" t="n">
        <v>433.45</v>
      </c>
      <c r="K7949" s="19" t="n">
        <v>5.52</v>
      </c>
      <c r="L7949" s="15" t="n">
        <f aca="false">YEAR(B7949)</f>
        <v>2025</v>
      </c>
      <c r="M7949" s="20" t="n">
        <f aca="false">IF(J7949&gt;0,K7949/J7949,0)</f>
        <v>0.0127350328757642</v>
      </c>
    </row>
    <row r="7950" customFormat="false" ht="15" hidden="false" customHeight="false" outlineLevel="0" collapsed="false">
      <c r="A7950" s="15" t="s">
        <v>8007</v>
      </c>
      <c r="B7950" s="16" t="n">
        <v>45323</v>
      </c>
      <c r="C7950" s="15" t="s">
        <v>56</v>
      </c>
      <c r="D7950" s="15" t="s">
        <v>42</v>
      </c>
      <c r="E7950" s="15" t="s">
        <v>38</v>
      </c>
      <c r="F7950" s="15" t="s">
        <v>17</v>
      </c>
      <c r="G7950" s="15" t="s">
        <v>29</v>
      </c>
      <c r="H7950" s="15" t="n">
        <v>2</v>
      </c>
      <c r="I7950" s="17" t="n">
        <v>0.1</v>
      </c>
      <c r="J7950" s="18" t="n">
        <v>25.59</v>
      </c>
      <c r="K7950" s="19" t="n">
        <v>6.86</v>
      </c>
      <c r="L7950" s="15" t="n">
        <f aca="false">YEAR(B7950)</f>
        <v>2024</v>
      </c>
      <c r="M7950" s="20" t="n">
        <f aca="false">IF(J7950&gt;0,K7950/J7950,0)</f>
        <v>0.268073466197734</v>
      </c>
    </row>
    <row r="7951" customFormat="false" ht="15" hidden="false" customHeight="false" outlineLevel="0" collapsed="false">
      <c r="A7951" s="15" t="s">
        <v>8008</v>
      </c>
      <c r="B7951" s="16" t="n">
        <v>45778</v>
      </c>
      <c r="C7951" s="15" t="s">
        <v>56</v>
      </c>
      <c r="D7951" s="15" t="s">
        <v>43</v>
      </c>
      <c r="E7951" s="15" t="s">
        <v>38</v>
      </c>
      <c r="F7951" s="15" t="s">
        <v>16</v>
      </c>
      <c r="G7951" s="15" t="s">
        <v>25</v>
      </c>
      <c r="H7951" s="15" t="n">
        <v>9</v>
      </c>
      <c r="I7951" s="17" t="n">
        <v>0.3</v>
      </c>
      <c r="J7951" s="18" t="n">
        <v>1768.68</v>
      </c>
      <c r="K7951" s="19" t="n">
        <v>-357.89</v>
      </c>
      <c r="L7951" s="15" t="n">
        <f aca="false">YEAR(B7951)</f>
        <v>2025</v>
      </c>
      <c r="M7951" s="20" t="n">
        <f aca="false">IF(J7951&gt;0,K7951/J7951,0)</f>
        <v>-0.202348644186625</v>
      </c>
    </row>
    <row r="7952" customFormat="false" ht="15" hidden="false" customHeight="false" outlineLevel="0" collapsed="false">
      <c r="A7952" s="15" t="s">
        <v>8009</v>
      </c>
      <c r="B7952" s="16" t="n">
        <v>45208</v>
      </c>
      <c r="C7952" s="15" t="s">
        <v>56</v>
      </c>
      <c r="D7952" s="15" t="s">
        <v>44</v>
      </c>
      <c r="E7952" s="15" t="s">
        <v>38</v>
      </c>
      <c r="F7952" s="15" t="s">
        <v>17</v>
      </c>
      <c r="G7952" s="15" t="s">
        <v>28</v>
      </c>
      <c r="H7952" s="15" t="n">
        <v>5</v>
      </c>
      <c r="I7952" s="17" t="n">
        <v>0.2</v>
      </c>
      <c r="J7952" s="18" t="n">
        <v>98.69</v>
      </c>
      <c r="K7952" s="19" t="n">
        <v>5.67</v>
      </c>
      <c r="L7952" s="15" t="n">
        <f aca="false">YEAR(B7952)</f>
        <v>2023</v>
      </c>
      <c r="M7952" s="20" t="n">
        <f aca="false">IF(J7952&gt;0,K7952/J7952,0)</f>
        <v>0.0574526294457392</v>
      </c>
    </row>
    <row r="7953" customFormat="false" ht="15" hidden="false" customHeight="false" outlineLevel="0" collapsed="false">
      <c r="A7953" s="15" t="s">
        <v>8010</v>
      </c>
      <c r="B7953" s="16" t="n">
        <v>45616</v>
      </c>
      <c r="C7953" s="15" t="s">
        <v>68</v>
      </c>
      <c r="D7953" s="15" t="s">
        <v>44</v>
      </c>
      <c r="E7953" s="15" t="s">
        <v>36</v>
      </c>
      <c r="F7953" s="15" t="s">
        <v>16</v>
      </c>
      <c r="G7953" s="15" t="s">
        <v>27</v>
      </c>
      <c r="H7953" s="15" t="n">
        <v>1</v>
      </c>
      <c r="I7953" s="17" t="n">
        <v>0</v>
      </c>
      <c r="J7953" s="18" t="n">
        <v>52.5</v>
      </c>
      <c r="K7953" s="19" t="n">
        <v>14.66</v>
      </c>
      <c r="L7953" s="15" t="n">
        <f aca="false">YEAR(B7953)</f>
        <v>2024</v>
      </c>
      <c r="M7953" s="20" t="n">
        <f aca="false">IF(J7953&gt;0,K7953/J7953,0)</f>
        <v>0.279238095238095</v>
      </c>
    </row>
    <row r="7954" customFormat="false" ht="15" hidden="false" customHeight="false" outlineLevel="0" collapsed="false">
      <c r="A7954" s="15" t="s">
        <v>8011</v>
      </c>
      <c r="B7954" s="16" t="n">
        <v>45888</v>
      </c>
      <c r="C7954" s="15" t="s">
        <v>71</v>
      </c>
      <c r="D7954" s="15" t="s">
        <v>43</v>
      </c>
      <c r="E7954" s="15" t="s">
        <v>39</v>
      </c>
      <c r="F7954" s="15" t="s">
        <v>17</v>
      </c>
      <c r="G7954" s="15" t="s">
        <v>31</v>
      </c>
      <c r="H7954" s="15" t="n">
        <v>3</v>
      </c>
      <c r="I7954" s="17" t="n">
        <v>0</v>
      </c>
      <c r="J7954" s="18" t="n">
        <v>435.63</v>
      </c>
      <c r="K7954" s="19" t="n">
        <v>48.88</v>
      </c>
      <c r="L7954" s="15" t="n">
        <f aca="false">YEAR(B7954)</f>
        <v>2025</v>
      </c>
      <c r="M7954" s="20" t="n">
        <f aca="false">IF(J7954&gt;0,K7954/J7954,0)</f>
        <v>0.11220531184721</v>
      </c>
    </row>
    <row r="7955" customFormat="false" ht="15" hidden="false" customHeight="false" outlineLevel="0" collapsed="false">
      <c r="A7955" s="15" t="s">
        <v>8012</v>
      </c>
      <c r="B7955" s="16" t="n">
        <v>45466</v>
      </c>
      <c r="C7955" s="15" t="s">
        <v>56</v>
      </c>
      <c r="D7955" s="15" t="s">
        <v>43</v>
      </c>
      <c r="E7955" s="15" t="s">
        <v>39</v>
      </c>
      <c r="F7955" s="15" t="s">
        <v>16</v>
      </c>
      <c r="G7955" s="15" t="s">
        <v>27</v>
      </c>
      <c r="H7955" s="15" t="n">
        <v>4</v>
      </c>
      <c r="I7955" s="17" t="n">
        <v>0</v>
      </c>
      <c r="J7955" s="18" t="n">
        <v>276.55</v>
      </c>
      <c r="K7955" s="19" t="n">
        <v>74.58</v>
      </c>
      <c r="L7955" s="15" t="n">
        <f aca="false">YEAR(B7955)</f>
        <v>2024</v>
      </c>
      <c r="M7955" s="20" t="n">
        <f aca="false">IF(J7955&gt;0,K7955/J7955,0)</f>
        <v>0.269679985536069</v>
      </c>
    </row>
    <row r="7956" customFormat="false" ht="15" hidden="false" customHeight="false" outlineLevel="0" collapsed="false">
      <c r="A7956" s="15" t="s">
        <v>8013</v>
      </c>
      <c r="B7956" s="16" t="n">
        <v>44789</v>
      </c>
      <c r="C7956" s="15" t="s">
        <v>56</v>
      </c>
      <c r="D7956" s="15" t="s">
        <v>43</v>
      </c>
      <c r="E7956" s="15" t="s">
        <v>36</v>
      </c>
      <c r="F7956" s="15" t="s">
        <v>17</v>
      </c>
      <c r="G7956" s="15" t="s">
        <v>26</v>
      </c>
      <c r="H7956" s="15" t="n">
        <v>1</v>
      </c>
      <c r="I7956" s="17" t="n">
        <v>0</v>
      </c>
      <c r="J7956" s="18" t="n">
        <v>102.72</v>
      </c>
      <c r="K7956" s="19" t="n">
        <v>5.26</v>
      </c>
      <c r="L7956" s="15" t="n">
        <f aca="false">YEAR(B7956)</f>
        <v>2022</v>
      </c>
      <c r="M7956" s="20" t="n">
        <f aca="false">IF(J7956&gt;0,K7956/J7956,0)</f>
        <v>0.0512071651090343</v>
      </c>
    </row>
    <row r="7957" customFormat="false" ht="15" hidden="false" customHeight="false" outlineLevel="0" collapsed="false">
      <c r="A7957" s="15" t="s">
        <v>8014</v>
      </c>
      <c r="B7957" s="16" t="n">
        <v>45595</v>
      </c>
      <c r="C7957" s="15" t="s">
        <v>56</v>
      </c>
      <c r="D7957" s="15" t="s">
        <v>43</v>
      </c>
      <c r="E7957" s="15" t="s">
        <v>37</v>
      </c>
      <c r="F7957" s="15" t="s">
        <v>18</v>
      </c>
      <c r="G7957" s="15" t="s">
        <v>30</v>
      </c>
      <c r="H7957" s="15" t="n">
        <v>4</v>
      </c>
      <c r="I7957" s="17" t="n">
        <v>0.05</v>
      </c>
      <c r="J7957" s="18" t="n">
        <v>206.7</v>
      </c>
      <c r="K7957" s="19" t="n">
        <v>48.42</v>
      </c>
      <c r="L7957" s="15" t="n">
        <f aca="false">YEAR(B7957)</f>
        <v>2024</v>
      </c>
      <c r="M7957" s="20" t="n">
        <f aca="false">IF(J7957&gt;0,K7957/J7957,0)</f>
        <v>0.234252539912917</v>
      </c>
    </row>
    <row r="7958" customFormat="false" ht="15" hidden="false" customHeight="false" outlineLevel="0" collapsed="false">
      <c r="A7958" s="15" t="s">
        <v>8015</v>
      </c>
      <c r="B7958" s="16" t="n">
        <v>45201</v>
      </c>
      <c r="C7958" s="15" t="s">
        <v>56</v>
      </c>
      <c r="D7958" s="15" t="s">
        <v>42</v>
      </c>
      <c r="E7958" s="15" t="s">
        <v>39</v>
      </c>
      <c r="F7958" s="15" t="s">
        <v>17</v>
      </c>
      <c r="G7958" s="15" t="s">
        <v>29</v>
      </c>
      <c r="H7958" s="15" t="n">
        <v>1</v>
      </c>
      <c r="I7958" s="17" t="n">
        <v>0</v>
      </c>
      <c r="J7958" s="18" t="n">
        <v>19.07</v>
      </c>
      <c r="K7958" s="19" t="n">
        <v>7.23</v>
      </c>
      <c r="L7958" s="15" t="n">
        <f aca="false">YEAR(B7958)</f>
        <v>2023</v>
      </c>
      <c r="M7958" s="20" t="n">
        <f aca="false">IF(J7958&gt;0,K7958/J7958,0)</f>
        <v>0.379129522810697</v>
      </c>
    </row>
    <row r="7959" customFormat="false" ht="15" hidden="false" customHeight="false" outlineLevel="0" collapsed="false">
      <c r="A7959" s="15" t="s">
        <v>8016</v>
      </c>
      <c r="B7959" s="16" t="n">
        <v>45001</v>
      </c>
      <c r="C7959" s="15" t="s">
        <v>58</v>
      </c>
      <c r="D7959" s="15" t="s">
        <v>44</v>
      </c>
      <c r="E7959" s="15" t="s">
        <v>39</v>
      </c>
      <c r="F7959" s="15" t="s">
        <v>17</v>
      </c>
      <c r="G7959" s="15" t="s">
        <v>29</v>
      </c>
      <c r="H7959" s="15" t="n">
        <v>5</v>
      </c>
      <c r="I7959" s="17" t="n">
        <v>0.1</v>
      </c>
      <c r="J7959" s="18" t="n">
        <v>96.37</v>
      </c>
      <c r="K7959" s="19" t="n">
        <v>26.77</v>
      </c>
      <c r="L7959" s="15" t="n">
        <f aca="false">YEAR(B7959)</f>
        <v>2023</v>
      </c>
      <c r="M7959" s="20" t="n">
        <f aca="false">IF(J7959&gt;0,K7959/J7959,0)</f>
        <v>0.277783542596244</v>
      </c>
    </row>
    <row r="7960" customFormat="false" ht="15" hidden="false" customHeight="false" outlineLevel="0" collapsed="false">
      <c r="A7960" s="15" t="s">
        <v>8017</v>
      </c>
      <c r="B7960" s="16" t="n">
        <v>46013</v>
      </c>
      <c r="C7960" s="15" t="s">
        <v>68</v>
      </c>
      <c r="D7960" s="15" t="s">
        <v>43</v>
      </c>
      <c r="E7960" s="15" t="s">
        <v>39</v>
      </c>
      <c r="F7960" s="15" t="s">
        <v>16</v>
      </c>
      <c r="G7960" s="15" t="s">
        <v>27</v>
      </c>
      <c r="H7960" s="15" t="n">
        <v>3</v>
      </c>
      <c r="I7960" s="17" t="n">
        <v>0.4</v>
      </c>
      <c r="J7960" s="18" t="n">
        <v>129.84</v>
      </c>
      <c r="K7960" s="19" t="n">
        <v>-18.08</v>
      </c>
      <c r="L7960" s="15" t="n">
        <f aca="false">YEAR(B7960)</f>
        <v>2025</v>
      </c>
      <c r="M7960" s="20" t="n">
        <f aca="false">IF(J7960&gt;0,K7960/J7960,0)</f>
        <v>-0.139248305606901</v>
      </c>
    </row>
    <row r="7961" customFormat="false" ht="15" hidden="false" customHeight="false" outlineLevel="0" collapsed="false">
      <c r="A7961" s="15" t="s">
        <v>8018</v>
      </c>
      <c r="B7961" s="16" t="n">
        <v>45489</v>
      </c>
      <c r="C7961" s="15" t="s">
        <v>56</v>
      </c>
      <c r="D7961" s="15" t="s">
        <v>44</v>
      </c>
      <c r="E7961" s="15" t="s">
        <v>39</v>
      </c>
      <c r="F7961" s="15" t="s">
        <v>16</v>
      </c>
      <c r="G7961" s="15" t="s">
        <v>23</v>
      </c>
      <c r="H7961" s="15" t="n">
        <v>6</v>
      </c>
      <c r="I7961" s="17" t="n">
        <v>0</v>
      </c>
      <c r="J7961" s="18" t="n">
        <v>2100.53</v>
      </c>
      <c r="K7961" s="19" t="n">
        <v>4.35</v>
      </c>
      <c r="L7961" s="15" t="n">
        <f aca="false">YEAR(B7961)</f>
        <v>2024</v>
      </c>
      <c r="M7961" s="20" t="n">
        <f aca="false">IF(J7961&gt;0,K7961/J7961,0)</f>
        <v>0.00207090591422165</v>
      </c>
    </row>
    <row r="7962" customFormat="false" ht="15" hidden="false" customHeight="false" outlineLevel="0" collapsed="false">
      <c r="A7962" s="15" t="s">
        <v>8019</v>
      </c>
      <c r="B7962" s="16" t="n">
        <v>45708</v>
      </c>
      <c r="C7962" s="15" t="s">
        <v>56</v>
      </c>
      <c r="D7962" s="15" t="s">
        <v>44</v>
      </c>
      <c r="E7962" s="15" t="s">
        <v>38</v>
      </c>
      <c r="F7962" s="15" t="s">
        <v>18</v>
      </c>
      <c r="G7962" s="15" t="s">
        <v>30</v>
      </c>
      <c r="H7962" s="15" t="n">
        <v>1</v>
      </c>
      <c r="I7962" s="17" t="n">
        <v>0</v>
      </c>
      <c r="J7962" s="18" t="n">
        <v>38.21</v>
      </c>
      <c r="K7962" s="19" t="n">
        <v>11.26</v>
      </c>
      <c r="L7962" s="15" t="n">
        <f aca="false">YEAR(B7962)</f>
        <v>2025</v>
      </c>
      <c r="M7962" s="20" t="n">
        <f aca="false">IF(J7962&gt;0,K7962/J7962,0)</f>
        <v>0.294687254645381</v>
      </c>
    </row>
    <row r="7963" customFormat="false" ht="15" hidden="false" customHeight="false" outlineLevel="0" collapsed="false">
      <c r="A7963" s="15" t="s">
        <v>8020</v>
      </c>
      <c r="B7963" s="16" t="n">
        <v>45949</v>
      </c>
      <c r="C7963" s="15" t="s">
        <v>68</v>
      </c>
      <c r="D7963" s="15" t="s">
        <v>42</v>
      </c>
      <c r="E7963" s="15" t="s">
        <v>38</v>
      </c>
      <c r="F7963" s="15" t="s">
        <v>17</v>
      </c>
      <c r="G7963" s="15" t="s">
        <v>29</v>
      </c>
      <c r="H7963" s="15" t="n">
        <v>3</v>
      </c>
      <c r="I7963" s="17" t="n">
        <v>0.15</v>
      </c>
      <c r="J7963" s="18" t="n">
        <v>41.51</v>
      </c>
      <c r="K7963" s="19" t="n">
        <v>11.84</v>
      </c>
      <c r="L7963" s="15" t="n">
        <f aca="false">YEAR(B7963)</f>
        <v>2025</v>
      </c>
      <c r="M7963" s="20" t="n">
        <f aca="false">IF(J7963&gt;0,K7963/J7963,0)</f>
        <v>0.285232474102626</v>
      </c>
    </row>
    <row r="7964" customFormat="false" ht="15" hidden="false" customHeight="false" outlineLevel="0" collapsed="false">
      <c r="A7964" s="15" t="s">
        <v>8021</v>
      </c>
      <c r="B7964" s="16" t="n">
        <v>45163</v>
      </c>
      <c r="C7964" s="15" t="s">
        <v>56</v>
      </c>
      <c r="D7964" s="15" t="s">
        <v>43</v>
      </c>
      <c r="E7964" s="15" t="s">
        <v>39</v>
      </c>
      <c r="F7964" s="15" t="s">
        <v>17</v>
      </c>
      <c r="G7964" s="15" t="s">
        <v>26</v>
      </c>
      <c r="H7964" s="15" t="n">
        <v>3</v>
      </c>
      <c r="I7964" s="17" t="n">
        <v>0</v>
      </c>
      <c r="J7964" s="18" t="n">
        <v>215.9</v>
      </c>
      <c r="K7964" s="19" t="n">
        <v>31.89</v>
      </c>
      <c r="L7964" s="15" t="n">
        <f aca="false">YEAR(B7964)</f>
        <v>2023</v>
      </c>
      <c r="M7964" s="20" t="n">
        <f aca="false">IF(J7964&gt;0,K7964/J7964,0)</f>
        <v>0.147707271885132</v>
      </c>
    </row>
    <row r="7965" customFormat="false" ht="15" hidden="false" customHeight="false" outlineLevel="0" collapsed="false">
      <c r="A7965" s="15" t="s">
        <v>8022</v>
      </c>
      <c r="B7965" s="16" t="n">
        <v>45819</v>
      </c>
      <c r="C7965" s="15" t="s">
        <v>58</v>
      </c>
      <c r="D7965" s="15" t="s">
        <v>42</v>
      </c>
      <c r="E7965" s="15" t="s">
        <v>39</v>
      </c>
      <c r="F7965" s="15" t="s">
        <v>16</v>
      </c>
      <c r="G7965" s="15" t="s">
        <v>22</v>
      </c>
      <c r="H7965" s="15" t="n">
        <v>4</v>
      </c>
      <c r="I7965" s="17" t="n">
        <v>0.15</v>
      </c>
      <c r="J7965" s="18" t="n">
        <v>2059.48</v>
      </c>
      <c r="K7965" s="19" t="n">
        <v>-472.86</v>
      </c>
      <c r="L7965" s="15" t="n">
        <f aca="false">YEAR(B7965)</f>
        <v>2025</v>
      </c>
      <c r="M7965" s="20" t="n">
        <f aca="false">IF(J7965&gt;0,K7965/J7965,0)</f>
        <v>-0.229601647017694</v>
      </c>
    </row>
    <row r="7966" customFormat="false" ht="15" hidden="false" customHeight="false" outlineLevel="0" collapsed="false">
      <c r="A7966" s="15" t="s">
        <v>8023</v>
      </c>
      <c r="B7966" s="16" t="n">
        <v>45548</v>
      </c>
      <c r="C7966" s="15" t="s">
        <v>56</v>
      </c>
      <c r="D7966" s="15" t="s">
        <v>44</v>
      </c>
      <c r="E7966" s="15" t="s">
        <v>38</v>
      </c>
      <c r="F7966" s="15" t="s">
        <v>17</v>
      </c>
      <c r="G7966" s="15" t="s">
        <v>29</v>
      </c>
      <c r="H7966" s="15" t="n">
        <v>1</v>
      </c>
      <c r="I7966" s="17" t="n">
        <v>0.3</v>
      </c>
      <c r="J7966" s="18" t="n">
        <v>12.41</v>
      </c>
      <c r="K7966" s="19" t="n">
        <v>0.67</v>
      </c>
      <c r="L7966" s="15" t="n">
        <f aca="false">YEAR(B7966)</f>
        <v>2024</v>
      </c>
      <c r="M7966" s="20" t="n">
        <f aca="false">IF(J7966&gt;0,K7966/J7966,0)</f>
        <v>0.0539887187751813</v>
      </c>
    </row>
    <row r="7967" customFormat="false" ht="15" hidden="false" customHeight="false" outlineLevel="0" collapsed="false">
      <c r="A7967" s="15" t="s">
        <v>8024</v>
      </c>
      <c r="B7967" s="16" t="n">
        <v>45726</v>
      </c>
      <c r="C7967" s="15" t="s">
        <v>68</v>
      </c>
      <c r="D7967" s="15" t="s">
        <v>42</v>
      </c>
      <c r="E7967" s="15" t="s">
        <v>37</v>
      </c>
      <c r="F7967" s="15" t="s">
        <v>17</v>
      </c>
      <c r="G7967" s="15" t="s">
        <v>29</v>
      </c>
      <c r="H7967" s="15" t="n">
        <v>7</v>
      </c>
      <c r="I7967" s="17" t="n">
        <v>0.15</v>
      </c>
      <c r="J7967" s="18" t="n">
        <v>105.27</v>
      </c>
      <c r="K7967" s="19" t="n">
        <v>26.26</v>
      </c>
      <c r="L7967" s="15" t="n">
        <f aca="false">YEAR(B7967)</f>
        <v>2025</v>
      </c>
      <c r="M7967" s="20" t="n">
        <f aca="false">IF(J7967&gt;0,K7967/J7967,0)</f>
        <v>0.249453785503942</v>
      </c>
    </row>
    <row r="7968" customFormat="false" ht="15" hidden="false" customHeight="false" outlineLevel="0" collapsed="false">
      <c r="A7968" s="15" t="s">
        <v>8025</v>
      </c>
      <c r="B7968" s="16" t="n">
        <v>44749</v>
      </c>
      <c r="C7968" s="15" t="s">
        <v>56</v>
      </c>
      <c r="D7968" s="15" t="s">
        <v>42</v>
      </c>
      <c r="E7968" s="15" t="s">
        <v>36</v>
      </c>
      <c r="F7968" s="15" t="s">
        <v>17</v>
      </c>
      <c r="G7968" s="15" t="s">
        <v>29</v>
      </c>
      <c r="H7968" s="15" t="n">
        <v>11</v>
      </c>
      <c r="I7968" s="17" t="n">
        <v>0.15</v>
      </c>
      <c r="J7968" s="18" t="n">
        <v>148.95</v>
      </c>
      <c r="K7968" s="19" t="n">
        <v>36.46</v>
      </c>
      <c r="L7968" s="15" t="n">
        <f aca="false">YEAR(B7968)</f>
        <v>2022</v>
      </c>
      <c r="M7968" s="20" t="n">
        <f aca="false">IF(J7968&gt;0,K7968/J7968,0)</f>
        <v>0.244780127559584</v>
      </c>
    </row>
    <row r="7969" customFormat="false" ht="15" hidden="false" customHeight="false" outlineLevel="0" collapsed="false">
      <c r="A7969" s="15" t="s">
        <v>8026</v>
      </c>
      <c r="B7969" s="16" t="n">
        <v>44978</v>
      </c>
      <c r="C7969" s="15" t="s">
        <v>68</v>
      </c>
      <c r="D7969" s="15" t="s">
        <v>42</v>
      </c>
      <c r="E7969" s="15" t="s">
        <v>36</v>
      </c>
      <c r="F7969" s="15" t="s">
        <v>16</v>
      </c>
      <c r="G7969" s="15" t="s">
        <v>23</v>
      </c>
      <c r="H7969" s="15" t="n">
        <v>3</v>
      </c>
      <c r="I7969" s="17" t="n">
        <v>0</v>
      </c>
      <c r="J7969" s="18" t="n">
        <v>826.53</v>
      </c>
      <c r="K7969" s="19" t="n">
        <v>15.7</v>
      </c>
      <c r="L7969" s="15" t="n">
        <f aca="false">YEAR(B7969)</f>
        <v>2023</v>
      </c>
      <c r="M7969" s="20" t="n">
        <f aca="false">IF(J7969&gt;0,K7969/J7969,0)</f>
        <v>0.0189950757988216</v>
      </c>
    </row>
    <row r="7970" customFormat="false" ht="15" hidden="false" customHeight="false" outlineLevel="0" collapsed="false">
      <c r="A7970" s="15" t="s">
        <v>8027</v>
      </c>
      <c r="B7970" s="16" t="n">
        <v>45982</v>
      </c>
      <c r="C7970" s="15" t="s">
        <v>56</v>
      </c>
      <c r="D7970" s="15" t="s">
        <v>43</v>
      </c>
      <c r="E7970" s="15" t="s">
        <v>39</v>
      </c>
      <c r="F7970" s="15" t="s">
        <v>18</v>
      </c>
      <c r="G7970" s="15" t="s">
        <v>32</v>
      </c>
      <c r="H7970" s="15" t="n">
        <v>3</v>
      </c>
      <c r="I7970" s="17" t="n">
        <v>0</v>
      </c>
      <c r="J7970" s="18" t="n">
        <v>1503.79</v>
      </c>
      <c r="K7970" s="19" t="n">
        <v>341.71</v>
      </c>
      <c r="L7970" s="15" t="n">
        <f aca="false">YEAR(B7970)</f>
        <v>2025</v>
      </c>
      <c r="M7970" s="20" t="n">
        <f aca="false">IF(J7970&gt;0,K7970/J7970,0)</f>
        <v>0.2272325258181</v>
      </c>
    </row>
    <row r="7971" customFormat="false" ht="15" hidden="false" customHeight="false" outlineLevel="0" collapsed="false">
      <c r="A7971" s="15" t="s">
        <v>8028</v>
      </c>
      <c r="B7971" s="16" t="n">
        <v>45234</v>
      </c>
      <c r="C7971" s="15" t="s">
        <v>56</v>
      </c>
      <c r="D7971" s="15" t="s">
        <v>42</v>
      </c>
      <c r="E7971" s="15" t="s">
        <v>39</v>
      </c>
      <c r="F7971" s="15" t="s">
        <v>17</v>
      </c>
      <c r="G7971" s="15" t="s">
        <v>26</v>
      </c>
      <c r="H7971" s="15" t="n">
        <v>4</v>
      </c>
      <c r="I7971" s="17" t="n">
        <v>0.15</v>
      </c>
      <c r="J7971" s="18" t="n">
        <v>204.98</v>
      </c>
      <c r="K7971" s="19" t="n">
        <v>2.53</v>
      </c>
      <c r="L7971" s="15" t="n">
        <f aca="false">YEAR(B7971)</f>
        <v>2023</v>
      </c>
      <c r="M7971" s="20" t="n">
        <f aca="false">IF(J7971&gt;0,K7971/J7971,0)</f>
        <v>0.0123426675773246</v>
      </c>
    </row>
    <row r="7972" customFormat="false" ht="15" hidden="false" customHeight="false" outlineLevel="0" collapsed="false">
      <c r="A7972" s="15" t="s">
        <v>8029</v>
      </c>
      <c r="B7972" s="16" t="n">
        <v>45815</v>
      </c>
      <c r="C7972" s="15" t="s">
        <v>56</v>
      </c>
      <c r="D7972" s="15" t="s">
        <v>42</v>
      </c>
      <c r="E7972" s="15" t="s">
        <v>36</v>
      </c>
      <c r="F7972" s="15" t="s">
        <v>17</v>
      </c>
      <c r="G7972" s="15" t="s">
        <v>29</v>
      </c>
      <c r="H7972" s="15" t="n">
        <v>4</v>
      </c>
      <c r="I7972" s="17" t="n">
        <v>0.1</v>
      </c>
      <c r="J7972" s="18" t="n">
        <v>70.29</v>
      </c>
      <c r="K7972" s="19" t="n">
        <v>15.92</v>
      </c>
      <c r="L7972" s="15" t="n">
        <f aca="false">YEAR(B7972)</f>
        <v>2025</v>
      </c>
      <c r="M7972" s="20" t="n">
        <f aca="false">IF(J7972&gt;0,K7972/J7972,0)</f>
        <v>0.226490254659269</v>
      </c>
    </row>
    <row r="7973" customFormat="false" ht="15" hidden="false" customHeight="false" outlineLevel="0" collapsed="false">
      <c r="A7973" s="15" t="s">
        <v>8030</v>
      </c>
      <c r="B7973" s="16" t="n">
        <v>44640</v>
      </c>
      <c r="C7973" s="15" t="s">
        <v>56</v>
      </c>
      <c r="D7973" s="15" t="s">
        <v>43</v>
      </c>
      <c r="E7973" s="15" t="s">
        <v>37</v>
      </c>
      <c r="F7973" s="15" t="s">
        <v>18</v>
      </c>
      <c r="G7973" s="15" t="s">
        <v>30</v>
      </c>
      <c r="H7973" s="15" t="n">
        <v>1</v>
      </c>
      <c r="I7973" s="17" t="n">
        <v>0</v>
      </c>
      <c r="J7973" s="18" t="n">
        <v>39.62</v>
      </c>
      <c r="K7973" s="19" t="n">
        <v>12.15</v>
      </c>
      <c r="L7973" s="15" t="n">
        <f aca="false">YEAR(B7973)</f>
        <v>2022</v>
      </c>
      <c r="M7973" s="20" t="n">
        <f aca="false">IF(J7973&gt;0,K7973/J7973,0)</f>
        <v>0.306663301362948</v>
      </c>
    </row>
    <row r="7974" customFormat="false" ht="15" hidden="false" customHeight="false" outlineLevel="0" collapsed="false">
      <c r="A7974" s="15" t="s">
        <v>8031</v>
      </c>
      <c r="B7974" s="16" t="n">
        <v>44881</v>
      </c>
      <c r="C7974" s="15" t="s">
        <v>56</v>
      </c>
      <c r="D7974" s="15" t="s">
        <v>42</v>
      </c>
      <c r="E7974" s="15" t="s">
        <v>38</v>
      </c>
      <c r="F7974" s="15" t="s">
        <v>16</v>
      </c>
      <c r="G7974" s="15" t="s">
        <v>23</v>
      </c>
      <c r="H7974" s="15" t="n">
        <v>2</v>
      </c>
      <c r="I7974" s="17" t="n">
        <v>0.15</v>
      </c>
      <c r="J7974" s="18" t="n">
        <v>512.55</v>
      </c>
      <c r="K7974" s="19" t="n">
        <v>-48.68</v>
      </c>
      <c r="L7974" s="15" t="n">
        <f aca="false">YEAR(B7974)</f>
        <v>2022</v>
      </c>
      <c r="M7974" s="20" t="n">
        <f aca="false">IF(J7974&gt;0,K7974/J7974,0)</f>
        <v>-0.0949760998926934</v>
      </c>
    </row>
    <row r="7975" customFormat="false" ht="15" hidden="false" customHeight="false" outlineLevel="0" collapsed="false">
      <c r="A7975" s="15" t="s">
        <v>8032</v>
      </c>
      <c r="B7975" s="16" t="n">
        <v>45400</v>
      </c>
      <c r="C7975" s="15" t="s">
        <v>68</v>
      </c>
      <c r="D7975" s="15" t="s">
        <v>44</v>
      </c>
      <c r="E7975" s="15" t="s">
        <v>36</v>
      </c>
      <c r="F7975" s="15" t="s">
        <v>16</v>
      </c>
      <c r="G7975" s="15" t="s">
        <v>25</v>
      </c>
      <c r="H7975" s="15" t="n">
        <v>3</v>
      </c>
      <c r="I7975" s="17" t="n">
        <v>0</v>
      </c>
      <c r="J7975" s="18" t="n">
        <v>842.58</v>
      </c>
      <c r="K7975" s="19" t="n">
        <v>63.13</v>
      </c>
      <c r="L7975" s="15" t="n">
        <f aca="false">YEAR(B7975)</f>
        <v>2024</v>
      </c>
      <c r="M7975" s="20" t="n">
        <f aca="false">IF(J7975&gt;0,K7975/J7975,0)</f>
        <v>0.0749246362363218</v>
      </c>
    </row>
    <row r="7976" customFormat="false" ht="15" hidden="false" customHeight="false" outlineLevel="0" collapsed="false">
      <c r="A7976" s="15" t="s">
        <v>8033</v>
      </c>
      <c r="B7976" s="16" t="n">
        <v>45975</v>
      </c>
      <c r="C7976" s="15" t="s">
        <v>56</v>
      </c>
      <c r="D7976" s="15" t="s">
        <v>43</v>
      </c>
      <c r="E7976" s="15" t="s">
        <v>39</v>
      </c>
      <c r="F7976" s="15" t="s">
        <v>17</v>
      </c>
      <c r="G7976" s="15" t="s">
        <v>28</v>
      </c>
      <c r="H7976" s="15" t="n">
        <v>10</v>
      </c>
      <c r="I7976" s="17" t="n">
        <v>0.2</v>
      </c>
      <c r="J7976" s="18" t="n">
        <v>229.58</v>
      </c>
      <c r="K7976" s="19" t="n">
        <v>49.03</v>
      </c>
      <c r="L7976" s="15" t="n">
        <f aca="false">YEAR(B7976)</f>
        <v>2025</v>
      </c>
      <c r="M7976" s="20" t="n">
        <f aca="false">IF(J7976&gt;0,K7976/J7976,0)</f>
        <v>0.213563899294364</v>
      </c>
    </row>
    <row r="7977" customFormat="false" ht="15" hidden="false" customHeight="false" outlineLevel="0" collapsed="false">
      <c r="A7977" s="15" t="s">
        <v>8034</v>
      </c>
      <c r="B7977" s="16" t="n">
        <v>45033</v>
      </c>
      <c r="C7977" s="15" t="s">
        <v>71</v>
      </c>
      <c r="D7977" s="15" t="s">
        <v>42</v>
      </c>
      <c r="E7977" s="15" t="s">
        <v>37</v>
      </c>
      <c r="F7977" s="15" t="s">
        <v>16</v>
      </c>
      <c r="G7977" s="15" t="s">
        <v>27</v>
      </c>
      <c r="H7977" s="15" t="n">
        <v>3</v>
      </c>
      <c r="I7977" s="17" t="n">
        <v>0</v>
      </c>
      <c r="J7977" s="18" t="n">
        <v>150.38</v>
      </c>
      <c r="K7977" s="19" t="n">
        <v>31.53</v>
      </c>
      <c r="L7977" s="15" t="n">
        <f aca="false">YEAR(B7977)</f>
        <v>2023</v>
      </c>
      <c r="M7977" s="20" t="n">
        <f aca="false">IF(J7977&gt;0,K7977/J7977,0)</f>
        <v>0.209668838941349</v>
      </c>
    </row>
    <row r="7978" customFormat="false" ht="15" hidden="false" customHeight="false" outlineLevel="0" collapsed="false">
      <c r="A7978" s="15" t="s">
        <v>8035</v>
      </c>
      <c r="B7978" s="16" t="n">
        <v>45102</v>
      </c>
      <c r="C7978" s="15" t="s">
        <v>56</v>
      </c>
      <c r="D7978" s="15" t="s">
        <v>42</v>
      </c>
      <c r="E7978" s="15" t="s">
        <v>36</v>
      </c>
      <c r="F7978" s="15" t="s">
        <v>17</v>
      </c>
      <c r="G7978" s="15" t="s">
        <v>29</v>
      </c>
      <c r="H7978" s="15" t="n">
        <v>5</v>
      </c>
      <c r="I7978" s="17" t="n">
        <v>0.2</v>
      </c>
      <c r="J7978" s="18" t="n">
        <v>66.72</v>
      </c>
      <c r="K7978" s="19" t="n">
        <v>14.89</v>
      </c>
      <c r="L7978" s="15" t="n">
        <f aca="false">YEAR(B7978)</f>
        <v>2023</v>
      </c>
      <c r="M7978" s="20" t="n">
        <f aca="false">IF(J7978&gt;0,K7978/J7978,0)</f>
        <v>0.223171462829736</v>
      </c>
    </row>
    <row r="7979" customFormat="false" ht="15" hidden="false" customHeight="false" outlineLevel="0" collapsed="false">
      <c r="A7979" s="15" t="s">
        <v>8036</v>
      </c>
      <c r="B7979" s="16" t="n">
        <v>44982</v>
      </c>
      <c r="C7979" s="15" t="s">
        <v>68</v>
      </c>
      <c r="D7979" s="15" t="s">
        <v>43</v>
      </c>
      <c r="E7979" s="15" t="s">
        <v>39</v>
      </c>
      <c r="F7979" s="15" t="s">
        <v>17</v>
      </c>
      <c r="G7979" s="15" t="s">
        <v>29</v>
      </c>
      <c r="H7979" s="15" t="n">
        <v>5</v>
      </c>
      <c r="I7979" s="17" t="n">
        <v>0.2</v>
      </c>
      <c r="J7979" s="18" t="n">
        <v>84.25</v>
      </c>
      <c r="K7979" s="19" t="n">
        <v>16.76</v>
      </c>
      <c r="L7979" s="15" t="n">
        <f aca="false">YEAR(B7979)</f>
        <v>2023</v>
      </c>
      <c r="M7979" s="20" t="n">
        <f aca="false">IF(J7979&gt;0,K7979/J7979,0)</f>
        <v>0.19893175074184</v>
      </c>
    </row>
    <row r="7980" customFormat="false" ht="15" hidden="false" customHeight="false" outlineLevel="0" collapsed="false">
      <c r="A7980" s="15" t="s">
        <v>8037</v>
      </c>
      <c r="B7980" s="16" t="n">
        <v>45218</v>
      </c>
      <c r="C7980" s="15" t="s">
        <v>56</v>
      </c>
      <c r="D7980" s="15" t="s">
        <v>42</v>
      </c>
      <c r="E7980" s="15" t="s">
        <v>39</v>
      </c>
      <c r="F7980" s="15" t="s">
        <v>17</v>
      </c>
      <c r="G7980" s="15" t="s">
        <v>29</v>
      </c>
      <c r="H7980" s="15" t="n">
        <v>2</v>
      </c>
      <c r="I7980" s="17" t="n">
        <v>0.05</v>
      </c>
      <c r="J7980" s="18" t="n">
        <v>33.88</v>
      </c>
      <c r="K7980" s="19" t="n">
        <v>12.88</v>
      </c>
      <c r="L7980" s="15" t="n">
        <f aca="false">YEAR(B7980)</f>
        <v>2023</v>
      </c>
      <c r="M7980" s="20" t="n">
        <f aca="false">IF(J7980&gt;0,K7980/J7980,0)</f>
        <v>0.380165289256198</v>
      </c>
    </row>
    <row r="7981" customFormat="false" ht="15" hidden="false" customHeight="false" outlineLevel="0" collapsed="false">
      <c r="A7981" s="15" t="s">
        <v>8038</v>
      </c>
      <c r="B7981" s="16" t="n">
        <v>44737</v>
      </c>
      <c r="C7981" s="15" t="s">
        <v>71</v>
      </c>
      <c r="D7981" s="15" t="s">
        <v>42</v>
      </c>
      <c r="E7981" s="15" t="s">
        <v>38</v>
      </c>
      <c r="F7981" s="15" t="s">
        <v>17</v>
      </c>
      <c r="G7981" s="15" t="s">
        <v>28</v>
      </c>
      <c r="H7981" s="15" t="n">
        <v>3</v>
      </c>
      <c r="I7981" s="17" t="n">
        <v>0.1</v>
      </c>
      <c r="J7981" s="18" t="n">
        <v>59.34</v>
      </c>
      <c r="K7981" s="19" t="n">
        <v>10.47</v>
      </c>
      <c r="L7981" s="15" t="n">
        <f aca="false">YEAR(B7981)</f>
        <v>2022</v>
      </c>
      <c r="M7981" s="20" t="n">
        <f aca="false">IF(J7981&gt;0,K7981/J7981,0)</f>
        <v>0.176440849342771</v>
      </c>
    </row>
    <row r="7982" customFormat="false" ht="15" hidden="false" customHeight="false" outlineLevel="0" collapsed="false">
      <c r="A7982" s="15" t="s">
        <v>8039</v>
      </c>
      <c r="B7982" s="16" t="n">
        <v>44790</v>
      </c>
      <c r="C7982" s="15" t="s">
        <v>68</v>
      </c>
      <c r="D7982" s="15" t="s">
        <v>42</v>
      </c>
      <c r="E7982" s="15" t="s">
        <v>37</v>
      </c>
      <c r="F7982" s="15" t="s">
        <v>17</v>
      </c>
      <c r="G7982" s="15" t="s">
        <v>31</v>
      </c>
      <c r="H7982" s="15" t="n">
        <v>2</v>
      </c>
      <c r="I7982" s="17" t="n">
        <v>0</v>
      </c>
      <c r="J7982" s="18" t="n">
        <v>273.13</v>
      </c>
      <c r="K7982" s="19" t="n">
        <v>45.52</v>
      </c>
      <c r="L7982" s="15" t="n">
        <f aca="false">YEAR(B7982)</f>
        <v>2022</v>
      </c>
      <c r="M7982" s="20" t="n">
        <f aca="false">IF(J7982&gt;0,K7982/J7982,0)</f>
        <v>0.166660564566324</v>
      </c>
    </row>
    <row r="7983" customFormat="false" ht="15" hidden="false" customHeight="false" outlineLevel="0" collapsed="false">
      <c r="A7983" s="15" t="s">
        <v>8040</v>
      </c>
      <c r="B7983" s="16" t="n">
        <v>45061</v>
      </c>
      <c r="C7983" s="15" t="s">
        <v>56</v>
      </c>
      <c r="D7983" s="15" t="s">
        <v>43</v>
      </c>
      <c r="E7983" s="15" t="s">
        <v>39</v>
      </c>
      <c r="F7983" s="15" t="s">
        <v>18</v>
      </c>
      <c r="G7983" s="15" t="s">
        <v>30</v>
      </c>
      <c r="H7983" s="15" t="n">
        <v>2</v>
      </c>
      <c r="I7983" s="17" t="n">
        <v>0.4</v>
      </c>
      <c r="J7983" s="18" t="n">
        <v>50.53</v>
      </c>
      <c r="K7983" s="19" t="n">
        <v>-1.48</v>
      </c>
      <c r="L7983" s="15" t="n">
        <f aca="false">YEAR(B7983)</f>
        <v>2023</v>
      </c>
      <c r="M7983" s="20" t="n">
        <f aca="false">IF(J7983&gt;0,K7983/J7983,0)</f>
        <v>-0.0292895309717</v>
      </c>
    </row>
    <row r="7984" customFormat="false" ht="15" hidden="false" customHeight="false" outlineLevel="0" collapsed="false">
      <c r="A7984" s="15" t="s">
        <v>8041</v>
      </c>
      <c r="B7984" s="16" t="n">
        <v>45019</v>
      </c>
      <c r="C7984" s="15" t="s">
        <v>71</v>
      </c>
      <c r="D7984" s="15" t="s">
        <v>44</v>
      </c>
      <c r="E7984" s="15" t="s">
        <v>39</v>
      </c>
      <c r="F7984" s="15" t="s">
        <v>17</v>
      </c>
      <c r="G7984" s="15" t="s">
        <v>28</v>
      </c>
      <c r="H7984" s="15" t="n">
        <v>2</v>
      </c>
      <c r="I7984" s="17" t="n">
        <v>0.4</v>
      </c>
      <c r="J7984" s="18" t="n">
        <v>27.56</v>
      </c>
      <c r="K7984" s="19" t="n">
        <v>-3.57</v>
      </c>
      <c r="L7984" s="15" t="n">
        <f aca="false">YEAR(B7984)</f>
        <v>2023</v>
      </c>
      <c r="M7984" s="20" t="n">
        <f aca="false">IF(J7984&gt;0,K7984/J7984,0)</f>
        <v>-0.129535558780842</v>
      </c>
    </row>
    <row r="7985" customFormat="false" ht="15" hidden="false" customHeight="false" outlineLevel="0" collapsed="false">
      <c r="A7985" s="15" t="s">
        <v>8042</v>
      </c>
      <c r="B7985" s="16" t="n">
        <v>44797</v>
      </c>
      <c r="C7985" s="15" t="s">
        <v>68</v>
      </c>
      <c r="D7985" s="15" t="s">
        <v>43</v>
      </c>
      <c r="E7985" s="15" t="s">
        <v>39</v>
      </c>
      <c r="F7985" s="15" t="s">
        <v>16</v>
      </c>
      <c r="G7985" s="15" t="s">
        <v>22</v>
      </c>
      <c r="H7985" s="15" t="n">
        <v>3</v>
      </c>
      <c r="I7985" s="17" t="n">
        <v>0</v>
      </c>
      <c r="J7985" s="18" t="n">
        <v>2010.53</v>
      </c>
      <c r="K7985" s="19" t="n">
        <v>-25.87</v>
      </c>
      <c r="L7985" s="15" t="n">
        <f aca="false">YEAR(B7985)</f>
        <v>2022</v>
      </c>
      <c r="M7985" s="20" t="n">
        <f aca="false">IF(J7985&gt;0,K7985/J7985,0)</f>
        <v>-0.0128672539081735</v>
      </c>
    </row>
    <row r="7986" customFormat="false" ht="15" hidden="false" customHeight="false" outlineLevel="0" collapsed="false">
      <c r="A7986" s="15" t="s">
        <v>8043</v>
      </c>
      <c r="B7986" s="16" t="n">
        <v>45188</v>
      </c>
      <c r="C7986" s="15" t="s">
        <v>68</v>
      </c>
      <c r="D7986" s="15" t="s">
        <v>43</v>
      </c>
      <c r="E7986" s="15" t="s">
        <v>39</v>
      </c>
      <c r="F7986" s="15" t="s">
        <v>17</v>
      </c>
      <c r="G7986" s="15" t="s">
        <v>29</v>
      </c>
      <c r="H7986" s="15" t="n">
        <v>5</v>
      </c>
      <c r="I7986" s="17" t="n">
        <v>0.05</v>
      </c>
      <c r="J7986" s="18" t="n">
        <v>112.57</v>
      </c>
      <c r="K7986" s="19" t="n">
        <v>35.49</v>
      </c>
      <c r="L7986" s="15" t="n">
        <f aca="false">YEAR(B7986)</f>
        <v>2023</v>
      </c>
      <c r="M7986" s="20" t="n">
        <f aca="false">IF(J7986&gt;0,K7986/J7986,0)</f>
        <v>0.315270498356578</v>
      </c>
    </row>
    <row r="7987" customFormat="false" ht="15" hidden="false" customHeight="false" outlineLevel="0" collapsed="false">
      <c r="A7987" s="15" t="s">
        <v>8044</v>
      </c>
      <c r="B7987" s="16" t="n">
        <v>44916</v>
      </c>
      <c r="C7987" s="15" t="s">
        <v>71</v>
      </c>
      <c r="D7987" s="15" t="s">
        <v>43</v>
      </c>
      <c r="E7987" s="15" t="s">
        <v>37</v>
      </c>
      <c r="F7987" s="15" t="s">
        <v>17</v>
      </c>
      <c r="G7987" s="15" t="s">
        <v>26</v>
      </c>
      <c r="H7987" s="15" t="n">
        <v>4</v>
      </c>
      <c r="I7987" s="17" t="n">
        <v>0</v>
      </c>
      <c r="J7987" s="18" t="n">
        <v>372.66</v>
      </c>
      <c r="K7987" s="19" t="n">
        <v>34.96</v>
      </c>
      <c r="L7987" s="15" t="n">
        <f aca="false">YEAR(B7987)</f>
        <v>2022</v>
      </c>
      <c r="M7987" s="20" t="n">
        <f aca="false">IF(J7987&gt;0,K7987/J7987,0)</f>
        <v>0.0938120538828959</v>
      </c>
    </row>
    <row r="7988" customFormat="false" ht="15" hidden="false" customHeight="false" outlineLevel="0" collapsed="false">
      <c r="A7988" s="15" t="s">
        <v>8045</v>
      </c>
      <c r="B7988" s="16" t="n">
        <v>45925</v>
      </c>
      <c r="C7988" s="15" t="s">
        <v>56</v>
      </c>
      <c r="D7988" s="15" t="s">
        <v>42</v>
      </c>
      <c r="E7988" s="15" t="s">
        <v>39</v>
      </c>
      <c r="F7988" s="15" t="s">
        <v>18</v>
      </c>
      <c r="G7988" s="15" t="s">
        <v>30</v>
      </c>
      <c r="H7988" s="15" t="n">
        <v>3</v>
      </c>
      <c r="I7988" s="17" t="n">
        <v>0.4</v>
      </c>
      <c r="J7988" s="18" t="n">
        <v>106.27</v>
      </c>
      <c r="K7988" s="19" t="n">
        <v>-8.16</v>
      </c>
      <c r="L7988" s="15" t="n">
        <f aca="false">YEAR(B7988)</f>
        <v>2025</v>
      </c>
      <c r="M7988" s="20" t="n">
        <f aca="false">IF(J7988&gt;0,K7988/J7988,0)</f>
        <v>-0.0767855462501176</v>
      </c>
    </row>
    <row r="7989" customFormat="false" ht="15" hidden="false" customHeight="false" outlineLevel="0" collapsed="false">
      <c r="A7989" s="15" t="s">
        <v>8046</v>
      </c>
      <c r="B7989" s="16" t="n">
        <v>45379</v>
      </c>
      <c r="C7989" s="15" t="s">
        <v>56</v>
      </c>
      <c r="D7989" s="15" t="s">
        <v>43</v>
      </c>
      <c r="E7989" s="15" t="s">
        <v>39</v>
      </c>
      <c r="F7989" s="15" t="s">
        <v>17</v>
      </c>
      <c r="G7989" s="15" t="s">
        <v>31</v>
      </c>
      <c r="H7989" s="15" t="n">
        <v>6</v>
      </c>
      <c r="I7989" s="17" t="n">
        <v>0.4</v>
      </c>
      <c r="J7989" s="18" t="n">
        <v>578.27</v>
      </c>
      <c r="K7989" s="19" t="n">
        <v>-98.25</v>
      </c>
      <c r="L7989" s="15" t="n">
        <f aca="false">YEAR(B7989)</f>
        <v>2024</v>
      </c>
      <c r="M7989" s="20" t="n">
        <f aca="false">IF(J7989&gt;0,K7989/J7989,0)</f>
        <v>-0.169903332353399</v>
      </c>
    </row>
    <row r="7990" customFormat="false" ht="15" hidden="false" customHeight="false" outlineLevel="0" collapsed="false">
      <c r="A7990" s="15" t="s">
        <v>8047</v>
      </c>
      <c r="B7990" s="16" t="n">
        <v>45721</v>
      </c>
      <c r="C7990" s="15" t="s">
        <v>58</v>
      </c>
      <c r="D7990" s="15" t="s">
        <v>43</v>
      </c>
      <c r="E7990" s="15" t="s">
        <v>38</v>
      </c>
      <c r="F7990" s="15" t="s">
        <v>17</v>
      </c>
      <c r="G7990" s="15" t="s">
        <v>29</v>
      </c>
      <c r="H7990" s="15" t="n">
        <v>3</v>
      </c>
      <c r="I7990" s="17" t="n">
        <v>0</v>
      </c>
      <c r="J7990" s="18" t="n">
        <v>55.26</v>
      </c>
      <c r="K7990" s="19" t="n">
        <v>20.87</v>
      </c>
      <c r="L7990" s="15" t="n">
        <f aca="false">YEAR(B7990)</f>
        <v>2025</v>
      </c>
      <c r="M7990" s="20" t="n">
        <f aca="false">IF(J7990&gt;0,K7990/J7990,0)</f>
        <v>0.37766920014477</v>
      </c>
    </row>
    <row r="7991" customFormat="false" ht="15" hidden="false" customHeight="false" outlineLevel="0" collapsed="false">
      <c r="A7991" s="15" t="s">
        <v>8048</v>
      </c>
      <c r="B7991" s="16" t="n">
        <v>45547</v>
      </c>
      <c r="C7991" s="15" t="s">
        <v>56</v>
      </c>
      <c r="D7991" s="15" t="s">
        <v>42</v>
      </c>
      <c r="E7991" s="15" t="s">
        <v>38</v>
      </c>
      <c r="F7991" s="15" t="s">
        <v>17</v>
      </c>
      <c r="G7991" s="15" t="s">
        <v>28</v>
      </c>
      <c r="H7991" s="15" t="n">
        <v>4</v>
      </c>
      <c r="I7991" s="17" t="n">
        <v>0.2</v>
      </c>
      <c r="J7991" s="18" t="n">
        <v>94.56</v>
      </c>
      <c r="K7991" s="19" t="n">
        <v>12.99</v>
      </c>
      <c r="L7991" s="15" t="n">
        <f aca="false">YEAR(B7991)</f>
        <v>2024</v>
      </c>
      <c r="M7991" s="20" t="n">
        <f aca="false">IF(J7991&gt;0,K7991/J7991,0)</f>
        <v>0.137373096446701</v>
      </c>
    </row>
    <row r="7992" customFormat="false" ht="15" hidden="false" customHeight="false" outlineLevel="0" collapsed="false">
      <c r="A7992" s="15" t="s">
        <v>8049</v>
      </c>
      <c r="B7992" s="16" t="n">
        <v>44911</v>
      </c>
      <c r="C7992" s="15" t="s">
        <v>71</v>
      </c>
      <c r="D7992" s="15" t="s">
        <v>42</v>
      </c>
      <c r="E7992" s="15" t="s">
        <v>39</v>
      </c>
      <c r="F7992" s="15" t="s">
        <v>17</v>
      </c>
      <c r="G7992" s="15" t="s">
        <v>31</v>
      </c>
      <c r="H7992" s="15" t="n">
        <v>3</v>
      </c>
      <c r="I7992" s="17" t="n">
        <v>0</v>
      </c>
      <c r="J7992" s="18" t="n">
        <v>416.59</v>
      </c>
      <c r="K7992" s="19" t="n">
        <v>78.49</v>
      </c>
      <c r="L7992" s="15" t="n">
        <f aca="false">YEAR(B7992)</f>
        <v>2022</v>
      </c>
      <c r="M7992" s="20" t="n">
        <f aca="false">IF(J7992&gt;0,K7992/J7992,0)</f>
        <v>0.188410667562832</v>
      </c>
    </row>
    <row r="7993" customFormat="false" ht="15" hidden="false" customHeight="false" outlineLevel="0" collapsed="false">
      <c r="A7993" s="15" t="s">
        <v>8050</v>
      </c>
      <c r="B7993" s="16" t="n">
        <v>45505</v>
      </c>
      <c r="C7993" s="15" t="s">
        <v>68</v>
      </c>
      <c r="D7993" s="15" t="s">
        <v>43</v>
      </c>
      <c r="E7993" s="15" t="s">
        <v>37</v>
      </c>
      <c r="F7993" s="15" t="s">
        <v>17</v>
      </c>
      <c r="G7993" s="15" t="s">
        <v>28</v>
      </c>
      <c r="H7993" s="15" t="n">
        <v>1</v>
      </c>
      <c r="I7993" s="17" t="n">
        <v>0</v>
      </c>
      <c r="J7993" s="18" t="n">
        <v>31.01</v>
      </c>
      <c r="K7993" s="19" t="n">
        <v>7.92</v>
      </c>
      <c r="L7993" s="15" t="n">
        <f aca="false">YEAR(B7993)</f>
        <v>2024</v>
      </c>
      <c r="M7993" s="20" t="n">
        <f aca="false">IF(J7993&gt;0,K7993/J7993,0)</f>
        <v>0.255401483392454</v>
      </c>
    </row>
    <row r="7994" customFormat="false" ht="15" hidden="false" customHeight="false" outlineLevel="0" collapsed="false">
      <c r="A7994" s="15" t="s">
        <v>8051</v>
      </c>
      <c r="B7994" s="16" t="n">
        <v>45977</v>
      </c>
      <c r="C7994" s="15" t="s">
        <v>68</v>
      </c>
      <c r="D7994" s="15" t="s">
        <v>42</v>
      </c>
      <c r="E7994" s="15" t="s">
        <v>36</v>
      </c>
      <c r="F7994" s="15" t="s">
        <v>16</v>
      </c>
      <c r="G7994" s="15" t="s">
        <v>27</v>
      </c>
      <c r="H7994" s="15" t="n">
        <v>2</v>
      </c>
      <c r="I7994" s="17" t="n">
        <v>0.1</v>
      </c>
      <c r="J7994" s="18" t="n">
        <v>122.66</v>
      </c>
      <c r="K7994" s="19" t="n">
        <v>15.18</v>
      </c>
      <c r="L7994" s="15" t="n">
        <f aca="false">YEAR(B7994)</f>
        <v>2025</v>
      </c>
      <c r="M7994" s="20" t="n">
        <f aca="false">IF(J7994&gt;0,K7994/J7994,0)</f>
        <v>0.123756725909017</v>
      </c>
    </row>
    <row r="7995" customFormat="false" ht="15" hidden="false" customHeight="false" outlineLevel="0" collapsed="false">
      <c r="A7995" s="15" t="s">
        <v>8052</v>
      </c>
      <c r="B7995" s="16" t="n">
        <v>44652</v>
      </c>
      <c r="C7995" s="15" t="s">
        <v>71</v>
      </c>
      <c r="D7995" s="15" t="s">
        <v>43</v>
      </c>
      <c r="E7995" s="15" t="s">
        <v>36</v>
      </c>
      <c r="F7995" s="15" t="s">
        <v>18</v>
      </c>
      <c r="G7995" s="15" t="s">
        <v>32</v>
      </c>
      <c r="H7995" s="15" t="n">
        <v>7</v>
      </c>
      <c r="I7995" s="17" t="n">
        <v>0.05</v>
      </c>
      <c r="J7995" s="18" t="n">
        <v>2557.34</v>
      </c>
      <c r="K7995" s="19" t="n">
        <v>315.88</v>
      </c>
      <c r="L7995" s="15" t="n">
        <f aca="false">YEAR(B7995)</f>
        <v>2022</v>
      </c>
      <c r="M7995" s="20" t="n">
        <f aca="false">IF(J7995&gt;0,K7995/J7995,0)</f>
        <v>0.123518968928652</v>
      </c>
    </row>
    <row r="7996" customFormat="false" ht="15" hidden="false" customHeight="false" outlineLevel="0" collapsed="false">
      <c r="A7996" s="15" t="s">
        <v>8053</v>
      </c>
      <c r="B7996" s="16" t="n">
        <v>45260</v>
      </c>
      <c r="C7996" s="15" t="s">
        <v>56</v>
      </c>
      <c r="D7996" s="15" t="s">
        <v>43</v>
      </c>
      <c r="E7996" s="15" t="s">
        <v>36</v>
      </c>
      <c r="F7996" s="15" t="s">
        <v>17</v>
      </c>
      <c r="G7996" s="15" t="s">
        <v>29</v>
      </c>
      <c r="H7996" s="15" t="n">
        <v>5</v>
      </c>
      <c r="I7996" s="17" t="n">
        <v>0</v>
      </c>
      <c r="J7996" s="18" t="n">
        <v>103.53</v>
      </c>
      <c r="K7996" s="19" t="n">
        <v>46.81</v>
      </c>
      <c r="L7996" s="15" t="n">
        <f aca="false">YEAR(B7996)</f>
        <v>2023</v>
      </c>
      <c r="M7996" s="20" t="n">
        <f aca="false">IF(J7996&gt;0,K7996/J7996,0)</f>
        <v>0.452139476480247</v>
      </c>
    </row>
    <row r="7997" customFormat="false" ht="15" hidden="false" customHeight="false" outlineLevel="0" collapsed="false">
      <c r="A7997" s="15" t="s">
        <v>8054</v>
      </c>
      <c r="B7997" s="16" t="n">
        <v>45343</v>
      </c>
      <c r="C7997" s="15" t="s">
        <v>56</v>
      </c>
      <c r="D7997" s="15" t="s">
        <v>42</v>
      </c>
      <c r="E7997" s="15" t="s">
        <v>39</v>
      </c>
      <c r="F7997" s="15" t="s">
        <v>18</v>
      </c>
      <c r="G7997" s="15" t="s">
        <v>30</v>
      </c>
      <c r="H7997" s="15" t="n">
        <v>3</v>
      </c>
      <c r="I7997" s="17" t="n">
        <v>0</v>
      </c>
      <c r="J7997" s="18" t="n">
        <v>146.89</v>
      </c>
      <c r="K7997" s="19" t="n">
        <v>38.38</v>
      </c>
      <c r="L7997" s="15" t="n">
        <f aca="false">YEAR(B7997)</f>
        <v>2024</v>
      </c>
      <c r="M7997" s="20" t="n">
        <f aca="false">IF(J7997&gt;0,K7997/J7997,0)</f>
        <v>0.261283953979168</v>
      </c>
    </row>
    <row r="7998" customFormat="false" ht="15" hidden="false" customHeight="false" outlineLevel="0" collapsed="false">
      <c r="A7998" s="15" t="s">
        <v>8055</v>
      </c>
      <c r="B7998" s="16" t="n">
        <v>44728</v>
      </c>
      <c r="C7998" s="15" t="s">
        <v>68</v>
      </c>
      <c r="D7998" s="15" t="s">
        <v>44</v>
      </c>
      <c r="E7998" s="15" t="s">
        <v>37</v>
      </c>
      <c r="F7998" s="15" t="s">
        <v>18</v>
      </c>
      <c r="G7998" s="15" t="s">
        <v>30</v>
      </c>
      <c r="H7998" s="15" t="n">
        <v>2</v>
      </c>
      <c r="I7998" s="17" t="n">
        <v>0</v>
      </c>
      <c r="J7998" s="18" t="n">
        <v>90.19</v>
      </c>
      <c r="K7998" s="19" t="n">
        <v>29.06</v>
      </c>
      <c r="L7998" s="15" t="n">
        <f aca="false">YEAR(B7998)</f>
        <v>2022</v>
      </c>
      <c r="M7998" s="20" t="n">
        <f aca="false">IF(J7998&gt;0,K7998/J7998,0)</f>
        <v>0.322208670584322</v>
      </c>
    </row>
    <row r="7999" customFormat="false" ht="15" hidden="false" customHeight="false" outlineLevel="0" collapsed="false">
      <c r="A7999" s="15" t="s">
        <v>8056</v>
      </c>
      <c r="B7999" s="16" t="n">
        <v>45225</v>
      </c>
      <c r="C7999" s="15" t="s">
        <v>56</v>
      </c>
      <c r="D7999" s="15" t="s">
        <v>43</v>
      </c>
      <c r="E7999" s="15" t="s">
        <v>39</v>
      </c>
      <c r="F7999" s="15" t="s">
        <v>18</v>
      </c>
      <c r="G7999" s="15" t="s">
        <v>30</v>
      </c>
      <c r="H7999" s="15" t="n">
        <v>3</v>
      </c>
      <c r="I7999" s="17" t="n">
        <v>0</v>
      </c>
      <c r="J7999" s="18" t="n">
        <v>177.86</v>
      </c>
      <c r="K7999" s="19" t="n">
        <v>71.8</v>
      </c>
      <c r="L7999" s="15" t="n">
        <f aca="false">YEAR(B7999)</f>
        <v>2023</v>
      </c>
      <c r="M7999" s="20" t="n">
        <f aca="false">IF(J7999&gt;0,K7999/J7999,0)</f>
        <v>0.403688294163949</v>
      </c>
    </row>
    <row r="8000" customFormat="false" ht="15" hidden="false" customHeight="false" outlineLevel="0" collapsed="false">
      <c r="A8000" s="15" t="s">
        <v>8057</v>
      </c>
      <c r="B8000" s="16" t="n">
        <v>45508</v>
      </c>
      <c r="C8000" s="15" t="s">
        <v>56</v>
      </c>
      <c r="D8000" s="15" t="s">
        <v>42</v>
      </c>
      <c r="E8000" s="15" t="s">
        <v>37</v>
      </c>
      <c r="F8000" s="15" t="s">
        <v>17</v>
      </c>
      <c r="G8000" s="15" t="s">
        <v>29</v>
      </c>
      <c r="H8000" s="15" t="n">
        <v>1</v>
      </c>
      <c r="I8000" s="17" t="n">
        <v>0</v>
      </c>
      <c r="J8000" s="18" t="n">
        <v>17.25</v>
      </c>
      <c r="K8000" s="19" t="n">
        <v>6.69</v>
      </c>
      <c r="L8000" s="15" t="n">
        <f aca="false">YEAR(B8000)</f>
        <v>2024</v>
      </c>
      <c r="M8000" s="20" t="n">
        <f aca="false">IF(J8000&gt;0,K8000/J8000,0)</f>
        <v>0.387826086956522</v>
      </c>
    </row>
    <row r="8001" customFormat="false" ht="15" hidden="false" customHeight="false" outlineLevel="0" collapsed="false">
      <c r="A8001" s="15" t="s">
        <v>8058</v>
      </c>
      <c r="B8001" s="16" t="n">
        <v>45469</v>
      </c>
      <c r="C8001" s="15" t="s">
        <v>56</v>
      </c>
      <c r="D8001" s="15" t="s">
        <v>42</v>
      </c>
      <c r="E8001" s="15" t="s">
        <v>36</v>
      </c>
      <c r="F8001" s="15" t="s">
        <v>18</v>
      </c>
      <c r="G8001" s="15" t="s">
        <v>32</v>
      </c>
      <c r="H8001" s="15" t="n">
        <v>3</v>
      </c>
      <c r="I8001" s="17" t="n">
        <v>0.2</v>
      </c>
      <c r="J8001" s="18" t="n">
        <v>868</v>
      </c>
      <c r="K8001" s="19" t="n">
        <v>-24.72</v>
      </c>
      <c r="L8001" s="15" t="n">
        <f aca="false">YEAR(B8001)</f>
        <v>2024</v>
      </c>
      <c r="M8001" s="20" t="n">
        <f aca="false">IF(J8001&gt;0,K8001/J8001,0)</f>
        <v>-0.0284792626728111</v>
      </c>
    </row>
    <row r="8002" customFormat="false" ht="15" hidden="false" customHeight="false" outlineLevel="0" collapsed="false">
      <c r="A8002" s="15" t="s">
        <v>8059</v>
      </c>
      <c r="B8002" s="16" t="n">
        <v>44793</v>
      </c>
      <c r="C8002" s="15" t="s">
        <v>71</v>
      </c>
      <c r="D8002" s="15" t="s">
        <v>42</v>
      </c>
      <c r="E8002" s="15" t="s">
        <v>36</v>
      </c>
      <c r="F8002" s="15" t="s">
        <v>16</v>
      </c>
      <c r="G8002" s="15" t="s">
        <v>23</v>
      </c>
      <c r="H8002" s="15" t="n">
        <v>4</v>
      </c>
      <c r="I8002" s="17" t="n">
        <v>0.3</v>
      </c>
      <c r="J8002" s="18" t="n">
        <v>814.99</v>
      </c>
      <c r="K8002" s="19" t="n">
        <v>-223.7</v>
      </c>
      <c r="L8002" s="15" t="n">
        <f aca="false">YEAR(B8002)</f>
        <v>2022</v>
      </c>
      <c r="M8002" s="20" t="n">
        <f aca="false">IF(J8002&gt;0,K8002/J8002,0)</f>
        <v>-0.27448189548338</v>
      </c>
    </row>
    <row r="8003" customFormat="false" ht="15" hidden="false" customHeight="false" outlineLevel="0" collapsed="false">
      <c r="A8003" s="15" t="s">
        <v>8060</v>
      </c>
      <c r="B8003" s="16" t="n">
        <v>45174</v>
      </c>
      <c r="C8003" s="15" t="s">
        <v>56</v>
      </c>
      <c r="D8003" s="15" t="s">
        <v>44</v>
      </c>
      <c r="E8003" s="15" t="s">
        <v>39</v>
      </c>
      <c r="F8003" s="15" t="s">
        <v>16</v>
      </c>
      <c r="G8003" s="15" t="s">
        <v>27</v>
      </c>
      <c r="H8003" s="15" t="n">
        <v>5</v>
      </c>
      <c r="I8003" s="17" t="n">
        <v>0</v>
      </c>
      <c r="J8003" s="18" t="n">
        <v>354.24</v>
      </c>
      <c r="K8003" s="19" t="n">
        <v>86.37</v>
      </c>
      <c r="L8003" s="15" t="n">
        <f aca="false">YEAR(B8003)</f>
        <v>2023</v>
      </c>
      <c r="M8003" s="20" t="n">
        <f aca="false">IF(J8003&gt;0,K8003/J8003,0)</f>
        <v>0.243817750677507</v>
      </c>
    </row>
    <row r="8004" customFormat="false" ht="15" hidden="false" customHeight="false" outlineLevel="0" collapsed="false">
      <c r="A8004" s="15" t="s">
        <v>8061</v>
      </c>
      <c r="B8004" s="16" t="n">
        <v>46020</v>
      </c>
      <c r="C8004" s="15" t="s">
        <v>56</v>
      </c>
      <c r="D8004" s="15" t="s">
        <v>44</v>
      </c>
      <c r="E8004" s="15" t="s">
        <v>36</v>
      </c>
      <c r="F8004" s="15" t="s">
        <v>17</v>
      </c>
      <c r="G8004" s="15" t="s">
        <v>29</v>
      </c>
      <c r="H8004" s="15" t="n">
        <v>3</v>
      </c>
      <c r="I8004" s="17" t="n">
        <v>0</v>
      </c>
      <c r="J8004" s="18" t="n">
        <v>39.34</v>
      </c>
      <c r="K8004" s="19" t="n">
        <v>17.86</v>
      </c>
      <c r="L8004" s="15" t="n">
        <f aca="false">YEAR(B8004)</f>
        <v>2025</v>
      </c>
      <c r="M8004" s="20" t="n">
        <f aca="false">IF(J8004&gt;0,K8004/J8004,0)</f>
        <v>0.453990849008643</v>
      </c>
    </row>
    <row r="8005" customFormat="false" ht="15" hidden="false" customHeight="false" outlineLevel="0" collapsed="false">
      <c r="A8005" s="15" t="s">
        <v>8062</v>
      </c>
      <c r="B8005" s="16" t="n">
        <v>45009</v>
      </c>
      <c r="C8005" s="15" t="s">
        <v>56</v>
      </c>
      <c r="D8005" s="15" t="s">
        <v>42</v>
      </c>
      <c r="E8005" s="15" t="s">
        <v>38</v>
      </c>
      <c r="F8005" s="15" t="s">
        <v>18</v>
      </c>
      <c r="G8005" s="15" t="s">
        <v>30</v>
      </c>
      <c r="H8005" s="15" t="n">
        <v>3</v>
      </c>
      <c r="I8005" s="17" t="n">
        <v>0.2</v>
      </c>
      <c r="J8005" s="18" t="n">
        <v>86.95</v>
      </c>
      <c r="K8005" s="19" t="n">
        <v>7.88</v>
      </c>
      <c r="L8005" s="15" t="n">
        <f aca="false">YEAR(B8005)</f>
        <v>2023</v>
      </c>
      <c r="M8005" s="20" t="n">
        <f aca="false">IF(J8005&gt;0,K8005/J8005,0)</f>
        <v>0.0906267970097757</v>
      </c>
    </row>
    <row r="8006" customFormat="false" ht="15" hidden="false" customHeight="false" outlineLevel="0" collapsed="false">
      <c r="A8006" s="15" t="s">
        <v>8063</v>
      </c>
      <c r="B8006" s="16" t="n">
        <v>45101</v>
      </c>
      <c r="C8006" s="15" t="s">
        <v>58</v>
      </c>
      <c r="D8006" s="15" t="s">
        <v>42</v>
      </c>
      <c r="E8006" s="15" t="s">
        <v>36</v>
      </c>
      <c r="F8006" s="15" t="s">
        <v>16</v>
      </c>
      <c r="G8006" s="15" t="s">
        <v>23</v>
      </c>
      <c r="H8006" s="15" t="n">
        <v>4</v>
      </c>
      <c r="I8006" s="17" t="n">
        <v>0</v>
      </c>
      <c r="J8006" s="18" t="n">
        <v>1172.42</v>
      </c>
      <c r="K8006" s="19" t="n">
        <v>53.35</v>
      </c>
      <c r="L8006" s="15" t="n">
        <f aca="false">YEAR(B8006)</f>
        <v>2023</v>
      </c>
      <c r="M8006" s="20" t="n">
        <f aca="false">IF(J8006&gt;0,K8006/J8006,0)</f>
        <v>0.0455041708602719</v>
      </c>
    </row>
    <row r="8007" customFormat="false" ht="15" hidden="false" customHeight="false" outlineLevel="0" collapsed="false">
      <c r="A8007" s="15" t="s">
        <v>8064</v>
      </c>
      <c r="B8007" s="16" t="n">
        <v>45437</v>
      </c>
      <c r="C8007" s="15" t="s">
        <v>71</v>
      </c>
      <c r="D8007" s="15" t="s">
        <v>42</v>
      </c>
      <c r="E8007" s="15" t="s">
        <v>38</v>
      </c>
      <c r="F8007" s="15" t="s">
        <v>16</v>
      </c>
      <c r="G8007" s="15" t="s">
        <v>27</v>
      </c>
      <c r="H8007" s="15" t="n">
        <v>5</v>
      </c>
      <c r="I8007" s="17" t="n">
        <v>0.2</v>
      </c>
      <c r="J8007" s="18" t="n">
        <v>258.63</v>
      </c>
      <c r="K8007" s="19" t="n">
        <v>23.14</v>
      </c>
      <c r="L8007" s="15" t="n">
        <f aca="false">YEAR(B8007)</f>
        <v>2024</v>
      </c>
      <c r="M8007" s="20" t="n">
        <f aca="false">IF(J8007&gt;0,K8007/J8007,0)</f>
        <v>0.0894714456946217</v>
      </c>
    </row>
    <row r="8008" customFormat="false" ht="15" hidden="false" customHeight="false" outlineLevel="0" collapsed="false">
      <c r="A8008" s="15" t="s">
        <v>8065</v>
      </c>
      <c r="B8008" s="16" t="n">
        <v>45492</v>
      </c>
      <c r="C8008" s="15" t="s">
        <v>56</v>
      </c>
      <c r="D8008" s="15" t="s">
        <v>42</v>
      </c>
      <c r="E8008" s="15" t="s">
        <v>36</v>
      </c>
      <c r="F8008" s="15" t="s">
        <v>17</v>
      </c>
      <c r="G8008" s="15" t="s">
        <v>31</v>
      </c>
      <c r="H8008" s="15" t="n">
        <v>4</v>
      </c>
      <c r="I8008" s="17" t="n">
        <v>0</v>
      </c>
      <c r="J8008" s="18" t="n">
        <v>541.08</v>
      </c>
      <c r="K8008" s="19" t="n">
        <v>75.65</v>
      </c>
      <c r="L8008" s="15" t="n">
        <f aca="false">YEAR(B8008)</f>
        <v>2024</v>
      </c>
      <c r="M8008" s="20" t="n">
        <f aca="false">IF(J8008&gt;0,K8008/J8008,0)</f>
        <v>0.139812966659274</v>
      </c>
    </row>
    <row r="8009" customFormat="false" ht="15" hidden="false" customHeight="false" outlineLevel="0" collapsed="false">
      <c r="A8009" s="15" t="s">
        <v>8066</v>
      </c>
      <c r="B8009" s="16" t="n">
        <v>45969</v>
      </c>
      <c r="C8009" s="15" t="s">
        <v>71</v>
      </c>
      <c r="D8009" s="15" t="s">
        <v>42</v>
      </c>
      <c r="E8009" s="15" t="s">
        <v>38</v>
      </c>
      <c r="F8009" s="15" t="s">
        <v>17</v>
      </c>
      <c r="G8009" s="15" t="s">
        <v>29</v>
      </c>
      <c r="H8009" s="15" t="n">
        <v>2</v>
      </c>
      <c r="I8009" s="17" t="n">
        <v>0.2</v>
      </c>
      <c r="J8009" s="18" t="n">
        <v>22.48</v>
      </c>
      <c r="K8009" s="19" t="n">
        <v>3.92</v>
      </c>
      <c r="L8009" s="15" t="n">
        <f aca="false">YEAR(B8009)</f>
        <v>2025</v>
      </c>
      <c r="M8009" s="20" t="n">
        <f aca="false">IF(J8009&gt;0,K8009/J8009,0)</f>
        <v>0.174377224199288</v>
      </c>
    </row>
    <row r="8010" customFormat="false" ht="15" hidden="false" customHeight="false" outlineLevel="0" collapsed="false">
      <c r="A8010" s="15" t="s">
        <v>8067</v>
      </c>
      <c r="B8010" s="16" t="n">
        <v>45987</v>
      </c>
      <c r="C8010" s="15" t="s">
        <v>71</v>
      </c>
      <c r="D8010" s="15" t="s">
        <v>42</v>
      </c>
      <c r="E8010" s="15" t="s">
        <v>39</v>
      </c>
      <c r="F8010" s="15" t="s">
        <v>17</v>
      </c>
      <c r="G8010" s="15" t="s">
        <v>26</v>
      </c>
      <c r="H8010" s="15" t="n">
        <v>5</v>
      </c>
      <c r="I8010" s="17" t="n">
        <v>0.2</v>
      </c>
      <c r="J8010" s="18" t="n">
        <v>353.47</v>
      </c>
      <c r="K8010" s="19" t="n">
        <v>-25.63</v>
      </c>
      <c r="L8010" s="15" t="n">
        <f aca="false">YEAR(B8010)</f>
        <v>2025</v>
      </c>
      <c r="M8010" s="20" t="n">
        <f aca="false">IF(J8010&gt;0,K8010/J8010,0)</f>
        <v>-0.0725096896483436</v>
      </c>
    </row>
    <row r="8011" customFormat="false" ht="15" hidden="false" customHeight="false" outlineLevel="0" collapsed="false">
      <c r="A8011" s="15" t="s">
        <v>8068</v>
      </c>
      <c r="B8011" s="16" t="n">
        <v>45651</v>
      </c>
      <c r="C8011" s="15" t="s">
        <v>56</v>
      </c>
      <c r="D8011" s="15" t="s">
        <v>44</v>
      </c>
      <c r="E8011" s="15" t="s">
        <v>39</v>
      </c>
      <c r="F8011" s="15" t="s">
        <v>17</v>
      </c>
      <c r="G8011" s="15" t="s">
        <v>29</v>
      </c>
      <c r="H8011" s="15" t="n">
        <v>3</v>
      </c>
      <c r="I8011" s="17" t="n">
        <v>0.15</v>
      </c>
      <c r="J8011" s="18" t="n">
        <v>48.58</v>
      </c>
      <c r="K8011" s="19" t="n">
        <v>12.04</v>
      </c>
      <c r="L8011" s="15" t="n">
        <f aca="false">YEAR(B8011)</f>
        <v>2024</v>
      </c>
      <c r="M8011" s="20" t="n">
        <f aca="false">IF(J8011&gt;0,K8011/J8011,0)</f>
        <v>0.247838616714697</v>
      </c>
    </row>
    <row r="8012" customFormat="false" ht="15" hidden="false" customHeight="false" outlineLevel="0" collapsed="false">
      <c r="A8012" s="15" t="s">
        <v>8069</v>
      </c>
      <c r="B8012" s="16" t="n">
        <v>45522</v>
      </c>
      <c r="C8012" s="15" t="s">
        <v>58</v>
      </c>
      <c r="D8012" s="15" t="s">
        <v>42</v>
      </c>
      <c r="E8012" s="15" t="s">
        <v>37</v>
      </c>
      <c r="F8012" s="15" t="s">
        <v>16</v>
      </c>
      <c r="G8012" s="15" t="s">
        <v>27</v>
      </c>
      <c r="H8012" s="15" t="n">
        <v>1</v>
      </c>
      <c r="I8012" s="17" t="n">
        <v>0.1</v>
      </c>
      <c r="J8012" s="18" t="n">
        <v>51.89</v>
      </c>
      <c r="K8012" s="19" t="n">
        <v>5.92</v>
      </c>
      <c r="L8012" s="15" t="n">
        <f aca="false">YEAR(B8012)</f>
        <v>2024</v>
      </c>
      <c r="M8012" s="20" t="n">
        <f aca="false">IF(J8012&gt;0,K8012/J8012,0)</f>
        <v>0.114087492773174</v>
      </c>
    </row>
    <row r="8013" customFormat="false" ht="15" hidden="false" customHeight="false" outlineLevel="0" collapsed="false">
      <c r="A8013" s="15" t="s">
        <v>8070</v>
      </c>
      <c r="B8013" s="16" t="n">
        <v>45613</v>
      </c>
      <c r="C8013" s="15" t="s">
        <v>71</v>
      </c>
      <c r="D8013" s="15" t="s">
        <v>42</v>
      </c>
      <c r="E8013" s="15" t="s">
        <v>39</v>
      </c>
      <c r="F8013" s="15" t="s">
        <v>17</v>
      </c>
      <c r="G8013" s="15" t="s">
        <v>29</v>
      </c>
      <c r="H8013" s="15" t="n">
        <v>4</v>
      </c>
      <c r="I8013" s="17" t="n">
        <v>0.2</v>
      </c>
      <c r="J8013" s="18" t="n">
        <v>52.22</v>
      </c>
      <c r="K8013" s="19" t="n">
        <v>10.62</v>
      </c>
      <c r="L8013" s="15" t="n">
        <f aca="false">YEAR(B8013)</f>
        <v>2024</v>
      </c>
      <c r="M8013" s="20" t="n">
        <f aca="false">IF(J8013&gt;0,K8013/J8013,0)</f>
        <v>0.20337035618537</v>
      </c>
    </row>
    <row r="8014" customFormat="false" ht="15" hidden="false" customHeight="false" outlineLevel="0" collapsed="false">
      <c r="A8014" s="15" t="s">
        <v>8071</v>
      </c>
      <c r="B8014" s="16" t="n">
        <v>45243</v>
      </c>
      <c r="C8014" s="15" t="s">
        <v>56</v>
      </c>
      <c r="D8014" s="15" t="s">
        <v>42</v>
      </c>
      <c r="E8014" s="15" t="s">
        <v>36</v>
      </c>
      <c r="F8014" s="15" t="s">
        <v>17</v>
      </c>
      <c r="G8014" s="15" t="s">
        <v>29</v>
      </c>
      <c r="H8014" s="15" t="n">
        <v>4</v>
      </c>
      <c r="I8014" s="17" t="n">
        <v>0</v>
      </c>
      <c r="J8014" s="18" t="n">
        <v>76.86</v>
      </c>
      <c r="K8014" s="19" t="n">
        <v>25.7</v>
      </c>
      <c r="L8014" s="15" t="n">
        <f aca="false">YEAR(B8014)</f>
        <v>2023</v>
      </c>
      <c r="M8014" s="20" t="n">
        <f aca="false">IF(J8014&gt;0,K8014/J8014,0)</f>
        <v>0.334374186833203</v>
      </c>
    </row>
    <row r="8015" customFormat="false" ht="15" hidden="false" customHeight="false" outlineLevel="0" collapsed="false">
      <c r="A8015" s="15" t="s">
        <v>8072</v>
      </c>
      <c r="B8015" s="16" t="n">
        <v>45445</v>
      </c>
      <c r="C8015" s="15" t="s">
        <v>56</v>
      </c>
      <c r="D8015" s="15" t="s">
        <v>42</v>
      </c>
      <c r="E8015" s="15" t="s">
        <v>37</v>
      </c>
      <c r="F8015" s="15" t="s">
        <v>18</v>
      </c>
      <c r="G8015" s="15" t="s">
        <v>32</v>
      </c>
      <c r="H8015" s="15" t="n">
        <v>8</v>
      </c>
      <c r="I8015" s="17" t="n">
        <v>0.2</v>
      </c>
      <c r="J8015" s="18" t="n">
        <v>2664.37</v>
      </c>
      <c r="K8015" s="19" t="n">
        <v>157.69</v>
      </c>
      <c r="L8015" s="15" t="n">
        <f aca="false">YEAR(B8015)</f>
        <v>2024</v>
      </c>
      <c r="M8015" s="20" t="n">
        <f aca="false">IF(J8015&gt;0,K8015/J8015,0)</f>
        <v>0.0591847228425481</v>
      </c>
    </row>
    <row r="8016" customFormat="false" ht="15" hidden="false" customHeight="false" outlineLevel="0" collapsed="false">
      <c r="A8016" s="15" t="s">
        <v>8073</v>
      </c>
      <c r="B8016" s="16" t="n">
        <v>45525</v>
      </c>
      <c r="C8016" s="15" t="s">
        <v>68</v>
      </c>
      <c r="D8016" s="15" t="s">
        <v>42</v>
      </c>
      <c r="E8016" s="15" t="s">
        <v>38</v>
      </c>
      <c r="F8016" s="15" t="s">
        <v>17</v>
      </c>
      <c r="G8016" s="15" t="s">
        <v>28</v>
      </c>
      <c r="H8016" s="15" t="n">
        <v>4</v>
      </c>
      <c r="I8016" s="17" t="n">
        <v>0</v>
      </c>
      <c r="J8016" s="18" t="n">
        <v>82.33</v>
      </c>
      <c r="K8016" s="19" t="n">
        <v>25.95</v>
      </c>
      <c r="L8016" s="15" t="n">
        <f aca="false">YEAR(B8016)</f>
        <v>2024</v>
      </c>
      <c r="M8016" s="20" t="n">
        <f aca="false">IF(J8016&gt;0,K8016/J8016,0)</f>
        <v>0.315194947163853</v>
      </c>
    </row>
    <row r="8017" customFormat="false" ht="15" hidden="false" customHeight="false" outlineLevel="0" collapsed="false">
      <c r="A8017" s="15" t="s">
        <v>8074</v>
      </c>
      <c r="B8017" s="16" t="n">
        <v>44961</v>
      </c>
      <c r="C8017" s="15" t="s">
        <v>68</v>
      </c>
      <c r="D8017" s="15" t="s">
        <v>42</v>
      </c>
      <c r="E8017" s="15" t="s">
        <v>37</v>
      </c>
      <c r="F8017" s="15" t="s">
        <v>17</v>
      </c>
      <c r="G8017" s="15" t="s">
        <v>28</v>
      </c>
      <c r="H8017" s="15" t="n">
        <v>3</v>
      </c>
      <c r="I8017" s="17" t="n">
        <v>0</v>
      </c>
      <c r="J8017" s="18" t="n">
        <v>61.88</v>
      </c>
      <c r="K8017" s="19" t="n">
        <v>20.48</v>
      </c>
      <c r="L8017" s="15" t="n">
        <f aca="false">YEAR(B8017)</f>
        <v>2023</v>
      </c>
      <c r="M8017" s="20" t="n">
        <f aca="false">IF(J8017&gt;0,K8017/J8017,0)</f>
        <v>0.330963154492566</v>
      </c>
    </row>
    <row r="8018" customFormat="false" ht="15" hidden="false" customHeight="false" outlineLevel="0" collapsed="false">
      <c r="A8018" s="15" t="s">
        <v>8075</v>
      </c>
      <c r="B8018" s="16" t="n">
        <v>45316</v>
      </c>
      <c r="C8018" s="15" t="s">
        <v>56</v>
      </c>
      <c r="D8018" s="15" t="s">
        <v>42</v>
      </c>
      <c r="E8018" s="15" t="s">
        <v>37</v>
      </c>
      <c r="F8018" s="15" t="s">
        <v>18</v>
      </c>
      <c r="G8018" s="15" t="s">
        <v>30</v>
      </c>
      <c r="H8018" s="15" t="n">
        <v>2</v>
      </c>
      <c r="I8018" s="17" t="n">
        <v>0.3</v>
      </c>
      <c r="J8018" s="18" t="n">
        <v>64.35</v>
      </c>
      <c r="K8018" s="19" t="n">
        <v>1.87</v>
      </c>
      <c r="L8018" s="15" t="n">
        <f aca="false">YEAR(B8018)</f>
        <v>2024</v>
      </c>
      <c r="M8018" s="20" t="n">
        <f aca="false">IF(J8018&gt;0,K8018/J8018,0)</f>
        <v>0.0290598290598291</v>
      </c>
    </row>
    <row r="8019" customFormat="false" ht="15" hidden="false" customHeight="false" outlineLevel="0" collapsed="false">
      <c r="A8019" s="15" t="s">
        <v>8076</v>
      </c>
      <c r="B8019" s="16" t="n">
        <v>45438</v>
      </c>
      <c r="C8019" s="15" t="s">
        <v>56</v>
      </c>
      <c r="D8019" s="15" t="s">
        <v>44</v>
      </c>
      <c r="E8019" s="15" t="s">
        <v>37</v>
      </c>
      <c r="F8019" s="15" t="s">
        <v>16</v>
      </c>
      <c r="G8019" s="15" t="s">
        <v>27</v>
      </c>
      <c r="H8019" s="15" t="n">
        <v>2</v>
      </c>
      <c r="I8019" s="17" t="n">
        <v>0.1</v>
      </c>
      <c r="J8019" s="18" t="n">
        <v>103.88</v>
      </c>
      <c r="K8019" s="19" t="n">
        <v>7.67</v>
      </c>
      <c r="L8019" s="15" t="n">
        <f aca="false">YEAR(B8019)</f>
        <v>2024</v>
      </c>
      <c r="M8019" s="20" t="n">
        <f aca="false">IF(J8019&gt;0,K8019/J8019,0)</f>
        <v>0.0738351944551405</v>
      </c>
    </row>
    <row r="8020" customFormat="false" ht="15" hidden="false" customHeight="false" outlineLevel="0" collapsed="false">
      <c r="A8020" s="15" t="s">
        <v>8077</v>
      </c>
      <c r="B8020" s="16" t="n">
        <v>45924</v>
      </c>
      <c r="C8020" s="15" t="s">
        <v>71</v>
      </c>
      <c r="D8020" s="15" t="s">
        <v>43</v>
      </c>
      <c r="E8020" s="15" t="s">
        <v>39</v>
      </c>
      <c r="F8020" s="15" t="s">
        <v>17</v>
      </c>
      <c r="G8020" s="15" t="s">
        <v>28</v>
      </c>
      <c r="H8020" s="15" t="n">
        <v>5</v>
      </c>
      <c r="I8020" s="17" t="n">
        <v>0</v>
      </c>
      <c r="J8020" s="18" t="n">
        <v>147.73</v>
      </c>
      <c r="K8020" s="19" t="n">
        <v>33.88</v>
      </c>
      <c r="L8020" s="15" t="n">
        <f aca="false">YEAR(B8020)</f>
        <v>2025</v>
      </c>
      <c r="M8020" s="20" t="n">
        <f aca="false">IF(J8020&gt;0,K8020/J8020,0)</f>
        <v>0.22933730454207</v>
      </c>
    </row>
    <row r="8021" customFormat="false" ht="15" hidden="false" customHeight="false" outlineLevel="0" collapsed="false">
      <c r="A8021" s="15" t="s">
        <v>8078</v>
      </c>
      <c r="B8021" s="16" t="n">
        <v>45524</v>
      </c>
      <c r="C8021" s="15" t="s">
        <v>71</v>
      </c>
      <c r="D8021" s="15" t="s">
        <v>43</v>
      </c>
      <c r="E8021" s="15" t="s">
        <v>37</v>
      </c>
      <c r="F8021" s="15" t="s">
        <v>18</v>
      </c>
      <c r="G8021" s="15" t="s">
        <v>30</v>
      </c>
      <c r="H8021" s="15" t="n">
        <v>2</v>
      </c>
      <c r="I8021" s="17" t="n">
        <v>0</v>
      </c>
      <c r="J8021" s="18" t="n">
        <v>87.76</v>
      </c>
      <c r="K8021" s="19" t="n">
        <v>31.11</v>
      </c>
      <c r="L8021" s="15" t="n">
        <f aca="false">YEAR(B8021)</f>
        <v>2024</v>
      </c>
      <c r="M8021" s="20" t="n">
        <f aca="false">IF(J8021&gt;0,K8021/J8021,0)</f>
        <v>0.354489516864175</v>
      </c>
    </row>
    <row r="8022" customFormat="false" ht="15" hidden="false" customHeight="false" outlineLevel="0" collapsed="false">
      <c r="A8022" s="15" t="s">
        <v>8079</v>
      </c>
      <c r="B8022" s="16" t="n">
        <v>45966</v>
      </c>
      <c r="C8022" s="15" t="s">
        <v>56</v>
      </c>
      <c r="D8022" s="15" t="s">
        <v>43</v>
      </c>
      <c r="E8022" s="15" t="s">
        <v>39</v>
      </c>
      <c r="F8022" s="15" t="s">
        <v>17</v>
      </c>
      <c r="G8022" s="15" t="s">
        <v>28</v>
      </c>
      <c r="H8022" s="15" t="n">
        <v>5</v>
      </c>
      <c r="I8022" s="17" t="n">
        <v>0.2</v>
      </c>
      <c r="J8022" s="18" t="n">
        <v>113.63</v>
      </c>
      <c r="K8022" s="19" t="n">
        <v>14.63</v>
      </c>
      <c r="L8022" s="15" t="n">
        <f aca="false">YEAR(B8022)</f>
        <v>2025</v>
      </c>
      <c r="M8022" s="20" t="n">
        <f aca="false">IF(J8022&gt;0,K8022/J8022,0)</f>
        <v>0.128751210067764</v>
      </c>
    </row>
    <row r="8023" customFormat="false" ht="15" hidden="false" customHeight="false" outlineLevel="0" collapsed="false">
      <c r="A8023" s="15" t="s">
        <v>8080</v>
      </c>
      <c r="B8023" s="16" t="n">
        <v>45473</v>
      </c>
      <c r="C8023" s="15" t="s">
        <v>56</v>
      </c>
      <c r="D8023" s="15" t="s">
        <v>43</v>
      </c>
      <c r="E8023" s="15" t="s">
        <v>37</v>
      </c>
      <c r="F8023" s="15" t="s">
        <v>16</v>
      </c>
      <c r="G8023" s="15" t="s">
        <v>25</v>
      </c>
      <c r="H8023" s="15" t="n">
        <v>5</v>
      </c>
      <c r="I8023" s="17" t="n">
        <v>0</v>
      </c>
      <c r="J8023" s="18" t="n">
        <v>1465.48</v>
      </c>
      <c r="K8023" s="19" t="n">
        <v>137.46</v>
      </c>
      <c r="L8023" s="15" t="n">
        <f aca="false">YEAR(B8023)</f>
        <v>2024</v>
      </c>
      <c r="M8023" s="20" t="n">
        <f aca="false">IF(J8023&gt;0,K8023/J8023,0)</f>
        <v>0.0937986188825504</v>
      </c>
    </row>
    <row r="8024" customFormat="false" ht="15" hidden="false" customHeight="false" outlineLevel="0" collapsed="false">
      <c r="A8024" s="15" t="s">
        <v>8081</v>
      </c>
      <c r="B8024" s="16" t="n">
        <v>44790</v>
      </c>
      <c r="C8024" s="15" t="s">
        <v>56</v>
      </c>
      <c r="D8024" s="15" t="s">
        <v>42</v>
      </c>
      <c r="E8024" s="15" t="s">
        <v>36</v>
      </c>
      <c r="F8024" s="15" t="s">
        <v>17</v>
      </c>
      <c r="G8024" s="15" t="s">
        <v>29</v>
      </c>
      <c r="H8024" s="15" t="n">
        <v>7</v>
      </c>
      <c r="I8024" s="17" t="n">
        <v>0.15</v>
      </c>
      <c r="J8024" s="18" t="n">
        <v>98.76</v>
      </c>
      <c r="K8024" s="19" t="n">
        <v>26.85</v>
      </c>
      <c r="L8024" s="15" t="n">
        <f aca="false">YEAR(B8024)</f>
        <v>2022</v>
      </c>
      <c r="M8024" s="20" t="n">
        <f aca="false">IF(J8024&gt;0,K8024/J8024,0)</f>
        <v>0.27187120291616</v>
      </c>
    </row>
    <row r="8025" customFormat="false" ht="15" hidden="false" customHeight="false" outlineLevel="0" collapsed="false">
      <c r="A8025" s="15" t="s">
        <v>8082</v>
      </c>
      <c r="B8025" s="16" t="n">
        <v>45481</v>
      </c>
      <c r="C8025" s="15" t="s">
        <v>56</v>
      </c>
      <c r="D8025" s="15" t="s">
        <v>43</v>
      </c>
      <c r="E8025" s="15" t="s">
        <v>37</v>
      </c>
      <c r="F8025" s="15" t="s">
        <v>17</v>
      </c>
      <c r="G8025" s="15" t="s">
        <v>28</v>
      </c>
      <c r="H8025" s="15" t="n">
        <v>1</v>
      </c>
      <c r="I8025" s="17" t="n">
        <v>0.4</v>
      </c>
      <c r="J8025" s="18" t="n">
        <v>14.65</v>
      </c>
      <c r="K8025" s="19" t="n">
        <v>-0.82</v>
      </c>
      <c r="L8025" s="15" t="n">
        <f aca="false">YEAR(B8025)</f>
        <v>2024</v>
      </c>
      <c r="M8025" s="20" t="n">
        <f aca="false">IF(J8025&gt;0,K8025/J8025,0)</f>
        <v>-0.0559726962457338</v>
      </c>
    </row>
    <row r="8026" customFormat="false" ht="15" hidden="false" customHeight="false" outlineLevel="0" collapsed="false">
      <c r="A8026" s="15" t="s">
        <v>8083</v>
      </c>
      <c r="B8026" s="16" t="n">
        <v>45732</v>
      </c>
      <c r="C8026" s="15" t="s">
        <v>56</v>
      </c>
      <c r="D8026" s="15" t="s">
        <v>43</v>
      </c>
      <c r="E8026" s="15" t="s">
        <v>37</v>
      </c>
      <c r="F8026" s="15" t="s">
        <v>18</v>
      </c>
      <c r="G8026" s="15" t="s">
        <v>33</v>
      </c>
      <c r="H8026" s="15" t="n">
        <v>2</v>
      </c>
      <c r="I8026" s="17" t="n">
        <v>0.3</v>
      </c>
      <c r="J8026" s="18" t="n">
        <v>1412.38</v>
      </c>
      <c r="K8026" s="19" t="n">
        <v>-32.81</v>
      </c>
      <c r="L8026" s="15" t="n">
        <f aca="false">YEAR(B8026)</f>
        <v>2025</v>
      </c>
      <c r="M8026" s="20" t="n">
        <f aca="false">IF(J8026&gt;0,K8026/J8026,0)</f>
        <v>-0.0232302921310129</v>
      </c>
    </row>
    <row r="8027" customFormat="false" ht="15" hidden="false" customHeight="false" outlineLevel="0" collapsed="false">
      <c r="A8027" s="15" t="s">
        <v>8084</v>
      </c>
      <c r="B8027" s="16" t="n">
        <v>45245</v>
      </c>
      <c r="C8027" s="15" t="s">
        <v>56</v>
      </c>
      <c r="D8027" s="15" t="s">
        <v>42</v>
      </c>
      <c r="E8027" s="15" t="s">
        <v>37</v>
      </c>
      <c r="F8027" s="15" t="s">
        <v>17</v>
      </c>
      <c r="G8027" s="15" t="s">
        <v>29</v>
      </c>
      <c r="H8027" s="15" t="n">
        <v>3</v>
      </c>
      <c r="I8027" s="17" t="n">
        <v>0.15</v>
      </c>
      <c r="J8027" s="18" t="n">
        <v>55.16</v>
      </c>
      <c r="K8027" s="19" t="n">
        <v>13.33</v>
      </c>
      <c r="L8027" s="15" t="n">
        <f aca="false">YEAR(B8027)</f>
        <v>2023</v>
      </c>
      <c r="M8027" s="20" t="n">
        <f aca="false">IF(J8027&gt;0,K8027/J8027,0)</f>
        <v>0.241660623640319</v>
      </c>
    </row>
    <row r="8028" customFormat="false" ht="15" hidden="false" customHeight="false" outlineLevel="0" collapsed="false">
      <c r="A8028" s="15" t="s">
        <v>8085</v>
      </c>
      <c r="B8028" s="16" t="n">
        <v>45679</v>
      </c>
      <c r="C8028" s="15" t="s">
        <v>71</v>
      </c>
      <c r="D8028" s="15" t="s">
        <v>42</v>
      </c>
      <c r="E8028" s="15" t="s">
        <v>36</v>
      </c>
      <c r="F8028" s="15" t="s">
        <v>17</v>
      </c>
      <c r="G8028" s="15" t="s">
        <v>29</v>
      </c>
      <c r="H8028" s="15" t="n">
        <v>2</v>
      </c>
      <c r="I8028" s="17" t="n">
        <v>0.2</v>
      </c>
      <c r="J8028" s="18" t="n">
        <v>29.97</v>
      </c>
      <c r="K8028" s="19" t="n">
        <v>8.23</v>
      </c>
      <c r="L8028" s="15" t="n">
        <f aca="false">YEAR(B8028)</f>
        <v>2025</v>
      </c>
      <c r="M8028" s="20" t="n">
        <f aca="false">IF(J8028&gt;0,K8028/J8028,0)</f>
        <v>0.274607941274608</v>
      </c>
    </row>
    <row r="8029" customFormat="false" ht="15" hidden="false" customHeight="false" outlineLevel="0" collapsed="false">
      <c r="A8029" s="15" t="s">
        <v>8086</v>
      </c>
      <c r="B8029" s="16" t="n">
        <v>45986</v>
      </c>
      <c r="C8029" s="15" t="s">
        <v>56</v>
      </c>
      <c r="D8029" s="15" t="s">
        <v>44</v>
      </c>
      <c r="E8029" s="15" t="s">
        <v>38</v>
      </c>
      <c r="F8029" s="15" t="s">
        <v>18</v>
      </c>
      <c r="G8029" s="15" t="s">
        <v>33</v>
      </c>
      <c r="H8029" s="15" t="n">
        <v>3</v>
      </c>
      <c r="I8029" s="17" t="n">
        <v>0</v>
      </c>
      <c r="J8029" s="18" t="n">
        <v>2565.5</v>
      </c>
      <c r="K8029" s="19" t="n">
        <v>556.86</v>
      </c>
      <c r="L8029" s="15" t="n">
        <f aca="false">YEAR(B8029)</f>
        <v>2025</v>
      </c>
      <c r="M8029" s="20" t="n">
        <f aca="false">IF(J8029&gt;0,K8029/J8029,0)</f>
        <v>0.217057103878386</v>
      </c>
    </row>
    <row r="8030" customFormat="false" ht="15" hidden="false" customHeight="false" outlineLevel="0" collapsed="false">
      <c r="A8030" s="15" t="s">
        <v>8087</v>
      </c>
      <c r="B8030" s="16" t="n">
        <v>44681</v>
      </c>
      <c r="C8030" s="15" t="s">
        <v>68</v>
      </c>
      <c r="D8030" s="15" t="s">
        <v>42</v>
      </c>
      <c r="E8030" s="15" t="s">
        <v>36</v>
      </c>
      <c r="F8030" s="15" t="s">
        <v>16</v>
      </c>
      <c r="G8030" s="15" t="s">
        <v>23</v>
      </c>
      <c r="H8030" s="15" t="n">
        <v>5</v>
      </c>
      <c r="I8030" s="17" t="n">
        <v>0.05</v>
      </c>
      <c r="J8030" s="18" t="n">
        <v>1165.14</v>
      </c>
      <c r="K8030" s="19" t="n">
        <v>49.98</v>
      </c>
      <c r="L8030" s="15" t="n">
        <f aca="false">YEAR(B8030)</f>
        <v>2022</v>
      </c>
      <c r="M8030" s="20" t="n">
        <f aca="false">IF(J8030&gt;0,K8030/J8030,0)</f>
        <v>0.0428961326535867</v>
      </c>
    </row>
    <row r="8031" customFormat="false" ht="15" hidden="false" customHeight="false" outlineLevel="0" collapsed="false">
      <c r="A8031" s="15" t="s">
        <v>8088</v>
      </c>
      <c r="B8031" s="16" t="n">
        <v>45930</v>
      </c>
      <c r="C8031" s="15" t="s">
        <v>71</v>
      </c>
      <c r="D8031" s="15" t="s">
        <v>43</v>
      </c>
      <c r="E8031" s="15" t="s">
        <v>37</v>
      </c>
      <c r="F8031" s="15" t="s">
        <v>17</v>
      </c>
      <c r="G8031" s="15" t="s">
        <v>29</v>
      </c>
      <c r="H8031" s="15" t="n">
        <v>4</v>
      </c>
      <c r="I8031" s="17" t="n">
        <v>0.1</v>
      </c>
      <c r="J8031" s="18" t="n">
        <v>74.19</v>
      </c>
      <c r="K8031" s="19" t="n">
        <v>21.04</v>
      </c>
      <c r="L8031" s="15" t="n">
        <f aca="false">YEAR(B8031)</f>
        <v>2025</v>
      </c>
      <c r="M8031" s="20" t="n">
        <f aca="false">IF(J8031&gt;0,K8031/J8031,0)</f>
        <v>0.283596171990834</v>
      </c>
    </row>
    <row r="8032" customFormat="false" ht="15" hidden="false" customHeight="false" outlineLevel="0" collapsed="false">
      <c r="A8032" s="15" t="s">
        <v>8089</v>
      </c>
      <c r="B8032" s="16" t="n">
        <v>44661</v>
      </c>
      <c r="C8032" s="15" t="s">
        <v>71</v>
      </c>
      <c r="D8032" s="15" t="s">
        <v>42</v>
      </c>
      <c r="E8032" s="15" t="s">
        <v>39</v>
      </c>
      <c r="F8032" s="15" t="s">
        <v>17</v>
      </c>
      <c r="G8032" s="15" t="s">
        <v>28</v>
      </c>
      <c r="H8032" s="15" t="n">
        <v>2</v>
      </c>
      <c r="I8032" s="17" t="n">
        <v>0.1</v>
      </c>
      <c r="J8032" s="18" t="n">
        <v>44.7</v>
      </c>
      <c r="K8032" s="19" t="n">
        <v>10.01</v>
      </c>
      <c r="L8032" s="15" t="n">
        <f aca="false">YEAR(B8032)</f>
        <v>2022</v>
      </c>
      <c r="M8032" s="20" t="n">
        <f aca="false">IF(J8032&gt;0,K8032/J8032,0)</f>
        <v>0.223937360178971</v>
      </c>
    </row>
    <row r="8033" customFormat="false" ht="15" hidden="false" customHeight="false" outlineLevel="0" collapsed="false">
      <c r="A8033" s="15" t="s">
        <v>8090</v>
      </c>
      <c r="B8033" s="16" t="n">
        <v>45909</v>
      </c>
      <c r="C8033" s="15" t="s">
        <v>56</v>
      </c>
      <c r="D8033" s="15" t="s">
        <v>43</v>
      </c>
      <c r="E8033" s="15" t="s">
        <v>37</v>
      </c>
      <c r="F8033" s="15" t="s">
        <v>18</v>
      </c>
      <c r="G8033" s="15" t="s">
        <v>30</v>
      </c>
      <c r="H8033" s="15" t="n">
        <v>3</v>
      </c>
      <c r="I8033" s="17" t="n">
        <v>0</v>
      </c>
      <c r="J8033" s="18" t="n">
        <v>155.64</v>
      </c>
      <c r="K8033" s="19" t="n">
        <v>46.31</v>
      </c>
      <c r="L8033" s="15" t="n">
        <f aca="false">YEAR(B8033)</f>
        <v>2025</v>
      </c>
      <c r="M8033" s="20" t="n">
        <f aca="false">IF(J8033&gt;0,K8033/J8033,0)</f>
        <v>0.297545618093035</v>
      </c>
    </row>
    <row r="8034" customFormat="false" ht="15" hidden="false" customHeight="false" outlineLevel="0" collapsed="false">
      <c r="A8034" s="15" t="s">
        <v>8091</v>
      </c>
      <c r="B8034" s="16" t="n">
        <v>44993</v>
      </c>
      <c r="C8034" s="15" t="s">
        <v>71</v>
      </c>
      <c r="D8034" s="15" t="s">
        <v>44</v>
      </c>
      <c r="E8034" s="15" t="s">
        <v>38</v>
      </c>
      <c r="F8034" s="15" t="s">
        <v>17</v>
      </c>
      <c r="G8034" s="15" t="s">
        <v>29</v>
      </c>
      <c r="H8034" s="15" t="n">
        <v>4</v>
      </c>
      <c r="I8034" s="17" t="n">
        <v>0.5</v>
      </c>
      <c r="J8034" s="18" t="n">
        <v>30.87</v>
      </c>
      <c r="K8034" s="19" t="n">
        <v>-1.02</v>
      </c>
      <c r="L8034" s="15" t="n">
        <f aca="false">YEAR(B8034)</f>
        <v>2023</v>
      </c>
      <c r="M8034" s="20" t="n">
        <f aca="false">IF(J8034&gt;0,K8034/J8034,0)</f>
        <v>-0.033041788143829</v>
      </c>
    </row>
    <row r="8035" customFormat="false" ht="15" hidden="false" customHeight="false" outlineLevel="0" collapsed="false">
      <c r="A8035" s="15" t="s">
        <v>8092</v>
      </c>
      <c r="B8035" s="16" t="n">
        <v>44897</v>
      </c>
      <c r="C8035" s="15" t="s">
        <v>56</v>
      </c>
      <c r="D8035" s="15" t="s">
        <v>42</v>
      </c>
      <c r="E8035" s="15" t="s">
        <v>39</v>
      </c>
      <c r="F8035" s="15" t="s">
        <v>17</v>
      </c>
      <c r="G8035" s="15" t="s">
        <v>29</v>
      </c>
      <c r="H8035" s="15" t="n">
        <v>2</v>
      </c>
      <c r="I8035" s="17" t="n">
        <v>0</v>
      </c>
      <c r="J8035" s="18" t="n">
        <v>40.45</v>
      </c>
      <c r="K8035" s="19" t="n">
        <v>14.52</v>
      </c>
      <c r="L8035" s="15" t="n">
        <f aca="false">YEAR(B8035)</f>
        <v>2022</v>
      </c>
      <c r="M8035" s="20" t="n">
        <f aca="false">IF(J8035&gt;0,K8035/J8035,0)</f>
        <v>0.358961681087763</v>
      </c>
    </row>
    <row r="8036" customFormat="false" ht="15" hidden="false" customHeight="false" outlineLevel="0" collapsed="false">
      <c r="A8036" s="15" t="s">
        <v>8093</v>
      </c>
      <c r="B8036" s="16" t="n">
        <v>44694</v>
      </c>
      <c r="C8036" s="15" t="s">
        <v>71</v>
      </c>
      <c r="D8036" s="15" t="s">
        <v>42</v>
      </c>
      <c r="E8036" s="15" t="s">
        <v>39</v>
      </c>
      <c r="F8036" s="15" t="s">
        <v>17</v>
      </c>
      <c r="G8036" s="15" t="s">
        <v>26</v>
      </c>
      <c r="H8036" s="15" t="n">
        <v>3</v>
      </c>
      <c r="I8036" s="17" t="n">
        <v>0</v>
      </c>
      <c r="J8036" s="18" t="n">
        <v>205.37</v>
      </c>
      <c r="K8036" s="19" t="n">
        <v>15.88</v>
      </c>
      <c r="L8036" s="15" t="n">
        <f aca="false">YEAR(B8036)</f>
        <v>2022</v>
      </c>
      <c r="M8036" s="20" t="n">
        <f aca="false">IF(J8036&gt;0,K8036/J8036,0)</f>
        <v>0.0773238545065005</v>
      </c>
    </row>
    <row r="8037" customFormat="false" ht="15" hidden="false" customHeight="false" outlineLevel="0" collapsed="false">
      <c r="A8037" s="15" t="s">
        <v>8094</v>
      </c>
      <c r="B8037" s="16" t="n">
        <v>45660</v>
      </c>
      <c r="C8037" s="15" t="s">
        <v>58</v>
      </c>
      <c r="D8037" s="15" t="s">
        <v>44</v>
      </c>
      <c r="E8037" s="15" t="s">
        <v>36</v>
      </c>
      <c r="F8037" s="15" t="s">
        <v>18</v>
      </c>
      <c r="G8037" s="15" t="s">
        <v>33</v>
      </c>
      <c r="H8037" s="15" t="n">
        <v>2</v>
      </c>
      <c r="I8037" s="17" t="n">
        <v>0</v>
      </c>
      <c r="J8037" s="18" t="n">
        <v>1831.97</v>
      </c>
      <c r="K8037" s="19" t="n">
        <v>456.85</v>
      </c>
      <c r="L8037" s="15" t="n">
        <f aca="false">YEAR(B8037)</f>
        <v>2025</v>
      </c>
      <c r="M8037" s="20" t="n">
        <f aca="false">IF(J8037&gt;0,K8037/J8037,0)</f>
        <v>0.249376354416284</v>
      </c>
    </row>
    <row r="8038" customFormat="false" ht="15" hidden="false" customHeight="false" outlineLevel="0" collapsed="false">
      <c r="A8038" s="15" t="s">
        <v>8095</v>
      </c>
      <c r="B8038" s="16" t="n">
        <v>45996</v>
      </c>
      <c r="C8038" s="15" t="s">
        <v>71</v>
      </c>
      <c r="D8038" s="15" t="s">
        <v>42</v>
      </c>
      <c r="E8038" s="15" t="s">
        <v>36</v>
      </c>
      <c r="F8038" s="15" t="s">
        <v>17</v>
      </c>
      <c r="G8038" s="15" t="s">
        <v>28</v>
      </c>
      <c r="H8038" s="15" t="n">
        <v>4</v>
      </c>
      <c r="I8038" s="17" t="n">
        <v>0</v>
      </c>
      <c r="J8038" s="18" t="n">
        <v>86.18</v>
      </c>
      <c r="K8038" s="19" t="n">
        <v>29.2</v>
      </c>
      <c r="L8038" s="15" t="n">
        <f aca="false">YEAR(B8038)</f>
        <v>2025</v>
      </c>
      <c r="M8038" s="20" t="n">
        <f aca="false">IF(J8038&gt;0,K8038/J8038,0)</f>
        <v>0.33882571362265</v>
      </c>
    </row>
    <row r="8039" customFormat="false" ht="15" hidden="false" customHeight="false" outlineLevel="0" collapsed="false">
      <c r="A8039" s="15" t="s">
        <v>8096</v>
      </c>
      <c r="B8039" s="16" t="n">
        <v>45909</v>
      </c>
      <c r="C8039" s="15" t="s">
        <v>58</v>
      </c>
      <c r="D8039" s="15" t="s">
        <v>44</v>
      </c>
      <c r="E8039" s="15" t="s">
        <v>39</v>
      </c>
      <c r="F8039" s="15" t="s">
        <v>17</v>
      </c>
      <c r="G8039" s="15" t="s">
        <v>29</v>
      </c>
      <c r="H8039" s="15" t="n">
        <v>3</v>
      </c>
      <c r="I8039" s="17" t="n">
        <v>0.1</v>
      </c>
      <c r="J8039" s="18" t="n">
        <v>54.53</v>
      </c>
      <c r="K8039" s="19" t="n">
        <v>15.64</v>
      </c>
      <c r="L8039" s="15" t="n">
        <f aca="false">YEAR(B8039)</f>
        <v>2025</v>
      </c>
      <c r="M8039" s="20" t="n">
        <f aca="false">IF(J8039&gt;0,K8039/J8039,0)</f>
        <v>0.286814597469283</v>
      </c>
    </row>
    <row r="8040" customFormat="false" ht="15" hidden="false" customHeight="false" outlineLevel="0" collapsed="false">
      <c r="A8040" s="15" t="s">
        <v>8097</v>
      </c>
      <c r="B8040" s="16" t="n">
        <v>45481</v>
      </c>
      <c r="C8040" s="15" t="s">
        <v>68</v>
      </c>
      <c r="D8040" s="15" t="s">
        <v>42</v>
      </c>
      <c r="E8040" s="15" t="s">
        <v>39</v>
      </c>
      <c r="F8040" s="15" t="s">
        <v>18</v>
      </c>
      <c r="G8040" s="15" t="s">
        <v>24</v>
      </c>
      <c r="H8040" s="15" t="n">
        <v>3</v>
      </c>
      <c r="I8040" s="17" t="n">
        <v>0</v>
      </c>
      <c r="J8040" s="18" t="n">
        <v>1973.63</v>
      </c>
      <c r="K8040" s="19" t="n">
        <v>55.56</v>
      </c>
      <c r="L8040" s="15" t="n">
        <f aca="false">YEAR(B8040)</f>
        <v>2024</v>
      </c>
      <c r="M8040" s="20" t="n">
        <f aca="false">IF(J8040&gt;0,K8040/J8040,0)</f>
        <v>0.0281511732188911</v>
      </c>
    </row>
    <row r="8041" customFormat="false" ht="15" hidden="false" customHeight="false" outlineLevel="0" collapsed="false">
      <c r="A8041" s="15" t="s">
        <v>8098</v>
      </c>
      <c r="B8041" s="16" t="n">
        <v>45891</v>
      </c>
      <c r="C8041" s="15" t="s">
        <v>56</v>
      </c>
      <c r="D8041" s="15" t="s">
        <v>42</v>
      </c>
      <c r="E8041" s="15" t="s">
        <v>39</v>
      </c>
      <c r="F8041" s="15" t="s">
        <v>17</v>
      </c>
      <c r="G8041" s="15" t="s">
        <v>26</v>
      </c>
      <c r="H8041" s="15" t="n">
        <v>6</v>
      </c>
      <c r="I8041" s="17" t="n">
        <v>0</v>
      </c>
      <c r="J8041" s="18" t="n">
        <v>541.13</v>
      </c>
      <c r="K8041" s="19" t="n">
        <v>63</v>
      </c>
      <c r="L8041" s="15" t="n">
        <f aca="false">YEAR(B8041)</f>
        <v>2025</v>
      </c>
      <c r="M8041" s="20" t="n">
        <f aca="false">IF(J8041&gt;0,K8041/J8041,0)</f>
        <v>0.116423040674145</v>
      </c>
    </row>
    <row r="8042" customFormat="false" ht="15" hidden="false" customHeight="false" outlineLevel="0" collapsed="false">
      <c r="A8042" s="15" t="s">
        <v>8099</v>
      </c>
      <c r="B8042" s="16" t="n">
        <v>45337</v>
      </c>
      <c r="C8042" s="15" t="s">
        <v>56</v>
      </c>
      <c r="D8042" s="15" t="s">
        <v>44</v>
      </c>
      <c r="E8042" s="15" t="s">
        <v>39</v>
      </c>
      <c r="F8042" s="15" t="s">
        <v>17</v>
      </c>
      <c r="G8042" s="15" t="s">
        <v>28</v>
      </c>
      <c r="H8042" s="15" t="n">
        <v>1</v>
      </c>
      <c r="I8042" s="17" t="n">
        <v>0</v>
      </c>
      <c r="J8042" s="18" t="n">
        <v>25.44</v>
      </c>
      <c r="K8042" s="19" t="n">
        <v>7.22</v>
      </c>
      <c r="L8042" s="15" t="n">
        <f aca="false">YEAR(B8042)</f>
        <v>2024</v>
      </c>
      <c r="M8042" s="20" t="n">
        <f aca="false">IF(J8042&gt;0,K8042/J8042,0)</f>
        <v>0.283805031446541</v>
      </c>
    </row>
    <row r="8043" customFormat="false" ht="15" hidden="false" customHeight="false" outlineLevel="0" collapsed="false">
      <c r="A8043" s="15" t="s">
        <v>8100</v>
      </c>
      <c r="B8043" s="16" t="n">
        <v>45672</v>
      </c>
      <c r="C8043" s="15" t="s">
        <v>56</v>
      </c>
      <c r="D8043" s="15" t="s">
        <v>42</v>
      </c>
      <c r="E8043" s="15" t="s">
        <v>38</v>
      </c>
      <c r="F8043" s="15" t="s">
        <v>17</v>
      </c>
      <c r="G8043" s="15" t="s">
        <v>29</v>
      </c>
      <c r="H8043" s="15" t="n">
        <v>5</v>
      </c>
      <c r="I8043" s="17" t="n">
        <v>0</v>
      </c>
      <c r="J8043" s="18" t="n">
        <v>68.27</v>
      </c>
      <c r="K8043" s="19" t="n">
        <v>28.4</v>
      </c>
      <c r="L8043" s="15" t="n">
        <f aca="false">YEAR(B8043)</f>
        <v>2025</v>
      </c>
      <c r="M8043" s="20" t="n">
        <f aca="false">IF(J8043&gt;0,K8043/J8043,0)</f>
        <v>0.415995312728871</v>
      </c>
    </row>
    <row r="8044" customFormat="false" ht="15" hidden="false" customHeight="false" outlineLevel="0" collapsed="false">
      <c r="A8044" s="15" t="s">
        <v>8101</v>
      </c>
      <c r="B8044" s="16" t="n">
        <v>45236</v>
      </c>
      <c r="C8044" s="15" t="s">
        <v>56</v>
      </c>
      <c r="D8044" s="15" t="s">
        <v>42</v>
      </c>
      <c r="E8044" s="15" t="s">
        <v>36</v>
      </c>
      <c r="F8044" s="15" t="s">
        <v>17</v>
      </c>
      <c r="G8044" s="15" t="s">
        <v>28</v>
      </c>
      <c r="H8044" s="15" t="n">
        <v>7</v>
      </c>
      <c r="I8044" s="17" t="n">
        <v>0.15</v>
      </c>
      <c r="J8044" s="18" t="n">
        <v>136.67</v>
      </c>
      <c r="K8044" s="19" t="n">
        <v>27.33</v>
      </c>
      <c r="L8044" s="15" t="n">
        <f aca="false">YEAR(B8044)</f>
        <v>2023</v>
      </c>
      <c r="M8044" s="20" t="n">
        <f aca="false">IF(J8044&gt;0,K8044/J8044,0)</f>
        <v>0.19997073242116</v>
      </c>
    </row>
    <row r="8045" customFormat="false" ht="15" hidden="false" customHeight="false" outlineLevel="0" collapsed="false">
      <c r="A8045" s="15" t="s">
        <v>8102</v>
      </c>
      <c r="B8045" s="16" t="n">
        <v>44621</v>
      </c>
      <c r="C8045" s="15" t="s">
        <v>56</v>
      </c>
      <c r="D8045" s="15" t="s">
        <v>43</v>
      </c>
      <c r="E8045" s="15" t="s">
        <v>39</v>
      </c>
      <c r="F8045" s="15" t="s">
        <v>17</v>
      </c>
      <c r="G8045" s="15" t="s">
        <v>31</v>
      </c>
      <c r="H8045" s="15" t="n">
        <v>8</v>
      </c>
      <c r="I8045" s="17" t="n">
        <v>0</v>
      </c>
      <c r="J8045" s="18" t="n">
        <v>1158.08</v>
      </c>
      <c r="K8045" s="19" t="n">
        <v>289.34</v>
      </c>
      <c r="L8045" s="15" t="n">
        <f aca="false">YEAR(B8045)</f>
        <v>2022</v>
      </c>
      <c r="M8045" s="20" t="n">
        <f aca="false">IF(J8045&gt;0,K8045/J8045,0)</f>
        <v>0.249844570323294</v>
      </c>
    </row>
    <row r="8046" customFormat="false" ht="15" hidden="false" customHeight="false" outlineLevel="0" collapsed="false">
      <c r="A8046" s="15" t="s">
        <v>8103</v>
      </c>
      <c r="B8046" s="16" t="n">
        <v>45813</v>
      </c>
      <c r="C8046" s="15" t="s">
        <v>71</v>
      </c>
      <c r="D8046" s="15" t="s">
        <v>43</v>
      </c>
      <c r="E8046" s="15" t="s">
        <v>39</v>
      </c>
      <c r="F8046" s="15" t="s">
        <v>17</v>
      </c>
      <c r="G8046" s="15" t="s">
        <v>26</v>
      </c>
      <c r="H8046" s="15" t="n">
        <v>4</v>
      </c>
      <c r="I8046" s="17" t="n">
        <v>0</v>
      </c>
      <c r="J8046" s="18" t="n">
        <v>487.36</v>
      </c>
      <c r="K8046" s="19" t="n">
        <v>44.32</v>
      </c>
      <c r="L8046" s="15" t="n">
        <f aca="false">YEAR(B8046)</f>
        <v>2025</v>
      </c>
      <c r="M8046" s="20" t="n">
        <f aca="false">IF(J8046&gt;0,K8046/J8046,0)</f>
        <v>0.0909389363099146</v>
      </c>
    </row>
    <row r="8047" customFormat="false" ht="15" hidden="false" customHeight="false" outlineLevel="0" collapsed="false">
      <c r="A8047" s="15" t="s">
        <v>8104</v>
      </c>
      <c r="B8047" s="16" t="n">
        <v>44858</v>
      </c>
      <c r="C8047" s="15" t="s">
        <v>56</v>
      </c>
      <c r="D8047" s="15" t="s">
        <v>42</v>
      </c>
      <c r="E8047" s="15" t="s">
        <v>36</v>
      </c>
      <c r="F8047" s="15" t="s">
        <v>17</v>
      </c>
      <c r="G8047" s="15" t="s">
        <v>28</v>
      </c>
      <c r="H8047" s="15" t="n">
        <v>4</v>
      </c>
      <c r="I8047" s="17" t="n">
        <v>0.2</v>
      </c>
      <c r="J8047" s="18" t="n">
        <v>87.42</v>
      </c>
      <c r="K8047" s="19" t="n">
        <v>10.82</v>
      </c>
      <c r="L8047" s="15" t="n">
        <f aca="false">YEAR(B8047)</f>
        <v>2022</v>
      </c>
      <c r="M8047" s="20" t="n">
        <f aca="false">IF(J8047&gt;0,K8047/J8047,0)</f>
        <v>0.123770304278197</v>
      </c>
    </row>
    <row r="8048" customFormat="false" ht="15" hidden="false" customHeight="false" outlineLevel="0" collapsed="false">
      <c r="A8048" s="15" t="s">
        <v>8105</v>
      </c>
      <c r="B8048" s="16" t="n">
        <v>45785</v>
      </c>
      <c r="C8048" s="15" t="s">
        <v>56</v>
      </c>
      <c r="D8048" s="15" t="s">
        <v>42</v>
      </c>
      <c r="E8048" s="15" t="s">
        <v>37</v>
      </c>
      <c r="F8048" s="15" t="s">
        <v>17</v>
      </c>
      <c r="G8048" s="15" t="s">
        <v>29</v>
      </c>
      <c r="H8048" s="15" t="n">
        <v>4</v>
      </c>
      <c r="I8048" s="17" t="n">
        <v>0.1</v>
      </c>
      <c r="J8048" s="18" t="n">
        <v>72.15</v>
      </c>
      <c r="K8048" s="19" t="n">
        <v>19.53</v>
      </c>
      <c r="L8048" s="15" t="n">
        <f aca="false">YEAR(B8048)</f>
        <v>2025</v>
      </c>
      <c r="M8048" s="20" t="n">
        <f aca="false">IF(J8048&gt;0,K8048/J8048,0)</f>
        <v>0.270686070686071</v>
      </c>
    </row>
    <row r="8049" customFormat="false" ht="15" hidden="false" customHeight="false" outlineLevel="0" collapsed="false">
      <c r="A8049" s="15" t="s">
        <v>8106</v>
      </c>
      <c r="B8049" s="16" t="n">
        <v>45235</v>
      </c>
      <c r="C8049" s="15" t="s">
        <v>71</v>
      </c>
      <c r="D8049" s="15" t="s">
        <v>43</v>
      </c>
      <c r="E8049" s="15" t="s">
        <v>36</v>
      </c>
      <c r="F8049" s="15" t="s">
        <v>16</v>
      </c>
      <c r="G8049" s="15" t="s">
        <v>25</v>
      </c>
      <c r="H8049" s="15" t="n">
        <v>2</v>
      </c>
      <c r="I8049" s="17" t="n">
        <v>0.1</v>
      </c>
      <c r="J8049" s="18" t="n">
        <v>535.67</v>
      </c>
      <c r="K8049" s="19" t="n">
        <v>19.89</v>
      </c>
      <c r="L8049" s="15" t="n">
        <f aca="false">YEAR(B8049)</f>
        <v>2023</v>
      </c>
      <c r="M8049" s="20" t="n">
        <f aca="false">IF(J8049&gt;0,K8049/J8049,0)</f>
        <v>0.0371310695017455</v>
      </c>
    </row>
    <row r="8050" customFormat="false" ht="15" hidden="false" customHeight="false" outlineLevel="0" collapsed="false">
      <c r="A8050" s="15" t="s">
        <v>8107</v>
      </c>
      <c r="B8050" s="16" t="n">
        <v>45100</v>
      </c>
      <c r="C8050" s="15" t="s">
        <v>71</v>
      </c>
      <c r="D8050" s="15" t="s">
        <v>42</v>
      </c>
      <c r="E8050" s="15" t="s">
        <v>38</v>
      </c>
      <c r="F8050" s="15" t="s">
        <v>17</v>
      </c>
      <c r="G8050" s="15" t="s">
        <v>28</v>
      </c>
      <c r="H8050" s="15" t="n">
        <v>3</v>
      </c>
      <c r="I8050" s="17" t="n">
        <v>0</v>
      </c>
      <c r="J8050" s="18" t="n">
        <v>68.8</v>
      </c>
      <c r="K8050" s="19" t="n">
        <v>13.44</v>
      </c>
      <c r="L8050" s="15" t="n">
        <f aca="false">YEAR(B8050)</f>
        <v>2023</v>
      </c>
      <c r="M8050" s="20" t="n">
        <f aca="false">IF(J8050&gt;0,K8050/J8050,0)</f>
        <v>0.195348837209302</v>
      </c>
    </row>
    <row r="8051" customFormat="false" ht="15" hidden="false" customHeight="false" outlineLevel="0" collapsed="false">
      <c r="A8051" s="15" t="s">
        <v>8108</v>
      </c>
      <c r="B8051" s="16" t="n">
        <v>45618</v>
      </c>
      <c r="C8051" s="15" t="s">
        <v>56</v>
      </c>
      <c r="D8051" s="15" t="s">
        <v>42</v>
      </c>
      <c r="E8051" s="15" t="s">
        <v>37</v>
      </c>
      <c r="F8051" s="15" t="s">
        <v>17</v>
      </c>
      <c r="G8051" s="15" t="s">
        <v>26</v>
      </c>
      <c r="H8051" s="15" t="n">
        <v>3</v>
      </c>
      <c r="I8051" s="17" t="n">
        <v>0</v>
      </c>
      <c r="J8051" s="18" t="n">
        <v>290.71</v>
      </c>
      <c r="K8051" s="19" t="n">
        <v>14.31</v>
      </c>
      <c r="L8051" s="15" t="n">
        <f aca="false">YEAR(B8051)</f>
        <v>2024</v>
      </c>
      <c r="M8051" s="20" t="n">
        <f aca="false">IF(J8051&gt;0,K8051/J8051,0)</f>
        <v>0.0492243128891335</v>
      </c>
    </row>
    <row r="8052" customFormat="false" ht="15" hidden="false" customHeight="false" outlineLevel="0" collapsed="false">
      <c r="A8052" s="15" t="s">
        <v>8109</v>
      </c>
      <c r="B8052" s="16" t="n">
        <v>45480</v>
      </c>
      <c r="C8052" s="15" t="s">
        <v>68</v>
      </c>
      <c r="D8052" s="15" t="s">
        <v>43</v>
      </c>
      <c r="E8052" s="15" t="s">
        <v>36</v>
      </c>
      <c r="F8052" s="15" t="s">
        <v>17</v>
      </c>
      <c r="G8052" s="15" t="s">
        <v>29</v>
      </c>
      <c r="H8052" s="15" t="n">
        <v>2</v>
      </c>
      <c r="I8052" s="17" t="n">
        <v>0.05</v>
      </c>
      <c r="J8052" s="18" t="n">
        <v>38.46</v>
      </c>
      <c r="K8052" s="19" t="n">
        <v>12.1</v>
      </c>
      <c r="L8052" s="15" t="n">
        <f aca="false">YEAR(B8052)</f>
        <v>2024</v>
      </c>
      <c r="M8052" s="20" t="n">
        <f aca="false">IF(J8052&gt;0,K8052/J8052,0)</f>
        <v>0.31461258450338</v>
      </c>
    </row>
    <row r="8053" customFormat="false" ht="15" hidden="false" customHeight="false" outlineLevel="0" collapsed="false">
      <c r="A8053" s="15" t="s">
        <v>8110</v>
      </c>
      <c r="B8053" s="16" t="n">
        <v>45683</v>
      </c>
      <c r="C8053" s="15" t="s">
        <v>58</v>
      </c>
      <c r="D8053" s="15" t="s">
        <v>42</v>
      </c>
      <c r="E8053" s="15" t="s">
        <v>38</v>
      </c>
      <c r="F8053" s="15" t="s">
        <v>18</v>
      </c>
      <c r="G8053" s="15" t="s">
        <v>30</v>
      </c>
      <c r="H8053" s="15" t="n">
        <v>2</v>
      </c>
      <c r="I8053" s="17" t="n">
        <v>0.1</v>
      </c>
      <c r="J8053" s="18" t="n">
        <v>70.8</v>
      </c>
      <c r="K8053" s="19" t="n">
        <v>17.3</v>
      </c>
      <c r="L8053" s="15" t="n">
        <f aca="false">YEAR(B8053)</f>
        <v>2025</v>
      </c>
      <c r="M8053" s="20" t="n">
        <f aca="false">IF(J8053&gt;0,K8053/J8053,0)</f>
        <v>0.244350282485876</v>
      </c>
    </row>
    <row r="8054" customFormat="false" ht="15" hidden="false" customHeight="false" outlineLevel="0" collapsed="false">
      <c r="A8054" s="15" t="s">
        <v>8111</v>
      </c>
      <c r="B8054" s="16" t="n">
        <v>45420</v>
      </c>
      <c r="C8054" s="15" t="s">
        <v>56</v>
      </c>
      <c r="D8054" s="15" t="s">
        <v>42</v>
      </c>
      <c r="E8054" s="15" t="s">
        <v>36</v>
      </c>
      <c r="F8054" s="15" t="s">
        <v>17</v>
      </c>
      <c r="G8054" s="15" t="s">
        <v>31</v>
      </c>
      <c r="H8054" s="15" t="n">
        <v>4</v>
      </c>
      <c r="I8054" s="17" t="n">
        <v>0.05</v>
      </c>
      <c r="J8054" s="18" t="n">
        <v>480.43</v>
      </c>
      <c r="K8054" s="19" t="n">
        <v>63.54</v>
      </c>
      <c r="L8054" s="15" t="n">
        <f aca="false">YEAR(B8054)</f>
        <v>2024</v>
      </c>
      <c r="M8054" s="20" t="n">
        <f aca="false">IF(J8054&gt;0,K8054/J8054,0)</f>
        <v>0.132256520200654</v>
      </c>
    </row>
    <row r="8055" customFormat="false" ht="15" hidden="false" customHeight="false" outlineLevel="0" collapsed="false">
      <c r="A8055" s="15" t="s">
        <v>8112</v>
      </c>
      <c r="B8055" s="16" t="n">
        <v>45296</v>
      </c>
      <c r="C8055" s="15" t="s">
        <v>68</v>
      </c>
      <c r="D8055" s="15" t="s">
        <v>43</v>
      </c>
      <c r="E8055" s="15" t="s">
        <v>39</v>
      </c>
      <c r="F8055" s="15" t="s">
        <v>16</v>
      </c>
      <c r="G8055" s="15" t="s">
        <v>27</v>
      </c>
      <c r="H8055" s="15" t="n">
        <v>4</v>
      </c>
      <c r="I8055" s="17" t="n">
        <v>0.15</v>
      </c>
      <c r="J8055" s="18" t="n">
        <v>243.78</v>
      </c>
      <c r="K8055" s="19" t="n">
        <v>4.92</v>
      </c>
      <c r="L8055" s="15" t="n">
        <f aca="false">YEAR(B8055)</f>
        <v>2024</v>
      </c>
      <c r="M8055" s="20" t="n">
        <f aca="false">IF(J8055&gt;0,K8055/J8055,0)</f>
        <v>0.0201821314299778</v>
      </c>
    </row>
    <row r="8056" customFormat="false" ht="15" hidden="false" customHeight="false" outlineLevel="0" collapsed="false">
      <c r="A8056" s="15" t="s">
        <v>8113</v>
      </c>
      <c r="B8056" s="16" t="n">
        <v>44928</v>
      </c>
      <c r="C8056" s="15" t="s">
        <v>56</v>
      </c>
      <c r="D8056" s="15" t="s">
        <v>42</v>
      </c>
      <c r="E8056" s="15" t="s">
        <v>39</v>
      </c>
      <c r="F8056" s="15" t="s">
        <v>17</v>
      </c>
      <c r="G8056" s="15" t="s">
        <v>26</v>
      </c>
      <c r="H8056" s="15" t="n">
        <v>3</v>
      </c>
      <c r="I8056" s="17" t="n">
        <v>0.05</v>
      </c>
      <c r="J8056" s="18" t="n">
        <v>239.62</v>
      </c>
      <c r="K8056" s="19" t="n">
        <v>14.44</v>
      </c>
      <c r="L8056" s="15" t="n">
        <f aca="false">YEAR(B8056)</f>
        <v>2023</v>
      </c>
      <c r="M8056" s="20" t="n">
        <f aca="false">IF(J8056&gt;0,K8056/J8056,0)</f>
        <v>0.0602620816292463</v>
      </c>
    </row>
    <row r="8057" customFormat="false" ht="15" hidden="false" customHeight="false" outlineLevel="0" collapsed="false">
      <c r="A8057" s="15" t="s">
        <v>8114</v>
      </c>
      <c r="B8057" s="16" t="n">
        <v>45977</v>
      </c>
      <c r="C8057" s="15" t="s">
        <v>68</v>
      </c>
      <c r="D8057" s="15" t="s">
        <v>44</v>
      </c>
      <c r="E8057" s="15" t="s">
        <v>36</v>
      </c>
      <c r="F8057" s="15" t="s">
        <v>17</v>
      </c>
      <c r="G8057" s="15" t="s">
        <v>29</v>
      </c>
      <c r="H8057" s="15" t="n">
        <v>4</v>
      </c>
      <c r="I8057" s="17" t="n">
        <v>0.15</v>
      </c>
      <c r="J8057" s="18" t="n">
        <v>48.53</v>
      </c>
      <c r="K8057" s="19" t="n">
        <v>9.67</v>
      </c>
      <c r="L8057" s="15" t="n">
        <f aca="false">YEAR(B8057)</f>
        <v>2025</v>
      </c>
      <c r="M8057" s="20" t="n">
        <f aca="false">IF(J8057&gt;0,K8057/J8057,0)</f>
        <v>0.199258190809808</v>
      </c>
    </row>
    <row r="8058" customFormat="false" ht="15" hidden="false" customHeight="false" outlineLevel="0" collapsed="false">
      <c r="A8058" s="15" t="s">
        <v>8115</v>
      </c>
      <c r="B8058" s="16" t="n">
        <v>45134</v>
      </c>
      <c r="C8058" s="15" t="s">
        <v>56</v>
      </c>
      <c r="D8058" s="15" t="s">
        <v>42</v>
      </c>
      <c r="E8058" s="15" t="s">
        <v>37</v>
      </c>
      <c r="F8058" s="15" t="s">
        <v>17</v>
      </c>
      <c r="G8058" s="15" t="s">
        <v>29</v>
      </c>
      <c r="H8058" s="15" t="n">
        <v>3</v>
      </c>
      <c r="I8058" s="17" t="n">
        <v>0.1</v>
      </c>
      <c r="J8058" s="18" t="n">
        <v>50.74</v>
      </c>
      <c r="K8058" s="19" t="n">
        <v>14.66</v>
      </c>
      <c r="L8058" s="15" t="n">
        <f aca="false">YEAR(B8058)</f>
        <v>2023</v>
      </c>
      <c r="M8058" s="20" t="n">
        <f aca="false">IF(J8058&gt;0,K8058/J8058,0)</f>
        <v>0.288923925896728</v>
      </c>
    </row>
    <row r="8059" customFormat="false" ht="15" hidden="false" customHeight="false" outlineLevel="0" collapsed="false">
      <c r="A8059" s="15" t="s">
        <v>8116</v>
      </c>
      <c r="B8059" s="16" t="n">
        <v>45158</v>
      </c>
      <c r="C8059" s="15" t="s">
        <v>56</v>
      </c>
      <c r="D8059" s="15" t="s">
        <v>44</v>
      </c>
      <c r="E8059" s="15" t="s">
        <v>38</v>
      </c>
      <c r="F8059" s="15" t="s">
        <v>18</v>
      </c>
      <c r="G8059" s="15" t="s">
        <v>33</v>
      </c>
      <c r="H8059" s="15" t="n">
        <v>4</v>
      </c>
      <c r="I8059" s="17" t="n">
        <v>0</v>
      </c>
      <c r="J8059" s="18" t="n">
        <v>3426.81</v>
      </c>
      <c r="K8059" s="19" t="n">
        <v>1020.99</v>
      </c>
      <c r="L8059" s="15" t="n">
        <f aca="false">YEAR(B8059)</f>
        <v>2023</v>
      </c>
      <c r="M8059" s="20" t="n">
        <f aca="false">IF(J8059&gt;0,K8059/J8059,0)</f>
        <v>0.297941817608797</v>
      </c>
    </row>
    <row r="8060" customFormat="false" ht="15" hidden="false" customHeight="false" outlineLevel="0" collapsed="false">
      <c r="A8060" s="15" t="s">
        <v>8117</v>
      </c>
      <c r="B8060" s="16" t="n">
        <v>44835</v>
      </c>
      <c r="C8060" s="15" t="s">
        <v>56</v>
      </c>
      <c r="D8060" s="15" t="s">
        <v>42</v>
      </c>
      <c r="E8060" s="15" t="s">
        <v>36</v>
      </c>
      <c r="F8060" s="15" t="s">
        <v>17</v>
      </c>
      <c r="G8060" s="15" t="s">
        <v>28</v>
      </c>
      <c r="H8060" s="15" t="n">
        <v>4</v>
      </c>
      <c r="I8060" s="17" t="n">
        <v>0</v>
      </c>
      <c r="J8060" s="18" t="n">
        <v>80.31</v>
      </c>
      <c r="K8060" s="19" t="n">
        <v>19.84</v>
      </c>
      <c r="L8060" s="15" t="n">
        <f aca="false">YEAR(B8060)</f>
        <v>2022</v>
      </c>
      <c r="M8060" s="20" t="n">
        <f aca="false">IF(J8060&gt;0,K8060/J8060,0)</f>
        <v>0.247042709500685</v>
      </c>
    </row>
    <row r="8061" customFormat="false" ht="15" hidden="false" customHeight="false" outlineLevel="0" collapsed="false">
      <c r="A8061" s="15" t="s">
        <v>8118</v>
      </c>
      <c r="B8061" s="16" t="n">
        <v>45692</v>
      </c>
      <c r="C8061" s="15" t="s">
        <v>71</v>
      </c>
      <c r="D8061" s="15" t="s">
        <v>42</v>
      </c>
      <c r="E8061" s="15" t="s">
        <v>38</v>
      </c>
      <c r="F8061" s="15" t="s">
        <v>17</v>
      </c>
      <c r="G8061" s="15" t="s">
        <v>26</v>
      </c>
      <c r="H8061" s="15" t="n">
        <v>7</v>
      </c>
      <c r="I8061" s="17" t="n">
        <v>0.1</v>
      </c>
      <c r="J8061" s="18" t="n">
        <v>576.14</v>
      </c>
      <c r="K8061" s="19" t="n">
        <v>35.27</v>
      </c>
      <c r="L8061" s="15" t="n">
        <f aca="false">YEAR(B8061)</f>
        <v>2025</v>
      </c>
      <c r="M8061" s="20" t="n">
        <f aca="false">IF(J8061&gt;0,K8061/J8061,0)</f>
        <v>0.0612177595723262</v>
      </c>
    </row>
    <row r="8062" customFormat="false" ht="15" hidden="false" customHeight="false" outlineLevel="0" collapsed="false">
      <c r="A8062" s="15" t="s">
        <v>8119</v>
      </c>
      <c r="B8062" s="16" t="n">
        <v>44900</v>
      </c>
      <c r="C8062" s="15" t="s">
        <v>56</v>
      </c>
      <c r="D8062" s="15" t="s">
        <v>42</v>
      </c>
      <c r="E8062" s="15" t="s">
        <v>36</v>
      </c>
      <c r="F8062" s="15" t="s">
        <v>16</v>
      </c>
      <c r="G8062" s="15" t="s">
        <v>22</v>
      </c>
      <c r="H8062" s="15" t="n">
        <v>3</v>
      </c>
      <c r="I8062" s="17" t="n">
        <v>0.1</v>
      </c>
      <c r="J8062" s="18" t="n">
        <v>1592.92</v>
      </c>
      <c r="K8062" s="19" t="n">
        <v>-310.82</v>
      </c>
      <c r="L8062" s="15" t="n">
        <f aca="false">YEAR(B8062)</f>
        <v>2022</v>
      </c>
      <c r="M8062" s="20" t="n">
        <f aca="false">IF(J8062&gt;0,K8062/J8062,0)</f>
        <v>-0.195125932250207</v>
      </c>
    </row>
    <row r="8063" customFormat="false" ht="15" hidden="false" customHeight="false" outlineLevel="0" collapsed="false">
      <c r="A8063" s="15" t="s">
        <v>8120</v>
      </c>
      <c r="B8063" s="16" t="n">
        <v>45223</v>
      </c>
      <c r="C8063" s="15" t="s">
        <v>68</v>
      </c>
      <c r="D8063" s="15" t="s">
        <v>42</v>
      </c>
      <c r="E8063" s="15" t="s">
        <v>36</v>
      </c>
      <c r="F8063" s="15" t="s">
        <v>18</v>
      </c>
      <c r="G8063" s="15" t="s">
        <v>32</v>
      </c>
      <c r="H8063" s="15" t="n">
        <v>7</v>
      </c>
      <c r="I8063" s="17" t="n">
        <v>0.5</v>
      </c>
      <c r="J8063" s="18" t="n">
        <v>1191.78</v>
      </c>
      <c r="K8063" s="19" t="n">
        <v>-290.3</v>
      </c>
      <c r="L8063" s="15" t="n">
        <f aca="false">YEAR(B8063)</f>
        <v>2023</v>
      </c>
      <c r="M8063" s="20" t="n">
        <f aca="false">IF(J8063&gt;0,K8063/J8063,0)</f>
        <v>-0.243585225461075</v>
      </c>
    </row>
    <row r="8064" customFormat="false" ht="15" hidden="false" customHeight="false" outlineLevel="0" collapsed="false">
      <c r="A8064" s="15" t="s">
        <v>8121</v>
      </c>
      <c r="B8064" s="16" t="n">
        <v>45231</v>
      </c>
      <c r="C8064" s="15" t="s">
        <v>71</v>
      </c>
      <c r="D8064" s="15" t="s">
        <v>42</v>
      </c>
      <c r="E8064" s="15" t="s">
        <v>36</v>
      </c>
      <c r="F8064" s="15" t="s">
        <v>17</v>
      </c>
      <c r="G8064" s="15" t="s">
        <v>29</v>
      </c>
      <c r="H8064" s="15" t="n">
        <v>4</v>
      </c>
      <c r="I8064" s="17" t="n">
        <v>0.15</v>
      </c>
      <c r="J8064" s="18" t="n">
        <v>60.35</v>
      </c>
      <c r="K8064" s="19" t="n">
        <v>15.08</v>
      </c>
      <c r="L8064" s="15" t="n">
        <f aca="false">YEAR(B8064)</f>
        <v>2023</v>
      </c>
      <c r="M8064" s="20" t="n">
        <f aca="false">IF(J8064&gt;0,K8064/J8064,0)</f>
        <v>0.249875724937862</v>
      </c>
    </row>
    <row r="8065" customFormat="false" ht="15" hidden="false" customHeight="false" outlineLevel="0" collapsed="false">
      <c r="A8065" s="15" t="s">
        <v>8122</v>
      </c>
      <c r="B8065" s="16" t="n">
        <v>45987</v>
      </c>
      <c r="C8065" s="15" t="s">
        <v>71</v>
      </c>
      <c r="D8065" s="15" t="s">
        <v>44</v>
      </c>
      <c r="E8065" s="15" t="s">
        <v>39</v>
      </c>
      <c r="F8065" s="15" t="s">
        <v>17</v>
      </c>
      <c r="G8065" s="15" t="s">
        <v>31</v>
      </c>
      <c r="H8065" s="15" t="n">
        <v>3</v>
      </c>
      <c r="I8065" s="17" t="n">
        <v>0.1</v>
      </c>
      <c r="J8065" s="18" t="n">
        <v>485.74</v>
      </c>
      <c r="K8065" s="19" t="n">
        <v>40.69</v>
      </c>
      <c r="L8065" s="15" t="n">
        <f aca="false">YEAR(B8065)</f>
        <v>2025</v>
      </c>
      <c r="M8065" s="20" t="n">
        <f aca="false">IF(J8065&gt;0,K8065/J8065,0)</f>
        <v>0.0837690945773459</v>
      </c>
    </row>
    <row r="8066" customFormat="false" ht="15" hidden="false" customHeight="false" outlineLevel="0" collapsed="false">
      <c r="A8066" s="15" t="s">
        <v>8123</v>
      </c>
      <c r="B8066" s="16" t="n">
        <v>45131</v>
      </c>
      <c r="C8066" s="15" t="s">
        <v>56</v>
      </c>
      <c r="D8066" s="15" t="s">
        <v>43</v>
      </c>
      <c r="E8066" s="15" t="s">
        <v>36</v>
      </c>
      <c r="F8066" s="15" t="s">
        <v>17</v>
      </c>
      <c r="G8066" s="15" t="s">
        <v>31</v>
      </c>
      <c r="H8066" s="15" t="n">
        <v>2</v>
      </c>
      <c r="I8066" s="17" t="n">
        <v>0</v>
      </c>
      <c r="J8066" s="18" t="n">
        <v>225.89</v>
      </c>
      <c r="K8066" s="19" t="n">
        <v>35.78</v>
      </c>
      <c r="L8066" s="15" t="n">
        <f aca="false">YEAR(B8066)</f>
        <v>2023</v>
      </c>
      <c r="M8066" s="20" t="n">
        <f aca="false">IF(J8066&gt;0,K8066/J8066,0)</f>
        <v>0.15839567931294</v>
      </c>
    </row>
    <row r="8067" customFormat="false" ht="15" hidden="false" customHeight="false" outlineLevel="0" collapsed="false">
      <c r="A8067" s="15" t="s">
        <v>8124</v>
      </c>
      <c r="B8067" s="16" t="n">
        <v>44920</v>
      </c>
      <c r="C8067" s="15" t="s">
        <v>56</v>
      </c>
      <c r="D8067" s="15" t="s">
        <v>42</v>
      </c>
      <c r="E8067" s="15" t="s">
        <v>38</v>
      </c>
      <c r="F8067" s="15" t="s">
        <v>17</v>
      </c>
      <c r="G8067" s="15" t="s">
        <v>28</v>
      </c>
      <c r="H8067" s="15" t="n">
        <v>4</v>
      </c>
      <c r="I8067" s="17" t="n">
        <v>0.2</v>
      </c>
      <c r="J8067" s="18" t="n">
        <v>88.47</v>
      </c>
      <c r="K8067" s="19" t="n">
        <v>12.12</v>
      </c>
      <c r="L8067" s="15" t="n">
        <f aca="false">YEAR(B8067)</f>
        <v>2022</v>
      </c>
      <c r="M8067" s="20" t="n">
        <f aca="false">IF(J8067&gt;0,K8067/J8067,0)</f>
        <v>0.136995591726009</v>
      </c>
    </row>
    <row r="8068" customFormat="false" ht="15" hidden="false" customHeight="false" outlineLevel="0" collapsed="false">
      <c r="A8068" s="15" t="s">
        <v>8125</v>
      </c>
      <c r="B8068" s="16" t="n">
        <v>45554</v>
      </c>
      <c r="C8068" s="15" t="s">
        <v>68</v>
      </c>
      <c r="D8068" s="15" t="s">
        <v>42</v>
      </c>
      <c r="E8068" s="15" t="s">
        <v>38</v>
      </c>
      <c r="F8068" s="15" t="s">
        <v>17</v>
      </c>
      <c r="G8068" s="15" t="s">
        <v>31</v>
      </c>
      <c r="H8068" s="15" t="n">
        <v>5</v>
      </c>
      <c r="I8068" s="17" t="n">
        <v>0.2</v>
      </c>
      <c r="J8068" s="18" t="n">
        <v>476.16</v>
      </c>
      <c r="K8068" s="19" t="n">
        <v>9.01</v>
      </c>
      <c r="L8068" s="15" t="n">
        <f aca="false">YEAR(B8068)</f>
        <v>2024</v>
      </c>
      <c r="M8068" s="20" t="n">
        <f aca="false">IF(J8068&gt;0,K8068/J8068,0)</f>
        <v>0.0189222110215054</v>
      </c>
    </row>
    <row r="8069" customFormat="false" ht="15" hidden="false" customHeight="false" outlineLevel="0" collapsed="false">
      <c r="A8069" s="15" t="s">
        <v>8126</v>
      </c>
      <c r="B8069" s="16" t="n">
        <v>45753</v>
      </c>
      <c r="C8069" s="15" t="s">
        <v>58</v>
      </c>
      <c r="D8069" s="15" t="s">
        <v>43</v>
      </c>
      <c r="E8069" s="15" t="s">
        <v>37</v>
      </c>
      <c r="F8069" s="15" t="s">
        <v>18</v>
      </c>
      <c r="G8069" s="15" t="s">
        <v>30</v>
      </c>
      <c r="H8069" s="15" t="n">
        <v>5</v>
      </c>
      <c r="I8069" s="17" t="n">
        <v>0.4</v>
      </c>
      <c r="J8069" s="18" t="n">
        <v>166.79</v>
      </c>
      <c r="K8069" s="19" t="n">
        <v>-19</v>
      </c>
      <c r="L8069" s="15" t="n">
        <f aca="false">YEAR(B8069)</f>
        <v>2025</v>
      </c>
      <c r="M8069" s="20" t="n">
        <f aca="false">IF(J8069&gt;0,K8069/J8069,0)</f>
        <v>-0.113915702380239</v>
      </c>
    </row>
    <row r="8070" customFormat="false" ht="15" hidden="false" customHeight="false" outlineLevel="0" collapsed="false">
      <c r="A8070" s="15" t="s">
        <v>8127</v>
      </c>
      <c r="B8070" s="16" t="n">
        <v>45270</v>
      </c>
      <c r="C8070" s="15" t="s">
        <v>56</v>
      </c>
      <c r="D8070" s="15" t="s">
        <v>44</v>
      </c>
      <c r="E8070" s="15" t="s">
        <v>36</v>
      </c>
      <c r="F8070" s="15" t="s">
        <v>18</v>
      </c>
      <c r="G8070" s="15" t="s">
        <v>32</v>
      </c>
      <c r="H8070" s="15" t="n">
        <v>2</v>
      </c>
      <c r="I8070" s="17" t="n">
        <v>0.1</v>
      </c>
      <c r="J8070" s="18" t="n">
        <v>674.31</v>
      </c>
      <c r="K8070" s="19" t="n">
        <v>96.78</v>
      </c>
      <c r="L8070" s="15" t="n">
        <f aca="false">YEAR(B8070)</f>
        <v>2023</v>
      </c>
      <c r="M8070" s="20" t="n">
        <f aca="false">IF(J8070&gt;0,K8070/J8070,0)</f>
        <v>0.143524491702629</v>
      </c>
    </row>
    <row r="8071" customFormat="false" ht="15" hidden="false" customHeight="false" outlineLevel="0" collapsed="false">
      <c r="A8071" s="15" t="s">
        <v>8128</v>
      </c>
      <c r="B8071" s="16" t="n">
        <v>45214</v>
      </c>
      <c r="C8071" s="15" t="s">
        <v>56</v>
      </c>
      <c r="D8071" s="15" t="s">
        <v>44</v>
      </c>
      <c r="E8071" s="15" t="s">
        <v>37</v>
      </c>
      <c r="F8071" s="15" t="s">
        <v>17</v>
      </c>
      <c r="G8071" s="15" t="s">
        <v>28</v>
      </c>
      <c r="H8071" s="15" t="n">
        <v>6</v>
      </c>
      <c r="I8071" s="17" t="n">
        <v>0</v>
      </c>
      <c r="J8071" s="18" t="n">
        <v>135.13</v>
      </c>
      <c r="K8071" s="19" t="n">
        <v>49.99</v>
      </c>
      <c r="L8071" s="15" t="n">
        <f aca="false">YEAR(B8071)</f>
        <v>2023</v>
      </c>
      <c r="M8071" s="20" t="n">
        <f aca="false">IF(J8071&gt;0,K8071/J8071,0)</f>
        <v>0.369940057722193</v>
      </c>
    </row>
    <row r="8072" customFormat="false" ht="15" hidden="false" customHeight="false" outlineLevel="0" collapsed="false">
      <c r="A8072" s="15" t="s">
        <v>8129</v>
      </c>
      <c r="B8072" s="16" t="n">
        <v>45214</v>
      </c>
      <c r="C8072" s="15" t="s">
        <v>56</v>
      </c>
      <c r="D8072" s="15" t="s">
        <v>43</v>
      </c>
      <c r="E8072" s="15" t="s">
        <v>37</v>
      </c>
      <c r="F8072" s="15" t="s">
        <v>18</v>
      </c>
      <c r="G8072" s="15" t="s">
        <v>33</v>
      </c>
      <c r="H8072" s="15" t="n">
        <v>5</v>
      </c>
      <c r="I8072" s="17" t="n">
        <v>0</v>
      </c>
      <c r="J8072" s="18" t="n">
        <v>5259.99</v>
      </c>
      <c r="K8072" s="19" t="n">
        <v>1497.47</v>
      </c>
      <c r="L8072" s="15" t="n">
        <f aca="false">YEAR(B8072)</f>
        <v>2023</v>
      </c>
      <c r="M8072" s="20" t="n">
        <f aca="false">IF(J8072&gt;0,K8072/J8072,0)</f>
        <v>0.284690655305428</v>
      </c>
    </row>
    <row r="8073" customFormat="false" ht="15" hidden="false" customHeight="false" outlineLevel="0" collapsed="false">
      <c r="A8073" s="15" t="s">
        <v>8130</v>
      </c>
      <c r="B8073" s="16" t="n">
        <v>45239</v>
      </c>
      <c r="C8073" s="15" t="s">
        <v>58</v>
      </c>
      <c r="D8073" s="15" t="s">
        <v>43</v>
      </c>
      <c r="E8073" s="15" t="s">
        <v>37</v>
      </c>
      <c r="F8073" s="15" t="s">
        <v>17</v>
      </c>
      <c r="G8073" s="15" t="s">
        <v>28</v>
      </c>
      <c r="H8073" s="15" t="n">
        <v>6</v>
      </c>
      <c r="I8073" s="17" t="n">
        <v>0.2</v>
      </c>
      <c r="J8073" s="18" t="n">
        <v>113.39</v>
      </c>
      <c r="K8073" s="19" t="n">
        <v>12.29</v>
      </c>
      <c r="L8073" s="15" t="n">
        <f aca="false">YEAR(B8073)</f>
        <v>2023</v>
      </c>
      <c r="M8073" s="20" t="n">
        <f aca="false">IF(J8073&gt;0,K8073/J8073,0)</f>
        <v>0.108386982979099</v>
      </c>
    </row>
    <row r="8074" customFormat="false" ht="15" hidden="false" customHeight="false" outlineLevel="0" collapsed="false">
      <c r="A8074" s="15" t="s">
        <v>8131</v>
      </c>
      <c r="B8074" s="16" t="n">
        <v>45797</v>
      </c>
      <c r="C8074" s="15" t="s">
        <v>71</v>
      </c>
      <c r="D8074" s="15" t="s">
        <v>42</v>
      </c>
      <c r="E8074" s="15" t="s">
        <v>37</v>
      </c>
      <c r="F8074" s="15" t="s">
        <v>17</v>
      </c>
      <c r="G8074" s="15" t="s">
        <v>28</v>
      </c>
      <c r="H8074" s="15" t="n">
        <v>5</v>
      </c>
      <c r="I8074" s="17" t="n">
        <v>0.4</v>
      </c>
      <c r="J8074" s="18" t="n">
        <v>76.68</v>
      </c>
      <c r="K8074" s="19" t="n">
        <v>-2.13</v>
      </c>
      <c r="L8074" s="15" t="n">
        <f aca="false">YEAR(B8074)</f>
        <v>2025</v>
      </c>
      <c r="M8074" s="20" t="n">
        <f aca="false">IF(J8074&gt;0,K8074/J8074,0)</f>
        <v>-0.0277777777777778</v>
      </c>
    </row>
    <row r="8075" customFormat="false" ht="15" hidden="false" customHeight="false" outlineLevel="0" collapsed="false">
      <c r="A8075" s="15" t="s">
        <v>8132</v>
      </c>
      <c r="B8075" s="16" t="n">
        <v>45996</v>
      </c>
      <c r="C8075" s="15" t="s">
        <v>71</v>
      </c>
      <c r="D8075" s="15" t="s">
        <v>42</v>
      </c>
      <c r="E8075" s="15" t="s">
        <v>39</v>
      </c>
      <c r="F8075" s="15" t="s">
        <v>17</v>
      </c>
      <c r="G8075" s="15" t="s">
        <v>29</v>
      </c>
      <c r="H8075" s="15" t="n">
        <v>5</v>
      </c>
      <c r="I8075" s="17" t="n">
        <v>0</v>
      </c>
      <c r="J8075" s="18" t="n">
        <v>99.9</v>
      </c>
      <c r="K8075" s="19" t="n">
        <v>39.14</v>
      </c>
      <c r="L8075" s="15" t="n">
        <f aca="false">YEAR(B8075)</f>
        <v>2025</v>
      </c>
      <c r="M8075" s="20" t="n">
        <f aca="false">IF(J8075&gt;0,K8075/J8075,0)</f>
        <v>0.391791791791792</v>
      </c>
    </row>
    <row r="8076" customFormat="false" ht="15" hidden="false" customHeight="false" outlineLevel="0" collapsed="false">
      <c r="A8076" s="15" t="s">
        <v>8133</v>
      </c>
      <c r="B8076" s="16" t="n">
        <v>45494</v>
      </c>
      <c r="C8076" s="15" t="s">
        <v>56</v>
      </c>
      <c r="D8076" s="15" t="s">
        <v>42</v>
      </c>
      <c r="E8076" s="15" t="s">
        <v>39</v>
      </c>
      <c r="F8076" s="15" t="s">
        <v>17</v>
      </c>
      <c r="G8076" s="15" t="s">
        <v>29</v>
      </c>
      <c r="H8076" s="15" t="n">
        <v>6</v>
      </c>
      <c r="I8076" s="17" t="n">
        <v>0.3</v>
      </c>
      <c r="J8076" s="18" t="n">
        <v>92.28</v>
      </c>
      <c r="K8076" s="19" t="n">
        <v>10.22</v>
      </c>
      <c r="L8076" s="15" t="n">
        <f aca="false">YEAR(B8076)</f>
        <v>2024</v>
      </c>
      <c r="M8076" s="20" t="n">
        <f aca="false">IF(J8076&gt;0,K8076/J8076,0)</f>
        <v>0.110749891634157</v>
      </c>
    </row>
    <row r="8077" customFormat="false" ht="15" hidden="false" customHeight="false" outlineLevel="0" collapsed="false">
      <c r="A8077" s="15" t="s">
        <v>8134</v>
      </c>
      <c r="B8077" s="16" t="n">
        <v>45617</v>
      </c>
      <c r="C8077" s="15" t="s">
        <v>56</v>
      </c>
      <c r="D8077" s="15" t="s">
        <v>44</v>
      </c>
      <c r="E8077" s="15" t="s">
        <v>37</v>
      </c>
      <c r="F8077" s="15" t="s">
        <v>17</v>
      </c>
      <c r="G8077" s="15" t="s">
        <v>26</v>
      </c>
      <c r="H8077" s="15" t="n">
        <v>3</v>
      </c>
      <c r="I8077" s="17" t="n">
        <v>0</v>
      </c>
      <c r="J8077" s="18" t="n">
        <v>233.04</v>
      </c>
      <c r="K8077" s="19" t="n">
        <v>30.01</v>
      </c>
      <c r="L8077" s="15" t="n">
        <f aca="false">YEAR(B8077)</f>
        <v>2024</v>
      </c>
      <c r="M8077" s="20" t="n">
        <f aca="false">IF(J8077&gt;0,K8077/J8077,0)</f>
        <v>0.128776175763817</v>
      </c>
    </row>
    <row r="8078" customFormat="false" ht="15" hidden="false" customHeight="false" outlineLevel="0" collapsed="false">
      <c r="A8078" s="15" t="s">
        <v>8135</v>
      </c>
      <c r="B8078" s="16" t="n">
        <v>45227</v>
      </c>
      <c r="C8078" s="15" t="s">
        <v>68</v>
      </c>
      <c r="D8078" s="15" t="s">
        <v>43</v>
      </c>
      <c r="E8078" s="15" t="s">
        <v>37</v>
      </c>
      <c r="F8078" s="15" t="s">
        <v>16</v>
      </c>
      <c r="G8078" s="15" t="s">
        <v>27</v>
      </c>
      <c r="H8078" s="15" t="n">
        <v>7</v>
      </c>
      <c r="I8078" s="17" t="n">
        <v>0.05</v>
      </c>
      <c r="J8078" s="18" t="n">
        <v>367.4</v>
      </c>
      <c r="K8078" s="19" t="n">
        <v>59.52</v>
      </c>
      <c r="L8078" s="15" t="n">
        <f aca="false">YEAR(B8078)</f>
        <v>2023</v>
      </c>
      <c r="M8078" s="20" t="n">
        <f aca="false">IF(J8078&gt;0,K8078/J8078,0)</f>
        <v>0.162003266194883</v>
      </c>
    </row>
    <row r="8079" customFormat="false" ht="15" hidden="false" customHeight="false" outlineLevel="0" collapsed="false">
      <c r="A8079" s="15" t="s">
        <v>8136</v>
      </c>
      <c r="B8079" s="16" t="n">
        <v>45908</v>
      </c>
      <c r="C8079" s="15" t="s">
        <v>56</v>
      </c>
      <c r="D8079" s="15" t="s">
        <v>44</v>
      </c>
      <c r="E8079" s="15" t="s">
        <v>38</v>
      </c>
      <c r="F8079" s="15" t="s">
        <v>16</v>
      </c>
      <c r="G8079" s="15" t="s">
        <v>27</v>
      </c>
      <c r="H8079" s="15" t="n">
        <v>1</v>
      </c>
      <c r="I8079" s="17" t="n">
        <v>0.1</v>
      </c>
      <c r="J8079" s="18" t="n">
        <v>52.16</v>
      </c>
      <c r="K8079" s="19" t="n">
        <v>10.9</v>
      </c>
      <c r="L8079" s="15" t="n">
        <f aca="false">YEAR(B8079)</f>
        <v>2025</v>
      </c>
      <c r="M8079" s="20" t="n">
        <f aca="false">IF(J8079&gt;0,K8079/J8079,0)</f>
        <v>0.208972392638037</v>
      </c>
    </row>
    <row r="8080" customFormat="false" ht="15" hidden="false" customHeight="false" outlineLevel="0" collapsed="false">
      <c r="A8080" s="15" t="s">
        <v>8137</v>
      </c>
      <c r="B8080" s="16" t="n">
        <v>44710</v>
      </c>
      <c r="C8080" s="15" t="s">
        <v>56</v>
      </c>
      <c r="D8080" s="15" t="s">
        <v>42</v>
      </c>
      <c r="E8080" s="15" t="s">
        <v>36</v>
      </c>
      <c r="F8080" s="15" t="s">
        <v>16</v>
      </c>
      <c r="G8080" s="15" t="s">
        <v>27</v>
      </c>
      <c r="H8080" s="15" t="n">
        <v>3</v>
      </c>
      <c r="I8080" s="17" t="n">
        <v>0</v>
      </c>
      <c r="J8080" s="18" t="n">
        <v>162.81</v>
      </c>
      <c r="K8080" s="19" t="n">
        <v>34.84</v>
      </c>
      <c r="L8080" s="15" t="n">
        <f aca="false">YEAR(B8080)</f>
        <v>2022</v>
      </c>
      <c r="M8080" s="20" t="n">
        <f aca="false">IF(J8080&gt;0,K8080/J8080,0)</f>
        <v>0.213991769547325</v>
      </c>
    </row>
    <row r="8081" customFormat="false" ht="15" hidden="false" customHeight="false" outlineLevel="0" collapsed="false">
      <c r="A8081" s="15" t="s">
        <v>8138</v>
      </c>
      <c r="B8081" s="16" t="n">
        <v>45163</v>
      </c>
      <c r="C8081" s="15" t="s">
        <v>56</v>
      </c>
      <c r="D8081" s="15" t="s">
        <v>44</v>
      </c>
      <c r="E8081" s="15" t="s">
        <v>38</v>
      </c>
      <c r="F8081" s="15" t="s">
        <v>16</v>
      </c>
      <c r="G8081" s="15" t="s">
        <v>23</v>
      </c>
      <c r="H8081" s="15" t="n">
        <v>1</v>
      </c>
      <c r="I8081" s="17" t="n">
        <v>0</v>
      </c>
      <c r="J8081" s="18" t="n">
        <v>322.56</v>
      </c>
      <c r="K8081" s="19" t="n">
        <v>11.74</v>
      </c>
      <c r="L8081" s="15" t="n">
        <f aca="false">YEAR(B8081)</f>
        <v>2023</v>
      </c>
      <c r="M8081" s="20" t="n">
        <f aca="false">IF(J8081&gt;0,K8081/J8081,0)</f>
        <v>0.0363963293650794</v>
      </c>
    </row>
    <row r="8082" customFormat="false" ht="15" hidden="false" customHeight="false" outlineLevel="0" collapsed="false">
      <c r="A8082" s="15" t="s">
        <v>8139</v>
      </c>
      <c r="B8082" s="16" t="n">
        <v>45963</v>
      </c>
      <c r="C8082" s="15" t="s">
        <v>56</v>
      </c>
      <c r="D8082" s="15" t="s">
        <v>42</v>
      </c>
      <c r="E8082" s="15" t="s">
        <v>37</v>
      </c>
      <c r="F8082" s="15" t="s">
        <v>18</v>
      </c>
      <c r="G8082" s="15" t="s">
        <v>30</v>
      </c>
      <c r="H8082" s="15" t="n">
        <v>1</v>
      </c>
      <c r="I8082" s="17" t="n">
        <v>0.1</v>
      </c>
      <c r="J8082" s="18" t="n">
        <v>46.84</v>
      </c>
      <c r="K8082" s="19" t="n">
        <v>8.46</v>
      </c>
      <c r="L8082" s="15" t="n">
        <f aca="false">YEAR(B8082)</f>
        <v>2025</v>
      </c>
      <c r="M8082" s="20" t="n">
        <f aca="false">IF(J8082&gt;0,K8082/J8082,0)</f>
        <v>0.180614859094791</v>
      </c>
    </row>
    <row r="8083" customFormat="false" ht="15" hidden="false" customHeight="false" outlineLevel="0" collapsed="false">
      <c r="A8083" s="15" t="s">
        <v>8140</v>
      </c>
      <c r="B8083" s="16" t="n">
        <v>44598</v>
      </c>
      <c r="C8083" s="15" t="s">
        <v>56</v>
      </c>
      <c r="D8083" s="15" t="s">
        <v>43</v>
      </c>
      <c r="E8083" s="15" t="s">
        <v>39</v>
      </c>
      <c r="F8083" s="15" t="s">
        <v>16</v>
      </c>
      <c r="G8083" s="15" t="s">
        <v>25</v>
      </c>
      <c r="H8083" s="15" t="n">
        <v>3</v>
      </c>
      <c r="I8083" s="17" t="n">
        <v>0.1</v>
      </c>
      <c r="J8083" s="18" t="n">
        <v>892.2</v>
      </c>
      <c r="K8083" s="19" t="n">
        <v>21.54</v>
      </c>
      <c r="L8083" s="15" t="n">
        <f aca="false">YEAR(B8083)</f>
        <v>2022</v>
      </c>
      <c r="M8083" s="20" t="n">
        <f aca="false">IF(J8083&gt;0,K8083/J8083,0)</f>
        <v>0.024142568930733</v>
      </c>
    </row>
    <row r="8084" customFormat="false" ht="15" hidden="false" customHeight="false" outlineLevel="0" collapsed="false">
      <c r="A8084" s="15" t="s">
        <v>8141</v>
      </c>
      <c r="B8084" s="16" t="n">
        <v>45611</v>
      </c>
      <c r="C8084" s="15" t="s">
        <v>56</v>
      </c>
      <c r="D8084" s="15" t="s">
        <v>44</v>
      </c>
      <c r="E8084" s="15" t="s">
        <v>39</v>
      </c>
      <c r="F8084" s="15" t="s">
        <v>16</v>
      </c>
      <c r="G8084" s="15" t="s">
        <v>25</v>
      </c>
      <c r="H8084" s="15" t="n">
        <v>1</v>
      </c>
      <c r="I8084" s="17" t="n">
        <v>0.15</v>
      </c>
      <c r="J8084" s="18" t="n">
        <v>288.47</v>
      </c>
      <c r="K8084" s="19" t="n">
        <v>-13.04</v>
      </c>
      <c r="L8084" s="15" t="n">
        <f aca="false">YEAR(B8084)</f>
        <v>2024</v>
      </c>
      <c r="M8084" s="20" t="n">
        <f aca="false">IF(J8084&gt;0,K8084/J8084,0)</f>
        <v>-0.0452040073491178</v>
      </c>
    </row>
    <row r="8085" customFormat="false" ht="15" hidden="false" customHeight="false" outlineLevel="0" collapsed="false">
      <c r="A8085" s="15" t="s">
        <v>8142</v>
      </c>
      <c r="B8085" s="16" t="n">
        <v>45279</v>
      </c>
      <c r="C8085" s="15" t="s">
        <v>56</v>
      </c>
      <c r="D8085" s="15" t="s">
        <v>43</v>
      </c>
      <c r="E8085" s="15" t="s">
        <v>36</v>
      </c>
      <c r="F8085" s="15" t="s">
        <v>17</v>
      </c>
      <c r="G8085" s="15" t="s">
        <v>29</v>
      </c>
      <c r="H8085" s="15" t="n">
        <v>3</v>
      </c>
      <c r="I8085" s="17" t="n">
        <v>0.05</v>
      </c>
      <c r="J8085" s="18" t="n">
        <v>50</v>
      </c>
      <c r="K8085" s="19" t="n">
        <v>18.34</v>
      </c>
      <c r="L8085" s="15" t="n">
        <f aca="false">YEAR(B8085)</f>
        <v>2023</v>
      </c>
      <c r="M8085" s="20" t="n">
        <f aca="false">IF(J8085&gt;0,K8085/J8085,0)</f>
        <v>0.3668</v>
      </c>
    </row>
    <row r="8086" customFormat="false" ht="15" hidden="false" customHeight="false" outlineLevel="0" collapsed="false">
      <c r="A8086" s="15" t="s">
        <v>8143</v>
      </c>
      <c r="B8086" s="16" t="n">
        <v>45143</v>
      </c>
      <c r="C8086" s="15" t="s">
        <v>58</v>
      </c>
      <c r="D8086" s="15" t="s">
        <v>43</v>
      </c>
      <c r="E8086" s="15" t="s">
        <v>36</v>
      </c>
      <c r="F8086" s="15" t="s">
        <v>17</v>
      </c>
      <c r="G8086" s="15" t="s">
        <v>29</v>
      </c>
      <c r="H8086" s="15" t="n">
        <v>2</v>
      </c>
      <c r="I8086" s="17" t="n">
        <v>0.2</v>
      </c>
      <c r="J8086" s="18" t="n">
        <v>24.73</v>
      </c>
      <c r="K8086" s="19" t="n">
        <v>4.36</v>
      </c>
      <c r="L8086" s="15" t="n">
        <f aca="false">YEAR(B8086)</f>
        <v>2023</v>
      </c>
      <c r="M8086" s="20" t="n">
        <f aca="false">IF(J8086&gt;0,K8086/J8086,0)</f>
        <v>0.17630408410837</v>
      </c>
    </row>
    <row r="8087" customFormat="false" ht="15" hidden="false" customHeight="false" outlineLevel="0" collapsed="false">
      <c r="A8087" s="15" t="s">
        <v>8144</v>
      </c>
      <c r="B8087" s="16" t="n">
        <v>45812</v>
      </c>
      <c r="C8087" s="15" t="s">
        <v>56</v>
      </c>
      <c r="D8087" s="15" t="s">
        <v>42</v>
      </c>
      <c r="E8087" s="15" t="s">
        <v>36</v>
      </c>
      <c r="F8087" s="15" t="s">
        <v>18</v>
      </c>
      <c r="G8087" s="15" t="s">
        <v>33</v>
      </c>
      <c r="H8087" s="15" t="n">
        <v>5</v>
      </c>
      <c r="I8087" s="17" t="n">
        <v>0.15</v>
      </c>
      <c r="J8087" s="18" t="n">
        <v>3145.89</v>
      </c>
      <c r="K8087" s="19" t="n">
        <v>409.68</v>
      </c>
      <c r="L8087" s="15" t="n">
        <f aca="false">YEAR(B8087)</f>
        <v>2025</v>
      </c>
      <c r="M8087" s="20" t="n">
        <f aca="false">IF(J8087&gt;0,K8087/J8087,0)</f>
        <v>0.130227058161601</v>
      </c>
    </row>
    <row r="8088" customFormat="false" ht="15" hidden="false" customHeight="false" outlineLevel="0" collapsed="false">
      <c r="A8088" s="15" t="s">
        <v>8145</v>
      </c>
      <c r="B8088" s="16" t="n">
        <v>45544</v>
      </c>
      <c r="C8088" s="15" t="s">
        <v>71</v>
      </c>
      <c r="D8088" s="15" t="s">
        <v>42</v>
      </c>
      <c r="E8088" s="15" t="s">
        <v>39</v>
      </c>
      <c r="F8088" s="15" t="s">
        <v>18</v>
      </c>
      <c r="G8088" s="15" t="s">
        <v>30</v>
      </c>
      <c r="H8088" s="15" t="n">
        <v>3</v>
      </c>
      <c r="I8088" s="17" t="n">
        <v>0</v>
      </c>
      <c r="J8088" s="18" t="n">
        <v>127.76</v>
      </c>
      <c r="K8088" s="19" t="n">
        <v>30.76</v>
      </c>
      <c r="L8088" s="15" t="n">
        <f aca="false">YEAR(B8088)</f>
        <v>2024</v>
      </c>
      <c r="M8088" s="20" t="n">
        <f aca="false">IF(J8088&gt;0,K8088/J8088,0)</f>
        <v>0.2407639323732</v>
      </c>
    </row>
    <row r="8089" customFormat="false" ht="15" hidden="false" customHeight="false" outlineLevel="0" collapsed="false">
      <c r="A8089" s="15" t="s">
        <v>8146</v>
      </c>
      <c r="B8089" s="16" t="n">
        <v>45791</v>
      </c>
      <c r="C8089" s="15" t="s">
        <v>56</v>
      </c>
      <c r="D8089" s="15" t="s">
        <v>42</v>
      </c>
      <c r="E8089" s="15" t="s">
        <v>39</v>
      </c>
      <c r="F8089" s="15" t="s">
        <v>18</v>
      </c>
      <c r="G8089" s="15" t="s">
        <v>30</v>
      </c>
      <c r="H8089" s="15" t="n">
        <v>4</v>
      </c>
      <c r="I8089" s="17" t="n">
        <v>0</v>
      </c>
      <c r="J8089" s="18" t="n">
        <v>198.76</v>
      </c>
      <c r="K8089" s="19" t="n">
        <v>56.7</v>
      </c>
      <c r="L8089" s="15" t="n">
        <f aca="false">YEAR(B8089)</f>
        <v>2025</v>
      </c>
      <c r="M8089" s="20" t="n">
        <f aca="false">IF(J8089&gt;0,K8089/J8089,0)</f>
        <v>0.285268665727511</v>
      </c>
    </row>
    <row r="8090" customFormat="false" ht="15" hidden="false" customHeight="false" outlineLevel="0" collapsed="false">
      <c r="A8090" s="15" t="s">
        <v>8147</v>
      </c>
      <c r="B8090" s="16" t="n">
        <v>45386</v>
      </c>
      <c r="C8090" s="15" t="s">
        <v>56</v>
      </c>
      <c r="D8090" s="15" t="s">
        <v>43</v>
      </c>
      <c r="E8090" s="15" t="s">
        <v>37</v>
      </c>
      <c r="F8090" s="15" t="s">
        <v>17</v>
      </c>
      <c r="G8090" s="15" t="s">
        <v>29</v>
      </c>
      <c r="H8090" s="15" t="n">
        <v>5</v>
      </c>
      <c r="I8090" s="17" t="n">
        <v>0.5</v>
      </c>
      <c r="J8090" s="18" t="n">
        <v>51.11</v>
      </c>
      <c r="K8090" s="19" t="n">
        <v>-1.25</v>
      </c>
      <c r="L8090" s="15" t="n">
        <f aca="false">YEAR(B8090)</f>
        <v>2024</v>
      </c>
      <c r="M8090" s="20" t="n">
        <f aca="false">IF(J8090&gt;0,K8090/J8090,0)</f>
        <v>-0.0244570534142047</v>
      </c>
    </row>
    <row r="8091" customFormat="false" ht="15" hidden="false" customHeight="false" outlineLevel="0" collapsed="false">
      <c r="A8091" s="15" t="s">
        <v>8148</v>
      </c>
      <c r="B8091" s="16" t="n">
        <v>45790</v>
      </c>
      <c r="C8091" s="15" t="s">
        <v>56</v>
      </c>
      <c r="D8091" s="15" t="s">
        <v>44</v>
      </c>
      <c r="E8091" s="15" t="s">
        <v>37</v>
      </c>
      <c r="F8091" s="15" t="s">
        <v>18</v>
      </c>
      <c r="G8091" s="15" t="s">
        <v>33</v>
      </c>
      <c r="H8091" s="15" t="n">
        <v>1</v>
      </c>
      <c r="I8091" s="17" t="n">
        <v>0.1</v>
      </c>
      <c r="J8091" s="18" t="n">
        <v>821.01</v>
      </c>
      <c r="K8091" s="19" t="n">
        <v>161.14</v>
      </c>
      <c r="L8091" s="15" t="n">
        <f aca="false">YEAR(B8091)</f>
        <v>2025</v>
      </c>
      <c r="M8091" s="20" t="n">
        <f aca="false">IF(J8091&gt;0,K8091/J8091,0)</f>
        <v>0.196270447375793</v>
      </c>
    </row>
    <row r="8092" customFormat="false" ht="15" hidden="false" customHeight="false" outlineLevel="0" collapsed="false">
      <c r="A8092" s="15" t="s">
        <v>8149</v>
      </c>
      <c r="B8092" s="16" t="n">
        <v>45239</v>
      </c>
      <c r="C8092" s="15" t="s">
        <v>56</v>
      </c>
      <c r="D8092" s="15" t="s">
        <v>44</v>
      </c>
      <c r="E8092" s="15" t="s">
        <v>39</v>
      </c>
      <c r="F8092" s="15" t="s">
        <v>17</v>
      </c>
      <c r="G8092" s="15" t="s">
        <v>28</v>
      </c>
      <c r="H8092" s="15" t="n">
        <v>5</v>
      </c>
      <c r="I8092" s="17" t="n">
        <v>0.05</v>
      </c>
      <c r="J8092" s="18" t="n">
        <v>113.21</v>
      </c>
      <c r="K8092" s="19" t="n">
        <v>35.9</v>
      </c>
      <c r="L8092" s="15" t="n">
        <f aca="false">YEAR(B8092)</f>
        <v>2023</v>
      </c>
      <c r="M8092" s="20" t="n">
        <f aca="false">IF(J8092&gt;0,K8092/J8092,0)</f>
        <v>0.317109795954421</v>
      </c>
    </row>
    <row r="8093" customFormat="false" ht="15" hidden="false" customHeight="false" outlineLevel="0" collapsed="false">
      <c r="A8093" s="15" t="s">
        <v>8150</v>
      </c>
      <c r="B8093" s="16" t="n">
        <v>45105</v>
      </c>
      <c r="C8093" s="15" t="s">
        <v>56</v>
      </c>
      <c r="D8093" s="15" t="s">
        <v>43</v>
      </c>
      <c r="E8093" s="15" t="s">
        <v>36</v>
      </c>
      <c r="F8093" s="15" t="s">
        <v>17</v>
      </c>
      <c r="G8093" s="15" t="s">
        <v>26</v>
      </c>
      <c r="H8093" s="15" t="n">
        <v>6</v>
      </c>
      <c r="I8093" s="17" t="n">
        <v>0</v>
      </c>
      <c r="J8093" s="18" t="n">
        <v>486.82</v>
      </c>
      <c r="K8093" s="19" t="n">
        <v>46</v>
      </c>
      <c r="L8093" s="15" t="n">
        <f aca="false">YEAR(B8093)</f>
        <v>2023</v>
      </c>
      <c r="M8093" s="20" t="n">
        <f aca="false">IF(J8093&gt;0,K8093/J8093,0)</f>
        <v>0.0944907768785177</v>
      </c>
    </row>
    <row r="8094" customFormat="false" ht="15" hidden="false" customHeight="false" outlineLevel="0" collapsed="false">
      <c r="A8094" s="15" t="s">
        <v>8151</v>
      </c>
      <c r="B8094" s="16" t="n">
        <v>44763</v>
      </c>
      <c r="C8094" s="15" t="s">
        <v>56</v>
      </c>
      <c r="D8094" s="15" t="s">
        <v>42</v>
      </c>
      <c r="E8094" s="15" t="s">
        <v>37</v>
      </c>
      <c r="F8094" s="15" t="s">
        <v>17</v>
      </c>
      <c r="G8094" s="15" t="s">
        <v>28</v>
      </c>
      <c r="H8094" s="15" t="n">
        <v>4</v>
      </c>
      <c r="I8094" s="17" t="n">
        <v>0</v>
      </c>
      <c r="J8094" s="18" t="n">
        <v>101.77</v>
      </c>
      <c r="K8094" s="19" t="n">
        <v>37.86</v>
      </c>
      <c r="L8094" s="15" t="n">
        <f aca="false">YEAR(B8094)</f>
        <v>2022</v>
      </c>
      <c r="M8094" s="20" t="n">
        <f aca="false">IF(J8094&gt;0,K8094/J8094,0)</f>
        <v>0.372015328682323</v>
      </c>
    </row>
    <row r="8095" customFormat="false" ht="15" hidden="false" customHeight="false" outlineLevel="0" collapsed="false">
      <c r="A8095" s="15" t="s">
        <v>8152</v>
      </c>
      <c r="B8095" s="16" t="n">
        <v>44899</v>
      </c>
      <c r="C8095" s="15" t="s">
        <v>68</v>
      </c>
      <c r="D8095" s="15" t="s">
        <v>42</v>
      </c>
      <c r="E8095" s="15" t="s">
        <v>36</v>
      </c>
      <c r="F8095" s="15" t="s">
        <v>16</v>
      </c>
      <c r="G8095" s="15" t="s">
        <v>22</v>
      </c>
      <c r="H8095" s="15" t="n">
        <v>1</v>
      </c>
      <c r="I8095" s="17" t="n">
        <v>0</v>
      </c>
      <c r="J8095" s="18" t="n">
        <v>449.77</v>
      </c>
      <c r="K8095" s="19" t="n">
        <v>-53.22</v>
      </c>
      <c r="L8095" s="15" t="n">
        <f aca="false">YEAR(B8095)</f>
        <v>2022</v>
      </c>
      <c r="M8095" s="20" t="n">
        <f aca="false">IF(J8095&gt;0,K8095/J8095,0)</f>
        <v>-0.118327144985215</v>
      </c>
    </row>
    <row r="8096" customFormat="false" ht="15" hidden="false" customHeight="false" outlineLevel="0" collapsed="false">
      <c r="A8096" s="15" t="s">
        <v>8153</v>
      </c>
      <c r="B8096" s="16" t="n">
        <v>45886</v>
      </c>
      <c r="C8096" s="15" t="s">
        <v>56</v>
      </c>
      <c r="D8096" s="15" t="s">
        <v>42</v>
      </c>
      <c r="E8096" s="15" t="s">
        <v>38</v>
      </c>
      <c r="F8096" s="15" t="s">
        <v>17</v>
      </c>
      <c r="G8096" s="15" t="s">
        <v>29</v>
      </c>
      <c r="H8096" s="15" t="n">
        <v>7</v>
      </c>
      <c r="I8096" s="17" t="n">
        <v>0.15</v>
      </c>
      <c r="J8096" s="18" t="n">
        <v>96.07</v>
      </c>
      <c r="K8096" s="19" t="n">
        <v>18.73</v>
      </c>
      <c r="L8096" s="15" t="n">
        <f aca="false">YEAR(B8096)</f>
        <v>2025</v>
      </c>
      <c r="M8096" s="20" t="n">
        <f aca="false">IF(J8096&gt;0,K8096/J8096,0)</f>
        <v>0.194962006869991</v>
      </c>
    </row>
    <row r="8097" customFormat="false" ht="15" hidden="false" customHeight="false" outlineLevel="0" collapsed="false">
      <c r="A8097" s="15" t="s">
        <v>8154</v>
      </c>
      <c r="B8097" s="16" t="n">
        <v>45789</v>
      </c>
      <c r="C8097" s="15" t="s">
        <v>68</v>
      </c>
      <c r="D8097" s="15" t="s">
        <v>43</v>
      </c>
      <c r="E8097" s="15" t="s">
        <v>36</v>
      </c>
      <c r="F8097" s="15" t="s">
        <v>17</v>
      </c>
      <c r="G8097" s="15" t="s">
        <v>26</v>
      </c>
      <c r="H8097" s="15" t="n">
        <v>3</v>
      </c>
      <c r="I8097" s="17" t="n">
        <v>0</v>
      </c>
      <c r="J8097" s="18" t="n">
        <v>245.62</v>
      </c>
      <c r="K8097" s="19" t="n">
        <v>30.31</v>
      </c>
      <c r="L8097" s="15" t="n">
        <f aca="false">YEAR(B8097)</f>
        <v>2025</v>
      </c>
      <c r="M8097" s="20" t="n">
        <f aca="false">IF(J8097&gt;0,K8097/J8097,0)</f>
        <v>0.123402003094211</v>
      </c>
    </row>
    <row r="8098" customFormat="false" ht="15" hidden="false" customHeight="false" outlineLevel="0" collapsed="false">
      <c r="A8098" s="15" t="s">
        <v>8155</v>
      </c>
      <c r="B8098" s="16" t="n">
        <v>44796</v>
      </c>
      <c r="C8098" s="15" t="s">
        <v>56</v>
      </c>
      <c r="D8098" s="15" t="s">
        <v>42</v>
      </c>
      <c r="E8098" s="15" t="s">
        <v>36</v>
      </c>
      <c r="F8098" s="15" t="s">
        <v>17</v>
      </c>
      <c r="G8098" s="15" t="s">
        <v>28</v>
      </c>
      <c r="H8098" s="15" t="n">
        <v>4</v>
      </c>
      <c r="I8098" s="17" t="n">
        <v>0.15</v>
      </c>
      <c r="J8098" s="18" t="n">
        <v>83.74</v>
      </c>
      <c r="K8098" s="19" t="n">
        <v>19.87</v>
      </c>
      <c r="L8098" s="15" t="n">
        <f aca="false">YEAR(B8098)</f>
        <v>2022</v>
      </c>
      <c r="M8098" s="20" t="n">
        <f aca="false">IF(J8098&gt;0,K8098/J8098,0)</f>
        <v>0.237282063529974</v>
      </c>
    </row>
    <row r="8099" customFormat="false" ht="15" hidden="false" customHeight="false" outlineLevel="0" collapsed="false">
      <c r="A8099" s="15" t="s">
        <v>8156</v>
      </c>
      <c r="B8099" s="16" t="n">
        <v>45200</v>
      </c>
      <c r="C8099" s="15" t="s">
        <v>71</v>
      </c>
      <c r="D8099" s="15" t="s">
        <v>43</v>
      </c>
      <c r="E8099" s="15" t="s">
        <v>37</v>
      </c>
      <c r="F8099" s="15" t="s">
        <v>17</v>
      </c>
      <c r="G8099" s="15" t="s">
        <v>31</v>
      </c>
      <c r="H8099" s="15" t="n">
        <v>3</v>
      </c>
      <c r="I8099" s="17" t="n">
        <v>0</v>
      </c>
      <c r="J8099" s="18" t="n">
        <v>421.68</v>
      </c>
      <c r="K8099" s="19" t="n">
        <v>86.83</v>
      </c>
      <c r="L8099" s="15" t="n">
        <f aca="false">YEAR(B8099)</f>
        <v>2023</v>
      </c>
      <c r="M8099" s="20" t="n">
        <f aca="false">IF(J8099&gt;0,K8099/J8099,0)</f>
        <v>0.205914437488143</v>
      </c>
    </row>
    <row r="8100" customFormat="false" ht="15" hidden="false" customHeight="false" outlineLevel="0" collapsed="false">
      <c r="A8100" s="15" t="s">
        <v>8157</v>
      </c>
      <c r="B8100" s="16" t="n">
        <v>45885</v>
      </c>
      <c r="C8100" s="15" t="s">
        <v>71</v>
      </c>
      <c r="D8100" s="15" t="s">
        <v>44</v>
      </c>
      <c r="E8100" s="15" t="s">
        <v>38</v>
      </c>
      <c r="F8100" s="15" t="s">
        <v>18</v>
      </c>
      <c r="G8100" s="15" t="s">
        <v>30</v>
      </c>
      <c r="H8100" s="15" t="n">
        <v>4</v>
      </c>
      <c r="I8100" s="17" t="n">
        <v>0.05</v>
      </c>
      <c r="J8100" s="18" t="n">
        <v>155.83</v>
      </c>
      <c r="K8100" s="19" t="n">
        <v>43.06</v>
      </c>
      <c r="L8100" s="15" t="n">
        <f aca="false">YEAR(B8100)</f>
        <v>2025</v>
      </c>
      <c r="M8100" s="20" t="n">
        <f aca="false">IF(J8100&gt;0,K8100/J8100,0)</f>
        <v>0.276326766347943</v>
      </c>
    </row>
    <row r="8101" customFormat="false" ht="15" hidden="false" customHeight="false" outlineLevel="0" collapsed="false">
      <c r="A8101" s="15" t="s">
        <v>8158</v>
      </c>
      <c r="B8101" s="16" t="n">
        <v>45007</v>
      </c>
      <c r="C8101" s="15" t="s">
        <v>56</v>
      </c>
      <c r="D8101" s="15" t="s">
        <v>42</v>
      </c>
      <c r="E8101" s="15" t="s">
        <v>36</v>
      </c>
      <c r="F8101" s="15" t="s">
        <v>18</v>
      </c>
      <c r="G8101" s="15" t="s">
        <v>24</v>
      </c>
      <c r="H8101" s="15" t="n">
        <v>6</v>
      </c>
      <c r="I8101" s="17" t="n">
        <v>0.3</v>
      </c>
      <c r="J8101" s="18" t="n">
        <v>3262.77</v>
      </c>
      <c r="K8101" s="19" t="n">
        <v>-686.72</v>
      </c>
      <c r="L8101" s="15" t="n">
        <f aca="false">YEAR(B8101)</f>
        <v>2023</v>
      </c>
      <c r="M8101" s="20" t="n">
        <f aca="false">IF(J8101&gt;0,K8101/J8101,0)</f>
        <v>-0.210471470560291</v>
      </c>
    </row>
    <row r="8102" customFormat="false" ht="15" hidden="false" customHeight="false" outlineLevel="0" collapsed="false">
      <c r="A8102" s="15" t="s">
        <v>8159</v>
      </c>
      <c r="B8102" s="16" t="n">
        <v>45019</v>
      </c>
      <c r="C8102" s="15" t="s">
        <v>56</v>
      </c>
      <c r="D8102" s="15" t="s">
        <v>43</v>
      </c>
      <c r="E8102" s="15" t="s">
        <v>38</v>
      </c>
      <c r="F8102" s="15" t="s">
        <v>18</v>
      </c>
      <c r="G8102" s="15" t="s">
        <v>30</v>
      </c>
      <c r="H8102" s="15" t="n">
        <v>1</v>
      </c>
      <c r="I8102" s="17" t="n">
        <v>0.15</v>
      </c>
      <c r="J8102" s="18" t="n">
        <v>28.07</v>
      </c>
      <c r="K8102" s="19" t="n">
        <v>4.31</v>
      </c>
      <c r="L8102" s="15" t="n">
        <f aca="false">YEAR(B8102)</f>
        <v>2023</v>
      </c>
      <c r="M8102" s="20" t="n">
        <f aca="false">IF(J8102&gt;0,K8102/J8102,0)</f>
        <v>0.153544709654435</v>
      </c>
    </row>
    <row r="8103" customFormat="false" ht="15" hidden="false" customHeight="false" outlineLevel="0" collapsed="false">
      <c r="A8103" s="15" t="s">
        <v>8160</v>
      </c>
      <c r="B8103" s="16" t="n">
        <v>45053</v>
      </c>
      <c r="C8103" s="15" t="s">
        <v>56</v>
      </c>
      <c r="D8103" s="15" t="s">
        <v>42</v>
      </c>
      <c r="E8103" s="15" t="s">
        <v>37</v>
      </c>
      <c r="F8103" s="15" t="s">
        <v>18</v>
      </c>
      <c r="G8103" s="15" t="s">
        <v>32</v>
      </c>
      <c r="H8103" s="15" t="n">
        <v>4</v>
      </c>
      <c r="I8103" s="17" t="n">
        <v>0</v>
      </c>
      <c r="J8103" s="18" t="n">
        <v>1606.73</v>
      </c>
      <c r="K8103" s="19" t="n">
        <v>324.94</v>
      </c>
      <c r="L8103" s="15" t="n">
        <f aca="false">YEAR(B8103)</f>
        <v>2023</v>
      </c>
      <c r="M8103" s="20" t="n">
        <f aca="false">IF(J8103&gt;0,K8103/J8103,0)</f>
        <v>0.202236841286339</v>
      </c>
    </row>
    <row r="8104" customFormat="false" ht="15" hidden="false" customHeight="false" outlineLevel="0" collapsed="false">
      <c r="A8104" s="15" t="s">
        <v>8161</v>
      </c>
      <c r="B8104" s="16" t="n">
        <v>44656</v>
      </c>
      <c r="C8104" s="15" t="s">
        <v>68</v>
      </c>
      <c r="D8104" s="15" t="s">
        <v>44</v>
      </c>
      <c r="E8104" s="15" t="s">
        <v>39</v>
      </c>
      <c r="F8104" s="15" t="s">
        <v>17</v>
      </c>
      <c r="G8104" s="15" t="s">
        <v>29</v>
      </c>
      <c r="H8104" s="15" t="n">
        <v>3</v>
      </c>
      <c r="I8104" s="17" t="n">
        <v>0.1</v>
      </c>
      <c r="J8104" s="18" t="n">
        <v>53.29</v>
      </c>
      <c r="K8104" s="19" t="n">
        <v>15.24</v>
      </c>
      <c r="L8104" s="15" t="n">
        <f aca="false">YEAR(B8104)</f>
        <v>2022</v>
      </c>
      <c r="M8104" s="20" t="n">
        <f aca="false">IF(J8104&gt;0,K8104/J8104,0)</f>
        <v>0.285982360668043</v>
      </c>
    </row>
    <row r="8105" customFormat="false" ht="15" hidden="false" customHeight="false" outlineLevel="0" collapsed="false">
      <c r="A8105" s="15" t="s">
        <v>8162</v>
      </c>
      <c r="B8105" s="16" t="n">
        <v>45036</v>
      </c>
      <c r="C8105" s="15" t="s">
        <v>68</v>
      </c>
      <c r="D8105" s="15" t="s">
        <v>42</v>
      </c>
      <c r="E8105" s="15" t="s">
        <v>39</v>
      </c>
      <c r="F8105" s="15" t="s">
        <v>17</v>
      </c>
      <c r="G8105" s="15" t="s">
        <v>31</v>
      </c>
      <c r="H8105" s="15" t="n">
        <v>6</v>
      </c>
      <c r="I8105" s="17" t="n">
        <v>0.1</v>
      </c>
      <c r="J8105" s="18" t="n">
        <v>704.55</v>
      </c>
      <c r="K8105" s="19" t="n">
        <v>62.29</v>
      </c>
      <c r="L8105" s="15" t="n">
        <f aca="false">YEAR(B8105)</f>
        <v>2023</v>
      </c>
      <c r="M8105" s="20" t="n">
        <f aca="false">IF(J8105&gt;0,K8105/J8105,0)</f>
        <v>0.0884110425094032</v>
      </c>
    </row>
    <row r="8106" customFormat="false" ht="15" hidden="false" customHeight="false" outlineLevel="0" collapsed="false">
      <c r="A8106" s="15" t="s">
        <v>8163</v>
      </c>
      <c r="B8106" s="16" t="n">
        <v>44653</v>
      </c>
      <c r="C8106" s="15" t="s">
        <v>56</v>
      </c>
      <c r="D8106" s="15" t="s">
        <v>43</v>
      </c>
      <c r="E8106" s="15" t="s">
        <v>39</v>
      </c>
      <c r="F8106" s="15" t="s">
        <v>17</v>
      </c>
      <c r="G8106" s="15" t="s">
        <v>28</v>
      </c>
      <c r="H8106" s="15" t="n">
        <v>4</v>
      </c>
      <c r="I8106" s="17" t="n">
        <v>0</v>
      </c>
      <c r="J8106" s="18" t="n">
        <v>114.77</v>
      </c>
      <c r="K8106" s="19" t="n">
        <v>40.78</v>
      </c>
      <c r="L8106" s="15" t="n">
        <f aca="false">YEAR(B8106)</f>
        <v>2022</v>
      </c>
      <c r="M8106" s="20" t="n">
        <f aca="false">IF(J8106&gt;0,K8106/J8106,0)</f>
        <v>0.355319334320816</v>
      </c>
    </row>
    <row r="8107" customFormat="false" ht="15" hidden="false" customHeight="false" outlineLevel="0" collapsed="false">
      <c r="A8107" s="15" t="s">
        <v>8164</v>
      </c>
      <c r="B8107" s="16" t="n">
        <v>44760</v>
      </c>
      <c r="C8107" s="15" t="s">
        <v>56</v>
      </c>
      <c r="D8107" s="15" t="s">
        <v>42</v>
      </c>
      <c r="E8107" s="15" t="s">
        <v>37</v>
      </c>
      <c r="F8107" s="15" t="s">
        <v>17</v>
      </c>
      <c r="G8107" s="15" t="s">
        <v>31</v>
      </c>
      <c r="H8107" s="15" t="n">
        <v>2</v>
      </c>
      <c r="I8107" s="17" t="n">
        <v>0</v>
      </c>
      <c r="J8107" s="18" t="n">
        <v>253.8</v>
      </c>
      <c r="K8107" s="19" t="n">
        <v>60.26</v>
      </c>
      <c r="L8107" s="15" t="n">
        <f aca="false">YEAR(B8107)</f>
        <v>2022</v>
      </c>
      <c r="M8107" s="20" t="n">
        <f aca="false">IF(J8107&gt;0,K8107/J8107,0)</f>
        <v>0.237431048069346</v>
      </c>
    </row>
    <row r="8108" customFormat="false" ht="15" hidden="false" customHeight="false" outlineLevel="0" collapsed="false">
      <c r="A8108" s="15" t="s">
        <v>8165</v>
      </c>
      <c r="B8108" s="16" t="n">
        <v>45634</v>
      </c>
      <c r="C8108" s="15" t="s">
        <v>56</v>
      </c>
      <c r="D8108" s="15" t="s">
        <v>42</v>
      </c>
      <c r="E8108" s="15" t="s">
        <v>38</v>
      </c>
      <c r="F8108" s="15" t="s">
        <v>18</v>
      </c>
      <c r="G8108" s="15" t="s">
        <v>33</v>
      </c>
      <c r="H8108" s="15" t="n">
        <v>4</v>
      </c>
      <c r="I8108" s="17" t="n">
        <v>0</v>
      </c>
      <c r="J8108" s="18" t="n">
        <v>3613.03</v>
      </c>
      <c r="K8108" s="19" t="n">
        <v>959.02</v>
      </c>
      <c r="L8108" s="15" t="n">
        <f aca="false">YEAR(B8108)</f>
        <v>2024</v>
      </c>
      <c r="M8108" s="20" t="n">
        <f aca="false">IF(J8108&gt;0,K8108/J8108,0)</f>
        <v>0.265433721834582</v>
      </c>
    </row>
    <row r="8109" customFormat="false" ht="15" hidden="false" customHeight="false" outlineLevel="0" collapsed="false">
      <c r="A8109" s="15" t="s">
        <v>8166</v>
      </c>
      <c r="B8109" s="16" t="n">
        <v>45445</v>
      </c>
      <c r="C8109" s="15" t="s">
        <v>56</v>
      </c>
      <c r="D8109" s="15" t="s">
        <v>43</v>
      </c>
      <c r="E8109" s="15" t="s">
        <v>38</v>
      </c>
      <c r="F8109" s="15" t="s">
        <v>16</v>
      </c>
      <c r="G8109" s="15" t="s">
        <v>22</v>
      </c>
      <c r="H8109" s="15" t="n">
        <v>5</v>
      </c>
      <c r="I8109" s="17" t="n">
        <v>0.2</v>
      </c>
      <c r="J8109" s="18" t="n">
        <v>2112.01</v>
      </c>
      <c r="K8109" s="19" t="n">
        <v>-391.25</v>
      </c>
      <c r="L8109" s="15" t="n">
        <f aca="false">YEAR(B8109)</f>
        <v>2024</v>
      </c>
      <c r="M8109" s="20" t="n">
        <f aca="false">IF(J8109&gt;0,K8109/J8109,0)</f>
        <v>-0.185250069838684</v>
      </c>
    </row>
    <row r="8110" customFormat="false" ht="15" hidden="false" customHeight="false" outlineLevel="0" collapsed="false">
      <c r="A8110" s="15" t="s">
        <v>8167</v>
      </c>
      <c r="B8110" s="16" t="n">
        <v>45186</v>
      </c>
      <c r="C8110" s="15" t="s">
        <v>56</v>
      </c>
      <c r="D8110" s="15" t="s">
        <v>43</v>
      </c>
      <c r="E8110" s="15" t="s">
        <v>37</v>
      </c>
      <c r="F8110" s="15" t="s">
        <v>17</v>
      </c>
      <c r="G8110" s="15" t="s">
        <v>29</v>
      </c>
      <c r="H8110" s="15" t="n">
        <v>2</v>
      </c>
      <c r="I8110" s="17" t="n">
        <v>0</v>
      </c>
      <c r="J8110" s="18" t="n">
        <v>38.78</v>
      </c>
      <c r="K8110" s="19" t="n">
        <v>13.68</v>
      </c>
      <c r="L8110" s="15" t="n">
        <f aca="false">YEAR(B8110)</f>
        <v>2023</v>
      </c>
      <c r="M8110" s="20" t="n">
        <f aca="false">IF(J8110&gt;0,K8110/J8110,0)</f>
        <v>0.352759154203198</v>
      </c>
    </row>
    <row r="8111" customFormat="false" ht="15" hidden="false" customHeight="false" outlineLevel="0" collapsed="false">
      <c r="A8111" s="15" t="s">
        <v>8168</v>
      </c>
      <c r="B8111" s="16" t="n">
        <v>45080</v>
      </c>
      <c r="C8111" s="15" t="s">
        <v>71</v>
      </c>
      <c r="D8111" s="15" t="s">
        <v>44</v>
      </c>
      <c r="E8111" s="15" t="s">
        <v>37</v>
      </c>
      <c r="F8111" s="15" t="s">
        <v>17</v>
      </c>
      <c r="G8111" s="15" t="s">
        <v>28</v>
      </c>
      <c r="H8111" s="15" t="n">
        <v>2</v>
      </c>
      <c r="I8111" s="17" t="n">
        <v>0.1</v>
      </c>
      <c r="J8111" s="18" t="n">
        <v>45.62</v>
      </c>
      <c r="K8111" s="19" t="n">
        <v>8.81</v>
      </c>
      <c r="L8111" s="15" t="n">
        <f aca="false">YEAR(B8111)</f>
        <v>2023</v>
      </c>
      <c r="M8111" s="20" t="n">
        <f aca="false">IF(J8111&gt;0,K8111/J8111,0)</f>
        <v>0.193117053923718</v>
      </c>
    </row>
    <row r="8112" customFormat="false" ht="15" hidden="false" customHeight="false" outlineLevel="0" collapsed="false">
      <c r="A8112" s="15" t="s">
        <v>8169</v>
      </c>
      <c r="B8112" s="16" t="n">
        <v>45141</v>
      </c>
      <c r="C8112" s="15" t="s">
        <v>56</v>
      </c>
      <c r="D8112" s="15" t="s">
        <v>42</v>
      </c>
      <c r="E8112" s="15" t="s">
        <v>37</v>
      </c>
      <c r="F8112" s="15" t="s">
        <v>16</v>
      </c>
      <c r="G8112" s="15" t="s">
        <v>27</v>
      </c>
      <c r="H8112" s="15" t="n">
        <v>3</v>
      </c>
      <c r="I8112" s="17" t="n">
        <v>0.3</v>
      </c>
      <c r="J8112" s="18" t="n">
        <v>94.23</v>
      </c>
      <c r="K8112" s="19" t="n">
        <v>-1.49</v>
      </c>
      <c r="L8112" s="15" t="n">
        <f aca="false">YEAR(B8112)</f>
        <v>2023</v>
      </c>
      <c r="M8112" s="20" t="n">
        <f aca="false">IF(J8112&gt;0,K8112/J8112,0)</f>
        <v>-0.0158123739785631</v>
      </c>
    </row>
    <row r="8113" customFormat="false" ht="15" hidden="false" customHeight="false" outlineLevel="0" collapsed="false">
      <c r="A8113" s="15" t="s">
        <v>8170</v>
      </c>
      <c r="B8113" s="16" t="n">
        <v>45611</v>
      </c>
      <c r="C8113" s="15" t="s">
        <v>56</v>
      </c>
      <c r="D8113" s="15" t="s">
        <v>42</v>
      </c>
      <c r="E8113" s="15" t="s">
        <v>37</v>
      </c>
      <c r="F8113" s="15" t="s">
        <v>18</v>
      </c>
      <c r="G8113" s="15" t="s">
        <v>30</v>
      </c>
      <c r="H8113" s="15" t="n">
        <v>3</v>
      </c>
      <c r="I8113" s="17" t="n">
        <v>0.05</v>
      </c>
      <c r="J8113" s="18" t="n">
        <v>127.4</v>
      </c>
      <c r="K8113" s="19" t="n">
        <v>41.9</v>
      </c>
      <c r="L8113" s="15" t="n">
        <f aca="false">YEAR(B8113)</f>
        <v>2024</v>
      </c>
      <c r="M8113" s="20" t="n">
        <f aca="false">IF(J8113&gt;0,K8113/J8113,0)</f>
        <v>0.328885400313972</v>
      </c>
    </row>
    <row r="8114" customFormat="false" ht="15" hidden="false" customHeight="false" outlineLevel="0" collapsed="false">
      <c r="A8114" s="15" t="s">
        <v>8171</v>
      </c>
      <c r="B8114" s="16" t="n">
        <v>45208</v>
      </c>
      <c r="C8114" s="15" t="s">
        <v>56</v>
      </c>
      <c r="D8114" s="15" t="s">
        <v>42</v>
      </c>
      <c r="E8114" s="15" t="s">
        <v>36</v>
      </c>
      <c r="F8114" s="15" t="s">
        <v>18</v>
      </c>
      <c r="G8114" s="15" t="s">
        <v>30</v>
      </c>
      <c r="H8114" s="15" t="n">
        <v>3</v>
      </c>
      <c r="I8114" s="17" t="n">
        <v>0.05</v>
      </c>
      <c r="J8114" s="18" t="n">
        <v>100.26</v>
      </c>
      <c r="K8114" s="19" t="n">
        <v>24.69</v>
      </c>
      <c r="L8114" s="15" t="n">
        <f aca="false">YEAR(B8114)</f>
        <v>2023</v>
      </c>
      <c r="M8114" s="20" t="n">
        <f aca="false">IF(J8114&gt;0,K8114/J8114,0)</f>
        <v>0.246259724715739</v>
      </c>
    </row>
    <row r="8115" customFormat="false" ht="15" hidden="false" customHeight="false" outlineLevel="0" collapsed="false">
      <c r="A8115" s="15" t="s">
        <v>8172</v>
      </c>
      <c r="B8115" s="16" t="n">
        <v>45315</v>
      </c>
      <c r="C8115" s="15" t="s">
        <v>56</v>
      </c>
      <c r="D8115" s="15" t="s">
        <v>43</v>
      </c>
      <c r="E8115" s="15" t="s">
        <v>37</v>
      </c>
      <c r="F8115" s="15" t="s">
        <v>17</v>
      </c>
      <c r="G8115" s="15" t="s">
        <v>26</v>
      </c>
      <c r="H8115" s="15" t="n">
        <v>3</v>
      </c>
      <c r="I8115" s="17" t="n">
        <v>0</v>
      </c>
      <c r="J8115" s="18" t="n">
        <v>318.28</v>
      </c>
      <c r="K8115" s="19" t="n">
        <v>41.35</v>
      </c>
      <c r="L8115" s="15" t="n">
        <f aca="false">YEAR(B8115)</f>
        <v>2024</v>
      </c>
      <c r="M8115" s="20" t="n">
        <f aca="false">IF(J8115&gt;0,K8115/J8115,0)</f>
        <v>0.129917054166143</v>
      </c>
    </row>
    <row r="8116" customFormat="false" ht="15" hidden="false" customHeight="false" outlineLevel="0" collapsed="false">
      <c r="A8116" s="15" t="s">
        <v>8173</v>
      </c>
      <c r="B8116" s="16" t="n">
        <v>45593</v>
      </c>
      <c r="C8116" s="15" t="s">
        <v>56</v>
      </c>
      <c r="D8116" s="15" t="s">
        <v>44</v>
      </c>
      <c r="E8116" s="15" t="s">
        <v>37</v>
      </c>
      <c r="F8116" s="15" t="s">
        <v>18</v>
      </c>
      <c r="G8116" s="15" t="s">
        <v>32</v>
      </c>
      <c r="H8116" s="15" t="n">
        <v>2</v>
      </c>
      <c r="I8116" s="17" t="n">
        <v>0</v>
      </c>
      <c r="J8116" s="18" t="n">
        <v>862.52</v>
      </c>
      <c r="K8116" s="19" t="n">
        <v>168.31</v>
      </c>
      <c r="L8116" s="15" t="n">
        <f aca="false">YEAR(B8116)</f>
        <v>2024</v>
      </c>
      <c r="M8116" s="20" t="n">
        <f aca="false">IF(J8116&gt;0,K8116/J8116,0)</f>
        <v>0.195137504057877</v>
      </c>
    </row>
    <row r="8117" customFormat="false" ht="15" hidden="false" customHeight="false" outlineLevel="0" collapsed="false">
      <c r="A8117" s="15" t="s">
        <v>8174</v>
      </c>
      <c r="B8117" s="16" t="n">
        <v>44992</v>
      </c>
      <c r="C8117" s="15" t="s">
        <v>68</v>
      </c>
      <c r="D8117" s="15" t="s">
        <v>43</v>
      </c>
      <c r="E8117" s="15" t="s">
        <v>37</v>
      </c>
      <c r="F8117" s="15" t="s">
        <v>18</v>
      </c>
      <c r="G8117" s="15" t="s">
        <v>30</v>
      </c>
      <c r="H8117" s="15" t="n">
        <v>3</v>
      </c>
      <c r="I8117" s="17" t="n">
        <v>0</v>
      </c>
      <c r="J8117" s="18" t="n">
        <v>153.66</v>
      </c>
      <c r="K8117" s="19" t="n">
        <v>53.45</v>
      </c>
      <c r="L8117" s="15" t="n">
        <f aca="false">YEAR(B8117)</f>
        <v>2023</v>
      </c>
      <c r="M8117" s="20" t="n">
        <f aca="false">IF(J8117&gt;0,K8117/J8117,0)</f>
        <v>0.347845893531173</v>
      </c>
    </row>
    <row r="8118" customFormat="false" ht="15" hidden="false" customHeight="false" outlineLevel="0" collapsed="false">
      <c r="A8118" s="15" t="s">
        <v>8175</v>
      </c>
      <c r="B8118" s="16" t="n">
        <v>45835</v>
      </c>
      <c r="C8118" s="15" t="s">
        <v>56</v>
      </c>
      <c r="D8118" s="15" t="s">
        <v>42</v>
      </c>
      <c r="E8118" s="15" t="s">
        <v>39</v>
      </c>
      <c r="F8118" s="15" t="s">
        <v>17</v>
      </c>
      <c r="G8118" s="15" t="s">
        <v>29</v>
      </c>
      <c r="H8118" s="15" t="n">
        <v>5</v>
      </c>
      <c r="I8118" s="17" t="n">
        <v>0.15</v>
      </c>
      <c r="J8118" s="18" t="n">
        <v>74.87</v>
      </c>
      <c r="K8118" s="19" t="n">
        <v>23.27</v>
      </c>
      <c r="L8118" s="15" t="n">
        <f aca="false">YEAR(B8118)</f>
        <v>2025</v>
      </c>
      <c r="M8118" s="20" t="n">
        <f aca="false">IF(J8118&gt;0,K8118/J8118,0)</f>
        <v>0.310805396019768</v>
      </c>
    </row>
    <row r="8119" customFormat="false" ht="15" hidden="false" customHeight="false" outlineLevel="0" collapsed="false">
      <c r="A8119" s="15" t="s">
        <v>8176</v>
      </c>
      <c r="B8119" s="16" t="n">
        <v>44925</v>
      </c>
      <c r="C8119" s="15" t="s">
        <v>56</v>
      </c>
      <c r="D8119" s="15" t="s">
        <v>44</v>
      </c>
      <c r="E8119" s="15" t="s">
        <v>36</v>
      </c>
      <c r="F8119" s="15" t="s">
        <v>16</v>
      </c>
      <c r="G8119" s="15" t="s">
        <v>22</v>
      </c>
      <c r="H8119" s="15" t="n">
        <v>5</v>
      </c>
      <c r="I8119" s="17" t="n">
        <v>0.3</v>
      </c>
      <c r="J8119" s="18" t="n">
        <v>2162.38</v>
      </c>
      <c r="K8119" s="19" t="n">
        <v>-676.89</v>
      </c>
      <c r="L8119" s="15" t="n">
        <f aca="false">YEAR(B8119)</f>
        <v>2022</v>
      </c>
      <c r="M8119" s="20" t="n">
        <f aca="false">IF(J8119&gt;0,K8119/J8119,0)</f>
        <v>-0.313030087218713</v>
      </c>
    </row>
    <row r="8120" customFormat="false" ht="15" hidden="false" customHeight="false" outlineLevel="0" collapsed="false">
      <c r="A8120" s="15" t="s">
        <v>8177</v>
      </c>
      <c r="B8120" s="16" t="n">
        <v>44755</v>
      </c>
      <c r="C8120" s="15" t="s">
        <v>71</v>
      </c>
      <c r="D8120" s="15" t="s">
        <v>43</v>
      </c>
      <c r="E8120" s="15" t="s">
        <v>38</v>
      </c>
      <c r="F8120" s="15" t="s">
        <v>18</v>
      </c>
      <c r="G8120" s="15" t="s">
        <v>32</v>
      </c>
      <c r="H8120" s="15" t="n">
        <v>6</v>
      </c>
      <c r="I8120" s="17" t="n">
        <v>0.2</v>
      </c>
      <c r="J8120" s="18" t="n">
        <v>1627.88</v>
      </c>
      <c r="K8120" s="19" t="n">
        <v>10.52</v>
      </c>
      <c r="L8120" s="15" t="n">
        <f aca="false">YEAR(B8120)</f>
        <v>2022</v>
      </c>
      <c r="M8120" s="20" t="n">
        <f aca="false">IF(J8120&gt;0,K8120/J8120,0)</f>
        <v>0.00646239280536649</v>
      </c>
    </row>
    <row r="8121" customFormat="false" ht="15" hidden="false" customHeight="false" outlineLevel="0" collapsed="false">
      <c r="A8121" s="15" t="s">
        <v>8178</v>
      </c>
      <c r="B8121" s="16" t="n">
        <v>45837</v>
      </c>
      <c r="C8121" s="15" t="s">
        <v>56</v>
      </c>
      <c r="D8121" s="15" t="s">
        <v>43</v>
      </c>
      <c r="E8121" s="15" t="s">
        <v>38</v>
      </c>
      <c r="F8121" s="15" t="s">
        <v>16</v>
      </c>
      <c r="G8121" s="15" t="s">
        <v>22</v>
      </c>
      <c r="H8121" s="15" t="n">
        <v>4</v>
      </c>
      <c r="I8121" s="17" t="n">
        <v>0.05</v>
      </c>
      <c r="J8121" s="18" t="n">
        <v>1840.87</v>
      </c>
      <c r="K8121" s="19" t="n">
        <v>-208.12</v>
      </c>
      <c r="L8121" s="15" t="n">
        <f aca="false">YEAR(B8121)</f>
        <v>2025</v>
      </c>
      <c r="M8121" s="20" t="n">
        <f aca="false">IF(J8121&gt;0,K8121/J8121,0)</f>
        <v>-0.113055240185347</v>
      </c>
    </row>
    <row r="8122" customFormat="false" ht="15" hidden="false" customHeight="false" outlineLevel="0" collapsed="false">
      <c r="A8122" s="15" t="s">
        <v>8179</v>
      </c>
      <c r="B8122" s="16" t="n">
        <v>44954</v>
      </c>
      <c r="C8122" s="15" t="s">
        <v>56</v>
      </c>
      <c r="D8122" s="15" t="s">
        <v>42</v>
      </c>
      <c r="E8122" s="15" t="s">
        <v>38</v>
      </c>
      <c r="F8122" s="15" t="s">
        <v>17</v>
      </c>
      <c r="G8122" s="15" t="s">
        <v>31</v>
      </c>
      <c r="H8122" s="15" t="n">
        <v>8</v>
      </c>
      <c r="I8122" s="17" t="n">
        <v>0</v>
      </c>
      <c r="J8122" s="18" t="n">
        <v>1101.13</v>
      </c>
      <c r="K8122" s="19" t="n">
        <v>256.64</v>
      </c>
      <c r="L8122" s="15" t="n">
        <f aca="false">YEAR(B8122)</f>
        <v>2023</v>
      </c>
      <c r="M8122" s="20" t="n">
        <f aca="false">IF(J8122&gt;0,K8122/J8122,0)</f>
        <v>0.233069664798888</v>
      </c>
    </row>
    <row r="8123" customFormat="false" ht="15" hidden="false" customHeight="false" outlineLevel="0" collapsed="false">
      <c r="A8123" s="15" t="s">
        <v>8180</v>
      </c>
      <c r="B8123" s="16" t="n">
        <v>45750</v>
      </c>
      <c r="C8123" s="15" t="s">
        <v>71</v>
      </c>
      <c r="D8123" s="15" t="s">
        <v>42</v>
      </c>
      <c r="E8123" s="15" t="s">
        <v>37</v>
      </c>
      <c r="F8123" s="15" t="s">
        <v>18</v>
      </c>
      <c r="G8123" s="15" t="s">
        <v>32</v>
      </c>
      <c r="H8123" s="15" t="n">
        <v>2</v>
      </c>
      <c r="I8123" s="17" t="n">
        <v>0.4</v>
      </c>
      <c r="J8123" s="18" t="n">
        <v>548.61</v>
      </c>
      <c r="K8123" s="19" t="n">
        <v>-136.21</v>
      </c>
      <c r="L8123" s="15" t="n">
        <f aca="false">YEAR(B8123)</f>
        <v>2025</v>
      </c>
      <c r="M8123" s="20" t="n">
        <f aca="false">IF(J8123&gt;0,K8123/J8123,0)</f>
        <v>-0.248282021837006</v>
      </c>
    </row>
    <row r="8124" customFormat="false" ht="15" hidden="false" customHeight="false" outlineLevel="0" collapsed="false">
      <c r="A8124" s="15" t="s">
        <v>8181</v>
      </c>
      <c r="B8124" s="16" t="n">
        <v>45094</v>
      </c>
      <c r="C8124" s="15" t="s">
        <v>71</v>
      </c>
      <c r="D8124" s="15" t="s">
        <v>43</v>
      </c>
      <c r="E8124" s="15" t="s">
        <v>37</v>
      </c>
      <c r="F8124" s="15" t="s">
        <v>18</v>
      </c>
      <c r="G8124" s="15" t="s">
        <v>32</v>
      </c>
      <c r="H8124" s="15" t="n">
        <v>4</v>
      </c>
      <c r="I8124" s="17" t="n">
        <v>0</v>
      </c>
      <c r="J8124" s="18" t="n">
        <v>1893.96</v>
      </c>
      <c r="K8124" s="19" t="n">
        <v>267.95</v>
      </c>
      <c r="L8124" s="15" t="n">
        <f aca="false">YEAR(B8124)</f>
        <v>2023</v>
      </c>
      <c r="M8124" s="20" t="n">
        <f aca="false">IF(J8124&gt;0,K8124/J8124,0)</f>
        <v>0.141476060740459</v>
      </c>
    </row>
    <row r="8125" customFormat="false" ht="15" hidden="false" customHeight="false" outlineLevel="0" collapsed="false">
      <c r="A8125" s="15" t="s">
        <v>8182</v>
      </c>
      <c r="B8125" s="16" t="n">
        <v>44587</v>
      </c>
      <c r="C8125" s="15" t="s">
        <v>56</v>
      </c>
      <c r="D8125" s="15" t="s">
        <v>42</v>
      </c>
      <c r="E8125" s="15" t="s">
        <v>37</v>
      </c>
      <c r="F8125" s="15" t="s">
        <v>18</v>
      </c>
      <c r="G8125" s="15" t="s">
        <v>24</v>
      </c>
      <c r="H8125" s="15" t="n">
        <v>3</v>
      </c>
      <c r="I8125" s="17" t="n">
        <v>0.2</v>
      </c>
      <c r="J8125" s="18" t="n">
        <v>1503.27</v>
      </c>
      <c r="K8125" s="19" t="n">
        <v>-240.66</v>
      </c>
      <c r="L8125" s="15" t="n">
        <f aca="false">YEAR(B8125)</f>
        <v>2022</v>
      </c>
      <c r="M8125" s="20" t="n">
        <f aca="false">IF(J8125&gt;0,K8125/J8125,0)</f>
        <v>-0.160091001616476</v>
      </c>
    </row>
    <row r="8126" customFormat="false" ht="15" hidden="false" customHeight="false" outlineLevel="0" collapsed="false">
      <c r="A8126" s="15" t="s">
        <v>8183</v>
      </c>
      <c r="B8126" s="16" t="n">
        <v>45854</v>
      </c>
      <c r="C8126" s="15" t="s">
        <v>56</v>
      </c>
      <c r="D8126" s="15" t="s">
        <v>42</v>
      </c>
      <c r="E8126" s="15" t="s">
        <v>38</v>
      </c>
      <c r="F8126" s="15" t="s">
        <v>16</v>
      </c>
      <c r="G8126" s="15" t="s">
        <v>27</v>
      </c>
      <c r="H8126" s="15" t="n">
        <v>5</v>
      </c>
      <c r="I8126" s="17" t="n">
        <v>0</v>
      </c>
      <c r="J8126" s="18" t="n">
        <v>253.34</v>
      </c>
      <c r="K8126" s="19" t="n">
        <v>54.85</v>
      </c>
      <c r="L8126" s="15" t="n">
        <f aca="false">YEAR(B8126)</f>
        <v>2025</v>
      </c>
      <c r="M8126" s="20" t="n">
        <f aca="false">IF(J8126&gt;0,K8126/J8126,0)</f>
        <v>0.216507460329991</v>
      </c>
    </row>
    <row r="8127" customFormat="false" ht="15" hidden="false" customHeight="false" outlineLevel="0" collapsed="false">
      <c r="A8127" s="15" t="s">
        <v>8184</v>
      </c>
      <c r="B8127" s="16" t="n">
        <v>45340</v>
      </c>
      <c r="C8127" s="15" t="s">
        <v>68</v>
      </c>
      <c r="D8127" s="15" t="s">
        <v>42</v>
      </c>
      <c r="E8127" s="15" t="s">
        <v>39</v>
      </c>
      <c r="F8127" s="15" t="s">
        <v>16</v>
      </c>
      <c r="G8127" s="15" t="s">
        <v>23</v>
      </c>
      <c r="H8127" s="15" t="n">
        <v>3</v>
      </c>
      <c r="I8127" s="17" t="n">
        <v>0.1</v>
      </c>
      <c r="J8127" s="18" t="n">
        <v>911.5</v>
      </c>
      <c r="K8127" s="19" t="n">
        <v>-68.93</v>
      </c>
      <c r="L8127" s="15" t="n">
        <f aca="false">YEAR(B8127)</f>
        <v>2024</v>
      </c>
      <c r="M8127" s="20" t="n">
        <f aca="false">IF(J8127&gt;0,K8127/J8127,0)</f>
        <v>-0.0756226001097093</v>
      </c>
    </row>
    <row r="8128" customFormat="false" ht="15" hidden="false" customHeight="false" outlineLevel="0" collapsed="false">
      <c r="A8128" s="15" t="s">
        <v>8185</v>
      </c>
      <c r="B8128" s="16" t="n">
        <v>45266</v>
      </c>
      <c r="C8128" s="15" t="s">
        <v>56</v>
      </c>
      <c r="D8128" s="15" t="s">
        <v>42</v>
      </c>
      <c r="E8128" s="15" t="s">
        <v>38</v>
      </c>
      <c r="F8128" s="15" t="s">
        <v>18</v>
      </c>
      <c r="G8128" s="15" t="s">
        <v>24</v>
      </c>
      <c r="H8128" s="15" t="n">
        <v>3</v>
      </c>
      <c r="I8128" s="17" t="n">
        <v>0.4</v>
      </c>
      <c r="J8128" s="18" t="n">
        <v>1081.83</v>
      </c>
      <c r="K8128" s="19" t="n">
        <v>-283.6</v>
      </c>
      <c r="L8128" s="15" t="n">
        <f aca="false">YEAR(B8128)</f>
        <v>2023</v>
      </c>
      <c r="M8128" s="20" t="n">
        <f aca="false">IF(J8128&gt;0,K8128/J8128,0)</f>
        <v>-0.262148396698187</v>
      </c>
    </row>
    <row r="8129" customFormat="false" ht="15" hidden="false" customHeight="false" outlineLevel="0" collapsed="false">
      <c r="A8129" s="15" t="s">
        <v>8186</v>
      </c>
      <c r="B8129" s="16" t="n">
        <v>45137</v>
      </c>
      <c r="C8129" s="15" t="s">
        <v>56</v>
      </c>
      <c r="D8129" s="15" t="s">
        <v>44</v>
      </c>
      <c r="E8129" s="15" t="s">
        <v>39</v>
      </c>
      <c r="F8129" s="15" t="s">
        <v>18</v>
      </c>
      <c r="G8129" s="15" t="s">
        <v>30</v>
      </c>
      <c r="H8129" s="15" t="n">
        <v>4</v>
      </c>
      <c r="I8129" s="17" t="n">
        <v>0.05</v>
      </c>
      <c r="J8129" s="18" t="n">
        <v>146.54</v>
      </c>
      <c r="K8129" s="19" t="n">
        <v>27.86</v>
      </c>
      <c r="L8129" s="15" t="n">
        <f aca="false">YEAR(B8129)</f>
        <v>2023</v>
      </c>
      <c r="M8129" s="20" t="n">
        <f aca="false">IF(J8129&gt;0,K8129/J8129,0)</f>
        <v>0.190118738910878</v>
      </c>
    </row>
    <row r="8130" customFormat="false" ht="15" hidden="false" customHeight="false" outlineLevel="0" collapsed="false">
      <c r="A8130" s="15" t="s">
        <v>8187</v>
      </c>
      <c r="B8130" s="16" t="n">
        <v>45040</v>
      </c>
      <c r="C8130" s="15" t="s">
        <v>71</v>
      </c>
      <c r="D8130" s="15" t="s">
        <v>42</v>
      </c>
      <c r="E8130" s="15" t="s">
        <v>39</v>
      </c>
      <c r="F8130" s="15" t="s">
        <v>16</v>
      </c>
      <c r="G8130" s="15" t="s">
        <v>27</v>
      </c>
      <c r="H8130" s="15" t="n">
        <v>6</v>
      </c>
      <c r="I8130" s="17" t="n">
        <v>0.2</v>
      </c>
      <c r="J8130" s="18" t="n">
        <v>285.64</v>
      </c>
      <c r="K8130" s="19" t="n">
        <v>4.41</v>
      </c>
      <c r="L8130" s="15" t="n">
        <f aca="false">YEAR(B8130)</f>
        <v>2023</v>
      </c>
      <c r="M8130" s="20" t="n">
        <f aca="false">IF(J8130&gt;0,K8130/J8130,0)</f>
        <v>0.0154390141436774</v>
      </c>
    </row>
    <row r="8131" customFormat="false" ht="15" hidden="false" customHeight="false" outlineLevel="0" collapsed="false">
      <c r="A8131" s="15" t="s">
        <v>8188</v>
      </c>
      <c r="B8131" s="16" t="n">
        <v>46004</v>
      </c>
      <c r="C8131" s="15" t="s">
        <v>58</v>
      </c>
      <c r="D8131" s="15" t="s">
        <v>42</v>
      </c>
      <c r="E8131" s="15" t="s">
        <v>39</v>
      </c>
      <c r="F8131" s="15" t="s">
        <v>18</v>
      </c>
      <c r="G8131" s="15" t="s">
        <v>30</v>
      </c>
      <c r="H8131" s="15" t="n">
        <v>3</v>
      </c>
      <c r="I8131" s="17" t="n">
        <v>0</v>
      </c>
      <c r="J8131" s="18" t="n">
        <v>157.73</v>
      </c>
      <c r="K8131" s="19" t="n">
        <v>43.06</v>
      </c>
      <c r="L8131" s="15" t="n">
        <f aca="false">YEAR(B8131)</f>
        <v>2025</v>
      </c>
      <c r="M8131" s="20" t="n">
        <f aca="false">IF(J8131&gt;0,K8131/J8131,0)</f>
        <v>0.272998161415076</v>
      </c>
    </row>
    <row r="8132" customFormat="false" ht="15" hidden="false" customHeight="false" outlineLevel="0" collapsed="false">
      <c r="A8132" s="15" t="s">
        <v>8189</v>
      </c>
      <c r="B8132" s="16" t="n">
        <v>45996</v>
      </c>
      <c r="C8132" s="15" t="s">
        <v>56</v>
      </c>
      <c r="D8132" s="15" t="s">
        <v>42</v>
      </c>
      <c r="E8132" s="15" t="s">
        <v>39</v>
      </c>
      <c r="F8132" s="15" t="s">
        <v>18</v>
      </c>
      <c r="G8132" s="15" t="s">
        <v>32</v>
      </c>
      <c r="H8132" s="15" t="n">
        <v>2</v>
      </c>
      <c r="I8132" s="17" t="n">
        <v>0</v>
      </c>
      <c r="J8132" s="18" t="n">
        <v>943.59</v>
      </c>
      <c r="K8132" s="19" t="n">
        <v>142.19</v>
      </c>
      <c r="L8132" s="15" t="n">
        <f aca="false">YEAR(B8132)</f>
        <v>2025</v>
      </c>
      <c r="M8132" s="20" t="n">
        <f aca="false">IF(J8132&gt;0,K8132/J8132,0)</f>
        <v>0.150690448181943</v>
      </c>
    </row>
    <row r="8133" customFormat="false" ht="15" hidden="false" customHeight="false" outlineLevel="0" collapsed="false">
      <c r="A8133" s="15" t="s">
        <v>8190</v>
      </c>
      <c r="B8133" s="16" t="n">
        <v>45832</v>
      </c>
      <c r="C8133" s="15" t="s">
        <v>68</v>
      </c>
      <c r="D8133" s="15" t="s">
        <v>43</v>
      </c>
      <c r="E8133" s="15" t="s">
        <v>39</v>
      </c>
      <c r="F8133" s="15" t="s">
        <v>18</v>
      </c>
      <c r="G8133" s="15" t="s">
        <v>30</v>
      </c>
      <c r="H8133" s="15" t="n">
        <v>6</v>
      </c>
      <c r="I8133" s="17" t="n">
        <v>0</v>
      </c>
      <c r="J8133" s="18" t="n">
        <v>272.48</v>
      </c>
      <c r="K8133" s="19" t="n">
        <v>83.75</v>
      </c>
      <c r="L8133" s="15" t="n">
        <f aca="false">YEAR(B8133)</f>
        <v>2025</v>
      </c>
      <c r="M8133" s="20" t="n">
        <f aca="false">IF(J8133&gt;0,K8133/J8133,0)</f>
        <v>0.307362008220787</v>
      </c>
    </row>
    <row r="8134" customFormat="false" ht="15" hidden="false" customHeight="false" outlineLevel="0" collapsed="false">
      <c r="A8134" s="15" t="s">
        <v>8191</v>
      </c>
      <c r="B8134" s="16" t="n">
        <v>45973</v>
      </c>
      <c r="C8134" s="15" t="s">
        <v>56</v>
      </c>
      <c r="D8134" s="15" t="s">
        <v>42</v>
      </c>
      <c r="E8134" s="15" t="s">
        <v>39</v>
      </c>
      <c r="F8134" s="15" t="s">
        <v>17</v>
      </c>
      <c r="G8134" s="15" t="s">
        <v>28</v>
      </c>
      <c r="H8134" s="15" t="n">
        <v>3</v>
      </c>
      <c r="I8134" s="17" t="n">
        <v>0.15</v>
      </c>
      <c r="J8134" s="18" t="n">
        <v>81.46</v>
      </c>
      <c r="K8134" s="19" t="n">
        <v>13.29</v>
      </c>
      <c r="L8134" s="15" t="n">
        <f aca="false">YEAR(B8134)</f>
        <v>2025</v>
      </c>
      <c r="M8134" s="20" t="n">
        <f aca="false">IF(J8134&gt;0,K8134/J8134,0)</f>
        <v>0.163147557083231</v>
      </c>
    </row>
    <row r="8135" customFormat="false" ht="15" hidden="false" customHeight="false" outlineLevel="0" collapsed="false">
      <c r="A8135" s="15" t="s">
        <v>8192</v>
      </c>
      <c r="B8135" s="16" t="n">
        <v>45190</v>
      </c>
      <c r="C8135" s="15" t="s">
        <v>56</v>
      </c>
      <c r="D8135" s="15" t="s">
        <v>42</v>
      </c>
      <c r="E8135" s="15" t="s">
        <v>39</v>
      </c>
      <c r="F8135" s="15" t="s">
        <v>17</v>
      </c>
      <c r="G8135" s="15" t="s">
        <v>26</v>
      </c>
      <c r="H8135" s="15" t="n">
        <v>6</v>
      </c>
      <c r="I8135" s="17" t="n">
        <v>0.15</v>
      </c>
      <c r="J8135" s="18" t="n">
        <v>405.21</v>
      </c>
      <c r="K8135" s="19" t="n">
        <v>-29.21</v>
      </c>
      <c r="L8135" s="15" t="n">
        <f aca="false">YEAR(B8135)</f>
        <v>2023</v>
      </c>
      <c r="M8135" s="20" t="n">
        <f aca="false">IF(J8135&gt;0,K8135/J8135,0)</f>
        <v>-0.0720860788233262</v>
      </c>
    </row>
    <row r="8136" customFormat="false" ht="15" hidden="false" customHeight="false" outlineLevel="0" collapsed="false">
      <c r="A8136" s="15" t="s">
        <v>8193</v>
      </c>
      <c r="B8136" s="16" t="n">
        <v>45633</v>
      </c>
      <c r="C8136" s="15" t="s">
        <v>58</v>
      </c>
      <c r="D8136" s="15" t="s">
        <v>42</v>
      </c>
      <c r="E8136" s="15" t="s">
        <v>36</v>
      </c>
      <c r="F8136" s="15" t="s">
        <v>17</v>
      </c>
      <c r="G8136" s="15" t="s">
        <v>29</v>
      </c>
      <c r="H8136" s="15" t="n">
        <v>5</v>
      </c>
      <c r="I8136" s="17" t="n">
        <v>0</v>
      </c>
      <c r="J8136" s="18" t="n">
        <v>77.79</v>
      </c>
      <c r="K8136" s="19" t="n">
        <v>30.11</v>
      </c>
      <c r="L8136" s="15" t="n">
        <f aca="false">YEAR(B8136)</f>
        <v>2024</v>
      </c>
      <c r="M8136" s="20" t="n">
        <f aca="false">IF(J8136&gt;0,K8136/J8136,0)</f>
        <v>0.387067746496979</v>
      </c>
    </row>
    <row r="8137" customFormat="false" ht="15" hidden="false" customHeight="false" outlineLevel="0" collapsed="false">
      <c r="A8137" s="15" t="s">
        <v>8194</v>
      </c>
      <c r="B8137" s="16" t="n">
        <v>45897</v>
      </c>
      <c r="C8137" s="15" t="s">
        <v>56</v>
      </c>
      <c r="D8137" s="15" t="s">
        <v>42</v>
      </c>
      <c r="E8137" s="15" t="s">
        <v>37</v>
      </c>
      <c r="F8137" s="15" t="s">
        <v>18</v>
      </c>
      <c r="G8137" s="15" t="s">
        <v>30</v>
      </c>
      <c r="H8137" s="15" t="n">
        <v>5</v>
      </c>
      <c r="I8137" s="17" t="n">
        <v>0.1</v>
      </c>
      <c r="J8137" s="18" t="n">
        <v>213.14</v>
      </c>
      <c r="K8137" s="19" t="n">
        <v>33.39</v>
      </c>
      <c r="L8137" s="15" t="n">
        <f aca="false">YEAR(B8137)</f>
        <v>2025</v>
      </c>
      <c r="M8137" s="20" t="n">
        <f aca="false">IF(J8137&gt;0,K8137/J8137,0)</f>
        <v>0.156657595946326</v>
      </c>
    </row>
    <row r="8138" customFormat="false" ht="15" hidden="false" customHeight="false" outlineLevel="0" collapsed="false">
      <c r="A8138" s="15" t="s">
        <v>8195</v>
      </c>
      <c r="B8138" s="16" t="n">
        <v>45781</v>
      </c>
      <c r="C8138" s="15" t="s">
        <v>68</v>
      </c>
      <c r="D8138" s="15" t="s">
        <v>43</v>
      </c>
      <c r="E8138" s="15" t="s">
        <v>39</v>
      </c>
      <c r="F8138" s="15" t="s">
        <v>17</v>
      </c>
      <c r="G8138" s="15" t="s">
        <v>31</v>
      </c>
      <c r="H8138" s="15" t="n">
        <v>4</v>
      </c>
      <c r="I8138" s="17" t="n">
        <v>0</v>
      </c>
      <c r="J8138" s="18" t="n">
        <v>522.4</v>
      </c>
      <c r="K8138" s="19" t="n">
        <v>81.41</v>
      </c>
      <c r="L8138" s="15" t="n">
        <f aca="false">YEAR(B8138)</f>
        <v>2025</v>
      </c>
      <c r="M8138" s="20" t="n">
        <f aca="false">IF(J8138&gt;0,K8138/J8138,0)</f>
        <v>0.15583843797856</v>
      </c>
    </row>
    <row r="8139" customFormat="false" ht="15" hidden="false" customHeight="false" outlineLevel="0" collapsed="false">
      <c r="A8139" s="15" t="s">
        <v>8196</v>
      </c>
      <c r="B8139" s="16" t="n">
        <v>45656</v>
      </c>
      <c r="C8139" s="15" t="s">
        <v>56</v>
      </c>
      <c r="D8139" s="15" t="s">
        <v>42</v>
      </c>
      <c r="E8139" s="15" t="s">
        <v>39</v>
      </c>
      <c r="F8139" s="15" t="s">
        <v>16</v>
      </c>
      <c r="G8139" s="15" t="s">
        <v>25</v>
      </c>
      <c r="H8139" s="15" t="n">
        <v>4</v>
      </c>
      <c r="I8139" s="17" t="n">
        <v>0.5</v>
      </c>
      <c r="J8139" s="18" t="n">
        <v>528.51</v>
      </c>
      <c r="K8139" s="19" t="n">
        <v>-187.63</v>
      </c>
      <c r="L8139" s="15" t="n">
        <f aca="false">YEAR(B8139)</f>
        <v>2024</v>
      </c>
      <c r="M8139" s="20" t="n">
        <f aca="false">IF(J8139&gt;0,K8139/J8139,0)</f>
        <v>-0.355016934400484</v>
      </c>
    </row>
    <row r="8140" customFormat="false" ht="15" hidden="false" customHeight="false" outlineLevel="0" collapsed="false">
      <c r="A8140" s="15" t="s">
        <v>8197</v>
      </c>
      <c r="B8140" s="16" t="n">
        <v>45615</v>
      </c>
      <c r="C8140" s="15" t="s">
        <v>71</v>
      </c>
      <c r="D8140" s="15" t="s">
        <v>42</v>
      </c>
      <c r="E8140" s="15" t="s">
        <v>37</v>
      </c>
      <c r="F8140" s="15" t="s">
        <v>17</v>
      </c>
      <c r="G8140" s="15" t="s">
        <v>28</v>
      </c>
      <c r="H8140" s="15" t="n">
        <v>3</v>
      </c>
      <c r="I8140" s="17" t="n">
        <v>0</v>
      </c>
      <c r="J8140" s="18" t="n">
        <v>78.49</v>
      </c>
      <c r="K8140" s="19" t="n">
        <v>26.88</v>
      </c>
      <c r="L8140" s="15" t="n">
        <f aca="false">YEAR(B8140)</f>
        <v>2024</v>
      </c>
      <c r="M8140" s="20" t="n">
        <f aca="false">IF(J8140&gt;0,K8140/J8140,0)</f>
        <v>0.342464008153905</v>
      </c>
    </row>
    <row r="8141" customFormat="false" ht="15" hidden="false" customHeight="false" outlineLevel="0" collapsed="false">
      <c r="A8141" s="15" t="s">
        <v>8198</v>
      </c>
      <c r="B8141" s="16" t="n">
        <v>45952</v>
      </c>
      <c r="C8141" s="15" t="s">
        <v>58</v>
      </c>
      <c r="D8141" s="15" t="s">
        <v>43</v>
      </c>
      <c r="E8141" s="15" t="s">
        <v>37</v>
      </c>
      <c r="F8141" s="15" t="s">
        <v>17</v>
      </c>
      <c r="G8141" s="15" t="s">
        <v>26</v>
      </c>
      <c r="H8141" s="15" t="n">
        <v>4</v>
      </c>
      <c r="I8141" s="17" t="n">
        <v>0.05</v>
      </c>
      <c r="J8141" s="18" t="n">
        <v>310.21</v>
      </c>
      <c r="K8141" s="19" t="n">
        <v>18.38</v>
      </c>
      <c r="L8141" s="15" t="n">
        <f aca="false">YEAR(B8141)</f>
        <v>2025</v>
      </c>
      <c r="M8141" s="20" t="n">
        <f aca="false">IF(J8141&gt;0,K8141/J8141,0)</f>
        <v>0.0592501853583057</v>
      </c>
    </row>
    <row r="8142" customFormat="false" ht="15" hidden="false" customHeight="false" outlineLevel="0" collapsed="false">
      <c r="A8142" s="15" t="s">
        <v>8199</v>
      </c>
      <c r="B8142" s="16" t="n">
        <v>45975</v>
      </c>
      <c r="C8142" s="15" t="s">
        <v>68</v>
      </c>
      <c r="D8142" s="15" t="s">
        <v>44</v>
      </c>
      <c r="E8142" s="15" t="s">
        <v>36</v>
      </c>
      <c r="F8142" s="15" t="s">
        <v>17</v>
      </c>
      <c r="G8142" s="15" t="s">
        <v>29</v>
      </c>
      <c r="H8142" s="15" t="n">
        <v>5</v>
      </c>
      <c r="I8142" s="17" t="n">
        <v>0</v>
      </c>
      <c r="J8142" s="18" t="n">
        <v>84.6</v>
      </c>
      <c r="K8142" s="19" t="n">
        <v>30.61</v>
      </c>
      <c r="L8142" s="15" t="n">
        <f aca="false">YEAR(B8142)</f>
        <v>2025</v>
      </c>
      <c r="M8142" s="20" t="n">
        <f aca="false">IF(J8142&gt;0,K8142/J8142,0)</f>
        <v>0.361820330969267</v>
      </c>
    </row>
    <row r="8143" customFormat="false" ht="15" hidden="false" customHeight="false" outlineLevel="0" collapsed="false">
      <c r="A8143" s="15" t="s">
        <v>8200</v>
      </c>
      <c r="B8143" s="16" t="n">
        <v>45817</v>
      </c>
      <c r="C8143" s="15" t="s">
        <v>68</v>
      </c>
      <c r="D8143" s="15" t="s">
        <v>43</v>
      </c>
      <c r="E8143" s="15" t="s">
        <v>39</v>
      </c>
      <c r="F8143" s="15" t="s">
        <v>17</v>
      </c>
      <c r="G8143" s="15" t="s">
        <v>28</v>
      </c>
      <c r="H8143" s="15" t="n">
        <v>2</v>
      </c>
      <c r="I8143" s="17" t="n">
        <v>0.15</v>
      </c>
      <c r="J8143" s="18" t="n">
        <v>55.76</v>
      </c>
      <c r="K8143" s="19" t="n">
        <v>8.86</v>
      </c>
      <c r="L8143" s="15" t="n">
        <f aca="false">YEAR(B8143)</f>
        <v>2025</v>
      </c>
      <c r="M8143" s="20" t="n">
        <f aca="false">IF(J8143&gt;0,K8143/J8143,0)</f>
        <v>0.158895265423242</v>
      </c>
    </row>
    <row r="8144" customFormat="false" ht="15" hidden="false" customHeight="false" outlineLevel="0" collapsed="false">
      <c r="A8144" s="15" t="s">
        <v>8201</v>
      </c>
      <c r="B8144" s="16" t="n">
        <v>45618</v>
      </c>
      <c r="C8144" s="15" t="s">
        <v>56</v>
      </c>
      <c r="D8144" s="15" t="s">
        <v>44</v>
      </c>
      <c r="E8144" s="15" t="s">
        <v>37</v>
      </c>
      <c r="F8144" s="15" t="s">
        <v>17</v>
      </c>
      <c r="G8144" s="15" t="s">
        <v>29</v>
      </c>
      <c r="H8144" s="15" t="n">
        <v>2</v>
      </c>
      <c r="I8144" s="17" t="n">
        <v>0.05</v>
      </c>
      <c r="J8144" s="18" t="n">
        <v>34.52</v>
      </c>
      <c r="K8144" s="19" t="n">
        <v>11.04</v>
      </c>
      <c r="L8144" s="15" t="n">
        <f aca="false">YEAR(B8144)</f>
        <v>2024</v>
      </c>
      <c r="M8144" s="20" t="n">
        <f aca="false">IF(J8144&gt;0,K8144/J8144,0)</f>
        <v>0.31981460023175</v>
      </c>
    </row>
    <row r="8145" customFormat="false" ht="15" hidden="false" customHeight="false" outlineLevel="0" collapsed="false">
      <c r="A8145" s="15" t="s">
        <v>8202</v>
      </c>
      <c r="B8145" s="16" t="n">
        <v>45130</v>
      </c>
      <c r="C8145" s="15" t="s">
        <v>56</v>
      </c>
      <c r="D8145" s="15" t="s">
        <v>44</v>
      </c>
      <c r="E8145" s="15" t="s">
        <v>36</v>
      </c>
      <c r="F8145" s="15" t="s">
        <v>17</v>
      </c>
      <c r="G8145" s="15" t="s">
        <v>26</v>
      </c>
      <c r="H8145" s="15" t="n">
        <v>3</v>
      </c>
      <c r="I8145" s="17" t="n">
        <v>0.1</v>
      </c>
      <c r="J8145" s="18" t="n">
        <v>207.75</v>
      </c>
      <c r="K8145" s="19" t="n">
        <v>12.31</v>
      </c>
      <c r="L8145" s="15" t="n">
        <f aca="false">YEAR(B8145)</f>
        <v>2023</v>
      </c>
      <c r="M8145" s="20" t="n">
        <f aca="false">IF(J8145&gt;0,K8145/J8145,0)</f>
        <v>0.0592539109506619</v>
      </c>
    </row>
    <row r="8146" customFormat="false" ht="15" hidden="false" customHeight="false" outlineLevel="0" collapsed="false">
      <c r="A8146" s="15" t="s">
        <v>8203</v>
      </c>
      <c r="B8146" s="16" t="n">
        <v>45991</v>
      </c>
      <c r="C8146" s="15" t="s">
        <v>58</v>
      </c>
      <c r="D8146" s="15" t="s">
        <v>44</v>
      </c>
      <c r="E8146" s="15" t="s">
        <v>36</v>
      </c>
      <c r="F8146" s="15" t="s">
        <v>17</v>
      </c>
      <c r="G8146" s="15" t="s">
        <v>29</v>
      </c>
      <c r="H8146" s="15" t="n">
        <v>4</v>
      </c>
      <c r="I8146" s="17" t="n">
        <v>0.05</v>
      </c>
      <c r="J8146" s="18" t="n">
        <v>66.04</v>
      </c>
      <c r="K8146" s="19" t="n">
        <v>20.11</v>
      </c>
      <c r="L8146" s="15" t="n">
        <f aca="false">YEAR(B8146)</f>
        <v>2025</v>
      </c>
      <c r="M8146" s="20" t="n">
        <f aca="false">IF(J8146&gt;0,K8146/J8146,0)</f>
        <v>0.304512416717141</v>
      </c>
    </row>
    <row r="8147" customFormat="false" ht="15" hidden="false" customHeight="false" outlineLevel="0" collapsed="false">
      <c r="A8147" s="15" t="s">
        <v>8204</v>
      </c>
      <c r="B8147" s="16" t="n">
        <v>45140</v>
      </c>
      <c r="C8147" s="15" t="s">
        <v>68</v>
      </c>
      <c r="D8147" s="15" t="s">
        <v>42</v>
      </c>
      <c r="E8147" s="15" t="s">
        <v>37</v>
      </c>
      <c r="F8147" s="15" t="s">
        <v>17</v>
      </c>
      <c r="G8147" s="15" t="s">
        <v>31</v>
      </c>
      <c r="H8147" s="15" t="n">
        <v>2</v>
      </c>
      <c r="I8147" s="17" t="n">
        <v>0.15</v>
      </c>
      <c r="J8147" s="18" t="n">
        <v>232.13</v>
      </c>
      <c r="K8147" s="19" t="n">
        <v>-10.96</v>
      </c>
      <c r="L8147" s="15" t="n">
        <f aca="false">YEAR(B8147)</f>
        <v>2023</v>
      </c>
      <c r="M8147" s="20" t="n">
        <f aca="false">IF(J8147&gt;0,K8147/J8147,0)</f>
        <v>-0.0472149226726403</v>
      </c>
    </row>
    <row r="8148" customFormat="false" ht="15" hidden="false" customHeight="false" outlineLevel="0" collapsed="false">
      <c r="A8148" s="15" t="s">
        <v>8205</v>
      </c>
      <c r="B8148" s="16" t="n">
        <v>44929</v>
      </c>
      <c r="C8148" s="15" t="s">
        <v>56</v>
      </c>
      <c r="D8148" s="15" t="s">
        <v>43</v>
      </c>
      <c r="E8148" s="15" t="s">
        <v>37</v>
      </c>
      <c r="F8148" s="15" t="s">
        <v>16</v>
      </c>
      <c r="G8148" s="15" t="s">
        <v>25</v>
      </c>
      <c r="H8148" s="15" t="n">
        <v>7</v>
      </c>
      <c r="I8148" s="17" t="n">
        <v>0.3</v>
      </c>
      <c r="J8148" s="18" t="n">
        <v>1411.38</v>
      </c>
      <c r="K8148" s="19" t="n">
        <v>-213.23</v>
      </c>
      <c r="L8148" s="15" t="n">
        <f aca="false">YEAR(B8148)</f>
        <v>2023</v>
      </c>
      <c r="M8148" s="20" t="n">
        <f aca="false">IF(J8148&gt;0,K8148/J8148,0)</f>
        <v>-0.151079085717525</v>
      </c>
    </row>
    <row r="8149" customFormat="false" ht="15" hidden="false" customHeight="false" outlineLevel="0" collapsed="false">
      <c r="A8149" s="15" t="s">
        <v>8206</v>
      </c>
      <c r="B8149" s="16" t="n">
        <v>45588</v>
      </c>
      <c r="C8149" s="15" t="s">
        <v>71</v>
      </c>
      <c r="D8149" s="15" t="s">
        <v>42</v>
      </c>
      <c r="E8149" s="15" t="s">
        <v>36</v>
      </c>
      <c r="F8149" s="15" t="s">
        <v>17</v>
      </c>
      <c r="G8149" s="15" t="s">
        <v>31</v>
      </c>
      <c r="H8149" s="15" t="n">
        <v>2</v>
      </c>
      <c r="I8149" s="17" t="n">
        <v>0</v>
      </c>
      <c r="J8149" s="18" t="n">
        <v>329.12</v>
      </c>
      <c r="K8149" s="19" t="n">
        <v>71.96</v>
      </c>
      <c r="L8149" s="15" t="n">
        <f aca="false">YEAR(B8149)</f>
        <v>2024</v>
      </c>
      <c r="M8149" s="20" t="n">
        <f aca="false">IF(J8149&gt;0,K8149/J8149,0)</f>
        <v>0.218643655809431</v>
      </c>
    </row>
    <row r="8150" customFormat="false" ht="15" hidden="false" customHeight="false" outlineLevel="0" collapsed="false">
      <c r="A8150" s="15" t="s">
        <v>8207</v>
      </c>
      <c r="B8150" s="16" t="n">
        <v>45412</v>
      </c>
      <c r="C8150" s="15" t="s">
        <v>71</v>
      </c>
      <c r="D8150" s="15" t="s">
        <v>42</v>
      </c>
      <c r="E8150" s="15" t="s">
        <v>37</v>
      </c>
      <c r="F8150" s="15" t="s">
        <v>17</v>
      </c>
      <c r="G8150" s="15" t="s">
        <v>28</v>
      </c>
      <c r="H8150" s="15" t="n">
        <v>5</v>
      </c>
      <c r="I8150" s="17" t="n">
        <v>0</v>
      </c>
      <c r="J8150" s="18" t="n">
        <v>120.2</v>
      </c>
      <c r="K8150" s="19" t="n">
        <v>33.97</v>
      </c>
      <c r="L8150" s="15" t="n">
        <f aca="false">YEAR(B8150)</f>
        <v>2024</v>
      </c>
      <c r="M8150" s="20" t="n">
        <f aca="false">IF(J8150&gt;0,K8150/J8150,0)</f>
        <v>0.28261231281198</v>
      </c>
    </row>
    <row r="8151" customFormat="false" ht="15" hidden="false" customHeight="false" outlineLevel="0" collapsed="false">
      <c r="A8151" s="15" t="s">
        <v>8208</v>
      </c>
      <c r="B8151" s="16" t="n">
        <v>45871</v>
      </c>
      <c r="C8151" s="15" t="s">
        <v>56</v>
      </c>
      <c r="D8151" s="15" t="s">
        <v>43</v>
      </c>
      <c r="E8151" s="15" t="s">
        <v>38</v>
      </c>
      <c r="F8151" s="15" t="s">
        <v>17</v>
      </c>
      <c r="G8151" s="15" t="s">
        <v>29</v>
      </c>
      <c r="H8151" s="15" t="n">
        <v>4</v>
      </c>
      <c r="I8151" s="17" t="n">
        <v>0.05</v>
      </c>
      <c r="J8151" s="18" t="n">
        <v>55.94</v>
      </c>
      <c r="K8151" s="19" t="n">
        <v>19.2</v>
      </c>
      <c r="L8151" s="15" t="n">
        <f aca="false">YEAR(B8151)</f>
        <v>2025</v>
      </c>
      <c r="M8151" s="20" t="n">
        <f aca="false">IF(J8151&gt;0,K8151/J8151,0)</f>
        <v>0.343224883804076</v>
      </c>
    </row>
    <row r="8152" customFormat="false" ht="15" hidden="false" customHeight="false" outlineLevel="0" collapsed="false">
      <c r="A8152" s="15" t="s">
        <v>8209</v>
      </c>
      <c r="B8152" s="16" t="n">
        <v>44929</v>
      </c>
      <c r="C8152" s="15" t="s">
        <v>56</v>
      </c>
      <c r="D8152" s="15" t="s">
        <v>42</v>
      </c>
      <c r="E8152" s="15" t="s">
        <v>36</v>
      </c>
      <c r="F8152" s="15" t="s">
        <v>17</v>
      </c>
      <c r="G8152" s="15" t="s">
        <v>29</v>
      </c>
      <c r="H8152" s="15" t="n">
        <v>6</v>
      </c>
      <c r="I8152" s="17" t="n">
        <v>0.2</v>
      </c>
      <c r="J8152" s="18" t="n">
        <v>58.39</v>
      </c>
      <c r="K8152" s="19" t="n">
        <v>13.6</v>
      </c>
      <c r="L8152" s="15" t="n">
        <f aca="false">YEAR(B8152)</f>
        <v>2023</v>
      </c>
      <c r="M8152" s="20" t="n">
        <f aca="false">IF(J8152&gt;0,K8152/J8152,0)</f>
        <v>0.232916595307416</v>
      </c>
    </row>
    <row r="8153" customFormat="false" ht="15" hidden="false" customHeight="false" outlineLevel="0" collapsed="false">
      <c r="A8153" s="15" t="s">
        <v>8210</v>
      </c>
      <c r="B8153" s="16" t="n">
        <v>45088</v>
      </c>
      <c r="C8153" s="15" t="s">
        <v>56</v>
      </c>
      <c r="D8153" s="15" t="s">
        <v>44</v>
      </c>
      <c r="E8153" s="15" t="s">
        <v>39</v>
      </c>
      <c r="F8153" s="15" t="s">
        <v>18</v>
      </c>
      <c r="G8153" s="15" t="s">
        <v>30</v>
      </c>
      <c r="H8153" s="15" t="n">
        <v>5</v>
      </c>
      <c r="I8153" s="17" t="n">
        <v>0.1</v>
      </c>
      <c r="J8153" s="18" t="n">
        <v>249.92</v>
      </c>
      <c r="K8153" s="19" t="n">
        <v>66.5</v>
      </c>
      <c r="L8153" s="15" t="n">
        <f aca="false">YEAR(B8153)</f>
        <v>2023</v>
      </c>
      <c r="M8153" s="20" t="n">
        <f aca="false">IF(J8153&gt;0,K8153/J8153,0)</f>
        <v>0.266085147247119</v>
      </c>
    </row>
    <row r="8154" customFormat="false" ht="15" hidden="false" customHeight="false" outlineLevel="0" collapsed="false">
      <c r="A8154" s="15" t="s">
        <v>8211</v>
      </c>
      <c r="B8154" s="16" t="n">
        <v>45016</v>
      </c>
      <c r="C8154" s="15" t="s">
        <v>56</v>
      </c>
      <c r="D8154" s="15" t="s">
        <v>42</v>
      </c>
      <c r="E8154" s="15" t="s">
        <v>36</v>
      </c>
      <c r="F8154" s="15" t="s">
        <v>17</v>
      </c>
      <c r="G8154" s="15" t="s">
        <v>29</v>
      </c>
      <c r="H8154" s="15" t="n">
        <v>5</v>
      </c>
      <c r="I8154" s="17" t="n">
        <v>0</v>
      </c>
      <c r="J8154" s="18" t="n">
        <v>89.06</v>
      </c>
      <c r="K8154" s="19" t="n">
        <v>30.45</v>
      </c>
      <c r="L8154" s="15" t="n">
        <f aca="false">YEAR(B8154)</f>
        <v>2023</v>
      </c>
      <c r="M8154" s="20" t="n">
        <f aca="false">IF(J8154&gt;0,K8154/J8154,0)</f>
        <v>0.341904334156748</v>
      </c>
    </row>
    <row r="8155" customFormat="false" ht="15" hidden="false" customHeight="false" outlineLevel="0" collapsed="false">
      <c r="A8155" s="15" t="s">
        <v>8212</v>
      </c>
      <c r="B8155" s="16" t="n">
        <v>45536</v>
      </c>
      <c r="C8155" s="15" t="s">
        <v>68</v>
      </c>
      <c r="D8155" s="15" t="s">
        <v>42</v>
      </c>
      <c r="E8155" s="15" t="s">
        <v>37</v>
      </c>
      <c r="F8155" s="15" t="s">
        <v>18</v>
      </c>
      <c r="G8155" s="15" t="s">
        <v>30</v>
      </c>
      <c r="H8155" s="15" t="n">
        <v>3</v>
      </c>
      <c r="I8155" s="17" t="n">
        <v>0.3</v>
      </c>
      <c r="J8155" s="18" t="n">
        <v>105.5</v>
      </c>
      <c r="K8155" s="19" t="n">
        <v>-0.12</v>
      </c>
      <c r="L8155" s="15" t="n">
        <f aca="false">YEAR(B8155)</f>
        <v>2024</v>
      </c>
      <c r="M8155" s="20" t="n">
        <f aca="false">IF(J8155&gt;0,K8155/J8155,0)</f>
        <v>-0.00113744075829384</v>
      </c>
    </row>
    <row r="8156" customFormat="false" ht="15" hidden="false" customHeight="false" outlineLevel="0" collapsed="false">
      <c r="A8156" s="15" t="s">
        <v>8213</v>
      </c>
      <c r="B8156" s="16" t="n">
        <v>45034</v>
      </c>
      <c r="C8156" s="15" t="s">
        <v>71</v>
      </c>
      <c r="D8156" s="15" t="s">
        <v>42</v>
      </c>
      <c r="E8156" s="15" t="s">
        <v>37</v>
      </c>
      <c r="F8156" s="15" t="s">
        <v>16</v>
      </c>
      <c r="G8156" s="15" t="s">
        <v>25</v>
      </c>
      <c r="H8156" s="15" t="n">
        <v>3</v>
      </c>
      <c r="I8156" s="17" t="n">
        <v>0</v>
      </c>
      <c r="J8156" s="18" t="n">
        <v>759.02</v>
      </c>
      <c r="K8156" s="19" t="n">
        <v>100.35</v>
      </c>
      <c r="L8156" s="15" t="n">
        <f aca="false">YEAR(B8156)</f>
        <v>2023</v>
      </c>
      <c r="M8156" s="20" t="n">
        <f aca="false">IF(J8156&gt;0,K8156/J8156,0)</f>
        <v>0.132209954941899</v>
      </c>
    </row>
    <row r="8157" customFormat="false" ht="15" hidden="false" customHeight="false" outlineLevel="0" collapsed="false">
      <c r="A8157" s="15" t="s">
        <v>8214</v>
      </c>
      <c r="B8157" s="16" t="n">
        <v>44790</v>
      </c>
      <c r="C8157" s="15" t="s">
        <v>56</v>
      </c>
      <c r="D8157" s="15" t="s">
        <v>42</v>
      </c>
      <c r="E8157" s="15" t="s">
        <v>38</v>
      </c>
      <c r="F8157" s="15" t="s">
        <v>18</v>
      </c>
      <c r="G8157" s="15" t="s">
        <v>32</v>
      </c>
      <c r="H8157" s="15" t="n">
        <v>5</v>
      </c>
      <c r="I8157" s="17" t="n">
        <v>0</v>
      </c>
      <c r="J8157" s="18" t="n">
        <v>2299.96</v>
      </c>
      <c r="K8157" s="19" t="n">
        <v>382.88</v>
      </c>
      <c r="L8157" s="15" t="n">
        <f aca="false">YEAR(B8157)</f>
        <v>2022</v>
      </c>
      <c r="M8157" s="20" t="n">
        <f aca="false">IF(J8157&gt;0,K8157/J8157,0)</f>
        <v>0.166472460390615</v>
      </c>
    </row>
    <row r="8158" customFormat="false" ht="15" hidden="false" customHeight="false" outlineLevel="0" collapsed="false">
      <c r="A8158" s="15" t="s">
        <v>8215</v>
      </c>
      <c r="B8158" s="16" t="n">
        <v>44821</v>
      </c>
      <c r="C8158" s="15" t="s">
        <v>68</v>
      </c>
      <c r="D8158" s="15" t="s">
        <v>43</v>
      </c>
      <c r="E8158" s="15" t="s">
        <v>39</v>
      </c>
      <c r="F8158" s="15" t="s">
        <v>18</v>
      </c>
      <c r="G8158" s="15" t="s">
        <v>30</v>
      </c>
      <c r="H8158" s="15" t="n">
        <v>2</v>
      </c>
      <c r="I8158" s="17" t="n">
        <v>0</v>
      </c>
      <c r="J8158" s="18" t="n">
        <v>98.69</v>
      </c>
      <c r="K8158" s="19" t="n">
        <v>25.56</v>
      </c>
      <c r="L8158" s="15" t="n">
        <f aca="false">YEAR(B8158)</f>
        <v>2022</v>
      </c>
      <c r="M8158" s="20" t="n">
        <f aca="false">IF(J8158&gt;0,K8158/J8158,0)</f>
        <v>0.258992805755396</v>
      </c>
    </row>
    <row r="8159" customFormat="false" ht="15" hidden="false" customHeight="false" outlineLevel="0" collapsed="false">
      <c r="A8159" s="15" t="s">
        <v>8216</v>
      </c>
      <c r="B8159" s="16" t="n">
        <v>45010</v>
      </c>
      <c r="C8159" s="15" t="s">
        <v>71</v>
      </c>
      <c r="D8159" s="15" t="s">
        <v>43</v>
      </c>
      <c r="E8159" s="15" t="s">
        <v>36</v>
      </c>
      <c r="F8159" s="15" t="s">
        <v>18</v>
      </c>
      <c r="G8159" s="15" t="s">
        <v>30</v>
      </c>
      <c r="H8159" s="15" t="n">
        <v>4</v>
      </c>
      <c r="I8159" s="17" t="n">
        <v>0.2</v>
      </c>
      <c r="J8159" s="18" t="n">
        <v>144.48</v>
      </c>
      <c r="K8159" s="19" t="n">
        <v>12.48</v>
      </c>
      <c r="L8159" s="15" t="n">
        <f aca="false">YEAR(B8159)</f>
        <v>2023</v>
      </c>
      <c r="M8159" s="20" t="n">
        <f aca="false">IF(J8159&gt;0,K8159/J8159,0)</f>
        <v>0.0863787375415283</v>
      </c>
    </row>
    <row r="8160" customFormat="false" ht="15" hidden="false" customHeight="false" outlineLevel="0" collapsed="false">
      <c r="A8160" s="15" t="s">
        <v>8217</v>
      </c>
      <c r="B8160" s="16" t="n">
        <v>44669</v>
      </c>
      <c r="C8160" s="15" t="s">
        <v>58</v>
      </c>
      <c r="D8160" s="15" t="s">
        <v>42</v>
      </c>
      <c r="E8160" s="15" t="s">
        <v>39</v>
      </c>
      <c r="F8160" s="15" t="s">
        <v>17</v>
      </c>
      <c r="G8160" s="15" t="s">
        <v>31</v>
      </c>
      <c r="H8160" s="15" t="n">
        <v>4</v>
      </c>
      <c r="I8160" s="17" t="n">
        <v>0.1</v>
      </c>
      <c r="J8160" s="18" t="n">
        <v>488.71</v>
      </c>
      <c r="K8160" s="19" t="n">
        <v>53.75</v>
      </c>
      <c r="L8160" s="15" t="n">
        <f aca="false">YEAR(B8160)</f>
        <v>2022</v>
      </c>
      <c r="M8160" s="20" t="n">
        <f aca="false">IF(J8160&gt;0,K8160/J8160,0)</f>
        <v>0.109983425753514</v>
      </c>
    </row>
    <row r="8161" customFormat="false" ht="15" hidden="false" customHeight="false" outlineLevel="0" collapsed="false">
      <c r="A8161" s="15" t="s">
        <v>8218</v>
      </c>
      <c r="B8161" s="16" t="n">
        <v>44784</v>
      </c>
      <c r="C8161" s="15" t="s">
        <v>56</v>
      </c>
      <c r="D8161" s="15" t="s">
        <v>43</v>
      </c>
      <c r="E8161" s="15" t="s">
        <v>38</v>
      </c>
      <c r="F8161" s="15" t="s">
        <v>17</v>
      </c>
      <c r="G8161" s="15" t="s">
        <v>28</v>
      </c>
      <c r="H8161" s="15" t="n">
        <v>3</v>
      </c>
      <c r="I8161" s="17" t="n">
        <v>0.05</v>
      </c>
      <c r="J8161" s="18" t="n">
        <v>78.48</v>
      </c>
      <c r="K8161" s="19" t="n">
        <v>14.59</v>
      </c>
      <c r="L8161" s="15" t="n">
        <f aca="false">YEAR(B8161)</f>
        <v>2022</v>
      </c>
      <c r="M8161" s="20" t="n">
        <f aca="false">IF(J8161&gt;0,K8161/J8161,0)</f>
        <v>0.185907237512742</v>
      </c>
    </row>
    <row r="8162" customFormat="false" ht="15" hidden="false" customHeight="false" outlineLevel="0" collapsed="false">
      <c r="A8162" s="15" t="s">
        <v>8219</v>
      </c>
      <c r="B8162" s="16" t="n">
        <v>45540</v>
      </c>
      <c r="C8162" s="15" t="s">
        <v>71</v>
      </c>
      <c r="D8162" s="15" t="s">
        <v>42</v>
      </c>
      <c r="E8162" s="15" t="s">
        <v>36</v>
      </c>
      <c r="F8162" s="15" t="s">
        <v>16</v>
      </c>
      <c r="G8162" s="15" t="s">
        <v>23</v>
      </c>
      <c r="H8162" s="15" t="n">
        <v>4</v>
      </c>
      <c r="I8162" s="17" t="n">
        <v>0.3</v>
      </c>
      <c r="J8162" s="18" t="n">
        <v>891.82</v>
      </c>
      <c r="K8162" s="19" t="n">
        <v>-177.47</v>
      </c>
      <c r="L8162" s="15" t="n">
        <f aca="false">YEAR(B8162)</f>
        <v>2024</v>
      </c>
      <c r="M8162" s="20" t="n">
        <f aca="false">IF(J8162&gt;0,K8162/J8162,0)</f>
        <v>-0.198997555560539</v>
      </c>
    </row>
    <row r="8163" customFormat="false" ht="15" hidden="false" customHeight="false" outlineLevel="0" collapsed="false">
      <c r="A8163" s="15" t="s">
        <v>8220</v>
      </c>
      <c r="B8163" s="16" t="n">
        <v>45594</v>
      </c>
      <c r="C8163" s="15" t="s">
        <v>56</v>
      </c>
      <c r="D8163" s="15" t="s">
        <v>43</v>
      </c>
      <c r="E8163" s="15" t="s">
        <v>39</v>
      </c>
      <c r="F8163" s="15" t="s">
        <v>17</v>
      </c>
      <c r="G8163" s="15" t="s">
        <v>28</v>
      </c>
      <c r="H8163" s="15" t="n">
        <v>6</v>
      </c>
      <c r="I8163" s="17" t="n">
        <v>0.3</v>
      </c>
      <c r="J8163" s="18" t="n">
        <v>125.89</v>
      </c>
      <c r="K8163" s="19" t="n">
        <v>9.13</v>
      </c>
      <c r="L8163" s="15" t="n">
        <f aca="false">YEAR(B8163)</f>
        <v>2024</v>
      </c>
      <c r="M8163" s="20" t="n">
        <f aca="false">IF(J8163&gt;0,K8163/J8163,0)</f>
        <v>0.072523631741997</v>
      </c>
    </row>
    <row r="8164" customFormat="false" ht="15" hidden="false" customHeight="false" outlineLevel="0" collapsed="false">
      <c r="A8164" s="15" t="s">
        <v>8221</v>
      </c>
      <c r="B8164" s="16" t="n">
        <v>45586</v>
      </c>
      <c r="C8164" s="15" t="s">
        <v>56</v>
      </c>
      <c r="D8164" s="15" t="s">
        <v>42</v>
      </c>
      <c r="E8164" s="15" t="s">
        <v>37</v>
      </c>
      <c r="F8164" s="15" t="s">
        <v>17</v>
      </c>
      <c r="G8164" s="15" t="s">
        <v>29</v>
      </c>
      <c r="H8164" s="15" t="n">
        <v>5</v>
      </c>
      <c r="I8164" s="17" t="n">
        <v>0</v>
      </c>
      <c r="J8164" s="18" t="n">
        <v>90.6</v>
      </c>
      <c r="K8164" s="19" t="n">
        <v>32.99</v>
      </c>
      <c r="L8164" s="15" t="n">
        <f aca="false">YEAR(B8164)</f>
        <v>2024</v>
      </c>
      <c r="M8164" s="20" t="n">
        <f aca="false">IF(J8164&gt;0,K8164/J8164,0)</f>
        <v>0.364128035320088</v>
      </c>
    </row>
    <row r="8165" customFormat="false" ht="15" hidden="false" customHeight="false" outlineLevel="0" collapsed="false">
      <c r="A8165" s="15" t="s">
        <v>8222</v>
      </c>
      <c r="B8165" s="16" t="n">
        <v>45868</v>
      </c>
      <c r="C8165" s="15" t="s">
        <v>56</v>
      </c>
      <c r="D8165" s="15" t="s">
        <v>42</v>
      </c>
      <c r="E8165" s="15" t="s">
        <v>36</v>
      </c>
      <c r="F8165" s="15" t="s">
        <v>17</v>
      </c>
      <c r="G8165" s="15" t="s">
        <v>29</v>
      </c>
      <c r="H8165" s="15" t="n">
        <v>3</v>
      </c>
      <c r="I8165" s="17" t="n">
        <v>0.05</v>
      </c>
      <c r="J8165" s="18" t="n">
        <v>43.9</v>
      </c>
      <c r="K8165" s="19" t="n">
        <v>14.59</v>
      </c>
      <c r="L8165" s="15" t="n">
        <f aca="false">YEAR(B8165)</f>
        <v>2025</v>
      </c>
      <c r="M8165" s="20" t="n">
        <f aca="false">IF(J8165&gt;0,K8165/J8165,0)</f>
        <v>0.332346241457859</v>
      </c>
    </row>
    <row r="8166" customFormat="false" ht="15" hidden="false" customHeight="false" outlineLevel="0" collapsed="false">
      <c r="A8166" s="15" t="s">
        <v>8223</v>
      </c>
      <c r="B8166" s="16" t="n">
        <v>45560</v>
      </c>
      <c r="C8166" s="15" t="s">
        <v>56</v>
      </c>
      <c r="D8166" s="15" t="s">
        <v>43</v>
      </c>
      <c r="E8166" s="15" t="s">
        <v>37</v>
      </c>
      <c r="F8166" s="15" t="s">
        <v>18</v>
      </c>
      <c r="G8166" s="15" t="s">
        <v>30</v>
      </c>
      <c r="H8166" s="15" t="n">
        <v>1</v>
      </c>
      <c r="I8166" s="17" t="n">
        <v>0</v>
      </c>
      <c r="J8166" s="18" t="n">
        <v>39.92</v>
      </c>
      <c r="K8166" s="19" t="n">
        <v>13.23</v>
      </c>
      <c r="L8166" s="15" t="n">
        <f aca="false">YEAR(B8166)</f>
        <v>2024</v>
      </c>
      <c r="M8166" s="20" t="n">
        <f aca="false">IF(J8166&gt;0,K8166/J8166,0)</f>
        <v>0.331412825651303</v>
      </c>
    </row>
    <row r="8167" customFormat="false" ht="15" hidden="false" customHeight="false" outlineLevel="0" collapsed="false">
      <c r="A8167" s="15" t="s">
        <v>8224</v>
      </c>
      <c r="B8167" s="16" t="n">
        <v>45930</v>
      </c>
      <c r="C8167" s="15" t="s">
        <v>56</v>
      </c>
      <c r="D8167" s="15" t="s">
        <v>42</v>
      </c>
      <c r="E8167" s="15" t="s">
        <v>39</v>
      </c>
      <c r="F8167" s="15" t="s">
        <v>17</v>
      </c>
      <c r="G8167" s="15" t="s">
        <v>31</v>
      </c>
      <c r="H8167" s="15" t="n">
        <v>5</v>
      </c>
      <c r="I8167" s="17" t="n">
        <v>0.5</v>
      </c>
      <c r="J8167" s="18" t="n">
        <v>289.54</v>
      </c>
      <c r="K8167" s="19" t="n">
        <v>-76.21</v>
      </c>
      <c r="L8167" s="15" t="n">
        <f aca="false">YEAR(B8167)</f>
        <v>2025</v>
      </c>
      <c r="M8167" s="20" t="n">
        <f aca="false">IF(J8167&gt;0,K8167/J8167,0)</f>
        <v>-0.263210609932997</v>
      </c>
    </row>
    <row r="8168" customFormat="false" ht="15" hidden="false" customHeight="false" outlineLevel="0" collapsed="false">
      <c r="A8168" s="15" t="s">
        <v>8225</v>
      </c>
      <c r="B8168" s="16" t="n">
        <v>44834</v>
      </c>
      <c r="C8168" s="15" t="s">
        <v>56</v>
      </c>
      <c r="D8168" s="15" t="s">
        <v>43</v>
      </c>
      <c r="E8168" s="15" t="s">
        <v>39</v>
      </c>
      <c r="F8168" s="15" t="s">
        <v>16</v>
      </c>
      <c r="G8168" s="15" t="s">
        <v>27</v>
      </c>
      <c r="H8168" s="15" t="n">
        <v>5</v>
      </c>
      <c r="I8168" s="17" t="n">
        <v>0.2</v>
      </c>
      <c r="J8168" s="18" t="n">
        <v>266.07</v>
      </c>
      <c r="K8168" s="19" t="n">
        <v>13.66</v>
      </c>
      <c r="L8168" s="15" t="n">
        <f aca="false">YEAR(B8168)</f>
        <v>2022</v>
      </c>
      <c r="M8168" s="20" t="n">
        <f aca="false">IF(J8168&gt;0,K8168/J8168,0)</f>
        <v>0.0513398729657609</v>
      </c>
    </row>
    <row r="8169" customFormat="false" ht="15" hidden="false" customHeight="false" outlineLevel="0" collapsed="false">
      <c r="A8169" s="15" t="s">
        <v>8226</v>
      </c>
      <c r="B8169" s="16" t="n">
        <v>45590</v>
      </c>
      <c r="C8169" s="15" t="s">
        <v>56</v>
      </c>
      <c r="D8169" s="15" t="s">
        <v>43</v>
      </c>
      <c r="E8169" s="15" t="s">
        <v>38</v>
      </c>
      <c r="F8169" s="15" t="s">
        <v>17</v>
      </c>
      <c r="G8169" s="15" t="s">
        <v>26</v>
      </c>
      <c r="H8169" s="15" t="n">
        <v>1</v>
      </c>
      <c r="I8169" s="17" t="n">
        <v>0.1</v>
      </c>
      <c r="J8169" s="18" t="n">
        <v>70.76</v>
      </c>
      <c r="K8169" s="19" t="n">
        <v>4.51</v>
      </c>
      <c r="L8169" s="15" t="n">
        <f aca="false">YEAR(B8169)</f>
        <v>2024</v>
      </c>
      <c r="M8169" s="20" t="n">
        <f aca="false">IF(J8169&gt;0,K8169/J8169,0)</f>
        <v>0.0637365743357829</v>
      </c>
    </row>
    <row r="8170" customFormat="false" ht="15" hidden="false" customHeight="false" outlineLevel="0" collapsed="false">
      <c r="A8170" s="15" t="s">
        <v>8227</v>
      </c>
      <c r="B8170" s="16" t="n">
        <v>44956</v>
      </c>
      <c r="C8170" s="15" t="s">
        <v>58</v>
      </c>
      <c r="D8170" s="15" t="s">
        <v>43</v>
      </c>
      <c r="E8170" s="15" t="s">
        <v>38</v>
      </c>
      <c r="F8170" s="15" t="s">
        <v>17</v>
      </c>
      <c r="G8170" s="15" t="s">
        <v>28</v>
      </c>
      <c r="H8170" s="15" t="n">
        <v>6</v>
      </c>
      <c r="I8170" s="17" t="n">
        <v>0</v>
      </c>
      <c r="J8170" s="18" t="n">
        <v>165.89</v>
      </c>
      <c r="K8170" s="19" t="n">
        <v>48.01</v>
      </c>
      <c r="L8170" s="15" t="n">
        <f aca="false">YEAR(B8170)</f>
        <v>2023</v>
      </c>
      <c r="M8170" s="20" t="n">
        <f aca="false">IF(J8170&gt;0,K8170/J8170,0)</f>
        <v>0.289408644282356</v>
      </c>
    </row>
    <row r="8171" customFormat="false" ht="15" hidden="false" customHeight="false" outlineLevel="0" collapsed="false">
      <c r="A8171" s="15" t="s">
        <v>8228</v>
      </c>
      <c r="B8171" s="16" t="n">
        <v>45296</v>
      </c>
      <c r="C8171" s="15" t="s">
        <v>56</v>
      </c>
      <c r="D8171" s="15" t="s">
        <v>43</v>
      </c>
      <c r="E8171" s="15" t="s">
        <v>36</v>
      </c>
      <c r="F8171" s="15" t="s">
        <v>16</v>
      </c>
      <c r="G8171" s="15" t="s">
        <v>27</v>
      </c>
      <c r="H8171" s="15" t="n">
        <v>2</v>
      </c>
      <c r="I8171" s="17" t="n">
        <v>0.1</v>
      </c>
      <c r="J8171" s="18" t="n">
        <v>109.09</v>
      </c>
      <c r="K8171" s="19" t="n">
        <v>15.3</v>
      </c>
      <c r="L8171" s="15" t="n">
        <f aca="false">YEAR(B8171)</f>
        <v>2024</v>
      </c>
      <c r="M8171" s="20" t="n">
        <f aca="false">IF(J8171&gt;0,K8171/J8171,0)</f>
        <v>0.14025116875974</v>
      </c>
    </row>
    <row r="8172" customFormat="false" ht="15" hidden="false" customHeight="false" outlineLevel="0" collapsed="false">
      <c r="A8172" s="15" t="s">
        <v>8229</v>
      </c>
      <c r="B8172" s="16" t="n">
        <v>45257</v>
      </c>
      <c r="C8172" s="15" t="s">
        <v>56</v>
      </c>
      <c r="D8172" s="15" t="s">
        <v>43</v>
      </c>
      <c r="E8172" s="15" t="s">
        <v>36</v>
      </c>
      <c r="F8172" s="15" t="s">
        <v>16</v>
      </c>
      <c r="G8172" s="15" t="s">
        <v>25</v>
      </c>
      <c r="H8172" s="15" t="n">
        <v>2</v>
      </c>
      <c r="I8172" s="17" t="n">
        <v>0.2</v>
      </c>
      <c r="J8172" s="18" t="n">
        <v>393.62</v>
      </c>
      <c r="K8172" s="19" t="n">
        <v>-43.59</v>
      </c>
      <c r="L8172" s="15" t="n">
        <f aca="false">YEAR(B8172)</f>
        <v>2023</v>
      </c>
      <c r="M8172" s="20" t="n">
        <f aca="false">IF(J8172&gt;0,K8172/J8172,0)</f>
        <v>-0.110741324119709</v>
      </c>
    </row>
    <row r="8173" customFormat="false" ht="15" hidden="false" customHeight="false" outlineLevel="0" collapsed="false">
      <c r="A8173" s="15" t="s">
        <v>8230</v>
      </c>
      <c r="B8173" s="16" t="n">
        <v>44964</v>
      </c>
      <c r="C8173" s="15" t="s">
        <v>56</v>
      </c>
      <c r="D8173" s="15" t="s">
        <v>44</v>
      </c>
      <c r="E8173" s="15" t="s">
        <v>38</v>
      </c>
      <c r="F8173" s="15" t="s">
        <v>17</v>
      </c>
      <c r="G8173" s="15" t="s">
        <v>29</v>
      </c>
      <c r="H8173" s="15" t="n">
        <v>3</v>
      </c>
      <c r="I8173" s="17" t="n">
        <v>0.05</v>
      </c>
      <c r="J8173" s="18" t="n">
        <v>59.93</v>
      </c>
      <c r="K8173" s="19" t="n">
        <v>21.68</v>
      </c>
      <c r="L8173" s="15" t="n">
        <f aca="false">YEAR(B8173)</f>
        <v>2023</v>
      </c>
      <c r="M8173" s="20" t="n">
        <f aca="false">IF(J8173&gt;0,K8173/J8173,0)</f>
        <v>0.361755381278158</v>
      </c>
    </row>
    <row r="8174" customFormat="false" ht="15" hidden="false" customHeight="false" outlineLevel="0" collapsed="false">
      <c r="A8174" s="15" t="s">
        <v>8231</v>
      </c>
      <c r="B8174" s="16" t="n">
        <v>45299</v>
      </c>
      <c r="C8174" s="15" t="s">
        <v>68</v>
      </c>
      <c r="D8174" s="15" t="s">
        <v>44</v>
      </c>
      <c r="E8174" s="15" t="s">
        <v>37</v>
      </c>
      <c r="F8174" s="15" t="s">
        <v>18</v>
      </c>
      <c r="G8174" s="15" t="s">
        <v>30</v>
      </c>
      <c r="H8174" s="15" t="n">
        <v>2</v>
      </c>
      <c r="I8174" s="17" t="n">
        <v>0</v>
      </c>
      <c r="J8174" s="18" t="n">
        <v>94.1</v>
      </c>
      <c r="K8174" s="19" t="n">
        <v>25.65</v>
      </c>
      <c r="L8174" s="15" t="n">
        <f aca="false">YEAR(B8174)</f>
        <v>2024</v>
      </c>
      <c r="M8174" s="20" t="n">
        <f aca="false">IF(J8174&gt;0,K8174/J8174,0)</f>
        <v>0.272582359192349</v>
      </c>
    </row>
    <row r="8175" customFormat="false" ht="15" hidden="false" customHeight="false" outlineLevel="0" collapsed="false">
      <c r="A8175" s="15" t="s">
        <v>8232</v>
      </c>
      <c r="B8175" s="16" t="n">
        <v>44842</v>
      </c>
      <c r="C8175" s="15" t="s">
        <v>56</v>
      </c>
      <c r="D8175" s="15" t="s">
        <v>44</v>
      </c>
      <c r="E8175" s="15" t="s">
        <v>36</v>
      </c>
      <c r="F8175" s="15" t="s">
        <v>18</v>
      </c>
      <c r="G8175" s="15" t="s">
        <v>32</v>
      </c>
      <c r="H8175" s="15" t="n">
        <v>2</v>
      </c>
      <c r="I8175" s="17" t="n">
        <v>0.4</v>
      </c>
      <c r="J8175" s="18" t="n">
        <v>374.5</v>
      </c>
      <c r="K8175" s="19" t="n">
        <v>-91.87</v>
      </c>
      <c r="L8175" s="15" t="n">
        <f aca="false">YEAR(B8175)</f>
        <v>2022</v>
      </c>
      <c r="M8175" s="20" t="n">
        <f aca="false">IF(J8175&gt;0,K8175/J8175,0)</f>
        <v>-0.245313751668892</v>
      </c>
    </row>
    <row r="8176" customFormat="false" ht="15" hidden="false" customHeight="false" outlineLevel="0" collapsed="false">
      <c r="A8176" s="15" t="s">
        <v>8233</v>
      </c>
      <c r="B8176" s="16" t="n">
        <v>45007</v>
      </c>
      <c r="C8176" s="15" t="s">
        <v>56</v>
      </c>
      <c r="D8176" s="15" t="s">
        <v>43</v>
      </c>
      <c r="E8176" s="15" t="s">
        <v>36</v>
      </c>
      <c r="F8176" s="15" t="s">
        <v>17</v>
      </c>
      <c r="G8176" s="15" t="s">
        <v>29</v>
      </c>
      <c r="H8176" s="15" t="n">
        <v>3</v>
      </c>
      <c r="I8176" s="17" t="n">
        <v>0</v>
      </c>
      <c r="J8176" s="18" t="n">
        <v>65.64</v>
      </c>
      <c r="K8176" s="19" t="n">
        <v>26.3</v>
      </c>
      <c r="L8176" s="15" t="n">
        <f aca="false">YEAR(B8176)</f>
        <v>2023</v>
      </c>
      <c r="M8176" s="20" t="n">
        <f aca="false">IF(J8176&gt;0,K8176/J8176,0)</f>
        <v>0.400670322973796</v>
      </c>
    </row>
    <row r="8177" customFormat="false" ht="15" hidden="false" customHeight="false" outlineLevel="0" collapsed="false">
      <c r="A8177" s="15" t="s">
        <v>8234</v>
      </c>
      <c r="B8177" s="16" t="n">
        <v>45101</v>
      </c>
      <c r="C8177" s="15" t="s">
        <v>56</v>
      </c>
      <c r="D8177" s="15" t="s">
        <v>43</v>
      </c>
      <c r="E8177" s="15" t="s">
        <v>37</v>
      </c>
      <c r="F8177" s="15" t="s">
        <v>18</v>
      </c>
      <c r="G8177" s="15" t="s">
        <v>30</v>
      </c>
      <c r="H8177" s="15" t="n">
        <v>3</v>
      </c>
      <c r="I8177" s="17" t="n">
        <v>0</v>
      </c>
      <c r="J8177" s="18" t="n">
        <v>166.44</v>
      </c>
      <c r="K8177" s="19" t="n">
        <v>55.92</v>
      </c>
      <c r="L8177" s="15" t="n">
        <f aca="false">YEAR(B8177)</f>
        <v>2023</v>
      </c>
      <c r="M8177" s="20" t="n">
        <f aca="false">IF(J8177&gt;0,K8177/J8177,0)</f>
        <v>0.335976928622927</v>
      </c>
    </row>
    <row r="8178" customFormat="false" ht="15" hidden="false" customHeight="false" outlineLevel="0" collapsed="false">
      <c r="A8178" s="15" t="s">
        <v>8235</v>
      </c>
      <c r="B8178" s="16" t="n">
        <v>45007</v>
      </c>
      <c r="C8178" s="15" t="s">
        <v>56</v>
      </c>
      <c r="D8178" s="15" t="s">
        <v>42</v>
      </c>
      <c r="E8178" s="15" t="s">
        <v>37</v>
      </c>
      <c r="F8178" s="15" t="s">
        <v>16</v>
      </c>
      <c r="G8178" s="15" t="s">
        <v>27</v>
      </c>
      <c r="H8178" s="15" t="n">
        <v>4</v>
      </c>
      <c r="I8178" s="17" t="n">
        <v>0.15</v>
      </c>
      <c r="J8178" s="18" t="n">
        <v>176.25</v>
      </c>
      <c r="K8178" s="19" t="n">
        <v>13.86</v>
      </c>
      <c r="L8178" s="15" t="n">
        <f aca="false">YEAR(B8178)</f>
        <v>2023</v>
      </c>
      <c r="M8178" s="20" t="n">
        <f aca="false">IF(J8178&gt;0,K8178/J8178,0)</f>
        <v>0.0786382978723404</v>
      </c>
    </row>
    <row r="8179" customFormat="false" ht="15" hidden="false" customHeight="false" outlineLevel="0" collapsed="false">
      <c r="A8179" s="15" t="s">
        <v>8236</v>
      </c>
      <c r="B8179" s="16" t="n">
        <v>45421</v>
      </c>
      <c r="C8179" s="15" t="s">
        <v>56</v>
      </c>
      <c r="D8179" s="15" t="s">
        <v>43</v>
      </c>
      <c r="E8179" s="15" t="s">
        <v>37</v>
      </c>
      <c r="F8179" s="15" t="s">
        <v>17</v>
      </c>
      <c r="G8179" s="15" t="s">
        <v>26</v>
      </c>
      <c r="H8179" s="15" t="n">
        <v>3</v>
      </c>
      <c r="I8179" s="17" t="n">
        <v>0.5</v>
      </c>
      <c r="J8179" s="18" t="n">
        <v>150.43</v>
      </c>
      <c r="K8179" s="19" t="n">
        <v>-43.97</v>
      </c>
      <c r="L8179" s="15" t="n">
        <f aca="false">YEAR(B8179)</f>
        <v>2024</v>
      </c>
      <c r="M8179" s="20" t="n">
        <f aca="false">IF(J8179&gt;0,K8179/J8179,0)</f>
        <v>-0.292295419796583</v>
      </c>
    </row>
    <row r="8180" customFormat="false" ht="15" hidden="false" customHeight="false" outlineLevel="0" collapsed="false">
      <c r="A8180" s="15" t="s">
        <v>8237</v>
      </c>
      <c r="B8180" s="16" t="n">
        <v>45498</v>
      </c>
      <c r="C8180" s="15" t="s">
        <v>56</v>
      </c>
      <c r="D8180" s="15" t="s">
        <v>42</v>
      </c>
      <c r="E8180" s="15" t="s">
        <v>37</v>
      </c>
      <c r="F8180" s="15" t="s">
        <v>17</v>
      </c>
      <c r="G8180" s="15" t="s">
        <v>29</v>
      </c>
      <c r="H8180" s="15" t="n">
        <v>2</v>
      </c>
      <c r="I8180" s="17" t="n">
        <v>0.1</v>
      </c>
      <c r="J8180" s="18" t="n">
        <v>37.6</v>
      </c>
      <c r="K8180" s="19" t="n">
        <v>8.31</v>
      </c>
      <c r="L8180" s="15" t="n">
        <f aca="false">YEAR(B8180)</f>
        <v>2024</v>
      </c>
      <c r="M8180" s="20" t="n">
        <f aca="false">IF(J8180&gt;0,K8180/J8180,0)</f>
        <v>0.221010638297872</v>
      </c>
    </row>
    <row r="8181" customFormat="false" ht="15" hidden="false" customHeight="false" outlineLevel="0" collapsed="false">
      <c r="A8181" s="15" t="s">
        <v>8238</v>
      </c>
      <c r="B8181" s="16" t="n">
        <v>45614</v>
      </c>
      <c r="C8181" s="15" t="s">
        <v>56</v>
      </c>
      <c r="D8181" s="15" t="s">
        <v>42</v>
      </c>
      <c r="E8181" s="15" t="s">
        <v>36</v>
      </c>
      <c r="F8181" s="15" t="s">
        <v>17</v>
      </c>
      <c r="G8181" s="15" t="s">
        <v>26</v>
      </c>
      <c r="H8181" s="15" t="n">
        <v>3</v>
      </c>
      <c r="I8181" s="17" t="n">
        <v>0</v>
      </c>
      <c r="J8181" s="18" t="n">
        <v>273.71</v>
      </c>
      <c r="K8181" s="19" t="n">
        <v>28.19</v>
      </c>
      <c r="L8181" s="15" t="n">
        <f aca="false">YEAR(B8181)</f>
        <v>2024</v>
      </c>
      <c r="M8181" s="20" t="n">
        <f aca="false">IF(J8181&gt;0,K8181/J8181,0)</f>
        <v>0.102992218040992</v>
      </c>
    </row>
    <row r="8182" customFormat="false" ht="15" hidden="false" customHeight="false" outlineLevel="0" collapsed="false">
      <c r="A8182" s="15" t="s">
        <v>8239</v>
      </c>
      <c r="B8182" s="16" t="n">
        <v>45692</v>
      </c>
      <c r="C8182" s="15" t="s">
        <v>71</v>
      </c>
      <c r="D8182" s="15" t="s">
        <v>43</v>
      </c>
      <c r="E8182" s="15" t="s">
        <v>39</v>
      </c>
      <c r="F8182" s="15" t="s">
        <v>17</v>
      </c>
      <c r="G8182" s="15" t="s">
        <v>26</v>
      </c>
      <c r="H8182" s="15" t="n">
        <v>4</v>
      </c>
      <c r="I8182" s="17" t="n">
        <v>0.2</v>
      </c>
      <c r="J8182" s="18" t="n">
        <v>304.33</v>
      </c>
      <c r="K8182" s="19" t="n">
        <v>-2.78</v>
      </c>
      <c r="L8182" s="15" t="n">
        <f aca="false">YEAR(B8182)</f>
        <v>2025</v>
      </c>
      <c r="M8182" s="20" t="n">
        <f aca="false">IF(J8182&gt;0,K8182/J8182,0)</f>
        <v>-0.00913482075378701</v>
      </c>
    </row>
    <row r="8183" customFormat="false" ht="15" hidden="false" customHeight="false" outlineLevel="0" collapsed="false">
      <c r="A8183" s="15" t="s">
        <v>8240</v>
      </c>
      <c r="B8183" s="16" t="n">
        <v>45887</v>
      </c>
      <c r="C8183" s="15" t="s">
        <v>56</v>
      </c>
      <c r="D8183" s="15" t="s">
        <v>43</v>
      </c>
      <c r="E8183" s="15" t="s">
        <v>37</v>
      </c>
      <c r="F8183" s="15" t="s">
        <v>18</v>
      </c>
      <c r="G8183" s="15" t="s">
        <v>30</v>
      </c>
      <c r="H8183" s="15" t="n">
        <v>2</v>
      </c>
      <c r="I8183" s="17" t="n">
        <v>0.05</v>
      </c>
      <c r="J8183" s="18" t="n">
        <v>92.37</v>
      </c>
      <c r="K8183" s="19" t="n">
        <v>22.13</v>
      </c>
      <c r="L8183" s="15" t="n">
        <f aca="false">YEAR(B8183)</f>
        <v>2025</v>
      </c>
      <c r="M8183" s="20" t="n">
        <f aca="false">IF(J8183&gt;0,K8183/J8183,0)</f>
        <v>0.239579950200281</v>
      </c>
    </row>
    <row r="8184" customFormat="false" ht="15" hidden="false" customHeight="false" outlineLevel="0" collapsed="false">
      <c r="A8184" s="15" t="s">
        <v>8241</v>
      </c>
      <c r="B8184" s="16" t="n">
        <v>45757</v>
      </c>
      <c r="C8184" s="15" t="s">
        <v>58</v>
      </c>
      <c r="D8184" s="15" t="s">
        <v>43</v>
      </c>
      <c r="E8184" s="15" t="s">
        <v>39</v>
      </c>
      <c r="F8184" s="15" t="s">
        <v>17</v>
      </c>
      <c r="G8184" s="15" t="s">
        <v>29</v>
      </c>
      <c r="H8184" s="15" t="n">
        <v>2</v>
      </c>
      <c r="I8184" s="17" t="n">
        <v>0</v>
      </c>
      <c r="J8184" s="18" t="n">
        <v>39.86</v>
      </c>
      <c r="K8184" s="19" t="n">
        <v>18.86</v>
      </c>
      <c r="L8184" s="15" t="n">
        <f aca="false">YEAR(B8184)</f>
        <v>2025</v>
      </c>
      <c r="M8184" s="20" t="n">
        <f aca="false">IF(J8184&gt;0,K8184/J8184,0)</f>
        <v>0.473156046161566</v>
      </c>
    </row>
    <row r="8185" customFormat="false" ht="15" hidden="false" customHeight="false" outlineLevel="0" collapsed="false">
      <c r="A8185" s="15" t="s">
        <v>8242</v>
      </c>
      <c r="B8185" s="16" t="n">
        <v>44996</v>
      </c>
      <c r="C8185" s="15" t="s">
        <v>68</v>
      </c>
      <c r="D8185" s="15" t="s">
        <v>42</v>
      </c>
      <c r="E8185" s="15" t="s">
        <v>39</v>
      </c>
      <c r="F8185" s="15" t="s">
        <v>17</v>
      </c>
      <c r="G8185" s="15" t="s">
        <v>26</v>
      </c>
      <c r="H8185" s="15" t="n">
        <v>3</v>
      </c>
      <c r="I8185" s="17" t="n">
        <v>0.2</v>
      </c>
      <c r="J8185" s="18" t="n">
        <v>195.87</v>
      </c>
      <c r="K8185" s="19" t="n">
        <v>-8.39</v>
      </c>
      <c r="L8185" s="15" t="n">
        <f aca="false">YEAR(B8185)</f>
        <v>2023</v>
      </c>
      <c r="M8185" s="20" t="n">
        <f aca="false">IF(J8185&gt;0,K8185/J8185,0)</f>
        <v>-0.0428345331086946</v>
      </c>
    </row>
    <row r="8186" customFormat="false" ht="15" hidden="false" customHeight="false" outlineLevel="0" collapsed="false">
      <c r="A8186" s="15" t="s">
        <v>8243</v>
      </c>
      <c r="B8186" s="16" t="n">
        <v>44811</v>
      </c>
      <c r="C8186" s="15" t="s">
        <v>58</v>
      </c>
      <c r="D8186" s="15" t="s">
        <v>44</v>
      </c>
      <c r="E8186" s="15" t="s">
        <v>36</v>
      </c>
      <c r="F8186" s="15" t="s">
        <v>17</v>
      </c>
      <c r="G8186" s="15" t="s">
        <v>31</v>
      </c>
      <c r="H8186" s="15" t="n">
        <v>2</v>
      </c>
      <c r="I8186" s="17" t="n">
        <v>0</v>
      </c>
      <c r="J8186" s="18" t="n">
        <v>297.44</v>
      </c>
      <c r="K8186" s="19" t="n">
        <v>81.62</v>
      </c>
      <c r="L8186" s="15" t="n">
        <f aca="false">YEAR(B8186)</f>
        <v>2022</v>
      </c>
      <c r="M8186" s="20" t="n">
        <f aca="false">IF(J8186&gt;0,K8186/J8186,0)</f>
        <v>0.274408284023669</v>
      </c>
    </row>
    <row r="8187" customFormat="false" ht="15" hidden="false" customHeight="false" outlineLevel="0" collapsed="false">
      <c r="A8187" s="15" t="s">
        <v>8244</v>
      </c>
      <c r="B8187" s="16" t="n">
        <v>44709</v>
      </c>
      <c r="C8187" s="15" t="s">
        <v>56</v>
      </c>
      <c r="D8187" s="15" t="s">
        <v>42</v>
      </c>
      <c r="E8187" s="15" t="s">
        <v>38</v>
      </c>
      <c r="F8187" s="15" t="s">
        <v>17</v>
      </c>
      <c r="G8187" s="15" t="s">
        <v>28</v>
      </c>
      <c r="H8187" s="15" t="n">
        <v>5</v>
      </c>
      <c r="I8187" s="17" t="n">
        <v>0</v>
      </c>
      <c r="J8187" s="18" t="n">
        <v>111.62</v>
      </c>
      <c r="K8187" s="19" t="n">
        <v>33.9</v>
      </c>
      <c r="L8187" s="15" t="n">
        <f aca="false">YEAR(B8187)</f>
        <v>2022</v>
      </c>
      <c r="M8187" s="20" t="n">
        <f aca="false">IF(J8187&gt;0,K8187/J8187,0)</f>
        <v>0.303709012721734</v>
      </c>
    </row>
    <row r="8188" customFormat="false" ht="15" hidden="false" customHeight="false" outlineLevel="0" collapsed="false">
      <c r="A8188" s="15" t="s">
        <v>8245</v>
      </c>
      <c r="B8188" s="16" t="n">
        <v>45340</v>
      </c>
      <c r="C8188" s="15" t="s">
        <v>58</v>
      </c>
      <c r="D8188" s="15" t="s">
        <v>42</v>
      </c>
      <c r="E8188" s="15" t="s">
        <v>36</v>
      </c>
      <c r="F8188" s="15" t="s">
        <v>17</v>
      </c>
      <c r="G8188" s="15" t="s">
        <v>28</v>
      </c>
      <c r="H8188" s="15" t="n">
        <v>5</v>
      </c>
      <c r="I8188" s="17" t="n">
        <v>0</v>
      </c>
      <c r="J8188" s="18" t="n">
        <v>107.25</v>
      </c>
      <c r="K8188" s="19" t="n">
        <v>34.44</v>
      </c>
      <c r="L8188" s="15" t="n">
        <f aca="false">YEAR(B8188)</f>
        <v>2024</v>
      </c>
      <c r="M8188" s="20" t="n">
        <f aca="false">IF(J8188&gt;0,K8188/J8188,0)</f>
        <v>0.321118881118881</v>
      </c>
    </row>
    <row r="8189" customFormat="false" ht="15" hidden="false" customHeight="false" outlineLevel="0" collapsed="false">
      <c r="A8189" s="15" t="s">
        <v>8246</v>
      </c>
      <c r="B8189" s="16" t="n">
        <v>45854</v>
      </c>
      <c r="C8189" s="15" t="s">
        <v>56</v>
      </c>
      <c r="D8189" s="15" t="s">
        <v>42</v>
      </c>
      <c r="E8189" s="15" t="s">
        <v>36</v>
      </c>
      <c r="F8189" s="15" t="s">
        <v>18</v>
      </c>
      <c r="G8189" s="15" t="s">
        <v>30</v>
      </c>
      <c r="H8189" s="15" t="n">
        <v>4</v>
      </c>
      <c r="I8189" s="17" t="n">
        <v>0</v>
      </c>
      <c r="J8189" s="18" t="n">
        <v>169.05</v>
      </c>
      <c r="K8189" s="19" t="n">
        <v>37.79</v>
      </c>
      <c r="L8189" s="15" t="n">
        <f aca="false">YEAR(B8189)</f>
        <v>2025</v>
      </c>
      <c r="M8189" s="20" t="n">
        <f aca="false">IF(J8189&gt;0,K8189/J8189,0)</f>
        <v>0.223543330375628</v>
      </c>
    </row>
    <row r="8190" customFormat="false" ht="15" hidden="false" customHeight="false" outlineLevel="0" collapsed="false">
      <c r="A8190" s="15" t="s">
        <v>8247</v>
      </c>
      <c r="B8190" s="16" t="n">
        <v>44580</v>
      </c>
      <c r="C8190" s="15" t="s">
        <v>71</v>
      </c>
      <c r="D8190" s="15" t="s">
        <v>42</v>
      </c>
      <c r="E8190" s="15" t="s">
        <v>37</v>
      </c>
      <c r="F8190" s="15" t="s">
        <v>17</v>
      </c>
      <c r="G8190" s="15" t="s">
        <v>29</v>
      </c>
      <c r="H8190" s="15" t="n">
        <v>3</v>
      </c>
      <c r="I8190" s="17" t="n">
        <v>0</v>
      </c>
      <c r="J8190" s="18" t="n">
        <v>55.21</v>
      </c>
      <c r="K8190" s="19" t="n">
        <v>25.26</v>
      </c>
      <c r="L8190" s="15" t="n">
        <f aca="false">YEAR(B8190)</f>
        <v>2022</v>
      </c>
      <c r="M8190" s="20" t="n">
        <f aca="false">IF(J8190&gt;0,K8190/J8190,0)</f>
        <v>0.457525810541569</v>
      </c>
    </row>
    <row r="8191" customFormat="false" ht="15" hidden="false" customHeight="false" outlineLevel="0" collapsed="false">
      <c r="A8191" s="15" t="s">
        <v>8248</v>
      </c>
      <c r="B8191" s="16" t="n">
        <v>45850</v>
      </c>
      <c r="C8191" s="15" t="s">
        <v>56</v>
      </c>
      <c r="D8191" s="15" t="s">
        <v>43</v>
      </c>
      <c r="E8191" s="15" t="s">
        <v>37</v>
      </c>
      <c r="F8191" s="15" t="s">
        <v>16</v>
      </c>
      <c r="G8191" s="15" t="s">
        <v>22</v>
      </c>
      <c r="H8191" s="15" t="n">
        <v>3</v>
      </c>
      <c r="I8191" s="17" t="n">
        <v>0</v>
      </c>
      <c r="J8191" s="18" t="n">
        <v>1425.16</v>
      </c>
      <c r="K8191" s="19" t="n">
        <v>70.07</v>
      </c>
      <c r="L8191" s="15" t="n">
        <f aca="false">YEAR(B8191)</f>
        <v>2025</v>
      </c>
      <c r="M8191" s="20" t="n">
        <f aca="false">IF(J8191&gt;0,K8191/J8191,0)</f>
        <v>0.0491664093856128</v>
      </c>
    </row>
    <row r="8192" customFormat="false" ht="15" hidden="false" customHeight="false" outlineLevel="0" collapsed="false">
      <c r="A8192" s="15" t="s">
        <v>8249</v>
      </c>
      <c r="B8192" s="16" t="n">
        <v>45138</v>
      </c>
      <c r="C8192" s="15" t="s">
        <v>56</v>
      </c>
      <c r="D8192" s="15" t="s">
        <v>43</v>
      </c>
      <c r="E8192" s="15" t="s">
        <v>36</v>
      </c>
      <c r="F8192" s="15" t="s">
        <v>16</v>
      </c>
      <c r="G8192" s="15" t="s">
        <v>27</v>
      </c>
      <c r="H8192" s="15" t="n">
        <v>4</v>
      </c>
      <c r="I8192" s="17" t="n">
        <v>0.15</v>
      </c>
      <c r="J8192" s="18" t="n">
        <v>227.87</v>
      </c>
      <c r="K8192" s="19" t="n">
        <v>25.45</v>
      </c>
      <c r="L8192" s="15" t="n">
        <f aca="false">YEAR(B8192)</f>
        <v>2023</v>
      </c>
      <c r="M8192" s="20" t="n">
        <f aca="false">IF(J8192&gt;0,K8192/J8192,0)</f>
        <v>0.111686487909773</v>
      </c>
    </row>
    <row r="8193" customFormat="false" ht="15" hidden="false" customHeight="false" outlineLevel="0" collapsed="false">
      <c r="A8193" s="15" t="s">
        <v>8250</v>
      </c>
      <c r="B8193" s="16" t="n">
        <v>45447</v>
      </c>
      <c r="C8193" s="15" t="s">
        <v>71</v>
      </c>
      <c r="D8193" s="15" t="s">
        <v>43</v>
      </c>
      <c r="E8193" s="15" t="s">
        <v>39</v>
      </c>
      <c r="F8193" s="15" t="s">
        <v>17</v>
      </c>
      <c r="G8193" s="15" t="s">
        <v>31</v>
      </c>
      <c r="H8193" s="15" t="n">
        <v>5</v>
      </c>
      <c r="I8193" s="17" t="n">
        <v>0</v>
      </c>
      <c r="J8193" s="18" t="n">
        <v>830.44</v>
      </c>
      <c r="K8193" s="19" t="n">
        <v>215.06</v>
      </c>
      <c r="L8193" s="15" t="n">
        <f aca="false">YEAR(B8193)</f>
        <v>2024</v>
      </c>
      <c r="M8193" s="20" t="n">
        <f aca="false">IF(J8193&gt;0,K8193/J8193,0)</f>
        <v>0.258971147825249</v>
      </c>
    </row>
    <row r="8194" customFormat="false" ht="15" hidden="false" customHeight="false" outlineLevel="0" collapsed="false">
      <c r="A8194" s="15" t="s">
        <v>8251</v>
      </c>
      <c r="B8194" s="16" t="n">
        <v>45964</v>
      </c>
      <c r="C8194" s="15" t="s">
        <v>71</v>
      </c>
      <c r="D8194" s="15" t="s">
        <v>44</v>
      </c>
      <c r="E8194" s="15" t="s">
        <v>37</v>
      </c>
      <c r="F8194" s="15" t="s">
        <v>16</v>
      </c>
      <c r="G8194" s="15" t="s">
        <v>22</v>
      </c>
      <c r="H8194" s="15" t="n">
        <v>2</v>
      </c>
      <c r="I8194" s="17" t="n">
        <v>0</v>
      </c>
      <c r="J8194" s="18" t="n">
        <v>1164.65</v>
      </c>
      <c r="K8194" s="19" t="n">
        <v>8.3</v>
      </c>
      <c r="L8194" s="15" t="n">
        <f aca="false">YEAR(B8194)</f>
        <v>2025</v>
      </c>
      <c r="M8194" s="20" t="n">
        <f aca="false">IF(J8194&gt;0,K8194/J8194,0)</f>
        <v>0.00712660455930966</v>
      </c>
    </row>
    <row r="8195" customFormat="false" ht="15" hidden="false" customHeight="false" outlineLevel="0" collapsed="false">
      <c r="A8195" s="15" t="s">
        <v>8252</v>
      </c>
      <c r="B8195" s="16" t="n">
        <v>45665</v>
      </c>
      <c r="C8195" s="15" t="s">
        <v>56</v>
      </c>
      <c r="D8195" s="15" t="s">
        <v>42</v>
      </c>
      <c r="E8195" s="15" t="s">
        <v>36</v>
      </c>
      <c r="F8195" s="15" t="s">
        <v>17</v>
      </c>
      <c r="G8195" s="15" t="s">
        <v>29</v>
      </c>
      <c r="H8195" s="15" t="n">
        <v>5</v>
      </c>
      <c r="I8195" s="17" t="n">
        <v>0.2</v>
      </c>
      <c r="J8195" s="18" t="n">
        <v>52.39</v>
      </c>
      <c r="K8195" s="19" t="n">
        <v>11.49</v>
      </c>
      <c r="L8195" s="15" t="n">
        <f aca="false">YEAR(B8195)</f>
        <v>2025</v>
      </c>
      <c r="M8195" s="20" t="n">
        <f aca="false">IF(J8195&gt;0,K8195/J8195,0)</f>
        <v>0.219316663485398</v>
      </c>
    </row>
    <row r="8196" customFormat="false" ht="15" hidden="false" customHeight="false" outlineLevel="0" collapsed="false">
      <c r="A8196" s="15" t="s">
        <v>8253</v>
      </c>
      <c r="B8196" s="16" t="n">
        <v>45913</v>
      </c>
      <c r="C8196" s="15" t="s">
        <v>56</v>
      </c>
      <c r="D8196" s="15" t="s">
        <v>42</v>
      </c>
      <c r="E8196" s="15" t="s">
        <v>39</v>
      </c>
      <c r="F8196" s="15" t="s">
        <v>17</v>
      </c>
      <c r="G8196" s="15" t="s">
        <v>28</v>
      </c>
      <c r="H8196" s="15" t="n">
        <v>1</v>
      </c>
      <c r="I8196" s="17" t="n">
        <v>0.15</v>
      </c>
      <c r="J8196" s="18" t="n">
        <v>24.46</v>
      </c>
      <c r="K8196" s="19" t="n">
        <v>4.53</v>
      </c>
      <c r="L8196" s="15" t="n">
        <f aca="false">YEAR(B8196)</f>
        <v>2025</v>
      </c>
      <c r="M8196" s="20" t="n">
        <f aca="false">IF(J8196&gt;0,K8196/J8196,0)</f>
        <v>0.185200327064595</v>
      </c>
    </row>
    <row r="8197" customFormat="false" ht="15" hidden="false" customHeight="false" outlineLevel="0" collapsed="false">
      <c r="A8197" s="15" t="s">
        <v>8254</v>
      </c>
      <c r="B8197" s="16" t="n">
        <v>45546</v>
      </c>
      <c r="C8197" s="15" t="s">
        <v>56</v>
      </c>
      <c r="D8197" s="15" t="s">
        <v>42</v>
      </c>
      <c r="E8197" s="15" t="s">
        <v>36</v>
      </c>
      <c r="F8197" s="15" t="s">
        <v>16</v>
      </c>
      <c r="G8197" s="15" t="s">
        <v>22</v>
      </c>
      <c r="H8197" s="15" t="n">
        <v>4</v>
      </c>
      <c r="I8197" s="17" t="n">
        <v>0.1</v>
      </c>
      <c r="J8197" s="18" t="n">
        <v>1769.15</v>
      </c>
      <c r="K8197" s="19" t="n">
        <v>-211.05</v>
      </c>
      <c r="L8197" s="15" t="n">
        <f aca="false">YEAR(B8197)</f>
        <v>2024</v>
      </c>
      <c r="M8197" s="20" t="n">
        <f aca="false">IF(J8197&gt;0,K8197/J8197,0)</f>
        <v>-0.119294576491535</v>
      </c>
    </row>
    <row r="8198" customFormat="false" ht="15" hidden="false" customHeight="false" outlineLevel="0" collapsed="false">
      <c r="A8198" s="15" t="s">
        <v>8255</v>
      </c>
      <c r="B8198" s="16" t="n">
        <v>45611</v>
      </c>
      <c r="C8198" s="15" t="s">
        <v>68</v>
      </c>
      <c r="D8198" s="15" t="s">
        <v>42</v>
      </c>
      <c r="E8198" s="15" t="s">
        <v>39</v>
      </c>
      <c r="F8198" s="15" t="s">
        <v>17</v>
      </c>
      <c r="G8198" s="15" t="s">
        <v>29</v>
      </c>
      <c r="H8198" s="15" t="n">
        <v>1</v>
      </c>
      <c r="I8198" s="17" t="n">
        <v>0.05</v>
      </c>
      <c r="J8198" s="18" t="n">
        <v>15.74</v>
      </c>
      <c r="K8198" s="19" t="n">
        <v>6.42</v>
      </c>
      <c r="L8198" s="15" t="n">
        <f aca="false">YEAR(B8198)</f>
        <v>2024</v>
      </c>
      <c r="M8198" s="20" t="n">
        <f aca="false">IF(J8198&gt;0,K8198/J8198,0)</f>
        <v>0.407878017789072</v>
      </c>
    </row>
    <row r="8199" customFormat="false" ht="15" hidden="false" customHeight="false" outlineLevel="0" collapsed="false">
      <c r="A8199" s="15" t="s">
        <v>8256</v>
      </c>
      <c r="B8199" s="16" t="n">
        <v>45218</v>
      </c>
      <c r="C8199" s="15" t="s">
        <v>56</v>
      </c>
      <c r="D8199" s="15" t="s">
        <v>43</v>
      </c>
      <c r="E8199" s="15" t="s">
        <v>36</v>
      </c>
      <c r="F8199" s="15" t="s">
        <v>17</v>
      </c>
      <c r="G8199" s="15" t="s">
        <v>28</v>
      </c>
      <c r="H8199" s="15" t="n">
        <v>4</v>
      </c>
      <c r="I8199" s="17" t="n">
        <v>0.4</v>
      </c>
      <c r="J8199" s="18" t="n">
        <v>67.73</v>
      </c>
      <c r="K8199" s="19" t="n">
        <v>-5.3</v>
      </c>
      <c r="L8199" s="15" t="n">
        <f aca="false">YEAR(B8199)</f>
        <v>2023</v>
      </c>
      <c r="M8199" s="20" t="n">
        <f aca="false">IF(J8199&gt;0,K8199/J8199,0)</f>
        <v>-0.0782518824745312</v>
      </c>
    </row>
    <row r="8200" customFormat="false" ht="15" hidden="false" customHeight="false" outlineLevel="0" collapsed="false">
      <c r="A8200" s="15" t="s">
        <v>8257</v>
      </c>
      <c r="B8200" s="16" t="n">
        <v>45541</v>
      </c>
      <c r="C8200" s="15" t="s">
        <v>56</v>
      </c>
      <c r="D8200" s="15" t="s">
        <v>42</v>
      </c>
      <c r="E8200" s="15" t="s">
        <v>39</v>
      </c>
      <c r="F8200" s="15" t="s">
        <v>17</v>
      </c>
      <c r="G8200" s="15" t="s">
        <v>28</v>
      </c>
      <c r="H8200" s="15" t="n">
        <v>2</v>
      </c>
      <c r="I8200" s="17" t="n">
        <v>0.2</v>
      </c>
      <c r="J8200" s="18" t="n">
        <v>41.38</v>
      </c>
      <c r="K8200" s="19" t="n">
        <v>3.96</v>
      </c>
      <c r="L8200" s="15" t="n">
        <f aca="false">YEAR(B8200)</f>
        <v>2024</v>
      </c>
      <c r="M8200" s="20" t="n">
        <f aca="false">IF(J8200&gt;0,K8200/J8200,0)</f>
        <v>0.0956984050265829</v>
      </c>
    </row>
    <row r="8201" customFormat="false" ht="15" hidden="false" customHeight="false" outlineLevel="0" collapsed="false">
      <c r="A8201" s="15" t="s">
        <v>8258</v>
      </c>
      <c r="B8201" s="16" t="n">
        <v>45074</v>
      </c>
      <c r="C8201" s="15" t="s">
        <v>68</v>
      </c>
      <c r="D8201" s="15" t="s">
        <v>42</v>
      </c>
      <c r="E8201" s="15" t="s">
        <v>38</v>
      </c>
      <c r="F8201" s="15" t="s">
        <v>17</v>
      </c>
      <c r="G8201" s="15" t="s">
        <v>26</v>
      </c>
      <c r="H8201" s="15" t="n">
        <v>4</v>
      </c>
      <c r="I8201" s="17" t="n">
        <v>0</v>
      </c>
      <c r="J8201" s="18" t="n">
        <v>322.12</v>
      </c>
      <c r="K8201" s="19" t="n">
        <v>43.96</v>
      </c>
      <c r="L8201" s="15" t="n">
        <f aca="false">YEAR(B8201)</f>
        <v>2023</v>
      </c>
      <c r="M8201" s="20" t="n">
        <f aca="false">IF(J8201&gt;0,K8201/J8201,0)</f>
        <v>0.136470880417236</v>
      </c>
    </row>
    <row r="8202" customFormat="false" ht="15" hidden="false" customHeight="false" outlineLevel="0" collapsed="false">
      <c r="A8202" s="15" t="s">
        <v>8259</v>
      </c>
      <c r="B8202" s="16" t="n">
        <v>45934</v>
      </c>
      <c r="C8202" s="15" t="s">
        <v>56</v>
      </c>
      <c r="D8202" s="15" t="s">
        <v>43</v>
      </c>
      <c r="E8202" s="15" t="s">
        <v>39</v>
      </c>
      <c r="F8202" s="15" t="s">
        <v>16</v>
      </c>
      <c r="G8202" s="15" t="s">
        <v>27</v>
      </c>
      <c r="H8202" s="15" t="n">
        <v>4</v>
      </c>
      <c r="I8202" s="17" t="n">
        <v>0.2</v>
      </c>
      <c r="J8202" s="18" t="n">
        <v>243.13</v>
      </c>
      <c r="K8202" s="19" t="n">
        <v>17.66</v>
      </c>
      <c r="L8202" s="15" t="n">
        <f aca="false">YEAR(B8202)</f>
        <v>2025</v>
      </c>
      <c r="M8202" s="20" t="n">
        <f aca="false">IF(J8202&gt;0,K8202/J8202,0)</f>
        <v>0.0726360383334019</v>
      </c>
    </row>
    <row r="8203" customFormat="false" ht="15" hidden="false" customHeight="false" outlineLevel="0" collapsed="false">
      <c r="A8203" s="15" t="s">
        <v>8260</v>
      </c>
      <c r="B8203" s="16" t="n">
        <v>45087</v>
      </c>
      <c r="C8203" s="15" t="s">
        <v>56</v>
      </c>
      <c r="D8203" s="15" t="s">
        <v>42</v>
      </c>
      <c r="E8203" s="15" t="s">
        <v>36</v>
      </c>
      <c r="F8203" s="15" t="s">
        <v>17</v>
      </c>
      <c r="G8203" s="15" t="s">
        <v>28</v>
      </c>
      <c r="H8203" s="15" t="n">
        <v>4</v>
      </c>
      <c r="I8203" s="17" t="n">
        <v>0</v>
      </c>
      <c r="J8203" s="18" t="n">
        <v>83.74</v>
      </c>
      <c r="K8203" s="19" t="n">
        <v>27</v>
      </c>
      <c r="L8203" s="15" t="n">
        <f aca="false">YEAR(B8203)</f>
        <v>2023</v>
      </c>
      <c r="M8203" s="20" t="n">
        <f aca="false">IF(J8203&gt;0,K8203/J8203,0)</f>
        <v>0.322426558395032</v>
      </c>
    </row>
    <row r="8204" customFormat="false" ht="15" hidden="false" customHeight="false" outlineLevel="0" collapsed="false">
      <c r="A8204" s="15" t="s">
        <v>8261</v>
      </c>
      <c r="B8204" s="16" t="n">
        <v>45517</v>
      </c>
      <c r="C8204" s="15" t="s">
        <v>56</v>
      </c>
      <c r="D8204" s="15" t="s">
        <v>42</v>
      </c>
      <c r="E8204" s="15" t="s">
        <v>37</v>
      </c>
      <c r="F8204" s="15" t="s">
        <v>18</v>
      </c>
      <c r="G8204" s="15" t="s">
        <v>32</v>
      </c>
      <c r="H8204" s="15" t="n">
        <v>3</v>
      </c>
      <c r="I8204" s="17" t="n">
        <v>0</v>
      </c>
      <c r="J8204" s="18" t="n">
        <v>1113.05</v>
      </c>
      <c r="K8204" s="19" t="n">
        <v>307.28</v>
      </c>
      <c r="L8204" s="15" t="n">
        <f aca="false">YEAR(B8204)</f>
        <v>2024</v>
      </c>
      <c r="M8204" s="20" t="n">
        <f aca="false">IF(J8204&gt;0,K8204/J8204,0)</f>
        <v>0.276070257400836</v>
      </c>
    </row>
    <row r="8205" customFormat="false" ht="15" hidden="false" customHeight="false" outlineLevel="0" collapsed="false">
      <c r="A8205" s="15" t="s">
        <v>8262</v>
      </c>
      <c r="B8205" s="16" t="n">
        <v>45239</v>
      </c>
      <c r="C8205" s="15" t="s">
        <v>71</v>
      </c>
      <c r="D8205" s="15" t="s">
        <v>44</v>
      </c>
      <c r="E8205" s="15" t="s">
        <v>38</v>
      </c>
      <c r="F8205" s="15" t="s">
        <v>18</v>
      </c>
      <c r="G8205" s="15" t="s">
        <v>30</v>
      </c>
      <c r="H8205" s="15" t="n">
        <v>3</v>
      </c>
      <c r="I8205" s="17" t="n">
        <v>0.3</v>
      </c>
      <c r="J8205" s="18" t="n">
        <v>88.84</v>
      </c>
      <c r="K8205" s="19" t="n">
        <v>-2.94</v>
      </c>
      <c r="L8205" s="15" t="n">
        <f aca="false">YEAR(B8205)</f>
        <v>2023</v>
      </c>
      <c r="M8205" s="20" t="n">
        <f aca="false">IF(J8205&gt;0,K8205/J8205,0)</f>
        <v>-0.0330932012606934</v>
      </c>
    </row>
    <row r="8206" customFormat="false" ht="15" hidden="false" customHeight="false" outlineLevel="0" collapsed="false">
      <c r="A8206" s="15" t="s">
        <v>8263</v>
      </c>
      <c r="B8206" s="16" t="n">
        <v>44941</v>
      </c>
      <c r="C8206" s="15" t="s">
        <v>56</v>
      </c>
      <c r="D8206" s="15" t="s">
        <v>42</v>
      </c>
      <c r="E8206" s="15" t="s">
        <v>38</v>
      </c>
      <c r="F8206" s="15" t="s">
        <v>17</v>
      </c>
      <c r="G8206" s="15" t="s">
        <v>26</v>
      </c>
      <c r="H8206" s="15" t="n">
        <v>4</v>
      </c>
      <c r="I8206" s="17" t="n">
        <v>0.3</v>
      </c>
      <c r="J8206" s="18" t="n">
        <v>276.14</v>
      </c>
      <c r="K8206" s="19" t="n">
        <v>-53.55</v>
      </c>
      <c r="L8206" s="15" t="n">
        <f aca="false">YEAR(B8206)</f>
        <v>2023</v>
      </c>
      <c r="M8206" s="20" t="n">
        <f aca="false">IF(J8206&gt;0,K8206/J8206,0)</f>
        <v>-0.193923372202506</v>
      </c>
    </row>
    <row r="8207" customFormat="false" ht="15" hidden="false" customHeight="false" outlineLevel="0" collapsed="false">
      <c r="A8207" s="15" t="s">
        <v>8264</v>
      </c>
      <c r="B8207" s="16" t="n">
        <v>44627</v>
      </c>
      <c r="C8207" s="15" t="s">
        <v>56</v>
      </c>
      <c r="D8207" s="15" t="s">
        <v>43</v>
      </c>
      <c r="E8207" s="15" t="s">
        <v>36</v>
      </c>
      <c r="F8207" s="15" t="s">
        <v>16</v>
      </c>
      <c r="G8207" s="15" t="s">
        <v>22</v>
      </c>
      <c r="H8207" s="15" t="n">
        <v>3</v>
      </c>
      <c r="I8207" s="17" t="n">
        <v>0.2</v>
      </c>
      <c r="J8207" s="18" t="n">
        <v>1145.06</v>
      </c>
      <c r="K8207" s="19" t="n">
        <v>-186.89</v>
      </c>
      <c r="L8207" s="15" t="n">
        <f aca="false">YEAR(B8207)</f>
        <v>2022</v>
      </c>
      <c r="M8207" s="20" t="n">
        <f aca="false">IF(J8207&gt;0,K8207/J8207,0)</f>
        <v>-0.163214154716783</v>
      </c>
    </row>
    <row r="8208" customFormat="false" ht="15" hidden="false" customHeight="false" outlineLevel="0" collapsed="false">
      <c r="A8208" s="15" t="s">
        <v>8265</v>
      </c>
      <c r="B8208" s="16" t="n">
        <v>44894</v>
      </c>
      <c r="C8208" s="15" t="s">
        <v>71</v>
      </c>
      <c r="D8208" s="15" t="s">
        <v>42</v>
      </c>
      <c r="E8208" s="15" t="s">
        <v>39</v>
      </c>
      <c r="F8208" s="15" t="s">
        <v>16</v>
      </c>
      <c r="G8208" s="15" t="s">
        <v>27</v>
      </c>
      <c r="H8208" s="15" t="n">
        <v>3</v>
      </c>
      <c r="I8208" s="17" t="n">
        <v>0</v>
      </c>
      <c r="J8208" s="18" t="n">
        <v>146.42</v>
      </c>
      <c r="K8208" s="19" t="n">
        <v>32.77</v>
      </c>
      <c r="L8208" s="15" t="n">
        <f aca="false">YEAR(B8208)</f>
        <v>2022</v>
      </c>
      <c r="M8208" s="20" t="n">
        <f aca="false">IF(J8208&gt;0,K8208/J8208,0)</f>
        <v>0.223808222920366</v>
      </c>
    </row>
    <row r="8209" customFormat="false" ht="15" hidden="false" customHeight="false" outlineLevel="0" collapsed="false">
      <c r="A8209" s="15" t="s">
        <v>8266</v>
      </c>
      <c r="B8209" s="16" t="n">
        <v>45910</v>
      </c>
      <c r="C8209" s="15" t="s">
        <v>56</v>
      </c>
      <c r="D8209" s="15" t="s">
        <v>44</v>
      </c>
      <c r="E8209" s="15" t="s">
        <v>39</v>
      </c>
      <c r="F8209" s="15" t="s">
        <v>17</v>
      </c>
      <c r="G8209" s="15" t="s">
        <v>28</v>
      </c>
      <c r="H8209" s="15" t="n">
        <v>1</v>
      </c>
      <c r="I8209" s="17" t="n">
        <v>0</v>
      </c>
      <c r="J8209" s="18" t="n">
        <v>27.17</v>
      </c>
      <c r="K8209" s="19" t="n">
        <v>5.67</v>
      </c>
      <c r="L8209" s="15" t="n">
        <f aca="false">YEAR(B8209)</f>
        <v>2025</v>
      </c>
      <c r="M8209" s="20" t="n">
        <f aca="false">IF(J8209&gt;0,K8209/J8209,0)</f>
        <v>0.208686050791314</v>
      </c>
    </row>
    <row r="8210" customFormat="false" ht="15" hidden="false" customHeight="false" outlineLevel="0" collapsed="false">
      <c r="A8210" s="15" t="s">
        <v>8267</v>
      </c>
      <c r="B8210" s="16" t="n">
        <v>45233</v>
      </c>
      <c r="C8210" s="15" t="s">
        <v>56</v>
      </c>
      <c r="D8210" s="15" t="s">
        <v>42</v>
      </c>
      <c r="E8210" s="15" t="s">
        <v>39</v>
      </c>
      <c r="F8210" s="15" t="s">
        <v>18</v>
      </c>
      <c r="G8210" s="15" t="s">
        <v>32</v>
      </c>
      <c r="H8210" s="15" t="n">
        <v>2</v>
      </c>
      <c r="I8210" s="17" t="n">
        <v>0</v>
      </c>
      <c r="J8210" s="18" t="n">
        <v>830.28</v>
      </c>
      <c r="K8210" s="19" t="n">
        <v>164.42</v>
      </c>
      <c r="L8210" s="15" t="n">
        <f aca="false">YEAR(B8210)</f>
        <v>2023</v>
      </c>
      <c r="M8210" s="20" t="n">
        <f aca="false">IF(J8210&gt;0,K8210/J8210,0)</f>
        <v>0.198029580382522</v>
      </c>
    </row>
    <row r="8211" customFormat="false" ht="15" hidden="false" customHeight="false" outlineLevel="0" collapsed="false">
      <c r="A8211" s="15" t="s">
        <v>8268</v>
      </c>
      <c r="B8211" s="16" t="n">
        <v>44962</v>
      </c>
      <c r="C8211" s="15" t="s">
        <v>71</v>
      </c>
      <c r="D8211" s="15" t="s">
        <v>42</v>
      </c>
      <c r="E8211" s="15" t="s">
        <v>38</v>
      </c>
      <c r="F8211" s="15" t="s">
        <v>17</v>
      </c>
      <c r="G8211" s="15" t="s">
        <v>26</v>
      </c>
      <c r="H8211" s="15" t="n">
        <v>5</v>
      </c>
      <c r="I8211" s="17" t="n">
        <v>0</v>
      </c>
      <c r="J8211" s="18" t="n">
        <v>376.23</v>
      </c>
      <c r="K8211" s="19" t="n">
        <v>44.67</v>
      </c>
      <c r="L8211" s="15" t="n">
        <f aca="false">YEAR(B8211)</f>
        <v>2023</v>
      </c>
      <c r="M8211" s="20" t="n">
        <f aca="false">IF(J8211&gt;0,K8211/J8211,0)</f>
        <v>0.118730563750897</v>
      </c>
    </row>
    <row r="8212" customFormat="false" ht="15" hidden="false" customHeight="false" outlineLevel="0" collapsed="false">
      <c r="A8212" s="15" t="s">
        <v>8269</v>
      </c>
      <c r="B8212" s="16" t="n">
        <v>45124</v>
      </c>
      <c r="C8212" s="15" t="s">
        <v>56</v>
      </c>
      <c r="D8212" s="15" t="s">
        <v>43</v>
      </c>
      <c r="E8212" s="15" t="s">
        <v>37</v>
      </c>
      <c r="F8212" s="15" t="s">
        <v>17</v>
      </c>
      <c r="G8212" s="15" t="s">
        <v>29</v>
      </c>
      <c r="H8212" s="15" t="n">
        <v>4</v>
      </c>
      <c r="I8212" s="17" t="n">
        <v>0.3</v>
      </c>
      <c r="J8212" s="18" t="n">
        <v>65.5</v>
      </c>
      <c r="K8212" s="19" t="n">
        <v>9</v>
      </c>
      <c r="L8212" s="15" t="n">
        <f aca="false">YEAR(B8212)</f>
        <v>2023</v>
      </c>
      <c r="M8212" s="20" t="n">
        <f aca="false">IF(J8212&gt;0,K8212/J8212,0)</f>
        <v>0.137404580152672</v>
      </c>
    </row>
    <row r="8213" customFormat="false" ht="15" hidden="false" customHeight="false" outlineLevel="0" collapsed="false">
      <c r="A8213" s="15" t="s">
        <v>8270</v>
      </c>
      <c r="B8213" s="16" t="n">
        <v>45963</v>
      </c>
      <c r="C8213" s="15" t="s">
        <v>56</v>
      </c>
      <c r="D8213" s="15" t="s">
        <v>42</v>
      </c>
      <c r="E8213" s="15" t="s">
        <v>38</v>
      </c>
      <c r="F8213" s="15" t="s">
        <v>17</v>
      </c>
      <c r="G8213" s="15" t="s">
        <v>28</v>
      </c>
      <c r="H8213" s="15" t="n">
        <v>3</v>
      </c>
      <c r="I8213" s="17" t="n">
        <v>0.1</v>
      </c>
      <c r="J8213" s="18" t="n">
        <v>71.9</v>
      </c>
      <c r="K8213" s="19" t="n">
        <v>17.91</v>
      </c>
      <c r="L8213" s="15" t="n">
        <f aca="false">YEAR(B8213)</f>
        <v>2025</v>
      </c>
      <c r="M8213" s="20" t="n">
        <f aca="false">IF(J8213&gt;0,K8213/J8213,0)</f>
        <v>0.249095966620306</v>
      </c>
    </row>
    <row r="8214" customFormat="false" ht="15" hidden="false" customHeight="false" outlineLevel="0" collapsed="false">
      <c r="A8214" s="15" t="s">
        <v>8271</v>
      </c>
      <c r="B8214" s="16" t="n">
        <v>44859</v>
      </c>
      <c r="C8214" s="15" t="s">
        <v>58</v>
      </c>
      <c r="D8214" s="15" t="s">
        <v>42</v>
      </c>
      <c r="E8214" s="15" t="s">
        <v>37</v>
      </c>
      <c r="F8214" s="15" t="s">
        <v>18</v>
      </c>
      <c r="G8214" s="15" t="s">
        <v>32</v>
      </c>
      <c r="H8214" s="15" t="n">
        <v>1</v>
      </c>
      <c r="I8214" s="17" t="n">
        <v>0</v>
      </c>
      <c r="J8214" s="18" t="n">
        <v>324.07</v>
      </c>
      <c r="K8214" s="19" t="n">
        <v>83.27</v>
      </c>
      <c r="L8214" s="15" t="n">
        <f aca="false">YEAR(B8214)</f>
        <v>2022</v>
      </c>
      <c r="M8214" s="20" t="n">
        <f aca="false">IF(J8214&gt;0,K8214/J8214,0)</f>
        <v>0.256950658808282</v>
      </c>
    </row>
    <row r="8215" customFormat="false" ht="15" hidden="false" customHeight="false" outlineLevel="0" collapsed="false">
      <c r="A8215" s="15" t="s">
        <v>8272</v>
      </c>
      <c r="B8215" s="16" t="n">
        <v>44896</v>
      </c>
      <c r="C8215" s="15" t="s">
        <v>56</v>
      </c>
      <c r="D8215" s="15" t="s">
        <v>42</v>
      </c>
      <c r="E8215" s="15" t="s">
        <v>36</v>
      </c>
      <c r="F8215" s="15" t="s">
        <v>17</v>
      </c>
      <c r="G8215" s="15" t="s">
        <v>29</v>
      </c>
      <c r="H8215" s="15" t="n">
        <v>2</v>
      </c>
      <c r="I8215" s="17" t="n">
        <v>0</v>
      </c>
      <c r="J8215" s="18" t="n">
        <v>40.92</v>
      </c>
      <c r="K8215" s="19" t="n">
        <v>15.36</v>
      </c>
      <c r="L8215" s="15" t="n">
        <f aca="false">YEAR(B8215)</f>
        <v>2022</v>
      </c>
      <c r="M8215" s="20" t="n">
        <f aca="false">IF(J8215&gt;0,K8215/J8215,0)</f>
        <v>0.375366568914956</v>
      </c>
    </row>
    <row r="8216" customFormat="false" ht="15" hidden="false" customHeight="false" outlineLevel="0" collapsed="false">
      <c r="A8216" s="15" t="s">
        <v>8273</v>
      </c>
      <c r="B8216" s="16" t="n">
        <v>45523</v>
      </c>
      <c r="C8216" s="15" t="s">
        <v>56</v>
      </c>
      <c r="D8216" s="15" t="s">
        <v>43</v>
      </c>
      <c r="E8216" s="15" t="s">
        <v>39</v>
      </c>
      <c r="F8216" s="15" t="s">
        <v>18</v>
      </c>
      <c r="G8216" s="15" t="s">
        <v>30</v>
      </c>
      <c r="H8216" s="15" t="n">
        <v>3</v>
      </c>
      <c r="I8216" s="17" t="n">
        <v>0</v>
      </c>
      <c r="J8216" s="18" t="n">
        <v>161.69</v>
      </c>
      <c r="K8216" s="19" t="n">
        <v>50.72</v>
      </c>
      <c r="L8216" s="15" t="n">
        <f aca="false">YEAR(B8216)</f>
        <v>2024</v>
      </c>
      <c r="M8216" s="20" t="n">
        <f aca="false">IF(J8216&gt;0,K8216/J8216,0)</f>
        <v>0.313686684396067</v>
      </c>
    </row>
    <row r="8217" customFormat="false" ht="15" hidden="false" customHeight="false" outlineLevel="0" collapsed="false">
      <c r="A8217" s="15" t="s">
        <v>8274</v>
      </c>
      <c r="B8217" s="16" t="n">
        <v>44978</v>
      </c>
      <c r="C8217" s="15" t="s">
        <v>68</v>
      </c>
      <c r="D8217" s="15" t="s">
        <v>44</v>
      </c>
      <c r="E8217" s="15" t="s">
        <v>38</v>
      </c>
      <c r="F8217" s="15" t="s">
        <v>16</v>
      </c>
      <c r="G8217" s="15" t="s">
        <v>27</v>
      </c>
      <c r="H8217" s="15" t="n">
        <v>2</v>
      </c>
      <c r="I8217" s="17" t="n">
        <v>0.3</v>
      </c>
      <c r="J8217" s="18" t="n">
        <v>69.7</v>
      </c>
      <c r="K8217" s="19" t="n">
        <v>-4.45</v>
      </c>
      <c r="L8217" s="15" t="n">
        <f aca="false">YEAR(B8217)</f>
        <v>2023</v>
      </c>
      <c r="M8217" s="20" t="n">
        <f aca="false">IF(J8217&gt;0,K8217/J8217,0)</f>
        <v>-0.063845050215208</v>
      </c>
    </row>
    <row r="8218" customFormat="false" ht="15" hidden="false" customHeight="false" outlineLevel="0" collapsed="false">
      <c r="A8218" s="15" t="s">
        <v>8275</v>
      </c>
      <c r="B8218" s="16" t="n">
        <v>45012</v>
      </c>
      <c r="C8218" s="15" t="s">
        <v>71</v>
      </c>
      <c r="D8218" s="15" t="s">
        <v>44</v>
      </c>
      <c r="E8218" s="15" t="s">
        <v>38</v>
      </c>
      <c r="F8218" s="15" t="s">
        <v>17</v>
      </c>
      <c r="G8218" s="15" t="s">
        <v>29</v>
      </c>
      <c r="H8218" s="15" t="n">
        <v>2</v>
      </c>
      <c r="I8218" s="17" t="n">
        <v>0</v>
      </c>
      <c r="J8218" s="18" t="n">
        <v>36.33</v>
      </c>
      <c r="K8218" s="19" t="n">
        <v>14.91</v>
      </c>
      <c r="L8218" s="15" t="n">
        <f aca="false">YEAR(B8218)</f>
        <v>2023</v>
      </c>
      <c r="M8218" s="20" t="n">
        <f aca="false">IF(J8218&gt;0,K8218/J8218,0)</f>
        <v>0.410404624277457</v>
      </c>
    </row>
    <row r="8219" customFormat="false" ht="15" hidden="false" customHeight="false" outlineLevel="0" collapsed="false">
      <c r="A8219" s="15" t="s">
        <v>8276</v>
      </c>
      <c r="B8219" s="16" t="n">
        <v>45620</v>
      </c>
      <c r="C8219" s="15" t="s">
        <v>56</v>
      </c>
      <c r="D8219" s="15" t="s">
        <v>42</v>
      </c>
      <c r="E8219" s="15" t="s">
        <v>38</v>
      </c>
      <c r="F8219" s="15" t="s">
        <v>16</v>
      </c>
      <c r="G8219" s="15" t="s">
        <v>27</v>
      </c>
      <c r="H8219" s="15" t="n">
        <v>4</v>
      </c>
      <c r="I8219" s="17" t="n">
        <v>0.05</v>
      </c>
      <c r="J8219" s="18" t="n">
        <v>241.49</v>
      </c>
      <c r="K8219" s="19" t="n">
        <v>50.13</v>
      </c>
      <c r="L8219" s="15" t="n">
        <f aca="false">YEAR(B8219)</f>
        <v>2024</v>
      </c>
      <c r="M8219" s="20" t="n">
        <f aca="false">IF(J8219&gt;0,K8219/J8219,0)</f>
        <v>0.207586235454884</v>
      </c>
    </row>
    <row r="8220" customFormat="false" ht="15" hidden="false" customHeight="false" outlineLevel="0" collapsed="false">
      <c r="A8220" s="15" t="s">
        <v>8277</v>
      </c>
      <c r="B8220" s="16" t="n">
        <v>44635</v>
      </c>
      <c r="C8220" s="15" t="s">
        <v>71</v>
      </c>
      <c r="D8220" s="15" t="s">
        <v>43</v>
      </c>
      <c r="E8220" s="15" t="s">
        <v>36</v>
      </c>
      <c r="F8220" s="15" t="s">
        <v>17</v>
      </c>
      <c r="G8220" s="15" t="s">
        <v>31</v>
      </c>
      <c r="H8220" s="15" t="n">
        <v>3</v>
      </c>
      <c r="I8220" s="17" t="n">
        <v>0.2</v>
      </c>
      <c r="J8220" s="18" t="n">
        <v>315.77</v>
      </c>
      <c r="K8220" s="19" t="n">
        <v>11.77</v>
      </c>
      <c r="L8220" s="15" t="n">
        <f aca="false">YEAR(B8220)</f>
        <v>2022</v>
      </c>
      <c r="M8220" s="20" t="n">
        <f aca="false">IF(J8220&gt;0,K8220/J8220,0)</f>
        <v>0.0372739652278557</v>
      </c>
    </row>
    <row r="8221" customFormat="false" ht="15" hidden="false" customHeight="false" outlineLevel="0" collapsed="false">
      <c r="A8221" s="15" t="s">
        <v>8278</v>
      </c>
      <c r="B8221" s="16" t="n">
        <v>45970</v>
      </c>
      <c r="C8221" s="15" t="s">
        <v>56</v>
      </c>
      <c r="D8221" s="15" t="s">
        <v>42</v>
      </c>
      <c r="E8221" s="15" t="s">
        <v>38</v>
      </c>
      <c r="F8221" s="15" t="s">
        <v>17</v>
      </c>
      <c r="G8221" s="15" t="s">
        <v>28</v>
      </c>
      <c r="H8221" s="15" t="n">
        <v>3</v>
      </c>
      <c r="I8221" s="17" t="n">
        <v>0</v>
      </c>
      <c r="J8221" s="18" t="n">
        <v>68.79</v>
      </c>
      <c r="K8221" s="19" t="n">
        <v>18.83</v>
      </c>
      <c r="L8221" s="15" t="n">
        <f aca="false">YEAR(B8221)</f>
        <v>2025</v>
      </c>
      <c r="M8221" s="20" t="n">
        <f aca="false">IF(J8221&gt;0,K8221/J8221,0)</f>
        <v>0.273731647041721</v>
      </c>
    </row>
    <row r="8222" customFormat="false" ht="15" hidden="false" customHeight="false" outlineLevel="0" collapsed="false">
      <c r="A8222" s="15" t="s">
        <v>8279</v>
      </c>
      <c r="B8222" s="16" t="n">
        <v>45265</v>
      </c>
      <c r="C8222" s="15" t="s">
        <v>56</v>
      </c>
      <c r="D8222" s="15" t="s">
        <v>42</v>
      </c>
      <c r="E8222" s="15" t="s">
        <v>37</v>
      </c>
      <c r="F8222" s="15" t="s">
        <v>17</v>
      </c>
      <c r="G8222" s="15" t="s">
        <v>26</v>
      </c>
      <c r="H8222" s="15" t="n">
        <v>2</v>
      </c>
      <c r="I8222" s="17" t="n">
        <v>0</v>
      </c>
      <c r="J8222" s="18" t="n">
        <v>202.77</v>
      </c>
      <c r="K8222" s="19" t="n">
        <v>24.52</v>
      </c>
      <c r="L8222" s="15" t="n">
        <f aca="false">YEAR(B8222)</f>
        <v>2023</v>
      </c>
      <c r="M8222" s="20" t="n">
        <f aca="false">IF(J8222&gt;0,K8222/J8222,0)</f>
        <v>0.120925186171524</v>
      </c>
    </row>
    <row r="8223" customFormat="false" ht="15" hidden="false" customHeight="false" outlineLevel="0" collapsed="false">
      <c r="A8223" s="15" t="s">
        <v>8280</v>
      </c>
      <c r="B8223" s="16" t="n">
        <v>44970</v>
      </c>
      <c r="C8223" s="15" t="s">
        <v>58</v>
      </c>
      <c r="D8223" s="15" t="s">
        <v>44</v>
      </c>
      <c r="E8223" s="15" t="s">
        <v>37</v>
      </c>
      <c r="F8223" s="15" t="s">
        <v>18</v>
      </c>
      <c r="G8223" s="15" t="s">
        <v>32</v>
      </c>
      <c r="H8223" s="15" t="n">
        <v>5</v>
      </c>
      <c r="I8223" s="17" t="n">
        <v>0</v>
      </c>
      <c r="J8223" s="18" t="n">
        <v>2529.8</v>
      </c>
      <c r="K8223" s="19" t="n">
        <v>328.6</v>
      </c>
      <c r="L8223" s="15" t="n">
        <f aca="false">YEAR(B8223)</f>
        <v>2023</v>
      </c>
      <c r="M8223" s="20" t="n">
        <f aca="false">IF(J8223&gt;0,K8223/J8223,0)</f>
        <v>0.12989169104277</v>
      </c>
    </row>
    <row r="8224" customFormat="false" ht="15" hidden="false" customHeight="false" outlineLevel="0" collapsed="false">
      <c r="A8224" s="15" t="s">
        <v>8281</v>
      </c>
      <c r="B8224" s="16" t="n">
        <v>45765</v>
      </c>
      <c r="C8224" s="15" t="s">
        <v>56</v>
      </c>
      <c r="D8224" s="15" t="s">
        <v>42</v>
      </c>
      <c r="E8224" s="15" t="s">
        <v>39</v>
      </c>
      <c r="F8224" s="15" t="s">
        <v>18</v>
      </c>
      <c r="G8224" s="15" t="s">
        <v>32</v>
      </c>
      <c r="H8224" s="15" t="n">
        <v>6</v>
      </c>
      <c r="I8224" s="17" t="n">
        <v>0.05</v>
      </c>
      <c r="J8224" s="18" t="n">
        <v>2559.76</v>
      </c>
      <c r="K8224" s="19" t="n">
        <v>441.09</v>
      </c>
      <c r="L8224" s="15" t="n">
        <f aca="false">YEAR(B8224)</f>
        <v>2025</v>
      </c>
      <c r="M8224" s="20" t="n">
        <f aca="false">IF(J8224&gt;0,K8224/J8224,0)</f>
        <v>0.172316935962746</v>
      </c>
    </row>
    <row r="8225" customFormat="false" ht="15" hidden="false" customHeight="false" outlineLevel="0" collapsed="false">
      <c r="A8225" s="15" t="s">
        <v>8282</v>
      </c>
      <c r="B8225" s="16" t="n">
        <v>45342</v>
      </c>
      <c r="C8225" s="15" t="s">
        <v>71</v>
      </c>
      <c r="D8225" s="15" t="s">
        <v>42</v>
      </c>
      <c r="E8225" s="15" t="s">
        <v>37</v>
      </c>
      <c r="F8225" s="15" t="s">
        <v>17</v>
      </c>
      <c r="G8225" s="15" t="s">
        <v>29</v>
      </c>
      <c r="H8225" s="15" t="n">
        <v>2</v>
      </c>
      <c r="I8225" s="17" t="n">
        <v>0.5</v>
      </c>
      <c r="J8225" s="18" t="n">
        <v>17.44</v>
      </c>
      <c r="K8225" s="19" t="n">
        <v>-1.38</v>
      </c>
      <c r="L8225" s="15" t="n">
        <f aca="false">YEAR(B8225)</f>
        <v>2024</v>
      </c>
      <c r="M8225" s="20" t="n">
        <f aca="false">IF(J8225&gt;0,K8225/J8225,0)</f>
        <v>-0.0791284403669725</v>
      </c>
    </row>
    <row r="8226" customFormat="false" ht="15" hidden="false" customHeight="false" outlineLevel="0" collapsed="false">
      <c r="A8226" s="15" t="s">
        <v>8283</v>
      </c>
      <c r="B8226" s="16" t="n">
        <v>44943</v>
      </c>
      <c r="C8226" s="15" t="s">
        <v>56</v>
      </c>
      <c r="D8226" s="15" t="s">
        <v>42</v>
      </c>
      <c r="E8226" s="15" t="s">
        <v>38</v>
      </c>
      <c r="F8226" s="15" t="s">
        <v>17</v>
      </c>
      <c r="G8226" s="15" t="s">
        <v>28</v>
      </c>
      <c r="H8226" s="15" t="n">
        <v>4</v>
      </c>
      <c r="I8226" s="17" t="n">
        <v>0</v>
      </c>
      <c r="J8226" s="18" t="n">
        <v>87.45</v>
      </c>
      <c r="K8226" s="19" t="n">
        <v>27.89</v>
      </c>
      <c r="L8226" s="15" t="n">
        <f aca="false">YEAR(B8226)</f>
        <v>2023</v>
      </c>
      <c r="M8226" s="20" t="n">
        <f aca="false">IF(J8226&gt;0,K8226/J8226,0)</f>
        <v>0.318925100057176</v>
      </c>
    </row>
    <row r="8227" customFormat="false" ht="15" hidden="false" customHeight="false" outlineLevel="0" collapsed="false">
      <c r="A8227" s="15" t="s">
        <v>8284</v>
      </c>
      <c r="B8227" s="16" t="n">
        <v>44924</v>
      </c>
      <c r="C8227" s="15" t="s">
        <v>56</v>
      </c>
      <c r="D8227" s="15" t="s">
        <v>42</v>
      </c>
      <c r="E8227" s="15" t="s">
        <v>37</v>
      </c>
      <c r="F8227" s="15" t="s">
        <v>17</v>
      </c>
      <c r="G8227" s="15" t="s">
        <v>28</v>
      </c>
      <c r="H8227" s="15" t="n">
        <v>4</v>
      </c>
      <c r="I8227" s="17" t="n">
        <v>0.2</v>
      </c>
      <c r="J8227" s="18" t="n">
        <v>72.67</v>
      </c>
      <c r="K8227" s="19" t="n">
        <v>5.36</v>
      </c>
      <c r="L8227" s="15" t="n">
        <f aca="false">YEAR(B8227)</f>
        <v>2022</v>
      </c>
      <c r="M8227" s="20" t="n">
        <f aca="false">IF(J8227&gt;0,K8227/J8227,0)</f>
        <v>0.0737580844915371</v>
      </c>
    </row>
    <row r="8228" customFormat="false" ht="15" hidden="false" customHeight="false" outlineLevel="0" collapsed="false">
      <c r="A8228" s="15" t="s">
        <v>8285</v>
      </c>
      <c r="B8228" s="16" t="n">
        <v>45641</v>
      </c>
      <c r="C8228" s="15" t="s">
        <v>71</v>
      </c>
      <c r="D8228" s="15" t="s">
        <v>42</v>
      </c>
      <c r="E8228" s="15" t="s">
        <v>36</v>
      </c>
      <c r="F8228" s="15" t="s">
        <v>17</v>
      </c>
      <c r="G8228" s="15" t="s">
        <v>28</v>
      </c>
      <c r="H8228" s="15" t="n">
        <v>2</v>
      </c>
      <c r="I8228" s="17" t="n">
        <v>0</v>
      </c>
      <c r="J8228" s="18" t="n">
        <v>63.26</v>
      </c>
      <c r="K8228" s="19" t="n">
        <v>21.16</v>
      </c>
      <c r="L8228" s="15" t="n">
        <f aca="false">YEAR(B8228)</f>
        <v>2024</v>
      </c>
      <c r="M8228" s="20" t="n">
        <f aca="false">IF(J8228&gt;0,K8228/J8228,0)</f>
        <v>0.33449257034461</v>
      </c>
    </row>
    <row r="8229" customFormat="false" ht="15" hidden="false" customHeight="false" outlineLevel="0" collapsed="false">
      <c r="A8229" s="15" t="s">
        <v>8286</v>
      </c>
      <c r="B8229" s="16" t="n">
        <v>45967</v>
      </c>
      <c r="C8229" s="15" t="s">
        <v>56</v>
      </c>
      <c r="D8229" s="15" t="s">
        <v>43</v>
      </c>
      <c r="E8229" s="15" t="s">
        <v>38</v>
      </c>
      <c r="F8229" s="15" t="s">
        <v>16</v>
      </c>
      <c r="G8229" s="15" t="s">
        <v>25</v>
      </c>
      <c r="H8229" s="15" t="n">
        <v>1</v>
      </c>
      <c r="I8229" s="17" t="n">
        <v>0.3</v>
      </c>
      <c r="J8229" s="18" t="n">
        <v>175.95</v>
      </c>
      <c r="K8229" s="19" t="n">
        <v>-19.41</v>
      </c>
      <c r="L8229" s="15" t="n">
        <f aca="false">YEAR(B8229)</f>
        <v>2025</v>
      </c>
      <c r="M8229" s="20" t="n">
        <f aca="false">IF(J8229&gt;0,K8229/J8229,0)</f>
        <v>-0.110315430520034</v>
      </c>
    </row>
    <row r="8230" customFormat="false" ht="15" hidden="false" customHeight="false" outlineLevel="0" collapsed="false">
      <c r="A8230" s="15" t="s">
        <v>8287</v>
      </c>
      <c r="B8230" s="16" t="n">
        <v>45647</v>
      </c>
      <c r="C8230" s="15" t="s">
        <v>68</v>
      </c>
      <c r="D8230" s="15" t="s">
        <v>42</v>
      </c>
      <c r="E8230" s="15" t="s">
        <v>39</v>
      </c>
      <c r="F8230" s="15" t="s">
        <v>17</v>
      </c>
      <c r="G8230" s="15" t="s">
        <v>26</v>
      </c>
      <c r="H8230" s="15" t="n">
        <v>5</v>
      </c>
      <c r="I8230" s="17" t="n">
        <v>0</v>
      </c>
      <c r="J8230" s="18" t="n">
        <v>419.3</v>
      </c>
      <c r="K8230" s="19" t="n">
        <v>62.23</v>
      </c>
      <c r="L8230" s="15" t="n">
        <f aca="false">YEAR(B8230)</f>
        <v>2024</v>
      </c>
      <c r="M8230" s="20" t="n">
        <f aca="false">IF(J8230&gt;0,K8230/J8230,0)</f>
        <v>0.148414023372287</v>
      </c>
    </row>
    <row r="8231" customFormat="false" ht="15" hidden="false" customHeight="false" outlineLevel="0" collapsed="false">
      <c r="A8231" s="15" t="s">
        <v>8288</v>
      </c>
      <c r="B8231" s="16" t="n">
        <v>45337</v>
      </c>
      <c r="C8231" s="15" t="s">
        <v>56</v>
      </c>
      <c r="D8231" s="15" t="s">
        <v>42</v>
      </c>
      <c r="E8231" s="15" t="s">
        <v>39</v>
      </c>
      <c r="F8231" s="15" t="s">
        <v>17</v>
      </c>
      <c r="G8231" s="15" t="s">
        <v>28</v>
      </c>
      <c r="H8231" s="15" t="n">
        <v>4</v>
      </c>
      <c r="I8231" s="17" t="n">
        <v>0</v>
      </c>
      <c r="J8231" s="18" t="n">
        <v>115.46</v>
      </c>
      <c r="K8231" s="19" t="n">
        <v>29.38</v>
      </c>
      <c r="L8231" s="15" t="n">
        <f aca="false">YEAR(B8231)</f>
        <v>2024</v>
      </c>
      <c r="M8231" s="20" t="n">
        <f aca="false">IF(J8231&gt;0,K8231/J8231,0)</f>
        <v>0.254460419192794</v>
      </c>
    </row>
    <row r="8232" customFormat="false" ht="15" hidden="false" customHeight="false" outlineLevel="0" collapsed="false">
      <c r="A8232" s="15" t="s">
        <v>8289</v>
      </c>
      <c r="B8232" s="16" t="n">
        <v>44626</v>
      </c>
      <c r="C8232" s="15" t="s">
        <v>56</v>
      </c>
      <c r="D8232" s="15" t="s">
        <v>42</v>
      </c>
      <c r="E8232" s="15" t="s">
        <v>37</v>
      </c>
      <c r="F8232" s="15" t="s">
        <v>18</v>
      </c>
      <c r="G8232" s="15" t="s">
        <v>32</v>
      </c>
      <c r="H8232" s="15" t="n">
        <v>5</v>
      </c>
      <c r="I8232" s="17" t="n">
        <v>0.1</v>
      </c>
      <c r="J8232" s="18" t="n">
        <v>1678.97</v>
      </c>
      <c r="K8232" s="19" t="n">
        <v>116.08</v>
      </c>
      <c r="L8232" s="15" t="n">
        <f aca="false">YEAR(B8232)</f>
        <v>2022</v>
      </c>
      <c r="M8232" s="20" t="n">
        <f aca="false">IF(J8232&gt;0,K8232/J8232,0)</f>
        <v>0.0691376260445392</v>
      </c>
    </row>
    <row r="8233" customFormat="false" ht="15" hidden="false" customHeight="false" outlineLevel="0" collapsed="false">
      <c r="A8233" s="15" t="s">
        <v>8290</v>
      </c>
      <c r="B8233" s="16" t="n">
        <v>45675</v>
      </c>
      <c r="C8233" s="15" t="s">
        <v>58</v>
      </c>
      <c r="D8233" s="15" t="s">
        <v>43</v>
      </c>
      <c r="E8233" s="15" t="s">
        <v>36</v>
      </c>
      <c r="F8233" s="15" t="s">
        <v>18</v>
      </c>
      <c r="G8233" s="15" t="s">
        <v>30</v>
      </c>
      <c r="H8233" s="15" t="n">
        <v>3</v>
      </c>
      <c r="I8233" s="17" t="n">
        <v>0</v>
      </c>
      <c r="J8233" s="18" t="n">
        <v>151.72</v>
      </c>
      <c r="K8233" s="19" t="n">
        <v>38.36</v>
      </c>
      <c r="L8233" s="15" t="n">
        <f aca="false">YEAR(B8233)</f>
        <v>2025</v>
      </c>
      <c r="M8233" s="20" t="n">
        <f aca="false">IF(J8233&gt;0,K8233/J8233,0)</f>
        <v>0.252834168204587</v>
      </c>
    </row>
    <row r="8234" customFormat="false" ht="15" hidden="false" customHeight="false" outlineLevel="0" collapsed="false">
      <c r="A8234" s="15" t="s">
        <v>8291</v>
      </c>
      <c r="B8234" s="16" t="n">
        <v>45975</v>
      </c>
      <c r="C8234" s="15" t="s">
        <v>56</v>
      </c>
      <c r="D8234" s="15" t="s">
        <v>43</v>
      </c>
      <c r="E8234" s="15" t="s">
        <v>36</v>
      </c>
      <c r="F8234" s="15" t="s">
        <v>17</v>
      </c>
      <c r="G8234" s="15" t="s">
        <v>26</v>
      </c>
      <c r="H8234" s="15" t="n">
        <v>2</v>
      </c>
      <c r="I8234" s="17" t="n">
        <v>0.2</v>
      </c>
      <c r="J8234" s="18" t="n">
        <v>157.57</v>
      </c>
      <c r="K8234" s="19" t="n">
        <v>-8.2</v>
      </c>
      <c r="L8234" s="15" t="n">
        <f aca="false">YEAR(B8234)</f>
        <v>2025</v>
      </c>
      <c r="M8234" s="20" t="n">
        <f aca="false">IF(J8234&gt;0,K8234/J8234,0)</f>
        <v>-0.0520403630132639</v>
      </c>
    </row>
    <row r="8235" customFormat="false" ht="15" hidden="false" customHeight="false" outlineLevel="0" collapsed="false">
      <c r="A8235" s="15" t="s">
        <v>8292</v>
      </c>
      <c r="B8235" s="16" t="n">
        <v>44766</v>
      </c>
      <c r="C8235" s="15" t="s">
        <v>56</v>
      </c>
      <c r="D8235" s="15" t="s">
        <v>43</v>
      </c>
      <c r="E8235" s="15" t="s">
        <v>38</v>
      </c>
      <c r="F8235" s="15" t="s">
        <v>17</v>
      </c>
      <c r="G8235" s="15" t="s">
        <v>26</v>
      </c>
      <c r="H8235" s="15" t="n">
        <v>1</v>
      </c>
      <c r="I8235" s="17" t="n">
        <v>0.2</v>
      </c>
      <c r="J8235" s="18" t="n">
        <v>70.69</v>
      </c>
      <c r="K8235" s="19" t="n">
        <v>1.29</v>
      </c>
      <c r="L8235" s="15" t="n">
        <f aca="false">YEAR(B8235)</f>
        <v>2022</v>
      </c>
      <c r="M8235" s="20" t="n">
        <f aca="false">IF(J8235&gt;0,K8235/J8235,0)</f>
        <v>0.0182486914697977</v>
      </c>
    </row>
    <row r="8236" customFormat="false" ht="15" hidden="false" customHeight="false" outlineLevel="0" collapsed="false">
      <c r="A8236" s="15" t="s">
        <v>8293</v>
      </c>
      <c r="B8236" s="16" t="n">
        <v>45355</v>
      </c>
      <c r="C8236" s="15" t="s">
        <v>56</v>
      </c>
      <c r="D8236" s="15" t="s">
        <v>44</v>
      </c>
      <c r="E8236" s="15" t="s">
        <v>38</v>
      </c>
      <c r="F8236" s="15" t="s">
        <v>17</v>
      </c>
      <c r="G8236" s="15" t="s">
        <v>31</v>
      </c>
      <c r="H8236" s="15" t="n">
        <v>8</v>
      </c>
      <c r="I8236" s="17" t="n">
        <v>0</v>
      </c>
      <c r="J8236" s="18" t="n">
        <v>1027.68</v>
      </c>
      <c r="K8236" s="19" t="n">
        <v>220.62</v>
      </c>
      <c r="L8236" s="15" t="n">
        <f aca="false">YEAR(B8236)</f>
        <v>2024</v>
      </c>
      <c r="M8236" s="20" t="n">
        <f aca="false">IF(J8236&gt;0,K8236/J8236,0)</f>
        <v>0.214677720691266</v>
      </c>
    </row>
    <row r="8237" customFormat="false" ht="15" hidden="false" customHeight="false" outlineLevel="0" collapsed="false">
      <c r="A8237" s="15" t="s">
        <v>8294</v>
      </c>
      <c r="B8237" s="16" t="n">
        <v>45559</v>
      </c>
      <c r="C8237" s="15" t="s">
        <v>71</v>
      </c>
      <c r="D8237" s="15" t="s">
        <v>42</v>
      </c>
      <c r="E8237" s="15" t="s">
        <v>39</v>
      </c>
      <c r="F8237" s="15" t="s">
        <v>17</v>
      </c>
      <c r="G8237" s="15" t="s">
        <v>28</v>
      </c>
      <c r="H8237" s="15" t="n">
        <v>2</v>
      </c>
      <c r="I8237" s="17" t="n">
        <v>0.05</v>
      </c>
      <c r="J8237" s="18" t="n">
        <v>46.29</v>
      </c>
      <c r="K8237" s="19" t="n">
        <v>10.95</v>
      </c>
      <c r="L8237" s="15" t="n">
        <f aca="false">YEAR(B8237)</f>
        <v>2024</v>
      </c>
      <c r="M8237" s="20" t="n">
        <f aca="false">IF(J8237&gt;0,K8237/J8237,0)</f>
        <v>0.236552171095269</v>
      </c>
    </row>
    <row r="8238" customFormat="false" ht="15" hidden="false" customHeight="false" outlineLevel="0" collapsed="false">
      <c r="A8238" s="15" t="s">
        <v>8295</v>
      </c>
      <c r="B8238" s="16" t="n">
        <v>45072</v>
      </c>
      <c r="C8238" s="15" t="s">
        <v>56</v>
      </c>
      <c r="D8238" s="15" t="s">
        <v>42</v>
      </c>
      <c r="E8238" s="15" t="s">
        <v>37</v>
      </c>
      <c r="F8238" s="15" t="s">
        <v>17</v>
      </c>
      <c r="G8238" s="15" t="s">
        <v>26</v>
      </c>
      <c r="H8238" s="15" t="n">
        <v>4</v>
      </c>
      <c r="I8238" s="17" t="n">
        <v>0</v>
      </c>
      <c r="J8238" s="18" t="n">
        <v>327.26</v>
      </c>
      <c r="K8238" s="19" t="n">
        <v>57.57</v>
      </c>
      <c r="L8238" s="15" t="n">
        <f aca="false">YEAR(B8238)</f>
        <v>2023</v>
      </c>
      <c r="M8238" s="20" t="n">
        <f aca="false">IF(J8238&gt;0,K8238/J8238,0)</f>
        <v>0.175915174479008</v>
      </c>
    </row>
    <row r="8239" customFormat="false" ht="15" hidden="false" customHeight="false" outlineLevel="0" collapsed="false">
      <c r="A8239" s="15" t="s">
        <v>8296</v>
      </c>
      <c r="B8239" s="16" t="n">
        <v>44596</v>
      </c>
      <c r="C8239" s="15" t="s">
        <v>56</v>
      </c>
      <c r="D8239" s="15" t="s">
        <v>44</v>
      </c>
      <c r="E8239" s="15" t="s">
        <v>39</v>
      </c>
      <c r="F8239" s="15" t="s">
        <v>17</v>
      </c>
      <c r="G8239" s="15" t="s">
        <v>28</v>
      </c>
      <c r="H8239" s="15" t="n">
        <v>2</v>
      </c>
      <c r="I8239" s="17" t="n">
        <v>0</v>
      </c>
      <c r="J8239" s="18" t="n">
        <v>57.82</v>
      </c>
      <c r="K8239" s="19" t="n">
        <v>15.18</v>
      </c>
      <c r="L8239" s="15" t="n">
        <f aca="false">YEAR(B8239)</f>
        <v>2022</v>
      </c>
      <c r="M8239" s="20" t="n">
        <f aca="false">IF(J8239&gt;0,K8239/J8239,0)</f>
        <v>0.262538913870633</v>
      </c>
    </row>
    <row r="8240" customFormat="false" ht="15" hidden="false" customHeight="false" outlineLevel="0" collapsed="false">
      <c r="A8240" s="15" t="s">
        <v>8297</v>
      </c>
      <c r="B8240" s="16" t="n">
        <v>45612</v>
      </c>
      <c r="C8240" s="15" t="s">
        <v>68</v>
      </c>
      <c r="D8240" s="15" t="s">
        <v>42</v>
      </c>
      <c r="E8240" s="15" t="s">
        <v>37</v>
      </c>
      <c r="F8240" s="15" t="s">
        <v>17</v>
      </c>
      <c r="G8240" s="15" t="s">
        <v>29</v>
      </c>
      <c r="H8240" s="15" t="n">
        <v>6</v>
      </c>
      <c r="I8240" s="17" t="n">
        <v>0.3</v>
      </c>
      <c r="J8240" s="18" t="n">
        <v>70.28</v>
      </c>
      <c r="K8240" s="19" t="n">
        <v>14.52</v>
      </c>
      <c r="L8240" s="15" t="n">
        <f aca="false">YEAR(B8240)</f>
        <v>2024</v>
      </c>
      <c r="M8240" s="20" t="n">
        <f aca="false">IF(J8240&gt;0,K8240/J8240,0)</f>
        <v>0.206602162777462</v>
      </c>
    </row>
    <row r="8241" customFormat="false" ht="15" hidden="false" customHeight="false" outlineLevel="0" collapsed="false">
      <c r="A8241" s="15" t="s">
        <v>8298</v>
      </c>
      <c r="B8241" s="16" t="n">
        <v>45938</v>
      </c>
      <c r="C8241" s="15" t="s">
        <v>56</v>
      </c>
      <c r="D8241" s="15" t="s">
        <v>44</v>
      </c>
      <c r="E8241" s="15" t="s">
        <v>37</v>
      </c>
      <c r="F8241" s="15" t="s">
        <v>17</v>
      </c>
      <c r="G8241" s="15" t="s">
        <v>26</v>
      </c>
      <c r="H8241" s="15" t="n">
        <v>5</v>
      </c>
      <c r="I8241" s="17" t="n">
        <v>0</v>
      </c>
      <c r="J8241" s="18" t="n">
        <v>389.65</v>
      </c>
      <c r="K8241" s="19" t="n">
        <v>43.06</v>
      </c>
      <c r="L8241" s="15" t="n">
        <f aca="false">YEAR(B8241)</f>
        <v>2025</v>
      </c>
      <c r="M8241" s="20" t="n">
        <f aca="false">IF(J8241&gt;0,K8241/J8241,0)</f>
        <v>0.110509431541127</v>
      </c>
    </row>
    <row r="8242" customFormat="false" ht="15" hidden="false" customHeight="false" outlineLevel="0" collapsed="false">
      <c r="A8242" s="15" t="s">
        <v>8299</v>
      </c>
      <c r="B8242" s="16" t="n">
        <v>45840</v>
      </c>
      <c r="C8242" s="15" t="s">
        <v>56</v>
      </c>
      <c r="D8242" s="15" t="s">
        <v>42</v>
      </c>
      <c r="E8242" s="15" t="s">
        <v>37</v>
      </c>
      <c r="F8242" s="15" t="s">
        <v>16</v>
      </c>
      <c r="G8242" s="15" t="s">
        <v>23</v>
      </c>
      <c r="H8242" s="15" t="n">
        <v>2</v>
      </c>
      <c r="I8242" s="17" t="n">
        <v>0</v>
      </c>
      <c r="J8242" s="18" t="n">
        <v>625.3</v>
      </c>
      <c r="K8242" s="19" t="n">
        <v>10.98</v>
      </c>
      <c r="L8242" s="15" t="n">
        <f aca="false">YEAR(B8242)</f>
        <v>2025</v>
      </c>
      <c r="M8242" s="20" t="n">
        <f aca="false">IF(J8242&gt;0,K8242/J8242,0)</f>
        <v>0.0175595714057253</v>
      </c>
    </row>
    <row r="8243" customFormat="false" ht="15" hidden="false" customHeight="false" outlineLevel="0" collapsed="false">
      <c r="A8243" s="15" t="s">
        <v>8300</v>
      </c>
      <c r="B8243" s="16" t="n">
        <v>44564</v>
      </c>
      <c r="C8243" s="15" t="s">
        <v>68</v>
      </c>
      <c r="D8243" s="15" t="s">
        <v>42</v>
      </c>
      <c r="E8243" s="15" t="s">
        <v>36</v>
      </c>
      <c r="F8243" s="15" t="s">
        <v>17</v>
      </c>
      <c r="G8243" s="15" t="s">
        <v>29</v>
      </c>
      <c r="H8243" s="15" t="n">
        <v>6</v>
      </c>
      <c r="I8243" s="17" t="n">
        <v>0</v>
      </c>
      <c r="J8243" s="18" t="n">
        <v>110.28</v>
      </c>
      <c r="K8243" s="19" t="n">
        <v>44.54</v>
      </c>
      <c r="L8243" s="15" t="n">
        <f aca="false">YEAR(B8243)</f>
        <v>2022</v>
      </c>
      <c r="M8243" s="20" t="n">
        <f aca="false">IF(J8243&gt;0,K8243/J8243,0)</f>
        <v>0.403881030105187</v>
      </c>
    </row>
    <row r="8244" customFormat="false" ht="15" hidden="false" customHeight="false" outlineLevel="0" collapsed="false">
      <c r="A8244" s="15" t="s">
        <v>8301</v>
      </c>
      <c r="B8244" s="16" t="n">
        <v>45532</v>
      </c>
      <c r="C8244" s="15" t="s">
        <v>56</v>
      </c>
      <c r="D8244" s="15" t="s">
        <v>42</v>
      </c>
      <c r="E8244" s="15" t="s">
        <v>36</v>
      </c>
      <c r="F8244" s="15" t="s">
        <v>16</v>
      </c>
      <c r="G8244" s="15" t="s">
        <v>27</v>
      </c>
      <c r="H8244" s="15" t="n">
        <v>4</v>
      </c>
      <c r="I8244" s="17" t="n">
        <v>0.15</v>
      </c>
      <c r="J8244" s="18" t="n">
        <v>182.77</v>
      </c>
      <c r="K8244" s="19" t="n">
        <v>17.78</v>
      </c>
      <c r="L8244" s="15" t="n">
        <f aca="false">YEAR(B8244)</f>
        <v>2024</v>
      </c>
      <c r="M8244" s="20" t="n">
        <f aca="false">IF(J8244&gt;0,K8244/J8244,0)</f>
        <v>0.0972807353504405</v>
      </c>
    </row>
    <row r="8245" customFormat="false" ht="15" hidden="false" customHeight="false" outlineLevel="0" collapsed="false">
      <c r="A8245" s="15" t="s">
        <v>8302</v>
      </c>
      <c r="B8245" s="16" t="n">
        <v>45361</v>
      </c>
      <c r="C8245" s="15" t="s">
        <v>71</v>
      </c>
      <c r="D8245" s="15" t="s">
        <v>42</v>
      </c>
      <c r="E8245" s="15" t="s">
        <v>36</v>
      </c>
      <c r="F8245" s="15" t="s">
        <v>17</v>
      </c>
      <c r="G8245" s="15" t="s">
        <v>29</v>
      </c>
      <c r="H8245" s="15" t="n">
        <v>2</v>
      </c>
      <c r="I8245" s="17" t="n">
        <v>0.3</v>
      </c>
      <c r="J8245" s="18" t="n">
        <v>23.15</v>
      </c>
      <c r="K8245" s="19" t="n">
        <v>0.25</v>
      </c>
      <c r="L8245" s="15" t="n">
        <f aca="false">YEAR(B8245)</f>
        <v>2024</v>
      </c>
      <c r="M8245" s="20" t="n">
        <f aca="false">IF(J8245&gt;0,K8245/J8245,0)</f>
        <v>0.0107991360691145</v>
      </c>
    </row>
    <row r="8246" customFormat="false" ht="15" hidden="false" customHeight="false" outlineLevel="0" collapsed="false">
      <c r="A8246" s="15" t="s">
        <v>8303</v>
      </c>
      <c r="B8246" s="16" t="n">
        <v>44810</v>
      </c>
      <c r="C8246" s="15" t="s">
        <v>56</v>
      </c>
      <c r="D8246" s="15" t="s">
        <v>42</v>
      </c>
      <c r="E8246" s="15" t="s">
        <v>38</v>
      </c>
      <c r="F8246" s="15" t="s">
        <v>18</v>
      </c>
      <c r="G8246" s="15" t="s">
        <v>30</v>
      </c>
      <c r="H8246" s="15" t="n">
        <v>3</v>
      </c>
      <c r="I8246" s="17" t="n">
        <v>0.3</v>
      </c>
      <c r="J8246" s="18" t="n">
        <v>81.23</v>
      </c>
      <c r="K8246" s="19" t="n">
        <v>-0.76</v>
      </c>
      <c r="L8246" s="15" t="n">
        <f aca="false">YEAR(B8246)</f>
        <v>2022</v>
      </c>
      <c r="M8246" s="20" t="n">
        <f aca="false">IF(J8246&gt;0,K8246/J8246,0)</f>
        <v>-0.00935614920595839</v>
      </c>
    </row>
    <row r="8247" customFormat="false" ht="15" hidden="false" customHeight="false" outlineLevel="0" collapsed="false">
      <c r="A8247" s="15" t="s">
        <v>8304</v>
      </c>
      <c r="B8247" s="16" t="n">
        <v>45079</v>
      </c>
      <c r="C8247" s="15" t="s">
        <v>58</v>
      </c>
      <c r="D8247" s="15" t="s">
        <v>43</v>
      </c>
      <c r="E8247" s="15" t="s">
        <v>37</v>
      </c>
      <c r="F8247" s="15" t="s">
        <v>16</v>
      </c>
      <c r="G8247" s="15" t="s">
        <v>27</v>
      </c>
      <c r="H8247" s="15" t="n">
        <v>5</v>
      </c>
      <c r="I8247" s="17" t="n">
        <v>0.5</v>
      </c>
      <c r="J8247" s="18" t="n">
        <v>158.37</v>
      </c>
      <c r="K8247" s="19" t="n">
        <v>-38.89</v>
      </c>
      <c r="L8247" s="15" t="n">
        <f aca="false">YEAR(B8247)</f>
        <v>2023</v>
      </c>
      <c r="M8247" s="20" t="n">
        <f aca="false">IF(J8247&gt;0,K8247/J8247,0)</f>
        <v>-0.245564185136074</v>
      </c>
    </row>
    <row r="8248" customFormat="false" ht="15" hidden="false" customHeight="false" outlineLevel="0" collapsed="false">
      <c r="A8248" s="15" t="s">
        <v>8305</v>
      </c>
      <c r="B8248" s="16" t="n">
        <v>45264</v>
      </c>
      <c r="C8248" s="15" t="s">
        <v>56</v>
      </c>
      <c r="D8248" s="15" t="s">
        <v>43</v>
      </c>
      <c r="E8248" s="15" t="s">
        <v>36</v>
      </c>
      <c r="F8248" s="15" t="s">
        <v>17</v>
      </c>
      <c r="G8248" s="15" t="s">
        <v>31</v>
      </c>
      <c r="H8248" s="15" t="n">
        <v>2</v>
      </c>
      <c r="I8248" s="17" t="n">
        <v>0</v>
      </c>
      <c r="J8248" s="18" t="n">
        <v>263.04</v>
      </c>
      <c r="K8248" s="19" t="n">
        <v>49.74</v>
      </c>
      <c r="L8248" s="15" t="n">
        <f aca="false">YEAR(B8248)</f>
        <v>2023</v>
      </c>
      <c r="M8248" s="20" t="n">
        <f aca="false">IF(J8248&gt;0,K8248/J8248,0)</f>
        <v>0.189096715328467</v>
      </c>
    </row>
    <row r="8249" customFormat="false" ht="15" hidden="false" customHeight="false" outlineLevel="0" collapsed="false">
      <c r="A8249" s="15" t="s">
        <v>8306</v>
      </c>
      <c r="B8249" s="16" t="n">
        <v>45237</v>
      </c>
      <c r="C8249" s="15" t="s">
        <v>68</v>
      </c>
      <c r="D8249" s="15" t="s">
        <v>43</v>
      </c>
      <c r="E8249" s="15" t="s">
        <v>36</v>
      </c>
      <c r="F8249" s="15" t="s">
        <v>16</v>
      </c>
      <c r="G8249" s="15" t="s">
        <v>22</v>
      </c>
      <c r="H8249" s="15" t="n">
        <v>5</v>
      </c>
      <c r="I8249" s="17" t="n">
        <v>0.2</v>
      </c>
      <c r="J8249" s="18" t="n">
        <v>2236.38</v>
      </c>
      <c r="K8249" s="19" t="n">
        <v>-471.44</v>
      </c>
      <c r="L8249" s="15" t="n">
        <f aca="false">YEAR(B8249)</f>
        <v>2023</v>
      </c>
      <c r="M8249" s="20" t="n">
        <f aca="false">IF(J8249&gt;0,K8249/J8249,0)</f>
        <v>-0.210804961589712</v>
      </c>
    </row>
    <row r="8250" customFormat="false" ht="15" hidden="false" customHeight="false" outlineLevel="0" collapsed="false">
      <c r="A8250" s="15" t="s">
        <v>8307</v>
      </c>
      <c r="B8250" s="16" t="n">
        <v>45765</v>
      </c>
      <c r="C8250" s="15" t="s">
        <v>71</v>
      </c>
      <c r="D8250" s="15" t="s">
        <v>43</v>
      </c>
      <c r="E8250" s="15" t="s">
        <v>36</v>
      </c>
      <c r="F8250" s="15" t="s">
        <v>17</v>
      </c>
      <c r="G8250" s="15" t="s">
        <v>29</v>
      </c>
      <c r="H8250" s="15" t="n">
        <v>3</v>
      </c>
      <c r="I8250" s="17" t="n">
        <v>0</v>
      </c>
      <c r="J8250" s="18" t="n">
        <v>57.23</v>
      </c>
      <c r="K8250" s="19" t="n">
        <v>21.54</v>
      </c>
      <c r="L8250" s="15" t="n">
        <f aca="false">YEAR(B8250)</f>
        <v>2025</v>
      </c>
      <c r="M8250" s="20" t="n">
        <f aca="false">IF(J8250&gt;0,K8250/J8250,0)</f>
        <v>0.376376026559497</v>
      </c>
    </row>
    <row r="8251" customFormat="false" ht="15" hidden="false" customHeight="false" outlineLevel="0" collapsed="false">
      <c r="A8251" s="15" t="s">
        <v>8308</v>
      </c>
      <c r="B8251" s="16" t="n">
        <v>45730</v>
      </c>
      <c r="C8251" s="15" t="s">
        <v>58</v>
      </c>
      <c r="D8251" s="15" t="s">
        <v>43</v>
      </c>
      <c r="E8251" s="15" t="s">
        <v>38</v>
      </c>
      <c r="F8251" s="15" t="s">
        <v>17</v>
      </c>
      <c r="G8251" s="15" t="s">
        <v>26</v>
      </c>
      <c r="H8251" s="15" t="n">
        <v>4</v>
      </c>
      <c r="I8251" s="17" t="n">
        <v>0.4</v>
      </c>
      <c r="J8251" s="18" t="n">
        <v>188.96</v>
      </c>
      <c r="K8251" s="19" t="n">
        <v>-42.22</v>
      </c>
      <c r="L8251" s="15" t="n">
        <f aca="false">YEAR(B8251)</f>
        <v>2025</v>
      </c>
      <c r="M8251" s="20" t="n">
        <f aca="false">IF(J8251&gt;0,K8251/J8251,0)</f>
        <v>-0.223433530906012</v>
      </c>
    </row>
    <row r="8252" customFormat="false" ht="15" hidden="false" customHeight="false" outlineLevel="0" collapsed="false">
      <c r="A8252" s="15" t="s">
        <v>8309</v>
      </c>
      <c r="B8252" s="16" t="n">
        <v>45567</v>
      </c>
      <c r="C8252" s="15" t="s">
        <v>56</v>
      </c>
      <c r="D8252" s="15" t="s">
        <v>42</v>
      </c>
      <c r="E8252" s="15" t="s">
        <v>39</v>
      </c>
      <c r="F8252" s="15" t="s">
        <v>17</v>
      </c>
      <c r="G8252" s="15" t="s">
        <v>31</v>
      </c>
      <c r="H8252" s="15" t="n">
        <v>4</v>
      </c>
      <c r="I8252" s="17" t="n">
        <v>0.3</v>
      </c>
      <c r="J8252" s="18" t="n">
        <v>358.01</v>
      </c>
      <c r="K8252" s="19" t="n">
        <v>9.7</v>
      </c>
      <c r="L8252" s="15" t="n">
        <f aca="false">YEAR(B8252)</f>
        <v>2024</v>
      </c>
      <c r="M8252" s="20" t="n">
        <f aca="false">IF(J8252&gt;0,K8252/J8252,0)</f>
        <v>0.0270942152453842</v>
      </c>
    </row>
    <row r="8253" customFormat="false" ht="15" hidden="false" customHeight="false" outlineLevel="0" collapsed="false">
      <c r="A8253" s="15" t="s">
        <v>8310</v>
      </c>
      <c r="B8253" s="16" t="n">
        <v>44894</v>
      </c>
      <c r="C8253" s="15" t="s">
        <v>56</v>
      </c>
      <c r="D8253" s="15" t="s">
        <v>43</v>
      </c>
      <c r="E8253" s="15" t="s">
        <v>37</v>
      </c>
      <c r="F8253" s="15" t="s">
        <v>18</v>
      </c>
      <c r="G8253" s="15" t="s">
        <v>30</v>
      </c>
      <c r="H8253" s="15" t="n">
        <v>4</v>
      </c>
      <c r="I8253" s="17" t="n">
        <v>0.4</v>
      </c>
      <c r="J8253" s="18" t="n">
        <v>100.41</v>
      </c>
      <c r="K8253" s="19" t="n">
        <v>-10.64</v>
      </c>
      <c r="L8253" s="15" t="n">
        <f aca="false">YEAR(B8253)</f>
        <v>2022</v>
      </c>
      <c r="M8253" s="20" t="n">
        <f aca="false">IF(J8253&gt;0,K8253/J8253,0)</f>
        <v>-0.105965541280749</v>
      </c>
    </row>
    <row r="8254" customFormat="false" ht="15" hidden="false" customHeight="false" outlineLevel="0" collapsed="false">
      <c r="A8254" s="15" t="s">
        <v>8311</v>
      </c>
      <c r="B8254" s="16" t="n">
        <v>44912</v>
      </c>
      <c r="C8254" s="15" t="s">
        <v>56</v>
      </c>
      <c r="D8254" s="15" t="s">
        <v>42</v>
      </c>
      <c r="E8254" s="15" t="s">
        <v>38</v>
      </c>
      <c r="F8254" s="15" t="s">
        <v>17</v>
      </c>
      <c r="G8254" s="15" t="s">
        <v>31</v>
      </c>
      <c r="H8254" s="15" t="n">
        <v>3</v>
      </c>
      <c r="I8254" s="17" t="n">
        <v>0.3</v>
      </c>
      <c r="J8254" s="18" t="n">
        <v>221.8</v>
      </c>
      <c r="K8254" s="19" t="n">
        <v>-13.05</v>
      </c>
      <c r="L8254" s="15" t="n">
        <f aca="false">YEAR(B8254)</f>
        <v>2022</v>
      </c>
      <c r="M8254" s="20" t="n">
        <f aca="false">IF(J8254&gt;0,K8254/J8254,0)</f>
        <v>-0.0588367899008115</v>
      </c>
    </row>
    <row r="8255" customFormat="false" ht="15" hidden="false" customHeight="false" outlineLevel="0" collapsed="false">
      <c r="A8255" s="15" t="s">
        <v>8312</v>
      </c>
      <c r="B8255" s="16" t="n">
        <v>45968</v>
      </c>
      <c r="C8255" s="15" t="s">
        <v>71</v>
      </c>
      <c r="D8255" s="15" t="s">
        <v>43</v>
      </c>
      <c r="E8255" s="15" t="s">
        <v>39</v>
      </c>
      <c r="F8255" s="15" t="s">
        <v>17</v>
      </c>
      <c r="G8255" s="15" t="s">
        <v>29</v>
      </c>
      <c r="H8255" s="15" t="n">
        <v>9</v>
      </c>
      <c r="I8255" s="17" t="n">
        <v>0</v>
      </c>
      <c r="J8255" s="18" t="n">
        <v>203.98</v>
      </c>
      <c r="K8255" s="19" t="n">
        <v>78.47</v>
      </c>
      <c r="L8255" s="15" t="n">
        <f aca="false">YEAR(B8255)</f>
        <v>2025</v>
      </c>
      <c r="M8255" s="20" t="n">
        <f aca="false">IF(J8255&gt;0,K8255/J8255,0)</f>
        <v>0.384694577899794</v>
      </c>
    </row>
    <row r="8256" customFormat="false" ht="15" hidden="false" customHeight="false" outlineLevel="0" collapsed="false">
      <c r="A8256" s="15" t="s">
        <v>8313</v>
      </c>
      <c r="B8256" s="16" t="n">
        <v>45271</v>
      </c>
      <c r="C8256" s="15" t="s">
        <v>68</v>
      </c>
      <c r="D8256" s="15" t="s">
        <v>43</v>
      </c>
      <c r="E8256" s="15" t="s">
        <v>36</v>
      </c>
      <c r="F8256" s="15" t="s">
        <v>18</v>
      </c>
      <c r="G8256" s="15" t="s">
        <v>32</v>
      </c>
      <c r="H8256" s="15" t="n">
        <v>4</v>
      </c>
      <c r="I8256" s="17" t="n">
        <v>0</v>
      </c>
      <c r="J8256" s="18" t="n">
        <v>1759.32</v>
      </c>
      <c r="K8256" s="19" t="n">
        <v>490.92</v>
      </c>
      <c r="L8256" s="15" t="n">
        <f aca="false">YEAR(B8256)</f>
        <v>2023</v>
      </c>
      <c r="M8256" s="20" t="n">
        <f aca="false">IF(J8256&gt;0,K8256/J8256,0)</f>
        <v>0.279039628947548</v>
      </c>
    </row>
    <row r="8257" customFormat="false" ht="15" hidden="false" customHeight="false" outlineLevel="0" collapsed="false">
      <c r="A8257" s="15" t="s">
        <v>8314</v>
      </c>
      <c r="B8257" s="16" t="n">
        <v>45994</v>
      </c>
      <c r="C8257" s="15" t="s">
        <v>56</v>
      </c>
      <c r="D8257" s="15" t="s">
        <v>43</v>
      </c>
      <c r="E8257" s="15" t="s">
        <v>39</v>
      </c>
      <c r="F8257" s="15" t="s">
        <v>17</v>
      </c>
      <c r="G8257" s="15" t="s">
        <v>29</v>
      </c>
      <c r="H8257" s="15" t="n">
        <v>2</v>
      </c>
      <c r="I8257" s="17" t="n">
        <v>0</v>
      </c>
      <c r="J8257" s="18" t="n">
        <v>37.33</v>
      </c>
      <c r="K8257" s="19" t="n">
        <v>15.15</v>
      </c>
      <c r="L8257" s="15" t="n">
        <f aca="false">YEAR(B8257)</f>
        <v>2025</v>
      </c>
      <c r="M8257" s="20" t="n">
        <f aca="false">IF(J8257&gt;0,K8257/J8257,0)</f>
        <v>0.405839807125636</v>
      </c>
    </row>
    <row r="8258" customFormat="false" ht="15" hidden="false" customHeight="false" outlineLevel="0" collapsed="false">
      <c r="A8258" s="15" t="s">
        <v>8315</v>
      </c>
      <c r="B8258" s="16" t="n">
        <v>44916</v>
      </c>
      <c r="C8258" s="15" t="s">
        <v>56</v>
      </c>
      <c r="D8258" s="15" t="s">
        <v>43</v>
      </c>
      <c r="E8258" s="15" t="s">
        <v>37</v>
      </c>
      <c r="F8258" s="15" t="s">
        <v>17</v>
      </c>
      <c r="G8258" s="15" t="s">
        <v>29</v>
      </c>
      <c r="H8258" s="15" t="n">
        <v>2</v>
      </c>
      <c r="I8258" s="17" t="n">
        <v>0.4</v>
      </c>
      <c r="J8258" s="18" t="n">
        <v>27.91</v>
      </c>
      <c r="K8258" s="19" t="n">
        <v>-0.02</v>
      </c>
      <c r="L8258" s="15" t="n">
        <f aca="false">YEAR(B8258)</f>
        <v>2022</v>
      </c>
      <c r="M8258" s="20" t="n">
        <f aca="false">IF(J8258&gt;0,K8258/J8258,0)</f>
        <v>-0.000716589036187746</v>
      </c>
    </row>
    <row r="8259" customFormat="false" ht="15" hidden="false" customHeight="false" outlineLevel="0" collapsed="false">
      <c r="A8259" s="15" t="s">
        <v>8316</v>
      </c>
      <c r="B8259" s="16" t="n">
        <v>45540</v>
      </c>
      <c r="C8259" s="15" t="s">
        <v>56</v>
      </c>
      <c r="D8259" s="15" t="s">
        <v>43</v>
      </c>
      <c r="E8259" s="15" t="s">
        <v>38</v>
      </c>
      <c r="F8259" s="15" t="s">
        <v>16</v>
      </c>
      <c r="G8259" s="15" t="s">
        <v>25</v>
      </c>
      <c r="H8259" s="15" t="n">
        <v>1</v>
      </c>
      <c r="I8259" s="17" t="n">
        <v>0.05</v>
      </c>
      <c r="J8259" s="18" t="n">
        <v>218.78</v>
      </c>
      <c r="K8259" s="19" t="n">
        <v>19.51</v>
      </c>
      <c r="L8259" s="15" t="n">
        <f aca="false">YEAR(B8259)</f>
        <v>2024</v>
      </c>
      <c r="M8259" s="20" t="n">
        <f aca="false">IF(J8259&gt;0,K8259/J8259,0)</f>
        <v>0.0891763415303044</v>
      </c>
    </row>
    <row r="8260" customFormat="false" ht="15" hidden="false" customHeight="false" outlineLevel="0" collapsed="false">
      <c r="A8260" s="15" t="s">
        <v>8317</v>
      </c>
      <c r="B8260" s="16" t="n">
        <v>45106</v>
      </c>
      <c r="C8260" s="15" t="s">
        <v>68</v>
      </c>
      <c r="D8260" s="15" t="s">
        <v>42</v>
      </c>
      <c r="E8260" s="15" t="s">
        <v>39</v>
      </c>
      <c r="F8260" s="15" t="s">
        <v>17</v>
      </c>
      <c r="G8260" s="15" t="s">
        <v>29</v>
      </c>
      <c r="H8260" s="15" t="n">
        <v>5</v>
      </c>
      <c r="I8260" s="17" t="n">
        <v>0.15</v>
      </c>
      <c r="J8260" s="18" t="n">
        <v>88.16</v>
      </c>
      <c r="K8260" s="19" t="n">
        <v>20.29</v>
      </c>
      <c r="L8260" s="15" t="n">
        <f aca="false">YEAR(B8260)</f>
        <v>2023</v>
      </c>
      <c r="M8260" s="20" t="n">
        <f aca="false">IF(J8260&gt;0,K8260/J8260,0)</f>
        <v>0.230149727767695</v>
      </c>
    </row>
    <row r="8261" customFormat="false" ht="15" hidden="false" customHeight="false" outlineLevel="0" collapsed="false">
      <c r="A8261" s="15" t="s">
        <v>8318</v>
      </c>
      <c r="B8261" s="16" t="n">
        <v>45059</v>
      </c>
      <c r="C8261" s="15" t="s">
        <v>56</v>
      </c>
      <c r="D8261" s="15" t="s">
        <v>42</v>
      </c>
      <c r="E8261" s="15" t="s">
        <v>39</v>
      </c>
      <c r="F8261" s="15" t="s">
        <v>18</v>
      </c>
      <c r="G8261" s="15" t="s">
        <v>32</v>
      </c>
      <c r="H8261" s="15" t="n">
        <v>4</v>
      </c>
      <c r="I8261" s="17" t="n">
        <v>0.15</v>
      </c>
      <c r="J8261" s="18" t="n">
        <v>1826.94</v>
      </c>
      <c r="K8261" s="19" t="n">
        <v>45.21</v>
      </c>
      <c r="L8261" s="15" t="n">
        <f aca="false">YEAR(B8261)</f>
        <v>2023</v>
      </c>
      <c r="M8261" s="20" t="n">
        <f aca="false">IF(J8261&gt;0,K8261/J8261,0)</f>
        <v>0.0247462970869322</v>
      </c>
    </row>
    <row r="8262" customFormat="false" ht="15" hidden="false" customHeight="false" outlineLevel="0" collapsed="false">
      <c r="A8262" s="15" t="s">
        <v>8319</v>
      </c>
      <c r="B8262" s="16" t="n">
        <v>45727</v>
      </c>
      <c r="C8262" s="15" t="s">
        <v>56</v>
      </c>
      <c r="D8262" s="15" t="s">
        <v>43</v>
      </c>
      <c r="E8262" s="15" t="s">
        <v>37</v>
      </c>
      <c r="F8262" s="15" t="s">
        <v>18</v>
      </c>
      <c r="G8262" s="15" t="s">
        <v>30</v>
      </c>
      <c r="H8262" s="15" t="n">
        <v>6</v>
      </c>
      <c r="I8262" s="17" t="n">
        <v>0</v>
      </c>
      <c r="J8262" s="18" t="n">
        <v>298.91</v>
      </c>
      <c r="K8262" s="19" t="n">
        <v>72.74</v>
      </c>
      <c r="L8262" s="15" t="n">
        <f aca="false">YEAR(B8262)</f>
        <v>2025</v>
      </c>
      <c r="M8262" s="20" t="n">
        <f aca="false">IF(J8262&gt;0,K8262/J8262,0)</f>
        <v>0.243350841390385</v>
      </c>
    </row>
    <row r="8263" customFormat="false" ht="15" hidden="false" customHeight="false" outlineLevel="0" collapsed="false">
      <c r="A8263" s="15" t="s">
        <v>8320</v>
      </c>
      <c r="B8263" s="16" t="n">
        <v>45748</v>
      </c>
      <c r="C8263" s="15" t="s">
        <v>58</v>
      </c>
      <c r="D8263" s="15" t="s">
        <v>42</v>
      </c>
      <c r="E8263" s="15" t="s">
        <v>36</v>
      </c>
      <c r="F8263" s="15" t="s">
        <v>17</v>
      </c>
      <c r="G8263" s="15" t="s">
        <v>29</v>
      </c>
      <c r="H8263" s="15" t="n">
        <v>3</v>
      </c>
      <c r="I8263" s="17" t="n">
        <v>0.3</v>
      </c>
      <c r="J8263" s="18" t="n">
        <v>24.09</v>
      </c>
      <c r="K8263" s="19" t="n">
        <v>0.51</v>
      </c>
      <c r="L8263" s="15" t="n">
        <f aca="false">YEAR(B8263)</f>
        <v>2025</v>
      </c>
      <c r="M8263" s="20" t="n">
        <f aca="false">IF(J8263&gt;0,K8263/J8263,0)</f>
        <v>0.0211706102117061</v>
      </c>
    </row>
    <row r="8264" customFormat="false" ht="15" hidden="false" customHeight="false" outlineLevel="0" collapsed="false">
      <c r="A8264" s="15" t="s">
        <v>8321</v>
      </c>
      <c r="B8264" s="16" t="n">
        <v>45905</v>
      </c>
      <c r="C8264" s="15" t="s">
        <v>56</v>
      </c>
      <c r="D8264" s="15" t="s">
        <v>43</v>
      </c>
      <c r="E8264" s="15" t="s">
        <v>39</v>
      </c>
      <c r="F8264" s="15" t="s">
        <v>17</v>
      </c>
      <c r="G8264" s="15" t="s">
        <v>31</v>
      </c>
      <c r="H8264" s="15" t="n">
        <v>3</v>
      </c>
      <c r="I8264" s="17" t="n">
        <v>0.2</v>
      </c>
      <c r="J8264" s="18" t="n">
        <v>378.5</v>
      </c>
      <c r="K8264" s="19" t="n">
        <v>-0.48</v>
      </c>
      <c r="L8264" s="15" t="n">
        <f aca="false">YEAR(B8264)</f>
        <v>2025</v>
      </c>
      <c r="M8264" s="20" t="n">
        <f aca="false">IF(J8264&gt;0,K8264/J8264,0)</f>
        <v>-0.00126816380449141</v>
      </c>
    </row>
    <row r="8265" customFormat="false" ht="15" hidden="false" customHeight="false" outlineLevel="0" collapsed="false">
      <c r="A8265" s="15" t="s">
        <v>8322</v>
      </c>
      <c r="B8265" s="16" t="n">
        <v>45336</v>
      </c>
      <c r="C8265" s="15" t="s">
        <v>71</v>
      </c>
      <c r="D8265" s="15" t="s">
        <v>42</v>
      </c>
      <c r="E8265" s="15" t="s">
        <v>37</v>
      </c>
      <c r="F8265" s="15" t="s">
        <v>16</v>
      </c>
      <c r="G8265" s="15" t="s">
        <v>27</v>
      </c>
      <c r="H8265" s="15" t="n">
        <v>5</v>
      </c>
      <c r="I8265" s="17" t="n">
        <v>0.2</v>
      </c>
      <c r="J8265" s="18" t="n">
        <v>271.99</v>
      </c>
      <c r="K8265" s="19" t="n">
        <v>10.01</v>
      </c>
      <c r="L8265" s="15" t="n">
        <f aca="false">YEAR(B8265)</f>
        <v>2024</v>
      </c>
      <c r="M8265" s="20" t="n">
        <f aca="false">IF(J8265&gt;0,K8265/J8265,0)</f>
        <v>0.0368028236332218</v>
      </c>
    </row>
    <row r="8266" customFormat="false" ht="15" hidden="false" customHeight="false" outlineLevel="0" collapsed="false">
      <c r="A8266" s="15" t="s">
        <v>8323</v>
      </c>
      <c r="B8266" s="16" t="n">
        <v>45657</v>
      </c>
      <c r="C8266" s="15" t="s">
        <v>71</v>
      </c>
      <c r="D8266" s="15" t="s">
        <v>42</v>
      </c>
      <c r="E8266" s="15" t="s">
        <v>39</v>
      </c>
      <c r="F8266" s="15" t="s">
        <v>18</v>
      </c>
      <c r="G8266" s="15" t="s">
        <v>32</v>
      </c>
      <c r="H8266" s="15" t="n">
        <v>3</v>
      </c>
      <c r="I8266" s="17" t="n">
        <v>0.05</v>
      </c>
      <c r="J8266" s="18" t="n">
        <v>1183.82</v>
      </c>
      <c r="K8266" s="19" t="n">
        <v>229.29</v>
      </c>
      <c r="L8266" s="15" t="n">
        <f aca="false">YEAR(B8266)</f>
        <v>2024</v>
      </c>
      <c r="M8266" s="20" t="n">
        <f aca="false">IF(J8266&gt;0,K8266/J8266,0)</f>
        <v>0.193686540183474</v>
      </c>
    </row>
    <row r="8267" customFormat="false" ht="15" hidden="false" customHeight="false" outlineLevel="0" collapsed="false">
      <c r="A8267" s="15" t="s">
        <v>8324</v>
      </c>
      <c r="B8267" s="16" t="n">
        <v>44627</v>
      </c>
      <c r="C8267" s="15" t="s">
        <v>68</v>
      </c>
      <c r="D8267" s="15" t="s">
        <v>44</v>
      </c>
      <c r="E8267" s="15" t="s">
        <v>36</v>
      </c>
      <c r="F8267" s="15" t="s">
        <v>17</v>
      </c>
      <c r="G8267" s="15" t="s">
        <v>28</v>
      </c>
      <c r="H8267" s="15" t="n">
        <v>2</v>
      </c>
      <c r="I8267" s="17" t="n">
        <v>0.15</v>
      </c>
      <c r="J8267" s="18" t="n">
        <v>45.87</v>
      </c>
      <c r="K8267" s="19" t="n">
        <v>9.73</v>
      </c>
      <c r="L8267" s="15" t="n">
        <f aca="false">YEAR(B8267)</f>
        <v>2022</v>
      </c>
      <c r="M8267" s="20" t="n">
        <f aca="false">IF(J8267&gt;0,K8267/J8267,0)</f>
        <v>0.212121212121212</v>
      </c>
    </row>
    <row r="8268" customFormat="false" ht="15" hidden="false" customHeight="false" outlineLevel="0" collapsed="false">
      <c r="A8268" s="15" t="s">
        <v>8325</v>
      </c>
      <c r="B8268" s="16" t="n">
        <v>45946</v>
      </c>
      <c r="C8268" s="15" t="s">
        <v>56</v>
      </c>
      <c r="D8268" s="15" t="s">
        <v>42</v>
      </c>
      <c r="E8268" s="15" t="s">
        <v>38</v>
      </c>
      <c r="F8268" s="15" t="s">
        <v>16</v>
      </c>
      <c r="G8268" s="15" t="s">
        <v>23</v>
      </c>
      <c r="H8268" s="15" t="n">
        <v>3</v>
      </c>
      <c r="I8268" s="17" t="n">
        <v>0</v>
      </c>
      <c r="J8268" s="18" t="n">
        <v>903.88</v>
      </c>
      <c r="K8268" s="19" t="n">
        <v>50.28</v>
      </c>
      <c r="L8268" s="15" t="n">
        <f aca="false">YEAR(B8268)</f>
        <v>2025</v>
      </c>
      <c r="M8268" s="20" t="n">
        <f aca="false">IF(J8268&gt;0,K8268/J8268,0)</f>
        <v>0.0556268531220959</v>
      </c>
    </row>
    <row r="8269" customFormat="false" ht="15" hidden="false" customHeight="false" outlineLevel="0" collapsed="false">
      <c r="A8269" s="15" t="s">
        <v>8326</v>
      </c>
      <c r="B8269" s="16" t="n">
        <v>45852</v>
      </c>
      <c r="C8269" s="15" t="s">
        <v>56</v>
      </c>
      <c r="D8269" s="15" t="s">
        <v>43</v>
      </c>
      <c r="E8269" s="15" t="s">
        <v>39</v>
      </c>
      <c r="F8269" s="15" t="s">
        <v>16</v>
      </c>
      <c r="G8269" s="15" t="s">
        <v>23</v>
      </c>
      <c r="H8269" s="15" t="n">
        <v>2</v>
      </c>
      <c r="I8269" s="17" t="n">
        <v>0</v>
      </c>
      <c r="J8269" s="18" t="n">
        <v>692.57</v>
      </c>
      <c r="K8269" s="19" t="n">
        <v>-13.01</v>
      </c>
      <c r="L8269" s="15" t="n">
        <f aca="false">YEAR(B8269)</f>
        <v>2025</v>
      </c>
      <c r="M8269" s="20" t="n">
        <f aca="false">IF(J8269&gt;0,K8269/J8269,0)</f>
        <v>-0.018785104754754</v>
      </c>
    </row>
    <row r="8270" customFormat="false" ht="15" hidden="false" customHeight="false" outlineLevel="0" collapsed="false">
      <c r="A8270" s="15" t="s">
        <v>8327</v>
      </c>
      <c r="B8270" s="16" t="n">
        <v>45634</v>
      </c>
      <c r="C8270" s="15" t="s">
        <v>56</v>
      </c>
      <c r="D8270" s="15" t="s">
        <v>43</v>
      </c>
      <c r="E8270" s="15" t="s">
        <v>39</v>
      </c>
      <c r="F8270" s="15" t="s">
        <v>18</v>
      </c>
      <c r="G8270" s="15" t="s">
        <v>30</v>
      </c>
      <c r="H8270" s="15" t="n">
        <v>4</v>
      </c>
      <c r="I8270" s="17" t="n">
        <v>0</v>
      </c>
      <c r="J8270" s="18" t="n">
        <v>208.21</v>
      </c>
      <c r="K8270" s="19" t="n">
        <v>62.06</v>
      </c>
      <c r="L8270" s="15" t="n">
        <f aca="false">YEAR(B8270)</f>
        <v>2024</v>
      </c>
      <c r="M8270" s="20" t="n">
        <f aca="false">IF(J8270&gt;0,K8270/J8270,0)</f>
        <v>0.298064454156861</v>
      </c>
    </row>
    <row r="8271" customFormat="false" ht="15" hidden="false" customHeight="false" outlineLevel="0" collapsed="false">
      <c r="A8271" s="15" t="s">
        <v>8328</v>
      </c>
      <c r="B8271" s="16" t="n">
        <v>45245</v>
      </c>
      <c r="C8271" s="15" t="s">
        <v>58</v>
      </c>
      <c r="D8271" s="15" t="s">
        <v>42</v>
      </c>
      <c r="E8271" s="15" t="s">
        <v>36</v>
      </c>
      <c r="F8271" s="15" t="s">
        <v>17</v>
      </c>
      <c r="G8271" s="15" t="s">
        <v>31</v>
      </c>
      <c r="H8271" s="15" t="n">
        <v>5</v>
      </c>
      <c r="I8271" s="17" t="n">
        <v>0</v>
      </c>
      <c r="J8271" s="18" t="n">
        <v>505.54</v>
      </c>
      <c r="K8271" s="19" t="n">
        <v>82.56</v>
      </c>
      <c r="L8271" s="15" t="n">
        <f aca="false">YEAR(B8271)</f>
        <v>2023</v>
      </c>
      <c r="M8271" s="20" t="n">
        <f aca="false">IF(J8271&gt;0,K8271/J8271,0)</f>
        <v>0.163310519444554</v>
      </c>
    </row>
    <row r="8272" customFormat="false" ht="15" hidden="false" customHeight="false" outlineLevel="0" collapsed="false">
      <c r="A8272" s="15" t="s">
        <v>8329</v>
      </c>
      <c r="B8272" s="16" t="n">
        <v>45647</v>
      </c>
      <c r="C8272" s="15" t="s">
        <v>68</v>
      </c>
      <c r="D8272" s="15" t="s">
        <v>43</v>
      </c>
      <c r="E8272" s="15" t="s">
        <v>38</v>
      </c>
      <c r="F8272" s="15" t="s">
        <v>17</v>
      </c>
      <c r="G8272" s="15" t="s">
        <v>29</v>
      </c>
      <c r="H8272" s="15" t="n">
        <v>4</v>
      </c>
      <c r="I8272" s="17" t="n">
        <v>0</v>
      </c>
      <c r="J8272" s="18" t="n">
        <v>79.67</v>
      </c>
      <c r="K8272" s="19" t="n">
        <v>27.3</v>
      </c>
      <c r="L8272" s="15" t="n">
        <f aca="false">YEAR(B8272)</f>
        <v>2024</v>
      </c>
      <c r="M8272" s="20" t="n">
        <f aca="false">IF(J8272&gt;0,K8272/J8272,0)</f>
        <v>0.342663486883394</v>
      </c>
    </row>
    <row r="8273" customFormat="false" ht="15" hidden="false" customHeight="false" outlineLevel="0" collapsed="false">
      <c r="A8273" s="15" t="s">
        <v>8330</v>
      </c>
      <c r="B8273" s="16" t="n">
        <v>45415</v>
      </c>
      <c r="C8273" s="15" t="s">
        <v>56</v>
      </c>
      <c r="D8273" s="15" t="s">
        <v>42</v>
      </c>
      <c r="E8273" s="15" t="s">
        <v>39</v>
      </c>
      <c r="F8273" s="15" t="s">
        <v>17</v>
      </c>
      <c r="G8273" s="15" t="s">
        <v>31</v>
      </c>
      <c r="H8273" s="15" t="n">
        <v>9</v>
      </c>
      <c r="I8273" s="17" t="n">
        <v>0.15</v>
      </c>
      <c r="J8273" s="18" t="n">
        <v>1125.69</v>
      </c>
      <c r="K8273" s="19" t="n">
        <v>64.14</v>
      </c>
      <c r="L8273" s="15" t="n">
        <f aca="false">YEAR(B8273)</f>
        <v>2024</v>
      </c>
      <c r="M8273" s="20" t="n">
        <f aca="false">IF(J8273&gt;0,K8273/J8273,0)</f>
        <v>0.0569783865895584</v>
      </c>
    </row>
    <row r="8274" customFormat="false" ht="15" hidden="false" customHeight="false" outlineLevel="0" collapsed="false">
      <c r="A8274" s="15" t="s">
        <v>8331</v>
      </c>
      <c r="B8274" s="16" t="n">
        <v>44597</v>
      </c>
      <c r="C8274" s="15" t="s">
        <v>56</v>
      </c>
      <c r="D8274" s="15" t="s">
        <v>42</v>
      </c>
      <c r="E8274" s="15" t="s">
        <v>37</v>
      </c>
      <c r="F8274" s="15" t="s">
        <v>17</v>
      </c>
      <c r="G8274" s="15" t="s">
        <v>31</v>
      </c>
      <c r="H8274" s="15" t="n">
        <v>3</v>
      </c>
      <c r="I8274" s="17" t="n">
        <v>0</v>
      </c>
      <c r="J8274" s="18" t="n">
        <v>413.79</v>
      </c>
      <c r="K8274" s="19" t="n">
        <v>74.57</v>
      </c>
      <c r="L8274" s="15" t="n">
        <f aca="false">YEAR(B8274)</f>
        <v>2022</v>
      </c>
      <c r="M8274" s="20" t="n">
        <f aca="false">IF(J8274&gt;0,K8274/J8274,0)</f>
        <v>0.18021218492472</v>
      </c>
    </row>
    <row r="8275" customFormat="false" ht="15" hidden="false" customHeight="false" outlineLevel="0" collapsed="false">
      <c r="A8275" s="15" t="s">
        <v>8332</v>
      </c>
      <c r="B8275" s="16" t="n">
        <v>45864</v>
      </c>
      <c r="C8275" s="15" t="s">
        <v>56</v>
      </c>
      <c r="D8275" s="15" t="s">
        <v>44</v>
      </c>
      <c r="E8275" s="15" t="s">
        <v>36</v>
      </c>
      <c r="F8275" s="15" t="s">
        <v>16</v>
      </c>
      <c r="G8275" s="15" t="s">
        <v>23</v>
      </c>
      <c r="H8275" s="15" t="n">
        <v>1</v>
      </c>
      <c r="I8275" s="17" t="n">
        <v>0.3</v>
      </c>
      <c r="J8275" s="18" t="n">
        <v>240.96</v>
      </c>
      <c r="K8275" s="19" t="n">
        <v>-53.9</v>
      </c>
      <c r="L8275" s="15" t="n">
        <f aca="false">YEAR(B8275)</f>
        <v>2025</v>
      </c>
      <c r="M8275" s="20" t="n">
        <f aca="false">IF(J8275&gt;0,K8275/J8275,0)</f>
        <v>-0.223688579017264</v>
      </c>
    </row>
    <row r="8276" customFormat="false" ht="15" hidden="false" customHeight="false" outlineLevel="0" collapsed="false">
      <c r="A8276" s="15" t="s">
        <v>8333</v>
      </c>
      <c r="B8276" s="16" t="n">
        <v>45641</v>
      </c>
      <c r="C8276" s="15" t="s">
        <v>68</v>
      </c>
      <c r="D8276" s="15" t="s">
        <v>42</v>
      </c>
      <c r="E8276" s="15" t="s">
        <v>36</v>
      </c>
      <c r="F8276" s="15" t="s">
        <v>17</v>
      </c>
      <c r="G8276" s="15" t="s">
        <v>29</v>
      </c>
      <c r="H8276" s="15" t="n">
        <v>3</v>
      </c>
      <c r="I8276" s="17" t="n">
        <v>0</v>
      </c>
      <c r="J8276" s="18" t="n">
        <v>45.05</v>
      </c>
      <c r="K8276" s="19" t="n">
        <v>16.58</v>
      </c>
      <c r="L8276" s="15" t="n">
        <f aca="false">YEAR(B8276)</f>
        <v>2024</v>
      </c>
      <c r="M8276" s="20" t="n">
        <f aca="false">IF(J8276&gt;0,K8276/J8276,0)</f>
        <v>0.36803551609323</v>
      </c>
    </row>
    <row r="8277" customFormat="false" ht="15" hidden="false" customHeight="false" outlineLevel="0" collapsed="false">
      <c r="A8277" s="15" t="s">
        <v>8334</v>
      </c>
      <c r="B8277" s="16" t="n">
        <v>44851</v>
      </c>
      <c r="C8277" s="15" t="s">
        <v>71</v>
      </c>
      <c r="D8277" s="15" t="s">
        <v>42</v>
      </c>
      <c r="E8277" s="15" t="s">
        <v>39</v>
      </c>
      <c r="F8277" s="15" t="s">
        <v>17</v>
      </c>
      <c r="G8277" s="15" t="s">
        <v>29</v>
      </c>
      <c r="H8277" s="15" t="n">
        <v>5</v>
      </c>
      <c r="I8277" s="17" t="n">
        <v>0.15</v>
      </c>
      <c r="J8277" s="18" t="n">
        <v>74.77</v>
      </c>
      <c r="K8277" s="19" t="n">
        <v>18.19</v>
      </c>
      <c r="L8277" s="15" t="n">
        <f aca="false">YEAR(B8277)</f>
        <v>2022</v>
      </c>
      <c r="M8277" s="20" t="n">
        <f aca="false">IF(J8277&gt;0,K8277/J8277,0)</f>
        <v>0.243279390129731</v>
      </c>
    </row>
    <row r="8278" customFormat="false" ht="15" hidden="false" customHeight="false" outlineLevel="0" collapsed="false">
      <c r="A8278" s="15" t="s">
        <v>8335</v>
      </c>
      <c r="B8278" s="16" t="n">
        <v>44958</v>
      </c>
      <c r="C8278" s="15" t="s">
        <v>56</v>
      </c>
      <c r="D8278" s="15" t="s">
        <v>44</v>
      </c>
      <c r="E8278" s="15" t="s">
        <v>36</v>
      </c>
      <c r="F8278" s="15" t="s">
        <v>16</v>
      </c>
      <c r="G8278" s="15" t="s">
        <v>27</v>
      </c>
      <c r="H8278" s="15" t="n">
        <v>3</v>
      </c>
      <c r="I8278" s="17" t="n">
        <v>0.1</v>
      </c>
      <c r="J8278" s="18" t="n">
        <v>172.42</v>
      </c>
      <c r="K8278" s="19" t="n">
        <v>19.36</v>
      </c>
      <c r="L8278" s="15" t="n">
        <f aca="false">YEAR(B8278)</f>
        <v>2023</v>
      </c>
      <c r="M8278" s="20" t="n">
        <f aca="false">IF(J8278&gt;0,K8278/J8278,0)</f>
        <v>0.11228395777752</v>
      </c>
    </row>
    <row r="8279" customFormat="false" ht="15" hidden="false" customHeight="false" outlineLevel="0" collapsed="false">
      <c r="A8279" s="15" t="s">
        <v>8336</v>
      </c>
      <c r="B8279" s="16" t="n">
        <v>45981</v>
      </c>
      <c r="C8279" s="15" t="s">
        <v>68</v>
      </c>
      <c r="D8279" s="15" t="s">
        <v>43</v>
      </c>
      <c r="E8279" s="15" t="s">
        <v>38</v>
      </c>
      <c r="F8279" s="15" t="s">
        <v>17</v>
      </c>
      <c r="G8279" s="15" t="s">
        <v>28</v>
      </c>
      <c r="H8279" s="15" t="n">
        <v>5</v>
      </c>
      <c r="I8279" s="17" t="n">
        <v>0.2</v>
      </c>
      <c r="J8279" s="18" t="n">
        <v>116.96</v>
      </c>
      <c r="K8279" s="19" t="n">
        <v>12.53</v>
      </c>
      <c r="L8279" s="15" t="n">
        <f aca="false">YEAR(B8279)</f>
        <v>2025</v>
      </c>
      <c r="M8279" s="20" t="n">
        <f aca="false">IF(J8279&gt;0,K8279/J8279,0)</f>
        <v>0.107130642954856</v>
      </c>
    </row>
    <row r="8280" customFormat="false" ht="15" hidden="false" customHeight="false" outlineLevel="0" collapsed="false">
      <c r="A8280" s="15" t="s">
        <v>8337</v>
      </c>
      <c r="B8280" s="16" t="n">
        <v>45588</v>
      </c>
      <c r="C8280" s="15" t="s">
        <v>56</v>
      </c>
      <c r="D8280" s="15" t="s">
        <v>42</v>
      </c>
      <c r="E8280" s="15" t="s">
        <v>38</v>
      </c>
      <c r="F8280" s="15" t="s">
        <v>18</v>
      </c>
      <c r="G8280" s="15" t="s">
        <v>33</v>
      </c>
      <c r="H8280" s="15" t="n">
        <v>6</v>
      </c>
      <c r="I8280" s="17" t="n">
        <v>0.1</v>
      </c>
      <c r="J8280" s="18" t="n">
        <v>3866.39</v>
      </c>
      <c r="K8280" s="19" t="n">
        <v>834.54</v>
      </c>
      <c r="L8280" s="15" t="n">
        <f aca="false">YEAR(B8280)</f>
        <v>2024</v>
      </c>
      <c r="M8280" s="20" t="n">
        <f aca="false">IF(J8280&gt;0,K8280/J8280,0)</f>
        <v>0.215844754409152</v>
      </c>
    </row>
    <row r="8281" customFormat="false" ht="15" hidden="false" customHeight="false" outlineLevel="0" collapsed="false">
      <c r="A8281" s="15" t="s">
        <v>8338</v>
      </c>
      <c r="B8281" s="16" t="n">
        <v>45933</v>
      </c>
      <c r="C8281" s="15" t="s">
        <v>71</v>
      </c>
      <c r="D8281" s="15" t="s">
        <v>44</v>
      </c>
      <c r="E8281" s="15" t="s">
        <v>39</v>
      </c>
      <c r="F8281" s="15" t="s">
        <v>17</v>
      </c>
      <c r="G8281" s="15" t="s">
        <v>29</v>
      </c>
      <c r="H8281" s="15" t="n">
        <v>4</v>
      </c>
      <c r="I8281" s="17" t="n">
        <v>0.1</v>
      </c>
      <c r="J8281" s="18" t="n">
        <v>67.86</v>
      </c>
      <c r="K8281" s="19" t="n">
        <v>17.41</v>
      </c>
      <c r="L8281" s="15" t="n">
        <f aca="false">YEAR(B8281)</f>
        <v>2025</v>
      </c>
      <c r="M8281" s="20" t="n">
        <f aca="false">IF(J8281&gt;0,K8281/J8281,0)</f>
        <v>0.256557618626584</v>
      </c>
    </row>
    <row r="8282" customFormat="false" ht="15" hidden="false" customHeight="false" outlineLevel="0" collapsed="false">
      <c r="A8282" s="15" t="s">
        <v>8339</v>
      </c>
      <c r="B8282" s="16" t="n">
        <v>45169</v>
      </c>
      <c r="C8282" s="15" t="s">
        <v>68</v>
      </c>
      <c r="D8282" s="15" t="s">
        <v>42</v>
      </c>
      <c r="E8282" s="15" t="s">
        <v>37</v>
      </c>
      <c r="F8282" s="15" t="s">
        <v>17</v>
      </c>
      <c r="G8282" s="15" t="s">
        <v>29</v>
      </c>
      <c r="H8282" s="15" t="n">
        <v>3</v>
      </c>
      <c r="I8282" s="17" t="n">
        <v>0.05</v>
      </c>
      <c r="J8282" s="18" t="n">
        <v>56.42</v>
      </c>
      <c r="K8282" s="19" t="n">
        <v>20.56</v>
      </c>
      <c r="L8282" s="15" t="n">
        <f aca="false">YEAR(B8282)</f>
        <v>2023</v>
      </c>
      <c r="M8282" s="20" t="n">
        <f aca="false">IF(J8282&gt;0,K8282/J8282,0)</f>
        <v>0.364409783764622</v>
      </c>
    </row>
    <row r="8283" customFormat="false" ht="15" hidden="false" customHeight="false" outlineLevel="0" collapsed="false">
      <c r="A8283" s="15" t="s">
        <v>8340</v>
      </c>
      <c r="B8283" s="16" t="n">
        <v>45962</v>
      </c>
      <c r="C8283" s="15" t="s">
        <v>58</v>
      </c>
      <c r="D8283" s="15" t="s">
        <v>42</v>
      </c>
      <c r="E8283" s="15" t="s">
        <v>39</v>
      </c>
      <c r="F8283" s="15" t="s">
        <v>17</v>
      </c>
      <c r="G8283" s="15" t="s">
        <v>28</v>
      </c>
      <c r="H8283" s="15" t="n">
        <v>3</v>
      </c>
      <c r="I8283" s="17" t="n">
        <v>0.2</v>
      </c>
      <c r="J8283" s="18" t="n">
        <v>71.58</v>
      </c>
      <c r="K8283" s="19" t="n">
        <v>14.64</v>
      </c>
      <c r="L8283" s="15" t="n">
        <f aca="false">YEAR(B8283)</f>
        <v>2025</v>
      </c>
      <c r="M8283" s="20" t="n">
        <f aca="false">IF(J8283&gt;0,K8283/J8283,0)</f>
        <v>0.20452640402347</v>
      </c>
    </row>
    <row r="8284" customFormat="false" ht="15" hidden="false" customHeight="false" outlineLevel="0" collapsed="false">
      <c r="A8284" s="15" t="s">
        <v>8341</v>
      </c>
      <c r="B8284" s="16" t="n">
        <v>45747</v>
      </c>
      <c r="C8284" s="15" t="s">
        <v>71</v>
      </c>
      <c r="D8284" s="15" t="s">
        <v>43</v>
      </c>
      <c r="E8284" s="15" t="s">
        <v>36</v>
      </c>
      <c r="F8284" s="15" t="s">
        <v>16</v>
      </c>
      <c r="G8284" s="15" t="s">
        <v>25</v>
      </c>
      <c r="H8284" s="15" t="n">
        <v>3</v>
      </c>
      <c r="I8284" s="17" t="n">
        <v>0</v>
      </c>
      <c r="J8284" s="18" t="n">
        <v>821.98</v>
      </c>
      <c r="K8284" s="19" t="n">
        <v>51.01</v>
      </c>
      <c r="L8284" s="15" t="n">
        <f aca="false">YEAR(B8284)</f>
        <v>2025</v>
      </c>
      <c r="M8284" s="20" t="n">
        <f aca="false">IF(J8284&gt;0,K8284/J8284,0)</f>
        <v>0.0620574709846955</v>
      </c>
    </row>
    <row r="8285" customFormat="false" ht="15" hidden="false" customHeight="false" outlineLevel="0" collapsed="false">
      <c r="A8285" s="15" t="s">
        <v>8342</v>
      </c>
      <c r="B8285" s="16" t="n">
        <v>45964</v>
      </c>
      <c r="C8285" s="15" t="s">
        <v>56</v>
      </c>
      <c r="D8285" s="15" t="s">
        <v>43</v>
      </c>
      <c r="E8285" s="15" t="s">
        <v>39</v>
      </c>
      <c r="F8285" s="15" t="s">
        <v>17</v>
      </c>
      <c r="G8285" s="15" t="s">
        <v>29</v>
      </c>
      <c r="H8285" s="15" t="n">
        <v>2</v>
      </c>
      <c r="I8285" s="17" t="n">
        <v>0</v>
      </c>
      <c r="J8285" s="18" t="n">
        <v>44.77</v>
      </c>
      <c r="K8285" s="19" t="n">
        <v>19.03</v>
      </c>
      <c r="L8285" s="15" t="n">
        <f aca="false">YEAR(B8285)</f>
        <v>2025</v>
      </c>
      <c r="M8285" s="20" t="n">
        <f aca="false">IF(J8285&gt;0,K8285/J8285,0)</f>
        <v>0.425061425061425</v>
      </c>
    </row>
    <row r="8286" customFormat="false" ht="15" hidden="false" customHeight="false" outlineLevel="0" collapsed="false">
      <c r="A8286" s="15" t="s">
        <v>8343</v>
      </c>
      <c r="B8286" s="16" t="n">
        <v>45869</v>
      </c>
      <c r="C8286" s="15" t="s">
        <v>56</v>
      </c>
      <c r="D8286" s="15" t="s">
        <v>43</v>
      </c>
      <c r="E8286" s="15" t="s">
        <v>38</v>
      </c>
      <c r="F8286" s="15" t="s">
        <v>16</v>
      </c>
      <c r="G8286" s="15" t="s">
        <v>23</v>
      </c>
      <c r="H8286" s="15" t="n">
        <v>2</v>
      </c>
      <c r="I8286" s="17" t="n">
        <v>0.05</v>
      </c>
      <c r="J8286" s="18" t="n">
        <v>736.94</v>
      </c>
      <c r="K8286" s="19" t="n">
        <v>-16.75</v>
      </c>
      <c r="L8286" s="15" t="n">
        <f aca="false">YEAR(B8286)</f>
        <v>2025</v>
      </c>
      <c r="M8286" s="20" t="n">
        <f aca="false">IF(J8286&gt;0,K8286/J8286,0)</f>
        <v>-0.0227291231307841</v>
      </c>
    </row>
    <row r="8287" customFormat="false" ht="15" hidden="false" customHeight="false" outlineLevel="0" collapsed="false">
      <c r="A8287" s="15" t="s">
        <v>8344</v>
      </c>
      <c r="B8287" s="16" t="n">
        <v>45211</v>
      </c>
      <c r="C8287" s="15" t="s">
        <v>56</v>
      </c>
      <c r="D8287" s="15" t="s">
        <v>42</v>
      </c>
      <c r="E8287" s="15" t="s">
        <v>37</v>
      </c>
      <c r="F8287" s="15" t="s">
        <v>16</v>
      </c>
      <c r="G8287" s="15" t="s">
        <v>27</v>
      </c>
      <c r="H8287" s="15" t="n">
        <v>3</v>
      </c>
      <c r="I8287" s="17" t="n">
        <v>0.1</v>
      </c>
      <c r="J8287" s="18" t="n">
        <v>166.18</v>
      </c>
      <c r="K8287" s="19" t="n">
        <v>7.07</v>
      </c>
      <c r="L8287" s="15" t="n">
        <f aca="false">YEAR(B8287)</f>
        <v>2023</v>
      </c>
      <c r="M8287" s="20" t="n">
        <f aca="false">IF(J8287&gt;0,K8287/J8287,0)</f>
        <v>0.0425442291491154</v>
      </c>
    </row>
    <row r="8288" customFormat="false" ht="15" hidden="false" customHeight="false" outlineLevel="0" collapsed="false">
      <c r="A8288" s="15" t="s">
        <v>8345</v>
      </c>
      <c r="B8288" s="16" t="n">
        <v>45935</v>
      </c>
      <c r="C8288" s="15" t="s">
        <v>68</v>
      </c>
      <c r="D8288" s="15" t="s">
        <v>44</v>
      </c>
      <c r="E8288" s="15" t="s">
        <v>38</v>
      </c>
      <c r="F8288" s="15" t="s">
        <v>16</v>
      </c>
      <c r="G8288" s="15" t="s">
        <v>23</v>
      </c>
      <c r="H8288" s="15" t="n">
        <v>3</v>
      </c>
      <c r="I8288" s="17" t="n">
        <v>0</v>
      </c>
      <c r="J8288" s="18" t="n">
        <v>967.04</v>
      </c>
      <c r="K8288" s="19" t="n">
        <v>33.26</v>
      </c>
      <c r="L8288" s="15" t="n">
        <f aca="false">YEAR(B8288)</f>
        <v>2025</v>
      </c>
      <c r="M8288" s="20" t="n">
        <f aca="false">IF(J8288&gt;0,K8288/J8288,0)</f>
        <v>0.0343936135009927</v>
      </c>
    </row>
    <row r="8289" customFormat="false" ht="15" hidden="false" customHeight="false" outlineLevel="0" collapsed="false">
      <c r="A8289" s="15" t="s">
        <v>8346</v>
      </c>
      <c r="B8289" s="16" t="n">
        <v>45977</v>
      </c>
      <c r="C8289" s="15" t="s">
        <v>56</v>
      </c>
      <c r="D8289" s="15" t="s">
        <v>44</v>
      </c>
      <c r="E8289" s="15" t="s">
        <v>38</v>
      </c>
      <c r="F8289" s="15" t="s">
        <v>16</v>
      </c>
      <c r="G8289" s="15" t="s">
        <v>23</v>
      </c>
      <c r="H8289" s="15" t="n">
        <v>3</v>
      </c>
      <c r="I8289" s="17" t="n">
        <v>0</v>
      </c>
      <c r="J8289" s="18" t="n">
        <v>872.09</v>
      </c>
      <c r="K8289" s="19" t="n">
        <v>80.72</v>
      </c>
      <c r="L8289" s="15" t="n">
        <f aca="false">YEAR(B8289)</f>
        <v>2025</v>
      </c>
      <c r="M8289" s="20" t="n">
        <f aca="false">IF(J8289&gt;0,K8289/J8289,0)</f>
        <v>0.0925592542054146</v>
      </c>
    </row>
    <row r="8290" customFormat="false" ht="15" hidden="false" customHeight="false" outlineLevel="0" collapsed="false">
      <c r="A8290" s="15" t="s">
        <v>8347</v>
      </c>
      <c r="B8290" s="16" t="n">
        <v>45604</v>
      </c>
      <c r="C8290" s="15" t="s">
        <v>56</v>
      </c>
      <c r="D8290" s="15" t="s">
        <v>43</v>
      </c>
      <c r="E8290" s="15" t="s">
        <v>37</v>
      </c>
      <c r="F8290" s="15" t="s">
        <v>17</v>
      </c>
      <c r="G8290" s="15" t="s">
        <v>28</v>
      </c>
      <c r="H8290" s="15" t="n">
        <v>2</v>
      </c>
      <c r="I8290" s="17" t="n">
        <v>0.2</v>
      </c>
      <c r="J8290" s="18" t="n">
        <v>52.09</v>
      </c>
      <c r="K8290" s="19" t="n">
        <v>8.13</v>
      </c>
      <c r="L8290" s="15" t="n">
        <f aca="false">YEAR(B8290)</f>
        <v>2024</v>
      </c>
      <c r="M8290" s="20" t="n">
        <f aca="false">IF(J8290&gt;0,K8290/J8290,0)</f>
        <v>0.15607602226915</v>
      </c>
    </row>
    <row r="8291" customFormat="false" ht="15" hidden="false" customHeight="false" outlineLevel="0" collapsed="false">
      <c r="A8291" s="15" t="s">
        <v>8348</v>
      </c>
      <c r="B8291" s="16" t="n">
        <v>45682</v>
      </c>
      <c r="C8291" s="15" t="s">
        <v>71</v>
      </c>
      <c r="D8291" s="15" t="s">
        <v>43</v>
      </c>
      <c r="E8291" s="15" t="s">
        <v>36</v>
      </c>
      <c r="F8291" s="15" t="s">
        <v>17</v>
      </c>
      <c r="G8291" s="15" t="s">
        <v>31</v>
      </c>
      <c r="H8291" s="15" t="n">
        <v>6</v>
      </c>
      <c r="I8291" s="17" t="n">
        <v>0.3</v>
      </c>
      <c r="J8291" s="18" t="n">
        <v>637.83</v>
      </c>
      <c r="K8291" s="19" t="n">
        <v>-64.34</v>
      </c>
      <c r="L8291" s="15" t="n">
        <f aca="false">YEAR(B8291)</f>
        <v>2025</v>
      </c>
      <c r="M8291" s="20" t="n">
        <f aca="false">IF(J8291&gt;0,K8291/J8291,0)</f>
        <v>-0.100873273442767</v>
      </c>
    </row>
    <row r="8292" customFormat="false" ht="15" hidden="false" customHeight="false" outlineLevel="0" collapsed="false">
      <c r="A8292" s="15" t="s">
        <v>8349</v>
      </c>
      <c r="B8292" s="16" t="n">
        <v>45117</v>
      </c>
      <c r="C8292" s="15" t="s">
        <v>58</v>
      </c>
      <c r="D8292" s="15" t="s">
        <v>42</v>
      </c>
      <c r="E8292" s="15" t="s">
        <v>39</v>
      </c>
      <c r="F8292" s="15" t="s">
        <v>16</v>
      </c>
      <c r="G8292" s="15" t="s">
        <v>23</v>
      </c>
      <c r="H8292" s="15" t="n">
        <v>5</v>
      </c>
      <c r="I8292" s="17" t="n">
        <v>0</v>
      </c>
      <c r="J8292" s="18" t="n">
        <v>1907.08</v>
      </c>
      <c r="K8292" s="19" t="n">
        <v>0.83</v>
      </c>
      <c r="L8292" s="15" t="n">
        <f aca="false">YEAR(B8292)</f>
        <v>2023</v>
      </c>
      <c r="M8292" s="20" t="n">
        <f aca="false">IF(J8292&gt;0,K8292/J8292,0)</f>
        <v>0.000435220336850054</v>
      </c>
    </row>
    <row r="8293" customFormat="false" ht="15" hidden="false" customHeight="false" outlineLevel="0" collapsed="false">
      <c r="A8293" s="15" t="s">
        <v>8350</v>
      </c>
      <c r="B8293" s="16" t="n">
        <v>44784</v>
      </c>
      <c r="C8293" s="15" t="s">
        <v>71</v>
      </c>
      <c r="D8293" s="15" t="s">
        <v>43</v>
      </c>
      <c r="E8293" s="15" t="s">
        <v>39</v>
      </c>
      <c r="F8293" s="15" t="s">
        <v>18</v>
      </c>
      <c r="G8293" s="15" t="s">
        <v>30</v>
      </c>
      <c r="H8293" s="15" t="n">
        <v>4</v>
      </c>
      <c r="I8293" s="17" t="n">
        <v>0.1</v>
      </c>
      <c r="J8293" s="18" t="n">
        <v>162.85</v>
      </c>
      <c r="K8293" s="19" t="n">
        <v>33.55</v>
      </c>
      <c r="L8293" s="15" t="n">
        <f aca="false">YEAR(B8293)</f>
        <v>2022</v>
      </c>
      <c r="M8293" s="20" t="n">
        <f aca="false">IF(J8293&gt;0,K8293/J8293,0)</f>
        <v>0.206017807798588</v>
      </c>
    </row>
    <row r="8294" customFormat="false" ht="15" hidden="false" customHeight="false" outlineLevel="0" collapsed="false">
      <c r="A8294" s="15" t="s">
        <v>8351</v>
      </c>
      <c r="B8294" s="16" t="n">
        <v>44900</v>
      </c>
      <c r="C8294" s="15" t="s">
        <v>71</v>
      </c>
      <c r="D8294" s="15" t="s">
        <v>43</v>
      </c>
      <c r="E8294" s="15" t="s">
        <v>38</v>
      </c>
      <c r="F8294" s="15" t="s">
        <v>17</v>
      </c>
      <c r="G8294" s="15" t="s">
        <v>28</v>
      </c>
      <c r="H8294" s="15" t="n">
        <v>2</v>
      </c>
      <c r="I8294" s="17" t="n">
        <v>0.05</v>
      </c>
      <c r="J8294" s="18" t="n">
        <v>48.62</v>
      </c>
      <c r="K8294" s="19" t="n">
        <v>11.45</v>
      </c>
      <c r="L8294" s="15" t="n">
        <f aca="false">YEAR(B8294)</f>
        <v>2022</v>
      </c>
      <c r="M8294" s="20" t="n">
        <f aca="false">IF(J8294&gt;0,K8294/J8294,0)</f>
        <v>0.235499794323324</v>
      </c>
    </row>
    <row r="8295" customFormat="false" ht="15" hidden="false" customHeight="false" outlineLevel="0" collapsed="false">
      <c r="A8295" s="15" t="s">
        <v>8352</v>
      </c>
      <c r="B8295" s="16" t="n">
        <v>45495</v>
      </c>
      <c r="C8295" s="15" t="s">
        <v>56</v>
      </c>
      <c r="D8295" s="15" t="s">
        <v>44</v>
      </c>
      <c r="E8295" s="15" t="s">
        <v>39</v>
      </c>
      <c r="F8295" s="15" t="s">
        <v>16</v>
      </c>
      <c r="G8295" s="15" t="s">
        <v>27</v>
      </c>
      <c r="H8295" s="15" t="n">
        <v>5</v>
      </c>
      <c r="I8295" s="17" t="n">
        <v>0</v>
      </c>
      <c r="J8295" s="18" t="n">
        <v>283.52</v>
      </c>
      <c r="K8295" s="19" t="n">
        <v>44.13</v>
      </c>
      <c r="L8295" s="15" t="n">
        <f aca="false">YEAR(B8295)</f>
        <v>2024</v>
      </c>
      <c r="M8295" s="20" t="n">
        <f aca="false">IF(J8295&gt;0,K8295/J8295,0)</f>
        <v>0.15565039503386</v>
      </c>
    </row>
    <row r="8296" customFormat="false" ht="15" hidden="false" customHeight="false" outlineLevel="0" collapsed="false">
      <c r="A8296" s="15" t="s">
        <v>8353</v>
      </c>
      <c r="B8296" s="16" t="n">
        <v>45496</v>
      </c>
      <c r="C8296" s="15" t="s">
        <v>56</v>
      </c>
      <c r="D8296" s="15" t="s">
        <v>43</v>
      </c>
      <c r="E8296" s="15" t="s">
        <v>37</v>
      </c>
      <c r="F8296" s="15" t="s">
        <v>16</v>
      </c>
      <c r="G8296" s="15" t="s">
        <v>22</v>
      </c>
      <c r="H8296" s="15" t="n">
        <v>4</v>
      </c>
      <c r="I8296" s="17" t="n">
        <v>0.3</v>
      </c>
      <c r="J8296" s="18" t="n">
        <v>1109.03</v>
      </c>
      <c r="K8296" s="19" t="n">
        <v>-402.84</v>
      </c>
      <c r="L8296" s="15" t="n">
        <f aca="false">YEAR(B8296)</f>
        <v>2024</v>
      </c>
      <c r="M8296" s="20" t="n">
        <f aca="false">IF(J8296&gt;0,K8296/J8296,0)</f>
        <v>-0.363236341667944</v>
      </c>
    </row>
    <row r="8297" customFormat="false" ht="15" hidden="false" customHeight="false" outlineLevel="0" collapsed="false">
      <c r="A8297" s="15" t="s">
        <v>8354</v>
      </c>
      <c r="B8297" s="16" t="n">
        <v>45414</v>
      </c>
      <c r="C8297" s="15" t="s">
        <v>71</v>
      </c>
      <c r="D8297" s="15" t="s">
        <v>42</v>
      </c>
      <c r="E8297" s="15" t="s">
        <v>39</v>
      </c>
      <c r="F8297" s="15" t="s">
        <v>17</v>
      </c>
      <c r="G8297" s="15" t="s">
        <v>28</v>
      </c>
      <c r="H8297" s="15" t="n">
        <v>3</v>
      </c>
      <c r="I8297" s="17" t="n">
        <v>0.15</v>
      </c>
      <c r="J8297" s="18" t="n">
        <v>69.27</v>
      </c>
      <c r="K8297" s="19" t="n">
        <v>12.29</v>
      </c>
      <c r="L8297" s="15" t="n">
        <f aca="false">YEAR(B8297)</f>
        <v>2024</v>
      </c>
      <c r="M8297" s="20" t="n">
        <f aca="false">IF(J8297&gt;0,K8297/J8297,0)</f>
        <v>0.17742168326837</v>
      </c>
    </row>
    <row r="8298" customFormat="false" ht="15" hidden="false" customHeight="false" outlineLevel="0" collapsed="false">
      <c r="A8298" s="15" t="s">
        <v>8355</v>
      </c>
      <c r="B8298" s="16" t="n">
        <v>45736</v>
      </c>
      <c r="C8298" s="15" t="s">
        <v>58</v>
      </c>
      <c r="D8298" s="15" t="s">
        <v>42</v>
      </c>
      <c r="E8298" s="15" t="s">
        <v>39</v>
      </c>
      <c r="F8298" s="15" t="s">
        <v>18</v>
      </c>
      <c r="G8298" s="15" t="s">
        <v>33</v>
      </c>
      <c r="H8298" s="15" t="n">
        <v>3</v>
      </c>
      <c r="I8298" s="17" t="n">
        <v>0</v>
      </c>
      <c r="J8298" s="18" t="n">
        <v>3004.3</v>
      </c>
      <c r="K8298" s="19" t="n">
        <v>959.03</v>
      </c>
      <c r="L8298" s="15" t="n">
        <f aca="false">YEAR(B8298)</f>
        <v>2025</v>
      </c>
      <c r="M8298" s="20" t="n">
        <f aca="false">IF(J8298&gt;0,K8298/J8298,0)</f>
        <v>0.319219119262391</v>
      </c>
    </row>
    <row r="8299" customFormat="false" ht="15" hidden="false" customHeight="false" outlineLevel="0" collapsed="false">
      <c r="A8299" s="15" t="s">
        <v>8356</v>
      </c>
      <c r="B8299" s="16" t="n">
        <v>44656</v>
      </c>
      <c r="C8299" s="15" t="s">
        <v>68</v>
      </c>
      <c r="D8299" s="15" t="s">
        <v>42</v>
      </c>
      <c r="E8299" s="15" t="s">
        <v>39</v>
      </c>
      <c r="F8299" s="15" t="s">
        <v>17</v>
      </c>
      <c r="G8299" s="15" t="s">
        <v>29</v>
      </c>
      <c r="H8299" s="15" t="n">
        <v>4</v>
      </c>
      <c r="I8299" s="17" t="n">
        <v>0.4</v>
      </c>
      <c r="J8299" s="18" t="n">
        <v>50.69</v>
      </c>
      <c r="K8299" s="19" t="n">
        <v>-0.55</v>
      </c>
      <c r="L8299" s="15" t="n">
        <f aca="false">YEAR(B8299)</f>
        <v>2022</v>
      </c>
      <c r="M8299" s="20" t="n">
        <f aca="false">IF(J8299&gt;0,K8299/J8299,0)</f>
        <v>-0.0108502663247189</v>
      </c>
    </row>
    <row r="8300" customFormat="false" ht="15" hidden="false" customHeight="false" outlineLevel="0" collapsed="false">
      <c r="A8300" s="15" t="s">
        <v>8357</v>
      </c>
      <c r="B8300" s="16" t="n">
        <v>44994</v>
      </c>
      <c r="C8300" s="15" t="s">
        <v>58</v>
      </c>
      <c r="D8300" s="15" t="s">
        <v>42</v>
      </c>
      <c r="E8300" s="15" t="s">
        <v>38</v>
      </c>
      <c r="F8300" s="15" t="s">
        <v>16</v>
      </c>
      <c r="G8300" s="15" t="s">
        <v>22</v>
      </c>
      <c r="H8300" s="15" t="n">
        <v>4</v>
      </c>
      <c r="I8300" s="17" t="n">
        <v>0.2</v>
      </c>
      <c r="J8300" s="18" t="n">
        <v>1431.18</v>
      </c>
      <c r="K8300" s="19" t="n">
        <v>-347.15</v>
      </c>
      <c r="L8300" s="15" t="n">
        <f aca="false">YEAR(B8300)</f>
        <v>2023</v>
      </c>
      <c r="M8300" s="20" t="n">
        <f aca="false">IF(J8300&gt;0,K8300/J8300,0)</f>
        <v>-0.242562081638927</v>
      </c>
    </row>
    <row r="8301" customFormat="false" ht="15" hidden="false" customHeight="false" outlineLevel="0" collapsed="false">
      <c r="A8301" s="15" t="s">
        <v>8358</v>
      </c>
      <c r="B8301" s="16" t="n">
        <v>45932</v>
      </c>
      <c r="C8301" s="15" t="s">
        <v>58</v>
      </c>
      <c r="D8301" s="15" t="s">
        <v>42</v>
      </c>
      <c r="E8301" s="15" t="s">
        <v>39</v>
      </c>
      <c r="F8301" s="15" t="s">
        <v>17</v>
      </c>
      <c r="G8301" s="15" t="s">
        <v>26</v>
      </c>
      <c r="H8301" s="15" t="n">
        <v>6</v>
      </c>
      <c r="I8301" s="17" t="n">
        <v>0.05</v>
      </c>
      <c r="J8301" s="18" t="n">
        <v>666.38</v>
      </c>
      <c r="K8301" s="19" t="n">
        <v>30.89</v>
      </c>
      <c r="L8301" s="15" t="n">
        <f aca="false">YEAR(B8301)</f>
        <v>2025</v>
      </c>
      <c r="M8301" s="20" t="n">
        <f aca="false">IF(J8301&gt;0,K8301/J8301,0)</f>
        <v>0.046354932621027</v>
      </c>
    </row>
    <row r="8302" customFormat="false" ht="15" hidden="false" customHeight="false" outlineLevel="0" collapsed="false">
      <c r="A8302" s="15" t="s">
        <v>8359</v>
      </c>
      <c r="B8302" s="16" t="n">
        <v>44575</v>
      </c>
      <c r="C8302" s="15" t="s">
        <v>56</v>
      </c>
      <c r="D8302" s="15" t="s">
        <v>42</v>
      </c>
      <c r="E8302" s="15" t="s">
        <v>39</v>
      </c>
      <c r="F8302" s="15" t="s">
        <v>17</v>
      </c>
      <c r="G8302" s="15" t="s">
        <v>31</v>
      </c>
      <c r="H8302" s="15" t="n">
        <v>4</v>
      </c>
      <c r="I8302" s="17" t="n">
        <v>0</v>
      </c>
      <c r="J8302" s="18" t="n">
        <v>715.86</v>
      </c>
      <c r="K8302" s="19" t="n">
        <v>153.59</v>
      </c>
      <c r="L8302" s="15" t="n">
        <f aca="false">YEAR(B8302)</f>
        <v>2022</v>
      </c>
      <c r="M8302" s="20" t="n">
        <f aca="false">IF(J8302&gt;0,K8302/J8302,0)</f>
        <v>0.214553124912692</v>
      </c>
    </row>
    <row r="8303" customFormat="false" ht="15" hidden="false" customHeight="false" outlineLevel="0" collapsed="false">
      <c r="A8303" s="15" t="s">
        <v>8360</v>
      </c>
      <c r="B8303" s="16" t="n">
        <v>44716</v>
      </c>
      <c r="C8303" s="15" t="s">
        <v>56</v>
      </c>
      <c r="D8303" s="15" t="s">
        <v>43</v>
      </c>
      <c r="E8303" s="15" t="s">
        <v>37</v>
      </c>
      <c r="F8303" s="15" t="s">
        <v>17</v>
      </c>
      <c r="G8303" s="15" t="s">
        <v>28</v>
      </c>
      <c r="H8303" s="15" t="n">
        <v>4</v>
      </c>
      <c r="I8303" s="17" t="n">
        <v>0.15</v>
      </c>
      <c r="J8303" s="18" t="n">
        <v>101.7</v>
      </c>
      <c r="K8303" s="19" t="n">
        <v>10.44</v>
      </c>
      <c r="L8303" s="15" t="n">
        <f aca="false">YEAR(B8303)</f>
        <v>2022</v>
      </c>
      <c r="M8303" s="20" t="n">
        <f aca="false">IF(J8303&gt;0,K8303/J8303,0)</f>
        <v>0.102654867256637</v>
      </c>
    </row>
    <row r="8304" customFormat="false" ht="15" hidden="false" customHeight="false" outlineLevel="0" collapsed="false">
      <c r="A8304" s="15" t="s">
        <v>8361</v>
      </c>
      <c r="B8304" s="16" t="n">
        <v>44644</v>
      </c>
      <c r="C8304" s="15" t="s">
        <v>56</v>
      </c>
      <c r="D8304" s="15" t="s">
        <v>43</v>
      </c>
      <c r="E8304" s="15" t="s">
        <v>39</v>
      </c>
      <c r="F8304" s="15" t="s">
        <v>16</v>
      </c>
      <c r="G8304" s="15" t="s">
        <v>25</v>
      </c>
      <c r="H8304" s="15" t="n">
        <v>3</v>
      </c>
      <c r="I8304" s="17" t="n">
        <v>0</v>
      </c>
      <c r="J8304" s="18" t="n">
        <v>912.47</v>
      </c>
      <c r="K8304" s="19" t="n">
        <v>124.97</v>
      </c>
      <c r="L8304" s="15" t="n">
        <f aca="false">YEAR(B8304)</f>
        <v>2022</v>
      </c>
      <c r="M8304" s="20" t="n">
        <f aca="false">IF(J8304&gt;0,K8304/J8304,0)</f>
        <v>0.136957927383914</v>
      </c>
    </row>
    <row r="8305" customFormat="false" ht="15" hidden="false" customHeight="false" outlineLevel="0" collapsed="false">
      <c r="A8305" s="15" t="s">
        <v>8362</v>
      </c>
      <c r="B8305" s="16" t="n">
        <v>45597</v>
      </c>
      <c r="C8305" s="15" t="s">
        <v>68</v>
      </c>
      <c r="D8305" s="15" t="s">
        <v>42</v>
      </c>
      <c r="E8305" s="15" t="s">
        <v>36</v>
      </c>
      <c r="F8305" s="15" t="s">
        <v>16</v>
      </c>
      <c r="G8305" s="15" t="s">
        <v>25</v>
      </c>
      <c r="H8305" s="15" t="n">
        <v>6</v>
      </c>
      <c r="I8305" s="17" t="n">
        <v>0.1</v>
      </c>
      <c r="J8305" s="18" t="n">
        <v>1671.14</v>
      </c>
      <c r="K8305" s="19" t="n">
        <v>39.5</v>
      </c>
      <c r="L8305" s="15" t="n">
        <f aca="false">YEAR(B8305)</f>
        <v>2024</v>
      </c>
      <c r="M8305" s="20" t="n">
        <f aca="false">IF(J8305&gt;0,K8305/J8305,0)</f>
        <v>0.0236365594743708</v>
      </c>
    </row>
    <row r="8306" customFormat="false" ht="15" hidden="false" customHeight="false" outlineLevel="0" collapsed="false">
      <c r="A8306" s="15" t="s">
        <v>8363</v>
      </c>
      <c r="B8306" s="16" t="n">
        <v>44846</v>
      </c>
      <c r="C8306" s="15" t="s">
        <v>68</v>
      </c>
      <c r="D8306" s="15" t="s">
        <v>43</v>
      </c>
      <c r="E8306" s="15" t="s">
        <v>39</v>
      </c>
      <c r="F8306" s="15" t="s">
        <v>17</v>
      </c>
      <c r="G8306" s="15" t="s">
        <v>29</v>
      </c>
      <c r="H8306" s="15" t="n">
        <v>4</v>
      </c>
      <c r="I8306" s="17" t="n">
        <v>0.4</v>
      </c>
      <c r="J8306" s="18" t="n">
        <v>44.4</v>
      </c>
      <c r="K8306" s="19" t="n">
        <v>0.15</v>
      </c>
      <c r="L8306" s="15" t="n">
        <f aca="false">YEAR(B8306)</f>
        <v>2022</v>
      </c>
      <c r="M8306" s="20" t="n">
        <f aca="false">IF(J8306&gt;0,K8306/J8306,0)</f>
        <v>0.00337837837837838</v>
      </c>
    </row>
    <row r="8307" customFormat="false" ht="15" hidden="false" customHeight="false" outlineLevel="0" collapsed="false">
      <c r="A8307" s="15" t="s">
        <v>8364</v>
      </c>
      <c r="B8307" s="16" t="n">
        <v>45382</v>
      </c>
      <c r="C8307" s="15" t="s">
        <v>56</v>
      </c>
      <c r="D8307" s="15" t="s">
        <v>44</v>
      </c>
      <c r="E8307" s="15" t="s">
        <v>38</v>
      </c>
      <c r="F8307" s="15" t="s">
        <v>16</v>
      </c>
      <c r="G8307" s="15" t="s">
        <v>23</v>
      </c>
      <c r="H8307" s="15" t="n">
        <v>4</v>
      </c>
      <c r="I8307" s="17" t="n">
        <v>0</v>
      </c>
      <c r="J8307" s="18" t="n">
        <v>1162.87</v>
      </c>
      <c r="K8307" s="19" t="n">
        <v>19.39</v>
      </c>
      <c r="L8307" s="15" t="n">
        <f aca="false">YEAR(B8307)</f>
        <v>2024</v>
      </c>
      <c r="M8307" s="20" t="n">
        <f aca="false">IF(J8307&gt;0,K8307/J8307,0)</f>
        <v>0.016674262815276</v>
      </c>
    </row>
    <row r="8308" customFormat="false" ht="15" hidden="false" customHeight="false" outlineLevel="0" collapsed="false">
      <c r="A8308" s="15" t="s">
        <v>8365</v>
      </c>
      <c r="B8308" s="16" t="n">
        <v>45251</v>
      </c>
      <c r="C8308" s="15" t="s">
        <v>56</v>
      </c>
      <c r="D8308" s="15" t="s">
        <v>42</v>
      </c>
      <c r="E8308" s="15" t="s">
        <v>39</v>
      </c>
      <c r="F8308" s="15" t="s">
        <v>16</v>
      </c>
      <c r="G8308" s="15" t="s">
        <v>27</v>
      </c>
      <c r="H8308" s="15" t="n">
        <v>4</v>
      </c>
      <c r="I8308" s="17" t="n">
        <v>0.05</v>
      </c>
      <c r="J8308" s="18" t="n">
        <v>262.37</v>
      </c>
      <c r="K8308" s="19" t="n">
        <v>54.9</v>
      </c>
      <c r="L8308" s="15" t="n">
        <f aca="false">YEAR(B8308)</f>
        <v>2023</v>
      </c>
      <c r="M8308" s="20" t="n">
        <f aca="false">IF(J8308&gt;0,K8308/J8308,0)</f>
        <v>0.209246483973015</v>
      </c>
    </row>
    <row r="8309" customFormat="false" ht="15" hidden="false" customHeight="false" outlineLevel="0" collapsed="false">
      <c r="A8309" s="15" t="s">
        <v>8366</v>
      </c>
      <c r="B8309" s="16" t="n">
        <v>45322</v>
      </c>
      <c r="C8309" s="15" t="s">
        <v>56</v>
      </c>
      <c r="D8309" s="15" t="s">
        <v>42</v>
      </c>
      <c r="E8309" s="15" t="s">
        <v>39</v>
      </c>
      <c r="F8309" s="15" t="s">
        <v>17</v>
      </c>
      <c r="G8309" s="15" t="s">
        <v>29</v>
      </c>
      <c r="H8309" s="15" t="n">
        <v>5</v>
      </c>
      <c r="I8309" s="17" t="n">
        <v>0.3</v>
      </c>
      <c r="J8309" s="18" t="n">
        <v>67.11</v>
      </c>
      <c r="K8309" s="19" t="n">
        <v>9.02</v>
      </c>
      <c r="L8309" s="15" t="n">
        <f aca="false">YEAR(B8309)</f>
        <v>2024</v>
      </c>
      <c r="M8309" s="20" t="n">
        <f aca="false">IF(J8309&gt;0,K8309/J8309,0)</f>
        <v>0.134406198778125</v>
      </c>
    </row>
    <row r="8310" customFormat="false" ht="15" hidden="false" customHeight="false" outlineLevel="0" collapsed="false">
      <c r="A8310" s="15" t="s">
        <v>8367</v>
      </c>
      <c r="B8310" s="16" t="n">
        <v>45135</v>
      </c>
      <c r="C8310" s="15" t="s">
        <v>56</v>
      </c>
      <c r="D8310" s="15" t="s">
        <v>42</v>
      </c>
      <c r="E8310" s="15" t="s">
        <v>36</v>
      </c>
      <c r="F8310" s="15" t="s">
        <v>18</v>
      </c>
      <c r="G8310" s="15" t="s">
        <v>32</v>
      </c>
      <c r="H8310" s="15" t="n">
        <v>2</v>
      </c>
      <c r="I8310" s="17" t="n">
        <v>0.2</v>
      </c>
      <c r="J8310" s="18" t="n">
        <v>708.75</v>
      </c>
      <c r="K8310" s="19" t="n">
        <v>-29.07</v>
      </c>
      <c r="L8310" s="15" t="n">
        <f aca="false">YEAR(B8310)</f>
        <v>2023</v>
      </c>
      <c r="M8310" s="20" t="n">
        <f aca="false">IF(J8310&gt;0,K8310/J8310,0)</f>
        <v>-0.041015873015873</v>
      </c>
    </row>
    <row r="8311" customFormat="false" ht="15" hidden="false" customHeight="false" outlineLevel="0" collapsed="false">
      <c r="A8311" s="15" t="s">
        <v>8368</v>
      </c>
      <c r="B8311" s="16" t="n">
        <v>45679</v>
      </c>
      <c r="C8311" s="15" t="s">
        <v>56</v>
      </c>
      <c r="D8311" s="15" t="s">
        <v>43</v>
      </c>
      <c r="E8311" s="15" t="s">
        <v>37</v>
      </c>
      <c r="F8311" s="15" t="s">
        <v>16</v>
      </c>
      <c r="G8311" s="15" t="s">
        <v>27</v>
      </c>
      <c r="H8311" s="15" t="n">
        <v>6</v>
      </c>
      <c r="I8311" s="17" t="n">
        <v>0</v>
      </c>
      <c r="J8311" s="18" t="n">
        <v>410.25</v>
      </c>
      <c r="K8311" s="19" t="n">
        <v>73.34</v>
      </c>
      <c r="L8311" s="15" t="n">
        <f aca="false">YEAR(B8311)</f>
        <v>2025</v>
      </c>
      <c r="M8311" s="20" t="n">
        <f aca="false">IF(J8311&gt;0,K8311/J8311,0)</f>
        <v>0.178769043266301</v>
      </c>
    </row>
    <row r="8312" customFormat="false" ht="15" hidden="false" customHeight="false" outlineLevel="0" collapsed="false">
      <c r="A8312" s="15" t="s">
        <v>8369</v>
      </c>
      <c r="B8312" s="16" t="n">
        <v>45515</v>
      </c>
      <c r="C8312" s="15" t="s">
        <v>56</v>
      </c>
      <c r="D8312" s="15" t="s">
        <v>42</v>
      </c>
      <c r="E8312" s="15" t="s">
        <v>38</v>
      </c>
      <c r="F8312" s="15" t="s">
        <v>18</v>
      </c>
      <c r="G8312" s="15" t="s">
        <v>32</v>
      </c>
      <c r="H8312" s="15" t="n">
        <v>3</v>
      </c>
      <c r="I8312" s="17" t="n">
        <v>0</v>
      </c>
      <c r="J8312" s="18" t="n">
        <v>992.01</v>
      </c>
      <c r="K8312" s="19" t="n">
        <v>172.82</v>
      </c>
      <c r="L8312" s="15" t="n">
        <f aca="false">YEAR(B8312)</f>
        <v>2024</v>
      </c>
      <c r="M8312" s="20" t="n">
        <f aca="false">IF(J8312&gt;0,K8312/J8312,0)</f>
        <v>0.174211953508533</v>
      </c>
    </row>
    <row r="8313" customFormat="false" ht="15" hidden="false" customHeight="false" outlineLevel="0" collapsed="false">
      <c r="A8313" s="15" t="s">
        <v>8370</v>
      </c>
      <c r="B8313" s="16" t="n">
        <v>45975</v>
      </c>
      <c r="C8313" s="15" t="s">
        <v>56</v>
      </c>
      <c r="D8313" s="15" t="s">
        <v>42</v>
      </c>
      <c r="E8313" s="15" t="s">
        <v>38</v>
      </c>
      <c r="F8313" s="15" t="s">
        <v>17</v>
      </c>
      <c r="G8313" s="15" t="s">
        <v>29</v>
      </c>
      <c r="H8313" s="15" t="n">
        <v>4</v>
      </c>
      <c r="I8313" s="17" t="n">
        <v>0.2</v>
      </c>
      <c r="J8313" s="18" t="n">
        <v>46.64</v>
      </c>
      <c r="K8313" s="19" t="n">
        <v>11.09</v>
      </c>
      <c r="L8313" s="15" t="n">
        <f aca="false">YEAR(B8313)</f>
        <v>2025</v>
      </c>
      <c r="M8313" s="20" t="n">
        <f aca="false">IF(J8313&gt;0,K8313/J8313,0)</f>
        <v>0.237778730703259</v>
      </c>
    </row>
    <row r="8314" customFormat="false" ht="15" hidden="false" customHeight="false" outlineLevel="0" collapsed="false">
      <c r="A8314" s="15" t="s">
        <v>8371</v>
      </c>
      <c r="B8314" s="16" t="n">
        <v>45755</v>
      </c>
      <c r="C8314" s="15" t="s">
        <v>56</v>
      </c>
      <c r="D8314" s="15" t="s">
        <v>43</v>
      </c>
      <c r="E8314" s="15" t="s">
        <v>36</v>
      </c>
      <c r="F8314" s="15" t="s">
        <v>17</v>
      </c>
      <c r="G8314" s="15" t="s">
        <v>28</v>
      </c>
      <c r="H8314" s="15" t="n">
        <v>4</v>
      </c>
      <c r="I8314" s="17" t="n">
        <v>0.2</v>
      </c>
      <c r="J8314" s="18" t="n">
        <v>90.09</v>
      </c>
      <c r="K8314" s="19" t="n">
        <v>9.62</v>
      </c>
      <c r="L8314" s="15" t="n">
        <f aca="false">YEAR(B8314)</f>
        <v>2025</v>
      </c>
      <c r="M8314" s="20" t="n">
        <f aca="false">IF(J8314&gt;0,K8314/J8314,0)</f>
        <v>0.106782106782107</v>
      </c>
    </row>
    <row r="8315" customFormat="false" ht="15" hidden="false" customHeight="false" outlineLevel="0" collapsed="false">
      <c r="A8315" s="15" t="s">
        <v>8372</v>
      </c>
      <c r="B8315" s="16" t="n">
        <v>45803</v>
      </c>
      <c r="C8315" s="15" t="s">
        <v>68</v>
      </c>
      <c r="D8315" s="15" t="s">
        <v>44</v>
      </c>
      <c r="E8315" s="15" t="s">
        <v>38</v>
      </c>
      <c r="F8315" s="15" t="s">
        <v>17</v>
      </c>
      <c r="G8315" s="15" t="s">
        <v>28</v>
      </c>
      <c r="H8315" s="15" t="n">
        <v>1</v>
      </c>
      <c r="I8315" s="17" t="n">
        <v>0.05</v>
      </c>
      <c r="J8315" s="18" t="n">
        <v>21.45</v>
      </c>
      <c r="K8315" s="19" t="n">
        <v>4.47</v>
      </c>
      <c r="L8315" s="15" t="n">
        <f aca="false">YEAR(B8315)</f>
        <v>2025</v>
      </c>
      <c r="M8315" s="20" t="n">
        <f aca="false">IF(J8315&gt;0,K8315/J8315,0)</f>
        <v>0.208391608391608</v>
      </c>
    </row>
    <row r="8316" customFormat="false" ht="15" hidden="false" customHeight="false" outlineLevel="0" collapsed="false">
      <c r="A8316" s="15" t="s">
        <v>8373</v>
      </c>
      <c r="B8316" s="16" t="n">
        <v>45080</v>
      </c>
      <c r="C8316" s="15" t="s">
        <v>58</v>
      </c>
      <c r="D8316" s="15" t="s">
        <v>44</v>
      </c>
      <c r="E8316" s="15" t="s">
        <v>38</v>
      </c>
      <c r="F8316" s="15" t="s">
        <v>17</v>
      </c>
      <c r="G8316" s="15" t="s">
        <v>29</v>
      </c>
      <c r="H8316" s="15" t="n">
        <v>4</v>
      </c>
      <c r="I8316" s="17" t="n">
        <v>0.15</v>
      </c>
      <c r="J8316" s="18" t="n">
        <v>55.1</v>
      </c>
      <c r="K8316" s="19" t="n">
        <v>16.98</v>
      </c>
      <c r="L8316" s="15" t="n">
        <f aca="false">YEAR(B8316)</f>
        <v>2023</v>
      </c>
      <c r="M8316" s="20" t="n">
        <f aca="false">IF(J8316&gt;0,K8316/J8316,0)</f>
        <v>0.308166969147005</v>
      </c>
    </row>
    <row r="8317" customFormat="false" ht="15" hidden="false" customHeight="false" outlineLevel="0" collapsed="false">
      <c r="A8317" s="15" t="s">
        <v>8374</v>
      </c>
      <c r="B8317" s="16" t="n">
        <v>45044</v>
      </c>
      <c r="C8317" s="15" t="s">
        <v>56</v>
      </c>
      <c r="D8317" s="15" t="s">
        <v>43</v>
      </c>
      <c r="E8317" s="15" t="s">
        <v>36</v>
      </c>
      <c r="F8317" s="15" t="s">
        <v>16</v>
      </c>
      <c r="G8317" s="15" t="s">
        <v>27</v>
      </c>
      <c r="H8317" s="15" t="n">
        <v>2</v>
      </c>
      <c r="I8317" s="17" t="n">
        <v>0.3</v>
      </c>
      <c r="J8317" s="18" t="n">
        <v>95.8</v>
      </c>
      <c r="K8317" s="19" t="n">
        <v>-6.24</v>
      </c>
      <c r="L8317" s="15" t="n">
        <f aca="false">YEAR(B8317)</f>
        <v>2023</v>
      </c>
      <c r="M8317" s="20" t="n">
        <f aca="false">IF(J8317&gt;0,K8317/J8317,0)</f>
        <v>-0.0651356993736952</v>
      </c>
    </row>
    <row r="8318" customFormat="false" ht="15" hidden="false" customHeight="false" outlineLevel="0" collapsed="false">
      <c r="A8318" s="15" t="s">
        <v>8375</v>
      </c>
      <c r="B8318" s="16" t="n">
        <v>44691</v>
      </c>
      <c r="C8318" s="15" t="s">
        <v>56</v>
      </c>
      <c r="D8318" s="15" t="s">
        <v>42</v>
      </c>
      <c r="E8318" s="15" t="s">
        <v>39</v>
      </c>
      <c r="F8318" s="15" t="s">
        <v>17</v>
      </c>
      <c r="G8318" s="15" t="s">
        <v>28</v>
      </c>
      <c r="H8318" s="15" t="n">
        <v>5</v>
      </c>
      <c r="I8318" s="17" t="n">
        <v>0.1</v>
      </c>
      <c r="J8318" s="18" t="n">
        <v>126.7</v>
      </c>
      <c r="K8318" s="19" t="n">
        <v>22.97</v>
      </c>
      <c r="L8318" s="15" t="n">
        <f aca="false">YEAR(B8318)</f>
        <v>2022</v>
      </c>
      <c r="M8318" s="20" t="n">
        <f aca="false">IF(J8318&gt;0,K8318/J8318,0)</f>
        <v>0.181294396211523</v>
      </c>
    </row>
    <row r="8319" customFormat="false" ht="15" hidden="false" customHeight="false" outlineLevel="0" collapsed="false">
      <c r="A8319" s="15" t="s">
        <v>8376</v>
      </c>
      <c r="B8319" s="16" t="n">
        <v>45658</v>
      </c>
      <c r="C8319" s="15" t="s">
        <v>71</v>
      </c>
      <c r="D8319" s="15" t="s">
        <v>42</v>
      </c>
      <c r="E8319" s="15" t="s">
        <v>39</v>
      </c>
      <c r="F8319" s="15" t="s">
        <v>17</v>
      </c>
      <c r="G8319" s="15" t="s">
        <v>31</v>
      </c>
      <c r="H8319" s="15" t="n">
        <v>2</v>
      </c>
      <c r="I8319" s="17" t="n">
        <v>0</v>
      </c>
      <c r="J8319" s="18" t="n">
        <v>356.75</v>
      </c>
      <c r="K8319" s="19" t="n">
        <v>63.65</v>
      </c>
      <c r="L8319" s="15" t="n">
        <f aca="false">YEAR(B8319)</f>
        <v>2025</v>
      </c>
      <c r="M8319" s="20" t="n">
        <f aca="false">IF(J8319&gt;0,K8319/J8319,0)</f>
        <v>0.178416257883672</v>
      </c>
    </row>
    <row r="8320" customFormat="false" ht="15" hidden="false" customHeight="false" outlineLevel="0" collapsed="false">
      <c r="A8320" s="15" t="s">
        <v>8377</v>
      </c>
      <c r="B8320" s="16" t="n">
        <v>45765</v>
      </c>
      <c r="C8320" s="15" t="s">
        <v>68</v>
      </c>
      <c r="D8320" s="15" t="s">
        <v>42</v>
      </c>
      <c r="E8320" s="15" t="s">
        <v>37</v>
      </c>
      <c r="F8320" s="15" t="s">
        <v>18</v>
      </c>
      <c r="G8320" s="15" t="s">
        <v>33</v>
      </c>
      <c r="H8320" s="15" t="n">
        <v>2</v>
      </c>
      <c r="I8320" s="17" t="n">
        <v>0.4</v>
      </c>
      <c r="J8320" s="18" t="n">
        <v>1002.46</v>
      </c>
      <c r="K8320" s="19" t="n">
        <v>-75.49</v>
      </c>
      <c r="L8320" s="15" t="n">
        <f aca="false">YEAR(B8320)</f>
        <v>2025</v>
      </c>
      <c r="M8320" s="20" t="n">
        <f aca="false">IF(J8320&gt;0,K8320/J8320,0)</f>
        <v>-0.075304750314227</v>
      </c>
    </row>
    <row r="8321" customFormat="false" ht="15" hidden="false" customHeight="false" outlineLevel="0" collapsed="false">
      <c r="A8321" s="15" t="s">
        <v>8378</v>
      </c>
      <c r="B8321" s="16" t="n">
        <v>45716</v>
      </c>
      <c r="C8321" s="15" t="s">
        <v>56</v>
      </c>
      <c r="D8321" s="15" t="s">
        <v>42</v>
      </c>
      <c r="E8321" s="15" t="s">
        <v>36</v>
      </c>
      <c r="F8321" s="15" t="s">
        <v>18</v>
      </c>
      <c r="G8321" s="15" t="s">
        <v>32</v>
      </c>
      <c r="H8321" s="15" t="n">
        <v>2</v>
      </c>
      <c r="I8321" s="17" t="n">
        <v>0.05</v>
      </c>
      <c r="J8321" s="18" t="n">
        <v>907.42</v>
      </c>
      <c r="K8321" s="19" t="n">
        <v>126.08</v>
      </c>
      <c r="L8321" s="15" t="n">
        <f aca="false">YEAR(B8321)</f>
        <v>2025</v>
      </c>
      <c r="M8321" s="20" t="n">
        <f aca="false">IF(J8321&gt;0,K8321/J8321,0)</f>
        <v>0.138943377928633</v>
      </c>
    </row>
    <row r="8322" customFormat="false" ht="15" hidden="false" customHeight="false" outlineLevel="0" collapsed="false">
      <c r="A8322" s="15" t="s">
        <v>8379</v>
      </c>
      <c r="B8322" s="16" t="n">
        <v>45281</v>
      </c>
      <c r="C8322" s="15" t="s">
        <v>56</v>
      </c>
      <c r="D8322" s="15" t="s">
        <v>42</v>
      </c>
      <c r="E8322" s="15" t="s">
        <v>39</v>
      </c>
      <c r="F8322" s="15" t="s">
        <v>16</v>
      </c>
      <c r="G8322" s="15" t="s">
        <v>25</v>
      </c>
      <c r="H8322" s="15" t="n">
        <v>8</v>
      </c>
      <c r="I8322" s="17" t="n">
        <v>0.5</v>
      </c>
      <c r="J8322" s="18" t="n">
        <v>1361.65</v>
      </c>
      <c r="K8322" s="19" t="n">
        <v>-464.25</v>
      </c>
      <c r="L8322" s="15" t="n">
        <f aca="false">YEAR(B8322)</f>
        <v>2023</v>
      </c>
      <c r="M8322" s="20" t="n">
        <f aca="false">IF(J8322&gt;0,K8322/J8322,0)</f>
        <v>-0.340946645613777</v>
      </c>
    </row>
    <row r="8323" customFormat="false" ht="15" hidden="false" customHeight="false" outlineLevel="0" collapsed="false">
      <c r="A8323" s="15" t="s">
        <v>8380</v>
      </c>
      <c r="B8323" s="16" t="n">
        <v>45995</v>
      </c>
      <c r="C8323" s="15" t="s">
        <v>71</v>
      </c>
      <c r="D8323" s="15" t="s">
        <v>42</v>
      </c>
      <c r="E8323" s="15" t="s">
        <v>38</v>
      </c>
      <c r="F8323" s="15" t="s">
        <v>17</v>
      </c>
      <c r="G8323" s="15" t="s">
        <v>26</v>
      </c>
      <c r="H8323" s="15" t="n">
        <v>5</v>
      </c>
      <c r="I8323" s="17" t="n">
        <v>0.1</v>
      </c>
      <c r="J8323" s="18" t="n">
        <v>379.78</v>
      </c>
      <c r="K8323" s="19" t="n">
        <v>9.37</v>
      </c>
      <c r="L8323" s="15" t="n">
        <f aca="false">YEAR(B8323)</f>
        <v>2025</v>
      </c>
      <c r="M8323" s="20" t="n">
        <f aca="false">IF(J8323&gt;0,K8323/J8323,0)</f>
        <v>0.024672178629733</v>
      </c>
    </row>
    <row r="8324" customFormat="false" ht="15" hidden="false" customHeight="false" outlineLevel="0" collapsed="false">
      <c r="A8324" s="15" t="s">
        <v>8381</v>
      </c>
      <c r="B8324" s="16" t="n">
        <v>45562</v>
      </c>
      <c r="C8324" s="15" t="s">
        <v>71</v>
      </c>
      <c r="D8324" s="15" t="s">
        <v>42</v>
      </c>
      <c r="E8324" s="15" t="s">
        <v>37</v>
      </c>
      <c r="F8324" s="15" t="s">
        <v>16</v>
      </c>
      <c r="G8324" s="15" t="s">
        <v>22</v>
      </c>
      <c r="H8324" s="15" t="n">
        <v>4</v>
      </c>
      <c r="I8324" s="17" t="n">
        <v>0</v>
      </c>
      <c r="J8324" s="18" t="n">
        <v>2264.83</v>
      </c>
      <c r="K8324" s="19" t="n">
        <v>-241.4</v>
      </c>
      <c r="L8324" s="15" t="n">
        <f aca="false">YEAR(B8324)</f>
        <v>2024</v>
      </c>
      <c r="M8324" s="20" t="n">
        <f aca="false">IF(J8324&gt;0,K8324/J8324,0)</f>
        <v>-0.106586366305639</v>
      </c>
    </row>
    <row r="8325" customFormat="false" ht="15" hidden="false" customHeight="false" outlineLevel="0" collapsed="false">
      <c r="A8325" s="15" t="s">
        <v>8382</v>
      </c>
      <c r="B8325" s="16" t="n">
        <v>45970</v>
      </c>
      <c r="C8325" s="15" t="s">
        <v>68</v>
      </c>
      <c r="D8325" s="15" t="s">
        <v>42</v>
      </c>
      <c r="E8325" s="15" t="s">
        <v>37</v>
      </c>
      <c r="F8325" s="15" t="s">
        <v>16</v>
      </c>
      <c r="G8325" s="15" t="s">
        <v>25</v>
      </c>
      <c r="H8325" s="15" t="n">
        <v>5</v>
      </c>
      <c r="I8325" s="17" t="n">
        <v>0</v>
      </c>
      <c r="J8325" s="18" t="n">
        <v>1444.6</v>
      </c>
      <c r="K8325" s="19" t="n">
        <v>43.03</v>
      </c>
      <c r="L8325" s="15" t="n">
        <f aca="false">YEAR(B8325)</f>
        <v>2025</v>
      </c>
      <c r="M8325" s="20" t="n">
        <f aca="false">IF(J8325&gt;0,K8325/J8325,0)</f>
        <v>0.0297867921916101</v>
      </c>
    </row>
    <row r="8326" customFormat="false" ht="15" hidden="false" customHeight="false" outlineLevel="0" collapsed="false">
      <c r="A8326" s="15" t="s">
        <v>8383</v>
      </c>
      <c r="B8326" s="16" t="n">
        <v>45907</v>
      </c>
      <c r="C8326" s="15" t="s">
        <v>56</v>
      </c>
      <c r="D8326" s="15" t="s">
        <v>42</v>
      </c>
      <c r="E8326" s="15" t="s">
        <v>36</v>
      </c>
      <c r="F8326" s="15" t="s">
        <v>18</v>
      </c>
      <c r="G8326" s="15" t="s">
        <v>30</v>
      </c>
      <c r="H8326" s="15" t="n">
        <v>5</v>
      </c>
      <c r="I8326" s="17" t="n">
        <v>0.1</v>
      </c>
      <c r="J8326" s="18" t="n">
        <v>168.85</v>
      </c>
      <c r="K8326" s="19" t="n">
        <v>33.48</v>
      </c>
      <c r="L8326" s="15" t="n">
        <f aca="false">YEAR(B8326)</f>
        <v>2025</v>
      </c>
      <c r="M8326" s="20" t="n">
        <f aca="false">IF(J8326&gt;0,K8326/J8326,0)</f>
        <v>0.198282499259698</v>
      </c>
    </row>
    <row r="8327" customFormat="false" ht="15" hidden="false" customHeight="false" outlineLevel="0" collapsed="false">
      <c r="A8327" s="15" t="s">
        <v>8384</v>
      </c>
      <c r="B8327" s="16" t="n">
        <v>45853</v>
      </c>
      <c r="C8327" s="15" t="s">
        <v>56</v>
      </c>
      <c r="D8327" s="15" t="s">
        <v>43</v>
      </c>
      <c r="E8327" s="15" t="s">
        <v>36</v>
      </c>
      <c r="F8327" s="15" t="s">
        <v>17</v>
      </c>
      <c r="G8327" s="15" t="s">
        <v>29</v>
      </c>
      <c r="H8327" s="15" t="n">
        <v>4</v>
      </c>
      <c r="I8327" s="17" t="n">
        <v>0</v>
      </c>
      <c r="J8327" s="18" t="n">
        <v>82.2</v>
      </c>
      <c r="K8327" s="19" t="n">
        <v>33.12</v>
      </c>
      <c r="L8327" s="15" t="n">
        <f aca="false">YEAR(B8327)</f>
        <v>2025</v>
      </c>
      <c r="M8327" s="20" t="n">
        <f aca="false">IF(J8327&gt;0,K8327/J8327,0)</f>
        <v>0.402919708029197</v>
      </c>
    </row>
    <row r="8328" customFormat="false" ht="15" hidden="false" customHeight="false" outlineLevel="0" collapsed="false">
      <c r="A8328" s="15" t="s">
        <v>8385</v>
      </c>
      <c r="B8328" s="16" t="n">
        <v>45731</v>
      </c>
      <c r="C8328" s="15" t="s">
        <v>56</v>
      </c>
      <c r="D8328" s="15" t="s">
        <v>43</v>
      </c>
      <c r="E8328" s="15" t="s">
        <v>38</v>
      </c>
      <c r="F8328" s="15" t="s">
        <v>17</v>
      </c>
      <c r="G8328" s="15" t="s">
        <v>31</v>
      </c>
      <c r="H8328" s="15" t="n">
        <v>3</v>
      </c>
      <c r="I8328" s="17" t="n">
        <v>0</v>
      </c>
      <c r="J8328" s="18" t="n">
        <v>358.84</v>
      </c>
      <c r="K8328" s="19" t="n">
        <v>89.03</v>
      </c>
      <c r="L8328" s="15" t="n">
        <f aca="false">YEAR(B8328)</f>
        <v>2025</v>
      </c>
      <c r="M8328" s="20" t="n">
        <f aca="false">IF(J8328&gt;0,K8328/J8328,0)</f>
        <v>0.248105005016163</v>
      </c>
    </row>
    <row r="8329" customFormat="false" ht="15" hidden="false" customHeight="false" outlineLevel="0" collapsed="false">
      <c r="A8329" s="15" t="s">
        <v>8386</v>
      </c>
      <c r="B8329" s="16" t="n">
        <v>44723</v>
      </c>
      <c r="C8329" s="15" t="s">
        <v>71</v>
      </c>
      <c r="D8329" s="15" t="s">
        <v>44</v>
      </c>
      <c r="E8329" s="15" t="s">
        <v>36</v>
      </c>
      <c r="F8329" s="15" t="s">
        <v>17</v>
      </c>
      <c r="G8329" s="15" t="s">
        <v>31</v>
      </c>
      <c r="H8329" s="15" t="n">
        <v>5</v>
      </c>
      <c r="I8329" s="17" t="n">
        <v>0.05</v>
      </c>
      <c r="J8329" s="18" t="n">
        <v>608.03</v>
      </c>
      <c r="K8329" s="19" t="n">
        <v>113.78</v>
      </c>
      <c r="L8329" s="15" t="n">
        <f aca="false">YEAR(B8329)</f>
        <v>2022</v>
      </c>
      <c r="M8329" s="20" t="n">
        <f aca="false">IF(J8329&gt;0,K8329/J8329,0)</f>
        <v>0.187128924559643</v>
      </c>
    </row>
    <row r="8330" customFormat="false" ht="15" hidden="false" customHeight="false" outlineLevel="0" collapsed="false">
      <c r="A8330" s="15" t="s">
        <v>8387</v>
      </c>
      <c r="B8330" s="16" t="n">
        <v>45332</v>
      </c>
      <c r="C8330" s="15" t="s">
        <v>56</v>
      </c>
      <c r="D8330" s="15" t="s">
        <v>43</v>
      </c>
      <c r="E8330" s="15" t="s">
        <v>39</v>
      </c>
      <c r="F8330" s="15" t="s">
        <v>18</v>
      </c>
      <c r="G8330" s="15" t="s">
        <v>30</v>
      </c>
      <c r="H8330" s="15" t="n">
        <v>4</v>
      </c>
      <c r="I8330" s="17" t="n">
        <v>0</v>
      </c>
      <c r="J8330" s="18" t="n">
        <v>196.67</v>
      </c>
      <c r="K8330" s="19" t="n">
        <v>66.26</v>
      </c>
      <c r="L8330" s="15" t="n">
        <f aca="false">YEAR(B8330)</f>
        <v>2024</v>
      </c>
      <c r="M8330" s="20" t="n">
        <f aca="false">IF(J8330&gt;0,K8330/J8330,0)</f>
        <v>0.336909543906036</v>
      </c>
    </row>
    <row r="8331" customFormat="false" ht="15" hidden="false" customHeight="false" outlineLevel="0" collapsed="false">
      <c r="A8331" s="15" t="s">
        <v>8388</v>
      </c>
      <c r="B8331" s="16" t="n">
        <v>44723</v>
      </c>
      <c r="C8331" s="15" t="s">
        <v>56</v>
      </c>
      <c r="D8331" s="15" t="s">
        <v>43</v>
      </c>
      <c r="E8331" s="15" t="s">
        <v>39</v>
      </c>
      <c r="F8331" s="15" t="s">
        <v>17</v>
      </c>
      <c r="G8331" s="15" t="s">
        <v>31</v>
      </c>
      <c r="H8331" s="15" t="n">
        <v>4</v>
      </c>
      <c r="I8331" s="17" t="n">
        <v>0.2</v>
      </c>
      <c r="J8331" s="18" t="n">
        <v>439.28</v>
      </c>
      <c r="K8331" s="19" t="n">
        <v>15.56</v>
      </c>
      <c r="L8331" s="15" t="n">
        <f aca="false">YEAR(B8331)</f>
        <v>2022</v>
      </c>
      <c r="M8331" s="20" t="n">
        <f aca="false">IF(J8331&gt;0,K8331/J8331,0)</f>
        <v>0.0354215989801493</v>
      </c>
    </row>
    <row r="8332" customFormat="false" ht="15" hidden="false" customHeight="false" outlineLevel="0" collapsed="false">
      <c r="A8332" s="15" t="s">
        <v>8389</v>
      </c>
      <c r="B8332" s="16" t="n">
        <v>45197</v>
      </c>
      <c r="C8332" s="15" t="s">
        <v>56</v>
      </c>
      <c r="D8332" s="15" t="s">
        <v>42</v>
      </c>
      <c r="E8332" s="15" t="s">
        <v>36</v>
      </c>
      <c r="F8332" s="15" t="s">
        <v>17</v>
      </c>
      <c r="G8332" s="15" t="s">
        <v>28</v>
      </c>
      <c r="H8332" s="15" t="n">
        <v>2</v>
      </c>
      <c r="I8332" s="17" t="n">
        <v>0</v>
      </c>
      <c r="J8332" s="18" t="n">
        <v>55.53</v>
      </c>
      <c r="K8332" s="19" t="n">
        <v>17.36</v>
      </c>
      <c r="L8332" s="15" t="n">
        <f aca="false">YEAR(B8332)</f>
        <v>2023</v>
      </c>
      <c r="M8332" s="20" t="n">
        <f aca="false">IF(J8332&gt;0,K8332/J8332,0)</f>
        <v>0.312623806951198</v>
      </c>
    </row>
    <row r="8333" customFormat="false" ht="15" hidden="false" customHeight="false" outlineLevel="0" collapsed="false">
      <c r="A8333" s="15" t="s">
        <v>8390</v>
      </c>
      <c r="B8333" s="16" t="n">
        <v>44936</v>
      </c>
      <c r="C8333" s="15" t="s">
        <v>56</v>
      </c>
      <c r="D8333" s="15" t="s">
        <v>42</v>
      </c>
      <c r="E8333" s="15" t="s">
        <v>36</v>
      </c>
      <c r="F8333" s="15" t="s">
        <v>17</v>
      </c>
      <c r="G8333" s="15" t="s">
        <v>26</v>
      </c>
      <c r="H8333" s="15" t="n">
        <v>4</v>
      </c>
      <c r="I8333" s="17" t="n">
        <v>0</v>
      </c>
      <c r="J8333" s="18" t="n">
        <v>275.63</v>
      </c>
      <c r="K8333" s="19" t="n">
        <v>30.5</v>
      </c>
      <c r="L8333" s="15" t="n">
        <f aca="false">YEAR(B8333)</f>
        <v>2023</v>
      </c>
      <c r="M8333" s="20" t="n">
        <f aca="false">IF(J8333&gt;0,K8333/J8333,0)</f>
        <v>0.110655589014258</v>
      </c>
    </row>
    <row r="8334" customFormat="false" ht="15" hidden="false" customHeight="false" outlineLevel="0" collapsed="false">
      <c r="A8334" s="15" t="s">
        <v>8391</v>
      </c>
      <c r="B8334" s="16" t="n">
        <v>45871</v>
      </c>
      <c r="C8334" s="15" t="s">
        <v>56</v>
      </c>
      <c r="D8334" s="15" t="s">
        <v>42</v>
      </c>
      <c r="E8334" s="15" t="s">
        <v>38</v>
      </c>
      <c r="F8334" s="15" t="s">
        <v>16</v>
      </c>
      <c r="G8334" s="15" t="s">
        <v>25</v>
      </c>
      <c r="H8334" s="15" t="n">
        <v>4</v>
      </c>
      <c r="I8334" s="17" t="n">
        <v>0</v>
      </c>
      <c r="J8334" s="18" t="n">
        <v>980.55</v>
      </c>
      <c r="K8334" s="19" t="n">
        <v>135.7</v>
      </c>
      <c r="L8334" s="15" t="n">
        <f aca="false">YEAR(B8334)</f>
        <v>2025</v>
      </c>
      <c r="M8334" s="20" t="n">
        <f aca="false">IF(J8334&gt;0,K8334/J8334,0)</f>
        <v>0.138391718933252</v>
      </c>
    </row>
    <row r="8335" customFormat="false" ht="15" hidden="false" customHeight="false" outlineLevel="0" collapsed="false">
      <c r="A8335" s="15" t="s">
        <v>8392</v>
      </c>
      <c r="B8335" s="16" t="n">
        <v>45618</v>
      </c>
      <c r="C8335" s="15" t="s">
        <v>56</v>
      </c>
      <c r="D8335" s="15" t="s">
        <v>42</v>
      </c>
      <c r="E8335" s="15" t="s">
        <v>37</v>
      </c>
      <c r="F8335" s="15" t="s">
        <v>17</v>
      </c>
      <c r="G8335" s="15" t="s">
        <v>28</v>
      </c>
      <c r="H8335" s="15" t="n">
        <v>6</v>
      </c>
      <c r="I8335" s="17" t="n">
        <v>0.2</v>
      </c>
      <c r="J8335" s="18" t="n">
        <v>164.45</v>
      </c>
      <c r="K8335" s="19" t="n">
        <v>18.11</v>
      </c>
      <c r="L8335" s="15" t="n">
        <f aca="false">YEAR(B8335)</f>
        <v>2024</v>
      </c>
      <c r="M8335" s="20" t="n">
        <f aca="false">IF(J8335&gt;0,K8335/J8335,0)</f>
        <v>0.110124657950745</v>
      </c>
    </row>
    <row r="8336" customFormat="false" ht="15" hidden="false" customHeight="false" outlineLevel="0" collapsed="false">
      <c r="A8336" s="15" t="s">
        <v>8393</v>
      </c>
      <c r="B8336" s="16" t="n">
        <v>45625</v>
      </c>
      <c r="C8336" s="15" t="s">
        <v>56</v>
      </c>
      <c r="D8336" s="15" t="s">
        <v>43</v>
      </c>
      <c r="E8336" s="15" t="s">
        <v>39</v>
      </c>
      <c r="F8336" s="15" t="s">
        <v>16</v>
      </c>
      <c r="G8336" s="15" t="s">
        <v>22</v>
      </c>
      <c r="H8336" s="15" t="n">
        <v>7</v>
      </c>
      <c r="I8336" s="17" t="n">
        <v>0.2</v>
      </c>
      <c r="J8336" s="18" t="n">
        <v>2932.93</v>
      </c>
      <c r="K8336" s="19" t="n">
        <v>-643.91</v>
      </c>
      <c r="L8336" s="15" t="n">
        <f aca="false">YEAR(B8336)</f>
        <v>2024</v>
      </c>
      <c r="M8336" s="20" t="n">
        <f aca="false">IF(J8336&gt;0,K8336/J8336,0)</f>
        <v>-0.219544960159295</v>
      </c>
    </row>
    <row r="8337" customFormat="false" ht="15" hidden="false" customHeight="false" outlineLevel="0" collapsed="false">
      <c r="A8337" s="15" t="s">
        <v>8394</v>
      </c>
      <c r="B8337" s="16" t="n">
        <v>45642</v>
      </c>
      <c r="C8337" s="15" t="s">
        <v>56</v>
      </c>
      <c r="D8337" s="15" t="s">
        <v>44</v>
      </c>
      <c r="E8337" s="15" t="s">
        <v>36</v>
      </c>
      <c r="F8337" s="15" t="s">
        <v>17</v>
      </c>
      <c r="G8337" s="15" t="s">
        <v>29</v>
      </c>
      <c r="H8337" s="15" t="n">
        <v>2</v>
      </c>
      <c r="I8337" s="17" t="n">
        <v>0.1</v>
      </c>
      <c r="J8337" s="18" t="n">
        <v>40.44</v>
      </c>
      <c r="K8337" s="19" t="n">
        <v>15.13</v>
      </c>
      <c r="L8337" s="15" t="n">
        <f aca="false">YEAR(B8337)</f>
        <v>2024</v>
      </c>
      <c r="M8337" s="20" t="n">
        <f aca="false">IF(J8337&gt;0,K8337/J8337,0)</f>
        <v>0.374134520276954</v>
      </c>
    </row>
    <row r="8338" customFormat="false" ht="15" hidden="false" customHeight="false" outlineLevel="0" collapsed="false">
      <c r="A8338" s="15" t="s">
        <v>8395</v>
      </c>
      <c r="B8338" s="16" t="n">
        <v>45821</v>
      </c>
      <c r="C8338" s="15" t="s">
        <v>56</v>
      </c>
      <c r="D8338" s="15" t="s">
        <v>43</v>
      </c>
      <c r="E8338" s="15" t="s">
        <v>39</v>
      </c>
      <c r="F8338" s="15" t="s">
        <v>18</v>
      </c>
      <c r="G8338" s="15" t="s">
        <v>32</v>
      </c>
      <c r="H8338" s="15" t="n">
        <v>6</v>
      </c>
      <c r="I8338" s="17" t="n">
        <v>0.3</v>
      </c>
      <c r="J8338" s="18" t="n">
        <v>2213.66</v>
      </c>
      <c r="K8338" s="19" t="n">
        <v>-310.23</v>
      </c>
      <c r="L8338" s="15" t="n">
        <f aca="false">YEAR(B8338)</f>
        <v>2025</v>
      </c>
      <c r="M8338" s="20" t="n">
        <f aca="false">IF(J8338&gt;0,K8338/J8338,0)</f>
        <v>-0.140143472800701</v>
      </c>
    </row>
    <row r="8339" customFormat="false" ht="15" hidden="false" customHeight="false" outlineLevel="0" collapsed="false">
      <c r="A8339" s="15" t="s">
        <v>8396</v>
      </c>
      <c r="B8339" s="16" t="n">
        <v>45891</v>
      </c>
      <c r="C8339" s="15" t="s">
        <v>68</v>
      </c>
      <c r="D8339" s="15" t="s">
        <v>42</v>
      </c>
      <c r="E8339" s="15" t="s">
        <v>38</v>
      </c>
      <c r="F8339" s="15" t="s">
        <v>16</v>
      </c>
      <c r="G8339" s="15" t="s">
        <v>25</v>
      </c>
      <c r="H8339" s="15" t="n">
        <v>3</v>
      </c>
      <c r="I8339" s="17" t="n">
        <v>0</v>
      </c>
      <c r="J8339" s="18" t="n">
        <v>654.98</v>
      </c>
      <c r="K8339" s="19" t="n">
        <v>81.6</v>
      </c>
      <c r="L8339" s="15" t="n">
        <f aca="false">YEAR(B8339)</f>
        <v>2025</v>
      </c>
      <c r="M8339" s="20" t="n">
        <f aca="false">IF(J8339&gt;0,K8339/J8339,0)</f>
        <v>0.124583956762039</v>
      </c>
    </row>
    <row r="8340" customFormat="false" ht="15" hidden="false" customHeight="false" outlineLevel="0" collapsed="false">
      <c r="A8340" s="15" t="s">
        <v>8397</v>
      </c>
      <c r="B8340" s="16" t="n">
        <v>44747</v>
      </c>
      <c r="C8340" s="15" t="s">
        <v>56</v>
      </c>
      <c r="D8340" s="15" t="s">
        <v>42</v>
      </c>
      <c r="E8340" s="15" t="s">
        <v>37</v>
      </c>
      <c r="F8340" s="15" t="s">
        <v>17</v>
      </c>
      <c r="G8340" s="15" t="s">
        <v>26</v>
      </c>
      <c r="H8340" s="15" t="n">
        <v>5</v>
      </c>
      <c r="I8340" s="17" t="n">
        <v>0.15</v>
      </c>
      <c r="J8340" s="18" t="n">
        <v>305.12</v>
      </c>
      <c r="K8340" s="19" t="n">
        <v>6.57</v>
      </c>
      <c r="L8340" s="15" t="n">
        <f aca="false">YEAR(B8340)</f>
        <v>2022</v>
      </c>
      <c r="M8340" s="20" t="n">
        <f aca="false">IF(J8340&gt;0,K8340/J8340,0)</f>
        <v>0.0215325117986366</v>
      </c>
    </row>
    <row r="8341" customFormat="false" ht="15" hidden="false" customHeight="false" outlineLevel="0" collapsed="false">
      <c r="A8341" s="15" t="s">
        <v>8398</v>
      </c>
      <c r="B8341" s="16" t="n">
        <v>45644</v>
      </c>
      <c r="C8341" s="15" t="s">
        <v>56</v>
      </c>
      <c r="D8341" s="15" t="s">
        <v>42</v>
      </c>
      <c r="E8341" s="15" t="s">
        <v>37</v>
      </c>
      <c r="F8341" s="15" t="s">
        <v>18</v>
      </c>
      <c r="G8341" s="15" t="s">
        <v>30</v>
      </c>
      <c r="H8341" s="15" t="n">
        <v>3</v>
      </c>
      <c r="I8341" s="17" t="n">
        <v>0</v>
      </c>
      <c r="J8341" s="18" t="n">
        <v>149.97</v>
      </c>
      <c r="K8341" s="19" t="n">
        <v>44.26</v>
      </c>
      <c r="L8341" s="15" t="n">
        <f aca="false">YEAR(B8341)</f>
        <v>2024</v>
      </c>
      <c r="M8341" s="20" t="n">
        <f aca="false">IF(J8341&gt;0,K8341/J8341,0)</f>
        <v>0.295125691805028</v>
      </c>
    </row>
    <row r="8342" customFormat="false" ht="15" hidden="false" customHeight="false" outlineLevel="0" collapsed="false">
      <c r="A8342" s="15" t="s">
        <v>8399</v>
      </c>
      <c r="B8342" s="16" t="n">
        <v>44941</v>
      </c>
      <c r="C8342" s="15" t="s">
        <v>56</v>
      </c>
      <c r="D8342" s="15" t="s">
        <v>42</v>
      </c>
      <c r="E8342" s="15" t="s">
        <v>36</v>
      </c>
      <c r="F8342" s="15" t="s">
        <v>17</v>
      </c>
      <c r="G8342" s="15" t="s">
        <v>29</v>
      </c>
      <c r="H8342" s="15" t="n">
        <v>4</v>
      </c>
      <c r="I8342" s="17" t="n">
        <v>0.15</v>
      </c>
      <c r="J8342" s="18" t="n">
        <v>59.92</v>
      </c>
      <c r="K8342" s="19" t="n">
        <v>13.11</v>
      </c>
      <c r="L8342" s="15" t="n">
        <f aca="false">YEAR(B8342)</f>
        <v>2023</v>
      </c>
      <c r="M8342" s="20" t="n">
        <f aca="false">IF(J8342&gt;0,K8342/J8342,0)</f>
        <v>0.218791722296395</v>
      </c>
    </row>
    <row r="8343" customFormat="false" ht="15" hidden="false" customHeight="false" outlineLevel="0" collapsed="false">
      <c r="A8343" s="15" t="s">
        <v>8400</v>
      </c>
      <c r="B8343" s="16" t="n">
        <v>45272</v>
      </c>
      <c r="C8343" s="15" t="s">
        <v>71</v>
      </c>
      <c r="D8343" s="15" t="s">
        <v>42</v>
      </c>
      <c r="E8343" s="15" t="s">
        <v>39</v>
      </c>
      <c r="F8343" s="15" t="s">
        <v>16</v>
      </c>
      <c r="G8343" s="15" t="s">
        <v>25</v>
      </c>
      <c r="H8343" s="15" t="n">
        <v>2</v>
      </c>
      <c r="I8343" s="17" t="n">
        <v>0.1</v>
      </c>
      <c r="J8343" s="18" t="n">
        <v>624.58</v>
      </c>
      <c r="K8343" s="19" t="n">
        <v>-40.57</v>
      </c>
      <c r="L8343" s="15" t="n">
        <f aca="false">YEAR(B8343)</f>
        <v>2023</v>
      </c>
      <c r="M8343" s="20" t="n">
        <f aca="false">IF(J8343&gt;0,K8343/J8343,0)</f>
        <v>-0.0649556501969323</v>
      </c>
    </row>
    <row r="8344" customFormat="false" ht="15" hidden="false" customHeight="false" outlineLevel="0" collapsed="false">
      <c r="A8344" s="15" t="s">
        <v>8401</v>
      </c>
      <c r="B8344" s="16" t="n">
        <v>45645</v>
      </c>
      <c r="C8344" s="15" t="s">
        <v>56</v>
      </c>
      <c r="D8344" s="15" t="s">
        <v>42</v>
      </c>
      <c r="E8344" s="15" t="s">
        <v>37</v>
      </c>
      <c r="F8344" s="15" t="s">
        <v>18</v>
      </c>
      <c r="G8344" s="15" t="s">
        <v>30</v>
      </c>
      <c r="H8344" s="15" t="n">
        <v>3</v>
      </c>
      <c r="I8344" s="17" t="n">
        <v>0.05</v>
      </c>
      <c r="J8344" s="18" t="n">
        <v>125.28</v>
      </c>
      <c r="K8344" s="19" t="n">
        <v>27.36</v>
      </c>
      <c r="L8344" s="15" t="n">
        <f aca="false">YEAR(B8344)</f>
        <v>2024</v>
      </c>
      <c r="M8344" s="20" t="n">
        <f aca="false">IF(J8344&gt;0,K8344/J8344,0)</f>
        <v>0.218390804597701</v>
      </c>
    </row>
    <row r="8345" customFormat="false" ht="15" hidden="false" customHeight="false" outlineLevel="0" collapsed="false">
      <c r="A8345" s="15" t="s">
        <v>8402</v>
      </c>
      <c r="B8345" s="16" t="n">
        <v>45356</v>
      </c>
      <c r="C8345" s="15" t="s">
        <v>56</v>
      </c>
      <c r="D8345" s="15" t="s">
        <v>42</v>
      </c>
      <c r="E8345" s="15" t="s">
        <v>38</v>
      </c>
      <c r="F8345" s="15" t="s">
        <v>17</v>
      </c>
      <c r="G8345" s="15" t="s">
        <v>29</v>
      </c>
      <c r="H8345" s="15" t="n">
        <v>4</v>
      </c>
      <c r="I8345" s="17" t="n">
        <v>0</v>
      </c>
      <c r="J8345" s="18" t="n">
        <v>66.51</v>
      </c>
      <c r="K8345" s="19" t="n">
        <v>26.17</v>
      </c>
      <c r="L8345" s="15" t="n">
        <f aca="false">YEAR(B8345)</f>
        <v>2024</v>
      </c>
      <c r="M8345" s="20" t="n">
        <f aca="false">IF(J8345&gt;0,K8345/J8345,0)</f>
        <v>0.39347466546384</v>
      </c>
    </row>
    <row r="8346" customFormat="false" ht="15" hidden="false" customHeight="false" outlineLevel="0" collapsed="false">
      <c r="A8346" s="15" t="s">
        <v>8403</v>
      </c>
      <c r="B8346" s="16" t="n">
        <v>45560</v>
      </c>
      <c r="C8346" s="15" t="s">
        <v>71</v>
      </c>
      <c r="D8346" s="15" t="s">
        <v>43</v>
      </c>
      <c r="E8346" s="15" t="s">
        <v>39</v>
      </c>
      <c r="F8346" s="15" t="s">
        <v>17</v>
      </c>
      <c r="G8346" s="15" t="s">
        <v>31</v>
      </c>
      <c r="H8346" s="15" t="n">
        <v>7</v>
      </c>
      <c r="I8346" s="17" t="n">
        <v>0</v>
      </c>
      <c r="J8346" s="18" t="n">
        <v>1096.04</v>
      </c>
      <c r="K8346" s="19" t="n">
        <v>267.9</v>
      </c>
      <c r="L8346" s="15" t="n">
        <f aca="false">YEAR(B8346)</f>
        <v>2024</v>
      </c>
      <c r="M8346" s="20" t="n">
        <f aca="false">IF(J8346&gt;0,K8346/J8346,0)</f>
        <v>0.24442538593482</v>
      </c>
    </row>
    <row r="8347" customFormat="false" ht="15" hidden="false" customHeight="false" outlineLevel="0" collapsed="false">
      <c r="A8347" s="15" t="s">
        <v>8404</v>
      </c>
      <c r="B8347" s="16" t="n">
        <v>45905</v>
      </c>
      <c r="C8347" s="15" t="s">
        <v>58</v>
      </c>
      <c r="D8347" s="15" t="s">
        <v>42</v>
      </c>
      <c r="E8347" s="15" t="s">
        <v>36</v>
      </c>
      <c r="F8347" s="15" t="s">
        <v>17</v>
      </c>
      <c r="G8347" s="15" t="s">
        <v>28</v>
      </c>
      <c r="H8347" s="15" t="n">
        <v>2</v>
      </c>
      <c r="I8347" s="17" t="n">
        <v>0</v>
      </c>
      <c r="J8347" s="18" t="n">
        <v>34.5</v>
      </c>
      <c r="K8347" s="19" t="n">
        <v>10.17</v>
      </c>
      <c r="L8347" s="15" t="n">
        <f aca="false">YEAR(B8347)</f>
        <v>2025</v>
      </c>
      <c r="M8347" s="20" t="n">
        <f aca="false">IF(J8347&gt;0,K8347/J8347,0)</f>
        <v>0.294782608695652</v>
      </c>
    </row>
    <row r="8348" customFormat="false" ht="15" hidden="false" customHeight="false" outlineLevel="0" collapsed="false">
      <c r="A8348" s="15" t="s">
        <v>8405</v>
      </c>
      <c r="B8348" s="16" t="n">
        <v>45326</v>
      </c>
      <c r="C8348" s="15" t="s">
        <v>56</v>
      </c>
      <c r="D8348" s="15" t="s">
        <v>42</v>
      </c>
      <c r="E8348" s="15" t="s">
        <v>39</v>
      </c>
      <c r="F8348" s="15" t="s">
        <v>16</v>
      </c>
      <c r="G8348" s="15" t="s">
        <v>25</v>
      </c>
      <c r="H8348" s="15" t="n">
        <v>1</v>
      </c>
      <c r="I8348" s="17" t="n">
        <v>0.1</v>
      </c>
      <c r="J8348" s="18" t="n">
        <v>265.49</v>
      </c>
      <c r="K8348" s="19" t="n">
        <v>4.61</v>
      </c>
      <c r="L8348" s="15" t="n">
        <f aca="false">YEAR(B8348)</f>
        <v>2024</v>
      </c>
      <c r="M8348" s="20" t="n">
        <f aca="false">IF(J8348&gt;0,K8348/J8348,0)</f>
        <v>0.0173641191758635</v>
      </c>
    </row>
    <row r="8349" customFormat="false" ht="15" hidden="false" customHeight="false" outlineLevel="0" collapsed="false">
      <c r="A8349" s="15" t="s">
        <v>8406</v>
      </c>
      <c r="B8349" s="16" t="n">
        <v>45612</v>
      </c>
      <c r="C8349" s="15" t="s">
        <v>58</v>
      </c>
      <c r="D8349" s="15" t="s">
        <v>43</v>
      </c>
      <c r="E8349" s="15" t="s">
        <v>37</v>
      </c>
      <c r="F8349" s="15" t="s">
        <v>17</v>
      </c>
      <c r="G8349" s="15" t="s">
        <v>29</v>
      </c>
      <c r="H8349" s="15" t="n">
        <v>3</v>
      </c>
      <c r="I8349" s="17" t="n">
        <v>0</v>
      </c>
      <c r="J8349" s="18" t="n">
        <v>53.43</v>
      </c>
      <c r="K8349" s="19" t="n">
        <v>16.65</v>
      </c>
      <c r="L8349" s="15" t="n">
        <f aca="false">YEAR(B8349)</f>
        <v>2024</v>
      </c>
      <c r="M8349" s="20" t="n">
        <f aca="false">IF(J8349&gt;0,K8349/J8349,0)</f>
        <v>0.311622683885458</v>
      </c>
    </row>
    <row r="8350" customFormat="false" ht="15" hidden="false" customHeight="false" outlineLevel="0" collapsed="false">
      <c r="A8350" s="15" t="s">
        <v>8407</v>
      </c>
      <c r="B8350" s="16" t="n">
        <v>45243</v>
      </c>
      <c r="C8350" s="15" t="s">
        <v>56</v>
      </c>
      <c r="D8350" s="15" t="s">
        <v>42</v>
      </c>
      <c r="E8350" s="15" t="s">
        <v>39</v>
      </c>
      <c r="F8350" s="15" t="s">
        <v>17</v>
      </c>
      <c r="G8350" s="15" t="s">
        <v>28</v>
      </c>
      <c r="H8350" s="15" t="n">
        <v>5</v>
      </c>
      <c r="I8350" s="17" t="n">
        <v>0</v>
      </c>
      <c r="J8350" s="18" t="n">
        <v>142.12</v>
      </c>
      <c r="K8350" s="19" t="n">
        <v>39.7</v>
      </c>
      <c r="L8350" s="15" t="n">
        <f aca="false">YEAR(B8350)</f>
        <v>2023</v>
      </c>
      <c r="M8350" s="20" t="n">
        <f aca="false">IF(J8350&gt;0,K8350/J8350,0)</f>
        <v>0.279341401632423</v>
      </c>
    </row>
    <row r="8351" customFormat="false" ht="15" hidden="false" customHeight="false" outlineLevel="0" collapsed="false">
      <c r="A8351" s="15" t="s">
        <v>8408</v>
      </c>
      <c r="B8351" s="16" t="n">
        <v>45125</v>
      </c>
      <c r="C8351" s="15" t="s">
        <v>71</v>
      </c>
      <c r="D8351" s="15" t="s">
        <v>42</v>
      </c>
      <c r="E8351" s="15" t="s">
        <v>39</v>
      </c>
      <c r="F8351" s="15" t="s">
        <v>17</v>
      </c>
      <c r="G8351" s="15" t="s">
        <v>28</v>
      </c>
      <c r="H8351" s="15" t="n">
        <v>3</v>
      </c>
      <c r="I8351" s="17" t="n">
        <v>0</v>
      </c>
      <c r="J8351" s="18" t="n">
        <v>92.77</v>
      </c>
      <c r="K8351" s="19" t="n">
        <v>28.28</v>
      </c>
      <c r="L8351" s="15" t="n">
        <f aca="false">YEAR(B8351)</f>
        <v>2023</v>
      </c>
      <c r="M8351" s="20" t="n">
        <f aca="false">IF(J8351&gt;0,K8351/J8351,0)</f>
        <v>0.304839926700442</v>
      </c>
    </row>
    <row r="8352" customFormat="false" ht="15" hidden="false" customHeight="false" outlineLevel="0" collapsed="false">
      <c r="A8352" s="15" t="s">
        <v>8409</v>
      </c>
      <c r="B8352" s="16" t="n">
        <v>45545</v>
      </c>
      <c r="C8352" s="15" t="s">
        <v>56</v>
      </c>
      <c r="D8352" s="15" t="s">
        <v>42</v>
      </c>
      <c r="E8352" s="15" t="s">
        <v>36</v>
      </c>
      <c r="F8352" s="15" t="s">
        <v>17</v>
      </c>
      <c r="G8352" s="15" t="s">
        <v>29</v>
      </c>
      <c r="H8352" s="15" t="n">
        <v>3</v>
      </c>
      <c r="I8352" s="17" t="n">
        <v>0.15</v>
      </c>
      <c r="J8352" s="18" t="n">
        <v>36.72</v>
      </c>
      <c r="K8352" s="19" t="n">
        <v>9.63</v>
      </c>
      <c r="L8352" s="15" t="n">
        <f aca="false">YEAR(B8352)</f>
        <v>2024</v>
      </c>
      <c r="M8352" s="20" t="n">
        <f aca="false">IF(J8352&gt;0,K8352/J8352,0)</f>
        <v>0.262254901960784</v>
      </c>
    </row>
    <row r="8353" customFormat="false" ht="15" hidden="false" customHeight="false" outlineLevel="0" collapsed="false">
      <c r="A8353" s="15" t="s">
        <v>8410</v>
      </c>
      <c r="B8353" s="16" t="n">
        <v>45231</v>
      </c>
      <c r="C8353" s="15" t="s">
        <v>68</v>
      </c>
      <c r="D8353" s="15" t="s">
        <v>43</v>
      </c>
      <c r="E8353" s="15" t="s">
        <v>38</v>
      </c>
      <c r="F8353" s="15" t="s">
        <v>18</v>
      </c>
      <c r="G8353" s="15" t="s">
        <v>33</v>
      </c>
      <c r="H8353" s="15" t="n">
        <v>4</v>
      </c>
      <c r="I8353" s="17" t="n">
        <v>0.2</v>
      </c>
      <c r="J8353" s="18" t="n">
        <v>2743.45</v>
      </c>
      <c r="K8353" s="19" t="n">
        <v>390.04</v>
      </c>
      <c r="L8353" s="15" t="n">
        <f aca="false">YEAR(B8353)</f>
        <v>2023</v>
      </c>
      <c r="M8353" s="20" t="n">
        <f aca="false">IF(J8353&gt;0,K8353/J8353,0)</f>
        <v>0.142171353587636</v>
      </c>
    </row>
    <row r="8354" customFormat="false" ht="15" hidden="false" customHeight="false" outlineLevel="0" collapsed="false">
      <c r="A8354" s="15" t="s">
        <v>8411</v>
      </c>
      <c r="B8354" s="16" t="n">
        <v>45652</v>
      </c>
      <c r="C8354" s="15" t="s">
        <v>56</v>
      </c>
      <c r="D8354" s="15" t="s">
        <v>44</v>
      </c>
      <c r="E8354" s="15" t="s">
        <v>38</v>
      </c>
      <c r="F8354" s="15" t="s">
        <v>18</v>
      </c>
      <c r="G8354" s="15" t="s">
        <v>30</v>
      </c>
      <c r="H8354" s="15" t="n">
        <v>2</v>
      </c>
      <c r="I8354" s="17" t="n">
        <v>0.1</v>
      </c>
      <c r="J8354" s="18" t="n">
        <v>78.24</v>
      </c>
      <c r="K8354" s="19" t="n">
        <v>17.79</v>
      </c>
      <c r="L8354" s="15" t="n">
        <f aca="false">YEAR(B8354)</f>
        <v>2024</v>
      </c>
      <c r="M8354" s="20" t="n">
        <f aca="false">IF(J8354&gt;0,K8354/J8354,0)</f>
        <v>0.227377300613497</v>
      </c>
    </row>
    <row r="8355" customFormat="false" ht="15" hidden="false" customHeight="false" outlineLevel="0" collapsed="false">
      <c r="A8355" s="15" t="s">
        <v>8412</v>
      </c>
      <c r="B8355" s="16" t="n">
        <v>44602</v>
      </c>
      <c r="C8355" s="15" t="s">
        <v>56</v>
      </c>
      <c r="D8355" s="15" t="s">
        <v>42</v>
      </c>
      <c r="E8355" s="15" t="s">
        <v>38</v>
      </c>
      <c r="F8355" s="15" t="s">
        <v>17</v>
      </c>
      <c r="G8355" s="15" t="s">
        <v>29</v>
      </c>
      <c r="H8355" s="15" t="n">
        <v>4</v>
      </c>
      <c r="I8355" s="17" t="n">
        <v>0</v>
      </c>
      <c r="J8355" s="18" t="n">
        <v>62.95</v>
      </c>
      <c r="K8355" s="19" t="n">
        <v>24.96</v>
      </c>
      <c r="L8355" s="15" t="n">
        <f aca="false">YEAR(B8355)</f>
        <v>2022</v>
      </c>
      <c r="M8355" s="20" t="n">
        <f aca="false">IF(J8355&gt;0,K8355/J8355,0)</f>
        <v>0.396505162827641</v>
      </c>
    </row>
    <row r="8356" customFormat="false" ht="15" hidden="false" customHeight="false" outlineLevel="0" collapsed="false">
      <c r="A8356" s="15" t="s">
        <v>8413</v>
      </c>
      <c r="B8356" s="16" t="n">
        <v>45774</v>
      </c>
      <c r="C8356" s="15" t="s">
        <v>71</v>
      </c>
      <c r="D8356" s="15" t="s">
        <v>42</v>
      </c>
      <c r="E8356" s="15" t="s">
        <v>37</v>
      </c>
      <c r="F8356" s="15" t="s">
        <v>16</v>
      </c>
      <c r="G8356" s="15" t="s">
        <v>25</v>
      </c>
      <c r="H8356" s="15" t="n">
        <v>5</v>
      </c>
      <c r="I8356" s="17" t="n">
        <v>0.15</v>
      </c>
      <c r="J8356" s="18" t="n">
        <v>1432.9</v>
      </c>
      <c r="K8356" s="19" t="n">
        <v>-63.87</v>
      </c>
      <c r="L8356" s="15" t="n">
        <f aca="false">YEAR(B8356)</f>
        <v>2025</v>
      </c>
      <c r="M8356" s="20" t="n">
        <f aca="false">IF(J8356&gt;0,K8356/J8356,0)</f>
        <v>-0.0445739409588945</v>
      </c>
    </row>
    <row r="8357" customFormat="false" ht="15" hidden="false" customHeight="false" outlineLevel="0" collapsed="false">
      <c r="A8357" s="15" t="s">
        <v>8414</v>
      </c>
      <c r="B8357" s="16" t="n">
        <v>45458</v>
      </c>
      <c r="C8357" s="15" t="s">
        <v>56</v>
      </c>
      <c r="D8357" s="15" t="s">
        <v>42</v>
      </c>
      <c r="E8357" s="15" t="s">
        <v>37</v>
      </c>
      <c r="F8357" s="15" t="s">
        <v>17</v>
      </c>
      <c r="G8357" s="15" t="s">
        <v>26</v>
      </c>
      <c r="H8357" s="15" t="n">
        <v>3</v>
      </c>
      <c r="I8357" s="17" t="n">
        <v>0.3</v>
      </c>
      <c r="J8357" s="18" t="n">
        <v>146.74</v>
      </c>
      <c r="K8357" s="19" t="n">
        <v>-23.5</v>
      </c>
      <c r="L8357" s="15" t="n">
        <f aca="false">YEAR(B8357)</f>
        <v>2024</v>
      </c>
      <c r="M8357" s="20" t="n">
        <f aca="false">IF(J8357&gt;0,K8357/J8357,0)</f>
        <v>-0.160147199127709</v>
      </c>
    </row>
    <row r="8358" customFormat="false" ht="15" hidden="false" customHeight="false" outlineLevel="0" collapsed="false">
      <c r="A8358" s="15" t="s">
        <v>8415</v>
      </c>
      <c r="B8358" s="16" t="n">
        <v>45006</v>
      </c>
      <c r="C8358" s="15" t="s">
        <v>56</v>
      </c>
      <c r="D8358" s="15" t="s">
        <v>42</v>
      </c>
      <c r="E8358" s="15" t="s">
        <v>39</v>
      </c>
      <c r="F8358" s="15" t="s">
        <v>18</v>
      </c>
      <c r="G8358" s="15" t="s">
        <v>24</v>
      </c>
      <c r="H8358" s="15" t="n">
        <v>4</v>
      </c>
      <c r="I8358" s="17" t="n">
        <v>0.05</v>
      </c>
      <c r="J8358" s="18" t="n">
        <v>2617.43</v>
      </c>
      <c r="K8358" s="19" t="n">
        <v>63.47</v>
      </c>
      <c r="L8358" s="15" t="n">
        <f aca="false">YEAR(B8358)</f>
        <v>2023</v>
      </c>
      <c r="M8358" s="20" t="n">
        <f aca="false">IF(J8358&gt;0,K8358/J8358,0)</f>
        <v>0.0242489770500071</v>
      </c>
    </row>
    <row r="8359" customFormat="false" ht="15" hidden="false" customHeight="false" outlineLevel="0" collapsed="false">
      <c r="A8359" s="15" t="s">
        <v>8416</v>
      </c>
      <c r="B8359" s="16" t="n">
        <v>45876</v>
      </c>
      <c r="C8359" s="15" t="s">
        <v>56</v>
      </c>
      <c r="D8359" s="15" t="s">
        <v>42</v>
      </c>
      <c r="E8359" s="15" t="s">
        <v>37</v>
      </c>
      <c r="F8359" s="15" t="s">
        <v>18</v>
      </c>
      <c r="G8359" s="15" t="s">
        <v>30</v>
      </c>
      <c r="H8359" s="15" t="n">
        <v>3</v>
      </c>
      <c r="I8359" s="17" t="n">
        <v>0</v>
      </c>
      <c r="J8359" s="18" t="n">
        <v>124</v>
      </c>
      <c r="K8359" s="19" t="n">
        <v>36.53</v>
      </c>
      <c r="L8359" s="15" t="n">
        <f aca="false">YEAR(B8359)</f>
        <v>2025</v>
      </c>
      <c r="M8359" s="20" t="n">
        <f aca="false">IF(J8359&gt;0,K8359/J8359,0)</f>
        <v>0.294596774193548</v>
      </c>
    </row>
    <row r="8360" customFormat="false" ht="15" hidden="false" customHeight="false" outlineLevel="0" collapsed="false">
      <c r="A8360" s="15" t="s">
        <v>8417</v>
      </c>
      <c r="B8360" s="16" t="n">
        <v>45182</v>
      </c>
      <c r="C8360" s="15" t="s">
        <v>71</v>
      </c>
      <c r="D8360" s="15" t="s">
        <v>42</v>
      </c>
      <c r="E8360" s="15" t="s">
        <v>36</v>
      </c>
      <c r="F8360" s="15" t="s">
        <v>17</v>
      </c>
      <c r="G8360" s="15" t="s">
        <v>26</v>
      </c>
      <c r="H8360" s="15" t="n">
        <v>3</v>
      </c>
      <c r="I8360" s="17" t="n">
        <v>0</v>
      </c>
      <c r="J8360" s="18" t="n">
        <v>236.62</v>
      </c>
      <c r="K8360" s="19" t="n">
        <v>12.29</v>
      </c>
      <c r="L8360" s="15" t="n">
        <f aca="false">YEAR(B8360)</f>
        <v>2023</v>
      </c>
      <c r="M8360" s="20" t="n">
        <f aca="false">IF(J8360&gt;0,K8360/J8360,0)</f>
        <v>0.051939819119263</v>
      </c>
    </row>
    <row r="8361" customFormat="false" ht="15" hidden="false" customHeight="false" outlineLevel="0" collapsed="false">
      <c r="A8361" s="15" t="s">
        <v>8418</v>
      </c>
      <c r="B8361" s="16" t="n">
        <v>45452</v>
      </c>
      <c r="C8361" s="15" t="s">
        <v>68</v>
      </c>
      <c r="D8361" s="15" t="s">
        <v>42</v>
      </c>
      <c r="E8361" s="15" t="s">
        <v>37</v>
      </c>
      <c r="F8361" s="15" t="s">
        <v>18</v>
      </c>
      <c r="G8361" s="15" t="s">
        <v>30</v>
      </c>
      <c r="H8361" s="15" t="n">
        <v>5</v>
      </c>
      <c r="I8361" s="17" t="n">
        <v>0</v>
      </c>
      <c r="J8361" s="18" t="n">
        <v>282.02</v>
      </c>
      <c r="K8361" s="19" t="n">
        <v>77.61</v>
      </c>
      <c r="L8361" s="15" t="n">
        <f aca="false">YEAR(B8361)</f>
        <v>2024</v>
      </c>
      <c r="M8361" s="20" t="n">
        <f aca="false">IF(J8361&gt;0,K8361/J8361,0)</f>
        <v>0.275193248705766</v>
      </c>
    </row>
    <row r="8362" customFormat="false" ht="15" hidden="false" customHeight="false" outlineLevel="0" collapsed="false">
      <c r="A8362" s="15" t="s">
        <v>8419</v>
      </c>
      <c r="B8362" s="16" t="n">
        <v>45415</v>
      </c>
      <c r="C8362" s="15" t="s">
        <v>56</v>
      </c>
      <c r="D8362" s="15" t="s">
        <v>44</v>
      </c>
      <c r="E8362" s="15" t="s">
        <v>37</v>
      </c>
      <c r="F8362" s="15" t="s">
        <v>16</v>
      </c>
      <c r="G8362" s="15" t="s">
        <v>25</v>
      </c>
      <c r="H8362" s="15" t="n">
        <v>5</v>
      </c>
      <c r="I8362" s="17" t="n">
        <v>0.1</v>
      </c>
      <c r="J8362" s="18" t="n">
        <v>1445.61</v>
      </c>
      <c r="K8362" s="19" t="n">
        <v>28.77</v>
      </c>
      <c r="L8362" s="15" t="n">
        <f aca="false">YEAR(B8362)</f>
        <v>2024</v>
      </c>
      <c r="M8362" s="20" t="n">
        <f aca="false">IF(J8362&gt;0,K8362/J8362,0)</f>
        <v>0.0199016332205782</v>
      </c>
    </row>
    <row r="8363" customFormat="false" ht="15" hidden="false" customHeight="false" outlineLevel="0" collapsed="false">
      <c r="A8363" s="15" t="s">
        <v>8420</v>
      </c>
      <c r="B8363" s="16" t="n">
        <v>45494</v>
      </c>
      <c r="C8363" s="15" t="s">
        <v>56</v>
      </c>
      <c r="D8363" s="15" t="s">
        <v>44</v>
      </c>
      <c r="E8363" s="15" t="s">
        <v>38</v>
      </c>
      <c r="F8363" s="15" t="s">
        <v>18</v>
      </c>
      <c r="G8363" s="15" t="s">
        <v>32</v>
      </c>
      <c r="H8363" s="15" t="n">
        <v>5</v>
      </c>
      <c r="I8363" s="17" t="n">
        <v>0.3</v>
      </c>
      <c r="J8363" s="18" t="n">
        <v>1262.58</v>
      </c>
      <c r="K8363" s="19" t="n">
        <v>-76.48</v>
      </c>
      <c r="L8363" s="15" t="n">
        <f aca="false">YEAR(B8363)</f>
        <v>2024</v>
      </c>
      <c r="M8363" s="20" t="n">
        <f aca="false">IF(J8363&gt;0,K8363/J8363,0)</f>
        <v>-0.0605743794452629</v>
      </c>
    </row>
    <row r="8364" customFormat="false" ht="15" hidden="false" customHeight="false" outlineLevel="0" collapsed="false">
      <c r="A8364" s="15" t="s">
        <v>8421</v>
      </c>
      <c r="B8364" s="16" t="n">
        <v>45866</v>
      </c>
      <c r="C8364" s="15" t="s">
        <v>56</v>
      </c>
      <c r="D8364" s="15" t="s">
        <v>44</v>
      </c>
      <c r="E8364" s="15" t="s">
        <v>37</v>
      </c>
      <c r="F8364" s="15" t="s">
        <v>17</v>
      </c>
      <c r="G8364" s="15" t="s">
        <v>26</v>
      </c>
      <c r="H8364" s="15" t="n">
        <v>1</v>
      </c>
      <c r="I8364" s="17" t="n">
        <v>0.4</v>
      </c>
      <c r="J8364" s="18" t="n">
        <v>53.71</v>
      </c>
      <c r="K8364" s="19" t="n">
        <v>-14.99</v>
      </c>
      <c r="L8364" s="15" t="n">
        <f aca="false">YEAR(B8364)</f>
        <v>2025</v>
      </c>
      <c r="M8364" s="20" t="n">
        <f aca="false">IF(J8364&gt;0,K8364/J8364,0)</f>
        <v>-0.279091416868367</v>
      </c>
    </row>
    <row r="8365" customFormat="false" ht="15" hidden="false" customHeight="false" outlineLevel="0" collapsed="false">
      <c r="A8365" s="15" t="s">
        <v>8422</v>
      </c>
      <c r="B8365" s="16" t="n">
        <v>45348</v>
      </c>
      <c r="C8365" s="15" t="s">
        <v>56</v>
      </c>
      <c r="D8365" s="15" t="s">
        <v>42</v>
      </c>
      <c r="E8365" s="15" t="s">
        <v>38</v>
      </c>
      <c r="F8365" s="15" t="s">
        <v>18</v>
      </c>
      <c r="G8365" s="15" t="s">
        <v>30</v>
      </c>
      <c r="H8365" s="15" t="n">
        <v>2</v>
      </c>
      <c r="I8365" s="17" t="n">
        <v>0</v>
      </c>
      <c r="J8365" s="18" t="n">
        <v>86.98</v>
      </c>
      <c r="K8365" s="19" t="n">
        <v>25.47</v>
      </c>
      <c r="L8365" s="15" t="n">
        <f aca="false">YEAR(B8365)</f>
        <v>2024</v>
      </c>
      <c r="M8365" s="20" t="n">
        <f aca="false">IF(J8365&gt;0,K8365/J8365,0)</f>
        <v>0.292825936997011</v>
      </c>
    </row>
    <row r="8366" customFormat="false" ht="15" hidden="false" customHeight="false" outlineLevel="0" collapsed="false">
      <c r="A8366" s="15" t="s">
        <v>8423</v>
      </c>
      <c r="B8366" s="16" t="n">
        <v>44858</v>
      </c>
      <c r="C8366" s="15" t="s">
        <v>56</v>
      </c>
      <c r="D8366" s="15" t="s">
        <v>42</v>
      </c>
      <c r="E8366" s="15" t="s">
        <v>36</v>
      </c>
      <c r="F8366" s="15" t="s">
        <v>17</v>
      </c>
      <c r="G8366" s="15" t="s">
        <v>26</v>
      </c>
      <c r="H8366" s="15" t="n">
        <v>3</v>
      </c>
      <c r="I8366" s="17" t="n">
        <v>0.3</v>
      </c>
      <c r="J8366" s="18" t="n">
        <v>157.21</v>
      </c>
      <c r="K8366" s="19" t="n">
        <v>-21.7</v>
      </c>
      <c r="L8366" s="15" t="n">
        <f aca="false">YEAR(B8366)</f>
        <v>2022</v>
      </c>
      <c r="M8366" s="20" t="n">
        <f aca="false">IF(J8366&gt;0,K8366/J8366,0)</f>
        <v>-0.138031931810954</v>
      </c>
    </row>
    <row r="8367" customFormat="false" ht="15" hidden="false" customHeight="false" outlineLevel="0" collapsed="false">
      <c r="A8367" s="15" t="s">
        <v>8424</v>
      </c>
      <c r="B8367" s="16" t="n">
        <v>45767</v>
      </c>
      <c r="C8367" s="15" t="s">
        <v>58</v>
      </c>
      <c r="D8367" s="15" t="s">
        <v>42</v>
      </c>
      <c r="E8367" s="15" t="s">
        <v>38</v>
      </c>
      <c r="F8367" s="15" t="s">
        <v>18</v>
      </c>
      <c r="G8367" s="15" t="s">
        <v>24</v>
      </c>
      <c r="H8367" s="15" t="n">
        <v>6</v>
      </c>
      <c r="I8367" s="17" t="n">
        <v>0</v>
      </c>
      <c r="J8367" s="18" t="n">
        <v>4174.55</v>
      </c>
      <c r="K8367" s="19" t="n">
        <v>36.54</v>
      </c>
      <c r="L8367" s="15" t="n">
        <f aca="false">YEAR(B8367)</f>
        <v>2025</v>
      </c>
      <c r="M8367" s="20" t="n">
        <f aca="false">IF(J8367&gt;0,K8367/J8367,0)</f>
        <v>0.00875303924973949</v>
      </c>
    </row>
    <row r="8368" customFormat="false" ht="15" hidden="false" customHeight="false" outlineLevel="0" collapsed="false">
      <c r="A8368" s="15" t="s">
        <v>8425</v>
      </c>
      <c r="B8368" s="16" t="n">
        <v>45757</v>
      </c>
      <c r="C8368" s="15" t="s">
        <v>56</v>
      </c>
      <c r="D8368" s="15" t="s">
        <v>42</v>
      </c>
      <c r="E8368" s="15" t="s">
        <v>37</v>
      </c>
      <c r="F8368" s="15" t="s">
        <v>17</v>
      </c>
      <c r="G8368" s="15" t="s">
        <v>29</v>
      </c>
      <c r="H8368" s="15" t="n">
        <v>1</v>
      </c>
      <c r="I8368" s="17" t="n">
        <v>0</v>
      </c>
      <c r="J8368" s="18" t="n">
        <v>16.48</v>
      </c>
      <c r="K8368" s="19" t="n">
        <v>6.39</v>
      </c>
      <c r="L8368" s="15" t="n">
        <f aca="false">YEAR(B8368)</f>
        <v>2025</v>
      </c>
      <c r="M8368" s="20" t="n">
        <f aca="false">IF(J8368&gt;0,K8368/J8368,0)</f>
        <v>0.387742718446602</v>
      </c>
    </row>
    <row r="8369" customFormat="false" ht="15" hidden="false" customHeight="false" outlineLevel="0" collapsed="false">
      <c r="A8369" s="15" t="s">
        <v>8426</v>
      </c>
      <c r="B8369" s="16" t="n">
        <v>45914</v>
      </c>
      <c r="C8369" s="15" t="s">
        <v>56</v>
      </c>
      <c r="D8369" s="15" t="s">
        <v>43</v>
      </c>
      <c r="E8369" s="15" t="s">
        <v>37</v>
      </c>
      <c r="F8369" s="15" t="s">
        <v>17</v>
      </c>
      <c r="G8369" s="15" t="s">
        <v>28</v>
      </c>
      <c r="H8369" s="15" t="n">
        <v>1</v>
      </c>
      <c r="I8369" s="17" t="n">
        <v>0.1</v>
      </c>
      <c r="J8369" s="18" t="n">
        <v>29.31</v>
      </c>
      <c r="K8369" s="19" t="n">
        <v>6.14</v>
      </c>
      <c r="L8369" s="15" t="n">
        <f aca="false">YEAR(B8369)</f>
        <v>2025</v>
      </c>
      <c r="M8369" s="20" t="n">
        <f aca="false">IF(J8369&gt;0,K8369/J8369,0)</f>
        <v>0.209484817468441</v>
      </c>
    </row>
    <row r="8370" customFormat="false" ht="15" hidden="false" customHeight="false" outlineLevel="0" collapsed="false">
      <c r="A8370" s="15" t="s">
        <v>8427</v>
      </c>
      <c r="B8370" s="16" t="n">
        <v>45642</v>
      </c>
      <c r="C8370" s="15" t="s">
        <v>68</v>
      </c>
      <c r="D8370" s="15" t="s">
        <v>43</v>
      </c>
      <c r="E8370" s="15" t="s">
        <v>39</v>
      </c>
      <c r="F8370" s="15" t="s">
        <v>17</v>
      </c>
      <c r="G8370" s="15" t="s">
        <v>26</v>
      </c>
      <c r="H8370" s="15" t="n">
        <v>3</v>
      </c>
      <c r="I8370" s="17" t="n">
        <v>0.2</v>
      </c>
      <c r="J8370" s="18" t="n">
        <v>247.45</v>
      </c>
      <c r="K8370" s="19" t="n">
        <v>-1.4</v>
      </c>
      <c r="L8370" s="15" t="n">
        <f aca="false">YEAR(B8370)</f>
        <v>2024</v>
      </c>
      <c r="M8370" s="20" t="n">
        <f aca="false">IF(J8370&gt;0,K8370/J8370,0)</f>
        <v>-0.00565770862800566</v>
      </c>
    </row>
    <row r="8371" customFormat="false" ht="15" hidden="false" customHeight="false" outlineLevel="0" collapsed="false">
      <c r="A8371" s="15" t="s">
        <v>8428</v>
      </c>
      <c r="B8371" s="16" t="n">
        <v>45747</v>
      </c>
      <c r="C8371" s="15" t="s">
        <v>56</v>
      </c>
      <c r="D8371" s="15" t="s">
        <v>43</v>
      </c>
      <c r="E8371" s="15" t="s">
        <v>38</v>
      </c>
      <c r="F8371" s="15" t="s">
        <v>16</v>
      </c>
      <c r="G8371" s="15" t="s">
        <v>27</v>
      </c>
      <c r="H8371" s="15" t="n">
        <v>5</v>
      </c>
      <c r="I8371" s="17" t="n">
        <v>0.05</v>
      </c>
      <c r="J8371" s="18" t="n">
        <v>320.74</v>
      </c>
      <c r="K8371" s="19" t="n">
        <v>62.85</v>
      </c>
      <c r="L8371" s="15" t="n">
        <f aca="false">YEAR(B8371)</f>
        <v>2025</v>
      </c>
      <c r="M8371" s="20" t="n">
        <f aca="false">IF(J8371&gt;0,K8371/J8371,0)</f>
        <v>0.19595310843674</v>
      </c>
    </row>
    <row r="8372" customFormat="false" ht="15" hidden="false" customHeight="false" outlineLevel="0" collapsed="false">
      <c r="A8372" s="15" t="s">
        <v>8429</v>
      </c>
      <c r="B8372" s="16" t="n">
        <v>45400</v>
      </c>
      <c r="C8372" s="15" t="s">
        <v>71</v>
      </c>
      <c r="D8372" s="15" t="s">
        <v>43</v>
      </c>
      <c r="E8372" s="15" t="s">
        <v>36</v>
      </c>
      <c r="F8372" s="15" t="s">
        <v>17</v>
      </c>
      <c r="G8372" s="15" t="s">
        <v>29</v>
      </c>
      <c r="H8372" s="15" t="n">
        <v>2</v>
      </c>
      <c r="I8372" s="17" t="n">
        <v>0.1</v>
      </c>
      <c r="J8372" s="18" t="n">
        <v>34.74</v>
      </c>
      <c r="K8372" s="19" t="n">
        <v>10.34</v>
      </c>
      <c r="L8372" s="15" t="n">
        <f aca="false">YEAR(B8372)</f>
        <v>2024</v>
      </c>
      <c r="M8372" s="20" t="n">
        <f aca="false">IF(J8372&gt;0,K8372/J8372,0)</f>
        <v>0.297639608520438</v>
      </c>
    </row>
    <row r="8373" customFormat="false" ht="15" hidden="false" customHeight="false" outlineLevel="0" collapsed="false">
      <c r="A8373" s="15" t="s">
        <v>8430</v>
      </c>
      <c r="B8373" s="16" t="n">
        <v>45422</v>
      </c>
      <c r="C8373" s="15" t="s">
        <v>56</v>
      </c>
      <c r="D8373" s="15" t="s">
        <v>43</v>
      </c>
      <c r="E8373" s="15" t="s">
        <v>36</v>
      </c>
      <c r="F8373" s="15" t="s">
        <v>18</v>
      </c>
      <c r="G8373" s="15" t="s">
        <v>33</v>
      </c>
      <c r="H8373" s="15" t="n">
        <v>3</v>
      </c>
      <c r="I8373" s="17" t="n">
        <v>0.2</v>
      </c>
      <c r="J8373" s="18" t="n">
        <v>2256.14</v>
      </c>
      <c r="K8373" s="19" t="n">
        <v>192.64</v>
      </c>
      <c r="L8373" s="15" t="n">
        <f aca="false">YEAR(B8373)</f>
        <v>2024</v>
      </c>
      <c r="M8373" s="20" t="n">
        <f aca="false">IF(J8373&gt;0,K8373/J8373,0)</f>
        <v>0.085384772221582</v>
      </c>
    </row>
    <row r="8374" customFormat="false" ht="15" hidden="false" customHeight="false" outlineLevel="0" collapsed="false">
      <c r="A8374" s="15" t="s">
        <v>8431</v>
      </c>
      <c r="B8374" s="16" t="n">
        <v>45767</v>
      </c>
      <c r="C8374" s="15" t="s">
        <v>56</v>
      </c>
      <c r="D8374" s="15" t="s">
        <v>43</v>
      </c>
      <c r="E8374" s="15" t="s">
        <v>37</v>
      </c>
      <c r="F8374" s="15" t="s">
        <v>17</v>
      </c>
      <c r="G8374" s="15" t="s">
        <v>31</v>
      </c>
      <c r="H8374" s="15" t="n">
        <v>1</v>
      </c>
      <c r="I8374" s="17" t="n">
        <v>0.05</v>
      </c>
      <c r="J8374" s="18" t="n">
        <v>117.1</v>
      </c>
      <c r="K8374" s="19" t="n">
        <v>23.2</v>
      </c>
      <c r="L8374" s="15" t="n">
        <f aca="false">YEAR(B8374)</f>
        <v>2025</v>
      </c>
      <c r="M8374" s="20" t="n">
        <f aca="false">IF(J8374&gt;0,K8374/J8374,0)</f>
        <v>0.198121263877028</v>
      </c>
    </row>
    <row r="8375" customFormat="false" ht="15" hidden="false" customHeight="false" outlineLevel="0" collapsed="false">
      <c r="A8375" s="15" t="s">
        <v>8432</v>
      </c>
      <c r="B8375" s="16" t="n">
        <v>44842</v>
      </c>
      <c r="C8375" s="15" t="s">
        <v>56</v>
      </c>
      <c r="D8375" s="15" t="s">
        <v>42</v>
      </c>
      <c r="E8375" s="15" t="s">
        <v>37</v>
      </c>
      <c r="F8375" s="15" t="s">
        <v>17</v>
      </c>
      <c r="G8375" s="15" t="s">
        <v>26</v>
      </c>
      <c r="H8375" s="15" t="n">
        <v>4</v>
      </c>
      <c r="I8375" s="17" t="n">
        <v>0</v>
      </c>
      <c r="J8375" s="18" t="n">
        <v>310.49</v>
      </c>
      <c r="K8375" s="19" t="n">
        <v>37.48</v>
      </c>
      <c r="L8375" s="15" t="n">
        <f aca="false">YEAR(B8375)</f>
        <v>2022</v>
      </c>
      <c r="M8375" s="20" t="n">
        <f aca="false">IF(J8375&gt;0,K8375/J8375,0)</f>
        <v>0.120712422300235</v>
      </c>
    </row>
    <row r="8376" customFormat="false" ht="15" hidden="false" customHeight="false" outlineLevel="0" collapsed="false">
      <c r="A8376" s="15" t="s">
        <v>8433</v>
      </c>
      <c r="B8376" s="16" t="n">
        <v>45215</v>
      </c>
      <c r="C8376" s="15" t="s">
        <v>56</v>
      </c>
      <c r="D8376" s="15" t="s">
        <v>42</v>
      </c>
      <c r="E8376" s="15" t="s">
        <v>37</v>
      </c>
      <c r="F8376" s="15" t="s">
        <v>18</v>
      </c>
      <c r="G8376" s="15" t="s">
        <v>30</v>
      </c>
      <c r="H8376" s="15" t="n">
        <v>4</v>
      </c>
      <c r="I8376" s="17" t="n">
        <v>0.3</v>
      </c>
      <c r="J8376" s="18" t="n">
        <v>159.72</v>
      </c>
      <c r="K8376" s="19" t="n">
        <v>-4.64</v>
      </c>
      <c r="L8376" s="15" t="n">
        <f aca="false">YEAR(B8376)</f>
        <v>2023</v>
      </c>
      <c r="M8376" s="20" t="n">
        <f aca="false">IF(J8376&gt;0,K8376/J8376,0)</f>
        <v>-0.0290508389681943</v>
      </c>
    </row>
    <row r="8377" customFormat="false" ht="15" hidden="false" customHeight="false" outlineLevel="0" collapsed="false">
      <c r="A8377" s="15" t="s">
        <v>8434</v>
      </c>
      <c r="B8377" s="16" t="n">
        <v>45121</v>
      </c>
      <c r="C8377" s="15" t="s">
        <v>58</v>
      </c>
      <c r="D8377" s="15" t="s">
        <v>42</v>
      </c>
      <c r="E8377" s="15" t="s">
        <v>37</v>
      </c>
      <c r="F8377" s="15" t="s">
        <v>17</v>
      </c>
      <c r="G8377" s="15" t="s">
        <v>28</v>
      </c>
      <c r="H8377" s="15" t="n">
        <v>5</v>
      </c>
      <c r="I8377" s="17" t="n">
        <v>0.1</v>
      </c>
      <c r="J8377" s="18" t="n">
        <v>131.52</v>
      </c>
      <c r="K8377" s="19" t="n">
        <v>22.03</v>
      </c>
      <c r="L8377" s="15" t="n">
        <f aca="false">YEAR(B8377)</f>
        <v>2023</v>
      </c>
      <c r="M8377" s="20" t="n">
        <f aca="false">IF(J8377&gt;0,K8377/J8377,0)</f>
        <v>0.16750304136253</v>
      </c>
    </row>
    <row r="8378" customFormat="false" ht="15" hidden="false" customHeight="false" outlineLevel="0" collapsed="false">
      <c r="A8378" s="15" t="s">
        <v>8435</v>
      </c>
      <c r="B8378" s="16" t="n">
        <v>45431</v>
      </c>
      <c r="C8378" s="15" t="s">
        <v>71</v>
      </c>
      <c r="D8378" s="15" t="s">
        <v>43</v>
      </c>
      <c r="E8378" s="15" t="s">
        <v>37</v>
      </c>
      <c r="F8378" s="15" t="s">
        <v>18</v>
      </c>
      <c r="G8378" s="15" t="s">
        <v>30</v>
      </c>
      <c r="H8378" s="15" t="n">
        <v>5</v>
      </c>
      <c r="I8378" s="17" t="n">
        <v>0.1</v>
      </c>
      <c r="J8378" s="18" t="n">
        <v>221.7</v>
      </c>
      <c r="K8378" s="19" t="n">
        <v>40.72</v>
      </c>
      <c r="L8378" s="15" t="n">
        <f aca="false">YEAR(B8378)</f>
        <v>2024</v>
      </c>
      <c r="M8378" s="20" t="n">
        <f aca="false">IF(J8378&gt;0,K8378/J8378,0)</f>
        <v>0.183671628326567</v>
      </c>
    </row>
    <row r="8379" customFormat="false" ht="15" hidden="false" customHeight="false" outlineLevel="0" collapsed="false">
      <c r="A8379" s="15" t="s">
        <v>8436</v>
      </c>
      <c r="B8379" s="16" t="n">
        <v>45690</v>
      </c>
      <c r="C8379" s="15" t="s">
        <v>68</v>
      </c>
      <c r="D8379" s="15" t="s">
        <v>43</v>
      </c>
      <c r="E8379" s="15" t="s">
        <v>37</v>
      </c>
      <c r="F8379" s="15" t="s">
        <v>17</v>
      </c>
      <c r="G8379" s="15" t="s">
        <v>26</v>
      </c>
      <c r="H8379" s="15" t="n">
        <v>4</v>
      </c>
      <c r="I8379" s="17" t="n">
        <v>0</v>
      </c>
      <c r="J8379" s="18" t="n">
        <v>398.25</v>
      </c>
      <c r="K8379" s="19" t="n">
        <v>36.69</v>
      </c>
      <c r="L8379" s="15" t="n">
        <f aca="false">YEAR(B8379)</f>
        <v>2025</v>
      </c>
      <c r="M8379" s="20" t="n">
        <f aca="false">IF(J8379&gt;0,K8379/J8379,0)</f>
        <v>0.0921280602636535</v>
      </c>
    </row>
    <row r="8380" customFormat="false" ht="15" hidden="false" customHeight="false" outlineLevel="0" collapsed="false">
      <c r="A8380" s="15" t="s">
        <v>8437</v>
      </c>
      <c r="B8380" s="16" t="n">
        <v>45452</v>
      </c>
      <c r="C8380" s="15" t="s">
        <v>56</v>
      </c>
      <c r="D8380" s="15" t="s">
        <v>43</v>
      </c>
      <c r="E8380" s="15" t="s">
        <v>36</v>
      </c>
      <c r="F8380" s="15" t="s">
        <v>17</v>
      </c>
      <c r="G8380" s="15" t="s">
        <v>28</v>
      </c>
      <c r="H8380" s="15" t="n">
        <v>8</v>
      </c>
      <c r="I8380" s="17" t="n">
        <v>0.05</v>
      </c>
      <c r="J8380" s="18" t="n">
        <v>153.15</v>
      </c>
      <c r="K8380" s="19" t="n">
        <v>36.28</v>
      </c>
      <c r="L8380" s="15" t="n">
        <f aca="false">YEAR(B8380)</f>
        <v>2024</v>
      </c>
      <c r="M8380" s="20" t="n">
        <f aca="false">IF(J8380&gt;0,K8380/J8380,0)</f>
        <v>0.236891936010447</v>
      </c>
    </row>
    <row r="8381" customFormat="false" ht="15" hidden="false" customHeight="false" outlineLevel="0" collapsed="false">
      <c r="A8381" s="15" t="s">
        <v>8438</v>
      </c>
      <c r="B8381" s="16" t="n">
        <v>45901</v>
      </c>
      <c r="C8381" s="15" t="s">
        <v>56</v>
      </c>
      <c r="D8381" s="15" t="s">
        <v>42</v>
      </c>
      <c r="E8381" s="15" t="s">
        <v>39</v>
      </c>
      <c r="F8381" s="15" t="s">
        <v>18</v>
      </c>
      <c r="G8381" s="15" t="s">
        <v>32</v>
      </c>
      <c r="H8381" s="15" t="n">
        <v>3</v>
      </c>
      <c r="I8381" s="17" t="n">
        <v>0.2</v>
      </c>
      <c r="J8381" s="18" t="n">
        <v>1086.33</v>
      </c>
      <c r="K8381" s="19" t="n">
        <v>0.37</v>
      </c>
      <c r="L8381" s="15" t="n">
        <f aca="false">YEAR(B8381)</f>
        <v>2025</v>
      </c>
      <c r="M8381" s="20" t="n">
        <f aca="false">IF(J8381&gt;0,K8381/J8381,0)</f>
        <v>0.000340596319718686</v>
      </c>
    </row>
    <row r="8382" customFormat="false" ht="15" hidden="false" customHeight="false" outlineLevel="0" collapsed="false">
      <c r="A8382" s="15" t="s">
        <v>8439</v>
      </c>
      <c r="B8382" s="16" t="n">
        <v>44814</v>
      </c>
      <c r="C8382" s="15" t="s">
        <v>56</v>
      </c>
      <c r="D8382" s="15" t="s">
        <v>42</v>
      </c>
      <c r="E8382" s="15" t="s">
        <v>36</v>
      </c>
      <c r="F8382" s="15" t="s">
        <v>18</v>
      </c>
      <c r="G8382" s="15" t="s">
        <v>30</v>
      </c>
      <c r="H8382" s="15" t="n">
        <v>2</v>
      </c>
      <c r="I8382" s="17" t="n">
        <v>0.2</v>
      </c>
      <c r="J8382" s="18" t="n">
        <v>74.79</v>
      </c>
      <c r="K8382" s="19" t="n">
        <v>13.56</v>
      </c>
      <c r="L8382" s="15" t="n">
        <f aca="false">YEAR(B8382)</f>
        <v>2022</v>
      </c>
      <c r="M8382" s="20" t="n">
        <f aca="false">IF(J8382&gt;0,K8382/J8382,0)</f>
        <v>0.181307661452066</v>
      </c>
    </row>
    <row r="8383" customFormat="false" ht="15" hidden="false" customHeight="false" outlineLevel="0" collapsed="false">
      <c r="A8383" s="15" t="s">
        <v>8440</v>
      </c>
      <c r="B8383" s="16" t="n">
        <v>45367</v>
      </c>
      <c r="C8383" s="15" t="s">
        <v>68</v>
      </c>
      <c r="D8383" s="15" t="s">
        <v>43</v>
      </c>
      <c r="E8383" s="15" t="s">
        <v>36</v>
      </c>
      <c r="F8383" s="15" t="s">
        <v>17</v>
      </c>
      <c r="G8383" s="15" t="s">
        <v>31</v>
      </c>
      <c r="H8383" s="15" t="n">
        <v>5</v>
      </c>
      <c r="I8383" s="17" t="n">
        <v>0.15</v>
      </c>
      <c r="J8383" s="18" t="n">
        <v>495.67</v>
      </c>
      <c r="K8383" s="19" t="n">
        <v>31.58</v>
      </c>
      <c r="L8383" s="15" t="n">
        <f aca="false">YEAR(B8383)</f>
        <v>2024</v>
      </c>
      <c r="M8383" s="20" t="n">
        <f aca="false">IF(J8383&gt;0,K8383/J8383,0)</f>
        <v>0.0637117437004459</v>
      </c>
    </row>
    <row r="8384" customFormat="false" ht="15" hidden="false" customHeight="false" outlineLevel="0" collapsed="false">
      <c r="A8384" s="15" t="s">
        <v>8441</v>
      </c>
      <c r="B8384" s="16" t="n">
        <v>44750</v>
      </c>
      <c r="C8384" s="15" t="s">
        <v>56</v>
      </c>
      <c r="D8384" s="15" t="s">
        <v>42</v>
      </c>
      <c r="E8384" s="15" t="s">
        <v>37</v>
      </c>
      <c r="F8384" s="15" t="s">
        <v>16</v>
      </c>
      <c r="G8384" s="15" t="s">
        <v>23</v>
      </c>
      <c r="H8384" s="15" t="n">
        <v>2</v>
      </c>
      <c r="I8384" s="17" t="n">
        <v>0</v>
      </c>
      <c r="J8384" s="18" t="n">
        <v>536.4</v>
      </c>
      <c r="K8384" s="19" t="n">
        <v>22.6</v>
      </c>
      <c r="L8384" s="15" t="n">
        <f aca="false">YEAR(B8384)</f>
        <v>2022</v>
      </c>
      <c r="M8384" s="20" t="n">
        <f aca="false">IF(J8384&gt;0,K8384/J8384,0)</f>
        <v>0.0421327367636093</v>
      </c>
    </row>
    <row r="8385" customFormat="false" ht="15" hidden="false" customHeight="false" outlineLevel="0" collapsed="false">
      <c r="A8385" s="15" t="s">
        <v>8442</v>
      </c>
      <c r="B8385" s="16" t="n">
        <v>44631</v>
      </c>
      <c r="C8385" s="15" t="s">
        <v>68</v>
      </c>
      <c r="D8385" s="15" t="s">
        <v>43</v>
      </c>
      <c r="E8385" s="15" t="s">
        <v>39</v>
      </c>
      <c r="F8385" s="15" t="s">
        <v>17</v>
      </c>
      <c r="G8385" s="15" t="s">
        <v>26</v>
      </c>
      <c r="H8385" s="15" t="n">
        <v>4</v>
      </c>
      <c r="I8385" s="17" t="n">
        <v>0</v>
      </c>
      <c r="J8385" s="18" t="n">
        <v>411.24</v>
      </c>
      <c r="K8385" s="19" t="n">
        <v>60.97</v>
      </c>
      <c r="L8385" s="15" t="n">
        <f aca="false">YEAR(B8385)</f>
        <v>2022</v>
      </c>
      <c r="M8385" s="20" t="n">
        <f aca="false">IF(J8385&gt;0,K8385/J8385,0)</f>
        <v>0.148258924229161</v>
      </c>
    </row>
    <row r="8386" customFormat="false" ht="15" hidden="false" customHeight="false" outlineLevel="0" collapsed="false">
      <c r="A8386" s="15" t="s">
        <v>8443</v>
      </c>
      <c r="B8386" s="16" t="n">
        <v>45803</v>
      </c>
      <c r="C8386" s="15" t="s">
        <v>56</v>
      </c>
      <c r="D8386" s="15" t="s">
        <v>42</v>
      </c>
      <c r="E8386" s="15" t="s">
        <v>38</v>
      </c>
      <c r="F8386" s="15" t="s">
        <v>17</v>
      </c>
      <c r="G8386" s="15" t="s">
        <v>31</v>
      </c>
      <c r="H8386" s="15" t="n">
        <v>4</v>
      </c>
      <c r="I8386" s="17" t="n">
        <v>0.4</v>
      </c>
      <c r="J8386" s="18" t="n">
        <v>307.2</v>
      </c>
      <c r="K8386" s="19" t="n">
        <v>-55.95</v>
      </c>
      <c r="L8386" s="15" t="n">
        <f aca="false">YEAR(B8386)</f>
        <v>2025</v>
      </c>
      <c r="M8386" s="20" t="n">
        <f aca="false">IF(J8386&gt;0,K8386/J8386,0)</f>
        <v>-0.18212890625</v>
      </c>
    </row>
    <row r="8387" customFormat="false" ht="15" hidden="false" customHeight="false" outlineLevel="0" collapsed="false">
      <c r="A8387" s="15" t="s">
        <v>8444</v>
      </c>
      <c r="B8387" s="16" t="n">
        <v>45223</v>
      </c>
      <c r="C8387" s="15" t="s">
        <v>68</v>
      </c>
      <c r="D8387" s="15" t="s">
        <v>42</v>
      </c>
      <c r="E8387" s="15" t="s">
        <v>38</v>
      </c>
      <c r="F8387" s="15" t="s">
        <v>18</v>
      </c>
      <c r="G8387" s="15" t="s">
        <v>30</v>
      </c>
      <c r="H8387" s="15" t="n">
        <v>7</v>
      </c>
      <c r="I8387" s="17" t="n">
        <v>0.05</v>
      </c>
      <c r="J8387" s="18" t="n">
        <v>216.9</v>
      </c>
      <c r="K8387" s="19" t="n">
        <v>67.63</v>
      </c>
      <c r="L8387" s="15" t="n">
        <f aca="false">YEAR(B8387)</f>
        <v>2023</v>
      </c>
      <c r="M8387" s="20" t="n">
        <f aca="false">IF(J8387&gt;0,K8387/J8387,0)</f>
        <v>0.311802674043338</v>
      </c>
    </row>
    <row r="8388" customFormat="false" ht="15" hidden="false" customHeight="false" outlineLevel="0" collapsed="false">
      <c r="A8388" s="15" t="s">
        <v>8445</v>
      </c>
      <c r="B8388" s="16" t="n">
        <v>45473</v>
      </c>
      <c r="C8388" s="15" t="s">
        <v>56</v>
      </c>
      <c r="D8388" s="15" t="s">
        <v>43</v>
      </c>
      <c r="E8388" s="15" t="s">
        <v>39</v>
      </c>
      <c r="F8388" s="15" t="s">
        <v>16</v>
      </c>
      <c r="G8388" s="15" t="s">
        <v>25</v>
      </c>
      <c r="H8388" s="15" t="n">
        <v>2</v>
      </c>
      <c r="I8388" s="17" t="n">
        <v>0</v>
      </c>
      <c r="J8388" s="18" t="n">
        <v>593.42</v>
      </c>
      <c r="K8388" s="19" t="n">
        <v>30.08</v>
      </c>
      <c r="L8388" s="15" t="n">
        <f aca="false">YEAR(B8388)</f>
        <v>2024</v>
      </c>
      <c r="M8388" s="20" t="n">
        <f aca="false">IF(J8388&gt;0,K8388/J8388,0)</f>
        <v>0.0506892251693573</v>
      </c>
    </row>
    <row r="8389" customFormat="false" ht="15" hidden="false" customHeight="false" outlineLevel="0" collapsed="false">
      <c r="A8389" s="15" t="s">
        <v>8446</v>
      </c>
      <c r="B8389" s="16" t="n">
        <v>45402</v>
      </c>
      <c r="C8389" s="15" t="s">
        <v>71</v>
      </c>
      <c r="D8389" s="15" t="s">
        <v>42</v>
      </c>
      <c r="E8389" s="15" t="s">
        <v>39</v>
      </c>
      <c r="F8389" s="15" t="s">
        <v>18</v>
      </c>
      <c r="G8389" s="15" t="s">
        <v>30</v>
      </c>
      <c r="H8389" s="15" t="n">
        <v>3</v>
      </c>
      <c r="I8389" s="17" t="n">
        <v>0.15</v>
      </c>
      <c r="J8389" s="18" t="n">
        <v>155</v>
      </c>
      <c r="K8389" s="19" t="n">
        <v>24.25</v>
      </c>
      <c r="L8389" s="15" t="n">
        <f aca="false">YEAR(B8389)</f>
        <v>2024</v>
      </c>
      <c r="M8389" s="20" t="n">
        <f aca="false">IF(J8389&gt;0,K8389/J8389,0)</f>
        <v>0.156451612903226</v>
      </c>
    </row>
    <row r="8390" customFormat="false" ht="15" hidden="false" customHeight="false" outlineLevel="0" collapsed="false">
      <c r="A8390" s="15" t="s">
        <v>8447</v>
      </c>
      <c r="B8390" s="16" t="n">
        <v>45560</v>
      </c>
      <c r="C8390" s="15" t="s">
        <v>58</v>
      </c>
      <c r="D8390" s="15" t="s">
        <v>42</v>
      </c>
      <c r="E8390" s="15" t="s">
        <v>39</v>
      </c>
      <c r="F8390" s="15" t="s">
        <v>17</v>
      </c>
      <c r="G8390" s="15" t="s">
        <v>28</v>
      </c>
      <c r="H8390" s="15" t="n">
        <v>7</v>
      </c>
      <c r="I8390" s="17" t="n">
        <v>0.2</v>
      </c>
      <c r="J8390" s="18" t="n">
        <v>145.41</v>
      </c>
      <c r="K8390" s="19" t="n">
        <v>26.81</v>
      </c>
      <c r="L8390" s="15" t="n">
        <f aca="false">YEAR(B8390)</f>
        <v>2024</v>
      </c>
      <c r="M8390" s="20" t="n">
        <f aca="false">IF(J8390&gt;0,K8390/J8390,0)</f>
        <v>0.184375214909566</v>
      </c>
    </row>
    <row r="8391" customFormat="false" ht="15" hidden="false" customHeight="false" outlineLevel="0" collapsed="false">
      <c r="A8391" s="15" t="s">
        <v>8448</v>
      </c>
      <c r="B8391" s="16" t="n">
        <v>45905</v>
      </c>
      <c r="C8391" s="15" t="s">
        <v>56</v>
      </c>
      <c r="D8391" s="15" t="s">
        <v>43</v>
      </c>
      <c r="E8391" s="15" t="s">
        <v>37</v>
      </c>
      <c r="F8391" s="15" t="s">
        <v>18</v>
      </c>
      <c r="G8391" s="15" t="s">
        <v>30</v>
      </c>
      <c r="H8391" s="15" t="n">
        <v>2</v>
      </c>
      <c r="I8391" s="17" t="n">
        <v>0.2</v>
      </c>
      <c r="J8391" s="18" t="n">
        <v>66.59</v>
      </c>
      <c r="K8391" s="19" t="n">
        <v>10.49</v>
      </c>
      <c r="L8391" s="15" t="n">
        <f aca="false">YEAR(B8391)</f>
        <v>2025</v>
      </c>
      <c r="M8391" s="20" t="n">
        <f aca="false">IF(J8391&gt;0,K8391/J8391,0)</f>
        <v>0.15753116083496</v>
      </c>
    </row>
    <row r="8392" customFormat="false" ht="15" hidden="false" customHeight="false" outlineLevel="0" collapsed="false">
      <c r="A8392" s="15" t="s">
        <v>8449</v>
      </c>
      <c r="B8392" s="16" t="n">
        <v>44736</v>
      </c>
      <c r="C8392" s="15" t="s">
        <v>71</v>
      </c>
      <c r="D8392" s="15" t="s">
        <v>44</v>
      </c>
      <c r="E8392" s="15" t="s">
        <v>37</v>
      </c>
      <c r="F8392" s="15" t="s">
        <v>16</v>
      </c>
      <c r="G8392" s="15" t="s">
        <v>25</v>
      </c>
      <c r="H8392" s="15" t="n">
        <v>5</v>
      </c>
      <c r="I8392" s="17" t="n">
        <v>0.4</v>
      </c>
      <c r="J8392" s="18" t="n">
        <v>880.51</v>
      </c>
      <c r="K8392" s="19" t="n">
        <v>-292.27</v>
      </c>
      <c r="L8392" s="15" t="n">
        <f aca="false">YEAR(B8392)</f>
        <v>2022</v>
      </c>
      <c r="M8392" s="20" t="n">
        <f aca="false">IF(J8392&gt;0,K8392/J8392,0)</f>
        <v>-0.331932629953095</v>
      </c>
    </row>
    <row r="8393" customFormat="false" ht="15" hidden="false" customHeight="false" outlineLevel="0" collapsed="false">
      <c r="A8393" s="15" t="s">
        <v>8450</v>
      </c>
      <c r="B8393" s="16" t="n">
        <v>45996</v>
      </c>
      <c r="C8393" s="15" t="s">
        <v>56</v>
      </c>
      <c r="D8393" s="15" t="s">
        <v>42</v>
      </c>
      <c r="E8393" s="15" t="s">
        <v>37</v>
      </c>
      <c r="F8393" s="15" t="s">
        <v>16</v>
      </c>
      <c r="G8393" s="15" t="s">
        <v>25</v>
      </c>
      <c r="H8393" s="15" t="n">
        <v>4</v>
      </c>
      <c r="I8393" s="17" t="n">
        <v>0</v>
      </c>
      <c r="J8393" s="18" t="n">
        <v>1032.93</v>
      </c>
      <c r="K8393" s="19" t="n">
        <v>152.65</v>
      </c>
      <c r="L8393" s="15" t="n">
        <f aca="false">YEAR(B8393)</f>
        <v>2025</v>
      </c>
      <c r="M8393" s="20" t="n">
        <f aca="false">IF(J8393&gt;0,K8393/J8393,0)</f>
        <v>0.147783489684683</v>
      </c>
    </row>
    <row r="8394" customFormat="false" ht="15" hidden="false" customHeight="false" outlineLevel="0" collapsed="false">
      <c r="A8394" s="15" t="s">
        <v>8451</v>
      </c>
      <c r="B8394" s="16" t="n">
        <v>44975</v>
      </c>
      <c r="C8394" s="15" t="s">
        <v>56</v>
      </c>
      <c r="D8394" s="15" t="s">
        <v>43</v>
      </c>
      <c r="E8394" s="15" t="s">
        <v>39</v>
      </c>
      <c r="F8394" s="15" t="s">
        <v>16</v>
      </c>
      <c r="G8394" s="15" t="s">
        <v>23</v>
      </c>
      <c r="H8394" s="15" t="n">
        <v>3</v>
      </c>
      <c r="I8394" s="17" t="n">
        <v>0.1</v>
      </c>
      <c r="J8394" s="18" t="n">
        <v>905.45</v>
      </c>
      <c r="K8394" s="19" t="n">
        <v>-126.82</v>
      </c>
      <c r="L8394" s="15" t="n">
        <f aca="false">YEAR(B8394)</f>
        <v>2023</v>
      </c>
      <c r="M8394" s="20" t="n">
        <f aca="false">IF(J8394&gt;0,K8394/J8394,0)</f>
        <v>-0.140062952123254</v>
      </c>
    </row>
    <row r="8395" customFormat="false" ht="15" hidden="false" customHeight="false" outlineLevel="0" collapsed="false">
      <c r="A8395" s="15" t="s">
        <v>8452</v>
      </c>
      <c r="B8395" s="16" t="n">
        <v>45615</v>
      </c>
      <c r="C8395" s="15" t="s">
        <v>71</v>
      </c>
      <c r="D8395" s="15" t="s">
        <v>42</v>
      </c>
      <c r="E8395" s="15" t="s">
        <v>36</v>
      </c>
      <c r="F8395" s="15" t="s">
        <v>18</v>
      </c>
      <c r="G8395" s="15" t="s">
        <v>30</v>
      </c>
      <c r="H8395" s="15" t="n">
        <v>7</v>
      </c>
      <c r="I8395" s="17" t="n">
        <v>0</v>
      </c>
      <c r="J8395" s="18" t="n">
        <v>356.36</v>
      </c>
      <c r="K8395" s="19" t="n">
        <v>101.23</v>
      </c>
      <c r="L8395" s="15" t="n">
        <f aca="false">YEAR(B8395)</f>
        <v>2024</v>
      </c>
      <c r="M8395" s="20" t="n">
        <f aca="false">IF(J8395&gt;0,K8395/J8395,0)</f>
        <v>0.284066674149736</v>
      </c>
    </row>
    <row r="8396" customFormat="false" ht="15" hidden="false" customHeight="false" outlineLevel="0" collapsed="false">
      <c r="A8396" s="15" t="s">
        <v>8453</v>
      </c>
      <c r="B8396" s="16" t="n">
        <v>45699</v>
      </c>
      <c r="C8396" s="15" t="s">
        <v>71</v>
      </c>
      <c r="D8396" s="15" t="s">
        <v>43</v>
      </c>
      <c r="E8396" s="15" t="s">
        <v>39</v>
      </c>
      <c r="F8396" s="15" t="s">
        <v>16</v>
      </c>
      <c r="G8396" s="15" t="s">
        <v>25</v>
      </c>
      <c r="H8396" s="15" t="n">
        <v>2</v>
      </c>
      <c r="I8396" s="17" t="n">
        <v>0.1</v>
      </c>
      <c r="J8396" s="18" t="n">
        <v>543.03</v>
      </c>
      <c r="K8396" s="19" t="n">
        <v>-14.69</v>
      </c>
      <c r="L8396" s="15" t="n">
        <f aca="false">YEAR(B8396)</f>
        <v>2025</v>
      </c>
      <c r="M8396" s="20" t="n">
        <f aca="false">IF(J8396&gt;0,K8396/J8396,0)</f>
        <v>-0.0270519124173618</v>
      </c>
    </row>
    <row r="8397" customFormat="false" ht="15" hidden="false" customHeight="false" outlineLevel="0" collapsed="false">
      <c r="A8397" s="15" t="s">
        <v>8454</v>
      </c>
      <c r="B8397" s="16" t="n">
        <v>45803</v>
      </c>
      <c r="C8397" s="15" t="s">
        <v>56</v>
      </c>
      <c r="D8397" s="15" t="s">
        <v>42</v>
      </c>
      <c r="E8397" s="15" t="s">
        <v>38</v>
      </c>
      <c r="F8397" s="15" t="s">
        <v>16</v>
      </c>
      <c r="G8397" s="15" t="s">
        <v>22</v>
      </c>
      <c r="H8397" s="15" t="n">
        <v>3</v>
      </c>
      <c r="I8397" s="17" t="n">
        <v>0.05</v>
      </c>
      <c r="J8397" s="18" t="n">
        <v>1516.81</v>
      </c>
      <c r="K8397" s="19" t="n">
        <v>-176.2</v>
      </c>
      <c r="L8397" s="15" t="n">
        <f aca="false">YEAR(B8397)</f>
        <v>2025</v>
      </c>
      <c r="M8397" s="20" t="n">
        <f aca="false">IF(J8397&gt;0,K8397/J8397,0)</f>
        <v>-0.116164845959613</v>
      </c>
    </row>
    <row r="8398" customFormat="false" ht="15" hidden="false" customHeight="false" outlineLevel="0" collapsed="false">
      <c r="A8398" s="15" t="s">
        <v>8455</v>
      </c>
      <c r="B8398" s="16" t="n">
        <v>45329</v>
      </c>
      <c r="C8398" s="15" t="s">
        <v>71</v>
      </c>
      <c r="D8398" s="15" t="s">
        <v>44</v>
      </c>
      <c r="E8398" s="15" t="s">
        <v>39</v>
      </c>
      <c r="F8398" s="15" t="s">
        <v>18</v>
      </c>
      <c r="G8398" s="15" t="s">
        <v>24</v>
      </c>
      <c r="H8398" s="15" t="n">
        <v>3</v>
      </c>
      <c r="I8398" s="17" t="n">
        <v>0.4</v>
      </c>
      <c r="J8398" s="18" t="n">
        <v>1086.82</v>
      </c>
      <c r="K8398" s="19" t="n">
        <v>-360.82</v>
      </c>
      <c r="L8398" s="15" t="n">
        <f aca="false">YEAR(B8398)</f>
        <v>2024</v>
      </c>
      <c r="M8398" s="20" t="n">
        <f aca="false">IF(J8398&gt;0,K8398/J8398,0)</f>
        <v>-0.331996098709998</v>
      </c>
    </row>
    <row r="8399" customFormat="false" ht="15" hidden="false" customHeight="false" outlineLevel="0" collapsed="false">
      <c r="A8399" s="15" t="s">
        <v>8456</v>
      </c>
      <c r="B8399" s="16" t="n">
        <v>45445</v>
      </c>
      <c r="C8399" s="15" t="s">
        <v>71</v>
      </c>
      <c r="D8399" s="15" t="s">
        <v>44</v>
      </c>
      <c r="E8399" s="15" t="s">
        <v>37</v>
      </c>
      <c r="F8399" s="15" t="s">
        <v>17</v>
      </c>
      <c r="G8399" s="15" t="s">
        <v>31</v>
      </c>
      <c r="H8399" s="15" t="n">
        <v>4</v>
      </c>
      <c r="I8399" s="17" t="n">
        <v>0</v>
      </c>
      <c r="J8399" s="18" t="n">
        <v>521.42</v>
      </c>
      <c r="K8399" s="19" t="n">
        <v>136.63</v>
      </c>
      <c r="L8399" s="15" t="n">
        <f aca="false">YEAR(B8399)</f>
        <v>2024</v>
      </c>
      <c r="M8399" s="20" t="n">
        <f aca="false">IF(J8399&gt;0,K8399/J8399,0)</f>
        <v>0.262034444401826</v>
      </c>
    </row>
    <row r="8400" customFormat="false" ht="15" hidden="false" customHeight="false" outlineLevel="0" collapsed="false">
      <c r="A8400" s="15" t="s">
        <v>8457</v>
      </c>
      <c r="B8400" s="16" t="n">
        <v>45981</v>
      </c>
      <c r="C8400" s="15" t="s">
        <v>58</v>
      </c>
      <c r="D8400" s="15" t="s">
        <v>44</v>
      </c>
      <c r="E8400" s="15" t="s">
        <v>39</v>
      </c>
      <c r="F8400" s="15" t="s">
        <v>17</v>
      </c>
      <c r="G8400" s="15" t="s">
        <v>29</v>
      </c>
      <c r="H8400" s="15" t="n">
        <v>3</v>
      </c>
      <c r="I8400" s="17" t="n">
        <v>0.15</v>
      </c>
      <c r="J8400" s="18" t="n">
        <v>54.23</v>
      </c>
      <c r="K8400" s="19" t="n">
        <v>13.69</v>
      </c>
      <c r="L8400" s="15" t="n">
        <f aca="false">YEAR(B8400)</f>
        <v>2025</v>
      </c>
      <c r="M8400" s="20" t="n">
        <f aca="false">IF(J8400&gt;0,K8400/J8400,0)</f>
        <v>0.252443297068044</v>
      </c>
    </row>
    <row r="8401" customFormat="false" ht="15" hidden="false" customHeight="false" outlineLevel="0" collapsed="false">
      <c r="A8401" s="15" t="s">
        <v>8458</v>
      </c>
      <c r="B8401" s="16" t="n">
        <v>45790</v>
      </c>
      <c r="C8401" s="15" t="s">
        <v>71</v>
      </c>
      <c r="D8401" s="15" t="s">
        <v>42</v>
      </c>
      <c r="E8401" s="15" t="s">
        <v>37</v>
      </c>
      <c r="F8401" s="15" t="s">
        <v>17</v>
      </c>
      <c r="G8401" s="15" t="s">
        <v>28</v>
      </c>
      <c r="H8401" s="15" t="n">
        <v>3</v>
      </c>
      <c r="I8401" s="17" t="n">
        <v>0</v>
      </c>
      <c r="J8401" s="18" t="n">
        <v>92.58</v>
      </c>
      <c r="K8401" s="19" t="n">
        <v>30.89</v>
      </c>
      <c r="L8401" s="15" t="n">
        <f aca="false">YEAR(B8401)</f>
        <v>2025</v>
      </c>
      <c r="M8401" s="20" t="n">
        <f aca="false">IF(J8401&gt;0,K8401/J8401,0)</f>
        <v>0.333657377403327</v>
      </c>
    </row>
    <row r="8402" customFormat="false" ht="15" hidden="false" customHeight="false" outlineLevel="0" collapsed="false">
      <c r="A8402" s="15" t="s">
        <v>8459</v>
      </c>
      <c r="B8402" s="16" t="n">
        <v>45797</v>
      </c>
      <c r="C8402" s="15" t="s">
        <v>56</v>
      </c>
      <c r="D8402" s="15" t="s">
        <v>43</v>
      </c>
      <c r="E8402" s="15" t="s">
        <v>39</v>
      </c>
      <c r="F8402" s="15" t="s">
        <v>16</v>
      </c>
      <c r="G8402" s="15" t="s">
        <v>25</v>
      </c>
      <c r="H8402" s="15" t="n">
        <v>1</v>
      </c>
      <c r="I8402" s="17" t="n">
        <v>0.2</v>
      </c>
      <c r="J8402" s="18" t="n">
        <v>280.24</v>
      </c>
      <c r="K8402" s="19" t="n">
        <v>-30.39</v>
      </c>
      <c r="L8402" s="15" t="n">
        <f aca="false">YEAR(B8402)</f>
        <v>2025</v>
      </c>
      <c r="M8402" s="20" t="n">
        <f aca="false">IF(J8402&gt;0,K8402/J8402,0)</f>
        <v>-0.108442763345704</v>
      </c>
    </row>
    <row r="8403" customFormat="false" ht="15" hidden="false" customHeight="false" outlineLevel="0" collapsed="false">
      <c r="A8403" s="15" t="s">
        <v>8460</v>
      </c>
      <c r="B8403" s="16" t="n">
        <v>44875</v>
      </c>
      <c r="C8403" s="15" t="s">
        <v>71</v>
      </c>
      <c r="D8403" s="15" t="s">
        <v>42</v>
      </c>
      <c r="E8403" s="15" t="s">
        <v>39</v>
      </c>
      <c r="F8403" s="15" t="s">
        <v>17</v>
      </c>
      <c r="G8403" s="15" t="s">
        <v>31</v>
      </c>
      <c r="H8403" s="15" t="n">
        <v>3</v>
      </c>
      <c r="I8403" s="17" t="n">
        <v>0</v>
      </c>
      <c r="J8403" s="18" t="n">
        <v>360.99</v>
      </c>
      <c r="K8403" s="19" t="n">
        <v>60.41</v>
      </c>
      <c r="L8403" s="15" t="n">
        <f aca="false">YEAR(B8403)</f>
        <v>2022</v>
      </c>
      <c r="M8403" s="20" t="n">
        <f aca="false">IF(J8403&gt;0,K8403/J8403,0)</f>
        <v>0.167345355827031</v>
      </c>
    </row>
    <row r="8404" customFormat="false" ht="15" hidden="false" customHeight="false" outlineLevel="0" collapsed="false">
      <c r="A8404" s="15" t="s">
        <v>8461</v>
      </c>
      <c r="B8404" s="16" t="n">
        <v>45614</v>
      </c>
      <c r="C8404" s="15" t="s">
        <v>56</v>
      </c>
      <c r="D8404" s="15" t="s">
        <v>42</v>
      </c>
      <c r="E8404" s="15" t="s">
        <v>36</v>
      </c>
      <c r="F8404" s="15" t="s">
        <v>17</v>
      </c>
      <c r="G8404" s="15" t="s">
        <v>26</v>
      </c>
      <c r="H8404" s="15" t="n">
        <v>5</v>
      </c>
      <c r="I8404" s="17" t="n">
        <v>0</v>
      </c>
      <c r="J8404" s="18" t="n">
        <v>361.82</v>
      </c>
      <c r="K8404" s="19" t="n">
        <v>49.22</v>
      </c>
      <c r="L8404" s="15" t="n">
        <f aca="false">YEAR(B8404)</f>
        <v>2024</v>
      </c>
      <c r="M8404" s="20" t="n">
        <f aca="false">IF(J8404&gt;0,K8404/J8404,0)</f>
        <v>0.136034492288983</v>
      </c>
    </row>
    <row r="8405" customFormat="false" ht="15" hidden="false" customHeight="false" outlineLevel="0" collapsed="false">
      <c r="A8405" s="15" t="s">
        <v>8462</v>
      </c>
      <c r="B8405" s="16" t="n">
        <v>44965</v>
      </c>
      <c r="C8405" s="15" t="s">
        <v>56</v>
      </c>
      <c r="D8405" s="15" t="s">
        <v>43</v>
      </c>
      <c r="E8405" s="15" t="s">
        <v>36</v>
      </c>
      <c r="F8405" s="15" t="s">
        <v>17</v>
      </c>
      <c r="G8405" s="15" t="s">
        <v>26</v>
      </c>
      <c r="H8405" s="15" t="n">
        <v>1</v>
      </c>
      <c r="I8405" s="17" t="n">
        <v>0</v>
      </c>
      <c r="J8405" s="18" t="n">
        <v>88.52</v>
      </c>
      <c r="K8405" s="19" t="n">
        <v>11.37</v>
      </c>
      <c r="L8405" s="15" t="n">
        <f aca="false">YEAR(B8405)</f>
        <v>2023</v>
      </c>
      <c r="M8405" s="20" t="n">
        <f aca="false">IF(J8405&gt;0,K8405/J8405,0)</f>
        <v>0.128445549028468</v>
      </c>
    </row>
    <row r="8406" customFormat="false" ht="15" hidden="false" customHeight="false" outlineLevel="0" collapsed="false">
      <c r="A8406" s="15" t="s">
        <v>8463</v>
      </c>
      <c r="B8406" s="16" t="n">
        <v>45936</v>
      </c>
      <c r="C8406" s="15" t="s">
        <v>68</v>
      </c>
      <c r="D8406" s="15" t="s">
        <v>43</v>
      </c>
      <c r="E8406" s="15" t="s">
        <v>39</v>
      </c>
      <c r="F8406" s="15" t="s">
        <v>16</v>
      </c>
      <c r="G8406" s="15" t="s">
        <v>23</v>
      </c>
      <c r="H8406" s="15" t="n">
        <v>3</v>
      </c>
      <c r="I8406" s="17" t="n">
        <v>0.15</v>
      </c>
      <c r="J8406" s="18" t="n">
        <v>971.26</v>
      </c>
      <c r="K8406" s="19" t="n">
        <v>-105.87</v>
      </c>
      <c r="L8406" s="15" t="n">
        <f aca="false">YEAR(B8406)</f>
        <v>2025</v>
      </c>
      <c r="M8406" s="20" t="n">
        <f aca="false">IF(J8406&gt;0,K8406/J8406,0)</f>
        <v>-0.109002738710541</v>
      </c>
    </row>
    <row r="8407" customFormat="false" ht="15" hidden="false" customHeight="false" outlineLevel="0" collapsed="false">
      <c r="A8407" s="15" t="s">
        <v>8464</v>
      </c>
      <c r="B8407" s="16" t="n">
        <v>44665</v>
      </c>
      <c r="C8407" s="15" t="s">
        <v>56</v>
      </c>
      <c r="D8407" s="15" t="s">
        <v>42</v>
      </c>
      <c r="E8407" s="15" t="s">
        <v>39</v>
      </c>
      <c r="F8407" s="15" t="s">
        <v>17</v>
      </c>
      <c r="G8407" s="15" t="s">
        <v>29</v>
      </c>
      <c r="H8407" s="15" t="n">
        <v>3</v>
      </c>
      <c r="I8407" s="17" t="n">
        <v>0</v>
      </c>
      <c r="J8407" s="18" t="n">
        <v>60.44</v>
      </c>
      <c r="K8407" s="19" t="n">
        <v>24.7</v>
      </c>
      <c r="L8407" s="15" t="n">
        <f aca="false">YEAR(B8407)</f>
        <v>2022</v>
      </c>
      <c r="M8407" s="20" t="n">
        <f aca="false">IF(J8407&gt;0,K8407/J8407,0)</f>
        <v>0.408669755129054</v>
      </c>
    </row>
    <row r="8408" customFormat="false" ht="15" hidden="false" customHeight="false" outlineLevel="0" collapsed="false">
      <c r="A8408" s="15" t="s">
        <v>8465</v>
      </c>
      <c r="B8408" s="16" t="n">
        <v>44661</v>
      </c>
      <c r="C8408" s="15" t="s">
        <v>68</v>
      </c>
      <c r="D8408" s="15" t="s">
        <v>44</v>
      </c>
      <c r="E8408" s="15" t="s">
        <v>36</v>
      </c>
      <c r="F8408" s="15" t="s">
        <v>17</v>
      </c>
      <c r="G8408" s="15" t="s">
        <v>28</v>
      </c>
      <c r="H8408" s="15" t="n">
        <v>2</v>
      </c>
      <c r="I8408" s="17" t="n">
        <v>0</v>
      </c>
      <c r="J8408" s="18" t="n">
        <v>54.53</v>
      </c>
      <c r="K8408" s="19" t="n">
        <v>15.87</v>
      </c>
      <c r="L8408" s="15" t="n">
        <f aca="false">YEAR(B8408)</f>
        <v>2022</v>
      </c>
      <c r="M8408" s="20" t="n">
        <f aca="false">IF(J8408&gt;0,K8408/J8408,0)</f>
        <v>0.291032459196772</v>
      </c>
    </row>
    <row r="8409" customFormat="false" ht="15" hidden="false" customHeight="false" outlineLevel="0" collapsed="false">
      <c r="A8409" s="15" t="s">
        <v>8466</v>
      </c>
      <c r="B8409" s="16" t="n">
        <v>45981</v>
      </c>
      <c r="C8409" s="15" t="s">
        <v>68</v>
      </c>
      <c r="D8409" s="15" t="s">
        <v>43</v>
      </c>
      <c r="E8409" s="15" t="s">
        <v>37</v>
      </c>
      <c r="F8409" s="15" t="s">
        <v>17</v>
      </c>
      <c r="G8409" s="15" t="s">
        <v>28</v>
      </c>
      <c r="H8409" s="15" t="n">
        <v>1</v>
      </c>
      <c r="I8409" s="17" t="n">
        <v>0.15</v>
      </c>
      <c r="J8409" s="18" t="n">
        <v>25.29</v>
      </c>
      <c r="K8409" s="19" t="n">
        <v>4.65</v>
      </c>
      <c r="L8409" s="15" t="n">
        <f aca="false">YEAR(B8409)</f>
        <v>2025</v>
      </c>
      <c r="M8409" s="20" t="n">
        <f aca="false">IF(J8409&gt;0,K8409/J8409,0)</f>
        <v>0.183867141162515</v>
      </c>
    </row>
    <row r="8410" customFormat="false" ht="15" hidden="false" customHeight="false" outlineLevel="0" collapsed="false">
      <c r="A8410" s="15" t="s">
        <v>8467</v>
      </c>
      <c r="B8410" s="16" t="n">
        <v>44898</v>
      </c>
      <c r="C8410" s="15" t="s">
        <v>68</v>
      </c>
      <c r="D8410" s="15" t="s">
        <v>43</v>
      </c>
      <c r="E8410" s="15" t="s">
        <v>39</v>
      </c>
      <c r="F8410" s="15" t="s">
        <v>17</v>
      </c>
      <c r="G8410" s="15" t="s">
        <v>29</v>
      </c>
      <c r="H8410" s="15" t="n">
        <v>5</v>
      </c>
      <c r="I8410" s="17" t="n">
        <v>0.2</v>
      </c>
      <c r="J8410" s="18" t="n">
        <v>104.21</v>
      </c>
      <c r="K8410" s="19" t="n">
        <v>21.61</v>
      </c>
      <c r="L8410" s="15" t="n">
        <f aca="false">YEAR(B8410)</f>
        <v>2022</v>
      </c>
      <c r="M8410" s="20" t="n">
        <f aca="false">IF(J8410&gt;0,K8410/J8410,0)</f>
        <v>0.207369734190577</v>
      </c>
    </row>
    <row r="8411" customFormat="false" ht="15" hidden="false" customHeight="false" outlineLevel="0" collapsed="false">
      <c r="A8411" s="15" t="s">
        <v>8468</v>
      </c>
      <c r="B8411" s="16" t="n">
        <v>45988</v>
      </c>
      <c r="C8411" s="15" t="s">
        <v>71</v>
      </c>
      <c r="D8411" s="15" t="s">
        <v>42</v>
      </c>
      <c r="E8411" s="15" t="s">
        <v>38</v>
      </c>
      <c r="F8411" s="15" t="s">
        <v>18</v>
      </c>
      <c r="G8411" s="15" t="s">
        <v>30</v>
      </c>
      <c r="H8411" s="15" t="n">
        <v>5</v>
      </c>
      <c r="I8411" s="17" t="n">
        <v>0.05</v>
      </c>
      <c r="J8411" s="18" t="n">
        <v>178.2</v>
      </c>
      <c r="K8411" s="19" t="n">
        <v>39.08</v>
      </c>
      <c r="L8411" s="15" t="n">
        <f aca="false">YEAR(B8411)</f>
        <v>2025</v>
      </c>
      <c r="M8411" s="20" t="n">
        <f aca="false">IF(J8411&gt;0,K8411/J8411,0)</f>
        <v>0.219304152637486</v>
      </c>
    </row>
    <row r="8412" customFormat="false" ht="15" hidden="false" customHeight="false" outlineLevel="0" collapsed="false">
      <c r="A8412" s="15" t="s">
        <v>8469</v>
      </c>
      <c r="B8412" s="16" t="n">
        <v>45442</v>
      </c>
      <c r="C8412" s="15" t="s">
        <v>56</v>
      </c>
      <c r="D8412" s="15" t="s">
        <v>44</v>
      </c>
      <c r="E8412" s="15" t="s">
        <v>37</v>
      </c>
      <c r="F8412" s="15" t="s">
        <v>17</v>
      </c>
      <c r="G8412" s="15" t="s">
        <v>26</v>
      </c>
      <c r="H8412" s="15" t="n">
        <v>3</v>
      </c>
      <c r="I8412" s="17" t="n">
        <v>0</v>
      </c>
      <c r="J8412" s="18" t="n">
        <v>234.73</v>
      </c>
      <c r="K8412" s="19" t="n">
        <v>6.48</v>
      </c>
      <c r="L8412" s="15" t="n">
        <f aca="false">YEAR(B8412)</f>
        <v>2024</v>
      </c>
      <c r="M8412" s="20" t="n">
        <f aca="false">IF(J8412&gt;0,K8412/J8412,0)</f>
        <v>0.0276061858305287</v>
      </c>
    </row>
    <row r="8413" customFormat="false" ht="15" hidden="false" customHeight="false" outlineLevel="0" collapsed="false">
      <c r="A8413" s="15" t="s">
        <v>8470</v>
      </c>
      <c r="B8413" s="16" t="n">
        <v>45979</v>
      </c>
      <c r="C8413" s="15" t="s">
        <v>71</v>
      </c>
      <c r="D8413" s="15" t="s">
        <v>42</v>
      </c>
      <c r="E8413" s="15" t="s">
        <v>37</v>
      </c>
      <c r="F8413" s="15" t="s">
        <v>18</v>
      </c>
      <c r="G8413" s="15" t="s">
        <v>30</v>
      </c>
      <c r="H8413" s="15" t="n">
        <v>2</v>
      </c>
      <c r="I8413" s="17" t="n">
        <v>0.05</v>
      </c>
      <c r="J8413" s="18" t="n">
        <v>109.44</v>
      </c>
      <c r="K8413" s="19" t="n">
        <v>29.79</v>
      </c>
      <c r="L8413" s="15" t="n">
        <f aca="false">YEAR(B8413)</f>
        <v>2025</v>
      </c>
      <c r="M8413" s="20" t="n">
        <f aca="false">IF(J8413&gt;0,K8413/J8413,0)</f>
        <v>0.272203947368421</v>
      </c>
    </row>
    <row r="8414" customFormat="false" ht="15" hidden="false" customHeight="false" outlineLevel="0" collapsed="false">
      <c r="A8414" s="15" t="s">
        <v>8471</v>
      </c>
      <c r="B8414" s="16" t="n">
        <v>45762</v>
      </c>
      <c r="C8414" s="15" t="s">
        <v>56</v>
      </c>
      <c r="D8414" s="15" t="s">
        <v>42</v>
      </c>
      <c r="E8414" s="15" t="s">
        <v>37</v>
      </c>
      <c r="F8414" s="15" t="s">
        <v>16</v>
      </c>
      <c r="G8414" s="15" t="s">
        <v>25</v>
      </c>
      <c r="H8414" s="15" t="n">
        <v>6</v>
      </c>
      <c r="I8414" s="17" t="n">
        <v>0.05</v>
      </c>
      <c r="J8414" s="18" t="n">
        <v>1461.75</v>
      </c>
      <c r="K8414" s="19" t="n">
        <v>86.31</v>
      </c>
      <c r="L8414" s="15" t="n">
        <f aca="false">YEAR(B8414)</f>
        <v>2025</v>
      </c>
      <c r="M8414" s="20" t="n">
        <f aca="false">IF(J8414&gt;0,K8414/J8414,0)</f>
        <v>0.0590456644433043</v>
      </c>
    </row>
    <row r="8415" customFormat="false" ht="15" hidden="false" customHeight="false" outlineLevel="0" collapsed="false">
      <c r="A8415" s="15" t="s">
        <v>8472</v>
      </c>
      <c r="B8415" s="16" t="n">
        <v>45284</v>
      </c>
      <c r="C8415" s="15" t="s">
        <v>71</v>
      </c>
      <c r="D8415" s="15" t="s">
        <v>42</v>
      </c>
      <c r="E8415" s="15" t="s">
        <v>39</v>
      </c>
      <c r="F8415" s="15" t="s">
        <v>18</v>
      </c>
      <c r="G8415" s="15" t="s">
        <v>30</v>
      </c>
      <c r="H8415" s="15" t="n">
        <v>1</v>
      </c>
      <c r="I8415" s="17" t="n">
        <v>0.3</v>
      </c>
      <c r="J8415" s="18" t="n">
        <v>32.02</v>
      </c>
      <c r="K8415" s="19" t="n">
        <v>1.17</v>
      </c>
      <c r="L8415" s="15" t="n">
        <f aca="false">YEAR(B8415)</f>
        <v>2023</v>
      </c>
      <c r="M8415" s="20" t="n">
        <f aca="false">IF(J8415&gt;0,K8415/J8415,0)</f>
        <v>0.0365396627108057</v>
      </c>
    </row>
    <row r="8416" customFormat="false" ht="15" hidden="false" customHeight="false" outlineLevel="0" collapsed="false">
      <c r="A8416" s="15" t="s">
        <v>8473</v>
      </c>
      <c r="B8416" s="16" t="n">
        <v>45325</v>
      </c>
      <c r="C8416" s="15" t="s">
        <v>56</v>
      </c>
      <c r="D8416" s="15" t="s">
        <v>42</v>
      </c>
      <c r="E8416" s="15" t="s">
        <v>39</v>
      </c>
      <c r="F8416" s="15" t="s">
        <v>17</v>
      </c>
      <c r="G8416" s="15" t="s">
        <v>26</v>
      </c>
      <c r="H8416" s="15" t="n">
        <v>5</v>
      </c>
      <c r="I8416" s="17" t="n">
        <v>0</v>
      </c>
      <c r="J8416" s="18" t="n">
        <v>405.18</v>
      </c>
      <c r="K8416" s="19" t="n">
        <v>59.4</v>
      </c>
      <c r="L8416" s="15" t="n">
        <f aca="false">YEAR(B8416)</f>
        <v>2024</v>
      </c>
      <c r="M8416" s="20" t="n">
        <f aca="false">IF(J8416&gt;0,K8416/J8416,0)</f>
        <v>0.146601510439805</v>
      </c>
    </row>
    <row r="8417" customFormat="false" ht="15" hidden="false" customHeight="false" outlineLevel="0" collapsed="false">
      <c r="A8417" s="15" t="s">
        <v>8474</v>
      </c>
      <c r="B8417" s="16" t="n">
        <v>45835</v>
      </c>
      <c r="C8417" s="15" t="s">
        <v>56</v>
      </c>
      <c r="D8417" s="15" t="s">
        <v>42</v>
      </c>
      <c r="E8417" s="15" t="s">
        <v>37</v>
      </c>
      <c r="F8417" s="15" t="s">
        <v>16</v>
      </c>
      <c r="G8417" s="15" t="s">
        <v>25</v>
      </c>
      <c r="H8417" s="15" t="n">
        <v>7</v>
      </c>
      <c r="I8417" s="17" t="n">
        <v>0.5</v>
      </c>
      <c r="J8417" s="18" t="n">
        <v>872.76</v>
      </c>
      <c r="K8417" s="19" t="n">
        <v>-261.42</v>
      </c>
      <c r="L8417" s="15" t="n">
        <f aca="false">YEAR(B8417)</f>
        <v>2025</v>
      </c>
      <c r="M8417" s="20" t="n">
        <f aca="false">IF(J8417&gt;0,K8417/J8417,0)</f>
        <v>-0.299532517530593</v>
      </c>
    </row>
    <row r="8418" customFormat="false" ht="15" hidden="false" customHeight="false" outlineLevel="0" collapsed="false">
      <c r="A8418" s="15" t="s">
        <v>8475</v>
      </c>
      <c r="B8418" s="16" t="n">
        <v>45965</v>
      </c>
      <c r="C8418" s="15" t="s">
        <v>71</v>
      </c>
      <c r="D8418" s="15" t="s">
        <v>42</v>
      </c>
      <c r="E8418" s="15" t="s">
        <v>38</v>
      </c>
      <c r="F8418" s="15" t="s">
        <v>16</v>
      </c>
      <c r="G8418" s="15" t="s">
        <v>27</v>
      </c>
      <c r="H8418" s="15" t="n">
        <v>4</v>
      </c>
      <c r="I8418" s="17" t="n">
        <v>0</v>
      </c>
      <c r="J8418" s="18" t="n">
        <v>245.11</v>
      </c>
      <c r="K8418" s="19" t="n">
        <v>37.31</v>
      </c>
      <c r="L8418" s="15" t="n">
        <f aca="false">YEAR(B8418)</f>
        <v>2025</v>
      </c>
      <c r="M8418" s="20" t="n">
        <f aca="false">IF(J8418&gt;0,K8418/J8418,0)</f>
        <v>0.152217371792257</v>
      </c>
    </row>
    <row r="8419" customFormat="false" ht="15" hidden="false" customHeight="false" outlineLevel="0" collapsed="false">
      <c r="A8419" s="15" t="s">
        <v>8476</v>
      </c>
      <c r="B8419" s="16" t="n">
        <v>45007</v>
      </c>
      <c r="C8419" s="15" t="s">
        <v>68</v>
      </c>
      <c r="D8419" s="15" t="s">
        <v>43</v>
      </c>
      <c r="E8419" s="15" t="s">
        <v>37</v>
      </c>
      <c r="F8419" s="15" t="s">
        <v>17</v>
      </c>
      <c r="G8419" s="15" t="s">
        <v>28</v>
      </c>
      <c r="H8419" s="15" t="n">
        <v>5</v>
      </c>
      <c r="I8419" s="17" t="n">
        <v>0.1</v>
      </c>
      <c r="J8419" s="18" t="n">
        <v>134.39</v>
      </c>
      <c r="K8419" s="19" t="n">
        <v>27.56</v>
      </c>
      <c r="L8419" s="15" t="n">
        <f aca="false">YEAR(B8419)</f>
        <v>2023</v>
      </c>
      <c r="M8419" s="20" t="n">
        <f aca="false">IF(J8419&gt;0,K8419/J8419,0)</f>
        <v>0.205074782349877</v>
      </c>
    </row>
    <row r="8420" customFormat="false" ht="15" hidden="false" customHeight="false" outlineLevel="0" collapsed="false">
      <c r="A8420" s="15" t="s">
        <v>8477</v>
      </c>
      <c r="B8420" s="16" t="n">
        <v>44803</v>
      </c>
      <c r="C8420" s="15" t="s">
        <v>58</v>
      </c>
      <c r="D8420" s="15" t="s">
        <v>44</v>
      </c>
      <c r="E8420" s="15" t="s">
        <v>37</v>
      </c>
      <c r="F8420" s="15" t="s">
        <v>18</v>
      </c>
      <c r="G8420" s="15" t="s">
        <v>30</v>
      </c>
      <c r="H8420" s="15" t="n">
        <v>5</v>
      </c>
      <c r="I8420" s="17" t="n">
        <v>0.2</v>
      </c>
      <c r="J8420" s="18" t="n">
        <v>175.31</v>
      </c>
      <c r="K8420" s="19" t="n">
        <v>12.57</v>
      </c>
      <c r="L8420" s="15" t="n">
        <f aca="false">YEAR(B8420)</f>
        <v>2022</v>
      </c>
      <c r="M8420" s="20" t="n">
        <f aca="false">IF(J8420&gt;0,K8420/J8420,0)</f>
        <v>0.071701557241458</v>
      </c>
    </row>
    <row r="8421" customFormat="false" ht="15" hidden="false" customHeight="false" outlineLevel="0" collapsed="false">
      <c r="A8421" s="15" t="s">
        <v>8478</v>
      </c>
      <c r="B8421" s="16" t="n">
        <v>45496</v>
      </c>
      <c r="C8421" s="15" t="s">
        <v>56</v>
      </c>
      <c r="D8421" s="15" t="s">
        <v>44</v>
      </c>
      <c r="E8421" s="15" t="s">
        <v>36</v>
      </c>
      <c r="F8421" s="15" t="s">
        <v>17</v>
      </c>
      <c r="G8421" s="15" t="s">
        <v>29</v>
      </c>
      <c r="H8421" s="15" t="n">
        <v>2</v>
      </c>
      <c r="I8421" s="17" t="n">
        <v>0</v>
      </c>
      <c r="J8421" s="18" t="n">
        <v>38.39</v>
      </c>
      <c r="K8421" s="19" t="n">
        <v>18.11</v>
      </c>
      <c r="L8421" s="15" t="n">
        <f aca="false">YEAR(B8421)</f>
        <v>2024</v>
      </c>
      <c r="M8421" s="20" t="n">
        <f aca="false">IF(J8421&gt;0,K8421/J8421,0)</f>
        <v>0.471737431622818</v>
      </c>
    </row>
    <row r="8422" customFormat="false" ht="15" hidden="false" customHeight="false" outlineLevel="0" collapsed="false">
      <c r="A8422" s="15" t="s">
        <v>8479</v>
      </c>
      <c r="B8422" s="16" t="n">
        <v>45830</v>
      </c>
      <c r="C8422" s="15" t="s">
        <v>56</v>
      </c>
      <c r="D8422" s="15" t="s">
        <v>42</v>
      </c>
      <c r="E8422" s="15" t="s">
        <v>37</v>
      </c>
      <c r="F8422" s="15" t="s">
        <v>16</v>
      </c>
      <c r="G8422" s="15" t="s">
        <v>27</v>
      </c>
      <c r="H8422" s="15" t="n">
        <v>4</v>
      </c>
      <c r="I8422" s="17" t="n">
        <v>0</v>
      </c>
      <c r="J8422" s="18" t="n">
        <v>247.18</v>
      </c>
      <c r="K8422" s="19" t="n">
        <v>48.81</v>
      </c>
      <c r="L8422" s="15" t="n">
        <f aca="false">YEAR(B8422)</f>
        <v>2025</v>
      </c>
      <c r="M8422" s="20" t="n">
        <f aca="false">IF(J8422&gt;0,K8422/J8422,0)</f>
        <v>0.197467432640181</v>
      </c>
    </row>
    <row r="8423" customFormat="false" ht="15" hidden="false" customHeight="false" outlineLevel="0" collapsed="false">
      <c r="A8423" s="15" t="s">
        <v>8480</v>
      </c>
      <c r="B8423" s="16" t="n">
        <v>45829</v>
      </c>
      <c r="C8423" s="15" t="s">
        <v>68</v>
      </c>
      <c r="D8423" s="15" t="s">
        <v>42</v>
      </c>
      <c r="E8423" s="15" t="s">
        <v>38</v>
      </c>
      <c r="F8423" s="15" t="s">
        <v>17</v>
      </c>
      <c r="G8423" s="15" t="s">
        <v>28</v>
      </c>
      <c r="H8423" s="15" t="n">
        <v>5</v>
      </c>
      <c r="I8423" s="17" t="n">
        <v>0.05</v>
      </c>
      <c r="J8423" s="18" t="n">
        <v>108.63</v>
      </c>
      <c r="K8423" s="19" t="n">
        <v>30.2</v>
      </c>
      <c r="L8423" s="15" t="n">
        <f aca="false">YEAR(B8423)</f>
        <v>2025</v>
      </c>
      <c r="M8423" s="20" t="n">
        <f aca="false">IF(J8423&gt;0,K8423/J8423,0)</f>
        <v>0.278007916781736</v>
      </c>
    </row>
    <row r="8424" customFormat="false" ht="15" hidden="false" customHeight="false" outlineLevel="0" collapsed="false">
      <c r="A8424" s="15" t="s">
        <v>8481</v>
      </c>
      <c r="B8424" s="16" t="n">
        <v>45134</v>
      </c>
      <c r="C8424" s="15" t="s">
        <v>56</v>
      </c>
      <c r="D8424" s="15" t="s">
        <v>43</v>
      </c>
      <c r="E8424" s="15" t="s">
        <v>39</v>
      </c>
      <c r="F8424" s="15" t="s">
        <v>17</v>
      </c>
      <c r="G8424" s="15" t="s">
        <v>28</v>
      </c>
      <c r="H8424" s="15" t="n">
        <v>2</v>
      </c>
      <c r="I8424" s="17" t="n">
        <v>0</v>
      </c>
      <c r="J8424" s="18" t="n">
        <v>59.68</v>
      </c>
      <c r="K8424" s="19" t="n">
        <v>18.97</v>
      </c>
      <c r="L8424" s="15" t="n">
        <f aca="false">YEAR(B8424)</f>
        <v>2023</v>
      </c>
      <c r="M8424" s="20" t="n">
        <f aca="false">IF(J8424&gt;0,K8424/J8424,0)</f>
        <v>0.317861930294906</v>
      </c>
    </row>
    <row r="8425" customFormat="false" ht="15" hidden="false" customHeight="false" outlineLevel="0" collapsed="false">
      <c r="A8425" s="15" t="s">
        <v>8482</v>
      </c>
      <c r="B8425" s="16" t="n">
        <v>44564</v>
      </c>
      <c r="C8425" s="15" t="s">
        <v>71</v>
      </c>
      <c r="D8425" s="15" t="s">
        <v>43</v>
      </c>
      <c r="E8425" s="15" t="s">
        <v>39</v>
      </c>
      <c r="F8425" s="15" t="s">
        <v>18</v>
      </c>
      <c r="G8425" s="15" t="s">
        <v>32</v>
      </c>
      <c r="H8425" s="15" t="n">
        <v>4</v>
      </c>
      <c r="I8425" s="17" t="n">
        <v>0</v>
      </c>
      <c r="J8425" s="18" t="n">
        <v>1894.09</v>
      </c>
      <c r="K8425" s="19" t="n">
        <v>295.99</v>
      </c>
      <c r="L8425" s="15" t="n">
        <f aca="false">YEAR(B8425)</f>
        <v>2022</v>
      </c>
      <c r="M8425" s="20" t="n">
        <f aca="false">IF(J8425&gt;0,K8425/J8425,0)</f>
        <v>0.15627029338627</v>
      </c>
    </row>
    <row r="8426" customFormat="false" ht="15" hidden="false" customHeight="false" outlineLevel="0" collapsed="false">
      <c r="A8426" s="15" t="s">
        <v>8483</v>
      </c>
      <c r="B8426" s="16" t="n">
        <v>44926</v>
      </c>
      <c r="C8426" s="15" t="s">
        <v>71</v>
      </c>
      <c r="D8426" s="15" t="s">
        <v>42</v>
      </c>
      <c r="E8426" s="15" t="s">
        <v>37</v>
      </c>
      <c r="F8426" s="15" t="s">
        <v>18</v>
      </c>
      <c r="G8426" s="15" t="s">
        <v>30</v>
      </c>
      <c r="H8426" s="15" t="n">
        <v>5</v>
      </c>
      <c r="I8426" s="17" t="n">
        <v>0.15</v>
      </c>
      <c r="J8426" s="18" t="n">
        <v>223.48</v>
      </c>
      <c r="K8426" s="19" t="n">
        <v>43.01</v>
      </c>
      <c r="L8426" s="15" t="n">
        <f aca="false">YEAR(B8426)</f>
        <v>2022</v>
      </c>
      <c r="M8426" s="20" t="n">
        <f aca="false">IF(J8426&gt;0,K8426/J8426,0)</f>
        <v>0.192455700733846</v>
      </c>
    </row>
    <row r="8427" customFormat="false" ht="15" hidden="false" customHeight="false" outlineLevel="0" collapsed="false">
      <c r="A8427" s="15" t="s">
        <v>8484</v>
      </c>
      <c r="B8427" s="16" t="n">
        <v>45445</v>
      </c>
      <c r="C8427" s="15" t="s">
        <v>71</v>
      </c>
      <c r="D8427" s="15" t="s">
        <v>42</v>
      </c>
      <c r="E8427" s="15" t="s">
        <v>39</v>
      </c>
      <c r="F8427" s="15" t="s">
        <v>17</v>
      </c>
      <c r="G8427" s="15" t="s">
        <v>28</v>
      </c>
      <c r="H8427" s="15" t="n">
        <v>3</v>
      </c>
      <c r="I8427" s="17" t="n">
        <v>0.1</v>
      </c>
      <c r="J8427" s="18" t="n">
        <v>77.22</v>
      </c>
      <c r="K8427" s="19" t="n">
        <v>13.72</v>
      </c>
      <c r="L8427" s="15" t="n">
        <f aca="false">YEAR(B8427)</f>
        <v>2024</v>
      </c>
      <c r="M8427" s="20" t="n">
        <f aca="false">IF(J8427&gt;0,K8427/J8427,0)</f>
        <v>0.177674177674178</v>
      </c>
    </row>
    <row r="8428" customFormat="false" ht="15" hidden="false" customHeight="false" outlineLevel="0" collapsed="false">
      <c r="A8428" s="15" t="s">
        <v>8485</v>
      </c>
      <c r="B8428" s="16" t="n">
        <v>44633</v>
      </c>
      <c r="C8428" s="15" t="s">
        <v>56</v>
      </c>
      <c r="D8428" s="15" t="s">
        <v>43</v>
      </c>
      <c r="E8428" s="15" t="s">
        <v>39</v>
      </c>
      <c r="F8428" s="15" t="s">
        <v>18</v>
      </c>
      <c r="G8428" s="15" t="s">
        <v>33</v>
      </c>
      <c r="H8428" s="15" t="n">
        <v>2</v>
      </c>
      <c r="I8428" s="17" t="n">
        <v>0</v>
      </c>
      <c r="J8428" s="18" t="n">
        <v>1781.05</v>
      </c>
      <c r="K8428" s="19" t="n">
        <v>567.76</v>
      </c>
      <c r="L8428" s="15" t="n">
        <f aca="false">YEAR(B8428)</f>
        <v>2022</v>
      </c>
      <c r="M8428" s="20" t="n">
        <f aca="false">IF(J8428&gt;0,K8428/J8428,0)</f>
        <v>0.318778248785829</v>
      </c>
    </row>
    <row r="8429" customFormat="false" ht="15" hidden="false" customHeight="false" outlineLevel="0" collapsed="false">
      <c r="A8429" s="15" t="s">
        <v>8486</v>
      </c>
      <c r="B8429" s="16" t="n">
        <v>45771</v>
      </c>
      <c r="C8429" s="15" t="s">
        <v>56</v>
      </c>
      <c r="D8429" s="15" t="s">
        <v>42</v>
      </c>
      <c r="E8429" s="15" t="s">
        <v>38</v>
      </c>
      <c r="F8429" s="15" t="s">
        <v>17</v>
      </c>
      <c r="G8429" s="15" t="s">
        <v>26</v>
      </c>
      <c r="H8429" s="15" t="n">
        <v>5</v>
      </c>
      <c r="I8429" s="17" t="n">
        <v>0.5</v>
      </c>
      <c r="J8429" s="18" t="n">
        <v>183.4</v>
      </c>
      <c r="K8429" s="19" t="n">
        <v>-56.47</v>
      </c>
      <c r="L8429" s="15" t="n">
        <f aca="false">YEAR(B8429)</f>
        <v>2025</v>
      </c>
      <c r="M8429" s="20" t="n">
        <f aca="false">IF(J8429&gt;0,K8429/J8429,0)</f>
        <v>-0.307906215921483</v>
      </c>
    </row>
    <row r="8430" customFormat="false" ht="15" hidden="false" customHeight="false" outlineLevel="0" collapsed="false">
      <c r="A8430" s="15" t="s">
        <v>8487</v>
      </c>
      <c r="B8430" s="16" t="n">
        <v>45581</v>
      </c>
      <c r="C8430" s="15" t="s">
        <v>71</v>
      </c>
      <c r="D8430" s="15" t="s">
        <v>42</v>
      </c>
      <c r="E8430" s="15" t="s">
        <v>38</v>
      </c>
      <c r="F8430" s="15" t="s">
        <v>18</v>
      </c>
      <c r="G8430" s="15" t="s">
        <v>30</v>
      </c>
      <c r="H8430" s="15" t="n">
        <v>3</v>
      </c>
      <c r="I8430" s="17" t="n">
        <v>0</v>
      </c>
      <c r="J8430" s="18" t="n">
        <v>99.07</v>
      </c>
      <c r="K8430" s="19" t="n">
        <v>30.96</v>
      </c>
      <c r="L8430" s="15" t="n">
        <f aca="false">YEAR(B8430)</f>
        <v>2024</v>
      </c>
      <c r="M8430" s="20" t="n">
        <f aca="false">IF(J8430&gt;0,K8430/J8430,0)</f>
        <v>0.312506308670637</v>
      </c>
    </row>
    <row r="8431" customFormat="false" ht="15" hidden="false" customHeight="false" outlineLevel="0" collapsed="false">
      <c r="A8431" s="15" t="s">
        <v>8488</v>
      </c>
      <c r="B8431" s="16" t="n">
        <v>45207</v>
      </c>
      <c r="C8431" s="15" t="s">
        <v>56</v>
      </c>
      <c r="D8431" s="15" t="s">
        <v>42</v>
      </c>
      <c r="E8431" s="15" t="s">
        <v>37</v>
      </c>
      <c r="F8431" s="15" t="s">
        <v>16</v>
      </c>
      <c r="G8431" s="15" t="s">
        <v>27</v>
      </c>
      <c r="H8431" s="15" t="n">
        <v>1</v>
      </c>
      <c r="I8431" s="17" t="n">
        <v>0.05</v>
      </c>
      <c r="J8431" s="18" t="n">
        <v>67.71</v>
      </c>
      <c r="K8431" s="19" t="n">
        <v>14.13</v>
      </c>
      <c r="L8431" s="15" t="n">
        <f aca="false">YEAR(B8431)</f>
        <v>2023</v>
      </c>
      <c r="M8431" s="20" t="n">
        <f aca="false">IF(J8431&gt;0,K8431/J8431,0)</f>
        <v>0.208684093929996</v>
      </c>
    </row>
    <row r="8432" customFormat="false" ht="15" hidden="false" customHeight="false" outlineLevel="0" collapsed="false">
      <c r="A8432" s="15" t="s">
        <v>8489</v>
      </c>
      <c r="B8432" s="16" t="n">
        <v>45874</v>
      </c>
      <c r="C8432" s="15" t="s">
        <v>56</v>
      </c>
      <c r="D8432" s="15" t="s">
        <v>42</v>
      </c>
      <c r="E8432" s="15" t="s">
        <v>36</v>
      </c>
      <c r="F8432" s="15" t="s">
        <v>18</v>
      </c>
      <c r="G8432" s="15" t="s">
        <v>30</v>
      </c>
      <c r="H8432" s="15" t="n">
        <v>3</v>
      </c>
      <c r="I8432" s="17" t="n">
        <v>0</v>
      </c>
      <c r="J8432" s="18" t="n">
        <v>153.86</v>
      </c>
      <c r="K8432" s="19" t="n">
        <v>46.08</v>
      </c>
      <c r="L8432" s="15" t="n">
        <f aca="false">YEAR(B8432)</f>
        <v>2025</v>
      </c>
      <c r="M8432" s="20" t="n">
        <f aca="false">IF(J8432&gt;0,K8432/J8432,0)</f>
        <v>0.299493045625894</v>
      </c>
    </row>
    <row r="8433" customFormat="false" ht="15" hidden="false" customHeight="false" outlineLevel="0" collapsed="false">
      <c r="A8433" s="15" t="s">
        <v>8490</v>
      </c>
      <c r="B8433" s="16" t="n">
        <v>44892</v>
      </c>
      <c r="C8433" s="15" t="s">
        <v>56</v>
      </c>
      <c r="D8433" s="15" t="s">
        <v>42</v>
      </c>
      <c r="E8433" s="15" t="s">
        <v>37</v>
      </c>
      <c r="F8433" s="15" t="s">
        <v>16</v>
      </c>
      <c r="G8433" s="15" t="s">
        <v>27</v>
      </c>
      <c r="H8433" s="15" t="n">
        <v>5</v>
      </c>
      <c r="I8433" s="17" t="n">
        <v>0.4</v>
      </c>
      <c r="J8433" s="18" t="n">
        <v>186.41</v>
      </c>
      <c r="K8433" s="19" t="n">
        <v>-32.53</v>
      </c>
      <c r="L8433" s="15" t="n">
        <f aca="false">YEAR(B8433)</f>
        <v>2022</v>
      </c>
      <c r="M8433" s="20" t="n">
        <f aca="false">IF(J8433&gt;0,K8433/J8433,0)</f>
        <v>-0.174507805375248</v>
      </c>
    </row>
    <row r="8434" customFormat="false" ht="15" hidden="false" customHeight="false" outlineLevel="0" collapsed="false">
      <c r="A8434" s="15" t="s">
        <v>8491</v>
      </c>
      <c r="B8434" s="16" t="n">
        <v>44785</v>
      </c>
      <c r="C8434" s="15" t="s">
        <v>56</v>
      </c>
      <c r="D8434" s="15" t="s">
        <v>42</v>
      </c>
      <c r="E8434" s="15" t="s">
        <v>39</v>
      </c>
      <c r="F8434" s="15" t="s">
        <v>18</v>
      </c>
      <c r="G8434" s="15" t="s">
        <v>30</v>
      </c>
      <c r="H8434" s="15" t="n">
        <v>4</v>
      </c>
      <c r="I8434" s="17" t="n">
        <v>0.05</v>
      </c>
      <c r="J8434" s="18" t="n">
        <v>195.55</v>
      </c>
      <c r="K8434" s="19" t="n">
        <v>48.48</v>
      </c>
      <c r="L8434" s="15" t="n">
        <f aca="false">YEAR(B8434)</f>
        <v>2022</v>
      </c>
      <c r="M8434" s="20" t="n">
        <f aca="false">IF(J8434&gt;0,K8434/J8434,0)</f>
        <v>0.247916133981079</v>
      </c>
    </row>
    <row r="8435" customFormat="false" ht="15" hidden="false" customHeight="false" outlineLevel="0" collapsed="false">
      <c r="A8435" s="15" t="s">
        <v>8492</v>
      </c>
      <c r="B8435" s="16" t="n">
        <v>45114</v>
      </c>
      <c r="C8435" s="15" t="s">
        <v>58</v>
      </c>
      <c r="D8435" s="15" t="s">
        <v>42</v>
      </c>
      <c r="E8435" s="15" t="s">
        <v>36</v>
      </c>
      <c r="F8435" s="15" t="s">
        <v>17</v>
      </c>
      <c r="G8435" s="15" t="s">
        <v>31</v>
      </c>
      <c r="H8435" s="15" t="n">
        <v>2</v>
      </c>
      <c r="I8435" s="17" t="n">
        <v>0.15</v>
      </c>
      <c r="J8435" s="18" t="n">
        <v>199.68</v>
      </c>
      <c r="K8435" s="19" t="n">
        <v>11.31</v>
      </c>
      <c r="L8435" s="15" t="n">
        <f aca="false">YEAR(B8435)</f>
        <v>2023</v>
      </c>
      <c r="M8435" s="20" t="n">
        <f aca="false">IF(J8435&gt;0,K8435/J8435,0)</f>
        <v>0.056640625</v>
      </c>
    </row>
    <row r="8436" customFormat="false" ht="15" hidden="false" customHeight="false" outlineLevel="0" collapsed="false">
      <c r="A8436" s="15" t="s">
        <v>8493</v>
      </c>
      <c r="B8436" s="16" t="n">
        <v>45901</v>
      </c>
      <c r="C8436" s="15" t="s">
        <v>58</v>
      </c>
      <c r="D8436" s="15" t="s">
        <v>43</v>
      </c>
      <c r="E8436" s="15" t="s">
        <v>39</v>
      </c>
      <c r="F8436" s="15" t="s">
        <v>16</v>
      </c>
      <c r="G8436" s="15" t="s">
        <v>22</v>
      </c>
      <c r="H8436" s="15" t="n">
        <v>3</v>
      </c>
      <c r="I8436" s="17" t="n">
        <v>0.15</v>
      </c>
      <c r="J8436" s="18" t="n">
        <v>1459.73</v>
      </c>
      <c r="K8436" s="19" t="n">
        <v>-197.88</v>
      </c>
      <c r="L8436" s="15" t="n">
        <f aca="false">YEAR(B8436)</f>
        <v>2025</v>
      </c>
      <c r="M8436" s="20" t="n">
        <f aca="false">IF(J8436&gt;0,K8436/J8436,0)</f>
        <v>-0.135559315763874</v>
      </c>
    </row>
    <row r="8437" customFormat="false" ht="15" hidden="false" customHeight="false" outlineLevel="0" collapsed="false">
      <c r="A8437" s="15" t="s">
        <v>8494</v>
      </c>
      <c r="B8437" s="16" t="n">
        <v>45631</v>
      </c>
      <c r="C8437" s="15" t="s">
        <v>68</v>
      </c>
      <c r="D8437" s="15" t="s">
        <v>42</v>
      </c>
      <c r="E8437" s="15" t="s">
        <v>38</v>
      </c>
      <c r="F8437" s="15" t="s">
        <v>17</v>
      </c>
      <c r="G8437" s="15" t="s">
        <v>29</v>
      </c>
      <c r="H8437" s="15" t="n">
        <v>5</v>
      </c>
      <c r="I8437" s="17" t="n">
        <v>0.5</v>
      </c>
      <c r="J8437" s="18" t="n">
        <v>36.42</v>
      </c>
      <c r="K8437" s="19" t="n">
        <v>-3.48</v>
      </c>
      <c r="L8437" s="15" t="n">
        <f aca="false">YEAR(B8437)</f>
        <v>2024</v>
      </c>
      <c r="M8437" s="20" t="n">
        <f aca="false">IF(J8437&gt;0,K8437/J8437,0)</f>
        <v>-0.0955518945634267</v>
      </c>
    </row>
    <row r="8438" customFormat="false" ht="15" hidden="false" customHeight="false" outlineLevel="0" collapsed="false">
      <c r="A8438" s="15" t="s">
        <v>8495</v>
      </c>
      <c r="B8438" s="16" t="n">
        <v>45529</v>
      </c>
      <c r="C8438" s="15" t="s">
        <v>56</v>
      </c>
      <c r="D8438" s="15" t="s">
        <v>42</v>
      </c>
      <c r="E8438" s="15" t="s">
        <v>37</v>
      </c>
      <c r="F8438" s="15" t="s">
        <v>17</v>
      </c>
      <c r="G8438" s="15" t="s">
        <v>28</v>
      </c>
      <c r="H8438" s="15" t="n">
        <v>5</v>
      </c>
      <c r="I8438" s="17" t="n">
        <v>0.1</v>
      </c>
      <c r="J8438" s="18" t="n">
        <v>132.98</v>
      </c>
      <c r="K8438" s="19" t="n">
        <v>31.27</v>
      </c>
      <c r="L8438" s="15" t="n">
        <f aca="false">YEAR(B8438)</f>
        <v>2024</v>
      </c>
      <c r="M8438" s="20" t="n">
        <f aca="false">IF(J8438&gt;0,K8438/J8438,0)</f>
        <v>0.235148142577831</v>
      </c>
    </row>
    <row r="8439" customFormat="false" ht="15" hidden="false" customHeight="false" outlineLevel="0" collapsed="false">
      <c r="A8439" s="15" t="s">
        <v>8496</v>
      </c>
      <c r="B8439" s="16" t="n">
        <v>45815</v>
      </c>
      <c r="C8439" s="15" t="s">
        <v>68</v>
      </c>
      <c r="D8439" s="15" t="s">
        <v>43</v>
      </c>
      <c r="E8439" s="15" t="s">
        <v>39</v>
      </c>
      <c r="F8439" s="15" t="s">
        <v>17</v>
      </c>
      <c r="G8439" s="15" t="s">
        <v>26</v>
      </c>
      <c r="H8439" s="15" t="n">
        <v>3</v>
      </c>
      <c r="I8439" s="17" t="n">
        <v>0</v>
      </c>
      <c r="J8439" s="18" t="n">
        <v>320.32</v>
      </c>
      <c r="K8439" s="19" t="n">
        <v>54.9</v>
      </c>
      <c r="L8439" s="15" t="n">
        <f aca="false">YEAR(B8439)</f>
        <v>2025</v>
      </c>
      <c r="M8439" s="20" t="n">
        <f aca="false">IF(J8439&gt;0,K8439/J8439,0)</f>
        <v>0.171391108891109</v>
      </c>
    </row>
    <row r="8440" customFormat="false" ht="15" hidden="false" customHeight="false" outlineLevel="0" collapsed="false">
      <c r="A8440" s="15" t="s">
        <v>8497</v>
      </c>
      <c r="B8440" s="16" t="n">
        <v>45784</v>
      </c>
      <c r="C8440" s="15" t="s">
        <v>56</v>
      </c>
      <c r="D8440" s="15" t="s">
        <v>44</v>
      </c>
      <c r="E8440" s="15" t="s">
        <v>39</v>
      </c>
      <c r="F8440" s="15" t="s">
        <v>16</v>
      </c>
      <c r="G8440" s="15" t="s">
        <v>22</v>
      </c>
      <c r="H8440" s="15" t="n">
        <v>2</v>
      </c>
      <c r="I8440" s="17" t="n">
        <v>0.15</v>
      </c>
      <c r="J8440" s="18" t="n">
        <v>892.73</v>
      </c>
      <c r="K8440" s="19" t="n">
        <v>-127.77</v>
      </c>
      <c r="L8440" s="15" t="n">
        <f aca="false">YEAR(B8440)</f>
        <v>2025</v>
      </c>
      <c r="M8440" s="20" t="n">
        <f aca="false">IF(J8440&gt;0,K8440/J8440,0)</f>
        <v>-0.143122780683969</v>
      </c>
    </row>
    <row r="8441" customFormat="false" ht="15" hidden="false" customHeight="false" outlineLevel="0" collapsed="false">
      <c r="A8441" s="15" t="s">
        <v>8498</v>
      </c>
      <c r="B8441" s="16" t="n">
        <v>45620</v>
      </c>
      <c r="C8441" s="15" t="s">
        <v>56</v>
      </c>
      <c r="D8441" s="15" t="s">
        <v>42</v>
      </c>
      <c r="E8441" s="15" t="s">
        <v>36</v>
      </c>
      <c r="F8441" s="15" t="s">
        <v>18</v>
      </c>
      <c r="G8441" s="15" t="s">
        <v>30</v>
      </c>
      <c r="H8441" s="15" t="n">
        <v>5</v>
      </c>
      <c r="I8441" s="17" t="n">
        <v>0.5</v>
      </c>
      <c r="J8441" s="18" t="n">
        <v>101.46</v>
      </c>
      <c r="K8441" s="19" t="n">
        <v>-16.36</v>
      </c>
      <c r="L8441" s="15" t="n">
        <f aca="false">YEAR(B8441)</f>
        <v>2024</v>
      </c>
      <c r="M8441" s="20" t="n">
        <f aca="false">IF(J8441&gt;0,K8441/J8441,0)</f>
        <v>-0.161245811157106</v>
      </c>
    </row>
    <row r="8442" customFormat="false" ht="15" hidden="false" customHeight="false" outlineLevel="0" collapsed="false">
      <c r="A8442" s="15" t="s">
        <v>8499</v>
      </c>
      <c r="B8442" s="16" t="n">
        <v>45267</v>
      </c>
      <c r="C8442" s="15" t="s">
        <v>56</v>
      </c>
      <c r="D8442" s="15" t="s">
        <v>42</v>
      </c>
      <c r="E8442" s="15" t="s">
        <v>39</v>
      </c>
      <c r="F8442" s="15" t="s">
        <v>18</v>
      </c>
      <c r="G8442" s="15" t="s">
        <v>32</v>
      </c>
      <c r="H8442" s="15" t="n">
        <v>3</v>
      </c>
      <c r="I8442" s="17" t="n">
        <v>0</v>
      </c>
      <c r="J8442" s="18" t="n">
        <v>1233.26</v>
      </c>
      <c r="K8442" s="19" t="n">
        <v>249.5</v>
      </c>
      <c r="L8442" s="15" t="n">
        <f aca="false">YEAR(B8442)</f>
        <v>2023</v>
      </c>
      <c r="M8442" s="20" t="n">
        <f aca="false">IF(J8442&gt;0,K8442/J8442,0)</f>
        <v>0.202309326500495</v>
      </c>
    </row>
    <row r="8443" customFormat="false" ht="15" hidden="false" customHeight="false" outlineLevel="0" collapsed="false">
      <c r="A8443" s="15" t="s">
        <v>8500</v>
      </c>
      <c r="B8443" s="16" t="n">
        <v>45449</v>
      </c>
      <c r="C8443" s="15" t="s">
        <v>68</v>
      </c>
      <c r="D8443" s="15" t="s">
        <v>42</v>
      </c>
      <c r="E8443" s="15" t="s">
        <v>39</v>
      </c>
      <c r="F8443" s="15" t="s">
        <v>17</v>
      </c>
      <c r="G8443" s="15" t="s">
        <v>29</v>
      </c>
      <c r="H8443" s="15" t="n">
        <v>2</v>
      </c>
      <c r="I8443" s="17" t="n">
        <v>0.15</v>
      </c>
      <c r="J8443" s="18" t="n">
        <v>25.3</v>
      </c>
      <c r="K8443" s="19" t="n">
        <v>5.55</v>
      </c>
      <c r="L8443" s="15" t="n">
        <f aca="false">YEAR(B8443)</f>
        <v>2024</v>
      </c>
      <c r="M8443" s="20" t="n">
        <f aca="false">IF(J8443&gt;0,K8443/J8443,0)</f>
        <v>0.219367588932806</v>
      </c>
    </row>
    <row r="8444" customFormat="false" ht="15" hidden="false" customHeight="false" outlineLevel="0" collapsed="false">
      <c r="A8444" s="15" t="s">
        <v>8501</v>
      </c>
      <c r="B8444" s="16" t="n">
        <v>45473</v>
      </c>
      <c r="C8444" s="15" t="s">
        <v>56</v>
      </c>
      <c r="D8444" s="15" t="s">
        <v>44</v>
      </c>
      <c r="E8444" s="15" t="s">
        <v>37</v>
      </c>
      <c r="F8444" s="15" t="s">
        <v>17</v>
      </c>
      <c r="G8444" s="15" t="s">
        <v>26</v>
      </c>
      <c r="H8444" s="15" t="n">
        <v>5</v>
      </c>
      <c r="I8444" s="17" t="n">
        <v>0</v>
      </c>
      <c r="J8444" s="18" t="n">
        <v>480.54</v>
      </c>
      <c r="K8444" s="19" t="n">
        <v>51.63</v>
      </c>
      <c r="L8444" s="15" t="n">
        <f aca="false">YEAR(B8444)</f>
        <v>2024</v>
      </c>
      <c r="M8444" s="20" t="n">
        <f aca="false">IF(J8444&gt;0,K8444/J8444,0)</f>
        <v>0.107441628168311</v>
      </c>
    </row>
    <row r="8445" customFormat="false" ht="15" hidden="false" customHeight="false" outlineLevel="0" collapsed="false">
      <c r="A8445" s="15" t="s">
        <v>8502</v>
      </c>
      <c r="B8445" s="16" t="n">
        <v>44694</v>
      </c>
      <c r="C8445" s="15" t="s">
        <v>56</v>
      </c>
      <c r="D8445" s="15" t="s">
        <v>42</v>
      </c>
      <c r="E8445" s="15" t="s">
        <v>39</v>
      </c>
      <c r="F8445" s="15" t="s">
        <v>18</v>
      </c>
      <c r="G8445" s="15" t="s">
        <v>30</v>
      </c>
      <c r="H8445" s="15" t="n">
        <v>5</v>
      </c>
      <c r="I8445" s="17" t="n">
        <v>0</v>
      </c>
      <c r="J8445" s="18" t="n">
        <v>338.16</v>
      </c>
      <c r="K8445" s="19" t="n">
        <v>107.96</v>
      </c>
      <c r="L8445" s="15" t="n">
        <f aca="false">YEAR(B8445)</f>
        <v>2022</v>
      </c>
      <c r="M8445" s="20" t="n">
        <f aca="false">IF(J8445&gt;0,K8445/J8445,0)</f>
        <v>0.31925715637568</v>
      </c>
    </row>
    <row r="8446" customFormat="false" ht="15" hidden="false" customHeight="false" outlineLevel="0" collapsed="false">
      <c r="A8446" s="15" t="s">
        <v>8503</v>
      </c>
      <c r="B8446" s="16" t="n">
        <v>45839</v>
      </c>
      <c r="C8446" s="15" t="s">
        <v>56</v>
      </c>
      <c r="D8446" s="15" t="s">
        <v>44</v>
      </c>
      <c r="E8446" s="15" t="s">
        <v>39</v>
      </c>
      <c r="F8446" s="15" t="s">
        <v>18</v>
      </c>
      <c r="G8446" s="15" t="s">
        <v>33</v>
      </c>
      <c r="H8446" s="15" t="n">
        <v>4</v>
      </c>
      <c r="I8446" s="17" t="n">
        <v>0</v>
      </c>
      <c r="J8446" s="18" t="n">
        <v>3263.49</v>
      </c>
      <c r="K8446" s="19" t="n">
        <v>910.35</v>
      </c>
      <c r="L8446" s="15" t="n">
        <f aca="false">YEAR(B8446)</f>
        <v>2025</v>
      </c>
      <c r="M8446" s="20" t="n">
        <f aca="false">IF(J8446&gt;0,K8446/J8446,0)</f>
        <v>0.278949835911861</v>
      </c>
    </row>
    <row r="8447" customFormat="false" ht="15" hidden="false" customHeight="false" outlineLevel="0" collapsed="false">
      <c r="A8447" s="15" t="s">
        <v>8504</v>
      </c>
      <c r="B8447" s="16" t="n">
        <v>45107</v>
      </c>
      <c r="C8447" s="15" t="s">
        <v>71</v>
      </c>
      <c r="D8447" s="15" t="s">
        <v>42</v>
      </c>
      <c r="E8447" s="15" t="s">
        <v>38</v>
      </c>
      <c r="F8447" s="15" t="s">
        <v>17</v>
      </c>
      <c r="G8447" s="15" t="s">
        <v>26</v>
      </c>
      <c r="H8447" s="15" t="n">
        <v>7</v>
      </c>
      <c r="I8447" s="17" t="n">
        <v>0</v>
      </c>
      <c r="J8447" s="18" t="n">
        <v>464.35</v>
      </c>
      <c r="K8447" s="19" t="n">
        <v>68.4</v>
      </c>
      <c r="L8447" s="15" t="n">
        <f aca="false">YEAR(B8447)</f>
        <v>2023</v>
      </c>
      <c r="M8447" s="20" t="n">
        <f aca="false">IF(J8447&gt;0,K8447/J8447,0)</f>
        <v>0.147302681167223</v>
      </c>
    </row>
    <row r="8448" customFormat="false" ht="15" hidden="false" customHeight="false" outlineLevel="0" collapsed="false">
      <c r="A8448" s="15" t="s">
        <v>8505</v>
      </c>
      <c r="B8448" s="16" t="n">
        <v>45262</v>
      </c>
      <c r="C8448" s="15" t="s">
        <v>56</v>
      </c>
      <c r="D8448" s="15" t="s">
        <v>43</v>
      </c>
      <c r="E8448" s="15" t="s">
        <v>37</v>
      </c>
      <c r="F8448" s="15" t="s">
        <v>18</v>
      </c>
      <c r="G8448" s="15" t="s">
        <v>24</v>
      </c>
      <c r="H8448" s="15" t="n">
        <v>2</v>
      </c>
      <c r="I8448" s="17" t="n">
        <v>0.05</v>
      </c>
      <c r="J8448" s="18" t="n">
        <v>1070.31</v>
      </c>
      <c r="K8448" s="19" t="n">
        <v>27.94</v>
      </c>
      <c r="L8448" s="15" t="n">
        <f aca="false">YEAR(B8448)</f>
        <v>2023</v>
      </c>
      <c r="M8448" s="20" t="n">
        <f aca="false">IF(J8448&gt;0,K8448/J8448,0)</f>
        <v>0.026104586521662</v>
      </c>
    </row>
    <row r="8449" customFormat="false" ht="15" hidden="false" customHeight="false" outlineLevel="0" collapsed="false">
      <c r="A8449" s="15" t="s">
        <v>8506</v>
      </c>
      <c r="B8449" s="16" t="n">
        <v>45737</v>
      </c>
      <c r="C8449" s="15" t="s">
        <v>56</v>
      </c>
      <c r="D8449" s="15" t="s">
        <v>43</v>
      </c>
      <c r="E8449" s="15" t="s">
        <v>38</v>
      </c>
      <c r="F8449" s="15" t="s">
        <v>17</v>
      </c>
      <c r="G8449" s="15" t="s">
        <v>29</v>
      </c>
      <c r="H8449" s="15" t="n">
        <v>5</v>
      </c>
      <c r="I8449" s="17" t="n">
        <v>0.2</v>
      </c>
      <c r="J8449" s="18" t="n">
        <v>51.99</v>
      </c>
      <c r="K8449" s="19" t="n">
        <v>10.23</v>
      </c>
      <c r="L8449" s="15" t="n">
        <f aca="false">YEAR(B8449)</f>
        <v>2025</v>
      </c>
      <c r="M8449" s="20" t="n">
        <f aca="false">IF(J8449&gt;0,K8449/J8449,0)</f>
        <v>0.196768609347952</v>
      </c>
    </row>
    <row r="8450" customFormat="false" ht="15" hidden="false" customHeight="false" outlineLevel="0" collapsed="false">
      <c r="A8450" s="15" t="s">
        <v>8507</v>
      </c>
      <c r="B8450" s="16" t="n">
        <v>45389</v>
      </c>
      <c r="C8450" s="15" t="s">
        <v>56</v>
      </c>
      <c r="D8450" s="15" t="s">
        <v>43</v>
      </c>
      <c r="E8450" s="15" t="s">
        <v>39</v>
      </c>
      <c r="F8450" s="15" t="s">
        <v>18</v>
      </c>
      <c r="G8450" s="15" t="s">
        <v>30</v>
      </c>
      <c r="H8450" s="15" t="n">
        <v>3</v>
      </c>
      <c r="I8450" s="17" t="n">
        <v>0.4</v>
      </c>
      <c r="J8450" s="18" t="n">
        <v>92.55</v>
      </c>
      <c r="K8450" s="19" t="n">
        <v>-6.79</v>
      </c>
      <c r="L8450" s="15" t="n">
        <f aca="false">YEAR(B8450)</f>
        <v>2024</v>
      </c>
      <c r="M8450" s="20" t="n">
        <f aca="false">IF(J8450&gt;0,K8450/J8450,0)</f>
        <v>-0.0733657482441923</v>
      </c>
    </row>
    <row r="8451" customFormat="false" ht="15" hidden="false" customHeight="false" outlineLevel="0" collapsed="false">
      <c r="A8451" s="15" t="s">
        <v>8508</v>
      </c>
      <c r="B8451" s="16" t="n">
        <v>44723</v>
      </c>
      <c r="C8451" s="15" t="s">
        <v>56</v>
      </c>
      <c r="D8451" s="15" t="s">
        <v>44</v>
      </c>
      <c r="E8451" s="15" t="s">
        <v>38</v>
      </c>
      <c r="F8451" s="15" t="s">
        <v>17</v>
      </c>
      <c r="G8451" s="15" t="s">
        <v>31</v>
      </c>
      <c r="H8451" s="15" t="n">
        <v>5</v>
      </c>
      <c r="I8451" s="17" t="n">
        <v>0</v>
      </c>
      <c r="J8451" s="18" t="n">
        <v>701.05</v>
      </c>
      <c r="K8451" s="19" t="n">
        <v>114.58</v>
      </c>
      <c r="L8451" s="15" t="n">
        <f aca="false">YEAR(B8451)</f>
        <v>2022</v>
      </c>
      <c r="M8451" s="20" t="n">
        <f aca="false">IF(J8451&gt;0,K8451/J8451,0)</f>
        <v>0.163440553455531</v>
      </c>
    </row>
    <row r="8452" customFormat="false" ht="15" hidden="false" customHeight="false" outlineLevel="0" collapsed="false">
      <c r="A8452" s="15" t="s">
        <v>8509</v>
      </c>
      <c r="B8452" s="16" t="n">
        <v>45854</v>
      </c>
      <c r="C8452" s="15" t="s">
        <v>56</v>
      </c>
      <c r="D8452" s="15" t="s">
        <v>43</v>
      </c>
      <c r="E8452" s="15" t="s">
        <v>39</v>
      </c>
      <c r="F8452" s="15" t="s">
        <v>16</v>
      </c>
      <c r="G8452" s="15" t="s">
        <v>22</v>
      </c>
      <c r="H8452" s="15" t="n">
        <v>4</v>
      </c>
      <c r="I8452" s="17" t="n">
        <v>0.3</v>
      </c>
      <c r="J8452" s="18" t="n">
        <v>1898.99</v>
      </c>
      <c r="K8452" s="19" t="n">
        <v>-522.99</v>
      </c>
      <c r="L8452" s="15" t="n">
        <f aca="false">YEAR(B8452)</f>
        <v>2025</v>
      </c>
      <c r="M8452" s="20" t="n">
        <f aca="false">IF(J8452&gt;0,K8452/J8452,0)</f>
        <v>-0.275404293861474</v>
      </c>
    </row>
    <row r="8453" customFormat="false" ht="15" hidden="false" customHeight="false" outlineLevel="0" collapsed="false">
      <c r="A8453" s="15" t="s">
        <v>8510</v>
      </c>
      <c r="B8453" s="16" t="n">
        <v>45484</v>
      </c>
      <c r="C8453" s="15" t="s">
        <v>56</v>
      </c>
      <c r="D8453" s="15" t="s">
        <v>42</v>
      </c>
      <c r="E8453" s="15" t="s">
        <v>36</v>
      </c>
      <c r="F8453" s="15" t="s">
        <v>16</v>
      </c>
      <c r="G8453" s="15" t="s">
        <v>27</v>
      </c>
      <c r="H8453" s="15" t="n">
        <v>2</v>
      </c>
      <c r="I8453" s="17" t="n">
        <v>0</v>
      </c>
      <c r="J8453" s="18" t="n">
        <v>87.46</v>
      </c>
      <c r="K8453" s="19" t="n">
        <v>21.32</v>
      </c>
      <c r="L8453" s="15" t="n">
        <f aca="false">YEAR(B8453)</f>
        <v>2024</v>
      </c>
      <c r="M8453" s="20" t="n">
        <f aca="false">IF(J8453&gt;0,K8453/J8453,0)</f>
        <v>0.24376857992225</v>
      </c>
    </row>
    <row r="8454" customFormat="false" ht="15" hidden="false" customHeight="false" outlineLevel="0" collapsed="false">
      <c r="A8454" s="15" t="s">
        <v>8511</v>
      </c>
      <c r="B8454" s="16" t="n">
        <v>44862</v>
      </c>
      <c r="C8454" s="15" t="s">
        <v>71</v>
      </c>
      <c r="D8454" s="15" t="s">
        <v>43</v>
      </c>
      <c r="E8454" s="15" t="s">
        <v>39</v>
      </c>
      <c r="F8454" s="15" t="s">
        <v>17</v>
      </c>
      <c r="G8454" s="15" t="s">
        <v>29</v>
      </c>
      <c r="H8454" s="15" t="n">
        <v>5</v>
      </c>
      <c r="I8454" s="17" t="n">
        <v>0</v>
      </c>
      <c r="J8454" s="18" t="n">
        <v>108.07</v>
      </c>
      <c r="K8454" s="19" t="n">
        <v>39.63</v>
      </c>
      <c r="L8454" s="15" t="n">
        <f aca="false">YEAR(B8454)</f>
        <v>2022</v>
      </c>
      <c r="M8454" s="20" t="n">
        <f aca="false">IF(J8454&gt;0,K8454/J8454,0)</f>
        <v>0.366706764134357</v>
      </c>
    </row>
    <row r="8455" customFormat="false" ht="15" hidden="false" customHeight="false" outlineLevel="0" collapsed="false">
      <c r="A8455" s="15" t="s">
        <v>8512</v>
      </c>
      <c r="B8455" s="16" t="n">
        <v>45785</v>
      </c>
      <c r="C8455" s="15" t="s">
        <v>68</v>
      </c>
      <c r="D8455" s="15" t="s">
        <v>44</v>
      </c>
      <c r="E8455" s="15" t="s">
        <v>39</v>
      </c>
      <c r="F8455" s="15" t="s">
        <v>18</v>
      </c>
      <c r="G8455" s="15" t="s">
        <v>32</v>
      </c>
      <c r="H8455" s="15" t="n">
        <v>2</v>
      </c>
      <c r="I8455" s="17" t="n">
        <v>0</v>
      </c>
      <c r="J8455" s="18" t="n">
        <v>950.82</v>
      </c>
      <c r="K8455" s="19" t="n">
        <v>202.74</v>
      </c>
      <c r="L8455" s="15" t="n">
        <f aca="false">YEAR(B8455)</f>
        <v>2025</v>
      </c>
      <c r="M8455" s="20" t="n">
        <f aca="false">IF(J8455&gt;0,K8455/J8455,0)</f>
        <v>0.213226478197766</v>
      </c>
    </row>
    <row r="8456" customFormat="false" ht="15" hidden="false" customHeight="false" outlineLevel="0" collapsed="false">
      <c r="A8456" s="15" t="s">
        <v>8513</v>
      </c>
      <c r="B8456" s="16" t="n">
        <v>46007</v>
      </c>
      <c r="C8456" s="15" t="s">
        <v>56</v>
      </c>
      <c r="D8456" s="15" t="s">
        <v>43</v>
      </c>
      <c r="E8456" s="15" t="s">
        <v>37</v>
      </c>
      <c r="F8456" s="15" t="s">
        <v>18</v>
      </c>
      <c r="G8456" s="15" t="s">
        <v>32</v>
      </c>
      <c r="H8456" s="15" t="n">
        <v>4</v>
      </c>
      <c r="I8456" s="17" t="n">
        <v>0</v>
      </c>
      <c r="J8456" s="18" t="n">
        <v>2002.97</v>
      </c>
      <c r="K8456" s="19" t="n">
        <v>415.6</v>
      </c>
      <c r="L8456" s="15" t="n">
        <f aca="false">YEAR(B8456)</f>
        <v>2025</v>
      </c>
      <c r="M8456" s="20" t="n">
        <f aca="false">IF(J8456&gt;0,K8456/J8456,0)</f>
        <v>0.207491874566269</v>
      </c>
    </row>
    <row r="8457" customFormat="false" ht="15" hidden="false" customHeight="false" outlineLevel="0" collapsed="false">
      <c r="A8457" s="15" t="s">
        <v>8514</v>
      </c>
      <c r="B8457" s="16" t="n">
        <v>45099</v>
      </c>
      <c r="C8457" s="15" t="s">
        <v>68</v>
      </c>
      <c r="D8457" s="15" t="s">
        <v>43</v>
      </c>
      <c r="E8457" s="15" t="s">
        <v>36</v>
      </c>
      <c r="F8457" s="15" t="s">
        <v>17</v>
      </c>
      <c r="G8457" s="15" t="s">
        <v>28</v>
      </c>
      <c r="H8457" s="15" t="n">
        <v>2</v>
      </c>
      <c r="I8457" s="17" t="n">
        <v>0.2</v>
      </c>
      <c r="J8457" s="18" t="n">
        <v>41.67</v>
      </c>
      <c r="K8457" s="19" t="n">
        <v>6.72</v>
      </c>
      <c r="L8457" s="15" t="n">
        <f aca="false">YEAR(B8457)</f>
        <v>2023</v>
      </c>
      <c r="M8457" s="20" t="n">
        <f aca="false">IF(J8457&gt;0,K8457/J8457,0)</f>
        <v>0.161267098632109</v>
      </c>
    </row>
    <row r="8458" customFormat="false" ht="15" hidden="false" customHeight="false" outlineLevel="0" collapsed="false">
      <c r="A8458" s="15" t="s">
        <v>8515</v>
      </c>
      <c r="B8458" s="16" t="n">
        <v>45208</v>
      </c>
      <c r="C8458" s="15" t="s">
        <v>56</v>
      </c>
      <c r="D8458" s="15" t="s">
        <v>42</v>
      </c>
      <c r="E8458" s="15" t="s">
        <v>36</v>
      </c>
      <c r="F8458" s="15" t="s">
        <v>16</v>
      </c>
      <c r="G8458" s="15" t="s">
        <v>25</v>
      </c>
      <c r="H8458" s="15" t="n">
        <v>2</v>
      </c>
      <c r="I8458" s="17" t="n">
        <v>0.05</v>
      </c>
      <c r="J8458" s="18" t="n">
        <v>460.57</v>
      </c>
      <c r="K8458" s="19" t="n">
        <v>22.58</v>
      </c>
      <c r="L8458" s="15" t="n">
        <f aca="false">YEAR(B8458)</f>
        <v>2023</v>
      </c>
      <c r="M8458" s="20" t="n">
        <f aca="false">IF(J8458&gt;0,K8458/J8458,0)</f>
        <v>0.0490262066569685</v>
      </c>
    </row>
    <row r="8459" customFormat="false" ht="15" hidden="false" customHeight="false" outlineLevel="0" collapsed="false">
      <c r="A8459" s="15" t="s">
        <v>8516</v>
      </c>
      <c r="B8459" s="16" t="n">
        <v>45919</v>
      </c>
      <c r="C8459" s="15" t="s">
        <v>56</v>
      </c>
      <c r="D8459" s="15" t="s">
        <v>42</v>
      </c>
      <c r="E8459" s="15" t="s">
        <v>39</v>
      </c>
      <c r="F8459" s="15" t="s">
        <v>16</v>
      </c>
      <c r="G8459" s="15" t="s">
        <v>25</v>
      </c>
      <c r="H8459" s="15" t="n">
        <v>4</v>
      </c>
      <c r="I8459" s="17" t="n">
        <v>0</v>
      </c>
      <c r="J8459" s="18" t="n">
        <v>1088.72</v>
      </c>
      <c r="K8459" s="19" t="n">
        <v>39.06</v>
      </c>
      <c r="L8459" s="15" t="n">
        <f aca="false">YEAR(B8459)</f>
        <v>2025</v>
      </c>
      <c r="M8459" s="20" t="n">
        <f aca="false">IF(J8459&gt;0,K8459/J8459,0)</f>
        <v>0.035876993166287</v>
      </c>
    </row>
    <row r="8460" customFormat="false" ht="15" hidden="false" customHeight="false" outlineLevel="0" collapsed="false">
      <c r="A8460" s="15" t="s">
        <v>8517</v>
      </c>
      <c r="B8460" s="16" t="n">
        <v>45244</v>
      </c>
      <c r="C8460" s="15" t="s">
        <v>56</v>
      </c>
      <c r="D8460" s="15" t="s">
        <v>44</v>
      </c>
      <c r="E8460" s="15" t="s">
        <v>39</v>
      </c>
      <c r="F8460" s="15" t="s">
        <v>17</v>
      </c>
      <c r="G8460" s="15" t="s">
        <v>29</v>
      </c>
      <c r="H8460" s="15" t="n">
        <v>3</v>
      </c>
      <c r="I8460" s="17" t="n">
        <v>0.2</v>
      </c>
      <c r="J8460" s="18" t="n">
        <v>53.27</v>
      </c>
      <c r="K8460" s="19" t="n">
        <v>10.95</v>
      </c>
      <c r="L8460" s="15" t="n">
        <f aca="false">YEAR(B8460)</f>
        <v>2023</v>
      </c>
      <c r="M8460" s="20" t="n">
        <f aca="false">IF(J8460&gt;0,K8460/J8460,0)</f>
        <v>0.205556598460672</v>
      </c>
    </row>
    <row r="8461" customFormat="false" ht="15" hidden="false" customHeight="false" outlineLevel="0" collapsed="false">
      <c r="A8461" s="15" t="s">
        <v>8518</v>
      </c>
      <c r="B8461" s="16" t="n">
        <v>45978</v>
      </c>
      <c r="C8461" s="15" t="s">
        <v>71</v>
      </c>
      <c r="D8461" s="15" t="s">
        <v>42</v>
      </c>
      <c r="E8461" s="15" t="s">
        <v>36</v>
      </c>
      <c r="F8461" s="15" t="s">
        <v>18</v>
      </c>
      <c r="G8461" s="15" t="s">
        <v>30</v>
      </c>
      <c r="H8461" s="15" t="n">
        <v>3</v>
      </c>
      <c r="I8461" s="17" t="n">
        <v>0.15</v>
      </c>
      <c r="J8461" s="18" t="n">
        <v>144.98</v>
      </c>
      <c r="K8461" s="19" t="n">
        <v>24.46</v>
      </c>
      <c r="L8461" s="15" t="n">
        <f aca="false">YEAR(B8461)</f>
        <v>2025</v>
      </c>
      <c r="M8461" s="20" t="n">
        <f aca="false">IF(J8461&gt;0,K8461/J8461,0)</f>
        <v>0.168712925920817</v>
      </c>
    </row>
    <row r="8462" customFormat="false" ht="15" hidden="false" customHeight="false" outlineLevel="0" collapsed="false">
      <c r="A8462" s="15" t="s">
        <v>8519</v>
      </c>
      <c r="B8462" s="16" t="n">
        <v>45571</v>
      </c>
      <c r="C8462" s="15" t="s">
        <v>68</v>
      </c>
      <c r="D8462" s="15" t="s">
        <v>44</v>
      </c>
      <c r="E8462" s="15" t="s">
        <v>37</v>
      </c>
      <c r="F8462" s="15" t="s">
        <v>17</v>
      </c>
      <c r="G8462" s="15" t="s">
        <v>31</v>
      </c>
      <c r="H8462" s="15" t="n">
        <v>5</v>
      </c>
      <c r="I8462" s="17" t="n">
        <v>0</v>
      </c>
      <c r="J8462" s="18" t="n">
        <v>694.7</v>
      </c>
      <c r="K8462" s="19" t="n">
        <v>180.41</v>
      </c>
      <c r="L8462" s="15" t="n">
        <f aca="false">YEAR(B8462)</f>
        <v>2024</v>
      </c>
      <c r="M8462" s="20" t="n">
        <f aca="false">IF(J8462&gt;0,K8462/J8462,0)</f>
        <v>0.259694832301713</v>
      </c>
    </row>
    <row r="8463" customFormat="false" ht="15" hidden="false" customHeight="false" outlineLevel="0" collapsed="false">
      <c r="A8463" s="15" t="s">
        <v>8520</v>
      </c>
      <c r="B8463" s="16" t="n">
        <v>45215</v>
      </c>
      <c r="C8463" s="15" t="s">
        <v>56</v>
      </c>
      <c r="D8463" s="15" t="s">
        <v>43</v>
      </c>
      <c r="E8463" s="15" t="s">
        <v>38</v>
      </c>
      <c r="F8463" s="15" t="s">
        <v>18</v>
      </c>
      <c r="G8463" s="15" t="s">
        <v>30</v>
      </c>
      <c r="H8463" s="15" t="n">
        <v>3</v>
      </c>
      <c r="I8463" s="17" t="n">
        <v>0</v>
      </c>
      <c r="J8463" s="18" t="n">
        <v>138.1</v>
      </c>
      <c r="K8463" s="19" t="n">
        <v>40.6</v>
      </c>
      <c r="L8463" s="15" t="n">
        <f aca="false">YEAR(B8463)</f>
        <v>2023</v>
      </c>
      <c r="M8463" s="20" t="n">
        <f aca="false">IF(J8463&gt;0,K8463/J8463,0)</f>
        <v>0.293989862418537</v>
      </c>
    </row>
    <row r="8464" customFormat="false" ht="15" hidden="false" customHeight="false" outlineLevel="0" collapsed="false">
      <c r="A8464" s="15" t="s">
        <v>8521</v>
      </c>
      <c r="B8464" s="16" t="n">
        <v>44843</v>
      </c>
      <c r="C8464" s="15" t="s">
        <v>71</v>
      </c>
      <c r="D8464" s="15" t="s">
        <v>43</v>
      </c>
      <c r="E8464" s="15" t="s">
        <v>37</v>
      </c>
      <c r="F8464" s="15" t="s">
        <v>17</v>
      </c>
      <c r="G8464" s="15" t="s">
        <v>26</v>
      </c>
      <c r="H8464" s="15" t="n">
        <v>2</v>
      </c>
      <c r="I8464" s="17" t="n">
        <v>0.05</v>
      </c>
      <c r="J8464" s="18" t="n">
        <v>170.97</v>
      </c>
      <c r="K8464" s="19" t="n">
        <v>0.91</v>
      </c>
      <c r="L8464" s="15" t="n">
        <f aca="false">YEAR(B8464)</f>
        <v>2022</v>
      </c>
      <c r="M8464" s="20" t="n">
        <f aca="false">IF(J8464&gt;0,K8464/J8464,0)</f>
        <v>0.00532257121132362</v>
      </c>
    </row>
    <row r="8465" customFormat="false" ht="15" hidden="false" customHeight="false" outlineLevel="0" collapsed="false">
      <c r="A8465" s="15" t="s">
        <v>8522</v>
      </c>
      <c r="B8465" s="16" t="n">
        <v>45637</v>
      </c>
      <c r="C8465" s="15" t="s">
        <v>56</v>
      </c>
      <c r="D8465" s="15" t="s">
        <v>43</v>
      </c>
      <c r="E8465" s="15" t="s">
        <v>36</v>
      </c>
      <c r="F8465" s="15" t="s">
        <v>18</v>
      </c>
      <c r="G8465" s="15" t="s">
        <v>30</v>
      </c>
      <c r="H8465" s="15" t="n">
        <v>2</v>
      </c>
      <c r="I8465" s="17" t="n">
        <v>0</v>
      </c>
      <c r="J8465" s="18" t="n">
        <v>74.92</v>
      </c>
      <c r="K8465" s="19" t="n">
        <v>23.24</v>
      </c>
      <c r="L8465" s="15" t="n">
        <f aca="false">YEAR(B8465)</f>
        <v>2024</v>
      </c>
      <c r="M8465" s="20" t="n">
        <f aca="false">IF(J8465&gt;0,K8465/J8465,0)</f>
        <v>0.310197544046983</v>
      </c>
    </row>
    <row r="8466" customFormat="false" ht="15" hidden="false" customHeight="false" outlineLevel="0" collapsed="false">
      <c r="A8466" s="15" t="s">
        <v>8523</v>
      </c>
      <c r="B8466" s="16" t="n">
        <v>45533</v>
      </c>
      <c r="C8466" s="15" t="s">
        <v>56</v>
      </c>
      <c r="D8466" s="15" t="s">
        <v>44</v>
      </c>
      <c r="E8466" s="15" t="s">
        <v>39</v>
      </c>
      <c r="F8466" s="15" t="s">
        <v>17</v>
      </c>
      <c r="G8466" s="15" t="s">
        <v>31</v>
      </c>
      <c r="H8466" s="15" t="n">
        <v>5</v>
      </c>
      <c r="I8466" s="17" t="n">
        <v>0</v>
      </c>
      <c r="J8466" s="18" t="n">
        <v>793.61</v>
      </c>
      <c r="K8466" s="19" t="n">
        <v>172.18</v>
      </c>
      <c r="L8466" s="15" t="n">
        <f aca="false">YEAR(B8466)</f>
        <v>2024</v>
      </c>
      <c r="M8466" s="20" t="n">
        <f aca="false">IF(J8466&gt;0,K8466/J8466,0)</f>
        <v>0.216957951638714</v>
      </c>
    </row>
    <row r="8467" customFormat="false" ht="15" hidden="false" customHeight="false" outlineLevel="0" collapsed="false">
      <c r="A8467" s="15" t="s">
        <v>8524</v>
      </c>
      <c r="B8467" s="16" t="n">
        <v>45329</v>
      </c>
      <c r="C8467" s="15" t="s">
        <v>56</v>
      </c>
      <c r="D8467" s="15" t="s">
        <v>42</v>
      </c>
      <c r="E8467" s="15" t="s">
        <v>39</v>
      </c>
      <c r="F8467" s="15" t="s">
        <v>18</v>
      </c>
      <c r="G8467" s="15" t="s">
        <v>30</v>
      </c>
      <c r="H8467" s="15" t="n">
        <v>5</v>
      </c>
      <c r="I8467" s="17" t="n">
        <v>0.3</v>
      </c>
      <c r="J8467" s="18" t="n">
        <v>149.48</v>
      </c>
      <c r="K8467" s="19" t="n">
        <v>-4.91</v>
      </c>
      <c r="L8467" s="15" t="n">
        <f aca="false">YEAR(B8467)</f>
        <v>2024</v>
      </c>
      <c r="M8467" s="20" t="n">
        <f aca="false">IF(J8467&gt;0,K8467/J8467,0)</f>
        <v>-0.0328472036392829</v>
      </c>
    </row>
    <row r="8468" customFormat="false" ht="15" hidden="false" customHeight="false" outlineLevel="0" collapsed="false">
      <c r="A8468" s="15" t="s">
        <v>8525</v>
      </c>
      <c r="B8468" s="16" t="n">
        <v>45462</v>
      </c>
      <c r="C8468" s="15" t="s">
        <v>56</v>
      </c>
      <c r="D8468" s="15" t="s">
        <v>42</v>
      </c>
      <c r="E8468" s="15" t="s">
        <v>37</v>
      </c>
      <c r="F8468" s="15" t="s">
        <v>17</v>
      </c>
      <c r="G8468" s="15" t="s">
        <v>29</v>
      </c>
      <c r="H8468" s="15" t="n">
        <v>4</v>
      </c>
      <c r="I8468" s="17" t="n">
        <v>0.2</v>
      </c>
      <c r="J8468" s="18" t="n">
        <v>64.62</v>
      </c>
      <c r="K8468" s="19" t="n">
        <v>12.23</v>
      </c>
      <c r="L8468" s="15" t="n">
        <f aca="false">YEAR(B8468)</f>
        <v>2024</v>
      </c>
      <c r="M8468" s="20" t="n">
        <f aca="false">IF(J8468&gt;0,K8468/J8468,0)</f>
        <v>0.1892602909316</v>
      </c>
    </row>
    <row r="8469" customFormat="false" ht="15" hidden="false" customHeight="false" outlineLevel="0" collapsed="false">
      <c r="A8469" s="15" t="s">
        <v>8526</v>
      </c>
      <c r="B8469" s="16" t="n">
        <v>44928</v>
      </c>
      <c r="C8469" s="15" t="s">
        <v>56</v>
      </c>
      <c r="D8469" s="15" t="s">
        <v>42</v>
      </c>
      <c r="E8469" s="15" t="s">
        <v>37</v>
      </c>
      <c r="F8469" s="15" t="s">
        <v>17</v>
      </c>
      <c r="G8469" s="15" t="s">
        <v>28</v>
      </c>
      <c r="H8469" s="15" t="n">
        <v>4</v>
      </c>
      <c r="I8469" s="17" t="n">
        <v>0.2</v>
      </c>
      <c r="J8469" s="18" t="n">
        <v>92.27</v>
      </c>
      <c r="K8469" s="19" t="n">
        <v>12.61</v>
      </c>
      <c r="L8469" s="15" t="n">
        <f aca="false">YEAR(B8469)</f>
        <v>2023</v>
      </c>
      <c r="M8469" s="20" t="n">
        <f aca="false">IF(J8469&gt;0,K8469/J8469,0)</f>
        <v>0.136664137856291</v>
      </c>
    </row>
    <row r="8470" customFormat="false" ht="15" hidden="false" customHeight="false" outlineLevel="0" collapsed="false">
      <c r="A8470" s="15" t="s">
        <v>8527</v>
      </c>
      <c r="B8470" s="16" t="n">
        <v>45650</v>
      </c>
      <c r="C8470" s="15" t="s">
        <v>56</v>
      </c>
      <c r="D8470" s="15" t="s">
        <v>44</v>
      </c>
      <c r="E8470" s="15" t="s">
        <v>36</v>
      </c>
      <c r="F8470" s="15" t="s">
        <v>17</v>
      </c>
      <c r="G8470" s="15" t="s">
        <v>29</v>
      </c>
      <c r="H8470" s="15" t="n">
        <v>1</v>
      </c>
      <c r="I8470" s="17" t="n">
        <v>0.4</v>
      </c>
      <c r="J8470" s="18" t="n">
        <v>9.85</v>
      </c>
      <c r="K8470" s="19" t="n">
        <v>0.2</v>
      </c>
      <c r="L8470" s="15" t="n">
        <f aca="false">YEAR(B8470)</f>
        <v>2024</v>
      </c>
      <c r="M8470" s="20" t="n">
        <f aca="false">IF(J8470&gt;0,K8470/J8470,0)</f>
        <v>0.0203045685279188</v>
      </c>
    </row>
    <row r="8471" customFormat="false" ht="15" hidden="false" customHeight="false" outlineLevel="0" collapsed="false">
      <c r="A8471" s="15" t="s">
        <v>8528</v>
      </c>
      <c r="B8471" s="16" t="n">
        <v>46015</v>
      </c>
      <c r="C8471" s="15" t="s">
        <v>56</v>
      </c>
      <c r="D8471" s="15" t="s">
        <v>44</v>
      </c>
      <c r="E8471" s="15" t="s">
        <v>38</v>
      </c>
      <c r="F8471" s="15" t="s">
        <v>17</v>
      </c>
      <c r="G8471" s="15" t="s">
        <v>29</v>
      </c>
      <c r="H8471" s="15" t="n">
        <v>3</v>
      </c>
      <c r="I8471" s="17" t="n">
        <v>0.1</v>
      </c>
      <c r="J8471" s="18" t="n">
        <v>44.07</v>
      </c>
      <c r="K8471" s="19" t="n">
        <v>12.17</v>
      </c>
      <c r="L8471" s="15" t="n">
        <f aca="false">YEAR(B8471)</f>
        <v>2025</v>
      </c>
      <c r="M8471" s="20" t="n">
        <f aca="false">IF(J8471&gt;0,K8471/J8471,0)</f>
        <v>0.276151577036533</v>
      </c>
    </row>
    <row r="8472" customFormat="false" ht="15" hidden="false" customHeight="false" outlineLevel="0" collapsed="false">
      <c r="A8472" s="15" t="s">
        <v>8529</v>
      </c>
      <c r="B8472" s="16" t="n">
        <v>44989</v>
      </c>
      <c r="C8472" s="15" t="s">
        <v>68</v>
      </c>
      <c r="D8472" s="15" t="s">
        <v>43</v>
      </c>
      <c r="E8472" s="15" t="s">
        <v>37</v>
      </c>
      <c r="F8472" s="15" t="s">
        <v>18</v>
      </c>
      <c r="G8472" s="15" t="s">
        <v>30</v>
      </c>
      <c r="H8472" s="15" t="n">
        <v>2</v>
      </c>
      <c r="I8472" s="17" t="n">
        <v>0.15</v>
      </c>
      <c r="J8472" s="18" t="n">
        <v>86.73</v>
      </c>
      <c r="K8472" s="19" t="n">
        <v>13.05</v>
      </c>
      <c r="L8472" s="15" t="n">
        <f aca="false">YEAR(B8472)</f>
        <v>2023</v>
      </c>
      <c r="M8472" s="20" t="n">
        <f aca="false">IF(J8472&gt;0,K8472/J8472,0)</f>
        <v>0.150466966447596</v>
      </c>
    </row>
    <row r="8473" customFormat="false" ht="15" hidden="false" customHeight="false" outlineLevel="0" collapsed="false">
      <c r="A8473" s="15" t="s">
        <v>8530</v>
      </c>
      <c r="B8473" s="16" t="n">
        <v>44601</v>
      </c>
      <c r="C8473" s="15" t="s">
        <v>71</v>
      </c>
      <c r="D8473" s="15" t="s">
        <v>43</v>
      </c>
      <c r="E8473" s="15" t="s">
        <v>37</v>
      </c>
      <c r="F8473" s="15" t="s">
        <v>17</v>
      </c>
      <c r="G8473" s="15" t="s">
        <v>28</v>
      </c>
      <c r="H8473" s="15" t="n">
        <v>4</v>
      </c>
      <c r="I8473" s="17" t="n">
        <v>0</v>
      </c>
      <c r="J8473" s="18" t="n">
        <v>106.62</v>
      </c>
      <c r="K8473" s="19" t="n">
        <v>30.45</v>
      </c>
      <c r="L8473" s="15" t="n">
        <f aca="false">YEAR(B8473)</f>
        <v>2022</v>
      </c>
      <c r="M8473" s="20" t="n">
        <f aca="false">IF(J8473&gt;0,K8473/J8473,0)</f>
        <v>0.285593697242544</v>
      </c>
    </row>
    <row r="8474" customFormat="false" ht="15" hidden="false" customHeight="false" outlineLevel="0" collapsed="false">
      <c r="A8474" s="15" t="s">
        <v>8531</v>
      </c>
      <c r="B8474" s="16" t="n">
        <v>45480</v>
      </c>
      <c r="C8474" s="15" t="s">
        <v>56</v>
      </c>
      <c r="D8474" s="15" t="s">
        <v>42</v>
      </c>
      <c r="E8474" s="15" t="s">
        <v>39</v>
      </c>
      <c r="F8474" s="15" t="s">
        <v>17</v>
      </c>
      <c r="G8474" s="15" t="s">
        <v>29</v>
      </c>
      <c r="H8474" s="15" t="n">
        <v>3</v>
      </c>
      <c r="I8474" s="17" t="n">
        <v>0.05</v>
      </c>
      <c r="J8474" s="18" t="n">
        <v>64.42</v>
      </c>
      <c r="K8474" s="19" t="n">
        <v>25.69</v>
      </c>
      <c r="L8474" s="15" t="n">
        <f aca="false">YEAR(B8474)</f>
        <v>2024</v>
      </c>
      <c r="M8474" s="20" t="n">
        <f aca="false">IF(J8474&gt;0,K8474/J8474,0)</f>
        <v>0.398789195901894</v>
      </c>
    </row>
    <row r="8475" customFormat="false" ht="15" hidden="false" customHeight="false" outlineLevel="0" collapsed="false">
      <c r="A8475" s="15" t="s">
        <v>8532</v>
      </c>
      <c r="B8475" s="16" t="n">
        <v>44785</v>
      </c>
      <c r="C8475" s="15" t="s">
        <v>56</v>
      </c>
      <c r="D8475" s="15" t="s">
        <v>42</v>
      </c>
      <c r="E8475" s="15" t="s">
        <v>36</v>
      </c>
      <c r="F8475" s="15" t="s">
        <v>17</v>
      </c>
      <c r="G8475" s="15" t="s">
        <v>29</v>
      </c>
      <c r="H8475" s="15" t="n">
        <v>3</v>
      </c>
      <c r="I8475" s="17" t="n">
        <v>0.4</v>
      </c>
      <c r="J8475" s="18" t="n">
        <v>27.58</v>
      </c>
      <c r="K8475" s="19" t="n">
        <v>0.18</v>
      </c>
      <c r="L8475" s="15" t="n">
        <f aca="false">YEAR(B8475)</f>
        <v>2022</v>
      </c>
      <c r="M8475" s="20" t="n">
        <f aca="false">IF(J8475&gt;0,K8475/J8475,0)</f>
        <v>0.00652646845540247</v>
      </c>
    </row>
    <row r="8476" customFormat="false" ht="15" hidden="false" customHeight="false" outlineLevel="0" collapsed="false">
      <c r="A8476" s="15" t="s">
        <v>8533</v>
      </c>
      <c r="B8476" s="16" t="n">
        <v>44762</v>
      </c>
      <c r="C8476" s="15" t="s">
        <v>56</v>
      </c>
      <c r="D8476" s="15" t="s">
        <v>44</v>
      </c>
      <c r="E8476" s="15" t="s">
        <v>37</v>
      </c>
      <c r="F8476" s="15" t="s">
        <v>16</v>
      </c>
      <c r="G8476" s="15" t="s">
        <v>27</v>
      </c>
      <c r="H8476" s="15" t="n">
        <v>4</v>
      </c>
      <c r="I8476" s="17" t="n">
        <v>0</v>
      </c>
      <c r="J8476" s="18" t="n">
        <v>262.98</v>
      </c>
      <c r="K8476" s="19" t="n">
        <v>49.9</v>
      </c>
      <c r="L8476" s="15" t="n">
        <f aca="false">YEAR(B8476)</f>
        <v>2022</v>
      </c>
      <c r="M8476" s="20" t="n">
        <f aca="false">IF(J8476&gt;0,K8476/J8476,0)</f>
        <v>0.189748269830405</v>
      </c>
    </row>
    <row r="8477" customFormat="false" ht="15" hidden="false" customHeight="false" outlineLevel="0" collapsed="false">
      <c r="A8477" s="15" t="s">
        <v>8534</v>
      </c>
      <c r="B8477" s="16" t="n">
        <v>45854</v>
      </c>
      <c r="C8477" s="15" t="s">
        <v>56</v>
      </c>
      <c r="D8477" s="15" t="s">
        <v>42</v>
      </c>
      <c r="E8477" s="15" t="s">
        <v>36</v>
      </c>
      <c r="F8477" s="15" t="s">
        <v>18</v>
      </c>
      <c r="G8477" s="15" t="s">
        <v>32</v>
      </c>
      <c r="H8477" s="15" t="n">
        <v>6</v>
      </c>
      <c r="I8477" s="17" t="n">
        <v>0.05</v>
      </c>
      <c r="J8477" s="18" t="n">
        <v>1926.55</v>
      </c>
      <c r="K8477" s="19" t="n">
        <v>280.29</v>
      </c>
      <c r="L8477" s="15" t="n">
        <f aca="false">YEAR(B8477)</f>
        <v>2025</v>
      </c>
      <c r="M8477" s="20" t="n">
        <f aca="false">IF(J8477&gt;0,K8477/J8477,0)</f>
        <v>0.145488048584257</v>
      </c>
    </row>
    <row r="8478" customFormat="false" ht="15" hidden="false" customHeight="false" outlineLevel="0" collapsed="false">
      <c r="A8478" s="15" t="s">
        <v>8535</v>
      </c>
      <c r="B8478" s="16" t="n">
        <v>44885</v>
      </c>
      <c r="C8478" s="15" t="s">
        <v>56</v>
      </c>
      <c r="D8478" s="15" t="s">
        <v>42</v>
      </c>
      <c r="E8478" s="15" t="s">
        <v>36</v>
      </c>
      <c r="F8478" s="15" t="s">
        <v>18</v>
      </c>
      <c r="G8478" s="15" t="s">
        <v>32</v>
      </c>
      <c r="H8478" s="15" t="n">
        <v>3</v>
      </c>
      <c r="I8478" s="17" t="n">
        <v>0</v>
      </c>
      <c r="J8478" s="18" t="n">
        <v>1199.94</v>
      </c>
      <c r="K8478" s="19" t="n">
        <v>252.84</v>
      </c>
      <c r="L8478" s="15" t="n">
        <f aca="false">YEAR(B8478)</f>
        <v>2022</v>
      </c>
      <c r="M8478" s="20" t="n">
        <f aca="false">IF(J8478&gt;0,K8478/J8478,0)</f>
        <v>0.210710535526776</v>
      </c>
    </row>
    <row r="8479" customFormat="false" ht="15" hidden="false" customHeight="false" outlineLevel="0" collapsed="false">
      <c r="A8479" s="15" t="s">
        <v>8536</v>
      </c>
      <c r="B8479" s="16" t="n">
        <v>44836</v>
      </c>
      <c r="C8479" s="15" t="s">
        <v>56</v>
      </c>
      <c r="D8479" s="15" t="s">
        <v>43</v>
      </c>
      <c r="E8479" s="15" t="s">
        <v>37</v>
      </c>
      <c r="F8479" s="15" t="s">
        <v>17</v>
      </c>
      <c r="G8479" s="15" t="s">
        <v>29</v>
      </c>
      <c r="H8479" s="15" t="n">
        <v>6</v>
      </c>
      <c r="I8479" s="17" t="n">
        <v>0.1</v>
      </c>
      <c r="J8479" s="18" t="n">
        <v>88.27</v>
      </c>
      <c r="K8479" s="19" t="n">
        <v>28.99</v>
      </c>
      <c r="L8479" s="15" t="n">
        <f aca="false">YEAR(B8479)</f>
        <v>2022</v>
      </c>
      <c r="M8479" s="20" t="n">
        <f aca="false">IF(J8479&gt;0,K8479/J8479,0)</f>
        <v>0.328424153166421</v>
      </c>
    </row>
    <row r="8480" customFormat="false" ht="15" hidden="false" customHeight="false" outlineLevel="0" collapsed="false">
      <c r="A8480" s="15" t="s">
        <v>8537</v>
      </c>
      <c r="B8480" s="16" t="n">
        <v>44687</v>
      </c>
      <c r="C8480" s="15" t="s">
        <v>56</v>
      </c>
      <c r="D8480" s="15" t="s">
        <v>43</v>
      </c>
      <c r="E8480" s="15" t="s">
        <v>36</v>
      </c>
      <c r="F8480" s="15" t="s">
        <v>17</v>
      </c>
      <c r="G8480" s="15" t="s">
        <v>28</v>
      </c>
      <c r="H8480" s="15" t="n">
        <v>2</v>
      </c>
      <c r="I8480" s="17" t="n">
        <v>0.05</v>
      </c>
      <c r="J8480" s="18" t="n">
        <v>45.86</v>
      </c>
      <c r="K8480" s="19" t="n">
        <v>12.14</v>
      </c>
      <c r="L8480" s="15" t="n">
        <f aca="false">YEAR(B8480)</f>
        <v>2022</v>
      </c>
      <c r="M8480" s="20" t="n">
        <f aca="false">IF(J8480&gt;0,K8480/J8480,0)</f>
        <v>0.264718709114697</v>
      </c>
    </row>
    <row r="8481" customFormat="false" ht="15" hidden="false" customHeight="false" outlineLevel="0" collapsed="false">
      <c r="A8481" s="15" t="s">
        <v>8538</v>
      </c>
      <c r="B8481" s="16" t="n">
        <v>45687</v>
      </c>
      <c r="C8481" s="15" t="s">
        <v>71</v>
      </c>
      <c r="D8481" s="15" t="s">
        <v>42</v>
      </c>
      <c r="E8481" s="15" t="s">
        <v>37</v>
      </c>
      <c r="F8481" s="15" t="s">
        <v>17</v>
      </c>
      <c r="G8481" s="15" t="s">
        <v>31</v>
      </c>
      <c r="H8481" s="15" t="n">
        <v>2</v>
      </c>
      <c r="I8481" s="17" t="n">
        <v>0.05</v>
      </c>
      <c r="J8481" s="18" t="n">
        <v>229.38</v>
      </c>
      <c r="K8481" s="19" t="n">
        <v>39.16</v>
      </c>
      <c r="L8481" s="15" t="n">
        <f aca="false">YEAR(B8481)</f>
        <v>2025</v>
      </c>
      <c r="M8481" s="20" t="n">
        <f aca="false">IF(J8481&gt;0,K8481/J8481,0)</f>
        <v>0.170721074200017</v>
      </c>
    </row>
    <row r="8482" customFormat="false" ht="15" hidden="false" customHeight="false" outlineLevel="0" collapsed="false">
      <c r="A8482" s="15" t="s">
        <v>8539</v>
      </c>
      <c r="B8482" s="16" t="n">
        <v>45167</v>
      </c>
      <c r="C8482" s="15" t="s">
        <v>71</v>
      </c>
      <c r="D8482" s="15" t="s">
        <v>42</v>
      </c>
      <c r="E8482" s="15" t="s">
        <v>38</v>
      </c>
      <c r="F8482" s="15" t="s">
        <v>16</v>
      </c>
      <c r="G8482" s="15" t="s">
        <v>23</v>
      </c>
      <c r="H8482" s="15" t="n">
        <v>2</v>
      </c>
      <c r="I8482" s="17" t="n">
        <v>0</v>
      </c>
      <c r="J8482" s="18" t="n">
        <v>487.82</v>
      </c>
      <c r="K8482" s="19" t="n">
        <v>18.92</v>
      </c>
      <c r="L8482" s="15" t="n">
        <f aca="false">YEAR(B8482)</f>
        <v>2023</v>
      </c>
      <c r="M8482" s="20" t="n">
        <f aca="false">IF(J8482&gt;0,K8482/J8482,0)</f>
        <v>0.0387847976712722</v>
      </c>
    </row>
    <row r="8483" customFormat="false" ht="15" hidden="false" customHeight="false" outlineLevel="0" collapsed="false">
      <c r="A8483" s="15" t="s">
        <v>8540</v>
      </c>
      <c r="B8483" s="16" t="n">
        <v>45702</v>
      </c>
      <c r="C8483" s="15" t="s">
        <v>56</v>
      </c>
      <c r="D8483" s="15" t="s">
        <v>42</v>
      </c>
      <c r="E8483" s="15" t="s">
        <v>37</v>
      </c>
      <c r="F8483" s="15" t="s">
        <v>16</v>
      </c>
      <c r="G8483" s="15" t="s">
        <v>22</v>
      </c>
      <c r="H8483" s="15" t="n">
        <v>3</v>
      </c>
      <c r="I8483" s="17" t="n">
        <v>0.05</v>
      </c>
      <c r="J8483" s="18" t="n">
        <v>1560.63</v>
      </c>
      <c r="K8483" s="19" t="n">
        <v>-125.43</v>
      </c>
      <c r="L8483" s="15" t="n">
        <f aca="false">YEAR(B8483)</f>
        <v>2025</v>
      </c>
      <c r="M8483" s="20" t="n">
        <f aca="false">IF(J8483&gt;0,K8483/J8483,0)</f>
        <v>-0.0803713884777302</v>
      </c>
    </row>
    <row r="8484" customFormat="false" ht="15" hidden="false" customHeight="false" outlineLevel="0" collapsed="false">
      <c r="A8484" s="15" t="s">
        <v>8541</v>
      </c>
      <c r="B8484" s="16" t="n">
        <v>45260</v>
      </c>
      <c r="C8484" s="15" t="s">
        <v>58</v>
      </c>
      <c r="D8484" s="15" t="s">
        <v>42</v>
      </c>
      <c r="E8484" s="15" t="s">
        <v>36</v>
      </c>
      <c r="F8484" s="15" t="s">
        <v>16</v>
      </c>
      <c r="G8484" s="15" t="s">
        <v>25</v>
      </c>
      <c r="H8484" s="15" t="n">
        <v>2</v>
      </c>
      <c r="I8484" s="17" t="n">
        <v>0</v>
      </c>
      <c r="J8484" s="18" t="n">
        <v>415.43</v>
      </c>
      <c r="K8484" s="19" t="n">
        <v>31.12</v>
      </c>
      <c r="L8484" s="15" t="n">
        <f aca="false">YEAR(B8484)</f>
        <v>2023</v>
      </c>
      <c r="M8484" s="20" t="n">
        <f aca="false">IF(J8484&gt;0,K8484/J8484,0)</f>
        <v>0.0749103338709289</v>
      </c>
    </row>
    <row r="8485" customFormat="false" ht="15" hidden="false" customHeight="false" outlineLevel="0" collapsed="false">
      <c r="A8485" s="15" t="s">
        <v>8542</v>
      </c>
      <c r="B8485" s="16" t="n">
        <v>45451</v>
      </c>
      <c r="C8485" s="15" t="s">
        <v>71</v>
      </c>
      <c r="D8485" s="15" t="s">
        <v>43</v>
      </c>
      <c r="E8485" s="15" t="s">
        <v>37</v>
      </c>
      <c r="F8485" s="15" t="s">
        <v>16</v>
      </c>
      <c r="G8485" s="15" t="s">
        <v>25</v>
      </c>
      <c r="H8485" s="15" t="n">
        <v>2</v>
      </c>
      <c r="I8485" s="17" t="n">
        <v>0.05</v>
      </c>
      <c r="J8485" s="18" t="n">
        <v>760.34</v>
      </c>
      <c r="K8485" s="19" t="n">
        <v>45.83</v>
      </c>
      <c r="L8485" s="15" t="n">
        <f aca="false">YEAR(B8485)</f>
        <v>2024</v>
      </c>
      <c r="M8485" s="20" t="n">
        <f aca="false">IF(J8485&gt;0,K8485/J8485,0)</f>
        <v>0.0602756661493542</v>
      </c>
    </row>
    <row r="8486" customFormat="false" ht="15" hidden="false" customHeight="false" outlineLevel="0" collapsed="false">
      <c r="A8486" s="15" t="s">
        <v>8543</v>
      </c>
      <c r="B8486" s="16" t="n">
        <v>45435</v>
      </c>
      <c r="C8486" s="15" t="s">
        <v>56</v>
      </c>
      <c r="D8486" s="15" t="s">
        <v>43</v>
      </c>
      <c r="E8486" s="15" t="s">
        <v>37</v>
      </c>
      <c r="F8486" s="15" t="s">
        <v>18</v>
      </c>
      <c r="G8486" s="15" t="s">
        <v>30</v>
      </c>
      <c r="H8486" s="15" t="n">
        <v>6</v>
      </c>
      <c r="I8486" s="17" t="n">
        <v>0</v>
      </c>
      <c r="J8486" s="18" t="n">
        <v>354.7</v>
      </c>
      <c r="K8486" s="19" t="n">
        <v>102.46</v>
      </c>
      <c r="L8486" s="15" t="n">
        <f aca="false">YEAR(B8486)</f>
        <v>2024</v>
      </c>
      <c r="M8486" s="20" t="n">
        <f aca="false">IF(J8486&gt;0,K8486/J8486,0)</f>
        <v>0.288863828587539</v>
      </c>
    </row>
    <row r="8487" customFormat="false" ht="15" hidden="false" customHeight="false" outlineLevel="0" collapsed="false">
      <c r="A8487" s="15" t="s">
        <v>8544</v>
      </c>
      <c r="B8487" s="16" t="n">
        <v>45349</v>
      </c>
      <c r="C8487" s="15" t="s">
        <v>71</v>
      </c>
      <c r="D8487" s="15" t="s">
        <v>42</v>
      </c>
      <c r="E8487" s="15" t="s">
        <v>37</v>
      </c>
      <c r="F8487" s="15" t="s">
        <v>16</v>
      </c>
      <c r="G8487" s="15" t="s">
        <v>27</v>
      </c>
      <c r="H8487" s="15" t="n">
        <v>5</v>
      </c>
      <c r="I8487" s="17" t="n">
        <v>0.15</v>
      </c>
      <c r="J8487" s="18" t="n">
        <v>207.65</v>
      </c>
      <c r="K8487" s="19" t="n">
        <v>4.89</v>
      </c>
      <c r="L8487" s="15" t="n">
        <f aca="false">YEAR(B8487)</f>
        <v>2024</v>
      </c>
      <c r="M8487" s="20" t="n">
        <f aca="false">IF(J8487&gt;0,K8487/J8487,0)</f>
        <v>0.0235492415121599</v>
      </c>
    </row>
    <row r="8488" customFormat="false" ht="15" hidden="false" customHeight="false" outlineLevel="0" collapsed="false">
      <c r="A8488" s="15" t="s">
        <v>8545</v>
      </c>
      <c r="B8488" s="16" t="n">
        <v>46017</v>
      </c>
      <c r="C8488" s="15" t="s">
        <v>68</v>
      </c>
      <c r="D8488" s="15" t="s">
        <v>43</v>
      </c>
      <c r="E8488" s="15" t="s">
        <v>39</v>
      </c>
      <c r="F8488" s="15" t="s">
        <v>18</v>
      </c>
      <c r="G8488" s="15" t="s">
        <v>24</v>
      </c>
      <c r="H8488" s="15" t="n">
        <v>6</v>
      </c>
      <c r="I8488" s="17" t="n">
        <v>0.1</v>
      </c>
      <c r="J8488" s="18" t="n">
        <v>4096.09</v>
      </c>
      <c r="K8488" s="19" t="n">
        <v>-171.25</v>
      </c>
      <c r="L8488" s="15" t="n">
        <f aca="false">YEAR(B8488)</f>
        <v>2025</v>
      </c>
      <c r="M8488" s="20" t="n">
        <f aca="false">IF(J8488&gt;0,K8488/J8488,0)</f>
        <v>-0.0418081633948473</v>
      </c>
    </row>
    <row r="8489" customFormat="false" ht="15" hidden="false" customHeight="false" outlineLevel="0" collapsed="false">
      <c r="A8489" s="15" t="s">
        <v>8546</v>
      </c>
      <c r="B8489" s="16" t="n">
        <v>45331</v>
      </c>
      <c r="C8489" s="15" t="s">
        <v>68</v>
      </c>
      <c r="D8489" s="15" t="s">
        <v>42</v>
      </c>
      <c r="E8489" s="15" t="s">
        <v>39</v>
      </c>
      <c r="F8489" s="15" t="s">
        <v>18</v>
      </c>
      <c r="G8489" s="15" t="s">
        <v>30</v>
      </c>
      <c r="H8489" s="15" t="n">
        <v>2</v>
      </c>
      <c r="I8489" s="17" t="n">
        <v>0.15</v>
      </c>
      <c r="J8489" s="18" t="n">
        <v>102.66</v>
      </c>
      <c r="K8489" s="19" t="n">
        <v>22.58</v>
      </c>
      <c r="L8489" s="15" t="n">
        <f aca="false">YEAR(B8489)</f>
        <v>2024</v>
      </c>
      <c r="M8489" s="20" t="n">
        <f aca="false">IF(J8489&gt;0,K8489/J8489,0)</f>
        <v>0.219949347360218</v>
      </c>
    </row>
    <row r="8490" customFormat="false" ht="15" hidden="false" customHeight="false" outlineLevel="0" collapsed="false">
      <c r="A8490" s="15" t="s">
        <v>8547</v>
      </c>
      <c r="B8490" s="16" t="n">
        <v>45525</v>
      </c>
      <c r="C8490" s="15" t="s">
        <v>56</v>
      </c>
      <c r="D8490" s="15" t="s">
        <v>42</v>
      </c>
      <c r="E8490" s="15" t="s">
        <v>38</v>
      </c>
      <c r="F8490" s="15" t="s">
        <v>17</v>
      </c>
      <c r="G8490" s="15" t="s">
        <v>29</v>
      </c>
      <c r="H8490" s="15" t="n">
        <v>5</v>
      </c>
      <c r="I8490" s="17" t="n">
        <v>0.05</v>
      </c>
      <c r="J8490" s="18" t="n">
        <v>84.71</v>
      </c>
      <c r="K8490" s="19" t="n">
        <v>35.97</v>
      </c>
      <c r="L8490" s="15" t="n">
        <f aca="false">YEAR(B8490)</f>
        <v>2024</v>
      </c>
      <c r="M8490" s="20" t="n">
        <f aca="false">IF(J8490&gt;0,K8490/J8490,0)</f>
        <v>0.424625191830953</v>
      </c>
    </row>
    <row r="8491" customFormat="false" ht="15" hidden="false" customHeight="false" outlineLevel="0" collapsed="false">
      <c r="A8491" s="15" t="s">
        <v>8548</v>
      </c>
      <c r="B8491" s="16" t="n">
        <v>45142</v>
      </c>
      <c r="C8491" s="15" t="s">
        <v>56</v>
      </c>
      <c r="D8491" s="15" t="s">
        <v>44</v>
      </c>
      <c r="E8491" s="15" t="s">
        <v>37</v>
      </c>
      <c r="F8491" s="15" t="s">
        <v>17</v>
      </c>
      <c r="G8491" s="15" t="s">
        <v>29</v>
      </c>
      <c r="H8491" s="15" t="n">
        <v>3</v>
      </c>
      <c r="I8491" s="17" t="n">
        <v>0.05</v>
      </c>
      <c r="J8491" s="18" t="n">
        <v>57.36</v>
      </c>
      <c r="K8491" s="19" t="n">
        <v>24.46</v>
      </c>
      <c r="L8491" s="15" t="n">
        <f aca="false">YEAR(B8491)</f>
        <v>2023</v>
      </c>
      <c r="M8491" s="20" t="n">
        <f aca="false">IF(J8491&gt;0,K8491/J8491,0)</f>
        <v>0.426429567642957</v>
      </c>
    </row>
    <row r="8492" customFormat="false" ht="15" hidden="false" customHeight="false" outlineLevel="0" collapsed="false">
      <c r="A8492" s="15" t="s">
        <v>8549</v>
      </c>
      <c r="B8492" s="16" t="n">
        <v>45697</v>
      </c>
      <c r="C8492" s="15" t="s">
        <v>56</v>
      </c>
      <c r="D8492" s="15" t="s">
        <v>43</v>
      </c>
      <c r="E8492" s="15" t="s">
        <v>39</v>
      </c>
      <c r="F8492" s="15" t="s">
        <v>18</v>
      </c>
      <c r="G8492" s="15" t="s">
        <v>30</v>
      </c>
      <c r="H8492" s="15" t="n">
        <v>7</v>
      </c>
      <c r="I8492" s="17" t="n">
        <v>0</v>
      </c>
      <c r="J8492" s="18" t="n">
        <v>343.22</v>
      </c>
      <c r="K8492" s="19" t="n">
        <v>103.75</v>
      </c>
      <c r="L8492" s="15" t="n">
        <f aca="false">YEAR(B8492)</f>
        <v>2025</v>
      </c>
      <c r="M8492" s="20" t="n">
        <f aca="false">IF(J8492&gt;0,K8492/J8492,0)</f>
        <v>0.302284249169629</v>
      </c>
    </row>
    <row r="8493" customFormat="false" ht="15" hidden="false" customHeight="false" outlineLevel="0" collapsed="false">
      <c r="A8493" s="15" t="s">
        <v>8550</v>
      </c>
      <c r="B8493" s="16" t="n">
        <v>44922</v>
      </c>
      <c r="C8493" s="15" t="s">
        <v>56</v>
      </c>
      <c r="D8493" s="15" t="s">
        <v>42</v>
      </c>
      <c r="E8493" s="15" t="s">
        <v>37</v>
      </c>
      <c r="F8493" s="15" t="s">
        <v>16</v>
      </c>
      <c r="G8493" s="15" t="s">
        <v>27</v>
      </c>
      <c r="H8493" s="15" t="n">
        <v>1</v>
      </c>
      <c r="I8493" s="17" t="n">
        <v>0.15</v>
      </c>
      <c r="J8493" s="18" t="n">
        <v>38.06</v>
      </c>
      <c r="K8493" s="19" t="n">
        <v>2.15</v>
      </c>
      <c r="L8493" s="15" t="n">
        <f aca="false">YEAR(B8493)</f>
        <v>2022</v>
      </c>
      <c r="M8493" s="20" t="n">
        <f aca="false">IF(J8493&gt;0,K8493/J8493,0)</f>
        <v>0.0564897530215449</v>
      </c>
    </row>
    <row r="8494" customFormat="false" ht="15" hidden="false" customHeight="false" outlineLevel="0" collapsed="false">
      <c r="A8494" s="15" t="s">
        <v>8551</v>
      </c>
      <c r="B8494" s="16" t="n">
        <v>45233</v>
      </c>
      <c r="C8494" s="15" t="s">
        <v>56</v>
      </c>
      <c r="D8494" s="15" t="s">
        <v>42</v>
      </c>
      <c r="E8494" s="15" t="s">
        <v>36</v>
      </c>
      <c r="F8494" s="15" t="s">
        <v>18</v>
      </c>
      <c r="G8494" s="15" t="s">
        <v>30</v>
      </c>
      <c r="H8494" s="15" t="n">
        <v>4</v>
      </c>
      <c r="I8494" s="17" t="n">
        <v>0</v>
      </c>
      <c r="J8494" s="18" t="n">
        <v>178.26</v>
      </c>
      <c r="K8494" s="19" t="n">
        <v>59.75</v>
      </c>
      <c r="L8494" s="15" t="n">
        <f aca="false">YEAR(B8494)</f>
        <v>2023</v>
      </c>
      <c r="M8494" s="20" t="n">
        <f aca="false">IF(J8494&gt;0,K8494/J8494,0)</f>
        <v>0.335184561875912</v>
      </c>
    </row>
    <row r="8495" customFormat="false" ht="15" hidden="false" customHeight="false" outlineLevel="0" collapsed="false">
      <c r="A8495" s="15" t="s">
        <v>8552</v>
      </c>
      <c r="B8495" s="16" t="n">
        <v>45831</v>
      </c>
      <c r="C8495" s="15" t="s">
        <v>56</v>
      </c>
      <c r="D8495" s="15" t="s">
        <v>43</v>
      </c>
      <c r="E8495" s="15" t="s">
        <v>36</v>
      </c>
      <c r="F8495" s="15" t="s">
        <v>18</v>
      </c>
      <c r="G8495" s="15" t="s">
        <v>30</v>
      </c>
      <c r="H8495" s="15" t="n">
        <v>3</v>
      </c>
      <c r="I8495" s="17" t="n">
        <v>0.15</v>
      </c>
      <c r="J8495" s="18" t="n">
        <v>120.31</v>
      </c>
      <c r="K8495" s="19" t="n">
        <v>18.24</v>
      </c>
      <c r="L8495" s="15" t="n">
        <f aca="false">YEAR(B8495)</f>
        <v>2025</v>
      </c>
      <c r="M8495" s="20" t="n">
        <f aca="false">IF(J8495&gt;0,K8495/J8495,0)</f>
        <v>0.15160834510847</v>
      </c>
    </row>
    <row r="8496" customFormat="false" ht="15" hidden="false" customHeight="false" outlineLevel="0" collapsed="false">
      <c r="A8496" s="15" t="s">
        <v>8553</v>
      </c>
      <c r="B8496" s="16" t="n">
        <v>45177</v>
      </c>
      <c r="C8496" s="15" t="s">
        <v>56</v>
      </c>
      <c r="D8496" s="15" t="s">
        <v>44</v>
      </c>
      <c r="E8496" s="15" t="s">
        <v>38</v>
      </c>
      <c r="F8496" s="15" t="s">
        <v>17</v>
      </c>
      <c r="G8496" s="15" t="s">
        <v>29</v>
      </c>
      <c r="H8496" s="15" t="n">
        <v>3</v>
      </c>
      <c r="I8496" s="17" t="n">
        <v>0</v>
      </c>
      <c r="J8496" s="18" t="n">
        <v>46.31</v>
      </c>
      <c r="K8496" s="19" t="n">
        <v>18.16</v>
      </c>
      <c r="L8496" s="15" t="n">
        <f aca="false">YEAR(B8496)</f>
        <v>2023</v>
      </c>
      <c r="M8496" s="20" t="n">
        <f aca="false">IF(J8496&gt;0,K8496/J8496,0)</f>
        <v>0.392139926581732</v>
      </c>
    </row>
    <row r="8497" customFormat="false" ht="15" hidden="false" customHeight="false" outlineLevel="0" collapsed="false">
      <c r="A8497" s="15" t="s">
        <v>8554</v>
      </c>
      <c r="B8497" s="16" t="n">
        <v>44856</v>
      </c>
      <c r="C8497" s="15" t="s">
        <v>68</v>
      </c>
      <c r="D8497" s="15" t="s">
        <v>43</v>
      </c>
      <c r="E8497" s="15" t="s">
        <v>38</v>
      </c>
      <c r="F8497" s="15" t="s">
        <v>18</v>
      </c>
      <c r="G8497" s="15" t="s">
        <v>33</v>
      </c>
      <c r="H8497" s="15" t="n">
        <v>3</v>
      </c>
      <c r="I8497" s="17" t="n">
        <v>0.1</v>
      </c>
      <c r="J8497" s="18" t="n">
        <v>2384.06</v>
      </c>
      <c r="K8497" s="19" t="n">
        <v>602.18</v>
      </c>
      <c r="L8497" s="15" t="n">
        <f aca="false">YEAR(B8497)</f>
        <v>2022</v>
      </c>
      <c r="M8497" s="20" t="n">
        <f aca="false">IF(J8497&gt;0,K8497/J8497,0)</f>
        <v>0.252585924850885</v>
      </c>
    </row>
    <row r="8498" customFormat="false" ht="15" hidden="false" customHeight="false" outlineLevel="0" collapsed="false">
      <c r="A8498" s="15" t="s">
        <v>8555</v>
      </c>
      <c r="B8498" s="16" t="n">
        <v>45359</v>
      </c>
      <c r="C8498" s="15" t="s">
        <v>68</v>
      </c>
      <c r="D8498" s="15" t="s">
        <v>42</v>
      </c>
      <c r="E8498" s="15" t="s">
        <v>36</v>
      </c>
      <c r="F8498" s="15" t="s">
        <v>18</v>
      </c>
      <c r="G8498" s="15" t="s">
        <v>32</v>
      </c>
      <c r="H8498" s="15" t="n">
        <v>4</v>
      </c>
      <c r="I8498" s="17" t="n">
        <v>0.2</v>
      </c>
      <c r="J8498" s="18" t="n">
        <v>1311.4</v>
      </c>
      <c r="K8498" s="19" t="n">
        <v>-45.15</v>
      </c>
      <c r="L8498" s="15" t="n">
        <f aca="false">YEAR(B8498)</f>
        <v>2024</v>
      </c>
      <c r="M8498" s="20" t="n">
        <f aca="false">IF(J8498&gt;0,K8498/J8498,0)</f>
        <v>-0.0344288546591429</v>
      </c>
    </row>
    <row r="8499" customFormat="false" ht="15" hidden="false" customHeight="false" outlineLevel="0" collapsed="false">
      <c r="A8499" s="15" t="s">
        <v>8556</v>
      </c>
      <c r="B8499" s="16" t="n">
        <v>45840</v>
      </c>
      <c r="C8499" s="15" t="s">
        <v>56</v>
      </c>
      <c r="D8499" s="15" t="s">
        <v>44</v>
      </c>
      <c r="E8499" s="15" t="s">
        <v>39</v>
      </c>
      <c r="F8499" s="15" t="s">
        <v>18</v>
      </c>
      <c r="G8499" s="15" t="s">
        <v>30</v>
      </c>
      <c r="H8499" s="15" t="n">
        <v>4</v>
      </c>
      <c r="I8499" s="17" t="n">
        <v>0</v>
      </c>
      <c r="J8499" s="18" t="n">
        <v>225.86</v>
      </c>
      <c r="K8499" s="19" t="n">
        <v>74.55</v>
      </c>
      <c r="L8499" s="15" t="n">
        <f aca="false">YEAR(B8499)</f>
        <v>2025</v>
      </c>
      <c r="M8499" s="20" t="n">
        <f aca="false">IF(J8499&gt;0,K8499/J8499,0)</f>
        <v>0.33007172584787</v>
      </c>
    </row>
    <row r="8500" customFormat="false" ht="15" hidden="false" customHeight="false" outlineLevel="0" collapsed="false">
      <c r="A8500" s="15" t="s">
        <v>8557</v>
      </c>
      <c r="B8500" s="16" t="n">
        <v>45983</v>
      </c>
      <c r="C8500" s="15" t="s">
        <v>56</v>
      </c>
      <c r="D8500" s="15" t="s">
        <v>44</v>
      </c>
      <c r="E8500" s="15" t="s">
        <v>37</v>
      </c>
      <c r="F8500" s="15" t="s">
        <v>17</v>
      </c>
      <c r="G8500" s="15" t="s">
        <v>29</v>
      </c>
      <c r="H8500" s="15" t="n">
        <v>2</v>
      </c>
      <c r="I8500" s="17" t="n">
        <v>0.2</v>
      </c>
      <c r="J8500" s="18" t="n">
        <v>23.59</v>
      </c>
      <c r="K8500" s="19" t="n">
        <v>3.23</v>
      </c>
      <c r="L8500" s="15" t="n">
        <f aca="false">YEAR(B8500)</f>
        <v>2025</v>
      </c>
      <c r="M8500" s="20" t="n">
        <f aca="false">IF(J8500&gt;0,K8500/J8500,0)</f>
        <v>0.136922424756253</v>
      </c>
    </row>
    <row r="8501" customFormat="false" ht="15" hidden="false" customHeight="false" outlineLevel="0" collapsed="false">
      <c r="A8501" s="15" t="s">
        <v>8558</v>
      </c>
      <c r="B8501" s="16" t="n">
        <v>45556</v>
      </c>
      <c r="C8501" s="15" t="s">
        <v>71</v>
      </c>
      <c r="D8501" s="15" t="s">
        <v>42</v>
      </c>
      <c r="E8501" s="15" t="s">
        <v>39</v>
      </c>
      <c r="F8501" s="15" t="s">
        <v>17</v>
      </c>
      <c r="G8501" s="15" t="s">
        <v>31</v>
      </c>
      <c r="H8501" s="15" t="n">
        <v>3</v>
      </c>
      <c r="I8501" s="17" t="n">
        <v>0.05</v>
      </c>
      <c r="J8501" s="18" t="n">
        <v>448.07</v>
      </c>
      <c r="K8501" s="19" t="n">
        <v>102.42</v>
      </c>
      <c r="L8501" s="15" t="n">
        <f aca="false">YEAR(B8501)</f>
        <v>2024</v>
      </c>
      <c r="M8501" s="20" t="n">
        <f aca="false">IF(J8501&gt;0,K8501/J8501,0)</f>
        <v>0.228580355747986</v>
      </c>
    </row>
    <row r="8502" customFormat="false" ht="15" hidden="false" customHeight="false" outlineLevel="0" collapsed="false">
      <c r="A8502" s="15" t="s">
        <v>8559</v>
      </c>
      <c r="B8502" s="16" t="n">
        <v>45635</v>
      </c>
      <c r="C8502" s="15" t="s">
        <v>56</v>
      </c>
      <c r="D8502" s="15" t="s">
        <v>42</v>
      </c>
      <c r="E8502" s="15" t="s">
        <v>37</v>
      </c>
      <c r="F8502" s="15" t="s">
        <v>16</v>
      </c>
      <c r="G8502" s="15" t="s">
        <v>27</v>
      </c>
      <c r="H8502" s="15" t="n">
        <v>3</v>
      </c>
      <c r="I8502" s="17" t="n">
        <v>0</v>
      </c>
      <c r="J8502" s="18" t="n">
        <v>214.31</v>
      </c>
      <c r="K8502" s="19" t="n">
        <v>57.66</v>
      </c>
      <c r="L8502" s="15" t="n">
        <f aca="false">YEAR(B8502)</f>
        <v>2024</v>
      </c>
      <c r="M8502" s="20" t="n">
        <f aca="false">IF(J8502&gt;0,K8502/J8502,0)</f>
        <v>0.269049507722458</v>
      </c>
    </row>
    <row r="8503" customFormat="false" ht="15" hidden="false" customHeight="false" outlineLevel="0" collapsed="false">
      <c r="A8503" s="15" t="s">
        <v>8560</v>
      </c>
      <c r="B8503" s="16" t="n">
        <v>44886</v>
      </c>
      <c r="C8503" s="15" t="s">
        <v>56</v>
      </c>
      <c r="D8503" s="15" t="s">
        <v>42</v>
      </c>
      <c r="E8503" s="15" t="s">
        <v>39</v>
      </c>
      <c r="F8503" s="15" t="s">
        <v>17</v>
      </c>
      <c r="G8503" s="15" t="s">
        <v>31</v>
      </c>
      <c r="H8503" s="15" t="n">
        <v>4</v>
      </c>
      <c r="I8503" s="17" t="n">
        <v>0</v>
      </c>
      <c r="J8503" s="18" t="n">
        <v>499.13</v>
      </c>
      <c r="K8503" s="19" t="n">
        <v>78.6</v>
      </c>
      <c r="L8503" s="15" t="n">
        <f aca="false">YEAR(B8503)</f>
        <v>2022</v>
      </c>
      <c r="M8503" s="20" t="n">
        <f aca="false">IF(J8503&gt;0,K8503/J8503,0)</f>
        <v>0.157474004768297</v>
      </c>
    </row>
    <row r="8504" customFormat="false" ht="15" hidden="false" customHeight="false" outlineLevel="0" collapsed="false">
      <c r="A8504" s="15" t="s">
        <v>8561</v>
      </c>
      <c r="B8504" s="16" t="n">
        <v>45096</v>
      </c>
      <c r="C8504" s="15" t="s">
        <v>71</v>
      </c>
      <c r="D8504" s="15" t="s">
        <v>42</v>
      </c>
      <c r="E8504" s="15" t="s">
        <v>36</v>
      </c>
      <c r="F8504" s="15" t="s">
        <v>16</v>
      </c>
      <c r="G8504" s="15" t="s">
        <v>27</v>
      </c>
      <c r="H8504" s="15" t="n">
        <v>5</v>
      </c>
      <c r="I8504" s="17" t="n">
        <v>0</v>
      </c>
      <c r="J8504" s="18" t="n">
        <v>277.65</v>
      </c>
      <c r="K8504" s="19" t="n">
        <v>60.67</v>
      </c>
      <c r="L8504" s="15" t="n">
        <f aca="false">YEAR(B8504)</f>
        <v>2023</v>
      </c>
      <c r="M8504" s="20" t="n">
        <f aca="false">IF(J8504&gt;0,K8504/J8504,0)</f>
        <v>0.218512515757248</v>
      </c>
    </row>
    <row r="8505" customFormat="false" ht="15" hidden="false" customHeight="false" outlineLevel="0" collapsed="false">
      <c r="A8505" s="15" t="s">
        <v>8562</v>
      </c>
      <c r="B8505" s="16" t="n">
        <v>46017</v>
      </c>
      <c r="C8505" s="15" t="s">
        <v>71</v>
      </c>
      <c r="D8505" s="15" t="s">
        <v>42</v>
      </c>
      <c r="E8505" s="15" t="s">
        <v>37</v>
      </c>
      <c r="F8505" s="15" t="s">
        <v>16</v>
      </c>
      <c r="G8505" s="15" t="s">
        <v>27</v>
      </c>
      <c r="H8505" s="15" t="n">
        <v>3</v>
      </c>
      <c r="I8505" s="17" t="n">
        <v>0</v>
      </c>
      <c r="J8505" s="18" t="n">
        <v>195.77</v>
      </c>
      <c r="K8505" s="19" t="n">
        <v>42.65</v>
      </c>
      <c r="L8505" s="15" t="n">
        <f aca="false">YEAR(B8505)</f>
        <v>2025</v>
      </c>
      <c r="M8505" s="20" t="n">
        <f aca="false">IF(J8505&gt;0,K8505/J8505,0)</f>
        <v>0.217857690146601</v>
      </c>
    </row>
    <row r="8506" customFormat="false" ht="15" hidden="false" customHeight="false" outlineLevel="0" collapsed="false">
      <c r="A8506" s="15" t="s">
        <v>8563</v>
      </c>
      <c r="B8506" s="16" t="n">
        <v>45650</v>
      </c>
      <c r="C8506" s="15" t="s">
        <v>68</v>
      </c>
      <c r="D8506" s="15" t="s">
        <v>42</v>
      </c>
      <c r="E8506" s="15" t="s">
        <v>37</v>
      </c>
      <c r="F8506" s="15" t="s">
        <v>17</v>
      </c>
      <c r="G8506" s="15" t="s">
        <v>29</v>
      </c>
      <c r="H8506" s="15" t="n">
        <v>4</v>
      </c>
      <c r="I8506" s="17" t="n">
        <v>0</v>
      </c>
      <c r="J8506" s="18" t="n">
        <v>94.03</v>
      </c>
      <c r="K8506" s="19" t="n">
        <v>34.53</v>
      </c>
      <c r="L8506" s="15" t="n">
        <f aca="false">YEAR(B8506)</f>
        <v>2024</v>
      </c>
      <c r="M8506" s="20" t="n">
        <f aca="false">IF(J8506&gt;0,K8506/J8506,0)</f>
        <v>0.367223226629799</v>
      </c>
    </row>
    <row r="8507" customFormat="false" ht="15" hidden="false" customHeight="false" outlineLevel="0" collapsed="false">
      <c r="A8507" s="15" t="s">
        <v>8564</v>
      </c>
      <c r="B8507" s="16" t="n">
        <v>44832</v>
      </c>
      <c r="C8507" s="15" t="s">
        <v>58</v>
      </c>
      <c r="D8507" s="15" t="s">
        <v>43</v>
      </c>
      <c r="E8507" s="15" t="s">
        <v>37</v>
      </c>
      <c r="F8507" s="15" t="s">
        <v>18</v>
      </c>
      <c r="G8507" s="15" t="s">
        <v>30</v>
      </c>
      <c r="H8507" s="15" t="n">
        <v>1</v>
      </c>
      <c r="I8507" s="17" t="n">
        <v>0.15</v>
      </c>
      <c r="J8507" s="18" t="n">
        <v>50.09</v>
      </c>
      <c r="K8507" s="19" t="n">
        <v>8.07</v>
      </c>
      <c r="L8507" s="15" t="n">
        <f aca="false">YEAR(B8507)</f>
        <v>2022</v>
      </c>
      <c r="M8507" s="20" t="n">
        <f aca="false">IF(J8507&gt;0,K8507/J8507,0)</f>
        <v>0.161110001996406</v>
      </c>
    </row>
    <row r="8508" customFormat="false" ht="15" hidden="false" customHeight="false" outlineLevel="0" collapsed="false">
      <c r="A8508" s="15" t="s">
        <v>8565</v>
      </c>
      <c r="B8508" s="16" t="n">
        <v>45524</v>
      </c>
      <c r="C8508" s="15" t="s">
        <v>71</v>
      </c>
      <c r="D8508" s="15" t="s">
        <v>42</v>
      </c>
      <c r="E8508" s="15" t="s">
        <v>37</v>
      </c>
      <c r="F8508" s="15" t="s">
        <v>17</v>
      </c>
      <c r="G8508" s="15" t="s">
        <v>26</v>
      </c>
      <c r="H8508" s="15" t="n">
        <v>5</v>
      </c>
      <c r="I8508" s="17" t="n">
        <v>0.1</v>
      </c>
      <c r="J8508" s="18" t="n">
        <v>410.27</v>
      </c>
      <c r="K8508" s="19" t="n">
        <v>4.62</v>
      </c>
      <c r="L8508" s="15" t="n">
        <f aca="false">YEAR(B8508)</f>
        <v>2024</v>
      </c>
      <c r="M8508" s="20" t="n">
        <f aca="false">IF(J8508&gt;0,K8508/J8508,0)</f>
        <v>0.0112608769834499</v>
      </c>
    </row>
    <row r="8509" customFormat="false" ht="15" hidden="false" customHeight="false" outlineLevel="0" collapsed="false">
      <c r="A8509" s="15" t="s">
        <v>8566</v>
      </c>
      <c r="B8509" s="16" t="n">
        <v>44887</v>
      </c>
      <c r="C8509" s="15" t="s">
        <v>56</v>
      </c>
      <c r="D8509" s="15" t="s">
        <v>44</v>
      </c>
      <c r="E8509" s="15" t="s">
        <v>36</v>
      </c>
      <c r="F8509" s="15" t="s">
        <v>18</v>
      </c>
      <c r="G8509" s="15" t="s">
        <v>30</v>
      </c>
      <c r="H8509" s="15" t="n">
        <v>3</v>
      </c>
      <c r="I8509" s="17" t="n">
        <v>0.1</v>
      </c>
      <c r="J8509" s="18" t="n">
        <v>133.89</v>
      </c>
      <c r="K8509" s="19" t="n">
        <v>30.15</v>
      </c>
      <c r="L8509" s="15" t="n">
        <f aca="false">YEAR(B8509)</f>
        <v>2022</v>
      </c>
      <c r="M8509" s="20" t="n">
        <f aca="false">IF(J8509&gt;0,K8509/J8509,0)</f>
        <v>0.225184853237733</v>
      </c>
    </row>
    <row r="8510" customFormat="false" ht="15" hidden="false" customHeight="false" outlineLevel="0" collapsed="false">
      <c r="A8510" s="15" t="s">
        <v>8567</v>
      </c>
      <c r="B8510" s="16" t="n">
        <v>45776</v>
      </c>
      <c r="C8510" s="15" t="s">
        <v>56</v>
      </c>
      <c r="D8510" s="15" t="s">
        <v>42</v>
      </c>
      <c r="E8510" s="15" t="s">
        <v>39</v>
      </c>
      <c r="F8510" s="15" t="s">
        <v>17</v>
      </c>
      <c r="G8510" s="15" t="s">
        <v>26</v>
      </c>
      <c r="H8510" s="15" t="n">
        <v>2</v>
      </c>
      <c r="I8510" s="17" t="n">
        <v>0</v>
      </c>
      <c r="J8510" s="18" t="n">
        <v>179.59</v>
      </c>
      <c r="K8510" s="19" t="n">
        <v>27.19</v>
      </c>
      <c r="L8510" s="15" t="n">
        <f aca="false">YEAR(B8510)</f>
        <v>2025</v>
      </c>
      <c r="M8510" s="20" t="n">
        <f aca="false">IF(J8510&gt;0,K8510/J8510,0)</f>
        <v>0.151400412049669</v>
      </c>
    </row>
    <row r="8511" customFormat="false" ht="15" hidden="false" customHeight="false" outlineLevel="0" collapsed="false">
      <c r="A8511" s="15" t="s">
        <v>8568</v>
      </c>
      <c r="B8511" s="16" t="n">
        <v>45069</v>
      </c>
      <c r="C8511" s="15" t="s">
        <v>71</v>
      </c>
      <c r="D8511" s="15" t="s">
        <v>42</v>
      </c>
      <c r="E8511" s="15" t="s">
        <v>39</v>
      </c>
      <c r="F8511" s="15" t="s">
        <v>17</v>
      </c>
      <c r="G8511" s="15" t="s">
        <v>26</v>
      </c>
      <c r="H8511" s="15" t="n">
        <v>2</v>
      </c>
      <c r="I8511" s="17" t="n">
        <v>0</v>
      </c>
      <c r="J8511" s="18" t="n">
        <v>185.52</v>
      </c>
      <c r="K8511" s="19" t="n">
        <v>23.63</v>
      </c>
      <c r="L8511" s="15" t="n">
        <f aca="false">YEAR(B8511)</f>
        <v>2023</v>
      </c>
      <c r="M8511" s="20" t="n">
        <f aca="false">IF(J8511&gt;0,K8511/J8511,0)</f>
        <v>0.127371711944804</v>
      </c>
    </row>
    <row r="8512" customFormat="false" ht="15" hidden="false" customHeight="false" outlineLevel="0" collapsed="false">
      <c r="A8512" s="15" t="s">
        <v>8569</v>
      </c>
      <c r="B8512" s="16" t="n">
        <v>44790</v>
      </c>
      <c r="C8512" s="15" t="s">
        <v>56</v>
      </c>
      <c r="D8512" s="15" t="s">
        <v>43</v>
      </c>
      <c r="E8512" s="15" t="s">
        <v>39</v>
      </c>
      <c r="F8512" s="15" t="s">
        <v>17</v>
      </c>
      <c r="G8512" s="15" t="s">
        <v>28</v>
      </c>
      <c r="H8512" s="15" t="n">
        <v>3</v>
      </c>
      <c r="I8512" s="17" t="n">
        <v>0</v>
      </c>
      <c r="J8512" s="18" t="n">
        <v>89.01</v>
      </c>
      <c r="K8512" s="19" t="n">
        <v>28.25</v>
      </c>
      <c r="L8512" s="15" t="n">
        <f aca="false">YEAR(B8512)</f>
        <v>2022</v>
      </c>
      <c r="M8512" s="20" t="n">
        <f aca="false">IF(J8512&gt;0,K8512/J8512,0)</f>
        <v>0.317380069655095</v>
      </c>
    </row>
    <row r="8513" customFormat="false" ht="15" hidden="false" customHeight="false" outlineLevel="0" collapsed="false">
      <c r="A8513" s="15" t="s">
        <v>8570</v>
      </c>
      <c r="B8513" s="16" t="n">
        <v>45803</v>
      </c>
      <c r="C8513" s="15" t="s">
        <v>56</v>
      </c>
      <c r="D8513" s="15" t="s">
        <v>43</v>
      </c>
      <c r="E8513" s="15" t="s">
        <v>36</v>
      </c>
      <c r="F8513" s="15" t="s">
        <v>17</v>
      </c>
      <c r="G8513" s="15" t="s">
        <v>26</v>
      </c>
      <c r="H8513" s="15" t="n">
        <v>2</v>
      </c>
      <c r="I8513" s="17" t="n">
        <v>0.05</v>
      </c>
      <c r="J8513" s="18" t="n">
        <v>183.75</v>
      </c>
      <c r="K8513" s="19" t="n">
        <v>1.76</v>
      </c>
      <c r="L8513" s="15" t="n">
        <f aca="false">YEAR(B8513)</f>
        <v>2025</v>
      </c>
      <c r="M8513" s="20" t="n">
        <f aca="false">IF(J8513&gt;0,K8513/J8513,0)</f>
        <v>0.00957823129251701</v>
      </c>
    </row>
    <row r="8514" customFormat="false" ht="15" hidden="false" customHeight="false" outlineLevel="0" collapsed="false">
      <c r="A8514" s="15" t="s">
        <v>8571</v>
      </c>
      <c r="B8514" s="16" t="n">
        <v>45726</v>
      </c>
      <c r="C8514" s="15" t="s">
        <v>56</v>
      </c>
      <c r="D8514" s="15" t="s">
        <v>43</v>
      </c>
      <c r="E8514" s="15" t="s">
        <v>38</v>
      </c>
      <c r="F8514" s="15" t="s">
        <v>17</v>
      </c>
      <c r="G8514" s="15" t="s">
        <v>28</v>
      </c>
      <c r="H8514" s="15" t="n">
        <v>3</v>
      </c>
      <c r="I8514" s="17" t="n">
        <v>0</v>
      </c>
      <c r="J8514" s="18" t="n">
        <v>74.84</v>
      </c>
      <c r="K8514" s="19" t="n">
        <v>25.23</v>
      </c>
      <c r="L8514" s="15" t="n">
        <f aca="false">YEAR(B8514)</f>
        <v>2025</v>
      </c>
      <c r="M8514" s="20" t="n">
        <f aca="false">IF(J8514&gt;0,K8514/J8514,0)</f>
        <v>0.337119187600214</v>
      </c>
    </row>
    <row r="8515" customFormat="false" ht="15" hidden="false" customHeight="false" outlineLevel="0" collapsed="false">
      <c r="A8515" s="15" t="s">
        <v>8572</v>
      </c>
      <c r="B8515" s="16" t="n">
        <v>45451</v>
      </c>
      <c r="C8515" s="15" t="s">
        <v>56</v>
      </c>
      <c r="D8515" s="15" t="s">
        <v>42</v>
      </c>
      <c r="E8515" s="15" t="s">
        <v>36</v>
      </c>
      <c r="F8515" s="15" t="s">
        <v>17</v>
      </c>
      <c r="G8515" s="15" t="s">
        <v>29</v>
      </c>
      <c r="H8515" s="15" t="n">
        <v>4</v>
      </c>
      <c r="I8515" s="17" t="n">
        <v>0.15</v>
      </c>
      <c r="J8515" s="18" t="n">
        <v>52.23</v>
      </c>
      <c r="K8515" s="19" t="n">
        <v>14.39</v>
      </c>
      <c r="L8515" s="15" t="n">
        <f aca="false">YEAR(B8515)</f>
        <v>2024</v>
      </c>
      <c r="M8515" s="20" t="n">
        <f aca="false">IF(J8515&gt;0,K8515/J8515,0)</f>
        <v>0.275512157763737</v>
      </c>
    </row>
    <row r="8516" customFormat="false" ht="15" hidden="false" customHeight="false" outlineLevel="0" collapsed="false">
      <c r="A8516" s="15" t="s">
        <v>8573</v>
      </c>
      <c r="B8516" s="16" t="n">
        <v>45735</v>
      </c>
      <c r="C8516" s="15" t="s">
        <v>56</v>
      </c>
      <c r="D8516" s="15" t="s">
        <v>42</v>
      </c>
      <c r="E8516" s="15" t="s">
        <v>37</v>
      </c>
      <c r="F8516" s="15" t="s">
        <v>17</v>
      </c>
      <c r="G8516" s="15" t="s">
        <v>28</v>
      </c>
      <c r="H8516" s="15" t="n">
        <v>6</v>
      </c>
      <c r="I8516" s="17" t="n">
        <v>0</v>
      </c>
      <c r="J8516" s="18" t="n">
        <v>175</v>
      </c>
      <c r="K8516" s="19" t="n">
        <v>48.75</v>
      </c>
      <c r="L8516" s="15" t="n">
        <f aca="false">YEAR(B8516)</f>
        <v>2025</v>
      </c>
      <c r="M8516" s="20" t="n">
        <f aca="false">IF(J8516&gt;0,K8516/J8516,0)</f>
        <v>0.278571428571429</v>
      </c>
    </row>
    <row r="8517" customFormat="false" ht="15" hidden="false" customHeight="false" outlineLevel="0" collapsed="false">
      <c r="A8517" s="15" t="s">
        <v>8574</v>
      </c>
      <c r="B8517" s="16" t="n">
        <v>45913</v>
      </c>
      <c r="C8517" s="15" t="s">
        <v>71</v>
      </c>
      <c r="D8517" s="15" t="s">
        <v>42</v>
      </c>
      <c r="E8517" s="15" t="s">
        <v>36</v>
      </c>
      <c r="F8517" s="15" t="s">
        <v>18</v>
      </c>
      <c r="G8517" s="15" t="s">
        <v>32</v>
      </c>
      <c r="H8517" s="15" t="n">
        <v>3</v>
      </c>
      <c r="I8517" s="17" t="n">
        <v>0.2</v>
      </c>
      <c r="J8517" s="18" t="n">
        <v>956.43</v>
      </c>
      <c r="K8517" s="19" t="n">
        <v>-6.23</v>
      </c>
      <c r="L8517" s="15" t="n">
        <f aca="false">YEAR(B8517)</f>
        <v>2025</v>
      </c>
      <c r="M8517" s="20" t="n">
        <f aca="false">IF(J8517&gt;0,K8517/J8517,0)</f>
        <v>-0.00651380655144653</v>
      </c>
    </row>
    <row r="8518" customFormat="false" ht="15" hidden="false" customHeight="false" outlineLevel="0" collapsed="false">
      <c r="A8518" s="15" t="s">
        <v>8575</v>
      </c>
      <c r="B8518" s="16" t="n">
        <v>45361</v>
      </c>
      <c r="C8518" s="15" t="s">
        <v>71</v>
      </c>
      <c r="D8518" s="15" t="s">
        <v>42</v>
      </c>
      <c r="E8518" s="15" t="s">
        <v>36</v>
      </c>
      <c r="F8518" s="15" t="s">
        <v>16</v>
      </c>
      <c r="G8518" s="15" t="s">
        <v>25</v>
      </c>
      <c r="H8518" s="15" t="n">
        <v>2</v>
      </c>
      <c r="I8518" s="17" t="n">
        <v>0.05</v>
      </c>
      <c r="J8518" s="18" t="n">
        <v>476.19</v>
      </c>
      <c r="K8518" s="19" t="n">
        <v>24.27</v>
      </c>
      <c r="L8518" s="15" t="n">
        <f aca="false">YEAR(B8518)</f>
        <v>2024</v>
      </c>
      <c r="M8518" s="20" t="n">
        <f aca="false">IF(J8518&gt;0,K8518/J8518,0)</f>
        <v>0.050967050967051</v>
      </c>
    </row>
    <row r="8519" customFormat="false" ht="15" hidden="false" customHeight="false" outlineLevel="0" collapsed="false">
      <c r="A8519" s="15" t="s">
        <v>8576</v>
      </c>
      <c r="B8519" s="16" t="n">
        <v>45531</v>
      </c>
      <c r="C8519" s="15" t="s">
        <v>56</v>
      </c>
      <c r="D8519" s="15" t="s">
        <v>43</v>
      </c>
      <c r="E8519" s="15" t="s">
        <v>39</v>
      </c>
      <c r="F8519" s="15" t="s">
        <v>18</v>
      </c>
      <c r="G8519" s="15" t="s">
        <v>32</v>
      </c>
      <c r="H8519" s="15" t="n">
        <v>3</v>
      </c>
      <c r="I8519" s="17" t="n">
        <v>0</v>
      </c>
      <c r="J8519" s="18" t="n">
        <v>1260.82</v>
      </c>
      <c r="K8519" s="19" t="n">
        <v>150.77</v>
      </c>
      <c r="L8519" s="15" t="n">
        <f aca="false">YEAR(B8519)</f>
        <v>2024</v>
      </c>
      <c r="M8519" s="20" t="n">
        <f aca="false">IF(J8519&gt;0,K8519/J8519,0)</f>
        <v>0.119580907663267</v>
      </c>
    </row>
    <row r="8520" customFormat="false" ht="15" hidden="false" customHeight="false" outlineLevel="0" collapsed="false">
      <c r="A8520" s="15" t="s">
        <v>8577</v>
      </c>
      <c r="B8520" s="16" t="n">
        <v>45818</v>
      </c>
      <c r="C8520" s="15" t="s">
        <v>58</v>
      </c>
      <c r="D8520" s="15" t="s">
        <v>44</v>
      </c>
      <c r="E8520" s="15" t="s">
        <v>38</v>
      </c>
      <c r="F8520" s="15" t="s">
        <v>16</v>
      </c>
      <c r="G8520" s="15" t="s">
        <v>25</v>
      </c>
      <c r="H8520" s="15" t="n">
        <v>2</v>
      </c>
      <c r="I8520" s="17" t="n">
        <v>0</v>
      </c>
      <c r="J8520" s="18" t="n">
        <v>623.11</v>
      </c>
      <c r="K8520" s="19" t="n">
        <v>24.02</v>
      </c>
      <c r="L8520" s="15" t="n">
        <f aca="false">YEAR(B8520)</f>
        <v>2025</v>
      </c>
      <c r="M8520" s="20" t="n">
        <f aca="false">IF(J8520&gt;0,K8520/J8520,0)</f>
        <v>0.0385485708783361</v>
      </c>
    </row>
    <row r="8521" customFormat="false" ht="15" hidden="false" customHeight="false" outlineLevel="0" collapsed="false">
      <c r="A8521" s="15" t="s">
        <v>8578</v>
      </c>
      <c r="B8521" s="16" t="n">
        <v>45432</v>
      </c>
      <c r="C8521" s="15" t="s">
        <v>71</v>
      </c>
      <c r="D8521" s="15" t="s">
        <v>42</v>
      </c>
      <c r="E8521" s="15" t="s">
        <v>36</v>
      </c>
      <c r="F8521" s="15" t="s">
        <v>17</v>
      </c>
      <c r="G8521" s="15" t="s">
        <v>26</v>
      </c>
      <c r="H8521" s="15" t="n">
        <v>3</v>
      </c>
      <c r="I8521" s="17" t="n">
        <v>0.2</v>
      </c>
      <c r="J8521" s="18" t="n">
        <v>180.41</v>
      </c>
      <c r="K8521" s="19" t="n">
        <v>-13.09</v>
      </c>
      <c r="L8521" s="15" t="n">
        <f aca="false">YEAR(B8521)</f>
        <v>2024</v>
      </c>
      <c r="M8521" s="20" t="n">
        <f aca="false">IF(J8521&gt;0,K8521/J8521,0)</f>
        <v>-0.072556953605676</v>
      </c>
    </row>
    <row r="8522" customFormat="false" ht="15" hidden="false" customHeight="false" outlineLevel="0" collapsed="false">
      <c r="A8522" s="15" t="s">
        <v>8579</v>
      </c>
      <c r="B8522" s="16" t="n">
        <v>45689</v>
      </c>
      <c r="C8522" s="15" t="s">
        <v>68</v>
      </c>
      <c r="D8522" s="15" t="s">
        <v>42</v>
      </c>
      <c r="E8522" s="15" t="s">
        <v>37</v>
      </c>
      <c r="F8522" s="15" t="s">
        <v>17</v>
      </c>
      <c r="G8522" s="15" t="s">
        <v>28</v>
      </c>
      <c r="H8522" s="15" t="n">
        <v>5</v>
      </c>
      <c r="I8522" s="17" t="n">
        <v>0</v>
      </c>
      <c r="J8522" s="18" t="n">
        <v>120.32</v>
      </c>
      <c r="K8522" s="19" t="n">
        <v>30.08</v>
      </c>
      <c r="L8522" s="15" t="n">
        <f aca="false">YEAR(B8522)</f>
        <v>2025</v>
      </c>
      <c r="M8522" s="20" t="n">
        <f aca="false">IF(J8522&gt;0,K8522/J8522,0)</f>
        <v>0.25</v>
      </c>
    </row>
    <row r="8523" customFormat="false" ht="15" hidden="false" customHeight="false" outlineLevel="0" collapsed="false">
      <c r="A8523" s="15" t="s">
        <v>8580</v>
      </c>
      <c r="B8523" s="16" t="n">
        <v>45526</v>
      </c>
      <c r="C8523" s="15" t="s">
        <v>56</v>
      </c>
      <c r="D8523" s="15" t="s">
        <v>43</v>
      </c>
      <c r="E8523" s="15" t="s">
        <v>36</v>
      </c>
      <c r="F8523" s="15" t="s">
        <v>17</v>
      </c>
      <c r="G8523" s="15" t="s">
        <v>28</v>
      </c>
      <c r="H8523" s="15" t="n">
        <v>6</v>
      </c>
      <c r="I8523" s="17" t="n">
        <v>0.05</v>
      </c>
      <c r="J8523" s="18" t="n">
        <v>146.52</v>
      </c>
      <c r="K8523" s="19" t="n">
        <v>30.21</v>
      </c>
      <c r="L8523" s="15" t="n">
        <f aca="false">YEAR(B8523)</f>
        <v>2024</v>
      </c>
      <c r="M8523" s="20" t="n">
        <f aca="false">IF(J8523&gt;0,K8523/J8523,0)</f>
        <v>0.206183456183456</v>
      </c>
    </row>
    <row r="8524" customFormat="false" ht="15" hidden="false" customHeight="false" outlineLevel="0" collapsed="false">
      <c r="A8524" s="15" t="s">
        <v>8581</v>
      </c>
      <c r="B8524" s="16" t="n">
        <v>45501</v>
      </c>
      <c r="C8524" s="15" t="s">
        <v>71</v>
      </c>
      <c r="D8524" s="15" t="s">
        <v>42</v>
      </c>
      <c r="E8524" s="15" t="s">
        <v>37</v>
      </c>
      <c r="F8524" s="15" t="s">
        <v>17</v>
      </c>
      <c r="G8524" s="15" t="s">
        <v>29</v>
      </c>
      <c r="H8524" s="15" t="n">
        <v>3</v>
      </c>
      <c r="I8524" s="17" t="n">
        <v>0.3</v>
      </c>
      <c r="J8524" s="18" t="n">
        <v>39.87</v>
      </c>
      <c r="K8524" s="19" t="n">
        <v>1.86</v>
      </c>
      <c r="L8524" s="15" t="n">
        <f aca="false">YEAR(B8524)</f>
        <v>2024</v>
      </c>
      <c r="M8524" s="20" t="n">
        <f aca="false">IF(J8524&gt;0,K8524/J8524,0)</f>
        <v>0.0466516177577126</v>
      </c>
    </row>
    <row r="8525" customFormat="false" ht="15" hidden="false" customHeight="false" outlineLevel="0" collapsed="false">
      <c r="A8525" s="15" t="s">
        <v>8582</v>
      </c>
      <c r="B8525" s="16" t="n">
        <v>45896</v>
      </c>
      <c r="C8525" s="15" t="s">
        <v>56</v>
      </c>
      <c r="D8525" s="15" t="s">
        <v>42</v>
      </c>
      <c r="E8525" s="15" t="s">
        <v>39</v>
      </c>
      <c r="F8525" s="15" t="s">
        <v>17</v>
      </c>
      <c r="G8525" s="15" t="s">
        <v>26</v>
      </c>
      <c r="H8525" s="15" t="n">
        <v>4</v>
      </c>
      <c r="I8525" s="17" t="n">
        <v>0.2</v>
      </c>
      <c r="J8525" s="18" t="n">
        <v>276.27</v>
      </c>
      <c r="K8525" s="19" t="n">
        <v>-15.97</v>
      </c>
      <c r="L8525" s="15" t="n">
        <f aca="false">YEAR(B8525)</f>
        <v>2025</v>
      </c>
      <c r="M8525" s="20" t="n">
        <f aca="false">IF(J8525&gt;0,K8525/J8525,0)</f>
        <v>-0.0578057697180295</v>
      </c>
    </row>
    <row r="8526" customFormat="false" ht="15" hidden="false" customHeight="false" outlineLevel="0" collapsed="false">
      <c r="A8526" s="15" t="s">
        <v>8583</v>
      </c>
      <c r="B8526" s="16" t="n">
        <v>45000</v>
      </c>
      <c r="C8526" s="15" t="s">
        <v>71</v>
      </c>
      <c r="D8526" s="15" t="s">
        <v>42</v>
      </c>
      <c r="E8526" s="15" t="s">
        <v>39</v>
      </c>
      <c r="F8526" s="15" t="s">
        <v>17</v>
      </c>
      <c r="G8526" s="15" t="s">
        <v>26</v>
      </c>
      <c r="H8526" s="15" t="n">
        <v>4</v>
      </c>
      <c r="I8526" s="17" t="n">
        <v>0.15</v>
      </c>
      <c r="J8526" s="18" t="n">
        <v>296.85</v>
      </c>
      <c r="K8526" s="19" t="n">
        <v>-16.12</v>
      </c>
      <c r="L8526" s="15" t="n">
        <f aca="false">YEAR(B8526)</f>
        <v>2023</v>
      </c>
      <c r="M8526" s="20" t="n">
        <f aca="false">IF(J8526&gt;0,K8526/J8526,0)</f>
        <v>-0.054303520296446</v>
      </c>
    </row>
    <row r="8527" customFormat="false" ht="15" hidden="false" customHeight="false" outlineLevel="0" collapsed="false">
      <c r="A8527" s="15" t="s">
        <v>8584</v>
      </c>
      <c r="B8527" s="16" t="n">
        <v>44810</v>
      </c>
      <c r="C8527" s="15" t="s">
        <v>68</v>
      </c>
      <c r="D8527" s="15" t="s">
        <v>42</v>
      </c>
      <c r="E8527" s="15" t="s">
        <v>37</v>
      </c>
      <c r="F8527" s="15" t="s">
        <v>17</v>
      </c>
      <c r="G8527" s="15" t="s">
        <v>26</v>
      </c>
      <c r="H8527" s="15" t="n">
        <v>1</v>
      </c>
      <c r="I8527" s="17" t="n">
        <v>0.4</v>
      </c>
      <c r="J8527" s="18" t="n">
        <v>56.55</v>
      </c>
      <c r="K8527" s="19" t="n">
        <v>-17.14</v>
      </c>
      <c r="L8527" s="15" t="n">
        <f aca="false">YEAR(B8527)</f>
        <v>2022</v>
      </c>
      <c r="M8527" s="20" t="n">
        <f aca="false">IF(J8527&gt;0,K8527/J8527,0)</f>
        <v>-0.303094606542882</v>
      </c>
    </row>
    <row r="8528" customFormat="false" ht="15" hidden="false" customHeight="false" outlineLevel="0" collapsed="false">
      <c r="A8528" s="15" t="s">
        <v>8585</v>
      </c>
      <c r="B8528" s="16" t="n">
        <v>44828</v>
      </c>
      <c r="C8528" s="15" t="s">
        <v>68</v>
      </c>
      <c r="D8528" s="15" t="s">
        <v>42</v>
      </c>
      <c r="E8528" s="15" t="s">
        <v>37</v>
      </c>
      <c r="F8528" s="15" t="s">
        <v>17</v>
      </c>
      <c r="G8528" s="15" t="s">
        <v>26</v>
      </c>
      <c r="H8528" s="15" t="n">
        <v>1</v>
      </c>
      <c r="I8528" s="17" t="n">
        <v>0</v>
      </c>
      <c r="J8528" s="18" t="n">
        <v>81.51</v>
      </c>
      <c r="K8528" s="19" t="n">
        <v>7.88</v>
      </c>
      <c r="L8528" s="15" t="n">
        <f aca="false">YEAR(B8528)</f>
        <v>2022</v>
      </c>
      <c r="M8528" s="20" t="n">
        <f aca="false">IF(J8528&gt;0,K8528/J8528,0)</f>
        <v>0.0966752545699914</v>
      </c>
    </row>
    <row r="8529" customFormat="false" ht="15" hidden="false" customHeight="false" outlineLevel="0" collapsed="false">
      <c r="A8529" s="15" t="s">
        <v>8586</v>
      </c>
      <c r="B8529" s="16" t="n">
        <v>45250</v>
      </c>
      <c r="C8529" s="15" t="s">
        <v>56</v>
      </c>
      <c r="D8529" s="15" t="s">
        <v>42</v>
      </c>
      <c r="E8529" s="15" t="s">
        <v>39</v>
      </c>
      <c r="F8529" s="15" t="s">
        <v>18</v>
      </c>
      <c r="G8529" s="15" t="s">
        <v>32</v>
      </c>
      <c r="H8529" s="15" t="n">
        <v>4</v>
      </c>
      <c r="I8529" s="17" t="n">
        <v>0.05</v>
      </c>
      <c r="J8529" s="18" t="n">
        <v>2101.14</v>
      </c>
      <c r="K8529" s="19" t="n">
        <v>338.61</v>
      </c>
      <c r="L8529" s="15" t="n">
        <f aca="false">YEAR(B8529)</f>
        <v>2023</v>
      </c>
      <c r="M8529" s="20" t="n">
        <f aca="false">IF(J8529&gt;0,K8529/J8529,0)</f>
        <v>0.161155372797624</v>
      </c>
    </row>
    <row r="8530" customFormat="false" ht="15" hidden="false" customHeight="false" outlineLevel="0" collapsed="false">
      <c r="A8530" s="15" t="s">
        <v>8587</v>
      </c>
      <c r="B8530" s="16" t="n">
        <v>45867</v>
      </c>
      <c r="C8530" s="15" t="s">
        <v>56</v>
      </c>
      <c r="D8530" s="15" t="s">
        <v>42</v>
      </c>
      <c r="E8530" s="15" t="s">
        <v>36</v>
      </c>
      <c r="F8530" s="15" t="s">
        <v>17</v>
      </c>
      <c r="G8530" s="15" t="s">
        <v>29</v>
      </c>
      <c r="H8530" s="15" t="n">
        <v>4</v>
      </c>
      <c r="I8530" s="17" t="n">
        <v>0</v>
      </c>
      <c r="J8530" s="18" t="n">
        <v>68.91</v>
      </c>
      <c r="K8530" s="19" t="n">
        <v>26.29</v>
      </c>
      <c r="L8530" s="15" t="n">
        <f aca="false">YEAR(B8530)</f>
        <v>2025</v>
      </c>
      <c r="M8530" s="20" t="n">
        <f aca="false">IF(J8530&gt;0,K8530/J8530,0)</f>
        <v>0.38151211725439</v>
      </c>
    </row>
    <row r="8531" customFormat="false" ht="15" hidden="false" customHeight="false" outlineLevel="0" collapsed="false">
      <c r="A8531" s="15" t="s">
        <v>8588</v>
      </c>
      <c r="B8531" s="16" t="n">
        <v>45563</v>
      </c>
      <c r="C8531" s="15" t="s">
        <v>71</v>
      </c>
      <c r="D8531" s="15" t="s">
        <v>42</v>
      </c>
      <c r="E8531" s="15" t="s">
        <v>39</v>
      </c>
      <c r="F8531" s="15" t="s">
        <v>17</v>
      </c>
      <c r="G8531" s="15" t="s">
        <v>29</v>
      </c>
      <c r="H8531" s="15" t="n">
        <v>3</v>
      </c>
      <c r="I8531" s="17" t="n">
        <v>0.15</v>
      </c>
      <c r="J8531" s="18" t="n">
        <v>44.96</v>
      </c>
      <c r="K8531" s="19" t="n">
        <v>12.14</v>
      </c>
      <c r="L8531" s="15" t="n">
        <f aca="false">YEAR(B8531)</f>
        <v>2024</v>
      </c>
      <c r="M8531" s="20" t="n">
        <f aca="false">IF(J8531&gt;0,K8531/J8531,0)</f>
        <v>0.270017793594306</v>
      </c>
    </row>
    <row r="8532" customFormat="false" ht="15" hidden="false" customHeight="false" outlineLevel="0" collapsed="false">
      <c r="A8532" s="15" t="s">
        <v>8589</v>
      </c>
      <c r="B8532" s="16" t="n">
        <v>45797</v>
      </c>
      <c r="C8532" s="15" t="s">
        <v>71</v>
      </c>
      <c r="D8532" s="15" t="s">
        <v>42</v>
      </c>
      <c r="E8532" s="15" t="s">
        <v>39</v>
      </c>
      <c r="F8532" s="15" t="s">
        <v>17</v>
      </c>
      <c r="G8532" s="15" t="s">
        <v>31</v>
      </c>
      <c r="H8532" s="15" t="n">
        <v>6</v>
      </c>
      <c r="I8532" s="17" t="n">
        <v>0</v>
      </c>
      <c r="J8532" s="18" t="n">
        <v>747.37</v>
      </c>
      <c r="K8532" s="19" t="n">
        <v>133.62</v>
      </c>
      <c r="L8532" s="15" t="n">
        <f aca="false">YEAR(B8532)</f>
        <v>2025</v>
      </c>
      <c r="M8532" s="20" t="n">
        <f aca="false">IF(J8532&gt;0,K8532/J8532,0)</f>
        <v>0.178786946224762</v>
      </c>
    </row>
    <row r="8533" customFormat="false" ht="15" hidden="false" customHeight="false" outlineLevel="0" collapsed="false">
      <c r="A8533" s="15" t="s">
        <v>8590</v>
      </c>
      <c r="B8533" s="16" t="n">
        <v>45393</v>
      </c>
      <c r="C8533" s="15" t="s">
        <v>56</v>
      </c>
      <c r="D8533" s="15" t="s">
        <v>44</v>
      </c>
      <c r="E8533" s="15" t="s">
        <v>39</v>
      </c>
      <c r="F8533" s="15" t="s">
        <v>17</v>
      </c>
      <c r="G8533" s="15" t="s">
        <v>29</v>
      </c>
      <c r="H8533" s="15" t="n">
        <v>6</v>
      </c>
      <c r="I8533" s="17" t="n">
        <v>0</v>
      </c>
      <c r="J8533" s="18" t="n">
        <v>104.58</v>
      </c>
      <c r="K8533" s="19" t="n">
        <v>36.42</v>
      </c>
      <c r="L8533" s="15" t="n">
        <f aca="false">YEAR(B8533)</f>
        <v>2024</v>
      </c>
      <c r="M8533" s="20" t="n">
        <f aca="false">IF(J8533&gt;0,K8533/J8533,0)</f>
        <v>0.348250143430866</v>
      </c>
    </row>
    <row r="8534" customFormat="false" ht="15" hidden="false" customHeight="false" outlineLevel="0" collapsed="false">
      <c r="A8534" s="15" t="s">
        <v>8591</v>
      </c>
      <c r="B8534" s="16" t="n">
        <v>45806</v>
      </c>
      <c r="C8534" s="15" t="s">
        <v>68</v>
      </c>
      <c r="D8534" s="15" t="s">
        <v>43</v>
      </c>
      <c r="E8534" s="15" t="s">
        <v>38</v>
      </c>
      <c r="F8534" s="15" t="s">
        <v>17</v>
      </c>
      <c r="G8534" s="15" t="s">
        <v>29</v>
      </c>
      <c r="H8534" s="15" t="n">
        <v>1</v>
      </c>
      <c r="I8534" s="17" t="n">
        <v>0.2</v>
      </c>
      <c r="J8534" s="18" t="n">
        <v>15.63</v>
      </c>
      <c r="K8534" s="19" t="n">
        <v>2.71</v>
      </c>
      <c r="L8534" s="15" t="n">
        <f aca="false">YEAR(B8534)</f>
        <v>2025</v>
      </c>
      <c r="M8534" s="20" t="n">
        <f aca="false">IF(J8534&gt;0,K8534/J8534,0)</f>
        <v>0.173384516954575</v>
      </c>
    </row>
    <row r="8535" customFormat="false" ht="15" hidden="false" customHeight="false" outlineLevel="0" collapsed="false">
      <c r="A8535" s="15" t="s">
        <v>8592</v>
      </c>
      <c r="B8535" s="16" t="n">
        <v>45474</v>
      </c>
      <c r="C8535" s="15" t="s">
        <v>56</v>
      </c>
      <c r="D8535" s="15" t="s">
        <v>43</v>
      </c>
      <c r="E8535" s="15" t="s">
        <v>38</v>
      </c>
      <c r="F8535" s="15" t="s">
        <v>17</v>
      </c>
      <c r="G8535" s="15" t="s">
        <v>28</v>
      </c>
      <c r="H8535" s="15" t="n">
        <v>4</v>
      </c>
      <c r="I8535" s="17" t="n">
        <v>0.2</v>
      </c>
      <c r="J8535" s="18" t="n">
        <v>85.9</v>
      </c>
      <c r="K8535" s="19" t="n">
        <v>8.06</v>
      </c>
      <c r="L8535" s="15" t="n">
        <f aca="false">YEAR(B8535)</f>
        <v>2024</v>
      </c>
      <c r="M8535" s="20" t="n">
        <f aca="false">IF(J8535&gt;0,K8535/J8535,0)</f>
        <v>0.0938300349243306</v>
      </c>
    </row>
    <row r="8536" customFormat="false" ht="15" hidden="false" customHeight="false" outlineLevel="0" collapsed="false">
      <c r="A8536" s="15" t="s">
        <v>8593</v>
      </c>
      <c r="B8536" s="16" t="n">
        <v>45956</v>
      </c>
      <c r="C8536" s="15" t="s">
        <v>68</v>
      </c>
      <c r="D8536" s="15" t="s">
        <v>44</v>
      </c>
      <c r="E8536" s="15" t="s">
        <v>37</v>
      </c>
      <c r="F8536" s="15" t="s">
        <v>17</v>
      </c>
      <c r="G8536" s="15" t="s">
        <v>26</v>
      </c>
      <c r="H8536" s="15" t="n">
        <v>5</v>
      </c>
      <c r="I8536" s="17" t="n">
        <v>0</v>
      </c>
      <c r="J8536" s="18" t="n">
        <v>577.61</v>
      </c>
      <c r="K8536" s="19" t="n">
        <v>82.32</v>
      </c>
      <c r="L8536" s="15" t="n">
        <f aca="false">YEAR(B8536)</f>
        <v>2025</v>
      </c>
      <c r="M8536" s="20" t="n">
        <f aca="false">IF(J8536&gt;0,K8536/J8536,0)</f>
        <v>0.142518308201035</v>
      </c>
    </row>
    <row r="8537" customFormat="false" ht="15" hidden="false" customHeight="false" outlineLevel="0" collapsed="false">
      <c r="A8537" s="15" t="s">
        <v>8594</v>
      </c>
      <c r="B8537" s="16" t="n">
        <v>45470</v>
      </c>
      <c r="C8537" s="15" t="s">
        <v>56</v>
      </c>
      <c r="D8537" s="15" t="s">
        <v>42</v>
      </c>
      <c r="E8537" s="15" t="s">
        <v>37</v>
      </c>
      <c r="F8537" s="15" t="s">
        <v>17</v>
      </c>
      <c r="G8537" s="15" t="s">
        <v>26</v>
      </c>
      <c r="H8537" s="15" t="n">
        <v>5</v>
      </c>
      <c r="I8537" s="17" t="n">
        <v>0.15</v>
      </c>
      <c r="J8537" s="18" t="n">
        <v>300.79</v>
      </c>
      <c r="K8537" s="19" t="n">
        <v>-18.15</v>
      </c>
      <c r="L8537" s="15" t="n">
        <f aca="false">YEAR(B8537)</f>
        <v>2024</v>
      </c>
      <c r="M8537" s="20" t="n">
        <f aca="false">IF(J8537&gt;0,K8537/J8537,0)</f>
        <v>-0.0603411017653512</v>
      </c>
    </row>
    <row r="8538" customFormat="false" ht="15" hidden="false" customHeight="false" outlineLevel="0" collapsed="false">
      <c r="A8538" s="15" t="s">
        <v>8595</v>
      </c>
      <c r="B8538" s="16" t="n">
        <v>45114</v>
      </c>
      <c r="C8538" s="15" t="s">
        <v>58</v>
      </c>
      <c r="D8538" s="15" t="s">
        <v>44</v>
      </c>
      <c r="E8538" s="15" t="s">
        <v>38</v>
      </c>
      <c r="F8538" s="15" t="s">
        <v>17</v>
      </c>
      <c r="G8538" s="15" t="s">
        <v>28</v>
      </c>
      <c r="H8538" s="15" t="n">
        <v>3</v>
      </c>
      <c r="I8538" s="17" t="n">
        <v>0.1</v>
      </c>
      <c r="J8538" s="18" t="n">
        <v>69.58</v>
      </c>
      <c r="K8538" s="19" t="n">
        <v>12.77</v>
      </c>
      <c r="L8538" s="15" t="n">
        <f aca="false">YEAR(B8538)</f>
        <v>2023</v>
      </c>
      <c r="M8538" s="20" t="n">
        <f aca="false">IF(J8538&gt;0,K8538/J8538,0)</f>
        <v>0.18352974992814</v>
      </c>
    </row>
    <row r="8539" customFormat="false" ht="15" hidden="false" customHeight="false" outlineLevel="0" collapsed="false">
      <c r="A8539" s="15" t="s">
        <v>8596</v>
      </c>
      <c r="B8539" s="16" t="n">
        <v>44736</v>
      </c>
      <c r="C8539" s="15" t="s">
        <v>58</v>
      </c>
      <c r="D8539" s="15" t="s">
        <v>43</v>
      </c>
      <c r="E8539" s="15" t="s">
        <v>39</v>
      </c>
      <c r="F8539" s="15" t="s">
        <v>18</v>
      </c>
      <c r="G8539" s="15" t="s">
        <v>30</v>
      </c>
      <c r="H8539" s="15" t="n">
        <v>2</v>
      </c>
      <c r="I8539" s="17" t="n">
        <v>0.15</v>
      </c>
      <c r="J8539" s="18" t="n">
        <v>74.74</v>
      </c>
      <c r="K8539" s="19" t="n">
        <v>9.2</v>
      </c>
      <c r="L8539" s="15" t="n">
        <f aca="false">YEAR(B8539)</f>
        <v>2022</v>
      </c>
      <c r="M8539" s="20" t="n">
        <f aca="false">IF(J8539&gt;0,K8539/J8539,0)</f>
        <v>0.123093390420123</v>
      </c>
    </row>
    <row r="8540" customFormat="false" ht="15" hidden="false" customHeight="false" outlineLevel="0" collapsed="false">
      <c r="A8540" s="15" t="s">
        <v>8597</v>
      </c>
      <c r="B8540" s="16" t="n">
        <v>45064</v>
      </c>
      <c r="C8540" s="15" t="s">
        <v>56</v>
      </c>
      <c r="D8540" s="15" t="s">
        <v>43</v>
      </c>
      <c r="E8540" s="15" t="s">
        <v>39</v>
      </c>
      <c r="F8540" s="15" t="s">
        <v>17</v>
      </c>
      <c r="G8540" s="15" t="s">
        <v>28</v>
      </c>
      <c r="H8540" s="15" t="n">
        <v>3</v>
      </c>
      <c r="I8540" s="17" t="n">
        <v>0</v>
      </c>
      <c r="J8540" s="18" t="n">
        <v>88.63</v>
      </c>
      <c r="K8540" s="19" t="n">
        <v>24.41</v>
      </c>
      <c r="L8540" s="15" t="n">
        <f aca="false">YEAR(B8540)</f>
        <v>2023</v>
      </c>
      <c r="M8540" s="20" t="n">
        <f aca="false">IF(J8540&gt;0,K8540/J8540,0)</f>
        <v>0.275414645154011</v>
      </c>
    </row>
    <row r="8541" customFormat="false" ht="15" hidden="false" customHeight="false" outlineLevel="0" collapsed="false">
      <c r="A8541" s="15" t="s">
        <v>8598</v>
      </c>
      <c r="B8541" s="16" t="n">
        <v>45367</v>
      </c>
      <c r="C8541" s="15" t="s">
        <v>56</v>
      </c>
      <c r="D8541" s="15" t="s">
        <v>42</v>
      </c>
      <c r="E8541" s="15" t="s">
        <v>37</v>
      </c>
      <c r="F8541" s="15" t="s">
        <v>18</v>
      </c>
      <c r="G8541" s="15" t="s">
        <v>30</v>
      </c>
      <c r="H8541" s="15" t="n">
        <v>5</v>
      </c>
      <c r="I8541" s="17" t="n">
        <v>0.15</v>
      </c>
      <c r="J8541" s="18" t="n">
        <v>224.9</v>
      </c>
      <c r="K8541" s="19" t="n">
        <v>40.47</v>
      </c>
      <c r="L8541" s="15" t="n">
        <f aca="false">YEAR(B8541)</f>
        <v>2024</v>
      </c>
      <c r="M8541" s="20" t="n">
        <f aca="false">IF(J8541&gt;0,K8541/J8541,0)</f>
        <v>0.179946642952423</v>
      </c>
    </row>
    <row r="8542" customFormat="false" ht="15" hidden="false" customHeight="false" outlineLevel="0" collapsed="false">
      <c r="A8542" s="15" t="s">
        <v>8599</v>
      </c>
      <c r="B8542" s="16" t="n">
        <v>45327</v>
      </c>
      <c r="C8542" s="15" t="s">
        <v>56</v>
      </c>
      <c r="D8542" s="15" t="s">
        <v>42</v>
      </c>
      <c r="E8542" s="15" t="s">
        <v>36</v>
      </c>
      <c r="F8542" s="15" t="s">
        <v>18</v>
      </c>
      <c r="G8542" s="15" t="s">
        <v>30</v>
      </c>
      <c r="H8542" s="15" t="n">
        <v>4</v>
      </c>
      <c r="I8542" s="17" t="n">
        <v>0.2</v>
      </c>
      <c r="J8542" s="18" t="n">
        <v>136.09</v>
      </c>
      <c r="K8542" s="19" t="n">
        <v>7.04</v>
      </c>
      <c r="L8542" s="15" t="n">
        <f aca="false">YEAR(B8542)</f>
        <v>2024</v>
      </c>
      <c r="M8542" s="20" t="n">
        <f aca="false">IF(J8542&gt;0,K8542/J8542,0)</f>
        <v>0.0517304724814461</v>
      </c>
    </row>
    <row r="8543" customFormat="false" ht="15" hidden="false" customHeight="false" outlineLevel="0" collapsed="false">
      <c r="A8543" s="15" t="s">
        <v>8600</v>
      </c>
      <c r="B8543" s="16" t="n">
        <v>45923</v>
      </c>
      <c r="C8543" s="15" t="s">
        <v>56</v>
      </c>
      <c r="D8543" s="15" t="s">
        <v>43</v>
      </c>
      <c r="E8543" s="15" t="s">
        <v>37</v>
      </c>
      <c r="F8543" s="15" t="s">
        <v>16</v>
      </c>
      <c r="G8543" s="15" t="s">
        <v>27</v>
      </c>
      <c r="H8543" s="15" t="n">
        <v>3</v>
      </c>
      <c r="I8543" s="17" t="n">
        <v>0.05</v>
      </c>
      <c r="J8543" s="18" t="n">
        <v>196.39</v>
      </c>
      <c r="K8543" s="19" t="n">
        <v>32.47</v>
      </c>
      <c r="L8543" s="15" t="n">
        <f aca="false">YEAR(B8543)</f>
        <v>2025</v>
      </c>
      <c r="M8543" s="20" t="n">
        <f aca="false">IF(J8543&gt;0,K8543/J8543,0)</f>
        <v>0.165334283823005</v>
      </c>
    </row>
    <row r="8544" customFormat="false" ht="15" hidden="false" customHeight="false" outlineLevel="0" collapsed="false">
      <c r="A8544" s="15" t="s">
        <v>8601</v>
      </c>
      <c r="B8544" s="16" t="n">
        <v>46006</v>
      </c>
      <c r="C8544" s="15" t="s">
        <v>56</v>
      </c>
      <c r="D8544" s="15" t="s">
        <v>42</v>
      </c>
      <c r="E8544" s="15" t="s">
        <v>36</v>
      </c>
      <c r="F8544" s="15" t="s">
        <v>17</v>
      </c>
      <c r="G8544" s="15" t="s">
        <v>28</v>
      </c>
      <c r="H8544" s="15" t="n">
        <v>6</v>
      </c>
      <c r="I8544" s="17" t="n">
        <v>0.2</v>
      </c>
      <c r="J8544" s="18" t="n">
        <v>107.43</v>
      </c>
      <c r="K8544" s="19" t="n">
        <v>20.19</v>
      </c>
      <c r="L8544" s="15" t="n">
        <f aca="false">YEAR(B8544)</f>
        <v>2025</v>
      </c>
      <c r="M8544" s="20" t="n">
        <f aca="false">IF(J8544&gt;0,K8544/J8544,0)</f>
        <v>0.187936330633901</v>
      </c>
    </row>
    <row r="8545" customFormat="false" ht="15" hidden="false" customHeight="false" outlineLevel="0" collapsed="false">
      <c r="A8545" s="15" t="s">
        <v>8602</v>
      </c>
      <c r="B8545" s="16" t="n">
        <v>44663</v>
      </c>
      <c r="C8545" s="15" t="s">
        <v>56</v>
      </c>
      <c r="D8545" s="15" t="s">
        <v>42</v>
      </c>
      <c r="E8545" s="15" t="s">
        <v>38</v>
      </c>
      <c r="F8545" s="15" t="s">
        <v>17</v>
      </c>
      <c r="G8545" s="15" t="s">
        <v>29</v>
      </c>
      <c r="H8545" s="15" t="n">
        <v>4</v>
      </c>
      <c r="I8545" s="17" t="n">
        <v>0.1</v>
      </c>
      <c r="J8545" s="18" t="n">
        <v>69.67</v>
      </c>
      <c r="K8545" s="19" t="n">
        <v>18.53</v>
      </c>
      <c r="L8545" s="15" t="n">
        <f aca="false">YEAR(B8545)</f>
        <v>2022</v>
      </c>
      <c r="M8545" s="20" t="n">
        <f aca="false">IF(J8545&gt;0,K8545/J8545,0)</f>
        <v>0.265968135495909</v>
      </c>
    </row>
    <row r="8546" customFormat="false" ht="15" hidden="false" customHeight="false" outlineLevel="0" collapsed="false">
      <c r="A8546" s="15" t="s">
        <v>8603</v>
      </c>
      <c r="B8546" s="16" t="n">
        <v>45796</v>
      </c>
      <c r="C8546" s="15" t="s">
        <v>56</v>
      </c>
      <c r="D8546" s="15" t="s">
        <v>42</v>
      </c>
      <c r="E8546" s="15" t="s">
        <v>39</v>
      </c>
      <c r="F8546" s="15" t="s">
        <v>17</v>
      </c>
      <c r="G8546" s="15" t="s">
        <v>28</v>
      </c>
      <c r="H8546" s="15" t="n">
        <v>4</v>
      </c>
      <c r="I8546" s="17" t="n">
        <v>0</v>
      </c>
      <c r="J8546" s="18" t="n">
        <v>98.67</v>
      </c>
      <c r="K8546" s="19" t="n">
        <v>31.05</v>
      </c>
      <c r="L8546" s="15" t="n">
        <f aca="false">YEAR(B8546)</f>
        <v>2025</v>
      </c>
      <c r="M8546" s="20" t="n">
        <f aca="false">IF(J8546&gt;0,K8546/J8546,0)</f>
        <v>0.314685314685315</v>
      </c>
    </row>
    <row r="8547" customFormat="false" ht="15" hidden="false" customHeight="false" outlineLevel="0" collapsed="false">
      <c r="A8547" s="15" t="s">
        <v>8604</v>
      </c>
      <c r="B8547" s="16" t="n">
        <v>46012</v>
      </c>
      <c r="C8547" s="15" t="s">
        <v>68</v>
      </c>
      <c r="D8547" s="15" t="s">
        <v>42</v>
      </c>
      <c r="E8547" s="15" t="s">
        <v>36</v>
      </c>
      <c r="F8547" s="15" t="s">
        <v>17</v>
      </c>
      <c r="G8547" s="15" t="s">
        <v>28</v>
      </c>
      <c r="H8547" s="15" t="n">
        <v>2</v>
      </c>
      <c r="I8547" s="17" t="n">
        <v>0</v>
      </c>
      <c r="J8547" s="18" t="n">
        <v>45.36</v>
      </c>
      <c r="K8547" s="19" t="n">
        <v>14.44</v>
      </c>
      <c r="L8547" s="15" t="n">
        <f aca="false">YEAR(B8547)</f>
        <v>2025</v>
      </c>
      <c r="M8547" s="20" t="n">
        <f aca="false">IF(J8547&gt;0,K8547/J8547,0)</f>
        <v>0.318342151675485</v>
      </c>
    </row>
    <row r="8548" customFormat="false" ht="15" hidden="false" customHeight="false" outlineLevel="0" collapsed="false">
      <c r="A8548" s="15" t="s">
        <v>8605</v>
      </c>
      <c r="B8548" s="16" t="n">
        <v>45394</v>
      </c>
      <c r="C8548" s="15" t="s">
        <v>71</v>
      </c>
      <c r="D8548" s="15" t="s">
        <v>44</v>
      </c>
      <c r="E8548" s="15" t="s">
        <v>36</v>
      </c>
      <c r="F8548" s="15" t="s">
        <v>17</v>
      </c>
      <c r="G8548" s="15" t="s">
        <v>26</v>
      </c>
      <c r="H8548" s="15" t="n">
        <v>4</v>
      </c>
      <c r="I8548" s="17" t="n">
        <v>0</v>
      </c>
      <c r="J8548" s="18" t="n">
        <v>342.93</v>
      </c>
      <c r="K8548" s="19" t="n">
        <v>29.83</v>
      </c>
      <c r="L8548" s="15" t="n">
        <f aca="false">YEAR(B8548)</f>
        <v>2024</v>
      </c>
      <c r="M8548" s="20" t="n">
        <f aca="false">IF(J8548&gt;0,K8548/J8548,0)</f>
        <v>0.0869856822091972</v>
      </c>
    </row>
    <row r="8549" customFormat="false" ht="15" hidden="false" customHeight="false" outlineLevel="0" collapsed="false">
      <c r="A8549" s="15" t="s">
        <v>8606</v>
      </c>
      <c r="B8549" s="16" t="n">
        <v>44864</v>
      </c>
      <c r="C8549" s="15" t="s">
        <v>71</v>
      </c>
      <c r="D8549" s="15" t="s">
        <v>43</v>
      </c>
      <c r="E8549" s="15" t="s">
        <v>38</v>
      </c>
      <c r="F8549" s="15" t="s">
        <v>18</v>
      </c>
      <c r="G8549" s="15" t="s">
        <v>33</v>
      </c>
      <c r="H8549" s="15" t="n">
        <v>4</v>
      </c>
      <c r="I8549" s="17" t="n">
        <v>0.05</v>
      </c>
      <c r="J8549" s="18" t="n">
        <v>4049.96</v>
      </c>
      <c r="K8549" s="19" t="n">
        <v>1014.27</v>
      </c>
      <c r="L8549" s="15" t="n">
        <f aca="false">YEAR(B8549)</f>
        <v>2022</v>
      </c>
      <c r="M8549" s="20" t="n">
        <f aca="false">IF(J8549&gt;0,K8549/J8549,0)</f>
        <v>0.250439510513684</v>
      </c>
    </row>
    <row r="8550" customFormat="false" ht="15" hidden="false" customHeight="false" outlineLevel="0" collapsed="false">
      <c r="A8550" s="15" t="s">
        <v>8607</v>
      </c>
      <c r="B8550" s="16" t="n">
        <v>45985</v>
      </c>
      <c r="C8550" s="15" t="s">
        <v>58</v>
      </c>
      <c r="D8550" s="15" t="s">
        <v>43</v>
      </c>
      <c r="E8550" s="15" t="s">
        <v>36</v>
      </c>
      <c r="F8550" s="15" t="s">
        <v>17</v>
      </c>
      <c r="G8550" s="15" t="s">
        <v>28</v>
      </c>
      <c r="H8550" s="15" t="n">
        <v>3</v>
      </c>
      <c r="I8550" s="17" t="n">
        <v>0.3</v>
      </c>
      <c r="J8550" s="18" t="n">
        <v>55.54</v>
      </c>
      <c r="K8550" s="19" t="n">
        <v>0.07</v>
      </c>
      <c r="L8550" s="15" t="n">
        <f aca="false">YEAR(B8550)</f>
        <v>2025</v>
      </c>
      <c r="M8550" s="20" t="n">
        <f aca="false">IF(J8550&gt;0,K8550/J8550,0)</f>
        <v>0.00126035289881167</v>
      </c>
    </row>
    <row r="8551" customFormat="false" ht="15" hidden="false" customHeight="false" outlineLevel="0" collapsed="false">
      <c r="A8551" s="15" t="s">
        <v>8608</v>
      </c>
      <c r="B8551" s="16" t="n">
        <v>45608</v>
      </c>
      <c r="C8551" s="15" t="s">
        <v>56</v>
      </c>
      <c r="D8551" s="15" t="s">
        <v>42</v>
      </c>
      <c r="E8551" s="15" t="s">
        <v>37</v>
      </c>
      <c r="F8551" s="15" t="s">
        <v>16</v>
      </c>
      <c r="G8551" s="15" t="s">
        <v>25</v>
      </c>
      <c r="H8551" s="15" t="n">
        <v>5</v>
      </c>
      <c r="I8551" s="17" t="n">
        <v>0.4</v>
      </c>
      <c r="J8551" s="18" t="n">
        <v>871.88</v>
      </c>
      <c r="K8551" s="19" t="n">
        <v>-182.72</v>
      </c>
      <c r="L8551" s="15" t="n">
        <f aca="false">YEAR(B8551)</f>
        <v>2024</v>
      </c>
      <c r="M8551" s="20" t="n">
        <f aca="false">IF(J8551&gt;0,K8551/J8551,0)</f>
        <v>-0.209570124329036</v>
      </c>
    </row>
    <row r="8552" customFormat="false" ht="15" hidden="false" customHeight="false" outlineLevel="0" collapsed="false">
      <c r="A8552" s="15" t="s">
        <v>8609</v>
      </c>
      <c r="B8552" s="16" t="n">
        <v>45473</v>
      </c>
      <c r="C8552" s="15" t="s">
        <v>58</v>
      </c>
      <c r="D8552" s="15" t="s">
        <v>43</v>
      </c>
      <c r="E8552" s="15" t="s">
        <v>39</v>
      </c>
      <c r="F8552" s="15" t="s">
        <v>18</v>
      </c>
      <c r="G8552" s="15" t="s">
        <v>24</v>
      </c>
      <c r="H8552" s="15" t="n">
        <v>2</v>
      </c>
      <c r="I8552" s="17" t="n">
        <v>0</v>
      </c>
      <c r="J8552" s="18" t="n">
        <v>1187.3</v>
      </c>
      <c r="K8552" s="19" t="n">
        <v>67.14</v>
      </c>
      <c r="L8552" s="15" t="n">
        <f aca="false">YEAR(B8552)</f>
        <v>2024</v>
      </c>
      <c r="M8552" s="20" t="n">
        <f aca="false">IF(J8552&gt;0,K8552/J8552,0)</f>
        <v>0.0565484713214857</v>
      </c>
    </row>
    <row r="8553" customFormat="false" ht="15" hidden="false" customHeight="false" outlineLevel="0" collapsed="false">
      <c r="A8553" s="15" t="s">
        <v>8610</v>
      </c>
      <c r="B8553" s="16" t="n">
        <v>45140</v>
      </c>
      <c r="C8553" s="15" t="s">
        <v>71</v>
      </c>
      <c r="D8553" s="15" t="s">
        <v>43</v>
      </c>
      <c r="E8553" s="15" t="s">
        <v>37</v>
      </c>
      <c r="F8553" s="15" t="s">
        <v>17</v>
      </c>
      <c r="G8553" s="15" t="s">
        <v>31</v>
      </c>
      <c r="H8553" s="15" t="n">
        <v>3</v>
      </c>
      <c r="I8553" s="17" t="n">
        <v>0.4</v>
      </c>
      <c r="J8553" s="18" t="n">
        <v>219.25</v>
      </c>
      <c r="K8553" s="19" t="n">
        <v>-41.16</v>
      </c>
      <c r="L8553" s="15" t="n">
        <f aca="false">YEAR(B8553)</f>
        <v>2023</v>
      </c>
      <c r="M8553" s="20" t="n">
        <f aca="false">IF(J8553&gt;0,K8553/J8553,0)</f>
        <v>-0.187730900798176</v>
      </c>
    </row>
    <row r="8554" customFormat="false" ht="15" hidden="false" customHeight="false" outlineLevel="0" collapsed="false">
      <c r="A8554" s="15" t="s">
        <v>8611</v>
      </c>
      <c r="B8554" s="16" t="n">
        <v>45571</v>
      </c>
      <c r="C8554" s="15" t="s">
        <v>71</v>
      </c>
      <c r="D8554" s="15" t="s">
        <v>42</v>
      </c>
      <c r="E8554" s="15" t="s">
        <v>37</v>
      </c>
      <c r="F8554" s="15" t="s">
        <v>18</v>
      </c>
      <c r="G8554" s="15" t="s">
        <v>30</v>
      </c>
      <c r="H8554" s="15" t="n">
        <v>4</v>
      </c>
      <c r="I8554" s="17" t="n">
        <v>0</v>
      </c>
      <c r="J8554" s="18" t="n">
        <v>200.73</v>
      </c>
      <c r="K8554" s="19" t="n">
        <v>61.78</v>
      </c>
      <c r="L8554" s="15" t="n">
        <f aca="false">YEAR(B8554)</f>
        <v>2024</v>
      </c>
      <c r="M8554" s="20" t="n">
        <f aca="false">IF(J8554&gt;0,K8554/J8554,0)</f>
        <v>0.307776615353958</v>
      </c>
    </row>
    <row r="8555" customFormat="false" ht="15" hidden="false" customHeight="false" outlineLevel="0" collapsed="false">
      <c r="A8555" s="15" t="s">
        <v>8612</v>
      </c>
      <c r="B8555" s="16" t="n">
        <v>45266</v>
      </c>
      <c r="C8555" s="15" t="s">
        <v>71</v>
      </c>
      <c r="D8555" s="15" t="s">
        <v>44</v>
      </c>
      <c r="E8555" s="15" t="s">
        <v>37</v>
      </c>
      <c r="F8555" s="15" t="s">
        <v>18</v>
      </c>
      <c r="G8555" s="15" t="s">
        <v>30</v>
      </c>
      <c r="H8555" s="15" t="n">
        <v>3</v>
      </c>
      <c r="I8555" s="17" t="n">
        <v>0.05</v>
      </c>
      <c r="J8555" s="18" t="n">
        <v>117.45</v>
      </c>
      <c r="K8555" s="19" t="n">
        <v>22.58</v>
      </c>
      <c r="L8555" s="15" t="n">
        <f aca="false">YEAR(B8555)</f>
        <v>2023</v>
      </c>
      <c r="M8555" s="20" t="n">
        <f aca="false">IF(J8555&gt;0,K8555/J8555,0)</f>
        <v>0.19225202213708</v>
      </c>
    </row>
    <row r="8556" customFormat="false" ht="15" hidden="false" customHeight="false" outlineLevel="0" collapsed="false">
      <c r="A8556" s="15" t="s">
        <v>8613</v>
      </c>
      <c r="B8556" s="16" t="n">
        <v>45226</v>
      </c>
      <c r="C8556" s="15" t="s">
        <v>68</v>
      </c>
      <c r="D8556" s="15" t="s">
        <v>43</v>
      </c>
      <c r="E8556" s="15" t="s">
        <v>39</v>
      </c>
      <c r="F8556" s="15" t="s">
        <v>17</v>
      </c>
      <c r="G8556" s="15" t="s">
        <v>26</v>
      </c>
      <c r="H8556" s="15" t="n">
        <v>7</v>
      </c>
      <c r="I8556" s="17" t="n">
        <v>0</v>
      </c>
      <c r="J8556" s="18" t="n">
        <v>829.54</v>
      </c>
      <c r="K8556" s="19" t="n">
        <v>122.31</v>
      </c>
      <c r="L8556" s="15" t="n">
        <f aca="false">YEAR(B8556)</f>
        <v>2023</v>
      </c>
      <c r="M8556" s="20" t="n">
        <f aca="false">IF(J8556&gt;0,K8556/J8556,0)</f>
        <v>0.147443161270102</v>
      </c>
    </row>
    <row r="8557" customFormat="false" ht="15" hidden="false" customHeight="false" outlineLevel="0" collapsed="false">
      <c r="A8557" s="15" t="s">
        <v>8614</v>
      </c>
      <c r="B8557" s="16" t="n">
        <v>45822</v>
      </c>
      <c r="C8557" s="15" t="s">
        <v>71</v>
      </c>
      <c r="D8557" s="15" t="s">
        <v>44</v>
      </c>
      <c r="E8557" s="15" t="s">
        <v>37</v>
      </c>
      <c r="F8557" s="15" t="s">
        <v>16</v>
      </c>
      <c r="G8557" s="15" t="s">
        <v>23</v>
      </c>
      <c r="H8557" s="15" t="n">
        <v>4</v>
      </c>
      <c r="I8557" s="17" t="n">
        <v>0.1</v>
      </c>
      <c r="J8557" s="18" t="n">
        <v>1039.29</v>
      </c>
      <c r="K8557" s="19" t="n">
        <v>-97.76</v>
      </c>
      <c r="L8557" s="15" t="n">
        <f aca="false">YEAR(B8557)</f>
        <v>2025</v>
      </c>
      <c r="M8557" s="20" t="n">
        <f aca="false">IF(J8557&gt;0,K8557/J8557,0)</f>
        <v>-0.0940642169173186</v>
      </c>
    </row>
    <row r="8558" customFormat="false" ht="15" hidden="false" customHeight="false" outlineLevel="0" collapsed="false">
      <c r="A8558" s="15" t="s">
        <v>8615</v>
      </c>
      <c r="B8558" s="16" t="n">
        <v>45736</v>
      </c>
      <c r="C8558" s="15" t="s">
        <v>56</v>
      </c>
      <c r="D8558" s="15" t="s">
        <v>42</v>
      </c>
      <c r="E8558" s="15" t="s">
        <v>37</v>
      </c>
      <c r="F8558" s="15" t="s">
        <v>17</v>
      </c>
      <c r="G8558" s="15" t="s">
        <v>26</v>
      </c>
      <c r="H8558" s="15" t="n">
        <v>3</v>
      </c>
      <c r="I8558" s="17" t="n">
        <v>0</v>
      </c>
      <c r="J8558" s="18" t="n">
        <v>239.08</v>
      </c>
      <c r="K8558" s="19" t="n">
        <v>36.84</v>
      </c>
      <c r="L8558" s="15" t="n">
        <f aca="false">YEAR(B8558)</f>
        <v>2025</v>
      </c>
      <c r="M8558" s="20" t="n">
        <f aca="false">IF(J8558&gt;0,K8558/J8558,0)</f>
        <v>0.154090680943617</v>
      </c>
    </row>
    <row r="8559" customFormat="false" ht="15" hidden="false" customHeight="false" outlineLevel="0" collapsed="false">
      <c r="A8559" s="15" t="s">
        <v>8616</v>
      </c>
      <c r="B8559" s="16" t="n">
        <v>44998</v>
      </c>
      <c r="C8559" s="15" t="s">
        <v>71</v>
      </c>
      <c r="D8559" s="15" t="s">
        <v>42</v>
      </c>
      <c r="E8559" s="15" t="s">
        <v>36</v>
      </c>
      <c r="F8559" s="15" t="s">
        <v>18</v>
      </c>
      <c r="G8559" s="15" t="s">
        <v>32</v>
      </c>
      <c r="H8559" s="15" t="n">
        <v>1</v>
      </c>
      <c r="I8559" s="17" t="n">
        <v>0.4</v>
      </c>
      <c r="J8559" s="18" t="n">
        <v>222.78</v>
      </c>
      <c r="K8559" s="19" t="n">
        <v>-41.05</v>
      </c>
      <c r="L8559" s="15" t="n">
        <f aca="false">YEAR(B8559)</f>
        <v>2023</v>
      </c>
      <c r="M8559" s="20" t="n">
        <f aca="false">IF(J8559&gt;0,K8559/J8559,0)</f>
        <v>-0.184262501122183</v>
      </c>
    </row>
    <row r="8560" customFormat="false" ht="15" hidden="false" customHeight="false" outlineLevel="0" collapsed="false">
      <c r="A8560" s="15" t="s">
        <v>8617</v>
      </c>
      <c r="B8560" s="16" t="n">
        <v>45493</v>
      </c>
      <c r="C8560" s="15" t="s">
        <v>56</v>
      </c>
      <c r="D8560" s="15" t="s">
        <v>43</v>
      </c>
      <c r="E8560" s="15" t="s">
        <v>39</v>
      </c>
      <c r="F8560" s="15" t="s">
        <v>17</v>
      </c>
      <c r="G8560" s="15" t="s">
        <v>26</v>
      </c>
      <c r="H8560" s="15" t="n">
        <v>4</v>
      </c>
      <c r="I8560" s="17" t="n">
        <v>0</v>
      </c>
      <c r="J8560" s="18" t="n">
        <v>437.12</v>
      </c>
      <c r="K8560" s="19" t="n">
        <v>80.46</v>
      </c>
      <c r="L8560" s="15" t="n">
        <f aca="false">YEAR(B8560)</f>
        <v>2024</v>
      </c>
      <c r="M8560" s="20" t="n">
        <f aca="false">IF(J8560&gt;0,K8560/J8560,0)</f>
        <v>0.184068448023426</v>
      </c>
    </row>
    <row r="8561" customFormat="false" ht="15" hidden="false" customHeight="false" outlineLevel="0" collapsed="false">
      <c r="A8561" s="15" t="s">
        <v>8618</v>
      </c>
      <c r="B8561" s="16" t="n">
        <v>45487</v>
      </c>
      <c r="C8561" s="15" t="s">
        <v>71</v>
      </c>
      <c r="D8561" s="15" t="s">
        <v>42</v>
      </c>
      <c r="E8561" s="15" t="s">
        <v>37</v>
      </c>
      <c r="F8561" s="15" t="s">
        <v>17</v>
      </c>
      <c r="G8561" s="15" t="s">
        <v>28</v>
      </c>
      <c r="H8561" s="15" t="n">
        <v>2</v>
      </c>
      <c r="I8561" s="17" t="n">
        <v>0</v>
      </c>
      <c r="J8561" s="18" t="n">
        <v>48.6</v>
      </c>
      <c r="K8561" s="19" t="n">
        <v>16.46</v>
      </c>
      <c r="L8561" s="15" t="n">
        <f aca="false">YEAR(B8561)</f>
        <v>2024</v>
      </c>
      <c r="M8561" s="20" t="n">
        <f aca="false">IF(J8561&gt;0,K8561/J8561,0)</f>
        <v>0.338683127572016</v>
      </c>
    </row>
    <row r="8562" customFormat="false" ht="15" hidden="false" customHeight="false" outlineLevel="0" collapsed="false">
      <c r="A8562" s="15" t="s">
        <v>8619</v>
      </c>
      <c r="B8562" s="16" t="n">
        <v>44890</v>
      </c>
      <c r="C8562" s="15" t="s">
        <v>56</v>
      </c>
      <c r="D8562" s="15" t="s">
        <v>42</v>
      </c>
      <c r="E8562" s="15" t="s">
        <v>36</v>
      </c>
      <c r="F8562" s="15" t="s">
        <v>17</v>
      </c>
      <c r="G8562" s="15" t="s">
        <v>28</v>
      </c>
      <c r="H8562" s="15" t="n">
        <v>2</v>
      </c>
      <c r="I8562" s="17" t="n">
        <v>0</v>
      </c>
      <c r="J8562" s="18" t="n">
        <v>45.56</v>
      </c>
      <c r="K8562" s="19" t="n">
        <v>13.02</v>
      </c>
      <c r="L8562" s="15" t="n">
        <f aca="false">YEAR(B8562)</f>
        <v>2022</v>
      </c>
      <c r="M8562" s="20" t="n">
        <f aca="false">IF(J8562&gt;0,K8562/J8562,0)</f>
        <v>0.285776997366111</v>
      </c>
    </row>
    <row r="8563" customFormat="false" ht="15" hidden="false" customHeight="false" outlineLevel="0" collapsed="false">
      <c r="A8563" s="15" t="s">
        <v>8620</v>
      </c>
      <c r="B8563" s="16" t="n">
        <v>45310</v>
      </c>
      <c r="C8563" s="15" t="s">
        <v>56</v>
      </c>
      <c r="D8563" s="15" t="s">
        <v>42</v>
      </c>
      <c r="E8563" s="15" t="s">
        <v>36</v>
      </c>
      <c r="F8563" s="15" t="s">
        <v>17</v>
      </c>
      <c r="G8563" s="15" t="s">
        <v>31</v>
      </c>
      <c r="H8563" s="15" t="n">
        <v>4</v>
      </c>
      <c r="I8563" s="17" t="n">
        <v>0</v>
      </c>
      <c r="J8563" s="18" t="n">
        <v>534.7</v>
      </c>
      <c r="K8563" s="19" t="n">
        <v>136.34</v>
      </c>
      <c r="L8563" s="15" t="n">
        <f aca="false">YEAR(B8563)</f>
        <v>2024</v>
      </c>
      <c r="M8563" s="20" t="n">
        <f aca="false">IF(J8563&gt;0,K8563/J8563,0)</f>
        <v>0.254984103235459</v>
      </c>
    </row>
    <row r="8564" customFormat="false" ht="15" hidden="false" customHeight="false" outlineLevel="0" collapsed="false">
      <c r="A8564" s="15" t="s">
        <v>8621</v>
      </c>
      <c r="B8564" s="16" t="n">
        <v>44822</v>
      </c>
      <c r="C8564" s="15" t="s">
        <v>56</v>
      </c>
      <c r="D8564" s="15" t="s">
        <v>42</v>
      </c>
      <c r="E8564" s="15" t="s">
        <v>38</v>
      </c>
      <c r="F8564" s="15" t="s">
        <v>18</v>
      </c>
      <c r="G8564" s="15" t="s">
        <v>30</v>
      </c>
      <c r="H8564" s="15" t="n">
        <v>2</v>
      </c>
      <c r="I8564" s="17" t="n">
        <v>0.15</v>
      </c>
      <c r="J8564" s="18" t="n">
        <v>85.49</v>
      </c>
      <c r="K8564" s="19" t="n">
        <v>20.33</v>
      </c>
      <c r="L8564" s="15" t="n">
        <f aca="false">YEAR(B8564)</f>
        <v>2022</v>
      </c>
      <c r="M8564" s="20" t="n">
        <f aca="false">IF(J8564&gt;0,K8564/J8564,0)</f>
        <v>0.237805591297228</v>
      </c>
    </row>
    <row r="8565" customFormat="false" ht="15" hidden="false" customHeight="false" outlineLevel="0" collapsed="false">
      <c r="A8565" s="15" t="s">
        <v>8622</v>
      </c>
      <c r="B8565" s="16" t="n">
        <v>45115</v>
      </c>
      <c r="C8565" s="15" t="s">
        <v>56</v>
      </c>
      <c r="D8565" s="15" t="s">
        <v>43</v>
      </c>
      <c r="E8565" s="15" t="s">
        <v>39</v>
      </c>
      <c r="F8565" s="15" t="s">
        <v>17</v>
      </c>
      <c r="G8565" s="15" t="s">
        <v>29</v>
      </c>
      <c r="H8565" s="15" t="n">
        <v>5</v>
      </c>
      <c r="I8565" s="17" t="n">
        <v>0.05</v>
      </c>
      <c r="J8565" s="18" t="n">
        <v>85.14</v>
      </c>
      <c r="K8565" s="19" t="n">
        <v>28.8</v>
      </c>
      <c r="L8565" s="15" t="n">
        <f aca="false">YEAR(B8565)</f>
        <v>2023</v>
      </c>
      <c r="M8565" s="20" t="n">
        <f aca="false">IF(J8565&gt;0,K8565/J8565,0)</f>
        <v>0.338266384778013</v>
      </c>
    </row>
    <row r="8566" customFormat="false" ht="15" hidden="false" customHeight="false" outlineLevel="0" collapsed="false">
      <c r="A8566" s="15" t="s">
        <v>8623</v>
      </c>
      <c r="B8566" s="16" t="n">
        <v>45148</v>
      </c>
      <c r="C8566" s="15" t="s">
        <v>71</v>
      </c>
      <c r="D8566" s="15" t="s">
        <v>43</v>
      </c>
      <c r="E8566" s="15" t="s">
        <v>37</v>
      </c>
      <c r="F8566" s="15" t="s">
        <v>16</v>
      </c>
      <c r="G8566" s="15" t="s">
        <v>25</v>
      </c>
      <c r="H8566" s="15" t="n">
        <v>3</v>
      </c>
      <c r="I8566" s="17" t="n">
        <v>0</v>
      </c>
      <c r="J8566" s="18" t="n">
        <v>772.89</v>
      </c>
      <c r="K8566" s="19" t="n">
        <v>20.19</v>
      </c>
      <c r="L8566" s="15" t="n">
        <f aca="false">YEAR(B8566)</f>
        <v>2023</v>
      </c>
      <c r="M8566" s="20" t="n">
        <f aca="false">IF(J8566&gt;0,K8566/J8566,0)</f>
        <v>0.0261227341536312</v>
      </c>
    </row>
    <row r="8567" customFormat="false" ht="15" hidden="false" customHeight="false" outlineLevel="0" collapsed="false">
      <c r="A8567" s="15" t="s">
        <v>8624</v>
      </c>
      <c r="B8567" s="16" t="n">
        <v>45064</v>
      </c>
      <c r="C8567" s="15" t="s">
        <v>56</v>
      </c>
      <c r="D8567" s="15" t="s">
        <v>42</v>
      </c>
      <c r="E8567" s="15" t="s">
        <v>36</v>
      </c>
      <c r="F8567" s="15" t="s">
        <v>17</v>
      </c>
      <c r="G8567" s="15" t="s">
        <v>26</v>
      </c>
      <c r="H8567" s="15" t="n">
        <v>6</v>
      </c>
      <c r="I8567" s="17" t="n">
        <v>0.05</v>
      </c>
      <c r="J8567" s="18" t="n">
        <v>570.06</v>
      </c>
      <c r="K8567" s="19" t="n">
        <v>75.32</v>
      </c>
      <c r="L8567" s="15" t="n">
        <f aca="false">YEAR(B8567)</f>
        <v>2023</v>
      </c>
      <c r="M8567" s="20" t="n">
        <f aca="false">IF(J8567&gt;0,K8567/J8567,0)</f>
        <v>0.132126442830579</v>
      </c>
    </row>
    <row r="8568" customFormat="false" ht="15" hidden="false" customHeight="false" outlineLevel="0" collapsed="false">
      <c r="A8568" s="15" t="s">
        <v>8625</v>
      </c>
      <c r="B8568" s="16" t="n">
        <v>45614</v>
      </c>
      <c r="C8568" s="15" t="s">
        <v>71</v>
      </c>
      <c r="D8568" s="15" t="s">
        <v>44</v>
      </c>
      <c r="E8568" s="15" t="s">
        <v>36</v>
      </c>
      <c r="F8568" s="15" t="s">
        <v>17</v>
      </c>
      <c r="G8568" s="15" t="s">
        <v>28</v>
      </c>
      <c r="H8568" s="15" t="n">
        <v>5</v>
      </c>
      <c r="I8568" s="17" t="n">
        <v>0.3</v>
      </c>
      <c r="J8568" s="18" t="n">
        <v>76.27</v>
      </c>
      <c r="K8568" s="19" t="n">
        <v>1.37</v>
      </c>
      <c r="L8568" s="15" t="n">
        <f aca="false">YEAR(B8568)</f>
        <v>2024</v>
      </c>
      <c r="M8568" s="20" t="n">
        <f aca="false">IF(J8568&gt;0,K8568/J8568,0)</f>
        <v>0.0179625016389144</v>
      </c>
    </row>
    <row r="8569" customFormat="false" ht="15" hidden="false" customHeight="false" outlineLevel="0" collapsed="false">
      <c r="A8569" s="15" t="s">
        <v>8626</v>
      </c>
      <c r="B8569" s="16" t="n">
        <v>45792</v>
      </c>
      <c r="C8569" s="15" t="s">
        <v>56</v>
      </c>
      <c r="D8569" s="15" t="s">
        <v>44</v>
      </c>
      <c r="E8569" s="15" t="s">
        <v>38</v>
      </c>
      <c r="F8569" s="15" t="s">
        <v>18</v>
      </c>
      <c r="G8569" s="15" t="s">
        <v>30</v>
      </c>
      <c r="H8569" s="15" t="n">
        <v>4</v>
      </c>
      <c r="I8569" s="17" t="n">
        <v>0</v>
      </c>
      <c r="J8569" s="18" t="n">
        <v>196.41</v>
      </c>
      <c r="K8569" s="19" t="n">
        <v>67.26</v>
      </c>
      <c r="L8569" s="15" t="n">
        <f aca="false">YEAR(B8569)</f>
        <v>2025</v>
      </c>
      <c r="M8569" s="20" t="n">
        <f aca="false">IF(J8569&gt;0,K8569/J8569,0)</f>
        <v>0.342446922254468</v>
      </c>
    </row>
    <row r="8570" customFormat="false" ht="15" hidden="false" customHeight="false" outlineLevel="0" collapsed="false">
      <c r="A8570" s="15" t="s">
        <v>8627</v>
      </c>
      <c r="B8570" s="16" t="n">
        <v>44740</v>
      </c>
      <c r="C8570" s="15" t="s">
        <v>56</v>
      </c>
      <c r="D8570" s="15" t="s">
        <v>44</v>
      </c>
      <c r="E8570" s="15" t="s">
        <v>37</v>
      </c>
      <c r="F8570" s="15" t="s">
        <v>17</v>
      </c>
      <c r="G8570" s="15" t="s">
        <v>28</v>
      </c>
      <c r="H8570" s="15" t="n">
        <v>4</v>
      </c>
      <c r="I8570" s="17" t="n">
        <v>0</v>
      </c>
      <c r="J8570" s="18" t="n">
        <v>98.86</v>
      </c>
      <c r="K8570" s="19" t="n">
        <v>33.91</v>
      </c>
      <c r="L8570" s="15" t="n">
        <f aca="false">YEAR(B8570)</f>
        <v>2022</v>
      </c>
      <c r="M8570" s="20" t="n">
        <f aca="false">IF(J8570&gt;0,K8570/J8570,0)</f>
        <v>0.343010317620878</v>
      </c>
    </row>
    <row r="8571" customFormat="false" ht="15" hidden="false" customHeight="false" outlineLevel="0" collapsed="false">
      <c r="A8571" s="15" t="s">
        <v>8628</v>
      </c>
      <c r="B8571" s="16" t="n">
        <v>45855</v>
      </c>
      <c r="C8571" s="15" t="s">
        <v>58</v>
      </c>
      <c r="D8571" s="15" t="s">
        <v>42</v>
      </c>
      <c r="E8571" s="15" t="s">
        <v>38</v>
      </c>
      <c r="F8571" s="15" t="s">
        <v>17</v>
      </c>
      <c r="G8571" s="15" t="s">
        <v>31</v>
      </c>
      <c r="H8571" s="15" t="n">
        <v>5</v>
      </c>
      <c r="I8571" s="17" t="n">
        <v>0.3</v>
      </c>
      <c r="J8571" s="18" t="n">
        <v>425.13</v>
      </c>
      <c r="K8571" s="19" t="n">
        <v>-37.99</v>
      </c>
      <c r="L8571" s="15" t="n">
        <f aca="false">YEAR(B8571)</f>
        <v>2025</v>
      </c>
      <c r="M8571" s="20" t="n">
        <f aca="false">IF(J8571&gt;0,K8571/J8571,0)</f>
        <v>-0.0893609013713452</v>
      </c>
    </row>
    <row r="8572" customFormat="false" ht="15" hidden="false" customHeight="false" outlineLevel="0" collapsed="false">
      <c r="A8572" s="15" t="s">
        <v>8629</v>
      </c>
      <c r="B8572" s="16" t="n">
        <v>45850</v>
      </c>
      <c r="C8572" s="15" t="s">
        <v>56</v>
      </c>
      <c r="D8572" s="15" t="s">
        <v>42</v>
      </c>
      <c r="E8572" s="15" t="s">
        <v>39</v>
      </c>
      <c r="F8572" s="15" t="s">
        <v>17</v>
      </c>
      <c r="G8572" s="15" t="s">
        <v>26</v>
      </c>
      <c r="H8572" s="15" t="n">
        <v>3</v>
      </c>
      <c r="I8572" s="17" t="n">
        <v>0.1</v>
      </c>
      <c r="J8572" s="18" t="n">
        <v>242.45</v>
      </c>
      <c r="K8572" s="19" t="n">
        <v>7.1</v>
      </c>
      <c r="L8572" s="15" t="n">
        <f aca="false">YEAR(B8572)</f>
        <v>2025</v>
      </c>
      <c r="M8572" s="20" t="n">
        <f aca="false">IF(J8572&gt;0,K8572/J8572,0)</f>
        <v>0.0292843885337183</v>
      </c>
    </row>
    <row r="8573" customFormat="false" ht="15" hidden="false" customHeight="false" outlineLevel="0" collapsed="false">
      <c r="A8573" s="15" t="s">
        <v>8630</v>
      </c>
      <c r="B8573" s="16" t="n">
        <v>44667</v>
      </c>
      <c r="C8573" s="15" t="s">
        <v>56</v>
      </c>
      <c r="D8573" s="15" t="s">
        <v>44</v>
      </c>
      <c r="E8573" s="15" t="s">
        <v>38</v>
      </c>
      <c r="F8573" s="15" t="s">
        <v>16</v>
      </c>
      <c r="G8573" s="15" t="s">
        <v>25</v>
      </c>
      <c r="H8573" s="15" t="n">
        <v>6</v>
      </c>
      <c r="I8573" s="17" t="n">
        <v>0</v>
      </c>
      <c r="J8573" s="18" t="n">
        <v>1762.64</v>
      </c>
      <c r="K8573" s="19" t="n">
        <v>314.4</v>
      </c>
      <c r="L8573" s="15" t="n">
        <f aca="false">YEAR(B8573)</f>
        <v>2022</v>
      </c>
      <c r="M8573" s="20" t="n">
        <f aca="false">IF(J8573&gt;0,K8573/J8573,0)</f>
        <v>0.178368810420733</v>
      </c>
    </row>
    <row r="8574" customFormat="false" ht="15" hidden="false" customHeight="false" outlineLevel="0" collapsed="false">
      <c r="A8574" s="15" t="s">
        <v>8631</v>
      </c>
      <c r="B8574" s="16" t="n">
        <v>45587</v>
      </c>
      <c r="C8574" s="15" t="s">
        <v>71</v>
      </c>
      <c r="D8574" s="15" t="s">
        <v>42</v>
      </c>
      <c r="E8574" s="15" t="s">
        <v>36</v>
      </c>
      <c r="F8574" s="15" t="s">
        <v>17</v>
      </c>
      <c r="G8574" s="15" t="s">
        <v>26</v>
      </c>
      <c r="H8574" s="15" t="n">
        <v>3</v>
      </c>
      <c r="I8574" s="17" t="n">
        <v>0</v>
      </c>
      <c r="J8574" s="18" t="n">
        <v>216.14</v>
      </c>
      <c r="K8574" s="19" t="n">
        <v>33.31</v>
      </c>
      <c r="L8574" s="15" t="n">
        <f aca="false">YEAR(B8574)</f>
        <v>2024</v>
      </c>
      <c r="M8574" s="20" t="n">
        <f aca="false">IF(J8574&gt;0,K8574/J8574,0)</f>
        <v>0.154113074858888</v>
      </c>
    </row>
    <row r="8575" customFormat="false" ht="15" hidden="false" customHeight="false" outlineLevel="0" collapsed="false">
      <c r="A8575" s="15" t="s">
        <v>8632</v>
      </c>
      <c r="B8575" s="16" t="n">
        <v>45869</v>
      </c>
      <c r="C8575" s="15" t="s">
        <v>56</v>
      </c>
      <c r="D8575" s="15" t="s">
        <v>42</v>
      </c>
      <c r="E8575" s="15" t="s">
        <v>38</v>
      </c>
      <c r="F8575" s="15" t="s">
        <v>17</v>
      </c>
      <c r="G8575" s="15" t="s">
        <v>28</v>
      </c>
      <c r="H8575" s="15" t="n">
        <v>5</v>
      </c>
      <c r="I8575" s="17" t="n">
        <v>0.05</v>
      </c>
      <c r="J8575" s="18" t="n">
        <v>106.06</v>
      </c>
      <c r="K8575" s="19" t="n">
        <v>27.12</v>
      </c>
      <c r="L8575" s="15" t="n">
        <f aca="false">YEAR(B8575)</f>
        <v>2025</v>
      </c>
      <c r="M8575" s="20" t="n">
        <f aca="false">IF(J8575&gt;0,K8575/J8575,0)</f>
        <v>0.25570431831039</v>
      </c>
    </row>
    <row r="8576" customFormat="false" ht="15" hidden="false" customHeight="false" outlineLevel="0" collapsed="false">
      <c r="A8576" s="15" t="s">
        <v>8633</v>
      </c>
      <c r="B8576" s="16" t="n">
        <v>44762</v>
      </c>
      <c r="C8576" s="15" t="s">
        <v>68</v>
      </c>
      <c r="D8576" s="15" t="s">
        <v>42</v>
      </c>
      <c r="E8576" s="15" t="s">
        <v>37</v>
      </c>
      <c r="F8576" s="15" t="s">
        <v>18</v>
      </c>
      <c r="G8576" s="15" t="s">
        <v>32</v>
      </c>
      <c r="H8576" s="15" t="n">
        <v>1</v>
      </c>
      <c r="I8576" s="17" t="n">
        <v>0</v>
      </c>
      <c r="J8576" s="18" t="n">
        <v>465.74</v>
      </c>
      <c r="K8576" s="19" t="n">
        <v>66.38</v>
      </c>
      <c r="L8576" s="15" t="n">
        <f aca="false">YEAR(B8576)</f>
        <v>2022</v>
      </c>
      <c r="M8576" s="20" t="n">
        <f aca="false">IF(J8576&gt;0,K8576/J8576,0)</f>
        <v>0.142525872804569</v>
      </c>
    </row>
    <row r="8577" customFormat="false" ht="15" hidden="false" customHeight="false" outlineLevel="0" collapsed="false">
      <c r="A8577" s="15" t="s">
        <v>8634</v>
      </c>
      <c r="B8577" s="16" t="n">
        <v>45197</v>
      </c>
      <c r="C8577" s="15" t="s">
        <v>71</v>
      </c>
      <c r="D8577" s="15" t="s">
        <v>44</v>
      </c>
      <c r="E8577" s="15" t="s">
        <v>39</v>
      </c>
      <c r="F8577" s="15" t="s">
        <v>18</v>
      </c>
      <c r="G8577" s="15" t="s">
        <v>30</v>
      </c>
      <c r="H8577" s="15" t="n">
        <v>6</v>
      </c>
      <c r="I8577" s="17" t="n">
        <v>0</v>
      </c>
      <c r="J8577" s="18" t="n">
        <v>230.58</v>
      </c>
      <c r="K8577" s="19" t="n">
        <v>61.54</v>
      </c>
      <c r="L8577" s="15" t="n">
        <f aca="false">YEAR(B8577)</f>
        <v>2023</v>
      </c>
      <c r="M8577" s="20" t="n">
        <f aca="false">IF(J8577&gt;0,K8577/J8577,0)</f>
        <v>0.266892184924972</v>
      </c>
    </row>
    <row r="8578" customFormat="false" ht="15" hidden="false" customHeight="false" outlineLevel="0" collapsed="false">
      <c r="A8578" s="15" t="s">
        <v>8635</v>
      </c>
      <c r="B8578" s="16" t="n">
        <v>45290</v>
      </c>
      <c r="C8578" s="15" t="s">
        <v>68</v>
      </c>
      <c r="D8578" s="15" t="s">
        <v>42</v>
      </c>
      <c r="E8578" s="15" t="s">
        <v>36</v>
      </c>
      <c r="F8578" s="15" t="s">
        <v>18</v>
      </c>
      <c r="G8578" s="15" t="s">
        <v>32</v>
      </c>
      <c r="H8578" s="15" t="n">
        <v>2</v>
      </c>
      <c r="I8578" s="17" t="n">
        <v>0.2</v>
      </c>
      <c r="J8578" s="18" t="n">
        <v>584.9</v>
      </c>
      <c r="K8578" s="19" t="n">
        <v>-10.56</v>
      </c>
      <c r="L8578" s="15" t="n">
        <f aca="false">YEAR(B8578)</f>
        <v>2023</v>
      </c>
      <c r="M8578" s="20" t="n">
        <f aca="false">IF(J8578&gt;0,K8578/J8578,0)</f>
        <v>-0.01805436826808</v>
      </c>
    </row>
    <row r="8579" customFormat="false" ht="15" hidden="false" customHeight="false" outlineLevel="0" collapsed="false">
      <c r="A8579" s="15" t="s">
        <v>8636</v>
      </c>
      <c r="B8579" s="16" t="n">
        <v>45953</v>
      </c>
      <c r="C8579" s="15" t="s">
        <v>71</v>
      </c>
      <c r="D8579" s="15" t="s">
        <v>42</v>
      </c>
      <c r="E8579" s="15" t="s">
        <v>37</v>
      </c>
      <c r="F8579" s="15" t="s">
        <v>16</v>
      </c>
      <c r="G8579" s="15" t="s">
        <v>22</v>
      </c>
      <c r="H8579" s="15" t="n">
        <v>3</v>
      </c>
      <c r="I8579" s="17" t="n">
        <v>0</v>
      </c>
      <c r="J8579" s="18" t="n">
        <v>1539.95</v>
      </c>
      <c r="K8579" s="19" t="n">
        <v>-67.08</v>
      </c>
      <c r="L8579" s="15" t="n">
        <f aca="false">YEAR(B8579)</f>
        <v>2025</v>
      </c>
      <c r="M8579" s="20" t="n">
        <f aca="false">IF(J8579&gt;0,K8579/J8579,0)</f>
        <v>-0.0435598558394753</v>
      </c>
    </row>
    <row r="8580" customFormat="false" ht="15" hidden="false" customHeight="false" outlineLevel="0" collapsed="false">
      <c r="A8580" s="15" t="s">
        <v>8637</v>
      </c>
      <c r="B8580" s="16" t="n">
        <v>44668</v>
      </c>
      <c r="C8580" s="15" t="s">
        <v>71</v>
      </c>
      <c r="D8580" s="15" t="s">
        <v>42</v>
      </c>
      <c r="E8580" s="15" t="s">
        <v>36</v>
      </c>
      <c r="F8580" s="15" t="s">
        <v>17</v>
      </c>
      <c r="G8580" s="15" t="s">
        <v>29</v>
      </c>
      <c r="H8580" s="15" t="n">
        <v>6</v>
      </c>
      <c r="I8580" s="17" t="n">
        <v>0</v>
      </c>
      <c r="J8580" s="18" t="n">
        <v>106.57</v>
      </c>
      <c r="K8580" s="19" t="n">
        <v>44.26</v>
      </c>
      <c r="L8580" s="15" t="n">
        <f aca="false">YEAR(B8580)</f>
        <v>2022</v>
      </c>
      <c r="M8580" s="20" t="n">
        <f aca="false">IF(J8580&gt;0,K8580/J8580,0)</f>
        <v>0.415313878202121</v>
      </c>
    </row>
    <row r="8581" customFormat="false" ht="15" hidden="false" customHeight="false" outlineLevel="0" collapsed="false">
      <c r="A8581" s="15" t="s">
        <v>8638</v>
      </c>
      <c r="B8581" s="16" t="n">
        <v>45728</v>
      </c>
      <c r="C8581" s="15" t="s">
        <v>56</v>
      </c>
      <c r="D8581" s="15" t="s">
        <v>43</v>
      </c>
      <c r="E8581" s="15" t="s">
        <v>37</v>
      </c>
      <c r="F8581" s="15" t="s">
        <v>17</v>
      </c>
      <c r="G8581" s="15" t="s">
        <v>28</v>
      </c>
      <c r="H8581" s="15" t="n">
        <v>5</v>
      </c>
      <c r="I8581" s="17" t="n">
        <v>0.1</v>
      </c>
      <c r="J8581" s="18" t="n">
        <v>123.14</v>
      </c>
      <c r="K8581" s="19" t="n">
        <v>30.94</v>
      </c>
      <c r="L8581" s="15" t="n">
        <f aca="false">YEAR(B8581)</f>
        <v>2025</v>
      </c>
      <c r="M8581" s="20" t="n">
        <f aca="false">IF(J8581&gt;0,K8581/J8581,0)</f>
        <v>0.251258729900926</v>
      </c>
    </row>
    <row r="8582" customFormat="false" ht="15" hidden="false" customHeight="false" outlineLevel="0" collapsed="false">
      <c r="A8582" s="15" t="s">
        <v>8639</v>
      </c>
      <c r="B8582" s="16" t="n">
        <v>44983</v>
      </c>
      <c r="C8582" s="15" t="s">
        <v>68</v>
      </c>
      <c r="D8582" s="15" t="s">
        <v>42</v>
      </c>
      <c r="E8582" s="15" t="s">
        <v>36</v>
      </c>
      <c r="F8582" s="15" t="s">
        <v>18</v>
      </c>
      <c r="G8582" s="15" t="s">
        <v>33</v>
      </c>
      <c r="H8582" s="15" t="n">
        <v>9</v>
      </c>
      <c r="I8582" s="17" t="n">
        <v>0</v>
      </c>
      <c r="J8582" s="18" t="n">
        <v>8661.49</v>
      </c>
      <c r="K8582" s="19" t="n">
        <v>2679.93</v>
      </c>
      <c r="L8582" s="15" t="n">
        <f aca="false">YEAR(B8582)</f>
        <v>2023</v>
      </c>
      <c r="M8582" s="20" t="n">
        <f aca="false">IF(J8582&gt;0,K8582/J8582,0)</f>
        <v>0.309407503789764</v>
      </c>
    </row>
    <row r="8583" customFormat="false" ht="15" hidden="false" customHeight="false" outlineLevel="0" collapsed="false">
      <c r="A8583" s="15" t="s">
        <v>8640</v>
      </c>
      <c r="B8583" s="16" t="n">
        <v>45214</v>
      </c>
      <c r="C8583" s="15" t="s">
        <v>56</v>
      </c>
      <c r="D8583" s="15" t="s">
        <v>44</v>
      </c>
      <c r="E8583" s="15" t="s">
        <v>39</v>
      </c>
      <c r="F8583" s="15" t="s">
        <v>18</v>
      </c>
      <c r="G8583" s="15" t="s">
        <v>32</v>
      </c>
      <c r="H8583" s="15" t="n">
        <v>2</v>
      </c>
      <c r="I8583" s="17" t="n">
        <v>0</v>
      </c>
      <c r="J8583" s="18" t="n">
        <v>925.06</v>
      </c>
      <c r="K8583" s="19" t="n">
        <v>173.81</v>
      </c>
      <c r="L8583" s="15" t="n">
        <f aca="false">YEAR(B8583)</f>
        <v>2023</v>
      </c>
      <c r="M8583" s="20" t="n">
        <f aca="false">IF(J8583&gt;0,K8583/J8583,0)</f>
        <v>0.187890515209824</v>
      </c>
    </row>
    <row r="8584" customFormat="false" ht="15" hidden="false" customHeight="false" outlineLevel="0" collapsed="false">
      <c r="A8584" s="15" t="s">
        <v>8641</v>
      </c>
      <c r="B8584" s="16" t="n">
        <v>45584</v>
      </c>
      <c r="C8584" s="15" t="s">
        <v>71</v>
      </c>
      <c r="D8584" s="15" t="s">
        <v>42</v>
      </c>
      <c r="E8584" s="15" t="s">
        <v>37</v>
      </c>
      <c r="F8584" s="15" t="s">
        <v>17</v>
      </c>
      <c r="G8584" s="15" t="s">
        <v>28</v>
      </c>
      <c r="H8584" s="15" t="n">
        <v>4</v>
      </c>
      <c r="I8584" s="17" t="n">
        <v>0</v>
      </c>
      <c r="J8584" s="18" t="n">
        <v>101.68</v>
      </c>
      <c r="K8584" s="19" t="n">
        <v>32.68</v>
      </c>
      <c r="L8584" s="15" t="n">
        <f aca="false">YEAR(B8584)</f>
        <v>2024</v>
      </c>
      <c r="M8584" s="20" t="n">
        <f aca="false">IF(J8584&gt;0,K8584/J8584,0)</f>
        <v>0.321400472069237</v>
      </c>
    </row>
    <row r="8585" customFormat="false" ht="15" hidden="false" customHeight="false" outlineLevel="0" collapsed="false">
      <c r="A8585" s="15" t="s">
        <v>8642</v>
      </c>
      <c r="B8585" s="16" t="n">
        <v>45315</v>
      </c>
      <c r="C8585" s="15" t="s">
        <v>68</v>
      </c>
      <c r="D8585" s="15" t="s">
        <v>42</v>
      </c>
      <c r="E8585" s="15" t="s">
        <v>39</v>
      </c>
      <c r="F8585" s="15" t="s">
        <v>16</v>
      </c>
      <c r="G8585" s="15" t="s">
        <v>23</v>
      </c>
      <c r="H8585" s="15" t="n">
        <v>2</v>
      </c>
      <c r="I8585" s="17" t="n">
        <v>0.05</v>
      </c>
      <c r="J8585" s="18" t="n">
        <v>760.95</v>
      </c>
      <c r="K8585" s="19" t="n">
        <v>-12</v>
      </c>
      <c r="L8585" s="15" t="n">
        <f aca="false">YEAR(B8585)</f>
        <v>2024</v>
      </c>
      <c r="M8585" s="20" t="n">
        <f aca="false">IF(J8585&gt;0,K8585/J8585,0)</f>
        <v>-0.0157697614823576</v>
      </c>
    </row>
    <row r="8586" customFormat="false" ht="15" hidden="false" customHeight="false" outlineLevel="0" collapsed="false">
      <c r="A8586" s="15" t="s">
        <v>8643</v>
      </c>
      <c r="B8586" s="16" t="n">
        <v>45370</v>
      </c>
      <c r="C8586" s="15" t="s">
        <v>71</v>
      </c>
      <c r="D8586" s="15" t="s">
        <v>42</v>
      </c>
      <c r="E8586" s="15" t="s">
        <v>37</v>
      </c>
      <c r="F8586" s="15" t="s">
        <v>16</v>
      </c>
      <c r="G8586" s="15" t="s">
        <v>25</v>
      </c>
      <c r="H8586" s="15" t="n">
        <v>1</v>
      </c>
      <c r="I8586" s="17" t="n">
        <v>0</v>
      </c>
      <c r="J8586" s="18" t="n">
        <v>308.15</v>
      </c>
      <c r="K8586" s="19" t="n">
        <v>34.46</v>
      </c>
      <c r="L8586" s="15" t="n">
        <f aca="false">YEAR(B8586)</f>
        <v>2024</v>
      </c>
      <c r="M8586" s="20" t="n">
        <f aca="false">IF(J8586&gt;0,K8586/J8586,0)</f>
        <v>0.111828654875872</v>
      </c>
    </row>
    <row r="8587" customFormat="false" ht="15" hidden="false" customHeight="false" outlineLevel="0" collapsed="false">
      <c r="A8587" s="15" t="s">
        <v>8644</v>
      </c>
      <c r="B8587" s="16" t="n">
        <v>45876</v>
      </c>
      <c r="C8587" s="15" t="s">
        <v>56</v>
      </c>
      <c r="D8587" s="15" t="s">
        <v>42</v>
      </c>
      <c r="E8587" s="15" t="s">
        <v>36</v>
      </c>
      <c r="F8587" s="15" t="s">
        <v>18</v>
      </c>
      <c r="G8587" s="15" t="s">
        <v>30</v>
      </c>
      <c r="H8587" s="15" t="n">
        <v>4</v>
      </c>
      <c r="I8587" s="17" t="n">
        <v>0.2</v>
      </c>
      <c r="J8587" s="18" t="n">
        <v>115.29</v>
      </c>
      <c r="K8587" s="19" t="n">
        <v>6.54</v>
      </c>
      <c r="L8587" s="15" t="n">
        <f aca="false">YEAR(B8587)</f>
        <v>2025</v>
      </c>
      <c r="M8587" s="20" t="n">
        <f aca="false">IF(J8587&gt;0,K8587/J8587,0)</f>
        <v>0.0567265157429092</v>
      </c>
    </row>
    <row r="8588" customFormat="false" ht="15" hidden="false" customHeight="false" outlineLevel="0" collapsed="false">
      <c r="A8588" s="15" t="s">
        <v>8645</v>
      </c>
      <c r="B8588" s="16" t="n">
        <v>44811</v>
      </c>
      <c r="C8588" s="15" t="s">
        <v>71</v>
      </c>
      <c r="D8588" s="15" t="s">
        <v>42</v>
      </c>
      <c r="E8588" s="15" t="s">
        <v>37</v>
      </c>
      <c r="F8588" s="15" t="s">
        <v>16</v>
      </c>
      <c r="G8588" s="15" t="s">
        <v>27</v>
      </c>
      <c r="H8588" s="15" t="n">
        <v>4</v>
      </c>
      <c r="I8588" s="17" t="n">
        <v>0</v>
      </c>
      <c r="J8588" s="18" t="n">
        <v>237.32</v>
      </c>
      <c r="K8588" s="19" t="n">
        <v>50.69</v>
      </c>
      <c r="L8588" s="15" t="n">
        <f aca="false">YEAR(B8588)</f>
        <v>2022</v>
      </c>
      <c r="M8588" s="20" t="n">
        <f aca="false">IF(J8588&gt;0,K8588/J8588,0)</f>
        <v>0.213593460306759</v>
      </c>
    </row>
    <row r="8589" customFormat="false" ht="15" hidden="false" customHeight="false" outlineLevel="0" collapsed="false">
      <c r="A8589" s="15" t="s">
        <v>8646</v>
      </c>
      <c r="B8589" s="16" t="n">
        <v>45282</v>
      </c>
      <c r="C8589" s="15" t="s">
        <v>68</v>
      </c>
      <c r="D8589" s="15" t="s">
        <v>42</v>
      </c>
      <c r="E8589" s="15" t="s">
        <v>38</v>
      </c>
      <c r="F8589" s="15" t="s">
        <v>17</v>
      </c>
      <c r="G8589" s="15" t="s">
        <v>31</v>
      </c>
      <c r="H8589" s="15" t="n">
        <v>1</v>
      </c>
      <c r="I8589" s="17" t="n">
        <v>0.15</v>
      </c>
      <c r="J8589" s="18" t="n">
        <v>106.77</v>
      </c>
      <c r="K8589" s="19" t="n">
        <v>5.94</v>
      </c>
      <c r="L8589" s="15" t="n">
        <f aca="false">YEAR(B8589)</f>
        <v>2023</v>
      </c>
      <c r="M8589" s="20" t="n">
        <f aca="false">IF(J8589&gt;0,K8589/J8589,0)</f>
        <v>0.0556336049452093</v>
      </c>
    </row>
    <row r="8590" customFormat="false" ht="15" hidden="false" customHeight="false" outlineLevel="0" collapsed="false">
      <c r="A8590" s="15" t="s">
        <v>8647</v>
      </c>
      <c r="B8590" s="16" t="n">
        <v>45555</v>
      </c>
      <c r="C8590" s="15" t="s">
        <v>56</v>
      </c>
      <c r="D8590" s="15" t="s">
        <v>44</v>
      </c>
      <c r="E8590" s="15" t="s">
        <v>39</v>
      </c>
      <c r="F8590" s="15" t="s">
        <v>16</v>
      </c>
      <c r="G8590" s="15" t="s">
        <v>23</v>
      </c>
      <c r="H8590" s="15" t="n">
        <v>2</v>
      </c>
      <c r="I8590" s="17" t="n">
        <v>0</v>
      </c>
      <c r="J8590" s="18" t="n">
        <v>637.07</v>
      </c>
      <c r="K8590" s="19" t="n">
        <v>-14.12</v>
      </c>
      <c r="L8590" s="15" t="n">
        <f aca="false">YEAR(B8590)</f>
        <v>2024</v>
      </c>
      <c r="M8590" s="20" t="n">
        <f aca="false">IF(J8590&gt;0,K8590/J8590,0)</f>
        <v>-0.0221639694225124</v>
      </c>
    </row>
    <row r="8591" customFormat="false" ht="15" hidden="false" customHeight="false" outlineLevel="0" collapsed="false">
      <c r="A8591" s="15" t="s">
        <v>8648</v>
      </c>
      <c r="B8591" s="16" t="n">
        <v>45912</v>
      </c>
      <c r="C8591" s="15" t="s">
        <v>71</v>
      </c>
      <c r="D8591" s="15" t="s">
        <v>42</v>
      </c>
      <c r="E8591" s="15" t="s">
        <v>39</v>
      </c>
      <c r="F8591" s="15" t="s">
        <v>18</v>
      </c>
      <c r="G8591" s="15" t="s">
        <v>33</v>
      </c>
      <c r="H8591" s="15" t="n">
        <v>3</v>
      </c>
      <c r="I8591" s="17" t="n">
        <v>0.05</v>
      </c>
      <c r="J8591" s="18" t="n">
        <v>2739.95</v>
      </c>
      <c r="K8591" s="19" t="n">
        <v>762.99</v>
      </c>
      <c r="L8591" s="15" t="n">
        <f aca="false">YEAR(B8591)</f>
        <v>2025</v>
      </c>
      <c r="M8591" s="20" t="n">
        <f aca="false">IF(J8591&gt;0,K8591/J8591,0)</f>
        <v>0.278468585193161</v>
      </c>
    </row>
    <row r="8592" customFormat="false" ht="15" hidden="false" customHeight="false" outlineLevel="0" collapsed="false">
      <c r="A8592" s="15" t="s">
        <v>8649</v>
      </c>
      <c r="B8592" s="16" t="n">
        <v>45538</v>
      </c>
      <c r="C8592" s="15" t="s">
        <v>56</v>
      </c>
      <c r="D8592" s="15" t="s">
        <v>43</v>
      </c>
      <c r="E8592" s="15" t="s">
        <v>37</v>
      </c>
      <c r="F8592" s="15" t="s">
        <v>16</v>
      </c>
      <c r="G8592" s="15" t="s">
        <v>27</v>
      </c>
      <c r="H8592" s="15" t="n">
        <v>7</v>
      </c>
      <c r="I8592" s="17" t="n">
        <v>0</v>
      </c>
      <c r="J8592" s="18" t="n">
        <v>531.61</v>
      </c>
      <c r="K8592" s="19" t="n">
        <v>118.28</v>
      </c>
      <c r="L8592" s="15" t="n">
        <f aca="false">YEAR(B8592)</f>
        <v>2024</v>
      </c>
      <c r="M8592" s="20" t="n">
        <f aca="false">IF(J8592&gt;0,K8592/J8592,0)</f>
        <v>0.222493933522695</v>
      </c>
    </row>
    <row r="8593" customFormat="false" ht="15" hidden="false" customHeight="false" outlineLevel="0" collapsed="false">
      <c r="A8593" s="15" t="s">
        <v>8650</v>
      </c>
      <c r="B8593" s="16" t="n">
        <v>45585</v>
      </c>
      <c r="C8593" s="15" t="s">
        <v>56</v>
      </c>
      <c r="D8593" s="15" t="s">
        <v>42</v>
      </c>
      <c r="E8593" s="15" t="s">
        <v>36</v>
      </c>
      <c r="F8593" s="15" t="s">
        <v>18</v>
      </c>
      <c r="G8593" s="15" t="s">
        <v>30</v>
      </c>
      <c r="H8593" s="15" t="n">
        <v>4</v>
      </c>
      <c r="I8593" s="17" t="n">
        <v>0</v>
      </c>
      <c r="J8593" s="18" t="n">
        <v>173.5</v>
      </c>
      <c r="K8593" s="19" t="n">
        <v>41.05</v>
      </c>
      <c r="L8593" s="15" t="n">
        <f aca="false">YEAR(B8593)</f>
        <v>2024</v>
      </c>
      <c r="M8593" s="20" t="n">
        <f aca="false">IF(J8593&gt;0,K8593/J8593,0)</f>
        <v>0.236599423631124</v>
      </c>
    </row>
    <row r="8594" customFormat="false" ht="15" hidden="false" customHeight="false" outlineLevel="0" collapsed="false">
      <c r="A8594" s="15" t="s">
        <v>8651</v>
      </c>
      <c r="B8594" s="16" t="n">
        <v>45106</v>
      </c>
      <c r="C8594" s="15" t="s">
        <v>56</v>
      </c>
      <c r="D8594" s="15" t="s">
        <v>42</v>
      </c>
      <c r="E8594" s="15" t="s">
        <v>36</v>
      </c>
      <c r="F8594" s="15" t="s">
        <v>16</v>
      </c>
      <c r="G8594" s="15" t="s">
        <v>23</v>
      </c>
      <c r="H8594" s="15" t="n">
        <v>3</v>
      </c>
      <c r="I8594" s="17" t="n">
        <v>0.1</v>
      </c>
      <c r="J8594" s="18" t="n">
        <v>697</v>
      </c>
      <c r="K8594" s="19" t="n">
        <v>-53.78</v>
      </c>
      <c r="L8594" s="15" t="n">
        <f aca="false">YEAR(B8594)</f>
        <v>2023</v>
      </c>
      <c r="M8594" s="20" t="n">
        <f aca="false">IF(J8594&gt;0,K8594/J8594,0)</f>
        <v>-0.0771592539454806</v>
      </c>
    </row>
    <row r="8595" customFormat="false" ht="15" hidden="false" customHeight="false" outlineLevel="0" collapsed="false">
      <c r="A8595" s="15" t="s">
        <v>8652</v>
      </c>
      <c r="B8595" s="16" t="n">
        <v>45483</v>
      </c>
      <c r="C8595" s="15" t="s">
        <v>58</v>
      </c>
      <c r="D8595" s="15" t="s">
        <v>43</v>
      </c>
      <c r="E8595" s="15" t="s">
        <v>36</v>
      </c>
      <c r="F8595" s="15" t="s">
        <v>17</v>
      </c>
      <c r="G8595" s="15" t="s">
        <v>31</v>
      </c>
      <c r="H8595" s="15" t="n">
        <v>7</v>
      </c>
      <c r="I8595" s="17" t="n">
        <v>0</v>
      </c>
      <c r="J8595" s="18" t="n">
        <v>998.44</v>
      </c>
      <c r="K8595" s="19" t="n">
        <v>199.97</v>
      </c>
      <c r="L8595" s="15" t="n">
        <f aca="false">YEAR(B8595)</f>
        <v>2024</v>
      </c>
      <c r="M8595" s="20" t="n">
        <f aca="false">IF(J8595&gt;0,K8595/J8595,0)</f>
        <v>0.200282440607347</v>
      </c>
    </row>
    <row r="8596" customFormat="false" ht="15" hidden="false" customHeight="false" outlineLevel="0" collapsed="false">
      <c r="A8596" s="15" t="s">
        <v>8653</v>
      </c>
      <c r="B8596" s="16" t="n">
        <v>45293</v>
      </c>
      <c r="C8596" s="15" t="s">
        <v>56</v>
      </c>
      <c r="D8596" s="15" t="s">
        <v>44</v>
      </c>
      <c r="E8596" s="15" t="s">
        <v>37</v>
      </c>
      <c r="F8596" s="15" t="s">
        <v>16</v>
      </c>
      <c r="G8596" s="15" t="s">
        <v>27</v>
      </c>
      <c r="H8596" s="15" t="n">
        <v>5</v>
      </c>
      <c r="I8596" s="17" t="n">
        <v>0</v>
      </c>
      <c r="J8596" s="18" t="n">
        <v>324.33</v>
      </c>
      <c r="K8596" s="19" t="n">
        <v>57.57</v>
      </c>
      <c r="L8596" s="15" t="n">
        <f aca="false">YEAR(B8596)</f>
        <v>2024</v>
      </c>
      <c r="M8596" s="20" t="n">
        <f aca="false">IF(J8596&gt;0,K8596/J8596,0)</f>
        <v>0.177504393673111</v>
      </c>
    </row>
    <row r="8597" customFormat="false" ht="15" hidden="false" customHeight="false" outlineLevel="0" collapsed="false">
      <c r="A8597" s="15" t="s">
        <v>8654</v>
      </c>
      <c r="B8597" s="16" t="n">
        <v>45050</v>
      </c>
      <c r="C8597" s="15" t="s">
        <v>68</v>
      </c>
      <c r="D8597" s="15" t="s">
        <v>44</v>
      </c>
      <c r="E8597" s="15" t="s">
        <v>38</v>
      </c>
      <c r="F8597" s="15" t="s">
        <v>18</v>
      </c>
      <c r="G8597" s="15" t="s">
        <v>30</v>
      </c>
      <c r="H8597" s="15" t="n">
        <v>6</v>
      </c>
      <c r="I8597" s="17" t="n">
        <v>0</v>
      </c>
      <c r="J8597" s="18" t="n">
        <v>247.4</v>
      </c>
      <c r="K8597" s="19" t="n">
        <v>63.4</v>
      </c>
      <c r="L8597" s="15" t="n">
        <f aca="false">YEAR(B8597)</f>
        <v>2023</v>
      </c>
      <c r="M8597" s="20" t="n">
        <f aca="false">IF(J8597&gt;0,K8597/J8597,0)</f>
        <v>0.25626515763945</v>
      </c>
    </row>
    <row r="8598" customFormat="false" ht="15" hidden="false" customHeight="false" outlineLevel="0" collapsed="false">
      <c r="A8598" s="15" t="s">
        <v>8655</v>
      </c>
      <c r="B8598" s="16" t="n">
        <v>45740</v>
      </c>
      <c r="C8598" s="15" t="s">
        <v>71</v>
      </c>
      <c r="D8598" s="15" t="s">
        <v>42</v>
      </c>
      <c r="E8598" s="15" t="s">
        <v>39</v>
      </c>
      <c r="F8598" s="15" t="s">
        <v>17</v>
      </c>
      <c r="G8598" s="15" t="s">
        <v>28</v>
      </c>
      <c r="H8598" s="15" t="n">
        <v>5</v>
      </c>
      <c r="I8598" s="17" t="n">
        <v>0</v>
      </c>
      <c r="J8598" s="18" t="n">
        <v>136.43</v>
      </c>
      <c r="K8598" s="19" t="n">
        <v>44.1</v>
      </c>
      <c r="L8598" s="15" t="n">
        <f aca="false">YEAR(B8598)</f>
        <v>2025</v>
      </c>
      <c r="M8598" s="20" t="n">
        <f aca="false">IF(J8598&gt;0,K8598/J8598,0)</f>
        <v>0.323242688558235</v>
      </c>
    </row>
    <row r="8599" customFormat="false" ht="15" hidden="false" customHeight="false" outlineLevel="0" collapsed="false">
      <c r="A8599" s="15" t="s">
        <v>8656</v>
      </c>
      <c r="B8599" s="16" t="n">
        <v>44907</v>
      </c>
      <c r="C8599" s="15" t="s">
        <v>71</v>
      </c>
      <c r="D8599" s="15" t="s">
        <v>44</v>
      </c>
      <c r="E8599" s="15" t="s">
        <v>37</v>
      </c>
      <c r="F8599" s="15" t="s">
        <v>17</v>
      </c>
      <c r="G8599" s="15" t="s">
        <v>26</v>
      </c>
      <c r="H8599" s="15" t="n">
        <v>5</v>
      </c>
      <c r="I8599" s="17" t="n">
        <v>0.15</v>
      </c>
      <c r="J8599" s="18" t="n">
        <v>387.98</v>
      </c>
      <c r="K8599" s="19" t="n">
        <v>-6.72</v>
      </c>
      <c r="L8599" s="15" t="n">
        <f aca="false">YEAR(B8599)</f>
        <v>2022</v>
      </c>
      <c r="M8599" s="20" t="n">
        <f aca="false">IF(J8599&gt;0,K8599/J8599,0)</f>
        <v>-0.0173204804371359</v>
      </c>
    </row>
    <row r="8600" customFormat="false" ht="15" hidden="false" customHeight="false" outlineLevel="0" collapsed="false">
      <c r="A8600" s="15" t="s">
        <v>8657</v>
      </c>
      <c r="B8600" s="16" t="n">
        <v>44767</v>
      </c>
      <c r="C8600" s="15" t="s">
        <v>71</v>
      </c>
      <c r="D8600" s="15" t="s">
        <v>44</v>
      </c>
      <c r="E8600" s="15" t="s">
        <v>37</v>
      </c>
      <c r="F8600" s="15" t="s">
        <v>17</v>
      </c>
      <c r="G8600" s="15" t="s">
        <v>29</v>
      </c>
      <c r="H8600" s="15" t="n">
        <v>3</v>
      </c>
      <c r="I8600" s="17" t="n">
        <v>0</v>
      </c>
      <c r="J8600" s="18" t="n">
        <v>49.35</v>
      </c>
      <c r="K8600" s="19" t="n">
        <v>19</v>
      </c>
      <c r="L8600" s="15" t="n">
        <f aca="false">YEAR(B8600)</f>
        <v>2022</v>
      </c>
      <c r="M8600" s="20" t="n">
        <f aca="false">IF(J8600&gt;0,K8600/J8600,0)</f>
        <v>0.38500506585613</v>
      </c>
    </row>
    <row r="8601" customFormat="false" ht="15" hidden="false" customHeight="false" outlineLevel="0" collapsed="false">
      <c r="A8601" s="15" t="s">
        <v>8658</v>
      </c>
      <c r="B8601" s="16" t="n">
        <v>45649</v>
      </c>
      <c r="C8601" s="15" t="s">
        <v>71</v>
      </c>
      <c r="D8601" s="15" t="s">
        <v>44</v>
      </c>
      <c r="E8601" s="15" t="s">
        <v>39</v>
      </c>
      <c r="F8601" s="15" t="s">
        <v>16</v>
      </c>
      <c r="G8601" s="15" t="s">
        <v>25</v>
      </c>
      <c r="H8601" s="15" t="n">
        <v>6</v>
      </c>
      <c r="I8601" s="17" t="n">
        <v>0.2</v>
      </c>
      <c r="J8601" s="18" t="n">
        <v>1661.84</v>
      </c>
      <c r="K8601" s="19" t="n">
        <v>-142.01</v>
      </c>
      <c r="L8601" s="15" t="n">
        <f aca="false">YEAR(B8601)</f>
        <v>2024</v>
      </c>
      <c r="M8601" s="20" t="n">
        <f aca="false">IF(J8601&gt;0,K8601/J8601,0)</f>
        <v>-0.0854534732585568</v>
      </c>
    </row>
    <row r="8602" customFormat="false" ht="15" hidden="false" customHeight="false" outlineLevel="0" collapsed="false">
      <c r="A8602" s="15" t="s">
        <v>8659</v>
      </c>
      <c r="B8602" s="16" t="n">
        <v>45605</v>
      </c>
      <c r="C8602" s="15" t="s">
        <v>56</v>
      </c>
      <c r="D8602" s="15" t="s">
        <v>43</v>
      </c>
      <c r="E8602" s="15" t="s">
        <v>36</v>
      </c>
      <c r="F8602" s="15" t="s">
        <v>18</v>
      </c>
      <c r="G8602" s="15" t="s">
        <v>30</v>
      </c>
      <c r="H8602" s="15" t="n">
        <v>2</v>
      </c>
      <c r="I8602" s="17" t="n">
        <v>0.05</v>
      </c>
      <c r="J8602" s="18" t="n">
        <v>79.47</v>
      </c>
      <c r="K8602" s="19" t="n">
        <v>17.66</v>
      </c>
      <c r="L8602" s="15" t="n">
        <f aca="false">YEAR(B8602)</f>
        <v>2024</v>
      </c>
      <c r="M8602" s="20" t="n">
        <f aca="false">IF(J8602&gt;0,K8602/J8602,0)</f>
        <v>0.222222222222222</v>
      </c>
    </row>
    <row r="8603" customFormat="false" ht="15" hidden="false" customHeight="false" outlineLevel="0" collapsed="false">
      <c r="A8603" s="15" t="s">
        <v>8660</v>
      </c>
      <c r="B8603" s="16" t="n">
        <v>45977</v>
      </c>
      <c r="C8603" s="15" t="s">
        <v>58</v>
      </c>
      <c r="D8603" s="15" t="s">
        <v>42</v>
      </c>
      <c r="E8603" s="15" t="s">
        <v>36</v>
      </c>
      <c r="F8603" s="15" t="s">
        <v>17</v>
      </c>
      <c r="G8603" s="15" t="s">
        <v>26</v>
      </c>
      <c r="H8603" s="15" t="n">
        <v>6</v>
      </c>
      <c r="I8603" s="17" t="n">
        <v>0.15</v>
      </c>
      <c r="J8603" s="18" t="n">
        <v>408.52</v>
      </c>
      <c r="K8603" s="19" t="n">
        <v>2.67</v>
      </c>
      <c r="L8603" s="15" t="n">
        <f aca="false">YEAR(B8603)</f>
        <v>2025</v>
      </c>
      <c r="M8603" s="20" t="n">
        <f aca="false">IF(J8603&gt;0,K8603/J8603,0)</f>
        <v>0.00653578772153138</v>
      </c>
    </row>
    <row r="8604" customFormat="false" ht="15" hidden="false" customHeight="false" outlineLevel="0" collapsed="false">
      <c r="A8604" s="15" t="s">
        <v>8661</v>
      </c>
      <c r="B8604" s="16" t="n">
        <v>45126</v>
      </c>
      <c r="C8604" s="15" t="s">
        <v>68</v>
      </c>
      <c r="D8604" s="15" t="s">
        <v>42</v>
      </c>
      <c r="E8604" s="15" t="s">
        <v>38</v>
      </c>
      <c r="F8604" s="15" t="s">
        <v>18</v>
      </c>
      <c r="G8604" s="15" t="s">
        <v>32</v>
      </c>
      <c r="H8604" s="15" t="n">
        <v>6</v>
      </c>
      <c r="I8604" s="17" t="n">
        <v>0.05</v>
      </c>
      <c r="J8604" s="18" t="n">
        <v>2007.05</v>
      </c>
      <c r="K8604" s="19" t="n">
        <v>314.4</v>
      </c>
      <c r="L8604" s="15" t="n">
        <f aca="false">YEAR(B8604)</f>
        <v>2023</v>
      </c>
      <c r="M8604" s="20" t="n">
        <f aca="false">IF(J8604&gt;0,K8604/J8604,0)</f>
        <v>0.156647816447024</v>
      </c>
    </row>
    <row r="8605" customFormat="false" ht="15" hidden="false" customHeight="false" outlineLevel="0" collapsed="false">
      <c r="A8605" s="15" t="s">
        <v>8662</v>
      </c>
      <c r="B8605" s="16" t="n">
        <v>45412</v>
      </c>
      <c r="C8605" s="15" t="s">
        <v>68</v>
      </c>
      <c r="D8605" s="15" t="s">
        <v>43</v>
      </c>
      <c r="E8605" s="15" t="s">
        <v>39</v>
      </c>
      <c r="F8605" s="15" t="s">
        <v>17</v>
      </c>
      <c r="G8605" s="15" t="s">
        <v>28</v>
      </c>
      <c r="H8605" s="15" t="n">
        <v>3</v>
      </c>
      <c r="I8605" s="17" t="n">
        <v>0.3</v>
      </c>
      <c r="J8605" s="18" t="n">
        <v>58.62</v>
      </c>
      <c r="K8605" s="19" t="n">
        <v>-1.33</v>
      </c>
      <c r="L8605" s="15" t="n">
        <f aca="false">YEAR(B8605)</f>
        <v>2024</v>
      </c>
      <c r="M8605" s="20" t="n">
        <f aca="false">IF(J8605&gt;0,K8605/J8605,0)</f>
        <v>-0.0226885022176732</v>
      </c>
    </row>
    <row r="8606" customFormat="false" ht="15" hidden="false" customHeight="false" outlineLevel="0" collapsed="false">
      <c r="A8606" s="15" t="s">
        <v>8663</v>
      </c>
      <c r="B8606" s="16" t="n">
        <v>45063</v>
      </c>
      <c r="C8606" s="15" t="s">
        <v>71</v>
      </c>
      <c r="D8606" s="15" t="s">
        <v>42</v>
      </c>
      <c r="E8606" s="15" t="s">
        <v>37</v>
      </c>
      <c r="F8606" s="15" t="s">
        <v>17</v>
      </c>
      <c r="G8606" s="15" t="s">
        <v>29</v>
      </c>
      <c r="H8606" s="15" t="n">
        <v>3</v>
      </c>
      <c r="I8606" s="17" t="n">
        <v>0</v>
      </c>
      <c r="J8606" s="18" t="n">
        <v>46.92</v>
      </c>
      <c r="K8606" s="19" t="n">
        <v>16.43</v>
      </c>
      <c r="L8606" s="15" t="n">
        <f aca="false">YEAR(B8606)</f>
        <v>2023</v>
      </c>
      <c r="M8606" s="20" t="n">
        <f aca="false">IF(J8606&gt;0,K8606/J8606,0)</f>
        <v>0.350170502983802</v>
      </c>
    </row>
    <row r="8607" customFormat="false" ht="15" hidden="false" customHeight="false" outlineLevel="0" collapsed="false">
      <c r="A8607" s="15" t="s">
        <v>8664</v>
      </c>
      <c r="B8607" s="16" t="n">
        <v>45751</v>
      </c>
      <c r="C8607" s="15" t="s">
        <v>56</v>
      </c>
      <c r="D8607" s="15" t="s">
        <v>43</v>
      </c>
      <c r="E8607" s="15" t="s">
        <v>38</v>
      </c>
      <c r="F8607" s="15" t="s">
        <v>18</v>
      </c>
      <c r="G8607" s="15" t="s">
        <v>32</v>
      </c>
      <c r="H8607" s="15" t="n">
        <v>3</v>
      </c>
      <c r="I8607" s="17" t="n">
        <v>0</v>
      </c>
      <c r="J8607" s="18" t="n">
        <v>937.64</v>
      </c>
      <c r="K8607" s="19" t="n">
        <v>173.52</v>
      </c>
      <c r="L8607" s="15" t="n">
        <f aca="false">YEAR(B8607)</f>
        <v>2025</v>
      </c>
      <c r="M8607" s="20" t="n">
        <f aca="false">IF(J8607&gt;0,K8607/J8607,0)</f>
        <v>0.185060364318928</v>
      </c>
    </row>
    <row r="8608" customFormat="false" ht="15" hidden="false" customHeight="false" outlineLevel="0" collapsed="false">
      <c r="A8608" s="15" t="s">
        <v>8665</v>
      </c>
      <c r="B8608" s="16" t="n">
        <v>45827</v>
      </c>
      <c r="C8608" s="15" t="s">
        <v>56</v>
      </c>
      <c r="D8608" s="15" t="s">
        <v>43</v>
      </c>
      <c r="E8608" s="15" t="s">
        <v>36</v>
      </c>
      <c r="F8608" s="15" t="s">
        <v>17</v>
      </c>
      <c r="G8608" s="15" t="s">
        <v>26</v>
      </c>
      <c r="H8608" s="15" t="n">
        <v>5</v>
      </c>
      <c r="I8608" s="17" t="n">
        <v>0</v>
      </c>
      <c r="J8608" s="18" t="n">
        <v>465.44</v>
      </c>
      <c r="K8608" s="19" t="n">
        <v>67.45</v>
      </c>
      <c r="L8608" s="15" t="n">
        <f aca="false">YEAR(B8608)</f>
        <v>2025</v>
      </c>
      <c r="M8608" s="20" t="n">
        <f aca="false">IF(J8608&gt;0,K8608/J8608,0)</f>
        <v>0.144916638019938</v>
      </c>
    </row>
    <row r="8609" customFormat="false" ht="15" hidden="false" customHeight="false" outlineLevel="0" collapsed="false">
      <c r="A8609" s="15" t="s">
        <v>8666</v>
      </c>
      <c r="B8609" s="16" t="n">
        <v>45129</v>
      </c>
      <c r="C8609" s="15" t="s">
        <v>71</v>
      </c>
      <c r="D8609" s="15" t="s">
        <v>42</v>
      </c>
      <c r="E8609" s="15" t="s">
        <v>39</v>
      </c>
      <c r="F8609" s="15" t="s">
        <v>18</v>
      </c>
      <c r="G8609" s="15" t="s">
        <v>32</v>
      </c>
      <c r="H8609" s="15" t="n">
        <v>5</v>
      </c>
      <c r="I8609" s="17" t="n">
        <v>0.1</v>
      </c>
      <c r="J8609" s="18" t="n">
        <v>1988.17</v>
      </c>
      <c r="K8609" s="19" t="n">
        <v>188.08</v>
      </c>
      <c r="L8609" s="15" t="n">
        <f aca="false">YEAR(B8609)</f>
        <v>2023</v>
      </c>
      <c r="M8609" s="20" t="n">
        <f aca="false">IF(J8609&gt;0,K8609/J8609,0)</f>
        <v>0.0945995563759638</v>
      </c>
    </row>
    <row r="8610" customFormat="false" ht="15" hidden="false" customHeight="false" outlineLevel="0" collapsed="false">
      <c r="A8610" s="15" t="s">
        <v>8667</v>
      </c>
      <c r="B8610" s="16" t="n">
        <v>45713</v>
      </c>
      <c r="C8610" s="15" t="s">
        <v>56</v>
      </c>
      <c r="D8610" s="15" t="s">
        <v>43</v>
      </c>
      <c r="E8610" s="15" t="s">
        <v>39</v>
      </c>
      <c r="F8610" s="15" t="s">
        <v>17</v>
      </c>
      <c r="G8610" s="15" t="s">
        <v>29</v>
      </c>
      <c r="H8610" s="15" t="n">
        <v>2</v>
      </c>
      <c r="I8610" s="17" t="n">
        <v>0</v>
      </c>
      <c r="J8610" s="18" t="n">
        <v>41.02</v>
      </c>
      <c r="K8610" s="19" t="n">
        <v>15.79</v>
      </c>
      <c r="L8610" s="15" t="n">
        <f aca="false">YEAR(B8610)</f>
        <v>2025</v>
      </c>
      <c r="M8610" s="20" t="n">
        <f aca="false">IF(J8610&gt;0,K8610/J8610,0)</f>
        <v>0.384934178449537</v>
      </c>
    </row>
    <row r="8611" customFormat="false" ht="15" hidden="false" customHeight="false" outlineLevel="0" collapsed="false">
      <c r="A8611" s="15" t="s">
        <v>8668</v>
      </c>
      <c r="B8611" s="16" t="n">
        <v>45605</v>
      </c>
      <c r="C8611" s="15" t="s">
        <v>71</v>
      </c>
      <c r="D8611" s="15" t="s">
        <v>42</v>
      </c>
      <c r="E8611" s="15" t="s">
        <v>39</v>
      </c>
      <c r="F8611" s="15" t="s">
        <v>17</v>
      </c>
      <c r="G8611" s="15" t="s">
        <v>29</v>
      </c>
      <c r="H8611" s="15" t="n">
        <v>4</v>
      </c>
      <c r="I8611" s="17" t="n">
        <v>0.2</v>
      </c>
      <c r="J8611" s="18" t="n">
        <v>59.4</v>
      </c>
      <c r="K8611" s="19" t="n">
        <v>8.7</v>
      </c>
      <c r="L8611" s="15" t="n">
        <f aca="false">YEAR(B8611)</f>
        <v>2024</v>
      </c>
      <c r="M8611" s="20" t="n">
        <f aca="false">IF(J8611&gt;0,K8611/J8611,0)</f>
        <v>0.146464646464646</v>
      </c>
    </row>
    <row r="8612" customFormat="false" ht="15" hidden="false" customHeight="false" outlineLevel="0" collapsed="false">
      <c r="A8612" s="15" t="s">
        <v>8669</v>
      </c>
      <c r="B8612" s="16" t="n">
        <v>45386</v>
      </c>
      <c r="C8612" s="15" t="s">
        <v>71</v>
      </c>
      <c r="D8612" s="15" t="s">
        <v>43</v>
      </c>
      <c r="E8612" s="15" t="s">
        <v>39</v>
      </c>
      <c r="F8612" s="15" t="s">
        <v>16</v>
      </c>
      <c r="G8612" s="15" t="s">
        <v>23</v>
      </c>
      <c r="H8612" s="15" t="n">
        <v>5</v>
      </c>
      <c r="I8612" s="17" t="n">
        <v>0.4</v>
      </c>
      <c r="J8612" s="18" t="n">
        <v>1149.26</v>
      </c>
      <c r="K8612" s="19" t="n">
        <v>-386.66</v>
      </c>
      <c r="L8612" s="15" t="n">
        <f aca="false">YEAR(B8612)</f>
        <v>2024</v>
      </c>
      <c r="M8612" s="20" t="n">
        <f aca="false">IF(J8612&gt;0,K8612/J8612,0)</f>
        <v>-0.336442580443068</v>
      </c>
    </row>
    <row r="8613" customFormat="false" ht="15" hidden="false" customHeight="false" outlineLevel="0" collapsed="false">
      <c r="A8613" s="15" t="s">
        <v>8670</v>
      </c>
      <c r="B8613" s="16" t="n">
        <v>45831</v>
      </c>
      <c r="C8613" s="15" t="s">
        <v>56</v>
      </c>
      <c r="D8613" s="15" t="s">
        <v>42</v>
      </c>
      <c r="E8613" s="15" t="s">
        <v>36</v>
      </c>
      <c r="F8613" s="15" t="s">
        <v>17</v>
      </c>
      <c r="G8613" s="15" t="s">
        <v>29</v>
      </c>
      <c r="H8613" s="15" t="n">
        <v>3</v>
      </c>
      <c r="I8613" s="17" t="n">
        <v>0</v>
      </c>
      <c r="J8613" s="18" t="n">
        <v>49.31</v>
      </c>
      <c r="K8613" s="19" t="n">
        <v>18.26</v>
      </c>
      <c r="L8613" s="15" t="n">
        <f aca="false">YEAR(B8613)</f>
        <v>2025</v>
      </c>
      <c r="M8613" s="20" t="n">
        <f aca="false">IF(J8613&gt;0,K8613/J8613,0)</f>
        <v>0.370310281890083</v>
      </c>
    </row>
    <row r="8614" customFormat="false" ht="15" hidden="false" customHeight="false" outlineLevel="0" collapsed="false">
      <c r="A8614" s="15" t="s">
        <v>8671</v>
      </c>
      <c r="B8614" s="16" t="n">
        <v>45678</v>
      </c>
      <c r="C8614" s="15" t="s">
        <v>71</v>
      </c>
      <c r="D8614" s="15" t="s">
        <v>42</v>
      </c>
      <c r="E8614" s="15" t="s">
        <v>37</v>
      </c>
      <c r="F8614" s="15" t="s">
        <v>18</v>
      </c>
      <c r="G8614" s="15" t="s">
        <v>30</v>
      </c>
      <c r="H8614" s="15" t="n">
        <v>5</v>
      </c>
      <c r="I8614" s="17" t="n">
        <v>0.1</v>
      </c>
      <c r="J8614" s="18" t="n">
        <v>224.2</v>
      </c>
      <c r="K8614" s="19" t="n">
        <v>57.52</v>
      </c>
      <c r="L8614" s="15" t="n">
        <f aca="false">YEAR(B8614)</f>
        <v>2025</v>
      </c>
      <c r="M8614" s="20" t="n">
        <f aca="false">IF(J8614&gt;0,K8614/J8614,0)</f>
        <v>0.256556645851918</v>
      </c>
    </row>
    <row r="8615" customFormat="false" ht="15" hidden="false" customHeight="false" outlineLevel="0" collapsed="false">
      <c r="A8615" s="15" t="s">
        <v>8672</v>
      </c>
      <c r="B8615" s="16" t="n">
        <v>45060</v>
      </c>
      <c r="C8615" s="15" t="s">
        <v>58</v>
      </c>
      <c r="D8615" s="15" t="s">
        <v>43</v>
      </c>
      <c r="E8615" s="15" t="s">
        <v>36</v>
      </c>
      <c r="F8615" s="15" t="s">
        <v>17</v>
      </c>
      <c r="G8615" s="15" t="s">
        <v>26</v>
      </c>
      <c r="H8615" s="15" t="n">
        <v>2</v>
      </c>
      <c r="I8615" s="17" t="n">
        <v>0</v>
      </c>
      <c r="J8615" s="18" t="n">
        <v>190.89</v>
      </c>
      <c r="K8615" s="19" t="n">
        <v>19.73</v>
      </c>
      <c r="L8615" s="15" t="n">
        <f aca="false">YEAR(B8615)</f>
        <v>2023</v>
      </c>
      <c r="M8615" s="20" t="n">
        <f aca="false">IF(J8615&gt;0,K8615/J8615,0)</f>
        <v>0.103357954843103</v>
      </c>
    </row>
    <row r="8616" customFormat="false" ht="15" hidden="false" customHeight="false" outlineLevel="0" collapsed="false">
      <c r="A8616" s="15" t="s">
        <v>8673</v>
      </c>
      <c r="B8616" s="16" t="n">
        <v>45702</v>
      </c>
      <c r="C8616" s="15" t="s">
        <v>56</v>
      </c>
      <c r="D8616" s="15" t="s">
        <v>42</v>
      </c>
      <c r="E8616" s="15" t="s">
        <v>36</v>
      </c>
      <c r="F8616" s="15" t="s">
        <v>18</v>
      </c>
      <c r="G8616" s="15" t="s">
        <v>33</v>
      </c>
      <c r="H8616" s="15" t="n">
        <v>3</v>
      </c>
      <c r="I8616" s="17" t="n">
        <v>0</v>
      </c>
      <c r="J8616" s="18" t="n">
        <v>2252.09</v>
      </c>
      <c r="K8616" s="19" t="n">
        <v>551.44</v>
      </c>
      <c r="L8616" s="15" t="n">
        <f aca="false">YEAR(B8616)</f>
        <v>2025</v>
      </c>
      <c r="M8616" s="20" t="n">
        <f aca="false">IF(J8616&gt;0,K8616/J8616,0)</f>
        <v>0.244856999498244</v>
      </c>
    </row>
    <row r="8617" customFormat="false" ht="15" hidden="false" customHeight="false" outlineLevel="0" collapsed="false">
      <c r="A8617" s="15" t="s">
        <v>8674</v>
      </c>
      <c r="B8617" s="16" t="n">
        <v>44997</v>
      </c>
      <c r="C8617" s="15" t="s">
        <v>56</v>
      </c>
      <c r="D8617" s="15" t="s">
        <v>44</v>
      </c>
      <c r="E8617" s="15" t="s">
        <v>39</v>
      </c>
      <c r="F8617" s="15" t="s">
        <v>16</v>
      </c>
      <c r="G8617" s="15" t="s">
        <v>25</v>
      </c>
      <c r="H8617" s="15" t="n">
        <v>3</v>
      </c>
      <c r="I8617" s="17" t="n">
        <v>0.15</v>
      </c>
      <c r="J8617" s="18" t="n">
        <v>758.65</v>
      </c>
      <c r="K8617" s="19" t="n">
        <v>-9.03</v>
      </c>
      <c r="L8617" s="15" t="n">
        <f aca="false">YEAR(B8617)</f>
        <v>2023</v>
      </c>
      <c r="M8617" s="20" t="n">
        <f aca="false">IF(J8617&gt;0,K8617/J8617,0)</f>
        <v>-0.0119027219402887</v>
      </c>
    </row>
    <row r="8618" customFormat="false" ht="15" hidden="false" customHeight="false" outlineLevel="0" collapsed="false">
      <c r="A8618" s="15" t="s">
        <v>8675</v>
      </c>
      <c r="B8618" s="16" t="n">
        <v>45506</v>
      </c>
      <c r="C8618" s="15" t="s">
        <v>68</v>
      </c>
      <c r="D8618" s="15" t="s">
        <v>42</v>
      </c>
      <c r="E8618" s="15" t="s">
        <v>37</v>
      </c>
      <c r="F8618" s="15" t="s">
        <v>17</v>
      </c>
      <c r="G8618" s="15" t="s">
        <v>29</v>
      </c>
      <c r="H8618" s="15" t="n">
        <v>4</v>
      </c>
      <c r="I8618" s="17" t="n">
        <v>0</v>
      </c>
      <c r="J8618" s="18" t="n">
        <v>69.5</v>
      </c>
      <c r="K8618" s="19" t="n">
        <v>26.21</v>
      </c>
      <c r="L8618" s="15" t="n">
        <f aca="false">YEAR(B8618)</f>
        <v>2024</v>
      </c>
      <c r="M8618" s="20" t="n">
        <f aca="false">IF(J8618&gt;0,K8618/J8618,0)</f>
        <v>0.377122302158273</v>
      </c>
    </row>
    <row r="8619" customFormat="false" ht="15" hidden="false" customHeight="false" outlineLevel="0" collapsed="false">
      <c r="A8619" s="15" t="s">
        <v>8676</v>
      </c>
      <c r="B8619" s="16" t="n">
        <v>45107</v>
      </c>
      <c r="C8619" s="15" t="s">
        <v>71</v>
      </c>
      <c r="D8619" s="15" t="s">
        <v>42</v>
      </c>
      <c r="E8619" s="15" t="s">
        <v>39</v>
      </c>
      <c r="F8619" s="15" t="s">
        <v>16</v>
      </c>
      <c r="G8619" s="15" t="s">
        <v>27</v>
      </c>
      <c r="H8619" s="15" t="n">
        <v>3</v>
      </c>
      <c r="I8619" s="17" t="n">
        <v>0.05</v>
      </c>
      <c r="J8619" s="18" t="n">
        <v>145.85</v>
      </c>
      <c r="K8619" s="19" t="n">
        <v>22.96</v>
      </c>
      <c r="L8619" s="15" t="n">
        <f aca="false">YEAR(B8619)</f>
        <v>2023</v>
      </c>
      <c r="M8619" s="20" t="n">
        <f aca="false">IF(J8619&gt;0,K8619/J8619,0)</f>
        <v>0.157422008913267</v>
      </c>
    </row>
    <row r="8620" customFormat="false" ht="15" hidden="false" customHeight="false" outlineLevel="0" collapsed="false">
      <c r="A8620" s="15" t="s">
        <v>8677</v>
      </c>
      <c r="B8620" s="16" t="n">
        <v>45804</v>
      </c>
      <c r="C8620" s="15" t="s">
        <v>71</v>
      </c>
      <c r="D8620" s="15" t="s">
        <v>42</v>
      </c>
      <c r="E8620" s="15" t="s">
        <v>37</v>
      </c>
      <c r="F8620" s="15" t="s">
        <v>18</v>
      </c>
      <c r="G8620" s="15" t="s">
        <v>30</v>
      </c>
      <c r="H8620" s="15" t="n">
        <v>1</v>
      </c>
      <c r="I8620" s="17" t="n">
        <v>0</v>
      </c>
      <c r="J8620" s="18" t="n">
        <v>41.06</v>
      </c>
      <c r="K8620" s="19" t="n">
        <v>13.05</v>
      </c>
      <c r="L8620" s="15" t="n">
        <f aca="false">YEAR(B8620)</f>
        <v>2025</v>
      </c>
      <c r="M8620" s="20" t="n">
        <f aca="false">IF(J8620&gt;0,K8620/J8620,0)</f>
        <v>0.317827569410619</v>
      </c>
    </row>
    <row r="8621" customFormat="false" ht="15" hidden="false" customHeight="false" outlineLevel="0" collapsed="false">
      <c r="A8621" s="15" t="s">
        <v>8678</v>
      </c>
      <c r="B8621" s="16" t="n">
        <v>45235</v>
      </c>
      <c r="C8621" s="15" t="s">
        <v>71</v>
      </c>
      <c r="D8621" s="15" t="s">
        <v>42</v>
      </c>
      <c r="E8621" s="15" t="s">
        <v>37</v>
      </c>
      <c r="F8621" s="15" t="s">
        <v>17</v>
      </c>
      <c r="G8621" s="15" t="s">
        <v>29</v>
      </c>
      <c r="H8621" s="15" t="n">
        <v>4</v>
      </c>
      <c r="I8621" s="17" t="n">
        <v>0.05</v>
      </c>
      <c r="J8621" s="18" t="n">
        <v>77.64</v>
      </c>
      <c r="K8621" s="19" t="n">
        <v>29.28</v>
      </c>
      <c r="L8621" s="15" t="n">
        <f aca="false">YEAR(B8621)</f>
        <v>2023</v>
      </c>
      <c r="M8621" s="20" t="n">
        <f aca="false">IF(J8621&gt;0,K8621/J8621,0)</f>
        <v>0.377125193199382</v>
      </c>
    </row>
    <row r="8622" customFormat="false" ht="15" hidden="false" customHeight="false" outlineLevel="0" collapsed="false">
      <c r="A8622" s="15" t="s">
        <v>8679</v>
      </c>
      <c r="B8622" s="16" t="n">
        <v>44905</v>
      </c>
      <c r="C8622" s="15" t="s">
        <v>56</v>
      </c>
      <c r="D8622" s="15" t="s">
        <v>42</v>
      </c>
      <c r="E8622" s="15" t="s">
        <v>39</v>
      </c>
      <c r="F8622" s="15" t="s">
        <v>16</v>
      </c>
      <c r="G8622" s="15" t="s">
        <v>27</v>
      </c>
      <c r="H8622" s="15" t="n">
        <v>5</v>
      </c>
      <c r="I8622" s="17" t="n">
        <v>0</v>
      </c>
      <c r="J8622" s="18" t="n">
        <v>260.33</v>
      </c>
      <c r="K8622" s="19" t="n">
        <v>77.2</v>
      </c>
      <c r="L8622" s="15" t="n">
        <f aca="false">YEAR(B8622)</f>
        <v>2022</v>
      </c>
      <c r="M8622" s="20" t="n">
        <f aca="false">IF(J8622&gt;0,K8622/J8622,0)</f>
        <v>0.296546690738678</v>
      </c>
    </row>
    <row r="8623" customFormat="false" ht="15" hidden="false" customHeight="false" outlineLevel="0" collapsed="false">
      <c r="A8623" s="15" t="s">
        <v>8680</v>
      </c>
      <c r="B8623" s="16" t="n">
        <v>45345</v>
      </c>
      <c r="C8623" s="15" t="s">
        <v>56</v>
      </c>
      <c r="D8623" s="15" t="s">
        <v>42</v>
      </c>
      <c r="E8623" s="15" t="s">
        <v>36</v>
      </c>
      <c r="F8623" s="15" t="s">
        <v>18</v>
      </c>
      <c r="G8623" s="15" t="s">
        <v>30</v>
      </c>
      <c r="H8623" s="15" t="n">
        <v>4</v>
      </c>
      <c r="I8623" s="17" t="n">
        <v>0.2</v>
      </c>
      <c r="J8623" s="18" t="n">
        <v>132.67</v>
      </c>
      <c r="K8623" s="19" t="n">
        <v>29.25</v>
      </c>
      <c r="L8623" s="15" t="n">
        <f aca="false">YEAR(B8623)</f>
        <v>2024</v>
      </c>
      <c r="M8623" s="20" t="n">
        <f aca="false">IF(J8623&gt;0,K8623/J8623,0)</f>
        <v>0.220471847441019</v>
      </c>
    </row>
    <row r="8624" customFormat="false" ht="15" hidden="false" customHeight="false" outlineLevel="0" collapsed="false">
      <c r="A8624" s="15" t="s">
        <v>8681</v>
      </c>
      <c r="B8624" s="16" t="n">
        <v>45177</v>
      </c>
      <c r="C8624" s="15" t="s">
        <v>71</v>
      </c>
      <c r="D8624" s="15" t="s">
        <v>43</v>
      </c>
      <c r="E8624" s="15" t="s">
        <v>37</v>
      </c>
      <c r="F8624" s="15" t="s">
        <v>17</v>
      </c>
      <c r="G8624" s="15" t="s">
        <v>29</v>
      </c>
      <c r="H8624" s="15" t="n">
        <v>2</v>
      </c>
      <c r="I8624" s="17" t="n">
        <v>0</v>
      </c>
      <c r="J8624" s="18" t="n">
        <v>42</v>
      </c>
      <c r="K8624" s="19" t="n">
        <v>16.75</v>
      </c>
      <c r="L8624" s="15" t="n">
        <f aca="false">YEAR(B8624)</f>
        <v>2023</v>
      </c>
      <c r="M8624" s="20" t="n">
        <f aca="false">IF(J8624&gt;0,K8624/J8624,0)</f>
        <v>0.398809523809524</v>
      </c>
    </row>
    <row r="8625" customFormat="false" ht="15" hidden="false" customHeight="false" outlineLevel="0" collapsed="false">
      <c r="A8625" s="15" t="s">
        <v>8682</v>
      </c>
      <c r="B8625" s="16" t="n">
        <v>45930</v>
      </c>
      <c r="C8625" s="15" t="s">
        <v>56</v>
      </c>
      <c r="D8625" s="15" t="s">
        <v>42</v>
      </c>
      <c r="E8625" s="15" t="s">
        <v>39</v>
      </c>
      <c r="F8625" s="15" t="s">
        <v>17</v>
      </c>
      <c r="G8625" s="15" t="s">
        <v>31</v>
      </c>
      <c r="H8625" s="15" t="n">
        <v>5</v>
      </c>
      <c r="I8625" s="17" t="n">
        <v>0.2</v>
      </c>
      <c r="J8625" s="18" t="n">
        <v>497.66</v>
      </c>
      <c r="K8625" s="19" t="n">
        <v>-20.45</v>
      </c>
      <c r="L8625" s="15" t="n">
        <f aca="false">YEAR(B8625)</f>
        <v>2025</v>
      </c>
      <c r="M8625" s="20" t="n">
        <f aca="false">IF(J8625&gt;0,K8625/J8625,0)</f>
        <v>-0.0410923120202548</v>
      </c>
    </row>
    <row r="8626" customFormat="false" ht="15" hidden="false" customHeight="false" outlineLevel="0" collapsed="false">
      <c r="A8626" s="15" t="s">
        <v>8683</v>
      </c>
      <c r="B8626" s="16" t="n">
        <v>45767</v>
      </c>
      <c r="C8626" s="15" t="s">
        <v>56</v>
      </c>
      <c r="D8626" s="15" t="s">
        <v>42</v>
      </c>
      <c r="E8626" s="15" t="s">
        <v>37</v>
      </c>
      <c r="F8626" s="15" t="s">
        <v>18</v>
      </c>
      <c r="G8626" s="15" t="s">
        <v>30</v>
      </c>
      <c r="H8626" s="15" t="n">
        <v>4</v>
      </c>
      <c r="I8626" s="17" t="n">
        <v>0.1</v>
      </c>
      <c r="J8626" s="18" t="n">
        <v>170.88</v>
      </c>
      <c r="K8626" s="19" t="n">
        <v>28.18</v>
      </c>
      <c r="L8626" s="15" t="n">
        <f aca="false">YEAR(B8626)</f>
        <v>2025</v>
      </c>
      <c r="M8626" s="20" t="n">
        <f aca="false">IF(J8626&gt;0,K8626/J8626,0)</f>
        <v>0.164911048689139</v>
      </c>
    </row>
    <row r="8627" customFormat="false" ht="15" hidden="false" customHeight="false" outlineLevel="0" collapsed="false">
      <c r="A8627" s="15" t="s">
        <v>8684</v>
      </c>
      <c r="B8627" s="16" t="n">
        <v>44703</v>
      </c>
      <c r="C8627" s="15" t="s">
        <v>56</v>
      </c>
      <c r="D8627" s="15" t="s">
        <v>44</v>
      </c>
      <c r="E8627" s="15" t="s">
        <v>39</v>
      </c>
      <c r="F8627" s="15" t="s">
        <v>17</v>
      </c>
      <c r="G8627" s="15" t="s">
        <v>29</v>
      </c>
      <c r="H8627" s="15" t="n">
        <v>4</v>
      </c>
      <c r="I8627" s="17" t="n">
        <v>0</v>
      </c>
      <c r="J8627" s="18" t="n">
        <v>84.53</v>
      </c>
      <c r="K8627" s="19" t="n">
        <v>35.87</v>
      </c>
      <c r="L8627" s="15" t="n">
        <f aca="false">YEAR(B8627)</f>
        <v>2022</v>
      </c>
      <c r="M8627" s="20" t="n">
        <f aca="false">IF(J8627&gt;0,K8627/J8627,0)</f>
        <v>0.424346385898498</v>
      </c>
    </row>
    <row r="8628" customFormat="false" ht="15" hidden="false" customHeight="false" outlineLevel="0" collapsed="false">
      <c r="A8628" s="15" t="s">
        <v>8685</v>
      </c>
      <c r="B8628" s="16" t="n">
        <v>45308</v>
      </c>
      <c r="C8628" s="15" t="s">
        <v>71</v>
      </c>
      <c r="D8628" s="15" t="s">
        <v>44</v>
      </c>
      <c r="E8628" s="15" t="s">
        <v>37</v>
      </c>
      <c r="F8628" s="15" t="s">
        <v>17</v>
      </c>
      <c r="G8628" s="15" t="s">
        <v>29</v>
      </c>
      <c r="H8628" s="15" t="n">
        <v>3</v>
      </c>
      <c r="I8628" s="17" t="n">
        <v>0</v>
      </c>
      <c r="J8628" s="18" t="n">
        <v>54.64</v>
      </c>
      <c r="K8628" s="19" t="n">
        <v>24.6</v>
      </c>
      <c r="L8628" s="15" t="n">
        <f aca="false">YEAR(B8628)</f>
        <v>2024</v>
      </c>
      <c r="M8628" s="20" t="n">
        <f aca="false">IF(J8628&gt;0,K8628/J8628,0)</f>
        <v>0.450219619326501</v>
      </c>
    </row>
    <row r="8629" customFormat="false" ht="15" hidden="false" customHeight="false" outlineLevel="0" collapsed="false">
      <c r="A8629" s="15" t="s">
        <v>8686</v>
      </c>
      <c r="B8629" s="16" t="n">
        <v>45210</v>
      </c>
      <c r="C8629" s="15" t="s">
        <v>56</v>
      </c>
      <c r="D8629" s="15" t="s">
        <v>42</v>
      </c>
      <c r="E8629" s="15" t="s">
        <v>37</v>
      </c>
      <c r="F8629" s="15" t="s">
        <v>17</v>
      </c>
      <c r="G8629" s="15" t="s">
        <v>26</v>
      </c>
      <c r="H8629" s="15" t="n">
        <v>3</v>
      </c>
      <c r="I8629" s="17" t="n">
        <v>0.15</v>
      </c>
      <c r="J8629" s="18" t="n">
        <v>175.86</v>
      </c>
      <c r="K8629" s="19" t="n">
        <v>9.15</v>
      </c>
      <c r="L8629" s="15" t="n">
        <f aca="false">YEAR(B8629)</f>
        <v>2023</v>
      </c>
      <c r="M8629" s="20" t="n">
        <f aca="false">IF(J8629&gt;0,K8629/J8629,0)</f>
        <v>0.0520300238826339</v>
      </c>
    </row>
    <row r="8630" customFormat="false" ht="15" hidden="false" customHeight="false" outlineLevel="0" collapsed="false">
      <c r="A8630" s="15" t="s">
        <v>8687</v>
      </c>
      <c r="B8630" s="16" t="n">
        <v>45828</v>
      </c>
      <c r="C8630" s="15" t="s">
        <v>71</v>
      </c>
      <c r="D8630" s="15" t="s">
        <v>43</v>
      </c>
      <c r="E8630" s="15" t="s">
        <v>36</v>
      </c>
      <c r="F8630" s="15" t="s">
        <v>17</v>
      </c>
      <c r="G8630" s="15" t="s">
        <v>28</v>
      </c>
      <c r="H8630" s="15" t="n">
        <v>3</v>
      </c>
      <c r="I8630" s="17" t="n">
        <v>0.2</v>
      </c>
      <c r="J8630" s="18" t="n">
        <v>70.96</v>
      </c>
      <c r="K8630" s="19" t="n">
        <v>7.08</v>
      </c>
      <c r="L8630" s="15" t="n">
        <f aca="false">YEAR(B8630)</f>
        <v>2025</v>
      </c>
      <c r="M8630" s="20" t="n">
        <f aca="false">IF(J8630&gt;0,K8630/J8630,0)</f>
        <v>0.0997745208568208</v>
      </c>
    </row>
    <row r="8631" customFormat="false" ht="15" hidden="false" customHeight="false" outlineLevel="0" collapsed="false">
      <c r="A8631" s="15" t="s">
        <v>8688</v>
      </c>
      <c r="B8631" s="16" t="n">
        <v>45254</v>
      </c>
      <c r="C8631" s="15" t="s">
        <v>56</v>
      </c>
      <c r="D8631" s="15" t="s">
        <v>43</v>
      </c>
      <c r="E8631" s="15" t="s">
        <v>39</v>
      </c>
      <c r="F8631" s="15" t="s">
        <v>18</v>
      </c>
      <c r="G8631" s="15" t="s">
        <v>30</v>
      </c>
      <c r="H8631" s="15" t="n">
        <v>4</v>
      </c>
      <c r="I8631" s="17" t="n">
        <v>0</v>
      </c>
      <c r="J8631" s="18" t="n">
        <v>183.42</v>
      </c>
      <c r="K8631" s="19" t="n">
        <v>51.83</v>
      </c>
      <c r="L8631" s="15" t="n">
        <f aca="false">YEAR(B8631)</f>
        <v>2023</v>
      </c>
      <c r="M8631" s="20" t="n">
        <f aca="false">IF(J8631&gt;0,K8631/J8631,0)</f>
        <v>0.282575509759023</v>
      </c>
    </row>
    <row r="8632" customFormat="false" ht="15" hidden="false" customHeight="false" outlineLevel="0" collapsed="false">
      <c r="A8632" s="15" t="s">
        <v>8689</v>
      </c>
      <c r="B8632" s="16" t="n">
        <v>44699</v>
      </c>
      <c r="C8632" s="15" t="s">
        <v>68</v>
      </c>
      <c r="D8632" s="15" t="s">
        <v>42</v>
      </c>
      <c r="E8632" s="15" t="s">
        <v>36</v>
      </c>
      <c r="F8632" s="15" t="s">
        <v>17</v>
      </c>
      <c r="G8632" s="15" t="s">
        <v>29</v>
      </c>
      <c r="H8632" s="15" t="n">
        <v>2</v>
      </c>
      <c r="I8632" s="17" t="n">
        <v>0.15</v>
      </c>
      <c r="J8632" s="18" t="n">
        <v>27.58</v>
      </c>
      <c r="K8632" s="19" t="n">
        <v>5.98</v>
      </c>
      <c r="L8632" s="15" t="n">
        <f aca="false">YEAR(B8632)</f>
        <v>2022</v>
      </c>
      <c r="M8632" s="20" t="n">
        <f aca="false">IF(J8632&gt;0,K8632/J8632,0)</f>
        <v>0.216823785351704</v>
      </c>
    </row>
    <row r="8633" customFormat="false" ht="15" hidden="false" customHeight="false" outlineLevel="0" collapsed="false">
      <c r="A8633" s="15" t="s">
        <v>8690</v>
      </c>
      <c r="B8633" s="16" t="n">
        <v>45514</v>
      </c>
      <c r="C8633" s="15" t="s">
        <v>56</v>
      </c>
      <c r="D8633" s="15" t="s">
        <v>44</v>
      </c>
      <c r="E8633" s="15" t="s">
        <v>36</v>
      </c>
      <c r="F8633" s="15" t="s">
        <v>17</v>
      </c>
      <c r="G8633" s="15" t="s">
        <v>28</v>
      </c>
      <c r="H8633" s="15" t="n">
        <v>6</v>
      </c>
      <c r="I8633" s="17" t="n">
        <v>0.1</v>
      </c>
      <c r="J8633" s="18" t="n">
        <v>134.8</v>
      </c>
      <c r="K8633" s="19" t="n">
        <v>32.55</v>
      </c>
      <c r="L8633" s="15" t="n">
        <f aca="false">YEAR(B8633)</f>
        <v>2024</v>
      </c>
      <c r="M8633" s="20" t="n">
        <f aca="false">IF(J8633&gt;0,K8633/J8633,0)</f>
        <v>0.24146884272997</v>
      </c>
    </row>
    <row r="8634" customFormat="false" ht="15" hidden="false" customHeight="false" outlineLevel="0" collapsed="false">
      <c r="A8634" s="15" t="s">
        <v>8691</v>
      </c>
      <c r="B8634" s="16" t="n">
        <v>45888</v>
      </c>
      <c r="C8634" s="15" t="s">
        <v>68</v>
      </c>
      <c r="D8634" s="15" t="s">
        <v>44</v>
      </c>
      <c r="E8634" s="15" t="s">
        <v>39</v>
      </c>
      <c r="F8634" s="15" t="s">
        <v>17</v>
      </c>
      <c r="G8634" s="15" t="s">
        <v>26</v>
      </c>
      <c r="H8634" s="15" t="n">
        <v>4</v>
      </c>
      <c r="I8634" s="17" t="n">
        <v>0.4</v>
      </c>
      <c r="J8634" s="18" t="n">
        <v>272.69</v>
      </c>
      <c r="K8634" s="19" t="n">
        <v>-60.15</v>
      </c>
      <c r="L8634" s="15" t="n">
        <f aca="false">YEAR(B8634)</f>
        <v>2025</v>
      </c>
      <c r="M8634" s="20" t="n">
        <f aca="false">IF(J8634&gt;0,K8634/J8634,0)</f>
        <v>-0.22058014595328</v>
      </c>
    </row>
    <row r="8635" customFormat="false" ht="15" hidden="false" customHeight="false" outlineLevel="0" collapsed="false">
      <c r="A8635" s="15" t="s">
        <v>8692</v>
      </c>
      <c r="B8635" s="16" t="n">
        <v>44689</v>
      </c>
      <c r="C8635" s="15" t="s">
        <v>56</v>
      </c>
      <c r="D8635" s="15" t="s">
        <v>44</v>
      </c>
      <c r="E8635" s="15" t="s">
        <v>38</v>
      </c>
      <c r="F8635" s="15" t="s">
        <v>16</v>
      </c>
      <c r="G8635" s="15" t="s">
        <v>25</v>
      </c>
      <c r="H8635" s="15" t="n">
        <v>6</v>
      </c>
      <c r="I8635" s="17" t="n">
        <v>0.1</v>
      </c>
      <c r="J8635" s="18" t="n">
        <v>1624.77</v>
      </c>
      <c r="K8635" s="19" t="n">
        <v>14.66</v>
      </c>
      <c r="L8635" s="15" t="n">
        <f aca="false">YEAR(B8635)</f>
        <v>2022</v>
      </c>
      <c r="M8635" s="20" t="n">
        <f aca="false">IF(J8635&gt;0,K8635/J8635,0)</f>
        <v>0.00902281553696831</v>
      </c>
    </row>
    <row r="8636" customFormat="false" ht="15" hidden="false" customHeight="false" outlineLevel="0" collapsed="false">
      <c r="A8636" s="15" t="s">
        <v>8693</v>
      </c>
      <c r="B8636" s="16" t="n">
        <v>44815</v>
      </c>
      <c r="C8636" s="15" t="s">
        <v>58</v>
      </c>
      <c r="D8636" s="15" t="s">
        <v>43</v>
      </c>
      <c r="E8636" s="15" t="s">
        <v>39</v>
      </c>
      <c r="F8636" s="15" t="s">
        <v>18</v>
      </c>
      <c r="G8636" s="15" t="s">
        <v>24</v>
      </c>
      <c r="H8636" s="15" t="n">
        <v>1</v>
      </c>
      <c r="I8636" s="17" t="n">
        <v>0.05</v>
      </c>
      <c r="J8636" s="18" t="n">
        <v>624.53</v>
      </c>
      <c r="K8636" s="19" t="n">
        <v>-42.06</v>
      </c>
      <c r="L8636" s="15" t="n">
        <f aca="false">YEAR(B8636)</f>
        <v>2022</v>
      </c>
      <c r="M8636" s="20" t="n">
        <f aca="false">IF(J8636&gt;0,K8636/J8636,0)</f>
        <v>-0.067346644676797</v>
      </c>
    </row>
    <row r="8637" customFormat="false" ht="15" hidden="false" customHeight="false" outlineLevel="0" collapsed="false">
      <c r="A8637" s="15" t="s">
        <v>8694</v>
      </c>
      <c r="B8637" s="16" t="n">
        <v>44903</v>
      </c>
      <c r="C8637" s="15" t="s">
        <v>56</v>
      </c>
      <c r="D8637" s="15" t="s">
        <v>43</v>
      </c>
      <c r="E8637" s="15" t="s">
        <v>39</v>
      </c>
      <c r="F8637" s="15" t="s">
        <v>18</v>
      </c>
      <c r="G8637" s="15" t="s">
        <v>24</v>
      </c>
      <c r="H8637" s="15" t="n">
        <v>2</v>
      </c>
      <c r="I8637" s="17" t="n">
        <v>0.15</v>
      </c>
      <c r="J8637" s="18" t="n">
        <v>1049.22</v>
      </c>
      <c r="K8637" s="19" t="n">
        <v>-152.08</v>
      </c>
      <c r="L8637" s="15" t="n">
        <f aca="false">YEAR(B8637)</f>
        <v>2022</v>
      </c>
      <c r="M8637" s="20" t="n">
        <f aca="false">IF(J8637&gt;0,K8637/J8637,0)</f>
        <v>-0.144945769238101</v>
      </c>
    </row>
    <row r="8638" customFormat="false" ht="15" hidden="false" customHeight="false" outlineLevel="0" collapsed="false">
      <c r="A8638" s="15" t="s">
        <v>8695</v>
      </c>
      <c r="B8638" s="16" t="n">
        <v>44946</v>
      </c>
      <c r="C8638" s="15" t="s">
        <v>58</v>
      </c>
      <c r="D8638" s="15" t="s">
        <v>44</v>
      </c>
      <c r="E8638" s="15" t="s">
        <v>37</v>
      </c>
      <c r="F8638" s="15" t="s">
        <v>17</v>
      </c>
      <c r="G8638" s="15" t="s">
        <v>29</v>
      </c>
      <c r="H8638" s="15" t="n">
        <v>3</v>
      </c>
      <c r="I8638" s="17" t="n">
        <v>0.05</v>
      </c>
      <c r="J8638" s="18" t="n">
        <v>70.35</v>
      </c>
      <c r="K8638" s="19" t="n">
        <v>23.86</v>
      </c>
      <c r="L8638" s="15" t="n">
        <f aca="false">YEAR(B8638)</f>
        <v>2023</v>
      </c>
      <c r="M8638" s="20" t="n">
        <f aca="false">IF(J8638&gt;0,K8638/J8638,0)</f>
        <v>0.339161336176262</v>
      </c>
    </row>
    <row r="8639" customFormat="false" ht="15" hidden="false" customHeight="false" outlineLevel="0" collapsed="false">
      <c r="A8639" s="15" t="s">
        <v>8696</v>
      </c>
      <c r="B8639" s="16" t="n">
        <v>45998</v>
      </c>
      <c r="C8639" s="15" t="s">
        <v>68</v>
      </c>
      <c r="D8639" s="15" t="s">
        <v>44</v>
      </c>
      <c r="E8639" s="15" t="s">
        <v>38</v>
      </c>
      <c r="F8639" s="15" t="s">
        <v>17</v>
      </c>
      <c r="G8639" s="15" t="s">
        <v>28</v>
      </c>
      <c r="H8639" s="15" t="n">
        <v>4</v>
      </c>
      <c r="I8639" s="17" t="n">
        <v>0.5</v>
      </c>
      <c r="J8639" s="18" t="n">
        <v>49.48</v>
      </c>
      <c r="K8639" s="19" t="n">
        <v>-6.37</v>
      </c>
      <c r="L8639" s="15" t="n">
        <f aca="false">YEAR(B8639)</f>
        <v>2025</v>
      </c>
      <c r="M8639" s="20" t="n">
        <f aca="false">IF(J8639&gt;0,K8639/J8639,0)</f>
        <v>-0.128738884397736</v>
      </c>
    </row>
    <row r="8640" customFormat="false" ht="15" hidden="false" customHeight="false" outlineLevel="0" collapsed="false">
      <c r="A8640" s="15" t="s">
        <v>8697</v>
      </c>
      <c r="B8640" s="16" t="n">
        <v>44825</v>
      </c>
      <c r="C8640" s="15" t="s">
        <v>58</v>
      </c>
      <c r="D8640" s="15" t="s">
        <v>43</v>
      </c>
      <c r="E8640" s="15" t="s">
        <v>37</v>
      </c>
      <c r="F8640" s="15" t="s">
        <v>17</v>
      </c>
      <c r="G8640" s="15" t="s">
        <v>28</v>
      </c>
      <c r="H8640" s="15" t="n">
        <v>4</v>
      </c>
      <c r="I8640" s="17" t="n">
        <v>0</v>
      </c>
      <c r="J8640" s="18" t="n">
        <v>99.72</v>
      </c>
      <c r="K8640" s="19" t="n">
        <v>34.36</v>
      </c>
      <c r="L8640" s="15" t="n">
        <f aca="false">YEAR(B8640)</f>
        <v>2022</v>
      </c>
      <c r="M8640" s="20" t="n">
        <f aca="false">IF(J8640&gt;0,K8640/J8640,0)</f>
        <v>0.344564781387886</v>
      </c>
    </row>
    <row r="8641" customFormat="false" ht="15" hidden="false" customHeight="false" outlineLevel="0" collapsed="false">
      <c r="A8641" s="15" t="s">
        <v>8698</v>
      </c>
      <c r="B8641" s="16" t="n">
        <v>45126</v>
      </c>
      <c r="C8641" s="15" t="s">
        <v>56</v>
      </c>
      <c r="D8641" s="15" t="s">
        <v>44</v>
      </c>
      <c r="E8641" s="15" t="s">
        <v>38</v>
      </c>
      <c r="F8641" s="15" t="s">
        <v>17</v>
      </c>
      <c r="G8641" s="15" t="s">
        <v>29</v>
      </c>
      <c r="H8641" s="15" t="n">
        <v>4</v>
      </c>
      <c r="I8641" s="17" t="n">
        <v>0</v>
      </c>
      <c r="J8641" s="18" t="n">
        <v>69.1</v>
      </c>
      <c r="K8641" s="19" t="n">
        <v>23.47</v>
      </c>
      <c r="L8641" s="15" t="n">
        <f aca="false">YEAR(B8641)</f>
        <v>2023</v>
      </c>
      <c r="M8641" s="20" t="n">
        <f aca="false">IF(J8641&gt;0,K8641/J8641,0)</f>
        <v>0.339652677279305</v>
      </c>
    </row>
    <row r="8642" customFormat="false" ht="15" hidden="false" customHeight="false" outlineLevel="0" collapsed="false">
      <c r="A8642" s="15" t="s">
        <v>8699</v>
      </c>
      <c r="B8642" s="16" t="n">
        <v>45611</v>
      </c>
      <c r="C8642" s="15" t="s">
        <v>56</v>
      </c>
      <c r="D8642" s="15" t="s">
        <v>44</v>
      </c>
      <c r="E8642" s="15" t="s">
        <v>36</v>
      </c>
      <c r="F8642" s="15" t="s">
        <v>16</v>
      </c>
      <c r="G8642" s="15" t="s">
        <v>27</v>
      </c>
      <c r="H8642" s="15" t="n">
        <v>5</v>
      </c>
      <c r="I8642" s="17" t="n">
        <v>0</v>
      </c>
      <c r="J8642" s="18" t="n">
        <v>376.21</v>
      </c>
      <c r="K8642" s="19" t="n">
        <v>104.89</v>
      </c>
      <c r="L8642" s="15" t="n">
        <f aca="false">YEAR(B8642)</f>
        <v>2024</v>
      </c>
      <c r="M8642" s="20" t="n">
        <f aca="false">IF(J8642&gt;0,K8642/J8642,0)</f>
        <v>0.278807049254406</v>
      </c>
    </row>
    <row r="8643" customFormat="false" ht="15" hidden="false" customHeight="false" outlineLevel="0" collapsed="false">
      <c r="A8643" s="15" t="s">
        <v>8700</v>
      </c>
      <c r="B8643" s="16" t="n">
        <v>45953</v>
      </c>
      <c r="C8643" s="15" t="s">
        <v>56</v>
      </c>
      <c r="D8643" s="15" t="s">
        <v>42</v>
      </c>
      <c r="E8643" s="15" t="s">
        <v>37</v>
      </c>
      <c r="F8643" s="15" t="s">
        <v>17</v>
      </c>
      <c r="G8643" s="15" t="s">
        <v>26</v>
      </c>
      <c r="H8643" s="15" t="n">
        <v>6</v>
      </c>
      <c r="I8643" s="17" t="n">
        <v>0.3</v>
      </c>
      <c r="J8643" s="18" t="n">
        <v>317.21</v>
      </c>
      <c r="K8643" s="19" t="n">
        <v>-60.41</v>
      </c>
      <c r="L8643" s="15" t="n">
        <f aca="false">YEAR(B8643)</f>
        <v>2025</v>
      </c>
      <c r="M8643" s="20" t="n">
        <f aca="false">IF(J8643&gt;0,K8643/J8643,0)</f>
        <v>-0.190441663251474</v>
      </c>
    </row>
    <row r="8644" customFormat="false" ht="15" hidden="false" customHeight="false" outlineLevel="0" collapsed="false">
      <c r="A8644" s="15" t="s">
        <v>8701</v>
      </c>
      <c r="B8644" s="16" t="n">
        <v>45504</v>
      </c>
      <c r="C8644" s="15" t="s">
        <v>56</v>
      </c>
      <c r="D8644" s="15" t="s">
        <v>42</v>
      </c>
      <c r="E8644" s="15" t="s">
        <v>37</v>
      </c>
      <c r="F8644" s="15" t="s">
        <v>17</v>
      </c>
      <c r="G8644" s="15" t="s">
        <v>26</v>
      </c>
      <c r="H8644" s="15" t="n">
        <v>4</v>
      </c>
      <c r="I8644" s="17" t="n">
        <v>0.3</v>
      </c>
      <c r="J8644" s="18" t="n">
        <v>250.21</v>
      </c>
      <c r="K8644" s="19" t="n">
        <v>-46.76</v>
      </c>
      <c r="L8644" s="15" t="n">
        <f aca="false">YEAR(B8644)</f>
        <v>2024</v>
      </c>
      <c r="M8644" s="20" t="n">
        <f aca="false">IF(J8644&gt;0,K8644/J8644,0)</f>
        <v>-0.186883018264658</v>
      </c>
    </row>
    <row r="8645" customFormat="false" ht="15" hidden="false" customHeight="false" outlineLevel="0" collapsed="false">
      <c r="A8645" s="15" t="s">
        <v>8702</v>
      </c>
      <c r="B8645" s="16" t="n">
        <v>44763</v>
      </c>
      <c r="C8645" s="15" t="s">
        <v>71</v>
      </c>
      <c r="D8645" s="15" t="s">
        <v>44</v>
      </c>
      <c r="E8645" s="15" t="s">
        <v>38</v>
      </c>
      <c r="F8645" s="15" t="s">
        <v>17</v>
      </c>
      <c r="G8645" s="15" t="s">
        <v>29</v>
      </c>
      <c r="H8645" s="15" t="n">
        <v>4</v>
      </c>
      <c r="I8645" s="17" t="n">
        <v>0.1</v>
      </c>
      <c r="J8645" s="18" t="n">
        <v>51.66</v>
      </c>
      <c r="K8645" s="19" t="n">
        <v>16.15</v>
      </c>
      <c r="L8645" s="15" t="n">
        <f aca="false">YEAR(B8645)</f>
        <v>2022</v>
      </c>
      <c r="M8645" s="20" t="n">
        <f aca="false">IF(J8645&gt;0,K8645/J8645,0)</f>
        <v>0.312620983352691</v>
      </c>
    </row>
    <row r="8646" customFormat="false" ht="15" hidden="false" customHeight="false" outlineLevel="0" collapsed="false">
      <c r="A8646" s="15" t="s">
        <v>8703</v>
      </c>
      <c r="B8646" s="16" t="n">
        <v>45954</v>
      </c>
      <c r="C8646" s="15" t="s">
        <v>58</v>
      </c>
      <c r="D8646" s="15" t="s">
        <v>43</v>
      </c>
      <c r="E8646" s="15" t="s">
        <v>39</v>
      </c>
      <c r="F8646" s="15" t="s">
        <v>18</v>
      </c>
      <c r="G8646" s="15" t="s">
        <v>33</v>
      </c>
      <c r="H8646" s="15" t="n">
        <v>3</v>
      </c>
      <c r="I8646" s="17" t="n">
        <v>0</v>
      </c>
      <c r="J8646" s="18" t="n">
        <v>2725.07</v>
      </c>
      <c r="K8646" s="19" t="n">
        <v>816.84</v>
      </c>
      <c r="L8646" s="15" t="n">
        <f aca="false">YEAR(B8646)</f>
        <v>2025</v>
      </c>
      <c r="M8646" s="20" t="n">
        <f aca="false">IF(J8646&gt;0,K8646/J8646,0)</f>
        <v>0.299750098162616</v>
      </c>
    </row>
    <row r="8647" customFormat="false" ht="15" hidden="false" customHeight="false" outlineLevel="0" collapsed="false">
      <c r="A8647" s="15" t="s">
        <v>8704</v>
      </c>
      <c r="B8647" s="16" t="n">
        <v>45436</v>
      </c>
      <c r="C8647" s="15" t="s">
        <v>71</v>
      </c>
      <c r="D8647" s="15" t="s">
        <v>42</v>
      </c>
      <c r="E8647" s="15" t="s">
        <v>37</v>
      </c>
      <c r="F8647" s="15" t="s">
        <v>17</v>
      </c>
      <c r="G8647" s="15" t="s">
        <v>26</v>
      </c>
      <c r="H8647" s="15" t="n">
        <v>2</v>
      </c>
      <c r="I8647" s="17" t="n">
        <v>0.1</v>
      </c>
      <c r="J8647" s="18" t="n">
        <v>217.21</v>
      </c>
      <c r="K8647" s="19" t="n">
        <v>3.45</v>
      </c>
      <c r="L8647" s="15" t="n">
        <f aca="false">YEAR(B8647)</f>
        <v>2024</v>
      </c>
      <c r="M8647" s="20" t="n">
        <f aca="false">IF(J8647&gt;0,K8647/J8647,0)</f>
        <v>0.0158832466276875</v>
      </c>
    </row>
    <row r="8648" customFormat="false" ht="15" hidden="false" customHeight="false" outlineLevel="0" collapsed="false">
      <c r="A8648" s="15" t="s">
        <v>8705</v>
      </c>
      <c r="B8648" s="16" t="n">
        <v>46003</v>
      </c>
      <c r="C8648" s="15" t="s">
        <v>56</v>
      </c>
      <c r="D8648" s="15" t="s">
        <v>42</v>
      </c>
      <c r="E8648" s="15" t="s">
        <v>37</v>
      </c>
      <c r="F8648" s="15" t="s">
        <v>18</v>
      </c>
      <c r="G8648" s="15" t="s">
        <v>30</v>
      </c>
      <c r="H8648" s="15" t="n">
        <v>6</v>
      </c>
      <c r="I8648" s="17" t="n">
        <v>0</v>
      </c>
      <c r="J8648" s="18" t="n">
        <v>280.96</v>
      </c>
      <c r="K8648" s="19" t="n">
        <v>93.68</v>
      </c>
      <c r="L8648" s="15" t="n">
        <f aca="false">YEAR(B8648)</f>
        <v>2025</v>
      </c>
      <c r="M8648" s="20" t="n">
        <f aca="false">IF(J8648&gt;0,K8648/J8648,0)</f>
        <v>0.333428246013668</v>
      </c>
    </row>
    <row r="8649" customFormat="false" ht="15" hidden="false" customHeight="false" outlineLevel="0" collapsed="false">
      <c r="A8649" s="15" t="s">
        <v>8706</v>
      </c>
      <c r="B8649" s="16" t="n">
        <v>44716</v>
      </c>
      <c r="C8649" s="15" t="s">
        <v>56</v>
      </c>
      <c r="D8649" s="15" t="s">
        <v>44</v>
      </c>
      <c r="E8649" s="15" t="s">
        <v>36</v>
      </c>
      <c r="F8649" s="15" t="s">
        <v>18</v>
      </c>
      <c r="G8649" s="15" t="s">
        <v>32</v>
      </c>
      <c r="H8649" s="15" t="n">
        <v>3</v>
      </c>
      <c r="I8649" s="17" t="n">
        <v>0.4</v>
      </c>
      <c r="J8649" s="18" t="n">
        <v>831.26</v>
      </c>
      <c r="K8649" s="19" t="n">
        <v>-172.8</v>
      </c>
      <c r="L8649" s="15" t="n">
        <f aca="false">YEAR(B8649)</f>
        <v>2022</v>
      </c>
      <c r="M8649" s="20" t="n">
        <f aca="false">IF(J8649&gt;0,K8649/J8649,0)</f>
        <v>-0.207877198469793</v>
      </c>
    </row>
    <row r="8650" customFormat="false" ht="15" hidden="false" customHeight="false" outlineLevel="0" collapsed="false">
      <c r="A8650" s="15" t="s">
        <v>8707</v>
      </c>
      <c r="B8650" s="16" t="n">
        <v>45389</v>
      </c>
      <c r="C8650" s="15" t="s">
        <v>71</v>
      </c>
      <c r="D8650" s="15" t="s">
        <v>43</v>
      </c>
      <c r="E8650" s="15" t="s">
        <v>36</v>
      </c>
      <c r="F8650" s="15" t="s">
        <v>18</v>
      </c>
      <c r="G8650" s="15" t="s">
        <v>30</v>
      </c>
      <c r="H8650" s="15" t="n">
        <v>2</v>
      </c>
      <c r="I8650" s="17" t="n">
        <v>0.3</v>
      </c>
      <c r="J8650" s="18" t="n">
        <v>66.24</v>
      </c>
      <c r="K8650" s="19" t="n">
        <v>2.75</v>
      </c>
      <c r="L8650" s="15" t="n">
        <f aca="false">YEAR(B8650)</f>
        <v>2024</v>
      </c>
      <c r="M8650" s="20" t="n">
        <f aca="false">IF(J8650&gt;0,K8650/J8650,0)</f>
        <v>0.0415157004830918</v>
      </c>
    </row>
    <row r="8651" customFormat="false" ht="15" hidden="false" customHeight="false" outlineLevel="0" collapsed="false">
      <c r="A8651" s="15" t="s">
        <v>8708</v>
      </c>
      <c r="B8651" s="16" t="n">
        <v>45735</v>
      </c>
      <c r="C8651" s="15" t="s">
        <v>56</v>
      </c>
      <c r="D8651" s="15" t="s">
        <v>44</v>
      </c>
      <c r="E8651" s="15" t="s">
        <v>39</v>
      </c>
      <c r="F8651" s="15" t="s">
        <v>17</v>
      </c>
      <c r="G8651" s="15" t="s">
        <v>26</v>
      </c>
      <c r="H8651" s="15" t="n">
        <v>3</v>
      </c>
      <c r="I8651" s="17" t="n">
        <v>0.15</v>
      </c>
      <c r="J8651" s="18" t="n">
        <v>259.75</v>
      </c>
      <c r="K8651" s="19" t="n">
        <v>-2.22</v>
      </c>
      <c r="L8651" s="15" t="n">
        <f aca="false">YEAR(B8651)</f>
        <v>2025</v>
      </c>
      <c r="M8651" s="20" t="n">
        <f aca="false">IF(J8651&gt;0,K8651/J8651,0)</f>
        <v>-0.00854667949951877</v>
      </c>
    </row>
    <row r="8652" customFormat="false" ht="15" hidden="false" customHeight="false" outlineLevel="0" collapsed="false">
      <c r="A8652" s="15" t="s">
        <v>8709</v>
      </c>
      <c r="B8652" s="16" t="n">
        <v>45911</v>
      </c>
      <c r="C8652" s="15" t="s">
        <v>56</v>
      </c>
      <c r="D8652" s="15" t="s">
        <v>42</v>
      </c>
      <c r="E8652" s="15" t="s">
        <v>38</v>
      </c>
      <c r="F8652" s="15" t="s">
        <v>17</v>
      </c>
      <c r="G8652" s="15" t="s">
        <v>28</v>
      </c>
      <c r="H8652" s="15" t="n">
        <v>3</v>
      </c>
      <c r="I8652" s="17" t="n">
        <v>0</v>
      </c>
      <c r="J8652" s="18" t="n">
        <v>59.36</v>
      </c>
      <c r="K8652" s="19" t="n">
        <v>17.94</v>
      </c>
      <c r="L8652" s="15" t="n">
        <f aca="false">YEAR(B8652)</f>
        <v>2025</v>
      </c>
      <c r="M8652" s="20" t="n">
        <f aca="false">IF(J8652&gt;0,K8652/J8652,0)</f>
        <v>0.30222371967655</v>
      </c>
    </row>
    <row r="8653" customFormat="false" ht="15" hidden="false" customHeight="false" outlineLevel="0" collapsed="false">
      <c r="A8653" s="15" t="s">
        <v>8710</v>
      </c>
      <c r="B8653" s="16" t="n">
        <v>45780</v>
      </c>
      <c r="C8653" s="15" t="s">
        <v>71</v>
      </c>
      <c r="D8653" s="15" t="s">
        <v>43</v>
      </c>
      <c r="E8653" s="15" t="s">
        <v>37</v>
      </c>
      <c r="F8653" s="15" t="s">
        <v>18</v>
      </c>
      <c r="G8653" s="15" t="s">
        <v>32</v>
      </c>
      <c r="H8653" s="15" t="n">
        <v>3</v>
      </c>
      <c r="I8653" s="17" t="n">
        <v>0.05</v>
      </c>
      <c r="J8653" s="18" t="n">
        <v>1727.15</v>
      </c>
      <c r="K8653" s="19" t="n">
        <v>201.35</v>
      </c>
      <c r="L8653" s="15" t="n">
        <f aca="false">YEAR(B8653)</f>
        <v>2025</v>
      </c>
      <c r="M8653" s="20" t="n">
        <f aca="false">IF(J8653&gt;0,K8653/J8653,0)</f>
        <v>0.116579335900182</v>
      </c>
    </row>
    <row r="8654" customFormat="false" ht="15" hidden="false" customHeight="false" outlineLevel="0" collapsed="false">
      <c r="A8654" s="15" t="s">
        <v>8711</v>
      </c>
      <c r="B8654" s="16" t="n">
        <v>45762</v>
      </c>
      <c r="C8654" s="15" t="s">
        <v>56</v>
      </c>
      <c r="D8654" s="15" t="s">
        <v>42</v>
      </c>
      <c r="E8654" s="15" t="s">
        <v>39</v>
      </c>
      <c r="F8654" s="15" t="s">
        <v>17</v>
      </c>
      <c r="G8654" s="15" t="s">
        <v>28</v>
      </c>
      <c r="H8654" s="15" t="n">
        <v>3</v>
      </c>
      <c r="I8654" s="17" t="n">
        <v>0.1</v>
      </c>
      <c r="J8654" s="18" t="n">
        <v>73.82</v>
      </c>
      <c r="K8654" s="19" t="n">
        <v>16.87</v>
      </c>
      <c r="L8654" s="15" t="n">
        <f aca="false">YEAR(B8654)</f>
        <v>2025</v>
      </c>
      <c r="M8654" s="20" t="n">
        <f aca="false">IF(J8654&gt;0,K8654/J8654,0)</f>
        <v>0.228528853969114</v>
      </c>
    </row>
    <row r="8655" customFormat="false" ht="15" hidden="false" customHeight="false" outlineLevel="0" collapsed="false">
      <c r="A8655" s="15" t="s">
        <v>8712</v>
      </c>
      <c r="B8655" s="16" t="n">
        <v>45321</v>
      </c>
      <c r="C8655" s="15" t="s">
        <v>71</v>
      </c>
      <c r="D8655" s="15" t="s">
        <v>42</v>
      </c>
      <c r="E8655" s="15" t="s">
        <v>38</v>
      </c>
      <c r="F8655" s="15" t="s">
        <v>18</v>
      </c>
      <c r="G8655" s="15" t="s">
        <v>30</v>
      </c>
      <c r="H8655" s="15" t="n">
        <v>1</v>
      </c>
      <c r="I8655" s="17" t="n">
        <v>0.15</v>
      </c>
      <c r="J8655" s="18" t="n">
        <v>32.62</v>
      </c>
      <c r="K8655" s="19" t="n">
        <v>5.76</v>
      </c>
      <c r="L8655" s="15" t="n">
        <f aca="false">YEAR(B8655)</f>
        <v>2024</v>
      </c>
      <c r="M8655" s="20" t="n">
        <f aca="false">IF(J8655&gt;0,K8655/J8655,0)</f>
        <v>0.176578786020846</v>
      </c>
    </row>
    <row r="8656" customFormat="false" ht="15" hidden="false" customHeight="false" outlineLevel="0" collapsed="false">
      <c r="A8656" s="15" t="s">
        <v>8713</v>
      </c>
      <c r="B8656" s="16" t="n">
        <v>45772</v>
      </c>
      <c r="C8656" s="15" t="s">
        <v>71</v>
      </c>
      <c r="D8656" s="15" t="s">
        <v>42</v>
      </c>
      <c r="E8656" s="15" t="s">
        <v>36</v>
      </c>
      <c r="F8656" s="15" t="s">
        <v>17</v>
      </c>
      <c r="G8656" s="15" t="s">
        <v>31</v>
      </c>
      <c r="H8656" s="15" t="n">
        <v>2</v>
      </c>
      <c r="I8656" s="17" t="n">
        <v>0.2</v>
      </c>
      <c r="J8656" s="18" t="n">
        <v>188.98</v>
      </c>
      <c r="K8656" s="19" t="n">
        <v>-8.39</v>
      </c>
      <c r="L8656" s="15" t="n">
        <f aca="false">YEAR(B8656)</f>
        <v>2025</v>
      </c>
      <c r="M8656" s="20" t="n">
        <f aca="false">IF(J8656&gt;0,K8656/J8656,0)</f>
        <v>-0.0443962324055456</v>
      </c>
    </row>
    <row r="8657" customFormat="false" ht="15" hidden="false" customHeight="false" outlineLevel="0" collapsed="false">
      <c r="A8657" s="15" t="s">
        <v>8714</v>
      </c>
      <c r="B8657" s="16" t="n">
        <v>44774</v>
      </c>
      <c r="C8657" s="15" t="s">
        <v>56</v>
      </c>
      <c r="D8657" s="15" t="s">
        <v>42</v>
      </c>
      <c r="E8657" s="15" t="s">
        <v>39</v>
      </c>
      <c r="F8657" s="15" t="s">
        <v>17</v>
      </c>
      <c r="G8657" s="15" t="s">
        <v>26</v>
      </c>
      <c r="H8657" s="15" t="n">
        <v>3</v>
      </c>
      <c r="I8657" s="17" t="n">
        <v>0.1</v>
      </c>
      <c r="J8657" s="18" t="n">
        <v>261.72</v>
      </c>
      <c r="K8657" s="19" t="n">
        <v>8.72</v>
      </c>
      <c r="L8657" s="15" t="n">
        <f aca="false">YEAR(B8657)</f>
        <v>2022</v>
      </c>
      <c r="M8657" s="20" t="n">
        <f aca="false">IF(J8657&gt;0,K8657/J8657,0)</f>
        <v>0.0333180498242396</v>
      </c>
    </row>
    <row r="8658" customFormat="false" ht="15" hidden="false" customHeight="false" outlineLevel="0" collapsed="false">
      <c r="A8658" s="15" t="s">
        <v>8715</v>
      </c>
      <c r="B8658" s="16" t="n">
        <v>45454</v>
      </c>
      <c r="C8658" s="15" t="s">
        <v>71</v>
      </c>
      <c r="D8658" s="15" t="s">
        <v>43</v>
      </c>
      <c r="E8658" s="15" t="s">
        <v>36</v>
      </c>
      <c r="F8658" s="15" t="s">
        <v>17</v>
      </c>
      <c r="G8658" s="15" t="s">
        <v>26</v>
      </c>
      <c r="H8658" s="15" t="n">
        <v>1</v>
      </c>
      <c r="I8658" s="17" t="n">
        <v>0.5</v>
      </c>
      <c r="J8658" s="18" t="n">
        <v>42.03</v>
      </c>
      <c r="K8658" s="19" t="n">
        <v>-14.25</v>
      </c>
      <c r="L8658" s="15" t="n">
        <f aca="false">YEAR(B8658)</f>
        <v>2024</v>
      </c>
      <c r="M8658" s="20" t="n">
        <f aca="false">IF(J8658&gt;0,K8658/J8658,0)</f>
        <v>-0.339043540328337</v>
      </c>
    </row>
    <row r="8659" customFormat="false" ht="15" hidden="false" customHeight="false" outlineLevel="0" collapsed="false">
      <c r="A8659" s="15" t="s">
        <v>8716</v>
      </c>
      <c r="B8659" s="16" t="n">
        <v>45528</v>
      </c>
      <c r="C8659" s="15" t="s">
        <v>58</v>
      </c>
      <c r="D8659" s="15" t="s">
        <v>43</v>
      </c>
      <c r="E8659" s="15" t="s">
        <v>37</v>
      </c>
      <c r="F8659" s="15" t="s">
        <v>18</v>
      </c>
      <c r="G8659" s="15" t="s">
        <v>30</v>
      </c>
      <c r="H8659" s="15" t="n">
        <v>5</v>
      </c>
      <c r="I8659" s="17" t="n">
        <v>0</v>
      </c>
      <c r="J8659" s="18" t="n">
        <v>263.62</v>
      </c>
      <c r="K8659" s="19" t="n">
        <v>80.72</v>
      </c>
      <c r="L8659" s="15" t="n">
        <f aca="false">YEAR(B8659)</f>
        <v>2024</v>
      </c>
      <c r="M8659" s="20" t="n">
        <f aca="false">IF(J8659&gt;0,K8659/J8659,0)</f>
        <v>0.30619831575753</v>
      </c>
    </row>
    <row r="8660" customFormat="false" ht="15" hidden="false" customHeight="false" outlineLevel="0" collapsed="false">
      <c r="A8660" s="15" t="s">
        <v>8717</v>
      </c>
      <c r="B8660" s="16" t="n">
        <v>45511</v>
      </c>
      <c r="C8660" s="15" t="s">
        <v>71</v>
      </c>
      <c r="D8660" s="15" t="s">
        <v>42</v>
      </c>
      <c r="E8660" s="15" t="s">
        <v>39</v>
      </c>
      <c r="F8660" s="15" t="s">
        <v>17</v>
      </c>
      <c r="G8660" s="15" t="s">
        <v>26</v>
      </c>
      <c r="H8660" s="15" t="n">
        <v>2</v>
      </c>
      <c r="I8660" s="17" t="n">
        <v>0.15</v>
      </c>
      <c r="J8660" s="18" t="n">
        <v>148.02</v>
      </c>
      <c r="K8660" s="19" t="n">
        <v>3.67</v>
      </c>
      <c r="L8660" s="15" t="n">
        <f aca="false">YEAR(B8660)</f>
        <v>2024</v>
      </c>
      <c r="M8660" s="20" t="n">
        <f aca="false">IF(J8660&gt;0,K8660/J8660,0)</f>
        <v>0.0247939467639508</v>
      </c>
    </row>
    <row r="8661" customFormat="false" ht="15" hidden="false" customHeight="false" outlineLevel="0" collapsed="false">
      <c r="A8661" s="15" t="s">
        <v>8718</v>
      </c>
      <c r="B8661" s="16" t="n">
        <v>44563</v>
      </c>
      <c r="C8661" s="15" t="s">
        <v>56</v>
      </c>
      <c r="D8661" s="15" t="s">
        <v>42</v>
      </c>
      <c r="E8661" s="15" t="s">
        <v>38</v>
      </c>
      <c r="F8661" s="15" t="s">
        <v>18</v>
      </c>
      <c r="G8661" s="15" t="s">
        <v>32</v>
      </c>
      <c r="H8661" s="15" t="n">
        <v>2</v>
      </c>
      <c r="I8661" s="17" t="n">
        <v>0</v>
      </c>
      <c r="J8661" s="18" t="n">
        <v>645.65</v>
      </c>
      <c r="K8661" s="19" t="n">
        <v>138.16</v>
      </c>
      <c r="L8661" s="15" t="n">
        <f aca="false">YEAR(B8661)</f>
        <v>2022</v>
      </c>
      <c r="M8661" s="20" t="n">
        <f aca="false">IF(J8661&gt;0,K8661/J8661,0)</f>
        <v>0.21398590567645</v>
      </c>
    </row>
    <row r="8662" customFormat="false" ht="15" hidden="false" customHeight="false" outlineLevel="0" collapsed="false">
      <c r="A8662" s="15" t="s">
        <v>8719</v>
      </c>
      <c r="B8662" s="16" t="n">
        <v>45162</v>
      </c>
      <c r="C8662" s="15" t="s">
        <v>56</v>
      </c>
      <c r="D8662" s="15" t="s">
        <v>44</v>
      </c>
      <c r="E8662" s="15" t="s">
        <v>39</v>
      </c>
      <c r="F8662" s="15" t="s">
        <v>18</v>
      </c>
      <c r="G8662" s="15" t="s">
        <v>30</v>
      </c>
      <c r="H8662" s="15" t="n">
        <v>4</v>
      </c>
      <c r="I8662" s="17" t="n">
        <v>0.1</v>
      </c>
      <c r="J8662" s="18" t="n">
        <v>172.92</v>
      </c>
      <c r="K8662" s="19" t="n">
        <v>43.83</v>
      </c>
      <c r="L8662" s="15" t="n">
        <f aca="false">YEAR(B8662)</f>
        <v>2023</v>
      </c>
      <c r="M8662" s="20" t="n">
        <f aca="false">IF(J8662&gt;0,K8662/J8662,0)</f>
        <v>0.253469812630118</v>
      </c>
    </row>
    <row r="8663" customFormat="false" ht="15" hidden="false" customHeight="false" outlineLevel="0" collapsed="false">
      <c r="A8663" s="15" t="s">
        <v>8720</v>
      </c>
      <c r="B8663" s="16" t="n">
        <v>45577</v>
      </c>
      <c r="C8663" s="15" t="s">
        <v>71</v>
      </c>
      <c r="D8663" s="15" t="s">
        <v>44</v>
      </c>
      <c r="E8663" s="15" t="s">
        <v>36</v>
      </c>
      <c r="F8663" s="15" t="s">
        <v>18</v>
      </c>
      <c r="G8663" s="15" t="s">
        <v>30</v>
      </c>
      <c r="H8663" s="15" t="n">
        <v>7</v>
      </c>
      <c r="I8663" s="17" t="n">
        <v>0</v>
      </c>
      <c r="J8663" s="18" t="n">
        <v>292.38</v>
      </c>
      <c r="K8663" s="19" t="n">
        <v>89.12</v>
      </c>
      <c r="L8663" s="15" t="n">
        <f aca="false">YEAR(B8663)</f>
        <v>2024</v>
      </c>
      <c r="M8663" s="20" t="n">
        <f aca="false">IF(J8663&gt;0,K8663/J8663,0)</f>
        <v>0.304808810452151</v>
      </c>
    </row>
    <row r="8664" customFormat="false" ht="15" hidden="false" customHeight="false" outlineLevel="0" collapsed="false">
      <c r="A8664" s="15" t="s">
        <v>8721</v>
      </c>
      <c r="B8664" s="16" t="n">
        <v>45175</v>
      </c>
      <c r="C8664" s="15" t="s">
        <v>68</v>
      </c>
      <c r="D8664" s="15" t="s">
        <v>44</v>
      </c>
      <c r="E8664" s="15" t="s">
        <v>38</v>
      </c>
      <c r="F8664" s="15" t="s">
        <v>17</v>
      </c>
      <c r="G8664" s="15" t="s">
        <v>31</v>
      </c>
      <c r="H8664" s="15" t="n">
        <v>2</v>
      </c>
      <c r="I8664" s="17" t="n">
        <v>0.4</v>
      </c>
      <c r="J8664" s="18" t="n">
        <v>149.3</v>
      </c>
      <c r="K8664" s="19" t="n">
        <v>-21.08</v>
      </c>
      <c r="L8664" s="15" t="n">
        <f aca="false">YEAR(B8664)</f>
        <v>2023</v>
      </c>
      <c r="M8664" s="20" t="n">
        <f aca="false">IF(J8664&gt;0,K8664/J8664,0)</f>
        <v>-0.141192230408573</v>
      </c>
    </row>
    <row r="8665" customFormat="false" ht="15" hidden="false" customHeight="false" outlineLevel="0" collapsed="false">
      <c r="A8665" s="15" t="s">
        <v>8722</v>
      </c>
      <c r="B8665" s="16" t="n">
        <v>45063</v>
      </c>
      <c r="C8665" s="15" t="s">
        <v>68</v>
      </c>
      <c r="D8665" s="15" t="s">
        <v>42</v>
      </c>
      <c r="E8665" s="15" t="s">
        <v>37</v>
      </c>
      <c r="F8665" s="15" t="s">
        <v>18</v>
      </c>
      <c r="G8665" s="15" t="s">
        <v>32</v>
      </c>
      <c r="H8665" s="15" t="n">
        <v>3</v>
      </c>
      <c r="I8665" s="17" t="n">
        <v>0.2</v>
      </c>
      <c r="J8665" s="18" t="n">
        <v>1060.72</v>
      </c>
      <c r="K8665" s="19" t="n">
        <v>-73.61</v>
      </c>
      <c r="L8665" s="15" t="n">
        <f aca="false">YEAR(B8665)</f>
        <v>2023</v>
      </c>
      <c r="M8665" s="20" t="n">
        <f aca="false">IF(J8665&gt;0,K8665/J8665,0)</f>
        <v>-0.0693962591447319</v>
      </c>
    </row>
    <row r="8666" customFormat="false" ht="15" hidden="false" customHeight="false" outlineLevel="0" collapsed="false">
      <c r="A8666" s="15" t="s">
        <v>8723</v>
      </c>
      <c r="B8666" s="16" t="n">
        <v>45277</v>
      </c>
      <c r="C8666" s="15" t="s">
        <v>68</v>
      </c>
      <c r="D8666" s="15" t="s">
        <v>42</v>
      </c>
      <c r="E8666" s="15" t="s">
        <v>39</v>
      </c>
      <c r="F8666" s="15" t="s">
        <v>17</v>
      </c>
      <c r="G8666" s="15" t="s">
        <v>31</v>
      </c>
      <c r="H8666" s="15" t="n">
        <v>2</v>
      </c>
      <c r="I8666" s="17" t="n">
        <v>0.1</v>
      </c>
      <c r="J8666" s="18" t="n">
        <v>238.93</v>
      </c>
      <c r="K8666" s="19" t="n">
        <v>40.58</v>
      </c>
      <c r="L8666" s="15" t="n">
        <f aca="false">YEAR(B8666)</f>
        <v>2023</v>
      </c>
      <c r="M8666" s="20" t="n">
        <f aca="false">IF(J8666&gt;0,K8666/J8666,0)</f>
        <v>0.169840539070021</v>
      </c>
    </row>
    <row r="8667" customFormat="false" ht="15" hidden="false" customHeight="false" outlineLevel="0" collapsed="false">
      <c r="A8667" s="15" t="s">
        <v>8724</v>
      </c>
      <c r="B8667" s="16" t="n">
        <v>45441</v>
      </c>
      <c r="C8667" s="15" t="s">
        <v>68</v>
      </c>
      <c r="D8667" s="15" t="s">
        <v>43</v>
      </c>
      <c r="E8667" s="15" t="s">
        <v>36</v>
      </c>
      <c r="F8667" s="15" t="s">
        <v>17</v>
      </c>
      <c r="G8667" s="15" t="s">
        <v>26</v>
      </c>
      <c r="H8667" s="15" t="n">
        <v>8</v>
      </c>
      <c r="I8667" s="17" t="n">
        <v>0.2</v>
      </c>
      <c r="J8667" s="18" t="n">
        <v>521.74</v>
      </c>
      <c r="K8667" s="19" t="n">
        <v>-21.18</v>
      </c>
      <c r="L8667" s="15" t="n">
        <f aca="false">YEAR(B8667)</f>
        <v>2024</v>
      </c>
      <c r="M8667" s="20" t="n">
        <f aca="false">IF(J8667&gt;0,K8667/J8667,0)</f>
        <v>-0.0405949323417794</v>
      </c>
    </row>
    <row r="8668" customFormat="false" ht="15" hidden="false" customHeight="false" outlineLevel="0" collapsed="false">
      <c r="A8668" s="15" t="s">
        <v>8725</v>
      </c>
      <c r="B8668" s="16" t="n">
        <v>45844</v>
      </c>
      <c r="C8668" s="15" t="s">
        <v>56</v>
      </c>
      <c r="D8668" s="15" t="s">
        <v>42</v>
      </c>
      <c r="E8668" s="15" t="s">
        <v>37</v>
      </c>
      <c r="F8668" s="15" t="s">
        <v>18</v>
      </c>
      <c r="G8668" s="15" t="s">
        <v>30</v>
      </c>
      <c r="H8668" s="15" t="n">
        <v>5</v>
      </c>
      <c r="I8668" s="17" t="n">
        <v>0.2</v>
      </c>
      <c r="J8668" s="18" t="n">
        <v>146.35</v>
      </c>
      <c r="K8668" s="19" t="n">
        <v>19.75</v>
      </c>
      <c r="L8668" s="15" t="n">
        <f aca="false">YEAR(B8668)</f>
        <v>2025</v>
      </c>
      <c r="M8668" s="20" t="n">
        <f aca="false">IF(J8668&gt;0,K8668/J8668,0)</f>
        <v>0.134950461223095</v>
      </c>
    </row>
    <row r="8669" customFormat="false" ht="15" hidden="false" customHeight="false" outlineLevel="0" collapsed="false">
      <c r="A8669" s="15" t="s">
        <v>8726</v>
      </c>
      <c r="B8669" s="16" t="n">
        <v>45672</v>
      </c>
      <c r="C8669" s="15" t="s">
        <v>56</v>
      </c>
      <c r="D8669" s="15" t="s">
        <v>42</v>
      </c>
      <c r="E8669" s="15" t="s">
        <v>36</v>
      </c>
      <c r="F8669" s="15" t="s">
        <v>16</v>
      </c>
      <c r="G8669" s="15" t="s">
        <v>23</v>
      </c>
      <c r="H8669" s="15" t="n">
        <v>2</v>
      </c>
      <c r="I8669" s="17" t="n">
        <v>0</v>
      </c>
      <c r="J8669" s="18" t="n">
        <v>489.65</v>
      </c>
      <c r="K8669" s="19" t="n">
        <v>-2.71</v>
      </c>
      <c r="L8669" s="15" t="n">
        <f aca="false">YEAR(B8669)</f>
        <v>2025</v>
      </c>
      <c r="M8669" s="20" t="n">
        <f aca="false">IF(J8669&gt;0,K8669/J8669,0)</f>
        <v>-0.00553456550597365</v>
      </c>
    </row>
    <row r="8670" customFormat="false" ht="15" hidden="false" customHeight="false" outlineLevel="0" collapsed="false">
      <c r="A8670" s="15" t="s">
        <v>8727</v>
      </c>
      <c r="B8670" s="16" t="n">
        <v>45648</v>
      </c>
      <c r="C8670" s="15" t="s">
        <v>56</v>
      </c>
      <c r="D8670" s="15" t="s">
        <v>42</v>
      </c>
      <c r="E8670" s="15" t="s">
        <v>39</v>
      </c>
      <c r="F8670" s="15" t="s">
        <v>17</v>
      </c>
      <c r="G8670" s="15" t="s">
        <v>28</v>
      </c>
      <c r="H8670" s="15" t="n">
        <v>3</v>
      </c>
      <c r="I8670" s="17" t="n">
        <v>0.1</v>
      </c>
      <c r="J8670" s="18" t="n">
        <v>69.11</v>
      </c>
      <c r="K8670" s="19" t="n">
        <v>12.11</v>
      </c>
      <c r="L8670" s="15" t="n">
        <f aca="false">YEAR(B8670)</f>
        <v>2024</v>
      </c>
      <c r="M8670" s="20" t="n">
        <f aca="false">IF(J8670&gt;0,K8670/J8670,0)</f>
        <v>0.175227897554623</v>
      </c>
    </row>
    <row r="8671" customFormat="false" ht="15" hidden="false" customHeight="false" outlineLevel="0" collapsed="false">
      <c r="A8671" s="15" t="s">
        <v>8728</v>
      </c>
      <c r="B8671" s="16" t="n">
        <v>44825</v>
      </c>
      <c r="C8671" s="15" t="s">
        <v>58</v>
      </c>
      <c r="D8671" s="15" t="s">
        <v>42</v>
      </c>
      <c r="E8671" s="15" t="s">
        <v>37</v>
      </c>
      <c r="F8671" s="15" t="s">
        <v>16</v>
      </c>
      <c r="G8671" s="15" t="s">
        <v>27</v>
      </c>
      <c r="H8671" s="15" t="n">
        <v>6</v>
      </c>
      <c r="I8671" s="17" t="n">
        <v>0.2</v>
      </c>
      <c r="J8671" s="18" t="n">
        <v>359.05</v>
      </c>
      <c r="K8671" s="19" t="n">
        <v>7.59</v>
      </c>
      <c r="L8671" s="15" t="n">
        <f aca="false">YEAR(B8671)</f>
        <v>2022</v>
      </c>
      <c r="M8671" s="20" t="n">
        <f aca="false">IF(J8671&gt;0,K8671/J8671,0)</f>
        <v>0.021139117114608</v>
      </c>
    </row>
    <row r="8672" customFormat="false" ht="15" hidden="false" customHeight="false" outlineLevel="0" collapsed="false">
      <c r="A8672" s="15" t="s">
        <v>8729</v>
      </c>
      <c r="B8672" s="16" t="n">
        <v>44702</v>
      </c>
      <c r="C8672" s="15" t="s">
        <v>56</v>
      </c>
      <c r="D8672" s="15" t="s">
        <v>43</v>
      </c>
      <c r="E8672" s="15" t="s">
        <v>37</v>
      </c>
      <c r="F8672" s="15" t="s">
        <v>18</v>
      </c>
      <c r="G8672" s="15" t="s">
        <v>32</v>
      </c>
      <c r="H8672" s="15" t="n">
        <v>6</v>
      </c>
      <c r="I8672" s="17" t="n">
        <v>0</v>
      </c>
      <c r="J8672" s="18" t="n">
        <v>2264.91</v>
      </c>
      <c r="K8672" s="19" t="n">
        <v>450.72</v>
      </c>
      <c r="L8672" s="15" t="n">
        <f aca="false">YEAR(B8672)</f>
        <v>2022</v>
      </c>
      <c r="M8672" s="20" t="n">
        <f aca="false">IF(J8672&gt;0,K8672/J8672,0)</f>
        <v>0.199001284819264</v>
      </c>
    </row>
    <row r="8673" customFormat="false" ht="15" hidden="false" customHeight="false" outlineLevel="0" collapsed="false">
      <c r="A8673" s="15" t="s">
        <v>8730</v>
      </c>
      <c r="B8673" s="16" t="n">
        <v>45267</v>
      </c>
      <c r="C8673" s="15" t="s">
        <v>56</v>
      </c>
      <c r="D8673" s="15" t="s">
        <v>42</v>
      </c>
      <c r="E8673" s="15" t="s">
        <v>37</v>
      </c>
      <c r="F8673" s="15" t="s">
        <v>18</v>
      </c>
      <c r="G8673" s="15" t="s">
        <v>30</v>
      </c>
      <c r="H8673" s="15" t="n">
        <v>2</v>
      </c>
      <c r="I8673" s="17" t="n">
        <v>0</v>
      </c>
      <c r="J8673" s="18" t="n">
        <v>72.86</v>
      </c>
      <c r="K8673" s="19" t="n">
        <v>22.48</v>
      </c>
      <c r="L8673" s="15" t="n">
        <f aca="false">YEAR(B8673)</f>
        <v>2023</v>
      </c>
      <c r="M8673" s="20" t="n">
        <f aca="false">IF(J8673&gt;0,K8673/J8673,0)</f>
        <v>0.30853692012078</v>
      </c>
    </row>
    <row r="8674" customFormat="false" ht="15" hidden="false" customHeight="false" outlineLevel="0" collapsed="false">
      <c r="A8674" s="15" t="s">
        <v>8731</v>
      </c>
      <c r="B8674" s="16" t="n">
        <v>45323</v>
      </c>
      <c r="C8674" s="15" t="s">
        <v>56</v>
      </c>
      <c r="D8674" s="15" t="s">
        <v>43</v>
      </c>
      <c r="E8674" s="15" t="s">
        <v>36</v>
      </c>
      <c r="F8674" s="15" t="s">
        <v>17</v>
      </c>
      <c r="G8674" s="15" t="s">
        <v>31</v>
      </c>
      <c r="H8674" s="15" t="n">
        <v>2</v>
      </c>
      <c r="I8674" s="17" t="n">
        <v>0.1</v>
      </c>
      <c r="J8674" s="18" t="n">
        <v>206.76</v>
      </c>
      <c r="K8674" s="19" t="n">
        <v>31.4</v>
      </c>
      <c r="L8674" s="15" t="n">
        <f aca="false">YEAR(B8674)</f>
        <v>2024</v>
      </c>
      <c r="M8674" s="20" t="n">
        <f aca="false">IF(J8674&gt;0,K8674/J8674,0)</f>
        <v>0.151866898819888</v>
      </c>
    </row>
    <row r="8675" customFormat="false" ht="15" hidden="false" customHeight="false" outlineLevel="0" collapsed="false">
      <c r="A8675" s="15" t="s">
        <v>8732</v>
      </c>
      <c r="B8675" s="16" t="n">
        <v>44768</v>
      </c>
      <c r="C8675" s="15" t="s">
        <v>56</v>
      </c>
      <c r="D8675" s="15" t="s">
        <v>42</v>
      </c>
      <c r="E8675" s="15" t="s">
        <v>36</v>
      </c>
      <c r="F8675" s="15" t="s">
        <v>18</v>
      </c>
      <c r="G8675" s="15" t="s">
        <v>30</v>
      </c>
      <c r="H8675" s="15" t="n">
        <v>5</v>
      </c>
      <c r="I8675" s="17" t="n">
        <v>0</v>
      </c>
      <c r="J8675" s="18" t="n">
        <v>227.78</v>
      </c>
      <c r="K8675" s="19" t="n">
        <v>49.24</v>
      </c>
      <c r="L8675" s="15" t="n">
        <f aca="false">YEAR(B8675)</f>
        <v>2022</v>
      </c>
      <c r="M8675" s="20" t="n">
        <f aca="false">IF(J8675&gt;0,K8675/J8675,0)</f>
        <v>0.216173500746334</v>
      </c>
    </row>
    <row r="8676" customFormat="false" ht="15" hidden="false" customHeight="false" outlineLevel="0" collapsed="false">
      <c r="A8676" s="15" t="s">
        <v>8733</v>
      </c>
      <c r="B8676" s="16" t="n">
        <v>45608</v>
      </c>
      <c r="C8676" s="15" t="s">
        <v>68</v>
      </c>
      <c r="D8676" s="15" t="s">
        <v>43</v>
      </c>
      <c r="E8676" s="15" t="s">
        <v>37</v>
      </c>
      <c r="F8676" s="15" t="s">
        <v>17</v>
      </c>
      <c r="G8676" s="15" t="s">
        <v>28</v>
      </c>
      <c r="H8676" s="15" t="n">
        <v>5</v>
      </c>
      <c r="I8676" s="17" t="n">
        <v>0</v>
      </c>
      <c r="J8676" s="18" t="n">
        <v>117.06</v>
      </c>
      <c r="K8676" s="19" t="n">
        <v>45.07</v>
      </c>
      <c r="L8676" s="15" t="n">
        <f aca="false">YEAR(B8676)</f>
        <v>2024</v>
      </c>
      <c r="M8676" s="20" t="n">
        <f aca="false">IF(J8676&gt;0,K8676/J8676,0)</f>
        <v>0.385016230992653</v>
      </c>
    </row>
    <row r="8677" customFormat="false" ht="15" hidden="false" customHeight="false" outlineLevel="0" collapsed="false">
      <c r="A8677" s="15" t="s">
        <v>8734</v>
      </c>
      <c r="B8677" s="16" t="n">
        <v>45701</v>
      </c>
      <c r="C8677" s="15" t="s">
        <v>56</v>
      </c>
      <c r="D8677" s="15" t="s">
        <v>43</v>
      </c>
      <c r="E8677" s="15" t="s">
        <v>38</v>
      </c>
      <c r="F8677" s="15" t="s">
        <v>17</v>
      </c>
      <c r="G8677" s="15" t="s">
        <v>28</v>
      </c>
      <c r="H8677" s="15" t="n">
        <v>7</v>
      </c>
      <c r="I8677" s="17" t="n">
        <v>0.15</v>
      </c>
      <c r="J8677" s="18" t="n">
        <v>135.27</v>
      </c>
      <c r="K8677" s="19" t="n">
        <v>12.55</v>
      </c>
      <c r="L8677" s="15" t="n">
        <f aca="false">YEAR(B8677)</f>
        <v>2025</v>
      </c>
      <c r="M8677" s="20" t="n">
        <f aca="false">IF(J8677&gt;0,K8677/J8677,0)</f>
        <v>0.0927774081466696</v>
      </c>
    </row>
    <row r="8678" customFormat="false" ht="15" hidden="false" customHeight="false" outlineLevel="0" collapsed="false">
      <c r="A8678" s="15" t="s">
        <v>8735</v>
      </c>
      <c r="B8678" s="16" t="n">
        <v>45615</v>
      </c>
      <c r="C8678" s="15" t="s">
        <v>56</v>
      </c>
      <c r="D8678" s="15" t="s">
        <v>43</v>
      </c>
      <c r="E8678" s="15" t="s">
        <v>39</v>
      </c>
      <c r="F8678" s="15" t="s">
        <v>16</v>
      </c>
      <c r="G8678" s="15" t="s">
        <v>22</v>
      </c>
      <c r="H8678" s="15" t="n">
        <v>1</v>
      </c>
      <c r="I8678" s="17" t="n">
        <v>0.2</v>
      </c>
      <c r="J8678" s="18" t="n">
        <v>476.87</v>
      </c>
      <c r="K8678" s="19" t="n">
        <v>-111.69</v>
      </c>
      <c r="L8678" s="15" t="n">
        <f aca="false">YEAR(B8678)</f>
        <v>2024</v>
      </c>
      <c r="M8678" s="20" t="n">
        <f aca="false">IF(J8678&gt;0,K8678/J8678,0)</f>
        <v>-0.23421477551534</v>
      </c>
    </row>
    <row r="8679" customFormat="false" ht="15" hidden="false" customHeight="false" outlineLevel="0" collapsed="false">
      <c r="A8679" s="15" t="s">
        <v>8736</v>
      </c>
      <c r="B8679" s="16" t="n">
        <v>45394</v>
      </c>
      <c r="C8679" s="15" t="s">
        <v>56</v>
      </c>
      <c r="D8679" s="15" t="s">
        <v>43</v>
      </c>
      <c r="E8679" s="15" t="s">
        <v>36</v>
      </c>
      <c r="F8679" s="15" t="s">
        <v>16</v>
      </c>
      <c r="G8679" s="15" t="s">
        <v>27</v>
      </c>
      <c r="H8679" s="15" t="n">
        <v>4</v>
      </c>
      <c r="I8679" s="17" t="n">
        <v>0</v>
      </c>
      <c r="J8679" s="18" t="n">
        <v>256.65</v>
      </c>
      <c r="K8679" s="19" t="n">
        <v>48.62</v>
      </c>
      <c r="L8679" s="15" t="n">
        <f aca="false">YEAR(B8679)</f>
        <v>2024</v>
      </c>
      <c r="M8679" s="20" t="n">
        <f aca="false">IF(J8679&gt;0,K8679/J8679,0)</f>
        <v>0.189440872783947</v>
      </c>
    </row>
    <row r="8680" customFormat="false" ht="15" hidden="false" customHeight="false" outlineLevel="0" collapsed="false">
      <c r="A8680" s="15" t="s">
        <v>8737</v>
      </c>
      <c r="B8680" s="16" t="n">
        <v>45936</v>
      </c>
      <c r="C8680" s="15" t="s">
        <v>71</v>
      </c>
      <c r="D8680" s="15" t="s">
        <v>44</v>
      </c>
      <c r="E8680" s="15" t="s">
        <v>36</v>
      </c>
      <c r="F8680" s="15" t="s">
        <v>16</v>
      </c>
      <c r="G8680" s="15" t="s">
        <v>25</v>
      </c>
      <c r="H8680" s="15" t="n">
        <v>5</v>
      </c>
      <c r="I8680" s="17" t="n">
        <v>0</v>
      </c>
      <c r="J8680" s="18" t="n">
        <v>1401.61</v>
      </c>
      <c r="K8680" s="19" t="n">
        <v>149.86</v>
      </c>
      <c r="L8680" s="15" t="n">
        <f aca="false">YEAR(B8680)</f>
        <v>2025</v>
      </c>
      <c r="M8680" s="20" t="n">
        <f aca="false">IF(J8680&gt;0,K8680/J8680,0)</f>
        <v>0.10691989925871</v>
      </c>
    </row>
    <row r="8681" customFormat="false" ht="15" hidden="false" customHeight="false" outlineLevel="0" collapsed="false">
      <c r="A8681" s="15" t="s">
        <v>8738</v>
      </c>
      <c r="B8681" s="16" t="n">
        <v>45710</v>
      </c>
      <c r="C8681" s="15" t="s">
        <v>71</v>
      </c>
      <c r="D8681" s="15" t="s">
        <v>42</v>
      </c>
      <c r="E8681" s="15" t="s">
        <v>36</v>
      </c>
      <c r="F8681" s="15" t="s">
        <v>17</v>
      </c>
      <c r="G8681" s="15" t="s">
        <v>28</v>
      </c>
      <c r="H8681" s="15" t="n">
        <v>7</v>
      </c>
      <c r="I8681" s="17" t="n">
        <v>0.3</v>
      </c>
      <c r="J8681" s="18" t="n">
        <v>117.91</v>
      </c>
      <c r="K8681" s="19" t="n">
        <v>-3.05</v>
      </c>
      <c r="L8681" s="15" t="n">
        <f aca="false">YEAR(B8681)</f>
        <v>2025</v>
      </c>
      <c r="M8681" s="20" t="n">
        <f aca="false">IF(J8681&gt;0,K8681/J8681,0)</f>
        <v>-0.0258671868374184</v>
      </c>
    </row>
    <row r="8682" customFormat="false" ht="15" hidden="false" customHeight="false" outlineLevel="0" collapsed="false">
      <c r="A8682" s="15" t="s">
        <v>8739</v>
      </c>
      <c r="B8682" s="16" t="n">
        <v>45039</v>
      </c>
      <c r="C8682" s="15" t="s">
        <v>56</v>
      </c>
      <c r="D8682" s="15" t="s">
        <v>43</v>
      </c>
      <c r="E8682" s="15" t="s">
        <v>38</v>
      </c>
      <c r="F8682" s="15" t="s">
        <v>17</v>
      </c>
      <c r="G8682" s="15" t="s">
        <v>29</v>
      </c>
      <c r="H8682" s="15" t="n">
        <v>2</v>
      </c>
      <c r="I8682" s="17" t="n">
        <v>0.05</v>
      </c>
      <c r="J8682" s="18" t="n">
        <v>36.81</v>
      </c>
      <c r="K8682" s="19" t="n">
        <v>11.93</v>
      </c>
      <c r="L8682" s="15" t="n">
        <f aca="false">YEAR(B8682)</f>
        <v>2023</v>
      </c>
      <c r="M8682" s="20" t="n">
        <f aca="false">IF(J8682&gt;0,K8682/J8682,0)</f>
        <v>0.324096712849769</v>
      </c>
    </row>
    <row r="8683" customFormat="false" ht="15" hidden="false" customHeight="false" outlineLevel="0" collapsed="false">
      <c r="A8683" s="15" t="s">
        <v>8740</v>
      </c>
      <c r="B8683" s="16" t="n">
        <v>45442</v>
      </c>
      <c r="C8683" s="15" t="s">
        <v>68</v>
      </c>
      <c r="D8683" s="15" t="s">
        <v>44</v>
      </c>
      <c r="E8683" s="15" t="s">
        <v>39</v>
      </c>
      <c r="F8683" s="15" t="s">
        <v>16</v>
      </c>
      <c r="G8683" s="15" t="s">
        <v>27</v>
      </c>
      <c r="H8683" s="15" t="n">
        <v>1</v>
      </c>
      <c r="I8683" s="17" t="n">
        <v>0</v>
      </c>
      <c r="J8683" s="18" t="n">
        <v>47.39</v>
      </c>
      <c r="K8683" s="19" t="n">
        <v>8.05</v>
      </c>
      <c r="L8683" s="15" t="n">
        <f aca="false">YEAR(B8683)</f>
        <v>2024</v>
      </c>
      <c r="M8683" s="20" t="n">
        <f aca="false">IF(J8683&gt;0,K8683/J8683,0)</f>
        <v>0.1698670605613</v>
      </c>
    </row>
    <row r="8684" customFormat="false" ht="15" hidden="false" customHeight="false" outlineLevel="0" collapsed="false">
      <c r="A8684" s="15" t="s">
        <v>8741</v>
      </c>
      <c r="B8684" s="16" t="n">
        <v>45911</v>
      </c>
      <c r="C8684" s="15" t="s">
        <v>56</v>
      </c>
      <c r="D8684" s="15" t="s">
        <v>42</v>
      </c>
      <c r="E8684" s="15" t="s">
        <v>37</v>
      </c>
      <c r="F8684" s="15" t="s">
        <v>17</v>
      </c>
      <c r="G8684" s="15" t="s">
        <v>29</v>
      </c>
      <c r="H8684" s="15" t="n">
        <v>4</v>
      </c>
      <c r="I8684" s="17" t="n">
        <v>0.2</v>
      </c>
      <c r="J8684" s="18" t="n">
        <v>58.5</v>
      </c>
      <c r="K8684" s="19" t="n">
        <v>13.98</v>
      </c>
      <c r="L8684" s="15" t="n">
        <f aca="false">YEAR(B8684)</f>
        <v>2025</v>
      </c>
      <c r="M8684" s="20" t="n">
        <f aca="false">IF(J8684&gt;0,K8684/J8684,0)</f>
        <v>0.238974358974359</v>
      </c>
    </row>
    <row r="8685" customFormat="false" ht="15" hidden="false" customHeight="false" outlineLevel="0" collapsed="false">
      <c r="A8685" s="15" t="s">
        <v>8742</v>
      </c>
      <c r="B8685" s="16" t="n">
        <v>45144</v>
      </c>
      <c r="C8685" s="15" t="s">
        <v>56</v>
      </c>
      <c r="D8685" s="15" t="s">
        <v>43</v>
      </c>
      <c r="E8685" s="15" t="s">
        <v>38</v>
      </c>
      <c r="F8685" s="15" t="s">
        <v>17</v>
      </c>
      <c r="G8685" s="15" t="s">
        <v>26</v>
      </c>
      <c r="H8685" s="15" t="n">
        <v>6</v>
      </c>
      <c r="I8685" s="17" t="n">
        <v>0.2</v>
      </c>
      <c r="J8685" s="18" t="n">
        <v>560.83</v>
      </c>
      <c r="K8685" s="19" t="n">
        <v>-20.93</v>
      </c>
      <c r="L8685" s="15" t="n">
        <f aca="false">YEAR(B8685)</f>
        <v>2023</v>
      </c>
      <c r="M8685" s="20" t="n">
        <f aca="false">IF(J8685&gt;0,K8685/J8685,0)</f>
        <v>-0.0373196868926413</v>
      </c>
    </row>
    <row r="8686" customFormat="false" ht="15" hidden="false" customHeight="false" outlineLevel="0" collapsed="false">
      <c r="A8686" s="15" t="s">
        <v>8743</v>
      </c>
      <c r="B8686" s="16" t="n">
        <v>45568</v>
      </c>
      <c r="C8686" s="15" t="s">
        <v>56</v>
      </c>
      <c r="D8686" s="15" t="s">
        <v>42</v>
      </c>
      <c r="E8686" s="15" t="s">
        <v>38</v>
      </c>
      <c r="F8686" s="15" t="s">
        <v>18</v>
      </c>
      <c r="G8686" s="15" t="s">
        <v>30</v>
      </c>
      <c r="H8686" s="15" t="n">
        <v>3</v>
      </c>
      <c r="I8686" s="17" t="n">
        <v>0</v>
      </c>
      <c r="J8686" s="18" t="n">
        <v>121.95</v>
      </c>
      <c r="K8686" s="19" t="n">
        <v>40.71</v>
      </c>
      <c r="L8686" s="15" t="n">
        <f aca="false">YEAR(B8686)</f>
        <v>2024</v>
      </c>
      <c r="M8686" s="20" t="n">
        <f aca="false">IF(J8686&gt;0,K8686/J8686,0)</f>
        <v>0.333825338253383</v>
      </c>
    </row>
    <row r="8687" customFormat="false" ht="15" hidden="false" customHeight="false" outlineLevel="0" collapsed="false">
      <c r="A8687" s="15" t="s">
        <v>8744</v>
      </c>
      <c r="B8687" s="16" t="n">
        <v>45762</v>
      </c>
      <c r="C8687" s="15" t="s">
        <v>56</v>
      </c>
      <c r="D8687" s="15" t="s">
        <v>42</v>
      </c>
      <c r="E8687" s="15" t="s">
        <v>39</v>
      </c>
      <c r="F8687" s="15" t="s">
        <v>17</v>
      </c>
      <c r="G8687" s="15" t="s">
        <v>29</v>
      </c>
      <c r="H8687" s="15" t="n">
        <v>5</v>
      </c>
      <c r="I8687" s="17" t="n">
        <v>0.1</v>
      </c>
      <c r="J8687" s="18" t="n">
        <v>93.08</v>
      </c>
      <c r="K8687" s="19" t="n">
        <v>25.53</v>
      </c>
      <c r="L8687" s="15" t="n">
        <f aca="false">YEAR(B8687)</f>
        <v>2025</v>
      </c>
      <c r="M8687" s="20" t="n">
        <f aca="false">IF(J8687&gt;0,K8687/J8687,0)</f>
        <v>0.274280189084658</v>
      </c>
    </row>
    <row r="8688" customFormat="false" ht="15" hidden="false" customHeight="false" outlineLevel="0" collapsed="false">
      <c r="A8688" s="15" t="s">
        <v>8745</v>
      </c>
      <c r="B8688" s="16" t="n">
        <v>45996</v>
      </c>
      <c r="C8688" s="15" t="s">
        <v>56</v>
      </c>
      <c r="D8688" s="15" t="s">
        <v>44</v>
      </c>
      <c r="E8688" s="15" t="s">
        <v>36</v>
      </c>
      <c r="F8688" s="15" t="s">
        <v>17</v>
      </c>
      <c r="G8688" s="15" t="s">
        <v>28</v>
      </c>
      <c r="H8688" s="15" t="n">
        <v>3</v>
      </c>
      <c r="I8688" s="17" t="n">
        <v>0.1</v>
      </c>
      <c r="J8688" s="18" t="n">
        <v>67.63</v>
      </c>
      <c r="K8688" s="19" t="n">
        <v>13.52</v>
      </c>
      <c r="L8688" s="15" t="n">
        <f aca="false">YEAR(B8688)</f>
        <v>2025</v>
      </c>
      <c r="M8688" s="20" t="n">
        <f aca="false">IF(J8688&gt;0,K8688/J8688,0)</f>
        <v>0.199911281975455</v>
      </c>
    </row>
    <row r="8689" customFormat="false" ht="15" hidden="false" customHeight="false" outlineLevel="0" collapsed="false">
      <c r="A8689" s="15" t="s">
        <v>8746</v>
      </c>
      <c r="B8689" s="16" t="n">
        <v>44927</v>
      </c>
      <c r="C8689" s="15" t="s">
        <v>56</v>
      </c>
      <c r="D8689" s="15" t="s">
        <v>42</v>
      </c>
      <c r="E8689" s="15" t="s">
        <v>38</v>
      </c>
      <c r="F8689" s="15" t="s">
        <v>17</v>
      </c>
      <c r="G8689" s="15" t="s">
        <v>29</v>
      </c>
      <c r="H8689" s="15" t="n">
        <v>4</v>
      </c>
      <c r="I8689" s="17" t="n">
        <v>0.05</v>
      </c>
      <c r="J8689" s="18" t="n">
        <v>57.57</v>
      </c>
      <c r="K8689" s="19" t="n">
        <v>18.31</v>
      </c>
      <c r="L8689" s="15" t="n">
        <f aca="false">YEAR(B8689)</f>
        <v>2023</v>
      </c>
      <c r="M8689" s="20" t="n">
        <f aca="false">IF(J8689&gt;0,K8689/J8689,0)</f>
        <v>0.318047594233108</v>
      </c>
    </row>
    <row r="8690" customFormat="false" ht="15" hidden="false" customHeight="false" outlineLevel="0" collapsed="false">
      <c r="A8690" s="15" t="s">
        <v>8747</v>
      </c>
      <c r="B8690" s="16" t="n">
        <v>45614</v>
      </c>
      <c r="C8690" s="15" t="s">
        <v>71</v>
      </c>
      <c r="D8690" s="15" t="s">
        <v>44</v>
      </c>
      <c r="E8690" s="15" t="s">
        <v>36</v>
      </c>
      <c r="F8690" s="15" t="s">
        <v>17</v>
      </c>
      <c r="G8690" s="15" t="s">
        <v>26</v>
      </c>
      <c r="H8690" s="15" t="n">
        <v>2</v>
      </c>
      <c r="I8690" s="17" t="n">
        <v>0.2</v>
      </c>
      <c r="J8690" s="18" t="n">
        <v>140.33</v>
      </c>
      <c r="K8690" s="19" t="n">
        <v>-14.19</v>
      </c>
      <c r="L8690" s="15" t="n">
        <f aca="false">YEAR(B8690)</f>
        <v>2024</v>
      </c>
      <c r="M8690" s="20" t="n">
        <f aca="false">IF(J8690&gt;0,K8690/J8690,0)</f>
        <v>-0.101118791420224</v>
      </c>
    </row>
    <row r="8691" customFormat="false" ht="15" hidden="false" customHeight="false" outlineLevel="0" collapsed="false">
      <c r="A8691" s="15" t="s">
        <v>8748</v>
      </c>
      <c r="B8691" s="16" t="n">
        <v>44694</v>
      </c>
      <c r="C8691" s="15" t="s">
        <v>56</v>
      </c>
      <c r="D8691" s="15" t="s">
        <v>43</v>
      </c>
      <c r="E8691" s="15" t="s">
        <v>36</v>
      </c>
      <c r="F8691" s="15" t="s">
        <v>18</v>
      </c>
      <c r="G8691" s="15" t="s">
        <v>24</v>
      </c>
      <c r="H8691" s="15" t="n">
        <v>4</v>
      </c>
      <c r="I8691" s="17" t="n">
        <v>0</v>
      </c>
      <c r="J8691" s="18" t="n">
        <v>2751.04</v>
      </c>
      <c r="K8691" s="19" t="n">
        <v>271.35</v>
      </c>
      <c r="L8691" s="15" t="n">
        <f aca="false">YEAR(B8691)</f>
        <v>2022</v>
      </c>
      <c r="M8691" s="20" t="n">
        <f aca="false">IF(J8691&gt;0,K8691/J8691,0)</f>
        <v>0.0986354251483076</v>
      </c>
    </row>
    <row r="8692" customFormat="false" ht="15" hidden="false" customHeight="false" outlineLevel="0" collapsed="false">
      <c r="A8692" s="15" t="s">
        <v>8749</v>
      </c>
      <c r="B8692" s="16" t="n">
        <v>45120</v>
      </c>
      <c r="C8692" s="15" t="s">
        <v>56</v>
      </c>
      <c r="D8692" s="15" t="s">
        <v>42</v>
      </c>
      <c r="E8692" s="15" t="s">
        <v>36</v>
      </c>
      <c r="F8692" s="15" t="s">
        <v>17</v>
      </c>
      <c r="G8692" s="15" t="s">
        <v>28</v>
      </c>
      <c r="H8692" s="15" t="n">
        <v>1</v>
      </c>
      <c r="I8692" s="17" t="n">
        <v>0.3</v>
      </c>
      <c r="J8692" s="18" t="n">
        <v>14.74</v>
      </c>
      <c r="K8692" s="19" t="n">
        <v>0.87</v>
      </c>
      <c r="L8692" s="15" t="n">
        <f aca="false">YEAR(B8692)</f>
        <v>2023</v>
      </c>
      <c r="M8692" s="20" t="n">
        <f aca="false">IF(J8692&gt;0,K8692/J8692,0)</f>
        <v>0.0590230664857531</v>
      </c>
    </row>
    <row r="8693" customFormat="false" ht="15" hidden="false" customHeight="false" outlineLevel="0" collapsed="false">
      <c r="A8693" s="15" t="s">
        <v>8750</v>
      </c>
      <c r="B8693" s="16" t="n">
        <v>45595</v>
      </c>
      <c r="C8693" s="15" t="s">
        <v>68</v>
      </c>
      <c r="D8693" s="15" t="s">
        <v>42</v>
      </c>
      <c r="E8693" s="15" t="s">
        <v>39</v>
      </c>
      <c r="F8693" s="15" t="s">
        <v>17</v>
      </c>
      <c r="G8693" s="15" t="s">
        <v>29</v>
      </c>
      <c r="H8693" s="15" t="n">
        <v>5</v>
      </c>
      <c r="I8693" s="17" t="n">
        <v>0</v>
      </c>
      <c r="J8693" s="18" t="n">
        <v>75.58</v>
      </c>
      <c r="K8693" s="19" t="n">
        <v>28.91</v>
      </c>
      <c r="L8693" s="15" t="n">
        <f aca="false">YEAR(B8693)</f>
        <v>2024</v>
      </c>
      <c r="M8693" s="20" t="n">
        <f aca="false">IF(J8693&gt;0,K8693/J8693,0)</f>
        <v>0.382508600158772</v>
      </c>
    </row>
    <row r="8694" customFormat="false" ht="15" hidden="false" customHeight="false" outlineLevel="0" collapsed="false">
      <c r="A8694" s="15" t="s">
        <v>8751</v>
      </c>
      <c r="B8694" s="16" t="n">
        <v>45564</v>
      </c>
      <c r="C8694" s="15" t="s">
        <v>71</v>
      </c>
      <c r="D8694" s="15" t="s">
        <v>42</v>
      </c>
      <c r="E8694" s="15" t="s">
        <v>37</v>
      </c>
      <c r="F8694" s="15" t="s">
        <v>18</v>
      </c>
      <c r="G8694" s="15" t="s">
        <v>33</v>
      </c>
      <c r="H8694" s="15" t="n">
        <v>7</v>
      </c>
      <c r="I8694" s="17" t="n">
        <v>0</v>
      </c>
      <c r="J8694" s="18" t="n">
        <v>6023.04</v>
      </c>
      <c r="K8694" s="19" t="n">
        <v>1439.91</v>
      </c>
      <c r="L8694" s="15" t="n">
        <f aca="false">YEAR(B8694)</f>
        <v>2024</v>
      </c>
      <c r="M8694" s="20" t="n">
        <f aca="false">IF(J8694&gt;0,K8694/J8694,0)</f>
        <v>0.239066982786101</v>
      </c>
    </row>
    <row r="8695" customFormat="false" ht="15" hidden="false" customHeight="false" outlineLevel="0" collapsed="false">
      <c r="A8695" s="15" t="s">
        <v>8752</v>
      </c>
      <c r="B8695" s="16" t="n">
        <v>45799</v>
      </c>
      <c r="C8695" s="15" t="s">
        <v>71</v>
      </c>
      <c r="D8695" s="15" t="s">
        <v>42</v>
      </c>
      <c r="E8695" s="15" t="s">
        <v>37</v>
      </c>
      <c r="F8695" s="15" t="s">
        <v>17</v>
      </c>
      <c r="G8695" s="15" t="s">
        <v>31</v>
      </c>
      <c r="H8695" s="15" t="n">
        <v>2</v>
      </c>
      <c r="I8695" s="17" t="n">
        <v>0</v>
      </c>
      <c r="J8695" s="18" t="n">
        <v>223.15</v>
      </c>
      <c r="K8695" s="19" t="n">
        <v>54.17</v>
      </c>
      <c r="L8695" s="15" t="n">
        <f aca="false">YEAR(B8695)</f>
        <v>2025</v>
      </c>
      <c r="M8695" s="20" t="n">
        <f aca="false">IF(J8695&gt;0,K8695/J8695,0)</f>
        <v>0.242751512435581</v>
      </c>
    </row>
    <row r="8696" customFormat="false" ht="15" hidden="false" customHeight="false" outlineLevel="0" collapsed="false">
      <c r="A8696" s="15" t="s">
        <v>8753</v>
      </c>
      <c r="B8696" s="16" t="n">
        <v>45819</v>
      </c>
      <c r="C8696" s="15" t="s">
        <v>56</v>
      </c>
      <c r="D8696" s="15" t="s">
        <v>43</v>
      </c>
      <c r="E8696" s="15" t="s">
        <v>39</v>
      </c>
      <c r="F8696" s="15" t="s">
        <v>18</v>
      </c>
      <c r="G8696" s="15" t="s">
        <v>32</v>
      </c>
      <c r="H8696" s="15" t="n">
        <v>4</v>
      </c>
      <c r="I8696" s="17" t="n">
        <v>0.1</v>
      </c>
      <c r="J8696" s="18" t="n">
        <v>1971.89</v>
      </c>
      <c r="K8696" s="19" t="n">
        <v>284.09</v>
      </c>
      <c r="L8696" s="15" t="n">
        <f aca="false">YEAR(B8696)</f>
        <v>2025</v>
      </c>
      <c r="M8696" s="20" t="n">
        <f aca="false">IF(J8696&gt;0,K8696/J8696,0)</f>
        <v>0.144069902479347</v>
      </c>
    </row>
    <row r="8697" customFormat="false" ht="15" hidden="false" customHeight="false" outlineLevel="0" collapsed="false">
      <c r="A8697" s="15" t="s">
        <v>8754</v>
      </c>
      <c r="B8697" s="16" t="n">
        <v>45852</v>
      </c>
      <c r="C8697" s="15" t="s">
        <v>68</v>
      </c>
      <c r="D8697" s="15" t="s">
        <v>43</v>
      </c>
      <c r="E8697" s="15" t="s">
        <v>37</v>
      </c>
      <c r="F8697" s="15" t="s">
        <v>17</v>
      </c>
      <c r="G8697" s="15" t="s">
        <v>29</v>
      </c>
      <c r="H8697" s="15" t="n">
        <v>1</v>
      </c>
      <c r="I8697" s="17" t="n">
        <v>0</v>
      </c>
      <c r="J8697" s="18" t="n">
        <v>18</v>
      </c>
      <c r="K8697" s="19" t="n">
        <v>5.64</v>
      </c>
      <c r="L8697" s="15" t="n">
        <f aca="false">YEAR(B8697)</f>
        <v>2025</v>
      </c>
      <c r="M8697" s="20" t="n">
        <f aca="false">IF(J8697&gt;0,K8697/J8697,0)</f>
        <v>0.313333333333333</v>
      </c>
    </row>
    <row r="8698" customFormat="false" ht="15" hidden="false" customHeight="false" outlineLevel="0" collapsed="false">
      <c r="A8698" s="15" t="s">
        <v>8755</v>
      </c>
      <c r="B8698" s="16" t="n">
        <v>45924</v>
      </c>
      <c r="C8698" s="15" t="s">
        <v>71</v>
      </c>
      <c r="D8698" s="15" t="s">
        <v>43</v>
      </c>
      <c r="E8698" s="15" t="s">
        <v>38</v>
      </c>
      <c r="F8698" s="15" t="s">
        <v>16</v>
      </c>
      <c r="G8698" s="15" t="s">
        <v>22</v>
      </c>
      <c r="H8698" s="15" t="n">
        <v>4</v>
      </c>
      <c r="I8698" s="17" t="n">
        <v>0.1</v>
      </c>
      <c r="J8698" s="18" t="n">
        <v>1872.65</v>
      </c>
      <c r="K8698" s="19" t="n">
        <v>-101</v>
      </c>
      <c r="L8698" s="15" t="n">
        <f aca="false">YEAR(B8698)</f>
        <v>2025</v>
      </c>
      <c r="M8698" s="20" t="n">
        <f aca="false">IF(J8698&gt;0,K8698/J8698,0)</f>
        <v>-0.053934264277895</v>
      </c>
    </row>
    <row r="8699" customFormat="false" ht="15" hidden="false" customHeight="false" outlineLevel="0" collapsed="false">
      <c r="A8699" s="15" t="s">
        <v>8756</v>
      </c>
      <c r="B8699" s="16" t="n">
        <v>44754</v>
      </c>
      <c r="C8699" s="15" t="s">
        <v>68</v>
      </c>
      <c r="D8699" s="15" t="s">
        <v>42</v>
      </c>
      <c r="E8699" s="15" t="s">
        <v>39</v>
      </c>
      <c r="F8699" s="15" t="s">
        <v>17</v>
      </c>
      <c r="G8699" s="15" t="s">
        <v>28</v>
      </c>
      <c r="H8699" s="15" t="n">
        <v>4</v>
      </c>
      <c r="I8699" s="17" t="n">
        <v>0.1</v>
      </c>
      <c r="J8699" s="18" t="n">
        <v>115.39</v>
      </c>
      <c r="K8699" s="19" t="n">
        <v>31.64</v>
      </c>
      <c r="L8699" s="15" t="n">
        <f aca="false">YEAR(B8699)</f>
        <v>2022</v>
      </c>
      <c r="M8699" s="20" t="n">
        <f aca="false">IF(J8699&gt;0,K8699/J8699,0)</f>
        <v>0.274200537308259</v>
      </c>
    </row>
    <row r="8700" customFormat="false" ht="15" hidden="false" customHeight="false" outlineLevel="0" collapsed="false">
      <c r="A8700" s="15" t="s">
        <v>8757</v>
      </c>
      <c r="B8700" s="16" t="n">
        <v>44869</v>
      </c>
      <c r="C8700" s="15" t="s">
        <v>68</v>
      </c>
      <c r="D8700" s="15" t="s">
        <v>43</v>
      </c>
      <c r="E8700" s="15" t="s">
        <v>38</v>
      </c>
      <c r="F8700" s="15" t="s">
        <v>16</v>
      </c>
      <c r="G8700" s="15" t="s">
        <v>25</v>
      </c>
      <c r="H8700" s="15" t="n">
        <v>7</v>
      </c>
      <c r="I8700" s="17" t="n">
        <v>0.2</v>
      </c>
      <c r="J8700" s="18" t="n">
        <v>1593.84</v>
      </c>
      <c r="K8700" s="19" t="n">
        <v>-101.88</v>
      </c>
      <c r="L8700" s="15" t="n">
        <f aca="false">YEAR(B8700)</f>
        <v>2022</v>
      </c>
      <c r="M8700" s="20" t="n">
        <f aca="false">IF(J8700&gt;0,K8700/J8700,0)</f>
        <v>-0.0639210962204487</v>
      </c>
    </row>
    <row r="8701" customFormat="false" ht="15" hidden="false" customHeight="false" outlineLevel="0" collapsed="false">
      <c r="A8701" s="15" t="s">
        <v>8758</v>
      </c>
      <c r="B8701" s="16" t="n">
        <v>44607</v>
      </c>
      <c r="C8701" s="15" t="s">
        <v>56</v>
      </c>
      <c r="D8701" s="15" t="s">
        <v>42</v>
      </c>
      <c r="E8701" s="15" t="s">
        <v>37</v>
      </c>
      <c r="F8701" s="15" t="s">
        <v>17</v>
      </c>
      <c r="G8701" s="15" t="s">
        <v>28</v>
      </c>
      <c r="H8701" s="15" t="n">
        <v>7</v>
      </c>
      <c r="I8701" s="17" t="n">
        <v>0.15</v>
      </c>
      <c r="J8701" s="18" t="n">
        <v>174.96</v>
      </c>
      <c r="K8701" s="19" t="n">
        <v>32.34</v>
      </c>
      <c r="L8701" s="15" t="n">
        <f aca="false">YEAR(B8701)</f>
        <v>2022</v>
      </c>
      <c r="M8701" s="20" t="n">
        <f aca="false">IF(J8701&gt;0,K8701/J8701,0)</f>
        <v>0.184842249657064</v>
      </c>
    </row>
    <row r="8702" customFormat="false" ht="15" hidden="false" customHeight="false" outlineLevel="0" collapsed="false">
      <c r="A8702" s="15" t="s">
        <v>8759</v>
      </c>
      <c r="B8702" s="16" t="n">
        <v>45888</v>
      </c>
      <c r="C8702" s="15" t="s">
        <v>56</v>
      </c>
      <c r="D8702" s="15" t="s">
        <v>43</v>
      </c>
      <c r="E8702" s="15" t="s">
        <v>38</v>
      </c>
      <c r="F8702" s="15" t="s">
        <v>17</v>
      </c>
      <c r="G8702" s="15" t="s">
        <v>29</v>
      </c>
      <c r="H8702" s="15" t="n">
        <v>1</v>
      </c>
      <c r="I8702" s="17" t="n">
        <v>0.1</v>
      </c>
      <c r="J8702" s="18" t="n">
        <v>15.07</v>
      </c>
      <c r="K8702" s="19" t="n">
        <v>3.91</v>
      </c>
      <c r="L8702" s="15" t="n">
        <f aca="false">YEAR(B8702)</f>
        <v>2025</v>
      </c>
      <c r="M8702" s="20" t="n">
        <f aca="false">IF(J8702&gt;0,K8702/J8702,0)</f>
        <v>0.259455872594559</v>
      </c>
    </row>
    <row r="8703" customFormat="false" ht="15" hidden="false" customHeight="false" outlineLevel="0" collapsed="false">
      <c r="A8703" s="15" t="s">
        <v>8760</v>
      </c>
      <c r="B8703" s="16" t="n">
        <v>45155</v>
      </c>
      <c r="C8703" s="15" t="s">
        <v>56</v>
      </c>
      <c r="D8703" s="15" t="s">
        <v>44</v>
      </c>
      <c r="E8703" s="15" t="s">
        <v>36</v>
      </c>
      <c r="F8703" s="15" t="s">
        <v>16</v>
      </c>
      <c r="G8703" s="15" t="s">
        <v>27</v>
      </c>
      <c r="H8703" s="15" t="n">
        <v>7</v>
      </c>
      <c r="I8703" s="17" t="n">
        <v>0</v>
      </c>
      <c r="J8703" s="18" t="n">
        <v>442.56</v>
      </c>
      <c r="K8703" s="19" t="n">
        <v>109.24</v>
      </c>
      <c r="L8703" s="15" t="n">
        <f aca="false">YEAR(B8703)</f>
        <v>2023</v>
      </c>
      <c r="M8703" s="20" t="n">
        <f aca="false">IF(J8703&gt;0,K8703/J8703,0)</f>
        <v>0.246836587129429</v>
      </c>
    </row>
    <row r="8704" customFormat="false" ht="15" hidden="false" customHeight="false" outlineLevel="0" collapsed="false">
      <c r="A8704" s="15" t="s">
        <v>8761</v>
      </c>
      <c r="B8704" s="16" t="n">
        <v>44906</v>
      </c>
      <c r="C8704" s="15" t="s">
        <v>56</v>
      </c>
      <c r="D8704" s="15" t="s">
        <v>42</v>
      </c>
      <c r="E8704" s="15" t="s">
        <v>37</v>
      </c>
      <c r="F8704" s="15" t="s">
        <v>17</v>
      </c>
      <c r="G8704" s="15" t="s">
        <v>26</v>
      </c>
      <c r="H8704" s="15" t="n">
        <v>4</v>
      </c>
      <c r="I8704" s="17" t="n">
        <v>0.1</v>
      </c>
      <c r="J8704" s="18" t="n">
        <v>310.98</v>
      </c>
      <c r="K8704" s="19" t="n">
        <v>-2.27</v>
      </c>
      <c r="L8704" s="15" t="n">
        <f aca="false">YEAR(B8704)</f>
        <v>2022</v>
      </c>
      <c r="M8704" s="20" t="n">
        <f aca="false">IF(J8704&gt;0,K8704/J8704,0)</f>
        <v>-0.00729950479130491</v>
      </c>
    </row>
    <row r="8705" customFormat="false" ht="15" hidden="false" customHeight="false" outlineLevel="0" collapsed="false">
      <c r="A8705" s="15" t="s">
        <v>8762</v>
      </c>
      <c r="B8705" s="16" t="n">
        <v>45295</v>
      </c>
      <c r="C8705" s="15" t="s">
        <v>68</v>
      </c>
      <c r="D8705" s="15" t="s">
        <v>43</v>
      </c>
      <c r="E8705" s="15" t="s">
        <v>39</v>
      </c>
      <c r="F8705" s="15" t="s">
        <v>18</v>
      </c>
      <c r="G8705" s="15" t="s">
        <v>24</v>
      </c>
      <c r="H8705" s="15" t="n">
        <v>3</v>
      </c>
      <c r="I8705" s="17" t="n">
        <v>0.3</v>
      </c>
      <c r="J8705" s="18" t="n">
        <v>1599.81</v>
      </c>
      <c r="K8705" s="19" t="n">
        <v>-325.45</v>
      </c>
      <c r="L8705" s="15" t="n">
        <f aca="false">YEAR(B8705)</f>
        <v>2024</v>
      </c>
      <c r="M8705" s="20" t="n">
        <f aca="false">IF(J8705&gt;0,K8705/J8705,0)</f>
        <v>-0.203430407360874</v>
      </c>
    </row>
    <row r="8706" customFormat="false" ht="15" hidden="false" customHeight="false" outlineLevel="0" collapsed="false">
      <c r="A8706" s="15" t="s">
        <v>8763</v>
      </c>
      <c r="B8706" s="16" t="n">
        <v>45837</v>
      </c>
      <c r="C8706" s="15" t="s">
        <v>71</v>
      </c>
      <c r="D8706" s="15" t="s">
        <v>42</v>
      </c>
      <c r="E8706" s="15" t="s">
        <v>36</v>
      </c>
      <c r="F8706" s="15" t="s">
        <v>17</v>
      </c>
      <c r="G8706" s="15" t="s">
        <v>29</v>
      </c>
      <c r="H8706" s="15" t="n">
        <v>2</v>
      </c>
      <c r="I8706" s="17" t="n">
        <v>0.1</v>
      </c>
      <c r="J8706" s="18" t="n">
        <v>36.35</v>
      </c>
      <c r="K8706" s="19" t="n">
        <v>9.6</v>
      </c>
      <c r="L8706" s="15" t="n">
        <f aca="false">YEAR(B8706)</f>
        <v>2025</v>
      </c>
      <c r="M8706" s="20" t="n">
        <f aca="false">IF(J8706&gt;0,K8706/J8706,0)</f>
        <v>0.264099037138927</v>
      </c>
    </row>
    <row r="8707" customFormat="false" ht="15" hidden="false" customHeight="false" outlineLevel="0" collapsed="false">
      <c r="A8707" s="15" t="s">
        <v>8764</v>
      </c>
      <c r="B8707" s="16" t="n">
        <v>45277</v>
      </c>
      <c r="C8707" s="15" t="s">
        <v>56</v>
      </c>
      <c r="D8707" s="15" t="s">
        <v>43</v>
      </c>
      <c r="E8707" s="15" t="s">
        <v>39</v>
      </c>
      <c r="F8707" s="15" t="s">
        <v>18</v>
      </c>
      <c r="G8707" s="15" t="s">
        <v>30</v>
      </c>
      <c r="H8707" s="15" t="n">
        <v>3</v>
      </c>
      <c r="I8707" s="17" t="n">
        <v>0.2</v>
      </c>
      <c r="J8707" s="18" t="n">
        <v>105.01</v>
      </c>
      <c r="K8707" s="19" t="n">
        <v>14.81</v>
      </c>
      <c r="L8707" s="15" t="n">
        <f aca="false">YEAR(B8707)</f>
        <v>2023</v>
      </c>
      <c r="M8707" s="20" t="n">
        <f aca="false">IF(J8707&gt;0,K8707/J8707,0)</f>
        <v>0.141034187220265</v>
      </c>
    </row>
    <row r="8708" customFormat="false" ht="15" hidden="false" customHeight="false" outlineLevel="0" collapsed="false">
      <c r="A8708" s="15" t="s">
        <v>8765</v>
      </c>
      <c r="B8708" s="16" t="n">
        <v>45105</v>
      </c>
      <c r="C8708" s="15" t="s">
        <v>68</v>
      </c>
      <c r="D8708" s="15" t="s">
        <v>44</v>
      </c>
      <c r="E8708" s="15" t="s">
        <v>38</v>
      </c>
      <c r="F8708" s="15" t="s">
        <v>18</v>
      </c>
      <c r="G8708" s="15" t="s">
        <v>30</v>
      </c>
      <c r="H8708" s="15" t="n">
        <v>5</v>
      </c>
      <c r="I8708" s="17" t="n">
        <v>0.3</v>
      </c>
      <c r="J8708" s="18" t="n">
        <v>181.11</v>
      </c>
      <c r="K8708" s="19" t="n">
        <v>7.59</v>
      </c>
      <c r="L8708" s="15" t="n">
        <f aca="false">YEAR(B8708)</f>
        <v>2023</v>
      </c>
      <c r="M8708" s="20" t="n">
        <f aca="false">IF(J8708&gt;0,K8708/J8708,0)</f>
        <v>0.041908232565844</v>
      </c>
    </row>
    <row r="8709" customFormat="false" ht="15" hidden="false" customHeight="false" outlineLevel="0" collapsed="false">
      <c r="A8709" s="15" t="s">
        <v>8766</v>
      </c>
      <c r="B8709" s="16" t="n">
        <v>44938</v>
      </c>
      <c r="C8709" s="15" t="s">
        <v>56</v>
      </c>
      <c r="D8709" s="15" t="s">
        <v>42</v>
      </c>
      <c r="E8709" s="15" t="s">
        <v>38</v>
      </c>
      <c r="F8709" s="15" t="s">
        <v>17</v>
      </c>
      <c r="G8709" s="15" t="s">
        <v>31</v>
      </c>
      <c r="H8709" s="15" t="n">
        <v>5</v>
      </c>
      <c r="I8709" s="17" t="n">
        <v>0.2</v>
      </c>
      <c r="J8709" s="18" t="n">
        <v>513.46</v>
      </c>
      <c r="K8709" s="19" t="n">
        <v>26.81</v>
      </c>
      <c r="L8709" s="15" t="n">
        <f aca="false">YEAR(B8709)</f>
        <v>2023</v>
      </c>
      <c r="M8709" s="20" t="n">
        <f aca="false">IF(J8709&gt;0,K8709/J8709,0)</f>
        <v>0.0522143886573443</v>
      </c>
    </row>
    <row r="8710" customFormat="false" ht="15" hidden="false" customHeight="false" outlineLevel="0" collapsed="false">
      <c r="A8710" s="15" t="s">
        <v>8767</v>
      </c>
      <c r="B8710" s="16" t="n">
        <v>45544</v>
      </c>
      <c r="C8710" s="15" t="s">
        <v>71</v>
      </c>
      <c r="D8710" s="15" t="s">
        <v>42</v>
      </c>
      <c r="E8710" s="15" t="s">
        <v>38</v>
      </c>
      <c r="F8710" s="15" t="s">
        <v>18</v>
      </c>
      <c r="G8710" s="15" t="s">
        <v>30</v>
      </c>
      <c r="H8710" s="15" t="n">
        <v>4</v>
      </c>
      <c r="I8710" s="17" t="n">
        <v>0</v>
      </c>
      <c r="J8710" s="18" t="n">
        <v>148.97</v>
      </c>
      <c r="K8710" s="19" t="n">
        <v>49.22</v>
      </c>
      <c r="L8710" s="15" t="n">
        <f aca="false">YEAR(B8710)</f>
        <v>2024</v>
      </c>
      <c r="M8710" s="20" t="n">
        <f aca="false">IF(J8710&gt;0,K8710/J8710,0)</f>
        <v>0.330402094381419</v>
      </c>
    </row>
    <row r="8711" customFormat="false" ht="15" hidden="false" customHeight="false" outlineLevel="0" collapsed="false">
      <c r="A8711" s="15" t="s">
        <v>8768</v>
      </c>
      <c r="B8711" s="16" t="n">
        <v>44701</v>
      </c>
      <c r="C8711" s="15" t="s">
        <v>71</v>
      </c>
      <c r="D8711" s="15" t="s">
        <v>42</v>
      </c>
      <c r="E8711" s="15" t="s">
        <v>37</v>
      </c>
      <c r="F8711" s="15" t="s">
        <v>17</v>
      </c>
      <c r="G8711" s="15" t="s">
        <v>29</v>
      </c>
      <c r="H8711" s="15" t="n">
        <v>2</v>
      </c>
      <c r="I8711" s="17" t="n">
        <v>0.15</v>
      </c>
      <c r="J8711" s="18" t="n">
        <v>28.34</v>
      </c>
      <c r="K8711" s="19" t="n">
        <v>6.54</v>
      </c>
      <c r="L8711" s="15" t="n">
        <f aca="false">YEAR(B8711)</f>
        <v>2022</v>
      </c>
      <c r="M8711" s="20" t="n">
        <f aca="false">IF(J8711&gt;0,K8711/J8711,0)</f>
        <v>0.230769230769231</v>
      </c>
    </row>
    <row r="8712" customFormat="false" ht="15" hidden="false" customHeight="false" outlineLevel="0" collapsed="false">
      <c r="A8712" s="15" t="s">
        <v>8769</v>
      </c>
      <c r="B8712" s="16" t="n">
        <v>45722</v>
      </c>
      <c r="C8712" s="15" t="s">
        <v>56</v>
      </c>
      <c r="D8712" s="15" t="s">
        <v>42</v>
      </c>
      <c r="E8712" s="15" t="s">
        <v>39</v>
      </c>
      <c r="F8712" s="15" t="s">
        <v>18</v>
      </c>
      <c r="G8712" s="15" t="s">
        <v>32</v>
      </c>
      <c r="H8712" s="15" t="n">
        <v>2</v>
      </c>
      <c r="I8712" s="17" t="n">
        <v>0</v>
      </c>
      <c r="J8712" s="18" t="n">
        <v>977.89</v>
      </c>
      <c r="K8712" s="19" t="n">
        <v>154.48</v>
      </c>
      <c r="L8712" s="15" t="n">
        <f aca="false">YEAR(B8712)</f>
        <v>2025</v>
      </c>
      <c r="M8712" s="20" t="n">
        <f aca="false">IF(J8712&gt;0,K8712/J8712,0)</f>
        <v>0.157972778124329</v>
      </c>
    </row>
    <row r="8713" customFormat="false" ht="15" hidden="false" customHeight="false" outlineLevel="0" collapsed="false">
      <c r="A8713" s="15" t="s">
        <v>8770</v>
      </c>
      <c r="B8713" s="16" t="n">
        <v>45602</v>
      </c>
      <c r="C8713" s="15" t="s">
        <v>71</v>
      </c>
      <c r="D8713" s="15" t="s">
        <v>42</v>
      </c>
      <c r="E8713" s="15" t="s">
        <v>39</v>
      </c>
      <c r="F8713" s="15" t="s">
        <v>17</v>
      </c>
      <c r="G8713" s="15" t="s">
        <v>26</v>
      </c>
      <c r="H8713" s="15" t="n">
        <v>3</v>
      </c>
      <c r="I8713" s="17" t="n">
        <v>0.05</v>
      </c>
      <c r="J8713" s="18" t="n">
        <v>217.63</v>
      </c>
      <c r="K8713" s="19" t="n">
        <v>41.85</v>
      </c>
      <c r="L8713" s="15" t="n">
        <f aca="false">YEAR(B8713)</f>
        <v>2024</v>
      </c>
      <c r="M8713" s="20" t="n">
        <f aca="false">IF(J8713&gt;0,K8713/J8713,0)</f>
        <v>0.19229885585627</v>
      </c>
    </row>
    <row r="8714" customFormat="false" ht="15" hidden="false" customHeight="false" outlineLevel="0" collapsed="false">
      <c r="A8714" s="15" t="s">
        <v>8771</v>
      </c>
      <c r="B8714" s="16" t="n">
        <v>44923</v>
      </c>
      <c r="C8714" s="15" t="s">
        <v>56</v>
      </c>
      <c r="D8714" s="15" t="s">
        <v>42</v>
      </c>
      <c r="E8714" s="15" t="s">
        <v>39</v>
      </c>
      <c r="F8714" s="15" t="s">
        <v>17</v>
      </c>
      <c r="G8714" s="15" t="s">
        <v>29</v>
      </c>
      <c r="H8714" s="15" t="n">
        <v>5</v>
      </c>
      <c r="I8714" s="17" t="n">
        <v>0.15</v>
      </c>
      <c r="J8714" s="18" t="n">
        <v>76.8</v>
      </c>
      <c r="K8714" s="19" t="n">
        <v>17.81</v>
      </c>
      <c r="L8714" s="15" t="n">
        <f aca="false">YEAR(B8714)</f>
        <v>2022</v>
      </c>
      <c r="M8714" s="20" t="n">
        <f aca="false">IF(J8714&gt;0,K8714/J8714,0)</f>
        <v>0.231901041666667</v>
      </c>
    </row>
    <row r="8715" customFormat="false" ht="15" hidden="false" customHeight="false" outlineLevel="0" collapsed="false">
      <c r="A8715" s="15" t="s">
        <v>8772</v>
      </c>
      <c r="B8715" s="16" t="n">
        <v>45955</v>
      </c>
      <c r="C8715" s="15" t="s">
        <v>56</v>
      </c>
      <c r="D8715" s="15" t="s">
        <v>42</v>
      </c>
      <c r="E8715" s="15" t="s">
        <v>39</v>
      </c>
      <c r="F8715" s="15" t="s">
        <v>17</v>
      </c>
      <c r="G8715" s="15" t="s">
        <v>31</v>
      </c>
      <c r="H8715" s="15" t="n">
        <v>3</v>
      </c>
      <c r="I8715" s="17" t="n">
        <v>0</v>
      </c>
      <c r="J8715" s="18" t="n">
        <v>506.02</v>
      </c>
      <c r="K8715" s="19" t="n">
        <v>82.12</v>
      </c>
      <c r="L8715" s="15" t="n">
        <f aca="false">YEAR(B8715)</f>
        <v>2025</v>
      </c>
      <c r="M8715" s="20" t="n">
        <f aca="false">IF(J8715&gt;0,K8715/J8715,0)</f>
        <v>0.162286075649184</v>
      </c>
    </row>
    <row r="8716" customFormat="false" ht="15" hidden="false" customHeight="false" outlineLevel="0" collapsed="false">
      <c r="A8716" s="15" t="s">
        <v>8773</v>
      </c>
      <c r="B8716" s="16" t="n">
        <v>45218</v>
      </c>
      <c r="C8716" s="15" t="s">
        <v>56</v>
      </c>
      <c r="D8716" s="15" t="s">
        <v>42</v>
      </c>
      <c r="E8716" s="15" t="s">
        <v>37</v>
      </c>
      <c r="F8716" s="15" t="s">
        <v>18</v>
      </c>
      <c r="G8716" s="15" t="s">
        <v>30</v>
      </c>
      <c r="H8716" s="15" t="n">
        <v>4</v>
      </c>
      <c r="I8716" s="17" t="n">
        <v>0</v>
      </c>
      <c r="J8716" s="18" t="n">
        <v>188.69</v>
      </c>
      <c r="K8716" s="19" t="n">
        <v>50.28</v>
      </c>
      <c r="L8716" s="15" t="n">
        <f aca="false">YEAR(B8716)</f>
        <v>2023</v>
      </c>
      <c r="M8716" s="20" t="n">
        <f aca="false">IF(J8716&gt;0,K8716/J8716,0)</f>
        <v>0.266468811277757</v>
      </c>
    </row>
    <row r="8717" customFormat="false" ht="15" hidden="false" customHeight="false" outlineLevel="0" collapsed="false">
      <c r="A8717" s="15" t="s">
        <v>8774</v>
      </c>
      <c r="B8717" s="16" t="n">
        <v>45208</v>
      </c>
      <c r="C8717" s="15" t="s">
        <v>71</v>
      </c>
      <c r="D8717" s="15" t="s">
        <v>43</v>
      </c>
      <c r="E8717" s="15" t="s">
        <v>36</v>
      </c>
      <c r="F8717" s="15" t="s">
        <v>18</v>
      </c>
      <c r="G8717" s="15" t="s">
        <v>30</v>
      </c>
      <c r="H8717" s="15" t="n">
        <v>2</v>
      </c>
      <c r="I8717" s="17" t="n">
        <v>0</v>
      </c>
      <c r="J8717" s="18" t="n">
        <v>79.12</v>
      </c>
      <c r="K8717" s="19" t="n">
        <v>23.31</v>
      </c>
      <c r="L8717" s="15" t="n">
        <f aca="false">YEAR(B8717)</f>
        <v>2023</v>
      </c>
      <c r="M8717" s="20" t="n">
        <f aca="false">IF(J8717&gt;0,K8717/J8717,0)</f>
        <v>0.294615773508595</v>
      </c>
    </row>
    <row r="8718" customFormat="false" ht="15" hidden="false" customHeight="false" outlineLevel="0" collapsed="false">
      <c r="A8718" s="15" t="s">
        <v>8775</v>
      </c>
      <c r="B8718" s="16" t="n">
        <v>45627</v>
      </c>
      <c r="C8718" s="15" t="s">
        <v>71</v>
      </c>
      <c r="D8718" s="15" t="s">
        <v>42</v>
      </c>
      <c r="E8718" s="15" t="s">
        <v>37</v>
      </c>
      <c r="F8718" s="15" t="s">
        <v>17</v>
      </c>
      <c r="G8718" s="15" t="s">
        <v>29</v>
      </c>
      <c r="H8718" s="15" t="n">
        <v>4</v>
      </c>
      <c r="I8718" s="17" t="n">
        <v>0</v>
      </c>
      <c r="J8718" s="18" t="n">
        <v>73.52</v>
      </c>
      <c r="K8718" s="19" t="n">
        <v>27.55</v>
      </c>
      <c r="L8718" s="15" t="n">
        <f aca="false">YEAR(B8718)</f>
        <v>2024</v>
      </c>
      <c r="M8718" s="20" t="n">
        <f aca="false">IF(J8718&gt;0,K8718/J8718,0)</f>
        <v>0.374727965179543</v>
      </c>
    </row>
    <row r="8719" customFormat="false" ht="15" hidden="false" customHeight="false" outlineLevel="0" collapsed="false">
      <c r="A8719" s="15" t="s">
        <v>8776</v>
      </c>
      <c r="B8719" s="16" t="n">
        <v>45150</v>
      </c>
      <c r="C8719" s="15" t="s">
        <v>68</v>
      </c>
      <c r="D8719" s="15" t="s">
        <v>42</v>
      </c>
      <c r="E8719" s="15" t="s">
        <v>36</v>
      </c>
      <c r="F8719" s="15" t="s">
        <v>16</v>
      </c>
      <c r="G8719" s="15" t="s">
        <v>25</v>
      </c>
      <c r="H8719" s="15" t="n">
        <v>4</v>
      </c>
      <c r="I8719" s="17" t="n">
        <v>0.15</v>
      </c>
      <c r="J8719" s="18" t="n">
        <v>757.07</v>
      </c>
      <c r="K8719" s="19" t="n">
        <v>-29.33</v>
      </c>
      <c r="L8719" s="15" t="n">
        <f aca="false">YEAR(B8719)</f>
        <v>2023</v>
      </c>
      <c r="M8719" s="20" t="n">
        <f aca="false">IF(J8719&gt;0,K8719/J8719,0)</f>
        <v>-0.0387414638012337</v>
      </c>
    </row>
    <row r="8720" customFormat="false" ht="15" hidden="false" customHeight="false" outlineLevel="0" collapsed="false">
      <c r="A8720" s="15" t="s">
        <v>8777</v>
      </c>
      <c r="B8720" s="16" t="n">
        <v>44795</v>
      </c>
      <c r="C8720" s="15" t="s">
        <v>56</v>
      </c>
      <c r="D8720" s="15" t="s">
        <v>42</v>
      </c>
      <c r="E8720" s="15" t="s">
        <v>37</v>
      </c>
      <c r="F8720" s="15" t="s">
        <v>16</v>
      </c>
      <c r="G8720" s="15" t="s">
        <v>25</v>
      </c>
      <c r="H8720" s="15" t="n">
        <v>4</v>
      </c>
      <c r="I8720" s="17" t="n">
        <v>0.4</v>
      </c>
      <c r="J8720" s="18" t="n">
        <v>629.86</v>
      </c>
      <c r="K8720" s="19" t="n">
        <v>-162.01</v>
      </c>
      <c r="L8720" s="15" t="n">
        <f aca="false">YEAR(B8720)</f>
        <v>2022</v>
      </c>
      <c r="M8720" s="20" t="n">
        <f aca="false">IF(J8720&gt;0,K8720/J8720,0)</f>
        <v>-0.257215889245229</v>
      </c>
    </row>
    <row r="8721" customFormat="false" ht="15" hidden="false" customHeight="false" outlineLevel="0" collapsed="false">
      <c r="A8721" s="15" t="s">
        <v>8778</v>
      </c>
      <c r="B8721" s="16" t="n">
        <v>44618</v>
      </c>
      <c r="C8721" s="15" t="s">
        <v>56</v>
      </c>
      <c r="D8721" s="15" t="s">
        <v>42</v>
      </c>
      <c r="E8721" s="15" t="s">
        <v>38</v>
      </c>
      <c r="F8721" s="15" t="s">
        <v>17</v>
      </c>
      <c r="G8721" s="15" t="s">
        <v>28</v>
      </c>
      <c r="H8721" s="15" t="n">
        <v>5</v>
      </c>
      <c r="I8721" s="17" t="n">
        <v>0.2</v>
      </c>
      <c r="J8721" s="18" t="n">
        <v>106.13</v>
      </c>
      <c r="K8721" s="19" t="n">
        <v>14.18</v>
      </c>
      <c r="L8721" s="15" t="n">
        <f aca="false">YEAR(B8721)</f>
        <v>2022</v>
      </c>
      <c r="M8721" s="20" t="n">
        <f aca="false">IF(J8721&gt;0,K8721/J8721,0)</f>
        <v>0.13360972392349</v>
      </c>
    </row>
    <row r="8722" customFormat="false" ht="15" hidden="false" customHeight="false" outlineLevel="0" collapsed="false">
      <c r="A8722" s="15" t="s">
        <v>8779</v>
      </c>
      <c r="B8722" s="16" t="n">
        <v>45490</v>
      </c>
      <c r="C8722" s="15" t="s">
        <v>71</v>
      </c>
      <c r="D8722" s="15" t="s">
        <v>43</v>
      </c>
      <c r="E8722" s="15" t="s">
        <v>36</v>
      </c>
      <c r="F8722" s="15" t="s">
        <v>17</v>
      </c>
      <c r="G8722" s="15" t="s">
        <v>28</v>
      </c>
      <c r="H8722" s="15" t="n">
        <v>4</v>
      </c>
      <c r="I8722" s="17" t="n">
        <v>0.3</v>
      </c>
      <c r="J8722" s="18" t="n">
        <v>54.43</v>
      </c>
      <c r="K8722" s="19" t="n">
        <v>2.34</v>
      </c>
      <c r="L8722" s="15" t="n">
        <f aca="false">YEAR(B8722)</f>
        <v>2024</v>
      </c>
      <c r="M8722" s="20" t="n">
        <f aca="false">IF(J8722&gt;0,K8722/J8722,0)</f>
        <v>0.0429909976116112</v>
      </c>
    </row>
    <row r="8723" customFormat="false" ht="15" hidden="false" customHeight="false" outlineLevel="0" collapsed="false">
      <c r="A8723" s="15" t="s">
        <v>8780</v>
      </c>
      <c r="B8723" s="16" t="n">
        <v>44731</v>
      </c>
      <c r="C8723" s="15" t="s">
        <v>71</v>
      </c>
      <c r="D8723" s="15" t="s">
        <v>44</v>
      </c>
      <c r="E8723" s="15" t="s">
        <v>37</v>
      </c>
      <c r="F8723" s="15" t="s">
        <v>18</v>
      </c>
      <c r="G8723" s="15" t="s">
        <v>24</v>
      </c>
      <c r="H8723" s="15" t="n">
        <v>4</v>
      </c>
      <c r="I8723" s="17" t="n">
        <v>0</v>
      </c>
      <c r="J8723" s="18" t="n">
        <v>2729.02</v>
      </c>
      <c r="K8723" s="19" t="n">
        <v>153.73</v>
      </c>
      <c r="L8723" s="15" t="n">
        <f aca="false">YEAR(B8723)</f>
        <v>2022</v>
      </c>
      <c r="M8723" s="20" t="n">
        <f aca="false">IF(J8723&gt;0,K8723/J8723,0)</f>
        <v>0.0563315769030641</v>
      </c>
    </row>
    <row r="8724" customFormat="false" ht="15" hidden="false" customHeight="false" outlineLevel="0" collapsed="false">
      <c r="A8724" s="15" t="s">
        <v>8781</v>
      </c>
      <c r="B8724" s="16" t="n">
        <v>46006</v>
      </c>
      <c r="C8724" s="15" t="s">
        <v>56</v>
      </c>
      <c r="D8724" s="15" t="s">
        <v>42</v>
      </c>
      <c r="E8724" s="15" t="s">
        <v>36</v>
      </c>
      <c r="F8724" s="15" t="s">
        <v>17</v>
      </c>
      <c r="G8724" s="15" t="s">
        <v>26</v>
      </c>
      <c r="H8724" s="15" t="n">
        <v>4</v>
      </c>
      <c r="I8724" s="17" t="n">
        <v>0.15</v>
      </c>
      <c r="J8724" s="18" t="n">
        <v>255.36</v>
      </c>
      <c r="K8724" s="19" t="n">
        <v>0.59</v>
      </c>
      <c r="L8724" s="15" t="n">
        <f aca="false">YEAR(B8724)</f>
        <v>2025</v>
      </c>
      <c r="M8724" s="20" t="n">
        <f aca="false">IF(J8724&gt;0,K8724/J8724,0)</f>
        <v>0.00231046365914787</v>
      </c>
    </row>
    <row r="8725" customFormat="false" ht="15" hidden="false" customHeight="false" outlineLevel="0" collapsed="false">
      <c r="A8725" s="15" t="s">
        <v>8782</v>
      </c>
      <c r="B8725" s="16" t="n">
        <v>44710</v>
      </c>
      <c r="C8725" s="15" t="s">
        <v>56</v>
      </c>
      <c r="D8725" s="15" t="s">
        <v>42</v>
      </c>
      <c r="E8725" s="15" t="s">
        <v>36</v>
      </c>
      <c r="F8725" s="15" t="s">
        <v>17</v>
      </c>
      <c r="G8725" s="15" t="s">
        <v>28</v>
      </c>
      <c r="H8725" s="15" t="n">
        <v>3</v>
      </c>
      <c r="I8725" s="17" t="n">
        <v>0</v>
      </c>
      <c r="J8725" s="18" t="n">
        <v>71.64</v>
      </c>
      <c r="K8725" s="19" t="n">
        <v>18.43</v>
      </c>
      <c r="L8725" s="15" t="n">
        <f aca="false">YEAR(B8725)</f>
        <v>2022</v>
      </c>
      <c r="M8725" s="20" t="n">
        <f aca="false">IF(J8725&gt;0,K8725/J8725,0)</f>
        <v>0.257258514796203</v>
      </c>
    </row>
    <row r="8726" customFormat="false" ht="15" hidden="false" customHeight="false" outlineLevel="0" collapsed="false">
      <c r="A8726" s="15" t="s">
        <v>8783</v>
      </c>
      <c r="B8726" s="16" t="n">
        <v>44644</v>
      </c>
      <c r="C8726" s="15" t="s">
        <v>71</v>
      </c>
      <c r="D8726" s="15" t="s">
        <v>43</v>
      </c>
      <c r="E8726" s="15" t="s">
        <v>39</v>
      </c>
      <c r="F8726" s="15" t="s">
        <v>16</v>
      </c>
      <c r="G8726" s="15" t="s">
        <v>23</v>
      </c>
      <c r="H8726" s="15" t="n">
        <v>4</v>
      </c>
      <c r="I8726" s="17" t="n">
        <v>0</v>
      </c>
      <c r="J8726" s="18" t="n">
        <v>1209.64</v>
      </c>
      <c r="K8726" s="19" t="n">
        <v>30.19</v>
      </c>
      <c r="L8726" s="15" t="n">
        <f aca="false">YEAR(B8726)</f>
        <v>2022</v>
      </c>
      <c r="M8726" s="20" t="n">
        <f aca="false">IF(J8726&gt;0,K8726/J8726,0)</f>
        <v>0.0249578386958103</v>
      </c>
    </row>
    <row r="8727" customFormat="false" ht="15" hidden="false" customHeight="false" outlineLevel="0" collapsed="false">
      <c r="A8727" s="15" t="s">
        <v>8784</v>
      </c>
      <c r="B8727" s="16" t="n">
        <v>45223</v>
      </c>
      <c r="C8727" s="15" t="s">
        <v>56</v>
      </c>
      <c r="D8727" s="15" t="s">
        <v>42</v>
      </c>
      <c r="E8727" s="15" t="s">
        <v>38</v>
      </c>
      <c r="F8727" s="15" t="s">
        <v>16</v>
      </c>
      <c r="G8727" s="15" t="s">
        <v>25</v>
      </c>
      <c r="H8727" s="15" t="n">
        <v>6</v>
      </c>
      <c r="I8727" s="17" t="n">
        <v>0.05</v>
      </c>
      <c r="J8727" s="18" t="n">
        <v>1608.28</v>
      </c>
      <c r="K8727" s="19" t="n">
        <v>34.74</v>
      </c>
      <c r="L8727" s="15" t="n">
        <f aca="false">YEAR(B8727)</f>
        <v>2023</v>
      </c>
      <c r="M8727" s="20" t="n">
        <f aca="false">IF(J8727&gt;0,K8727/J8727,0)</f>
        <v>0.0216007162931828</v>
      </c>
    </row>
    <row r="8728" customFormat="false" ht="15" hidden="false" customHeight="false" outlineLevel="0" collapsed="false">
      <c r="A8728" s="15" t="s">
        <v>8785</v>
      </c>
      <c r="B8728" s="16" t="n">
        <v>46010</v>
      </c>
      <c r="C8728" s="15" t="s">
        <v>56</v>
      </c>
      <c r="D8728" s="15" t="s">
        <v>42</v>
      </c>
      <c r="E8728" s="15" t="s">
        <v>36</v>
      </c>
      <c r="F8728" s="15" t="s">
        <v>17</v>
      </c>
      <c r="G8728" s="15" t="s">
        <v>28</v>
      </c>
      <c r="H8728" s="15" t="n">
        <v>3</v>
      </c>
      <c r="I8728" s="17" t="n">
        <v>0</v>
      </c>
      <c r="J8728" s="18" t="n">
        <v>64.84</v>
      </c>
      <c r="K8728" s="19" t="n">
        <v>19.09</v>
      </c>
      <c r="L8728" s="15" t="n">
        <f aca="false">YEAR(B8728)</f>
        <v>2025</v>
      </c>
      <c r="M8728" s="20" t="n">
        <f aca="false">IF(J8728&gt;0,K8728/J8728,0)</f>
        <v>0.294417026526835</v>
      </c>
    </row>
    <row r="8729" customFormat="false" ht="15" hidden="false" customHeight="false" outlineLevel="0" collapsed="false">
      <c r="A8729" s="15" t="s">
        <v>8786</v>
      </c>
      <c r="B8729" s="16" t="n">
        <v>44810</v>
      </c>
      <c r="C8729" s="15" t="s">
        <v>68</v>
      </c>
      <c r="D8729" s="15" t="s">
        <v>42</v>
      </c>
      <c r="E8729" s="15" t="s">
        <v>37</v>
      </c>
      <c r="F8729" s="15" t="s">
        <v>17</v>
      </c>
      <c r="G8729" s="15" t="s">
        <v>26</v>
      </c>
      <c r="H8729" s="15" t="n">
        <v>4</v>
      </c>
      <c r="I8729" s="17" t="n">
        <v>0</v>
      </c>
      <c r="J8729" s="18" t="n">
        <v>338.01</v>
      </c>
      <c r="K8729" s="19" t="n">
        <v>21.76</v>
      </c>
      <c r="L8729" s="15" t="n">
        <f aca="false">YEAR(B8729)</f>
        <v>2022</v>
      </c>
      <c r="M8729" s="20" t="n">
        <f aca="false">IF(J8729&gt;0,K8729/J8729,0)</f>
        <v>0.0643767935859886</v>
      </c>
    </row>
    <row r="8730" customFormat="false" ht="15" hidden="false" customHeight="false" outlineLevel="0" collapsed="false">
      <c r="A8730" s="15" t="s">
        <v>8787</v>
      </c>
      <c r="B8730" s="16" t="n">
        <v>45226</v>
      </c>
      <c r="C8730" s="15" t="s">
        <v>56</v>
      </c>
      <c r="D8730" s="15" t="s">
        <v>44</v>
      </c>
      <c r="E8730" s="15" t="s">
        <v>36</v>
      </c>
      <c r="F8730" s="15" t="s">
        <v>17</v>
      </c>
      <c r="G8730" s="15" t="s">
        <v>28</v>
      </c>
      <c r="H8730" s="15" t="n">
        <v>4</v>
      </c>
      <c r="I8730" s="17" t="n">
        <v>0.15</v>
      </c>
      <c r="J8730" s="18" t="n">
        <v>72.33</v>
      </c>
      <c r="K8730" s="19" t="n">
        <v>17.16</v>
      </c>
      <c r="L8730" s="15" t="n">
        <f aca="false">YEAR(B8730)</f>
        <v>2023</v>
      </c>
      <c r="M8730" s="20" t="n">
        <f aca="false">IF(J8730&gt;0,K8730/J8730,0)</f>
        <v>0.23724595603484</v>
      </c>
    </row>
    <row r="8731" customFormat="false" ht="15" hidden="false" customHeight="false" outlineLevel="0" collapsed="false">
      <c r="A8731" s="15" t="s">
        <v>8788</v>
      </c>
      <c r="B8731" s="16" t="n">
        <v>44811</v>
      </c>
      <c r="C8731" s="15" t="s">
        <v>71</v>
      </c>
      <c r="D8731" s="15" t="s">
        <v>42</v>
      </c>
      <c r="E8731" s="15" t="s">
        <v>37</v>
      </c>
      <c r="F8731" s="15" t="s">
        <v>18</v>
      </c>
      <c r="G8731" s="15" t="s">
        <v>30</v>
      </c>
      <c r="H8731" s="15" t="n">
        <v>2</v>
      </c>
      <c r="I8731" s="17" t="n">
        <v>0.15</v>
      </c>
      <c r="J8731" s="18" t="n">
        <v>76.94</v>
      </c>
      <c r="K8731" s="19" t="n">
        <v>9.67</v>
      </c>
      <c r="L8731" s="15" t="n">
        <f aca="false">YEAR(B8731)</f>
        <v>2022</v>
      </c>
      <c r="M8731" s="20" t="n">
        <f aca="false">IF(J8731&gt;0,K8731/J8731,0)</f>
        <v>0.125682349883026</v>
      </c>
    </row>
    <row r="8732" customFormat="false" ht="15" hidden="false" customHeight="false" outlineLevel="0" collapsed="false">
      <c r="A8732" s="15" t="s">
        <v>8789</v>
      </c>
      <c r="B8732" s="16" t="n">
        <v>45010</v>
      </c>
      <c r="C8732" s="15" t="s">
        <v>56</v>
      </c>
      <c r="D8732" s="15" t="s">
        <v>42</v>
      </c>
      <c r="E8732" s="15" t="s">
        <v>36</v>
      </c>
      <c r="F8732" s="15" t="s">
        <v>18</v>
      </c>
      <c r="G8732" s="15" t="s">
        <v>30</v>
      </c>
      <c r="H8732" s="15" t="n">
        <v>5</v>
      </c>
      <c r="I8732" s="17" t="n">
        <v>0</v>
      </c>
      <c r="J8732" s="18" t="n">
        <v>198.73</v>
      </c>
      <c r="K8732" s="19" t="n">
        <v>54.99</v>
      </c>
      <c r="L8732" s="15" t="n">
        <f aca="false">YEAR(B8732)</f>
        <v>2023</v>
      </c>
      <c r="M8732" s="20" t="n">
        <f aca="false">IF(J8732&gt;0,K8732/J8732,0)</f>
        <v>0.276707090021637</v>
      </c>
    </row>
    <row r="8733" customFormat="false" ht="15" hidden="false" customHeight="false" outlineLevel="0" collapsed="false">
      <c r="A8733" s="15" t="s">
        <v>8790</v>
      </c>
      <c r="B8733" s="16" t="n">
        <v>45819</v>
      </c>
      <c r="C8733" s="15" t="s">
        <v>56</v>
      </c>
      <c r="D8733" s="15" t="s">
        <v>42</v>
      </c>
      <c r="E8733" s="15" t="s">
        <v>37</v>
      </c>
      <c r="F8733" s="15" t="s">
        <v>18</v>
      </c>
      <c r="G8733" s="15" t="s">
        <v>30</v>
      </c>
      <c r="H8733" s="15" t="n">
        <v>3</v>
      </c>
      <c r="I8733" s="17" t="n">
        <v>0.05</v>
      </c>
      <c r="J8733" s="18" t="n">
        <v>116.52</v>
      </c>
      <c r="K8733" s="19" t="n">
        <v>24.77</v>
      </c>
      <c r="L8733" s="15" t="n">
        <f aca="false">YEAR(B8733)</f>
        <v>2025</v>
      </c>
      <c r="M8733" s="20" t="n">
        <f aca="false">IF(J8733&gt;0,K8733/J8733,0)</f>
        <v>0.212581531067628</v>
      </c>
    </row>
    <row r="8734" customFormat="false" ht="15" hidden="false" customHeight="false" outlineLevel="0" collapsed="false">
      <c r="A8734" s="15" t="s">
        <v>8791</v>
      </c>
      <c r="B8734" s="16" t="n">
        <v>45940</v>
      </c>
      <c r="C8734" s="15" t="s">
        <v>56</v>
      </c>
      <c r="D8734" s="15" t="s">
        <v>43</v>
      </c>
      <c r="E8734" s="15" t="s">
        <v>37</v>
      </c>
      <c r="F8734" s="15" t="s">
        <v>17</v>
      </c>
      <c r="G8734" s="15" t="s">
        <v>26</v>
      </c>
      <c r="H8734" s="15" t="n">
        <v>4</v>
      </c>
      <c r="I8734" s="17" t="n">
        <v>0.2</v>
      </c>
      <c r="J8734" s="18" t="n">
        <v>318.55</v>
      </c>
      <c r="K8734" s="19" t="n">
        <v>-40.61</v>
      </c>
      <c r="L8734" s="15" t="n">
        <f aca="false">YEAR(B8734)</f>
        <v>2025</v>
      </c>
      <c r="M8734" s="20" t="n">
        <f aca="false">IF(J8734&gt;0,K8734/J8734,0)</f>
        <v>-0.127483911473866</v>
      </c>
    </row>
    <row r="8735" customFormat="false" ht="15" hidden="false" customHeight="false" outlineLevel="0" collapsed="false">
      <c r="A8735" s="15" t="s">
        <v>8792</v>
      </c>
      <c r="B8735" s="16" t="n">
        <v>45870</v>
      </c>
      <c r="C8735" s="15" t="s">
        <v>56</v>
      </c>
      <c r="D8735" s="15" t="s">
        <v>43</v>
      </c>
      <c r="E8735" s="15" t="s">
        <v>37</v>
      </c>
      <c r="F8735" s="15" t="s">
        <v>16</v>
      </c>
      <c r="G8735" s="15" t="s">
        <v>23</v>
      </c>
      <c r="H8735" s="15" t="n">
        <v>4</v>
      </c>
      <c r="I8735" s="17" t="n">
        <v>0.1</v>
      </c>
      <c r="J8735" s="18" t="n">
        <v>1379.3</v>
      </c>
      <c r="K8735" s="19" t="n">
        <v>-68.09</v>
      </c>
      <c r="L8735" s="15" t="n">
        <f aca="false">YEAR(B8735)</f>
        <v>2025</v>
      </c>
      <c r="M8735" s="20" t="n">
        <f aca="false">IF(J8735&gt;0,K8735/J8735,0)</f>
        <v>-0.0493656202421518</v>
      </c>
    </row>
    <row r="8736" customFormat="false" ht="15" hidden="false" customHeight="false" outlineLevel="0" collapsed="false">
      <c r="A8736" s="15" t="s">
        <v>8793</v>
      </c>
      <c r="B8736" s="16" t="n">
        <v>45416</v>
      </c>
      <c r="C8736" s="15" t="s">
        <v>56</v>
      </c>
      <c r="D8736" s="15" t="s">
        <v>44</v>
      </c>
      <c r="E8736" s="15" t="s">
        <v>37</v>
      </c>
      <c r="F8736" s="15" t="s">
        <v>16</v>
      </c>
      <c r="G8736" s="15" t="s">
        <v>27</v>
      </c>
      <c r="H8736" s="15" t="n">
        <v>3</v>
      </c>
      <c r="I8736" s="17" t="n">
        <v>0</v>
      </c>
      <c r="J8736" s="18" t="n">
        <v>193.95</v>
      </c>
      <c r="K8736" s="19" t="n">
        <v>54.28</v>
      </c>
      <c r="L8736" s="15" t="n">
        <f aca="false">YEAR(B8736)</f>
        <v>2024</v>
      </c>
      <c r="M8736" s="20" t="n">
        <f aca="false">IF(J8736&gt;0,K8736/J8736,0)</f>
        <v>0.279865944831142</v>
      </c>
    </row>
    <row r="8737" customFormat="false" ht="15" hidden="false" customHeight="false" outlineLevel="0" collapsed="false">
      <c r="A8737" s="15" t="s">
        <v>8794</v>
      </c>
      <c r="B8737" s="16" t="n">
        <v>45870</v>
      </c>
      <c r="C8737" s="15" t="s">
        <v>68</v>
      </c>
      <c r="D8737" s="15" t="s">
        <v>42</v>
      </c>
      <c r="E8737" s="15" t="s">
        <v>37</v>
      </c>
      <c r="F8737" s="15" t="s">
        <v>17</v>
      </c>
      <c r="G8737" s="15" t="s">
        <v>29</v>
      </c>
      <c r="H8737" s="15" t="n">
        <v>4</v>
      </c>
      <c r="I8737" s="17" t="n">
        <v>0</v>
      </c>
      <c r="J8737" s="18" t="n">
        <v>75.48</v>
      </c>
      <c r="K8737" s="19" t="n">
        <v>31.21</v>
      </c>
      <c r="L8737" s="15" t="n">
        <f aca="false">YEAR(B8737)</f>
        <v>2025</v>
      </c>
      <c r="M8737" s="20" t="n">
        <f aca="false">IF(J8737&gt;0,K8737/J8737,0)</f>
        <v>0.413487016428193</v>
      </c>
    </row>
    <row r="8738" customFormat="false" ht="15" hidden="false" customHeight="false" outlineLevel="0" collapsed="false">
      <c r="A8738" s="15" t="s">
        <v>8795</v>
      </c>
      <c r="B8738" s="16" t="n">
        <v>45911</v>
      </c>
      <c r="C8738" s="15" t="s">
        <v>56</v>
      </c>
      <c r="D8738" s="15" t="s">
        <v>44</v>
      </c>
      <c r="E8738" s="15" t="s">
        <v>36</v>
      </c>
      <c r="F8738" s="15" t="s">
        <v>17</v>
      </c>
      <c r="G8738" s="15" t="s">
        <v>31</v>
      </c>
      <c r="H8738" s="15" t="n">
        <v>2</v>
      </c>
      <c r="I8738" s="17" t="n">
        <v>0.4</v>
      </c>
      <c r="J8738" s="18" t="n">
        <v>172.56</v>
      </c>
      <c r="K8738" s="19" t="n">
        <v>-23.63</v>
      </c>
      <c r="L8738" s="15" t="n">
        <f aca="false">YEAR(B8738)</f>
        <v>2025</v>
      </c>
      <c r="M8738" s="20" t="n">
        <f aca="false">IF(J8738&gt;0,K8738/J8738,0)</f>
        <v>-0.136937876680575</v>
      </c>
    </row>
    <row r="8739" customFormat="false" ht="15" hidden="false" customHeight="false" outlineLevel="0" collapsed="false">
      <c r="A8739" s="15" t="s">
        <v>8796</v>
      </c>
      <c r="B8739" s="16" t="n">
        <v>45564</v>
      </c>
      <c r="C8739" s="15" t="s">
        <v>56</v>
      </c>
      <c r="D8739" s="15" t="s">
        <v>43</v>
      </c>
      <c r="E8739" s="15" t="s">
        <v>38</v>
      </c>
      <c r="F8739" s="15" t="s">
        <v>17</v>
      </c>
      <c r="G8739" s="15" t="s">
        <v>29</v>
      </c>
      <c r="H8739" s="15" t="n">
        <v>3</v>
      </c>
      <c r="I8739" s="17" t="n">
        <v>0.2</v>
      </c>
      <c r="J8739" s="18" t="n">
        <v>39.19</v>
      </c>
      <c r="K8739" s="19" t="n">
        <v>7.9</v>
      </c>
      <c r="L8739" s="15" t="n">
        <f aca="false">YEAR(B8739)</f>
        <v>2024</v>
      </c>
      <c r="M8739" s="20" t="n">
        <f aca="false">IF(J8739&gt;0,K8739/J8739,0)</f>
        <v>0.201582036233733</v>
      </c>
    </row>
    <row r="8740" customFormat="false" ht="15" hidden="false" customHeight="false" outlineLevel="0" collapsed="false">
      <c r="A8740" s="15" t="s">
        <v>8797</v>
      </c>
      <c r="B8740" s="16" t="n">
        <v>45771</v>
      </c>
      <c r="C8740" s="15" t="s">
        <v>71</v>
      </c>
      <c r="D8740" s="15" t="s">
        <v>43</v>
      </c>
      <c r="E8740" s="15" t="s">
        <v>36</v>
      </c>
      <c r="F8740" s="15" t="s">
        <v>17</v>
      </c>
      <c r="G8740" s="15" t="s">
        <v>31</v>
      </c>
      <c r="H8740" s="15" t="n">
        <v>4</v>
      </c>
      <c r="I8740" s="17" t="n">
        <v>0.05</v>
      </c>
      <c r="J8740" s="18" t="n">
        <v>520.19</v>
      </c>
      <c r="K8740" s="19" t="n">
        <v>77.21</v>
      </c>
      <c r="L8740" s="15" t="n">
        <f aca="false">YEAR(B8740)</f>
        <v>2025</v>
      </c>
      <c r="M8740" s="20" t="n">
        <f aca="false">IF(J8740&gt;0,K8740/J8740,0)</f>
        <v>0.148426536457833</v>
      </c>
    </row>
    <row r="8741" customFormat="false" ht="15" hidden="false" customHeight="false" outlineLevel="0" collapsed="false">
      <c r="A8741" s="15" t="s">
        <v>8798</v>
      </c>
      <c r="B8741" s="16" t="n">
        <v>45458</v>
      </c>
      <c r="C8741" s="15" t="s">
        <v>58</v>
      </c>
      <c r="D8741" s="15" t="s">
        <v>42</v>
      </c>
      <c r="E8741" s="15" t="s">
        <v>36</v>
      </c>
      <c r="F8741" s="15" t="s">
        <v>17</v>
      </c>
      <c r="G8741" s="15" t="s">
        <v>28</v>
      </c>
      <c r="H8741" s="15" t="n">
        <v>1</v>
      </c>
      <c r="I8741" s="17" t="n">
        <v>0.05</v>
      </c>
      <c r="J8741" s="18" t="n">
        <v>19.44</v>
      </c>
      <c r="K8741" s="19" t="n">
        <v>4.9</v>
      </c>
      <c r="L8741" s="15" t="n">
        <f aca="false">YEAR(B8741)</f>
        <v>2024</v>
      </c>
      <c r="M8741" s="20" t="n">
        <f aca="false">IF(J8741&gt;0,K8741/J8741,0)</f>
        <v>0.252057613168724</v>
      </c>
    </row>
    <row r="8742" customFormat="false" ht="15" hidden="false" customHeight="false" outlineLevel="0" collapsed="false">
      <c r="A8742" s="15" t="s">
        <v>8799</v>
      </c>
      <c r="B8742" s="16" t="n">
        <v>44626</v>
      </c>
      <c r="C8742" s="15" t="s">
        <v>56</v>
      </c>
      <c r="D8742" s="15" t="s">
        <v>42</v>
      </c>
      <c r="E8742" s="15" t="s">
        <v>36</v>
      </c>
      <c r="F8742" s="15" t="s">
        <v>17</v>
      </c>
      <c r="G8742" s="15" t="s">
        <v>26</v>
      </c>
      <c r="H8742" s="15" t="n">
        <v>3</v>
      </c>
      <c r="I8742" s="17" t="n">
        <v>0.5</v>
      </c>
      <c r="J8742" s="18" t="n">
        <v>113.38</v>
      </c>
      <c r="K8742" s="19" t="n">
        <v>-41.51</v>
      </c>
      <c r="L8742" s="15" t="n">
        <f aca="false">YEAR(B8742)</f>
        <v>2022</v>
      </c>
      <c r="M8742" s="20" t="n">
        <f aca="false">IF(J8742&gt;0,K8742/J8742,0)</f>
        <v>-0.366113953078144</v>
      </c>
    </row>
    <row r="8743" customFormat="false" ht="15" hidden="false" customHeight="false" outlineLevel="0" collapsed="false">
      <c r="A8743" s="15" t="s">
        <v>8800</v>
      </c>
      <c r="B8743" s="16" t="n">
        <v>45211</v>
      </c>
      <c r="C8743" s="15" t="s">
        <v>68</v>
      </c>
      <c r="D8743" s="15" t="s">
        <v>42</v>
      </c>
      <c r="E8743" s="15" t="s">
        <v>39</v>
      </c>
      <c r="F8743" s="15" t="s">
        <v>18</v>
      </c>
      <c r="G8743" s="15" t="s">
        <v>33</v>
      </c>
      <c r="H8743" s="15" t="n">
        <v>1</v>
      </c>
      <c r="I8743" s="17" t="n">
        <v>0</v>
      </c>
      <c r="J8743" s="18" t="n">
        <v>898.89</v>
      </c>
      <c r="K8743" s="19" t="n">
        <v>293.96</v>
      </c>
      <c r="L8743" s="15" t="n">
        <f aca="false">YEAR(B8743)</f>
        <v>2023</v>
      </c>
      <c r="M8743" s="20" t="n">
        <f aca="false">IF(J8743&gt;0,K8743/J8743,0)</f>
        <v>0.3270255537385</v>
      </c>
    </row>
    <row r="8744" customFormat="false" ht="15" hidden="false" customHeight="false" outlineLevel="0" collapsed="false">
      <c r="A8744" s="15" t="s">
        <v>8801</v>
      </c>
      <c r="B8744" s="16" t="n">
        <v>45606</v>
      </c>
      <c r="C8744" s="15" t="s">
        <v>68</v>
      </c>
      <c r="D8744" s="15" t="s">
        <v>42</v>
      </c>
      <c r="E8744" s="15" t="s">
        <v>37</v>
      </c>
      <c r="F8744" s="15" t="s">
        <v>17</v>
      </c>
      <c r="G8744" s="15" t="s">
        <v>26</v>
      </c>
      <c r="H8744" s="15" t="n">
        <v>1</v>
      </c>
      <c r="I8744" s="17" t="n">
        <v>0.5</v>
      </c>
      <c r="J8744" s="18" t="n">
        <v>46.69</v>
      </c>
      <c r="K8744" s="19" t="n">
        <v>-14.91</v>
      </c>
      <c r="L8744" s="15" t="n">
        <f aca="false">YEAR(B8744)</f>
        <v>2024</v>
      </c>
      <c r="M8744" s="20" t="n">
        <f aca="false">IF(J8744&gt;0,K8744/J8744,0)</f>
        <v>-0.319340329835083</v>
      </c>
    </row>
    <row r="8745" customFormat="false" ht="15" hidden="false" customHeight="false" outlineLevel="0" collapsed="false">
      <c r="A8745" s="15" t="s">
        <v>8802</v>
      </c>
      <c r="B8745" s="16" t="n">
        <v>46000</v>
      </c>
      <c r="C8745" s="15" t="s">
        <v>56</v>
      </c>
      <c r="D8745" s="15" t="s">
        <v>44</v>
      </c>
      <c r="E8745" s="15" t="s">
        <v>39</v>
      </c>
      <c r="F8745" s="15" t="s">
        <v>16</v>
      </c>
      <c r="G8745" s="15" t="s">
        <v>27</v>
      </c>
      <c r="H8745" s="15" t="n">
        <v>2</v>
      </c>
      <c r="I8745" s="17" t="n">
        <v>0.1</v>
      </c>
      <c r="J8745" s="18" t="n">
        <v>121.05</v>
      </c>
      <c r="K8745" s="19" t="n">
        <v>6.5</v>
      </c>
      <c r="L8745" s="15" t="n">
        <f aca="false">YEAR(B8745)</f>
        <v>2025</v>
      </c>
      <c r="M8745" s="20" t="n">
        <f aca="false">IF(J8745&gt;0,K8745/J8745,0)</f>
        <v>0.053696819496076</v>
      </c>
    </row>
    <row r="8746" customFormat="false" ht="15" hidden="false" customHeight="false" outlineLevel="0" collapsed="false">
      <c r="A8746" s="15" t="s">
        <v>8803</v>
      </c>
      <c r="B8746" s="16" t="n">
        <v>45226</v>
      </c>
      <c r="C8746" s="15" t="s">
        <v>56</v>
      </c>
      <c r="D8746" s="15" t="s">
        <v>44</v>
      </c>
      <c r="E8746" s="15" t="s">
        <v>37</v>
      </c>
      <c r="F8746" s="15" t="s">
        <v>18</v>
      </c>
      <c r="G8746" s="15" t="s">
        <v>30</v>
      </c>
      <c r="H8746" s="15" t="n">
        <v>2</v>
      </c>
      <c r="I8746" s="17" t="n">
        <v>0.3</v>
      </c>
      <c r="J8746" s="18" t="n">
        <v>60.72</v>
      </c>
      <c r="K8746" s="19" t="n">
        <v>-0.02</v>
      </c>
      <c r="L8746" s="15" t="n">
        <f aca="false">YEAR(B8746)</f>
        <v>2023</v>
      </c>
      <c r="M8746" s="20" t="n">
        <f aca="false">IF(J8746&gt;0,K8746/J8746,0)</f>
        <v>-0.000329380764163373</v>
      </c>
    </row>
    <row r="8747" customFormat="false" ht="15" hidden="false" customHeight="false" outlineLevel="0" collapsed="false">
      <c r="A8747" s="15" t="s">
        <v>8804</v>
      </c>
      <c r="B8747" s="16" t="n">
        <v>44907</v>
      </c>
      <c r="C8747" s="15" t="s">
        <v>68</v>
      </c>
      <c r="D8747" s="15" t="s">
        <v>42</v>
      </c>
      <c r="E8747" s="15" t="s">
        <v>37</v>
      </c>
      <c r="F8747" s="15" t="s">
        <v>18</v>
      </c>
      <c r="G8747" s="15" t="s">
        <v>24</v>
      </c>
      <c r="H8747" s="15" t="n">
        <v>6</v>
      </c>
      <c r="I8747" s="17" t="n">
        <v>0.15</v>
      </c>
      <c r="J8747" s="18" t="n">
        <v>2975.66</v>
      </c>
      <c r="K8747" s="19" t="n">
        <v>-362.31</v>
      </c>
      <c r="L8747" s="15" t="n">
        <f aca="false">YEAR(B8747)</f>
        <v>2022</v>
      </c>
      <c r="M8747" s="20" t="n">
        <f aca="false">IF(J8747&gt;0,K8747/J8747,0)</f>
        <v>-0.121757862121345</v>
      </c>
    </row>
    <row r="8748" customFormat="false" ht="15" hidden="false" customHeight="false" outlineLevel="0" collapsed="false">
      <c r="A8748" s="15" t="s">
        <v>8805</v>
      </c>
      <c r="B8748" s="16" t="n">
        <v>45749</v>
      </c>
      <c r="C8748" s="15" t="s">
        <v>68</v>
      </c>
      <c r="D8748" s="15" t="s">
        <v>44</v>
      </c>
      <c r="E8748" s="15" t="s">
        <v>38</v>
      </c>
      <c r="F8748" s="15" t="s">
        <v>17</v>
      </c>
      <c r="G8748" s="15" t="s">
        <v>29</v>
      </c>
      <c r="H8748" s="15" t="n">
        <v>5</v>
      </c>
      <c r="I8748" s="17" t="n">
        <v>0</v>
      </c>
      <c r="J8748" s="18" t="n">
        <v>82.65</v>
      </c>
      <c r="K8748" s="19" t="n">
        <v>29.34</v>
      </c>
      <c r="L8748" s="15" t="n">
        <f aca="false">YEAR(B8748)</f>
        <v>2025</v>
      </c>
      <c r="M8748" s="20" t="n">
        <f aca="false">IF(J8748&gt;0,K8748/J8748,0)</f>
        <v>0.354990925589837</v>
      </c>
    </row>
    <row r="8749" customFormat="false" ht="15" hidden="false" customHeight="false" outlineLevel="0" collapsed="false">
      <c r="A8749" s="15" t="s">
        <v>8806</v>
      </c>
      <c r="B8749" s="16" t="n">
        <v>44808</v>
      </c>
      <c r="C8749" s="15" t="s">
        <v>56</v>
      </c>
      <c r="D8749" s="15" t="s">
        <v>43</v>
      </c>
      <c r="E8749" s="15" t="s">
        <v>38</v>
      </c>
      <c r="F8749" s="15" t="s">
        <v>17</v>
      </c>
      <c r="G8749" s="15" t="s">
        <v>28</v>
      </c>
      <c r="H8749" s="15" t="n">
        <v>1</v>
      </c>
      <c r="I8749" s="17" t="n">
        <v>0.15</v>
      </c>
      <c r="J8749" s="18" t="n">
        <v>19.36</v>
      </c>
      <c r="K8749" s="19" t="n">
        <v>4.6</v>
      </c>
      <c r="L8749" s="15" t="n">
        <f aca="false">YEAR(B8749)</f>
        <v>2022</v>
      </c>
      <c r="M8749" s="20" t="n">
        <f aca="false">IF(J8749&gt;0,K8749/J8749,0)</f>
        <v>0.237603305785124</v>
      </c>
    </row>
    <row r="8750" customFormat="false" ht="15" hidden="false" customHeight="false" outlineLevel="0" collapsed="false">
      <c r="A8750" s="15" t="s">
        <v>8807</v>
      </c>
      <c r="B8750" s="16" t="n">
        <v>45226</v>
      </c>
      <c r="C8750" s="15" t="s">
        <v>56</v>
      </c>
      <c r="D8750" s="15" t="s">
        <v>42</v>
      </c>
      <c r="E8750" s="15" t="s">
        <v>39</v>
      </c>
      <c r="F8750" s="15" t="s">
        <v>17</v>
      </c>
      <c r="G8750" s="15" t="s">
        <v>29</v>
      </c>
      <c r="H8750" s="15" t="n">
        <v>4</v>
      </c>
      <c r="I8750" s="17" t="n">
        <v>0.2</v>
      </c>
      <c r="J8750" s="18" t="n">
        <v>67.12</v>
      </c>
      <c r="K8750" s="19" t="n">
        <v>17.5</v>
      </c>
      <c r="L8750" s="15" t="n">
        <f aca="false">YEAR(B8750)</f>
        <v>2023</v>
      </c>
      <c r="M8750" s="20" t="n">
        <f aca="false">IF(J8750&gt;0,K8750/J8750,0)</f>
        <v>0.26072705601907</v>
      </c>
    </row>
    <row r="8751" customFormat="false" ht="15" hidden="false" customHeight="false" outlineLevel="0" collapsed="false">
      <c r="A8751" s="15" t="s">
        <v>8808</v>
      </c>
      <c r="B8751" s="16" t="n">
        <v>45919</v>
      </c>
      <c r="C8751" s="15" t="s">
        <v>56</v>
      </c>
      <c r="D8751" s="15" t="s">
        <v>42</v>
      </c>
      <c r="E8751" s="15" t="s">
        <v>39</v>
      </c>
      <c r="F8751" s="15" t="s">
        <v>17</v>
      </c>
      <c r="G8751" s="15" t="s">
        <v>28</v>
      </c>
      <c r="H8751" s="15" t="n">
        <v>3</v>
      </c>
      <c r="I8751" s="17" t="n">
        <v>0</v>
      </c>
      <c r="J8751" s="18" t="n">
        <v>71.89</v>
      </c>
      <c r="K8751" s="19" t="n">
        <v>17.35</v>
      </c>
      <c r="L8751" s="15" t="n">
        <f aca="false">YEAR(B8751)</f>
        <v>2025</v>
      </c>
      <c r="M8751" s="20" t="n">
        <f aca="false">IF(J8751&gt;0,K8751/J8751,0)</f>
        <v>0.241340937543469</v>
      </c>
    </row>
    <row r="8752" customFormat="false" ht="15" hidden="false" customHeight="false" outlineLevel="0" collapsed="false">
      <c r="A8752" s="15" t="s">
        <v>8809</v>
      </c>
      <c r="B8752" s="16" t="n">
        <v>45433</v>
      </c>
      <c r="C8752" s="15" t="s">
        <v>68</v>
      </c>
      <c r="D8752" s="15" t="s">
        <v>43</v>
      </c>
      <c r="E8752" s="15" t="s">
        <v>37</v>
      </c>
      <c r="F8752" s="15" t="s">
        <v>17</v>
      </c>
      <c r="G8752" s="15" t="s">
        <v>26</v>
      </c>
      <c r="H8752" s="15" t="n">
        <v>2</v>
      </c>
      <c r="I8752" s="17" t="n">
        <v>0.1</v>
      </c>
      <c r="J8752" s="18" t="n">
        <v>170.6</v>
      </c>
      <c r="K8752" s="19" t="n">
        <v>-5.45</v>
      </c>
      <c r="L8752" s="15" t="n">
        <f aca="false">YEAR(B8752)</f>
        <v>2024</v>
      </c>
      <c r="M8752" s="20" t="n">
        <f aca="false">IF(J8752&gt;0,K8752/J8752,0)</f>
        <v>-0.0319460726846424</v>
      </c>
    </row>
    <row r="8753" customFormat="false" ht="15" hidden="false" customHeight="false" outlineLevel="0" collapsed="false">
      <c r="A8753" s="15" t="s">
        <v>8810</v>
      </c>
      <c r="B8753" s="16" t="n">
        <v>45394</v>
      </c>
      <c r="C8753" s="15" t="s">
        <v>71</v>
      </c>
      <c r="D8753" s="15" t="s">
        <v>42</v>
      </c>
      <c r="E8753" s="15" t="s">
        <v>37</v>
      </c>
      <c r="F8753" s="15" t="s">
        <v>16</v>
      </c>
      <c r="G8753" s="15" t="s">
        <v>25</v>
      </c>
      <c r="H8753" s="15" t="n">
        <v>3</v>
      </c>
      <c r="I8753" s="17" t="n">
        <v>0.2</v>
      </c>
      <c r="J8753" s="18" t="n">
        <v>564.96</v>
      </c>
      <c r="K8753" s="19" t="n">
        <v>-29.77</v>
      </c>
      <c r="L8753" s="15" t="n">
        <f aca="false">YEAR(B8753)</f>
        <v>2024</v>
      </c>
      <c r="M8753" s="20" t="n">
        <f aca="false">IF(J8753&gt;0,K8753/J8753,0)</f>
        <v>-0.0526939960351175</v>
      </c>
    </row>
    <row r="8754" customFormat="false" ht="15" hidden="false" customHeight="false" outlineLevel="0" collapsed="false">
      <c r="A8754" s="15" t="s">
        <v>8811</v>
      </c>
      <c r="B8754" s="16" t="n">
        <v>44837</v>
      </c>
      <c r="C8754" s="15" t="s">
        <v>56</v>
      </c>
      <c r="D8754" s="15" t="s">
        <v>42</v>
      </c>
      <c r="E8754" s="15" t="s">
        <v>38</v>
      </c>
      <c r="F8754" s="15" t="s">
        <v>18</v>
      </c>
      <c r="G8754" s="15" t="s">
        <v>32</v>
      </c>
      <c r="H8754" s="15" t="n">
        <v>3</v>
      </c>
      <c r="I8754" s="17" t="n">
        <v>0.3</v>
      </c>
      <c r="J8754" s="18" t="n">
        <v>840.6</v>
      </c>
      <c r="K8754" s="19" t="n">
        <v>-103.55</v>
      </c>
      <c r="L8754" s="15" t="n">
        <f aca="false">YEAR(B8754)</f>
        <v>2022</v>
      </c>
      <c r="M8754" s="20" t="n">
        <f aca="false">IF(J8754&gt;0,K8754/J8754,0)</f>
        <v>-0.123185819652629</v>
      </c>
    </row>
    <row r="8755" customFormat="false" ht="15" hidden="false" customHeight="false" outlineLevel="0" collapsed="false">
      <c r="A8755" s="15" t="s">
        <v>8812</v>
      </c>
      <c r="B8755" s="16" t="n">
        <v>45616</v>
      </c>
      <c r="C8755" s="15" t="s">
        <v>71</v>
      </c>
      <c r="D8755" s="15" t="s">
        <v>44</v>
      </c>
      <c r="E8755" s="15" t="s">
        <v>38</v>
      </c>
      <c r="F8755" s="15" t="s">
        <v>17</v>
      </c>
      <c r="G8755" s="15" t="s">
        <v>26</v>
      </c>
      <c r="H8755" s="15" t="n">
        <v>8</v>
      </c>
      <c r="I8755" s="17" t="n">
        <v>0</v>
      </c>
      <c r="J8755" s="18" t="n">
        <v>617.55</v>
      </c>
      <c r="K8755" s="19" t="n">
        <v>72.2</v>
      </c>
      <c r="L8755" s="15" t="n">
        <f aca="false">YEAR(B8755)</f>
        <v>2024</v>
      </c>
      <c r="M8755" s="20" t="n">
        <f aca="false">IF(J8755&gt;0,K8755/J8755,0)</f>
        <v>0.116913610233989</v>
      </c>
    </row>
    <row r="8756" customFormat="false" ht="15" hidden="false" customHeight="false" outlineLevel="0" collapsed="false">
      <c r="A8756" s="15" t="s">
        <v>8813</v>
      </c>
      <c r="B8756" s="16" t="n">
        <v>45291</v>
      </c>
      <c r="C8756" s="15" t="s">
        <v>56</v>
      </c>
      <c r="D8756" s="15" t="s">
        <v>43</v>
      </c>
      <c r="E8756" s="15" t="s">
        <v>39</v>
      </c>
      <c r="F8756" s="15" t="s">
        <v>18</v>
      </c>
      <c r="G8756" s="15" t="s">
        <v>32</v>
      </c>
      <c r="H8756" s="15" t="n">
        <v>2</v>
      </c>
      <c r="I8756" s="17" t="n">
        <v>0.1</v>
      </c>
      <c r="J8756" s="18" t="n">
        <v>848.3</v>
      </c>
      <c r="K8756" s="19" t="n">
        <v>29.1</v>
      </c>
      <c r="L8756" s="15" t="n">
        <f aca="false">YEAR(B8756)</f>
        <v>2023</v>
      </c>
      <c r="M8756" s="20" t="n">
        <f aca="false">IF(J8756&gt;0,K8756/J8756,0)</f>
        <v>0.03430390192149</v>
      </c>
    </row>
    <row r="8757" customFormat="false" ht="15" hidden="false" customHeight="false" outlineLevel="0" collapsed="false">
      <c r="A8757" s="15" t="s">
        <v>8814</v>
      </c>
      <c r="B8757" s="16" t="n">
        <v>45462</v>
      </c>
      <c r="C8757" s="15" t="s">
        <v>56</v>
      </c>
      <c r="D8757" s="15" t="s">
        <v>42</v>
      </c>
      <c r="E8757" s="15" t="s">
        <v>37</v>
      </c>
      <c r="F8757" s="15" t="s">
        <v>18</v>
      </c>
      <c r="G8757" s="15" t="s">
        <v>32</v>
      </c>
      <c r="H8757" s="15" t="n">
        <v>3</v>
      </c>
      <c r="I8757" s="17" t="n">
        <v>0.5</v>
      </c>
      <c r="J8757" s="18" t="n">
        <v>572.94</v>
      </c>
      <c r="K8757" s="19" t="n">
        <v>-178.39</v>
      </c>
      <c r="L8757" s="15" t="n">
        <f aca="false">YEAR(B8757)</f>
        <v>2024</v>
      </c>
      <c r="M8757" s="20" t="n">
        <f aca="false">IF(J8757&gt;0,K8757/J8757,0)</f>
        <v>-0.311358955562537</v>
      </c>
    </row>
    <row r="8758" customFormat="false" ht="15" hidden="false" customHeight="false" outlineLevel="0" collapsed="false">
      <c r="A8758" s="15" t="s">
        <v>8815</v>
      </c>
      <c r="B8758" s="16" t="n">
        <v>45394</v>
      </c>
      <c r="C8758" s="15" t="s">
        <v>71</v>
      </c>
      <c r="D8758" s="15" t="s">
        <v>42</v>
      </c>
      <c r="E8758" s="15" t="s">
        <v>36</v>
      </c>
      <c r="F8758" s="15" t="s">
        <v>16</v>
      </c>
      <c r="G8758" s="15" t="s">
        <v>27</v>
      </c>
      <c r="H8758" s="15" t="n">
        <v>3</v>
      </c>
      <c r="I8758" s="17" t="n">
        <v>0.15</v>
      </c>
      <c r="J8758" s="18" t="n">
        <v>159.04</v>
      </c>
      <c r="K8758" s="19" t="n">
        <v>15.4</v>
      </c>
      <c r="L8758" s="15" t="n">
        <f aca="false">YEAR(B8758)</f>
        <v>2024</v>
      </c>
      <c r="M8758" s="20" t="n">
        <f aca="false">IF(J8758&gt;0,K8758/J8758,0)</f>
        <v>0.096830985915493</v>
      </c>
    </row>
    <row r="8759" customFormat="false" ht="15" hidden="false" customHeight="false" outlineLevel="0" collapsed="false">
      <c r="A8759" s="15" t="s">
        <v>8816</v>
      </c>
      <c r="B8759" s="16" t="n">
        <v>45758</v>
      </c>
      <c r="C8759" s="15" t="s">
        <v>56</v>
      </c>
      <c r="D8759" s="15" t="s">
        <v>43</v>
      </c>
      <c r="E8759" s="15" t="s">
        <v>37</v>
      </c>
      <c r="F8759" s="15" t="s">
        <v>18</v>
      </c>
      <c r="G8759" s="15" t="s">
        <v>24</v>
      </c>
      <c r="H8759" s="15" t="n">
        <v>1</v>
      </c>
      <c r="I8759" s="17" t="n">
        <v>0.2</v>
      </c>
      <c r="J8759" s="18" t="n">
        <v>537.67</v>
      </c>
      <c r="K8759" s="19" t="n">
        <v>-91.74</v>
      </c>
      <c r="L8759" s="15" t="n">
        <f aca="false">YEAR(B8759)</f>
        <v>2025</v>
      </c>
      <c r="M8759" s="20" t="n">
        <f aca="false">IF(J8759&gt;0,K8759/J8759,0)</f>
        <v>-0.170625104618074</v>
      </c>
    </row>
    <row r="8760" customFormat="false" ht="15" hidden="false" customHeight="false" outlineLevel="0" collapsed="false">
      <c r="A8760" s="15" t="s">
        <v>8817</v>
      </c>
      <c r="B8760" s="16" t="n">
        <v>45578</v>
      </c>
      <c r="C8760" s="15" t="s">
        <v>71</v>
      </c>
      <c r="D8760" s="15" t="s">
        <v>42</v>
      </c>
      <c r="E8760" s="15" t="s">
        <v>37</v>
      </c>
      <c r="F8760" s="15" t="s">
        <v>17</v>
      </c>
      <c r="G8760" s="15" t="s">
        <v>28</v>
      </c>
      <c r="H8760" s="15" t="n">
        <v>2</v>
      </c>
      <c r="I8760" s="17" t="n">
        <v>0.05</v>
      </c>
      <c r="J8760" s="18" t="n">
        <v>40.28</v>
      </c>
      <c r="K8760" s="19" t="n">
        <v>12.57</v>
      </c>
      <c r="L8760" s="15" t="n">
        <f aca="false">YEAR(B8760)</f>
        <v>2024</v>
      </c>
      <c r="M8760" s="20" t="n">
        <f aca="false">IF(J8760&gt;0,K8760/J8760,0)</f>
        <v>0.312065541211519</v>
      </c>
    </row>
    <row r="8761" customFormat="false" ht="15" hidden="false" customHeight="false" outlineLevel="0" collapsed="false">
      <c r="A8761" s="15" t="s">
        <v>8818</v>
      </c>
      <c r="B8761" s="16" t="n">
        <v>45959</v>
      </c>
      <c r="C8761" s="15" t="s">
        <v>68</v>
      </c>
      <c r="D8761" s="15" t="s">
        <v>42</v>
      </c>
      <c r="E8761" s="15" t="s">
        <v>39</v>
      </c>
      <c r="F8761" s="15" t="s">
        <v>17</v>
      </c>
      <c r="G8761" s="15" t="s">
        <v>28</v>
      </c>
      <c r="H8761" s="15" t="n">
        <v>2</v>
      </c>
      <c r="I8761" s="17" t="n">
        <v>0</v>
      </c>
      <c r="J8761" s="18" t="n">
        <v>50.07</v>
      </c>
      <c r="K8761" s="19" t="n">
        <v>16.84</v>
      </c>
      <c r="L8761" s="15" t="n">
        <f aca="false">YEAR(B8761)</f>
        <v>2025</v>
      </c>
      <c r="M8761" s="20" t="n">
        <f aca="false">IF(J8761&gt;0,K8761/J8761,0)</f>
        <v>0.336329139205113</v>
      </c>
    </row>
    <row r="8762" customFormat="false" ht="15" hidden="false" customHeight="false" outlineLevel="0" collapsed="false">
      <c r="A8762" s="15" t="s">
        <v>8819</v>
      </c>
      <c r="B8762" s="16" t="n">
        <v>44791</v>
      </c>
      <c r="C8762" s="15" t="s">
        <v>56</v>
      </c>
      <c r="D8762" s="15" t="s">
        <v>42</v>
      </c>
      <c r="E8762" s="15" t="s">
        <v>37</v>
      </c>
      <c r="F8762" s="15" t="s">
        <v>17</v>
      </c>
      <c r="G8762" s="15" t="s">
        <v>29</v>
      </c>
      <c r="H8762" s="15" t="n">
        <v>3</v>
      </c>
      <c r="I8762" s="17" t="n">
        <v>0</v>
      </c>
      <c r="J8762" s="18" t="n">
        <v>49.75</v>
      </c>
      <c r="K8762" s="19" t="n">
        <v>16.15</v>
      </c>
      <c r="L8762" s="15" t="n">
        <f aca="false">YEAR(B8762)</f>
        <v>2022</v>
      </c>
      <c r="M8762" s="20" t="n">
        <f aca="false">IF(J8762&gt;0,K8762/J8762,0)</f>
        <v>0.324623115577889</v>
      </c>
    </row>
    <row r="8763" customFormat="false" ht="15" hidden="false" customHeight="false" outlineLevel="0" collapsed="false">
      <c r="A8763" s="15" t="s">
        <v>8820</v>
      </c>
      <c r="B8763" s="16" t="n">
        <v>45133</v>
      </c>
      <c r="C8763" s="15" t="s">
        <v>56</v>
      </c>
      <c r="D8763" s="15" t="s">
        <v>44</v>
      </c>
      <c r="E8763" s="15" t="s">
        <v>38</v>
      </c>
      <c r="F8763" s="15" t="s">
        <v>18</v>
      </c>
      <c r="G8763" s="15" t="s">
        <v>33</v>
      </c>
      <c r="H8763" s="15" t="n">
        <v>5</v>
      </c>
      <c r="I8763" s="17" t="n">
        <v>0</v>
      </c>
      <c r="J8763" s="18" t="n">
        <v>3338.55</v>
      </c>
      <c r="K8763" s="19" t="n">
        <v>884.39</v>
      </c>
      <c r="L8763" s="15" t="n">
        <f aca="false">YEAR(B8763)</f>
        <v>2023</v>
      </c>
      <c r="M8763" s="20" t="n">
        <f aca="false">IF(J8763&gt;0,K8763/J8763,0)</f>
        <v>0.264902427700649</v>
      </c>
    </row>
    <row r="8764" customFormat="false" ht="15" hidden="false" customHeight="false" outlineLevel="0" collapsed="false">
      <c r="A8764" s="15" t="s">
        <v>8821</v>
      </c>
      <c r="B8764" s="16" t="n">
        <v>45383</v>
      </c>
      <c r="C8764" s="15" t="s">
        <v>56</v>
      </c>
      <c r="D8764" s="15" t="s">
        <v>42</v>
      </c>
      <c r="E8764" s="15" t="s">
        <v>36</v>
      </c>
      <c r="F8764" s="15" t="s">
        <v>17</v>
      </c>
      <c r="G8764" s="15" t="s">
        <v>29</v>
      </c>
      <c r="H8764" s="15" t="n">
        <v>6</v>
      </c>
      <c r="I8764" s="17" t="n">
        <v>0</v>
      </c>
      <c r="J8764" s="18" t="n">
        <v>116.56</v>
      </c>
      <c r="K8764" s="19" t="n">
        <v>39.35</v>
      </c>
      <c r="L8764" s="15" t="n">
        <f aca="false">YEAR(B8764)</f>
        <v>2024</v>
      </c>
      <c r="M8764" s="20" t="n">
        <f aca="false">IF(J8764&gt;0,K8764/J8764,0)</f>
        <v>0.337594371997255</v>
      </c>
    </row>
    <row r="8765" customFormat="false" ht="15" hidden="false" customHeight="false" outlineLevel="0" collapsed="false">
      <c r="A8765" s="15" t="s">
        <v>8822</v>
      </c>
      <c r="B8765" s="16" t="n">
        <v>45473</v>
      </c>
      <c r="C8765" s="15" t="s">
        <v>71</v>
      </c>
      <c r="D8765" s="15" t="s">
        <v>42</v>
      </c>
      <c r="E8765" s="15" t="s">
        <v>39</v>
      </c>
      <c r="F8765" s="15" t="s">
        <v>16</v>
      </c>
      <c r="G8765" s="15" t="s">
        <v>27</v>
      </c>
      <c r="H8765" s="15" t="n">
        <v>4</v>
      </c>
      <c r="I8765" s="17" t="n">
        <v>0.2</v>
      </c>
      <c r="J8765" s="18" t="n">
        <v>183.34</v>
      </c>
      <c r="K8765" s="19" t="n">
        <v>11.58</v>
      </c>
      <c r="L8765" s="15" t="n">
        <f aca="false">YEAR(B8765)</f>
        <v>2024</v>
      </c>
      <c r="M8765" s="20" t="n">
        <f aca="false">IF(J8765&gt;0,K8765/J8765,0)</f>
        <v>0.0631613395876514</v>
      </c>
    </row>
    <row r="8766" customFormat="false" ht="15" hidden="false" customHeight="false" outlineLevel="0" collapsed="false">
      <c r="A8766" s="15" t="s">
        <v>8823</v>
      </c>
      <c r="B8766" s="16" t="n">
        <v>45147</v>
      </c>
      <c r="C8766" s="15" t="s">
        <v>56</v>
      </c>
      <c r="D8766" s="15" t="s">
        <v>42</v>
      </c>
      <c r="E8766" s="15" t="s">
        <v>39</v>
      </c>
      <c r="F8766" s="15" t="s">
        <v>18</v>
      </c>
      <c r="G8766" s="15" t="s">
        <v>30</v>
      </c>
      <c r="H8766" s="15" t="n">
        <v>3</v>
      </c>
      <c r="I8766" s="17" t="n">
        <v>0.05</v>
      </c>
      <c r="J8766" s="18" t="n">
        <v>101.93</v>
      </c>
      <c r="K8766" s="19" t="n">
        <v>29.07</v>
      </c>
      <c r="L8766" s="15" t="n">
        <f aca="false">YEAR(B8766)</f>
        <v>2023</v>
      </c>
      <c r="M8766" s="20" t="n">
        <f aca="false">IF(J8766&gt;0,K8766/J8766,0)</f>
        <v>0.285195722554694</v>
      </c>
    </row>
    <row r="8767" customFormat="false" ht="15" hidden="false" customHeight="false" outlineLevel="0" collapsed="false">
      <c r="A8767" s="15" t="s">
        <v>8824</v>
      </c>
      <c r="B8767" s="16" t="n">
        <v>45008</v>
      </c>
      <c r="C8767" s="15" t="s">
        <v>71</v>
      </c>
      <c r="D8767" s="15" t="s">
        <v>42</v>
      </c>
      <c r="E8767" s="15" t="s">
        <v>39</v>
      </c>
      <c r="F8767" s="15" t="s">
        <v>17</v>
      </c>
      <c r="G8767" s="15" t="s">
        <v>29</v>
      </c>
      <c r="H8767" s="15" t="n">
        <v>2</v>
      </c>
      <c r="I8767" s="17" t="n">
        <v>0.1</v>
      </c>
      <c r="J8767" s="18" t="n">
        <v>30.16</v>
      </c>
      <c r="K8767" s="19" t="n">
        <v>8.02</v>
      </c>
      <c r="L8767" s="15" t="n">
        <f aca="false">YEAR(B8767)</f>
        <v>2023</v>
      </c>
      <c r="M8767" s="20" t="n">
        <f aca="false">IF(J8767&gt;0,K8767/J8767,0)</f>
        <v>0.265915119363395</v>
      </c>
    </row>
    <row r="8768" customFormat="false" ht="15" hidden="false" customHeight="false" outlineLevel="0" collapsed="false">
      <c r="A8768" s="15" t="s">
        <v>8825</v>
      </c>
      <c r="B8768" s="16" t="n">
        <v>44589</v>
      </c>
      <c r="C8768" s="15" t="s">
        <v>56</v>
      </c>
      <c r="D8768" s="15" t="s">
        <v>44</v>
      </c>
      <c r="E8768" s="15" t="s">
        <v>36</v>
      </c>
      <c r="F8768" s="15" t="s">
        <v>17</v>
      </c>
      <c r="G8768" s="15" t="s">
        <v>28</v>
      </c>
      <c r="H8768" s="15" t="n">
        <v>7</v>
      </c>
      <c r="I8768" s="17" t="n">
        <v>0.1</v>
      </c>
      <c r="J8768" s="18" t="n">
        <v>131.87</v>
      </c>
      <c r="K8768" s="19" t="n">
        <v>27.64</v>
      </c>
      <c r="L8768" s="15" t="n">
        <f aca="false">YEAR(B8768)</f>
        <v>2022</v>
      </c>
      <c r="M8768" s="20" t="n">
        <f aca="false">IF(J8768&gt;0,K8768/J8768,0)</f>
        <v>0.209600363994843</v>
      </c>
    </row>
    <row r="8769" customFormat="false" ht="15" hidden="false" customHeight="false" outlineLevel="0" collapsed="false">
      <c r="A8769" s="15" t="s">
        <v>8826</v>
      </c>
      <c r="B8769" s="16" t="n">
        <v>46014</v>
      </c>
      <c r="C8769" s="15" t="s">
        <v>56</v>
      </c>
      <c r="D8769" s="15" t="s">
        <v>44</v>
      </c>
      <c r="E8769" s="15" t="s">
        <v>38</v>
      </c>
      <c r="F8769" s="15" t="s">
        <v>17</v>
      </c>
      <c r="G8769" s="15" t="s">
        <v>29</v>
      </c>
      <c r="H8769" s="15" t="n">
        <v>2</v>
      </c>
      <c r="I8769" s="17" t="n">
        <v>0.2</v>
      </c>
      <c r="J8769" s="18" t="n">
        <v>28.62</v>
      </c>
      <c r="K8769" s="19" t="n">
        <v>6.37</v>
      </c>
      <c r="L8769" s="15" t="n">
        <f aca="false">YEAR(B8769)</f>
        <v>2025</v>
      </c>
      <c r="M8769" s="20" t="n">
        <f aca="false">IF(J8769&gt;0,K8769/J8769,0)</f>
        <v>0.222571628232006</v>
      </c>
    </row>
    <row r="8770" customFormat="false" ht="15" hidden="false" customHeight="false" outlineLevel="0" collapsed="false">
      <c r="A8770" s="15" t="s">
        <v>8827</v>
      </c>
      <c r="B8770" s="16" t="n">
        <v>45073</v>
      </c>
      <c r="C8770" s="15" t="s">
        <v>71</v>
      </c>
      <c r="D8770" s="15" t="s">
        <v>42</v>
      </c>
      <c r="E8770" s="15" t="s">
        <v>36</v>
      </c>
      <c r="F8770" s="15" t="s">
        <v>17</v>
      </c>
      <c r="G8770" s="15" t="s">
        <v>31</v>
      </c>
      <c r="H8770" s="15" t="n">
        <v>8</v>
      </c>
      <c r="I8770" s="17" t="n">
        <v>0</v>
      </c>
      <c r="J8770" s="18" t="n">
        <v>1017.97</v>
      </c>
      <c r="K8770" s="19" t="n">
        <v>265.94</v>
      </c>
      <c r="L8770" s="15" t="n">
        <f aca="false">YEAR(B8770)</f>
        <v>2023</v>
      </c>
      <c r="M8770" s="20" t="n">
        <f aca="false">IF(J8770&gt;0,K8770/J8770,0)</f>
        <v>0.261245419806085</v>
      </c>
    </row>
    <row r="8771" customFormat="false" ht="15" hidden="false" customHeight="false" outlineLevel="0" collapsed="false">
      <c r="A8771" s="15" t="s">
        <v>8828</v>
      </c>
      <c r="B8771" s="16" t="n">
        <v>45968</v>
      </c>
      <c r="C8771" s="15" t="s">
        <v>68</v>
      </c>
      <c r="D8771" s="15" t="s">
        <v>42</v>
      </c>
      <c r="E8771" s="15" t="s">
        <v>39</v>
      </c>
      <c r="F8771" s="15" t="s">
        <v>16</v>
      </c>
      <c r="G8771" s="15" t="s">
        <v>27</v>
      </c>
      <c r="H8771" s="15" t="n">
        <v>1</v>
      </c>
      <c r="I8771" s="17" t="n">
        <v>0.15</v>
      </c>
      <c r="J8771" s="18" t="n">
        <v>55.62</v>
      </c>
      <c r="K8771" s="19" t="n">
        <v>0.59</v>
      </c>
      <c r="L8771" s="15" t="n">
        <f aca="false">YEAR(B8771)</f>
        <v>2025</v>
      </c>
      <c r="M8771" s="20" t="n">
        <f aca="false">IF(J8771&gt;0,K8771/J8771,0)</f>
        <v>0.0106076950737145</v>
      </c>
    </row>
    <row r="8772" customFormat="false" ht="15" hidden="false" customHeight="false" outlineLevel="0" collapsed="false">
      <c r="A8772" s="15" t="s">
        <v>8829</v>
      </c>
      <c r="B8772" s="16" t="n">
        <v>45335</v>
      </c>
      <c r="C8772" s="15" t="s">
        <v>56</v>
      </c>
      <c r="D8772" s="15" t="s">
        <v>43</v>
      </c>
      <c r="E8772" s="15" t="s">
        <v>36</v>
      </c>
      <c r="F8772" s="15" t="s">
        <v>16</v>
      </c>
      <c r="G8772" s="15" t="s">
        <v>27</v>
      </c>
      <c r="H8772" s="15" t="n">
        <v>4</v>
      </c>
      <c r="I8772" s="17" t="n">
        <v>0</v>
      </c>
      <c r="J8772" s="18" t="n">
        <v>293.49</v>
      </c>
      <c r="K8772" s="19" t="n">
        <v>85.54</v>
      </c>
      <c r="L8772" s="15" t="n">
        <f aca="false">YEAR(B8772)</f>
        <v>2024</v>
      </c>
      <c r="M8772" s="20" t="n">
        <f aca="false">IF(J8772&gt;0,K8772/J8772,0)</f>
        <v>0.291457971310777</v>
      </c>
    </row>
    <row r="8773" customFormat="false" ht="15" hidden="false" customHeight="false" outlineLevel="0" collapsed="false">
      <c r="A8773" s="15" t="s">
        <v>8830</v>
      </c>
      <c r="B8773" s="16" t="n">
        <v>45556</v>
      </c>
      <c r="C8773" s="15" t="s">
        <v>58</v>
      </c>
      <c r="D8773" s="15" t="s">
        <v>44</v>
      </c>
      <c r="E8773" s="15" t="s">
        <v>36</v>
      </c>
      <c r="F8773" s="15" t="s">
        <v>17</v>
      </c>
      <c r="G8773" s="15" t="s">
        <v>29</v>
      </c>
      <c r="H8773" s="15" t="n">
        <v>1</v>
      </c>
      <c r="I8773" s="17" t="n">
        <v>0.15</v>
      </c>
      <c r="J8773" s="18" t="n">
        <v>15.26</v>
      </c>
      <c r="K8773" s="19" t="n">
        <v>3.78</v>
      </c>
      <c r="L8773" s="15" t="n">
        <f aca="false">YEAR(B8773)</f>
        <v>2024</v>
      </c>
      <c r="M8773" s="20" t="n">
        <f aca="false">IF(J8773&gt;0,K8773/J8773,0)</f>
        <v>0.247706422018349</v>
      </c>
    </row>
    <row r="8774" customFormat="false" ht="15" hidden="false" customHeight="false" outlineLevel="0" collapsed="false">
      <c r="A8774" s="15" t="s">
        <v>8831</v>
      </c>
      <c r="B8774" s="16" t="n">
        <v>44900</v>
      </c>
      <c r="C8774" s="15" t="s">
        <v>56</v>
      </c>
      <c r="D8774" s="15" t="s">
        <v>42</v>
      </c>
      <c r="E8774" s="15" t="s">
        <v>37</v>
      </c>
      <c r="F8774" s="15" t="s">
        <v>16</v>
      </c>
      <c r="G8774" s="15" t="s">
        <v>25</v>
      </c>
      <c r="H8774" s="15" t="n">
        <v>7</v>
      </c>
      <c r="I8774" s="17" t="n">
        <v>0</v>
      </c>
      <c r="J8774" s="18" t="n">
        <v>1800.62</v>
      </c>
      <c r="K8774" s="19" t="n">
        <v>291.2</v>
      </c>
      <c r="L8774" s="15" t="n">
        <f aca="false">YEAR(B8774)</f>
        <v>2022</v>
      </c>
      <c r="M8774" s="20" t="n">
        <f aca="false">IF(J8774&gt;0,K8774/J8774,0)</f>
        <v>0.161722073508014</v>
      </c>
    </row>
    <row r="8775" customFormat="false" ht="15" hidden="false" customHeight="false" outlineLevel="0" collapsed="false">
      <c r="A8775" s="15" t="s">
        <v>8832</v>
      </c>
      <c r="B8775" s="16" t="n">
        <v>45638</v>
      </c>
      <c r="C8775" s="15" t="s">
        <v>56</v>
      </c>
      <c r="D8775" s="15" t="s">
        <v>44</v>
      </c>
      <c r="E8775" s="15" t="s">
        <v>38</v>
      </c>
      <c r="F8775" s="15" t="s">
        <v>18</v>
      </c>
      <c r="G8775" s="15" t="s">
        <v>30</v>
      </c>
      <c r="H8775" s="15" t="n">
        <v>2</v>
      </c>
      <c r="I8775" s="17" t="n">
        <v>0.2</v>
      </c>
      <c r="J8775" s="18" t="n">
        <v>72.21</v>
      </c>
      <c r="K8775" s="19" t="n">
        <v>8.57</v>
      </c>
      <c r="L8775" s="15" t="n">
        <f aca="false">YEAR(B8775)</f>
        <v>2024</v>
      </c>
      <c r="M8775" s="20" t="n">
        <f aca="false">IF(J8775&gt;0,K8775/J8775,0)</f>
        <v>0.1186816230439</v>
      </c>
    </row>
    <row r="8776" customFormat="false" ht="15" hidden="false" customHeight="false" outlineLevel="0" collapsed="false">
      <c r="A8776" s="15" t="s">
        <v>8833</v>
      </c>
      <c r="B8776" s="16" t="n">
        <v>45648</v>
      </c>
      <c r="C8776" s="15" t="s">
        <v>71</v>
      </c>
      <c r="D8776" s="15" t="s">
        <v>43</v>
      </c>
      <c r="E8776" s="15" t="s">
        <v>37</v>
      </c>
      <c r="F8776" s="15" t="s">
        <v>18</v>
      </c>
      <c r="G8776" s="15" t="s">
        <v>30</v>
      </c>
      <c r="H8776" s="15" t="n">
        <v>1</v>
      </c>
      <c r="I8776" s="17" t="n">
        <v>0.2</v>
      </c>
      <c r="J8776" s="18" t="n">
        <v>45.15</v>
      </c>
      <c r="K8776" s="19" t="n">
        <v>9.61</v>
      </c>
      <c r="L8776" s="15" t="n">
        <f aca="false">YEAR(B8776)</f>
        <v>2024</v>
      </c>
      <c r="M8776" s="20" t="n">
        <f aca="false">IF(J8776&gt;0,K8776/J8776,0)</f>
        <v>0.212846068660022</v>
      </c>
    </row>
    <row r="8777" customFormat="false" ht="15" hidden="false" customHeight="false" outlineLevel="0" collapsed="false">
      <c r="A8777" s="15" t="s">
        <v>8834</v>
      </c>
      <c r="B8777" s="16" t="n">
        <v>45395</v>
      </c>
      <c r="C8777" s="15" t="s">
        <v>71</v>
      </c>
      <c r="D8777" s="15" t="s">
        <v>43</v>
      </c>
      <c r="E8777" s="15" t="s">
        <v>37</v>
      </c>
      <c r="F8777" s="15" t="s">
        <v>17</v>
      </c>
      <c r="G8777" s="15" t="s">
        <v>29</v>
      </c>
      <c r="H8777" s="15" t="n">
        <v>5</v>
      </c>
      <c r="I8777" s="17" t="n">
        <v>0.15</v>
      </c>
      <c r="J8777" s="18" t="n">
        <v>83.99</v>
      </c>
      <c r="K8777" s="19" t="n">
        <v>18.01</v>
      </c>
      <c r="L8777" s="15" t="n">
        <f aca="false">YEAR(B8777)</f>
        <v>2024</v>
      </c>
      <c r="M8777" s="20" t="n">
        <f aca="false">IF(J8777&gt;0,K8777/J8777,0)</f>
        <v>0.214430289320157</v>
      </c>
    </row>
    <row r="8778" customFormat="false" ht="15" hidden="false" customHeight="false" outlineLevel="0" collapsed="false">
      <c r="A8778" s="15" t="s">
        <v>8835</v>
      </c>
      <c r="B8778" s="16" t="n">
        <v>44826</v>
      </c>
      <c r="C8778" s="15" t="s">
        <v>71</v>
      </c>
      <c r="D8778" s="15" t="s">
        <v>42</v>
      </c>
      <c r="E8778" s="15" t="s">
        <v>38</v>
      </c>
      <c r="F8778" s="15" t="s">
        <v>16</v>
      </c>
      <c r="G8778" s="15" t="s">
        <v>23</v>
      </c>
      <c r="H8778" s="15" t="n">
        <v>5</v>
      </c>
      <c r="I8778" s="17" t="n">
        <v>0.5</v>
      </c>
      <c r="J8778" s="18" t="n">
        <v>612.9</v>
      </c>
      <c r="K8778" s="19" t="n">
        <v>-274.12</v>
      </c>
      <c r="L8778" s="15" t="n">
        <f aca="false">YEAR(B8778)</f>
        <v>2022</v>
      </c>
      <c r="M8778" s="20" t="n">
        <f aca="false">IF(J8778&gt;0,K8778/J8778,0)</f>
        <v>-0.447250775004079</v>
      </c>
    </row>
    <row r="8779" customFormat="false" ht="15" hidden="false" customHeight="false" outlineLevel="0" collapsed="false">
      <c r="A8779" s="15" t="s">
        <v>8836</v>
      </c>
      <c r="B8779" s="16" t="n">
        <v>45017</v>
      </c>
      <c r="C8779" s="15" t="s">
        <v>56</v>
      </c>
      <c r="D8779" s="15" t="s">
        <v>43</v>
      </c>
      <c r="E8779" s="15" t="s">
        <v>39</v>
      </c>
      <c r="F8779" s="15" t="s">
        <v>18</v>
      </c>
      <c r="G8779" s="15" t="s">
        <v>32</v>
      </c>
      <c r="H8779" s="15" t="n">
        <v>2</v>
      </c>
      <c r="I8779" s="17" t="n">
        <v>0.15</v>
      </c>
      <c r="J8779" s="18" t="n">
        <v>894.3</v>
      </c>
      <c r="K8779" s="19" t="n">
        <v>45.31</v>
      </c>
      <c r="L8779" s="15" t="n">
        <f aca="false">YEAR(B8779)</f>
        <v>2023</v>
      </c>
      <c r="M8779" s="20" t="n">
        <f aca="false">IF(J8779&gt;0,K8779/J8779,0)</f>
        <v>0.0506653248350665</v>
      </c>
    </row>
    <row r="8780" customFormat="false" ht="15" hidden="false" customHeight="false" outlineLevel="0" collapsed="false">
      <c r="A8780" s="15" t="s">
        <v>8837</v>
      </c>
      <c r="B8780" s="16" t="n">
        <v>45181</v>
      </c>
      <c r="C8780" s="15" t="s">
        <v>68</v>
      </c>
      <c r="D8780" s="15" t="s">
        <v>42</v>
      </c>
      <c r="E8780" s="15" t="s">
        <v>37</v>
      </c>
      <c r="F8780" s="15" t="s">
        <v>17</v>
      </c>
      <c r="G8780" s="15" t="s">
        <v>28</v>
      </c>
      <c r="H8780" s="15" t="n">
        <v>6</v>
      </c>
      <c r="I8780" s="17" t="n">
        <v>0</v>
      </c>
      <c r="J8780" s="18" t="n">
        <v>136.3</v>
      </c>
      <c r="K8780" s="19" t="n">
        <v>36.86</v>
      </c>
      <c r="L8780" s="15" t="n">
        <f aca="false">YEAR(B8780)</f>
        <v>2023</v>
      </c>
      <c r="M8780" s="20" t="n">
        <f aca="false">IF(J8780&gt;0,K8780/J8780,0)</f>
        <v>0.270432868672047</v>
      </c>
    </row>
    <row r="8781" customFormat="false" ht="15" hidden="false" customHeight="false" outlineLevel="0" collapsed="false">
      <c r="A8781" s="15" t="s">
        <v>8838</v>
      </c>
      <c r="B8781" s="16" t="n">
        <v>45828</v>
      </c>
      <c r="C8781" s="15" t="s">
        <v>56</v>
      </c>
      <c r="D8781" s="15" t="s">
        <v>42</v>
      </c>
      <c r="E8781" s="15" t="s">
        <v>37</v>
      </c>
      <c r="F8781" s="15" t="s">
        <v>17</v>
      </c>
      <c r="G8781" s="15" t="s">
        <v>26</v>
      </c>
      <c r="H8781" s="15" t="n">
        <v>4</v>
      </c>
      <c r="I8781" s="17" t="n">
        <v>0.15</v>
      </c>
      <c r="J8781" s="18" t="n">
        <v>388.54</v>
      </c>
      <c r="K8781" s="19" t="n">
        <v>-10.65</v>
      </c>
      <c r="L8781" s="15" t="n">
        <f aca="false">YEAR(B8781)</f>
        <v>2025</v>
      </c>
      <c r="M8781" s="20" t="n">
        <f aca="false">IF(J8781&gt;0,K8781/J8781,0)</f>
        <v>-0.0274103052452772</v>
      </c>
    </row>
    <row r="8782" customFormat="false" ht="15" hidden="false" customHeight="false" outlineLevel="0" collapsed="false">
      <c r="A8782" s="15" t="s">
        <v>8839</v>
      </c>
      <c r="B8782" s="16" t="n">
        <v>45792</v>
      </c>
      <c r="C8782" s="15" t="s">
        <v>56</v>
      </c>
      <c r="D8782" s="15" t="s">
        <v>43</v>
      </c>
      <c r="E8782" s="15" t="s">
        <v>39</v>
      </c>
      <c r="F8782" s="15" t="s">
        <v>17</v>
      </c>
      <c r="G8782" s="15" t="s">
        <v>26</v>
      </c>
      <c r="H8782" s="15" t="n">
        <v>3</v>
      </c>
      <c r="I8782" s="17" t="n">
        <v>0.05</v>
      </c>
      <c r="J8782" s="18" t="n">
        <v>269.01</v>
      </c>
      <c r="K8782" s="19" t="n">
        <v>24.36</v>
      </c>
      <c r="L8782" s="15" t="n">
        <f aca="false">YEAR(B8782)</f>
        <v>2025</v>
      </c>
      <c r="M8782" s="20" t="n">
        <f aca="false">IF(J8782&gt;0,K8782/J8782,0)</f>
        <v>0.0905542544886807</v>
      </c>
    </row>
    <row r="8783" customFormat="false" ht="15" hidden="false" customHeight="false" outlineLevel="0" collapsed="false">
      <c r="A8783" s="15" t="s">
        <v>8840</v>
      </c>
      <c r="B8783" s="16" t="n">
        <v>45172</v>
      </c>
      <c r="C8783" s="15" t="s">
        <v>71</v>
      </c>
      <c r="D8783" s="15" t="s">
        <v>43</v>
      </c>
      <c r="E8783" s="15" t="s">
        <v>37</v>
      </c>
      <c r="F8783" s="15" t="s">
        <v>16</v>
      </c>
      <c r="G8783" s="15" t="s">
        <v>22</v>
      </c>
      <c r="H8783" s="15" t="n">
        <v>4</v>
      </c>
      <c r="I8783" s="17" t="n">
        <v>0</v>
      </c>
      <c r="J8783" s="18" t="n">
        <v>2485.25</v>
      </c>
      <c r="K8783" s="19" t="n">
        <v>-197.96</v>
      </c>
      <c r="L8783" s="15" t="n">
        <f aca="false">YEAR(B8783)</f>
        <v>2023</v>
      </c>
      <c r="M8783" s="20" t="n">
        <f aca="false">IF(J8783&gt;0,K8783/J8783,0)</f>
        <v>-0.0796539583542903</v>
      </c>
    </row>
    <row r="8784" customFormat="false" ht="15" hidden="false" customHeight="false" outlineLevel="0" collapsed="false">
      <c r="A8784" s="15" t="s">
        <v>8841</v>
      </c>
      <c r="B8784" s="16" t="n">
        <v>45403</v>
      </c>
      <c r="C8784" s="15" t="s">
        <v>71</v>
      </c>
      <c r="D8784" s="15" t="s">
        <v>42</v>
      </c>
      <c r="E8784" s="15" t="s">
        <v>38</v>
      </c>
      <c r="F8784" s="15" t="s">
        <v>16</v>
      </c>
      <c r="G8784" s="15" t="s">
        <v>22</v>
      </c>
      <c r="H8784" s="15" t="n">
        <v>4</v>
      </c>
      <c r="I8784" s="17" t="n">
        <v>0.2</v>
      </c>
      <c r="J8784" s="18" t="n">
        <v>1727.78</v>
      </c>
      <c r="K8784" s="19" t="n">
        <v>-339.8</v>
      </c>
      <c r="L8784" s="15" t="n">
        <f aca="false">YEAR(B8784)</f>
        <v>2024</v>
      </c>
      <c r="M8784" s="20" t="n">
        <f aca="false">IF(J8784&gt;0,K8784/J8784,0)</f>
        <v>-0.196668557339476</v>
      </c>
    </row>
    <row r="8785" customFormat="false" ht="15" hidden="false" customHeight="false" outlineLevel="0" collapsed="false">
      <c r="A8785" s="15" t="s">
        <v>8842</v>
      </c>
      <c r="B8785" s="16" t="n">
        <v>45542</v>
      </c>
      <c r="C8785" s="15" t="s">
        <v>68</v>
      </c>
      <c r="D8785" s="15" t="s">
        <v>43</v>
      </c>
      <c r="E8785" s="15" t="s">
        <v>37</v>
      </c>
      <c r="F8785" s="15" t="s">
        <v>17</v>
      </c>
      <c r="G8785" s="15" t="s">
        <v>31</v>
      </c>
      <c r="H8785" s="15" t="n">
        <v>4</v>
      </c>
      <c r="I8785" s="17" t="n">
        <v>0</v>
      </c>
      <c r="J8785" s="18" t="n">
        <v>646.33</v>
      </c>
      <c r="K8785" s="19" t="n">
        <v>158.92</v>
      </c>
      <c r="L8785" s="15" t="n">
        <f aca="false">YEAR(B8785)</f>
        <v>2024</v>
      </c>
      <c r="M8785" s="20" t="n">
        <f aca="false">IF(J8785&gt;0,K8785/J8785,0)</f>
        <v>0.245880587316077</v>
      </c>
    </row>
    <row r="8786" customFormat="false" ht="15" hidden="false" customHeight="false" outlineLevel="0" collapsed="false">
      <c r="A8786" s="15" t="s">
        <v>8843</v>
      </c>
      <c r="B8786" s="16" t="n">
        <v>44975</v>
      </c>
      <c r="C8786" s="15" t="s">
        <v>56</v>
      </c>
      <c r="D8786" s="15" t="s">
        <v>43</v>
      </c>
      <c r="E8786" s="15" t="s">
        <v>36</v>
      </c>
      <c r="F8786" s="15" t="s">
        <v>16</v>
      </c>
      <c r="G8786" s="15" t="s">
        <v>25</v>
      </c>
      <c r="H8786" s="15" t="n">
        <v>4</v>
      </c>
      <c r="I8786" s="17" t="n">
        <v>0</v>
      </c>
      <c r="J8786" s="18" t="n">
        <v>1111.73</v>
      </c>
      <c r="K8786" s="19" t="n">
        <v>125.62</v>
      </c>
      <c r="L8786" s="15" t="n">
        <f aca="false">YEAR(B8786)</f>
        <v>2023</v>
      </c>
      <c r="M8786" s="20" t="n">
        <f aca="false">IF(J8786&gt;0,K8786/J8786,0)</f>
        <v>0.112995061750605</v>
      </c>
    </row>
    <row r="8787" customFormat="false" ht="15" hidden="false" customHeight="false" outlineLevel="0" collapsed="false">
      <c r="A8787" s="15" t="s">
        <v>8844</v>
      </c>
      <c r="B8787" s="16" t="n">
        <v>46005</v>
      </c>
      <c r="C8787" s="15" t="s">
        <v>68</v>
      </c>
      <c r="D8787" s="15" t="s">
        <v>42</v>
      </c>
      <c r="E8787" s="15" t="s">
        <v>39</v>
      </c>
      <c r="F8787" s="15" t="s">
        <v>17</v>
      </c>
      <c r="G8787" s="15" t="s">
        <v>28</v>
      </c>
      <c r="H8787" s="15" t="n">
        <v>6</v>
      </c>
      <c r="I8787" s="17" t="n">
        <v>0</v>
      </c>
      <c r="J8787" s="18" t="n">
        <v>183.3</v>
      </c>
      <c r="K8787" s="19" t="n">
        <v>60.44</v>
      </c>
      <c r="L8787" s="15" t="n">
        <f aca="false">YEAR(B8787)</f>
        <v>2025</v>
      </c>
      <c r="M8787" s="20" t="n">
        <f aca="false">IF(J8787&gt;0,K8787/J8787,0)</f>
        <v>0.329732678668849</v>
      </c>
    </row>
    <row r="8788" customFormat="false" ht="15" hidden="false" customHeight="false" outlineLevel="0" collapsed="false">
      <c r="A8788" s="15" t="s">
        <v>8845</v>
      </c>
      <c r="B8788" s="16" t="n">
        <v>46010</v>
      </c>
      <c r="C8788" s="15" t="s">
        <v>56</v>
      </c>
      <c r="D8788" s="15" t="s">
        <v>42</v>
      </c>
      <c r="E8788" s="15" t="s">
        <v>38</v>
      </c>
      <c r="F8788" s="15" t="s">
        <v>18</v>
      </c>
      <c r="G8788" s="15" t="s">
        <v>30</v>
      </c>
      <c r="H8788" s="15" t="n">
        <v>2</v>
      </c>
      <c r="I8788" s="17" t="n">
        <v>0.15</v>
      </c>
      <c r="J8788" s="18" t="n">
        <v>76.58</v>
      </c>
      <c r="K8788" s="19" t="n">
        <v>9.42</v>
      </c>
      <c r="L8788" s="15" t="n">
        <f aca="false">YEAR(B8788)</f>
        <v>2025</v>
      </c>
      <c r="M8788" s="20" t="n">
        <f aca="false">IF(J8788&gt;0,K8788/J8788,0)</f>
        <v>0.123008618438235</v>
      </c>
    </row>
    <row r="8789" customFormat="false" ht="15" hidden="false" customHeight="false" outlineLevel="0" collapsed="false">
      <c r="A8789" s="15" t="s">
        <v>8846</v>
      </c>
      <c r="B8789" s="16" t="n">
        <v>44635</v>
      </c>
      <c r="C8789" s="15" t="s">
        <v>56</v>
      </c>
      <c r="D8789" s="15" t="s">
        <v>42</v>
      </c>
      <c r="E8789" s="15" t="s">
        <v>36</v>
      </c>
      <c r="F8789" s="15" t="s">
        <v>17</v>
      </c>
      <c r="G8789" s="15" t="s">
        <v>29</v>
      </c>
      <c r="H8789" s="15" t="n">
        <v>1</v>
      </c>
      <c r="I8789" s="17" t="n">
        <v>0</v>
      </c>
      <c r="J8789" s="18" t="n">
        <v>15.59</v>
      </c>
      <c r="K8789" s="19" t="n">
        <v>5.62</v>
      </c>
      <c r="L8789" s="15" t="n">
        <f aca="false">YEAR(B8789)</f>
        <v>2022</v>
      </c>
      <c r="M8789" s="20" t="n">
        <f aca="false">IF(J8789&gt;0,K8789/J8789,0)</f>
        <v>0.36048749198204</v>
      </c>
    </row>
    <row r="8790" customFormat="false" ht="15" hidden="false" customHeight="false" outlineLevel="0" collapsed="false">
      <c r="A8790" s="15" t="s">
        <v>8847</v>
      </c>
      <c r="B8790" s="16" t="n">
        <v>45306</v>
      </c>
      <c r="C8790" s="15" t="s">
        <v>68</v>
      </c>
      <c r="D8790" s="15" t="s">
        <v>42</v>
      </c>
      <c r="E8790" s="15" t="s">
        <v>39</v>
      </c>
      <c r="F8790" s="15" t="s">
        <v>17</v>
      </c>
      <c r="G8790" s="15" t="s">
        <v>31</v>
      </c>
      <c r="H8790" s="15" t="n">
        <v>1</v>
      </c>
      <c r="I8790" s="17" t="n">
        <v>0.2</v>
      </c>
      <c r="J8790" s="18" t="n">
        <v>113.61</v>
      </c>
      <c r="K8790" s="19" t="n">
        <v>4.07</v>
      </c>
      <c r="L8790" s="15" t="n">
        <f aca="false">YEAR(B8790)</f>
        <v>2024</v>
      </c>
      <c r="M8790" s="20" t="n">
        <f aca="false">IF(J8790&gt;0,K8790/J8790,0)</f>
        <v>0.0358243112402077</v>
      </c>
    </row>
    <row r="8791" customFormat="false" ht="15" hidden="false" customHeight="false" outlineLevel="0" collapsed="false">
      <c r="A8791" s="15" t="s">
        <v>8848</v>
      </c>
      <c r="B8791" s="16" t="n">
        <v>45555</v>
      </c>
      <c r="C8791" s="15" t="s">
        <v>68</v>
      </c>
      <c r="D8791" s="15" t="s">
        <v>42</v>
      </c>
      <c r="E8791" s="15" t="s">
        <v>38</v>
      </c>
      <c r="F8791" s="15" t="s">
        <v>17</v>
      </c>
      <c r="G8791" s="15" t="s">
        <v>26</v>
      </c>
      <c r="H8791" s="15" t="n">
        <v>5</v>
      </c>
      <c r="I8791" s="17" t="n">
        <v>0</v>
      </c>
      <c r="J8791" s="18" t="n">
        <v>381.51</v>
      </c>
      <c r="K8791" s="19" t="n">
        <v>58.67</v>
      </c>
      <c r="L8791" s="15" t="n">
        <f aca="false">YEAR(B8791)</f>
        <v>2024</v>
      </c>
      <c r="M8791" s="20" t="n">
        <f aca="false">IF(J8791&gt;0,K8791/J8791,0)</f>
        <v>0.153783649183508</v>
      </c>
    </row>
    <row r="8792" customFormat="false" ht="15" hidden="false" customHeight="false" outlineLevel="0" collapsed="false">
      <c r="A8792" s="15" t="s">
        <v>8849</v>
      </c>
      <c r="B8792" s="16" t="n">
        <v>45702</v>
      </c>
      <c r="C8792" s="15" t="s">
        <v>56</v>
      </c>
      <c r="D8792" s="15" t="s">
        <v>42</v>
      </c>
      <c r="E8792" s="15" t="s">
        <v>36</v>
      </c>
      <c r="F8792" s="15" t="s">
        <v>17</v>
      </c>
      <c r="G8792" s="15" t="s">
        <v>31</v>
      </c>
      <c r="H8792" s="15" t="n">
        <v>6</v>
      </c>
      <c r="I8792" s="17" t="n">
        <v>0.05</v>
      </c>
      <c r="J8792" s="18" t="n">
        <v>769.32</v>
      </c>
      <c r="K8792" s="19" t="n">
        <v>97.53</v>
      </c>
      <c r="L8792" s="15" t="n">
        <f aca="false">YEAR(B8792)</f>
        <v>2025</v>
      </c>
      <c r="M8792" s="20" t="n">
        <f aca="false">IF(J8792&gt;0,K8792/J8792,0)</f>
        <v>0.126774294181875</v>
      </c>
    </row>
    <row r="8793" customFormat="false" ht="15" hidden="false" customHeight="false" outlineLevel="0" collapsed="false">
      <c r="A8793" s="15" t="s">
        <v>8850</v>
      </c>
      <c r="B8793" s="16" t="n">
        <v>45928</v>
      </c>
      <c r="C8793" s="15" t="s">
        <v>56</v>
      </c>
      <c r="D8793" s="15" t="s">
        <v>42</v>
      </c>
      <c r="E8793" s="15" t="s">
        <v>38</v>
      </c>
      <c r="F8793" s="15" t="s">
        <v>16</v>
      </c>
      <c r="G8793" s="15" t="s">
        <v>23</v>
      </c>
      <c r="H8793" s="15" t="n">
        <v>4</v>
      </c>
      <c r="I8793" s="17" t="n">
        <v>0.1</v>
      </c>
      <c r="J8793" s="18" t="n">
        <v>914.33</v>
      </c>
      <c r="K8793" s="19" t="n">
        <v>-25.06</v>
      </c>
      <c r="L8793" s="15" t="n">
        <f aca="false">YEAR(B8793)</f>
        <v>2025</v>
      </c>
      <c r="M8793" s="20" t="n">
        <f aca="false">IF(J8793&gt;0,K8793/J8793,0)</f>
        <v>-0.027408047422703</v>
      </c>
    </row>
    <row r="8794" customFormat="false" ht="15" hidden="false" customHeight="false" outlineLevel="0" collapsed="false">
      <c r="A8794" s="15" t="s">
        <v>8851</v>
      </c>
      <c r="B8794" s="16" t="n">
        <v>45933</v>
      </c>
      <c r="C8794" s="15" t="s">
        <v>56</v>
      </c>
      <c r="D8794" s="15" t="s">
        <v>43</v>
      </c>
      <c r="E8794" s="15" t="s">
        <v>37</v>
      </c>
      <c r="F8794" s="15" t="s">
        <v>17</v>
      </c>
      <c r="G8794" s="15" t="s">
        <v>28</v>
      </c>
      <c r="H8794" s="15" t="n">
        <v>4</v>
      </c>
      <c r="I8794" s="17" t="n">
        <v>0.05</v>
      </c>
      <c r="J8794" s="18" t="n">
        <v>128.36</v>
      </c>
      <c r="K8794" s="19" t="n">
        <v>37.91</v>
      </c>
      <c r="L8794" s="15" t="n">
        <f aca="false">YEAR(B8794)</f>
        <v>2025</v>
      </c>
      <c r="M8794" s="20" t="n">
        <f aca="false">IF(J8794&gt;0,K8794/J8794,0)</f>
        <v>0.295341227796821</v>
      </c>
    </row>
    <row r="8795" customFormat="false" ht="15" hidden="false" customHeight="false" outlineLevel="0" collapsed="false">
      <c r="A8795" s="15" t="s">
        <v>8852</v>
      </c>
      <c r="B8795" s="16" t="n">
        <v>44921</v>
      </c>
      <c r="C8795" s="15" t="s">
        <v>71</v>
      </c>
      <c r="D8795" s="15" t="s">
        <v>42</v>
      </c>
      <c r="E8795" s="15" t="s">
        <v>36</v>
      </c>
      <c r="F8795" s="15" t="s">
        <v>17</v>
      </c>
      <c r="G8795" s="15" t="s">
        <v>28</v>
      </c>
      <c r="H8795" s="15" t="n">
        <v>1</v>
      </c>
      <c r="I8795" s="17" t="n">
        <v>0</v>
      </c>
      <c r="J8795" s="18" t="n">
        <v>21.84</v>
      </c>
      <c r="K8795" s="19" t="n">
        <v>6.39</v>
      </c>
      <c r="L8795" s="15" t="n">
        <f aca="false">YEAR(B8795)</f>
        <v>2022</v>
      </c>
      <c r="M8795" s="20" t="n">
        <f aca="false">IF(J8795&gt;0,K8795/J8795,0)</f>
        <v>0.292582417582418</v>
      </c>
    </row>
    <row r="8796" customFormat="false" ht="15" hidden="false" customHeight="false" outlineLevel="0" collapsed="false">
      <c r="A8796" s="15" t="s">
        <v>8853</v>
      </c>
      <c r="B8796" s="16" t="n">
        <v>45433</v>
      </c>
      <c r="C8796" s="15" t="s">
        <v>56</v>
      </c>
      <c r="D8796" s="15" t="s">
        <v>42</v>
      </c>
      <c r="E8796" s="15" t="s">
        <v>39</v>
      </c>
      <c r="F8796" s="15" t="s">
        <v>17</v>
      </c>
      <c r="G8796" s="15" t="s">
        <v>28</v>
      </c>
      <c r="H8796" s="15" t="n">
        <v>3</v>
      </c>
      <c r="I8796" s="17" t="n">
        <v>0.1</v>
      </c>
      <c r="J8796" s="18" t="n">
        <v>72.56</v>
      </c>
      <c r="K8796" s="19" t="n">
        <v>14.01</v>
      </c>
      <c r="L8796" s="15" t="n">
        <f aca="false">YEAR(B8796)</f>
        <v>2024</v>
      </c>
      <c r="M8796" s="20" t="n">
        <f aca="false">IF(J8796&gt;0,K8796/J8796,0)</f>
        <v>0.193081587651599</v>
      </c>
    </row>
    <row r="8797" customFormat="false" ht="15" hidden="false" customHeight="false" outlineLevel="0" collapsed="false">
      <c r="A8797" s="15" t="s">
        <v>8854</v>
      </c>
      <c r="B8797" s="16" t="n">
        <v>45042</v>
      </c>
      <c r="C8797" s="15" t="s">
        <v>56</v>
      </c>
      <c r="D8797" s="15" t="s">
        <v>44</v>
      </c>
      <c r="E8797" s="15" t="s">
        <v>38</v>
      </c>
      <c r="F8797" s="15" t="s">
        <v>16</v>
      </c>
      <c r="G8797" s="15" t="s">
        <v>25</v>
      </c>
      <c r="H8797" s="15" t="n">
        <v>2</v>
      </c>
      <c r="I8797" s="17" t="n">
        <v>0</v>
      </c>
      <c r="J8797" s="18" t="n">
        <v>457.24</v>
      </c>
      <c r="K8797" s="19" t="n">
        <v>52.06</v>
      </c>
      <c r="L8797" s="15" t="n">
        <f aca="false">YEAR(B8797)</f>
        <v>2023</v>
      </c>
      <c r="M8797" s="20" t="n">
        <f aca="false">IF(J8797&gt;0,K8797/J8797,0)</f>
        <v>0.113857055375733</v>
      </c>
    </row>
    <row r="8798" customFormat="false" ht="15" hidden="false" customHeight="false" outlineLevel="0" collapsed="false">
      <c r="A8798" s="15" t="s">
        <v>8855</v>
      </c>
      <c r="B8798" s="16" t="n">
        <v>45719</v>
      </c>
      <c r="C8798" s="15" t="s">
        <v>56</v>
      </c>
      <c r="D8798" s="15" t="s">
        <v>42</v>
      </c>
      <c r="E8798" s="15" t="s">
        <v>36</v>
      </c>
      <c r="F8798" s="15" t="s">
        <v>17</v>
      </c>
      <c r="G8798" s="15" t="s">
        <v>26</v>
      </c>
      <c r="H8798" s="15" t="n">
        <v>6</v>
      </c>
      <c r="I8798" s="17" t="n">
        <v>0.2</v>
      </c>
      <c r="J8798" s="18" t="n">
        <v>427.85</v>
      </c>
      <c r="K8798" s="19" t="n">
        <v>-27.22</v>
      </c>
      <c r="L8798" s="15" t="n">
        <f aca="false">YEAR(B8798)</f>
        <v>2025</v>
      </c>
      <c r="M8798" s="20" t="n">
        <f aca="false">IF(J8798&gt;0,K8798/J8798,0)</f>
        <v>-0.0636204277199953</v>
      </c>
    </row>
    <row r="8799" customFormat="false" ht="15" hidden="false" customHeight="false" outlineLevel="0" collapsed="false">
      <c r="A8799" s="15" t="s">
        <v>8856</v>
      </c>
      <c r="B8799" s="16" t="n">
        <v>45589</v>
      </c>
      <c r="C8799" s="15" t="s">
        <v>56</v>
      </c>
      <c r="D8799" s="15" t="s">
        <v>44</v>
      </c>
      <c r="E8799" s="15" t="s">
        <v>36</v>
      </c>
      <c r="F8799" s="15" t="s">
        <v>16</v>
      </c>
      <c r="G8799" s="15" t="s">
        <v>27</v>
      </c>
      <c r="H8799" s="15" t="n">
        <v>4</v>
      </c>
      <c r="I8799" s="17" t="n">
        <v>0.05</v>
      </c>
      <c r="J8799" s="18" t="n">
        <v>187.66</v>
      </c>
      <c r="K8799" s="19" t="n">
        <v>37.57</v>
      </c>
      <c r="L8799" s="15" t="n">
        <f aca="false">YEAR(B8799)</f>
        <v>2024</v>
      </c>
      <c r="M8799" s="20" t="n">
        <f aca="false">IF(J8799&gt;0,K8799/J8799,0)</f>
        <v>0.200202493871896</v>
      </c>
    </row>
    <row r="8800" customFormat="false" ht="15" hidden="false" customHeight="false" outlineLevel="0" collapsed="false">
      <c r="A8800" s="15" t="s">
        <v>8857</v>
      </c>
      <c r="B8800" s="16" t="n">
        <v>44954</v>
      </c>
      <c r="C8800" s="15" t="s">
        <v>56</v>
      </c>
      <c r="D8800" s="15" t="s">
        <v>43</v>
      </c>
      <c r="E8800" s="15" t="s">
        <v>38</v>
      </c>
      <c r="F8800" s="15" t="s">
        <v>17</v>
      </c>
      <c r="G8800" s="15" t="s">
        <v>31</v>
      </c>
      <c r="H8800" s="15" t="n">
        <v>6</v>
      </c>
      <c r="I8800" s="17" t="n">
        <v>0.2</v>
      </c>
      <c r="J8800" s="18" t="n">
        <v>689.53</v>
      </c>
      <c r="K8800" s="19" t="n">
        <v>-5.19</v>
      </c>
      <c r="L8800" s="15" t="n">
        <f aca="false">YEAR(B8800)</f>
        <v>2023</v>
      </c>
      <c r="M8800" s="20" t="n">
        <f aca="false">IF(J8800&gt;0,K8800/J8800,0)</f>
        <v>-0.00752686612620191</v>
      </c>
    </row>
    <row r="8801" customFormat="false" ht="15" hidden="false" customHeight="false" outlineLevel="0" collapsed="false">
      <c r="A8801" s="15" t="s">
        <v>8858</v>
      </c>
      <c r="B8801" s="16" t="n">
        <v>45150</v>
      </c>
      <c r="C8801" s="15" t="s">
        <v>56</v>
      </c>
      <c r="D8801" s="15" t="s">
        <v>42</v>
      </c>
      <c r="E8801" s="15" t="s">
        <v>39</v>
      </c>
      <c r="F8801" s="15" t="s">
        <v>18</v>
      </c>
      <c r="G8801" s="15" t="s">
        <v>30</v>
      </c>
      <c r="H8801" s="15" t="n">
        <v>5</v>
      </c>
      <c r="I8801" s="17" t="n">
        <v>0.5</v>
      </c>
      <c r="J8801" s="18" t="n">
        <v>87.82</v>
      </c>
      <c r="K8801" s="19" t="n">
        <v>-16.62</v>
      </c>
      <c r="L8801" s="15" t="n">
        <f aca="false">YEAR(B8801)</f>
        <v>2023</v>
      </c>
      <c r="M8801" s="20" t="n">
        <f aca="false">IF(J8801&gt;0,K8801/J8801,0)</f>
        <v>-0.189250740150307</v>
      </c>
    </row>
    <row r="8802" customFormat="false" ht="15" hidden="false" customHeight="false" outlineLevel="0" collapsed="false">
      <c r="A8802" s="15" t="s">
        <v>8859</v>
      </c>
      <c r="B8802" s="16" t="n">
        <v>45992</v>
      </c>
      <c r="C8802" s="15" t="s">
        <v>71</v>
      </c>
      <c r="D8802" s="15" t="s">
        <v>42</v>
      </c>
      <c r="E8802" s="15" t="s">
        <v>38</v>
      </c>
      <c r="F8802" s="15" t="s">
        <v>17</v>
      </c>
      <c r="G8802" s="15" t="s">
        <v>31</v>
      </c>
      <c r="H8802" s="15" t="n">
        <v>3</v>
      </c>
      <c r="I8802" s="17" t="n">
        <v>0</v>
      </c>
      <c r="J8802" s="18" t="n">
        <v>362.29</v>
      </c>
      <c r="K8802" s="19" t="n">
        <v>80.94</v>
      </c>
      <c r="L8802" s="15" t="n">
        <f aca="false">YEAR(B8802)</f>
        <v>2025</v>
      </c>
      <c r="M8802" s="20" t="n">
        <f aca="false">IF(J8802&gt;0,K8802/J8802,0)</f>
        <v>0.223412183609815</v>
      </c>
    </row>
    <row r="8803" customFormat="false" ht="15" hidden="false" customHeight="false" outlineLevel="0" collapsed="false">
      <c r="A8803" s="15" t="s">
        <v>8860</v>
      </c>
      <c r="B8803" s="16" t="n">
        <v>44927</v>
      </c>
      <c r="C8803" s="15" t="s">
        <v>56</v>
      </c>
      <c r="D8803" s="15" t="s">
        <v>42</v>
      </c>
      <c r="E8803" s="15" t="s">
        <v>37</v>
      </c>
      <c r="F8803" s="15" t="s">
        <v>17</v>
      </c>
      <c r="G8803" s="15" t="s">
        <v>26</v>
      </c>
      <c r="H8803" s="15" t="n">
        <v>8</v>
      </c>
      <c r="I8803" s="17" t="n">
        <v>0</v>
      </c>
      <c r="J8803" s="18" t="n">
        <v>745.31</v>
      </c>
      <c r="K8803" s="19" t="n">
        <v>52.43</v>
      </c>
      <c r="L8803" s="15" t="n">
        <f aca="false">YEAR(B8803)</f>
        <v>2023</v>
      </c>
      <c r="M8803" s="20" t="n">
        <f aca="false">IF(J8803&gt;0,K8803/J8803,0)</f>
        <v>0.0703465672002254</v>
      </c>
    </row>
    <row r="8804" customFormat="false" ht="15" hidden="false" customHeight="false" outlineLevel="0" collapsed="false">
      <c r="A8804" s="15" t="s">
        <v>8861</v>
      </c>
      <c r="B8804" s="16" t="n">
        <v>44912</v>
      </c>
      <c r="C8804" s="15" t="s">
        <v>56</v>
      </c>
      <c r="D8804" s="15" t="s">
        <v>43</v>
      </c>
      <c r="E8804" s="15" t="s">
        <v>36</v>
      </c>
      <c r="F8804" s="15" t="s">
        <v>16</v>
      </c>
      <c r="G8804" s="15" t="s">
        <v>25</v>
      </c>
      <c r="H8804" s="15" t="n">
        <v>4</v>
      </c>
      <c r="I8804" s="17" t="n">
        <v>0.3</v>
      </c>
      <c r="J8804" s="18" t="n">
        <v>1040.13</v>
      </c>
      <c r="K8804" s="19" t="n">
        <v>-288.43</v>
      </c>
      <c r="L8804" s="15" t="n">
        <f aca="false">YEAR(B8804)</f>
        <v>2022</v>
      </c>
      <c r="M8804" s="20" t="n">
        <f aca="false">IF(J8804&gt;0,K8804/J8804,0)</f>
        <v>-0.277301875727073</v>
      </c>
    </row>
    <row r="8805" customFormat="false" ht="15" hidden="false" customHeight="false" outlineLevel="0" collapsed="false">
      <c r="A8805" s="15" t="s">
        <v>8862</v>
      </c>
      <c r="B8805" s="16" t="n">
        <v>45139</v>
      </c>
      <c r="C8805" s="15" t="s">
        <v>56</v>
      </c>
      <c r="D8805" s="15" t="s">
        <v>43</v>
      </c>
      <c r="E8805" s="15" t="s">
        <v>36</v>
      </c>
      <c r="F8805" s="15" t="s">
        <v>17</v>
      </c>
      <c r="G8805" s="15" t="s">
        <v>26</v>
      </c>
      <c r="H8805" s="15" t="n">
        <v>1</v>
      </c>
      <c r="I8805" s="17" t="n">
        <v>0</v>
      </c>
      <c r="J8805" s="18" t="n">
        <v>86.87</v>
      </c>
      <c r="K8805" s="19" t="n">
        <v>9.75</v>
      </c>
      <c r="L8805" s="15" t="n">
        <f aca="false">YEAR(B8805)</f>
        <v>2023</v>
      </c>
      <c r="M8805" s="20" t="n">
        <f aca="false">IF(J8805&gt;0,K8805/J8805,0)</f>
        <v>0.112236675492115</v>
      </c>
    </row>
    <row r="8806" customFormat="false" ht="15" hidden="false" customHeight="false" outlineLevel="0" collapsed="false">
      <c r="A8806" s="15" t="s">
        <v>8863</v>
      </c>
      <c r="B8806" s="16" t="n">
        <v>45957</v>
      </c>
      <c r="C8806" s="15" t="s">
        <v>71</v>
      </c>
      <c r="D8806" s="15" t="s">
        <v>42</v>
      </c>
      <c r="E8806" s="15" t="s">
        <v>37</v>
      </c>
      <c r="F8806" s="15" t="s">
        <v>17</v>
      </c>
      <c r="G8806" s="15" t="s">
        <v>29</v>
      </c>
      <c r="H8806" s="15" t="n">
        <v>2</v>
      </c>
      <c r="I8806" s="17" t="n">
        <v>0.15</v>
      </c>
      <c r="J8806" s="18" t="n">
        <v>27.41</v>
      </c>
      <c r="K8806" s="19" t="n">
        <v>7.03</v>
      </c>
      <c r="L8806" s="15" t="n">
        <f aca="false">YEAR(B8806)</f>
        <v>2025</v>
      </c>
      <c r="M8806" s="20" t="n">
        <f aca="false">IF(J8806&gt;0,K8806/J8806,0)</f>
        <v>0.256475738781467</v>
      </c>
    </row>
    <row r="8807" customFormat="false" ht="15" hidden="false" customHeight="false" outlineLevel="0" collapsed="false">
      <c r="A8807" s="15" t="s">
        <v>8864</v>
      </c>
      <c r="B8807" s="16" t="n">
        <v>44960</v>
      </c>
      <c r="C8807" s="15" t="s">
        <v>71</v>
      </c>
      <c r="D8807" s="15" t="s">
        <v>43</v>
      </c>
      <c r="E8807" s="15" t="s">
        <v>36</v>
      </c>
      <c r="F8807" s="15" t="s">
        <v>18</v>
      </c>
      <c r="G8807" s="15" t="s">
        <v>30</v>
      </c>
      <c r="H8807" s="15" t="n">
        <v>3</v>
      </c>
      <c r="I8807" s="17" t="n">
        <v>0</v>
      </c>
      <c r="J8807" s="18" t="n">
        <v>121.63</v>
      </c>
      <c r="K8807" s="19" t="n">
        <v>35.71</v>
      </c>
      <c r="L8807" s="15" t="n">
        <f aca="false">YEAR(B8807)</f>
        <v>2023</v>
      </c>
      <c r="M8807" s="20" t="n">
        <f aca="false">IF(J8807&gt;0,K8807/J8807,0)</f>
        <v>0.293595330099482</v>
      </c>
    </row>
    <row r="8808" customFormat="false" ht="15" hidden="false" customHeight="false" outlineLevel="0" collapsed="false">
      <c r="A8808" s="15" t="s">
        <v>8865</v>
      </c>
      <c r="B8808" s="16" t="n">
        <v>45690</v>
      </c>
      <c r="C8808" s="15" t="s">
        <v>56</v>
      </c>
      <c r="D8808" s="15" t="s">
        <v>43</v>
      </c>
      <c r="E8808" s="15" t="s">
        <v>39</v>
      </c>
      <c r="F8808" s="15" t="s">
        <v>17</v>
      </c>
      <c r="G8808" s="15" t="s">
        <v>28</v>
      </c>
      <c r="H8808" s="15" t="n">
        <v>4</v>
      </c>
      <c r="I8808" s="17" t="n">
        <v>0</v>
      </c>
      <c r="J8808" s="18" t="n">
        <v>152.48</v>
      </c>
      <c r="K8808" s="19" t="n">
        <v>52.61</v>
      </c>
      <c r="L8808" s="15" t="n">
        <f aca="false">YEAR(B8808)</f>
        <v>2025</v>
      </c>
      <c r="M8808" s="20" t="n">
        <f aca="false">IF(J8808&gt;0,K8808/J8808,0)</f>
        <v>0.345028856243442</v>
      </c>
    </row>
    <row r="8809" customFormat="false" ht="15" hidden="false" customHeight="false" outlineLevel="0" collapsed="false">
      <c r="A8809" s="15" t="s">
        <v>8866</v>
      </c>
      <c r="B8809" s="16" t="n">
        <v>45782</v>
      </c>
      <c r="C8809" s="15" t="s">
        <v>68</v>
      </c>
      <c r="D8809" s="15" t="s">
        <v>42</v>
      </c>
      <c r="E8809" s="15" t="s">
        <v>39</v>
      </c>
      <c r="F8809" s="15" t="s">
        <v>16</v>
      </c>
      <c r="G8809" s="15" t="s">
        <v>27</v>
      </c>
      <c r="H8809" s="15" t="n">
        <v>3</v>
      </c>
      <c r="I8809" s="17" t="n">
        <v>0.05</v>
      </c>
      <c r="J8809" s="18" t="n">
        <v>163.98</v>
      </c>
      <c r="K8809" s="19" t="n">
        <v>34.7</v>
      </c>
      <c r="L8809" s="15" t="n">
        <f aca="false">YEAR(B8809)</f>
        <v>2025</v>
      </c>
      <c r="M8809" s="20" t="n">
        <f aca="false">IF(J8809&gt;0,K8809/J8809,0)</f>
        <v>0.211611172094158</v>
      </c>
    </row>
    <row r="8810" customFormat="false" ht="15" hidden="false" customHeight="false" outlineLevel="0" collapsed="false">
      <c r="A8810" s="15" t="s">
        <v>8867</v>
      </c>
      <c r="B8810" s="16" t="n">
        <v>45121</v>
      </c>
      <c r="C8810" s="15" t="s">
        <v>56</v>
      </c>
      <c r="D8810" s="15" t="s">
        <v>42</v>
      </c>
      <c r="E8810" s="15" t="s">
        <v>38</v>
      </c>
      <c r="F8810" s="15" t="s">
        <v>17</v>
      </c>
      <c r="G8810" s="15" t="s">
        <v>28</v>
      </c>
      <c r="H8810" s="15" t="n">
        <v>2</v>
      </c>
      <c r="I8810" s="17" t="n">
        <v>0</v>
      </c>
      <c r="J8810" s="18" t="n">
        <v>47.51</v>
      </c>
      <c r="K8810" s="19" t="n">
        <v>10.99</v>
      </c>
      <c r="L8810" s="15" t="n">
        <f aca="false">YEAR(B8810)</f>
        <v>2023</v>
      </c>
      <c r="M8810" s="20" t="n">
        <f aca="false">IF(J8810&gt;0,K8810/J8810,0)</f>
        <v>0.231319722163755</v>
      </c>
    </row>
    <row r="8811" customFormat="false" ht="15" hidden="false" customHeight="false" outlineLevel="0" collapsed="false">
      <c r="A8811" s="15" t="s">
        <v>8868</v>
      </c>
      <c r="B8811" s="16" t="n">
        <v>44720</v>
      </c>
      <c r="C8811" s="15" t="s">
        <v>56</v>
      </c>
      <c r="D8811" s="15" t="s">
        <v>43</v>
      </c>
      <c r="E8811" s="15" t="s">
        <v>37</v>
      </c>
      <c r="F8811" s="15" t="s">
        <v>16</v>
      </c>
      <c r="G8811" s="15" t="s">
        <v>27</v>
      </c>
      <c r="H8811" s="15" t="n">
        <v>1</v>
      </c>
      <c r="I8811" s="17" t="n">
        <v>0</v>
      </c>
      <c r="J8811" s="18" t="n">
        <v>71.25</v>
      </c>
      <c r="K8811" s="19" t="n">
        <v>14.91</v>
      </c>
      <c r="L8811" s="15" t="n">
        <f aca="false">YEAR(B8811)</f>
        <v>2022</v>
      </c>
      <c r="M8811" s="20" t="n">
        <f aca="false">IF(J8811&gt;0,K8811/J8811,0)</f>
        <v>0.209263157894737</v>
      </c>
    </row>
    <row r="8812" customFormat="false" ht="15" hidden="false" customHeight="false" outlineLevel="0" collapsed="false">
      <c r="A8812" s="15" t="s">
        <v>8869</v>
      </c>
      <c r="B8812" s="16" t="n">
        <v>45065</v>
      </c>
      <c r="C8812" s="15" t="s">
        <v>71</v>
      </c>
      <c r="D8812" s="15" t="s">
        <v>42</v>
      </c>
      <c r="E8812" s="15" t="s">
        <v>39</v>
      </c>
      <c r="F8812" s="15" t="s">
        <v>17</v>
      </c>
      <c r="G8812" s="15" t="s">
        <v>31</v>
      </c>
      <c r="H8812" s="15" t="n">
        <v>3</v>
      </c>
      <c r="I8812" s="17" t="n">
        <v>0.3</v>
      </c>
      <c r="J8812" s="18" t="n">
        <v>305.96</v>
      </c>
      <c r="K8812" s="19" t="n">
        <v>-28.06</v>
      </c>
      <c r="L8812" s="15" t="n">
        <f aca="false">YEAR(B8812)</f>
        <v>2023</v>
      </c>
      <c r="M8812" s="20" t="n">
        <f aca="false">IF(J8812&gt;0,K8812/J8812,0)</f>
        <v>-0.0917113348150085</v>
      </c>
    </row>
    <row r="8813" customFormat="false" ht="15" hidden="false" customHeight="false" outlineLevel="0" collapsed="false">
      <c r="A8813" s="15" t="s">
        <v>8870</v>
      </c>
      <c r="B8813" s="16" t="n">
        <v>45352</v>
      </c>
      <c r="C8813" s="15" t="s">
        <v>56</v>
      </c>
      <c r="D8813" s="15" t="s">
        <v>43</v>
      </c>
      <c r="E8813" s="15" t="s">
        <v>37</v>
      </c>
      <c r="F8813" s="15" t="s">
        <v>17</v>
      </c>
      <c r="G8813" s="15" t="s">
        <v>31</v>
      </c>
      <c r="H8813" s="15" t="n">
        <v>7</v>
      </c>
      <c r="I8813" s="17" t="n">
        <v>0</v>
      </c>
      <c r="J8813" s="18" t="n">
        <v>1160.1</v>
      </c>
      <c r="K8813" s="19" t="n">
        <v>103.24</v>
      </c>
      <c r="L8813" s="15" t="n">
        <f aca="false">YEAR(B8813)</f>
        <v>2024</v>
      </c>
      <c r="M8813" s="20" t="n">
        <f aca="false">IF(J8813&gt;0,K8813/J8813,0)</f>
        <v>0.0889923282475649</v>
      </c>
    </row>
    <row r="8814" customFormat="false" ht="15" hidden="false" customHeight="false" outlineLevel="0" collapsed="false">
      <c r="A8814" s="15" t="s">
        <v>8871</v>
      </c>
      <c r="B8814" s="16" t="n">
        <v>46004</v>
      </c>
      <c r="C8814" s="15" t="s">
        <v>56</v>
      </c>
      <c r="D8814" s="15" t="s">
        <v>42</v>
      </c>
      <c r="E8814" s="15" t="s">
        <v>38</v>
      </c>
      <c r="F8814" s="15" t="s">
        <v>17</v>
      </c>
      <c r="G8814" s="15" t="s">
        <v>28</v>
      </c>
      <c r="H8814" s="15" t="n">
        <v>5</v>
      </c>
      <c r="I8814" s="17" t="n">
        <v>0.05</v>
      </c>
      <c r="J8814" s="18" t="n">
        <v>128.79</v>
      </c>
      <c r="K8814" s="19" t="n">
        <v>39.36</v>
      </c>
      <c r="L8814" s="15" t="n">
        <f aca="false">YEAR(B8814)</f>
        <v>2025</v>
      </c>
      <c r="M8814" s="20" t="n">
        <f aca="false">IF(J8814&gt;0,K8814/J8814,0)</f>
        <v>0.305613789890519</v>
      </c>
    </row>
    <row r="8815" customFormat="false" ht="15" hidden="false" customHeight="false" outlineLevel="0" collapsed="false">
      <c r="A8815" s="15" t="s">
        <v>8872</v>
      </c>
      <c r="B8815" s="16" t="n">
        <v>45647</v>
      </c>
      <c r="C8815" s="15" t="s">
        <v>68</v>
      </c>
      <c r="D8815" s="15" t="s">
        <v>43</v>
      </c>
      <c r="E8815" s="15" t="s">
        <v>36</v>
      </c>
      <c r="F8815" s="15" t="s">
        <v>18</v>
      </c>
      <c r="G8815" s="15" t="s">
        <v>30</v>
      </c>
      <c r="H8815" s="15" t="n">
        <v>4</v>
      </c>
      <c r="I8815" s="17" t="n">
        <v>0</v>
      </c>
      <c r="J8815" s="18" t="n">
        <v>195.51</v>
      </c>
      <c r="K8815" s="19" t="n">
        <v>59.06</v>
      </c>
      <c r="L8815" s="15" t="n">
        <f aca="false">YEAR(B8815)</f>
        <v>2024</v>
      </c>
      <c r="M8815" s="20" t="n">
        <f aca="false">IF(J8815&gt;0,K8815/J8815,0)</f>
        <v>0.302081734949619</v>
      </c>
    </row>
    <row r="8816" customFormat="false" ht="15" hidden="false" customHeight="false" outlineLevel="0" collapsed="false">
      <c r="A8816" s="15" t="s">
        <v>8873</v>
      </c>
      <c r="B8816" s="16" t="n">
        <v>44946</v>
      </c>
      <c r="C8816" s="15" t="s">
        <v>68</v>
      </c>
      <c r="D8816" s="15" t="s">
        <v>42</v>
      </c>
      <c r="E8816" s="15" t="s">
        <v>38</v>
      </c>
      <c r="F8816" s="15" t="s">
        <v>16</v>
      </c>
      <c r="G8816" s="15" t="s">
        <v>25</v>
      </c>
      <c r="H8816" s="15" t="n">
        <v>2</v>
      </c>
      <c r="I8816" s="17" t="n">
        <v>0.05</v>
      </c>
      <c r="J8816" s="18" t="n">
        <v>482.24</v>
      </c>
      <c r="K8816" s="19" t="n">
        <v>49.6</v>
      </c>
      <c r="L8816" s="15" t="n">
        <f aca="false">YEAR(B8816)</f>
        <v>2023</v>
      </c>
      <c r="M8816" s="20" t="n">
        <f aca="false">IF(J8816&gt;0,K8816/J8816,0)</f>
        <v>0.102853351028534</v>
      </c>
    </row>
    <row r="8817" customFormat="false" ht="15" hidden="false" customHeight="false" outlineLevel="0" collapsed="false">
      <c r="A8817" s="15" t="s">
        <v>8874</v>
      </c>
      <c r="B8817" s="16" t="n">
        <v>45786</v>
      </c>
      <c r="C8817" s="15" t="s">
        <v>56</v>
      </c>
      <c r="D8817" s="15" t="s">
        <v>42</v>
      </c>
      <c r="E8817" s="15" t="s">
        <v>39</v>
      </c>
      <c r="F8817" s="15" t="s">
        <v>17</v>
      </c>
      <c r="G8817" s="15" t="s">
        <v>29</v>
      </c>
      <c r="H8817" s="15" t="n">
        <v>3</v>
      </c>
      <c r="I8817" s="17" t="n">
        <v>0.1</v>
      </c>
      <c r="J8817" s="18" t="n">
        <v>51.97</v>
      </c>
      <c r="K8817" s="19" t="n">
        <v>15.23</v>
      </c>
      <c r="L8817" s="15" t="n">
        <f aca="false">YEAR(B8817)</f>
        <v>2025</v>
      </c>
      <c r="M8817" s="20" t="n">
        <f aca="false">IF(J8817&gt;0,K8817/J8817,0)</f>
        <v>0.293053684818164</v>
      </c>
    </row>
    <row r="8818" customFormat="false" ht="15" hidden="false" customHeight="false" outlineLevel="0" collapsed="false">
      <c r="A8818" s="15" t="s">
        <v>8875</v>
      </c>
      <c r="B8818" s="16" t="n">
        <v>44620</v>
      </c>
      <c r="C8818" s="15" t="s">
        <v>68</v>
      </c>
      <c r="D8818" s="15" t="s">
        <v>43</v>
      </c>
      <c r="E8818" s="15" t="s">
        <v>39</v>
      </c>
      <c r="F8818" s="15" t="s">
        <v>16</v>
      </c>
      <c r="G8818" s="15" t="s">
        <v>25</v>
      </c>
      <c r="H8818" s="15" t="n">
        <v>3</v>
      </c>
      <c r="I8818" s="17" t="n">
        <v>0.1</v>
      </c>
      <c r="J8818" s="18" t="n">
        <v>827.48</v>
      </c>
      <c r="K8818" s="19" t="n">
        <v>42.1</v>
      </c>
      <c r="L8818" s="15" t="n">
        <f aca="false">YEAR(B8818)</f>
        <v>2022</v>
      </c>
      <c r="M8818" s="20" t="n">
        <f aca="false">IF(J8818&gt;0,K8818/J8818,0)</f>
        <v>0.0508773625948663</v>
      </c>
    </row>
    <row r="8819" customFormat="false" ht="15" hidden="false" customHeight="false" outlineLevel="0" collapsed="false">
      <c r="A8819" s="15" t="s">
        <v>8876</v>
      </c>
      <c r="B8819" s="16" t="n">
        <v>45882</v>
      </c>
      <c r="C8819" s="15" t="s">
        <v>71</v>
      </c>
      <c r="D8819" s="15" t="s">
        <v>43</v>
      </c>
      <c r="E8819" s="15" t="s">
        <v>39</v>
      </c>
      <c r="F8819" s="15" t="s">
        <v>16</v>
      </c>
      <c r="G8819" s="15" t="s">
        <v>27</v>
      </c>
      <c r="H8819" s="15" t="n">
        <v>3</v>
      </c>
      <c r="I8819" s="17" t="n">
        <v>0</v>
      </c>
      <c r="J8819" s="18" t="n">
        <v>207.99</v>
      </c>
      <c r="K8819" s="19" t="n">
        <v>63.93</v>
      </c>
      <c r="L8819" s="15" t="n">
        <f aca="false">YEAR(B8819)</f>
        <v>2025</v>
      </c>
      <c r="M8819" s="20" t="n">
        <f aca="false">IF(J8819&gt;0,K8819/J8819,0)</f>
        <v>0.307370546660897</v>
      </c>
    </row>
    <row r="8820" customFormat="false" ht="15" hidden="false" customHeight="false" outlineLevel="0" collapsed="false">
      <c r="A8820" s="15" t="s">
        <v>8877</v>
      </c>
      <c r="B8820" s="16" t="n">
        <v>45143</v>
      </c>
      <c r="C8820" s="15" t="s">
        <v>56</v>
      </c>
      <c r="D8820" s="15" t="s">
        <v>42</v>
      </c>
      <c r="E8820" s="15" t="s">
        <v>38</v>
      </c>
      <c r="F8820" s="15" t="s">
        <v>17</v>
      </c>
      <c r="G8820" s="15" t="s">
        <v>28</v>
      </c>
      <c r="H8820" s="15" t="n">
        <v>5</v>
      </c>
      <c r="I8820" s="17" t="n">
        <v>0.1</v>
      </c>
      <c r="J8820" s="18" t="n">
        <v>96.79</v>
      </c>
      <c r="K8820" s="19" t="n">
        <v>17.9</v>
      </c>
      <c r="L8820" s="15" t="n">
        <f aca="false">YEAR(B8820)</f>
        <v>2023</v>
      </c>
      <c r="M8820" s="20" t="n">
        <f aca="false">IF(J8820&gt;0,K8820/J8820,0)</f>
        <v>0.184936460378138</v>
      </c>
    </row>
    <row r="8821" customFormat="false" ht="15" hidden="false" customHeight="false" outlineLevel="0" collapsed="false">
      <c r="A8821" s="15" t="s">
        <v>8878</v>
      </c>
      <c r="B8821" s="16" t="n">
        <v>45912</v>
      </c>
      <c r="C8821" s="15" t="s">
        <v>58</v>
      </c>
      <c r="D8821" s="15" t="s">
        <v>42</v>
      </c>
      <c r="E8821" s="15" t="s">
        <v>36</v>
      </c>
      <c r="F8821" s="15" t="s">
        <v>17</v>
      </c>
      <c r="G8821" s="15" t="s">
        <v>28</v>
      </c>
      <c r="H8821" s="15" t="n">
        <v>2</v>
      </c>
      <c r="I8821" s="17" t="n">
        <v>0.5</v>
      </c>
      <c r="J8821" s="18" t="n">
        <v>27.23</v>
      </c>
      <c r="K8821" s="19" t="n">
        <v>-5.89</v>
      </c>
      <c r="L8821" s="15" t="n">
        <f aca="false">YEAR(B8821)</f>
        <v>2025</v>
      </c>
      <c r="M8821" s="20" t="n">
        <f aca="false">IF(J8821&gt;0,K8821/J8821,0)</f>
        <v>-0.216305545354389</v>
      </c>
    </row>
    <row r="8822" customFormat="false" ht="15" hidden="false" customHeight="false" outlineLevel="0" collapsed="false">
      <c r="A8822" s="15" t="s">
        <v>8879</v>
      </c>
      <c r="B8822" s="16" t="n">
        <v>45032</v>
      </c>
      <c r="C8822" s="15" t="s">
        <v>56</v>
      </c>
      <c r="D8822" s="15" t="s">
        <v>44</v>
      </c>
      <c r="E8822" s="15" t="s">
        <v>36</v>
      </c>
      <c r="F8822" s="15" t="s">
        <v>18</v>
      </c>
      <c r="G8822" s="15" t="s">
        <v>32</v>
      </c>
      <c r="H8822" s="15" t="n">
        <v>2</v>
      </c>
      <c r="I8822" s="17" t="n">
        <v>0.05</v>
      </c>
      <c r="J8822" s="18" t="n">
        <v>904.82</v>
      </c>
      <c r="K8822" s="19" t="n">
        <v>176.4</v>
      </c>
      <c r="L8822" s="15" t="n">
        <f aca="false">YEAR(B8822)</f>
        <v>2023</v>
      </c>
      <c r="M8822" s="20" t="n">
        <f aca="false">IF(J8822&gt;0,K8822/J8822,0)</f>
        <v>0.194955902831502</v>
      </c>
    </row>
    <row r="8823" customFormat="false" ht="15" hidden="false" customHeight="false" outlineLevel="0" collapsed="false">
      <c r="A8823" s="15" t="s">
        <v>8880</v>
      </c>
      <c r="B8823" s="16" t="n">
        <v>45372</v>
      </c>
      <c r="C8823" s="15" t="s">
        <v>71</v>
      </c>
      <c r="D8823" s="15" t="s">
        <v>43</v>
      </c>
      <c r="E8823" s="15" t="s">
        <v>38</v>
      </c>
      <c r="F8823" s="15" t="s">
        <v>17</v>
      </c>
      <c r="G8823" s="15" t="s">
        <v>31</v>
      </c>
      <c r="H8823" s="15" t="n">
        <v>4</v>
      </c>
      <c r="I8823" s="17" t="n">
        <v>0.1</v>
      </c>
      <c r="J8823" s="18" t="n">
        <v>397.56</v>
      </c>
      <c r="K8823" s="19" t="n">
        <v>35.29</v>
      </c>
      <c r="L8823" s="15" t="n">
        <f aca="false">YEAR(B8823)</f>
        <v>2024</v>
      </c>
      <c r="M8823" s="20" t="n">
        <f aca="false">IF(J8823&gt;0,K8823/J8823,0)</f>
        <v>0.0887664755005534</v>
      </c>
    </row>
    <row r="8824" customFormat="false" ht="15" hidden="false" customHeight="false" outlineLevel="0" collapsed="false">
      <c r="A8824" s="15" t="s">
        <v>8881</v>
      </c>
      <c r="B8824" s="16" t="n">
        <v>45339</v>
      </c>
      <c r="C8824" s="15" t="s">
        <v>71</v>
      </c>
      <c r="D8824" s="15" t="s">
        <v>44</v>
      </c>
      <c r="E8824" s="15" t="s">
        <v>39</v>
      </c>
      <c r="F8824" s="15" t="s">
        <v>17</v>
      </c>
      <c r="G8824" s="15" t="s">
        <v>28</v>
      </c>
      <c r="H8824" s="15" t="n">
        <v>3</v>
      </c>
      <c r="I8824" s="17" t="n">
        <v>0</v>
      </c>
      <c r="J8824" s="18" t="n">
        <v>107.17</v>
      </c>
      <c r="K8824" s="19" t="n">
        <v>36.88</v>
      </c>
      <c r="L8824" s="15" t="n">
        <f aca="false">YEAR(B8824)</f>
        <v>2024</v>
      </c>
      <c r="M8824" s="20" t="n">
        <f aca="false">IF(J8824&gt;0,K8824/J8824,0)</f>
        <v>0.344126154707474</v>
      </c>
    </row>
    <row r="8825" customFormat="false" ht="15" hidden="false" customHeight="false" outlineLevel="0" collapsed="false">
      <c r="A8825" s="15" t="s">
        <v>8882</v>
      </c>
      <c r="B8825" s="16" t="n">
        <v>44621</v>
      </c>
      <c r="C8825" s="15" t="s">
        <v>71</v>
      </c>
      <c r="D8825" s="15" t="s">
        <v>42</v>
      </c>
      <c r="E8825" s="15" t="s">
        <v>39</v>
      </c>
      <c r="F8825" s="15" t="s">
        <v>16</v>
      </c>
      <c r="G8825" s="15" t="s">
        <v>27</v>
      </c>
      <c r="H8825" s="15" t="n">
        <v>4</v>
      </c>
      <c r="I8825" s="17" t="n">
        <v>0.2</v>
      </c>
      <c r="J8825" s="18" t="n">
        <v>184.48</v>
      </c>
      <c r="K8825" s="19" t="n">
        <v>5.31</v>
      </c>
      <c r="L8825" s="15" t="n">
        <f aca="false">YEAR(B8825)</f>
        <v>2022</v>
      </c>
      <c r="M8825" s="20" t="n">
        <f aca="false">IF(J8825&gt;0,K8825/J8825,0)</f>
        <v>0.0287836079791847</v>
      </c>
    </row>
    <row r="8826" customFormat="false" ht="15" hidden="false" customHeight="false" outlineLevel="0" collapsed="false">
      <c r="A8826" s="15" t="s">
        <v>8883</v>
      </c>
      <c r="B8826" s="16" t="n">
        <v>45236</v>
      </c>
      <c r="C8826" s="15" t="s">
        <v>58</v>
      </c>
      <c r="D8826" s="15" t="s">
        <v>43</v>
      </c>
      <c r="E8826" s="15" t="s">
        <v>38</v>
      </c>
      <c r="F8826" s="15" t="s">
        <v>18</v>
      </c>
      <c r="G8826" s="15" t="s">
        <v>32</v>
      </c>
      <c r="H8826" s="15" t="n">
        <v>4</v>
      </c>
      <c r="I8826" s="17" t="n">
        <v>0.1</v>
      </c>
      <c r="J8826" s="18" t="n">
        <v>1401.98</v>
      </c>
      <c r="K8826" s="19" t="n">
        <v>38</v>
      </c>
      <c r="L8826" s="15" t="n">
        <f aca="false">YEAR(B8826)</f>
        <v>2023</v>
      </c>
      <c r="M8826" s="20" t="n">
        <f aca="false">IF(J8826&gt;0,K8826/J8826,0)</f>
        <v>0.0271045236023338</v>
      </c>
    </row>
    <row r="8827" customFormat="false" ht="15" hidden="false" customHeight="false" outlineLevel="0" collapsed="false">
      <c r="A8827" s="15" t="s">
        <v>8884</v>
      </c>
      <c r="B8827" s="16" t="n">
        <v>45467</v>
      </c>
      <c r="C8827" s="15" t="s">
        <v>68</v>
      </c>
      <c r="D8827" s="15" t="s">
        <v>42</v>
      </c>
      <c r="E8827" s="15" t="s">
        <v>36</v>
      </c>
      <c r="F8827" s="15" t="s">
        <v>17</v>
      </c>
      <c r="G8827" s="15" t="s">
        <v>28</v>
      </c>
      <c r="H8827" s="15" t="n">
        <v>2</v>
      </c>
      <c r="I8827" s="17" t="n">
        <v>0</v>
      </c>
      <c r="J8827" s="18" t="n">
        <v>46.4</v>
      </c>
      <c r="K8827" s="19" t="n">
        <v>12.15</v>
      </c>
      <c r="L8827" s="15" t="n">
        <f aca="false">YEAR(B8827)</f>
        <v>2024</v>
      </c>
      <c r="M8827" s="20" t="n">
        <f aca="false">IF(J8827&gt;0,K8827/J8827,0)</f>
        <v>0.261853448275862</v>
      </c>
    </row>
    <row r="8828" customFormat="false" ht="15" hidden="false" customHeight="false" outlineLevel="0" collapsed="false">
      <c r="A8828" s="15" t="s">
        <v>8885</v>
      </c>
      <c r="B8828" s="16" t="n">
        <v>45555</v>
      </c>
      <c r="C8828" s="15" t="s">
        <v>56</v>
      </c>
      <c r="D8828" s="15" t="s">
        <v>43</v>
      </c>
      <c r="E8828" s="15" t="s">
        <v>36</v>
      </c>
      <c r="F8828" s="15" t="s">
        <v>17</v>
      </c>
      <c r="G8828" s="15" t="s">
        <v>28</v>
      </c>
      <c r="H8828" s="15" t="n">
        <v>5</v>
      </c>
      <c r="I8828" s="17" t="n">
        <v>0.3</v>
      </c>
      <c r="J8828" s="18" t="n">
        <v>83.37</v>
      </c>
      <c r="K8828" s="19" t="n">
        <v>6.21</v>
      </c>
      <c r="L8828" s="15" t="n">
        <f aca="false">YEAR(B8828)</f>
        <v>2024</v>
      </c>
      <c r="M8828" s="20" t="n">
        <f aca="false">IF(J8828&gt;0,K8828/J8828,0)</f>
        <v>0.0744872256207269</v>
      </c>
    </row>
    <row r="8829" customFormat="false" ht="15" hidden="false" customHeight="false" outlineLevel="0" collapsed="false">
      <c r="A8829" s="15" t="s">
        <v>8886</v>
      </c>
      <c r="B8829" s="16" t="n">
        <v>45594</v>
      </c>
      <c r="C8829" s="15" t="s">
        <v>71</v>
      </c>
      <c r="D8829" s="15" t="s">
        <v>42</v>
      </c>
      <c r="E8829" s="15" t="s">
        <v>39</v>
      </c>
      <c r="F8829" s="15" t="s">
        <v>17</v>
      </c>
      <c r="G8829" s="15" t="s">
        <v>29</v>
      </c>
      <c r="H8829" s="15" t="n">
        <v>1</v>
      </c>
      <c r="I8829" s="17" t="n">
        <v>0</v>
      </c>
      <c r="J8829" s="18" t="n">
        <v>22.31</v>
      </c>
      <c r="K8829" s="19" t="n">
        <v>7.11</v>
      </c>
      <c r="L8829" s="15" t="n">
        <f aca="false">YEAR(B8829)</f>
        <v>2024</v>
      </c>
      <c r="M8829" s="20" t="n">
        <f aca="false">IF(J8829&gt;0,K8829/J8829,0)</f>
        <v>0.318691169878978</v>
      </c>
    </row>
    <row r="8830" customFormat="false" ht="15" hidden="false" customHeight="false" outlineLevel="0" collapsed="false">
      <c r="A8830" s="15" t="s">
        <v>8887</v>
      </c>
      <c r="B8830" s="16" t="n">
        <v>44909</v>
      </c>
      <c r="C8830" s="15" t="s">
        <v>56</v>
      </c>
      <c r="D8830" s="15" t="s">
        <v>42</v>
      </c>
      <c r="E8830" s="15" t="s">
        <v>36</v>
      </c>
      <c r="F8830" s="15" t="s">
        <v>17</v>
      </c>
      <c r="G8830" s="15" t="s">
        <v>28</v>
      </c>
      <c r="H8830" s="15" t="n">
        <v>2</v>
      </c>
      <c r="I8830" s="17" t="n">
        <v>0.15</v>
      </c>
      <c r="J8830" s="18" t="n">
        <v>36.02</v>
      </c>
      <c r="K8830" s="19" t="n">
        <v>5.47</v>
      </c>
      <c r="L8830" s="15" t="n">
        <f aca="false">YEAR(B8830)</f>
        <v>2022</v>
      </c>
      <c r="M8830" s="20" t="n">
        <f aca="false">IF(J8830&gt;0,K8830/J8830,0)</f>
        <v>0.151860077734592</v>
      </c>
    </row>
    <row r="8831" customFormat="false" ht="15" hidden="false" customHeight="false" outlineLevel="0" collapsed="false">
      <c r="A8831" s="15" t="s">
        <v>8888</v>
      </c>
      <c r="B8831" s="16" t="n">
        <v>45503</v>
      </c>
      <c r="C8831" s="15" t="s">
        <v>68</v>
      </c>
      <c r="D8831" s="15" t="s">
        <v>42</v>
      </c>
      <c r="E8831" s="15" t="s">
        <v>36</v>
      </c>
      <c r="F8831" s="15" t="s">
        <v>17</v>
      </c>
      <c r="G8831" s="15" t="s">
        <v>28</v>
      </c>
      <c r="H8831" s="15" t="n">
        <v>3</v>
      </c>
      <c r="I8831" s="17" t="n">
        <v>0.1</v>
      </c>
      <c r="J8831" s="18" t="n">
        <v>64.38</v>
      </c>
      <c r="K8831" s="19" t="n">
        <v>15.1</v>
      </c>
      <c r="L8831" s="15" t="n">
        <f aca="false">YEAR(B8831)</f>
        <v>2024</v>
      </c>
      <c r="M8831" s="20" t="n">
        <f aca="false">IF(J8831&gt;0,K8831/J8831,0)</f>
        <v>0.234544889717304</v>
      </c>
    </row>
    <row r="8832" customFormat="false" ht="15" hidden="false" customHeight="false" outlineLevel="0" collapsed="false">
      <c r="A8832" s="15" t="s">
        <v>8889</v>
      </c>
      <c r="B8832" s="16" t="n">
        <v>45517</v>
      </c>
      <c r="C8832" s="15" t="s">
        <v>56</v>
      </c>
      <c r="D8832" s="15" t="s">
        <v>43</v>
      </c>
      <c r="E8832" s="15" t="s">
        <v>38</v>
      </c>
      <c r="F8832" s="15" t="s">
        <v>16</v>
      </c>
      <c r="G8832" s="15" t="s">
        <v>27</v>
      </c>
      <c r="H8832" s="15" t="n">
        <v>4</v>
      </c>
      <c r="I8832" s="17" t="n">
        <v>0</v>
      </c>
      <c r="J8832" s="18" t="n">
        <v>194.03</v>
      </c>
      <c r="K8832" s="19" t="n">
        <v>28.07</v>
      </c>
      <c r="L8832" s="15" t="n">
        <f aca="false">YEAR(B8832)</f>
        <v>2024</v>
      </c>
      <c r="M8832" s="20" t="n">
        <f aca="false">IF(J8832&gt;0,K8832/J8832,0)</f>
        <v>0.144668350255115</v>
      </c>
    </row>
    <row r="8833" customFormat="false" ht="15" hidden="false" customHeight="false" outlineLevel="0" collapsed="false">
      <c r="A8833" s="15" t="s">
        <v>8890</v>
      </c>
      <c r="B8833" s="16" t="n">
        <v>45686</v>
      </c>
      <c r="C8833" s="15" t="s">
        <v>71</v>
      </c>
      <c r="D8833" s="15" t="s">
        <v>44</v>
      </c>
      <c r="E8833" s="15" t="s">
        <v>37</v>
      </c>
      <c r="F8833" s="15" t="s">
        <v>17</v>
      </c>
      <c r="G8833" s="15" t="s">
        <v>28</v>
      </c>
      <c r="H8833" s="15" t="n">
        <v>3</v>
      </c>
      <c r="I8833" s="17" t="n">
        <v>0</v>
      </c>
      <c r="J8833" s="18" t="n">
        <v>89.45</v>
      </c>
      <c r="K8833" s="19" t="n">
        <v>29.51</v>
      </c>
      <c r="L8833" s="15" t="n">
        <f aca="false">YEAR(B8833)</f>
        <v>2025</v>
      </c>
      <c r="M8833" s="20" t="n">
        <f aca="false">IF(J8833&gt;0,K8833/J8833,0)</f>
        <v>0.329904974846283</v>
      </c>
    </row>
    <row r="8834" customFormat="false" ht="15" hidden="false" customHeight="false" outlineLevel="0" collapsed="false">
      <c r="A8834" s="15" t="s">
        <v>8891</v>
      </c>
      <c r="B8834" s="16" t="n">
        <v>46014</v>
      </c>
      <c r="C8834" s="15" t="s">
        <v>56</v>
      </c>
      <c r="D8834" s="15" t="s">
        <v>43</v>
      </c>
      <c r="E8834" s="15" t="s">
        <v>39</v>
      </c>
      <c r="F8834" s="15" t="s">
        <v>17</v>
      </c>
      <c r="G8834" s="15" t="s">
        <v>29</v>
      </c>
      <c r="H8834" s="15" t="n">
        <v>5</v>
      </c>
      <c r="I8834" s="17" t="n">
        <v>0</v>
      </c>
      <c r="J8834" s="18" t="n">
        <v>89.96</v>
      </c>
      <c r="K8834" s="19" t="n">
        <v>34.47</v>
      </c>
      <c r="L8834" s="15" t="n">
        <f aca="false">YEAR(B8834)</f>
        <v>2025</v>
      </c>
      <c r="M8834" s="20" t="n">
        <f aca="false">IF(J8834&gt;0,K8834/J8834,0)</f>
        <v>0.383170297910182</v>
      </c>
    </row>
    <row r="8835" customFormat="false" ht="15" hidden="false" customHeight="false" outlineLevel="0" collapsed="false">
      <c r="A8835" s="15" t="s">
        <v>8892</v>
      </c>
      <c r="B8835" s="16" t="n">
        <v>45603</v>
      </c>
      <c r="C8835" s="15" t="s">
        <v>56</v>
      </c>
      <c r="D8835" s="15" t="s">
        <v>44</v>
      </c>
      <c r="E8835" s="15" t="s">
        <v>37</v>
      </c>
      <c r="F8835" s="15" t="s">
        <v>17</v>
      </c>
      <c r="G8835" s="15" t="s">
        <v>28</v>
      </c>
      <c r="H8835" s="15" t="n">
        <v>2</v>
      </c>
      <c r="I8835" s="17" t="n">
        <v>0.1</v>
      </c>
      <c r="J8835" s="18" t="n">
        <v>53.88</v>
      </c>
      <c r="K8835" s="19" t="n">
        <v>14.07</v>
      </c>
      <c r="L8835" s="15" t="n">
        <f aca="false">YEAR(B8835)</f>
        <v>2024</v>
      </c>
      <c r="M8835" s="20" t="n">
        <f aca="false">IF(J8835&gt;0,K8835/J8835,0)</f>
        <v>0.261135857461024</v>
      </c>
    </row>
    <row r="8836" customFormat="false" ht="15" hidden="false" customHeight="false" outlineLevel="0" collapsed="false">
      <c r="A8836" s="15" t="s">
        <v>8893</v>
      </c>
      <c r="B8836" s="16" t="n">
        <v>45934</v>
      </c>
      <c r="C8836" s="15" t="s">
        <v>56</v>
      </c>
      <c r="D8836" s="15" t="s">
        <v>43</v>
      </c>
      <c r="E8836" s="15" t="s">
        <v>36</v>
      </c>
      <c r="F8836" s="15" t="s">
        <v>17</v>
      </c>
      <c r="G8836" s="15" t="s">
        <v>29</v>
      </c>
      <c r="H8836" s="15" t="n">
        <v>2</v>
      </c>
      <c r="I8836" s="17" t="n">
        <v>0.2</v>
      </c>
      <c r="J8836" s="18" t="n">
        <v>32.13</v>
      </c>
      <c r="K8836" s="19" t="n">
        <v>8.55</v>
      </c>
      <c r="L8836" s="15" t="n">
        <f aca="false">YEAR(B8836)</f>
        <v>2025</v>
      </c>
      <c r="M8836" s="20" t="n">
        <f aca="false">IF(J8836&gt;0,K8836/J8836,0)</f>
        <v>0.266106442577031</v>
      </c>
    </row>
    <row r="8837" customFormat="false" ht="15" hidden="false" customHeight="false" outlineLevel="0" collapsed="false">
      <c r="A8837" s="15" t="s">
        <v>8894</v>
      </c>
      <c r="B8837" s="16" t="n">
        <v>44768</v>
      </c>
      <c r="C8837" s="15" t="s">
        <v>56</v>
      </c>
      <c r="D8837" s="15" t="s">
        <v>43</v>
      </c>
      <c r="E8837" s="15" t="s">
        <v>36</v>
      </c>
      <c r="F8837" s="15" t="s">
        <v>18</v>
      </c>
      <c r="G8837" s="15" t="s">
        <v>30</v>
      </c>
      <c r="H8837" s="15" t="n">
        <v>2</v>
      </c>
      <c r="I8837" s="17" t="n">
        <v>0</v>
      </c>
      <c r="J8837" s="18" t="n">
        <v>100.99</v>
      </c>
      <c r="K8837" s="19" t="n">
        <v>27.17</v>
      </c>
      <c r="L8837" s="15" t="n">
        <f aca="false">YEAR(B8837)</f>
        <v>2022</v>
      </c>
      <c r="M8837" s="20" t="n">
        <f aca="false">IF(J8837&gt;0,K8837/J8837,0)</f>
        <v>0.269036538271116</v>
      </c>
    </row>
    <row r="8838" customFormat="false" ht="15" hidden="false" customHeight="false" outlineLevel="0" collapsed="false">
      <c r="A8838" s="15" t="s">
        <v>8895</v>
      </c>
      <c r="B8838" s="16" t="n">
        <v>45433</v>
      </c>
      <c r="C8838" s="15" t="s">
        <v>68</v>
      </c>
      <c r="D8838" s="15" t="s">
        <v>42</v>
      </c>
      <c r="E8838" s="15" t="s">
        <v>39</v>
      </c>
      <c r="F8838" s="15" t="s">
        <v>16</v>
      </c>
      <c r="G8838" s="15" t="s">
        <v>23</v>
      </c>
      <c r="H8838" s="15" t="n">
        <v>7</v>
      </c>
      <c r="I8838" s="17" t="n">
        <v>0.1</v>
      </c>
      <c r="J8838" s="18" t="n">
        <v>1853.77</v>
      </c>
      <c r="K8838" s="19" t="n">
        <v>-120.72</v>
      </c>
      <c r="L8838" s="15" t="n">
        <f aca="false">YEAR(B8838)</f>
        <v>2024</v>
      </c>
      <c r="M8838" s="20" t="n">
        <f aca="false">IF(J8838&gt;0,K8838/J8838,0)</f>
        <v>-0.0651213473084579</v>
      </c>
    </row>
    <row r="8839" customFormat="false" ht="15" hidden="false" customHeight="false" outlineLevel="0" collapsed="false">
      <c r="A8839" s="15" t="s">
        <v>8896</v>
      </c>
      <c r="B8839" s="16" t="n">
        <v>44731</v>
      </c>
      <c r="C8839" s="15" t="s">
        <v>68</v>
      </c>
      <c r="D8839" s="15" t="s">
        <v>44</v>
      </c>
      <c r="E8839" s="15" t="s">
        <v>37</v>
      </c>
      <c r="F8839" s="15" t="s">
        <v>18</v>
      </c>
      <c r="G8839" s="15" t="s">
        <v>30</v>
      </c>
      <c r="H8839" s="15" t="n">
        <v>1</v>
      </c>
      <c r="I8839" s="17" t="n">
        <v>0</v>
      </c>
      <c r="J8839" s="18" t="n">
        <v>44.13</v>
      </c>
      <c r="K8839" s="19" t="n">
        <v>16.58</v>
      </c>
      <c r="L8839" s="15" t="n">
        <f aca="false">YEAR(B8839)</f>
        <v>2022</v>
      </c>
      <c r="M8839" s="20" t="n">
        <f aca="false">IF(J8839&gt;0,K8839/J8839,0)</f>
        <v>0.375708135055518</v>
      </c>
    </row>
    <row r="8840" customFormat="false" ht="15" hidden="false" customHeight="false" outlineLevel="0" collapsed="false">
      <c r="A8840" s="15" t="s">
        <v>8897</v>
      </c>
      <c r="B8840" s="16" t="n">
        <v>45259</v>
      </c>
      <c r="C8840" s="15" t="s">
        <v>56</v>
      </c>
      <c r="D8840" s="15" t="s">
        <v>44</v>
      </c>
      <c r="E8840" s="15" t="s">
        <v>39</v>
      </c>
      <c r="F8840" s="15" t="s">
        <v>17</v>
      </c>
      <c r="G8840" s="15" t="s">
        <v>29</v>
      </c>
      <c r="H8840" s="15" t="n">
        <v>3</v>
      </c>
      <c r="I8840" s="17" t="n">
        <v>0</v>
      </c>
      <c r="J8840" s="18" t="n">
        <v>51.21</v>
      </c>
      <c r="K8840" s="19" t="n">
        <v>20.2</v>
      </c>
      <c r="L8840" s="15" t="n">
        <f aca="false">YEAR(B8840)</f>
        <v>2023</v>
      </c>
      <c r="M8840" s="20" t="n">
        <f aca="false">IF(J8840&gt;0,K8840/J8840,0)</f>
        <v>0.394454208162468</v>
      </c>
    </row>
    <row r="8841" customFormat="false" ht="15" hidden="false" customHeight="false" outlineLevel="0" collapsed="false">
      <c r="A8841" s="15" t="s">
        <v>8898</v>
      </c>
      <c r="B8841" s="16" t="n">
        <v>44899</v>
      </c>
      <c r="C8841" s="15" t="s">
        <v>68</v>
      </c>
      <c r="D8841" s="15" t="s">
        <v>44</v>
      </c>
      <c r="E8841" s="15" t="s">
        <v>36</v>
      </c>
      <c r="F8841" s="15" t="s">
        <v>17</v>
      </c>
      <c r="G8841" s="15" t="s">
        <v>31</v>
      </c>
      <c r="H8841" s="15" t="n">
        <v>2</v>
      </c>
      <c r="I8841" s="17" t="n">
        <v>0.2</v>
      </c>
      <c r="J8841" s="18" t="n">
        <v>196.25</v>
      </c>
      <c r="K8841" s="19" t="n">
        <v>4.36</v>
      </c>
      <c r="L8841" s="15" t="n">
        <f aca="false">YEAR(B8841)</f>
        <v>2022</v>
      </c>
      <c r="M8841" s="20" t="n">
        <f aca="false">IF(J8841&gt;0,K8841/J8841,0)</f>
        <v>0.0222165605095541</v>
      </c>
    </row>
    <row r="8842" customFormat="false" ht="15" hidden="false" customHeight="false" outlineLevel="0" collapsed="false">
      <c r="A8842" s="15" t="s">
        <v>8899</v>
      </c>
      <c r="B8842" s="16" t="n">
        <v>45809</v>
      </c>
      <c r="C8842" s="15" t="s">
        <v>68</v>
      </c>
      <c r="D8842" s="15" t="s">
        <v>44</v>
      </c>
      <c r="E8842" s="15" t="s">
        <v>37</v>
      </c>
      <c r="F8842" s="15" t="s">
        <v>17</v>
      </c>
      <c r="G8842" s="15" t="s">
        <v>31</v>
      </c>
      <c r="H8842" s="15" t="n">
        <v>5</v>
      </c>
      <c r="I8842" s="17" t="n">
        <v>0.2</v>
      </c>
      <c r="J8842" s="18" t="n">
        <v>532.74</v>
      </c>
      <c r="K8842" s="19" t="n">
        <v>13.7</v>
      </c>
      <c r="L8842" s="15" t="n">
        <f aca="false">YEAR(B8842)</f>
        <v>2025</v>
      </c>
      <c r="M8842" s="20" t="n">
        <f aca="false">IF(J8842&gt;0,K8842/J8842,0)</f>
        <v>0.0257161091714532</v>
      </c>
    </row>
    <row r="8843" customFormat="false" ht="15" hidden="false" customHeight="false" outlineLevel="0" collapsed="false">
      <c r="A8843" s="15" t="s">
        <v>8900</v>
      </c>
      <c r="B8843" s="16" t="n">
        <v>45851</v>
      </c>
      <c r="C8843" s="15" t="s">
        <v>56</v>
      </c>
      <c r="D8843" s="15" t="s">
        <v>42</v>
      </c>
      <c r="E8843" s="15" t="s">
        <v>37</v>
      </c>
      <c r="F8843" s="15" t="s">
        <v>17</v>
      </c>
      <c r="G8843" s="15" t="s">
        <v>26</v>
      </c>
      <c r="H8843" s="15" t="n">
        <v>4</v>
      </c>
      <c r="I8843" s="17" t="n">
        <v>0.15</v>
      </c>
      <c r="J8843" s="18" t="n">
        <v>287.95</v>
      </c>
      <c r="K8843" s="19" t="n">
        <v>-8.92</v>
      </c>
      <c r="L8843" s="15" t="n">
        <f aca="false">YEAR(B8843)</f>
        <v>2025</v>
      </c>
      <c r="M8843" s="20" t="n">
        <f aca="false">IF(J8843&gt;0,K8843/J8843,0)</f>
        <v>-0.030977600277826</v>
      </c>
    </row>
    <row r="8844" customFormat="false" ht="15" hidden="false" customHeight="false" outlineLevel="0" collapsed="false">
      <c r="A8844" s="15" t="s">
        <v>8901</v>
      </c>
      <c r="B8844" s="16" t="n">
        <v>45244</v>
      </c>
      <c r="C8844" s="15" t="s">
        <v>58</v>
      </c>
      <c r="D8844" s="15" t="s">
        <v>42</v>
      </c>
      <c r="E8844" s="15" t="s">
        <v>36</v>
      </c>
      <c r="F8844" s="15" t="s">
        <v>18</v>
      </c>
      <c r="G8844" s="15" t="s">
        <v>30</v>
      </c>
      <c r="H8844" s="15" t="n">
        <v>2</v>
      </c>
      <c r="I8844" s="17" t="n">
        <v>0.2</v>
      </c>
      <c r="J8844" s="18" t="n">
        <v>74.96</v>
      </c>
      <c r="K8844" s="19" t="n">
        <v>6.14</v>
      </c>
      <c r="L8844" s="15" t="n">
        <f aca="false">YEAR(B8844)</f>
        <v>2023</v>
      </c>
      <c r="M8844" s="20" t="n">
        <f aca="false">IF(J8844&gt;0,K8844/J8844,0)</f>
        <v>0.0819103521878335</v>
      </c>
    </row>
    <row r="8845" customFormat="false" ht="15" hidden="false" customHeight="false" outlineLevel="0" collapsed="false">
      <c r="A8845" s="15" t="s">
        <v>8902</v>
      </c>
      <c r="B8845" s="16" t="n">
        <v>44849</v>
      </c>
      <c r="C8845" s="15" t="s">
        <v>68</v>
      </c>
      <c r="D8845" s="15" t="s">
        <v>42</v>
      </c>
      <c r="E8845" s="15" t="s">
        <v>38</v>
      </c>
      <c r="F8845" s="15" t="s">
        <v>17</v>
      </c>
      <c r="G8845" s="15" t="s">
        <v>29</v>
      </c>
      <c r="H8845" s="15" t="n">
        <v>7</v>
      </c>
      <c r="I8845" s="17" t="n">
        <v>0</v>
      </c>
      <c r="J8845" s="18" t="n">
        <v>143.14</v>
      </c>
      <c r="K8845" s="19" t="n">
        <v>58.08</v>
      </c>
      <c r="L8845" s="15" t="n">
        <f aca="false">YEAR(B8845)</f>
        <v>2022</v>
      </c>
      <c r="M8845" s="20" t="n">
        <f aca="false">IF(J8845&gt;0,K8845/J8845,0)</f>
        <v>0.405756601928182</v>
      </c>
    </row>
    <row r="8846" customFormat="false" ht="15" hidden="false" customHeight="false" outlineLevel="0" collapsed="false">
      <c r="A8846" s="15" t="s">
        <v>8903</v>
      </c>
      <c r="B8846" s="16" t="n">
        <v>45696</v>
      </c>
      <c r="C8846" s="15" t="s">
        <v>58</v>
      </c>
      <c r="D8846" s="15" t="s">
        <v>42</v>
      </c>
      <c r="E8846" s="15" t="s">
        <v>38</v>
      </c>
      <c r="F8846" s="15" t="s">
        <v>17</v>
      </c>
      <c r="G8846" s="15" t="s">
        <v>29</v>
      </c>
      <c r="H8846" s="15" t="n">
        <v>2</v>
      </c>
      <c r="I8846" s="17" t="n">
        <v>0</v>
      </c>
      <c r="J8846" s="18" t="n">
        <v>29.34</v>
      </c>
      <c r="K8846" s="19" t="n">
        <v>12.07</v>
      </c>
      <c r="L8846" s="15" t="n">
        <f aca="false">YEAR(B8846)</f>
        <v>2025</v>
      </c>
      <c r="M8846" s="20" t="n">
        <f aca="false">IF(J8846&gt;0,K8846/J8846,0)</f>
        <v>0.411383776414451</v>
      </c>
    </row>
    <row r="8847" customFormat="false" ht="15" hidden="false" customHeight="false" outlineLevel="0" collapsed="false">
      <c r="A8847" s="15" t="s">
        <v>8904</v>
      </c>
      <c r="B8847" s="16" t="n">
        <v>44928</v>
      </c>
      <c r="C8847" s="15" t="s">
        <v>71</v>
      </c>
      <c r="D8847" s="15" t="s">
        <v>44</v>
      </c>
      <c r="E8847" s="15" t="s">
        <v>38</v>
      </c>
      <c r="F8847" s="15" t="s">
        <v>17</v>
      </c>
      <c r="G8847" s="15" t="s">
        <v>29</v>
      </c>
      <c r="H8847" s="15" t="n">
        <v>4</v>
      </c>
      <c r="I8847" s="17" t="n">
        <v>0.05</v>
      </c>
      <c r="J8847" s="18" t="n">
        <v>58.69</v>
      </c>
      <c r="K8847" s="19" t="n">
        <v>18.44</v>
      </c>
      <c r="L8847" s="15" t="n">
        <f aca="false">YEAR(B8847)</f>
        <v>2023</v>
      </c>
      <c r="M8847" s="20" t="n">
        <f aca="false">IF(J8847&gt;0,K8847/J8847,0)</f>
        <v>0.314193218606236</v>
      </c>
    </row>
    <row r="8848" customFormat="false" ht="15" hidden="false" customHeight="false" outlineLevel="0" collapsed="false">
      <c r="A8848" s="15" t="s">
        <v>8905</v>
      </c>
      <c r="B8848" s="16" t="n">
        <v>45512</v>
      </c>
      <c r="C8848" s="15" t="s">
        <v>58</v>
      </c>
      <c r="D8848" s="15" t="s">
        <v>42</v>
      </c>
      <c r="E8848" s="15" t="s">
        <v>38</v>
      </c>
      <c r="F8848" s="15" t="s">
        <v>17</v>
      </c>
      <c r="G8848" s="15" t="s">
        <v>29</v>
      </c>
      <c r="H8848" s="15" t="n">
        <v>3</v>
      </c>
      <c r="I8848" s="17" t="n">
        <v>0.3</v>
      </c>
      <c r="J8848" s="18" t="n">
        <v>25.77</v>
      </c>
      <c r="K8848" s="19" t="n">
        <v>2.46</v>
      </c>
      <c r="L8848" s="15" t="n">
        <f aca="false">YEAR(B8848)</f>
        <v>2024</v>
      </c>
      <c r="M8848" s="20" t="n">
        <f aca="false">IF(J8848&gt;0,K8848/J8848,0)</f>
        <v>0.0954598370197905</v>
      </c>
    </row>
    <row r="8849" customFormat="false" ht="15" hidden="false" customHeight="false" outlineLevel="0" collapsed="false">
      <c r="A8849" s="15" t="s">
        <v>8906</v>
      </c>
      <c r="B8849" s="16" t="n">
        <v>45266</v>
      </c>
      <c r="C8849" s="15" t="s">
        <v>58</v>
      </c>
      <c r="D8849" s="15" t="s">
        <v>42</v>
      </c>
      <c r="E8849" s="15" t="s">
        <v>39</v>
      </c>
      <c r="F8849" s="15" t="s">
        <v>17</v>
      </c>
      <c r="G8849" s="15" t="s">
        <v>29</v>
      </c>
      <c r="H8849" s="15" t="n">
        <v>5</v>
      </c>
      <c r="I8849" s="17" t="n">
        <v>0</v>
      </c>
      <c r="J8849" s="18" t="n">
        <v>90.37</v>
      </c>
      <c r="K8849" s="19" t="n">
        <v>35.72</v>
      </c>
      <c r="L8849" s="15" t="n">
        <f aca="false">YEAR(B8849)</f>
        <v>2023</v>
      </c>
      <c r="M8849" s="20" t="n">
        <f aca="false">IF(J8849&gt;0,K8849/J8849,0)</f>
        <v>0.395263915016045</v>
      </c>
    </row>
    <row r="8850" customFormat="false" ht="15" hidden="false" customHeight="false" outlineLevel="0" collapsed="false">
      <c r="A8850" s="15" t="s">
        <v>8907</v>
      </c>
      <c r="B8850" s="16" t="n">
        <v>45204</v>
      </c>
      <c r="C8850" s="15" t="s">
        <v>56</v>
      </c>
      <c r="D8850" s="15" t="s">
        <v>42</v>
      </c>
      <c r="E8850" s="15" t="s">
        <v>37</v>
      </c>
      <c r="F8850" s="15" t="s">
        <v>17</v>
      </c>
      <c r="G8850" s="15" t="s">
        <v>29</v>
      </c>
      <c r="H8850" s="15" t="n">
        <v>4</v>
      </c>
      <c r="I8850" s="17" t="n">
        <v>0.4</v>
      </c>
      <c r="J8850" s="18" t="n">
        <v>38.83</v>
      </c>
      <c r="K8850" s="19" t="n">
        <v>0.9</v>
      </c>
      <c r="L8850" s="15" t="n">
        <f aca="false">YEAR(B8850)</f>
        <v>2023</v>
      </c>
      <c r="M8850" s="20" t="n">
        <f aca="false">IF(J8850&gt;0,K8850/J8850,0)</f>
        <v>0.0231779551892866</v>
      </c>
    </row>
    <row r="8851" customFormat="false" ht="15" hidden="false" customHeight="false" outlineLevel="0" collapsed="false">
      <c r="A8851" s="15" t="s">
        <v>8908</v>
      </c>
      <c r="B8851" s="16" t="n">
        <v>44880</v>
      </c>
      <c r="C8851" s="15" t="s">
        <v>68</v>
      </c>
      <c r="D8851" s="15" t="s">
        <v>42</v>
      </c>
      <c r="E8851" s="15" t="s">
        <v>37</v>
      </c>
      <c r="F8851" s="15" t="s">
        <v>17</v>
      </c>
      <c r="G8851" s="15" t="s">
        <v>26</v>
      </c>
      <c r="H8851" s="15" t="n">
        <v>2</v>
      </c>
      <c r="I8851" s="17" t="n">
        <v>0</v>
      </c>
      <c r="J8851" s="18" t="n">
        <v>155.47</v>
      </c>
      <c r="K8851" s="19" t="n">
        <v>27.79</v>
      </c>
      <c r="L8851" s="15" t="n">
        <f aca="false">YEAR(B8851)</f>
        <v>2022</v>
      </c>
      <c r="M8851" s="20" t="n">
        <f aca="false">IF(J8851&gt;0,K8851/J8851,0)</f>
        <v>0.178748311571364</v>
      </c>
    </row>
    <row r="8852" customFormat="false" ht="15" hidden="false" customHeight="false" outlineLevel="0" collapsed="false">
      <c r="A8852" s="15" t="s">
        <v>8909</v>
      </c>
      <c r="B8852" s="16" t="n">
        <v>45911</v>
      </c>
      <c r="C8852" s="15" t="s">
        <v>71</v>
      </c>
      <c r="D8852" s="15" t="s">
        <v>42</v>
      </c>
      <c r="E8852" s="15" t="s">
        <v>37</v>
      </c>
      <c r="F8852" s="15" t="s">
        <v>16</v>
      </c>
      <c r="G8852" s="15" t="s">
        <v>25</v>
      </c>
      <c r="H8852" s="15" t="n">
        <v>1</v>
      </c>
      <c r="I8852" s="17" t="n">
        <v>0.1</v>
      </c>
      <c r="J8852" s="18" t="n">
        <v>213.49</v>
      </c>
      <c r="K8852" s="19" t="n">
        <v>-9.04</v>
      </c>
      <c r="L8852" s="15" t="n">
        <f aca="false">YEAR(B8852)</f>
        <v>2025</v>
      </c>
      <c r="M8852" s="20" t="n">
        <f aca="false">IF(J8852&gt;0,K8852/J8852,0)</f>
        <v>-0.0423439036957234</v>
      </c>
    </row>
    <row r="8853" customFormat="false" ht="15" hidden="false" customHeight="false" outlineLevel="0" collapsed="false">
      <c r="A8853" s="15" t="s">
        <v>8910</v>
      </c>
      <c r="B8853" s="16" t="n">
        <v>44964</v>
      </c>
      <c r="C8853" s="15" t="s">
        <v>71</v>
      </c>
      <c r="D8853" s="15" t="s">
        <v>43</v>
      </c>
      <c r="E8853" s="15" t="s">
        <v>36</v>
      </c>
      <c r="F8853" s="15" t="s">
        <v>17</v>
      </c>
      <c r="G8853" s="15" t="s">
        <v>28</v>
      </c>
      <c r="H8853" s="15" t="n">
        <v>4</v>
      </c>
      <c r="I8853" s="17" t="n">
        <v>0.05</v>
      </c>
      <c r="J8853" s="18" t="n">
        <v>77.51</v>
      </c>
      <c r="K8853" s="19" t="n">
        <v>21.84</v>
      </c>
      <c r="L8853" s="15" t="n">
        <f aca="false">YEAR(B8853)</f>
        <v>2023</v>
      </c>
      <c r="M8853" s="20" t="n">
        <f aca="false">IF(J8853&gt;0,K8853/J8853,0)</f>
        <v>0.281770094181396</v>
      </c>
    </row>
    <row r="8854" customFormat="false" ht="15" hidden="false" customHeight="false" outlineLevel="0" collapsed="false">
      <c r="A8854" s="15" t="s">
        <v>8911</v>
      </c>
      <c r="B8854" s="16" t="n">
        <v>44722</v>
      </c>
      <c r="C8854" s="15" t="s">
        <v>68</v>
      </c>
      <c r="D8854" s="15" t="s">
        <v>42</v>
      </c>
      <c r="E8854" s="15" t="s">
        <v>36</v>
      </c>
      <c r="F8854" s="15" t="s">
        <v>17</v>
      </c>
      <c r="G8854" s="15" t="s">
        <v>26</v>
      </c>
      <c r="H8854" s="15" t="n">
        <v>2</v>
      </c>
      <c r="I8854" s="17" t="n">
        <v>0.1</v>
      </c>
      <c r="J8854" s="18" t="n">
        <v>160.69</v>
      </c>
      <c r="K8854" s="19" t="n">
        <v>-4.83</v>
      </c>
      <c r="L8854" s="15" t="n">
        <f aca="false">YEAR(B8854)</f>
        <v>2022</v>
      </c>
      <c r="M8854" s="20" t="n">
        <f aca="false">IF(J8854&gt;0,K8854/J8854,0)</f>
        <v>-0.0300578754122845</v>
      </c>
    </row>
    <row r="8855" customFormat="false" ht="15" hidden="false" customHeight="false" outlineLevel="0" collapsed="false">
      <c r="A8855" s="15" t="s">
        <v>8912</v>
      </c>
      <c r="B8855" s="16" t="n">
        <v>45265</v>
      </c>
      <c r="C8855" s="15" t="s">
        <v>58</v>
      </c>
      <c r="D8855" s="15" t="s">
        <v>44</v>
      </c>
      <c r="E8855" s="15" t="s">
        <v>36</v>
      </c>
      <c r="F8855" s="15" t="s">
        <v>16</v>
      </c>
      <c r="G8855" s="15" t="s">
        <v>27</v>
      </c>
      <c r="H8855" s="15" t="n">
        <v>3</v>
      </c>
      <c r="I8855" s="17" t="n">
        <v>0.15</v>
      </c>
      <c r="J8855" s="18" t="n">
        <v>138.64</v>
      </c>
      <c r="K8855" s="19" t="n">
        <v>5.96</v>
      </c>
      <c r="L8855" s="15" t="n">
        <f aca="false">YEAR(B8855)</f>
        <v>2023</v>
      </c>
      <c r="M8855" s="20" t="n">
        <f aca="false">IF(J8855&gt;0,K8855/J8855,0)</f>
        <v>0.0429890363531448</v>
      </c>
    </row>
    <row r="8856" customFormat="false" ht="15" hidden="false" customHeight="false" outlineLevel="0" collapsed="false">
      <c r="A8856" s="15" t="s">
        <v>8913</v>
      </c>
      <c r="B8856" s="16" t="n">
        <v>45378</v>
      </c>
      <c r="C8856" s="15" t="s">
        <v>68</v>
      </c>
      <c r="D8856" s="15" t="s">
        <v>42</v>
      </c>
      <c r="E8856" s="15" t="s">
        <v>38</v>
      </c>
      <c r="F8856" s="15" t="s">
        <v>16</v>
      </c>
      <c r="G8856" s="15" t="s">
        <v>25</v>
      </c>
      <c r="H8856" s="15" t="n">
        <v>7</v>
      </c>
      <c r="I8856" s="17" t="n">
        <v>0</v>
      </c>
      <c r="J8856" s="18" t="n">
        <v>1783.27</v>
      </c>
      <c r="K8856" s="19" t="n">
        <v>40.73</v>
      </c>
      <c r="L8856" s="15" t="n">
        <f aca="false">YEAR(B8856)</f>
        <v>2024</v>
      </c>
      <c r="M8856" s="20" t="n">
        <f aca="false">IF(J8856&gt;0,K8856/J8856,0)</f>
        <v>0.0228400634788899</v>
      </c>
    </row>
    <row r="8857" customFormat="false" ht="15" hidden="false" customHeight="false" outlineLevel="0" collapsed="false">
      <c r="A8857" s="15" t="s">
        <v>8914</v>
      </c>
      <c r="B8857" s="16" t="n">
        <v>45555</v>
      </c>
      <c r="C8857" s="15" t="s">
        <v>71</v>
      </c>
      <c r="D8857" s="15" t="s">
        <v>43</v>
      </c>
      <c r="E8857" s="15" t="s">
        <v>36</v>
      </c>
      <c r="F8857" s="15" t="s">
        <v>18</v>
      </c>
      <c r="G8857" s="15" t="s">
        <v>33</v>
      </c>
      <c r="H8857" s="15" t="n">
        <v>1</v>
      </c>
      <c r="I8857" s="17" t="n">
        <v>0</v>
      </c>
      <c r="J8857" s="18" t="n">
        <v>899.62</v>
      </c>
      <c r="K8857" s="19" t="n">
        <v>281.24</v>
      </c>
      <c r="L8857" s="15" t="n">
        <f aca="false">YEAR(B8857)</f>
        <v>2024</v>
      </c>
      <c r="M8857" s="20" t="n">
        <f aca="false">IF(J8857&gt;0,K8857/J8857,0)</f>
        <v>0.312620884373402</v>
      </c>
    </row>
    <row r="8858" customFormat="false" ht="15" hidden="false" customHeight="false" outlineLevel="0" collapsed="false">
      <c r="A8858" s="15" t="s">
        <v>8915</v>
      </c>
      <c r="B8858" s="16" t="n">
        <v>45561</v>
      </c>
      <c r="C8858" s="15" t="s">
        <v>56</v>
      </c>
      <c r="D8858" s="15" t="s">
        <v>43</v>
      </c>
      <c r="E8858" s="15" t="s">
        <v>38</v>
      </c>
      <c r="F8858" s="15" t="s">
        <v>18</v>
      </c>
      <c r="G8858" s="15" t="s">
        <v>24</v>
      </c>
      <c r="H8858" s="15" t="n">
        <v>2</v>
      </c>
      <c r="I8858" s="17" t="n">
        <v>0</v>
      </c>
      <c r="J8858" s="18" t="n">
        <v>1336.41</v>
      </c>
      <c r="K8858" s="19" t="n">
        <v>73.43</v>
      </c>
      <c r="L8858" s="15" t="n">
        <f aca="false">YEAR(B8858)</f>
        <v>2024</v>
      </c>
      <c r="M8858" s="20" t="n">
        <f aca="false">IF(J8858&gt;0,K8858/J8858,0)</f>
        <v>0.0549457127677883</v>
      </c>
    </row>
    <row r="8859" customFormat="false" ht="15" hidden="false" customHeight="false" outlineLevel="0" collapsed="false">
      <c r="A8859" s="15" t="s">
        <v>8916</v>
      </c>
      <c r="B8859" s="16" t="n">
        <v>46014</v>
      </c>
      <c r="C8859" s="15" t="s">
        <v>56</v>
      </c>
      <c r="D8859" s="15" t="s">
        <v>43</v>
      </c>
      <c r="E8859" s="15" t="s">
        <v>37</v>
      </c>
      <c r="F8859" s="15" t="s">
        <v>17</v>
      </c>
      <c r="G8859" s="15" t="s">
        <v>28</v>
      </c>
      <c r="H8859" s="15" t="n">
        <v>3</v>
      </c>
      <c r="I8859" s="17" t="n">
        <v>0.2</v>
      </c>
      <c r="J8859" s="18" t="n">
        <v>78.76</v>
      </c>
      <c r="K8859" s="19" t="n">
        <v>11.63</v>
      </c>
      <c r="L8859" s="15" t="n">
        <f aca="false">YEAR(B8859)</f>
        <v>2025</v>
      </c>
      <c r="M8859" s="20" t="n">
        <f aca="false">IF(J8859&gt;0,K8859/J8859,0)</f>
        <v>0.147663788725241</v>
      </c>
    </row>
    <row r="8860" customFormat="false" ht="15" hidden="false" customHeight="false" outlineLevel="0" collapsed="false">
      <c r="A8860" s="15" t="s">
        <v>8917</v>
      </c>
      <c r="B8860" s="16" t="n">
        <v>45847</v>
      </c>
      <c r="C8860" s="15" t="s">
        <v>68</v>
      </c>
      <c r="D8860" s="15" t="s">
        <v>44</v>
      </c>
      <c r="E8860" s="15" t="s">
        <v>38</v>
      </c>
      <c r="F8860" s="15" t="s">
        <v>18</v>
      </c>
      <c r="G8860" s="15" t="s">
        <v>33</v>
      </c>
      <c r="H8860" s="15" t="n">
        <v>1</v>
      </c>
      <c r="I8860" s="17" t="n">
        <v>0.2</v>
      </c>
      <c r="J8860" s="18" t="n">
        <v>682.37</v>
      </c>
      <c r="K8860" s="19" t="n">
        <v>69.37</v>
      </c>
      <c r="L8860" s="15" t="n">
        <f aca="false">YEAR(B8860)</f>
        <v>2025</v>
      </c>
      <c r="M8860" s="20" t="n">
        <f aca="false">IF(J8860&gt;0,K8860/J8860,0)</f>
        <v>0.101660389524745</v>
      </c>
    </row>
    <row r="8861" customFormat="false" ht="15" hidden="false" customHeight="false" outlineLevel="0" collapsed="false">
      <c r="A8861" s="15" t="s">
        <v>8918</v>
      </c>
      <c r="B8861" s="16" t="n">
        <v>45604</v>
      </c>
      <c r="C8861" s="15" t="s">
        <v>56</v>
      </c>
      <c r="D8861" s="15" t="s">
        <v>43</v>
      </c>
      <c r="E8861" s="15" t="s">
        <v>38</v>
      </c>
      <c r="F8861" s="15" t="s">
        <v>18</v>
      </c>
      <c r="G8861" s="15" t="s">
        <v>30</v>
      </c>
      <c r="H8861" s="15" t="n">
        <v>3</v>
      </c>
      <c r="I8861" s="17" t="n">
        <v>0</v>
      </c>
      <c r="J8861" s="18" t="n">
        <v>140.37</v>
      </c>
      <c r="K8861" s="19" t="n">
        <v>49.61</v>
      </c>
      <c r="L8861" s="15" t="n">
        <f aca="false">YEAR(B8861)</f>
        <v>2024</v>
      </c>
      <c r="M8861" s="20" t="n">
        <f aca="false">IF(J8861&gt;0,K8861/J8861,0)</f>
        <v>0.353423096103156</v>
      </c>
    </row>
    <row r="8862" customFormat="false" ht="15" hidden="false" customHeight="false" outlineLevel="0" collapsed="false">
      <c r="A8862" s="15" t="s">
        <v>8919</v>
      </c>
      <c r="B8862" s="16" t="n">
        <v>45731</v>
      </c>
      <c r="C8862" s="15" t="s">
        <v>56</v>
      </c>
      <c r="D8862" s="15" t="s">
        <v>42</v>
      </c>
      <c r="E8862" s="15" t="s">
        <v>39</v>
      </c>
      <c r="F8862" s="15" t="s">
        <v>18</v>
      </c>
      <c r="G8862" s="15" t="s">
        <v>30</v>
      </c>
      <c r="H8862" s="15" t="n">
        <v>7</v>
      </c>
      <c r="I8862" s="17" t="n">
        <v>0</v>
      </c>
      <c r="J8862" s="18" t="n">
        <v>317.41</v>
      </c>
      <c r="K8862" s="19" t="n">
        <v>85.25</v>
      </c>
      <c r="L8862" s="15" t="n">
        <f aca="false">YEAR(B8862)</f>
        <v>2025</v>
      </c>
      <c r="M8862" s="20" t="n">
        <f aca="false">IF(J8862&gt;0,K8862/J8862,0)</f>
        <v>0.268580069941086</v>
      </c>
    </row>
    <row r="8863" customFormat="false" ht="15" hidden="false" customHeight="false" outlineLevel="0" collapsed="false">
      <c r="A8863" s="15" t="s">
        <v>8920</v>
      </c>
      <c r="B8863" s="16" t="n">
        <v>44852</v>
      </c>
      <c r="C8863" s="15" t="s">
        <v>71</v>
      </c>
      <c r="D8863" s="15" t="s">
        <v>44</v>
      </c>
      <c r="E8863" s="15" t="s">
        <v>39</v>
      </c>
      <c r="F8863" s="15" t="s">
        <v>17</v>
      </c>
      <c r="G8863" s="15" t="s">
        <v>28</v>
      </c>
      <c r="H8863" s="15" t="n">
        <v>4</v>
      </c>
      <c r="I8863" s="17" t="n">
        <v>0</v>
      </c>
      <c r="J8863" s="18" t="n">
        <v>96.83</v>
      </c>
      <c r="K8863" s="19" t="n">
        <v>27.64</v>
      </c>
      <c r="L8863" s="15" t="n">
        <f aca="false">YEAR(B8863)</f>
        <v>2022</v>
      </c>
      <c r="M8863" s="20" t="n">
        <f aca="false">IF(J8863&gt;0,K8863/J8863,0)</f>
        <v>0.285448724568832</v>
      </c>
    </row>
    <row r="8864" customFormat="false" ht="15" hidden="false" customHeight="false" outlineLevel="0" collapsed="false">
      <c r="A8864" s="15" t="s">
        <v>8921</v>
      </c>
      <c r="B8864" s="16" t="n">
        <v>45827</v>
      </c>
      <c r="C8864" s="15" t="s">
        <v>56</v>
      </c>
      <c r="D8864" s="15" t="s">
        <v>44</v>
      </c>
      <c r="E8864" s="15" t="s">
        <v>39</v>
      </c>
      <c r="F8864" s="15" t="s">
        <v>17</v>
      </c>
      <c r="G8864" s="15" t="s">
        <v>28</v>
      </c>
      <c r="H8864" s="15" t="n">
        <v>2</v>
      </c>
      <c r="I8864" s="17" t="n">
        <v>0.3</v>
      </c>
      <c r="J8864" s="18" t="n">
        <v>42.28</v>
      </c>
      <c r="K8864" s="19" t="n">
        <v>0.48</v>
      </c>
      <c r="L8864" s="15" t="n">
        <f aca="false">YEAR(B8864)</f>
        <v>2025</v>
      </c>
      <c r="M8864" s="20" t="n">
        <f aca="false">IF(J8864&gt;0,K8864/J8864,0)</f>
        <v>0.011352885525071</v>
      </c>
    </row>
    <row r="8865" customFormat="false" ht="15" hidden="false" customHeight="false" outlineLevel="0" collapsed="false">
      <c r="A8865" s="15" t="s">
        <v>8922</v>
      </c>
      <c r="B8865" s="16" t="n">
        <v>45563</v>
      </c>
      <c r="C8865" s="15" t="s">
        <v>71</v>
      </c>
      <c r="D8865" s="15" t="s">
        <v>43</v>
      </c>
      <c r="E8865" s="15" t="s">
        <v>39</v>
      </c>
      <c r="F8865" s="15" t="s">
        <v>17</v>
      </c>
      <c r="G8865" s="15" t="s">
        <v>29</v>
      </c>
      <c r="H8865" s="15" t="n">
        <v>2</v>
      </c>
      <c r="I8865" s="17" t="n">
        <v>0</v>
      </c>
      <c r="J8865" s="18" t="n">
        <v>46.55</v>
      </c>
      <c r="K8865" s="19" t="n">
        <v>13.35</v>
      </c>
      <c r="L8865" s="15" t="n">
        <f aca="false">YEAR(B8865)</f>
        <v>2024</v>
      </c>
      <c r="M8865" s="20" t="n">
        <f aca="false">IF(J8865&gt;0,K8865/J8865,0)</f>
        <v>0.286788399570354</v>
      </c>
    </row>
    <row r="8866" customFormat="false" ht="15" hidden="false" customHeight="false" outlineLevel="0" collapsed="false">
      <c r="A8866" s="15" t="s">
        <v>8923</v>
      </c>
      <c r="B8866" s="16" t="n">
        <v>44903</v>
      </c>
      <c r="C8866" s="15" t="s">
        <v>71</v>
      </c>
      <c r="D8866" s="15" t="s">
        <v>42</v>
      </c>
      <c r="E8866" s="15" t="s">
        <v>37</v>
      </c>
      <c r="F8866" s="15" t="s">
        <v>17</v>
      </c>
      <c r="G8866" s="15" t="s">
        <v>29</v>
      </c>
      <c r="H8866" s="15" t="n">
        <v>3</v>
      </c>
      <c r="I8866" s="17" t="n">
        <v>0</v>
      </c>
      <c r="J8866" s="18" t="n">
        <v>55.4</v>
      </c>
      <c r="K8866" s="19" t="n">
        <v>19.58</v>
      </c>
      <c r="L8866" s="15" t="n">
        <f aca="false">YEAR(B8866)</f>
        <v>2022</v>
      </c>
      <c r="M8866" s="20" t="n">
        <f aca="false">IF(J8866&gt;0,K8866/J8866,0)</f>
        <v>0.353429602888087</v>
      </c>
    </row>
    <row r="8867" customFormat="false" ht="15" hidden="false" customHeight="false" outlineLevel="0" collapsed="false">
      <c r="A8867" s="15" t="s">
        <v>8924</v>
      </c>
      <c r="B8867" s="16" t="n">
        <v>45545</v>
      </c>
      <c r="C8867" s="15" t="s">
        <v>56</v>
      </c>
      <c r="D8867" s="15" t="s">
        <v>42</v>
      </c>
      <c r="E8867" s="15" t="s">
        <v>36</v>
      </c>
      <c r="F8867" s="15" t="s">
        <v>17</v>
      </c>
      <c r="G8867" s="15" t="s">
        <v>29</v>
      </c>
      <c r="H8867" s="15" t="n">
        <v>4</v>
      </c>
      <c r="I8867" s="17" t="n">
        <v>0.1</v>
      </c>
      <c r="J8867" s="18" t="n">
        <v>55.58</v>
      </c>
      <c r="K8867" s="19" t="n">
        <v>15.88</v>
      </c>
      <c r="L8867" s="15" t="n">
        <f aca="false">YEAR(B8867)</f>
        <v>2024</v>
      </c>
      <c r="M8867" s="20" t="n">
        <f aca="false">IF(J8867&gt;0,K8867/J8867,0)</f>
        <v>0.285714285714286</v>
      </c>
    </row>
    <row r="8868" customFormat="false" ht="15" hidden="false" customHeight="false" outlineLevel="0" collapsed="false">
      <c r="A8868" s="15" t="s">
        <v>8925</v>
      </c>
      <c r="B8868" s="16" t="n">
        <v>45249</v>
      </c>
      <c r="C8868" s="15" t="s">
        <v>56</v>
      </c>
      <c r="D8868" s="15" t="s">
        <v>43</v>
      </c>
      <c r="E8868" s="15" t="s">
        <v>38</v>
      </c>
      <c r="F8868" s="15" t="s">
        <v>16</v>
      </c>
      <c r="G8868" s="15" t="s">
        <v>25</v>
      </c>
      <c r="H8868" s="15" t="n">
        <v>5</v>
      </c>
      <c r="I8868" s="17" t="n">
        <v>0</v>
      </c>
      <c r="J8868" s="18" t="n">
        <v>1422.76</v>
      </c>
      <c r="K8868" s="19" t="n">
        <v>131.93</v>
      </c>
      <c r="L8868" s="15" t="n">
        <f aca="false">YEAR(B8868)</f>
        <v>2023</v>
      </c>
      <c r="M8868" s="20" t="n">
        <f aca="false">IF(J8868&gt;0,K8868/J8868,0)</f>
        <v>0.0927282183924204</v>
      </c>
    </row>
    <row r="8869" customFormat="false" ht="15" hidden="false" customHeight="false" outlineLevel="0" collapsed="false">
      <c r="A8869" s="15" t="s">
        <v>8926</v>
      </c>
      <c r="B8869" s="16" t="n">
        <v>45098</v>
      </c>
      <c r="C8869" s="15" t="s">
        <v>56</v>
      </c>
      <c r="D8869" s="15" t="s">
        <v>42</v>
      </c>
      <c r="E8869" s="15" t="s">
        <v>38</v>
      </c>
      <c r="F8869" s="15" t="s">
        <v>16</v>
      </c>
      <c r="G8869" s="15" t="s">
        <v>25</v>
      </c>
      <c r="H8869" s="15" t="n">
        <v>2</v>
      </c>
      <c r="I8869" s="17" t="n">
        <v>0</v>
      </c>
      <c r="J8869" s="18" t="n">
        <v>441.37</v>
      </c>
      <c r="K8869" s="19" t="n">
        <v>60.53</v>
      </c>
      <c r="L8869" s="15" t="n">
        <f aca="false">YEAR(B8869)</f>
        <v>2023</v>
      </c>
      <c r="M8869" s="20" t="n">
        <f aca="false">IF(J8869&gt;0,K8869/J8869,0)</f>
        <v>0.137141174071641</v>
      </c>
    </row>
    <row r="8870" customFormat="false" ht="15" hidden="false" customHeight="false" outlineLevel="0" collapsed="false">
      <c r="A8870" s="15" t="s">
        <v>8927</v>
      </c>
      <c r="B8870" s="16" t="n">
        <v>45608</v>
      </c>
      <c r="C8870" s="15" t="s">
        <v>56</v>
      </c>
      <c r="D8870" s="15" t="s">
        <v>43</v>
      </c>
      <c r="E8870" s="15" t="s">
        <v>38</v>
      </c>
      <c r="F8870" s="15" t="s">
        <v>18</v>
      </c>
      <c r="G8870" s="15" t="s">
        <v>24</v>
      </c>
      <c r="H8870" s="15" t="n">
        <v>3</v>
      </c>
      <c r="I8870" s="17" t="n">
        <v>0</v>
      </c>
      <c r="J8870" s="18" t="n">
        <v>1994.97</v>
      </c>
      <c r="K8870" s="19" t="n">
        <v>236.14</v>
      </c>
      <c r="L8870" s="15" t="n">
        <f aca="false">YEAR(B8870)</f>
        <v>2024</v>
      </c>
      <c r="M8870" s="20" t="n">
        <f aca="false">IF(J8870&gt;0,K8870/J8870,0)</f>
        <v>0.118367694752302</v>
      </c>
    </row>
    <row r="8871" customFormat="false" ht="15" hidden="false" customHeight="false" outlineLevel="0" collapsed="false">
      <c r="A8871" s="15" t="s">
        <v>8928</v>
      </c>
      <c r="B8871" s="16" t="n">
        <v>45178</v>
      </c>
      <c r="C8871" s="15" t="s">
        <v>71</v>
      </c>
      <c r="D8871" s="15" t="s">
        <v>42</v>
      </c>
      <c r="E8871" s="15" t="s">
        <v>38</v>
      </c>
      <c r="F8871" s="15" t="s">
        <v>17</v>
      </c>
      <c r="G8871" s="15" t="s">
        <v>29</v>
      </c>
      <c r="H8871" s="15" t="n">
        <v>5</v>
      </c>
      <c r="I8871" s="17" t="n">
        <v>0</v>
      </c>
      <c r="J8871" s="18" t="n">
        <v>70.87</v>
      </c>
      <c r="K8871" s="19" t="n">
        <v>24.64</v>
      </c>
      <c r="L8871" s="15" t="n">
        <f aca="false">YEAR(B8871)</f>
        <v>2023</v>
      </c>
      <c r="M8871" s="20" t="n">
        <f aca="false">IF(J8871&gt;0,K8871/J8871,0)</f>
        <v>0.347678848596021</v>
      </c>
    </row>
    <row r="8872" customFormat="false" ht="15" hidden="false" customHeight="false" outlineLevel="0" collapsed="false">
      <c r="A8872" s="15" t="s">
        <v>8929</v>
      </c>
      <c r="B8872" s="16" t="n">
        <v>45714</v>
      </c>
      <c r="C8872" s="15" t="s">
        <v>58</v>
      </c>
      <c r="D8872" s="15" t="s">
        <v>43</v>
      </c>
      <c r="E8872" s="15" t="s">
        <v>37</v>
      </c>
      <c r="F8872" s="15" t="s">
        <v>16</v>
      </c>
      <c r="G8872" s="15" t="s">
        <v>25</v>
      </c>
      <c r="H8872" s="15" t="n">
        <v>2</v>
      </c>
      <c r="I8872" s="17" t="n">
        <v>0.2</v>
      </c>
      <c r="J8872" s="18" t="n">
        <v>439.22</v>
      </c>
      <c r="K8872" s="19" t="n">
        <v>-15.91</v>
      </c>
      <c r="L8872" s="15" t="n">
        <f aca="false">YEAR(B8872)</f>
        <v>2025</v>
      </c>
      <c r="M8872" s="20" t="n">
        <f aca="false">IF(J8872&gt;0,K8872/J8872,0)</f>
        <v>-0.0362233049496835</v>
      </c>
    </row>
    <row r="8873" customFormat="false" ht="15" hidden="false" customHeight="false" outlineLevel="0" collapsed="false">
      <c r="A8873" s="15" t="s">
        <v>8930</v>
      </c>
      <c r="B8873" s="16" t="n">
        <v>44810</v>
      </c>
      <c r="C8873" s="15" t="s">
        <v>68</v>
      </c>
      <c r="D8873" s="15" t="s">
        <v>42</v>
      </c>
      <c r="E8873" s="15" t="s">
        <v>39</v>
      </c>
      <c r="F8873" s="15" t="s">
        <v>17</v>
      </c>
      <c r="G8873" s="15" t="s">
        <v>31</v>
      </c>
      <c r="H8873" s="15" t="n">
        <v>4</v>
      </c>
      <c r="I8873" s="17" t="n">
        <v>0.1</v>
      </c>
      <c r="J8873" s="18" t="n">
        <v>413.71</v>
      </c>
      <c r="K8873" s="19" t="n">
        <v>16.06</v>
      </c>
      <c r="L8873" s="15" t="n">
        <f aca="false">YEAR(B8873)</f>
        <v>2022</v>
      </c>
      <c r="M8873" s="20" t="n">
        <f aca="false">IF(J8873&gt;0,K8873/J8873,0)</f>
        <v>0.0388194629088009</v>
      </c>
    </row>
    <row r="8874" customFormat="false" ht="15" hidden="false" customHeight="false" outlineLevel="0" collapsed="false">
      <c r="A8874" s="15" t="s">
        <v>8931</v>
      </c>
      <c r="B8874" s="16" t="n">
        <v>45415</v>
      </c>
      <c r="C8874" s="15" t="s">
        <v>56</v>
      </c>
      <c r="D8874" s="15" t="s">
        <v>42</v>
      </c>
      <c r="E8874" s="15" t="s">
        <v>37</v>
      </c>
      <c r="F8874" s="15" t="s">
        <v>18</v>
      </c>
      <c r="G8874" s="15" t="s">
        <v>32</v>
      </c>
      <c r="H8874" s="15" t="n">
        <v>3</v>
      </c>
      <c r="I8874" s="17" t="n">
        <v>0</v>
      </c>
      <c r="J8874" s="18" t="n">
        <v>1307.99</v>
      </c>
      <c r="K8874" s="19" t="n">
        <v>208.4</v>
      </c>
      <c r="L8874" s="15" t="n">
        <f aca="false">YEAR(B8874)</f>
        <v>2024</v>
      </c>
      <c r="M8874" s="20" t="n">
        <f aca="false">IF(J8874&gt;0,K8874/J8874,0)</f>
        <v>0.159328435232685</v>
      </c>
    </row>
    <row r="8875" customFormat="false" ht="15" hidden="false" customHeight="false" outlineLevel="0" collapsed="false">
      <c r="A8875" s="15" t="s">
        <v>8932</v>
      </c>
      <c r="B8875" s="16" t="n">
        <v>45192</v>
      </c>
      <c r="C8875" s="15" t="s">
        <v>71</v>
      </c>
      <c r="D8875" s="15" t="s">
        <v>42</v>
      </c>
      <c r="E8875" s="15" t="s">
        <v>39</v>
      </c>
      <c r="F8875" s="15" t="s">
        <v>17</v>
      </c>
      <c r="G8875" s="15" t="s">
        <v>28</v>
      </c>
      <c r="H8875" s="15" t="n">
        <v>4</v>
      </c>
      <c r="I8875" s="17" t="n">
        <v>0</v>
      </c>
      <c r="J8875" s="18" t="n">
        <v>104.83</v>
      </c>
      <c r="K8875" s="19" t="n">
        <v>30.18</v>
      </c>
      <c r="L8875" s="15" t="n">
        <f aca="false">YEAR(B8875)</f>
        <v>2023</v>
      </c>
      <c r="M8875" s="20" t="n">
        <f aca="false">IF(J8875&gt;0,K8875/J8875,0)</f>
        <v>0.287894686635505</v>
      </c>
    </row>
    <row r="8876" customFormat="false" ht="15" hidden="false" customHeight="false" outlineLevel="0" collapsed="false">
      <c r="A8876" s="15" t="s">
        <v>8933</v>
      </c>
      <c r="B8876" s="16" t="n">
        <v>44905</v>
      </c>
      <c r="C8876" s="15" t="s">
        <v>56</v>
      </c>
      <c r="D8876" s="15" t="s">
        <v>43</v>
      </c>
      <c r="E8876" s="15" t="s">
        <v>36</v>
      </c>
      <c r="F8876" s="15" t="s">
        <v>18</v>
      </c>
      <c r="G8876" s="15" t="s">
        <v>30</v>
      </c>
      <c r="H8876" s="15" t="n">
        <v>9</v>
      </c>
      <c r="I8876" s="17" t="n">
        <v>0.05</v>
      </c>
      <c r="J8876" s="18" t="n">
        <v>414.89</v>
      </c>
      <c r="K8876" s="19" t="n">
        <v>71.51</v>
      </c>
      <c r="L8876" s="15" t="n">
        <f aca="false">YEAR(B8876)</f>
        <v>2022</v>
      </c>
      <c r="M8876" s="20" t="n">
        <f aca="false">IF(J8876&gt;0,K8876/J8876,0)</f>
        <v>0.172358938513823</v>
      </c>
    </row>
    <row r="8877" customFormat="false" ht="15" hidden="false" customHeight="false" outlineLevel="0" collapsed="false">
      <c r="A8877" s="15" t="s">
        <v>8934</v>
      </c>
      <c r="B8877" s="16" t="n">
        <v>45749</v>
      </c>
      <c r="C8877" s="15" t="s">
        <v>56</v>
      </c>
      <c r="D8877" s="15" t="s">
        <v>43</v>
      </c>
      <c r="E8877" s="15" t="s">
        <v>36</v>
      </c>
      <c r="F8877" s="15" t="s">
        <v>16</v>
      </c>
      <c r="G8877" s="15" t="s">
        <v>23</v>
      </c>
      <c r="H8877" s="15" t="n">
        <v>4</v>
      </c>
      <c r="I8877" s="17" t="n">
        <v>0</v>
      </c>
      <c r="J8877" s="18" t="n">
        <v>1085.25</v>
      </c>
      <c r="K8877" s="19" t="n">
        <v>36</v>
      </c>
      <c r="L8877" s="15" t="n">
        <f aca="false">YEAR(B8877)</f>
        <v>2025</v>
      </c>
      <c r="M8877" s="20" t="n">
        <f aca="false">IF(J8877&gt;0,K8877/J8877,0)</f>
        <v>0.0331720801658604</v>
      </c>
    </row>
    <row r="8878" customFormat="false" ht="15" hidden="false" customHeight="false" outlineLevel="0" collapsed="false">
      <c r="A8878" s="15" t="s">
        <v>8935</v>
      </c>
      <c r="B8878" s="16" t="n">
        <v>45658</v>
      </c>
      <c r="C8878" s="15" t="s">
        <v>71</v>
      </c>
      <c r="D8878" s="15" t="s">
        <v>42</v>
      </c>
      <c r="E8878" s="15" t="s">
        <v>38</v>
      </c>
      <c r="F8878" s="15" t="s">
        <v>17</v>
      </c>
      <c r="G8878" s="15" t="s">
        <v>29</v>
      </c>
      <c r="H8878" s="15" t="n">
        <v>5</v>
      </c>
      <c r="I8878" s="17" t="n">
        <v>0</v>
      </c>
      <c r="J8878" s="18" t="n">
        <v>75.84</v>
      </c>
      <c r="K8878" s="19" t="n">
        <v>29</v>
      </c>
      <c r="L8878" s="15" t="n">
        <f aca="false">YEAR(B8878)</f>
        <v>2025</v>
      </c>
      <c r="M8878" s="20" t="n">
        <f aca="false">IF(J8878&gt;0,K8878/J8878,0)</f>
        <v>0.382383966244726</v>
      </c>
    </row>
    <row r="8879" customFormat="false" ht="15" hidden="false" customHeight="false" outlineLevel="0" collapsed="false">
      <c r="A8879" s="15" t="s">
        <v>8936</v>
      </c>
      <c r="B8879" s="16" t="n">
        <v>45854</v>
      </c>
      <c r="C8879" s="15" t="s">
        <v>71</v>
      </c>
      <c r="D8879" s="15" t="s">
        <v>43</v>
      </c>
      <c r="E8879" s="15" t="s">
        <v>37</v>
      </c>
      <c r="F8879" s="15" t="s">
        <v>17</v>
      </c>
      <c r="G8879" s="15" t="s">
        <v>26</v>
      </c>
      <c r="H8879" s="15" t="n">
        <v>3</v>
      </c>
      <c r="I8879" s="17" t="n">
        <v>0.2</v>
      </c>
      <c r="J8879" s="18" t="n">
        <v>160.65</v>
      </c>
      <c r="K8879" s="19" t="n">
        <v>6.43</v>
      </c>
      <c r="L8879" s="15" t="n">
        <f aca="false">YEAR(B8879)</f>
        <v>2025</v>
      </c>
      <c r="M8879" s="20" t="n">
        <f aca="false">IF(J8879&gt;0,K8879/J8879,0)</f>
        <v>0.0400248988484283</v>
      </c>
    </row>
    <row r="8880" customFormat="false" ht="15" hidden="false" customHeight="false" outlineLevel="0" collapsed="false">
      <c r="A8880" s="15" t="s">
        <v>8937</v>
      </c>
      <c r="B8880" s="16" t="n">
        <v>44916</v>
      </c>
      <c r="C8880" s="15" t="s">
        <v>56</v>
      </c>
      <c r="D8880" s="15" t="s">
        <v>42</v>
      </c>
      <c r="E8880" s="15" t="s">
        <v>39</v>
      </c>
      <c r="F8880" s="15" t="s">
        <v>17</v>
      </c>
      <c r="G8880" s="15" t="s">
        <v>28</v>
      </c>
      <c r="H8880" s="15" t="n">
        <v>3</v>
      </c>
      <c r="I8880" s="17" t="n">
        <v>0.1</v>
      </c>
      <c r="J8880" s="18" t="n">
        <v>65.87</v>
      </c>
      <c r="K8880" s="19" t="n">
        <v>20.08</v>
      </c>
      <c r="L8880" s="15" t="n">
        <f aca="false">YEAR(B8880)</f>
        <v>2022</v>
      </c>
      <c r="M8880" s="20" t="n">
        <f aca="false">IF(J8880&gt;0,K8880/J8880,0)</f>
        <v>0.304842872324275</v>
      </c>
    </row>
    <row r="8881" customFormat="false" ht="15" hidden="false" customHeight="false" outlineLevel="0" collapsed="false">
      <c r="A8881" s="15" t="s">
        <v>8938</v>
      </c>
      <c r="B8881" s="16" t="n">
        <v>45617</v>
      </c>
      <c r="C8881" s="15" t="s">
        <v>56</v>
      </c>
      <c r="D8881" s="15" t="s">
        <v>43</v>
      </c>
      <c r="E8881" s="15" t="s">
        <v>39</v>
      </c>
      <c r="F8881" s="15" t="s">
        <v>16</v>
      </c>
      <c r="G8881" s="15" t="s">
        <v>23</v>
      </c>
      <c r="H8881" s="15" t="n">
        <v>2</v>
      </c>
      <c r="I8881" s="17" t="n">
        <v>0</v>
      </c>
      <c r="J8881" s="18" t="n">
        <v>782.17</v>
      </c>
      <c r="K8881" s="19" t="n">
        <v>11.45</v>
      </c>
      <c r="L8881" s="15" t="n">
        <f aca="false">YEAR(B8881)</f>
        <v>2024</v>
      </c>
      <c r="M8881" s="20" t="n">
        <f aca="false">IF(J8881&gt;0,K8881/J8881,0)</f>
        <v>0.0146387613945817</v>
      </c>
    </row>
    <row r="8882" customFormat="false" ht="15" hidden="false" customHeight="false" outlineLevel="0" collapsed="false">
      <c r="A8882" s="15" t="s">
        <v>8939</v>
      </c>
      <c r="B8882" s="16" t="n">
        <v>45494</v>
      </c>
      <c r="C8882" s="15" t="s">
        <v>56</v>
      </c>
      <c r="D8882" s="15" t="s">
        <v>42</v>
      </c>
      <c r="E8882" s="15" t="s">
        <v>38</v>
      </c>
      <c r="F8882" s="15" t="s">
        <v>17</v>
      </c>
      <c r="G8882" s="15" t="s">
        <v>26</v>
      </c>
      <c r="H8882" s="15" t="n">
        <v>5</v>
      </c>
      <c r="I8882" s="17" t="n">
        <v>0</v>
      </c>
      <c r="J8882" s="18" t="n">
        <v>418.94</v>
      </c>
      <c r="K8882" s="19" t="n">
        <v>49.58</v>
      </c>
      <c r="L8882" s="15" t="n">
        <f aca="false">YEAR(B8882)</f>
        <v>2024</v>
      </c>
      <c r="M8882" s="20" t="n">
        <f aca="false">IF(J8882&gt;0,K8882/J8882,0)</f>
        <v>0.118346302573161</v>
      </c>
    </row>
    <row r="8883" customFormat="false" ht="15" hidden="false" customHeight="false" outlineLevel="0" collapsed="false">
      <c r="A8883" s="15" t="s">
        <v>8940</v>
      </c>
      <c r="B8883" s="16" t="n">
        <v>46000</v>
      </c>
      <c r="C8883" s="15" t="s">
        <v>58</v>
      </c>
      <c r="D8883" s="15" t="s">
        <v>44</v>
      </c>
      <c r="E8883" s="15" t="s">
        <v>36</v>
      </c>
      <c r="F8883" s="15" t="s">
        <v>17</v>
      </c>
      <c r="G8883" s="15" t="s">
        <v>29</v>
      </c>
      <c r="H8883" s="15" t="n">
        <v>1</v>
      </c>
      <c r="I8883" s="17" t="n">
        <v>0</v>
      </c>
      <c r="J8883" s="18" t="n">
        <v>14.79</v>
      </c>
      <c r="K8883" s="19" t="n">
        <v>5.59</v>
      </c>
      <c r="L8883" s="15" t="n">
        <f aca="false">YEAR(B8883)</f>
        <v>2025</v>
      </c>
      <c r="M8883" s="20" t="n">
        <f aca="false">IF(J8883&gt;0,K8883/J8883,0)</f>
        <v>0.377958079783638</v>
      </c>
    </row>
    <row r="8884" customFormat="false" ht="15" hidden="false" customHeight="false" outlineLevel="0" collapsed="false">
      <c r="A8884" s="15" t="s">
        <v>8941</v>
      </c>
      <c r="B8884" s="16" t="n">
        <v>45829</v>
      </c>
      <c r="C8884" s="15" t="s">
        <v>71</v>
      </c>
      <c r="D8884" s="15" t="s">
        <v>44</v>
      </c>
      <c r="E8884" s="15" t="s">
        <v>36</v>
      </c>
      <c r="F8884" s="15" t="s">
        <v>17</v>
      </c>
      <c r="G8884" s="15" t="s">
        <v>29</v>
      </c>
      <c r="H8884" s="15" t="n">
        <v>3</v>
      </c>
      <c r="I8884" s="17" t="n">
        <v>0.3</v>
      </c>
      <c r="J8884" s="18" t="n">
        <v>31.72</v>
      </c>
      <c r="K8884" s="19" t="n">
        <v>3.79</v>
      </c>
      <c r="L8884" s="15" t="n">
        <f aca="false">YEAR(B8884)</f>
        <v>2025</v>
      </c>
      <c r="M8884" s="20" t="n">
        <f aca="false">IF(J8884&gt;0,K8884/J8884,0)</f>
        <v>0.119482976040353</v>
      </c>
    </row>
    <row r="8885" customFormat="false" ht="15" hidden="false" customHeight="false" outlineLevel="0" collapsed="false">
      <c r="A8885" s="15" t="s">
        <v>8942</v>
      </c>
      <c r="B8885" s="16" t="n">
        <v>45116</v>
      </c>
      <c r="C8885" s="15" t="s">
        <v>56</v>
      </c>
      <c r="D8885" s="15" t="s">
        <v>42</v>
      </c>
      <c r="E8885" s="15" t="s">
        <v>36</v>
      </c>
      <c r="F8885" s="15" t="s">
        <v>17</v>
      </c>
      <c r="G8885" s="15" t="s">
        <v>29</v>
      </c>
      <c r="H8885" s="15" t="n">
        <v>3</v>
      </c>
      <c r="I8885" s="17" t="n">
        <v>0</v>
      </c>
      <c r="J8885" s="18" t="n">
        <v>64.82</v>
      </c>
      <c r="K8885" s="19" t="n">
        <v>22.71</v>
      </c>
      <c r="L8885" s="15" t="n">
        <f aca="false">YEAR(B8885)</f>
        <v>2023</v>
      </c>
      <c r="M8885" s="20" t="n">
        <f aca="false">IF(J8885&gt;0,K8885/J8885,0)</f>
        <v>0.350354828756557</v>
      </c>
    </row>
    <row r="8886" customFormat="false" ht="15" hidden="false" customHeight="false" outlineLevel="0" collapsed="false">
      <c r="A8886" s="15" t="s">
        <v>8943</v>
      </c>
      <c r="B8886" s="16" t="n">
        <v>44771</v>
      </c>
      <c r="C8886" s="15" t="s">
        <v>56</v>
      </c>
      <c r="D8886" s="15" t="s">
        <v>43</v>
      </c>
      <c r="E8886" s="15" t="s">
        <v>38</v>
      </c>
      <c r="F8886" s="15" t="s">
        <v>17</v>
      </c>
      <c r="G8886" s="15" t="s">
        <v>31</v>
      </c>
      <c r="H8886" s="15" t="n">
        <v>2</v>
      </c>
      <c r="I8886" s="17" t="n">
        <v>0.4</v>
      </c>
      <c r="J8886" s="18" t="n">
        <v>155.31</v>
      </c>
      <c r="K8886" s="19" t="n">
        <v>-30.64</v>
      </c>
      <c r="L8886" s="15" t="n">
        <f aca="false">YEAR(B8886)</f>
        <v>2022</v>
      </c>
      <c r="M8886" s="20" t="n">
        <f aca="false">IF(J8886&gt;0,K8886/J8886,0)</f>
        <v>-0.197282853647544</v>
      </c>
    </row>
    <row r="8887" customFormat="false" ht="15" hidden="false" customHeight="false" outlineLevel="0" collapsed="false">
      <c r="A8887" s="15" t="s">
        <v>8944</v>
      </c>
      <c r="B8887" s="16" t="n">
        <v>45895</v>
      </c>
      <c r="C8887" s="15" t="s">
        <v>56</v>
      </c>
      <c r="D8887" s="15" t="s">
        <v>42</v>
      </c>
      <c r="E8887" s="15" t="s">
        <v>39</v>
      </c>
      <c r="F8887" s="15" t="s">
        <v>18</v>
      </c>
      <c r="G8887" s="15" t="s">
        <v>32</v>
      </c>
      <c r="H8887" s="15" t="n">
        <v>3</v>
      </c>
      <c r="I8887" s="17" t="n">
        <v>0.05</v>
      </c>
      <c r="J8887" s="18" t="n">
        <v>1387.74</v>
      </c>
      <c r="K8887" s="19" t="n">
        <v>191.31</v>
      </c>
      <c r="L8887" s="15" t="n">
        <f aca="false">YEAR(B8887)</f>
        <v>2025</v>
      </c>
      <c r="M8887" s="20" t="n">
        <f aca="false">IF(J8887&gt;0,K8887/J8887,0)</f>
        <v>0.13785723550521</v>
      </c>
    </row>
    <row r="8888" customFormat="false" ht="15" hidden="false" customHeight="false" outlineLevel="0" collapsed="false">
      <c r="A8888" s="15" t="s">
        <v>8945</v>
      </c>
      <c r="B8888" s="16" t="n">
        <v>44878</v>
      </c>
      <c r="C8888" s="15" t="s">
        <v>56</v>
      </c>
      <c r="D8888" s="15" t="s">
        <v>42</v>
      </c>
      <c r="E8888" s="15" t="s">
        <v>39</v>
      </c>
      <c r="F8888" s="15" t="s">
        <v>16</v>
      </c>
      <c r="G8888" s="15" t="s">
        <v>25</v>
      </c>
      <c r="H8888" s="15" t="n">
        <v>1</v>
      </c>
      <c r="I8888" s="17" t="n">
        <v>0</v>
      </c>
      <c r="J8888" s="18" t="n">
        <v>297.31</v>
      </c>
      <c r="K8888" s="19" t="n">
        <v>37.77</v>
      </c>
      <c r="L8888" s="15" t="n">
        <f aca="false">YEAR(B8888)</f>
        <v>2022</v>
      </c>
      <c r="M8888" s="20" t="n">
        <f aca="false">IF(J8888&gt;0,K8888/J8888,0)</f>
        <v>0.127039117419528</v>
      </c>
    </row>
    <row r="8889" customFormat="false" ht="15" hidden="false" customHeight="false" outlineLevel="0" collapsed="false">
      <c r="A8889" s="15" t="s">
        <v>8946</v>
      </c>
      <c r="B8889" s="16" t="n">
        <v>45772</v>
      </c>
      <c r="C8889" s="15" t="s">
        <v>71</v>
      </c>
      <c r="D8889" s="15" t="s">
        <v>44</v>
      </c>
      <c r="E8889" s="15" t="s">
        <v>36</v>
      </c>
      <c r="F8889" s="15" t="s">
        <v>17</v>
      </c>
      <c r="G8889" s="15" t="s">
        <v>26</v>
      </c>
      <c r="H8889" s="15" t="n">
        <v>6</v>
      </c>
      <c r="I8889" s="17" t="n">
        <v>0.2</v>
      </c>
      <c r="J8889" s="18" t="n">
        <v>294.78</v>
      </c>
      <c r="K8889" s="19" t="n">
        <v>-12.64</v>
      </c>
      <c r="L8889" s="15" t="n">
        <f aca="false">YEAR(B8889)</f>
        <v>2025</v>
      </c>
      <c r="M8889" s="20" t="n">
        <f aca="false">IF(J8889&gt;0,K8889/J8889,0)</f>
        <v>-0.0428794355112287</v>
      </c>
    </row>
    <row r="8890" customFormat="false" ht="15" hidden="false" customHeight="false" outlineLevel="0" collapsed="false">
      <c r="A8890" s="15" t="s">
        <v>8947</v>
      </c>
      <c r="B8890" s="16" t="n">
        <v>45875</v>
      </c>
      <c r="C8890" s="15" t="s">
        <v>56</v>
      </c>
      <c r="D8890" s="15" t="s">
        <v>43</v>
      </c>
      <c r="E8890" s="15" t="s">
        <v>38</v>
      </c>
      <c r="F8890" s="15" t="s">
        <v>17</v>
      </c>
      <c r="G8890" s="15" t="s">
        <v>29</v>
      </c>
      <c r="H8890" s="15" t="n">
        <v>4</v>
      </c>
      <c r="I8890" s="17" t="n">
        <v>0</v>
      </c>
      <c r="J8890" s="18" t="n">
        <v>70.22</v>
      </c>
      <c r="K8890" s="19" t="n">
        <v>28.22</v>
      </c>
      <c r="L8890" s="15" t="n">
        <f aca="false">YEAR(B8890)</f>
        <v>2025</v>
      </c>
      <c r="M8890" s="20" t="n">
        <f aca="false">IF(J8890&gt;0,K8890/J8890,0)</f>
        <v>0.401879806322985</v>
      </c>
    </row>
    <row r="8891" customFormat="false" ht="15" hidden="false" customHeight="false" outlineLevel="0" collapsed="false">
      <c r="A8891" s="15" t="s">
        <v>8948</v>
      </c>
      <c r="B8891" s="16" t="n">
        <v>45613</v>
      </c>
      <c r="C8891" s="15" t="s">
        <v>68</v>
      </c>
      <c r="D8891" s="15" t="s">
        <v>42</v>
      </c>
      <c r="E8891" s="15" t="s">
        <v>39</v>
      </c>
      <c r="F8891" s="15" t="s">
        <v>17</v>
      </c>
      <c r="G8891" s="15" t="s">
        <v>28</v>
      </c>
      <c r="H8891" s="15" t="n">
        <v>2</v>
      </c>
      <c r="I8891" s="17" t="n">
        <v>0.05</v>
      </c>
      <c r="J8891" s="18" t="n">
        <v>54.9</v>
      </c>
      <c r="K8891" s="19" t="n">
        <v>10.5</v>
      </c>
      <c r="L8891" s="15" t="n">
        <f aca="false">YEAR(B8891)</f>
        <v>2024</v>
      </c>
      <c r="M8891" s="20" t="n">
        <f aca="false">IF(J8891&gt;0,K8891/J8891,0)</f>
        <v>0.191256830601093</v>
      </c>
    </row>
    <row r="8892" customFormat="false" ht="15" hidden="false" customHeight="false" outlineLevel="0" collapsed="false">
      <c r="A8892" s="15" t="s">
        <v>8949</v>
      </c>
      <c r="B8892" s="16" t="n">
        <v>45497</v>
      </c>
      <c r="C8892" s="15" t="s">
        <v>58</v>
      </c>
      <c r="D8892" s="15" t="s">
        <v>42</v>
      </c>
      <c r="E8892" s="15" t="s">
        <v>37</v>
      </c>
      <c r="F8892" s="15" t="s">
        <v>17</v>
      </c>
      <c r="G8892" s="15" t="s">
        <v>29</v>
      </c>
      <c r="H8892" s="15" t="n">
        <v>3</v>
      </c>
      <c r="I8892" s="17" t="n">
        <v>0.2</v>
      </c>
      <c r="J8892" s="18" t="n">
        <v>38.51</v>
      </c>
      <c r="K8892" s="19" t="n">
        <v>6.09</v>
      </c>
      <c r="L8892" s="15" t="n">
        <f aca="false">YEAR(B8892)</f>
        <v>2024</v>
      </c>
      <c r="M8892" s="20" t="n">
        <f aca="false">IF(J8892&gt;0,K8892/J8892,0)</f>
        <v>0.158140742664243</v>
      </c>
    </row>
    <row r="8893" customFormat="false" ht="15" hidden="false" customHeight="false" outlineLevel="0" collapsed="false">
      <c r="A8893" s="15" t="s">
        <v>8950</v>
      </c>
      <c r="B8893" s="16" t="n">
        <v>44621</v>
      </c>
      <c r="C8893" s="15" t="s">
        <v>68</v>
      </c>
      <c r="D8893" s="15" t="s">
        <v>42</v>
      </c>
      <c r="E8893" s="15" t="s">
        <v>38</v>
      </c>
      <c r="F8893" s="15" t="s">
        <v>17</v>
      </c>
      <c r="G8893" s="15" t="s">
        <v>29</v>
      </c>
      <c r="H8893" s="15" t="n">
        <v>3</v>
      </c>
      <c r="I8893" s="17" t="n">
        <v>0.2</v>
      </c>
      <c r="J8893" s="18" t="n">
        <v>40.23</v>
      </c>
      <c r="K8893" s="19" t="n">
        <v>9.61</v>
      </c>
      <c r="L8893" s="15" t="n">
        <f aca="false">YEAR(B8893)</f>
        <v>2022</v>
      </c>
      <c r="M8893" s="20" t="n">
        <f aca="false">IF(J8893&gt;0,K8893/J8893,0)</f>
        <v>0.23887646035297</v>
      </c>
    </row>
    <row r="8894" customFormat="false" ht="15" hidden="false" customHeight="false" outlineLevel="0" collapsed="false">
      <c r="A8894" s="15" t="s">
        <v>8951</v>
      </c>
      <c r="B8894" s="16" t="n">
        <v>45393</v>
      </c>
      <c r="C8894" s="15" t="s">
        <v>56</v>
      </c>
      <c r="D8894" s="15" t="s">
        <v>43</v>
      </c>
      <c r="E8894" s="15" t="s">
        <v>36</v>
      </c>
      <c r="F8894" s="15" t="s">
        <v>17</v>
      </c>
      <c r="G8894" s="15" t="s">
        <v>28</v>
      </c>
      <c r="H8894" s="15" t="n">
        <v>4</v>
      </c>
      <c r="I8894" s="17" t="n">
        <v>0.2</v>
      </c>
      <c r="J8894" s="18" t="n">
        <v>87.71</v>
      </c>
      <c r="K8894" s="19" t="n">
        <v>13.92</v>
      </c>
      <c r="L8894" s="15" t="n">
        <f aca="false">YEAR(B8894)</f>
        <v>2024</v>
      </c>
      <c r="M8894" s="20" t="n">
        <f aca="false">IF(J8894&gt;0,K8894/J8894,0)</f>
        <v>0.158704822711207</v>
      </c>
    </row>
    <row r="8895" customFormat="false" ht="15" hidden="false" customHeight="false" outlineLevel="0" collapsed="false">
      <c r="A8895" s="15" t="s">
        <v>8952</v>
      </c>
      <c r="B8895" s="16" t="n">
        <v>45756</v>
      </c>
      <c r="C8895" s="15" t="s">
        <v>56</v>
      </c>
      <c r="D8895" s="15" t="s">
        <v>42</v>
      </c>
      <c r="E8895" s="15" t="s">
        <v>36</v>
      </c>
      <c r="F8895" s="15" t="s">
        <v>17</v>
      </c>
      <c r="G8895" s="15" t="s">
        <v>29</v>
      </c>
      <c r="H8895" s="15" t="n">
        <v>5</v>
      </c>
      <c r="I8895" s="17" t="n">
        <v>0</v>
      </c>
      <c r="J8895" s="18" t="n">
        <v>77.64</v>
      </c>
      <c r="K8895" s="19" t="n">
        <v>25.17</v>
      </c>
      <c r="L8895" s="15" t="n">
        <f aca="false">YEAR(B8895)</f>
        <v>2025</v>
      </c>
      <c r="M8895" s="20" t="n">
        <f aca="false">IF(J8895&gt;0,K8895/J8895,0)</f>
        <v>0.3241885625966</v>
      </c>
    </row>
    <row r="8896" customFormat="false" ht="15" hidden="false" customHeight="false" outlineLevel="0" collapsed="false">
      <c r="A8896" s="15" t="s">
        <v>8953</v>
      </c>
      <c r="B8896" s="16" t="n">
        <v>45752</v>
      </c>
      <c r="C8896" s="15" t="s">
        <v>68</v>
      </c>
      <c r="D8896" s="15" t="s">
        <v>42</v>
      </c>
      <c r="E8896" s="15" t="s">
        <v>37</v>
      </c>
      <c r="F8896" s="15" t="s">
        <v>17</v>
      </c>
      <c r="G8896" s="15" t="s">
        <v>31</v>
      </c>
      <c r="H8896" s="15" t="n">
        <v>4</v>
      </c>
      <c r="I8896" s="17" t="n">
        <v>0.4</v>
      </c>
      <c r="J8896" s="18" t="n">
        <v>390.59</v>
      </c>
      <c r="K8896" s="19" t="n">
        <v>-76.7</v>
      </c>
      <c r="L8896" s="15" t="n">
        <f aca="false">YEAR(B8896)</f>
        <v>2025</v>
      </c>
      <c r="M8896" s="20" t="n">
        <f aca="false">IF(J8896&gt;0,K8896/J8896,0)</f>
        <v>-0.196369594715687</v>
      </c>
    </row>
    <row r="8897" customFormat="false" ht="15" hidden="false" customHeight="false" outlineLevel="0" collapsed="false">
      <c r="A8897" s="15" t="s">
        <v>8954</v>
      </c>
      <c r="B8897" s="16" t="n">
        <v>44687</v>
      </c>
      <c r="C8897" s="15" t="s">
        <v>56</v>
      </c>
      <c r="D8897" s="15" t="s">
        <v>42</v>
      </c>
      <c r="E8897" s="15" t="s">
        <v>36</v>
      </c>
      <c r="F8897" s="15" t="s">
        <v>17</v>
      </c>
      <c r="G8897" s="15" t="s">
        <v>29</v>
      </c>
      <c r="H8897" s="15" t="n">
        <v>2</v>
      </c>
      <c r="I8897" s="17" t="n">
        <v>0.4</v>
      </c>
      <c r="J8897" s="18" t="n">
        <v>22.06</v>
      </c>
      <c r="K8897" s="19" t="n">
        <v>1.78</v>
      </c>
      <c r="L8897" s="15" t="n">
        <f aca="false">YEAR(B8897)</f>
        <v>2022</v>
      </c>
      <c r="M8897" s="20" t="n">
        <f aca="false">IF(J8897&gt;0,K8897/J8897,0)</f>
        <v>0.0806890299184044</v>
      </c>
    </row>
    <row r="8898" customFormat="false" ht="15" hidden="false" customHeight="false" outlineLevel="0" collapsed="false">
      <c r="A8898" s="15" t="s">
        <v>8955</v>
      </c>
      <c r="B8898" s="16" t="n">
        <v>45826</v>
      </c>
      <c r="C8898" s="15" t="s">
        <v>58</v>
      </c>
      <c r="D8898" s="15" t="s">
        <v>44</v>
      </c>
      <c r="E8898" s="15" t="s">
        <v>37</v>
      </c>
      <c r="F8898" s="15" t="s">
        <v>16</v>
      </c>
      <c r="G8898" s="15" t="s">
        <v>23</v>
      </c>
      <c r="H8898" s="15" t="n">
        <v>6</v>
      </c>
      <c r="I8898" s="17" t="n">
        <v>0.05</v>
      </c>
      <c r="J8898" s="18" t="n">
        <v>1882.31</v>
      </c>
      <c r="K8898" s="19" t="n">
        <v>35.01</v>
      </c>
      <c r="L8898" s="15" t="n">
        <f aca="false">YEAR(B8898)</f>
        <v>2025</v>
      </c>
      <c r="M8898" s="20" t="n">
        <f aca="false">IF(J8898&gt;0,K8898/J8898,0)</f>
        <v>0.0185994868007926</v>
      </c>
    </row>
    <row r="8899" customFormat="false" ht="15" hidden="false" customHeight="false" outlineLevel="0" collapsed="false">
      <c r="A8899" s="15" t="s">
        <v>8956</v>
      </c>
      <c r="B8899" s="16" t="n">
        <v>44805</v>
      </c>
      <c r="C8899" s="15" t="s">
        <v>71</v>
      </c>
      <c r="D8899" s="15" t="s">
        <v>42</v>
      </c>
      <c r="E8899" s="15" t="s">
        <v>39</v>
      </c>
      <c r="F8899" s="15" t="s">
        <v>17</v>
      </c>
      <c r="G8899" s="15" t="s">
        <v>26</v>
      </c>
      <c r="H8899" s="15" t="n">
        <v>4</v>
      </c>
      <c r="I8899" s="17" t="n">
        <v>0.2</v>
      </c>
      <c r="J8899" s="18" t="n">
        <v>246.77</v>
      </c>
      <c r="K8899" s="19" t="n">
        <v>-23.25</v>
      </c>
      <c r="L8899" s="15" t="n">
        <f aca="false">YEAR(B8899)</f>
        <v>2022</v>
      </c>
      <c r="M8899" s="20" t="n">
        <f aca="false">IF(J8899&gt;0,K8899/J8899,0)</f>
        <v>-0.0942172873525955</v>
      </c>
    </row>
    <row r="8900" customFormat="false" ht="15" hidden="false" customHeight="false" outlineLevel="0" collapsed="false">
      <c r="A8900" s="15" t="s">
        <v>8957</v>
      </c>
      <c r="B8900" s="16" t="n">
        <v>45275</v>
      </c>
      <c r="C8900" s="15" t="s">
        <v>56</v>
      </c>
      <c r="D8900" s="15" t="s">
        <v>43</v>
      </c>
      <c r="E8900" s="15" t="s">
        <v>36</v>
      </c>
      <c r="F8900" s="15" t="s">
        <v>17</v>
      </c>
      <c r="G8900" s="15" t="s">
        <v>28</v>
      </c>
      <c r="H8900" s="15" t="n">
        <v>3</v>
      </c>
      <c r="I8900" s="17" t="n">
        <v>0.15</v>
      </c>
      <c r="J8900" s="18" t="n">
        <v>65.27</v>
      </c>
      <c r="K8900" s="19" t="n">
        <v>13.63</v>
      </c>
      <c r="L8900" s="15" t="n">
        <f aca="false">YEAR(B8900)</f>
        <v>2023</v>
      </c>
      <c r="M8900" s="20" t="n">
        <f aca="false">IF(J8900&gt;0,K8900/J8900,0)</f>
        <v>0.208824881262448</v>
      </c>
    </row>
    <row r="8901" customFormat="false" ht="15" hidden="false" customHeight="false" outlineLevel="0" collapsed="false">
      <c r="A8901" s="15" t="s">
        <v>8958</v>
      </c>
      <c r="B8901" s="16" t="n">
        <v>45926</v>
      </c>
      <c r="C8901" s="15" t="s">
        <v>56</v>
      </c>
      <c r="D8901" s="15" t="s">
        <v>43</v>
      </c>
      <c r="E8901" s="15" t="s">
        <v>39</v>
      </c>
      <c r="F8901" s="15" t="s">
        <v>17</v>
      </c>
      <c r="G8901" s="15" t="s">
        <v>28</v>
      </c>
      <c r="H8901" s="15" t="n">
        <v>1</v>
      </c>
      <c r="I8901" s="17" t="n">
        <v>0.15</v>
      </c>
      <c r="J8901" s="18" t="n">
        <v>23.39</v>
      </c>
      <c r="K8901" s="19" t="n">
        <v>4.36</v>
      </c>
      <c r="L8901" s="15" t="n">
        <f aca="false">YEAR(B8901)</f>
        <v>2025</v>
      </c>
      <c r="M8901" s="20" t="n">
        <f aca="false">IF(J8901&gt;0,K8901/J8901,0)</f>
        <v>0.186404446344592</v>
      </c>
    </row>
    <row r="8902" customFormat="false" ht="15" hidden="false" customHeight="false" outlineLevel="0" collapsed="false">
      <c r="A8902" s="15" t="s">
        <v>8959</v>
      </c>
      <c r="B8902" s="16" t="n">
        <v>45483</v>
      </c>
      <c r="C8902" s="15" t="s">
        <v>68</v>
      </c>
      <c r="D8902" s="15" t="s">
        <v>42</v>
      </c>
      <c r="E8902" s="15" t="s">
        <v>37</v>
      </c>
      <c r="F8902" s="15" t="s">
        <v>17</v>
      </c>
      <c r="G8902" s="15" t="s">
        <v>28</v>
      </c>
      <c r="H8902" s="15" t="n">
        <v>4</v>
      </c>
      <c r="I8902" s="17" t="n">
        <v>0.1</v>
      </c>
      <c r="J8902" s="18" t="n">
        <v>111.29</v>
      </c>
      <c r="K8902" s="19" t="n">
        <v>22.51</v>
      </c>
      <c r="L8902" s="15" t="n">
        <f aca="false">YEAR(B8902)</f>
        <v>2024</v>
      </c>
      <c r="M8902" s="20" t="n">
        <f aca="false">IF(J8902&gt;0,K8902/J8902,0)</f>
        <v>0.202264354389433</v>
      </c>
    </row>
    <row r="8903" customFormat="false" ht="15" hidden="false" customHeight="false" outlineLevel="0" collapsed="false">
      <c r="A8903" s="15" t="s">
        <v>8960</v>
      </c>
      <c r="B8903" s="16" t="n">
        <v>45933</v>
      </c>
      <c r="C8903" s="15" t="s">
        <v>68</v>
      </c>
      <c r="D8903" s="15" t="s">
        <v>42</v>
      </c>
      <c r="E8903" s="15" t="s">
        <v>37</v>
      </c>
      <c r="F8903" s="15" t="s">
        <v>17</v>
      </c>
      <c r="G8903" s="15" t="s">
        <v>31</v>
      </c>
      <c r="H8903" s="15" t="n">
        <v>2</v>
      </c>
      <c r="I8903" s="17" t="n">
        <v>0.05</v>
      </c>
      <c r="J8903" s="18" t="n">
        <v>196.53</v>
      </c>
      <c r="K8903" s="19" t="n">
        <v>27.59</v>
      </c>
      <c r="L8903" s="15" t="n">
        <f aca="false">YEAR(B8903)</f>
        <v>2025</v>
      </c>
      <c r="M8903" s="20" t="n">
        <f aca="false">IF(J8903&gt;0,K8903/J8903,0)</f>
        <v>0.140385691751895</v>
      </c>
    </row>
    <row r="8904" customFormat="false" ht="15" hidden="false" customHeight="false" outlineLevel="0" collapsed="false">
      <c r="A8904" s="15" t="s">
        <v>8961</v>
      </c>
      <c r="B8904" s="16" t="n">
        <v>45105</v>
      </c>
      <c r="C8904" s="15" t="s">
        <v>56</v>
      </c>
      <c r="D8904" s="15" t="s">
        <v>42</v>
      </c>
      <c r="E8904" s="15" t="s">
        <v>39</v>
      </c>
      <c r="F8904" s="15" t="s">
        <v>16</v>
      </c>
      <c r="G8904" s="15" t="s">
        <v>23</v>
      </c>
      <c r="H8904" s="15" t="n">
        <v>4</v>
      </c>
      <c r="I8904" s="17" t="n">
        <v>0.1</v>
      </c>
      <c r="J8904" s="18" t="n">
        <v>1114.95</v>
      </c>
      <c r="K8904" s="19" t="n">
        <v>-98.58</v>
      </c>
      <c r="L8904" s="15" t="n">
        <f aca="false">YEAR(B8904)</f>
        <v>2023</v>
      </c>
      <c r="M8904" s="20" t="n">
        <f aca="false">IF(J8904&gt;0,K8904/J8904,0)</f>
        <v>-0.0884165209202206</v>
      </c>
    </row>
    <row r="8905" customFormat="false" ht="15" hidden="false" customHeight="false" outlineLevel="0" collapsed="false">
      <c r="A8905" s="15" t="s">
        <v>8962</v>
      </c>
      <c r="B8905" s="16" t="n">
        <v>45056</v>
      </c>
      <c r="C8905" s="15" t="s">
        <v>56</v>
      </c>
      <c r="D8905" s="15" t="s">
        <v>42</v>
      </c>
      <c r="E8905" s="15" t="s">
        <v>39</v>
      </c>
      <c r="F8905" s="15" t="s">
        <v>17</v>
      </c>
      <c r="G8905" s="15" t="s">
        <v>29</v>
      </c>
      <c r="H8905" s="15" t="n">
        <v>2</v>
      </c>
      <c r="I8905" s="17" t="n">
        <v>0</v>
      </c>
      <c r="J8905" s="18" t="n">
        <v>40.85</v>
      </c>
      <c r="K8905" s="19" t="n">
        <v>16.15</v>
      </c>
      <c r="L8905" s="15" t="n">
        <f aca="false">YEAR(B8905)</f>
        <v>2023</v>
      </c>
      <c r="M8905" s="20" t="n">
        <f aca="false">IF(J8905&gt;0,K8905/J8905,0)</f>
        <v>0.395348837209302</v>
      </c>
    </row>
    <row r="8906" customFormat="false" ht="15" hidden="false" customHeight="false" outlineLevel="0" collapsed="false">
      <c r="A8906" s="15" t="s">
        <v>8963</v>
      </c>
      <c r="B8906" s="16" t="n">
        <v>45800</v>
      </c>
      <c r="C8906" s="15" t="s">
        <v>71</v>
      </c>
      <c r="D8906" s="15" t="s">
        <v>42</v>
      </c>
      <c r="E8906" s="15" t="s">
        <v>39</v>
      </c>
      <c r="F8906" s="15" t="s">
        <v>17</v>
      </c>
      <c r="G8906" s="15" t="s">
        <v>29</v>
      </c>
      <c r="H8906" s="15" t="n">
        <v>8</v>
      </c>
      <c r="I8906" s="17" t="n">
        <v>0</v>
      </c>
      <c r="J8906" s="18" t="n">
        <v>185.44</v>
      </c>
      <c r="K8906" s="19" t="n">
        <v>49.87</v>
      </c>
      <c r="L8906" s="15" t="n">
        <f aca="false">YEAR(B8906)</f>
        <v>2025</v>
      </c>
      <c r="M8906" s="20" t="n">
        <f aca="false">IF(J8906&gt;0,K8906/J8906,0)</f>
        <v>0.268927955133736</v>
      </c>
    </row>
    <row r="8907" customFormat="false" ht="15" hidden="false" customHeight="false" outlineLevel="0" collapsed="false">
      <c r="A8907" s="15" t="s">
        <v>8964</v>
      </c>
      <c r="B8907" s="16" t="n">
        <v>45172</v>
      </c>
      <c r="C8907" s="15" t="s">
        <v>68</v>
      </c>
      <c r="D8907" s="15" t="s">
        <v>44</v>
      </c>
      <c r="E8907" s="15" t="s">
        <v>36</v>
      </c>
      <c r="F8907" s="15" t="s">
        <v>17</v>
      </c>
      <c r="G8907" s="15" t="s">
        <v>28</v>
      </c>
      <c r="H8907" s="15" t="n">
        <v>5</v>
      </c>
      <c r="I8907" s="17" t="n">
        <v>0</v>
      </c>
      <c r="J8907" s="18" t="n">
        <v>106.21</v>
      </c>
      <c r="K8907" s="19" t="n">
        <v>31.36</v>
      </c>
      <c r="L8907" s="15" t="n">
        <f aca="false">YEAR(B8907)</f>
        <v>2023</v>
      </c>
      <c r="M8907" s="20" t="n">
        <f aca="false">IF(J8907&gt;0,K8907/J8907,0)</f>
        <v>0.295264099425666</v>
      </c>
    </row>
    <row r="8908" customFormat="false" ht="15" hidden="false" customHeight="false" outlineLevel="0" collapsed="false">
      <c r="A8908" s="15" t="s">
        <v>8965</v>
      </c>
      <c r="B8908" s="16" t="n">
        <v>45963</v>
      </c>
      <c r="C8908" s="15" t="s">
        <v>58</v>
      </c>
      <c r="D8908" s="15" t="s">
        <v>44</v>
      </c>
      <c r="E8908" s="15" t="s">
        <v>38</v>
      </c>
      <c r="F8908" s="15" t="s">
        <v>17</v>
      </c>
      <c r="G8908" s="15" t="s">
        <v>28</v>
      </c>
      <c r="H8908" s="15" t="n">
        <v>2</v>
      </c>
      <c r="I8908" s="17" t="n">
        <v>0.1</v>
      </c>
      <c r="J8908" s="18" t="n">
        <v>43.68</v>
      </c>
      <c r="K8908" s="19" t="n">
        <v>8.29</v>
      </c>
      <c r="L8908" s="15" t="n">
        <f aca="false">YEAR(B8908)</f>
        <v>2025</v>
      </c>
      <c r="M8908" s="20" t="n">
        <f aca="false">IF(J8908&gt;0,K8908/J8908,0)</f>
        <v>0.189789377289377</v>
      </c>
    </row>
    <row r="8909" customFormat="false" ht="15" hidden="false" customHeight="false" outlineLevel="0" collapsed="false">
      <c r="A8909" s="15" t="s">
        <v>8966</v>
      </c>
      <c r="B8909" s="16" t="n">
        <v>45646</v>
      </c>
      <c r="C8909" s="15" t="s">
        <v>71</v>
      </c>
      <c r="D8909" s="15" t="s">
        <v>43</v>
      </c>
      <c r="E8909" s="15" t="s">
        <v>38</v>
      </c>
      <c r="F8909" s="15" t="s">
        <v>17</v>
      </c>
      <c r="G8909" s="15" t="s">
        <v>26</v>
      </c>
      <c r="H8909" s="15" t="n">
        <v>4</v>
      </c>
      <c r="I8909" s="17" t="n">
        <v>0.1</v>
      </c>
      <c r="J8909" s="18" t="n">
        <v>273.58</v>
      </c>
      <c r="K8909" s="19" t="n">
        <v>-15.36</v>
      </c>
      <c r="L8909" s="15" t="n">
        <f aca="false">YEAR(B8909)</f>
        <v>2024</v>
      </c>
      <c r="M8909" s="20" t="n">
        <f aca="false">IF(J8909&gt;0,K8909/J8909,0)</f>
        <v>-0.0561444550040208</v>
      </c>
    </row>
    <row r="8910" customFormat="false" ht="15" hidden="false" customHeight="false" outlineLevel="0" collapsed="false">
      <c r="A8910" s="15" t="s">
        <v>8967</v>
      </c>
      <c r="B8910" s="16" t="n">
        <v>45171</v>
      </c>
      <c r="C8910" s="15" t="s">
        <v>71</v>
      </c>
      <c r="D8910" s="15" t="s">
        <v>43</v>
      </c>
      <c r="E8910" s="15" t="s">
        <v>36</v>
      </c>
      <c r="F8910" s="15" t="s">
        <v>17</v>
      </c>
      <c r="G8910" s="15" t="s">
        <v>28</v>
      </c>
      <c r="H8910" s="15" t="n">
        <v>4</v>
      </c>
      <c r="I8910" s="17" t="n">
        <v>0</v>
      </c>
      <c r="J8910" s="18" t="n">
        <v>105.08</v>
      </c>
      <c r="K8910" s="19" t="n">
        <v>31.71</v>
      </c>
      <c r="L8910" s="15" t="n">
        <f aca="false">YEAR(B8910)</f>
        <v>2023</v>
      </c>
      <c r="M8910" s="20" t="n">
        <f aca="false">IF(J8910&gt;0,K8910/J8910,0)</f>
        <v>0.301770079939094</v>
      </c>
    </row>
    <row r="8911" customFormat="false" ht="15" hidden="false" customHeight="false" outlineLevel="0" collapsed="false">
      <c r="A8911" s="15" t="s">
        <v>8968</v>
      </c>
      <c r="B8911" s="16" t="n">
        <v>45636</v>
      </c>
      <c r="C8911" s="15" t="s">
        <v>71</v>
      </c>
      <c r="D8911" s="15" t="s">
        <v>42</v>
      </c>
      <c r="E8911" s="15" t="s">
        <v>39</v>
      </c>
      <c r="F8911" s="15" t="s">
        <v>17</v>
      </c>
      <c r="G8911" s="15" t="s">
        <v>31</v>
      </c>
      <c r="H8911" s="15" t="n">
        <v>3</v>
      </c>
      <c r="I8911" s="17" t="n">
        <v>0.2</v>
      </c>
      <c r="J8911" s="18" t="n">
        <v>347.55</v>
      </c>
      <c r="K8911" s="19" t="n">
        <v>20.68</v>
      </c>
      <c r="L8911" s="15" t="n">
        <f aca="false">YEAR(B8911)</f>
        <v>2024</v>
      </c>
      <c r="M8911" s="20" t="n">
        <f aca="false">IF(J8911&gt;0,K8911/J8911,0)</f>
        <v>0.0595022298949791</v>
      </c>
    </row>
    <row r="8912" customFormat="false" ht="15" hidden="false" customHeight="false" outlineLevel="0" collapsed="false">
      <c r="A8912" s="15" t="s">
        <v>8969</v>
      </c>
      <c r="B8912" s="16" t="n">
        <v>45242</v>
      </c>
      <c r="C8912" s="15" t="s">
        <v>56</v>
      </c>
      <c r="D8912" s="15" t="s">
        <v>43</v>
      </c>
      <c r="E8912" s="15" t="s">
        <v>38</v>
      </c>
      <c r="F8912" s="15" t="s">
        <v>16</v>
      </c>
      <c r="G8912" s="15" t="s">
        <v>22</v>
      </c>
      <c r="H8912" s="15" t="n">
        <v>5</v>
      </c>
      <c r="I8912" s="17" t="n">
        <v>0.1</v>
      </c>
      <c r="J8912" s="18" t="n">
        <v>2065.27</v>
      </c>
      <c r="K8912" s="19" t="n">
        <v>-434.67</v>
      </c>
      <c r="L8912" s="15" t="n">
        <f aca="false">YEAR(B8912)</f>
        <v>2023</v>
      </c>
      <c r="M8912" s="20" t="n">
        <f aca="false">IF(J8912&gt;0,K8912/J8912,0)</f>
        <v>-0.210466428118357</v>
      </c>
    </row>
    <row r="8913" customFormat="false" ht="15" hidden="false" customHeight="false" outlineLevel="0" collapsed="false">
      <c r="A8913" s="15" t="s">
        <v>8970</v>
      </c>
      <c r="B8913" s="16" t="n">
        <v>45606</v>
      </c>
      <c r="C8913" s="15" t="s">
        <v>56</v>
      </c>
      <c r="D8913" s="15" t="s">
        <v>42</v>
      </c>
      <c r="E8913" s="15" t="s">
        <v>37</v>
      </c>
      <c r="F8913" s="15" t="s">
        <v>18</v>
      </c>
      <c r="G8913" s="15" t="s">
        <v>30</v>
      </c>
      <c r="H8913" s="15" t="n">
        <v>2</v>
      </c>
      <c r="I8913" s="17" t="n">
        <v>0</v>
      </c>
      <c r="J8913" s="18" t="n">
        <v>80.46</v>
      </c>
      <c r="K8913" s="19" t="n">
        <v>28.61</v>
      </c>
      <c r="L8913" s="15" t="n">
        <f aca="false">YEAR(B8913)</f>
        <v>2024</v>
      </c>
      <c r="M8913" s="20" t="n">
        <f aca="false">IF(J8913&gt;0,K8913/J8913,0)</f>
        <v>0.355580412627393</v>
      </c>
    </row>
    <row r="8914" customFormat="false" ht="15" hidden="false" customHeight="false" outlineLevel="0" collapsed="false">
      <c r="A8914" s="15" t="s">
        <v>8971</v>
      </c>
      <c r="B8914" s="16" t="n">
        <v>44662</v>
      </c>
      <c r="C8914" s="15" t="s">
        <v>71</v>
      </c>
      <c r="D8914" s="15" t="s">
        <v>42</v>
      </c>
      <c r="E8914" s="15" t="s">
        <v>39</v>
      </c>
      <c r="F8914" s="15" t="s">
        <v>17</v>
      </c>
      <c r="G8914" s="15" t="s">
        <v>26</v>
      </c>
      <c r="H8914" s="15" t="n">
        <v>4</v>
      </c>
      <c r="I8914" s="17" t="n">
        <v>0.1</v>
      </c>
      <c r="J8914" s="18" t="n">
        <v>306.96</v>
      </c>
      <c r="K8914" s="19" t="n">
        <v>22.52</v>
      </c>
      <c r="L8914" s="15" t="n">
        <f aca="false">YEAR(B8914)</f>
        <v>2022</v>
      </c>
      <c r="M8914" s="20" t="n">
        <f aca="false">IF(J8914&gt;0,K8914/J8914,0)</f>
        <v>0.0733646077664842</v>
      </c>
    </row>
    <row r="8915" customFormat="false" ht="15" hidden="false" customHeight="false" outlineLevel="0" collapsed="false">
      <c r="A8915" s="15" t="s">
        <v>8972</v>
      </c>
      <c r="B8915" s="16" t="n">
        <v>45727</v>
      </c>
      <c r="C8915" s="15" t="s">
        <v>56</v>
      </c>
      <c r="D8915" s="15" t="s">
        <v>42</v>
      </c>
      <c r="E8915" s="15" t="s">
        <v>36</v>
      </c>
      <c r="F8915" s="15" t="s">
        <v>16</v>
      </c>
      <c r="G8915" s="15" t="s">
        <v>23</v>
      </c>
      <c r="H8915" s="15" t="n">
        <v>7</v>
      </c>
      <c r="I8915" s="17" t="n">
        <v>0.2</v>
      </c>
      <c r="J8915" s="18" t="n">
        <v>1754.81</v>
      </c>
      <c r="K8915" s="19" t="n">
        <v>-379.55</v>
      </c>
      <c r="L8915" s="15" t="n">
        <f aca="false">YEAR(B8915)</f>
        <v>2025</v>
      </c>
      <c r="M8915" s="20" t="n">
        <f aca="false">IF(J8915&gt;0,K8915/J8915,0)</f>
        <v>-0.216291222411543</v>
      </c>
    </row>
    <row r="8916" customFormat="false" ht="15" hidden="false" customHeight="false" outlineLevel="0" collapsed="false">
      <c r="A8916" s="15" t="s">
        <v>8973</v>
      </c>
      <c r="B8916" s="16" t="n">
        <v>45567</v>
      </c>
      <c r="C8916" s="15" t="s">
        <v>56</v>
      </c>
      <c r="D8916" s="15" t="s">
        <v>43</v>
      </c>
      <c r="E8916" s="15" t="s">
        <v>37</v>
      </c>
      <c r="F8916" s="15" t="s">
        <v>16</v>
      </c>
      <c r="G8916" s="15" t="s">
        <v>27</v>
      </c>
      <c r="H8916" s="15" t="n">
        <v>5</v>
      </c>
      <c r="I8916" s="17" t="n">
        <v>0</v>
      </c>
      <c r="J8916" s="18" t="n">
        <v>337.22</v>
      </c>
      <c r="K8916" s="19" t="n">
        <v>104.31</v>
      </c>
      <c r="L8916" s="15" t="n">
        <f aca="false">YEAR(B8916)</f>
        <v>2024</v>
      </c>
      <c r="M8916" s="20" t="n">
        <f aca="false">IF(J8916&gt;0,K8916/J8916,0)</f>
        <v>0.309323290433545</v>
      </c>
    </row>
    <row r="8917" customFormat="false" ht="15" hidden="false" customHeight="false" outlineLevel="0" collapsed="false">
      <c r="A8917" s="15" t="s">
        <v>8974</v>
      </c>
      <c r="B8917" s="16" t="n">
        <v>45518</v>
      </c>
      <c r="C8917" s="15" t="s">
        <v>68</v>
      </c>
      <c r="D8917" s="15" t="s">
        <v>43</v>
      </c>
      <c r="E8917" s="15" t="s">
        <v>38</v>
      </c>
      <c r="F8917" s="15" t="s">
        <v>16</v>
      </c>
      <c r="G8917" s="15" t="s">
        <v>27</v>
      </c>
      <c r="H8917" s="15" t="n">
        <v>4</v>
      </c>
      <c r="I8917" s="17" t="n">
        <v>0.2</v>
      </c>
      <c r="J8917" s="18" t="n">
        <v>174.84</v>
      </c>
      <c r="K8917" s="19" t="n">
        <v>-2.76</v>
      </c>
      <c r="L8917" s="15" t="n">
        <f aca="false">YEAR(B8917)</f>
        <v>2024</v>
      </c>
      <c r="M8917" s="20" t="n">
        <f aca="false">IF(J8917&gt;0,K8917/J8917,0)</f>
        <v>-0.0157858613589568</v>
      </c>
    </row>
    <row r="8918" customFormat="false" ht="15" hidden="false" customHeight="false" outlineLevel="0" collapsed="false">
      <c r="A8918" s="15" t="s">
        <v>8975</v>
      </c>
      <c r="B8918" s="16" t="n">
        <v>45098</v>
      </c>
      <c r="C8918" s="15" t="s">
        <v>56</v>
      </c>
      <c r="D8918" s="15" t="s">
        <v>43</v>
      </c>
      <c r="E8918" s="15" t="s">
        <v>37</v>
      </c>
      <c r="F8918" s="15" t="s">
        <v>17</v>
      </c>
      <c r="G8918" s="15" t="s">
        <v>26</v>
      </c>
      <c r="H8918" s="15" t="n">
        <v>4</v>
      </c>
      <c r="I8918" s="17" t="n">
        <v>0</v>
      </c>
      <c r="J8918" s="18" t="n">
        <v>339.1</v>
      </c>
      <c r="K8918" s="19" t="n">
        <v>17.87</v>
      </c>
      <c r="L8918" s="15" t="n">
        <f aca="false">YEAR(B8918)</f>
        <v>2023</v>
      </c>
      <c r="M8918" s="20" t="n">
        <f aca="false">IF(J8918&gt;0,K8918/J8918,0)</f>
        <v>0.0526983190799174</v>
      </c>
    </row>
    <row r="8919" customFormat="false" ht="15" hidden="false" customHeight="false" outlineLevel="0" collapsed="false">
      <c r="A8919" s="15" t="s">
        <v>8976</v>
      </c>
      <c r="B8919" s="16" t="n">
        <v>44970</v>
      </c>
      <c r="C8919" s="15" t="s">
        <v>68</v>
      </c>
      <c r="D8919" s="15" t="s">
        <v>42</v>
      </c>
      <c r="E8919" s="15" t="s">
        <v>39</v>
      </c>
      <c r="F8919" s="15" t="s">
        <v>17</v>
      </c>
      <c r="G8919" s="15" t="s">
        <v>26</v>
      </c>
      <c r="H8919" s="15" t="n">
        <v>5</v>
      </c>
      <c r="I8919" s="17" t="n">
        <v>0.05</v>
      </c>
      <c r="J8919" s="18" t="n">
        <v>482.21</v>
      </c>
      <c r="K8919" s="19" t="n">
        <v>19.52</v>
      </c>
      <c r="L8919" s="15" t="n">
        <f aca="false">YEAR(B8919)</f>
        <v>2023</v>
      </c>
      <c r="M8919" s="20" t="n">
        <f aca="false">IF(J8919&gt;0,K8919/J8919,0)</f>
        <v>0.040480288670911</v>
      </c>
    </row>
    <row r="8920" customFormat="false" ht="15" hidden="false" customHeight="false" outlineLevel="0" collapsed="false">
      <c r="A8920" s="15" t="s">
        <v>8977</v>
      </c>
      <c r="B8920" s="16" t="n">
        <v>45546</v>
      </c>
      <c r="C8920" s="15" t="s">
        <v>68</v>
      </c>
      <c r="D8920" s="15" t="s">
        <v>42</v>
      </c>
      <c r="E8920" s="15" t="s">
        <v>36</v>
      </c>
      <c r="F8920" s="15" t="s">
        <v>16</v>
      </c>
      <c r="G8920" s="15" t="s">
        <v>25</v>
      </c>
      <c r="H8920" s="15" t="n">
        <v>2</v>
      </c>
      <c r="I8920" s="17" t="n">
        <v>0.15</v>
      </c>
      <c r="J8920" s="18" t="n">
        <v>489.7</v>
      </c>
      <c r="K8920" s="19" t="n">
        <v>-29.23</v>
      </c>
      <c r="L8920" s="15" t="n">
        <f aca="false">YEAR(B8920)</f>
        <v>2024</v>
      </c>
      <c r="M8920" s="20" t="n">
        <f aca="false">IF(J8920&gt;0,K8920/J8920,0)</f>
        <v>-0.0596896058811517</v>
      </c>
    </row>
    <row r="8921" customFormat="false" ht="15" hidden="false" customHeight="false" outlineLevel="0" collapsed="false">
      <c r="A8921" s="15" t="s">
        <v>8978</v>
      </c>
      <c r="B8921" s="16" t="n">
        <v>45075</v>
      </c>
      <c r="C8921" s="15" t="s">
        <v>56</v>
      </c>
      <c r="D8921" s="15" t="s">
        <v>44</v>
      </c>
      <c r="E8921" s="15" t="s">
        <v>36</v>
      </c>
      <c r="F8921" s="15" t="s">
        <v>16</v>
      </c>
      <c r="G8921" s="15" t="s">
        <v>27</v>
      </c>
      <c r="H8921" s="15" t="n">
        <v>5</v>
      </c>
      <c r="I8921" s="17" t="n">
        <v>0.15</v>
      </c>
      <c r="J8921" s="18" t="n">
        <v>219.76</v>
      </c>
      <c r="K8921" s="19" t="n">
        <v>14.55</v>
      </c>
      <c r="L8921" s="15" t="n">
        <f aca="false">YEAR(B8921)</f>
        <v>2023</v>
      </c>
      <c r="M8921" s="20" t="n">
        <f aca="false">IF(J8921&gt;0,K8921/J8921,0)</f>
        <v>0.0662085911903895</v>
      </c>
    </row>
    <row r="8922" customFormat="false" ht="15" hidden="false" customHeight="false" outlineLevel="0" collapsed="false">
      <c r="A8922" s="15" t="s">
        <v>8979</v>
      </c>
      <c r="B8922" s="16" t="n">
        <v>45913</v>
      </c>
      <c r="C8922" s="15" t="s">
        <v>56</v>
      </c>
      <c r="D8922" s="15" t="s">
        <v>44</v>
      </c>
      <c r="E8922" s="15" t="s">
        <v>38</v>
      </c>
      <c r="F8922" s="15" t="s">
        <v>17</v>
      </c>
      <c r="G8922" s="15" t="s">
        <v>29</v>
      </c>
      <c r="H8922" s="15" t="n">
        <v>4</v>
      </c>
      <c r="I8922" s="17" t="n">
        <v>0.15</v>
      </c>
      <c r="J8922" s="18" t="n">
        <v>54.76</v>
      </c>
      <c r="K8922" s="19" t="n">
        <v>13.69</v>
      </c>
      <c r="L8922" s="15" t="n">
        <f aca="false">YEAR(B8922)</f>
        <v>2025</v>
      </c>
      <c r="M8922" s="20" t="n">
        <f aca="false">IF(J8922&gt;0,K8922/J8922,0)</f>
        <v>0.25</v>
      </c>
    </row>
    <row r="8923" customFormat="false" ht="15" hidden="false" customHeight="false" outlineLevel="0" collapsed="false">
      <c r="A8923" s="15" t="s">
        <v>8980</v>
      </c>
      <c r="B8923" s="16" t="n">
        <v>44577</v>
      </c>
      <c r="C8923" s="15" t="s">
        <v>56</v>
      </c>
      <c r="D8923" s="15" t="s">
        <v>44</v>
      </c>
      <c r="E8923" s="15" t="s">
        <v>36</v>
      </c>
      <c r="F8923" s="15" t="s">
        <v>18</v>
      </c>
      <c r="G8923" s="15" t="s">
        <v>33</v>
      </c>
      <c r="H8923" s="15" t="n">
        <v>2</v>
      </c>
      <c r="I8923" s="17" t="n">
        <v>0.1</v>
      </c>
      <c r="J8923" s="18" t="n">
        <v>1070.81</v>
      </c>
      <c r="K8923" s="19" t="n">
        <v>241.23</v>
      </c>
      <c r="L8923" s="15" t="n">
        <f aca="false">YEAR(B8923)</f>
        <v>2022</v>
      </c>
      <c r="M8923" s="20" t="n">
        <f aca="false">IF(J8923&gt;0,K8923/J8923,0)</f>
        <v>0.225278060533615</v>
      </c>
    </row>
    <row r="8924" customFormat="false" ht="15" hidden="false" customHeight="false" outlineLevel="0" collapsed="false">
      <c r="A8924" s="15" t="s">
        <v>8981</v>
      </c>
      <c r="B8924" s="16" t="n">
        <v>44978</v>
      </c>
      <c r="C8924" s="15" t="s">
        <v>56</v>
      </c>
      <c r="D8924" s="15" t="s">
        <v>42</v>
      </c>
      <c r="E8924" s="15" t="s">
        <v>39</v>
      </c>
      <c r="F8924" s="15" t="s">
        <v>18</v>
      </c>
      <c r="G8924" s="15" t="s">
        <v>24</v>
      </c>
      <c r="H8924" s="15" t="n">
        <v>2</v>
      </c>
      <c r="I8924" s="17" t="n">
        <v>0.15</v>
      </c>
      <c r="J8924" s="18" t="n">
        <v>1162.95</v>
      </c>
      <c r="K8924" s="19" t="n">
        <v>-32.53</v>
      </c>
      <c r="L8924" s="15" t="n">
        <f aca="false">YEAR(B8924)</f>
        <v>2023</v>
      </c>
      <c r="M8924" s="20" t="n">
        <f aca="false">IF(J8924&gt;0,K8924/J8924,0)</f>
        <v>-0.0279719678404059</v>
      </c>
    </row>
    <row r="8925" customFormat="false" ht="15" hidden="false" customHeight="false" outlineLevel="0" collapsed="false">
      <c r="A8925" s="15" t="s">
        <v>8982</v>
      </c>
      <c r="B8925" s="16" t="n">
        <v>45522</v>
      </c>
      <c r="C8925" s="15" t="s">
        <v>56</v>
      </c>
      <c r="D8925" s="15" t="s">
        <v>42</v>
      </c>
      <c r="E8925" s="15" t="s">
        <v>38</v>
      </c>
      <c r="F8925" s="15" t="s">
        <v>17</v>
      </c>
      <c r="G8925" s="15" t="s">
        <v>29</v>
      </c>
      <c r="H8925" s="15" t="n">
        <v>4</v>
      </c>
      <c r="I8925" s="17" t="n">
        <v>0.1</v>
      </c>
      <c r="J8925" s="18" t="n">
        <v>51.37</v>
      </c>
      <c r="K8925" s="19" t="n">
        <v>12.16</v>
      </c>
      <c r="L8925" s="15" t="n">
        <f aca="false">YEAR(B8925)</f>
        <v>2024</v>
      </c>
      <c r="M8925" s="20" t="n">
        <f aca="false">IF(J8925&gt;0,K8925/J8925,0)</f>
        <v>0.236714035429239</v>
      </c>
    </row>
    <row r="8926" customFormat="false" ht="15" hidden="false" customHeight="false" outlineLevel="0" collapsed="false">
      <c r="A8926" s="15" t="s">
        <v>8983</v>
      </c>
      <c r="B8926" s="16" t="n">
        <v>45799</v>
      </c>
      <c r="C8926" s="15" t="s">
        <v>56</v>
      </c>
      <c r="D8926" s="15" t="s">
        <v>42</v>
      </c>
      <c r="E8926" s="15" t="s">
        <v>38</v>
      </c>
      <c r="F8926" s="15" t="s">
        <v>17</v>
      </c>
      <c r="G8926" s="15" t="s">
        <v>29</v>
      </c>
      <c r="H8926" s="15" t="n">
        <v>3</v>
      </c>
      <c r="I8926" s="17" t="n">
        <v>0.2</v>
      </c>
      <c r="J8926" s="18" t="n">
        <v>41.45</v>
      </c>
      <c r="K8926" s="19" t="n">
        <v>10.47</v>
      </c>
      <c r="L8926" s="15" t="n">
        <f aca="false">YEAR(B8926)</f>
        <v>2025</v>
      </c>
      <c r="M8926" s="20" t="n">
        <f aca="false">IF(J8926&gt;0,K8926/J8926,0)</f>
        <v>0.252593486127865</v>
      </c>
    </row>
    <row r="8927" customFormat="false" ht="15" hidden="false" customHeight="false" outlineLevel="0" collapsed="false">
      <c r="A8927" s="15" t="s">
        <v>8984</v>
      </c>
      <c r="B8927" s="16" t="n">
        <v>45992</v>
      </c>
      <c r="C8927" s="15" t="s">
        <v>56</v>
      </c>
      <c r="D8927" s="15" t="s">
        <v>43</v>
      </c>
      <c r="E8927" s="15" t="s">
        <v>39</v>
      </c>
      <c r="F8927" s="15" t="s">
        <v>17</v>
      </c>
      <c r="G8927" s="15" t="s">
        <v>28</v>
      </c>
      <c r="H8927" s="15" t="n">
        <v>5</v>
      </c>
      <c r="I8927" s="17" t="n">
        <v>0.05</v>
      </c>
      <c r="J8927" s="18" t="n">
        <v>141.39</v>
      </c>
      <c r="K8927" s="19" t="n">
        <v>39.97</v>
      </c>
      <c r="L8927" s="15" t="n">
        <f aca="false">YEAR(B8927)</f>
        <v>2025</v>
      </c>
      <c r="M8927" s="20" t="n">
        <f aca="false">IF(J8927&gt;0,K8927/J8927,0)</f>
        <v>0.282693259777919</v>
      </c>
    </row>
    <row r="8928" customFormat="false" ht="15" hidden="false" customHeight="false" outlineLevel="0" collapsed="false">
      <c r="A8928" s="15" t="s">
        <v>8985</v>
      </c>
      <c r="B8928" s="16" t="n">
        <v>45981</v>
      </c>
      <c r="C8928" s="15" t="s">
        <v>71</v>
      </c>
      <c r="D8928" s="15" t="s">
        <v>43</v>
      </c>
      <c r="E8928" s="15" t="s">
        <v>39</v>
      </c>
      <c r="F8928" s="15" t="s">
        <v>18</v>
      </c>
      <c r="G8928" s="15" t="s">
        <v>30</v>
      </c>
      <c r="H8928" s="15" t="n">
        <v>5</v>
      </c>
      <c r="I8928" s="17" t="n">
        <v>0</v>
      </c>
      <c r="J8928" s="18" t="n">
        <v>233.65</v>
      </c>
      <c r="K8928" s="19" t="n">
        <v>73.47</v>
      </c>
      <c r="L8928" s="15" t="n">
        <f aca="false">YEAR(B8928)</f>
        <v>2025</v>
      </c>
      <c r="M8928" s="20" t="n">
        <f aca="false">IF(J8928&gt;0,K8928/J8928,0)</f>
        <v>0.314444682216991</v>
      </c>
    </row>
    <row r="8929" customFormat="false" ht="15" hidden="false" customHeight="false" outlineLevel="0" collapsed="false">
      <c r="A8929" s="15" t="s">
        <v>8986</v>
      </c>
      <c r="B8929" s="16" t="n">
        <v>45652</v>
      </c>
      <c r="C8929" s="15" t="s">
        <v>71</v>
      </c>
      <c r="D8929" s="15" t="s">
        <v>43</v>
      </c>
      <c r="E8929" s="15" t="s">
        <v>38</v>
      </c>
      <c r="F8929" s="15" t="s">
        <v>17</v>
      </c>
      <c r="G8929" s="15" t="s">
        <v>29</v>
      </c>
      <c r="H8929" s="15" t="n">
        <v>3</v>
      </c>
      <c r="I8929" s="17" t="n">
        <v>0</v>
      </c>
      <c r="J8929" s="18" t="n">
        <v>44.29</v>
      </c>
      <c r="K8929" s="19" t="n">
        <v>16.62</v>
      </c>
      <c r="L8929" s="15" t="n">
        <f aca="false">YEAR(B8929)</f>
        <v>2024</v>
      </c>
      <c r="M8929" s="20" t="n">
        <f aca="false">IF(J8929&gt;0,K8929/J8929,0)</f>
        <v>0.375254007676677</v>
      </c>
    </row>
    <row r="8930" customFormat="false" ht="15" hidden="false" customHeight="false" outlineLevel="0" collapsed="false">
      <c r="A8930" s="15" t="s">
        <v>8987</v>
      </c>
      <c r="B8930" s="16" t="n">
        <v>45452</v>
      </c>
      <c r="C8930" s="15" t="s">
        <v>56</v>
      </c>
      <c r="D8930" s="15" t="s">
        <v>44</v>
      </c>
      <c r="E8930" s="15" t="s">
        <v>37</v>
      </c>
      <c r="F8930" s="15" t="s">
        <v>17</v>
      </c>
      <c r="G8930" s="15" t="s">
        <v>26</v>
      </c>
      <c r="H8930" s="15" t="n">
        <v>2</v>
      </c>
      <c r="I8930" s="17" t="n">
        <v>0</v>
      </c>
      <c r="J8930" s="18" t="n">
        <v>205.14</v>
      </c>
      <c r="K8930" s="19" t="n">
        <v>25.66</v>
      </c>
      <c r="L8930" s="15" t="n">
        <f aca="false">YEAR(B8930)</f>
        <v>2024</v>
      </c>
      <c r="M8930" s="20" t="n">
        <f aca="false">IF(J8930&gt;0,K8930/J8930,0)</f>
        <v>0.125085307594813</v>
      </c>
    </row>
    <row r="8931" customFormat="false" ht="15" hidden="false" customHeight="false" outlineLevel="0" collapsed="false">
      <c r="A8931" s="15" t="s">
        <v>8988</v>
      </c>
      <c r="B8931" s="16" t="n">
        <v>45456</v>
      </c>
      <c r="C8931" s="15" t="s">
        <v>56</v>
      </c>
      <c r="D8931" s="15" t="s">
        <v>42</v>
      </c>
      <c r="E8931" s="15" t="s">
        <v>39</v>
      </c>
      <c r="F8931" s="15" t="s">
        <v>17</v>
      </c>
      <c r="G8931" s="15" t="s">
        <v>26</v>
      </c>
      <c r="H8931" s="15" t="n">
        <v>2</v>
      </c>
      <c r="I8931" s="17" t="n">
        <v>0.1</v>
      </c>
      <c r="J8931" s="18" t="n">
        <v>167.85</v>
      </c>
      <c r="K8931" s="19" t="n">
        <v>-0.13</v>
      </c>
      <c r="L8931" s="15" t="n">
        <f aca="false">YEAR(B8931)</f>
        <v>2024</v>
      </c>
      <c r="M8931" s="20" t="n">
        <f aca="false">IF(J8931&gt;0,K8931/J8931,0)</f>
        <v>-0.000774501042597557</v>
      </c>
    </row>
    <row r="8932" customFormat="false" ht="15" hidden="false" customHeight="false" outlineLevel="0" collapsed="false">
      <c r="A8932" s="15" t="s">
        <v>8989</v>
      </c>
      <c r="B8932" s="16" t="n">
        <v>44775</v>
      </c>
      <c r="C8932" s="15" t="s">
        <v>56</v>
      </c>
      <c r="D8932" s="15" t="s">
        <v>42</v>
      </c>
      <c r="E8932" s="15" t="s">
        <v>37</v>
      </c>
      <c r="F8932" s="15" t="s">
        <v>18</v>
      </c>
      <c r="G8932" s="15" t="s">
        <v>30</v>
      </c>
      <c r="H8932" s="15" t="n">
        <v>4</v>
      </c>
      <c r="I8932" s="17" t="n">
        <v>0.15</v>
      </c>
      <c r="J8932" s="18" t="n">
        <v>138.73</v>
      </c>
      <c r="K8932" s="19" t="n">
        <v>22.46</v>
      </c>
      <c r="L8932" s="15" t="n">
        <f aca="false">YEAR(B8932)</f>
        <v>2022</v>
      </c>
      <c r="M8932" s="20" t="n">
        <f aca="false">IF(J8932&gt;0,K8932/J8932,0)</f>
        <v>0.161897210408708</v>
      </c>
    </row>
    <row r="8933" customFormat="false" ht="15" hidden="false" customHeight="false" outlineLevel="0" collapsed="false">
      <c r="A8933" s="15" t="s">
        <v>8990</v>
      </c>
      <c r="B8933" s="16" t="n">
        <v>45977</v>
      </c>
      <c r="C8933" s="15" t="s">
        <v>71</v>
      </c>
      <c r="D8933" s="15" t="s">
        <v>43</v>
      </c>
      <c r="E8933" s="15" t="s">
        <v>39</v>
      </c>
      <c r="F8933" s="15" t="s">
        <v>16</v>
      </c>
      <c r="G8933" s="15" t="s">
        <v>23</v>
      </c>
      <c r="H8933" s="15" t="n">
        <v>2</v>
      </c>
      <c r="I8933" s="17" t="n">
        <v>0</v>
      </c>
      <c r="J8933" s="18" t="n">
        <v>542.76</v>
      </c>
      <c r="K8933" s="19" t="n">
        <v>32.47</v>
      </c>
      <c r="L8933" s="15" t="n">
        <f aca="false">YEAR(B8933)</f>
        <v>2025</v>
      </c>
      <c r="M8933" s="20" t="n">
        <f aca="false">IF(J8933&gt;0,K8933/J8933,0)</f>
        <v>0.0598238632176284</v>
      </c>
    </row>
    <row r="8934" customFormat="false" ht="15" hidden="false" customHeight="false" outlineLevel="0" collapsed="false">
      <c r="A8934" s="15" t="s">
        <v>8991</v>
      </c>
      <c r="B8934" s="16" t="n">
        <v>45903</v>
      </c>
      <c r="C8934" s="15" t="s">
        <v>56</v>
      </c>
      <c r="D8934" s="15" t="s">
        <v>42</v>
      </c>
      <c r="E8934" s="15" t="s">
        <v>37</v>
      </c>
      <c r="F8934" s="15" t="s">
        <v>16</v>
      </c>
      <c r="G8934" s="15" t="s">
        <v>25</v>
      </c>
      <c r="H8934" s="15" t="n">
        <v>4</v>
      </c>
      <c r="I8934" s="17" t="n">
        <v>0</v>
      </c>
      <c r="J8934" s="18" t="n">
        <v>1385.89</v>
      </c>
      <c r="K8934" s="19" t="n">
        <v>61.23</v>
      </c>
      <c r="L8934" s="15" t="n">
        <f aca="false">YEAR(B8934)</f>
        <v>2025</v>
      </c>
      <c r="M8934" s="20" t="n">
        <f aca="false">IF(J8934&gt;0,K8934/J8934,0)</f>
        <v>0.0441809956057119</v>
      </c>
    </row>
    <row r="8935" customFormat="false" ht="15" hidden="false" customHeight="false" outlineLevel="0" collapsed="false">
      <c r="A8935" s="15" t="s">
        <v>8992</v>
      </c>
      <c r="B8935" s="16" t="n">
        <v>45744</v>
      </c>
      <c r="C8935" s="15" t="s">
        <v>56</v>
      </c>
      <c r="D8935" s="15" t="s">
        <v>44</v>
      </c>
      <c r="E8935" s="15" t="s">
        <v>36</v>
      </c>
      <c r="F8935" s="15" t="s">
        <v>17</v>
      </c>
      <c r="G8935" s="15" t="s">
        <v>31</v>
      </c>
      <c r="H8935" s="15" t="n">
        <v>2</v>
      </c>
      <c r="I8935" s="17" t="n">
        <v>0.15</v>
      </c>
      <c r="J8935" s="18" t="n">
        <v>163.82</v>
      </c>
      <c r="K8935" s="19" t="n">
        <v>10.82</v>
      </c>
      <c r="L8935" s="15" t="n">
        <f aca="false">YEAR(B8935)</f>
        <v>2025</v>
      </c>
      <c r="M8935" s="20" t="n">
        <f aca="false">IF(J8935&gt;0,K8935/J8935,0)</f>
        <v>0.0660481015748993</v>
      </c>
    </row>
    <row r="8936" customFormat="false" ht="15" hidden="false" customHeight="false" outlineLevel="0" collapsed="false">
      <c r="A8936" s="15" t="s">
        <v>8993</v>
      </c>
      <c r="B8936" s="16" t="n">
        <v>45901</v>
      </c>
      <c r="C8936" s="15" t="s">
        <v>68</v>
      </c>
      <c r="D8936" s="15" t="s">
        <v>42</v>
      </c>
      <c r="E8936" s="15" t="s">
        <v>38</v>
      </c>
      <c r="F8936" s="15" t="s">
        <v>16</v>
      </c>
      <c r="G8936" s="15" t="s">
        <v>23</v>
      </c>
      <c r="H8936" s="15" t="n">
        <v>3</v>
      </c>
      <c r="I8936" s="17" t="n">
        <v>0</v>
      </c>
      <c r="J8936" s="18" t="n">
        <v>921.07</v>
      </c>
      <c r="K8936" s="19" t="n">
        <v>-39.38</v>
      </c>
      <c r="L8936" s="15" t="n">
        <f aca="false">YEAR(B8936)</f>
        <v>2025</v>
      </c>
      <c r="M8936" s="20" t="n">
        <f aca="false">IF(J8936&gt;0,K8936/J8936,0)</f>
        <v>-0.0427546223414073</v>
      </c>
    </row>
    <row r="8937" customFormat="false" ht="15" hidden="false" customHeight="false" outlineLevel="0" collapsed="false">
      <c r="A8937" s="15" t="s">
        <v>8994</v>
      </c>
      <c r="B8937" s="16" t="n">
        <v>45668</v>
      </c>
      <c r="C8937" s="15" t="s">
        <v>68</v>
      </c>
      <c r="D8937" s="15" t="s">
        <v>44</v>
      </c>
      <c r="E8937" s="15" t="s">
        <v>39</v>
      </c>
      <c r="F8937" s="15" t="s">
        <v>17</v>
      </c>
      <c r="G8937" s="15" t="s">
        <v>28</v>
      </c>
      <c r="H8937" s="15" t="n">
        <v>4</v>
      </c>
      <c r="I8937" s="17" t="n">
        <v>0.3</v>
      </c>
      <c r="J8937" s="18" t="n">
        <v>70.83</v>
      </c>
      <c r="K8937" s="19" t="n">
        <v>5.12</v>
      </c>
      <c r="L8937" s="15" t="n">
        <f aca="false">YEAR(B8937)</f>
        <v>2025</v>
      </c>
      <c r="M8937" s="20" t="n">
        <f aca="false">IF(J8937&gt;0,K8937/J8937,0)</f>
        <v>0.072285754623747</v>
      </c>
    </row>
    <row r="8938" customFormat="false" ht="15" hidden="false" customHeight="false" outlineLevel="0" collapsed="false">
      <c r="A8938" s="15" t="s">
        <v>8995</v>
      </c>
      <c r="B8938" s="16" t="n">
        <v>45898</v>
      </c>
      <c r="C8938" s="15" t="s">
        <v>56</v>
      </c>
      <c r="D8938" s="15" t="s">
        <v>42</v>
      </c>
      <c r="E8938" s="15" t="s">
        <v>37</v>
      </c>
      <c r="F8938" s="15" t="s">
        <v>17</v>
      </c>
      <c r="G8938" s="15" t="s">
        <v>29</v>
      </c>
      <c r="H8938" s="15" t="n">
        <v>1</v>
      </c>
      <c r="I8938" s="17" t="n">
        <v>0.1</v>
      </c>
      <c r="J8938" s="18" t="n">
        <v>15.71</v>
      </c>
      <c r="K8938" s="19" t="n">
        <v>4.63</v>
      </c>
      <c r="L8938" s="15" t="n">
        <f aca="false">YEAR(B8938)</f>
        <v>2025</v>
      </c>
      <c r="M8938" s="20" t="n">
        <f aca="false">IF(J8938&gt;0,K8938/J8938,0)</f>
        <v>0.294716740929344</v>
      </c>
    </row>
    <row r="8939" customFormat="false" ht="15" hidden="false" customHeight="false" outlineLevel="0" collapsed="false">
      <c r="A8939" s="15" t="s">
        <v>8996</v>
      </c>
      <c r="B8939" s="16" t="n">
        <v>44803</v>
      </c>
      <c r="C8939" s="15" t="s">
        <v>56</v>
      </c>
      <c r="D8939" s="15" t="s">
        <v>43</v>
      </c>
      <c r="E8939" s="15" t="s">
        <v>36</v>
      </c>
      <c r="F8939" s="15" t="s">
        <v>17</v>
      </c>
      <c r="G8939" s="15" t="s">
        <v>29</v>
      </c>
      <c r="H8939" s="15" t="n">
        <v>1</v>
      </c>
      <c r="I8939" s="17" t="n">
        <v>0.05</v>
      </c>
      <c r="J8939" s="18" t="n">
        <v>18.89</v>
      </c>
      <c r="K8939" s="19" t="n">
        <v>5.82</v>
      </c>
      <c r="L8939" s="15" t="n">
        <f aca="false">YEAR(B8939)</f>
        <v>2022</v>
      </c>
      <c r="M8939" s="20" t="n">
        <f aca="false">IF(J8939&gt;0,K8939/J8939,0)</f>
        <v>0.308099523557438</v>
      </c>
    </row>
    <row r="8940" customFormat="false" ht="15" hidden="false" customHeight="false" outlineLevel="0" collapsed="false">
      <c r="A8940" s="15" t="s">
        <v>8997</v>
      </c>
      <c r="B8940" s="16" t="n">
        <v>45863</v>
      </c>
      <c r="C8940" s="15" t="s">
        <v>56</v>
      </c>
      <c r="D8940" s="15" t="s">
        <v>42</v>
      </c>
      <c r="E8940" s="15" t="s">
        <v>36</v>
      </c>
      <c r="F8940" s="15" t="s">
        <v>18</v>
      </c>
      <c r="G8940" s="15" t="s">
        <v>32</v>
      </c>
      <c r="H8940" s="15" t="n">
        <v>2</v>
      </c>
      <c r="I8940" s="17" t="n">
        <v>0</v>
      </c>
      <c r="J8940" s="18" t="n">
        <v>900.92</v>
      </c>
      <c r="K8940" s="19" t="n">
        <v>194.99</v>
      </c>
      <c r="L8940" s="15" t="n">
        <f aca="false">YEAR(B8940)</f>
        <v>2025</v>
      </c>
      <c r="M8940" s="20" t="n">
        <f aca="false">IF(J8940&gt;0,K8940/J8940,0)</f>
        <v>0.216434311592594</v>
      </c>
    </row>
    <row r="8941" customFormat="false" ht="15" hidden="false" customHeight="false" outlineLevel="0" collapsed="false">
      <c r="A8941" s="15" t="s">
        <v>8998</v>
      </c>
      <c r="B8941" s="16" t="n">
        <v>44798</v>
      </c>
      <c r="C8941" s="15" t="s">
        <v>56</v>
      </c>
      <c r="D8941" s="15" t="s">
        <v>43</v>
      </c>
      <c r="E8941" s="15" t="s">
        <v>38</v>
      </c>
      <c r="F8941" s="15" t="s">
        <v>16</v>
      </c>
      <c r="G8941" s="15" t="s">
        <v>27</v>
      </c>
      <c r="H8941" s="15" t="n">
        <v>3</v>
      </c>
      <c r="I8941" s="17" t="n">
        <v>0</v>
      </c>
      <c r="J8941" s="18" t="n">
        <v>198.38</v>
      </c>
      <c r="K8941" s="19" t="n">
        <v>40.91</v>
      </c>
      <c r="L8941" s="15" t="n">
        <f aca="false">YEAR(B8941)</f>
        <v>2022</v>
      </c>
      <c r="M8941" s="20" t="n">
        <f aca="false">IF(J8941&gt;0,K8941/J8941,0)</f>
        <v>0.206220385119468</v>
      </c>
    </row>
    <row r="8942" customFormat="false" ht="15" hidden="false" customHeight="false" outlineLevel="0" collapsed="false">
      <c r="A8942" s="15" t="s">
        <v>8999</v>
      </c>
      <c r="B8942" s="16" t="n">
        <v>45356</v>
      </c>
      <c r="C8942" s="15" t="s">
        <v>56</v>
      </c>
      <c r="D8942" s="15" t="s">
        <v>43</v>
      </c>
      <c r="E8942" s="15" t="s">
        <v>38</v>
      </c>
      <c r="F8942" s="15" t="s">
        <v>18</v>
      </c>
      <c r="G8942" s="15" t="s">
        <v>24</v>
      </c>
      <c r="H8942" s="15" t="n">
        <v>4</v>
      </c>
      <c r="I8942" s="17" t="n">
        <v>0.1</v>
      </c>
      <c r="J8942" s="18" t="n">
        <v>2685.42</v>
      </c>
      <c r="K8942" s="19" t="n">
        <v>-48.34</v>
      </c>
      <c r="L8942" s="15" t="n">
        <f aca="false">YEAR(B8942)</f>
        <v>2024</v>
      </c>
      <c r="M8942" s="20" t="n">
        <f aca="false">IF(J8942&gt;0,K8942/J8942,0)</f>
        <v>-0.0180009086101988</v>
      </c>
    </row>
    <row r="8943" customFormat="false" ht="15" hidden="false" customHeight="false" outlineLevel="0" collapsed="false">
      <c r="A8943" s="15" t="s">
        <v>9000</v>
      </c>
      <c r="B8943" s="16" t="n">
        <v>44610</v>
      </c>
      <c r="C8943" s="15" t="s">
        <v>58</v>
      </c>
      <c r="D8943" s="15" t="s">
        <v>42</v>
      </c>
      <c r="E8943" s="15" t="s">
        <v>36</v>
      </c>
      <c r="F8943" s="15" t="s">
        <v>17</v>
      </c>
      <c r="G8943" s="15" t="s">
        <v>26</v>
      </c>
      <c r="H8943" s="15" t="n">
        <v>4</v>
      </c>
      <c r="I8943" s="17" t="n">
        <v>0.1</v>
      </c>
      <c r="J8943" s="18" t="n">
        <v>279.92</v>
      </c>
      <c r="K8943" s="19" t="n">
        <v>9.29</v>
      </c>
      <c r="L8943" s="15" t="n">
        <f aca="false">YEAR(B8943)</f>
        <v>2022</v>
      </c>
      <c r="M8943" s="20" t="n">
        <f aca="false">IF(J8943&gt;0,K8943/J8943,0)</f>
        <v>0.033188053729637</v>
      </c>
    </row>
    <row r="8944" customFormat="false" ht="15" hidden="false" customHeight="false" outlineLevel="0" collapsed="false">
      <c r="A8944" s="15" t="s">
        <v>9001</v>
      </c>
      <c r="B8944" s="16" t="n">
        <v>45575</v>
      </c>
      <c r="C8944" s="15" t="s">
        <v>56</v>
      </c>
      <c r="D8944" s="15" t="s">
        <v>42</v>
      </c>
      <c r="E8944" s="15" t="s">
        <v>36</v>
      </c>
      <c r="F8944" s="15" t="s">
        <v>18</v>
      </c>
      <c r="G8944" s="15" t="s">
        <v>30</v>
      </c>
      <c r="H8944" s="15" t="n">
        <v>3</v>
      </c>
      <c r="I8944" s="17" t="n">
        <v>0.05</v>
      </c>
      <c r="J8944" s="18" t="n">
        <v>113.96</v>
      </c>
      <c r="K8944" s="19" t="n">
        <v>28.04</v>
      </c>
      <c r="L8944" s="15" t="n">
        <f aca="false">YEAR(B8944)</f>
        <v>2024</v>
      </c>
      <c r="M8944" s="20" t="n">
        <f aca="false">IF(J8944&gt;0,K8944/J8944,0)</f>
        <v>0.246051246051246</v>
      </c>
    </row>
    <row r="8945" customFormat="false" ht="15" hidden="false" customHeight="false" outlineLevel="0" collapsed="false">
      <c r="A8945" s="15" t="s">
        <v>9002</v>
      </c>
      <c r="B8945" s="16" t="n">
        <v>45745</v>
      </c>
      <c r="C8945" s="15" t="s">
        <v>68</v>
      </c>
      <c r="D8945" s="15" t="s">
        <v>42</v>
      </c>
      <c r="E8945" s="15" t="s">
        <v>37</v>
      </c>
      <c r="F8945" s="15" t="s">
        <v>17</v>
      </c>
      <c r="G8945" s="15" t="s">
        <v>29</v>
      </c>
      <c r="H8945" s="15" t="n">
        <v>3</v>
      </c>
      <c r="I8945" s="17" t="n">
        <v>0.4</v>
      </c>
      <c r="J8945" s="18" t="n">
        <v>29.09</v>
      </c>
      <c r="K8945" s="19" t="n">
        <v>-1</v>
      </c>
      <c r="L8945" s="15" t="n">
        <f aca="false">YEAR(B8945)</f>
        <v>2025</v>
      </c>
      <c r="M8945" s="20" t="n">
        <f aca="false">IF(J8945&gt;0,K8945/J8945,0)</f>
        <v>-0.0343760742523204</v>
      </c>
    </row>
    <row r="8946" customFormat="false" ht="15" hidden="false" customHeight="false" outlineLevel="0" collapsed="false">
      <c r="A8946" s="15" t="s">
        <v>9003</v>
      </c>
      <c r="B8946" s="16" t="n">
        <v>45911</v>
      </c>
      <c r="C8946" s="15" t="s">
        <v>56</v>
      </c>
      <c r="D8946" s="15" t="s">
        <v>44</v>
      </c>
      <c r="E8946" s="15" t="s">
        <v>37</v>
      </c>
      <c r="F8946" s="15" t="s">
        <v>17</v>
      </c>
      <c r="G8946" s="15" t="s">
        <v>29</v>
      </c>
      <c r="H8946" s="15" t="n">
        <v>6</v>
      </c>
      <c r="I8946" s="17" t="n">
        <v>0</v>
      </c>
      <c r="J8946" s="18" t="n">
        <v>131.93</v>
      </c>
      <c r="K8946" s="19" t="n">
        <v>55.55</v>
      </c>
      <c r="L8946" s="15" t="n">
        <f aca="false">YEAR(B8946)</f>
        <v>2025</v>
      </c>
      <c r="M8946" s="20" t="n">
        <f aca="false">IF(J8946&gt;0,K8946/J8946,0)</f>
        <v>0.421056620935344</v>
      </c>
    </row>
    <row r="8947" customFormat="false" ht="15" hidden="false" customHeight="false" outlineLevel="0" collapsed="false">
      <c r="A8947" s="15" t="s">
        <v>9004</v>
      </c>
      <c r="B8947" s="16" t="n">
        <v>45275</v>
      </c>
      <c r="C8947" s="15" t="s">
        <v>68</v>
      </c>
      <c r="D8947" s="15" t="s">
        <v>42</v>
      </c>
      <c r="E8947" s="15" t="s">
        <v>36</v>
      </c>
      <c r="F8947" s="15" t="s">
        <v>18</v>
      </c>
      <c r="G8947" s="15" t="s">
        <v>24</v>
      </c>
      <c r="H8947" s="15" t="n">
        <v>1</v>
      </c>
      <c r="I8947" s="17" t="n">
        <v>0.15</v>
      </c>
      <c r="J8947" s="18" t="n">
        <v>521.13</v>
      </c>
      <c r="K8947" s="19" t="n">
        <v>-19.79</v>
      </c>
      <c r="L8947" s="15" t="n">
        <f aca="false">YEAR(B8947)</f>
        <v>2023</v>
      </c>
      <c r="M8947" s="20" t="n">
        <f aca="false">IF(J8947&gt;0,K8947/J8947,0)</f>
        <v>-0.0379751693435419</v>
      </c>
    </row>
    <row r="8948" customFormat="false" ht="15" hidden="false" customHeight="false" outlineLevel="0" collapsed="false">
      <c r="A8948" s="15" t="s">
        <v>9005</v>
      </c>
      <c r="B8948" s="16" t="n">
        <v>44804</v>
      </c>
      <c r="C8948" s="15" t="s">
        <v>56</v>
      </c>
      <c r="D8948" s="15" t="s">
        <v>42</v>
      </c>
      <c r="E8948" s="15" t="s">
        <v>37</v>
      </c>
      <c r="F8948" s="15" t="s">
        <v>16</v>
      </c>
      <c r="G8948" s="15" t="s">
        <v>25</v>
      </c>
      <c r="H8948" s="15" t="n">
        <v>3</v>
      </c>
      <c r="I8948" s="17" t="n">
        <v>0</v>
      </c>
      <c r="J8948" s="18" t="n">
        <v>769.82</v>
      </c>
      <c r="K8948" s="19" t="n">
        <v>90.45</v>
      </c>
      <c r="L8948" s="15" t="n">
        <f aca="false">YEAR(B8948)</f>
        <v>2022</v>
      </c>
      <c r="M8948" s="20" t="n">
        <f aca="false">IF(J8948&gt;0,K8948/J8948,0)</f>
        <v>0.117494998830896</v>
      </c>
    </row>
    <row r="8949" customFormat="false" ht="15" hidden="false" customHeight="false" outlineLevel="0" collapsed="false">
      <c r="A8949" s="15" t="s">
        <v>9006</v>
      </c>
      <c r="B8949" s="16" t="n">
        <v>45167</v>
      </c>
      <c r="C8949" s="15" t="s">
        <v>56</v>
      </c>
      <c r="D8949" s="15" t="s">
        <v>42</v>
      </c>
      <c r="E8949" s="15" t="s">
        <v>36</v>
      </c>
      <c r="F8949" s="15" t="s">
        <v>18</v>
      </c>
      <c r="G8949" s="15" t="s">
        <v>32</v>
      </c>
      <c r="H8949" s="15" t="n">
        <v>5</v>
      </c>
      <c r="I8949" s="17" t="n">
        <v>0.15</v>
      </c>
      <c r="J8949" s="18" t="n">
        <v>1826.91</v>
      </c>
      <c r="K8949" s="19" t="n">
        <v>117.9</v>
      </c>
      <c r="L8949" s="15" t="n">
        <f aca="false">YEAR(B8949)</f>
        <v>2023</v>
      </c>
      <c r="M8949" s="20" t="n">
        <f aca="false">IF(J8949&gt;0,K8949/J8949,0)</f>
        <v>0.0645351987782649</v>
      </c>
    </row>
    <row r="8950" customFormat="false" ht="15" hidden="false" customHeight="false" outlineLevel="0" collapsed="false">
      <c r="A8950" s="15" t="s">
        <v>9007</v>
      </c>
      <c r="B8950" s="16" t="n">
        <v>45851</v>
      </c>
      <c r="C8950" s="15" t="s">
        <v>71</v>
      </c>
      <c r="D8950" s="15" t="s">
        <v>42</v>
      </c>
      <c r="E8950" s="15" t="s">
        <v>37</v>
      </c>
      <c r="F8950" s="15" t="s">
        <v>18</v>
      </c>
      <c r="G8950" s="15" t="s">
        <v>30</v>
      </c>
      <c r="H8950" s="15" t="n">
        <v>5</v>
      </c>
      <c r="I8950" s="17" t="n">
        <v>0</v>
      </c>
      <c r="J8950" s="18" t="n">
        <v>203.71</v>
      </c>
      <c r="K8950" s="19" t="n">
        <v>65.22</v>
      </c>
      <c r="L8950" s="15" t="n">
        <f aca="false">YEAR(B8950)</f>
        <v>2025</v>
      </c>
      <c r="M8950" s="20" t="n">
        <f aca="false">IF(J8950&gt;0,K8950/J8950,0)</f>
        <v>0.320161013205046</v>
      </c>
    </row>
    <row r="8951" customFormat="false" ht="15" hidden="false" customHeight="false" outlineLevel="0" collapsed="false">
      <c r="A8951" s="15" t="s">
        <v>9008</v>
      </c>
      <c r="B8951" s="16" t="n">
        <v>45286</v>
      </c>
      <c r="C8951" s="15" t="s">
        <v>56</v>
      </c>
      <c r="D8951" s="15" t="s">
        <v>42</v>
      </c>
      <c r="E8951" s="15" t="s">
        <v>37</v>
      </c>
      <c r="F8951" s="15" t="s">
        <v>17</v>
      </c>
      <c r="G8951" s="15" t="s">
        <v>26</v>
      </c>
      <c r="H8951" s="15" t="n">
        <v>5</v>
      </c>
      <c r="I8951" s="17" t="n">
        <v>0.1</v>
      </c>
      <c r="J8951" s="18" t="n">
        <v>414.83</v>
      </c>
      <c r="K8951" s="19" t="n">
        <v>25.87</v>
      </c>
      <c r="L8951" s="15" t="n">
        <f aca="false">YEAR(B8951)</f>
        <v>2023</v>
      </c>
      <c r="M8951" s="20" t="n">
        <f aca="false">IF(J8951&gt;0,K8951/J8951,0)</f>
        <v>0.0623628956439988</v>
      </c>
    </row>
    <row r="8952" customFormat="false" ht="15" hidden="false" customHeight="false" outlineLevel="0" collapsed="false">
      <c r="A8952" s="15" t="s">
        <v>9009</v>
      </c>
      <c r="B8952" s="16" t="n">
        <v>44892</v>
      </c>
      <c r="C8952" s="15" t="s">
        <v>68</v>
      </c>
      <c r="D8952" s="15" t="s">
        <v>42</v>
      </c>
      <c r="E8952" s="15" t="s">
        <v>37</v>
      </c>
      <c r="F8952" s="15" t="s">
        <v>17</v>
      </c>
      <c r="G8952" s="15" t="s">
        <v>29</v>
      </c>
      <c r="H8952" s="15" t="n">
        <v>2</v>
      </c>
      <c r="I8952" s="17" t="n">
        <v>0</v>
      </c>
      <c r="J8952" s="18" t="n">
        <v>39.05</v>
      </c>
      <c r="K8952" s="19" t="n">
        <v>16.24</v>
      </c>
      <c r="L8952" s="15" t="n">
        <f aca="false">YEAR(B8952)</f>
        <v>2022</v>
      </c>
      <c r="M8952" s="20" t="n">
        <f aca="false">IF(J8952&gt;0,K8952/J8952,0)</f>
        <v>0.415877080665813</v>
      </c>
    </row>
    <row r="8953" customFormat="false" ht="15" hidden="false" customHeight="false" outlineLevel="0" collapsed="false">
      <c r="A8953" s="15" t="s">
        <v>9010</v>
      </c>
      <c r="B8953" s="16" t="n">
        <v>45178</v>
      </c>
      <c r="C8953" s="15" t="s">
        <v>56</v>
      </c>
      <c r="D8953" s="15" t="s">
        <v>42</v>
      </c>
      <c r="E8953" s="15" t="s">
        <v>38</v>
      </c>
      <c r="F8953" s="15" t="s">
        <v>17</v>
      </c>
      <c r="G8953" s="15" t="s">
        <v>26</v>
      </c>
      <c r="H8953" s="15" t="n">
        <v>4</v>
      </c>
      <c r="I8953" s="17" t="n">
        <v>0</v>
      </c>
      <c r="J8953" s="18" t="n">
        <v>304.23</v>
      </c>
      <c r="K8953" s="19" t="n">
        <v>44.66</v>
      </c>
      <c r="L8953" s="15" t="n">
        <f aca="false">YEAR(B8953)</f>
        <v>2023</v>
      </c>
      <c r="M8953" s="20" t="n">
        <f aca="false">IF(J8953&gt;0,K8953/J8953,0)</f>
        <v>0.146796831344706</v>
      </c>
    </row>
    <row r="8954" customFormat="false" ht="15" hidden="false" customHeight="false" outlineLevel="0" collapsed="false">
      <c r="A8954" s="15" t="s">
        <v>9011</v>
      </c>
      <c r="B8954" s="16" t="n">
        <v>45942</v>
      </c>
      <c r="C8954" s="15" t="s">
        <v>71</v>
      </c>
      <c r="D8954" s="15" t="s">
        <v>42</v>
      </c>
      <c r="E8954" s="15" t="s">
        <v>38</v>
      </c>
      <c r="F8954" s="15" t="s">
        <v>16</v>
      </c>
      <c r="G8954" s="15" t="s">
        <v>27</v>
      </c>
      <c r="H8954" s="15" t="n">
        <v>3</v>
      </c>
      <c r="I8954" s="17" t="n">
        <v>0</v>
      </c>
      <c r="J8954" s="18" t="n">
        <v>163.29</v>
      </c>
      <c r="K8954" s="19" t="n">
        <v>38</v>
      </c>
      <c r="L8954" s="15" t="n">
        <f aca="false">YEAR(B8954)</f>
        <v>2025</v>
      </c>
      <c r="M8954" s="20" t="n">
        <f aca="false">IF(J8954&gt;0,K8954/J8954,0)</f>
        <v>0.232714801886215</v>
      </c>
    </row>
    <row r="8955" customFormat="false" ht="15" hidden="false" customHeight="false" outlineLevel="0" collapsed="false">
      <c r="A8955" s="15" t="s">
        <v>9012</v>
      </c>
      <c r="B8955" s="16" t="n">
        <v>44751</v>
      </c>
      <c r="C8955" s="15" t="s">
        <v>56</v>
      </c>
      <c r="D8955" s="15" t="s">
        <v>44</v>
      </c>
      <c r="E8955" s="15" t="s">
        <v>37</v>
      </c>
      <c r="F8955" s="15" t="s">
        <v>18</v>
      </c>
      <c r="G8955" s="15" t="s">
        <v>30</v>
      </c>
      <c r="H8955" s="15" t="n">
        <v>1</v>
      </c>
      <c r="I8955" s="17" t="n">
        <v>0.2</v>
      </c>
      <c r="J8955" s="18" t="n">
        <v>33.67</v>
      </c>
      <c r="K8955" s="19" t="n">
        <v>3.05</v>
      </c>
      <c r="L8955" s="15" t="n">
        <f aca="false">YEAR(B8955)</f>
        <v>2022</v>
      </c>
      <c r="M8955" s="20" t="n">
        <f aca="false">IF(J8955&gt;0,K8955/J8955,0)</f>
        <v>0.0905850905850906</v>
      </c>
    </row>
    <row r="8956" customFormat="false" ht="15" hidden="false" customHeight="false" outlineLevel="0" collapsed="false">
      <c r="A8956" s="15" t="s">
        <v>9013</v>
      </c>
      <c r="B8956" s="16" t="n">
        <v>45783</v>
      </c>
      <c r="C8956" s="15" t="s">
        <v>56</v>
      </c>
      <c r="D8956" s="15" t="s">
        <v>42</v>
      </c>
      <c r="E8956" s="15" t="s">
        <v>38</v>
      </c>
      <c r="F8956" s="15" t="s">
        <v>17</v>
      </c>
      <c r="G8956" s="15" t="s">
        <v>31</v>
      </c>
      <c r="H8956" s="15" t="n">
        <v>2</v>
      </c>
      <c r="I8956" s="17" t="n">
        <v>0.3</v>
      </c>
      <c r="J8956" s="18" t="n">
        <v>160.33</v>
      </c>
      <c r="K8956" s="19" t="n">
        <v>-12.09</v>
      </c>
      <c r="L8956" s="15" t="n">
        <f aca="false">YEAR(B8956)</f>
        <v>2025</v>
      </c>
      <c r="M8956" s="20" t="n">
        <f aca="false">IF(J8956&gt;0,K8956/J8956,0)</f>
        <v>-0.0754069731179442</v>
      </c>
    </row>
    <row r="8957" customFormat="false" ht="15" hidden="false" customHeight="false" outlineLevel="0" collapsed="false">
      <c r="A8957" s="15" t="s">
        <v>9014</v>
      </c>
      <c r="B8957" s="16" t="n">
        <v>45548</v>
      </c>
      <c r="C8957" s="15" t="s">
        <v>56</v>
      </c>
      <c r="D8957" s="15" t="s">
        <v>43</v>
      </c>
      <c r="E8957" s="15" t="s">
        <v>39</v>
      </c>
      <c r="F8957" s="15" t="s">
        <v>18</v>
      </c>
      <c r="G8957" s="15" t="s">
        <v>30</v>
      </c>
      <c r="H8957" s="15" t="n">
        <v>1</v>
      </c>
      <c r="I8957" s="17" t="n">
        <v>0</v>
      </c>
      <c r="J8957" s="18" t="n">
        <v>57.27</v>
      </c>
      <c r="K8957" s="19" t="n">
        <v>16.06</v>
      </c>
      <c r="L8957" s="15" t="n">
        <f aca="false">YEAR(B8957)</f>
        <v>2024</v>
      </c>
      <c r="M8957" s="20" t="n">
        <f aca="false">IF(J8957&gt;0,K8957/J8957,0)</f>
        <v>0.280426052034224</v>
      </c>
    </row>
    <row r="8958" customFormat="false" ht="15" hidden="false" customHeight="false" outlineLevel="0" collapsed="false">
      <c r="A8958" s="15" t="s">
        <v>9015</v>
      </c>
      <c r="B8958" s="16" t="n">
        <v>45641</v>
      </c>
      <c r="C8958" s="15" t="s">
        <v>56</v>
      </c>
      <c r="D8958" s="15" t="s">
        <v>42</v>
      </c>
      <c r="E8958" s="15" t="s">
        <v>37</v>
      </c>
      <c r="F8958" s="15" t="s">
        <v>17</v>
      </c>
      <c r="G8958" s="15" t="s">
        <v>26</v>
      </c>
      <c r="H8958" s="15" t="n">
        <v>3</v>
      </c>
      <c r="I8958" s="17" t="n">
        <v>0</v>
      </c>
      <c r="J8958" s="18" t="n">
        <v>273.47</v>
      </c>
      <c r="K8958" s="19" t="n">
        <v>23.86</v>
      </c>
      <c r="L8958" s="15" t="n">
        <f aca="false">YEAR(B8958)</f>
        <v>2024</v>
      </c>
      <c r="M8958" s="20" t="n">
        <f aca="false">IF(J8958&gt;0,K8958/J8958,0)</f>
        <v>0.0872490583976305</v>
      </c>
    </row>
    <row r="8959" customFormat="false" ht="15" hidden="false" customHeight="false" outlineLevel="0" collapsed="false">
      <c r="A8959" s="15" t="s">
        <v>9016</v>
      </c>
      <c r="B8959" s="16" t="n">
        <v>45774</v>
      </c>
      <c r="C8959" s="15" t="s">
        <v>56</v>
      </c>
      <c r="D8959" s="15" t="s">
        <v>44</v>
      </c>
      <c r="E8959" s="15" t="s">
        <v>39</v>
      </c>
      <c r="F8959" s="15" t="s">
        <v>17</v>
      </c>
      <c r="G8959" s="15" t="s">
        <v>28</v>
      </c>
      <c r="H8959" s="15" t="n">
        <v>4</v>
      </c>
      <c r="I8959" s="17" t="n">
        <v>0</v>
      </c>
      <c r="J8959" s="18" t="n">
        <v>83.89</v>
      </c>
      <c r="K8959" s="19" t="n">
        <v>24.04</v>
      </c>
      <c r="L8959" s="15" t="n">
        <f aca="false">YEAR(B8959)</f>
        <v>2025</v>
      </c>
      <c r="M8959" s="20" t="n">
        <f aca="false">IF(J8959&gt;0,K8959/J8959,0)</f>
        <v>0.286565740851115</v>
      </c>
    </row>
    <row r="8960" customFormat="false" ht="15" hidden="false" customHeight="false" outlineLevel="0" collapsed="false">
      <c r="A8960" s="15" t="s">
        <v>9017</v>
      </c>
      <c r="B8960" s="16" t="n">
        <v>45082</v>
      </c>
      <c r="C8960" s="15" t="s">
        <v>68</v>
      </c>
      <c r="D8960" s="15" t="s">
        <v>42</v>
      </c>
      <c r="E8960" s="15" t="s">
        <v>39</v>
      </c>
      <c r="F8960" s="15" t="s">
        <v>18</v>
      </c>
      <c r="G8960" s="15" t="s">
        <v>24</v>
      </c>
      <c r="H8960" s="15" t="n">
        <v>6</v>
      </c>
      <c r="I8960" s="17" t="n">
        <v>0</v>
      </c>
      <c r="J8960" s="18" t="n">
        <v>3741.97</v>
      </c>
      <c r="K8960" s="19" t="n">
        <v>294.88</v>
      </c>
      <c r="L8960" s="15" t="n">
        <f aca="false">YEAR(B8960)</f>
        <v>2023</v>
      </c>
      <c r="M8960" s="20" t="n">
        <f aca="false">IF(J8960&gt;0,K8960/J8960,0)</f>
        <v>0.0788034110375016</v>
      </c>
    </row>
    <row r="8961" customFormat="false" ht="15" hidden="false" customHeight="false" outlineLevel="0" collapsed="false">
      <c r="A8961" s="15" t="s">
        <v>9018</v>
      </c>
      <c r="B8961" s="16" t="n">
        <v>45845</v>
      </c>
      <c r="C8961" s="15" t="s">
        <v>56</v>
      </c>
      <c r="D8961" s="15" t="s">
        <v>44</v>
      </c>
      <c r="E8961" s="15" t="s">
        <v>37</v>
      </c>
      <c r="F8961" s="15" t="s">
        <v>17</v>
      </c>
      <c r="G8961" s="15" t="s">
        <v>29</v>
      </c>
      <c r="H8961" s="15" t="n">
        <v>4</v>
      </c>
      <c r="I8961" s="17" t="n">
        <v>0.3</v>
      </c>
      <c r="J8961" s="18" t="n">
        <v>69.2</v>
      </c>
      <c r="K8961" s="19" t="n">
        <v>4.2</v>
      </c>
      <c r="L8961" s="15" t="n">
        <f aca="false">YEAR(B8961)</f>
        <v>2025</v>
      </c>
      <c r="M8961" s="20" t="n">
        <f aca="false">IF(J8961&gt;0,K8961/J8961,0)</f>
        <v>0.0606936416184971</v>
      </c>
    </row>
    <row r="8962" customFormat="false" ht="15" hidden="false" customHeight="false" outlineLevel="0" collapsed="false">
      <c r="A8962" s="15" t="s">
        <v>9019</v>
      </c>
      <c r="B8962" s="16" t="n">
        <v>45967</v>
      </c>
      <c r="C8962" s="15" t="s">
        <v>56</v>
      </c>
      <c r="D8962" s="15" t="s">
        <v>42</v>
      </c>
      <c r="E8962" s="15" t="s">
        <v>38</v>
      </c>
      <c r="F8962" s="15" t="s">
        <v>16</v>
      </c>
      <c r="G8962" s="15" t="s">
        <v>22</v>
      </c>
      <c r="H8962" s="15" t="n">
        <v>2</v>
      </c>
      <c r="I8962" s="17" t="n">
        <v>0.1</v>
      </c>
      <c r="J8962" s="18" t="n">
        <v>788.53</v>
      </c>
      <c r="K8962" s="19" t="n">
        <v>-55.66</v>
      </c>
      <c r="L8962" s="15" t="n">
        <f aca="false">YEAR(B8962)</f>
        <v>2025</v>
      </c>
      <c r="M8962" s="20" t="n">
        <f aca="false">IF(J8962&gt;0,K8962/J8962,0)</f>
        <v>-0.0705870417105246</v>
      </c>
    </row>
    <row r="8963" customFormat="false" ht="15" hidden="false" customHeight="false" outlineLevel="0" collapsed="false">
      <c r="A8963" s="15" t="s">
        <v>9020</v>
      </c>
      <c r="B8963" s="16" t="n">
        <v>46003</v>
      </c>
      <c r="C8963" s="15" t="s">
        <v>68</v>
      </c>
      <c r="D8963" s="15" t="s">
        <v>42</v>
      </c>
      <c r="E8963" s="15" t="s">
        <v>37</v>
      </c>
      <c r="F8963" s="15" t="s">
        <v>16</v>
      </c>
      <c r="G8963" s="15" t="s">
        <v>25</v>
      </c>
      <c r="H8963" s="15" t="n">
        <v>2</v>
      </c>
      <c r="I8963" s="17" t="n">
        <v>0.4</v>
      </c>
      <c r="J8963" s="18" t="n">
        <v>392.46</v>
      </c>
      <c r="K8963" s="19" t="n">
        <v>-107.86</v>
      </c>
      <c r="L8963" s="15" t="n">
        <f aca="false">YEAR(B8963)</f>
        <v>2025</v>
      </c>
      <c r="M8963" s="20" t="n">
        <f aca="false">IF(J8963&gt;0,K8963/J8963,0)</f>
        <v>-0.274830555980227</v>
      </c>
    </row>
    <row r="8964" customFormat="false" ht="15" hidden="false" customHeight="false" outlineLevel="0" collapsed="false">
      <c r="A8964" s="15" t="s">
        <v>9021</v>
      </c>
      <c r="B8964" s="16" t="n">
        <v>45539</v>
      </c>
      <c r="C8964" s="15" t="s">
        <v>58</v>
      </c>
      <c r="D8964" s="15" t="s">
        <v>42</v>
      </c>
      <c r="E8964" s="15" t="s">
        <v>39</v>
      </c>
      <c r="F8964" s="15" t="s">
        <v>17</v>
      </c>
      <c r="G8964" s="15" t="s">
        <v>26</v>
      </c>
      <c r="H8964" s="15" t="n">
        <v>2</v>
      </c>
      <c r="I8964" s="17" t="n">
        <v>0</v>
      </c>
      <c r="J8964" s="18" t="n">
        <v>184.2</v>
      </c>
      <c r="K8964" s="19" t="n">
        <v>27.32</v>
      </c>
      <c r="L8964" s="15" t="n">
        <f aca="false">YEAR(B8964)</f>
        <v>2024</v>
      </c>
      <c r="M8964" s="20" t="n">
        <f aca="false">IF(J8964&gt;0,K8964/J8964,0)</f>
        <v>0.148317046688382</v>
      </c>
    </row>
    <row r="8965" customFormat="false" ht="15" hidden="false" customHeight="false" outlineLevel="0" collapsed="false">
      <c r="A8965" s="15" t="s">
        <v>9022</v>
      </c>
      <c r="B8965" s="16" t="n">
        <v>46007</v>
      </c>
      <c r="C8965" s="15" t="s">
        <v>58</v>
      </c>
      <c r="D8965" s="15" t="s">
        <v>44</v>
      </c>
      <c r="E8965" s="15" t="s">
        <v>37</v>
      </c>
      <c r="F8965" s="15" t="s">
        <v>17</v>
      </c>
      <c r="G8965" s="15" t="s">
        <v>28</v>
      </c>
      <c r="H8965" s="15" t="n">
        <v>3</v>
      </c>
      <c r="I8965" s="17" t="n">
        <v>0.1</v>
      </c>
      <c r="J8965" s="18" t="n">
        <v>72.02</v>
      </c>
      <c r="K8965" s="19" t="n">
        <v>16.69</v>
      </c>
      <c r="L8965" s="15" t="n">
        <f aca="false">YEAR(B8965)</f>
        <v>2025</v>
      </c>
      <c r="M8965" s="20" t="n">
        <f aca="false">IF(J8965&gt;0,K8965/J8965,0)</f>
        <v>0.231741183004721</v>
      </c>
    </row>
    <row r="8966" customFormat="false" ht="15" hidden="false" customHeight="false" outlineLevel="0" collapsed="false">
      <c r="A8966" s="15" t="s">
        <v>9023</v>
      </c>
      <c r="B8966" s="16" t="n">
        <v>45280</v>
      </c>
      <c r="C8966" s="15" t="s">
        <v>71</v>
      </c>
      <c r="D8966" s="15" t="s">
        <v>43</v>
      </c>
      <c r="E8966" s="15" t="s">
        <v>39</v>
      </c>
      <c r="F8966" s="15" t="s">
        <v>17</v>
      </c>
      <c r="G8966" s="15" t="s">
        <v>29</v>
      </c>
      <c r="H8966" s="15" t="n">
        <v>3</v>
      </c>
      <c r="I8966" s="17" t="n">
        <v>0.05</v>
      </c>
      <c r="J8966" s="18" t="n">
        <v>62.36</v>
      </c>
      <c r="K8966" s="19" t="n">
        <v>17.19</v>
      </c>
      <c r="L8966" s="15" t="n">
        <f aca="false">YEAR(B8966)</f>
        <v>2023</v>
      </c>
      <c r="M8966" s="20" t="n">
        <f aca="false">IF(J8966&gt;0,K8966/J8966,0)</f>
        <v>0.275657472738935</v>
      </c>
    </row>
    <row r="8967" customFormat="false" ht="15" hidden="false" customHeight="false" outlineLevel="0" collapsed="false">
      <c r="A8967" s="15" t="s">
        <v>9024</v>
      </c>
      <c r="B8967" s="16" t="n">
        <v>45242</v>
      </c>
      <c r="C8967" s="15" t="s">
        <v>56</v>
      </c>
      <c r="D8967" s="15" t="s">
        <v>42</v>
      </c>
      <c r="E8967" s="15" t="s">
        <v>39</v>
      </c>
      <c r="F8967" s="15" t="s">
        <v>18</v>
      </c>
      <c r="G8967" s="15" t="s">
        <v>30</v>
      </c>
      <c r="H8967" s="15" t="n">
        <v>2</v>
      </c>
      <c r="I8967" s="17" t="n">
        <v>0</v>
      </c>
      <c r="J8967" s="18" t="n">
        <v>111.06</v>
      </c>
      <c r="K8967" s="19" t="n">
        <v>27.33</v>
      </c>
      <c r="L8967" s="15" t="n">
        <f aca="false">YEAR(B8967)</f>
        <v>2023</v>
      </c>
      <c r="M8967" s="20" t="n">
        <f aca="false">IF(J8967&gt;0,K8967/J8967,0)</f>
        <v>0.246083198271205</v>
      </c>
    </row>
    <row r="8968" customFormat="false" ht="15" hidden="false" customHeight="false" outlineLevel="0" collapsed="false">
      <c r="A8968" s="15" t="s">
        <v>9025</v>
      </c>
      <c r="B8968" s="16" t="n">
        <v>44884</v>
      </c>
      <c r="C8968" s="15" t="s">
        <v>71</v>
      </c>
      <c r="D8968" s="15" t="s">
        <v>42</v>
      </c>
      <c r="E8968" s="15" t="s">
        <v>36</v>
      </c>
      <c r="F8968" s="15" t="s">
        <v>18</v>
      </c>
      <c r="G8968" s="15" t="s">
        <v>30</v>
      </c>
      <c r="H8968" s="15" t="n">
        <v>8</v>
      </c>
      <c r="I8968" s="17" t="n">
        <v>0</v>
      </c>
      <c r="J8968" s="18" t="n">
        <v>334.81</v>
      </c>
      <c r="K8968" s="19" t="n">
        <v>99.1</v>
      </c>
      <c r="L8968" s="15" t="n">
        <f aca="false">YEAR(B8968)</f>
        <v>2022</v>
      </c>
      <c r="M8968" s="20" t="n">
        <f aca="false">IF(J8968&gt;0,K8968/J8968,0)</f>
        <v>0.295988769750007</v>
      </c>
    </row>
    <row r="8969" customFormat="false" ht="15" hidden="false" customHeight="false" outlineLevel="0" collapsed="false">
      <c r="A8969" s="15" t="s">
        <v>9026</v>
      </c>
      <c r="B8969" s="16" t="n">
        <v>44845</v>
      </c>
      <c r="C8969" s="15" t="s">
        <v>56</v>
      </c>
      <c r="D8969" s="15" t="s">
        <v>42</v>
      </c>
      <c r="E8969" s="15" t="s">
        <v>37</v>
      </c>
      <c r="F8969" s="15" t="s">
        <v>16</v>
      </c>
      <c r="G8969" s="15" t="s">
        <v>25</v>
      </c>
      <c r="H8969" s="15" t="n">
        <v>3</v>
      </c>
      <c r="I8969" s="17" t="n">
        <v>0</v>
      </c>
      <c r="J8969" s="18" t="n">
        <v>969.97</v>
      </c>
      <c r="K8969" s="19" t="n">
        <v>60.88</v>
      </c>
      <c r="L8969" s="15" t="n">
        <f aca="false">YEAR(B8969)</f>
        <v>2022</v>
      </c>
      <c r="M8969" s="20" t="n">
        <f aca="false">IF(J8969&gt;0,K8969/J8969,0)</f>
        <v>0.0627648277781787</v>
      </c>
    </row>
    <row r="8970" customFormat="false" ht="15" hidden="false" customHeight="false" outlineLevel="0" collapsed="false">
      <c r="A8970" s="15" t="s">
        <v>9027</v>
      </c>
      <c r="B8970" s="16" t="n">
        <v>45877</v>
      </c>
      <c r="C8970" s="15" t="s">
        <v>68</v>
      </c>
      <c r="D8970" s="15" t="s">
        <v>44</v>
      </c>
      <c r="E8970" s="15" t="s">
        <v>39</v>
      </c>
      <c r="F8970" s="15" t="s">
        <v>16</v>
      </c>
      <c r="G8970" s="15" t="s">
        <v>27</v>
      </c>
      <c r="H8970" s="15" t="n">
        <v>2</v>
      </c>
      <c r="I8970" s="17" t="n">
        <v>0.3</v>
      </c>
      <c r="J8970" s="18" t="n">
        <v>87.56</v>
      </c>
      <c r="K8970" s="19" t="n">
        <v>-3.84</v>
      </c>
      <c r="L8970" s="15" t="n">
        <f aca="false">YEAR(B8970)</f>
        <v>2025</v>
      </c>
      <c r="M8970" s="20" t="n">
        <f aca="false">IF(J8970&gt;0,K8970/J8970,0)</f>
        <v>-0.0438556418455916</v>
      </c>
    </row>
    <row r="8971" customFormat="false" ht="15" hidden="false" customHeight="false" outlineLevel="0" collapsed="false">
      <c r="A8971" s="15" t="s">
        <v>9028</v>
      </c>
      <c r="B8971" s="16" t="n">
        <v>44939</v>
      </c>
      <c r="C8971" s="15" t="s">
        <v>56</v>
      </c>
      <c r="D8971" s="15" t="s">
        <v>43</v>
      </c>
      <c r="E8971" s="15" t="s">
        <v>39</v>
      </c>
      <c r="F8971" s="15" t="s">
        <v>18</v>
      </c>
      <c r="G8971" s="15" t="s">
        <v>30</v>
      </c>
      <c r="H8971" s="15" t="n">
        <v>4</v>
      </c>
      <c r="I8971" s="17" t="n">
        <v>0.05</v>
      </c>
      <c r="J8971" s="18" t="n">
        <v>196.66</v>
      </c>
      <c r="K8971" s="19" t="n">
        <v>51.93</v>
      </c>
      <c r="L8971" s="15" t="n">
        <f aca="false">YEAR(B8971)</f>
        <v>2023</v>
      </c>
      <c r="M8971" s="20" t="n">
        <f aca="false">IF(J8971&gt;0,K8971/J8971,0)</f>
        <v>0.264059798637242</v>
      </c>
    </row>
    <row r="8972" customFormat="false" ht="15" hidden="false" customHeight="false" outlineLevel="0" collapsed="false">
      <c r="A8972" s="15" t="s">
        <v>9029</v>
      </c>
      <c r="B8972" s="16" t="n">
        <v>45419</v>
      </c>
      <c r="C8972" s="15" t="s">
        <v>71</v>
      </c>
      <c r="D8972" s="15" t="s">
        <v>42</v>
      </c>
      <c r="E8972" s="15" t="s">
        <v>37</v>
      </c>
      <c r="F8972" s="15" t="s">
        <v>17</v>
      </c>
      <c r="G8972" s="15" t="s">
        <v>28</v>
      </c>
      <c r="H8972" s="15" t="n">
        <v>3</v>
      </c>
      <c r="I8972" s="17" t="n">
        <v>0.2</v>
      </c>
      <c r="J8972" s="18" t="n">
        <v>67.44</v>
      </c>
      <c r="K8972" s="19" t="n">
        <v>7.41</v>
      </c>
      <c r="L8972" s="15" t="n">
        <f aca="false">YEAR(B8972)</f>
        <v>2024</v>
      </c>
      <c r="M8972" s="20" t="n">
        <f aca="false">IF(J8972&gt;0,K8972/J8972,0)</f>
        <v>0.109875444839858</v>
      </c>
    </row>
    <row r="8973" customFormat="false" ht="15" hidden="false" customHeight="false" outlineLevel="0" collapsed="false">
      <c r="A8973" s="15" t="s">
        <v>9030</v>
      </c>
      <c r="B8973" s="16" t="n">
        <v>45154</v>
      </c>
      <c r="C8973" s="15" t="s">
        <v>56</v>
      </c>
      <c r="D8973" s="15" t="s">
        <v>42</v>
      </c>
      <c r="E8973" s="15" t="s">
        <v>39</v>
      </c>
      <c r="F8973" s="15" t="s">
        <v>16</v>
      </c>
      <c r="G8973" s="15" t="s">
        <v>25</v>
      </c>
      <c r="H8973" s="15" t="n">
        <v>6</v>
      </c>
      <c r="I8973" s="17" t="n">
        <v>0</v>
      </c>
      <c r="J8973" s="18" t="n">
        <v>1823.12</v>
      </c>
      <c r="K8973" s="19" t="n">
        <v>193.86</v>
      </c>
      <c r="L8973" s="15" t="n">
        <f aca="false">YEAR(B8973)</f>
        <v>2023</v>
      </c>
      <c r="M8973" s="20" t="n">
        <f aca="false">IF(J8973&gt;0,K8973/J8973,0)</f>
        <v>0.106334196322787</v>
      </c>
    </row>
    <row r="8974" customFormat="false" ht="15" hidden="false" customHeight="false" outlineLevel="0" collapsed="false">
      <c r="A8974" s="15" t="s">
        <v>9031</v>
      </c>
      <c r="B8974" s="16" t="n">
        <v>45106</v>
      </c>
      <c r="C8974" s="15" t="s">
        <v>56</v>
      </c>
      <c r="D8974" s="15" t="s">
        <v>42</v>
      </c>
      <c r="E8974" s="15" t="s">
        <v>39</v>
      </c>
      <c r="F8974" s="15" t="s">
        <v>17</v>
      </c>
      <c r="G8974" s="15" t="s">
        <v>26</v>
      </c>
      <c r="H8974" s="15" t="n">
        <v>5</v>
      </c>
      <c r="I8974" s="17" t="n">
        <v>0</v>
      </c>
      <c r="J8974" s="18" t="n">
        <v>446.83</v>
      </c>
      <c r="K8974" s="19" t="n">
        <v>57.05</v>
      </c>
      <c r="L8974" s="15" t="n">
        <f aca="false">YEAR(B8974)</f>
        <v>2023</v>
      </c>
      <c r="M8974" s="20" t="n">
        <f aca="false">IF(J8974&gt;0,K8974/J8974,0)</f>
        <v>0.127677192668353</v>
      </c>
    </row>
    <row r="8975" customFormat="false" ht="15" hidden="false" customHeight="false" outlineLevel="0" collapsed="false">
      <c r="A8975" s="15" t="s">
        <v>9032</v>
      </c>
      <c r="B8975" s="16" t="n">
        <v>44618</v>
      </c>
      <c r="C8975" s="15" t="s">
        <v>71</v>
      </c>
      <c r="D8975" s="15" t="s">
        <v>42</v>
      </c>
      <c r="E8975" s="15" t="s">
        <v>38</v>
      </c>
      <c r="F8975" s="15" t="s">
        <v>17</v>
      </c>
      <c r="G8975" s="15" t="s">
        <v>29</v>
      </c>
      <c r="H8975" s="15" t="n">
        <v>4</v>
      </c>
      <c r="I8975" s="17" t="n">
        <v>0</v>
      </c>
      <c r="J8975" s="18" t="n">
        <v>61.69</v>
      </c>
      <c r="K8975" s="19" t="n">
        <v>22.51</v>
      </c>
      <c r="L8975" s="15" t="n">
        <f aca="false">YEAR(B8975)</f>
        <v>2022</v>
      </c>
      <c r="M8975" s="20" t="n">
        <f aca="false">IF(J8975&gt;0,K8975/J8975,0)</f>
        <v>0.364888960933701</v>
      </c>
    </row>
    <row r="8976" customFormat="false" ht="15" hidden="false" customHeight="false" outlineLevel="0" collapsed="false">
      <c r="A8976" s="15" t="s">
        <v>9033</v>
      </c>
      <c r="B8976" s="16" t="n">
        <v>45108</v>
      </c>
      <c r="C8976" s="15" t="s">
        <v>56</v>
      </c>
      <c r="D8976" s="15" t="s">
        <v>42</v>
      </c>
      <c r="E8976" s="15" t="s">
        <v>39</v>
      </c>
      <c r="F8976" s="15" t="s">
        <v>18</v>
      </c>
      <c r="G8976" s="15" t="s">
        <v>30</v>
      </c>
      <c r="H8976" s="15" t="n">
        <v>4</v>
      </c>
      <c r="I8976" s="17" t="n">
        <v>0</v>
      </c>
      <c r="J8976" s="18" t="n">
        <v>224.64</v>
      </c>
      <c r="K8976" s="19" t="n">
        <v>56.33</v>
      </c>
      <c r="L8976" s="15" t="n">
        <f aca="false">YEAR(B8976)</f>
        <v>2023</v>
      </c>
      <c r="M8976" s="20" t="n">
        <f aca="false">IF(J8976&gt;0,K8976/J8976,0)</f>
        <v>0.250756766381766</v>
      </c>
    </row>
    <row r="8977" customFormat="false" ht="15" hidden="false" customHeight="false" outlineLevel="0" collapsed="false">
      <c r="A8977" s="15" t="s">
        <v>9034</v>
      </c>
      <c r="B8977" s="16" t="n">
        <v>44974</v>
      </c>
      <c r="C8977" s="15" t="s">
        <v>56</v>
      </c>
      <c r="D8977" s="15" t="s">
        <v>43</v>
      </c>
      <c r="E8977" s="15" t="s">
        <v>39</v>
      </c>
      <c r="F8977" s="15" t="s">
        <v>16</v>
      </c>
      <c r="G8977" s="15" t="s">
        <v>27</v>
      </c>
      <c r="H8977" s="15" t="n">
        <v>5</v>
      </c>
      <c r="I8977" s="17" t="n">
        <v>0.2</v>
      </c>
      <c r="J8977" s="18" t="n">
        <v>241.59</v>
      </c>
      <c r="K8977" s="19" t="n">
        <v>7.59</v>
      </c>
      <c r="L8977" s="15" t="n">
        <f aca="false">YEAR(B8977)</f>
        <v>2023</v>
      </c>
      <c r="M8977" s="20" t="n">
        <f aca="false">IF(J8977&gt;0,K8977/J8977,0)</f>
        <v>0.0314168632807649</v>
      </c>
    </row>
    <row r="8978" customFormat="false" ht="15" hidden="false" customHeight="false" outlineLevel="0" collapsed="false">
      <c r="A8978" s="15" t="s">
        <v>9035</v>
      </c>
      <c r="B8978" s="16" t="n">
        <v>45893</v>
      </c>
      <c r="C8978" s="15" t="s">
        <v>56</v>
      </c>
      <c r="D8978" s="15" t="s">
        <v>43</v>
      </c>
      <c r="E8978" s="15" t="s">
        <v>38</v>
      </c>
      <c r="F8978" s="15" t="s">
        <v>16</v>
      </c>
      <c r="G8978" s="15" t="s">
        <v>27</v>
      </c>
      <c r="H8978" s="15" t="n">
        <v>4</v>
      </c>
      <c r="I8978" s="17" t="n">
        <v>0.2</v>
      </c>
      <c r="J8978" s="18" t="n">
        <v>239.91</v>
      </c>
      <c r="K8978" s="19" t="n">
        <v>13.23</v>
      </c>
      <c r="L8978" s="15" t="n">
        <f aca="false">YEAR(B8978)</f>
        <v>2025</v>
      </c>
      <c r="M8978" s="20" t="n">
        <f aca="false">IF(J8978&gt;0,K8978/J8978,0)</f>
        <v>0.0551456796298612</v>
      </c>
    </row>
    <row r="8979" customFormat="false" ht="15" hidden="false" customHeight="false" outlineLevel="0" collapsed="false">
      <c r="A8979" s="15" t="s">
        <v>9036</v>
      </c>
      <c r="B8979" s="16" t="n">
        <v>45073</v>
      </c>
      <c r="C8979" s="15" t="s">
        <v>56</v>
      </c>
      <c r="D8979" s="15" t="s">
        <v>42</v>
      </c>
      <c r="E8979" s="15" t="s">
        <v>36</v>
      </c>
      <c r="F8979" s="15" t="s">
        <v>17</v>
      </c>
      <c r="G8979" s="15" t="s">
        <v>29</v>
      </c>
      <c r="H8979" s="15" t="n">
        <v>3</v>
      </c>
      <c r="I8979" s="17" t="n">
        <v>0.1</v>
      </c>
      <c r="J8979" s="18" t="n">
        <v>50.97</v>
      </c>
      <c r="K8979" s="19" t="n">
        <v>16.99</v>
      </c>
      <c r="L8979" s="15" t="n">
        <f aca="false">YEAR(B8979)</f>
        <v>2023</v>
      </c>
      <c r="M8979" s="20" t="n">
        <f aca="false">IF(J8979&gt;0,K8979/J8979,0)</f>
        <v>0.333333333333333</v>
      </c>
    </row>
    <row r="8980" customFormat="false" ht="15" hidden="false" customHeight="false" outlineLevel="0" collapsed="false">
      <c r="A8980" s="15" t="s">
        <v>9037</v>
      </c>
      <c r="B8980" s="16" t="n">
        <v>45990</v>
      </c>
      <c r="C8980" s="15" t="s">
        <v>71</v>
      </c>
      <c r="D8980" s="15" t="s">
        <v>42</v>
      </c>
      <c r="E8980" s="15" t="s">
        <v>39</v>
      </c>
      <c r="F8980" s="15" t="s">
        <v>16</v>
      </c>
      <c r="G8980" s="15" t="s">
        <v>23</v>
      </c>
      <c r="H8980" s="15" t="n">
        <v>2</v>
      </c>
      <c r="I8980" s="17" t="n">
        <v>0.4</v>
      </c>
      <c r="J8980" s="18" t="n">
        <v>456.7</v>
      </c>
      <c r="K8980" s="19" t="n">
        <v>-175.04</v>
      </c>
      <c r="L8980" s="15" t="n">
        <f aca="false">YEAR(B8980)</f>
        <v>2025</v>
      </c>
      <c r="M8980" s="20" t="n">
        <f aca="false">IF(J8980&gt;0,K8980/J8980,0)</f>
        <v>-0.383271294066127</v>
      </c>
    </row>
    <row r="8981" customFormat="false" ht="15" hidden="false" customHeight="false" outlineLevel="0" collapsed="false">
      <c r="A8981" s="15" t="s">
        <v>9038</v>
      </c>
      <c r="B8981" s="16" t="n">
        <v>45661</v>
      </c>
      <c r="C8981" s="15" t="s">
        <v>56</v>
      </c>
      <c r="D8981" s="15" t="s">
        <v>44</v>
      </c>
      <c r="E8981" s="15" t="s">
        <v>39</v>
      </c>
      <c r="F8981" s="15" t="s">
        <v>17</v>
      </c>
      <c r="G8981" s="15" t="s">
        <v>26</v>
      </c>
      <c r="H8981" s="15" t="n">
        <v>2</v>
      </c>
      <c r="I8981" s="17" t="n">
        <v>0.05</v>
      </c>
      <c r="J8981" s="18" t="n">
        <v>174.41</v>
      </c>
      <c r="K8981" s="19" t="n">
        <v>11.91</v>
      </c>
      <c r="L8981" s="15" t="n">
        <f aca="false">YEAR(B8981)</f>
        <v>2025</v>
      </c>
      <c r="M8981" s="20" t="n">
        <f aca="false">IF(J8981&gt;0,K8981/J8981,0)</f>
        <v>0.0682873688435296</v>
      </c>
    </row>
    <row r="8982" customFormat="false" ht="15" hidden="false" customHeight="false" outlineLevel="0" collapsed="false">
      <c r="A8982" s="15" t="s">
        <v>9039</v>
      </c>
      <c r="B8982" s="16" t="n">
        <v>45217</v>
      </c>
      <c r="C8982" s="15" t="s">
        <v>68</v>
      </c>
      <c r="D8982" s="15" t="s">
        <v>44</v>
      </c>
      <c r="E8982" s="15" t="s">
        <v>39</v>
      </c>
      <c r="F8982" s="15" t="s">
        <v>16</v>
      </c>
      <c r="G8982" s="15" t="s">
        <v>27</v>
      </c>
      <c r="H8982" s="15" t="n">
        <v>2</v>
      </c>
      <c r="I8982" s="17" t="n">
        <v>0.3</v>
      </c>
      <c r="J8982" s="18" t="n">
        <v>68.36</v>
      </c>
      <c r="K8982" s="19" t="n">
        <v>-1.93</v>
      </c>
      <c r="L8982" s="15" t="n">
        <f aca="false">YEAR(B8982)</f>
        <v>2023</v>
      </c>
      <c r="M8982" s="20" t="n">
        <f aca="false">IF(J8982&gt;0,K8982/J8982,0)</f>
        <v>-0.0282328847279111</v>
      </c>
    </row>
    <row r="8983" customFormat="false" ht="15" hidden="false" customHeight="false" outlineLevel="0" collapsed="false">
      <c r="A8983" s="15" t="s">
        <v>9040</v>
      </c>
      <c r="B8983" s="16" t="n">
        <v>45404</v>
      </c>
      <c r="C8983" s="15" t="s">
        <v>56</v>
      </c>
      <c r="D8983" s="15" t="s">
        <v>44</v>
      </c>
      <c r="E8983" s="15" t="s">
        <v>39</v>
      </c>
      <c r="F8983" s="15" t="s">
        <v>18</v>
      </c>
      <c r="G8983" s="15" t="s">
        <v>30</v>
      </c>
      <c r="H8983" s="15" t="n">
        <v>3</v>
      </c>
      <c r="I8983" s="17" t="n">
        <v>0.1</v>
      </c>
      <c r="J8983" s="18" t="n">
        <v>139.9</v>
      </c>
      <c r="K8983" s="19" t="n">
        <v>35.2</v>
      </c>
      <c r="L8983" s="15" t="n">
        <f aca="false">YEAR(B8983)</f>
        <v>2024</v>
      </c>
      <c r="M8983" s="20" t="n">
        <f aca="false">IF(J8983&gt;0,K8983/J8983,0)</f>
        <v>0.251608291636884</v>
      </c>
    </row>
    <row r="8984" customFormat="false" ht="15" hidden="false" customHeight="false" outlineLevel="0" collapsed="false">
      <c r="A8984" s="15" t="s">
        <v>9041</v>
      </c>
      <c r="B8984" s="16" t="n">
        <v>44831</v>
      </c>
      <c r="C8984" s="15" t="s">
        <v>56</v>
      </c>
      <c r="D8984" s="15" t="s">
        <v>42</v>
      </c>
      <c r="E8984" s="15" t="s">
        <v>38</v>
      </c>
      <c r="F8984" s="15" t="s">
        <v>18</v>
      </c>
      <c r="G8984" s="15" t="s">
        <v>32</v>
      </c>
      <c r="H8984" s="15" t="n">
        <v>6</v>
      </c>
      <c r="I8984" s="17" t="n">
        <v>0.05</v>
      </c>
      <c r="J8984" s="18" t="n">
        <v>2325.47</v>
      </c>
      <c r="K8984" s="19" t="n">
        <v>242.15</v>
      </c>
      <c r="L8984" s="15" t="n">
        <f aca="false">YEAR(B8984)</f>
        <v>2022</v>
      </c>
      <c r="M8984" s="20" t="n">
        <f aca="false">IF(J8984&gt;0,K8984/J8984,0)</f>
        <v>0.104129487802466</v>
      </c>
    </row>
    <row r="8985" customFormat="false" ht="15" hidden="false" customHeight="false" outlineLevel="0" collapsed="false">
      <c r="A8985" s="15" t="s">
        <v>9042</v>
      </c>
      <c r="B8985" s="16" t="n">
        <v>45666</v>
      </c>
      <c r="C8985" s="15" t="s">
        <v>71</v>
      </c>
      <c r="D8985" s="15" t="s">
        <v>44</v>
      </c>
      <c r="E8985" s="15" t="s">
        <v>38</v>
      </c>
      <c r="F8985" s="15" t="s">
        <v>17</v>
      </c>
      <c r="G8985" s="15" t="s">
        <v>29</v>
      </c>
      <c r="H8985" s="15" t="n">
        <v>3</v>
      </c>
      <c r="I8985" s="17" t="n">
        <v>0.2</v>
      </c>
      <c r="J8985" s="18" t="n">
        <v>38.42</v>
      </c>
      <c r="K8985" s="19" t="n">
        <v>6.85</v>
      </c>
      <c r="L8985" s="15" t="n">
        <f aca="false">YEAR(B8985)</f>
        <v>2025</v>
      </c>
      <c r="M8985" s="20" t="n">
        <f aca="false">IF(J8985&gt;0,K8985/J8985,0)</f>
        <v>0.178292555960437</v>
      </c>
    </row>
    <row r="8986" customFormat="false" ht="15" hidden="false" customHeight="false" outlineLevel="0" collapsed="false">
      <c r="A8986" s="15" t="s">
        <v>9043</v>
      </c>
      <c r="B8986" s="16" t="n">
        <v>45483</v>
      </c>
      <c r="C8986" s="15" t="s">
        <v>71</v>
      </c>
      <c r="D8986" s="15" t="s">
        <v>42</v>
      </c>
      <c r="E8986" s="15" t="s">
        <v>38</v>
      </c>
      <c r="F8986" s="15" t="s">
        <v>17</v>
      </c>
      <c r="G8986" s="15" t="s">
        <v>26</v>
      </c>
      <c r="H8986" s="15" t="n">
        <v>4</v>
      </c>
      <c r="I8986" s="17" t="n">
        <v>0</v>
      </c>
      <c r="J8986" s="18" t="n">
        <v>290.57</v>
      </c>
      <c r="K8986" s="19" t="n">
        <v>44.22</v>
      </c>
      <c r="L8986" s="15" t="n">
        <f aca="false">YEAR(B8986)</f>
        <v>2024</v>
      </c>
      <c r="M8986" s="20" t="n">
        <f aca="false">IF(J8986&gt;0,K8986/J8986,0)</f>
        <v>0.152183639054273</v>
      </c>
    </row>
    <row r="8987" customFormat="false" ht="15" hidden="false" customHeight="false" outlineLevel="0" collapsed="false">
      <c r="A8987" s="15" t="s">
        <v>9044</v>
      </c>
      <c r="B8987" s="16" t="n">
        <v>45527</v>
      </c>
      <c r="C8987" s="15" t="s">
        <v>56</v>
      </c>
      <c r="D8987" s="15" t="s">
        <v>44</v>
      </c>
      <c r="E8987" s="15" t="s">
        <v>36</v>
      </c>
      <c r="F8987" s="15" t="s">
        <v>18</v>
      </c>
      <c r="G8987" s="15" t="s">
        <v>30</v>
      </c>
      <c r="H8987" s="15" t="n">
        <v>2</v>
      </c>
      <c r="I8987" s="17" t="n">
        <v>0</v>
      </c>
      <c r="J8987" s="18" t="n">
        <v>97.49</v>
      </c>
      <c r="K8987" s="19" t="n">
        <v>24.29</v>
      </c>
      <c r="L8987" s="15" t="n">
        <f aca="false">YEAR(B8987)</f>
        <v>2024</v>
      </c>
      <c r="M8987" s="20" t="n">
        <f aca="false">IF(J8987&gt;0,K8987/J8987,0)</f>
        <v>0.249153759359934</v>
      </c>
    </row>
    <row r="8988" customFormat="false" ht="15" hidden="false" customHeight="false" outlineLevel="0" collapsed="false">
      <c r="A8988" s="15" t="s">
        <v>9045</v>
      </c>
      <c r="B8988" s="16" t="n">
        <v>45051</v>
      </c>
      <c r="C8988" s="15" t="s">
        <v>56</v>
      </c>
      <c r="D8988" s="15" t="s">
        <v>42</v>
      </c>
      <c r="E8988" s="15" t="s">
        <v>38</v>
      </c>
      <c r="F8988" s="15" t="s">
        <v>17</v>
      </c>
      <c r="G8988" s="15" t="s">
        <v>26</v>
      </c>
      <c r="H8988" s="15" t="n">
        <v>3</v>
      </c>
      <c r="I8988" s="17" t="n">
        <v>0.5</v>
      </c>
      <c r="J8988" s="18" t="n">
        <v>110.79</v>
      </c>
      <c r="K8988" s="19" t="n">
        <v>-37.47</v>
      </c>
      <c r="L8988" s="15" t="n">
        <f aca="false">YEAR(B8988)</f>
        <v>2023</v>
      </c>
      <c r="M8988" s="20" t="n">
        <f aca="false">IF(J8988&gt;0,K8988/J8988,0)</f>
        <v>-0.338207419442188</v>
      </c>
    </row>
    <row r="8989" customFormat="false" ht="15" hidden="false" customHeight="false" outlineLevel="0" collapsed="false">
      <c r="A8989" s="15" t="s">
        <v>9046</v>
      </c>
      <c r="B8989" s="16" t="n">
        <v>45759</v>
      </c>
      <c r="C8989" s="15" t="s">
        <v>68</v>
      </c>
      <c r="D8989" s="15" t="s">
        <v>44</v>
      </c>
      <c r="E8989" s="15" t="s">
        <v>39</v>
      </c>
      <c r="F8989" s="15" t="s">
        <v>17</v>
      </c>
      <c r="G8989" s="15" t="s">
        <v>29</v>
      </c>
      <c r="H8989" s="15" t="n">
        <v>4</v>
      </c>
      <c r="I8989" s="17" t="n">
        <v>0.3</v>
      </c>
      <c r="J8989" s="18" t="n">
        <v>58.48</v>
      </c>
      <c r="K8989" s="19" t="n">
        <v>4.46</v>
      </c>
      <c r="L8989" s="15" t="n">
        <f aca="false">YEAR(B8989)</f>
        <v>2025</v>
      </c>
      <c r="M8989" s="20" t="n">
        <f aca="false">IF(J8989&gt;0,K8989/J8989,0)</f>
        <v>0.076265389876881</v>
      </c>
    </row>
    <row r="8990" customFormat="false" ht="15" hidden="false" customHeight="false" outlineLevel="0" collapsed="false">
      <c r="A8990" s="15" t="s">
        <v>9047</v>
      </c>
      <c r="B8990" s="16" t="n">
        <v>44749</v>
      </c>
      <c r="C8990" s="15" t="s">
        <v>71</v>
      </c>
      <c r="D8990" s="15" t="s">
        <v>42</v>
      </c>
      <c r="E8990" s="15" t="s">
        <v>38</v>
      </c>
      <c r="F8990" s="15" t="s">
        <v>18</v>
      </c>
      <c r="G8990" s="15" t="s">
        <v>30</v>
      </c>
      <c r="H8990" s="15" t="n">
        <v>4</v>
      </c>
      <c r="I8990" s="17" t="n">
        <v>0.1</v>
      </c>
      <c r="J8990" s="18" t="n">
        <v>133.3</v>
      </c>
      <c r="K8990" s="19" t="n">
        <v>21.17</v>
      </c>
      <c r="L8990" s="15" t="n">
        <f aca="false">YEAR(B8990)</f>
        <v>2022</v>
      </c>
      <c r="M8990" s="20" t="n">
        <f aca="false">IF(J8990&gt;0,K8990/J8990,0)</f>
        <v>0.158814703675919</v>
      </c>
    </row>
    <row r="8991" customFormat="false" ht="15" hidden="false" customHeight="false" outlineLevel="0" collapsed="false">
      <c r="A8991" s="15" t="s">
        <v>9048</v>
      </c>
      <c r="B8991" s="16" t="n">
        <v>44906</v>
      </c>
      <c r="C8991" s="15" t="s">
        <v>56</v>
      </c>
      <c r="D8991" s="15" t="s">
        <v>42</v>
      </c>
      <c r="E8991" s="15" t="s">
        <v>39</v>
      </c>
      <c r="F8991" s="15" t="s">
        <v>17</v>
      </c>
      <c r="G8991" s="15" t="s">
        <v>28</v>
      </c>
      <c r="H8991" s="15" t="n">
        <v>2</v>
      </c>
      <c r="I8991" s="17" t="n">
        <v>0</v>
      </c>
      <c r="J8991" s="18" t="n">
        <v>59.79</v>
      </c>
      <c r="K8991" s="19" t="n">
        <v>21.27</v>
      </c>
      <c r="L8991" s="15" t="n">
        <f aca="false">YEAR(B8991)</f>
        <v>2022</v>
      </c>
      <c r="M8991" s="20" t="n">
        <f aca="false">IF(J8991&gt;0,K8991/J8991,0)</f>
        <v>0.355745107877572</v>
      </c>
    </row>
    <row r="8992" customFormat="false" ht="15" hidden="false" customHeight="false" outlineLevel="0" collapsed="false">
      <c r="A8992" s="15" t="s">
        <v>9049</v>
      </c>
      <c r="B8992" s="16" t="n">
        <v>45955</v>
      </c>
      <c r="C8992" s="15" t="s">
        <v>56</v>
      </c>
      <c r="D8992" s="15" t="s">
        <v>44</v>
      </c>
      <c r="E8992" s="15" t="s">
        <v>37</v>
      </c>
      <c r="F8992" s="15" t="s">
        <v>17</v>
      </c>
      <c r="G8992" s="15" t="s">
        <v>31</v>
      </c>
      <c r="H8992" s="15" t="n">
        <v>3</v>
      </c>
      <c r="I8992" s="17" t="n">
        <v>0.1</v>
      </c>
      <c r="J8992" s="18" t="n">
        <v>429.24</v>
      </c>
      <c r="K8992" s="19" t="n">
        <v>28.76</v>
      </c>
      <c r="L8992" s="15" t="n">
        <f aca="false">YEAR(B8992)</f>
        <v>2025</v>
      </c>
      <c r="M8992" s="20" t="n">
        <f aca="false">IF(J8992&gt;0,K8992/J8992,0)</f>
        <v>0.0670021433230827</v>
      </c>
    </row>
    <row r="8993" customFormat="false" ht="15" hidden="false" customHeight="false" outlineLevel="0" collapsed="false">
      <c r="A8993" s="15" t="s">
        <v>9050</v>
      </c>
      <c r="B8993" s="16" t="n">
        <v>45561</v>
      </c>
      <c r="C8993" s="15" t="s">
        <v>56</v>
      </c>
      <c r="D8993" s="15" t="s">
        <v>42</v>
      </c>
      <c r="E8993" s="15" t="s">
        <v>39</v>
      </c>
      <c r="F8993" s="15" t="s">
        <v>18</v>
      </c>
      <c r="G8993" s="15" t="s">
        <v>30</v>
      </c>
      <c r="H8993" s="15" t="n">
        <v>6</v>
      </c>
      <c r="I8993" s="17" t="n">
        <v>0.2</v>
      </c>
      <c r="J8993" s="18" t="n">
        <v>245.51</v>
      </c>
      <c r="K8993" s="19" t="n">
        <v>15.77</v>
      </c>
      <c r="L8993" s="15" t="n">
        <f aca="false">YEAR(B8993)</f>
        <v>2024</v>
      </c>
      <c r="M8993" s="20" t="n">
        <f aca="false">IF(J8993&gt;0,K8993/J8993,0)</f>
        <v>0.0642336361044357</v>
      </c>
    </row>
    <row r="8994" customFormat="false" ht="15" hidden="false" customHeight="false" outlineLevel="0" collapsed="false">
      <c r="A8994" s="15" t="s">
        <v>9051</v>
      </c>
      <c r="B8994" s="16" t="n">
        <v>45382</v>
      </c>
      <c r="C8994" s="15" t="s">
        <v>58</v>
      </c>
      <c r="D8994" s="15" t="s">
        <v>44</v>
      </c>
      <c r="E8994" s="15" t="s">
        <v>36</v>
      </c>
      <c r="F8994" s="15" t="s">
        <v>17</v>
      </c>
      <c r="G8994" s="15" t="s">
        <v>31</v>
      </c>
      <c r="H8994" s="15" t="n">
        <v>2</v>
      </c>
      <c r="I8994" s="17" t="n">
        <v>0</v>
      </c>
      <c r="J8994" s="18" t="n">
        <v>256.3</v>
      </c>
      <c r="K8994" s="19" t="n">
        <v>40.09</v>
      </c>
      <c r="L8994" s="15" t="n">
        <f aca="false">YEAR(B8994)</f>
        <v>2024</v>
      </c>
      <c r="M8994" s="20" t="n">
        <f aca="false">IF(J8994&gt;0,K8994/J8994,0)</f>
        <v>0.156418259851736</v>
      </c>
    </row>
    <row r="8995" customFormat="false" ht="15" hidden="false" customHeight="false" outlineLevel="0" collapsed="false">
      <c r="A8995" s="15" t="s">
        <v>9052</v>
      </c>
      <c r="B8995" s="16" t="n">
        <v>44679</v>
      </c>
      <c r="C8995" s="15" t="s">
        <v>56</v>
      </c>
      <c r="D8995" s="15" t="s">
        <v>42</v>
      </c>
      <c r="E8995" s="15" t="s">
        <v>39</v>
      </c>
      <c r="F8995" s="15" t="s">
        <v>18</v>
      </c>
      <c r="G8995" s="15" t="s">
        <v>33</v>
      </c>
      <c r="H8995" s="15" t="n">
        <v>3</v>
      </c>
      <c r="I8995" s="17" t="n">
        <v>0.4</v>
      </c>
      <c r="J8995" s="18" t="n">
        <v>1293.17</v>
      </c>
      <c r="K8995" s="19" t="n">
        <v>-132.07</v>
      </c>
      <c r="L8995" s="15" t="n">
        <f aca="false">YEAR(B8995)</f>
        <v>2022</v>
      </c>
      <c r="M8995" s="20" t="n">
        <f aca="false">IF(J8995&gt;0,K8995/J8995,0)</f>
        <v>-0.102128877100459</v>
      </c>
    </row>
    <row r="8996" customFormat="false" ht="15" hidden="false" customHeight="false" outlineLevel="0" collapsed="false">
      <c r="A8996" s="15" t="s">
        <v>9053</v>
      </c>
      <c r="B8996" s="16" t="n">
        <v>45645</v>
      </c>
      <c r="C8996" s="15" t="s">
        <v>71</v>
      </c>
      <c r="D8996" s="15" t="s">
        <v>42</v>
      </c>
      <c r="E8996" s="15" t="s">
        <v>37</v>
      </c>
      <c r="F8996" s="15" t="s">
        <v>18</v>
      </c>
      <c r="G8996" s="15" t="s">
        <v>32</v>
      </c>
      <c r="H8996" s="15" t="n">
        <v>5</v>
      </c>
      <c r="I8996" s="17" t="n">
        <v>0</v>
      </c>
      <c r="J8996" s="18" t="n">
        <v>2023.41</v>
      </c>
      <c r="K8996" s="19" t="n">
        <v>374.99</v>
      </c>
      <c r="L8996" s="15" t="n">
        <f aca="false">YEAR(B8996)</f>
        <v>2024</v>
      </c>
      <c r="M8996" s="20" t="n">
        <f aca="false">IF(J8996&gt;0,K8996/J8996,0)</f>
        <v>0.185325761956302</v>
      </c>
    </row>
    <row r="8997" customFormat="false" ht="15" hidden="false" customHeight="false" outlineLevel="0" collapsed="false">
      <c r="A8997" s="15" t="s">
        <v>9054</v>
      </c>
      <c r="B8997" s="16" t="n">
        <v>45585</v>
      </c>
      <c r="C8997" s="15" t="s">
        <v>56</v>
      </c>
      <c r="D8997" s="15" t="s">
        <v>42</v>
      </c>
      <c r="E8997" s="15" t="s">
        <v>37</v>
      </c>
      <c r="F8997" s="15" t="s">
        <v>17</v>
      </c>
      <c r="G8997" s="15" t="s">
        <v>29</v>
      </c>
      <c r="H8997" s="15" t="n">
        <v>3</v>
      </c>
      <c r="I8997" s="17" t="n">
        <v>0.3</v>
      </c>
      <c r="J8997" s="18" t="n">
        <v>39.89</v>
      </c>
      <c r="K8997" s="19" t="n">
        <v>5</v>
      </c>
      <c r="L8997" s="15" t="n">
        <f aca="false">YEAR(B8997)</f>
        <v>2024</v>
      </c>
      <c r="M8997" s="20" t="n">
        <f aca="false">IF(J8997&gt;0,K8997/J8997,0)</f>
        <v>0.125344697919278</v>
      </c>
    </row>
    <row r="8998" customFormat="false" ht="15" hidden="false" customHeight="false" outlineLevel="0" collapsed="false">
      <c r="A8998" s="15" t="s">
        <v>9055</v>
      </c>
      <c r="B8998" s="16" t="n">
        <v>45506</v>
      </c>
      <c r="C8998" s="15" t="s">
        <v>56</v>
      </c>
      <c r="D8998" s="15" t="s">
        <v>44</v>
      </c>
      <c r="E8998" s="15" t="s">
        <v>37</v>
      </c>
      <c r="F8998" s="15" t="s">
        <v>17</v>
      </c>
      <c r="G8998" s="15" t="s">
        <v>29</v>
      </c>
      <c r="H8998" s="15" t="n">
        <v>1</v>
      </c>
      <c r="I8998" s="17" t="n">
        <v>0</v>
      </c>
      <c r="J8998" s="18" t="n">
        <v>18.85</v>
      </c>
      <c r="K8998" s="19" t="n">
        <v>6.1</v>
      </c>
      <c r="L8998" s="15" t="n">
        <f aca="false">YEAR(B8998)</f>
        <v>2024</v>
      </c>
      <c r="M8998" s="20" t="n">
        <f aca="false">IF(J8998&gt;0,K8998/J8998,0)</f>
        <v>0.323607427055703</v>
      </c>
    </row>
    <row r="8999" customFormat="false" ht="15" hidden="false" customHeight="false" outlineLevel="0" collapsed="false">
      <c r="A8999" s="15" t="s">
        <v>9056</v>
      </c>
      <c r="B8999" s="16" t="n">
        <v>45538</v>
      </c>
      <c r="C8999" s="15" t="s">
        <v>56</v>
      </c>
      <c r="D8999" s="15" t="s">
        <v>42</v>
      </c>
      <c r="E8999" s="15" t="s">
        <v>37</v>
      </c>
      <c r="F8999" s="15" t="s">
        <v>17</v>
      </c>
      <c r="G8999" s="15" t="s">
        <v>29</v>
      </c>
      <c r="H8999" s="15" t="n">
        <v>2</v>
      </c>
      <c r="I8999" s="17" t="n">
        <v>0</v>
      </c>
      <c r="J8999" s="18" t="n">
        <v>37.7</v>
      </c>
      <c r="K8999" s="19" t="n">
        <v>17.97</v>
      </c>
      <c r="L8999" s="15" t="n">
        <f aca="false">YEAR(B8999)</f>
        <v>2024</v>
      </c>
      <c r="M8999" s="20" t="n">
        <f aca="false">IF(J8999&gt;0,K8999/J8999,0)</f>
        <v>0.476657824933687</v>
      </c>
    </row>
    <row r="9000" customFormat="false" ht="15" hidden="false" customHeight="false" outlineLevel="0" collapsed="false">
      <c r="A9000" s="15" t="s">
        <v>9057</v>
      </c>
      <c r="B9000" s="16" t="n">
        <v>44770</v>
      </c>
      <c r="C9000" s="15" t="s">
        <v>56</v>
      </c>
      <c r="D9000" s="15" t="s">
        <v>43</v>
      </c>
      <c r="E9000" s="15" t="s">
        <v>36</v>
      </c>
      <c r="F9000" s="15" t="s">
        <v>18</v>
      </c>
      <c r="G9000" s="15" t="s">
        <v>30</v>
      </c>
      <c r="H9000" s="15" t="n">
        <v>6</v>
      </c>
      <c r="I9000" s="17" t="n">
        <v>0.4</v>
      </c>
      <c r="J9000" s="18" t="n">
        <v>170.9</v>
      </c>
      <c r="K9000" s="19" t="n">
        <v>-12.85</v>
      </c>
      <c r="L9000" s="15" t="n">
        <f aca="false">YEAR(B9000)</f>
        <v>2022</v>
      </c>
      <c r="M9000" s="20" t="n">
        <f aca="false">IF(J9000&gt;0,K9000/J9000,0)</f>
        <v>-0.0751901696898771</v>
      </c>
    </row>
    <row r="9001" customFormat="false" ht="15" hidden="false" customHeight="false" outlineLevel="0" collapsed="false">
      <c r="A9001" s="15" t="s">
        <v>9058</v>
      </c>
      <c r="B9001" s="16" t="n">
        <v>45807</v>
      </c>
      <c r="C9001" s="15" t="s">
        <v>56</v>
      </c>
      <c r="D9001" s="15" t="s">
        <v>42</v>
      </c>
      <c r="E9001" s="15" t="s">
        <v>38</v>
      </c>
      <c r="F9001" s="15" t="s">
        <v>17</v>
      </c>
      <c r="G9001" s="15" t="s">
        <v>31</v>
      </c>
      <c r="H9001" s="15" t="n">
        <v>1</v>
      </c>
      <c r="I9001" s="17" t="n">
        <v>0</v>
      </c>
      <c r="J9001" s="18" t="n">
        <v>106.68</v>
      </c>
      <c r="K9001" s="19" t="n">
        <v>18.64</v>
      </c>
      <c r="L9001" s="15" t="n">
        <f aca="false">YEAR(B9001)</f>
        <v>2025</v>
      </c>
      <c r="M9001" s="20" t="n">
        <f aca="false">IF(J9001&gt;0,K9001/J9001,0)</f>
        <v>0.174728158980127</v>
      </c>
    </row>
  </sheetData>
  <autoFilter ref="A1:M9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5" min="5" style="0" width="18"/>
  </cols>
  <sheetData>
    <row r="1" customFormat="false" ht="17.35" hidden="false" customHeight="false" outlineLevel="0" collapsed="false">
      <c r="A1" s="21" t="s">
        <v>9059</v>
      </c>
      <c r="B1" s="22"/>
      <c r="C1" s="22"/>
      <c r="D1" s="22"/>
      <c r="E1" s="22"/>
    </row>
    <row r="2" customFormat="false" ht="15" hidden="false" customHeight="false" outlineLevel="0" collapsed="false">
      <c r="A2" s="23" t="s">
        <v>9060</v>
      </c>
      <c r="B2" s="22"/>
      <c r="C2" s="22"/>
      <c r="D2" s="22"/>
      <c r="E2" s="22"/>
    </row>
    <row r="3" customFormat="false" ht="15" hidden="false" customHeight="false" outlineLevel="0" collapsed="false">
      <c r="A3" s="22"/>
      <c r="B3" s="22"/>
      <c r="C3" s="22"/>
      <c r="D3" s="22"/>
      <c r="E3" s="22"/>
    </row>
    <row r="4" customFormat="false" ht="15" hidden="false" customHeight="false" outlineLevel="0" collapsed="false">
      <c r="A4" s="3" t="s">
        <v>9061</v>
      </c>
      <c r="B4" s="3" t="s">
        <v>9062</v>
      </c>
      <c r="C4" s="3" t="s">
        <v>9063</v>
      </c>
      <c r="D4" s="3" t="s">
        <v>9064</v>
      </c>
      <c r="E4" s="3" t="s">
        <v>9065</v>
      </c>
    </row>
    <row r="5" customFormat="false" ht="15" hidden="false" customHeight="false" outlineLevel="0" collapsed="false">
      <c r="A5" s="9" t="s">
        <v>9066</v>
      </c>
      <c r="B5" s="24" t="n">
        <v>0.899</v>
      </c>
      <c r="C5" s="25" t="n">
        <v>86.589</v>
      </c>
      <c r="D5" s="25" t="n">
        <v>252</v>
      </c>
      <c r="E5" s="24" t="n">
        <v>0.979</v>
      </c>
    </row>
    <row r="6" customFormat="false" ht="15" hidden="false" customHeight="false" outlineLevel="0" collapsed="false">
      <c r="A6" s="9" t="s">
        <v>9067</v>
      </c>
      <c r="B6" s="24" t="n">
        <v>0.967</v>
      </c>
      <c r="C6" s="25" t="n">
        <v>61.25</v>
      </c>
      <c r="D6" s="25" t="n">
        <v>142.826</v>
      </c>
      <c r="E6" s="24" t="n">
        <v>0.988</v>
      </c>
    </row>
    <row r="7" customFormat="false" ht="15" hidden="false" customHeight="false" outlineLevel="0" collapsed="false">
      <c r="A7" s="9" t="s">
        <v>9068</v>
      </c>
      <c r="B7" s="24" t="n">
        <v>0.978</v>
      </c>
      <c r="C7" s="25" t="n">
        <v>52.196</v>
      </c>
      <c r="D7" s="25" t="n">
        <v>117.12</v>
      </c>
      <c r="E7" s="24" t="n">
        <v>0.991</v>
      </c>
    </row>
    <row r="9" customFormat="false" ht="15" hidden="false" customHeight="false" outlineLevel="0" collapsed="false">
      <c r="A9" s="26" t="s">
        <v>9069</v>
      </c>
      <c r="B9" s="26" t="str">
        <f aca="false">INDEX(A5:A7,MATCH(MAX(B5:B7),B5:B7,0))</f>
        <v>Gradient Boosting</v>
      </c>
    </row>
    <row r="11" customFormat="false" ht="15" hidden="false" customHeight="false" outlineLevel="0" collapsed="false">
      <c r="A11" s="8" t="s">
        <v>9070</v>
      </c>
    </row>
    <row r="12" customFormat="false" ht="15" hidden="false" customHeight="false" outlineLevel="0" collapsed="false">
      <c r="A12" s="27" t="s">
        <v>9071</v>
      </c>
      <c r="B12" s="27" t="s">
        <v>9072</v>
      </c>
    </row>
    <row r="13" customFormat="false" ht="15" hidden="false" customHeight="false" outlineLevel="0" collapsed="false">
      <c r="A13" s="15" t="s">
        <v>21</v>
      </c>
      <c r="B13" s="28" t="n">
        <v>0.5169</v>
      </c>
    </row>
    <row r="14" customFormat="false" ht="15" hidden="false" customHeight="false" outlineLevel="0" collapsed="false">
      <c r="A14" s="15" t="s">
        <v>12</v>
      </c>
      <c r="B14" s="28" t="n">
        <v>0.3266</v>
      </c>
    </row>
    <row r="15" customFormat="false" ht="15" hidden="false" customHeight="false" outlineLevel="0" collapsed="false">
      <c r="A15" s="15" t="s">
        <v>54</v>
      </c>
      <c r="B15" s="28" t="n">
        <v>0.14</v>
      </c>
    </row>
    <row r="16" customFormat="false" ht="15" hidden="false" customHeight="false" outlineLevel="0" collapsed="false">
      <c r="A16" s="15" t="s">
        <v>50</v>
      </c>
      <c r="B16" s="28" t="n">
        <v>0.0132</v>
      </c>
    </row>
    <row r="17" customFormat="false" ht="15" hidden="false" customHeight="false" outlineLevel="0" collapsed="false">
      <c r="A17" s="15" t="s">
        <v>35</v>
      </c>
      <c r="B17" s="28" t="n">
        <v>0.0023</v>
      </c>
    </row>
    <row r="18" customFormat="false" ht="15" hidden="false" customHeight="false" outlineLevel="0" collapsed="false">
      <c r="A18" s="15" t="s">
        <v>41</v>
      </c>
      <c r="B18" s="28" t="n">
        <v>0.0007</v>
      </c>
    </row>
    <row r="19" customFormat="false" ht="15" hidden="false" customHeight="false" outlineLevel="0" collapsed="false">
      <c r="A19" s="15" t="s">
        <v>9073</v>
      </c>
      <c r="B19" s="28" t="n">
        <v>0.0001</v>
      </c>
    </row>
    <row r="20" customFormat="false" ht="15" hidden="false" customHeight="false" outlineLevel="0" collapsed="false">
      <c r="A20" s="15" t="s">
        <v>9074</v>
      </c>
      <c r="B20" s="28" t="n">
        <v>0.0001</v>
      </c>
    </row>
    <row r="21" customFormat="false" ht="15" hidden="false" customHeight="false" outlineLevel="0" collapsed="false">
      <c r="A21" s="15" t="s">
        <v>53</v>
      </c>
      <c r="B21" s="28" t="n">
        <v>0.0001</v>
      </c>
    </row>
    <row r="22" customFormat="false" ht="15" hidden="false" customHeight="false" outlineLevel="0" collapsed="false">
      <c r="A22" s="15" t="s">
        <v>46</v>
      </c>
      <c r="B22" s="28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9075</v>
      </c>
    </row>
    <row r="3" customFormat="false" ht="15" hidden="false" customHeight="false" outlineLevel="0" collapsed="false">
      <c r="A3" s="26" t="s">
        <v>9076</v>
      </c>
      <c r="B3" s="29" t="s">
        <v>9077</v>
      </c>
    </row>
    <row r="4" customFormat="false" ht="15" hidden="false" customHeight="false" outlineLevel="0" collapsed="false">
      <c r="A4" s="26" t="s">
        <v>9078</v>
      </c>
      <c r="B4" s="29" t="s">
        <v>9079</v>
      </c>
    </row>
    <row r="5" customFormat="false" ht="15" hidden="false" customHeight="false" outlineLevel="0" collapsed="false">
      <c r="A5" s="26" t="s">
        <v>9080</v>
      </c>
      <c r="B5" s="29" t="s">
        <v>9081</v>
      </c>
    </row>
    <row r="6" customFormat="false" ht="15" hidden="false" customHeight="false" outlineLevel="0" collapsed="false">
      <c r="A6" s="26" t="s">
        <v>9082</v>
      </c>
      <c r="B6" s="29" t="s">
        <v>9083</v>
      </c>
    </row>
    <row r="7" customFormat="false" ht="15" hidden="false" customHeight="false" outlineLevel="0" collapsed="false">
      <c r="A7" s="26" t="s">
        <v>9084</v>
      </c>
      <c r="B7" s="29" t="s">
        <v>9085</v>
      </c>
    </row>
    <row r="8" customFormat="false" ht="23.85" hidden="false" customHeight="false" outlineLevel="0" collapsed="false">
      <c r="A8" s="26" t="s">
        <v>9086</v>
      </c>
      <c r="B8" s="29" t="s">
        <v>9087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2026-10-05T09:52:35Z</dcterms:created>
  <dc:creator>openpyxl</dc:creator>
  <dc:description/>
  <dc:language>en-US</dc:language>
  <cp:lastModifiedBy/>
  <dcterms:modified xsi:type="dcterms:W3CDTF">2026-10-05T09:52:40Z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